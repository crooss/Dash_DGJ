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174" documentId="8_{4AADA8ED-8E7D-4B32-A08C-3385DCB314DA}" xr6:coauthVersionLast="47" xr6:coauthVersionMax="47" xr10:uidLastSave="{A35648B5-3DB7-4C57-A1F3-54C95DFCCA4E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EV SPIN" sheetId="33" r:id="rId23"/>
    <sheet name="DASH SPIN" sheetId="35" r:id="rId24"/>
    <sheet name="Summary S01" sheetId="11" r:id="rId25"/>
    <sheet name="Summary S02" sheetId="12" r:id="rId26"/>
    <sheet name="Summary S03" sheetId="20" r:id="rId27"/>
    <sheet name="Summary S04" sheetId="23" r:id="rId28"/>
    <sheet name="Summary S06" sheetId="28" r:id="rId29"/>
    <sheet name="Summary S07" sheetId="16" r:id="rId30"/>
    <sheet name="Summary S08" sheetId="18" r:id="rId31"/>
    <sheet name="listado sistemas" sheetId="6" r:id="rId32"/>
    <sheet name="Metalografías" sheetId="36" r:id="rId33"/>
    <sheet name="waterfall" sheetId="25" r:id="rId34"/>
    <sheet name="Hoja1" sheetId="9" state="hidden" r:id="rId35"/>
  </sheets>
  <externalReferences>
    <externalReference r:id="rId36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4" hidden="1">'Summary S01'!$A$1:$G$41</definedName>
    <definedName name="_xlnm._FilterDatabase" localSheetId="26" hidden="1">'Summary S03'!$A$1:$G$41</definedName>
    <definedName name="_xlnm._FilterDatabase" localSheetId="27" hidden="1">'Summary S04'!$A$1:$G$2</definedName>
    <definedName name="_xlnm._FilterDatabase" localSheetId="28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SPIN'!$Q$6:$Q$20</definedName>
    <definedName name="_xlchart.v5.11" hidden="1">'EV SPIN'!$A$26:$A$38</definedName>
    <definedName name="_xlchart.v5.12" hidden="1">'EV SPIN'!$B$26:$B$38</definedName>
    <definedName name="_xlchart.v5.13" hidden="1">'EV SPIN'!$A$5:$A$20</definedName>
    <definedName name="_xlchart.v5.14" hidden="1">'EV SPIN'!$I$5:$I$20</definedName>
    <definedName name="_xlchart.v5.15" hidden="1">'EV SPIN'!$K$6:$K$20</definedName>
    <definedName name="_xlchart.v5.16" hidden="1">'EV SPIN'!$L$6:$L$20</definedName>
    <definedName name="_xlchart.v5.17" hidden="1">'EV SPIN'!$K$6:$K$20</definedName>
    <definedName name="_xlchart.v5.18" hidden="1">'EV SPIN'!$M$6:$M$20</definedName>
    <definedName name="_xlchart.v5.19" hidden="1">'EV SPIN'!$K$6:$K$20</definedName>
    <definedName name="_xlchart.v5.2" hidden="1">'EV (2)'!$A$26:$A$38</definedName>
    <definedName name="_xlchart.v5.20" hidden="1">'EV SPIN'!$O$6:$O$20</definedName>
    <definedName name="_xlchart.v5.21" hidden="1">'EV SPIN'!$K$6:$K$20</definedName>
    <definedName name="_xlchart.v5.22" hidden="1">'EV SPIN'!$N$6:$N$20</definedName>
    <definedName name="_xlchart.v5.23" hidden="1">'EV SPIN'!$K$6:$K$20</definedName>
    <definedName name="_xlchart.v5.24" hidden="1">'EV SPIN'!$P$6:$P$20</definedName>
    <definedName name="_xlchart.v5.25" hidden="1">'EV SPIN'!$K$6:$K$20</definedName>
    <definedName name="_xlchart.v5.26" hidden="1">'EV SPIN'!$Q$6:$Q$20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(2)'!$B$26:$B$38</definedName>
    <definedName name="_xlchart.v5.30" hidden="1">'EV SPIN'!$L$6:$L$20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SPIN'!$N$6:$N$20</definedName>
    <definedName name="_xlchart.v5.35" hidden="1">'EV SPIN'!$K$6:$K$20</definedName>
    <definedName name="_xlchart.v5.36" hidden="1">'EV SPIN'!$O$6:$O$20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SPIN'!$K$6:$K$20</definedName>
    <definedName name="_xlchart.v5.8" hidden="1">'EV SPIN'!$P$6:$P$20</definedName>
    <definedName name="_xlchart.v5.9" hidden="1">'EV SPIN'!$K$6:$K$20</definedName>
    <definedName name="_xlnm.Print_Area" localSheetId="23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8" i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L981" i="1"/>
  <c r="H981" i="1"/>
  <c r="N981" i="1" s="1"/>
  <c r="L980" i="1"/>
  <c r="H980" i="1"/>
  <c r="N980" i="1" s="1"/>
  <c r="L979" i="1"/>
  <c r="H979" i="1"/>
  <c r="N979" i="1" s="1"/>
  <c r="L978" i="1"/>
  <c r="H978" i="1"/>
  <c r="N978" i="1" s="1"/>
  <c r="L977" i="1"/>
  <c r="H977" i="1"/>
  <c r="N977" i="1" s="1"/>
  <c r="L976" i="1"/>
  <c r="H976" i="1"/>
  <c r="N976" i="1" s="1"/>
  <c r="L975" i="1"/>
  <c r="H975" i="1"/>
  <c r="N975" i="1" s="1"/>
  <c r="Q867" i="1"/>
  <c r="H867" i="1"/>
  <c r="N867" i="1" s="1"/>
  <c r="H699" i="1"/>
  <c r="N699" i="1" s="1"/>
  <c r="L699" i="1"/>
  <c r="O699" i="1"/>
  <c r="H700" i="1"/>
  <c r="N700" i="1" s="1"/>
  <c r="L700" i="1"/>
  <c r="O700" i="1"/>
  <c r="H701" i="1"/>
  <c r="N701" i="1" s="1"/>
  <c r="L701" i="1"/>
  <c r="O701" i="1"/>
  <c r="H702" i="1"/>
  <c r="N702" i="1" s="1"/>
  <c r="L702" i="1"/>
  <c r="O702" i="1"/>
  <c r="H703" i="1"/>
  <c r="N703" i="1" s="1"/>
  <c r="L703" i="1"/>
  <c r="O703" i="1"/>
  <c r="H704" i="1"/>
  <c r="N704" i="1" s="1"/>
  <c r="L704" i="1"/>
  <c r="O704" i="1"/>
  <c r="H705" i="1"/>
  <c r="N705" i="1" s="1"/>
  <c r="L705" i="1"/>
  <c r="O705" i="1"/>
  <c r="H706" i="1"/>
  <c r="N706" i="1" s="1"/>
  <c r="L706" i="1"/>
  <c r="O706" i="1"/>
  <c r="H707" i="1"/>
  <c r="N707" i="1" s="1"/>
  <c r="L707" i="1"/>
  <c r="O707" i="1"/>
  <c r="H708" i="1"/>
  <c r="N708" i="1" s="1"/>
  <c r="L708" i="1"/>
  <c r="O708" i="1"/>
  <c r="H709" i="1"/>
  <c r="N709" i="1" s="1"/>
  <c r="L709" i="1"/>
  <c r="O709" i="1"/>
  <c r="H710" i="1"/>
  <c r="N710" i="1" s="1"/>
  <c r="L710" i="1"/>
  <c r="O710" i="1"/>
  <c r="H711" i="1"/>
  <c r="N711" i="1" s="1"/>
  <c r="L711" i="1"/>
  <c r="O711" i="1"/>
  <c r="M690" i="1"/>
  <c r="L690" i="1"/>
  <c r="H690" i="1"/>
  <c r="N690" i="1" s="1"/>
  <c r="M689" i="1"/>
  <c r="L689" i="1"/>
  <c r="H689" i="1"/>
  <c r="N689" i="1" s="1"/>
  <c r="M688" i="1"/>
  <c r="L688" i="1"/>
  <c r="H688" i="1"/>
  <c r="N688" i="1" s="1"/>
  <c r="H691" i="1"/>
  <c r="N691" i="1" s="1"/>
  <c r="L691" i="1"/>
  <c r="O691" i="1"/>
  <c r="H692" i="1"/>
  <c r="N692" i="1" s="1"/>
  <c r="L692" i="1"/>
  <c r="O692" i="1"/>
  <c r="H693" i="1"/>
  <c r="N693" i="1" s="1"/>
  <c r="L693" i="1"/>
  <c r="O693" i="1"/>
  <c r="H694" i="1"/>
  <c r="N694" i="1" s="1"/>
  <c r="L694" i="1"/>
  <c r="O694" i="1"/>
  <c r="H695" i="1"/>
  <c r="N695" i="1" s="1"/>
  <c r="L695" i="1"/>
  <c r="O695" i="1"/>
  <c r="H696" i="1"/>
  <c r="N696" i="1" s="1"/>
  <c r="L696" i="1"/>
  <c r="O696" i="1"/>
  <c r="H697" i="1"/>
  <c r="N697" i="1" s="1"/>
  <c r="L697" i="1"/>
  <c r="O697" i="1"/>
  <c r="M687" i="1"/>
  <c r="L687" i="1"/>
  <c r="H687" i="1"/>
  <c r="N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M686" i="1"/>
  <c r="L686" i="1"/>
  <c r="H686" i="1"/>
  <c r="N686" i="1" s="1"/>
  <c r="M685" i="1"/>
  <c r="L685" i="1"/>
  <c r="H685" i="1"/>
  <c r="N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O880" i="1"/>
  <c r="O879" i="1"/>
  <c r="H879" i="1" s="1"/>
  <c r="N879" i="1" s="1"/>
  <c r="O877" i="1"/>
  <c r="O875" i="1"/>
  <c r="L881" i="1"/>
  <c r="H881" i="1"/>
  <c r="N881" i="1" s="1"/>
  <c r="L880" i="1"/>
  <c r="L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N880" i="1" s="1"/>
  <c r="AN36" i="25"/>
  <c r="O793" i="1"/>
  <c r="N793" i="1"/>
  <c r="L793" i="1"/>
  <c r="H698" i="1"/>
  <c r="N698" i="1" s="1"/>
  <c r="L698" i="1"/>
  <c r="O698" i="1"/>
  <c r="H712" i="1"/>
  <c r="N712" i="1" s="1"/>
  <c r="L712" i="1"/>
  <c r="O712" i="1"/>
  <c r="H713" i="1"/>
  <c r="N713" i="1" s="1"/>
  <c r="L713" i="1"/>
  <c r="O713" i="1"/>
  <c r="N786" i="1"/>
  <c r="L786" i="1"/>
  <c r="N785" i="1"/>
  <c r="L785" i="1"/>
  <c r="N784" i="1"/>
  <c r="L784" i="1"/>
  <c r="N783" i="1"/>
  <c r="L783" i="1"/>
  <c r="N782" i="1"/>
  <c r="L782" i="1"/>
  <c r="N781" i="1"/>
  <c r="L781" i="1"/>
  <c r="N780" i="1"/>
  <c r="L780" i="1"/>
  <c r="H787" i="1"/>
  <c r="N787" i="1" s="1"/>
  <c r="L787" i="1"/>
  <c r="O787" i="1"/>
  <c r="H907" i="1"/>
  <c r="N907" i="1" s="1"/>
  <c r="L907" i="1"/>
  <c r="O907" i="1"/>
  <c r="H897" i="1"/>
  <c r="N897" i="1" s="1"/>
  <c r="L897" i="1"/>
  <c r="O897" i="1"/>
  <c r="H850" i="1"/>
  <c r="N850" i="1" s="1"/>
  <c r="L850" i="1"/>
  <c r="O850" i="1"/>
  <c r="N778" i="1"/>
  <c r="L778" i="1"/>
  <c r="N777" i="1"/>
  <c r="L777" i="1"/>
  <c r="N776" i="1"/>
  <c r="L776" i="1"/>
  <c r="N775" i="1"/>
  <c r="L775" i="1"/>
  <c r="N774" i="1"/>
  <c r="L774" i="1"/>
  <c r="N773" i="1"/>
  <c r="L773" i="1"/>
  <c r="N772" i="1"/>
  <c r="L772" i="1"/>
  <c r="N770" i="1"/>
  <c r="L770" i="1"/>
  <c r="N769" i="1"/>
  <c r="L769" i="1"/>
  <c r="N768" i="1"/>
  <c r="L768" i="1"/>
  <c r="N767" i="1"/>
  <c r="L767" i="1"/>
  <c r="N766" i="1"/>
  <c r="L766" i="1"/>
  <c r="N765" i="1"/>
  <c r="L765" i="1"/>
  <c r="N764" i="1"/>
  <c r="L764" i="1"/>
  <c r="N762" i="1"/>
  <c r="L762" i="1"/>
  <c r="N761" i="1"/>
  <c r="L761" i="1"/>
  <c r="N760" i="1"/>
  <c r="L760" i="1"/>
  <c r="N759" i="1"/>
  <c r="L759" i="1"/>
  <c r="N758" i="1"/>
  <c r="L758" i="1"/>
  <c r="N757" i="1"/>
  <c r="L757" i="1"/>
  <c r="N756" i="1"/>
  <c r="L756" i="1"/>
  <c r="H763" i="1"/>
  <c r="N763" i="1" s="1"/>
  <c r="L763" i="1"/>
  <c r="O763" i="1"/>
  <c r="H771" i="1"/>
  <c r="N771" i="1" s="1"/>
  <c r="L771" i="1"/>
  <c r="O771" i="1"/>
  <c r="H779" i="1"/>
  <c r="N779" i="1" s="1"/>
  <c r="L779" i="1"/>
  <c r="O779" i="1"/>
  <c r="H812" i="1"/>
  <c r="N812" i="1" s="1"/>
  <c r="L812" i="1"/>
  <c r="O812" i="1"/>
  <c r="N754" i="1"/>
  <c r="L754" i="1"/>
  <c r="N753" i="1"/>
  <c r="L753" i="1"/>
  <c r="N752" i="1"/>
  <c r="L752" i="1"/>
  <c r="N751" i="1"/>
  <c r="L751" i="1"/>
  <c r="N750" i="1"/>
  <c r="L750" i="1"/>
  <c r="N749" i="1"/>
  <c r="L749" i="1"/>
  <c r="N748" i="1"/>
  <c r="L748" i="1"/>
  <c r="H755" i="1"/>
  <c r="N755" i="1" s="1"/>
  <c r="L755" i="1"/>
  <c r="O755" i="1"/>
  <c r="N722" i="1"/>
  <c r="L722" i="1"/>
  <c r="N721" i="1"/>
  <c r="L721" i="1"/>
  <c r="N720" i="1"/>
  <c r="L720" i="1"/>
  <c r="N719" i="1"/>
  <c r="L719" i="1"/>
  <c r="N718" i="1"/>
  <c r="L718" i="1"/>
  <c r="N717" i="1"/>
  <c r="L717" i="1"/>
  <c r="N716" i="1"/>
  <c r="L716" i="1"/>
  <c r="H715" i="1"/>
  <c r="N715" i="1" s="1"/>
  <c r="L715" i="1"/>
  <c r="O715" i="1"/>
  <c r="H739" i="1"/>
  <c r="N739" i="1" s="1"/>
  <c r="L739" i="1"/>
  <c r="O739" i="1"/>
  <c r="H843" i="1"/>
  <c r="N843" i="1" s="1"/>
  <c r="L843" i="1"/>
  <c r="O843" i="1"/>
  <c r="H844" i="1"/>
  <c r="N844" i="1" s="1"/>
  <c r="L844" i="1"/>
  <c r="O844" i="1"/>
  <c r="H849" i="1"/>
  <c r="N849" i="1" s="1"/>
  <c r="L849" i="1"/>
  <c r="O849" i="1"/>
  <c r="H982" i="1"/>
  <c r="N982" i="1" s="1"/>
  <c r="L982" i="1"/>
  <c r="O982" i="1"/>
  <c r="H983" i="1"/>
  <c r="N983" i="1" s="1"/>
  <c r="L983" i="1"/>
  <c r="O983" i="1"/>
  <c r="H984" i="1"/>
  <c r="N984" i="1" s="1"/>
  <c r="L984" i="1"/>
  <c r="O984" i="1"/>
  <c r="M682" i="1" l="1"/>
  <c r="M681" i="1"/>
  <c r="M680" i="1"/>
  <c r="M684" i="1"/>
  <c r="M679" i="1"/>
  <c r="M677" i="1"/>
  <c r="M676" i="1"/>
  <c r="M675" i="1"/>
  <c r="M674" i="1"/>
  <c r="M673" i="1"/>
  <c r="M672" i="1"/>
  <c r="M671" i="1"/>
  <c r="O15" i="17"/>
  <c r="N15" i="17"/>
  <c r="M14" i="17"/>
  <c r="F107" i="10"/>
  <c r="F108" i="10"/>
  <c r="F109" i="10"/>
  <c r="F106" i="10"/>
  <c r="M536" i="1"/>
  <c r="L536" i="1"/>
  <c r="H536" i="1"/>
  <c r="N536" i="1" s="1"/>
  <c r="M538" i="1"/>
  <c r="L538" i="1"/>
  <c r="H538" i="1"/>
  <c r="N538" i="1" s="1"/>
  <c r="L682" i="1" l="1"/>
  <c r="H682" i="1"/>
  <c r="N682" i="1" s="1"/>
  <c r="L681" i="1"/>
  <c r="H681" i="1"/>
  <c r="N681" i="1" s="1"/>
  <c r="L680" i="1"/>
  <c r="H680" i="1"/>
  <c r="N680" i="1" s="1"/>
  <c r="L684" i="1"/>
  <c r="H684" i="1"/>
  <c r="N684" i="1" s="1"/>
  <c r="L679" i="1"/>
  <c r="H679" i="1"/>
  <c r="N679" i="1" s="1"/>
  <c r="L677" i="1"/>
  <c r="H677" i="1"/>
  <c r="N677" i="1" s="1"/>
  <c r="L676" i="1"/>
  <c r="H676" i="1"/>
  <c r="N676" i="1" s="1"/>
  <c r="L675" i="1"/>
  <c r="H675" i="1"/>
  <c r="N675" i="1" s="1"/>
  <c r="L674" i="1"/>
  <c r="H674" i="1"/>
  <c r="N674" i="1" s="1"/>
  <c r="L673" i="1"/>
  <c r="H673" i="1"/>
  <c r="N673" i="1" s="1"/>
  <c r="L672" i="1"/>
  <c r="H672" i="1"/>
  <c r="N672" i="1" s="1"/>
  <c r="L671" i="1"/>
  <c r="H671" i="1"/>
  <c r="N671" i="1" s="1"/>
  <c r="O656" i="1"/>
  <c r="M656" i="1"/>
  <c r="L656" i="1"/>
  <c r="H656" i="1"/>
  <c r="N656" i="1" s="1"/>
  <c r="O670" i="1"/>
  <c r="M670" i="1"/>
  <c r="L670" i="1"/>
  <c r="H670" i="1"/>
  <c r="N670" i="1" s="1"/>
  <c r="O669" i="1"/>
  <c r="M669" i="1"/>
  <c r="L669" i="1"/>
  <c r="H669" i="1"/>
  <c r="N669" i="1" s="1"/>
  <c r="M668" i="1"/>
  <c r="M667" i="1"/>
  <c r="M666" i="1"/>
  <c r="M665" i="1"/>
  <c r="M664" i="1"/>
  <c r="M663" i="1"/>
  <c r="M662" i="1"/>
  <c r="M661" i="1"/>
  <c r="M660" i="1"/>
  <c r="M659" i="1"/>
  <c r="M658" i="1"/>
  <c r="L658" i="1"/>
  <c r="H658" i="1"/>
  <c r="E25" i="30"/>
  <c r="U7" i="5"/>
  <c r="H659" i="1"/>
  <c r="N659" i="1" s="1"/>
  <c r="L659" i="1"/>
  <c r="O659" i="1"/>
  <c r="H660" i="1"/>
  <c r="N660" i="1" s="1"/>
  <c r="L660" i="1"/>
  <c r="O660" i="1"/>
  <c r="H661" i="1"/>
  <c r="N661" i="1" s="1"/>
  <c r="L661" i="1"/>
  <c r="O661" i="1"/>
  <c r="H662" i="1"/>
  <c r="N662" i="1" s="1"/>
  <c r="L662" i="1"/>
  <c r="O662" i="1"/>
  <c r="H663" i="1"/>
  <c r="N663" i="1" s="1"/>
  <c r="L663" i="1"/>
  <c r="O663" i="1"/>
  <c r="H664" i="1"/>
  <c r="N664" i="1" s="1"/>
  <c r="L664" i="1"/>
  <c r="O664" i="1"/>
  <c r="H665" i="1"/>
  <c r="N665" i="1" s="1"/>
  <c r="L665" i="1"/>
  <c r="O665" i="1"/>
  <c r="H666" i="1"/>
  <c r="N666" i="1" s="1"/>
  <c r="L666" i="1"/>
  <c r="O666" i="1"/>
  <c r="H667" i="1"/>
  <c r="N667" i="1" s="1"/>
  <c r="L667" i="1"/>
  <c r="O667" i="1"/>
  <c r="H668" i="1"/>
  <c r="N668" i="1" s="1"/>
  <c r="L668" i="1"/>
  <c r="O668" i="1"/>
  <c r="H683" i="1"/>
  <c r="N683" i="1" s="1"/>
  <c r="L683" i="1"/>
  <c r="O683" i="1"/>
  <c r="M648" i="1"/>
  <c r="M649" i="1"/>
  <c r="M650" i="1"/>
  <c r="M651" i="1"/>
  <c r="M652" i="1"/>
  <c r="M653" i="1"/>
  <c r="M654" i="1"/>
  <c r="M655" i="1"/>
  <c r="M657" i="1"/>
  <c r="M647" i="1"/>
  <c r="M646" i="1"/>
  <c r="O657" i="1"/>
  <c r="L657" i="1"/>
  <c r="H657" i="1"/>
  <c r="N657" i="1" s="1"/>
  <c r="O655" i="1"/>
  <c r="L655" i="1"/>
  <c r="H655" i="1"/>
  <c r="N655" i="1" s="1"/>
  <c r="O654" i="1"/>
  <c r="L654" i="1"/>
  <c r="H654" i="1"/>
  <c r="N654" i="1" s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653" i="1"/>
  <c r="L653" i="1"/>
  <c r="H653" i="1"/>
  <c r="N653" i="1" s="1"/>
  <c r="L652" i="1"/>
  <c r="H652" i="1"/>
  <c r="N652" i="1" s="1"/>
  <c r="L651" i="1"/>
  <c r="H651" i="1"/>
  <c r="N651" i="1" s="1"/>
  <c r="L650" i="1"/>
  <c r="H650" i="1"/>
  <c r="N650" i="1" s="1"/>
  <c r="L649" i="1"/>
  <c r="H649" i="1"/>
  <c r="N649" i="1" s="1"/>
  <c r="L648" i="1"/>
  <c r="H648" i="1"/>
  <c r="N648" i="1" s="1"/>
  <c r="B9" i="30"/>
  <c r="L646" i="1"/>
  <c r="H646" i="1"/>
  <c r="N646" i="1" s="1"/>
  <c r="E17" i="33"/>
  <c r="M644" i="1"/>
  <c r="L644" i="1"/>
  <c r="H644" i="1"/>
  <c r="N644" i="1" s="1"/>
  <c r="N658" i="1" l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H804" i="1"/>
  <c r="N804" i="1" s="1"/>
  <c r="L804" i="1"/>
  <c r="O804" i="1"/>
  <c r="H900" i="1"/>
  <c r="N900" i="1" s="1"/>
  <c r="L902" i="1"/>
  <c r="L903" i="1"/>
  <c r="L904" i="1"/>
  <c r="L905" i="1"/>
  <c r="M643" i="1"/>
  <c r="L643" i="1"/>
  <c r="H643" i="1"/>
  <c r="G58" i="5"/>
  <c r="J58" i="5"/>
  <c r="H901" i="1" s="1"/>
  <c r="N901" i="1" s="1"/>
  <c r="O642" i="1"/>
  <c r="M642" i="1"/>
  <c r="L642" i="1"/>
  <c r="H642" i="1"/>
  <c r="N642" i="1" s="1"/>
  <c r="O641" i="1"/>
  <c r="M641" i="1"/>
  <c r="L641" i="1"/>
  <c r="H641" i="1"/>
  <c r="N641" i="1" s="1"/>
  <c r="M640" i="1"/>
  <c r="L640" i="1"/>
  <c r="H640" i="1"/>
  <c r="N640" i="1" s="1"/>
  <c r="H639" i="1"/>
  <c r="N639" i="1" s="1"/>
  <c r="L639" i="1"/>
  <c r="O639" i="1"/>
  <c r="O640" i="1"/>
  <c r="L899" i="1"/>
  <c r="L900" i="1"/>
  <c r="L901" i="1"/>
  <c r="H645" i="1"/>
  <c r="N645" i="1" s="1"/>
  <c r="L645" i="1"/>
  <c r="O645" i="1"/>
  <c r="H647" i="1"/>
  <c r="L647" i="1"/>
  <c r="O647" i="1"/>
  <c r="O648" i="1"/>
  <c r="O649" i="1"/>
  <c r="O650" i="1"/>
  <c r="O651" i="1"/>
  <c r="O652" i="1"/>
  <c r="N638" i="1"/>
  <c r="L638" i="1"/>
  <c r="O637" i="1"/>
  <c r="N637" i="1"/>
  <c r="L637" i="1"/>
  <c r="O636" i="1"/>
  <c r="N636" i="1"/>
  <c r="L636" i="1"/>
  <c r="N635" i="1"/>
  <c r="L635" i="1"/>
  <c r="E6" i="26" s="1"/>
  <c r="N634" i="1"/>
  <c r="L634" i="1"/>
  <c r="N811" i="1"/>
  <c r="L811" i="1"/>
  <c r="N810" i="1"/>
  <c r="L810" i="1"/>
  <c r="N809" i="1"/>
  <c r="L809" i="1"/>
  <c r="N808" i="1"/>
  <c r="L808" i="1"/>
  <c r="N807" i="1"/>
  <c r="L807" i="1"/>
  <c r="N806" i="1"/>
  <c r="L806" i="1"/>
  <c r="N805" i="1"/>
  <c r="L805" i="1"/>
  <c r="L632" i="1"/>
  <c r="N632" i="1"/>
  <c r="O632" i="1"/>
  <c r="L633" i="1"/>
  <c r="N633" i="1"/>
  <c r="O633" i="1"/>
  <c r="N647" i="1" l="1"/>
  <c r="N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N899" i="1" s="1"/>
  <c r="H905" i="1"/>
  <c r="N905" i="1" s="1"/>
  <c r="H904" i="1"/>
  <c r="N904" i="1" s="1"/>
  <c r="H903" i="1"/>
  <c r="N903" i="1" s="1"/>
  <c r="H902" i="1"/>
  <c r="N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O631" i="1"/>
  <c r="N631" i="1"/>
  <c r="L631" i="1"/>
  <c r="O630" i="1"/>
  <c r="N630" i="1"/>
  <c r="L630" i="1"/>
  <c r="O629" i="1"/>
  <c r="N629" i="1"/>
  <c r="L629" i="1"/>
  <c r="O628" i="1"/>
  <c r="N628" i="1"/>
  <c r="L628" i="1"/>
  <c r="N588" i="1"/>
  <c r="J9" i="29"/>
  <c r="J10" i="29"/>
  <c r="J13" i="29"/>
  <c r="J16" i="29"/>
  <c r="J17" i="29"/>
  <c r="J18" i="29"/>
  <c r="J19" i="29"/>
  <c r="B24" i="29"/>
  <c r="H853" i="1"/>
  <c r="H854" i="1"/>
  <c r="N854" i="1" s="1"/>
  <c r="H855" i="1"/>
  <c r="H856" i="1"/>
  <c r="H857" i="1"/>
  <c r="H858" i="1"/>
  <c r="H860" i="1"/>
  <c r="N860" i="1" s="1"/>
  <c r="H861" i="1"/>
  <c r="J56" i="5"/>
  <c r="H870" i="1" s="1"/>
  <c r="N870" i="1" s="1"/>
  <c r="J57" i="5"/>
  <c r="H894" i="1" s="1"/>
  <c r="N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L878" i="1"/>
  <c r="H878" i="1"/>
  <c r="N878" i="1" s="1"/>
  <c r="L877" i="1"/>
  <c r="H877" i="1"/>
  <c r="N877" i="1" s="1"/>
  <c r="L876" i="1"/>
  <c r="H876" i="1"/>
  <c r="N876" i="1" s="1"/>
  <c r="L875" i="1"/>
  <c r="L874" i="1"/>
  <c r="L895" i="1"/>
  <c r="H895" i="1"/>
  <c r="N895" i="1" s="1"/>
  <c r="L894" i="1"/>
  <c r="L893" i="1"/>
  <c r="H893" i="1"/>
  <c r="N893" i="1" s="1"/>
  <c r="L892" i="1"/>
  <c r="H892" i="1"/>
  <c r="N892" i="1" s="1"/>
  <c r="L891" i="1"/>
  <c r="H891" i="1"/>
  <c r="N891" i="1" s="1"/>
  <c r="H890" i="1"/>
  <c r="N890" i="1" s="1"/>
  <c r="L890" i="1"/>
  <c r="L872" i="1"/>
  <c r="H872" i="1"/>
  <c r="N872" i="1" s="1"/>
  <c r="L871" i="1"/>
  <c r="H871" i="1"/>
  <c r="N871" i="1" s="1"/>
  <c r="L870" i="1"/>
  <c r="L869" i="1"/>
  <c r="L868" i="1"/>
  <c r="H868" i="1"/>
  <c r="N868" i="1" s="1"/>
  <c r="L867" i="1"/>
  <c r="L888" i="1"/>
  <c r="L887" i="1"/>
  <c r="L886" i="1"/>
  <c r="L885" i="1"/>
  <c r="L884" i="1"/>
  <c r="L883" i="1"/>
  <c r="G2" i="8"/>
  <c r="C2" i="8"/>
  <c r="H884" i="1"/>
  <c r="N884" i="1" s="1"/>
  <c r="H885" i="1"/>
  <c r="N885" i="1" s="1"/>
  <c r="H886" i="1"/>
  <c r="H887" i="1"/>
  <c r="H888" i="1"/>
  <c r="H883" i="1"/>
  <c r="N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L865" i="1"/>
  <c r="L864" i="1"/>
  <c r="L863" i="1"/>
  <c r="L862" i="1"/>
  <c r="L861" i="1"/>
  <c r="L860" i="1"/>
  <c r="L853" i="1"/>
  <c r="L854" i="1"/>
  <c r="L855" i="1"/>
  <c r="L856" i="1"/>
  <c r="L857" i="1"/>
  <c r="L858" i="1"/>
  <c r="L852" i="1"/>
  <c r="G56" i="5"/>
  <c r="G57" i="5"/>
  <c r="G55" i="5"/>
  <c r="O627" i="1"/>
  <c r="N627" i="1"/>
  <c r="L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N864" i="1" s="1"/>
  <c r="H875" i="1"/>
  <c r="N875" i="1" s="1"/>
  <c r="H863" i="1"/>
  <c r="N863" i="1" s="1"/>
  <c r="H865" i="1"/>
  <c r="N865" i="1" s="1"/>
  <c r="H869" i="1"/>
  <c r="N869" i="1" s="1"/>
  <c r="H862" i="1"/>
  <c r="K55" i="5"/>
  <c r="N861" i="1"/>
  <c r="N857" i="1"/>
  <c r="N855" i="1"/>
  <c r="N853" i="1"/>
  <c r="N858" i="1"/>
  <c r="N856" i="1"/>
  <c r="U20" i="33"/>
  <c r="W20" i="33"/>
  <c r="V20" i="33"/>
  <c r="N862" i="1" l="1"/>
  <c r="N874" i="1"/>
  <c r="J12" i="39"/>
  <c r="K16" i="30"/>
  <c r="K17" i="29"/>
  <c r="K16" i="29"/>
  <c r="N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O626" i="1"/>
  <c r="N626" i="1"/>
  <c r="L626" i="1"/>
  <c r="N624" i="1"/>
  <c r="L624" i="1"/>
  <c r="N738" i="1"/>
  <c r="L738" i="1"/>
  <c r="N737" i="1"/>
  <c r="L737" i="1"/>
  <c r="N736" i="1"/>
  <c r="L736" i="1"/>
  <c r="N735" i="1"/>
  <c r="L735" i="1"/>
  <c r="N734" i="1"/>
  <c r="L734" i="1"/>
  <c r="N733" i="1"/>
  <c r="L733" i="1"/>
  <c r="N732" i="1"/>
  <c r="L732" i="1"/>
  <c r="H65" i="5"/>
  <c r="G65" i="5"/>
  <c r="F65" i="5"/>
  <c r="E65" i="5"/>
  <c r="N623" i="1"/>
  <c r="L623" i="1"/>
  <c r="N622" i="1"/>
  <c r="L622" i="1"/>
  <c r="N621" i="1"/>
  <c r="L621" i="1"/>
  <c r="M620" i="1"/>
  <c r="L620" i="1"/>
  <c r="H620" i="1"/>
  <c r="N620" i="1" s="1"/>
  <c r="K68" i="5"/>
  <c r="K69" i="5"/>
  <c r="K67" i="5"/>
  <c r="L873" i="1"/>
  <c r="M619" i="1"/>
  <c r="L619" i="1"/>
  <c r="H619" i="1"/>
  <c r="N619" i="1" s="1"/>
  <c r="H618" i="1"/>
  <c r="N618" i="1" s="1"/>
  <c r="L618" i="1"/>
  <c r="O618" i="1"/>
  <c r="O621" i="1"/>
  <c r="O622" i="1"/>
  <c r="O623" i="1"/>
  <c r="O624" i="1"/>
  <c r="H625" i="1"/>
  <c r="N625" i="1" s="1"/>
  <c r="L625" i="1"/>
  <c r="O625" i="1"/>
  <c r="O634" i="1"/>
  <c r="O635" i="1"/>
  <c r="O638" i="1"/>
  <c r="H714" i="1"/>
  <c r="N714" i="1" s="1"/>
  <c r="L714" i="1"/>
  <c r="O714" i="1"/>
  <c r="M617" i="1"/>
  <c r="L617" i="1"/>
  <c r="H617" i="1"/>
  <c r="N617" i="1" s="1"/>
  <c r="M616" i="1"/>
  <c r="L616" i="1"/>
  <c r="H616" i="1"/>
  <c r="N616" i="1" s="1"/>
  <c r="M615" i="1"/>
  <c r="L615" i="1"/>
  <c r="H615" i="1"/>
  <c r="N615" i="1" s="1"/>
  <c r="O873" i="1"/>
  <c r="H873" i="1"/>
  <c r="H896" i="1"/>
  <c r="N896" i="1" s="1"/>
  <c r="L896" i="1"/>
  <c r="O896" i="1"/>
  <c r="H898" i="1"/>
  <c r="N898" i="1" s="1"/>
  <c r="L898" i="1"/>
  <c r="O898" i="1"/>
  <c r="H906" i="1"/>
  <c r="N906" i="1" s="1"/>
  <c r="L906" i="1"/>
  <c r="O906" i="1"/>
  <c r="L882" i="1"/>
  <c r="H882" i="1"/>
  <c r="H889" i="1"/>
  <c r="L889" i="1"/>
  <c r="O882" i="1"/>
  <c r="N888" i="1"/>
  <c r="N887" i="1"/>
  <c r="N886" i="1"/>
  <c r="H866" i="1"/>
  <c r="L866" i="1"/>
  <c r="O866" i="1"/>
  <c r="M614" i="1"/>
  <c r="L614" i="1"/>
  <c r="H614" i="1"/>
  <c r="N614" i="1" s="1"/>
  <c r="H723" i="1"/>
  <c r="N723" i="1" s="1"/>
  <c r="L723" i="1"/>
  <c r="O723" i="1"/>
  <c r="H747" i="1"/>
  <c r="N747" i="1" s="1"/>
  <c r="L747" i="1"/>
  <c r="O747" i="1"/>
  <c r="H842" i="1"/>
  <c r="N842" i="1" s="1"/>
  <c r="L842" i="1"/>
  <c r="O842" i="1"/>
  <c r="H796" i="1"/>
  <c r="N796" i="1" s="1"/>
  <c r="L796" i="1"/>
  <c r="O796" i="1"/>
  <c r="O795" i="1"/>
  <c r="N795" i="1"/>
  <c r="L795" i="1"/>
  <c r="O794" i="1"/>
  <c r="N794" i="1"/>
  <c r="L794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M613" i="1"/>
  <c r="L613" i="1"/>
  <c r="H613" i="1"/>
  <c r="N613" i="1" s="1"/>
  <c r="M612" i="1"/>
  <c r="L612" i="1"/>
  <c r="H612" i="1"/>
  <c r="N612" i="1" s="1"/>
  <c r="L588" i="1"/>
  <c r="M495" i="1"/>
  <c r="L495" i="1"/>
  <c r="H495" i="1"/>
  <c r="N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M611" i="1"/>
  <c r="L611" i="1"/>
  <c r="H611" i="1"/>
  <c r="N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O839" i="1"/>
  <c r="N839" i="1"/>
  <c r="L839" i="1"/>
  <c r="O838" i="1"/>
  <c r="N838" i="1"/>
  <c r="L838" i="1"/>
  <c r="O836" i="1"/>
  <c r="N836" i="1"/>
  <c r="L836" i="1"/>
  <c r="O841" i="1"/>
  <c r="N841" i="1"/>
  <c r="L841" i="1"/>
  <c r="O840" i="1"/>
  <c r="N840" i="1"/>
  <c r="L840" i="1"/>
  <c r="O837" i="1"/>
  <c r="N837" i="1"/>
  <c r="L837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H831" i="1"/>
  <c r="N831" i="1" s="1"/>
  <c r="L831" i="1"/>
  <c r="O831" i="1"/>
  <c r="O820" i="1"/>
  <c r="N820" i="1"/>
  <c r="L820" i="1"/>
  <c r="O819" i="1"/>
  <c r="N819" i="1"/>
  <c r="L819" i="1"/>
  <c r="O817" i="1"/>
  <c r="N817" i="1"/>
  <c r="L817" i="1"/>
  <c r="O822" i="1"/>
  <c r="N822" i="1"/>
  <c r="L822" i="1"/>
  <c r="O821" i="1"/>
  <c r="N821" i="1"/>
  <c r="L821" i="1"/>
  <c r="O818" i="1"/>
  <c r="N818" i="1"/>
  <c r="L818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M610" i="1"/>
  <c r="L610" i="1"/>
  <c r="H610" i="1"/>
  <c r="N610" i="1" s="1"/>
  <c r="T20" i="33" l="1"/>
  <c r="H823" i="1"/>
  <c r="N823" i="1" s="1"/>
  <c r="L823" i="1"/>
  <c r="O823" i="1"/>
  <c r="O743" i="1"/>
  <c r="N743" i="1"/>
  <c r="L743" i="1"/>
  <c r="N727" i="1"/>
  <c r="L727" i="1"/>
  <c r="M608" i="1"/>
  <c r="L608" i="1"/>
  <c r="H608" i="1"/>
  <c r="N608" i="1" s="1"/>
  <c r="M607" i="1"/>
  <c r="L607" i="1"/>
  <c r="H607" i="1"/>
  <c r="N607" i="1" l="1"/>
  <c r="M606" i="1"/>
  <c r="L606" i="1"/>
  <c r="H606" i="1"/>
  <c r="M605" i="1"/>
  <c r="L605" i="1"/>
  <c r="H605" i="1"/>
  <c r="N605" i="1" s="1"/>
  <c r="H603" i="1"/>
  <c r="N603" i="1" s="1"/>
  <c r="M603" i="1"/>
  <c r="L603" i="1"/>
  <c r="H604" i="1"/>
  <c r="N604" i="1" s="1"/>
  <c r="L604" i="1"/>
  <c r="O604" i="1"/>
  <c r="H609" i="1"/>
  <c r="N609" i="1" s="1"/>
  <c r="L609" i="1"/>
  <c r="O609" i="1"/>
  <c r="O746" i="1"/>
  <c r="L746" i="1"/>
  <c r="N746" i="1"/>
  <c r="O745" i="1"/>
  <c r="L745" i="1"/>
  <c r="N745" i="1"/>
  <c r="O744" i="1"/>
  <c r="L744" i="1"/>
  <c r="N744" i="1"/>
  <c r="O742" i="1"/>
  <c r="L742" i="1"/>
  <c r="N742" i="1"/>
  <c r="O741" i="1"/>
  <c r="L741" i="1"/>
  <c r="N741" i="1"/>
  <c r="O740" i="1"/>
  <c r="L740" i="1"/>
  <c r="N740" i="1"/>
  <c r="L724" i="1"/>
  <c r="N724" i="1"/>
  <c r="L728" i="1"/>
  <c r="L729" i="1"/>
  <c r="L730" i="1"/>
  <c r="L726" i="1"/>
  <c r="N726" i="1"/>
  <c r="L725" i="1"/>
  <c r="N606" i="1" l="1"/>
  <c r="N725" i="1"/>
  <c r="N728" i="1"/>
  <c r="N729" i="1"/>
  <c r="N730" i="1"/>
  <c r="L859" i="1"/>
  <c r="M602" i="1"/>
  <c r="L602" i="1"/>
  <c r="H602" i="1"/>
  <c r="N602" i="1" s="1"/>
  <c r="M601" i="1"/>
  <c r="L601" i="1"/>
  <c r="H601" i="1"/>
  <c r="N601" i="1" s="1"/>
  <c r="M599" i="1"/>
  <c r="L599" i="1"/>
  <c r="H599" i="1"/>
  <c r="N599" i="1" s="1"/>
  <c r="M598" i="1"/>
  <c r="L598" i="1"/>
  <c r="H598" i="1"/>
  <c r="N598" i="1" s="1"/>
  <c r="H731" i="1"/>
  <c r="N731" i="1" s="1"/>
  <c r="L731" i="1"/>
  <c r="O731" i="1"/>
  <c r="H851" i="1"/>
  <c r="N851" i="1" s="1"/>
  <c r="L851" i="1"/>
  <c r="O851" i="1"/>
  <c r="M597" i="1"/>
  <c r="L597" i="1"/>
  <c r="H597" i="1"/>
  <c r="N597" i="1" s="1"/>
  <c r="M596" i="1"/>
  <c r="L596" i="1"/>
  <c r="H596" i="1"/>
  <c r="N596" i="1" s="1"/>
  <c r="M595" i="1"/>
  <c r="L595" i="1"/>
  <c r="H595" i="1"/>
  <c r="N595" i="1" s="1"/>
  <c r="M594" i="1"/>
  <c r="L594" i="1"/>
  <c r="H594" i="1"/>
  <c r="N594" i="1" s="1"/>
  <c r="M593" i="1"/>
  <c r="L593" i="1"/>
  <c r="H593" i="1"/>
  <c r="N593" i="1" s="1"/>
  <c r="M592" i="1" l="1"/>
  <c r="L592" i="1"/>
  <c r="H592" i="1"/>
  <c r="N592" i="1" s="1"/>
  <c r="M591" i="1"/>
  <c r="L591" i="1"/>
  <c r="H591" i="1"/>
  <c r="N591" i="1" s="1"/>
  <c r="L586" i="1"/>
  <c r="H586" i="1"/>
  <c r="N586" i="1" s="1"/>
  <c r="H600" i="1"/>
  <c r="N600" i="1" s="1"/>
  <c r="L600" i="1"/>
  <c r="O600" i="1"/>
  <c r="M589" i="1"/>
  <c r="M587" i="1"/>
  <c r="L589" i="1"/>
  <c r="H589" i="1"/>
  <c r="N589" i="1" s="1"/>
  <c r="L587" i="1"/>
  <c r="H587" i="1"/>
  <c r="N587" i="1" s="1"/>
  <c r="L585" i="1"/>
  <c r="H585" i="1"/>
  <c r="N585" i="1" s="1"/>
  <c r="M584" i="1"/>
  <c r="L584" i="1"/>
  <c r="H584" i="1"/>
  <c r="N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L987" i="1"/>
  <c r="L986" i="1"/>
  <c r="H986" i="1"/>
  <c r="N986" i="1" s="1"/>
  <c r="O986" i="1"/>
  <c r="H987" i="1"/>
  <c r="N987" i="1" s="1"/>
  <c r="O987" i="1"/>
  <c r="X46" i="5"/>
  <c r="X45" i="5"/>
  <c r="X48" i="5" s="1"/>
  <c r="A13" i="22" l="1" a="1"/>
  <c r="E13" i="22" a="1"/>
  <c r="D6" i="22"/>
  <c r="D9" i="22" s="1"/>
  <c r="Y48" i="5"/>
  <c r="Z48" i="5" s="1"/>
  <c r="D22" i="22" l="1"/>
  <c r="D23" i="22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M350" i="1"/>
  <c r="M491" i="1"/>
  <c r="M531" i="1"/>
  <c r="L531" i="1"/>
  <c r="H531" i="1"/>
  <c r="N531" i="1" s="1"/>
  <c r="M435" i="1"/>
  <c r="L435" i="1"/>
  <c r="H435" i="1"/>
  <c r="N435" i="1" s="1"/>
  <c r="M582" i="1"/>
  <c r="L582" i="1"/>
  <c r="H582" i="1"/>
  <c r="N582" i="1" s="1"/>
  <c r="M581" i="1"/>
  <c r="L581" i="1"/>
  <c r="H581" i="1"/>
  <c r="N581" i="1" s="1"/>
  <c r="M28" i="22"/>
  <c r="E6" i="22" l="1"/>
  <c r="E9" i="22" s="1"/>
  <c r="M580" i="1"/>
  <c r="L580" i="1"/>
  <c r="H580" i="1"/>
  <c r="N580" i="1" s="1"/>
  <c r="M579" i="1"/>
  <c r="L579" i="1"/>
  <c r="H579" i="1"/>
  <c r="N579" i="1" s="1"/>
  <c r="M578" i="1"/>
  <c r="L578" i="1"/>
  <c r="H578" i="1"/>
  <c r="M577" i="1"/>
  <c r="L577" i="1"/>
  <c r="H577" i="1"/>
  <c r="M576" i="1"/>
  <c r="L576" i="1"/>
  <c r="H576" i="1"/>
  <c r="N576" i="1" s="1"/>
  <c r="M575" i="1"/>
  <c r="M574" i="1"/>
  <c r="L575" i="1"/>
  <c r="H575" i="1"/>
  <c r="N575" i="1" s="1"/>
  <c r="L574" i="1"/>
  <c r="H574" i="1"/>
  <c r="N574" i="1" s="1"/>
  <c r="H583" i="1"/>
  <c r="N583" i="1" s="1"/>
  <c r="L583" i="1"/>
  <c r="O583" i="1"/>
  <c r="H590" i="1"/>
  <c r="N590" i="1" s="1"/>
  <c r="L590" i="1"/>
  <c r="O590" i="1"/>
  <c r="M573" i="1"/>
  <c r="L573" i="1"/>
  <c r="H573" i="1"/>
  <c r="N573" i="1" s="1"/>
  <c r="M572" i="1"/>
  <c r="L572" i="1"/>
  <c r="H572" i="1"/>
  <c r="N572" i="1" s="1"/>
  <c r="M570" i="1"/>
  <c r="L570" i="1"/>
  <c r="H570" i="1"/>
  <c r="M569" i="1"/>
  <c r="L569" i="1"/>
  <c r="H569" i="1"/>
  <c r="N569" i="1" s="1"/>
  <c r="M568" i="1"/>
  <c r="L568" i="1"/>
  <c r="H568" i="1"/>
  <c r="N568" i="1" s="1"/>
  <c r="M567" i="1"/>
  <c r="L567" i="1"/>
  <c r="H567" i="1"/>
  <c r="N567" i="1" s="1"/>
  <c r="L566" i="1"/>
  <c r="H566" i="1"/>
  <c r="N566" i="1" s="1"/>
  <c r="M565" i="1"/>
  <c r="L565" i="1"/>
  <c r="H565" i="1"/>
  <c r="N565" i="1" s="1"/>
  <c r="M564" i="1"/>
  <c r="L564" i="1"/>
  <c r="H564" i="1"/>
  <c r="N564" i="1" s="1"/>
  <c r="M563" i="1"/>
  <c r="L563" i="1"/>
  <c r="H563" i="1"/>
  <c r="N563" i="1" s="1"/>
  <c r="L562" i="1"/>
  <c r="H562" i="1"/>
  <c r="N562" i="1" s="1"/>
  <c r="L561" i="1"/>
  <c r="H561" i="1"/>
  <c r="N561" i="1" s="1"/>
  <c r="H559" i="1"/>
  <c r="N559" i="1" s="1"/>
  <c r="L559" i="1"/>
  <c r="M559" i="1"/>
  <c r="H560" i="1"/>
  <c r="N560" i="1" s="1"/>
  <c r="L560" i="1"/>
  <c r="H571" i="1"/>
  <c r="N571" i="1" s="1"/>
  <c r="L571" i="1"/>
  <c r="O571" i="1"/>
  <c r="L558" i="1"/>
  <c r="H558" i="1"/>
  <c r="N558" i="1" s="1"/>
  <c r="M556" i="1"/>
  <c r="L556" i="1"/>
  <c r="H556" i="1"/>
  <c r="N556" i="1" s="1"/>
  <c r="L555" i="1"/>
  <c r="H555" i="1"/>
  <c r="N555" i="1" s="1"/>
  <c r="M554" i="1"/>
  <c r="L554" i="1"/>
  <c r="H554" i="1"/>
  <c r="N554" i="1" s="1"/>
  <c r="L553" i="1"/>
  <c r="H553" i="1"/>
  <c r="N553" i="1" s="1"/>
  <c r="M552" i="1"/>
  <c r="L552" i="1"/>
  <c r="H552" i="1"/>
  <c r="N552" i="1" s="1"/>
  <c r="D77" i="33"/>
  <c r="D78" i="33" s="1"/>
  <c r="D79" i="33" s="1"/>
  <c r="M544" i="1"/>
  <c r="L544" i="1"/>
  <c r="H544" i="1"/>
  <c r="N544" i="1" s="1"/>
  <c r="M551" i="1"/>
  <c r="L551" i="1"/>
  <c r="H551" i="1"/>
  <c r="N551" i="1" s="1"/>
  <c r="M550" i="1"/>
  <c r="L550" i="1"/>
  <c r="H550" i="1"/>
  <c r="N550" i="1" s="1"/>
  <c r="H557" i="1"/>
  <c r="N557" i="1" s="1"/>
  <c r="L557" i="1"/>
  <c r="O557" i="1"/>
  <c r="M549" i="1"/>
  <c r="L549" i="1"/>
  <c r="H549" i="1"/>
  <c r="N549" i="1" s="1"/>
  <c r="M548" i="1"/>
  <c r="L548" i="1"/>
  <c r="H548" i="1"/>
  <c r="N548" i="1" s="1"/>
  <c r="M547" i="1"/>
  <c r="L547" i="1"/>
  <c r="H547" i="1"/>
  <c r="N547" i="1" s="1"/>
  <c r="M546" i="1"/>
  <c r="L546" i="1"/>
  <c r="H546" i="1"/>
  <c r="N546" i="1" s="1"/>
  <c r="M545" i="1"/>
  <c r="L545" i="1"/>
  <c r="H545" i="1"/>
  <c r="N545" i="1" s="1"/>
  <c r="S579" i="1"/>
  <c r="M542" i="1"/>
  <c r="M543" i="1"/>
  <c r="L543" i="1"/>
  <c r="H543" i="1"/>
  <c r="N543" i="1" s="1"/>
  <c r="L542" i="1"/>
  <c r="H542" i="1"/>
  <c r="M541" i="1"/>
  <c r="L541" i="1"/>
  <c r="H541" i="1"/>
  <c r="N541" i="1" s="1"/>
  <c r="M539" i="1"/>
  <c r="L539" i="1"/>
  <c r="H539" i="1"/>
  <c r="N539" i="1" s="1"/>
  <c r="M535" i="1"/>
  <c r="M537" i="1"/>
  <c r="L537" i="1"/>
  <c r="H537" i="1"/>
  <c r="N537" i="1" s="1"/>
  <c r="L535" i="1"/>
  <c r="H535" i="1"/>
  <c r="N535" i="1" s="1"/>
  <c r="L534" i="1"/>
  <c r="H534" i="1"/>
  <c r="N534" i="1" s="1"/>
  <c r="L533" i="1"/>
  <c r="H533" i="1"/>
  <c r="N533" i="1" s="1"/>
  <c r="L532" i="1"/>
  <c r="H532" i="1"/>
  <c r="N532" i="1" s="1"/>
  <c r="N540" i="1"/>
  <c r="L530" i="1"/>
  <c r="H530" i="1"/>
  <c r="N530" i="1" s="1"/>
  <c r="M529" i="1"/>
  <c r="L529" i="1"/>
  <c r="H529" i="1"/>
  <c r="N529" i="1" s="1"/>
  <c r="L528" i="1"/>
  <c r="H528" i="1"/>
  <c r="N528" i="1" s="1"/>
  <c r="L527" i="1"/>
  <c r="H527" i="1"/>
  <c r="N527" i="1" s="1"/>
  <c r="L526" i="1"/>
  <c r="H526" i="1"/>
  <c r="N526" i="1" s="1"/>
  <c r="L525" i="1"/>
  <c r="H525" i="1"/>
  <c r="N525" i="1" s="1"/>
  <c r="M524" i="1"/>
  <c r="L524" i="1"/>
  <c r="H524" i="1"/>
  <c r="N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M523" i="1"/>
  <c r="L523" i="1"/>
  <c r="H523" i="1"/>
  <c r="N523" i="1" s="1"/>
  <c r="M494" i="1"/>
  <c r="L494" i="1"/>
  <c r="H494" i="1"/>
  <c r="N494" i="1" s="1"/>
  <c r="M476" i="1"/>
  <c r="L476" i="1"/>
  <c r="H476" i="1"/>
  <c r="N476" i="1" s="1"/>
  <c r="L522" i="1"/>
  <c r="H522" i="1"/>
  <c r="N522" i="1" s="1"/>
  <c r="M520" i="1"/>
  <c r="L520" i="1"/>
  <c r="H520" i="1"/>
  <c r="N520" i="1" s="1"/>
  <c r="M519" i="1"/>
  <c r="L519" i="1"/>
  <c r="H519" i="1"/>
  <c r="N519" i="1" s="1"/>
  <c r="M518" i="1"/>
  <c r="L518" i="1"/>
  <c r="H518" i="1"/>
  <c r="N518" i="1" s="1"/>
  <c r="M517" i="1"/>
  <c r="L517" i="1"/>
  <c r="H517" i="1"/>
  <c r="N517" i="1" s="1"/>
  <c r="H515" i="1"/>
  <c r="N515" i="1" s="1"/>
  <c r="L515" i="1"/>
  <c r="M515" i="1"/>
  <c r="H516" i="1"/>
  <c r="N516" i="1" s="1"/>
  <c r="L516" i="1"/>
  <c r="M516" i="1"/>
  <c r="M514" i="1"/>
  <c r="L514" i="1"/>
  <c r="H514" i="1"/>
  <c r="N514" i="1" s="1"/>
  <c r="H513" i="1"/>
  <c r="N513" i="1" s="1"/>
  <c r="L513" i="1"/>
  <c r="L512" i="1"/>
  <c r="H512" i="1"/>
  <c r="N512" i="1" s="1"/>
  <c r="L511" i="1"/>
  <c r="H511" i="1"/>
  <c r="N511" i="1" s="1"/>
  <c r="L510" i="1"/>
  <c r="H510" i="1"/>
  <c r="N510" i="1" s="1"/>
  <c r="M507" i="1"/>
  <c r="L507" i="1"/>
  <c r="H507" i="1"/>
  <c r="N507" i="1" s="1"/>
  <c r="M506" i="1"/>
  <c r="L506" i="1"/>
  <c r="H506" i="1"/>
  <c r="N506" i="1" s="1"/>
  <c r="M505" i="1"/>
  <c r="L505" i="1"/>
  <c r="H505" i="1"/>
  <c r="N505" i="1" s="1"/>
  <c r="L504" i="1"/>
  <c r="H504" i="1"/>
  <c r="N504" i="1" s="1"/>
  <c r="R41" i="7"/>
  <c r="R43" i="7"/>
  <c r="R45" i="7"/>
  <c r="M503" i="1"/>
  <c r="L503" i="1"/>
  <c r="H503" i="1"/>
  <c r="M502" i="1"/>
  <c r="L502" i="1"/>
  <c r="H502" i="1"/>
  <c r="N502" i="1" s="1"/>
  <c r="M501" i="1"/>
  <c r="L501" i="1"/>
  <c r="H501" i="1"/>
  <c r="N501" i="1" s="1"/>
  <c r="M500" i="1"/>
  <c r="L500" i="1"/>
  <c r="H500" i="1"/>
  <c r="M499" i="1"/>
  <c r="L499" i="1"/>
  <c r="H499" i="1"/>
  <c r="N499" i="1" s="1"/>
  <c r="L498" i="1"/>
  <c r="H498" i="1"/>
  <c r="N498" i="1" s="1"/>
  <c r="L497" i="1"/>
  <c r="H497" i="1"/>
  <c r="N497" i="1" s="1"/>
  <c r="M493" i="1"/>
  <c r="L493" i="1"/>
  <c r="H493" i="1"/>
  <c r="N493" i="1" s="1"/>
  <c r="H508" i="1"/>
  <c r="N508" i="1" s="1"/>
  <c r="H509" i="1"/>
  <c r="N509" i="1" s="1"/>
  <c r="L508" i="1"/>
  <c r="L509" i="1"/>
  <c r="O499" i="1"/>
  <c r="O508" i="1"/>
  <c r="O509" i="1"/>
  <c r="H521" i="1"/>
  <c r="N521" i="1" s="1"/>
  <c r="L521" i="1"/>
  <c r="O521" i="1"/>
  <c r="H491" i="1"/>
  <c r="N491" i="1" s="1"/>
  <c r="L491" i="1"/>
  <c r="H492" i="1"/>
  <c r="N492" i="1" s="1"/>
  <c r="L492" i="1"/>
  <c r="M492" i="1"/>
  <c r="M490" i="1"/>
  <c r="L490" i="1"/>
  <c r="H490" i="1"/>
  <c r="N490" i="1" s="1"/>
  <c r="L489" i="1"/>
  <c r="H489" i="1"/>
  <c r="N489" i="1" s="1"/>
  <c r="M488" i="1"/>
  <c r="L488" i="1"/>
  <c r="H488" i="1"/>
  <c r="N488" i="1" s="1"/>
  <c r="M487" i="1"/>
  <c r="L487" i="1"/>
  <c r="H487" i="1"/>
  <c r="N487" i="1" s="1"/>
  <c r="L486" i="1"/>
  <c r="H486" i="1"/>
  <c r="N486" i="1" s="1"/>
  <c r="L485" i="1"/>
  <c r="H485" i="1"/>
  <c r="N485" i="1" s="1"/>
  <c r="M469" i="1"/>
  <c r="L469" i="1"/>
  <c r="H469" i="1"/>
  <c r="N469" i="1" s="1"/>
  <c r="M484" i="1"/>
  <c r="L484" i="1"/>
  <c r="H484" i="1"/>
  <c r="N484" i="1" s="1"/>
  <c r="M441" i="1"/>
  <c r="L441" i="1"/>
  <c r="H441" i="1"/>
  <c r="N441" i="1" s="1"/>
  <c r="M440" i="1"/>
  <c r="L440" i="1"/>
  <c r="H440" i="1"/>
  <c r="N440" i="1" s="1"/>
  <c r="L483" i="1"/>
  <c r="H483" i="1"/>
  <c r="N483" i="1" s="1"/>
  <c r="L482" i="1"/>
  <c r="H482" i="1"/>
  <c r="N482" i="1" s="1"/>
  <c r="L481" i="1"/>
  <c r="H481" i="1"/>
  <c r="N481" i="1" s="1"/>
  <c r="I44" i="20" l="1"/>
  <c r="J44" i="20"/>
  <c r="K44" i="20"/>
  <c r="H44" i="20"/>
  <c r="N500" i="1"/>
  <c r="N577" i="1"/>
  <c r="N578" i="1"/>
  <c r="N503" i="1"/>
  <c r="G4" i="22"/>
  <c r="G5" i="22"/>
  <c r="J15" i="29"/>
  <c r="N542" i="1"/>
  <c r="J14" i="29"/>
  <c r="N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M479" i="1"/>
  <c r="M478" i="1"/>
  <c r="L480" i="1"/>
  <c r="H480" i="1"/>
  <c r="N480" i="1" s="1"/>
  <c r="L479" i="1"/>
  <c r="H479" i="1"/>
  <c r="N479" i="1" s="1"/>
  <c r="L478" i="1"/>
  <c r="H478" i="1"/>
  <c r="N478" i="1" s="1"/>
  <c r="L475" i="1" l="1"/>
  <c r="H475" i="1"/>
  <c r="N475" i="1" s="1"/>
  <c r="M474" i="1"/>
  <c r="M471" i="1"/>
  <c r="L474" i="1"/>
  <c r="H474" i="1"/>
  <c r="N474" i="1" s="1"/>
  <c r="L473" i="1"/>
  <c r="H473" i="1"/>
  <c r="N473" i="1" s="1"/>
  <c r="M472" i="1"/>
  <c r="L472" i="1"/>
  <c r="H472" i="1"/>
  <c r="N472" i="1" s="1"/>
  <c r="L471" i="1"/>
  <c r="H471" i="1"/>
  <c r="N471" i="1" s="1"/>
  <c r="H13" i="25"/>
  <c r="H33" i="25" s="1"/>
  <c r="H14" i="25"/>
  <c r="H34" i="25" s="1"/>
  <c r="L470" i="1"/>
  <c r="H470" i="1"/>
  <c r="N470" i="1" s="1"/>
  <c r="M468" i="1"/>
  <c r="L468" i="1"/>
  <c r="H468" i="1"/>
  <c r="N468" i="1" s="1"/>
  <c r="M467" i="1"/>
  <c r="L467" i="1"/>
  <c r="H467" i="1"/>
  <c r="N467" i="1" s="1"/>
  <c r="J6" i="23"/>
  <c r="J5" i="23"/>
  <c r="J12" i="30"/>
  <c r="J29" i="20"/>
  <c r="J24" i="20"/>
  <c r="J20" i="20"/>
  <c r="J13" i="20"/>
  <c r="M466" i="1"/>
  <c r="L466" i="1"/>
  <c r="H466" i="1"/>
  <c r="N466" i="1" s="1"/>
  <c r="M465" i="1"/>
  <c r="L465" i="1"/>
  <c r="H465" i="1"/>
  <c r="N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M463" i="1"/>
  <c r="L463" i="1"/>
  <c r="H463" i="1"/>
  <c r="N463" i="1" s="1"/>
  <c r="L462" i="1"/>
  <c r="H462" i="1"/>
  <c r="N462" i="1" s="1"/>
  <c r="M461" i="1"/>
  <c r="L461" i="1"/>
  <c r="H461" i="1"/>
  <c r="N461" i="1" s="1"/>
  <c r="M460" i="1"/>
  <c r="L460" i="1"/>
  <c r="H460" i="1"/>
  <c r="N460" i="1" s="1"/>
  <c r="M459" i="1"/>
  <c r="L459" i="1"/>
  <c r="H459" i="1"/>
  <c r="N459" i="1" s="1"/>
  <c r="M458" i="1"/>
  <c r="L458" i="1"/>
  <c r="H458" i="1"/>
  <c r="N458" i="1" s="1"/>
  <c r="H456" i="1"/>
  <c r="N456" i="1" s="1"/>
  <c r="M457" i="1"/>
  <c r="L457" i="1"/>
  <c r="H457" i="1"/>
  <c r="N457" i="1" s="1"/>
  <c r="M456" i="1"/>
  <c r="L456" i="1"/>
  <c r="M455" i="1"/>
  <c r="L455" i="1"/>
  <c r="H455" i="1"/>
  <c r="N455" i="1" s="1"/>
  <c r="M453" i="1"/>
  <c r="L453" i="1"/>
  <c r="H453" i="1"/>
  <c r="N453" i="1" s="1"/>
  <c r="M452" i="1"/>
  <c r="L452" i="1"/>
  <c r="H452" i="1"/>
  <c r="N452" i="1" s="1"/>
  <c r="M451" i="1"/>
  <c r="L451" i="1"/>
  <c r="H451" i="1"/>
  <c r="N451" i="1" s="1"/>
  <c r="M450" i="1"/>
  <c r="L450" i="1"/>
  <c r="H450" i="1"/>
  <c r="M449" i="1"/>
  <c r="L449" i="1"/>
  <c r="H449" i="1"/>
  <c r="N449" i="1" s="1"/>
  <c r="M448" i="1"/>
  <c r="L448" i="1"/>
  <c r="H448" i="1"/>
  <c r="N448" i="1" s="1"/>
  <c r="M447" i="1"/>
  <c r="L447" i="1"/>
  <c r="H447" i="1"/>
  <c r="N447" i="1" s="1"/>
  <c r="H446" i="1"/>
  <c r="N446" i="1" s="1"/>
  <c r="M446" i="1"/>
  <c r="L446" i="1"/>
  <c r="M445" i="1"/>
  <c r="L445" i="1"/>
  <c r="H445" i="1"/>
  <c r="N445" i="1" s="1"/>
  <c r="M444" i="1"/>
  <c r="L444" i="1"/>
  <c r="H444" i="1"/>
  <c r="M442" i="1"/>
  <c r="L442" i="1"/>
  <c r="H442" i="1"/>
  <c r="N442" i="1" s="1"/>
  <c r="M439" i="1"/>
  <c r="L439" i="1"/>
  <c r="H439" i="1"/>
  <c r="N439" i="1" s="1"/>
  <c r="M438" i="1"/>
  <c r="L438" i="1"/>
  <c r="F43" i="19" s="1"/>
  <c r="D43" i="20" s="1"/>
  <c r="H438" i="1"/>
  <c r="N438" i="1" s="1"/>
  <c r="M437" i="1"/>
  <c r="L437" i="1"/>
  <c r="H437" i="1"/>
  <c r="N437" i="1" s="1"/>
  <c r="M436" i="1"/>
  <c r="L436" i="1"/>
  <c r="H436" i="1"/>
  <c r="N436" i="1" s="1"/>
  <c r="N450" i="1" l="1"/>
  <c r="N444" i="1"/>
  <c r="E43" i="19"/>
  <c r="C43" i="20" s="1"/>
  <c r="D43" i="19"/>
  <c r="B43" i="20" s="1"/>
  <c r="L434" i="1"/>
  <c r="H434" i="1"/>
  <c r="N434" i="1" s="1"/>
  <c r="F5" i="22"/>
  <c r="E5" i="22"/>
  <c r="D5" i="22"/>
  <c r="F4" i="22"/>
  <c r="E4" i="22"/>
  <c r="D4" i="22"/>
  <c r="J33" i="20" l="1"/>
  <c r="M433" i="1"/>
  <c r="L433" i="1"/>
  <c r="H433" i="1"/>
  <c r="N433" i="1" s="1"/>
  <c r="L432" i="1"/>
  <c r="H432" i="1"/>
  <c r="N432" i="1" s="1"/>
  <c r="L431" i="1" l="1"/>
  <c r="H431" i="1"/>
  <c r="N431" i="1" l="1"/>
  <c r="M429" i="1"/>
  <c r="L429" i="1"/>
  <c r="H429" i="1"/>
  <c r="N429" i="1" s="1"/>
  <c r="M428" i="1"/>
  <c r="L428" i="1"/>
  <c r="H428" i="1"/>
  <c r="N428" i="1" s="1"/>
  <c r="H12" i="25"/>
  <c r="H32" i="25" s="1"/>
  <c r="A3" i="21"/>
  <c r="C2" i="21"/>
  <c r="I2" i="21" s="1"/>
  <c r="H427" i="1"/>
  <c r="AD3" i="21"/>
  <c r="AD4" i="21"/>
  <c r="M427" i="1"/>
  <c r="L427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7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M426" i="1"/>
  <c r="L426" i="1"/>
  <c r="H426" i="1"/>
  <c r="N426" i="1" s="1"/>
  <c r="M422" i="1"/>
  <c r="L422" i="1"/>
  <c r="H422" i="1"/>
  <c r="N422" i="1" s="1"/>
  <c r="M421" i="1"/>
  <c r="L421" i="1"/>
  <c r="H421" i="1"/>
  <c r="N421" i="1" s="1"/>
  <c r="M392" i="1"/>
  <c r="L392" i="1"/>
  <c r="H392" i="1"/>
  <c r="N392" i="1" s="1"/>
  <c r="M391" i="1"/>
  <c r="L391" i="1"/>
  <c r="H391" i="1"/>
  <c r="N391" i="1" s="1"/>
  <c r="M390" i="1"/>
  <c r="L390" i="1"/>
  <c r="H390" i="1"/>
  <c r="N390" i="1" s="1"/>
  <c r="M389" i="1"/>
  <c r="L389" i="1"/>
  <c r="H389" i="1"/>
  <c r="N389" i="1" s="1"/>
  <c r="M388" i="1"/>
  <c r="L388" i="1"/>
  <c r="H388" i="1"/>
  <c r="N388" i="1" s="1"/>
  <c r="M385" i="1"/>
  <c r="L385" i="1"/>
  <c r="H385" i="1"/>
  <c r="N385" i="1" s="1"/>
  <c r="M384" i="1"/>
  <c r="L384" i="1"/>
  <c r="H384" i="1"/>
  <c r="N384" i="1" s="1"/>
  <c r="M383" i="1"/>
  <c r="L383" i="1"/>
  <c r="H383" i="1"/>
  <c r="N383" i="1" s="1"/>
  <c r="M382" i="1"/>
  <c r="L382" i="1"/>
  <c r="H382" i="1"/>
  <c r="N382" i="1" s="1"/>
  <c r="M413" i="1"/>
  <c r="L413" i="1"/>
  <c r="H413" i="1"/>
  <c r="N413" i="1" s="1"/>
  <c r="M409" i="1"/>
  <c r="L409" i="1"/>
  <c r="H409" i="1"/>
  <c r="N409" i="1" s="1"/>
  <c r="M396" i="1"/>
  <c r="L396" i="1"/>
  <c r="H396" i="1"/>
  <c r="N396" i="1" s="1"/>
  <c r="M395" i="1"/>
  <c r="L395" i="1"/>
  <c r="H395" i="1"/>
  <c r="N395" i="1" s="1"/>
  <c r="M394" i="1"/>
  <c r="L394" i="1"/>
  <c r="H394" i="1"/>
  <c r="N394" i="1" s="1"/>
  <c r="M400" i="1"/>
  <c r="L400" i="1"/>
  <c r="H400" i="1"/>
  <c r="N400" i="1" s="1"/>
  <c r="M402" i="1"/>
  <c r="L402" i="1"/>
  <c r="H402" i="1"/>
  <c r="N402" i="1" s="1"/>
  <c r="M406" i="1"/>
  <c r="L406" i="1"/>
  <c r="H406" i="1"/>
  <c r="N406" i="1" s="1"/>
  <c r="H403" i="1"/>
  <c r="N403" i="1" s="1"/>
  <c r="L403" i="1"/>
  <c r="L404" i="1"/>
  <c r="N404" i="1"/>
  <c r="M378" i="1"/>
  <c r="L378" i="1"/>
  <c r="H378" i="1"/>
  <c r="M425" i="1"/>
  <c r="L425" i="1"/>
  <c r="H425" i="1"/>
  <c r="N425" i="1" s="1"/>
  <c r="M424" i="1"/>
  <c r="L424" i="1"/>
  <c r="H424" i="1"/>
  <c r="N424" i="1" s="1"/>
  <c r="M423" i="1"/>
  <c r="L423" i="1"/>
  <c r="H423" i="1"/>
  <c r="N423" i="1" s="1"/>
  <c r="H420" i="1"/>
  <c r="N420" i="1" s="1"/>
  <c r="M420" i="1"/>
  <c r="L420" i="1"/>
  <c r="M418" i="1"/>
  <c r="L418" i="1"/>
  <c r="H418" i="1"/>
  <c r="N418" i="1" s="1"/>
  <c r="M417" i="1"/>
  <c r="L417" i="1"/>
  <c r="H417" i="1"/>
  <c r="M416" i="1"/>
  <c r="L416" i="1"/>
  <c r="H416" i="1"/>
  <c r="N416" i="1" s="1"/>
  <c r="M415" i="1"/>
  <c r="L415" i="1"/>
  <c r="H415" i="1"/>
  <c r="N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M414" i="1"/>
  <c r="L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M412" i="1"/>
  <c r="L412" i="1"/>
  <c r="H412" i="1"/>
  <c r="N412" i="1" s="1"/>
  <c r="M410" i="1"/>
  <c r="L410" i="1"/>
  <c r="H410" i="1"/>
  <c r="N410" i="1" s="1"/>
  <c r="M408" i="1"/>
  <c r="L408" i="1"/>
  <c r="H408" i="1"/>
  <c r="N408" i="1" s="1"/>
  <c r="M407" i="1"/>
  <c r="L407" i="1"/>
  <c r="H407" i="1"/>
  <c r="N407" i="1" s="1"/>
  <c r="M405" i="1"/>
  <c r="L405" i="1"/>
  <c r="H405" i="1"/>
  <c r="N405" i="1" s="1"/>
  <c r="M401" i="1"/>
  <c r="L401" i="1"/>
  <c r="H401" i="1"/>
  <c r="N401" i="1" s="1"/>
  <c r="M399" i="1"/>
  <c r="L399" i="1"/>
  <c r="H399" i="1"/>
  <c r="N399" i="1" s="1"/>
  <c r="M398" i="1"/>
  <c r="L398" i="1"/>
  <c r="H398" i="1"/>
  <c r="N398" i="1" s="1"/>
  <c r="M393" i="1"/>
  <c r="L393" i="1"/>
  <c r="H393" i="1"/>
  <c r="H387" i="1"/>
  <c r="M387" i="1"/>
  <c r="L387" i="1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G6" i="6" s="1"/>
  <c r="M386" i="1"/>
  <c r="L386" i="1"/>
  <c r="H386" i="1"/>
  <c r="M381" i="1"/>
  <c r="L381" i="1"/>
  <c r="H381" i="1"/>
  <c r="N381" i="1" s="1"/>
  <c r="M380" i="1"/>
  <c r="L380" i="1"/>
  <c r="H380" i="1"/>
  <c r="N380" i="1" s="1"/>
  <c r="M379" i="1"/>
  <c r="L379" i="1"/>
  <c r="H379" i="1"/>
  <c r="N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N376" i="1" s="1"/>
  <c r="H377" i="1"/>
  <c r="N377" i="1" s="1"/>
  <c r="L377" i="1"/>
  <c r="M376" i="1"/>
  <c r="L376" i="1"/>
  <c r="H397" i="1"/>
  <c r="N397" i="1" s="1"/>
  <c r="L397" i="1"/>
  <c r="H411" i="1"/>
  <c r="N411" i="1" s="1"/>
  <c r="L411" i="1"/>
  <c r="H419" i="1"/>
  <c r="N419" i="1" s="1"/>
  <c r="L419" i="1"/>
  <c r="H430" i="1"/>
  <c r="N430" i="1" s="1"/>
  <c r="L430" i="1"/>
  <c r="H443" i="1"/>
  <c r="N443" i="1" s="1"/>
  <c r="L443" i="1"/>
  <c r="H454" i="1"/>
  <c r="N454" i="1" s="1"/>
  <c r="L454" i="1"/>
  <c r="H464" i="1"/>
  <c r="N464" i="1" s="1"/>
  <c r="L464" i="1"/>
  <c r="H477" i="1"/>
  <c r="N477" i="1" s="1"/>
  <c r="L477" i="1"/>
  <c r="H496" i="1"/>
  <c r="N496" i="1" s="1"/>
  <c r="L496" i="1"/>
  <c r="L968" i="1"/>
  <c r="L969" i="1"/>
  <c r="L970" i="1"/>
  <c r="L971" i="1"/>
  <c r="L972" i="1"/>
  <c r="L973" i="1"/>
  <c r="L988" i="1"/>
  <c r="L985" i="1"/>
  <c r="L974" i="1"/>
  <c r="L967" i="1"/>
  <c r="L966" i="1"/>
  <c r="L965" i="1"/>
  <c r="L964" i="1"/>
  <c r="L963" i="1"/>
  <c r="L962" i="1"/>
  <c r="L961" i="1"/>
  <c r="L960" i="1"/>
  <c r="L959" i="1"/>
  <c r="L958" i="1"/>
  <c r="H17" i="27" s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J15" i="27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J37" i="19" s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J31" i="19" s="1"/>
  <c r="L333" i="1"/>
  <c r="L332" i="1"/>
  <c r="L331" i="1"/>
  <c r="L330" i="1"/>
  <c r="L329" i="1"/>
  <c r="L328" i="1"/>
  <c r="L327" i="1"/>
  <c r="L326" i="1"/>
  <c r="L325" i="1"/>
  <c r="L324" i="1"/>
  <c r="L323" i="1"/>
  <c r="J42" i="19" s="1"/>
  <c r="L322" i="1"/>
  <c r="L321" i="1"/>
  <c r="L320" i="1"/>
  <c r="F28" i="19" s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I6" i="20" s="1"/>
  <c r="L305" i="1"/>
  <c r="L304" i="1"/>
  <c r="L303" i="1"/>
  <c r="L302" i="1"/>
  <c r="L301" i="1"/>
  <c r="L300" i="1"/>
  <c r="L299" i="1"/>
  <c r="L298" i="1"/>
  <c r="L297" i="1"/>
  <c r="J5" i="19" s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J3" i="17" s="1"/>
  <c r="L251" i="1"/>
  <c r="L250" i="1"/>
  <c r="L249" i="1"/>
  <c r="L248" i="1"/>
  <c r="L247" i="1"/>
  <c r="J4" i="15" s="1"/>
  <c r="L246" i="1"/>
  <c r="J3" i="15" s="1"/>
  <c r="L245" i="1"/>
  <c r="L244" i="1"/>
  <c r="L243" i="1"/>
  <c r="L242" i="1"/>
  <c r="L241" i="1"/>
  <c r="L240" i="1"/>
  <c r="L239" i="1"/>
  <c r="L238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973" i="1"/>
  <c r="N973" i="1" s="1"/>
  <c r="H972" i="1"/>
  <c r="N972" i="1" s="1"/>
  <c r="H971" i="1"/>
  <c r="N971" i="1" s="1"/>
  <c r="H970" i="1"/>
  <c r="N970" i="1" s="1"/>
  <c r="H969" i="1"/>
  <c r="N969" i="1" s="1"/>
  <c r="H968" i="1"/>
  <c r="N968" i="1" s="1"/>
  <c r="H967" i="1"/>
  <c r="N967" i="1" s="1"/>
  <c r="H965" i="1"/>
  <c r="N965" i="1" s="1"/>
  <c r="H964" i="1"/>
  <c r="N964" i="1" s="1"/>
  <c r="H963" i="1"/>
  <c r="N963" i="1" s="1"/>
  <c r="H962" i="1"/>
  <c r="N962" i="1" s="1"/>
  <c r="H961" i="1"/>
  <c r="N961" i="1" s="1"/>
  <c r="H960" i="1"/>
  <c r="N960" i="1" s="1"/>
  <c r="H959" i="1"/>
  <c r="N959" i="1" s="1"/>
  <c r="H958" i="1"/>
  <c r="N958" i="1" s="1"/>
  <c r="H957" i="1"/>
  <c r="N957" i="1" s="1"/>
  <c r="H956" i="1"/>
  <c r="N956" i="1" s="1"/>
  <c r="H955" i="1"/>
  <c r="N955" i="1" s="1"/>
  <c r="H954" i="1"/>
  <c r="N954" i="1" s="1"/>
  <c r="H953" i="1"/>
  <c r="N953" i="1" s="1"/>
  <c r="H952" i="1"/>
  <c r="N952" i="1" s="1"/>
  <c r="H966" i="1"/>
  <c r="N966" i="1" s="1"/>
  <c r="H938" i="1"/>
  <c r="N938" i="1" s="1"/>
  <c r="H937" i="1"/>
  <c r="N937" i="1" s="1"/>
  <c r="H936" i="1"/>
  <c r="N936" i="1" s="1"/>
  <c r="H935" i="1"/>
  <c r="N935" i="1" s="1"/>
  <c r="H934" i="1"/>
  <c r="N934" i="1" s="1"/>
  <c r="H933" i="1"/>
  <c r="N933" i="1" s="1"/>
  <c r="H932" i="1"/>
  <c r="N932" i="1" s="1"/>
  <c r="H931" i="1"/>
  <c r="N931" i="1" s="1"/>
  <c r="H930" i="1"/>
  <c r="N930" i="1" s="1"/>
  <c r="H929" i="1"/>
  <c r="N929" i="1" s="1"/>
  <c r="H928" i="1"/>
  <c r="N928" i="1" s="1"/>
  <c r="H927" i="1"/>
  <c r="N927" i="1" s="1"/>
  <c r="H950" i="1"/>
  <c r="N950" i="1" s="1"/>
  <c r="H949" i="1"/>
  <c r="N949" i="1" s="1"/>
  <c r="H948" i="1"/>
  <c r="N948" i="1" s="1"/>
  <c r="H947" i="1"/>
  <c r="N947" i="1" s="1"/>
  <c r="H946" i="1"/>
  <c r="N946" i="1" s="1"/>
  <c r="H945" i="1"/>
  <c r="N945" i="1" s="1"/>
  <c r="H951" i="1"/>
  <c r="N951" i="1" s="1"/>
  <c r="H974" i="1"/>
  <c r="N974" i="1" s="1"/>
  <c r="H985" i="1"/>
  <c r="N985" i="1" s="1"/>
  <c r="H988" i="1"/>
  <c r="N988" i="1" s="1"/>
  <c r="M291" i="1"/>
  <c r="M289" i="1"/>
  <c r="M286" i="1"/>
  <c r="M292" i="1"/>
  <c r="M288" i="1"/>
  <c r="M284" i="1"/>
  <c r="M281" i="1"/>
  <c r="M287" i="1"/>
  <c r="M283" i="1"/>
  <c r="M280" i="1"/>
  <c r="M270" i="1"/>
  <c r="M269" i="1"/>
  <c r="M278" i="1"/>
  <c r="M267" i="1"/>
  <c r="M273" i="1"/>
  <c r="H944" i="1"/>
  <c r="N944" i="1" s="1"/>
  <c r="H943" i="1"/>
  <c r="N943" i="1" s="1"/>
  <c r="H942" i="1"/>
  <c r="N942" i="1" s="1"/>
  <c r="H941" i="1"/>
  <c r="N941" i="1" s="1"/>
  <c r="H940" i="1"/>
  <c r="N940" i="1" s="1"/>
  <c r="H939" i="1"/>
  <c r="N939" i="1" s="1"/>
  <c r="H926" i="1"/>
  <c r="N926" i="1" s="1"/>
  <c r="H925" i="1"/>
  <c r="N925" i="1" s="1"/>
  <c r="H924" i="1"/>
  <c r="N924" i="1" s="1"/>
  <c r="H923" i="1"/>
  <c r="N923" i="1" s="1"/>
  <c r="H922" i="1"/>
  <c r="N922" i="1" s="1"/>
  <c r="H921" i="1"/>
  <c r="N921" i="1" s="1"/>
  <c r="H920" i="1"/>
  <c r="N920" i="1" s="1"/>
  <c r="H919" i="1"/>
  <c r="N919" i="1" s="1"/>
  <c r="H918" i="1"/>
  <c r="N918" i="1" s="1"/>
  <c r="H917" i="1"/>
  <c r="N917" i="1" s="1"/>
  <c r="H916" i="1"/>
  <c r="N916" i="1" s="1"/>
  <c r="H915" i="1"/>
  <c r="N915" i="1" s="1"/>
  <c r="H910" i="1"/>
  <c r="N910" i="1" s="1"/>
  <c r="H911" i="1"/>
  <c r="N911" i="1" s="1"/>
  <c r="H912" i="1"/>
  <c r="N912" i="1" s="1"/>
  <c r="H913" i="1"/>
  <c r="N913" i="1" s="1"/>
  <c r="H914" i="1"/>
  <c r="N914" i="1" s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4" i="1"/>
  <c r="N325" i="1"/>
  <c r="N327" i="1"/>
  <c r="N328" i="1"/>
  <c r="N329" i="1"/>
  <c r="N330" i="1"/>
  <c r="N331" i="1"/>
  <c r="N332" i="1"/>
  <c r="N334" i="1"/>
  <c r="N335" i="1"/>
  <c r="N336" i="1"/>
  <c r="N337" i="1"/>
  <c r="N338" i="1"/>
  <c r="N339" i="1"/>
  <c r="N340" i="1"/>
  <c r="N342" i="1"/>
  <c r="N343" i="1"/>
  <c r="N345" i="1"/>
  <c r="N346" i="1"/>
  <c r="N348" i="1"/>
  <c r="N350" i="1"/>
  <c r="N351" i="1"/>
  <c r="N352" i="1"/>
  <c r="N354" i="1"/>
  <c r="N355" i="1"/>
  <c r="H375" i="1"/>
  <c r="N375" i="1" s="1"/>
  <c r="H374" i="1"/>
  <c r="N374" i="1" s="1"/>
  <c r="H373" i="1"/>
  <c r="N373" i="1" s="1"/>
  <c r="H372" i="1"/>
  <c r="N372" i="1" s="1"/>
  <c r="H371" i="1"/>
  <c r="N371" i="1" s="1"/>
  <c r="H370" i="1"/>
  <c r="N370" i="1" s="1"/>
  <c r="H369" i="1"/>
  <c r="H368" i="1"/>
  <c r="N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N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N366" i="1" s="1"/>
  <c r="H365" i="1"/>
  <c r="N365" i="1" s="1"/>
  <c r="H364" i="1"/>
  <c r="N364" i="1" s="1"/>
  <c r="H363" i="1"/>
  <c r="N363" i="1" s="1"/>
  <c r="B35" i="29"/>
  <c r="H908" i="1"/>
  <c r="N908" i="1" s="1"/>
  <c r="H909" i="1"/>
  <c r="N909" i="1" s="1"/>
  <c r="H362" i="1"/>
  <c r="H361" i="1"/>
  <c r="N361" i="1" s="1"/>
  <c r="L1" i="18"/>
  <c r="L1" i="12"/>
  <c r="C23" i="6"/>
  <c r="M230" i="1"/>
  <c r="H230" i="1"/>
  <c r="N230" i="1" s="1"/>
  <c r="H112" i="1"/>
  <c r="N112" i="1" s="1"/>
  <c r="H42" i="1"/>
  <c r="N42" i="1" s="1"/>
  <c r="F14" i="12"/>
  <c r="H76" i="1"/>
  <c r="H222" i="1"/>
  <c r="N222" i="1" s="1"/>
  <c r="H32" i="1"/>
  <c r="N32" i="1" s="1"/>
  <c r="C14" i="14"/>
  <c r="H273" i="1"/>
  <c r="N273" i="1" s="1"/>
  <c r="H272" i="1"/>
  <c r="N272" i="1" s="1"/>
  <c r="H271" i="1"/>
  <c r="N271" i="1" s="1"/>
  <c r="H357" i="21" l="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N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S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N427" i="1"/>
  <c r="L12" i="33"/>
  <c r="B12" i="33"/>
  <c r="N417" i="1"/>
  <c r="H11" i="30"/>
  <c r="H12" i="29"/>
  <c r="H11" i="25"/>
  <c r="H31" i="25" s="1"/>
  <c r="H12" i="27"/>
  <c r="M12" i="27"/>
  <c r="N393" i="1"/>
  <c r="C12" i="33"/>
  <c r="C11" i="33"/>
  <c r="M11" i="33"/>
  <c r="N11" i="33"/>
  <c r="D11" i="33"/>
  <c r="N414" i="1"/>
  <c r="M12" i="33"/>
  <c r="N387" i="1"/>
  <c r="N76" i="1"/>
  <c r="N386" i="1"/>
  <c r="I19" i="25"/>
  <c r="N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N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N304" i="1" s="1"/>
  <c r="H303" i="1"/>
  <c r="N303" i="1" s="1"/>
  <c r="H358" i="1"/>
  <c r="N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G59" i="19" l="1"/>
  <c r="O20" i="39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N356" i="1" s="1"/>
  <c r="B29" i="29" s="1"/>
  <c r="H357" i="1"/>
  <c r="N357" i="1" s="1"/>
  <c r="H359" i="1"/>
  <c r="N359" i="1" s="1"/>
  <c r="H360" i="1"/>
  <c r="H14" i="39" l="1"/>
  <c r="N10" i="33"/>
  <c r="S10" i="33" s="1"/>
  <c r="D10" i="33"/>
  <c r="M9" i="30"/>
  <c r="M10" i="29"/>
  <c r="AO10" i="29" s="1"/>
  <c r="M9" i="25"/>
  <c r="M29" i="25" s="1"/>
  <c r="N360" i="1"/>
  <c r="B30" i="29" s="1"/>
  <c r="D2" i="19"/>
  <c r="M10" i="27"/>
  <c r="H10" i="27"/>
  <c r="G25" i="19"/>
  <c r="F25" i="19"/>
  <c r="E25" i="19"/>
  <c r="D25" i="19"/>
  <c r="G16" i="19"/>
  <c r="G15" i="19"/>
  <c r="G9" i="19"/>
  <c r="M339" i="1"/>
  <c r="M498" i="1" s="1"/>
  <c r="M336" i="1"/>
  <c r="M335" i="1"/>
  <c r="M334" i="1"/>
  <c r="M328" i="1"/>
  <c r="M329" i="1"/>
  <c r="M330" i="1"/>
  <c r="M331" i="1"/>
  <c r="G36" i="19"/>
  <c r="H344" i="1"/>
  <c r="N344" i="1" s="1"/>
  <c r="H347" i="1"/>
  <c r="N347" i="1" s="1"/>
  <c r="H349" i="1"/>
  <c r="N349" i="1" s="1"/>
  <c r="H353" i="1"/>
  <c r="N353" i="1" s="1"/>
  <c r="G41" i="19"/>
  <c r="G38" i="19"/>
  <c r="G35" i="19"/>
  <c r="G34" i="19"/>
  <c r="G32" i="19"/>
  <c r="G31" i="19"/>
  <c r="G19" i="19"/>
  <c r="G23" i="19"/>
  <c r="G22" i="19"/>
  <c r="G21" i="19"/>
  <c r="H333" i="1"/>
  <c r="N333" i="1" s="1"/>
  <c r="H341" i="1"/>
  <c r="N341" i="1" s="1"/>
  <c r="G26" i="19"/>
  <c r="H321" i="1"/>
  <c r="N321" i="1" s="1"/>
  <c r="H322" i="1"/>
  <c r="N322" i="1" s="1"/>
  <c r="H323" i="1"/>
  <c r="N323" i="1" s="1"/>
  <c r="H326" i="1"/>
  <c r="N326" i="1" s="1"/>
  <c r="G40" i="19"/>
  <c r="G14" i="19"/>
  <c r="G11" i="19"/>
  <c r="G7" i="19"/>
  <c r="E7" i="20" s="1"/>
  <c r="C40" i="19"/>
  <c r="H302" i="1"/>
  <c r="N302" i="1" s="1"/>
  <c r="L1" i="20"/>
  <c r="I10" i="33" l="1"/>
  <c r="B30" i="33" s="1"/>
  <c r="M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M510" i="1"/>
  <c r="C9" i="19"/>
  <c r="C11" i="19"/>
  <c r="M485" i="1"/>
  <c r="M486" i="1"/>
  <c r="M489" i="1"/>
  <c r="M513" i="1"/>
  <c r="M534" i="1"/>
  <c r="C26" i="19"/>
  <c r="M566" i="1" s="1"/>
  <c r="C27" i="19"/>
  <c r="M562" i="1" s="1"/>
  <c r="C34" i="19"/>
  <c r="C36" i="19"/>
  <c r="M558" i="1" s="1"/>
  <c r="C38" i="19"/>
  <c r="M553" i="1" s="1"/>
  <c r="C39" i="19"/>
  <c r="H301" i="1"/>
  <c r="N301" i="1" s="1"/>
  <c r="H299" i="1"/>
  <c r="N299" i="1" s="1"/>
  <c r="G4" i="19"/>
  <c r="H298" i="1"/>
  <c r="N298" i="1" s="1"/>
  <c r="G5" i="19"/>
  <c r="H297" i="1"/>
  <c r="N297" i="1" s="1"/>
  <c r="H300" i="1"/>
  <c r="N300" i="1" s="1"/>
  <c r="H291" i="1"/>
  <c r="N291" i="1" s="1"/>
  <c r="H289" i="1"/>
  <c r="N289" i="1" s="1"/>
  <c r="N53" i="7"/>
  <c r="H286" i="1"/>
  <c r="N286" i="1" s="1"/>
  <c r="M586" i="1" l="1"/>
  <c r="M585" i="1"/>
  <c r="M560" i="1"/>
  <c r="M561" i="1"/>
  <c r="M555" i="1"/>
  <c r="M532" i="1"/>
  <c r="M527" i="1"/>
  <c r="M530" i="1"/>
  <c r="M525" i="1"/>
  <c r="M528" i="1"/>
  <c r="M522" i="1"/>
  <c r="M511" i="1"/>
  <c r="M512" i="1"/>
  <c r="D38" i="19"/>
  <c r="M480" i="1"/>
  <c r="M481" i="1"/>
  <c r="M483" i="1"/>
  <c r="M482" i="1"/>
  <c r="M434" i="1"/>
  <c r="M431" i="1"/>
  <c r="M432" i="1"/>
  <c r="R9" i="27"/>
  <c r="A5" i="21"/>
  <c r="M374" i="1"/>
  <c r="M375" i="1"/>
  <c r="M372" i="1"/>
  <c r="M373" i="1"/>
  <c r="M370" i="1"/>
  <c r="M371" i="1"/>
  <c r="M369" i="1"/>
  <c r="M367" i="1"/>
  <c r="M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M366" i="1"/>
  <c r="M363" i="1"/>
  <c r="M364" i="1"/>
  <c r="M362" i="1"/>
  <c r="M361" i="1"/>
  <c r="G10" i="19"/>
  <c r="D10" i="19"/>
  <c r="H18" i="19"/>
  <c r="D18" i="19"/>
  <c r="M360" i="1"/>
  <c r="G3" i="19"/>
  <c r="A6" i="21" l="1"/>
  <c r="H292" i="1"/>
  <c r="N292" i="1" s="1"/>
  <c r="H288" i="1"/>
  <c r="N288" i="1" s="1"/>
  <c r="H284" i="1"/>
  <c r="N284" i="1" s="1"/>
  <c r="H281" i="1"/>
  <c r="N281" i="1" s="1"/>
  <c r="H294" i="1"/>
  <c r="N294" i="1" s="1"/>
  <c r="H296" i="1"/>
  <c r="N296" i="1" s="1"/>
  <c r="H290" i="1"/>
  <c r="N290" i="1" s="1"/>
  <c r="H293" i="1"/>
  <c r="N293" i="1" s="1"/>
  <c r="H295" i="1"/>
  <c r="N295" i="1" s="1"/>
  <c r="H287" i="1"/>
  <c r="N287" i="1" s="1"/>
  <c r="H283" i="1"/>
  <c r="N283" i="1" s="1"/>
  <c r="H280" i="1"/>
  <c r="N280" i="1" s="1"/>
  <c r="H277" i="1"/>
  <c r="N277" i="1" s="1"/>
  <c r="H276" i="1"/>
  <c r="N276" i="1" s="1"/>
  <c r="M274" i="1"/>
  <c r="H274" i="1"/>
  <c r="N274" i="1" s="1"/>
  <c r="H270" i="1"/>
  <c r="N270" i="1" s="1"/>
  <c r="H269" i="1"/>
  <c r="N269" i="1" s="1"/>
  <c r="H268" i="1"/>
  <c r="N268" i="1" s="1"/>
  <c r="H275" i="1"/>
  <c r="N275" i="1" s="1"/>
  <c r="H278" i="1"/>
  <c r="N278" i="1" s="1"/>
  <c r="M266" i="1"/>
  <c r="H266" i="1"/>
  <c r="N266" i="1" s="1"/>
  <c r="A7" i="21" l="1"/>
  <c r="A8" i="21"/>
  <c r="G8" i="14"/>
  <c r="E8" i="12" s="1"/>
  <c r="M264" i="1"/>
  <c r="H264" i="1"/>
  <c r="N264" i="1" s="1"/>
  <c r="M263" i="1"/>
  <c r="H263" i="1"/>
  <c r="N263" i="1" s="1"/>
  <c r="M261" i="1"/>
  <c r="M260" i="1"/>
  <c r="H267" i="1"/>
  <c r="N267" i="1" s="1"/>
  <c r="H279" i="1"/>
  <c r="N279" i="1" s="1"/>
  <c r="H282" i="1"/>
  <c r="N282" i="1" s="1"/>
  <c r="H285" i="1"/>
  <c r="N285" i="1" s="1"/>
  <c r="H262" i="1"/>
  <c r="N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M256" i="1"/>
  <c r="M255" i="1"/>
  <c r="H255" i="1"/>
  <c r="N255" i="1" s="1"/>
  <c r="H256" i="1"/>
  <c r="N256" i="1" s="1"/>
  <c r="H258" i="1"/>
  <c r="H259" i="1"/>
  <c r="N259" i="1" s="1"/>
  <c r="H260" i="1"/>
  <c r="N260" i="1" s="1"/>
  <c r="H261" i="1"/>
  <c r="N261" i="1" s="1"/>
  <c r="H265" i="1"/>
  <c r="N265" i="1" s="1"/>
  <c r="E4" i="9"/>
  <c r="G5" i="18"/>
  <c r="F3" i="18"/>
  <c r="F2" i="18"/>
  <c r="M250" i="1"/>
  <c r="M249" i="1"/>
  <c r="N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N252" i="1" s="1"/>
  <c r="H251" i="1"/>
  <c r="H250" i="1"/>
  <c r="N250" i="1" s="1"/>
  <c r="H249" i="1"/>
  <c r="N249" i="1" s="1"/>
  <c r="F3" i="16"/>
  <c r="H247" i="1"/>
  <c r="N247" i="1" s="1"/>
  <c r="H245" i="1"/>
  <c r="G6" i="16"/>
  <c r="F4" i="16"/>
  <c r="F2" i="16"/>
  <c r="L1" i="16"/>
  <c r="N251" i="1" l="1"/>
  <c r="N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M244" i="1"/>
  <c r="M243" i="1"/>
  <c r="H248" i="1"/>
  <c r="N248" i="1" s="1"/>
  <c r="H253" i="1"/>
  <c r="N253" i="1" s="1"/>
  <c r="H254" i="1"/>
  <c r="N254" i="1" s="1"/>
  <c r="H257" i="1"/>
  <c r="N257" i="1" s="1"/>
  <c r="H241" i="1"/>
  <c r="N241" i="1" s="1"/>
  <c r="H240" i="1"/>
  <c r="N240" i="1" s="1"/>
  <c r="H239" i="1"/>
  <c r="N239" i="1" s="1"/>
  <c r="M241" i="1"/>
  <c r="M240" i="1"/>
  <c r="M239" i="1"/>
  <c r="M238" i="1"/>
  <c r="M236" i="1"/>
  <c r="M235" i="1"/>
  <c r="G235" i="1" s="1"/>
  <c r="M234" i="1"/>
  <c r="G234" i="1" s="1"/>
  <c r="M233" i="1"/>
  <c r="G233" i="1" s="1"/>
  <c r="M232" i="1"/>
  <c r="G232" i="1" s="1"/>
  <c r="H231" i="1"/>
  <c r="N231" i="1" s="1"/>
  <c r="H236" i="1"/>
  <c r="M229" i="1"/>
  <c r="H229" i="1"/>
  <c r="N229" i="1" s="1"/>
  <c r="H227" i="1"/>
  <c r="N227" i="1" s="1"/>
  <c r="H225" i="1"/>
  <c r="N225" i="1" s="1"/>
  <c r="H224" i="1"/>
  <c r="N224" i="1" s="1"/>
  <c r="M221" i="1"/>
  <c r="H221" i="1"/>
  <c r="N221" i="1" s="1"/>
  <c r="H149" i="1"/>
  <c r="N149" i="1" s="1"/>
  <c r="H150" i="1"/>
  <c r="N150" i="1" s="1"/>
  <c r="H223" i="1"/>
  <c r="N223" i="1" s="1"/>
  <c r="M219" i="1"/>
  <c r="H219" i="1"/>
  <c r="N219" i="1" s="1"/>
  <c r="H218" i="1"/>
  <c r="N218" i="1" s="1"/>
  <c r="M228" i="1"/>
  <c r="H228" i="1"/>
  <c r="N228" i="1" s="1"/>
  <c r="M226" i="1"/>
  <c r="H226" i="1"/>
  <c r="N226" i="1" s="1"/>
  <c r="M225" i="1"/>
  <c r="M224" i="1"/>
  <c r="M220" i="1"/>
  <c r="H220" i="1" s="1"/>
  <c r="N220" i="1" s="1"/>
  <c r="M217" i="1"/>
  <c r="H217" i="1"/>
  <c r="N217" i="1" s="1"/>
  <c r="H243" i="1"/>
  <c r="H244" i="1"/>
  <c r="N244" i="1" s="1"/>
  <c r="H246" i="1"/>
  <c r="N246" i="1" s="1"/>
  <c r="H215" i="1"/>
  <c r="N215" i="1" s="1"/>
  <c r="G214" i="1"/>
  <c r="G213" i="1"/>
  <c r="G212" i="1"/>
  <c r="G211" i="1"/>
  <c r="G210" i="1"/>
  <c r="G209" i="1"/>
  <c r="G208" i="1"/>
  <c r="G207" i="1"/>
  <c r="G206" i="1"/>
  <c r="G205" i="1"/>
  <c r="H216" i="1"/>
  <c r="N216" i="1" s="1"/>
  <c r="M13" i="17" l="1"/>
  <c r="M15" i="17" s="1"/>
  <c r="J8" i="29"/>
  <c r="J7" i="30"/>
  <c r="J7" i="25"/>
  <c r="J27" i="25" s="1"/>
  <c r="J8" i="27"/>
  <c r="H235" i="1"/>
  <c r="N235" i="1" s="1"/>
  <c r="H234" i="1"/>
  <c r="N234" i="1" s="1"/>
  <c r="H233" i="1"/>
  <c r="N233" i="1" s="1"/>
  <c r="H232" i="1"/>
  <c r="H214" i="1"/>
  <c r="N214" i="1" s="1"/>
  <c r="H213" i="1"/>
  <c r="N213" i="1" s="1"/>
  <c r="H212" i="1"/>
  <c r="N212" i="1" s="1"/>
  <c r="H211" i="1"/>
  <c r="N211" i="1" s="1"/>
  <c r="H210" i="1"/>
  <c r="N210" i="1" s="1"/>
  <c r="H209" i="1"/>
  <c r="N209" i="1" s="1"/>
  <c r="H208" i="1"/>
  <c r="N208" i="1" s="1"/>
  <c r="H207" i="1"/>
  <c r="N207" i="1" s="1"/>
  <c r="H206" i="1"/>
  <c r="N206" i="1" s="1"/>
  <c r="H205" i="1"/>
  <c r="N205" i="1" s="1"/>
  <c r="N8" i="33"/>
  <c r="D8" i="33"/>
  <c r="M8" i="33"/>
  <c r="C8" i="33"/>
  <c r="N236" i="1"/>
  <c r="M7" i="25"/>
  <c r="M27" i="25" s="1"/>
  <c r="M7" i="30"/>
  <c r="M8" i="29"/>
  <c r="N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N203" i="1" s="1"/>
  <c r="H202" i="1"/>
  <c r="N202" i="1" s="1"/>
  <c r="H199" i="1"/>
  <c r="N199" i="1" s="1"/>
  <c r="H201" i="1"/>
  <c r="N201" i="1" s="1"/>
  <c r="H200" i="1"/>
  <c r="N200" i="1" s="1"/>
  <c r="H190" i="1"/>
  <c r="N190" i="1" s="1"/>
  <c r="G191" i="1"/>
  <c r="H189" i="1"/>
  <c r="N189" i="1" s="1"/>
  <c r="H55" i="1"/>
  <c r="N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N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N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N188" i="1" s="1"/>
  <c r="H187" i="1"/>
  <c r="N187" i="1" s="1"/>
  <c r="H186" i="1"/>
  <c r="N186" i="1" s="1"/>
  <c r="A15" i="21" l="1"/>
  <c r="H191" i="1"/>
  <c r="N191" i="1" s="1"/>
  <c r="C2" i="13"/>
  <c r="L1" i="11"/>
  <c r="H238" i="1"/>
  <c r="H237" i="1"/>
  <c r="N237" i="1" s="1"/>
  <c r="H185" i="1"/>
  <c r="N185" i="1" s="1"/>
  <c r="L8" i="33" l="1"/>
  <c r="S8" i="33" s="1"/>
  <c r="B8" i="33"/>
  <c r="N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N192" i="1" s="1"/>
  <c r="H183" i="1"/>
  <c r="N183" i="1" s="1"/>
  <c r="H182" i="1"/>
  <c r="N182" i="1" s="1"/>
  <c r="H181" i="1"/>
  <c r="N181" i="1" s="1"/>
  <c r="H180" i="1"/>
  <c r="N180" i="1" s="1"/>
  <c r="H179" i="1"/>
  <c r="N179" i="1" s="1"/>
  <c r="H178" i="1"/>
  <c r="N178" i="1" s="1"/>
  <c r="H177" i="1"/>
  <c r="N177" i="1" s="1"/>
  <c r="H176" i="1"/>
  <c r="N176" i="1" s="1"/>
  <c r="H175" i="1"/>
  <c r="N175" i="1" s="1"/>
  <c r="H184" i="1"/>
  <c r="N184" i="1" s="1"/>
  <c r="S19" i="5"/>
  <c r="S16" i="5"/>
  <c r="H173" i="1"/>
  <c r="N173" i="1" s="1"/>
  <c r="H172" i="1"/>
  <c r="N172" i="1" s="1"/>
  <c r="H171" i="1"/>
  <c r="N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N193" i="1" s="1"/>
  <c r="T21" i="5"/>
  <c r="R10" i="27" l="1"/>
  <c r="N20" i="27"/>
  <c r="O39" i="25"/>
  <c r="O19" i="25"/>
  <c r="N19" i="25"/>
  <c r="A18" i="21"/>
  <c r="H194" i="1"/>
  <c r="N194" i="1" s="1"/>
  <c r="H170" i="1"/>
  <c r="N170" i="1" s="1"/>
  <c r="H169" i="1"/>
  <c r="N169" i="1" s="1"/>
  <c r="H168" i="1"/>
  <c r="N168" i="1" s="1"/>
  <c r="H167" i="1"/>
  <c r="N167" i="1" s="1"/>
  <c r="H166" i="1"/>
  <c r="N166" i="1" s="1"/>
  <c r="H165" i="1"/>
  <c r="N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N195" i="1" s="1"/>
  <c r="F161" i="1"/>
  <c r="A20" i="21" l="1"/>
  <c r="H196" i="1"/>
  <c r="N196" i="1" s="1"/>
  <c r="H160" i="1"/>
  <c r="N160" i="1" s="1"/>
  <c r="H151" i="1"/>
  <c r="N151" i="1" s="1"/>
  <c r="H152" i="1"/>
  <c r="N152" i="1" s="1"/>
  <c r="H153" i="1"/>
  <c r="N153" i="1" s="1"/>
  <c r="H154" i="1"/>
  <c r="N154" i="1" s="1"/>
  <c r="H155" i="1"/>
  <c r="N155" i="1" s="1"/>
  <c r="H156" i="1"/>
  <c r="N156" i="1" s="1"/>
  <c r="H157" i="1"/>
  <c r="N157" i="1" s="1"/>
  <c r="H158" i="1"/>
  <c r="N158" i="1" s="1"/>
  <c r="H159" i="1"/>
  <c r="N159" i="1" s="1"/>
  <c r="H161" i="1"/>
  <c r="N161" i="1" s="1"/>
  <c r="H162" i="1"/>
  <c r="N162" i="1" s="1"/>
  <c r="H163" i="1"/>
  <c r="H91" i="1"/>
  <c r="N91" i="1" s="1"/>
  <c r="H92" i="1"/>
  <c r="N92" i="1" s="1"/>
  <c r="H103" i="1"/>
  <c r="N103" i="1" s="1"/>
  <c r="H144" i="1"/>
  <c r="N144" i="1" s="1"/>
  <c r="H145" i="1"/>
  <c r="N145" i="1" s="1"/>
  <c r="H146" i="1"/>
  <c r="N146" i="1" s="1"/>
  <c r="H147" i="1"/>
  <c r="N147" i="1" s="1"/>
  <c r="H148" i="1"/>
  <c r="N148" i="1" s="1"/>
  <c r="H143" i="1"/>
  <c r="N143" i="1" s="1"/>
  <c r="H128" i="1"/>
  <c r="N128" i="1" s="1"/>
  <c r="H136" i="1"/>
  <c r="N136" i="1" s="1"/>
  <c r="H124" i="1"/>
  <c r="N124" i="1" s="1"/>
  <c r="H126" i="1"/>
  <c r="N126" i="1" s="1"/>
  <c r="H127" i="1"/>
  <c r="N127" i="1" s="1"/>
  <c r="H129" i="1"/>
  <c r="N129" i="1" s="1"/>
  <c r="H130" i="1"/>
  <c r="N130" i="1" s="1"/>
  <c r="H131" i="1"/>
  <c r="N131" i="1" s="1"/>
  <c r="H132" i="1"/>
  <c r="N132" i="1" s="1"/>
  <c r="H133" i="1"/>
  <c r="N133" i="1" s="1"/>
  <c r="H134" i="1"/>
  <c r="N134" i="1" s="1"/>
  <c r="H135" i="1"/>
  <c r="N135" i="1" s="1"/>
  <c r="H140" i="1"/>
  <c r="N140" i="1" s="1"/>
  <c r="G20" i="12"/>
  <c r="G43" i="11"/>
  <c r="H164" i="1"/>
  <c r="N164" i="1" s="1"/>
  <c r="H174" i="1"/>
  <c r="N174" i="1" s="1"/>
  <c r="H242" i="1"/>
  <c r="N242" i="1" s="1"/>
  <c r="M137" i="1"/>
  <c r="G9" i="39" l="1"/>
  <c r="N163" i="1"/>
  <c r="M294" i="1"/>
  <c r="M296" i="1"/>
  <c r="M300" i="1"/>
  <c r="M301" i="1"/>
  <c r="A21" i="21"/>
  <c r="F15" i="9"/>
  <c r="C24" i="13"/>
  <c r="H198" i="1"/>
  <c r="N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N118" i="1" s="1"/>
  <c r="H89" i="1"/>
  <c r="N89" i="1" s="1"/>
  <c r="H139" i="1"/>
  <c r="N139" i="1" s="1"/>
  <c r="H138" i="1"/>
  <c r="N138" i="1" s="1"/>
  <c r="H117" i="1"/>
  <c r="N117" i="1" s="1"/>
  <c r="B7" i="33" l="1"/>
  <c r="L7" i="33"/>
  <c r="N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N108" i="1" s="1"/>
  <c r="H109" i="1"/>
  <c r="N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N141" i="1" s="1"/>
  <c r="H142" i="1"/>
  <c r="N142" i="1" s="1"/>
  <c r="H125" i="1"/>
  <c r="N125" i="1" s="1"/>
  <c r="H137" i="1"/>
  <c r="N137" i="1" s="1"/>
  <c r="H116" i="1"/>
  <c r="N116" i="1" s="1"/>
  <c r="H115" i="1"/>
  <c r="N115" i="1" s="1"/>
  <c r="H114" i="1"/>
  <c r="N114" i="1" s="1"/>
  <c r="H113" i="1"/>
  <c r="N113" i="1" s="1"/>
  <c r="H111" i="1"/>
  <c r="N111" i="1" s="1"/>
  <c r="H110" i="1"/>
  <c r="N110" i="1" s="1"/>
  <c r="H107" i="1"/>
  <c r="N107" i="1" s="1"/>
  <c r="H106" i="1"/>
  <c r="N106" i="1" s="1"/>
  <c r="H105" i="1"/>
  <c r="N105" i="1" s="1"/>
  <c r="H104" i="1"/>
  <c r="N104" i="1" s="1"/>
  <c r="H119" i="1"/>
  <c r="N119" i="1" s="1"/>
  <c r="H120" i="1"/>
  <c r="N120" i="1" s="1"/>
  <c r="H101" i="1"/>
  <c r="N101" i="1" s="1"/>
  <c r="H99" i="1"/>
  <c r="N99" i="1" s="1"/>
  <c r="H96" i="1"/>
  <c r="N96" i="1" s="1"/>
  <c r="H85" i="1"/>
  <c r="N85" i="1" s="1"/>
  <c r="H83" i="1"/>
  <c r="N83" i="1" s="1"/>
  <c r="H81" i="1"/>
  <c r="N81" i="1" s="1"/>
  <c r="H79" i="1"/>
  <c r="N79" i="1" s="1"/>
  <c r="H33" i="1"/>
  <c r="N33" i="1" s="1"/>
  <c r="H37" i="1"/>
  <c r="N37" i="1" s="1"/>
  <c r="H36" i="1"/>
  <c r="N36" i="1" s="1"/>
  <c r="H95" i="1"/>
  <c r="N95" i="1" s="1"/>
  <c r="H97" i="1"/>
  <c r="N97" i="1" s="1"/>
  <c r="H98" i="1"/>
  <c r="N98" i="1" s="1"/>
  <c r="H100" i="1"/>
  <c r="N100" i="1" s="1"/>
  <c r="H90" i="1"/>
  <c r="N90" i="1" s="1"/>
  <c r="H93" i="1"/>
  <c r="N93" i="1" s="1"/>
  <c r="H94" i="1"/>
  <c r="N94" i="1" s="1"/>
  <c r="H80" i="1"/>
  <c r="N80" i="1" s="1"/>
  <c r="H82" i="1"/>
  <c r="N82" i="1" s="1"/>
  <c r="H84" i="1"/>
  <c r="N84" i="1" s="1"/>
  <c r="H86" i="1"/>
  <c r="N86" i="1" s="1"/>
  <c r="H87" i="1"/>
  <c r="N87" i="1" s="1"/>
  <c r="H88" i="1"/>
  <c r="N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N68" i="1"/>
  <c r="M6" i="30"/>
  <c r="M7" i="29"/>
  <c r="M6" i="25"/>
  <c r="A24" i="21"/>
  <c r="E24" i="21" s="1"/>
  <c r="H67" i="1"/>
  <c r="N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N74" i="1" s="1"/>
  <c r="H70" i="1"/>
  <c r="N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N69" i="1" s="1"/>
  <c r="H72" i="1"/>
  <c r="N72" i="1" s="1"/>
  <c r="H73" i="1"/>
  <c r="N73" i="1" s="1"/>
  <c r="H66" i="1"/>
  <c r="N66" i="1" s="1"/>
  <c r="H64" i="1"/>
  <c r="N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N75" i="1" s="1"/>
  <c r="H65" i="1"/>
  <c r="H71" i="1"/>
  <c r="N71" i="1" s="1"/>
  <c r="N65" i="1" l="1"/>
  <c r="A28" i="21"/>
  <c r="H63" i="1"/>
  <c r="N63" i="1" s="1"/>
  <c r="H62" i="1"/>
  <c r="N62" i="1" s="1"/>
  <c r="H61" i="1"/>
  <c r="N61" i="1" s="1"/>
  <c r="H58" i="1"/>
  <c r="N58" i="1" s="1"/>
  <c r="H59" i="1"/>
  <c r="N59" i="1" s="1"/>
  <c r="H57" i="1"/>
  <c r="C26" i="6"/>
  <c r="H53" i="1"/>
  <c r="N53" i="1" s="1"/>
  <c r="H54" i="1"/>
  <c r="H52" i="1"/>
  <c r="N52" i="1" s="1"/>
  <c r="H77" i="1"/>
  <c r="N77" i="1" s="1"/>
  <c r="H78" i="1"/>
  <c r="N78" i="1" s="1"/>
  <c r="H102" i="1"/>
  <c r="N102" i="1" s="1"/>
  <c r="H60" i="1"/>
  <c r="N60" i="1" s="1"/>
  <c r="N54" i="1" l="1"/>
  <c r="N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N49" i="1" s="1"/>
  <c r="H50" i="1"/>
  <c r="N50" i="1" s="1"/>
  <c r="H51" i="1"/>
  <c r="N51" i="1" s="1"/>
  <c r="H56" i="1"/>
  <c r="N56" i="1" s="1"/>
  <c r="H45" i="1"/>
  <c r="N45" i="1" s="1"/>
  <c r="H46" i="1"/>
  <c r="N46" i="1" s="1"/>
  <c r="H47" i="1"/>
  <c r="N47" i="1" s="1"/>
  <c r="H43" i="1"/>
  <c r="N43" i="1" s="1"/>
  <c r="B2" i="4" a="1"/>
  <c r="H39" i="1"/>
  <c r="N39" i="1" s="1"/>
  <c r="H41" i="1"/>
  <c r="N41" i="1" s="1"/>
  <c r="H44" i="1"/>
  <c r="N44" i="1" s="1"/>
  <c r="D26" i="6"/>
  <c r="D23" i="6"/>
  <c r="Q851" i="1" l="1"/>
  <c r="Q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N38" i="1" s="1"/>
  <c r="H35" i="1"/>
  <c r="N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N34" i="1" s="1"/>
  <c r="H31" i="1"/>
  <c r="N31" i="1" s="1"/>
  <c r="H30" i="1"/>
  <c r="N30" i="1" s="1"/>
  <c r="K3" i="7"/>
  <c r="K2" i="7"/>
  <c r="A3" i="7"/>
  <c r="H29" i="1"/>
  <c r="N29" i="1" s="1"/>
  <c r="H28" i="1"/>
  <c r="N28" i="1" s="1"/>
  <c r="H27" i="1"/>
  <c r="N27" i="1" s="1"/>
  <c r="H24" i="1"/>
  <c r="N24" i="1" s="1"/>
  <c r="H3" i="1"/>
  <c r="N3" i="1" s="1"/>
  <c r="H4" i="1"/>
  <c r="N4" i="1" s="1"/>
  <c r="H5" i="1"/>
  <c r="N5" i="1" s="1"/>
  <c r="H6" i="1"/>
  <c r="N6" i="1" s="1"/>
  <c r="H7" i="1"/>
  <c r="N7" i="1" s="1"/>
  <c r="H8" i="1"/>
  <c r="N8" i="1" s="1"/>
  <c r="H9" i="1"/>
  <c r="N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N25" i="1" s="1"/>
  <c r="H26" i="1"/>
  <c r="H2" i="1"/>
  <c r="H40" i="1"/>
  <c r="F356" i="7" s="1"/>
  <c r="H48" i="1"/>
  <c r="N48" i="1" s="1"/>
  <c r="H121" i="1"/>
  <c r="H122" i="1"/>
  <c r="N122" i="1" s="1"/>
  <c r="H123" i="1"/>
  <c r="F43" i="4" s="1"/>
  <c r="C30" i="6"/>
  <c r="F355" i="7" l="1"/>
  <c r="F354" i="7"/>
  <c r="F350" i="7"/>
  <c r="F351" i="7"/>
  <c r="F352" i="7"/>
  <c r="F353" i="7"/>
  <c r="N21" i="1"/>
  <c r="D25" i="4"/>
  <c r="N23" i="1"/>
  <c r="D61" i="4"/>
  <c r="N20" i="1"/>
  <c r="N19" i="1"/>
  <c r="F349" i="7"/>
  <c r="F348" i="7"/>
  <c r="F347" i="7"/>
  <c r="G14" i="39"/>
  <c r="N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N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89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N121" i="1"/>
  <c r="N22" i="1"/>
  <c r="N40" i="1"/>
  <c r="H8" i="11"/>
  <c r="N10" i="1"/>
  <c r="D4" i="4"/>
  <c r="N11" i="1"/>
  <c r="H10" i="11"/>
  <c r="N12" i="1"/>
  <c r="H19" i="11"/>
  <c r="N13" i="1"/>
  <c r="H36" i="11"/>
  <c r="N14" i="1"/>
  <c r="H15" i="12"/>
  <c r="N15" i="1"/>
  <c r="H17" i="12"/>
  <c r="N16" i="1"/>
  <c r="H18" i="12"/>
  <c r="N17" i="1"/>
  <c r="H13" i="12"/>
  <c r="N18" i="1"/>
  <c r="N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N989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M38" i="21" s="1"/>
  <c r="J357" i="21"/>
  <c r="AC35" i="21" s="1"/>
  <c r="C357" i="21"/>
  <c r="M35" i="21" s="1"/>
  <c r="D357" i="21"/>
  <c r="M36" i="21" s="1"/>
  <c r="E357" i="21"/>
  <c r="M37" i="21" s="1"/>
  <c r="I356" i="21"/>
  <c r="A328" i="8"/>
  <c r="D330" i="7"/>
  <c r="H330" i="7"/>
  <c r="E330" i="7"/>
  <c r="G330" i="7"/>
  <c r="I330" i="7"/>
  <c r="A331" i="7"/>
  <c r="O38" i="21" l="1"/>
  <c r="P38" i="21"/>
  <c r="O43" i="39"/>
  <c r="AE4" i="21"/>
  <c r="Q35" i="21"/>
  <c r="P35" i="21"/>
  <c r="O35" i="21"/>
  <c r="Q36" i="21"/>
  <c r="P36" i="21"/>
  <c r="O36" i="21"/>
  <c r="O37" i="21"/>
  <c r="Q37" i="21"/>
  <c r="P37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1" i="21" l="1"/>
  <c r="Q41" i="2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O43" i="21" l="1"/>
  <c r="G330" i="8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L38" i="7" s="1"/>
  <c r="D356" i="7"/>
  <c r="I356" i="7"/>
  <c r="L40" i="7" s="1"/>
  <c r="E356" i="7"/>
  <c r="H356" i="7"/>
  <c r="L39" i="7" s="1"/>
  <c r="A357" i="7"/>
  <c r="N38" i="7" l="1"/>
  <c r="J47" i="8"/>
  <c r="O38" i="7"/>
  <c r="N40" i="7"/>
  <c r="P40" i="7"/>
  <c r="N39" i="7"/>
  <c r="P39" i="7"/>
  <c r="F354" i="8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M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M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<sst xmlns="http://schemas.openxmlformats.org/spreadsheetml/2006/main" count="6323" uniqueCount="693">
  <si>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</si>
  <si>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</si>
  <si>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</si>
  <si>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</si>
  <si>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</si>
  <si>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</si>
  <si>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</si>
  <si>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</si>
  <si>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</si>
  <si>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</si>
  <si>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</si>
  <si>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</si>
  <si>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</si>
  <si>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</si>
  <si>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</si>
  <si>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</si>
  <si>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</si>
  <si>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</si>
  <si>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</si>
  <si>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</si>
  <si>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</si>
  <si>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</si>
  <si>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</si>
  <si>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</si>
  <si>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</si>
  <si>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</si>
  <si>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</si>
  <si>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</si>
  <si>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</si>
  <si>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</si>
  <si>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</si>
  <si>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</si>
  <si>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</si>
  <si>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</si>
  <si>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</si>
  <si>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</si>
  <si>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</si>
  <si>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</si>
  <si>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</si>
  <si>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</si>
  <si>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</si>
  <si>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</si>
  <si>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</si>
  <si>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</si>
  <si>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</si>
  <si>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</si>
  <si>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</si>
  <si>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</si>
  <si>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</si>
  <si>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</si>
  <si>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</si>
  <si>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</si>
  <si>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</si>
  <si>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</si>
  <si>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</si>
  <si>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</si>
  <si>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</si>
  <si>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</si>
  <si>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</si>
  <si>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</si>
  <si>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</si>
  <si>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</si>
  <si>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</si>
  <si>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</si>
  <si>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</si>
  <si>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</si>
  <si>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</si>
  <si>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</si>
  <si>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</si>
  <si>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</si>
  <si>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</si>
  <si>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</si>
  <si>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</si>
  <si>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</si>
  <si>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</si>
  <si>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</si>
  <si>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</si>
  <si>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</si>
  <si>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</si>
  <si>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</si>
  <si>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</si>
  <si>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</si>
  <si>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</si>
  <si>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</si>
  <si>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</si>
  <si>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</si>
  <si>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</si>
  <si>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</si>
  <si>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</si>
  <si>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</si>
  <si>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</si>
  <si>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</si>
  <si>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</si>
  <si>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</si>
  <si>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</si>
  <si>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</si>
  <si>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</si>
  <si>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</si>
  <si>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</si>
  <si>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</si>
  <si>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</si>
  <si>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</si>
  <si>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</si>
  <si>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</si>
  <si>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</si>
  <si>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</si>
  <si>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</si>
  <si>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</si>
  <si>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</si>
  <si>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</si>
  <si>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</si>
  <si>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</si>
  <si>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</si>
  <si>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</si>
  <si>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</si>
  <si>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</si>
  <si>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</si>
  <si>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</si>
  <si>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</si>
  <si>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</si>
  <si>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</si>
  <si>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</si>
  <si>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</si>
  <si>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</si>
  <si>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</si>
  <si>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</si>
  <si>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</si>
  <si>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</si>
  <si>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</si>
  <si>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</si>
  <si>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</si>
  <si>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</si>
  <si>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</si>
  <si>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</si>
  <si>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</si>
  <si>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</si>
  <si>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</si>
  <si>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</si>
  <si>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</si>
  <si>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</si>
  <si>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</si>
  <si>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</si>
  <si>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</si>
  <si>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</si>
  <si>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</si>
  <si>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</si>
  <si>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</si>
  <si>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</si>
  <si>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</si>
  <si>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</si>
  <si>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</si>
  <si>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</si>
  <si>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</si>
  <si>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</si>
  <si>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</si>
  <si>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</si>
  <si>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</si>
  <si>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</si>
  <si>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</si>
  <si>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</si>
  <si>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</si>
  <si>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</si>
  <si>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</si>
  <si>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</si>
  <si>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</si>
  <si>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</si>
  <si>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</si>
  <si>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</si>
  <si>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</si>
  <si>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</si>
  <si>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</si>
  <si>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</si>
  <si>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</si>
  <si>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</si>
  <si>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</si>
  <si>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</si>
  <si>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</si>
  <si>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</si>
  <si>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</si>
  <si>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</si>
  <si>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</si>
  <si>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</si>
  <si>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</si>
  <si>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</si>
  <si>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</si>
  <si>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</si>
  <si>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</si>
  <si>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</si>
  <si>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</si>
  <si>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</si>
  <si>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</si>
  <si>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</si>
  <si>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</si>
  <si>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</si>
  <si>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</si>
  <si>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</si>
  <si>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</si>
  <si>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</si>
  <si>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</si>
  <si>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</si>
  <si>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</si>
  <si>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</si>
  <si>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</si>
  <si>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</si>
  <si>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</si>
  <si>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</si>
  <si>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</si>
  <si>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</si>
  <si>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</si>
  <si>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</si>
  <si>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</si>
  <si>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</si>
  <si>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</si>
  <si>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</si>
  <si>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</si>
  <si>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</si>
  <si>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</si>
  <si>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</si>
  <si>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</si>
  <si>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</si>
  <si>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</si>
  <si>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</si>
  <si>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</si>
  <si>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</si>
  <si>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</si>
  <si>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</si>
  <si>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</si>
  <si>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</si>
  <si>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</si>
  <si>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</si>
  <si>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</si>
  <si>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</si>
  <si>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</si>
  <si>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</si>
  <si>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</si>
  <si>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</si>
  <si>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</si>
  <si>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</si>
  <si>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</si>
  <si>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</si>
  <si>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</si>
  <si>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</si>
  <si>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</si>
  <si>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</si>
  <si>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</si>
  <si>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</si>
  <si>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</si>
  <si>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</si>
  <si>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</si>
  <si>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</si>
  <si>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</si>
  <si>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</si>
  <si>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</si>
  <si>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</si>
  <si>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</si>
  <si>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</si>
  <si>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</si>
  <si>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</si>
  <si>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</si>
  <si>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</si>
  <si>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</si>
  <si>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</si>
  <si>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</si>
  <si>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</si>
  <si>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</si>
  <si>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</si>
  <si>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</si>
  <si>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</si>
  <si>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</si>
  <si>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</si>
  <si>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</si>
  <si>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</si>
  <si>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</si>
  <si>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</si>
  <si>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</si>
  <si>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</si>
  <si>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</si>
  <si>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</si>
  <si>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</si>
  <si>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</si>
  <si>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</si>
  <si>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</si>
  <si>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</si>
  <si>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</si>
  <si>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</si>
  <si>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</si>
  <si>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</si>
  <si>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</si>
  <si>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</si>
  <si>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</si>
  <si>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</si>
  <si>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</si>
  <si>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</si>
  <si>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</si>
  <si>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</si>
  <si>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</si>
  <si>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</si>
  <si>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</si>
  <si>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</si>
  <si>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</si>
  <si>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</si>
  <si>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</si>
  <si>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</si>
  <si>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</si>
  <si>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</si>
  <si>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</si>
  <si>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</si>
  <si>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</si>
  <si>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</si>
  <si>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</si>
  <si>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</si>
  <si>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</si>
  <si>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</si>
  <si>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</si>
  <si>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</si>
  <si>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</si>
  <si>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</si>
  <si>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</si>
  <si>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</si>
  <si>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</si>
  <si>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</si>
  <si>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</si>
  <si>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</si>
  <si>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</si>
  <si>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</si>
  <si>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</si>
  <si>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</si>
  <si>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</si>
  <si>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</si>
  <si>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</si>
  <si>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</si>
  <si>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</si>
  <si>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</si>
  <si>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</si>
  <si>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</si>
  <si>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</si>
  <si>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</si>
  <si>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</si>
  <si>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</si>
  <si>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</si>
  <si>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</si>
  <si>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</si>
  <si>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</si>
  <si>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</si>
  <si>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</si>
  <si>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</si>
  <si>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</si>
  <si>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</si>
  <si>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</si>
  <si>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</si>
  <si>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</si>
  <si>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</si>
  <si>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</si>
  <si>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</si>
  <si>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</si>
  <si>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</si>
  <si>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</si>
  <si>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</si>
  <si>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</si>
  <si>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</si>
  <si>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</si>
  <si>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</si>
  <si>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</si>
  <si>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</si>
  <si>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</si>
  <si>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</si>
  <si>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</si>
  <si>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</si>
  <si>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</si>
  <si>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</si>
  <si>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</si>
  <si>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</si>
  <si>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</si>
  <si>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</si>
  <si>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</si>
  <si>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</si>
  <si>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</si>
  <si>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</si>
  <si>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</si>
  <si>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</si>
  <si>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</si>
  <si>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</si>
  <si>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</si>
  <si>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</si>
  <si>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</si>
  <si>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</si>
  <si>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</si>
  <si>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</si>
  <si>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</si>
  <si>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</si>
  <si>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</si>
  <si>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</si>
  <si>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</si>
  <si>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</si>
  <si>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</si>
  <si>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</si>
  <si>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</si>
  <si>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</si>
  <si>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</si>
  <si>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</si>
  <si>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</si>
  <si>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</si>
  <si>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</si>
  <si>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</si>
  <si>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</si>
  <si>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</si>
  <si>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</si>
  <si>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</si>
  <si>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</si>
  <si>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</si>
  <si>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</si>
  <si>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</si>
  <si>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</si>
  <si>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</si>
  <si>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</si>
  <si>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</si>
  <si>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</si>
  <si>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</si>
  <si>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</si>
  <si>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</si>
  <si>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</si>
  <si>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</si>
  <si>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</si>
  <si>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</si>
  <si>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</si>
  <si>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</si>
  <si>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</si>
  <si>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</si>
  <si>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</si>
  <si>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</si>
  <si>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</si>
  <si>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</si>
  <si>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</si>
  <si>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</si>
  <si>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</si>
  <si>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</si>
  <si>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</si>
  <si>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</si>
  <si>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</si>
  <si>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</si>
  <si>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</si>
  <si>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</si>
  <si>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</si>
  <si>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</si>
  <si>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</si>
  <si>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</si>
  <si>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</si>
  <si>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</si>
  <si>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</si>
  <si>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</si>
  <si>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</si>
  <si>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</si>
  <si>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</si>
  <si>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</si>
  <si>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</si>
  <si>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</si>
  <si>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</si>
  <si>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</si>
  <si>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</si>
  <si>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</si>
  <si>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</si>
  <si>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</si>
  <si>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</si>
  <si>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</si>
  <si>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</si>
  <si>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</si>
  <si>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</si>
  <si>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</si>
  <si>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</si>
  <si>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</si>
  <si>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</si>
  <si>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</si>
  <si>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</si>
  <si>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</si>
  <si>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</si>
  <si>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</si>
  <si>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</si>
  <si>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</si>
  <si>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</si>
  <si>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</si>
  <si>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</si>
  <si>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</si>
  <si>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</si>
  <si>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</si>
  <si>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</si>
  <si>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</si>
  <si>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</si>
  <si>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</si>
  <si>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</si>
  <si>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</si>
  <si>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</si>
  <si>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</si>
  <si>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</si>
  <si>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</si>
  <si>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</si>
  <si>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</si>
  <si>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</si>
  <si>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</si>
  <si>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</si>
  <si>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</si>
  <si>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</si>
  <si>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</si>
  <si>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</si>
  <si>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</si>
  <si>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</si>
  <si>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</si>
  <si>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</si>
  <si>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</si>
  <si>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</si>
  <si>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</si>
  <si>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</si>
  <si>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</si>
  <si>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</si>
  <si>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</si>
  <si>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</si>
  <si>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</si>
  <si>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</si>
  <si>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</si>
  <si>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</si>
  <si>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</si>
  <si>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</si>
  <si>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</si>
  <si>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</si>
  <si>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</si>
  <si>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</si>
  <si>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</si>
  <si>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</si>
  <si>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</si>
  <si>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</si>
  <si>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</si>
  <si>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</si>
  <si>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</si>
  <si>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</si>
  <si>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</si>
  <si>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</si>
  <si>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</si>
  <si>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</si>
  <si>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</si>
  <si>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</si>
  <si>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</si>
  <si>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</si>
  <si>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</si>
  <si>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</si>
  <si>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</si>
  <si>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</si>
  <si>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</si>
  <si>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</si>
  <si>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</si>
  <si>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</si>
  <si>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</si>
  <si>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</si>
  <si>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</si>
  <si>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</si>
  <si>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</si>
  <si>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</si>
  <si>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</si>
  <si>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</si>
  <si>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</si>
  <si>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</si>
  <si>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</si>
  <si>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</si>
  <si>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</si>
  <si>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</si>
  <si>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</si>
  <si>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</si>
  <si>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</si>
  <si>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</si>
  <si>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</si>
  <si>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</si>
  <si>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</si>
  <si>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</si>
  <si>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</si>
  <si>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</si>
  <si>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</si>
  <si>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</si>
  <si>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</si>
  <si>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</si>
  <si>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</si>
  <si>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</si>
  <si>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</si>
  <si>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</si>
  <si>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</si>
  <si>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</si>
  <si>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</si>
  <si>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</si>
  <si>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</si>
  <si>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</si>
  <si>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</si>
  <si>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</si>
  <si>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</si>
  <si>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</si>
  <si>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</si>
  <si>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</si>
  <si>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</si>
  <si>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</si>
  <si>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</si>
  <si>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</si>
  <si>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</si>
  <si>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</si>
  <si>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</si>
  <si>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</si>
  <si>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</si>
  <si>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</si>
  <si>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</si>
  <si>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</si>
  <si>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</si>
  <si>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</si>
  <si>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</si>
  <si>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</si>
  <si>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</si>
  <si>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</si>
  <si>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</si>
  <si>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</si>
  <si>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</si>
  <si>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</si>
  <si>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</si>
  <si>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</si>
  <si>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</si>
  <si>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</si>
  <si>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</si>
  <si>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</si>
  <si>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</si>
  <si>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</si>
  <si>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</si>
  <si>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</si>
  <si>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</si>
  <si>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</si>
  <si>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</si>
  <si>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</si>
  <si>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</si>
  <si>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</si>
  <si>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</si>
  <si>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</si>
  <si>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</si>
  <si>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</si>
  <si>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</si>
  <si>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</si>
  <si>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</si>
  <si>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</si>
  <si>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</si>
  <si>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</si>
  <si>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</si>
  <si>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</si>
  <si>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</si>
  <si>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</si>
  <si>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</si>
  <si>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</si>
  <si>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</si>
  <si>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</si>
  <si>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</si>
  <si>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</si>
  <si>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</si>
  <si>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P4.10</t>
  </si>
  <si>
    <t>subcodigo</t>
  </si>
  <si>
    <t>P1.01</t>
  </si>
  <si>
    <t>P1.02</t>
  </si>
  <si>
    <t>P1.03</t>
  </si>
  <si>
    <t>P1.04</t>
  </si>
  <si>
    <t>P1.05</t>
  </si>
  <si>
    <t>P1.06</t>
  </si>
  <si>
    <t>P2.01</t>
  </si>
  <si>
    <t>P2.02</t>
  </si>
  <si>
    <t>P2.03</t>
  </si>
  <si>
    <t>P2.04</t>
  </si>
  <si>
    <t>P2.05</t>
  </si>
  <si>
    <t>P2.06</t>
  </si>
  <si>
    <t>P2.07</t>
  </si>
  <si>
    <t>P2.08</t>
  </si>
  <si>
    <t>P3.01</t>
  </si>
  <si>
    <t>P3.02</t>
  </si>
  <si>
    <t>P3.03.01</t>
  </si>
  <si>
    <t>P3.03.02</t>
  </si>
  <si>
    <t>P3.03.03</t>
  </si>
  <si>
    <t>P3.03.04</t>
  </si>
  <si>
    <t>P3.03.05</t>
  </si>
  <si>
    <t>P3.03.06</t>
  </si>
  <si>
    <t>P3.03.07</t>
  </si>
  <si>
    <t>P3.03.08</t>
  </si>
  <si>
    <t>P3.03.09</t>
  </si>
  <si>
    <t>P3.04</t>
  </si>
  <si>
    <t>P4.11</t>
  </si>
  <si>
    <t>P4.12</t>
  </si>
  <si>
    <t>P4.01</t>
  </si>
  <si>
    <t>P4.02</t>
  </si>
  <si>
    <t>P4.03</t>
  </si>
  <si>
    <t>P4.04</t>
  </si>
  <si>
    <t>P4.05</t>
  </si>
  <si>
    <t>P4.06</t>
  </si>
  <si>
    <t>P4.07</t>
  </si>
  <si>
    <t>P4.08</t>
  </si>
  <si>
    <t>P4.09</t>
  </si>
  <si>
    <t>nom</t>
  </si>
  <si>
    <t>ETAPA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</si>
</sst>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94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8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200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96.450605565890939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0.48225302782945467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46317</c:v>
                </c:pt>
                <c:pt idx="1">
                  <c:v>46317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10886644.457299985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46317</c:v>
                </c:pt>
                <c:pt idx="1">
                  <c:v>46317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-276,277.38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+1,674,251.60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+$ 1,674,251.60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11</xdr:col>
      <xdr:colOff>120545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O989" totalsRowCount="1" headerRowDxfId="67">
  <autoFilter ref="A1:O988" xr:uid="{BA1685B0-5236-4456-BCF4-F731A73FF5C2}"/>
  <tableColumns count="15">
    <tableColumn id="1" xr3:uid="{4CF52015-B3CE-432C-8610-DADE600EA9C3}" name="Fecha" dataDxfId="66" totalsRowDxfId="65"/>
    <tableColumn id="2" xr3:uid="{3FA4B0AE-9D06-44DE-B076-3FDED3D18EF2}" name="Brigada" dataDxfId="64" totalsRowDxfId="63"/>
    <tableColumn id="11" xr3:uid="{AF909B89-4C98-4C30-B977-1DB0493946D0}" name="Sistema" dataDxfId="62" totalsRowDxfId="61"/>
    <tableColumn id="3" xr3:uid="{F5BFBB63-F01E-4EC7-BD4D-D09BB4F889A7}" name="Ducto" dataDxfId="60" totalsRowDxfId="59"/>
    <tableColumn id="4" xr3:uid="{98B77E8A-3C99-459B-A84F-9BCA22E66134}" name="Actividades" dataDxfId="58" totalsRowDxfId="57"/>
    <tableColumn id="10" xr3:uid="{076EB25C-65A8-4625-A199-B02E4B6F26E7}" name="inicio" dataDxfId="56" totalsRowDxfId="55"/>
    <tableColumn id="9" xr3:uid="{AE72225D-975E-4C2E-AE3B-40DA16331A20}" name="fin" dataDxfId="54" totalsRowDxfId="53"/>
    <tableColumn id="6" xr3:uid="{89559591-219B-4EA6-8A69-D923E65EA2C9}" name="Avance_km" totalsRowFunction="sum" dataDxfId="52" totalsRowDxfId="51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0" totalsRowDxfId="49"/>
    <tableColumn id="5" xr3:uid="{8DED0425-8C44-4CA2-BCB3-F627BAA20C3E}" name="Codigo_actividad"/>
    <tableColumn id="15" xr3:uid="{642C4801-4805-4264-85B2-963DB34DB698}" name="subcodigo" dataDxfId="48">
      <calculatedColumnFormula>+_xlfn.XLOOKUP(Tabla1[[#This Row],[Codigo_actividad]],Conceptos!A:A,Conceptos!H:H)</calculatedColumnFormula>
    </tableColumn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Row],[fin]],$Q$379:$Q$398,$U$379:$U$398),"")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X989"/>
  <sheetViews>
    <sheetView showGridLines="0" tabSelected="1" topLeftCell="A848" zoomScaleNormal="100" workbookViewId="0">
      <selection activeCell="K2" sqref="K2"/>
    </sheetView>
  </sheetViews>
  <sheetFormatPr baseColWidth="10" defaultColWidth="11.42578125" defaultRowHeight="15" outlineLevelCol="1" x14ac:dyDescent="0.25"/>
  <cols>
    <col min="1" max="1" width="24.28515625" style="363" bestFit="1" customWidth="1"/>
    <col min="2" max="2" width="10.140625" style="40" customWidth="1"/>
    <col min="3" max="3" width="13.28515625" style="156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9.7109375" customWidth="1"/>
    <col min="12" max="12" width="24.42578125" style="66" bestFit="1" customWidth="1"/>
    <col min="13" max="13" width="17.140625" style="26" customWidth="1"/>
    <col min="14" max="14" width="15.140625" style="292" customWidth="1" outlineLevel="1"/>
    <col min="15" max="15" width="15.140625" customWidth="1"/>
    <col min="16" max="16" width="7.42578125" customWidth="1"/>
    <col min="17" max="17" width="12.85546875" bestFit="1" customWidth="1"/>
    <col min="18" max="18" width="12.42578125" bestFit="1" customWidth="1"/>
    <col min="19" max="19" width="13.42578125" bestFit="1" customWidth="1"/>
    <col min="20" max="20" width="63.7109375" customWidth="1"/>
    <col min="21" max="21" width="7.42578125" bestFit="1" customWidth="1"/>
    <col min="22" max="22" width="18.140625" bestFit="1" customWidth="1"/>
    <col min="23" max="23" width="29.140625" bestFit="1" customWidth="1"/>
    <col min="24" max="25" width="7.140625" bestFit="1" customWidth="1"/>
    <col min="26" max="26" width="11.28515625" customWidth="1"/>
    <col min="27" max="27" width="20.42578125" bestFit="1" customWidth="1"/>
    <col min="28" max="28" width="20.85546875" bestFit="1" customWidth="1"/>
    <col min="29" max="29" width="20.42578125" bestFit="1" customWidth="1"/>
    <col min="30" max="30" width="31.85546875" bestFit="1" customWidth="1"/>
    <col min="31" max="31" width="31.28515625" bestFit="1" customWidth="1"/>
    <col min="32" max="32" width="25.85546875" bestFit="1" customWidth="1"/>
    <col min="33" max="33" width="25.42578125" bestFit="1" customWidth="1"/>
  </cols>
  <sheetData>
    <row r="1" spans="1:15" s="25" customFormat="1" ht="92.25" customHeight="1" x14ac:dyDescent="0.25">
      <c r="A1" s="353" t="s">
        <v>0</v>
      </c>
      <c r="B1" s="25" t="s">
        <v>1</v>
      </c>
      <c r="C1" s="154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41" t="s">
        <v>653</v>
      </c>
      <c r="L1" s="56" t="s">
        <v>10</v>
      </c>
      <c r="M1" s="35" t="s">
        <v>11</v>
      </c>
      <c r="N1" s="260" t="s">
        <v>343</v>
      </c>
      <c r="O1" s="25" t="s">
        <v>162</v>
      </c>
    </row>
    <row r="2" spans="1:15" s="1" customFormat="1" x14ac:dyDescent="0.25">
      <c r="A2" s="354">
        <v>45964</v>
      </c>
      <c r="B2" s="38" t="s">
        <v>12</v>
      </c>
      <c r="C2" s="155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24" t="str">
        <f>+_xlfn.XLOOKUP(Tabla1[[#This Row],[Codigo_actividad]],Conceptos!A:A,Conceptos!H:H)</f>
        <v>P2.06</v>
      </c>
      <c r="L2" s="57" t="str">
        <f>IF(_xlfn.XLOOKUP($J2,Catalogo!$B$7:$B$210,Catalogo!$I$7:$I$210,"",0)=0,"",_xlfn.XLOOKUP($J2,Catalogo!$B$7:$B$210,Catalogo!$I$7:$I$210,"",0))</f>
        <v>Localizacion</v>
      </c>
      <c r="M2" s="36">
        <v>31.54</v>
      </c>
      <c r="N2" s="261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5" x14ac:dyDescent="0.25">
      <c r="A3" s="354">
        <v>45965</v>
      </c>
      <c r="B3" s="38" t="s">
        <v>12</v>
      </c>
      <c r="C3" s="155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24" t="str">
        <f>+_xlfn.XLOOKUP(Tabla1[[#This Row],[Codigo_actividad]],Conceptos!A:A,Conceptos!H:H)</f>
        <v>P2.06</v>
      </c>
      <c r="L3" s="57" t="str">
        <f>IF(_xlfn.XLOOKUP($J3,Catalogo!$B$7:$B$210,Catalogo!$I$7:$I$210,"",0)=0,"",_xlfn.XLOOKUP($J3,Catalogo!$B$7:$B$210,Catalogo!$I$7:$I$210,"",0))</f>
        <v>Localizacion</v>
      </c>
      <c r="M3" s="36">
        <v>31.54</v>
      </c>
      <c r="N3" s="261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5" x14ac:dyDescent="0.25">
      <c r="A4" s="354">
        <v>45966</v>
      </c>
      <c r="B4" s="38" t="s">
        <v>12</v>
      </c>
      <c r="C4" s="155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24" t="str">
        <f>+_xlfn.XLOOKUP(Tabla1[[#This Row],[Codigo_actividad]],Conceptos!A:A,Conceptos!H:H)</f>
        <v>P2.06</v>
      </c>
      <c r="L4" s="57" t="str">
        <f>IF(_xlfn.XLOOKUP($J4,Catalogo!$B$7:$B$210,Catalogo!$I$7:$I$210,"",0)=0,"",_xlfn.XLOOKUP($J4,Catalogo!$B$7:$B$210,Catalogo!$I$7:$I$210,"",0))</f>
        <v>Localizacion</v>
      </c>
      <c r="M4" s="36">
        <v>31.54</v>
      </c>
      <c r="N4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5" x14ac:dyDescent="0.25">
      <c r="A5" s="354">
        <v>45967</v>
      </c>
      <c r="B5" s="38" t="s">
        <v>12</v>
      </c>
      <c r="C5" s="155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24" t="str">
        <f>+_xlfn.XLOOKUP(Tabla1[[#This Row],[Codigo_actividad]],Conceptos!A:A,Conceptos!H:H)</f>
        <v>P2.06</v>
      </c>
      <c r="L5" s="57" t="str">
        <f>IF(_xlfn.XLOOKUP($J5,Catalogo!$B$7:$B$210,Catalogo!$I$7:$I$210,"",0)=0,"",_xlfn.XLOOKUP($J5,Catalogo!$B$7:$B$210,Catalogo!$I$7:$I$210,"",0))</f>
        <v>Localizacion</v>
      </c>
      <c r="M5" s="36">
        <v>31.54</v>
      </c>
      <c r="N5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5" x14ac:dyDescent="0.25">
      <c r="A6" s="354">
        <v>45968</v>
      </c>
      <c r="B6" s="38" t="s">
        <v>12</v>
      </c>
      <c r="C6" s="155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24" t="str">
        <f>+_xlfn.XLOOKUP(Tabla1[[#This Row],[Codigo_actividad]],Conceptos!A:A,Conceptos!H:H)</f>
        <v>P2.06</v>
      </c>
      <c r="L6" s="57" t="str">
        <f>IF(_xlfn.XLOOKUP($J6,Catalogo!$B$7:$B$210,Catalogo!$I$7:$I$210,"",0)=0,"",_xlfn.XLOOKUP($J6,Catalogo!$B$7:$B$210,Catalogo!$I$7:$I$210,"",0))</f>
        <v>Localizacion</v>
      </c>
      <c r="M6" s="36">
        <v>31.54</v>
      </c>
      <c r="N6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5" x14ac:dyDescent="0.25">
      <c r="A7" s="354">
        <v>45969</v>
      </c>
      <c r="B7" s="38" t="s">
        <v>12</v>
      </c>
      <c r="C7" s="155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24" t="str">
        <f>+_xlfn.XLOOKUP(Tabla1[[#This Row],[Codigo_actividad]],Conceptos!A:A,Conceptos!H:H)</f>
        <v>P2.06</v>
      </c>
      <c r="L7" s="57" t="str">
        <f>IF(_xlfn.XLOOKUP($J7,Catalogo!$B$7:$B$210,Catalogo!$I$7:$I$210,"",0)=0,"",_xlfn.XLOOKUP($J7,Catalogo!$B$7:$B$210,Catalogo!$I$7:$I$210,"",0))</f>
        <v>Localizacion</v>
      </c>
      <c r="M7" s="36">
        <v>31.54</v>
      </c>
      <c r="N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5" x14ac:dyDescent="0.25">
      <c r="A8" s="354">
        <v>45971</v>
      </c>
      <c r="B8" s="38" t="s">
        <v>12</v>
      </c>
      <c r="C8" s="155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24" t="str">
        <f>+_xlfn.XLOOKUP(Tabla1[[#This Row],[Codigo_actividad]],Conceptos!A:A,Conceptos!H:H)</f>
        <v>P2.06</v>
      </c>
      <c r="L8" s="57" t="str">
        <f>IF(_xlfn.XLOOKUP($J8,Catalogo!$B$7:$B$210,Catalogo!$I$7:$I$210,"",0)=0,"",_xlfn.XLOOKUP($J8,Catalogo!$B$7:$B$210,Catalogo!$I$7:$I$210,"",0))</f>
        <v>Localizacion</v>
      </c>
      <c r="M8" s="36">
        <v>31.54</v>
      </c>
      <c r="N8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5" x14ac:dyDescent="0.25">
      <c r="A9" s="354">
        <v>45972</v>
      </c>
      <c r="B9" s="38" t="s">
        <v>12</v>
      </c>
      <c r="C9" s="155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24" t="str">
        <f>+_xlfn.XLOOKUP(Tabla1[[#This Row],[Codigo_actividad]],Conceptos!A:A,Conceptos!H:H)</f>
        <v>P2.06</v>
      </c>
      <c r="L9" s="57" t="str">
        <f>IF(_xlfn.XLOOKUP($J9,Catalogo!$B$7:$B$210,Catalogo!$I$7:$I$210,"",0)=0,"",_xlfn.XLOOKUP($J9,Catalogo!$B$7:$B$210,Catalogo!$I$7:$I$210,"",0))</f>
        <v>Localizacion</v>
      </c>
      <c r="M9" s="36">
        <v>31.54</v>
      </c>
      <c r="N9" s="261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5" x14ac:dyDescent="0.25">
      <c r="A10" s="354">
        <v>45973</v>
      </c>
      <c r="B10" s="38" t="s">
        <v>12</v>
      </c>
      <c r="C10" s="155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24" t="str">
        <f>+_xlfn.XLOOKUP(Tabla1[[#This Row],[Codigo_actividad]],Conceptos!A:A,Conceptos!H:H)</f>
        <v>P2.06</v>
      </c>
      <c r="L10" s="57" t="str">
        <f>IF(_xlfn.XLOOKUP($J10,Catalogo!$B$7:$B$210,Catalogo!$I$7:$I$210,"",0)=0,"",_xlfn.XLOOKUP($J10,Catalogo!$B$7:$B$210,Catalogo!$I$7:$I$210,"",0))</f>
        <v>Localizacion</v>
      </c>
      <c r="M10" s="36">
        <v>1.982</v>
      </c>
      <c r="N10" s="261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5" x14ac:dyDescent="0.25">
      <c r="A11" s="354">
        <v>45973</v>
      </c>
      <c r="B11" s="38" t="s">
        <v>12</v>
      </c>
      <c r="C11" s="155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24" t="str">
        <f>+_xlfn.XLOOKUP(Tabla1[[#This Row],[Codigo_actividad]],Conceptos!A:A,Conceptos!H:H)</f>
        <v>P2.06</v>
      </c>
      <c r="L11" s="57" t="str">
        <f>IF(_xlfn.XLOOKUP($J11,Catalogo!$B$7:$B$210,Catalogo!$I$7:$I$210,"",0)=0,"",_xlfn.XLOOKUP($J11,Catalogo!$B$7:$B$210,Catalogo!$I$7:$I$210,"",0))</f>
        <v>Localizacion</v>
      </c>
      <c r="M11" s="36">
        <v>0.17499999999999999</v>
      </c>
      <c r="N11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5" x14ac:dyDescent="0.25">
      <c r="A12" s="354">
        <v>45973</v>
      </c>
      <c r="B12" s="38" t="s">
        <v>12</v>
      </c>
      <c r="C12" s="155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24" t="str">
        <f>+_xlfn.XLOOKUP(Tabla1[[#This Row],[Codigo_actividad]],Conceptos!A:A,Conceptos!H:H)</f>
        <v>P2.06</v>
      </c>
      <c r="L12" s="57" t="str">
        <f>IF(_xlfn.XLOOKUP($J12,Catalogo!$B$7:$B$210,Catalogo!$I$7:$I$210,"",0)=0,"",_xlfn.XLOOKUP($J12,Catalogo!$B$7:$B$210,Catalogo!$I$7:$I$210,"",0))</f>
        <v>Localizacion</v>
      </c>
      <c r="M12" s="36">
        <v>1.4999999999999999E-2</v>
      </c>
      <c r="N12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5" x14ac:dyDescent="0.25">
      <c r="A13" s="354">
        <v>45973</v>
      </c>
      <c r="B13" s="38" t="s">
        <v>12</v>
      </c>
      <c r="C13" s="155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24" t="str">
        <f>+_xlfn.XLOOKUP(Tabla1[[#This Row],[Codigo_actividad]],Conceptos!A:A,Conceptos!H:H)</f>
        <v>P2.06</v>
      </c>
      <c r="L13" s="57" t="str">
        <f>IF(_xlfn.XLOOKUP($J13,Catalogo!$B$7:$B$210,Catalogo!$I$7:$I$210,"",0)=0,"",_xlfn.XLOOKUP($J13,Catalogo!$B$7:$B$210,Catalogo!$I$7:$I$210,"",0))</f>
        <v>Localizacion</v>
      </c>
      <c r="M13" s="36">
        <v>1.02</v>
      </c>
      <c r="N1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5" x14ac:dyDescent="0.25">
      <c r="A14" s="354">
        <v>45973</v>
      </c>
      <c r="B14" s="38" t="s">
        <v>12</v>
      </c>
      <c r="C14" s="155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24" t="str">
        <f>+_xlfn.XLOOKUP(Tabla1[[#This Row],[Codigo_actividad]],Conceptos!A:A,Conceptos!H:H)</f>
        <v>P2.06</v>
      </c>
      <c r="L14" s="57" t="str">
        <f>IF(_xlfn.XLOOKUP($J14,Catalogo!$B$7:$B$210,Catalogo!$I$7:$I$210,"",0)=0,"",_xlfn.XLOOKUP($J14,Catalogo!$B$7:$B$210,Catalogo!$I$7:$I$210,"",0))</f>
        <v>Localizacion</v>
      </c>
      <c r="M14" s="36">
        <v>1.0549999999999999</v>
      </c>
      <c r="N14" s="261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5" x14ac:dyDescent="0.25">
      <c r="A15" s="354">
        <v>45974</v>
      </c>
      <c r="B15" s="38" t="s">
        <v>12</v>
      </c>
      <c r="C15" s="155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24" t="str">
        <f>+_xlfn.XLOOKUP(Tabla1[[#This Row],[Codigo_actividad]],Conceptos!A:A,Conceptos!H:H)</f>
        <v>P2.06</v>
      </c>
      <c r="L15" s="57" t="str">
        <f>IF(_xlfn.XLOOKUP($J15,Catalogo!$B$7:$B$210,Catalogo!$I$7:$I$210,"",0)=0,"",_xlfn.XLOOKUP($J15,Catalogo!$B$7:$B$210,Catalogo!$I$7:$I$210,"",0))</f>
        <v>Localizacion</v>
      </c>
      <c r="M15" s="36">
        <v>2.2000000000000002</v>
      </c>
      <c r="N15" s="261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5" x14ac:dyDescent="0.25">
      <c r="A16" s="354">
        <v>45974</v>
      </c>
      <c r="B16" s="38" t="s">
        <v>12</v>
      </c>
      <c r="C16" s="155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24" t="str">
        <f>+_xlfn.XLOOKUP(Tabla1[[#This Row],[Codigo_actividad]],Conceptos!A:A,Conceptos!H:H)</f>
        <v>P2.06</v>
      </c>
      <c r="L16" s="57" t="str">
        <f>IF(_xlfn.XLOOKUP($J16,Catalogo!$B$7:$B$210,Catalogo!$I$7:$I$210,"",0)=0,"",_xlfn.XLOOKUP($J16,Catalogo!$B$7:$B$210,Catalogo!$I$7:$I$210,"",0))</f>
        <v>Localizacion</v>
      </c>
      <c r="M16" s="36">
        <v>2.5760000000000001</v>
      </c>
      <c r="N16" s="261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4" x14ac:dyDescent="0.25">
      <c r="A17" s="354">
        <v>45974</v>
      </c>
      <c r="B17" s="38" t="s">
        <v>12</v>
      </c>
      <c r="C17" s="155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24" t="str">
        <f>+_xlfn.XLOOKUP(Tabla1[[#This Row],[Codigo_actividad]],Conceptos!A:A,Conceptos!H:H)</f>
        <v>P2.06</v>
      </c>
      <c r="L17" s="57" t="str">
        <f>IF(_xlfn.XLOOKUP($J17,Catalogo!$B$7:$B$210,Catalogo!$I$7:$I$210,"",0)=0,"",_xlfn.XLOOKUP($J17,Catalogo!$B$7:$B$210,Catalogo!$I$7:$I$210,"",0))</f>
        <v>Localizacion</v>
      </c>
      <c r="M17" s="36">
        <v>0.125</v>
      </c>
      <c r="N17" s="261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4" x14ac:dyDescent="0.25">
      <c r="A18" s="354">
        <v>45974</v>
      </c>
      <c r="B18" s="38" t="s">
        <v>12</v>
      </c>
      <c r="C18" s="155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24" t="str">
        <f>+_xlfn.XLOOKUP(Tabla1[[#This Row],[Codigo_actividad]],Conceptos!A:A,Conceptos!H:H)</f>
        <v>P2.06</v>
      </c>
      <c r="L18" s="57" t="str">
        <f>IF(_xlfn.XLOOKUP($J18,Catalogo!$B$7:$B$210,Catalogo!$I$7:$I$210,"",0)=0,"",_xlfn.XLOOKUP($J18,Catalogo!$B$7:$B$210,Catalogo!$I$7:$I$210,"",0))</f>
        <v>Localizacion</v>
      </c>
      <c r="M18" s="36">
        <v>0.74099999999999999</v>
      </c>
      <c r="N18" s="261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4" x14ac:dyDescent="0.25">
      <c r="A19" s="354">
        <v>45975</v>
      </c>
      <c r="B19" s="38" t="s">
        <v>12</v>
      </c>
      <c r="C19" s="155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24" t="str">
        <f>+_xlfn.XLOOKUP(Tabla1[[#This Row],[Codigo_actividad]],Conceptos!A:A,Conceptos!H:H)</f>
        <v>P2.06</v>
      </c>
      <c r="L19" s="57" t="str">
        <f>IF(_xlfn.XLOOKUP($J19,Catalogo!$B$7:$B$210,Catalogo!$I$7:$I$210,"",0)=0,"",_xlfn.XLOOKUP($J19,Catalogo!$B$7:$B$210,Catalogo!$I$7:$I$210,"",0))</f>
        <v>Localizacion</v>
      </c>
      <c r="M19" s="36">
        <v>25.4</v>
      </c>
      <c r="N19" s="261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4" x14ac:dyDescent="0.25">
      <c r="A20" s="354">
        <v>45976</v>
      </c>
      <c r="B20" s="38" t="s">
        <v>12</v>
      </c>
      <c r="C20" s="155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24" t="str">
        <f>+_xlfn.XLOOKUP(Tabla1[[#This Row],[Codigo_actividad]],Conceptos!A:A,Conceptos!H:H)</f>
        <v>P2.06</v>
      </c>
      <c r="L20" s="57" t="str">
        <f>IF(_xlfn.XLOOKUP($J20,Catalogo!$B$7:$B$210,Catalogo!$I$7:$I$210,"",0)=0,"",_xlfn.XLOOKUP($J20,Catalogo!$B$7:$B$210,Catalogo!$I$7:$I$210,"",0))</f>
        <v>Localizacion</v>
      </c>
      <c r="M20" s="36">
        <v>25.4</v>
      </c>
      <c r="N20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4" x14ac:dyDescent="0.25">
      <c r="A21" s="354">
        <v>45977</v>
      </c>
      <c r="B21" s="38" t="s">
        <v>12</v>
      </c>
      <c r="C21" s="155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24" t="str">
        <f>+_xlfn.XLOOKUP(Tabla1[[#This Row],[Codigo_actividad]],Conceptos!A:A,Conceptos!H:H)</f>
        <v>P2.06</v>
      </c>
      <c r="L21" s="57" t="str">
        <f>IF(_xlfn.XLOOKUP($J21,Catalogo!$B$7:$B$210,Catalogo!$I$7:$I$210,"",0)=0,"",_xlfn.XLOOKUP($J21,Catalogo!$B$7:$B$210,Catalogo!$I$7:$I$210,"",0))</f>
        <v>Localizacion</v>
      </c>
      <c r="M21" s="36">
        <v>25.4</v>
      </c>
      <c r="N21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4" x14ac:dyDescent="0.25">
      <c r="A22" s="354">
        <v>45978</v>
      </c>
      <c r="B22" s="38" t="s">
        <v>12</v>
      </c>
      <c r="C22" s="155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24" t="str">
        <f>+_xlfn.XLOOKUP(Tabla1[[#This Row],[Codigo_actividad]],Conceptos!A:A,Conceptos!H:H)</f>
        <v>P2.01</v>
      </c>
      <c r="L22" s="57" t="str">
        <f>IF(_xlfn.XLOOKUP($J22,Catalogo!$B$7:$B$210,Catalogo!$I$7:$I$210,"",0)=0,"",_xlfn.XLOOKUP($J22,Catalogo!$B$7:$B$210,Catalogo!$I$7:$I$210,"",0))</f>
        <v>CIPS</v>
      </c>
      <c r="M22" s="36">
        <v>31.54</v>
      </c>
      <c r="N22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4" x14ac:dyDescent="0.25">
      <c r="A23" s="354">
        <v>45979</v>
      </c>
      <c r="B23" s="38" t="s">
        <v>12</v>
      </c>
      <c r="C23" s="155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24" t="str">
        <f>+_xlfn.XLOOKUP(Tabla1[[#This Row],[Codigo_actividad]],Conceptos!A:A,Conceptos!H:H)</f>
        <v>P2.01</v>
      </c>
      <c r="L23" s="57" t="str">
        <f>IF(_xlfn.XLOOKUP($J23,Catalogo!$B$7:$B$210,Catalogo!$I$7:$I$210,"",0)=0,"",_xlfn.XLOOKUP($J23,Catalogo!$B$7:$B$210,Catalogo!$I$7:$I$210,"",0))</f>
        <v>CIPS</v>
      </c>
      <c r="M23" s="36">
        <v>31.54</v>
      </c>
      <c r="N23" s="261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4" x14ac:dyDescent="0.25">
      <c r="A24" s="354">
        <v>45980</v>
      </c>
      <c r="B24" s="38" t="s">
        <v>12</v>
      </c>
      <c r="C24" s="155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24" t="str">
        <f>+_xlfn.XLOOKUP(Tabla1[[#This Row],[Codigo_actividad]],Conceptos!A:A,Conceptos!H:H)</f>
        <v>P2.01</v>
      </c>
      <c r="L24" s="57" t="str">
        <f>IF(_xlfn.XLOOKUP($J24,Catalogo!$B$7:$B$210,Catalogo!$I$7:$I$210,"",0)=0,"",_xlfn.XLOOKUP($J24,Catalogo!$B$7:$B$210,Catalogo!$I$7:$I$210,"",0))</f>
        <v>CIPS</v>
      </c>
      <c r="M24" s="36">
        <v>31.54</v>
      </c>
      <c r="N24" s="261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4" x14ac:dyDescent="0.25">
      <c r="A25" s="354">
        <v>45980</v>
      </c>
      <c r="B25" s="38" t="s">
        <v>29</v>
      </c>
      <c r="C25" s="155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24" t="str">
        <f>+_xlfn.XLOOKUP(Tabla1[[#This Row],[Codigo_actividad]],Conceptos!A:A,Conceptos!H:H)</f>
        <v>P2.06</v>
      </c>
      <c r="L25" s="57" t="str">
        <f>IF(_xlfn.XLOOKUP($J25,Catalogo!$B$7:$B$210,Catalogo!$I$7:$I$210,"",0)=0,"",_xlfn.XLOOKUP($J25,Catalogo!$B$7:$B$210,Catalogo!$I$7:$I$210,"",0))</f>
        <v>Localizacion</v>
      </c>
      <c r="M25" s="36">
        <v>25.4</v>
      </c>
      <c r="N25" s="261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4" x14ac:dyDescent="0.25">
      <c r="A26" s="354">
        <v>45980</v>
      </c>
      <c r="B26" s="38" t="s">
        <v>30</v>
      </c>
      <c r="C26" s="155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24" t="str">
        <f>+_xlfn.XLOOKUP(Tabla1[[#This Row],[Codigo_actividad]],Conceptos!A:A,Conceptos!H:H)</f>
        <v>P2.05</v>
      </c>
      <c r="L26" s="57" t="str">
        <f>IF(_xlfn.XLOOKUP($J26,Catalogo!$B$7:$B$210,Catalogo!$I$7:$I$210,"",0)=0,"",_xlfn.XLOOKUP($J26,Catalogo!$B$7:$B$210,Catalogo!$I$7:$I$210,"",0))</f>
        <v>Resistividades pH BSR BPA</v>
      </c>
      <c r="M26" s="36">
        <v>31.54</v>
      </c>
      <c r="N26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4" x14ac:dyDescent="0.25">
      <c r="A27" s="354">
        <v>45981</v>
      </c>
      <c r="B27" s="38" t="s">
        <v>12</v>
      </c>
      <c r="C27" s="155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24" t="str">
        <f>+_xlfn.XLOOKUP(Tabla1[[#This Row],[Codigo_actividad]],Conceptos!A:A,Conceptos!H:H)</f>
        <v>P2.01</v>
      </c>
      <c r="L27" s="57" t="str">
        <f>IF(_xlfn.XLOOKUP($J27,Catalogo!$B$7:$B$210,Catalogo!$I$7:$I$210,"",0)=0,"",_xlfn.XLOOKUP($J27,Catalogo!$B$7:$B$210,Catalogo!$I$7:$I$210,"",0))</f>
        <v>CIPS</v>
      </c>
      <c r="M27" s="36">
        <v>31.54</v>
      </c>
      <c r="N27" s="261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4" x14ac:dyDescent="0.25">
      <c r="A28" s="354">
        <v>45981</v>
      </c>
      <c r="B28" s="38" t="s">
        <v>29</v>
      </c>
      <c r="C28" s="155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24" t="str">
        <f>+_xlfn.XLOOKUP(Tabla1[[#This Row],[Codigo_actividad]],Conceptos!A:A,Conceptos!H:H)</f>
        <v>P2.06</v>
      </c>
      <c r="L28" s="57" t="str">
        <f>IF(_xlfn.XLOOKUP($J28,Catalogo!$B$7:$B$210,Catalogo!$I$7:$I$210,"",0)=0,"",_xlfn.XLOOKUP($J28,Catalogo!$B$7:$B$210,Catalogo!$I$7:$I$210,"",0))</f>
        <v>Localizacion</v>
      </c>
      <c r="M28" s="36">
        <v>25.4</v>
      </c>
      <c r="N28" s="261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4" x14ac:dyDescent="0.25">
      <c r="A29" s="354">
        <v>45981</v>
      </c>
      <c r="B29" s="38" t="s">
        <v>30</v>
      </c>
      <c r="C29" s="155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24" t="str">
        <f>+_xlfn.XLOOKUP(Tabla1[[#This Row],[Codigo_actividad]],Conceptos!A:A,Conceptos!H:H)</f>
        <v>P2.05</v>
      </c>
      <c r="L29" s="57" t="str">
        <f>IF(_xlfn.XLOOKUP($J29,Catalogo!$B$7:$B$210,Catalogo!$I$7:$I$210,"",0)=0,"",_xlfn.XLOOKUP($J29,Catalogo!$B$7:$B$210,Catalogo!$I$7:$I$210,"",0))</f>
        <v>Resistividades pH BSR BPA</v>
      </c>
      <c r="M29" s="36">
        <v>31.54</v>
      </c>
      <c r="N29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4" x14ac:dyDescent="0.25">
      <c r="A30" s="354">
        <v>45982</v>
      </c>
      <c r="B30" s="38" t="s">
        <v>12</v>
      </c>
      <c r="C30" s="155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24" t="str">
        <f>+_xlfn.XLOOKUP(Tabla1[[#This Row],[Codigo_actividad]],Conceptos!A:A,Conceptos!H:H)</f>
        <v>P2.01</v>
      </c>
      <c r="L30" s="57" t="str">
        <f>IF(_xlfn.XLOOKUP($J30,Catalogo!$B$7:$B$210,Catalogo!$I$7:$I$210,"",0)=0,"",_xlfn.XLOOKUP($J30,Catalogo!$B$7:$B$210,Catalogo!$I$7:$I$210,"",0))</f>
        <v>CIPS</v>
      </c>
      <c r="M30" s="36">
        <v>31.54</v>
      </c>
      <c r="N30" s="261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4" x14ac:dyDescent="0.25">
      <c r="A31" s="354">
        <v>45982</v>
      </c>
      <c r="B31" s="38" t="s">
        <v>29</v>
      </c>
      <c r="C31" s="155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24" t="str">
        <f>+_xlfn.XLOOKUP(Tabla1[[#This Row],[Codigo_actividad]],Conceptos!A:A,Conceptos!H:H)</f>
        <v>P2.06</v>
      </c>
      <c r="L31" s="57" t="str">
        <f>IF(_xlfn.XLOOKUP($J31,Catalogo!$B$7:$B$210,Catalogo!$I$7:$I$210,"",0)=0,"",_xlfn.XLOOKUP($J31,Catalogo!$B$7:$B$210,Catalogo!$I$7:$I$210,"",0))</f>
        <v>Localizacion</v>
      </c>
      <c r="M31" s="36">
        <v>25.4</v>
      </c>
      <c r="N31" s="261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4" x14ac:dyDescent="0.25">
      <c r="A32" s="354">
        <v>45982</v>
      </c>
      <c r="B32" s="38" t="s">
        <v>29</v>
      </c>
      <c r="C32" s="155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24" t="str">
        <f>+_xlfn.XLOOKUP(Tabla1[[#This Row],[Codigo_actividad]],Conceptos!A:A,Conceptos!H:H)</f>
        <v>P2.06</v>
      </c>
      <c r="L32" s="57" t="str">
        <f>IF(_xlfn.XLOOKUP($J32,Catalogo!$B$7:$B$210,Catalogo!$I$7:$I$210,"",0)=0,"",_xlfn.XLOOKUP($J32,Catalogo!$B$7:$B$210,Catalogo!$I$7:$I$210,"",0))</f>
        <v>Localizacion</v>
      </c>
      <c r="M32" s="36">
        <v>8.9999999999999993E-3</v>
      </c>
      <c r="N32" s="261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4" x14ac:dyDescent="0.25">
      <c r="A33" s="354">
        <v>45982</v>
      </c>
      <c r="B33" s="38" t="s">
        <v>29</v>
      </c>
      <c r="C33" s="155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24" t="str">
        <f>+_xlfn.XLOOKUP(Tabla1[[#This Row],[Codigo_actividad]],Conceptos!A:A,Conceptos!H:H)</f>
        <v>P2.06</v>
      </c>
      <c r="L33" s="57" t="str">
        <f>IF(_xlfn.XLOOKUP($J33,Catalogo!$B$7:$B$210,Catalogo!$I$7:$I$210,"",0)=0,"",_xlfn.XLOOKUP($J33,Catalogo!$B$7:$B$210,Catalogo!$I$7:$I$210,"",0))</f>
        <v>Localizacion</v>
      </c>
      <c r="M33" s="36">
        <v>0.47899999999999998</v>
      </c>
      <c r="N33" s="261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4" x14ac:dyDescent="0.25">
      <c r="A34" s="354">
        <v>45982</v>
      </c>
      <c r="B34" s="38" t="s">
        <v>30</v>
      </c>
      <c r="C34" s="155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24" t="str">
        <f>+_xlfn.XLOOKUP(Tabla1[[#This Row],[Codigo_actividad]],Conceptos!A:A,Conceptos!H:H)</f>
        <v>P2.05</v>
      </c>
      <c r="L34" s="57" t="str">
        <f>IF(_xlfn.XLOOKUP($J34,Catalogo!$B$7:$B$210,Catalogo!$I$7:$I$210,"",0)=0,"",_xlfn.XLOOKUP($J34,Catalogo!$B$7:$B$210,Catalogo!$I$7:$I$210,"",0))</f>
        <v>Resistividades pH BSR BPA</v>
      </c>
      <c r="M34" s="36">
        <v>31.54</v>
      </c>
      <c r="N34" s="261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4" x14ac:dyDescent="0.25">
      <c r="A35" s="354">
        <v>45983</v>
      </c>
      <c r="B35" s="38" t="s">
        <v>12</v>
      </c>
      <c r="C35" s="155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24" t="str">
        <f>+_xlfn.XLOOKUP(Tabla1[[#This Row],[Codigo_actividad]],Conceptos!A:A,Conceptos!H:H)</f>
        <v>P2.01</v>
      </c>
      <c r="L35" s="57" t="str">
        <f>IF(_xlfn.XLOOKUP($J35,Catalogo!$B$7:$B$210,Catalogo!$I$7:$I$210,"",0)=0,"",_xlfn.XLOOKUP($J35,Catalogo!$B$7:$B$210,Catalogo!$I$7:$I$210,"",0))</f>
        <v>CIPS</v>
      </c>
      <c r="M35" s="36"/>
      <c r="N35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4" x14ac:dyDescent="0.25">
      <c r="A36" s="354">
        <v>45983</v>
      </c>
      <c r="B36" s="38" t="s">
        <v>12</v>
      </c>
      <c r="C36" s="155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24" t="str">
        <f>+_xlfn.XLOOKUP(Tabla1[[#This Row],[Codigo_actividad]],Conceptos!A:A,Conceptos!H:H)</f>
        <v>P2.06</v>
      </c>
      <c r="L36" s="57" t="str">
        <f>IF(_xlfn.XLOOKUP($J36,Catalogo!$B$7:$B$210,Catalogo!$I$7:$I$210,"",0)=0,"",_xlfn.XLOOKUP($J36,Catalogo!$B$7:$B$210,Catalogo!$I$7:$I$210,"",0))</f>
        <v>Localizacion</v>
      </c>
      <c r="M36" s="36">
        <v>0.04</v>
      </c>
      <c r="N36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4" x14ac:dyDescent="0.25">
      <c r="A37" s="354">
        <v>45983</v>
      </c>
      <c r="B37" s="38" t="s">
        <v>12</v>
      </c>
      <c r="C37" s="155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24" t="str">
        <f>+_xlfn.XLOOKUP(Tabla1[[#This Row],[Codigo_actividad]],Conceptos!A:A,Conceptos!H:H)</f>
        <v>P2.06</v>
      </c>
      <c r="L37" s="57" t="str">
        <f>IF(_xlfn.XLOOKUP($J37,Catalogo!$B$7:$B$210,Catalogo!$I$7:$I$210,"",0)=0,"",_xlfn.XLOOKUP($J37,Catalogo!$B$7:$B$210,Catalogo!$I$7:$I$210,"",0))</f>
        <v>Localizacion</v>
      </c>
      <c r="M37" s="36">
        <v>0.12</v>
      </c>
      <c r="N37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4" x14ac:dyDescent="0.25">
      <c r="A38" s="354">
        <v>45983</v>
      </c>
      <c r="B38" s="38" t="s">
        <v>29</v>
      </c>
      <c r="C38" s="155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24" t="str">
        <f>+_xlfn.XLOOKUP(Tabla1[[#This Row],[Codigo_actividad]],Conceptos!A:A,Conceptos!H:H)</f>
        <v>P2.06</v>
      </c>
      <c r="L38" s="57" t="str">
        <f>IF(_xlfn.XLOOKUP($J38,Catalogo!$B$7:$B$210,Catalogo!$I$7:$I$210,"",0)=0,"",_xlfn.XLOOKUP($J38,Catalogo!$B$7:$B$210,Catalogo!$I$7:$I$210,"",0))</f>
        <v>Localizacion</v>
      </c>
      <c r="M38" s="36">
        <v>1.1950000000000001</v>
      </c>
      <c r="N38" s="261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4" x14ac:dyDescent="0.25">
      <c r="A39" s="354">
        <v>45984</v>
      </c>
      <c r="B39" s="38" t="s">
        <v>12</v>
      </c>
      <c r="C39" s="155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24" t="str">
        <f>+_xlfn.XLOOKUP(Tabla1[[#This Row],[Codigo_actividad]],Conceptos!A:A,Conceptos!H:H)</f>
        <v>P2.01</v>
      </c>
      <c r="L39" s="57" t="str">
        <f>IF(_xlfn.XLOOKUP($J39,Catalogo!$B$7:$B$210,Catalogo!$I$7:$I$210,"",0)=0,"",_xlfn.XLOOKUP($J39,Catalogo!$B$7:$B$210,Catalogo!$I$7:$I$210,"",0))</f>
        <v>CIPS</v>
      </c>
      <c r="M39" s="36">
        <v>31.54</v>
      </c>
      <c r="N39" s="261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4" x14ac:dyDescent="0.25">
      <c r="A40" s="354">
        <v>45985</v>
      </c>
      <c r="B40" s="38" t="s">
        <v>12</v>
      </c>
      <c r="C40" s="155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24" t="str">
        <f>+_xlfn.XLOOKUP(Tabla1[[#This Row],[Codigo_actividad]],Conceptos!A:A,Conceptos!H:H)</f>
        <v>P2.03</v>
      </c>
      <c r="L40" s="57" t="str">
        <f>IF(_xlfn.XLOOKUP($J40,Catalogo!$B$7:$B$210,Catalogo!$I$7:$I$210,"",0)=0,"",_xlfn.XLOOKUP($J40,Catalogo!$B$7:$B$210,Catalogo!$I$7:$I$210,"",0))</f>
        <v>DCVG</v>
      </c>
      <c r="M40" s="36">
        <v>31.54</v>
      </c>
      <c r="N40" s="261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4" x14ac:dyDescent="0.25">
      <c r="A41" s="354">
        <v>45985</v>
      </c>
      <c r="B41" s="38" t="s">
        <v>29</v>
      </c>
      <c r="C41" s="155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24" t="str">
        <f>+_xlfn.XLOOKUP(Tabla1[[#This Row],[Codigo_actividad]],Conceptos!A:A,Conceptos!H:H)</f>
        <v>P2.06</v>
      </c>
      <c r="L41" s="57" t="str">
        <f>IF(_xlfn.XLOOKUP($J41,Catalogo!$B$7:$B$210,Catalogo!$I$7:$I$210,"",0)=0,"",_xlfn.XLOOKUP($J41,Catalogo!$B$7:$B$210,Catalogo!$I$7:$I$210,"",0))</f>
        <v>Localizacion</v>
      </c>
      <c r="M41" s="36">
        <v>1.488</v>
      </c>
      <c r="N41" s="261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4" x14ac:dyDescent="0.25">
      <c r="A42" s="354">
        <v>45985</v>
      </c>
      <c r="B42" s="38" t="s">
        <v>29</v>
      </c>
      <c r="C42" s="155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24" t="str">
        <f>+_xlfn.XLOOKUP(Tabla1[[#This Row],[Codigo_actividad]],Conceptos!A:A,Conceptos!H:H)</f>
        <v>P2.06</v>
      </c>
      <c r="L42" s="57" t="str">
        <f>IF(_xlfn.XLOOKUP($J42,Catalogo!$B$7:$B$210,Catalogo!$I$7:$I$210,"",0)=0,"",_xlfn.XLOOKUP($J42,Catalogo!$B$7:$B$210,Catalogo!$I$7:$I$210,"",0))</f>
        <v>Localizacion</v>
      </c>
      <c r="M42" s="36">
        <v>7.0000000000000001E-3</v>
      </c>
      <c r="N42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4" x14ac:dyDescent="0.25">
      <c r="A43" s="354">
        <v>45985</v>
      </c>
      <c r="B43" s="38" t="s">
        <v>29</v>
      </c>
      <c r="C43" s="155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24" t="str">
        <f>+_xlfn.XLOOKUP(Tabla1[[#This Row],[Codigo_actividad]],Conceptos!A:A,Conceptos!H:H)</f>
        <v>P2.06</v>
      </c>
      <c r="L43" s="57" t="str">
        <f>IF(_xlfn.XLOOKUP($J43,Catalogo!$B$7:$B$210,Catalogo!$I$7:$I$210,"",0)=0,"",_xlfn.XLOOKUP($J43,Catalogo!$B$7:$B$210,Catalogo!$I$7:$I$210,"",0))</f>
        <v>Localizacion</v>
      </c>
      <c r="M43" s="36">
        <v>1.855</v>
      </c>
      <c r="N43" s="261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4" x14ac:dyDescent="0.25">
      <c r="A44" s="354">
        <v>45985</v>
      </c>
      <c r="B44" s="38" t="s">
        <v>30</v>
      </c>
      <c r="C44" s="155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24" t="str">
        <f>+_xlfn.XLOOKUP(Tabla1[[#This Row],[Codigo_actividad]],Conceptos!A:A,Conceptos!H:H)</f>
        <v>P2.05</v>
      </c>
      <c r="L44" s="57" t="str">
        <f>IF(_xlfn.XLOOKUP($J44,Catalogo!$B$7:$B$210,Catalogo!$I$7:$I$210,"",0)=0,"",_xlfn.XLOOKUP($J44,Catalogo!$B$7:$B$210,Catalogo!$I$7:$I$210,"",0))</f>
        <v>Resistividades pH BSR BPA</v>
      </c>
      <c r="M44" s="36">
        <v>31.54</v>
      </c>
      <c r="N44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4" x14ac:dyDescent="0.25">
      <c r="A45" s="354">
        <v>45986</v>
      </c>
      <c r="B45" s="38" t="s">
        <v>12</v>
      </c>
      <c r="C45" s="155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24" t="str">
        <f>+_xlfn.XLOOKUP(Tabla1[[#This Row],[Codigo_actividad]],Conceptos!A:A,Conceptos!H:H)</f>
        <v>P2.03</v>
      </c>
      <c r="L45" s="57" t="str">
        <f>IF(_xlfn.XLOOKUP($J45,Catalogo!$B$7:$B$210,Catalogo!$I$7:$I$210,"",0)=0,"",_xlfn.XLOOKUP($J45,Catalogo!$B$7:$B$210,Catalogo!$I$7:$I$210,"",0))</f>
        <v>DCVG</v>
      </c>
      <c r="M45" s="36">
        <v>31.54</v>
      </c>
      <c r="N45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4" x14ac:dyDescent="0.25">
      <c r="A46" s="354">
        <v>45986</v>
      </c>
      <c r="B46" s="38" t="s">
        <v>29</v>
      </c>
      <c r="C46" s="155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24" t="str">
        <f>+_xlfn.XLOOKUP(Tabla1[[#This Row],[Codigo_actividad]],Conceptos!A:A,Conceptos!H:H)</f>
        <v>P2.03</v>
      </c>
      <c r="L46" s="57" t="str">
        <f>IF(_xlfn.XLOOKUP($J46,Catalogo!$B$7:$B$210,Catalogo!$I$7:$I$210,"",0)=0,"",_xlfn.XLOOKUP($J46,Catalogo!$B$7:$B$210,Catalogo!$I$7:$I$210,"",0))</f>
        <v>DCVG</v>
      </c>
      <c r="M46" s="36">
        <v>31.54</v>
      </c>
      <c r="N46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4" x14ac:dyDescent="0.25">
      <c r="A47" s="354">
        <v>45986</v>
      </c>
      <c r="B47" s="38" t="s">
        <v>30</v>
      </c>
      <c r="C47" s="155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24" t="str">
        <f>+_xlfn.XLOOKUP(Tabla1[[#This Row],[Codigo_actividad]],Conceptos!A:A,Conceptos!H:H)</f>
        <v>P2.05</v>
      </c>
      <c r="L47" s="57" t="str">
        <f>IF(_xlfn.XLOOKUP($J47,Catalogo!$B$7:$B$210,Catalogo!$I$7:$I$210,"",0)=0,"",_xlfn.XLOOKUP($J47,Catalogo!$B$7:$B$210,Catalogo!$I$7:$I$210,"",0))</f>
        <v>Resistividades pH BSR BPA</v>
      </c>
      <c r="M47" s="36">
        <v>31.54</v>
      </c>
      <c r="N47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4" x14ac:dyDescent="0.25">
      <c r="A48" s="354">
        <v>45987</v>
      </c>
      <c r="B48" s="38" t="s">
        <v>12</v>
      </c>
      <c r="C48" s="155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24" t="str">
        <f>+_xlfn.XLOOKUP(Tabla1[[#This Row],[Codigo_actividad]],Conceptos!A:A,Conceptos!H:H)</f>
        <v>P2.03</v>
      </c>
      <c r="L48" s="57" t="str">
        <f>IF(_xlfn.XLOOKUP($J48,Catalogo!$B$7:$B$210,Catalogo!$I$7:$I$210,"",0)=0,"",_xlfn.XLOOKUP($J48,Catalogo!$B$7:$B$210,Catalogo!$I$7:$I$210,"",0))</f>
        <v>DCVG</v>
      </c>
      <c r="M48" s="36">
        <v>31.54</v>
      </c>
      <c r="N48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4" x14ac:dyDescent="0.25">
      <c r="A49" s="354">
        <v>45987</v>
      </c>
      <c r="B49" s="38" t="s">
        <v>29</v>
      </c>
      <c r="C49" s="155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24" t="str">
        <f>+_xlfn.XLOOKUP(Tabla1[[#This Row],[Codigo_actividad]],Conceptos!A:A,Conceptos!H:H)</f>
        <v>P2.03</v>
      </c>
      <c r="L49" s="57" t="str">
        <f>IF(_xlfn.XLOOKUP($J49,Catalogo!$B$7:$B$210,Catalogo!$I$7:$I$210,"",0)=0,"",_xlfn.XLOOKUP($J49,Catalogo!$B$7:$B$210,Catalogo!$I$7:$I$210,"",0))</f>
        <v>DCVG</v>
      </c>
      <c r="M49" s="36">
        <v>31.54</v>
      </c>
      <c r="N49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4" x14ac:dyDescent="0.25">
      <c r="A50" s="354">
        <v>45987</v>
      </c>
      <c r="B50" s="38" t="s">
        <v>30</v>
      </c>
      <c r="C50" s="155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24" t="str">
        <f>+_xlfn.XLOOKUP(Tabla1[[#This Row],[Codigo_actividad]],Conceptos!A:A,Conceptos!H:H)</f>
        <v>P2.05</v>
      </c>
      <c r="L50" s="57" t="str">
        <f>IF(_xlfn.XLOOKUP($J50,Catalogo!$B$7:$B$210,Catalogo!$I$7:$I$210,"",0)=0,"",_xlfn.XLOOKUP($J50,Catalogo!$B$7:$B$210,Catalogo!$I$7:$I$210,"",0))</f>
        <v>Resistividades pH BSR BPA</v>
      </c>
      <c r="M50" s="36">
        <v>31.54</v>
      </c>
      <c r="N50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4" x14ac:dyDescent="0.25">
      <c r="A51" s="354"/>
      <c r="B51" s="38"/>
      <c r="C51" s="155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24">
        <f>+_xlfn.XLOOKUP(Tabla1[[#This Row],[Codigo_actividad]],Conceptos!A:A,Conceptos!H:H)</f>
        <v>0</v>
      </c>
      <c r="L51" s="57" t="str">
        <f>IF(_xlfn.XLOOKUP($J51,Catalogo!$B$7:$B$210,Catalogo!$I$7:$I$210,"",0)=0,"",_xlfn.XLOOKUP($J51,Catalogo!$B$7:$B$210,Catalogo!$I$7:$I$210,"",0))</f>
        <v/>
      </c>
      <c r="M51" s="36"/>
      <c r="N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4" x14ac:dyDescent="0.25">
      <c r="A52" s="354">
        <v>45988</v>
      </c>
      <c r="B52" s="38" t="s">
        <v>12</v>
      </c>
      <c r="C52" s="155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24" t="str">
        <f>+_xlfn.XLOOKUP(Tabla1[[#This Row],[Codigo_actividad]],Conceptos!A:A,Conceptos!H:H)</f>
        <v>P2.03</v>
      </c>
      <c r="L52" s="57" t="str">
        <f>IF(_xlfn.XLOOKUP($J52,Catalogo!$B$7:$B$210,Catalogo!$I$7:$I$210,"",0)=0,"",_xlfn.XLOOKUP($J52,Catalogo!$B$7:$B$210,Catalogo!$I$7:$I$210,"",0))</f>
        <v>DCVG</v>
      </c>
      <c r="M52" s="36">
        <v>31.54</v>
      </c>
      <c r="N52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4" x14ac:dyDescent="0.25">
      <c r="A53" s="354">
        <v>45988</v>
      </c>
      <c r="B53" s="38" t="s">
        <v>29</v>
      </c>
      <c r="C53" s="155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24" t="str">
        <f>+_xlfn.XLOOKUP(Tabla1[[#This Row],[Codigo_actividad]],Conceptos!A:A,Conceptos!H:H)</f>
        <v>P2.03</v>
      </c>
      <c r="L53" s="57" t="str">
        <f>IF(_xlfn.XLOOKUP($J53,Catalogo!$B$7:$B$210,Catalogo!$I$7:$I$210,"",0)=0,"",_xlfn.XLOOKUP($J53,Catalogo!$B$7:$B$210,Catalogo!$I$7:$I$210,"",0))</f>
        <v>DCVG</v>
      </c>
      <c r="M53" s="36">
        <v>31.54</v>
      </c>
      <c r="N53" s="261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4" x14ac:dyDescent="0.25">
      <c r="A54" s="354">
        <v>45988</v>
      </c>
      <c r="B54" s="38" t="s">
        <v>30</v>
      </c>
      <c r="C54" s="155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24" t="str">
        <f>+_xlfn.XLOOKUP(Tabla1[[#This Row],[Codigo_actividad]],Conceptos!A:A,Conceptos!H:H)</f>
        <v>P2.05</v>
      </c>
      <c r="L54" s="57" t="str">
        <f>IF(_xlfn.XLOOKUP($J54,Catalogo!$B$7:$B$210,Catalogo!$I$7:$I$210,"",0)=0,"",_xlfn.XLOOKUP($J54,Catalogo!$B$7:$B$210,Catalogo!$I$7:$I$210,"",0))</f>
        <v>Resistividades pH BSR BPA</v>
      </c>
      <c r="M54" s="36">
        <v>25.4</v>
      </c>
      <c r="N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4" x14ac:dyDescent="0.25">
      <c r="A55" s="354">
        <v>45988</v>
      </c>
      <c r="B55" s="38" t="s">
        <v>30</v>
      </c>
      <c r="C55" s="155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24" t="str">
        <f>+_xlfn.XLOOKUP(Tabla1[[#This Row],[Codigo_actividad]],Conceptos!A:A,Conceptos!H:H)</f>
        <v>P2.05</v>
      </c>
      <c r="L55" s="57" t="str">
        <f>IF(_xlfn.XLOOKUP($J55,Catalogo!$B$7:$B$210,Catalogo!$I$7:$I$210,"",0)=0,"",_xlfn.XLOOKUP($J55,Catalogo!$B$7:$B$210,Catalogo!$I$7:$I$210,"",0))</f>
        <v>Resistividades pH BSR BPA</v>
      </c>
      <c r="M55" s="36">
        <v>31.54</v>
      </c>
      <c r="N55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4" x14ac:dyDescent="0.25">
      <c r="A56" s="354"/>
      <c r="B56" s="38"/>
      <c r="C56" s="155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24">
        <f>+_xlfn.XLOOKUP(Tabla1[[#This Row],[Codigo_actividad]],Conceptos!A:A,Conceptos!H:H)</f>
        <v>0</v>
      </c>
      <c r="L56" s="57" t="str">
        <f>IF(_xlfn.XLOOKUP($J56,Catalogo!$B$7:$B$210,Catalogo!$I$7:$I$210,"",0)=0,"",_xlfn.XLOOKUP($J56,Catalogo!$B$7:$B$210,Catalogo!$I$7:$I$210,"",0))</f>
        <v/>
      </c>
      <c r="M56" s="36"/>
      <c r="N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4" x14ac:dyDescent="0.25">
      <c r="A57" s="354">
        <v>45989</v>
      </c>
      <c r="B57" s="38" t="s">
        <v>12</v>
      </c>
      <c r="C57" s="155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24" t="str">
        <f>+_xlfn.XLOOKUP(Tabla1[[#This Row],[Codigo_actividad]],Conceptos!A:A,Conceptos!H:H)</f>
        <v>P2.03</v>
      </c>
      <c r="L57" s="57" t="str">
        <f>IF(_xlfn.XLOOKUP($J57,Catalogo!$B$7:$B$210,Catalogo!$I$7:$I$210,"",0)=0,"",_xlfn.XLOOKUP($J57,Catalogo!$B$7:$B$210,Catalogo!$I$7:$I$210,"",0))</f>
        <v>DCVG</v>
      </c>
      <c r="M57" s="36">
        <v>25.4</v>
      </c>
      <c r="N57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4" x14ac:dyDescent="0.25">
      <c r="A58" s="354">
        <v>45989</v>
      </c>
      <c r="B58" s="38" t="s">
        <v>29</v>
      </c>
      <c r="C58" s="155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24" t="str">
        <f>+_xlfn.XLOOKUP(Tabla1[[#This Row],[Codigo_actividad]],Conceptos!A:A,Conceptos!H:H)</f>
        <v>P2.03</v>
      </c>
      <c r="L58" s="57" t="str">
        <f>IF(_xlfn.XLOOKUP($J58,Catalogo!$B$7:$B$210,Catalogo!$I$7:$I$210,"",0)=0,"",_xlfn.XLOOKUP($J58,Catalogo!$B$7:$B$210,Catalogo!$I$7:$I$210,"",0))</f>
        <v>DCVG</v>
      </c>
      <c r="M58" s="36">
        <v>25.4</v>
      </c>
      <c r="N58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4" x14ac:dyDescent="0.25">
      <c r="A59" s="354">
        <v>45989</v>
      </c>
      <c r="B59" s="38" t="s">
        <v>30</v>
      </c>
      <c r="C59" s="155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24" t="str">
        <f>+_xlfn.XLOOKUP(Tabla1[[#This Row],[Codigo_actividad]],Conceptos!A:A,Conceptos!H:H)</f>
        <v>P2.05</v>
      </c>
      <c r="L59" s="57" t="str">
        <f>IF(_xlfn.XLOOKUP($J59,Catalogo!$B$7:$B$210,Catalogo!$I$7:$I$210,"",0)=0,"",_xlfn.XLOOKUP($J59,Catalogo!$B$7:$B$210,Catalogo!$I$7:$I$210,"",0))</f>
        <v>Resistividades pH BSR BPA</v>
      </c>
      <c r="M59" s="36">
        <v>25.4</v>
      </c>
      <c r="N59" s="261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4" x14ac:dyDescent="0.25">
      <c r="A60" s="354"/>
      <c r="B60" s="38"/>
      <c r="C60" s="155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24">
        <f>+_xlfn.XLOOKUP(Tabla1[[#This Row],[Codigo_actividad]],Conceptos!A:A,Conceptos!H:H)</f>
        <v>0</v>
      </c>
      <c r="L60" s="57" t="str">
        <f>IF(_xlfn.XLOOKUP($J60,Catalogo!$B$7:$B$210,Catalogo!$I$7:$I$210,"",0)=0,"",_xlfn.XLOOKUP($J60,Catalogo!$B$7:$B$210,Catalogo!$I$7:$I$210,"",0))</f>
        <v/>
      </c>
      <c r="M60" s="36"/>
      <c r="N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4" x14ac:dyDescent="0.25">
      <c r="A61" s="354">
        <v>45990</v>
      </c>
      <c r="B61" s="38" t="s">
        <v>12</v>
      </c>
      <c r="C61" s="155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24" t="str">
        <f>+_xlfn.XLOOKUP(Tabla1[[#This Row],[Codigo_actividad]],Conceptos!A:A,Conceptos!H:H)</f>
        <v>P2.03</v>
      </c>
      <c r="L61" s="57" t="str">
        <f>IF(_xlfn.XLOOKUP($J61,Catalogo!$B$7:$B$210,Catalogo!$I$7:$I$210,"",0)=0,"",_xlfn.XLOOKUP($J61,Catalogo!$B$7:$B$210,Catalogo!$I$7:$I$210,"",0))</f>
        <v>DCVG</v>
      </c>
      <c r="M61" s="36">
        <v>25.4</v>
      </c>
      <c r="N61" s="261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4" x14ac:dyDescent="0.25">
      <c r="A62" s="354">
        <v>45990</v>
      </c>
      <c r="B62" s="38" t="s">
        <v>29</v>
      </c>
      <c r="C62" s="155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24" t="str">
        <f>+_xlfn.XLOOKUP(Tabla1[[#This Row],[Codigo_actividad]],Conceptos!A:A,Conceptos!H:H)</f>
        <v>P2.03</v>
      </c>
      <c r="L62" s="57" t="str">
        <f>IF(_xlfn.XLOOKUP($J62,Catalogo!$B$7:$B$210,Catalogo!$I$7:$I$210,"",0)=0,"",_xlfn.XLOOKUP($J62,Catalogo!$B$7:$B$210,Catalogo!$I$7:$I$210,"",0))</f>
        <v>DCVG</v>
      </c>
      <c r="M62" s="36">
        <v>25.4</v>
      </c>
      <c r="N62" s="261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4" x14ac:dyDescent="0.25">
      <c r="A63" s="354">
        <v>45990</v>
      </c>
      <c r="B63" s="38" t="s">
        <v>30</v>
      </c>
      <c r="C63" s="155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24" t="str">
        <f>+_xlfn.XLOOKUP(Tabla1[[#This Row],[Codigo_actividad]],Conceptos!A:A,Conceptos!H:H)</f>
        <v>P2.05</v>
      </c>
      <c r="L63" s="57" t="str">
        <f>IF(_xlfn.XLOOKUP($J63,Catalogo!$B$7:$B$210,Catalogo!$I$7:$I$210,"",0)=0,"",_xlfn.XLOOKUP($J63,Catalogo!$B$7:$B$210,Catalogo!$I$7:$I$210,"",0))</f>
        <v>Resistividades pH BSR BPA</v>
      </c>
      <c r="M63" s="36">
        <v>25.4</v>
      </c>
      <c r="N63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4" x14ac:dyDescent="0.25">
      <c r="A64" s="354"/>
      <c r="B64" s="38"/>
      <c r="C64" s="155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24">
        <f>+_xlfn.XLOOKUP(Tabla1[[#This Row],[Codigo_actividad]],Conceptos!A:A,Conceptos!H:H)</f>
        <v>0</v>
      </c>
      <c r="L64" s="57" t="str">
        <f>IF(_xlfn.XLOOKUP($J64,Catalogo!$B$7:$B$210,Catalogo!$I$7:$I$210,"",0)=0,"",_xlfn.XLOOKUP($J64,Catalogo!$B$7:$B$210,Catalogo!$I$7:$I$210,"",0))</f>
        <v/>
      </c>
      <c r="M64" s="36"/>
      <c r="N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4" x14ac:dyDescent="0.25">
      <c r="A65" s="354">
        <v>45992</v>
      </c>
      <c r="B65" s="38" t="s">
        <v>12</v>
      </c>
      <c r="C65" s="155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24" t="str">
        <f>+_xlfn.XLOOKUP(Tabla1[[#This Row],[Codigo_actividad]],Conceptos!A:A,Conceptos!H:H)</f>
        <v>P2.03</v>
      </c>
      <c r="L65" s="57" t="str">
        <f>IF(_xlfn.XLOOKUP($J65,Catalogo!$B$7:$B$210,Catalogo!$I$7:$I$210,"",0)=0,"",_xlfn.XLOOKUP($J65,Catalogo!$B$7:$B$210,Catalogo!$I$7:$I$210,"",0))</f>
        <v>DCVG</v>
      </c>
      <c r="M65" s="36">
        <v>2.2000000000000002</v>
      </c>
      <c r="N65" s="261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4" x14ac:dyDescent="0.25">
      <c r="A66" s="354">
        <v>45992</v>
      </c>
      <c r="B66" s="38" t="s">
        <v>12</v>
      </c>
      <c r="C66" s="155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24" t="str">
        <f>+_xlfn.XLOOKUP(Tabla1[[#This Row],[Codigo_actividad]],Conceptos!A:A,Conceptos!H:H)</f>
        <v>P2.03</v>
      </c>
      <c r="L66" s="57" t="str">
        <f>IF(_xlfn.XLOOKUP($J66,Catalogo!$B$7:$B$210,Catalogo!$I$7:$I$210,"",0)=0,"",_xlfn.XLOOKUP($J66,Catalogo!$B$7:$B$210,Catalogo!$I$7:$I$210,"",0))</f>
        <v>DCVG</v>
      </c>
      <c r="M66" s="36">
        <v>2.5760000000000001</v>
      </c>
      <c r="N66" s="261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4" x14ac:dyDescent="0.25">
      <c r="A67" s="354">
        <v>45992</v>
      </c>
      <c r="B67" s="38" t="s">
        <v>12</v>
      </c>
      <c r="C67" s="155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24" t="str">
        <f>+_xlfn.XLOOKUP(Tabla1[[#This Row],[Codigo_actividad]],Conceptos!A:A,Conceptos!H:H)</f>
        <v>P2.03</v>
      </c>
      <c r="L67" s="57" t="str">
        <f>IF(_xlfn.XLOOKUP($J67,Catalogo!$B$7:$B$210,Catalogo!$I$7:$I$210,"",0)=0,"",_xlfn.XLOOKUP($J67,Catalogo!$B$7:$B$210,Catalogo!$I$7:$I$210,"",0))</f>
        <v>DCVG</v>
      </c>
      <c r="M67" s="36">
        <v>0.02</v>
      </c>
      <c r="N67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4" x14ac:dyDescent="0.25">
      <c r="A68" s="354">
        <v>45992</v>
      </c>
      <c r="B68" s="38" t="s">
        <v>12</v>
      </c>
      <c r="C68" s="155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24" t="str">
        <f>+_xlfn.XLOOKUP(Tabla1[[#This Row],[Codigo_actividad]],Conceptos!A:A,Conceptos!H:H)</f>
        <v>P2.06</v>
      </c>
      <c r="L68" s="57" t="str">
        <f>IF(_xlfn.XLOOKUP($J68,Catalogo!$B$7:$B$210,Catalogo!$I$7:$I$210,"",0)=0,"",_xlfn.XLOOKUP($J68,Catalogo!$B$7:$B$210,Catalogo!$I$7:$I$210,"",0))</f>
        <v>Localizacion</v>
      </c>
      <c r="M68" s="36">
        <v>0.02</v>
      </c>
      <c r="N68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4" x14ac:dyDescent="0.25">
      <c r="A69" s="354">
        <v>45992</v>
      </c>
      <c r="B69" s="38" t="s">
        <v>12</v>
      </c>
      <c r="C69" s="155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24" t="str">
        <f>+_xlfn.XLOOKUP(Tabla1[[#This Row],[Codigo_actividad]],Conceptos!A:A,Conceptos!H:H)</f>
        <v>P2.03</v>
      </c>
      <c r="L69" s="57" t="str">
        <f>IF(_xlfn.XLOOKUP($J69,Catalogo!$B$7:$B$210,Catalogo!$I$7:$I$210,"",0)=0,"",_xlfn.XLOOKUP($J69,Catalogo!$B$7:$B$210,Catalogo!$I$7:$I$210,"",0))</f>
        <v>DCVG</v>
      </c>
      <c r="M69" s="36">
        <v>0.125</v>
      </c>
      <c r="N69" s="261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4" x14ac:dyDescent="0.25">
      <c r="A70" s="354">
        <v>45992</v>
      </c>
      <c r="B70" s="38" t="s">
        <v>12</v>
      </c>
      <c r="C70" s="155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24" t="str">
        <f>+_xlfn.XLOOKUP(Tabla1[[#This Row],[Codigo_actividad]],Conceptos!A:A,Conceptos!H:H)</f>
        <v>P2.03</v>
      </c>
      <c r="L70" s="57" t="str">
        <f>IF(_xlfn.XLOOKUP($J70,Catalogo!$B$7:$B$210,Catalogo!$I$7:$I$210,"",0)=0,"",_xlfn.XLOOKUP($J70,Catalogo!$B$7:$B$210,Catalogo!$I$7:$I$210,"",0))</f>
        <v>DCVG</v>
      </c>
      <c r="M70" s="36">
        <v>0.12</v>
      </c>
      <c r="N70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4" x14ac:dyDescent="0.25">
      <c r="A71" s="354">
        <v>45992</v>
      </c>
      <c r="B71" s="38" t="s">
        <v>29</v>
      </c>
      <c r="C71" s="155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24" t="str">
        <f>+_xlfn.XLOOKUP(Tabla1[[#This Row],[Codigo_actividad]],Conceptos!A:A,Conceptos!H:H)</f>
        <v>P2.03</v>
      </c>
      <c r="L71" s="57" t="str">
        <f>IF(_xlfn.XLOOKUP($J71,Catalogo!$B$7:$B$210,Catalogo!$I$7:$I$210,"",0)=0,"",_xlfn.XLOOKUP($J71,Catalogo!$B$7:$B$210,Catalogo!$I$7:$I$210,"",0))</f>
        <v>DCVG</v>
      </c>
      <c r="M71" s="36">
        <v>25.4</v>
      </c>
      <c r="N71" s="261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4" x14ac:dyDescent="0.25">
      <c r="A72" s="354">
        <v>45992</v>
      </c>
      <c r="B72" s="38" t="s">
        <v>29</v>
      </c>
      <c r="C72" s="155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24" t="str">
        <f>+_xlfn.XLOOKUP(Tabla1[[#This Row],[Codigo_actividad]],Conceptos!A:A,Conceptos!H:H)</f>
        <v>P2.03</v>
      </c>
      <c r="L72" s="57" t="str">
        <f>IF(_xlfn.XLOOKUP($J72,Catalogo!$B$7:$B$210,Catalogo!$I$7:$I$210,"",0)=0,"",_xlfn.XLOOKUP($J72,Catalogo!$B$7:$B$210,Catalogo!$I$7:$I$210,"",0))</f>
        <v>DCVG</v>
      </c>
      <c r="M72" s="36">
        <v>0.74099999999999999</v>
      </c>
      <c r="N72" s="261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4" x14ac:dyDescent="0.25">
      <c r="A73" s="354">
        <v>45992</v>
      </c>
      <c r="B73" s="38" t="s">
        <v>29</v>
      </c>
      <c r="C73" s="155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24" t="str">
        <f>+_xlfn.XLOOKUP(Tabla1[[#This Row],[Codigo_actividad]],Conceptos!A:A,Conceptos!H:H)</f>
        <v>P2.03</v>
      </c>
      <c r="L73" s="57" t="str">
        <f>IF(_xlfn.XLOOKUP($J73,Catalogo!$B$7:$B$210,Catalogo!$I$7:$I$210,"",0)=0,"",_xlfn.XLOOKUP($J73,Catalogo!$B$7:$B$210,Catalogo!$I$7:$I$210,"",0))</f>
        <v>DCVG</v>
      </c>
      <c r="M73" s="36">
        <v>0.04</v>
      </c>
      <c r="N73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4" x14ac:dyDescent="0.25">
      <c r="A74" s="354">
        <v>45992</v>
      </c>
      <c r="B74" s="38" t="s">
        <v>29</v>
      </c>
      <c r="C74" s="155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24" t="str">
        <f>+_xlfn.XLOOKUP(Tabla1[[#This Row],[Codigo_actividad]],Conceptos!A:A,Conceptos!H:H)</f>
        <v>P2.03</v>
      </c>
      <c r="L74" s="57" t="str">
        <f>IF(_xlfn.XLOOKUP($J74,Catalogo!$B$7:$B$210,Catalogo!$I$7:$I$210,"",0)=0,"",_xlfn.XLOOKUP($J74,Catalogo!$B$7:$B$210,Catalogo!$I$7:$I$210,"",0))</f>
        <v>DCVG</v>
      </c>
      <c r="M74" s="36">
        <v>0.47899999999999998</v>
      </c>
      <c r="N74" s="261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4" x14ac:dyDescent="0.25">
      <c r="A75" s="354">
        <v>45992</v>
      </c>
      <c r="B75" s="38" t="s">
        <v>30</v>
      </c>
      <c r="C75" s="155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24" t="str">
        <f>+_xlfn.XLOOKUP(Tabla1[[#This Row],[Codigo_actividad]],Conceptos!A:A,Conceptos!H:H)</f>
        <v>P2.05</v>
      </c>
      <c r="L75" s="57" t="str">
        <f>IF(_xlfn.XLOOKUP($J75,Catalogo!$B$7:$B$210,Catalogo!$I$7:$I$210,"",0)=0,"",_xlfn.XLOOKUP($J75,Catalogo!$B$7:$B$210,Catalogo!$I$7:$I$210,"",0))</f>
        <v>Resistividades pH BSR BPA</v>
      </c>
      <c r="M75" s="36">
        <v>25.4</v>
      </c>
      <c r="N75" s="261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4" x14ac:dyDescent="0.25">
      <c r="A76" s="354">
        <v>45982</v>
      </c>
      <c r="B76" s="38" t="s">
        <v>29</v>
      </c>
      <c r="C76" s="155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24" t="str">
        <f>+_xlfn.XLOOKUP(Tabla1[[#This Row],[Codigo_actividad]],Conceptos!A:A,Conceptos!H:H)</f>
        <v>P2.03</v>
      </c>
      <c r="L76" s="57" t="str">
        <f>IF(_xlfn.XLOOKUP($J76,Catalogo!$B$7:$B$210,Catalogo!$I$7:$I$210,"",0)=0,"",_xlfn.XLOOKUP($J76,Catalogo!$B$7:$B$210,Catalogo!$I$7:$I$210,"",0))</f>
        <v>DCVG</v>
      </c>
      <c r="M76" s="36">
        <v>8.9999999999999993E-3</v>
      </c>
      <c r="N76" s="261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4" x14ac:dyDescent="0.25">
      <c r="A77" s="354"/>
      <c r="B77" s="38"/>
      <c r="C77" s="155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24">
        <f>+_xlfn.XLOOKUP(Tabla1[[#This Row],[Codigo_actividad]],Conceptos!A:A,Conceptos!H:H)</f>
        <v>0</v>
      </c>
      <c r="L77" s="57" t="str">
        <f>IF(_xlfn.XLOOKUP($J77,Catalogo!$B$7:$B$210,Catalogo!$I$7:$I$210,"",0)=0,"",_xlfn.XLOOKUP($J77,Catalogo!$B$7:$B$210,Catalogo!$I$7:$I$210,"",0))</f>
        <v/>
      </c>
      <c r="M77" s="36"/>
      <c r="N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4" x14ac:dyDescent="0.25">
      <c r="A78" s="354">
        <v>45993</v>
      </c>
      <c r="B78" s="38" t="s">
        <v>12</v>
      </c>
      <c r="C78" s="155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24" t="str">
        <f>+_xlfn.XLOOKUP(Tabla1[[#This Row],[Codigo_actividad]],Conceptos!A:A,Conceptos!H:H)</f>
        <v>P2.03</v>
      </c>
      <c r="L78" s="57" t="str">
        <f>IF(_xlfn.XLOOKUP($J78,Catalogo!$B$7:$B$210,Catalogo!$I$7:$I$210,"",0)=0,"",_xlfn.XLOOKUP($J78,Catalogo!$B$7:$B$210,Catalogo!$I$7:$I$210,"",0))</f>
        <v>DCVG</v>
      </c>
      <c r="M78" s="36">
        <v>0.02</v>
      </c>
      <c r="N78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4" x14ac:dyDescent="0.25">
      <c r="A79" s="354">
        <v>45993</v>
      </c>
      <c r="B79" s="38" t="s">
        <v>12</v>
      </c>
      <c r="C79" s="155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24" t="str">
        <f>+_xlfn.XLOOKUP(Tabla1[[#This Row],[Codigo_actividad]],Conceptos!A:A,Conceptos!H:H)</f>
        <v>P2.06</v>
      </c>
      <c r="L79" s="57" t="str">
        <f>IF(_xlfn.XLOOKUP($J79,Catalogo!$B$7:$B$210,Catalogo!$I$7:$I$210,"",0)=0,"",_xlfn.XLOOKUP($J79,Catalogo!$B$7:$B$210,Catalogo!$I$7:$I$210,"",0))</f>
        <v>Localizacion</v>
      </c>
      <c r="M79" s="36">
        <v>0.02</v>
      </c>
      <c r="N79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4" x14ac:dyDescent="0.25">
      <c r="A80" s="354">
        <v>45993</v>
      </c>
      <c r="B80" s="38" t="s">
        <v>12</v>
      </c>
      <c r="C80" s="155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24" t="str">
        <f>+_xlfn.XLOOKUP(Tabla1[[#This Row],[Codigo_actividad]],Conceptos!A:A,Conceptos!H:H)</f>
        <v>P2.03</v>
      </c>
      <c r="L80" s="57" t="str">
        <f>IF(_xlfn.XLOOKUP($J80,Catalogo!$B$7:$B$210,Catalogo!$I$7:$I$210,"",0)=0,"",_xlfn.XLOOKUP($J80,Catalogo!$B$7:$B$210,Catalogo!$I$7:$I$210,"",0))</f>
        <v>DCVG</v>
      </c>
      <c r="M80" s="36">
        <v>7.0000000000000007E-2</v>
      </c>
      <c r="N80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4" x14ac:dyDescent="0.25">
      <c r="A81" s="354">
        <v>45993</v>
      </c>
      <c r="B81" s="38" t="s">
        <v>12</v>
      </c>
      <c r="C81" s="155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24" t="str">
        <f>+_xlfn.XLOOKUP(Tabla1[[#This Row],[Codigo_actividad]],Conceptos!A:A,Conceptos!H:H)</f>
        <v>P2.06</v>
      </c>
      <c r="L81" s="57" t="str">
        <f>IF(_xlfn.XLOOKUP($J81,Catalogo!$B$7:$B$210,Catalogo!$I$7:$I$210,"",0)=0,"",_xlfn.XLOOKUP($J81,Catalogo!$B$7:$B$210,Catalogo!$I$7:$I$210,"",0))</f>
        <v>Localizacion</v>
      </c>
      <c r="M81" s="36">
        <v>7.0000000000000007E-2</v>
      </c>
      <c r="N81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4" x14ac:dyDescent="0.25">
      <c r="A82" s="354">
        <v>45993</v>
      </c>
      <c r="B82" s="38" t="s">
        <v>12</v>
      </c>
      <c r="C82" s="155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24" t="str">
        <f>+_xlfn.XLOOKUP(Tabla1[[#This Row],[Codigo_actividad]],Conceptos!A:A,Conceptos!H:H)</f>
        <v>P2.03</v>
      </c>
      <c r="L82" s="57" t="str">
        <f>IF(_xlfn.XLOOKUP($J82,Catalogo!$B$7:$B$210,Catalogo!$I$7:$I$210,"",0)=0,"",_xlfn.XLOOKUP($J82,Catalogo!$B$7:$B$210,Catalogo!$I$7:$I$210,"",0))</f>
        <v>DCVG</v>
      </c>
      <c r="M82" s="36">
        <v>7.0000000000000007E-2</v>
      </c>
      <c r="N82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4" x14ac:dyDescent="0.25">
      <c r="A83" s="354">
        <v>45993</v>
      </c>
      <c r="B83" s="38" t="s">
        <v>12</v>
      </c>
      <c r="C83" s="155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24" t="str">
        <f>+_xlfn.XLOOKUP(Tabla1[[#This Row],[Codigo_actividad]],Conceptos!A:A,Conceptos!H:H)</f>
        <v>P2.06</v>
      </c>
      <c r="L83" s="57" t="str">
        <f>IF(_xlfn.XLOOKUP($J83,Catalogo!$B$7:$B$210,Catalogo!$I$7:$I$210,"",0)=0,"",_xlfn.XLOOKUP($J83,Catalogo!$B$7:$B$210,Catalogo!$I$7:$I$210,"",0))</f>
        <v>Localizacion</v>
      </c>
      <c r="M83" s="36">
        <v>7.0000000000000007E-2</v>
      </c>
      <c r="N83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4" x14ac:dyDescent="0.25">
      <c r="A84" s="354">
        <v>45993</v>
      </c>
      <c r="B84" s="38" t="s">
        <v>12</v>
      </c>
      <c r="C84" s="155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24" t="str">
        <f>+_xlfn.XLOOKUP(Tabla1[[#This Row],[Codigo_actividad]],Conceptos!A:A,Conceptos!H:H)</f>
        <v>P2.03</v>
      </c>
      <c r="L84" s="57" t="str">
        <f>IF(_xlfn.XLOOKUP($J84,Catalogo!$B$7:$B$210,Catalogo!$I$7:$I$210,"",0)=0,"",_xlfn.XLOOKUP($J84,Catalogo!$B$7:$B$210,Catalogo!$I$7:$I$210,"",0))</f>
        <v>DCVG</v>
      </c>
      <c r="M84" s="36">
        <v>1.4999999999999999E-2</v>
      </c>
      <c r="N84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4" x14ac:dyDescent="0.25">
      <c r="A85" s="354">
        <v>45993</v>
      </c>
      <c r="B85" s="38" t="s">
        <v>12</v>
      </c>
      <c r="C85" s="155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24" t="str">
        <f>+_xlfn.XLOOKUP(Tabla1[[#This Row],[Codigo_actividad]],Conceptos!A:A,Conceptos!H:H)</f>
        <v>P2.06</v>
      </c>
      <c r="L85" s="57" t="str">
        <f>IF(_xlfn.XLOOKUP($J85,Catalogo!$B$7:$B$210,Catalogo!$I$7:$I$210,"",0)=0,"",_xlfn.XLOOKUP($J85,Catalogo!$B$7:$B$210,Catalogo!$I$7:$I$210,"",0))</f>
        <v>Localizacion</v>
      </c>
      <c r="M85" s="36">
        <v>1.4999999999999999E-2</v>
      </c>
      <c r="N85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4" x14ac:dyDescent="0.25">
      <c r="A86" s="354">
        <v>45993</v>
      </c>
      <c r="B86" s="38" t="s">
        <v>12</v>
      </c>
      <c r="C86" s="155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24" t="str">
        <f>+_xlfn.XLOOKUP(Tabla1[[#This Row],[Codigo_actividad]],Conceptos!A:A,Conceptos!H:H)</f>
        <v>P2.03</v>
      </c>
      <c r="L86" s="57" t="str">
        <f>IF(_xlfn.XLOOKUP($J86,Catalogo!$B$7:$B$210,Catalogo!$I$7:$I$210,"",0)=0,"",_xlfn.XLOOKUP($J86,Catalogo!$B$7:$B$210,Catalogo!$I$7:$I$210,"",0))</f>
        <v>DCVG</v>
      </c>
      <c r="M86" s="36">
        <v>1.982</v>
      </c>
      <c r="N86" s="261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4" x14ac:dyDescent="0.25">
      <c r="A87" s="354">
        <v>45993</v>
      </c>
      <c r="B87" s="38" t="s">
        <v>12</v>
      </c>
      <c r="C87" s="155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24" t="str">
        <f>+_xlfn.XLOOKUP(Tabla1[[#This Row],[Codigo_actividad]],Conceptos!A:A,Conceptos!H:H)</f>
        <v>P2.03</v>
      </c>
      <c r="L87" s="57" t="str">
        <f>IF(_xlfn.XLOOKUP($J87,Catalogo!$B$7:$B$210,Catalogo!$I$7:$I$210,"",0)=0,"",_xlfn.XLOOKUP($J87,Catalogo!$B$7:$B$210,Catalogo!$I$7:$I$210,"",0))</f>
        <v>DCVG</v>
      </c>
      <c r="M87" s="36">
        <v>1.4999999999999999E-2</v>
      </c>
      <c r="N87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4" x14ac:dyDescent="0.25">
      <c r="A88" s="354">
        <v>45993</v>
      </c>
      <c r="B88" s="38" t="s">
        <v>12</v>
      </c>
      <c r="C88" s="155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24" t="str">
        <f>+_xlfn.XLOOKUP(Tabla1[[#This Row],[Codigo_actividad]],Conceptos!A:A,Conceptos!H:H)</f>
        <v>P2.03</v>
      </c>
      <c r="L88" s="57" t="str">
        <f>IF(_xlfn.XLOOKUP($J88,Catalogo!$B$7:$B$210,Catalogo!$I$7:$I$210,"",0)=0,"",_xlfn.XLOOKUP($J88,Catalogo!$B$7:$B$210,Catalogo!$I$7:$I$210,"",0))</f>
        <v>DCVG</v>
      </c>
      <c r="M88" s="36">
        <v>0.17499999999999999</v>
      </c>
      <c r="N88" s="261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4" x14ac:dyDescent="0.25">
      <c r="A89" s="354">
        <v>45993</v>
      </c>
      <c r="B89" s="38" t="s">
        <v>12</v>
      </c>
      <c r="C89" s="155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24" t="str">
        <f>+_xlfn.XLOOKUP(Tabla1[[#This Row],[Codigo_actividad]],Conceptos!A:A,Conceptos!H:H)</f>
        <v>P2.06</v>
      </c>
      <c r="L89" s="57" t="str">
        <f>IF(_xlfn.XLOOKUP($J89,Catalogo!$B$7:$B$210,Catalogo!$I$7:$I$210,"",0)=0,"",_xlfn.XLOOKUP($J89,Catalogo!$B$7:$B$210,Catalogo!$I$7:$I$210,"",0))</f>
        <v>Localizacion</v>
      </c>
      <c r="M89" s="36">
        <v>1.9E-2</v>
      </c>
      <c r="N89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4" x14ac:dyDescent="0.25">
      <c r="A90" s="354">
        <v>45993</v>
      </c>
      <c r="B90" s="38" t="s">
        <v>12</v>
      </c>
      <c r="C90" s="155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24" t="str">
        <f>+_xlfn.XLOOKUP(Tabla1[[#This Row],[Codigo_actividad]],Conceptos!A:A,Conceptos!H:H)</f>
        <v>P2.03</v>
      </c>
      <c r="L90" s="57" t="str">
        <f>IF(_xlfn.XLOOKUP($J90,Catalogo!$B$7:$B$210,Catalogo!$I$7:$I$210,"",0)=0,"",_xlfn.XLOOKUP($J90,Catalogo!$B$7:$B$210,Catalogo!$I$7:$I$210,"",0))</f>
        <v>DCVG</v>
      </c>
      <c r="M90" s="36">
        <v>1.0549999999999999</v>
      </c>
      <c r="N90" s="261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4" x14ac:dyDescent="0.25">
      <c r="A91" s="354">
        <v>45993</v>
      </c>
      <c r="B91" s="38" t="s">
        <v>12</v>
      </c>
      <c r="C91" s="155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24" t="str">
        <f>+_xlfn.XLOOKUP(Tabla1[[#This Row],[Codigo_actividad]],Conceptos!A:A,Conceptos!H:H)</f>
        <v>P2.06</v>
      </c>
      <c r="L91" s="57" t="str">
        <f>IF(_xlfn.XLOOKUP($J91,Catalogo!$B$7:$B$210,Catalogo!$I$7:$I$210,"",0)=0,"",_xlfn.XLOOKUP($J91,Catalogo!$B$7:$B$210,Catalogo!$I$7:$I$210,"",0))</f>
        <v>Localizacion</v>
      </c>
      <c r="M91" s="36">
        <v>0.01</v>
      </c>
      <c r="N91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4" x14ac:dyDescent="0.25">
      <c r="A92" s="354">
        <v>45993</v>
      </c>
      <c r="B92" s="38" t="s">
        <v>12</v>
      </c>
      <c r="C92" s="155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24" t="str">
        <f>+_xlfn.XLOOKUP(Tabla1[[#This Row],[Codigo_actividad]],Conceptos!A:A,Conceptos!H:H)</f>
        <v>P2.03</v>
      </c>
      <c r="L92" s="57" t="str">
        <f>IF(_xlfn.XLOOKUP($J92,Catalogo!$B$7:$B$210,Catalogo!$I$7:$I$210,"",0)=0,"",_xlfn.XLOOKUP($J92,Catalogo!$B$7:$B$210,Catalogo!$I$7:$I$210,"",0))</f>
        <v>DCVG</v>
      </c>
      <c r="M92" s="36">
        <v>0.01</v>
      </c>
      <c r="N92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4" x14ac:dyDescent="0.25">
      <c r="A93" s="354">
        <v>45993</v>
      </c>
      <c r="B93" s="38" t="s">
        <v>29</v>
      </c>
      <c r="C93" s="155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24" t="str">
        <f>+_xlfn.XLOOKUP(Tabla1[[#This Row],[Codigo_actividad]],Conceptos!A:A,Conceptos!H:H)</f>
        <v>P2.03</v>
      </c>
      <c r="L93" s="57" t="str">
        <f>IF(_xlfn.XLOOKUP($J93,Catalogo!$B$7:$B$210,Catalogo!$I$7:$I$210,"",0)=0,"",_xlfn.XLOOKUP($J93,Catalogo!$B$7:$B$210,Catalogo!$I$7:$I$210,"",0))</f>
        <v>DCVG</v>
      </c>
      <c r="M93" s="36">
        <v>1.1950000000000001</v>
      </c>
      <c r="N93" s="261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4" x14ac:dyDescent="0.25">
      <c r="A94" s="354">
        <v>45993</v>
      </c>
      <c r="B94" s="38" t="s">
        <v>29</v>
      </c>
      <c r="C94" s="155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24" t="str">
        <f>+_xlfn.XLOOKUP(Tabla1[[#This Row],[Codigo_actividad]],Conceptos!A:A,Conceptos!H:H)</f>
        <v>P2.03</v>
      </c>
      <c r="L94" s="57" t="str">
        <f>IF(_xlfn.XLOOKUP($J94,Catalogo!$B$7:$B$210,Catalogo!$I$7:$I$210,"",0)=0,"",_xlfn.XLOOKUP($J94,Catalogo!$B$7:$B$210,Catalogo!$I$7:$I$210,"",0))</f>
        <v>DCVG</v>
      </c>
      <c r="M94" s="36">
        <v>1.855</v>
      </c>
      <c r="N94" s="261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4" x14ac:dyDescent="0.25">
      <c r="A95" s="354">
        <v>45993</v>
      </c>
      <c r="B95" s="38" t="s">
        <v>29</v>
      </c>
      <c r="C95" s="155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24" t="str">
        <f>+_xlfn.XLOOKUP(Tabla1[[#This Row],[Codigo_actividad]],Conceptos!A:A,Conceptos!H:H)</f>
        <v>P2.03</v>
      </c>
      <c r="L95" s="57" t="str">
        <f>IF(_xlfn.XLOOKUP($J95,Catalogo!$B$7:$B$210,Catalogo!$I$7:$I$210,"",0)=0,"",_xlfn.XLOOKUP($J95,Catalogo!$B$7:$B$210,Catalogo!$I$7:$I$210,"",0))</f>
        <v>DCVG</v>
      </c>
      <c r="M95" s="36">
        <v>0.26700000000000002</v>
      </c>
      <c r="N95" s="261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4" x14ac:dyDescent="0.25">
      <c r="A96" s="354">
        <v>45993</v>
      </c>
      <c r="B96" s="38" t="s">
        <v>29</v>
      </c>
      <c r="C96" s="155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24" t="str">
        <f>+_xlfn.XLOOKUP(Tabla1[[#This Row],[Codigo_actividad]],Conceptos!A:A,Conceptos!H:H)</f>
        <v>P2.06</v>
      </c>
      <c r="L96" s="57" t="str">
        <f>IF(_xlfn.XLOOKUP($J96,Catalogo!$B$7:$B$210,Catalogo!$I$7:$I$210,"",0)=0,"",_xlfn.XLOOKUP($J96,Catalogo!$B$7:$B$210,Catalogo!$I$7:$I$210,"",0))</f>
        <v>Localizacion</v>
      </c>
      <c r="M96" s="36">
        <v>0.26700000000000002</v>
      </c>
      <c r="N96" s="261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4" x14ac:dyDescent="0.25">
      <c r="A97" s="354">
        <v>45993</v>
      </c>
      <c r="B97" s="38" t="s">
        <v>29</v>
      </c>
      <c r="C97" s="155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24" t="str">
        <f>+_xlfn.XLOOKUP(Tabla1[[#This Row],[Codigo_actividad]],Conceptos!A:A,Conceptos!H:H)</f>
        <v>P2.03</v>
      </c>
      <c r="L97" s="57" t="str">
        <f>IF(_xlfn.XLOOKUP($J97,Catalogo!$B$7:$B$210,Catalogo!$I$7:$I$210,"",0)=0,"",_xlfn.XLOOKUP($J97,Catalogo!$B$7:$B$210,Catalogo!$I$7:$I$210,"",0))</f>
        <v>DCVG</v>
      </c>
      <c r="M97" s="36">
        <v>1.02</v>
      </c>
      <c r="N97" s="261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4" x14ac:dyDescent="0.25">
      <c r="A98" s="354">
        <v>45993</v>
      </c>
      <c r="B98" s="38" t="s">
        <v>29</v>
      </c>
      <c r="C98" s="155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24" t="str">
        <f>+_xlfn.XLOOKUP(Tabla1[[#This Row],[Codigo_actividad]],Conceptos!A:A,Conceptos!H:H)</f>
        <v>P2.03</v>
      </c>
      <c r="L98" s="57" t="str">
        <f>IF(_xlfn.XLOOKUP($J98,Catalogo!$B$7:$B$210,Catalogo!$I$7:$I$210,"",0)=0,"",_xlfn.XLOOKUP($J98,Catalogo!$B$7:$B$210,Catalogo!$I$7:$I$210,"",0))</f>
        <v>DCVG</v>
      </c>
      <c r="M98" s="36">
        <v>0.01</v>
      </c>
      <c r="N98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4" x14ac:dyDescent="0.25">
      <c r="A99" s="354">
        <v>45993</v>
      </c>
      <c r="B99" s="38" t="s">
        <v>29</v>
      </c>
      <c r="C99" s="155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24" t="str">
        <f>+_xlfn.XLOOKUP(Tabla1[[#This Row],[Codigo_actividad]],Conceptos!A:A,Conceptos!H:H)</f>
        <v>P2.06</v>
      </c>
      <c r="L99" s="57" t="str">
        <f>IF(_xlfn.XLOOKUP($J99,Catalogo!$B$7:$B$210,Catalogo!$I$7:$I$210,"",0)=0,"",_xlfn.XLOOKUP($J99,Catalogo!$B$7:$B$210,Catalogo!$I$7:$I$210,"",0))</f>
        <v>Localizacion</v>
      </c>
      <c r="M99" s="36">
        <v>0.01</v>
      </c>
      <c r="N99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4" x14ac:dyDescent="0.25">
      <c r="A100" s="354">
        <v>45993</v>
      </c>
      <c r="B100" s="38" t="s">
        <v>29</v>
      </c>
      <c r="C100" s="155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24" t="str">
        <f>+_xlfn.XLOOKUP(Tabla1[[#This Row],[Codigo_actividad]],Conceptos!A:A,Conceptos!H:H)</f>
        <v>P2.03</v>
      </c>
      <c r="L100" s="57" t="str">
        <f>IF(_xlfn.XLOOKUP($J100,Catalogo!$B$7:$B$210,Catalogo!$I$7:$I$210,"",0)=0,"",_xlfn.XLOOKUP($J100,Catalogo!$B$7:$B$210,Catalogo!$I$7:$I$210,"",0))</f>
        <v>DCVG</v>
      </c>
      <c r="M100" s="36">
        <v>1.2E-2</v>
      </c>
      <c r="N10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4" x14ac:dyDescent="0.25">
      <c r="A101" s="354">
        <v>45993</v>
      </c>
      <c r="B101" s="38" t="s">
        <v>29</v>
      </c>
      <c r="C101" s="155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24" t="str">
        <f>+_xlfn.XLOOKUP(Tabla1[[#This Row],[Codigo_actividad]],Conceptos!A:A,Conceptos!H:H)</f>
        <v>P2.06</v>
      </c>
      <c r="L101" s="57" t="str">
        <f>IF(_xlfn.XLOOKUP($J101,Catalogo!$B$7:$B$210,Catalogo!$I$7:$I$210,"",0)=0,"",_xlfn.XLOOKUP($J101,Catalogo!$B$7:$B$210,Catalogo!$I$7:$I$210,"",0))</f>
        <v>Localizacion</v>
      </c>
      <c r="M101" s="36">
        <v>1.2E-2</v>
      </c>
      <c r="N101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4" x14ac:dyDescent="0.25">
      <c r="A102" s="354">
        <v>45993</v>
      </c>
      <c r="B102" s="38" t="s">
        <v>30</v>
      </c>
      <c r="C102" s="155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24" t="str">
        <f>+_xlfn.XLOOKUP(Tabla1[[#This Row],[Codigo_actividad]],Conceptos!A:A,Conceptos!H:H)</f>
        <v>P2.05</v>
      </c>
      <c r="L102" s="57" t="str">
        <f>IF(_xlfn.XLOOKUP($J102,Catalogo!$B$7:$B$210,Catalogo!$I$7:$I$210,"",0)=0,"",_xlfn.XLOOKUP($J102,Catalogo!$B$7:$B$210,Catalogo!$I$7:$I$210,"",0))</f>
        <v>Resistividades pH BSR BPA</v>
      </c>
      <c r="M102" s="36">
        <v>12.657</v>
      </c>
      <c r="N102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4" x14ac:dyDescent="0.25">
      <c r="A103" s="354"/>
      <c r="B103" s="38"/>
      <c r="C103" s="155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24">
        <f>+_xlfn.XLOOKUP(Tabla1[[#This Row],[Codigo_actividad]],Conceptos!A:A,Conceptos!H:H)</f>
        <v>0</v>
      </c>
      <c r="L103" s="57" t="str">
        <f>IF(_xlfn.XLOOKUP($J103,Catalogo!$B$7:$B$210,Catalogo!$I$7:$I$210,"",0)=0,"",_xlfn.XLOOKUP($J103,Catalogo!$B$7:$B$210,Catalogo!$I$7:$I$210,"",0))</f>
        <v/>
      </c>
      <c r="M103" s="36"/>
      <c r="N1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4" x14ac:dyDescent="0.25">
      <c r="A104" s="354">
        <v>45994</v>
      </c>
      <c r="B104" s="38" t="s">
        <v>12</v>
      </c>
      <c r="C104" s="155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24" t="str">
        <f>+_xlfn.XLOOKUP(Tabla1[[#This Row],[Codigo_actividad]],Conceptos!A:A,Conceptos!H:H)</f>
        <v>P2.06</v>
      </c>
      <c r="L104" s="57" t="str">
        <f>IF(_xlfn.XLOOKUP($J104,Catalogo!$B$7:$B$210,Catalogo!$I$7:$I$210,"",0)=0,"",_xlfn.XLOOKUP($J104,Catalogo!$B$7:$B$210,Catalogo!$I$7:$I$210,"",0))</f>
        <v>Localizacion</v>
      </c>
      <c r="M104" s="36">
        <v>1.054</v>
      </c>
      <c r="N104" s="261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4" x14ac:dyDescent="0.25">
      <c r="A105" s="354">
        <v>45994</v>
      </c>
      <c r="B105" s="38" t="s">
        <v>12</v>
      </c>
      <c r="C105" s="155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24" t="str">
        <f>+_xlfn.XLOOKUP(Tabla1[[#This Row],[Codigo_actividad]],Conceptos!A:A,Conceptos!H:H)</f>
        <v>P2.03</v>
      </c>
      <c r="L105" s="57" t="str">
        <f>IF(_xlfn.XLOOKUP($J105,Catalogo!$B$7:$B$210,Catalogo!$I$7:$I$210,"",0)=0,"",_xlfn.XLOOKUP($J105,Catalogo!$B$7:$B$210,Catalogo!$I$7:$I$210,"",0))</f>
        <v>DCVG</v>
      </c>
      <c r="M105" s="36">
        <v>1.054</v>
      </c>
      <c r="N105" s="261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4" x14ac:dyDescent="0.25">
      <c r="A106" s="354">
        <v>45994</v>
      </c>
      <c r="B106" s="38" t="s">
        <v>12</v>
      </c>
      <c r="C106" s="155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24" t="str">
        <f>+_xlfn.XLOOKUP(Tabla1[[#This Row],[Codigo_actividad]],Conceptos!A:A,Conceptos!H:H)</f>
        <v>P2.06</v>
      </c>
      <c r="L106" s="57" t="str">
        <f>IF(_xlfn.XLOOKUP($J106,Catalogo!$B$7:$B$210,Catalogo!$I$7:$I$210,"",0)=0,"",_xlfn.XLOOKUP($J106,Catalogo!$B$7:$B$210,Catalogo!$I$7:$I$210,"",0))</f>
        <v>Localizacion</v>
      </c>
      <c r="M106" s="36">
        <v>0.01</v>
      </c>
      <c r="N106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4" x14ac:dyDescent="0.25">
      <c r="A107" s="354">
        <v>45994</v>
      </c>
      <c r="B107" s="38" t="s">
        <v>12</v>
      </c>
      <c r="C107" s="155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24" t="str">
        <f>+_xlfn.XLOOKUP(Tabla1[[#This Row],[Codigo_actividad]],Conceptos!A:A,Conceptos!H:H)</f>
        <v>P2.03</v>
      </c>
      <c r="L107" s="57" t="str">
        <f>IF(_xlfn.XLOOKUP($J107,Catalogo!$B$7:$B$210,Catalogo!$I$7:$I$210,"",0)=0,"",_xlfn.XLOOKUP($J107,Catalogo!$B$7:$B$210,Catalogo!$I$7:$I$210,"",0))</f>
        <v>DCVG</v>
      </c>
      <c r="M107" s="36">
        <v>0.01</v>
      </c>
      <c r="N107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4" x14ac:dyDescent="0.25">
      <c r="A108" s="354">
        <v>45994</v>
      </c>
      <c r="B108" s="38" t="s">
        <v>12</v>
      </c>
      <c r="C108" s="155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24" t="str">
        <f>+_xlfn.XLOOKUP(Tabla1[[#This Row],[Codigo_actividad]],Conceptos!A:A,Conceptos!H:H)</f>
        <v>P2.06</v>
      </c>
      <c r="L108" s="57" t="str">
        <f>IF(_xlfn.XLOOKUP($J108,Catalogo!$B$7:$B$210,Catalogo!$I$7:$I$210,"",0)=0,"",_xlfn.XLOOKUP($J108,Catalogo!$B$7:$B$210,Catalogo!$I$7:$I$210,"",0))</f>
        <v>Localizacion</v>
      </c>
      <c r="M108" s="36">
        <v>1.4999999999999999E-2</v>
      </c>
      <c r="N108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4" x14ac:dyDescent="0.25">
      <c r="A109" s="354">
        <v>45994</v>
      </c>
      <c r="B109" s="38" t="s">
        <v>12</v>
      </c>
      <c r="C109" s="155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24" t="str">
        <f>+_xlfn.XLOOKUP(Tabla1[[#This Row],[Codigo_actividad]],Conceptos!A:A,Conceptos!H:H)</f>
        <v>P2.03</v>
      </c>
      <c r="L109" s="57" t="str">
        <f>IF(_xlfn.XLOOKUP($J109,Catalogo!$B$7:$B$210,Catalogo!$I$7:$I$210,"",0)=0,"",_xlfn.XLOOKUP($J109,Catalogo!$B$7:$B$210,Catalogo!$I$7:$I$210,"",0))</f>
        <v>DCVG</v>
      </c>
      <c r="M109" s="36">
        <v>1.4999999999999999E-2</v>
      </c>
      <c r="N109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4" x14ac:dyDescent="0.25">
      <c r="A110" s="354">
        <v>45994</v>
      </c>
      <c r="B110" s="38" t="s">
        <v>12</v>
      </c>
      <c r="C110" s="155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24" t="str">
        <f>+_xlfn.XLOOKUP(Tabla1[[#This Row],[Codigo_actividad]],Conceptos!A:A,Conceptos!H:H)</f>
        <v>P2.03</v>
      </c>
      <c r="L110" s="57" t="str">
        <f>IF(_xlfn.XLOOKUP($J110,Catalogo!$B$7:$B$210,Catalogo!$I$7:$I$210,"",0)=0,"",_xlfn.XLOOKUP($J110,Catalogo!$B$7:$B$210,Catalogo!$I$7:$I$210,"",0))</f>
        <v>DCVG</v>
      </c>
      <c r="M110" s="36">
        <v>1.9E-2</v>
      </c>
      <c r="N110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4" x14ac:dyDescent="0.25">
      <c r="A111" s="354">
        <v>45994</v>
      </c>
      <c r="B111" s="38" t="s">
        <v>29</v>
      </c>
      <c r="C111" s="155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24" t="str">
        <f>+_xlfn.XLOOKUP(Tabla1[[#This Row],[Codigo_actividad]],Conceptos!A:A,Conceptos!H:H)</f>
        <v>P2.03</v>
      </c>
      <c r="L111" s="57" t="str">
        <f>IF(_xlfn.XLOOKUP($J111,Catalogo!$B$7:$B$210,Catalogo!$I$7:$I$210,"",0)=0,"",_xlfn.XLOOKUP($J111,Catalogo!$B$7:$B$210,Catalogo!$I$7:$I$210,"",0))</f>
        <v>DCVG</v>
      </c>
      <c r="M111" s="36">
        <v>1.488</v>
      </c>
      <c r="N111" s="261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4" x14ac:dyDescent="0.25">
      <c r="A112" s="354">
        <v>45994</v>
      </c>
      <c r="B112" s="38" t="s">
        <v>29</v>
      </c>
      <c r="C112" s="155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24" t="str">
        <f>+_xlfn.XLOOKUP(Tabla1[[#This Row],[Codigo_actividad]],Conceptos!A:A,Conceptos!H:H)</f>
        <v>P2.03</v>
      </c>
      <c r="L112" s="57" t="str">
        <f>IF(_xlfn.XLOOKUP($J112,Catalogo!$B$7:$B$210,Catalogo!$I$7:$I$210,"",0)=0,"",_xlfn.XLOOKUP($J112,Catalogo!$B$7:$B$210,Catalogo!$I$7:$I$210,"",0))</f>
        <v>DCVG</v>
      </c>
      <c r="M112" s="36">
        <v>7.0000000000000001E-3</v>
      </c>
      <c r="N112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4" x14ac:dyDescent="0.25">
      <c r="A113" s="354">
        <v>45994</v>
      </c>
      <c r="B113" s="38" t="s">
        <v>29</v>
      </c>
      <c r="C113" s="155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24" t="str">
        <f>+_xlfn.XLOOKUP(Tabla1[[#This Row],[Codigo_actividad]],Conceptos!A:A,Conceptos!H:H)</f>
        <v>P2.06</v>
      </c>
      <c r="L113" s="57" t="str">
        <f>IF(_xlfn.XLOOKUP($J113,Catalogo!$B$7:$B$210,Catalogo!$I$7:$I$210,"",0)=0,"",_xlfn.XLOOKUP($J113,Catalogo!$B$7:$B$210,Catalogo!$I$7:$I$210,"",0))</f>
        <v>Localizacion</v>
      </c>
      <c r="M113" s="36">
        <v>1.2999999999999999E-2</v>
      </c>
      <c r="N113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4" x14ac:dyDescent="0.25">
      <c r="A114" s="354">
        <v>45994</v>
      </c>
      <c r="B114" s="38" t="s">
        <v>29</v>
      </c>
      <c r="C114" s="155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24" t="str">
        <f>+_xlfn.XLOOKUP(Tabla1[[#This Row],[Codigo_actividad]],Conceptos!A:A,Conceptos!H:H)</f>
        <v>P2.03</v>
      </c>
      <c r="L114" s="57" t="str">
        <f>IF(_xlfn.XLOOKUP($J114,Catalogo!$B$7:$B$210,Catalogo!$I$7:$I$210,"",0)=0,"",_xlfn.XLOOKUP($J114,Catalogo!$B$7:$B$210,Catalogo!$I$7:$I$210,"",0))</f>
        <v>DCVG</v>
      </c>
      <c r="M114" s="36">
        <v>1.2999999999999999E-2</v>
      </c>
      <c r="N11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4" x14ac:dyDescent="0.25">
      <c r="A115" s="354">
        <v>45994</v>
      </c>
      <c r="B115" s="38" t="s">
        <v>29</v>
      </c>
      <c r="C115" s="155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24" t="str">
        <f>+_xlfn.XLOOKUP(Tabla1[[#This Row],[Codigo_actividad]],Conceptos!A:A,Conceptos!H:H)</f>
        <v>P2.06</v>
      </c>
      <c r="L115" s="57" t="str">
        <f>IF(_xlfn.XLOOKUP($J115,Catalogo!$B$7:$B$210,Catalogo!$I$7:$I$210,"",0)=0,"",_xlfn.XLOOKUP($J115,Catalogo!$B$7:$B$210,Catalogo!$I$7:$I$210,"",0))</f>
        <v>Localizacion</v>
      </c>
      <c r="M115" s="36">
        <v>1.0999999999999999E-2</v>
      </c>
      <c r="N115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4" x14ac:dyDescent="0.25">
      <c r="A116" s="354">
        <v>45994</v>
      </c>
      <c r="B116" s="38" t="s">
        <v>29</v>
      </c>
      <c r="C116" s="155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24" t="str">
        <f>+_xlfn.XLOOKUP(Tabla1[[#This Row],[Codigo_actividad]],Conceptos!A:A,Conceptos!H:H)</f>
        <v>P2.03</v>
      </c>
      <c r="L116" s="57" t="str">
        <f>IF(_xlfn.XLOOKUP($J116,Catalogo!$B$7:$B$210,Catalogo!$I$7:$I$210,"",0)=0,"",_xlfn.XLOOKUP($J116,Catalogo!$B$7:$B$210,Catalogo!$I$7:$I$210,"",0))</f>
        <v>DCVG</v>
      </c>
      <c r="M116" s="36">
        <v>1.0999999999999999E-2</v>
      </c>
      <c r="N11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4" x14ac:dyDescent="0.25">
      <c r="A117" s="354">
        <v>45994</v>
      </c>
      <c r="B117" s="38" t="s">
        <v>29</v>
      </c>
      <c r="C117" s="155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24" t="str">
        <f>+_xlfn.XLOOKUP(Tabla1[[#This Row],[Codigo_actividad]],Conceptos!A:A,Conceptos!H:H)</f>
        <v>P2.06</v>
      </c>
      <c r="L117" s="57" t="str">
        <f>IF(_xlfn.XLOOKUP($J117,Catalogo!$B$7:$B$210,Catalogo!$I$7:$I$210,"",0)=0,"",_xlfn.XLOOKUP($J117,Catalogo!$B$7:$B$210,Catalogo!$I$7:$I$210,"",0))</f>
        <v>Localizacion</v>
      </c>
      <c r="M117" s="36">
        <v>6.0000000000000001E-3</v>
      </c>
      <c r="N117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4" x14ac:dyDescent="0.25">
      <c r="A118" s="354">
        <v>45994</v>
      </c>
      <c r="B118" s="38" t="s">
        <v>29</v>
      </c>
      <c r="C118" s="155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24" t="str">
        <f>+_xlfn.XLOOKUP(Tabla1[[#This Row],[Codigo_actividad]],Conceptos!A:A,Conceptos!H:H)</f>
        <v>P2.03</v>
      </c>
      <c r="L118" s="57" t="str">
        <f>IF(_xlfn.XLOOKUP($J118,Catalogo!$B$7:$B$210,Catalogo!$I$7:$I$210,"",0)=0,"",_xlfn.XLOOKUP($J118,Catalogo!$B$7:$B$210,Catalogo!$I$7:$I$210,"",0))</f>
        <v>DCVG</v>
      </c>
      <c r="M118" s="36">
        <v>6.0000000000000001E-3</v>
      </c>
      <c r="N11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4" x14ac:dyDescent="0.25">
      <c r="A119" s="354">
        <v>45994</v>
      </c>
      <c r="B119" s="38" t="s">
        <v>30</v>
      </c>
      <c r="C119" s="155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24" t="str">
        <f>+_xlfn.XLOOKUP(Tabla1[[#This Row],[Codigo_actividad]],Conceptos!A:A,Conceptos!H:H)</f>
        <v>P2.05</v>
      </c>
      <c r="L119" s="57" t="str">
        <f>IF(_xlfn.XLOOKUP($J119,Catalogo!$B$7:$B$210,Catalogo!$I$7:$I$210,"",0)=0,"",_xlfn.XLOOKUP($J119,Catalogo!$B$7:$B$210,Catalogo!$I$7:$I$210,"",0))</f>
        <v>Resistividades pH BSR BPA</v>
      </c>
      <c r="M119" s="36">
        <v>12.657</v>
      </c>
      <c r="N119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4" x14ac:dyDescent="0.25">
      <c r="A120" s="354"/>
      <c r="C120" s="155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76">
        <f>+_xlfn.XLOOKUP(Tabla1[[#This Row],[Codigo_actividad]],Conceptos!A:A,Conceptos!H:H)</f>
        <v>0</v>
      </c>
      <c r="L120" s="57" t="str">
        <f>IF(_xlfn.XLOOKUP($J120,Catalogo!$B$7:$B$210,Catalogo!$I$7:$I$210,"",0)=0,"",_xlfn.XLOOKUP($J120,Catalogo!$B$7:$B$210,Catalogo!$I$7:$I$210,"",0))</f>
        <v/>
      </c>
      <c r="M120" s="36"/>
      <c r="N12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4" x14ac:dyDescent="0.25">
      <c r="A121" s="354">
        <v>45995</v>
      </c>
      <c r="B121" s="38" t="s">
        <v>12</v>
      </c>
      <c r="C121" s="155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76" t="str">
        <f>+_xlfn.XLOOKUP(Tabla1[[#This Row],[Codigo_actividad]],Conceptos!A:A,Conceptos!H:H)</f>
        <v>P2.03</v>
      </c>
      <c r="L121" s="57" t="str">
        <f>IF(_xlfn.XLOOKUP($J121,Catalogo!$B$7:$B$210,Catalogo!$I$7:$I$210,"",0)=0,"",_xlfn.XLOOKUP($J121,Catalogo!$B$7:$B$210,Catalogo!$I$7:$I$210,"",0))</f>
        <v>DCVG</v>
      </c>
      <c r="M121" s="36">
        <v>8.7999999999999995E-2</v>
      </c>
      <c r="N121" s="261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4" x14ac:dyDescent="0.25">
      <c r="A122" s="354">
        <v>45995</v>
      </c>
      <c r="B122" s="38" t="s">
        <v>12</v>
      </c>
      <c r="C122" s="155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76" t="str">
        <f>+_xlfn.XLOOKUP(Tabla1[[#This Row],[Codigo_actividad]],Conceptos!A:A,Conceptos!H:H)</f>
        <v>P2.03</v>
      </c>
      <c r="L122" s="57" t="str">
        <f>IF(_xlfn.XLOOKUP($J122,Catalogo!$B$7:$B$210,Catalogo!$I$7:$I$210,"",0)=0,"",_xlfn.XLOOKUP($J122,Catalogo!$B$7:$B$210,Catalogo!$I$7:$I$210,"",0))</f>
        <v>DCVG</v>
      </c>
      <c r="M122" s="36">
        <v>0.188</v>
      </c>
      <c r="N122" s="261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4" x14ac:dyDescent="0.25">
      <c r="A123" s="354">
        <v>45995</v>
      </c>
      <c r="B123" s="38" t="s">
        <v>12</v>
      </c>
      <c r="C123" s="155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76" t="str">
        <f>+_xlfn.XLOOKUP(Tabla1[[#This Row],[Codigo_actividad]],Conceptos!A:A,Conceptos!H:H)</f>
        <v>P2.03</v>
      </c>
      <c r="L123" s="57" t="str">
        <f>IF(_xlfn.XLOOKUP($J123,Catalogo!$B$7:$B$210,Catalogo!$I$7:$I$210,"",0)=0,"",_xlfn.XLOOKUP($J123,Catalogo!$B$7:$B$210,Catalogo!$I$7:$I$210,"",0))</f>
        <v>DCVG</v>
      </c>
      <c r="M123" s="36">
        <v>7.0000000000000001E-3</v>
      </c>
      <c r="N123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4" x14ac:dyDescent="0.25">
      <c r="A124" s="354">
        <v>45995</v>
      </c>
      <c r="B124" s="38" t="s">
        <v>12</v>
      </c>
      <c r="C124" s="155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76" t="str">
        <f>+_xlfn.XLOOKUP(Tabla1[[#This Row],[Codigo_actividad]],Conceptos!A:A,Conceptos!H:H)</f>
        <v>P2.03</v>
      </c>
      <c r="L124" s="57" t="str">
        <f>IF(_xlfn.XLOOKUP($J124,Catalogo!$B$7:$B$210,Catalogo!$I$7:$I$210,"",0)=0,"",_xlfn.XLOOKUP($J124,Catalogo!$B$7:$B$210,Catalogo!$I$7:$I$210,"",0))</f>
        <v>DCVG</v>
      </c>
      <c r="M124" s="36">
        <v>1.9E-2</v>
      </c>
      <c r="N124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4" x14ac:dyDescent="0.25">
      <c r="A125" s="354">
        <v>45995</v>
      </c>
      <c r="B125" s="38" t="s">
        <v>12</v>
      </c>
      <c r="C125" s="155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76" t="str">
        <f>+_xlfn.XLOOKUP(Tabla1[[#This Row],[Codigo_actividad]],Conceptos!A:A,Conceptos!H:H)</f>
        <v>P2.03</v>
      </c>
      <c r="L125" s="57" t="str">
        <f>IF(_xlfn.XLOOKUP($J125,Catalogo!$B$7:$B$210,Catalogo!$I$7:$I$210,"",0)=0,"",_xlfn.XLOOKUP($J125,Catalogo!$B$7:$B$210,Catalogo!$I$7:$I$210,"",0))</f>
        <v>DCVG</v>
      </c>
      <c r="M125" s="36">
        <v>5.5E-2</v>
      </c>
      <c r="N125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4" x14ac:dyDescent="0.25">
      <c r="A126" s="354">
        <v>45995</v>
      </c>
      <c r="B126" s="38" t="s">
        <v>12</v>
      </c>
      <c r="C126" s="155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76" t="str">
        <f>+_xlfn.XLOOKUP(Tabla1[[#This Row],[Codigo_actividad]],Conceptos!A:A,Conceptos!H:H)</f>
        <v>P2.03</v>
      </c>
      <c r="L126" s="57" t="str">
        <f>IF(_xlfn.XLOOKUP($J126,Catalogo!$B$7:$B$210,Catalogo!$I$7:$I$210,"",0)=0,"",_xlfn.XLOOKUP($J126,Catalogo!$B$7:$B$210,Catalogo!$I$7:$I$210,"",0))</f>
        <v>DCVG</v>
      </c>
      <c r="M126" s="36">
        <v>6.3E-2</v>
      </c>
      <c r="N126" s="261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4" x14ac:dyDescent="0.25">
      <c r="A127" s="354">
        <v>45995</v>
      </c>
      <c r="B127" s="38" t="s">
        <v>12</v>
      </c>
      <c r="C127" s="155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76" t="str">
        <f>+_xlfn.XLOOKUP(Tabla1[[#This Row],[Codigo_actividad]],Conceptos!A:A,Conceptos!H:H)</f>
        <v>P2.03</v>
      </c>
      <c r="L127" s="57" t="str">
        <f>IF(_xlfn.XLOOKUP($J127,Catalogo!$B$7:$B$210,Catalogo!$I$7:$I$210,"",0)=0,"",_xlfn.XLOOKUP($J127,Catalogo!$B$7:$B$210,Catalogo!$I$7:$I$210,"",0))</f>
        <v>DCVG</v>
      </c>
      <c r="M127" s="36">
        <v>5.5E-2</v>
      </c>
      <c r="N127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4" x14ac:dyDescent="0.25">
      <c r="A128" s="354">
        <v>45995</v>
      </c>
      <c r="B128" s="38" t="s">
        <v>12</v>
      </c>
      <c r="C128" s="155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76" t="str">
        <f>+_xlfn.XLOOKUP(Tabla1[[#This Row],[Codigo_actividad]],Conceptos!A:A,Conceptos!H:H)</f>
        <v>P2.03</v>
      </c>
      <c r="L128" s="57" t="str">
        <f>IF(_xlfn.XLOOKUP($J128,Catalogo!$B$7:$B$210,Catalogo!$I$7:$I$210,"",0)=0,"",_xlfn.XLOOKUP($J128,Catalogo!$B$7:$B$210,Catalogo!$I$7:$I$210,"",0))</f>
        <v>DCVG</v>
      </c>
      <c r="M128" s="36">
        <v>1.7000000000000001E-2</v>
      </c>
      <c r="N128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4" x14ac:dyDescent="0.25">
      <c r="A129" s="354">
        <v>45995</v>
      </c>
      <c r="B129" s="38" t="s">
        <v>12</v>
      </c>
      <c r="C129" s="155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76" t="str">
        <f>+_xlfn.XLOOKUP(Tabla1[[#This Row],[Codigo_actividad]],Conceptos!A:A,Conceptos!H:H)</f>
        <v>P2.06</v>
      </c>
      <c r="L129" s="57" t="str">
        <f>IF(_xlfn.XLOOKUP($J129,Catalogo!$B$7:$B$210,Catalogo!$I$7:$I$210,"",0)=0,"",_xlfn.XLOOKUP($J129,Catalogo!$B$7:$B$210,Catalogo!$I$7:$I$210,"",0))</f>
        <v>Localizacion</v>
      </c>
      <c r="M129" s="36">
        <v>8.7999999999999995E-2</v>
      </c>
      <c r="N129" s="261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4" x14ac:dyDescent="0.25">
      <c r="A130" s="354">
        <v>45995</v>
      </c>
      <c r="B130" s="38" t="s">
        <v>12</v>
      </c>
      <c r="C130" s="155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76" t="str">
        <f>+_xlfn.XLOOKUP(Tabla1[[#This Row],[Codigo_actividad]],Conceptos!A:A,Conceptos!H:H)</f>
        <v>P2.06</v>
      </c>
      <c r="L130" s="57" t="str">
        <f>IF(_xlfn.XLOOKUP($J130,Catalogo!$B$7:$B$210,Catalogo!$I$7:$I$210,"",0)=0,"",_xlfn.XLOOKUP($J130,Catalogo!$B$7:$B$210,Catalogo!$I$7:$I$210,"",0))</f>
        <v>Localizacion</v>
      </c>
      <c r="M130" s="36">
        <v>0.188</v>
      </c>
      <c r="N130" s="261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4" x14ac:dyDescent="0.25">
      <c r="A131" s="354">
        <v>45995</v>
      </c>
      <c r="B131" s="38" t="s">
        <v>12</v>
      </c>
      <c r="C131" s="155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76" t="str">
        <f>+_xlfn.XLOOKUP(Tabla1[[#This Row],[Codigo_actividad]],Conceptos!A:A,Conceptos!H:H)</f>
        <v>P2.06</v>
      </c>
      <c r="L131" s="57" t="str">
        <f>IF(_xlfn.XLOOKUP($J131,Catalogo!$B$7:$B$210,Catalogo!$I$7:$I$210,"",0)=0,"",_xlfn.XLOOKUP($J131,Catalogo!$B$7:$B$210,Catalogo!$I$7:$I$210,"",0))</f>
        <v>Localizacion</v>
      </c>
      <c r="M131" s="36">
        <v>7.0000000000000001E-3</v>
      </c>
      <c r="N131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4" x14ac:dyDescent="0.25">
      <c r="A132" s="354">
        <v>45995</v>
      </c>
      <c r="B132" s="38" t="s">
        <v>12</v>
      </c>
      <c r="C132" s="155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76" t="str">
        <f>+_xlfn.XLOOKUP(Tabla1[[#This Row],[Codigo_actividad]],Conceptos!A:A,Conceptos!H:H)</f>
        <v>P2.06</v>
      </c>
      <c r="L132" s="57" t="str">
        <f>IF(_xlfn.XLOOKUP($J132,Catalogo!$B$7:$B$210,Catalogo!$I$7:$I$210,"",0)=0,"",_xlfn.XLOOKUP($J132,Catalogo!$B$7:$B$210,Catalogo!$I$7:$I$210,"",0))</f>
        <v>Localizacion</v>
      </c>
      <c r="M132" s="36">
        <v>1.9E-2</v>
      </c>
      <c r="N132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4" x14ac:dyDescent="0.25">
      <c r="A133" s="354">
        <v>45995</v>
      </c>
      <c r="B133" s="38" t="s">
        <v>12</v>
      </c>
      <c r="C133" s="155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76" t="str">
        <f>+_xlfn.XLOOKUP(Tabla1[[#This Row],[Codigo_actividad]],Conceptos!A:A,Conceptos!H:H)</f>
        <v>P2.06</v>
      </c>
      <c r="L133" s="57" t="str">
        <f>IF(_xlfn.XLOOKUP($J133,Catalogo!$B$7:$B$210,Catalogo!$I$7:$I$210,"",0)=0,"",_xlfn.XLOOKUP($J133,Catalogo!$B$7:$B$210,Catalogo!$I$7:$I$210,"",0))</f>
        <v>Localizacion</v>
      </c>
      <c r="M133" s="36">
        <v>5.5E-2</v>
      </c>
      <c r="N133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4" x14ac:dyDescent="0.25">
      <c r="A134" s="354">
        <v>45995</v>
      </c>
      <c r="B134" s="38" t="s">
        <v>12</v>
      </c>
      <c r="C134" s="155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76" t="str">
        <f>+_xlfn.XLOOKUP(Tabla1[[#This Row],[Codigo_actividad]],Conceptos!A:A,Conceptos!H:H)</f>
        <v>P2.06</v>
      </c>
      <c r="L134" s="57" t="str">
        <f>IF(_xlfn.XLOOKUP($J134,Catalogo!$B$7:$B$210,Catalogo!$I$7:$I$210,"",0)=0,"",_xlfn.XLOOKUP($J134,Catalogo!$B$7:$B$210,Catalogo!$I$7:$I$210,"",0))</f>
        <v>Localizacion</v>
      </c>
      <c r="M134" s="36">
        <v>6.3E-2</v>
      </c>
      <c r="N134" s="261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4" x14ac:dyDescent="0.25">
      <c r="A135" s="354">
        <v>45995</v>
      </c>
      <c r="B135" s="38" t="s">
        <v>12</v>
      </c>
      <c r="C135" s="155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76" t="str">
        <f>+_xlfn.XLOOKUP(Tabla1[[#This Row],[Codigo_actividad]],Conceptos!A:A,Conceptos!H:H)</f>
        <v>P2.06</v>
      </c>
      <c r="L135" s="57" t="str">
        <f>IF(_xlfn.XLOOKUP($J135,Catalogo!$B$7:$B$210,Catalogo!$I$7:$I$210,"",0)=0,"",_xlfn.XLOOKUP($J135,Catalogo!$B$7:$B$210,Catalogo!$I$7:$I$210,"",0))</f>
        <v>Localizacion</v>
      </c>
      <c r="M135" s="36">
        <v>5.5E-2</v>
      </c>
      <c r="N135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4" x14ac:dyDescent="0.25">
      <c r="A136" s="354">
        <v>45995</v>
      </c>
      <c r="B136" s="38" t="s">
        <v>12</v>
      </c>
      <c r="C136" s="155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76" t="str">
        <f>+_xlfn.XLOOKUP(Tabla1[[#This Row],[Codigo_actividad]],Conceptos!A:A,Conceptos!H:H)</f>
        <v>P2.06</v>
      </c>
      <c r="L136" s="57" t="str">
        <f>IF(_xlfn.XLOOKUP($J136,Catalogo!$B$7:$B$210,Catalogo!$I$7:$I$210,"",0)=0,"",_xlfn.XLOOKUP($J136,Catalogo!$B$7:$B$210,Catalogo!$I$7:$I$210,"",0))</f>
        <v>Localizacion</v>
      </c>
      <c r="M136" s="36">
        <v>1.7000000000000001E-2</v>
      </c>
      <c r="N136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4" x14ac:dyDescent="0.25">
      <c r="A137" s="354">
        <v>45995</v>
      </c>
      <c r="B137" s="38" t="s">
        <v>29</v>
      </c>
      <c r="C137" s="155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76" t="str">
        <f>+_xlfn.XLOOKUP(Tabla1[[#This Row],[Codigo_actividad]],Conceptos!A:A,Conceptos!H:H)</f>
        <v>P2.06</v>
      </c>
      <c r="L137" s="57" t="str">
        <f>IF(_xlfn.XLOOKUP($J137,Catalogo!$B$7:$B$210,Catalogo!$I$7:$I$210,"",0)=0,"",_xlfn.XLOOKUP($J137,Catalogo!$B$7:$B$210,Catalogo!$I$7:$I$210,"",0))</f>
        <v>Localizacion</v>
      </c>
      <c r="M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N13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4" x14ac:dyDescent="0.25">
      <c r="A138" s="354">
        <v>45995</v>
      </c>
      <c r="B138" s="38" t="s">
        <v>30</v>
      </c>
      <c r="C138" s="155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76" t="str">
        <f>+_xlfn.XLOOKUP(Tabla1[[#This Row],[Codigo_actividad]],Conceptos!A:A,Conceptos!H:H)</f>
        <v>P2.05</v>
      </c>
      <c r="L138" s="57" t="str">
        <f>IF(_xlfn.XLOOKUP($J138,Catalogo!$B$7:$B$210,Catalogo!$I$7:$I$210,"",0)=0,"",_xlfn.XLOOKUP($J138,Catalogo!$B$7:$B$210,Catalogo!$I$7:$I$210,"",0))</f>
        <v>Resistividades pH BSR BPA</v>
      </c>
      <c r="M138" s="36">
        <v>12.657</v>
      </c>
      <c r="N13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4" x14ac:dyDescent="0.25">
      <c r="A139" s="354">
        <v>45995</v>
      </c>
      <c r="B139" s="38" t="s">
        <v>30</v>
      </c>
      <c r="C139" s="155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76" t="str">
        <f>+_xlfn.XLOOKUP(Tabla1[[#This Row],[Codigo_actividad]],Conceptos!A:A,Conceptos!H:H)</f>
        <v>P2.05</v>
      </c>
      <c r="L139" s="57" t="str">
        <f>IF(_xlfn.XLOOKUP($J139,Catalogo!$B$7:$B$210,Catalogo!$I$7:$I$210,"",0)=0,"",_xlfn.XLOOKUP($J139,Catalogo!$B$7:$B$210,Catalogo!$I$7:$I$210,"",0))</f>
        <v>Resistividades pH BSR BPA</v>
      </c>
      <c r="M139" s="36">
        <v>2.2770000000000001</v>
      </c>
      <c r="N139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4" x14ac:dyDescent="0.25">
      <c r="A140" s="354">
        <v>45995</v>
      </c>
      <c r="B140" s="38" t="s">
        <v>30</v>
      </c>
      <c r="C140" s="155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76" t="str">
        <f>+_xlfn.XLOOKUP(Tabla1[[#This Row],[Codigo_actividad]],Conceptos!A:A,Conceptos!H:H)</f>
        <v>P2.05</v>
      </c>
      <c r="L140" s="57" t="str">
        <f>IF(_xlfn.XLOOKUP($J140,Catalogo!$B$7:$B$210,Catalogo!$I$7:$I$210,"",0)=0,"",_xlfn.XLOOKUP($J140,Catalogo!$B$7:$B$210,Catalogo!$I$7:$I$210,"",0))</f>
        <v>Resistividades pH BSR BPA</v>
      </c>
      <c r="M140" s="36">
        <v>10.444000000000001</v>
      </c>
      <c r="N140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4" x14ac:dyDescent="0.25">
      <c r="A141" s="354"/>
      <c r="C141" s="155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76">
        <f>+_xlfn.XLOOKUP(Tabla1[[#This Row],[Codigo_actividad]],Conceptos!A:A,Conceptos!H:H)</f>
        <v>0</v>
      </c>
      <c r="L141" s="57" t="str">
        <f>IF(_xlfn.XLOOKUP($J141,Catalogo!$B$7:$B$210,Catalogo!$I$7:$I$210,"",0)=0,"",_xlfn.XLOOKUP($J141,Catalogo!$B$7:$B$210,Catalogo!$I$7:$I$210,"",0))</f>
        <v/>
      </c>
      <c r="M141" s="36"/>
      <c r="N1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4" x14ac:dyDescent="0.25">
      <c r="A142" s="354">
        <v>45996</v>
      </c>
      <c r="B142" s="38" t="s">
        <v>12</v>
      </c>
      <c r="C142" s="155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76" t="str">
        <f>+_xlfn.XLOOKUP(Tabla1[[#This Row],[Codigo_actividad]],Conceptos!A:A,Conceptos!H:H)</f>
        <v>P2.06</v>
      </c>
      <c r="L142" s="57" t="str">
        <f>IF(_xlfn.XLOOKUP($J142,Catalogo!$B$7:$B$210,Catalogo!$I$7:$I$210,"",0)=0,"",_xlfn.XLOOKUP($J142,Catalogo!$B$7:$B$210,Catalogo!$I$7:$I$210,"",0))</f>
        <v>Localizacion</v>
      </c>
      <c r="M142" s="36">
        <v>10.44422</v>
      </c>
      <c r="N142" s="261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4" x14ac:dyDescent="0.25">
      <c r="A143" s="354">
        <v>45996</v>
      </c>
      <c r="B143" s="38" t="s">
        <v>30</v>
      </c>
      <c r="C143" s="155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76" t="str">
        <f>+_xlfn.XLOOKUP(Tabla1[[#This Row],[Codigo_actividad]],Conceptos!A:A,Conceptos!H:H)</f>
        <v>P2.05</v>
      </c>
      <c r="L143" s="57" t="str">
        <f>IF(_xlfn.XLOOKUP($J143,Catalogo!$B$7:$B$210,Catalogo!$I$7:$I$210,"",0)=0,"",_xlfn.XLOOKUP($J143,Catalogo!$B$7:$B$210,Catalogo!$I$7:$I$210,"",0))</f>
        <v>Resistividades pH BSR BPA</v>
      </c>
      <c r="M143" s="36">
        <v>10.444000000000001</v>
      </c>
      <c r="N143" s="261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4" x14ac:dyDescent="0.25">
      <c r="A144" s="354"/>
      <c r="B144" s="38"/>
      <c r="C144" s="155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76">
        <f>+_xlfn.XLOOKUP(Tabla1[[#This Row],[Codigo_actividad]],Conceptos!A:A,Conceptos!H:H)</f>
        <v>0</v>
      </c>
      <c r="L144" s="57" t="str">
        <f>IF(_xlfn.XLOOKUP($J144,Catalogo!$B$7:$B$210,Catalogo!$I$7:$I$210,"",0)=0,"",_xlfn.XLOOKUP($J144,Catalogo!$B$7:$B$210,Catalogo!$I$7:$I$210,"",0))</f>
        <v/>
      </c>
      <c r="M144" s="36"/>
      <c r="N1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4" x14ac:dyDescent="0.25">
      <c r="A145" s="354">
        <v>45997</v>
      </c>
      <c r="B145" s="38" t="s">
        <v>30</v>
      </c>
      <c r="C145" s="155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76" t="str">
        <f>+_xlfn.XLOOKUP(Tabla1[[#This Row],[Codigo_actividad]],Conceptos!A:A,Conceptos!H:H)</f>
        <v>P2.05</v>
      </c>
      <c r="L145" s="57" t="str">
        <f>IF(_xlfn.XLOOKUP($J145,Catalogo!$B$7:$B$210,Catalogo!$I$7:$I$210,"",0)=0,"",_xlfn.XLOOKUP($J145,Catalogo!$B$7:$B$210,Catalogo!$I$7:$I$210,"",0))</f>
        <v>Resistividades pH BSR BPA</v>
      </c>
      <c r="M145" s="36">
        <v>2.2000000000000002</v>
      </c>
      <c r="N145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4" x14ac:dyDescent="0.25">
      <c r="A146" s="354">
        <v>45997</v>
      </c>
      <c r="B146" s="38" t="s">
        <v>30</v>
      </c>
      <c r="C146" s="155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76" t="str">
        <f>+_xlfn.XLOOKUP(Tabla1[[#This Row],[Codigo_actividad]],Conceptos!A:A,Conceptos!H:H)</f>
        <v>P2.05</v>
      </c>
      <c r="L146" s="57" t="str">
        <f>IF(_xlfn.XLOOKUP($J146,Catalogo!$B$7:$B$210,Catalogo!$I$7:$I$210,"",0)=0,"",_xlfn.XLOOKUP($J146,Catalogo!$B$7:$B$210,Catalogo!$I$7:$I$210,"",0))</f>
        <v>Resistividades pH BSR BPA</v>
      </c>
      <c r="M146" s="36">
        <v>0.02</v>
      </c>
      <c r="N1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4" x14ac:dyDescent="0.25">
      <c r="A147" s="354">
        <v>45997</v>
      </c>
      <c r="B147" s="38" t="s">
        <v>12</v>
      </c>
      <c r="C147" s="155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76" t="str">
        <f>+_xlfn.XLOOKUP(Tabla1[[#This Row],[Codigo_actividad]],Conceptos!A:A,Conceptos!H:H)</f>
        <v>P2.03</v>
      </c>
      <c r="L147" s="57" t="str">
        <f>IF(_xlfn.XLOOKUP($J147,Catalogo!$B$7:$B$210,Catalogo!$I$7:$I$210,"",0)=0,"",_xlfn.XLOOKUP($J147,Catalogo!$B$7:$B$210,Catalogo!$I$7:$I$210,"",0))</f>
        <v>DCVG</v>
      </c>
      <c r="M147" s="36">
        <v>8.0000000000000002E-3</v>
      </c>
      <c r="N147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4" x14ac:dyDescent="0.25">
      <c r="A148" s="354">
        <v>45997</v>
      </c>
      <c r="B148" s="38" t="s">
        <v>12</v>
      </c>
      <c r="C148" s="155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76" t="str">
        <f>+_xlfn.XLOOKUP(Tabla1[[#This Row],[Codigo_actividad]],Conceptos!A:A,Conceptos!H:H)</f>
        <v>P2.06</v>
      </c>
      <c r="L148" s="57" t="str">
        <f>IF(_xlfn.XLOOKUP($J148,Catalogo!$B$7:$B$210,Catalogo!$I$7:$I$210,"",0)=0,"",_xlfn.XLOOKUP($J148,Catalogo!$B$7:$B$210,Catalogo!$I$7:$I$210,"",0))</f>
        <v>Localizacion</v>
      </c>
      <c r="M148" s="36">
        <v>8.0000000000000002E-3</v>
      </c>
      <c r="N148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4" x14ac:dyDescent="0.25">
      <c r="A149" s="354">
        <v>45997</v>
      </c>
      <c r="B149" s="38" t="s">
        <v>12</v>
      </c>
      <c r="C149" s="155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76" t="str">
        <f>+_xlfn.XLOOKUP(Tabla1[[#This Row],[Codigo_actividad]],Conceptos!A:A,Conceptos!H:H)</f>
        <v>P2.06</v>
      </c>
      <c r="L149" s="57" t="str">
        <f>IF(_xlfn.XLOOKUP($J149,Catalogo!$B$7:$B$210,Catalogo!$I$7:$I$210,"",0)=0,"",_xlfn.XLOOKUP($J149,Catalogo!$B$7:$B$210,Catalogo!$I$7:$I$210,"",0))</f>
        <v>Localizacion</v>
      </c>
      <c r="M149" s="36">
        <v>5.0000000000000001E-3</v>
      </c>
      <c r="N149" s="261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4" x14ac:dyDescent="0.25">
      <c r="A150" s="354">
        <v>45997</v>
      </c>
      <c r="B150" s="38" t="s">
        <v>12</v>
      </c>
      <c r="C150" s="155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76" t="str">
        <f>+_xlfn.XLOOKUP(Tabla1[[#This Row],[Codigo_actividad]],Conceptos!A:A,Conceptos!H:H)</f>
        <v>P2.03</v>
      </c>
      <c r="L150" s="57" t="str">
        <f>IF(_xlfn.XLOOKUP($J150,Catalogo!$B$7:$B$210,Catalogo!$I$7:$I$210,"",0)=0,"",_xlfn.XLOOKUP($J150,Catalogo!$B$7:$B$210,Catalogo!$I$7:$I$210,"",0))</f>
        <v>DCVG</v>
      </c>
      <c r="M150" s="36">
        <v>5.0000000000000001E-3</v>
      </c>
      <c r="N150" s="261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4" x14ac:dyDescent="0.25">
      <c r="A151" s="354"/>
      <c r="C151" s="155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76">
        <f>+_xlfn.XLOOKUP(Tabla1[[#This Row],[Codigo_actividad]],Conceptos!A:A,Conceptos!H:H)</f>
        <v>0</v>
      </c>
      <c r="L151" s="57" t="str">
        <f>IF(_xlfn.XLOOKUP($J151,Catalogo!$B$7:$B$210,Catalogo!$I$7:$I$210,"",0)=0,"",_xlfn.XLOOKUP($J151,Catalogo!$B$7:$B$210,Catalogo!$I$7:$I$210,"",0))</f>
        <v/>
      </c>
      <c r="M151" s="36"/>
      <c r="N1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4" x14ac:dyDescent="0.25">
      <c r="A152" s="354">
        <v>45999</v>
      </c>
      <c r="B152" s="114" t="s">
        <v>30</v>
      </c>
      <c r="C152" s="155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76" t="str">
        <f>+_xlfn.XLOOKUP(Tabla1[[#This Row],[Codigo_actividad]],Conceptos!A:A,Conceptos!H:H)</f>
        <v>P2.05</v>
      </c>
      <c r="L152" s="57" t="str">
        <f>IF(_xlfn.XLOOKUP($J152,Catalogo!$B$7:$B$210,Catalogo!$I$7:$I$210,"",0)=0,"",_xlfn.XLOOKUP($J152,Catalogo!$B$7:$B$210,Catalogo!$I$7:$I$210,"",0))</f>
        <v>Resistividades pH BSR BPA</v>
      </c>
      <c r="M152" s="36">
        <v>0.02</v>
      </c>
      <c r="N1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4" x14ac:dyDescent="0.25">
      <c r="A153" s="354">
        <v>45999</v>
      </c>
      <c r="B153" s="114" t="s">
        <v>30</v>
      </c>
      <c r="C153" s="155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76" t="str">
        <f>+_xlfn.XLOOKUP(Tabla1[[#This Row],[Codigo_actividad]],Conceptos!A:A,Conceptos!H:H)</f>
        <v>P2.05</v>
      </c>
      <c r="L153" s="57" t="str">
        <f>IF(_xlfn.XLOOKUP($J153,Catalogo!$B$7:$B$210,Catalogo!$I$7:$I$210,"",0)=0,"",_xlfn.XLOOKUP($J153,Catalogo!$B$7:$B$210,Catalogo!$I$7:$I$210,"",0))</f>
        <v>Resistividades pH BSR BPA</v>
      </c>
      <c r="M153" s="36">
        <v>7.0000000000000007E-2</v>
      </c>
      <c r="N15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4" x14ac:dyDescent="0.25">
      <c r="A154" s="354">
        <v>45999</v>
      </c>
      <c r="B154" s="114" t="s">
        <v>30</v>
      </c>
      <c r="C154" s="155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76" t="str">
        <f>+_xlfn.XLOOKUP(Tabla1[[#This Row],[Codigo_actividad]],Conceptos!A:A,Conceptos!H:H)</f>
        <v>P2.05</v>
      </c>
      <c r="L154" s="57" t="str">
        <f>IF(_xlfn.XLOOKUP($J154,Catalogo!$B$7:$B$210,Catalogo!$I$7:$I$210,"",0)=0,"",_xlfn.XLOOKUP($J154,Catalogo!$B$7:$B$210,Catalogo!$I$7:$I$210,"",0))</f>
        <v>Resistividades pH BSR BPA</v>
      </c>
      <c r="M154" s="36">
        <v>1.4999999999999999E-2</v>
      </c>
      <c r="N15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4" x14ac:dyDescent="0.25">
      <c r="A155" s="354">
        <v>45999</v>
      </c>
      <c r="B155" s="114" t="s">
        <v>30</v>
      </c>
      <c r="C155" s="155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76" t="str">
        <f>+_xlfn.XLOOKUP(Tabla1[[#This Row],[Codigo_actividad]],Conceptos!A:A,Conceptos!H:H)</f>
        <v>P2.05</v>
      </c>
      <c r="L155" s="57" t="str">
        <f>IF(_xlfn.XLOOKUP($J155,Catalogo!$B$7:$B$210,Catalogo!$I$7:$I$210,"",0)=0,"",_xlfn.XLOOKUP($J155,Catalogo!$B$7:$B$210,Catalogo!$I$7:$I$210,"",0))</f>
        <v>Resistividades pH BSR BPA</v>
      </c>
      <c r="M155" s="36">
        <v>0.01</v>
      </c>
      <c r="N1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4" x14ac:dyDescent="0.25">
      <c r="A156" s="354">
        <v>45999</v>
      </c>
      <c r="B156" s="114" t="s">
        <v>30</v>
      </c>
      <c r="C156" s="155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76" t="str">
        <f>+_xlfn.XLOOKUP(Tabla1[[#This Row],[Codigo_actividad]],Conceptos!A:A,Conceptos!H:H)</f>
        <v>P2.05</v>
      </c>
      <c r="L156" s="57" t="str">
        <f>IF(_xlfn.XLOOKUP($J156,Catalogo!$B$7:$B$210,Catalogo!$I$7:$I$210,"",0)=0,"",_xlfn.XLOOKUP($J156,Catalogo!$B$7:$B$210,Catalogo!$I$7:$I$210,"",0))</f>
        <v>Resistividades pH BSR BPA</v>
      </c>
      <c r="M156" s="36">
        <v>1.982</v>
      </c>
      <c r="N156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4" x14ac:dyDescent="0.25">
      <c r="A157" s="354">
        <v>45999</v>
      </c>
      <c r="B157" s="114" t="s">
        <v>30</v>
      </c>
      <c r="C157" s="155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76" t="str">
        <f>+_xlfn.XLOOKUP(Tabla1[[#This Row],[Codigo_actividad]],Conceptos!A:A,Conceptos!H:H)</f>
        <v>P2.05</v>
      </c>
      <c r="L157" s="57" t="str">
        <f>IF(_xlfn.XLOOKUP($J157,Catalogo!$B$7:$B$210,Catalogo!$I$7:$I$210,"",0)=0,"",_xlfn.XLOOKUP($J157,Catalogo!$B$7:$B$210,Catalogo!$I$7:$I$210,"",0))</f>
        <v>Resistividades pH BSR BPA</v>
      </c>
      <c r="M157" s="36">
        <v>0.17499999999999999</v>
      </c>
      <c r="N15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4" x14ac:dyDescent="0.25">
      <c r="A158" s="354">
        <v>45999</v>
      </c>
      <c r="B158" s="114" t="s">
        <v>30</v>
      </c>
      <c r="C158" s="155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76" t="str">
        <f>+_xlfn.XLOOKUP(Tabla1[[#This Row],[Codigo_actividad]],Conceptos!A:A,Conceptos!H:H)</f>
        <v>P2.05</v>
      </c>
      <c r="L158" s="57" t="str">
        <f>IF(_xlfn.XLOOKUP($J158,Catalogo!$B$7:$B$210,Catalogo!$I$7:$I$210,"",0)=0,"",_xlfn.XLOOKUP($J158,Catalogo!$B$7:$B$210,Catalogo!$I$7:$I$210,"",0))</f>
        <v>Resistividades pH BSR BPA</v>
      </c>
      <c r="M158" s="36">
        <v>0.01</v>
      </c>
      <c r="N15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4" x14ac:dyDescent="0.25">
      <c r="A159" s="354">
        <v>45999</v>
      </c>
      <c r="B159" s="114" t="s">
        <v>30</v>
      </c>
      <c r="C159" s="155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76" t="str">
        <f>+_xlfn.XLOOKUP(Tabla1[[#This Row],[Codigo_actividad]],Conceptos!A:A,Conceptos!H:H)</f>
        <v>P2.05</v>
      </c>
      <c r="L159" s="57" t="str">
        <f>IF(_xlfn.XLOOKUP($J159,Catalogo!$B$7:$B$210,Catalogo!$I$7:$I$210,"",0)=0,"",_xlfn.XLOOKUP($J159,Catalogo!$B$7:$B$210,Catalogo!$I$7:$I$210,"",0))</f>
        <v>Resistividades pH BSR BPA</v>
      </c>
      <c r="M159" s="36">
        <v>1.9E-2</v>
      </c>
      <c r="N15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4" x14ac:dyDescent="0.25">
      <c r="A160" s="354">
        <v>45999</v>
      </c>
      <c r="B160" s="114" t="s">
        <v>30</v>
      </c>
      <c r="C160" s="155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76" t="str">
        <f>+_xlfn.XLOOKUP(Tabla1[[#This Row],[Codigo_actividad]],Conceptos!A:A,Conceptos!H:H)</f>
        <v>P2.05</v>
      </c>
      <c r="L160" s="57" t="str">
        <f>IF(_xlfn.XLOOKUP($J160,Catalogo!$B$7:$B$210,Catalogo!$I$7:$I$210,"",0)=0,"",_xlfn.XLOOKUP($J160,Catalogo!$B$7:$B$210,Catalogo!$I$7:$I$210,"",0))</f>
        <v>Resistividades pH BSR BPA</v>
      </c>
      <c r="M160" s="36">
        <v>1.054</v>
      </c>
      <c r="N160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4" x14ac:dyDescent="0.25">
      <c r="A161" s="354">
        <v>45999</v>
      </c>
      <c r="B161" s="114" t="s">
        <v>12</v>
      </c>
      <c r="C161" s="155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76" t="str">
        <f>+_xlfn.XLOOKUP(Tabla1[[#This Row],[Codigo_actividad]],Conceptos!A:A,Conceptos!H:H)</f>
        <v>P2.06</v>
      </c>
      <c r="L161" s="57" t="str">
        <f>IF(_xlfn.XLOOKUP($J161,Catalogo!$B$7:$B$210,Catalogo!$I$7:$I$210,"",0)=0,"",_xlfn.XLOOKUP($J161,Catalogo!$B$7:$B$210,Catalogo!$I$7:$I$210,"",0))</f>
        <v>Localizacion</v>
      </c>
      <c r="M161" s="36">
        <v>10.444000000000001</v>
      </c>
      <c r="N161" s="261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4" x14ac:dyDescent="0.25">
      <c r="A162" s="354"/>
      <c r="B162" s="114"/>
      <c r="C162" s="155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76">
        <f>+_xlfn.XLOOKUP(Tabla1[[#This Row],[Codigo_actividad]],Conceptos!A:A,Conceptos!H:H)</f>
        <v>0</v>
      </c>
      <c r="L162" s="57"/>
      <c r="M162" s="36"/>
      <c r="N1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4" x14ac:dyDescent="0.25">
      <c r="A163" s="354">
        <v>46000</v>
      </c>
      <c r="B163" s="114" t="s">
        <v>12</v>
      </c>
      <c r="C163" s="155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76" t="str">
        <f>+_xlfn.XLOOKUP(Tabla1[[#This Row],[Codigo_actividad]],Conceptos!A:A,Conceptos!H:H)</f>
        <v>P2.01</v>
      </c>
      <c r="L163" s="57" t="str">
        <f>IF(_xlfn.XLOOKUP($J163,Catalogo!$B$7:$B$210,Catalogo!$I$7:$I$210,"",0)=0,"",_xlfn.XLOOKUP($J163,Catalogo!$B$7:$B$210,Catalogo!$I$7:$I$210,"",0))</f>
        <v>CIPS</v>
      </c>
      <c r="M163" s="36">
        <v>25.4</v>
      </c>
      <c r="N163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4" x14ac:dyDescent="0.25">
      <c r="A164" s="354">
        <v>46000</v>
      </c>
      <c r="B164" s="114" t="s">
        <v>30</v>
      </c>
      <c r="C164" s="155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76" t="str">
        <f>+_xlfn.XLOOKUP(Tabla1[[#This Row],[Codigo_actividad]],Conceptos!A:A,Conceptos!H:H)</f>
        <v>P2.05</v>
      </c>
      <c r="L164" s="57" t="str">
        <f>IF(_xlfn.XLOOKUP($J164,Catalogo!$B$7:$B$210,Catalogo!$I$7:$I$210,"",0)=0,"",_xlfn.XLOOKUP($J164,Catalogo!$B$7:$B$210,Catalogo!$I$7:$I$210,"",0))</f>
        <v>Resistividades pH BSR BPA</v>
      </c>
      <c r="M164" s="36">
        <v>8.0000000000000002E-3</v>
      </c>
      <c r="N16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4" x14ac:dyDescent="0.25">
      <c r="A165" s="354">
        <v>46000</v>
      </c>
      <c r="B165" s="114" t="s">
        <v>30</v>
      </c>
      <c r="C165" s="155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76" t="str">
        <f>+_xlfn.XLOOKUP(Tabla1[[#This Row],[Codigo_actividad]],Conceptos!A:A,Conceptos!H:H)</f>
        <v>P2.05</v>
      </c>
      <c r="L165" s="57" t="str">
        <f>IF(_xlfn.XLOOKUP($J165,Catalogo!$B$7:$B$210,Catalogo!$I$7:$I$210,"",0)=0,"",_xlfn.XLOOKUP($J165,Catalogo!$B$7:$B$210,Catalogo!$I$7:$I$210,"",0))</f>
        <v>Resistividades pH BSR BPA</v>
      </c>
      <c r="M165" s="36">
        <v>1.02</v>
      </c>
      <c r="N165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4" x14ac:dyDescent="0.25">
      <c r="A166" s="354">
        <v>46000</v>
      </c>
      <c r="B166" s="114" t="s">
        <v>30</v>
      </c>
      <c r="C166" s="155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76" t="str">
        <f>+_xlfn.XLOOKUP(Tabla1[[#This Row],[Codigo_actividad]],Conceptos!A:A,Conceptos!H:H)</f>
        <v>P2.05</v>
      </c>
      <c r="L166" s="57" t="str">
        <f>IF(_xlfn.XLOOKUP($J166,Catalogo!$B$7:$B$210,Catalogo!$I$7:$I$210,"",0)=0,"",_xlfn.XLOOKUP($J166,Catalogo!$B$7:$B$210,Catalogo!$I$7:$I$210,"",0))</f>
        <v>Resistividades pH BSR BPA</v>
      </c>
      <c r="M166" s="36">
        <v>0.01</v>
      </c>
      <c r="N16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4" x14ac:dyDescent="0.25">
      <c r="A167" s="354">
        <v>46000</v>
      </c>
      <c r="B167" s="114" t="s">
        <v>30</v>
      </c>
      <c r="C167" s="155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76" t="str">
        <f>+_xlfn.XLOOKUP(Tabla1[[#This Row],[Codigo_actividad]],Conceptos!A:A,Conceptos!H:H)</f>
        <v>P2.05</v>
      </c>
      <c r="L167" s="57" t="str">
        <f>IF(_xlfn.XLOOKUP($J167,Catalogo!$B$7:$B$210,Catalogo!$I$7:$I$210,"",0)=0,"",_xlfn.XLOOKUP($J167,Catalogo!$B$7:$B$210,Catalogo!$I$7:$I$210,"",0))</f>
        <v>Resistividades pH BSR BPA</v>
      </c>
      <c r="M167" s="36">
        <v>1.2E-2</v>
      </c>
      <c r="N16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4" x14ac:dyDescent="0.25">
      <c r="A168" s="354">
        <v>46000</v>
      </c>
      <c r="B168" s="114" t="s">
        <v>30</v>
      </c>
      <c r="C168" s="155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76" t="str">
        <f>+_xlfn.XLOOKUP(Tabla1[[#This Row],[Codigo_actividad]],Conceptos!A:A,Conceptos!H:H)</f>
        <v>P2.05</v>
      </c>
      <c r="L168" s="57" t="str">
        <f>IF(_xlfn.XLOOKUP($J168,Catalogo!$B$7:$B$210,Catalogo!$I$7:$I$210,"",0)=0,"",_xlfn.XLOOKUP($J168,Catalogo!$B$7:$B$210,Catalogo!$I$7:$I$210,"",0))</f>
        <v>Resistividades pH BSR BPA</v>
      </c>
      <c r="M168" s="36">
        <v>5.5E-2</v>
      </c>
      <c r="N16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4" x14ac:dyDescent="0.25">
      <c r="A169" s="354">
        <v>46000</v>
      </c>
      <c r="B169" s="114" t="s">
        <v>30</v>
      </c>
      <c r="C169" s="155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76" t="str">
        <f>+_xlfn.XLOOKUP(Tabla1[[#This Row],[Codigo_actividad]],Conceptos!A:A,Conceptos!H:H)</f>
        <v>P2.05</v>
      </c>
      <c r="L169" s="57" t="str">
        <f>IF(_xlfn.XLOOKUP($J169,Catalogo!$B$7:$B$210,Catalogo!$I$7:$I$210,"",0)=0,"",_xlfn.XLOOKUP($J169,Catalogo!$B$7:$B$210,Catalogo!$I$7:$I$210,"",0))</f>
        <v>Resistividades pH BSR BPA</v>
      </c>
      <c r="M169" s="36">
        <v>6.3E-2</v>
      </c>
      <c r="N16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4" x14ac:dyDescent="0.25">
      <c r="A170" s="354">
        <v>46000</v>
      </c>
      <c r="B170" s="114" t="s">
        <v>30</v>
      </c>
      <c r="C170" s="155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76" t="str">
        <f>+_xlfn.XLOOKUP(Tabla1[[#This Row],[Codigo_actividad]],Conceptos!A:A,Conceptos!H:H)</f>
        <v>P2.05</v>
      </c>
      <c r="L170" s="57" t="str">
        <f>IF(_xlfn.XLOOKUP($J170,Catalogo!$B$7:$B$210,Catalogo!$I$7:$I$210,"",0)=0,"",_xlfn.XLOOKUP($J170,Catalogo!$B$7:$B$210,Catalogo!$I$7:$I$210,"",0))</f>
        <v>Resistividades pH BSR BPA</v>
      </c>
      <c r="M170" s="36">
        <v>0.28699999999999998</v>
      </c>
      <c r="N17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4" x14ac:dyDescent="0.25">
      <c r="A171" s="354">
        <v>46000</v>
      </c>
      <c r="B171" s="114" t="s">
        <v>30</v>
      </c>
      <c r="C171" s="155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76" t="str">
        <f>+_xlfn.XLOOKUP(Tabla1[[#This Row],[Codigo_actividad]],Conceptos!A:A,Conceptos!H:H)</f>
        <v>P2.05</v>
      </c>
      <c r="L171" s="57" t="str">
        <f>IF(_xlfn.XLOOKUP($J171,Catalogo!$B$7:$B$210,Catalogo!$I$7:$I$210,"",0)=0,"",_xlfn.XLOOKUP($J171,Catalogo!$B$7:$B$210,Catalogo!$I$7:$I$210,"",0))</f>
        <v>Resistividades pH BSR BPA</v>
      </c>
      <c r="M171" s="36">
        <v>1.0549999999999999</v>
      </c>
      <c r="N171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4" x14ac:dyDescent="0.25">
      <c r="A172" s="354">
        <v>46000</v>
      </c>
      <c r="B172" s="114" t="s">
        <v>30</v>
      </c>
      <c r="C172" s="155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76" t="str">
        <f>+_xlfn.XLOOKUP(Tabla1[[#This Row],[Codigo_actividad]],Conceptos!A:A,Conceptos!H:H)</f>
        <v>P2.05</v>
      </c>
      <c r="L172" s="57" t="str">
        <f>IF(_xlfn.XLOOKUP($J172,Catalogo!$B$7:$B$210,Catalogo!$I$7:$I$210,"",0)=0,"",_xlfn.XLOOKUP($J172,Catalogo!$B$7:$B$210,Catalogo!$I$7:$I$210,"",0))</f>
        <v>Resistividades pH BSR BPA</v>
      </c>
      <c r="M172" s="36">
        <v>1.488</v>
      </c>
      <c r="N172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4" x14ac:dyDescent="0.25">
      <c r="A173" s="354">
        <v>46000</v>
      </c>
      <c r="B173" s="114" t="s">
        <v>30</v>
      </c>
      <c r="C173" s="155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76" t="str">
        <f>+_xlfn.XLOOKUP(Tabla1[[#This Row],[Codigo_actividad]],Conceptos!A:A,Conceptos!H:H)</f>
        <v>P2.05</v>
      </c>
      <c r="L173" s="57" t="str">
        <f>IF(_xlfn.XLOOKUP($J173,Catalogo!$B$7:$B$210,Catalogo!$I$7:$I$210,"",0)=0,"",_xlfn.XLOOKUP($J173,Catalogo!$B$7:$B$210,Catalogo!$I$7:$I$210,"",0))</f>
        <v>Resistividades pH BSR BPA</v>
      </c>
      <c r="M173" s="36">
        <v>1.855</v>
      </c>
      <c r="N17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4" x14ac:dyDescent="0.25">
      <c r="A174" s="354"/>
      <c r="C174" s="155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76">
        <f>+_xlfn.XLOOKUP(Tabla1[[#This Row],[Codigo_actividad]],Conceptos!A:A,Conceptos!H:H)</f>
        <v>0</v>
      </c>
      <c r="L174" s="55" t="str">
        <f>IF(_xlfn.XLOOKUP($J174,Catalogo!$B$7:$B$210,Catalogo!$I$7:$I$210,"",0)=0,"",_xlfn.XLOOKUP($J174,Catalogo!$B$7:$B$210,Catalogo!$I$7:$I$210,"",0))</f>
        <v/>
      </c>
      <c r="M174" s="36"/>
      <c r="N1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4" x14ac:dyDescent="0.25">
      <c r="A175" s="354">
        <v>46001</v>
      </c>
      <c r="B175" s="114" t="s">
        <v>12</v>
      </c>
      <c r="C175" s="155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76" t="str">
        <f>+_xlfn.XLOOKUP(Tabla1[[#This Row],[Codigo_actividad]],Conceptos!A:A,Conceptos!H:H)</f>
        <v>P2.01</v>
      </c>
      <c r="L175" s="57" t="str">
        <f>IF(_xlfn.XLOOKUP($J175,Catalogo!$B$7:$B$210,Catalogo!$I$7:$I$210,"",0)=0,"",_xlfn.XLOOKUP($J175,Catalogo!$B$7:$B$210,Catalogo!$I$7:$I$210,"",0))</f>
        <v>CIPS</v>
      </c>
      <c r="M175" s="36">
        <v>25.4</v>
      </c>
      <c r="N175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4" x14ac:dyDescent="0.25">
      <c r="A176" s="354">
        <v>46001</v>
      </c>
      <c r="B176" s="114" t="s">
        <v>30</v>
      </c>
      <c r="C176" s="155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76" t="str">
        <f>+_xlfn.XLOOKUP(Tabla1[[#This Row],[Codigo_actividad]],Conceptos!A:A,Conceptos!H:H)</f>
        <v>P2.05</v>
      </c>
      <c r="L176" s="57" t="str">
        <f>IF(_xlfn.XLOOKUP($J176,Catalogo!$B$7:$B$210,Catalogo!$I$7:$I$210,"",0)=0,"",_xlfn.XLOOKUP($J176,Catalogo!$B$7:$B$210,Catalogo!$I$7:$I$210,"",0))</f>
        <v>Resistividades pH BSR BPA</v>
      </c>
      <c r="M176" s="36">
        <v>1.855</v>
      </c>
      <c r="N176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4" x14ac:dyDescent="0.25">
      <c r="A177" s="354">
        <v>46001</v>
      </c>
      <c r="B177" s="114" t="s">
        <v>30</v>
      </c>
      <c r="C177" s="155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76" t="str">
        <f>+_xlfn.XLOOKUP(Tabla1[[#This Row],[Codigo_actividad]],Conceptos!A:A,Conceptos!H:H)</f>
        <v>P2.05</v>
      </c>
      <c r="L177" s="57" t="str">
        <f>IF(_xlfn.XLOOKUP($J177,Catalogo!$B$7:$B$210,Catalogo!$I$7:$I$210,"",0)=0,"",_xlfn.XLOOKUP($J177,Catalogo!$B$7:$B$210,Catalogo!$I$7:$I$210,"",0))</f>
        <v>Resistividades pH BSR BPA</v>
      </c>
      <c r="M177" s="36">
        <v>0.26700000000000002</v>
      </c>
      <c r="N17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4" x14ac:dyDescent="0.25">
      <c r="A178" s="354">
        <v>46001</v>
      </c>
      <c r="B178" s="114" t="s">
        <v>30</v>
      </c>
      <c r="C178" s="155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76" t="str">
        <f>+_xlfn.XLOOKUP(Tabla1[[#This Row],[Codigo_actividad]],Conceptos!A:A,Conceptos!H:H)</f>
        <v>P2.05</v>
      </c>
      <c r="L178" s="57" t="str">
        <f>IF(_xlfn.XLOOKUP($J178,Catalogo!$B$7:$B$210,Catalogo!$I$7:$I$210,"",0)=0,"",_xlfn.XLOOKUP($J178,Catalogo!$B$7:$B$210,Catalogo!$I$7:$I$210,"",0))</f>
        <v>Resistividades pH BSR BPA</v>
      </c>
      <c r="M178" s="36">
        <v>1.1950000000000001</v>
      </c>
      <c r="N178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4" x14ac:dyDescent="0.25">
      <c r="A179" s="354">
        <v>46001</v>
      </c>
      <c r="B179" s="114" t="s">
        <v>30</v>
      </c>
      <c r="C179" s="155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76" t="str">
        <f>+_xlfn.XLOOKUP(Tabla1[[#This Row],[Codigo_actividad]],Conceptos!A:A,Conceptos!H:H)</f>
        <v>P2.05</v>
      </c>
      <c r="L179" s="57" t="str">
        <f>IF(_xlfn.XLOOKUP($J179,Catalogo!$B$7:$B$210,Catalogo!$I$7:$I$210,"",0)=0,"",_xlfn.XLOOKUP($J179,Catalogo!$B$7:$B$210,Catalogo!$I$7:$I$210,"",0))</f>
        <v>Resistividades pH BSR BPA</v>
      </c>
      <c r="M179" s="36">
        <v>0.12</v>
      </c>
      <c r="N17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4" x14ac:dyDescent="0.25">
      <c r="A180" s="354">
        <v>46001</v>
      </c>
      <c r="B180" s="114" t="s">
        <v>30</v>
      </c>
      <c r="C180" s="155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76" t="str">
        <f>+_xlfn.XLOOKUP(Tabla1[[#This Row],[Codigo_actividad]],Conceptos!A:A,Conceptos!H:H)</f>
        <v>P2.05</v>
      </c>
      <c r="L180" s="57" t="str">
        <f>IF(_xlfn.XLOOKUP($J180,Catalogo!$B$7:$B$210,Catalogo!$I$7:$I$210,"",0)=0,"",_xlfn.XLOOKUP($J180,Catalogo!$B$7:$B$210,Catalogo!$I$7:$I$210,"",0))</f>
        <v>Resistividades pH BSR BPA</v>
      </c>
      <c r="M180" s="36">
        <v>0.47899999999999998</v>
      </c>
      <c r="N18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4" x14ac:dyDescent="0.25">
      <c r="A181" s="354">
        <v>46001</v>
      </c>
      <c r="B181" s="114" t="s">
        <v>30</v>
      </c>
      <c r="C181" s="155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76" t="str">
        <f>+_xlfn.XLOOKUP(Tabla1[[#This Row],[Codigo_actividad]],Conceptos!A:A,Conceptos!H:H)</f>
        <v>P2.05</v>
      </c>
      <c r="L181" s="57" t="str">
        <f>IF(_xlfn.XLOOKUP($J181,Catalogo!$B$7:$B$210,Catalogo!$I$7:$I$210,"",0)=0,"",_xlfn.XLOOKUP($J181,Catalogo!$B$7:$B$210,Catalogo!$I$7:$I$210,"",0))</f>
        <v>Resistividades pH BSR BPA</v>
      </c>
      <c r="M181" s="36">
        <v>2.5760000000000001</v>
      </c>
      <c r="N181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4" x14ac:dyDescent="0.25">
      <c r="A182" s="354">
        <v>46001</v>
      </c>
      <c r="B182" s="114" t="s">
        <v>30</v>
      </c>
      <c r="C182" s="155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76" t="str">
        <f>+_xlfn.XLOOKUP(Tabla1[[#This Row],[Codigo_actividad]],Conceptos!A:A,Conceptos!H:H)</f>
        <v>P2.05</v>
      </c>
      <c r="L182" s="57" t="str">
        <f>IF(_xlfn.XLOOKUP($J182,Catalogo!$B$7:$B$210,Catalogo!$I$7:$I$210,"",0)=0,"",_xlfn.XLOOKUP($J182,Catalogo!$B$7:$B$210,Catalogo!$I$7:$I$210,"",0))</f>
        <v>Resistividades pH BSR BPA</v>
      </c>
      <c r="M182" s="36">
        <v>0.74099999999999999</v>
      </c>
      <c r="N18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4" x14ac:dyDescent="0.25">
      <c r="A183" s="354">
        <v>46001</v>
      </c>
      <c r="B183" s="114" t="s">
        <v>30</v>
      </c>
      <c r="C183" s="155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76" t="str">
        <f>+_xlfn.XLOOKUP(Tabla1[[#This Row],[Codigo_actividad]],Conceptos!A:A,Conceptos!H:H)</f>
        <v>P2.05</v>
      </c>
      <c r="L183" s="57" t="str">
        <f>IF(_xlfn.XLOOKUP($J183,Catalogo!$B$7:$B$210,Catalogo!$I$7:$I$210,"",0)=0,"",_xlfn.XLOOKUP($J183,Catalogo!$B$7:$B$210,Catalogo!$I$7:$I$210,"",0))</f>
        <v>Resistividades pH BSR BPA</v>
      </c>
      <c r="M183" s="36">
        <v>8.7999999999999995E-2</v>
      </c>
      <c r="N18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4" x14ac:dyDescent="0.25">
      <c r="A184" s="354"/>
      <c r="C184" s="155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76">
        <f>+_xlfn.XLOOKUP(Tabla1[[#This Row],[Codigo_actividad]],Conceptos!A:A,Conceptos!H:H)</f>
        <v>0</v>
      </c>
      <c r="L184" s="55" t="str">
        <f>IF(_xlfn.XLOOKUP($J184,Catalogo!$B$7:$B$210,Catalogo!$I$7:$I$210,"",0)=0,"",_xlfn.XLOOKUP($J184,Catalogo!$B$7:$B$210,Catalogo!$I$7:$I$210,"",0))</f>
        <v/>
      </c>
      <c r="M184" s="36"/>
      <c r="N1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4" x14ac:dyDescent="0.25">
      <c r="A185" s="354">
        <v>46002</v>
      </c>
      <c r="B185" s="114" t="s">
        <v>12</v>
      </c>
      <c r="C185" s="155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76" t="str">
        <f>+_xlfn.XLOOKUP(Tabla1[[#This Row],[Codigo_actividad]],Conceptos!A:A,Conceptos!H:H)</f>
        <v>P2.01</v>
      </c>
      <c r="L185" s="57" t="str">
        <f>IF(_xlfn.XLOOKUP($J185,Catalogo!$B$7:$B$210,Catalogo!$I$7:$I$210,"",0)=0,"",_xlfn.XLOOKUP($J185,Catalogo!$B$7:$B$210,Catalogo!$I$7:$I$210,"",0))</f>
        <v>CIPS</v>
      </c>
      <c r="M185" s="36">
        <v>25.4</v>
      </c>
      <c r="N185" s="261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4" x14ac:dyDescent="0.25">
      <c r="A186" s="354">
        <v>46003</v>
      </c>
      <c r="B186" s="114" t="s">
        <v>12</v>
      </c>
      <c r="C186" s="155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76" t="str">
        <f>+_xlfn.XLOOKUP(Tabla1[[#This Row],[Codigo_actividad]],Conceptos!A:A,Conceptos!H:H)</f>
        <v>P2.01</v>
      </c>
      <c r="L186" s="57" t="str">
        <f>IF(_xlfn.XLOOKUP($J186,Catalogo!$B$7:$B$210,Catalogo!$I$7:$I$210,"",0)=0,"",_xlfn.XLOOKUP($J186,Catalogo!$B$7:$B$210,Catalogo!$I$7:$I$210,"",0))</f>
        <v>CIPS</v>
      </c>
      <c r="M186" s="36">
        <v>25.4</v>
      </c>
      <c r="N186" s="261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4" x14ac:dyDescent="0.25">
      <c r="A187" s="354">
        <v>46004</v>
      </c>
      <c r="B187" s="114" t="s">
        <v>12</v>
      </c>
      <c r="C187" s="155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76" t="str">
        <f>+_xlfn.XLOOKUP(Tabla1[[#This Row],[Codigo_actividad]],Conceptos!A:A,Conceptos!H:H)</f>
        <v>P2.01</v>
      </c>
      <c r="L187" s="57" t="str">
        <f>IF(_xlfn.XLOOKUP($J187,Catalogo!$B$7:$B$210,Catalogo!$I$7:$I$210,"",0)=0,"",_xlfn.XLOOKUP($J187,Catalogo!$B$7:$B$210,Catalogo!$I$7:$I$210,"",0))</f>
        <v>CIPS</v>
      </c>
      <c r="M187" s="36">
        <v>25.4</v>
      </c>
      <c r="N187" s="261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4" x14ac:dyDescent="0.25">
      <c r="A188" s="354">
        <v>46006</v>
      </c>
      <c r="B188" s="114" t="s">
        <v>12</v>
      </c>
      <c r="C188" s="155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76" t="str">
        <f>+_xlfn.XLOOKUP(Tabla1[[#This Row],[Codigo_actividad]],Conceptos!A:A,Conceptos!H:H)</f>
        <v>P2.03</v>
      </c>
      <c r="L188" s="57" t="str">
        <f>IF(_xlfn.XLOOKUP($J188,Catalogo!$B$7:$B$210,Catalogo!$I$7:$I$210,"",0)=0,"",_xlfn.XLOOKUP($J188,Catalogo!$B$7:$B$210,Catalogo!$I$7:$I$210,"",0))</f>
        <v>DCVG</v>
      </c>
      <c r="M188" s="36">
        <v>10.44422</v>
      </c>
      <c r="N188" s="261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4" x14ac:dyDescent="0.25">
      <c r="A189" s="354">
        <v>46006</v>
      </c>
      <c r="B189" s="114" t="s">
        <v>29</v>
      </c>
      <c r="C189" s="155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76" t="str">
        <f>+_xlfn.XLOOKUP(Tabla1[[#This Row],[Codigo_actividad]],Conceptos!A:A,Conceptos!H:H)</f>
        <v>P2.03</v>
      </c>
      <c r="L189" s="57" t="str">
        <f>IF(_xlfn.XLOOKUP($J189,Catalogo!$B$7:$B$210,Catalogo!$I$7:$I$210,"",0)=0,"",_xlfn.XLOOKUP($J189,Catalogo!$B$7:$B$210,Catalogo!$I$7:$I$210,"",0))</f>
        <v>DCVG</v>
      </c>
      <c r="M189" s="36">
        <v>10.44422</v>
      </c>
      <c r="N189" s="261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4" x14ac:dyDescent="0.25">
      <c r="A190" s="354"/>
      <c r="B190" s="114"/>
      <c r="C190" s="155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76">
        <f>+_xlfn.XLOOKUP(Tabla1[[#This Row],[Codigo_actividad]],Conceptos!A:A,Conceptos!H:H)</f>
        <v>0</v>
      </c>
      <c r="L190" s="57" t="str">
        <f>IF(_xlfn.XLOOKUP($J190,Catalogo!$B$7:$B$210,Catalogo!$I$7:$I$210,"",0)=0,"",_xlfn.XLOOKUP($J190,Catalogo!$B$7:$B$210,Catalogo!$I$7:$I$210,"",0))</f>
        <v/>
      </c>
      <c r="M190" s="36"/>
      <c r="N1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4" x14ac:dyDescent="0.25">
      <c r="A191" s="354">
        <v>46007</v>
      </c>
      <c r="B191" s="114" t="s">
        <v>12</v>
      </c>
      <c r="C191" s="155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76" t="str">
        <f>+_xlfn.XLOOKUP(Tabla1[[#This Row],[Codigo_actividad]],Conceptos!A:A,Conceptos!H:H)</f>
        <v>P2.01</v>
      </c>
      <c r="L191" s="57" t="str">
        <f>IF(_xlfn.XLOOKUP($J191,Catalogo!$B$7:$B$210,Catalogo!$I$7:$I$210,"",0)=0,"",_xlfn.XLOOKUP($J191,Catalogo!$B$7:$B$210,Catalogo!$I$7:$I$210,"",0))</f>
        <v>CIPS</v>
      </c>
      <c r="M191" s="36">
        <v>0.02</v>
      </c>
      <c r="N191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4" x14ac:dyDescent="0.25">
      <c r="A192" s="354">
        <v>46007</v>
      </c>
      <c r="B192" s="114" t="s">
        <v>12</v>
      </c>
      <c r="C192" s="155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76" t="str">
        <f>+_xlfn.XLOOKUP(Tabla1[[#This Row],[Codigo_actividad]],Conceptos!A:A,Conceptos!H:H)</f>
        <v>P2.01</v>
      </c>
      <c r="L192" s="57" t="str">
        <f>IF(_xlfn.XLOOKUP($J192,Catalogo!$B$7:$B$210,Catalogo!$I$7:$I$210,"",0)=0,"",_xlfn.XLOOKUP($J192,Catalogo!$B$7:$B$210,Catalogo!$I$7:$I$210,"",0))</f>
        <v>CIPS</v>
      </c>
      <c r="M192" s="36">
        <v>7.0000000000000007E-2</v>
      </c>
      <c r="N192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4" x14ac:dyDescent="0.25">
      <c r="A193" s="354">
        <v>46007</v>
      </c>
      <c r="B193" s="114" t="s">
        <v>12</v>
      </c>
      <c r="C193" s="155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76" t="str">
        <f>+_xlfn.XLOOKUP(Tabla1[[#This Row],[Codigo_actividad]],Conceptos!A:A,Conceptos!H:H)</f>
        <v>P2.01</v>
      </c>
      <c r="L193" s="57" t="str">
        <f>IF(_xlfn.XLOOKUP($J193,Catalogo!$B$7:$B$210,Catalogo!$I$7:$I$210,"",0)=0,"",_xlfn.XLOOKUP($J193,Catalogo!$B$7:$B$210,Catalogo!$I$7:$I$210,"",0))</f>
        <v>CIPS</v>
      </c>
      <c r="M193" s="36">
        <v>7.0000000000000007E-2</v>
      </c>
      <c r="N193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4" x14ac:dyDescent="0.25">
      <c r="A194" s="354">
        <v>46007</v>
      </c>
      <c r="B194" s="114" t="s">
        <v>12</v>
      </c>
      <c r="C194" s="155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76" t="str">
        <f>+_xlfn.XLOOKUP(Tabla1[[#This Row],[Codigo_actividad]],Conceptos!A:A,Conceptos!H:H)</f>
        <v>P2.01</v>
      </c>
      <c r="L194" s="57" t="str">
        <f>IF(_xlfn.XLOOKUP($J194,Catalogo!$B$7:$B$210,Catalogo!$I$7:$I$210,"",0)=0,"",_xlfn.XLOOKUP($J194,Catalogo!$B$7:$B$210,Catalogo!$I$7:$I$210,"",0))</f>
        <v>CIPS</v>
      </c>
      <c r="M194" s="36">
        <v>1.4999999999999999E-2</v>
      </c>
      <c r="N194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4" x14ac:dyDescent="0.25">
      <c r="A195" s="354">
        <v>46007</v>
      </c>
      <c r="B195" s="114" t="s">
        <v>12</v>
      </c>
      <c r="C195" s="155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76" t="str">
        <f>+_xlfn.XLOOKUP(Tabla1[[#This Row],[Codigo_actividad]],Conceptos!A:A,Conceptos!H:H)</f>
        <v>P2.01</v>
      </c>
      <c r="L195" s="57" t="str">
        <f>IF(_xlfn.XLOOKUP($J195,Catalogo!$B$7:$B$210,Catalogo!$I$7:$I$210,"",0)=0,"",_xlfn.XLOOKUP($J195,Catalogo!$B$7:$B$210,Catalogo!$I$7:$I$210,"",0))</f>
        <v>CIPS</v>
      </c>
      <c r="M195" s="36">
        <v>0.01</v>
      </c>
      <c r="N195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4" x14ac:dyDescent="0.25">
      <c r="A196" s="354">
        <v>46007</v>
      </c>
      <c r="B196" s="114" t="s">
        <v>12</v>
      </c>
      <c r="C196" s="155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76" t="str">
        <f>+_xlfn.XLOOKUP(Tabla1[[#This Row],[Codigo_actividad]],Conceptos!A:A,Conceptos!H:H)</f>
        <v>P2.01</v>
      </c>
      <c r="L196" s="57" t="str">
        <f>IF(_xlfn.XLOOKUP($J196,Catalogo!$B$7:$B$210,Catalogo!$I$7:$I$210,"",0)=0,"",_xlfn.XLOOKUP($J196,Catalogo!$B$7:$B$210,Catalogo!$I$7:$I$210,"",0))</f>
        <v>CIPS</v>
      </c>
      <c r="M196" s="36">
        <v>0.01</v>
      </c>
      <c r="N196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4" x14ac:dyDescent="0.25">
      <c r="A197" s="354">
        <v>46007</v>
      </c>
      <c r="B197" s="114" t="s">
        <v>12</v>
      </c>
      <c r="C197" s="155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76" t="str">
        <f>+_xlfn.XLOOKUP(Tabla1[[#This Row],[Codigo_actividad]],Conceptos!A:A,Conceptos!H:H)</f>
        <v>P2.01</v>
      </c>
      <c r="L197" s="57" t="str">
        <f>IF(_xlfn.XLOOKUP($J197,Catalogo!$B$7:$B$210,Catalogo!$I$7:$I$210,"",0)=0,"",_xlfn.XLOOKUP($J197,Catalogo!$B$7:$B$210,Catalogo!$I$7:$I$210,"",0))</f>
        <v>CIPS</v>
      </c>
      <c r="M197" s="36">
        <v>1.4999999999999999E-2</v>
      </c>
      <c r="N19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4" x14ac:dyDescent="0.25">
      <c r="A198" s="354">
        <v>46007</v>
      </c>
      <c r="B198" s="114" t="s">
        <v>12</v>
      </c>
      <c r="C198" s="155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76" t="str">
        <f>+_xlfn.XLOOKUP(Tabla1[[#This Row],[Codigo_actividad]],Conceptos!A:A,Conceptos!H:H)</f>
        <v>P2.01</v>
      </c>
      <c r="L198" s="57" t="str">
        <f>IF(_xlfn.XLOOKUP($J198,Catalogo!$B$7:$B$210,Catalogo!$I$7:$I$210,"",0)=0,"",_xlfn.XLOOKUP($J198,Catalogo!$B$7:$B$210,Catalogo!$I$7:$I$210,"",0))</f>
        <v>CIPS</v>
      </c>
      <c r="M198" s="36">
        <v>1.9E-2</v>
      </c>
      <c r="N198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4" x14ac:dyDescent="0.25">
      <c r="A199" s="354">
        <v>46007</v>
      </c>
      <c r="B199" s="114" t="s">
        <v>12</v>
      </c>
      <c r="C199" s="155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76" t="str">
        <f>+_xlfn.XLOOKUP(Tabla1[[#This Row],[Codigo_actividad]],Conceptos!A:A,Conceptos!H:H)</f>
        <v>P2.01</v>
      </c>
      <c r="L199" s="57" t="str">
        <f>IF(_xlfn.XLOOKUP($J199,Catalogo!$B$7:$B$210,Catalogo!$I$7:$I$210,"",0)=0,"",_xlfn.XLOOKUP($J199,Catalogo!$B$7:$B$210,Catalogo!$I$7:$I$210,"",0))</f>
        <v>CIPS</v>
      </c>
      <c r="M199" s="36">
        <v>8.0000000000000002E-3</v>
      </c>
      <c r="N199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4" x14ac:dyDescent="0.25">
      <c r="A200" s="354">
        <v>46007</v>
      </c>
      <c r="B200" s="114" t="s">
        <v>12</v>
      </c>
      <c r="C200" s="155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76" t="str">
        <f>+_xlfn.XLOOKUP(Tabla1[[#This Row],[Codigo_actividad]],Conceptos!A:A,Conceptos!H:H)</f>
        <v>P2.01</v>
      </c>
      <c r="L200" s="57" t="str">
        <f>IF(_xlfn.XLOOKUP($J200,Catalogo!$B$7:$B$210,Catalogo!$I$7:$I$210,"",0)=0,"",_xlfn.XLOOKUP($J200,Catalogo!$B$7:$B$210,Catalogo!$I$7:$I$210,"",0))</f>
        <v>CIPS</v>
      </c>
      <c r="M200" s="36">
        <v>0.01</v>
      </c>
      <c r="N200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4" x14ac:dyDescent="0.25">
      <c r="A201" s="354">
        <v>46007</v>
      </c>
      <c r="B201" s="114" t="s">
        <v>12</v>
      </c>
      <c r="C201" s="155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76" t="str">
        <f>+_xlfn.XLOOKUP(Tabla1[[#This Row],[Codigo_actividad]],Conceptos!A:A,Conceptos!H:H)</f>
        <v>P2.01</v>
      </c>
      <c r="L201" s="57" t="str">
        <f>IF(_xlfn.XLOOKUP($J201,Catalogo!$B$7:$B$210,Catalogo!$I$7:$I$210,"",0)=0,"",_xlfn.XLOOKUP($J201,Catalogo!$B$7:$B$210,Catalogo!$I$7:$I$210,"",0))</f>
        <v>CIPS</v>
      </c>
      <c r="M201" s="36">
        <v>1.2E-2</v>
      </c>
      <c r="N20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4" x14ac:dyDescent="0.25">
      <c r="A202" s="354">
        <v>46007</v>
      </c>
      <c r="B202" s="114" t="s">
        <v>12</v>
      </c>
      <c r="C202" s="155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76" t="str">
        <f>+_xlfn.XLOOKUP(Tabla1[[#This Row],[Codigo_actividad]],Conceptos!A:A,Conceptos!H:H)</f>
        <v>P2.01</v>
      </c>
      <c r="L202" s="57" t="str">
        <f>IF(_xlfn.XLOOKUP($J202,Catalogo!$B$7:$B$210,Catalogo!$I$7:$I$210,"",0)=0,"",_xlfn.XLOOKUP($J202,Catalogo!$B$7:$B$210,Catalogo!$I$7:$I$210,"",0))</f>
        <v>CIPS</v>
      </c>
      <c r="M202" s="36">
        <v>7.0000000000000001E-3</v>
      </c>
      <c r="N202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4" x14ac:dyDescent="0.25">
      <c r="A203" s="354">
        <v>46007</v>
      </c>
      <c r="B203" s="114" t="s">
        <v>12</v>
      </c>
      <c r="C203" s="155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76" t="str">
        <f>+_xlfn.XLOOKUP(Tabla1[[#This Row],[Codigo_actividad]],Conceptos!A:A,Conceptos!H:H)</f>
        <v>P2.01</v>
      </c>
      <c r="L203" s="57" t="str">
        <f>IF(_xlfn.XLOOKUP($J203,Catalogo!$B$7:$B$210,Catalogo!$I$7:$I$210,"",0)=0,"",_xlfn.XLOOKUP($J203,Catalogo!$B$7:$B$210,Catalogo!$I$7:$I$210,"",0))</f>
        <v>CIPS</v>
      </c>
      <c r="M203" s="36">
        <v>1.9E-2</v>
      </c>
      <c r="N203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4" x14ac:dyDescent="0.25">
      <c r="A204" s="354"/>
      <c r="B204" s="114"/>
      <c r="C204" s="155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76">
        <f>+_xlfn.XLOOKUP(Tabla1[[#This Row],[Codigo_actividad]],Conceptos!A:A,Conceptos!H:H)</f>
        <v>0</v>
      </c>
      <c r="L204" s="57" t="str">
        <f>IF(_xlfn.XLOOKUP($J204,Catalogo!$B$7:$B$210,Catalogo!$I$7:$I$210,"",0)=0,"",_xlfn.XLOOKUP($J204,Catalogo!$B$7:$B$210,Catalogo!$I$7:$I$210,"",0))</f>
        <v/>
      </c>
      <c r="M204" s="36"/>
      <c r="N2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4" x14ac:dyDescent="0.25">
      <c r="A205" s="354">
        <v>46008</v>
      </c>
      <c r="B205" s="114" t="s">
        <v>12</v>
      </c>
      <c r="C205" s="155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76" t="str">
        <f>+_xlfn.XLOOKUP(Tabla1[[#This Row],[Codigo_actividad]],Conceptos!A:A,Conceptos!H:H)</f>
        <v>P2.01</v>
      </c>
      <c r="L205" s="57" t="str">
        <f>IF(_xlfn.XLOOKUP($J205,Catalogo!$B$7:$B$210,Catalogo!$I$7:$I$210,"",0)=0,"",_xlfn.XLOOKUP($J205,Catalogo!$B$7:$B$210,Catalogo!$I$7:$I$210,"",0))</f>
        <v>CIPS</v>
      </c>
      <c r="M205" s="36">
        <v>1.2E-2</v>
      </c>
      <c r="N205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4" x14ac:dyDescent="0.25">
      <c r="A206" s="354">
        <v>46008</v>
      </c>
      <c r="B206" s="114" t="s">
        <v>12</v>
      </c>
      <c r="C206" s="155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76" t="str">
        <f>+_xlfn.XLOOKUP(Tabla1[[#This Row],[Codigo_actividad]],Conceptos!A:A,Conceptos!H:H)</f>
        <v>P2.06</v>
      </c>
      <c r="L206" s="57" t="str">
        <f>IF(_xlfn.XLOOKUP($J206,Catalogo!$B$7:$B$210,Catalogo!$I$7:$I$210,"",0)=0,"",_xlfn.XLOOKUP($J206,Catalogo!$B$7:$B$210,Catalogo!$I$7:$I$210,"",0))</f>
        <v>Localizacion</v>
      </c>
      <c r="M206" s="36">
        <v>1.2E-2</v>
      </c>
      <c r="N206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4" x14ac:dyDescent="0.25">
      <c r="A207" s="354">
        <v>46008</v>
      </c>
      <c r="B207" s="114" t="s">
        <v>12</v>
      </c>
      <c r="C207" s="155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76" t="str">
        <f>+_xlfn.XLOOKUP(Tabla1[[#This Row],[Codigo_actividad]],Conceptos!A:A,Conceptos!H:H)</f>
        <v>P2.01</v>
      </c>
      <c r="L207" s="57" t="str">
        <f>IF(_xlfn.XLOOKUP($J207,Catalogo!$B$7:$B$210,Catalogo!$I$7:$I$210,"",0)=0,"",_xlfn.XLOOKUP($J207,Catalogo!$B$7:$B$210,Catalogo!$I$7:$I$210,"",0))</f>
        <v>CIPS</v>
      </c>
      <c r="M207" s="36">
        <v>1.7000000000000001E-2</v>
      </c>
      <c r="N207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4" x14ac:dyDescent="0.25">
      <c r="A208" s="354">
        <v>46008</v>
      </c>
      <c r="B208" s="114" t="s">
        <v>12</v>
      </c>
      <c r="C208" s="155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76" t="str">
        <f>+_xlfn.XLOOKUP(Tabla1[[#This Row],[Codigo_actividad]],Conceptos!A:A,Conceptos!H:H)</f>
        <v>P2.01</v>
      </c>
      <c r="L208" s="57" t="str">
        <f>IF(_xlfn.XLOOKUP($J208,Catalogo!$B$7:$B$210,Catalogo!$I$7:$I$210,"",0)=0,"",_xlfn.XLOOKUP($J208,Catalogo!$B$7:$B$210,Catalogo!$I$7:$I$210,"",0))</f>
        <v>CIPS</v>
      </c>
      <c r="M208" s="36">
        <v>1.0999999999999999E-2</v>
      </c>
      <c r="N208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4" x14ac:dyDescent="0.25">
      <c r="A209" s="354">
        <v>46008</v>
      </c>
      <c r="B209" s="114" t="s">
        <v>12</v>
      </c>
      <c r="C209" s="155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76" t="str">
        <f>+_xlfn.XLOOKUP(Tabla1[[#This Row],[Codigo_actividad]],Conceptos!A:A,Conceptos!H:H)</f>
        <v>P2.01</v>
      </c>
      <c r="L209" s="57" t="str">
        <f>IF(_xlfn.XLOOKUP($J209,Catalogo!$B$7:$B$210,Catalogo!$I$7:$I$210,"",0)=0,"",_xlfn.XLOOKUP($J209,Catalogo!$B$7:$B$210,Catalogo!$I$7:$I$210,"",0))</f>
        <v>CIPS</v>
      </c>
      <c r="M209" s="36">
        <v>1.2999999999999999E-2</v>
      </c>
      <c r="N209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4" x14ac:dyDescent="0.25">
      <c r="A210" s="354">
        <v>46008</v>
      </c>
      <c r="B210" s="114" t="s">
        <v>12</v>
      </c>
      <c r="C210" s="155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76" t="str">
        <f>+_xlfn.XLOOKUP(Tabla1[[#This Row],[Codigo_actividad]],Conceptos!A:A,Conceptos!H:H)</f>
        <v>P2.01</v>
      </c>
      <c r="L210" s="57" t="str">
        <f>IF(_xlfn.XLOOKUP($J210,Catalogo!$B$7:$B$210,Catalogo!$I$7:$I$210,"",0)=0,"",_xlfn.XLOOKUP($J210,Catalogo!$B$7:$B$210,Catalogo!$I$7:$I$210,"",0))</f>
        <v>CIPS</v>
      </c>
      <c r="M210" s="36">
        <v>0.12</v>
      </c>
      <c r="N210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4" x14ac:dyDescent="0.25">
      <c r="A211" s="354">
        <v>46008</v>
      </c>
      <c r="B211" s="114" t="s">
        <v>12</v>
      </c>
      <c r="C211" s="155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76" t="str">
        <f>+_xlfn.XLOOKUP(Tabla1[[#This Row],[Codigo_actividad]],Conceptos!A:A,Conceptos!H:H)</f>
        <v>P2.01</v>
      </c>
      <c r="L211" s="57" t="str">
        <f>IF(_xlfn.XLOOKUP($J211,Catalogo!$B$7:$B$210,Catalogo!$I$7:$I$210,"",0)=0,"",_xlfn.XLOOKUP($J211,Catalogo!$B$7:$B$210,Catalogo!$I$7:$I$210,"",0))</f>
        <v>CIPS</v>
      </c>
      <c r="M211" s="36">
        <v>6.0000000000000001E-3</v>
      </c>
      <c r="N211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4" x14ac:dyDescent="0.25">
      <c r="A212" s="354">
        <v>46008</v>
      </c>
      <c r="B212" s="114" t="s">
        <v>12</v>
      </c>
      <c r="C212" s="155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76" t="str">
        <f>+_xlfn.XLOOKUP(Tabla1[[#This Row],[Codigo_actividad]],Conceptos!A:A,Conceptos!H:H)</f>
        <v>P2.01</v>
      </c>
      <c r="L212" s="57" t="str">
        <f>IF(_xlfn.XLOOKUP($J212,Catalogo!$B$7:$B$210,Catalogo!$I$7:$I$210,"",0)=0,"",_xlfn.XLOOKUP($J212,Catalogo!$B$7:$B$210,Catalogo!$I$7:$I$210,"",0))</f>
        <v>CIPS</v>
      </c>
      <c r="M212" s="36">
        <v>0.04</v>
      </c>
      <c r="N212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4" x14ac:dyDescent="0.25">
      <c r="A213" s="354">
        <v>46008</v>
      </c>
      <c r="B213" s="114" t="s">
        <v>12</v>
      </c>
      <c r="C213" s="155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76" t="str">
        <f>+_xlfn.XLOOKUP(Tabla1[[#This Row],[Codigo_actividad]],Conceptos!A:A,Conceptos!H:H)</f>
        <v>P2.01</v>
      </c>
      <c r="L213" s="57" t="str">
        <f>IF(_xlfn.XLOOKUP($J213,Catalogo!$B$7:$B$210,Catalogo!$I$7:$I$210,"",0)=0,"",_xlfn.XLOOKUP($J213,Catalogo!$B$7:$B$210,Catalogo!$I$7:$I$210,"",0))</f>
        <v>CIPS</v>
      </c>
      <c r="M213" s="36">
        <v>0.02</v>
      </c>
      <c r="N213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4" x14ac:dyDescent="0.25">
      <c r="A214" s="354">
        <v>46008</v>
      </c>
      <c r="B214" s="114" t="s">
        <v>12</v>
      </c>
      <c r="C214" s="155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76" t="str">
        <f>+_xlfn.XLOOKUP(Tabla1[[#This Row],[Codigo_actividad]],Conceptos!A:A,Conceptos!H:H)</f>
        <v>P2.01</v>
      </c>
      <c r="L214" s="57" t="str">
        <f>IF(_xlfn.XLOOKUP($J214,Catalogo!$B$7:$B$210,Catalogo!$I$7:$I$210,"",0)=0,"",_xlfn.XLOOKUP($J214,Catalogo!$B$7:$B$210,Catalogo!$I$7:$I$210,"",0))</f>
        <v>CIPS</v>
      </c>
      <c r="M214" s="36">
        <v>0.125</v>
      </c>
      <c r="N214" s="261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4" x14ac:dyDescent="0.25">
      <c r="A215" s="354">
        <v>46008</v>
      </c>
      <c r="B215" s="114" t="s">
        <v>29</v>
      </c>
      <c r="C215" s="155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76" t="str">
        <f>+_xlfn.XLOOKUP(Tabla1[[#This Row],[Codigo_actividad]],Conceptos!A:A,Conceptos!H:H)</f>
        <v>P2.06</v>
      </c>
      <c r="L215" s="57" t="str">
        <f>IF(_xlfn.XLOOKUP($J215,Catalogo!$B$7:$B$210,Catalogo!$I$7:$I$210,"",0)=0,"",_xlfn.XLOOKUP($J215,Catalogo!$B$7:$B$210,Catalogo!$I$7:$I$210,"",0))</f>
        <v>Localizacion</v>
      </c>
      <c r="M215" s="36">
        <v>12.657</v>
      </c>
      <c r="N215" s="261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4" x14ac:dyDescent="0.25">
      <c r="A216" s="354"/>
      <c r="B216" s="114"/>
      <c r="C216" s="155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76">
        <f>+_xlfn.XLOOKUP(Tabla1[[#This Row],[Codigo_actividad]],Conceptos!A:A,Conceptos!H:H)</f>
        <v>0</v>
      </c>
      <c r="L216" s="57" t="str">
        <f>IF(_xlfn.XLOOKUP($J216,Catalogo!$B$7:$B$210,Catalogo!$I$7:$I$210,"",0)=0,"",_xlfn.XLOOKUP($J216,Catalogo!$B$7:$B$210,Catalogo!$I$7:$I$210,"",0))</f>
        <v/>
      </c>
      <c r="M216" s="36"/>
      <c r="N21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4" x14ac:dyDescent="0.25">
      <c r="A217" s="354">
        <v>46009</v>
      </c>
      <c r="B217" s="114" t="s">
        <v>12</v>
      </c>
      <c r="C217" s="155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76" t="str">
        <f>+_xlfn.XLOOKUP(Tabla1[[#This Row],[Codigo_actividad]],Conceptos!A:A,Conceptos!H:H)</f>
        <v>P2.06</v>
      </c>
      <c r="L217" s="57" t="str">
        <f>IF(_xlfn.XLOOKUP($J217,Catalogo!$B$7:$B$210,Catalogo!$I$7:$I$210,"",0)=0,"",_xlfn.XLOOKUP($J217,Catalogo!$B$7:$B$210,Catalogo!$I$7:$I$210,"",0))</f>
        <v>Localizacion</v>
      </c>
      <c r="M217" s="36">
        <f>+_xlfn.XLOOKUP(Tabla1[[#This Row],[Ducto]],$D$1:$D$163,$M$1:$M$163)</f>
        <v>12.657</v>
      </c>
      <c r="N217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4" x14ac:dyDescent="0.25">
      <c r="A218" s="354"/>
      <c r="B218" s="114"/>
      <c r="C218" s="155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76">
        <f>+_xlfn.XLOOKUP(Tabla1[[#This Row],[Codigo_actividad]],Conceptos!A:A,Conceptos!H:H)</f>
        <v>0</v>
      </c>
      <c r="L218" s="57" t="str">
        <f>IF(_xlfn.XLOOKUP($J218,Catalogo!$B$7:$B$210,Catalogo!$I$7:$I$210,"",0)=0,"",_xlfn.XLOOKUP($J218,Catalogo!$B$7:$B$210,Catalogo!$I$7:$I$210,"",0))</f>
        <v/>
      </c>
      <c r="M218" s="36"/>
      <c r="N21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4" x14ac:dyDescent="0.25">
      <c r="A219" s="354">
        <v>46010</v>
      </c>
      <c r="B219" s="114" t="s">
        <v>12</v>
      </c>
      <c r="C219" s="155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76" t="str">
        <f>+_xlfn.XLOOKUP(Tabla1[[#This Row],[Codigo_actividad]],Conceptos!A:A,Conceptos!H:H)</f>
        <v>P2.01</v>
      </c>
      <c r="L219" s="57" t="str">
        <f>IF(_xlfn.XLOOKUP($J219,Catalogo!$B$7:$B$210,Catalogo!$I$7:$I$210,"",0)=0,"",_xlfn.XLOOKUP($J219,Catalogo!$B$7:$B$210,Catalogo!$I$7:$I$210,"",0))</f>
        <v>CIPS</v>
      </c>
      <c r="M219" s="36">
        <f>+_xlfn.XLOOKUP(Tabla1[[#This Row],[Ducto]],$D$1:$D$163,$M$1:$M$163)</f>
        <v>25.4</v>
      </c>
      <c r="N219" s="261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4" x14ac:dyDescent="0.25">
      <c r="A220" s="354">
        <v>46010</v>
      </c>
      <c r="B220" s="114" t="s">
        <v>12</v>
      </c>
      <c r="C220" s="155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76" t="str">
        <f>+_xlfn.XLOOKUP(Tabla1[[#This Row],[Codigo_actividad]],Conceptos!A:A,Conceptos!H:H)</f>
        <v>P2.01</v>
      </c>
      <c r="L220" s="57" t="str">
        <f>IF(_xlfn.XLOOKUP($J220,Catalogo!$B$7:$B$210,Catalogo!$I$7:$I$210,"",0)=0,"",_xlfn.XLOOKUP($J220,Catalogo!$B$7:$B$210,Catalogo!$I$7:$I$210,"",0))</f>
        <v>CIPS</v>
      </c>
      <c r="M220" s="36">
        <f>+_xlfn.XLOOKUP(Tabla1[[#This Row],[Ducto]],$D$1:$D$163,$M$1:$M$163)</f>
        <v>0.74099999999999999</v>
      </c>
      <c r="N220" s="261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4" x14ac:dyDescent="0.25">
      <c r="A221" s="354">
        <v>46010</v>
      </c>
      <c r="B221" s="114" t="s">
        <v>12</v>
      </c>
      <c r="C221" s="155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76" t="str">
        <f>+_xlfn.XLOOKUP(Tabla1[[#This Row],[Codigo_actividad]],Conceptos!A:A,Conceptos!H:H)</f>
        <v>P2.01</v>
      </c>
      <c r="L221" s="57" t="str">
        <f>IF(_xlfn.XLOOKUP($J221,Catalogo!$B$7:$B$210,Catalogo!$I$7:$I$210,"",0)=0,"",_xlfn.XLOOKUP($J221,Catalogo!$B$7:$B$210,Catalogo!$I$7:$I$210,"",0))</f>
        <v>CIPS</v>
      </c>
      <c r="M221" s="36">
        <f>+_xlfn.XLOOKUP(Tabla1[[#This Row],[Ducto]],$D$1:$D$163,$M$1:$M$163)</f>
        <v>5.0000000000000001E-3</v>
      </c>
      <c r="N221" s="261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4" x14ac:dyDescent="0.25">
      <c r="A222" s="354">
        <v>45982</v>
      </c>
      <c r="B222" s="38" t="s">
        <v>29</v>
      </c>
      <c r="C222" s="155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24" t="str">
        <f>+_xlfn.XLOOKUP(Tabla1[[#This Row],[Codigo_actividad]],Conceptos!A:A,Conceptos!H:H)</f>
        <v>P2.01</v>
      </c>
      <c r="L222" s="57" t="str">
        <f>IF(_xlfn.XLOOKUP($J222,Catalogo!$B$7:$B$210,Catalogo!$I$7:$I$210,"",0)=0,"",_xlfn.XLOOKUP($J222,Catalogo!$B$7:$B$210,Catalogo!$I$7:$I$210,"",0))</f>
        <v>CIPS</v>
      </c>
      <c r="M222" s="36">
        <v>8.9999999999999993E-3</v>
      </c>
      <c r="N222" s="261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4" x14ac:dyDescent="0.25">
      <c r="A223" s="354"/>
      <c r="B223" s="114"/>
      <c r="C223" s="155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76">
        <f>+_xlfn.XLOOKUP(Tabla1[[#This Row],[Codigo_actividad]],Conceptos!A:A,Conceptos!H:H)</f>
        <v>0</v>
      </c>
      <c r="L223" s="57" t="str">
        <f>IF(_xlfn.XLOOKUP($J223,Catalogo!$B$7:$B$210,Catalogo!$I$7:$I$210,"",0)=0,"",_xlfn.XLOOKUP($J223,Catalogo!$B$7:$B$210,Catalogo!$I$7:$I$210,"",0))</f>
        <v/>
      </c>
      <c r="M223" s="36"/>
      <c r="N22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4" x14ac:dyDescent="0.25">
      <c r="A224" s="354">
        <v>46011</v>
      </c>
      <c r="B224" s="114" t="s">
        <v>12</v>
      </c>
      <c r="C224" s="155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76" t="str">
        <f>+_xlfn.XLOOKUP(Tabla1[[#This Row],[Codigo_actividad]],Conceptos!A:A,Conceptos!H:H)</f>
        <v>P2.01</v>
      </c>
      <c r="L224" s="57" t="str">
        <f>IF(_xlfn.XLOOKUP($J224,Catalogo!$B$7:$B$210,Catalogo!$I$7:$I$210,"",0)=0,"",_xlfn.XLOOKUP($J224,Catalogo!$B$7:$B$210,Catalogo!$I$7:$I$210,"",0))</f>
        <v>CIPS</v>
      </c>
      <c r="M224" s="36">
        <f>+_xlfn.XLOOKUP(Tabla1[[#This Row],[Ducto]],$D$1:$D$163,$M$1:$M$163)</f>
        <v>1.982</v>
      </c>
      <c r="N224" s="261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4" x14ac:dyDescent="0.25">
      <c r="A225" s="354">
        <v>46011</v>
      </c>
      <c r="B225" s="114" t="s">
        <v>12</v>
      </c>
      <c r="C225" s="155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76" t="str">
        <f>+_xlfn.XLOOKUP(Tabla1[[#This Row],[Codigo_actividad]],Conceptos!A:A,Conceptos!H:H)</f>
        <v>P2.01</v>
      </c>
      <c r="L225" s="57" t="str">
        <f>IF(_xlfn.XLOOKUP($J225,Catalogo!$B$7:$B$210,Catalogo!$I$7:$I$210,"",0)=0,"",_xlfn.XLOOKUP($J225,Catalogo!$B$7:$B$210,Catalogo!$I$7:$I$210,"",0))</f>
        <v>CIPS</v>
      </c>
      <c r="M225" s="36">
        <f>+_xlfn.XLOOKUP(Tabla1[[#This Row],[Ducto]],$D$1:$D$163,$M$1:$M$163)</f>
        <v>0.17499999999999999</v>
      </c>
      <c r="N225" s="261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4" x14ac:dyDescent="0.25">
      <c r="A226" s="354">
        <v>46011</v>
      </c>
      <c r="B226" s="114" t="s">
        <v>12</v>
      </c>
      <c r="C226" s="155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76" t="str">
        <f>+_xlfn.XLOOKUP(Tabla1[[#This Row],[Codigo_actividad]],Conceptos!A:A,Conceptos!H:H)</f>
        <v>P2.01</v>
      </c>
      <c r="L226" s="57" t="str">
        <f>IF(_xlfn.XLOOKUP($J226,Catalogo!$B$7:$B$210,Catalogo!$I$7:$I$210,"",0)=0,"",_xlfn.XLOOKUP($J226,Catalogo!$B$7:$B$210,Catalogo!$I$7:$I$210,"",0))</f>
        <v>CIPS</v>
      </c>
      <c r="M226" s="36">
        <f>+_xlfn.XLOOKUP(Tabla1[[#This Row],[Ducto]],$D$1:$D$163,$M$1:$M$163)</f>
        <v>1.4999999999999999E-2</v>
      </c>
      <c r="N226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4" x14ac:dyDescent="0.25">
      <c r="A227" s="354"/>
      <c r="B227" s="114"/>
      <c r="C227" s="155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76">
        <f>+_xlfn.XLOOKUP(Tabla1[[#This Row],[Codigo_actividad]],Conceptos!A:A,Conceptos!H:H)</f>
        <v>0</v>
      </c>
      <c r="L227" s="57" t="str">
        <f>IF(_xlfn.XLOOKUP($J227,Catalogo!$B$7:$B$210,Catalogo!$I$7:$I$210,"",0)=0,"",_xlfn.XLOOKUP($J227,Catalogo!$B$7:$B$210,Catalogo!$I$7:$I$210,"",0))</f>
        <v/>
      </c>
      <c r="M227" s="36"/>
      <c r="N22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4" x14ac:dyDescent="0.25">
      <c r="A228" s="354">
        <v>46013</v>
      </c>
      <c r="B228" s="114" t="s">
        <v>12</v>
      </c>
      <c r="C228" s="155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76" t="str">
        <f>+_xlfn.XLOOKUP(Tabla1[[#This Row],[Codigo_actividad]],Conceptos!A:A,Conceptos!H:H)</f>
        <v>P2.01</v>
      </c>
      <c r="L228" s="57" t="str">
        <f>IF(_xlfn.XLOOKUP($J228,Catalogo!$B$7:$B$210,Catalogo!$I$7:$I$210,"",0)=0,"",_xlfn.XLOOKUP($J228,Catalogo!$B$7:$B$210,Catalogo!$I$7:$I$210,"",0))</f>
        <v>CIPS</v>
      </c>
      <c r="M228" s="36">
        <f>+_xlfn.XLOOKUP(Tabla1[[#This Row],[Ducto]],$D$1:$D$163,$M$1:$M$163)</f>
        <v>1.0549999999999999</v>
      </c>
      <c r="N228" s="261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4" x14ac:dyDescent="0.25">
      <c r="A229" s="354">
        <v>46013</v>
      </c>
      <c r="B229" s="114" t="s">
        <v>12</v>
      </c>
      <c r="C229" s="155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76" t="str">
        <f>+_xlfn.XLOOKUP(Tabla1[[#This Row],[Codigo_actividad]],Conceptos!A:A,Conceptos!H:H)</f>
        <v>P2.01</v>
      </c>
      <c r="L229" s="57" t="str">
        <f>IF(_xlfn.XLOOKUP($J229,Catalogo!$B$7:$B$210,Catalogo!$I$7:$I$210,"",0)=0,"",_xlfn.XLOOKUP($J229,Catalogo!$B$7:$B$210,Catalogo!$I$7:$I$210,"",0))</f>
        <v>CIPS</v>
      </c>
      <c r="M229" s="36">
        <f>+_xlfn.XLOOKUP(Tabla1[[#This Row],[Ducto]],$D$1:$D$163,$M$1:$M$163)</f>
        <v>1.488</v>
      </c>
      <c r="N229" s="261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4" x14ac:dyDescent="0.25">
      <c r="A230" s="354">
        <v>46013</v>
      </c>
      <c r="B230" s="114" t="s">
        <v>12</v>
      </c>
      <c r="C230" s="155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76" t="str">
        <f>+_xlfn.XLOOKUP(Tabla1[[#This Row],[Codigo_actividad]],Conceptos!A:A,Conceptos!H:H)</f>
        <v>P2.01</v>
      </c>
      <c r="L230" s="57" t="str">
        <f>IF(_xlfn.XLOOKUP($J230,Catalogo!$B$7:$B$210,Catalogo!$I$7:$I$210,"",0)=0,"",_xlfn.XLOOKUP($J230,Catalogo!$B$7:$B$210,Catalogo!$I$7:$I$210,"",0))</f>
        <v>CIPS</v>
      </c>
      <c r="M230" s="36">
        <f>+_xlfn.XLOOKUP(Tabla1[[#This Row],[Ducto]],$D$1:$D$163,$M$1:$M$163)</f>
        <v>7.0000000000000001E-3</v>
      </c>
      <c r="N230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4" x14ac:dyDescent="0.25">
      <c r="A231" s="354"/>
      <c r="B231" s="114"/>
      <c r="C231" s="155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76">
        <f>+_xlfn.XLOOKUP(Tabla1[[#This Row],[Codigo_actividad]],Conceptos!A:A,Conceptos!H:H)</f>
        <v>0</v>
      </c>
      <c r="L231" s="57" t="str">
        <f>IF(_xlfn.XLOOKUP($J231,Catalogo!$B$7:$B$210,Catalogo!$I$7:$I$210,"",0)=0,"",_xlfn.XLOOKUP($J231,Catalogo!$B$7:$B$210,Catalogo!$I$7:$I$210,"",0))</f>
        <v/>
      </c>
      <c r="M231" s="36"/>
      <c r="N23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4" x14ac:dyDescent="0.25">
      <c r="A232" s="354">
        <v>46027</v>
      </c>
      <c r="B232" s="114" t="s">
        <v>12</v>
      </c>
      <c r="C232" s="155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76" t="str">
        <f>+_xlfn.XLOOKUP(Tabla1[[#This Row],[Codigo_actividad]],Conceptos!A:A,Conceptos!H:H)</f>
        <v>P2.01</v>
      </c>
      <c r="L232" s="57" t="str">
        <f>IF(_xlfn.XLOOKUP($J232,Catalogo!$B$7:$B$210,Catalogo!$I$7:$I$210,"",0)=0,"",_xlfn.XLOOKUP($J232,Catalogo!$B$7:$B$210,Catalogo!$I$7:$I$210,"",0))</f>
        <v>CIPS</v>
      </c>
      <c r="M232" s="36">
        <f>+_xlfn.XLOOKUP(Tabla1[[#This Row],[Ducto]],$D$1:$D$163,$M$1:$M$163)</f>
        <v>5.5E-2</v>
      </c>
      <c r="N232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4" x14ac:dyDescent="0.25">
      <c r="A233" s="354">
        <v>46027</v>
      </c>
      <c r="B233" s="114" t="s">
        <v>12</v>
      </c>
      <c r="C233" s="155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76" t="str">
        <f>+_xlfn.XLOOKUP(Tabla1[[#This Row],[Codigo_actividad]],Conceptos!A:A,Conceptos!H:H)</f>
        <v>P2.01</v>
      </c>
      <c r="L233" s="57" t="str">
        <f>IF(_xlfn.XLOOKUP($J233,Catalogo!$B$7:$B$210,Catalogo!$I$7:$I$210,"",0)=0,"",_xlfn.XLOOKUP($J233,Catalogo!$B$7:$B$210,Catalogo!$I$7:$I$210,"",0))</f>
        <v>CIPS</v>
      </c>
      <c r="M233" s="36">
        <f>+_xlfn.XLOOKUP(Tabla1[[#This Row],[Ducto]],$D$1:$D$163,$M$1:$M$163)</f>
        <v>6.3E-2</v>
      </c>
      <c r="N233" s="261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4" x14ac:dyDescent="0.25">
      <c r="A234" s="354">
        <v>46027</v>
      </c>
      <c r="B234" s="114" t="s">
        <v>12</v>
      </c>
      <c r="C234" s="155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76" t="str">
        <f>+_xlfn.XLOOKUP(Tabla1[[#This Row],[Codigo_actividad]],Conceptos!A:A,Conceptos!H:H)</f>
        <v>P2.01</v>
      </c>
      <c r="L234" s="57" t="str">
        <f>IF(_xlfn.XLOOKUP($J234,Catalogo!$B$7:$B$210,Catalogo!$I$7:$I$210,"",0)=0,"",_xlfn.XLOOKUP($J234,Catalogo!$B$7:$B$210,Catalogo!$I$7:$I$210,"",0))</f>
        <v>CIPS</v>
      </c>
      <c r="M234" s="36">
        <f>+_xlfn.XLOOKUP(Tabla1[[#This Row],[Ducto]],$D$1:$D$163,$M$1:$M$163)</f>
        <v>5.5E-2</v>
      </c>
      <c r="N234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4" x14ac:dyDescent="0.25">
      <c r="A235" s="354">
        <v>46027</v>
      </c>
      <c r="B235" s="114" t="s">
        <v>12</v>
      </c>
      <c r="C235" s="155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76" t="str">
        <f>+_xlfn.XLOOKUP(Tabla1[[#This Row],[Codigo_actividad]],Conceptos!A:A,Conceptos!H:H)</f>
        <v>P2.01</v>
      </c>
      <c r="L235" s="57" t="str">
        <f>IF(_xlfn.XLOOKUP($J235,Catalogo!$B$7:$B$210,Catalogo!$I$7:$I$210,"",0)=0,"",_xlfn.XLOOKUP($J235,Catalogo!$B$7:$B$210,Catalogo!$I$7:$I$210,"",0))</f>
        <v>CIPS</v>
      </c>
      <c r="M235" s="36">
        <f>+_xlfn.XLOOKUP(Tabla1[[#This Row],[Ducto]],$D$1:$D$163,$M$1:$M$163)</f>
        <v>0.26700000000000002</v>
      </c>
      <c r="N235" s="261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4" x14ac:dyDescent="0.25">
      <c r="A236" s="354">
        <v>46027</v>
      </c>
      <c r="B236" s="114" t="s">
        <v>12</v>
      </c>
      <c r="C236" s="155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76" t="str">
        <f>+_xlfn.XLOOKUP(Tabla1[[#This Row],[Codigo_actividad]],Conceptos!A:A,Conceptos!H:H)</f>
        <v>P2.06</v>
      </c>
      <c r="L236" s="57" t="str">
        <f>IF(_xlfn.XLOOKUP($J236,Catalogo!$B$7:$B$210,Catalogo!$I$7:$I$210,"",0)=0,"",_xlfn.XLOOKUP($J236,Catalogo!$B$7:$B$210,Catalogo!$I$7:$I$210,"",0))</f>
        <v>Localizacion</v>
      </c>
      <c r="M236" s="36">
        <f>+_xlfn.XLOOKUP(Tabla1[[#This Row],[Ducto]],$D$1:$D$163,$M$1:$M$163)</f>
        <v>12.657</v>
      </c>
      <c r="N236" s="261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4" x14ac:dyDescent="0.25">
      <c r="A237" s="354"/>
      <c r="B237" s="114"/>
      <c r="C237" s="155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76">
        <f>+_xlfn.XLOOKUP(Tabla1[[#This Row],[Codigo_actividad]],Conceptos!A:A,Conceptos!H:H)</f>
        <v>0</v>
      </c>
      <c r="L237" s="57"/>
      <c r="M237" s="36"/>
      <c r="N23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4" x14ac:dyDescent="0.25">
      <c r="A238" s="354">
        <v>46028</v>
      </c>
      <c r="B238" s="114" t="s">
        <v>12</v>
      </c>
      <c r="C238" s="155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76" t="str">
        <f>+_xlfn.XLOOKUP(Tabla1[[#This Row],[Codigo_actividad]],Conceptos!A:A,Conceptos!H:H)</f>
        <v>P2.01</v>
      </c>
      <c r="L238" s="57" t="str">
        <f>IF(_xlfn.XLOOKUP($J238,Catalogo!$B$7:$B$210,Catalogo!$I$7:$I$210,"",0)=0,"",_xlfn.XLOOKUP($J238,Catalogo!$B$7:$B$210,Catalogo!$I$7:$I$210,"",0))</f>
        <v>CIPS</v>
      </c>
      <c r="M238" s="36">
        <f>+_xlfn.XLOOKUP(Tabla1[[#This Row],[Ducto]],$D$1:$D$163,$M$1:$M$163)</f>
        <v>2.2000000000000002</v>
      </c>
      <c r="N238" s="261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4" x14ac:dyDescent="0.25">
      <c r="A239" s="354">
        <v>46028</v>
      </c>
      <c r="B239" s="114" t="s">
        <v>12</v>
      </c>
      <c r="C239" s="155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76" t="str">
        <f>+_xlfn.XLOOKUP(Tabla1[[#This Row],[Codigo_actividad]],Conceptos!A:A,Conceptos!H:H)</f>
        <v>P2.01</v>
      </c>
      <c r="L239" s="57" t="str">
        <f>IF(_xlfn.XLOOKUP($J239,Catalogo!$B$7:$B$210,Catalogo!$I$7:$I$210,"",0)=0,"",_xlfn.XLOOKUP($J239,Catalogo!$B$7:$B$210,Catalogo!$I$7:$I$210,"",0))</f>
        <v>CIPS</v>
      </c>
      <c r="M239" s="36">
        <f>+_xlfn.XLOOKUP(Tabla1[[#This Row],[Ducto]],$D$1:$D$163,$M$1:$M$163)</f>
        <v>2.5760000000000001</v>
      </c>
      <c r="N239" s="261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4" x14ac:dyDescent="0.25">
      <c r="A240" s="354">
        <v>46028</v>
      </c>
      <c r="B240" s="114" t="s">
        <v>12</v>
      </c>
      <c r="C240" s="155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76" t="str">
        <f>+_xlfn.XLOOKUP(Tabla1[[#This Row],[Codigo_actividad]],Conceptos!A:A,Conceptos!H:H)</f>
        <v>P2.06</v>
      </c>
      <c r="L240" s="57" t="str">
        <f>IF(_xlfn.XLOOKUP($J240,Catalogo!$B$7:$B$210,Catalogo!$I$7:$I$210,"",0)=0,"",_xlfn.XLOOKUP($J240,Catalogo!$B$7:$B$210,Catalogo!$I$7:$I$210,"",0))</f>
        <v>Localizacion</v>
      </c>
      <c r="M240" s="36">
        <f>+_xlfn.XLOOKUP(Tabla1[[#This Row],[Ducto]],$D$1:$D$163,$M$1:$M$163)</f>
        <v>12.657</v>
      </c>
      <c r="N240" s="261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4" x14ac:dyDescent="0.25">
      <c r="A241" s="354">
        <v>46028</v>
      </c>
      <c r="B241" s="114" t="s">
        <v>12</v>
      </c>
      <c r="C241" s="155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76" t="str">
        <f>+_xlfn.XLOOKUP(Tabla1[[#This Row],[Codigo_actividad]],Conceptos!A:A,Conceptos!H:H)</f>
        <v>P2.06</v>
      </c>
      <c r="L241" s="57" t="str">
        <f>IF(_xlfn.XLOOKUP($J241,Catalogo!$B$7:$B$210,Catalogo!$I$7:$I$210,"",0)=0,"",_xlfn.XLOOKUP($J241,Catalogo!$B$7:$B$210,Catalogo!$I$7:$I$210,"",0))</f>
        <v>Localizacion</v>
      </c>
      <c r="M241" s="36">
        <f>+_xlfn.XLOOKUP(Tabla1[[#This Row],[Ducto]],$D$1:$D$163,$M$1:$M$163)</f>
        <v>2.2770000000000001</v>
      </c>
      <c r="N241" s="261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4" x14ac:dyDescent="0.25">
      <c r="A242" s="354"/>
      <c r="C242" s="155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76">
        <f>+_xlfn.XLOOKUP(Tabla1[[#This Row],[Codigo_actividad]],Conceptos!A:A,Conceptos!H:H)</f>
        <v>0</v>
      </c>
      <c r="L242" s="55" t="str">
        <f>IF(_xlfn.XLOOKUP($J242,Catalogo!$B$7:$B$210,Catalogo!$I$7:$I$210,"",0)=0,"",_xlfn.XLOOKUP($J242,Catalogo!$B$7:$B$210,Catalogo!$I$7:$I$210,"",0))</f>
        <v/>
      </c>
      <c r="M242" s="36"/>
      <c r="N24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4" x14ac:dyDescent="0.25">
      <c r="A243" s="354">
        <v>46029</v>
      </c>
      <c r="B243" s="114" t="s">
        <v>12</v>
      </c>
      <c r="C243" s="155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76" t="str">
        <f>+_xlfn.XLOOKUP(Tabla1[[#This Row],[Codigo_actividad]],Conceptos!A:A,Conceptos!H:H)</f>
        <v>P2.03</v>
      </c>
      <c r="L243" s="57" t="str">
        <f>IF(_xlfn.XLOOKUP($J243,Catalogo!$B$7:$B$210,Catalogo!$I$7:$I$210,"",0)=0,"",_xlfn.XLOOKUP($J243,Catalogo!$B$7:$B$210,Catalogo!$I$7:$I$210,"",0))</f>
        <v>DCVG</v>
      </c>
      <c r="M243" s="36">
        <f>+_xlfn.XLOOKUP(Tabla1[[#This Row],[Ducto]],$D$1:$D$163,$M$1:$M$163)</f>
        <v>12.657</v>
      </c>
      <c r="N243" s="261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4" x14ac:dyDescent="0.25">
      <c r="A244" s="354">
        <v>46029</v>
      </c>
      <c r="B244" s="114" t="s">
        <v>29</v>
      </c>
      <c r="C244" s="155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76" t="str">
        <f>+_xlfn.XLOOKUP(Tabla1[[#This Row],[Codigo_actividad]],Conceptos!A:A,Conceptos!H:H)</f>
        <v>P2.03</v>
      </c>
      <c r="L244" s="57" t="str">
        <f>IF(_xlfn.XLOOKUP($J244,Catalogo!$B$7:$B$210,Catalogo!$I$7:$I$210,"",0)=0,"",_xlfn.XLOOKUP($J244,Catalogo!$B$7:$B$210,Catalogo!$I$7:$I$210,"",0))</f>
        <v>DCVG</v>
      </c>
      <c r="M244" s="36">
        <f>+_xlfn.XLOOKUP(Tabla1[[#This Row],[Ducto]],$D$1:$D$163,$M$1:$M$163)</f>
        <v>12.657</v>
      </c>
      <c r="N244" s="261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4" x14ac:dyDescent="0.25">
      <c r="A245" s="354">
        <v>46029</v>
      </c>
      <c r="B245" s="114" t="s">
        <v>30</v>
      </c>
      <c r="C245" s="155" t="s">
        <v>265</v>
      </c>
      <c r="D245" s="39" t="s">
        <v>265</v>
      </c>
      <c r="E245" s="40" t="s">
        <v>31</v>
      </c>
      <c r="F245" s="28">
        <v>0</v>
      </c>
      <c r="G245" s="173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76" t="str">
        <f>+_xlfn.XLOOKUP(Tabla1[[#This Row],[Codigo_actividad]],Conceptos!A:A,Conceptos!H:H)</f>
        <v>P2.05</v>
      </c>
      <c r="L245" s="55" t="str">
        <f>IF(_xlfn.XLOOKUP($J245,Catalogo!$B$7:$B$210,Catalogo!$I$7:$I$210,"",0)=0,"",_xlfn.XLOOKUP($J245,Catalogo!$B$7:$B$210,Catalogo!$I$7:$I$210,"",0))</f>
        <v>Resistividades pH BSR BPA</v>
      </c>
      <c r="M245" s="161">
        <v>8.0000000000000002E-3</v>
      </c>
      <c r="N2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4" x14ac:dyDescent="0.25">
      <c r="A246" s="354">
        <v>46029</v>
      </c>
      <c r="B246" s="114" t="s">
        <v>30</v>
      </c>
      <c r="C246" s="155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76" t="str">
        <f>+_xlfn.XLOOKUP(Tabla1[[#This Row],[Codigo_actividad]],Conceptos!A:A,Conceptos!H:H)</f>
        <v>P2.05</v>
      </c>
      <c r="L246" s="55" t="str">
        <f>IF(_xlfn.XLOOKUP($J246,Catalogo!$B$7:$B$210,Catalogo!$I$7:$I$210,"",0)=0,"",_xlfn.XLOOKUP($J246,Catalogo!$B$7:$B$210,Catalogo!$I$7:$I$210,"",0))</f>
        <v>Resistividades pH BSR BPA</v>
      </c>
      <c r="M246" s="36">
        <v>0.36599999999999999</v>
      </c>
      <c r="N2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4" x14ac:dyDescent="0.25">
      <c r="A247" s="354">
        <v>46029</v>
      </c>
      <c r="B247" s="114" t="s">
        <v>30</v>
      </c>
      <c r="C247" s="155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76" t="str">
        <f>+_xlfn.XLOOKUP(Tabla1[[#This Row],[Codigo_actividad]],Conceptos!A:A,Conceptos!H:H)</f>
        <v>P2.05</v>
      </c>
      <c r="L247" s="55" t="str">
        <f>IF(_xlfn.XLOOKUP($J247,Catalogo!$B$7:$B$210,Catalogo!$I$7:$I$210,"",0)=0,"",_xlfn.XLOOKUP($J247,Catalogo!$B$7:$B$210,Catalogo!$I$7:$I$210,"",0))</f>
        <v>Resistividades pH BSR BPA</v>
      </c>
      <c r="M247" s="36">
        <v>1.175</v>
      </c>
      <c r="N247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4" x14ac:dyDescent="0.25">
      <c r="A248" s="354"/>
      <c r="C248" s="155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>
        <f>+_xlfn.XLOOKUP(Tabla1[[#This Row],[Codigo_actividad]],Conceptos!A:A,Conceptos!H:H)</f>
        <v>0</v>
      </c>
      <c r="L248" s="55" t="str">
        <f>IF(_xlfn.XLOOKUP($J248,Catalogo!$B$7:$B$210,Catalogo!$I$7:$I$210,"",0)=0,"",_xlfn.XLOOKUP($J248,Catalogo!$B$7:$B$210,Catalogo!$I$7:$I$210,"",0))</f>
        <v/>
      </c>
      <c r="M248" s="36"/>
      <c r="N24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4" x14ac:dyDescent="0.25">
      <c r="A249" s="354">
        <v>46030</v>
      </c>
      <c r="B249" s="114" t="s">
        <v>12</v>
      </c>
      <c r="C249" s="155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76" t="str">
        <f>+_xlfn.XLOOKUP(Tabla1[[#This Row],[Codigo_actividad]],Conceptos!A:A,Conceptos!H:H)</f>
        <v>P2.03</v>
      </c>
      <c r="L249" s="57" t="str">
        <f>IF(_xlfn.XLOOKUP($J249,Catalogo!$B$7:$B$210,Catalogo!$I$7:$I$210,"",0)=0,"",_xlfn.XLOOKUP($J249,Catalogo!$B$7:$B$210,Catalogo!$I$7:$I$210,"",0))</f>
        <v>DCVG</v>
      </c>
      <c r="M249" s="36">
        <f>+_xlfn.XLOOKUP(Tabla1[[#This Row],[Ducto]],$D$1:$D$163,$M$1:$M$163)</f>
        <v>12.657</v>
      </c>
      <c r="N249" s="261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4" x14ac:dyDescent="0.25">
      <c r="A250" s="354">
        <v>46030</v>
      </c>
      <c r="B250" s="114" t="s">
        <v>29</v>
      </c>
      <c r="C250" s="155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76" t="str">
        <f>+_xlfn.XLOOKUP(Tabla1[[#This Row],[Codigo_actividad]],Conceptos!A:A,Conceptos!H:H)</f>
        <v>P2.03</v>
      </c>
      <c r="L250" s="57" t="str">
        <f>IF(_xlfn.XLOOKUP($J250,Catalogo!$B$7:$B$210,Catalogo!$I$7:$I$210,"",0)=0,"",_xlfn.XLOOKUP($J250,Catalogo!$B$7:$B$210,Catalogo!$I$7:$I$210,"",0))</f>
        <v>DCVG</v>
      </c>
      <c r="M250" s="36">
        <f>+_xlfn.XLOOKUP(Tabla1[[#This Row],[Ducto]],$D$1:$D$163,$M$1:$M$163)</f>
        <v>2.2770000000000001</v>
      </c>
      <c r="N250" s="261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4" x14ac:dyDescent="0.25">
      <c r="A251" s="354">
        <v>46030</v>
      </c>
      <c r="B251" s="114" t="s">
        <v>30</v>
      </c>
      <c r="C251" s="155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76" t="str">
        <f>+_xlfn.XLOOKUP(Tabla1[[#This Row],[Codigo_actividad]],Conceptos!A:A,Conceptos!H:H)</f>
        <v>P2.05</v>
      </c>
      <c r="L251" s="57" t="str">
        <f>IF(_xlfn.XLOOKUP($J251,Catalogo!$B$7:$B$210,Catalogo!$I$7:$I$210,"",0)=0,"",_xlfn.XLOOKUP($J251,Catalogo!$B$7:$B$210,Catalogo!$I$7:$I$210,"",0))</f>
        <v>Resistividades pH BSR BPA</v>
      </c>
      <c r="M251" s="36">
        <v>3.5</v>
      </c>
      <c r="N251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4" x14ac:dyDescent="0.25">
      <c r="A252" s="354">
        <v>46030</v>
      </c>
      <c r="B252" s="114" t="s">
        <v>30</v>
      </c>
      <c r="C252" s="155" t="s">
        <v>335</v>
      </c>
      <c r="D252" s="39" t="s">
        <v>336</v>
      </c>
      <c r="E252" s="40" t="s">
        <v>31</v>
      </c>
      <c r="F252" s="28">
        <v>0</v>
      </c>
      <c r="G252" s="173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76" t="str">
        <f>+_xlfn.XLOOKUP(Tabla1[[#This Row],[Codigo_actividad]],Conceptos!A:A,Conceptos!H:H)</f>
        <v>P2.05</v>
      </c>
      <c r="L252" s="57" t="str">
        <f>IF(_xlfn.XLOOKUP($J252,Catalogo!$B$7:$B$210,Catalogo!$I$7:$I$210,"",0)=0,"",_xlfn.XLOOKUP($J252,Catalogo!$B$7:$B$210,Catalogo!$I$7:$I$210,"",0))</f>
        <v>Resistividades pH BSR BPA</v>
      </c>
      <c r="M252" s="161">
        <v>2.4E-2</v>
      </c>
      <c r="N2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4" x14ac:dyDescent="0.25">
      <c r="A253" s="354"/>
      <c r="C253" s="155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>
        <f>+_xlfn.XLOOKUP(Tabla1[[#This Row],[Codigo_actividad]],Conceptos!A:A,Conceptos!H:H)</f>
        <v>0</v>
      </c>
      <c r="L253" s="55" t="str">
        <f>IF(_xlfn.XLOOKUP($J253,Catalogo!$B$7:$B$210,Catalogo!$I$7:$I$210,"",0)=0,"",_xlfn.XLOOKUP($J253,Catalogo!$B$7:$B$210,Catalogo!$I$7:$I$210,"",0))</f>
        <v/>
      </c>
      <c r="M253" s="36"/>
      <c r="N2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4" x14ac:dyDescent="0.25">
      <c r="A254" s="354">
        <v>46031</v>
      </c>
      <c r="B254" s="114" t="s">
        <v>12</v>
      </c>
      <c r="C254" s="155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76" t="str">
        <f>+_xlfn.XLOOKUP(Tabla1[[#This Row],[Codigo_actividad]],Conceptos!A:A,Conceptos!H:H)</f>
        <v>P2.01</v>
      </c>
      <c r="L254" s="57" t="str">
        <f>IF(_xlfn.XLOOKUP($J254,Catalogo!$B$7:$B$210,Catalogo!$I$7:$I$210,"",0)=0,"",_xlfn.XLOOKUP($J254,Catalogo!$B$7:$B$210,Catalogo!$I$7:$I$210,"",0))</f>
        <v>CIPS</v>
      </c>
      <c r="M254" s="36">
        <v>0.28699999999999998</v>
      </c>
      <c r="N254" s="261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4" x14ac:dyDescent="0.25">
      <c r="A255" s="354">
        <v>46031</v>
      </c>
      <c r="B255" s="114" t="s">
        <v>12</v>
      </c>
      <c r="C255" s="155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76" t="str">
        <f>+_xlfn.XLOOKUP(Tabla1[[#This Row],[Codigo_actividad]],Conceptos!A:A,Conceptos!H:H)</f>
        <v>P2.01</v>
      </c>
      <c r="L255" s="57" t="str">
        <f>IF(_xlfn.XLOOKUP($J255,Catalogo!$B$7:$B$210,Catalogo!$I$7:$I$210,"",0)=0,"",_xlfn.XLOOKUP($J255,Catalogo!$B$7:$B$210,Catalogo!$I$7:$I$210,"",0))</f>
        <v>CIPS</v>
      </c>
      <c r="M255" s="36">
        <f>+_xlfn.XLOOKUP(Tabla1[[#This Row],[Ducto]],$D$1:$D$163,$M$1:$M$163)</f>
        <v>0.47899999999999998</v>
      </c>
      <c r="N255" s="261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4" x14ac:dyDescent="0.25">
      <c r="A256" s="354">
        <v>46031</v>
      </c>
      <c r="B256" s="114" t="s">
        <v>12</v>
      </c>
      <c r="C256" s="155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76" t="str">
        <f>+_xlfn.XLOOKUP(Tabla1[[#This Row],[Codigo_actividad]],Conceptos!A:A,Conceptos!H:H)</f>
        <v>P2.01</v>
      </c>
      <c r="L256" s="57" t="str">
        <f>IF(_xlfn.XLOOKUP($J256,Catalogo!$B$7:$B$210,Catalogo!$I$7:$I$210,"",0)=0,"",_xlfn.XLOOKUP($J256,Catalogo!$B$7:$B$210,Catalogo!$I$7:$I$210,"",0))</f>
        <v>CIPS</v>
      </c>
      <c r="M256" s="36">
        <f>+_xlfn.XLOOKUP(Tabla1[[#This Row],[Ducto]],$D$1:$D$163,$M$1:$M$163)</f>
        <v>1.1950000000000001</v>
      </c>
      <c r="N256" s="261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4" x14ac:dyDescent="0.25">
      <c r="A257" s="354">
        <v>46031</v>
      </c>
      <c r="B257" s="114" t="s">
        <v>29</v>
      </c>
      <c r="C257" s="155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76" t="str">
        <f>+_xlfn.XLOOKUP(Tabla1[[#This Row],[Codigo_actividad]],Conceptos!A:A,Conceptos!H:H)</f>
        <v>P2.06</v>
      </c>
      <c r="L257" s="57" t="str">
        <f>IF(_xlfn.XLOOKUP($J257,Catalogo!$B$7:$B$210,Catalogo!$I$7:$I$210,"",0)=0,"",_xlfn.XLOOKUP($J257,Catalogo!$B$7:$B$210,Catalogo!$I$7:$I$210,"",0))</f>
        <v>Localizacion</v>
      </c>
      <c r="M257" s="36">
        <v>0.28699999999999998</v>
      </c>
      <c r="N257" s="261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4" x14ac:dyDescent="0.25">
      <c r="A258" s="354">
        <v>46031</v>
      </c>
      <c r="B258" s="114" t="s">
        <v>30</v>
      </c>
      <c r="C258" s="155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76" t="str">
        <f>+_xlfn.XLOOKUP(Tabla1[[#This Row],[Codigo_actividad]],Conceptos!A:A,Conceptos!H:H)</f>
        <v>P2.05</v>
      </c>
      <c r="L258" s="57" t="str">
        <f>IF(_xlfn.XLOOKUP($J258,Catalogo!$B$7:$B$210,Catalogo!$I$7:$I$210,"",0)=0,"",_xlfn.XLOOKUP($J258,Catalogo!$B$7:$B$210,Catalogo!$I$7:$I$210,"",0))</f>
        <v>Resistividades pH BSR BPA</v>
      </c>
      <c r="M258" s="36">
        <v>23.864000000000001</v>
      </c>
      <c r="N25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4" x14ac:dyDescent="0.25">
      <c r="A259" s="354"/>
      <c r="C259" s="155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76">
        <f>+_xlfn.XLOOKUP(Tabla1[[#This Row],[Codigo_actividad]],Conceptos!A:A,Conceptos!H:H)</f>
        <v>0</v>
      </c>
      <c r="L259" s="66" t="str">
        <f>IF(_xlfn.XLOOKUP($J259,Catalogo!$B$7:$B$210,Catalogo!$I$7:$I$210,"",0)=0,"",_xlfn.XLOOKUP($J259,Catalogo!$B$7:$B$210,Catalogo!$I$7:$I$210,"",0))</f>
        <v/>
      </c>
      <c r="M259" s="36"/>
      <c r="N2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4" x14ac:dyDescent="0.25">
      <c r="A260" s="354">
        <v>46032</v>
      </c>
      <c r="B260" s="114" t="s">
        <v>12</v>
      </c>
      <c r="C260" s="155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76" t="str">
        <f>+_xlfn.XLOOKUP(Tabla1[[#This Row],[Codigo_actividad]],Conceptos!A:A,Conceptos!H:H)</f>
        <v>P2.01</v>
      </c>
      <c r="L260" s="66" t="str">
        <f>IF(_xlfn.XLOOKUP($J260,Catalogo!$B$7:$B$210,Catalogo!$I$7:$I$210,"",0)=0,"",_xlfn.XLOOKUP($J260,Catalogo!$B$7:$B$210,Catalogo!$I$7:$I$210,"",0))</f>
        <v>CIPS</v>
      </c>
      <c r="M260" s="36">
        <f>+_xlfn.XLOOKUP(Tabla1[[#This Row],[Ducto]],$D$1:$D$163,$M$1:$M$163)</f>
        <v>1.02</v>
      </c>
      <c r="N260" s="261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4" x14ac:dyDescent="0.25">
      <c r="A261" s="354">
        <v>46032</v>
      </c>
      <c r="B261" s="114" t="s">
        <v>12</v>
      </c>
      <c r="C261" s="155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76" t="str">
        <f>+_xlfn.XLOOKUP(Tabla1[[#This Row],[Codigo_actividad]],Conceptos!A:A,Conceptos!H:H)</f>
        <v>P2.01</v>
      </c>
      <c r="L261" s="66" t="str">
        <f>IF(_xlfn.XLOOKUP($J261,Catalogo!$B$7:$B$210,Catalogo!$I$7:$I$210,"",0)=0,"",_xlfn.XLOOKUP($J261,Catalogo!$B$7:$B$210,Catalogo!$I$7:$I$210,"",0))</f>
        <v>CIPS</v>
      </c>
      <c r="M261" s="36">
        <f>+_xlfn.XLOOKUP(Tabla1[[#This Row],[Ducto]],$D$1:$D$163,$M$1:$M$163)</f>
        <v>0.188</v>
      </c>
      <c r="N261" s="261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4" x14ac:dyDescent="0.25">
      <c r="A262" s="354"/>
      <c r="B262" s="114"/>
      <c r="C262" s="155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>
        <f>+_xlfn.XLOOKUP(Tabla1[[#This Row],[Codigo_actividad]],Conceptos!A:A,Conceptos!H:H)</f>
        <v>0</v>
      </c>
      <c r="L262" s="66" t="str">
        <f>IF(_xlfn.XLOOKUP($J262,Catalogo!$B$7:$B$210,Catalogo!$I$7:$I$210,"",0)=0,"",_xlfn.XLOOKUP($J262,Catalogo!$B$7:$B$210,Catalogo!$I$7:$I$210,"",0))</f>
        <v/>
      </c>
      <c r="M262" s="36"/>
      <c r="N2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4" x14ac:dyDescent="0.25">
      <c r="A263" s="354">
        <v>46033</v>
      </c>
      <c r="B263" s="114" t="s">
        <v>12</v>
      </c>
      <c r="C263" s="155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76" t="str">
        <f>+_xlfn.XLOOKUP(Tabla1[[#This Row],[Codigo_actividad]],Conceptos!A:A,Conceptos!H:H)</f>
        <v>P2.01</v>
      </c>
      <c r="L263" s="66" t="str">
        <f>IF(_xlfn.XLOOKUP($J263,Catalogo!$B$7:$B$210,Catalogo!$I$7:$I$210,"",0)=0,"",_xlfn.XLOOKUP($J263,Catalogo!$B$7:$B$210,Catalogo!$I$7:$I$210,"",0))</f>
        <v>CIPS</v>
      </c>
      <c r="M263" s="36">
        <f>+_xlfn.XLOOKUP(Tabla1[[#This Row],[Ducto]],$D$1:$D$163,$M$1:$M$163)</f>
        <v>8.7999999999999995E-2</v>
      </c>
      <c r="N263" s="261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4" x14ac:dyDescent="0.25">
      <c r="A264" s="354">
        <v>46033</v>
      </c>
      <c r="B264" s="114" t="s">
        <v>12</v>
      </c>
      <c r="C264" s="155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76" t="str">
        <f>+_xlfn.XLOOKUP(Tabla1[[#This Row],[Codigo_actividad]],Conceptos!A:A,Conceptos!H:H)</f>
        <v>P2.01</v>
      </c>
      <c r="L264" s="66" t="str">
        <f>IF(_xlfn.XLOOKUP($J264,Catalogo!$B$7:$B$210,Catalogo!$I$7:$I$210,"",0)=0,"",_xlfn.XLOOKUP($J264,Catalogo!$B$7:$B$210,Catalogo!$I$7:$I$210,"",0))</f>
        <v>CIPS</v>
      </c>
      <c r="M264" s="36">
        <f>+_xlfn.XLOOKUP(Tabla1[[#This Row],[Ducto]],$D$1:$D$163,$M$1:$M$163)</f>
        <v>1.054</v>
      </c>
      <c r="N264" s="261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4" x14ac:dyDescent="0.25">
      <c r="A265" s="354"/>
      <c r="B265" s="114"/>
      <c r="C265" s="155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>
        <f>+_xlfn.XLOOKUP(Tabla1[[#This Row],[Codigo_actividad]],Conceptos!A:A,Conceptos!H:H)</f>
        <v>0</v>
      </c>
      <c r="L265" s="66" t="str">
        <f>IF(_xlfn.XLOOKUP($J265,Catalogo!$B$7:$B$210,Catalogo!$I$7:$I$210,"",0)=0,"",_xlfn.XLOOKUP($J265,Catalogo!$B$7:$B$210,Catalogo!$I$7:$I$210,"",0))</f>
        <v/>
      </c>
      <c r="M265" s="36"/>
      <c r="N2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4" x14ac:dyDescent="0.25">
      <c r="A266" s="354">
        <v>46034</v>
      </c>
      <c r="B266" s="114" t="s">
        <v>12</v>
      </c>
      <c r="C266" s="155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76" t="str">
        <f>+_xlfn.XLOOKUP(Tabla1[[#This Row],[Codigo_actividad]],Conceptos!A:A,Conceptos!H:H)</f>
        <v>P2.01</v>
      </c>
      <c r="L266" s="66" t="str">
        <f>IF(_xlfn.XLOOKUP($J266,Catalogo!$B$7:$B$210,Catalogo!$I$7:$I$210,"",0)=0,"",_xlfn.XLOOKUP($J266,Catalogo!$B$7:$B$210,Catalogo!$I$7:$I$210,"",0))</f>
        <v>CIPS</v>
      </c>
      <c r="M266" s="36">
        <f>+_xlfn.XLOOKUP(Tabla1[[#This Row],[Ducto]],$D$1:$D$163,$M$1:$M$163)</f>
        <v>12.657</v>
      </c>
      <c r="N266" s="261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4" x14ac:dyDescent="0.25">
      <c r="A267" s="354">
        <v>46034</v>
      </c>
      <c r="B267" s="114" t="s">
        <v>30</v>
      </c>
      <c r="C267" s="155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76" t="str">
        <f>+_xlfn.XLOOKUP(Tabla1[[#This Row],[Codigo_actividad]],Conceptos!A:A,Conceptos!H:H)</f>
        <v>P2.05</v>
      </c>
      <c r="L267" s="66" t="str">
        <f>IF(_xlfn.XLOOKUP($J267,Catalogo!$B$7:$B$210,Catalogo!$I$7:$I$210,"",0)=0,"",_xlfn.XLOOKUP($J267,Catalogo!$B$7:$B$210,Catalogo!$I$7:$I$210,"",0))</f>
        <v>Resistividades pH BSR BPA</v>
      </c>
      <c r="M267" s="36">
        <f>+_xlfn.XLOOKUP(Tabla1[[#This Row],[Ducto]],$D$1:$D$988,$M$1:$M$988)</f>
        <v>23.864000000000001</v>
      </c>
      <c r="N267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4" x14ac:dyDescent="0.25">
      <c r="A268" s="354"/>
      <c r="C268" s="155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>
        <f>+_xlfn.XLOOKUP(Tabla1[[#This Row],[Codigo_actividad]],Conceptos!A:A,Conceptos!H:H)</f>
        <v>0</v>
      </c>
      <c r="L268" s="66" t="str">
        <f>IF(_xlfn.XLOOKUP($J268,Catalogo!$B$7:$B$210,Catalogo!$I$7:$I$210,"",0)=0,"",_xlfn.XLOOKUP($J268,Catalogo!$B$7:$B$210,Catalogo!$I$7:$I$210,"",0))</f>
        <v/>
      </c>
      <c r="M268" s="36"/>
      <c r="N2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4" x14ac:dyDescent="0.25">
      <c r="A269" s="354">
        <v>46035</v>
      </c>
      <c r="B269" s="114" t="s">
        <v>12</v>
      </c>
      <c r="C269" s="155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76" t="str">
        <f>+_xlfn.XLOOKUP(Tabla1[[#This Row],[Codigo_actividad]],Conceptos!A:A,Conceptos!H:H)</f>
        <v>P2.03</v>
      </c>
      <c r="L269" s="66" t="str">
        <f>IF(_xlfn.XLOOKUP($J269,Catalogo!$B$7:$B$210,Catalogo!$I$7:$I$210,"",0)=0,"",_xlfn.XLOOKUP($J269,Catalogo!$B$7:$B$210,Catalogo!$I$7:$I$210,"",0))</f>
        <v>DCVG</v>
      </c>
      <c r="M269" s="36">
        <f>+_xlfn.XLOOKUP(Tabla1[[#This Row],[Ducto]],$D$1:$D$988,$M$1:$M$988)</f>
        <v>0.28699999999999998</v>
      </c>
      <c r="N269" s="261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4" x14ac:dyDescent="0.25">
      <c r="A270" s="354">
        <v>46035</v>
      </c>
      <c r="B270" s="114" t="s">
        <v>12</v>
      </c>
      <c r="C270" s="155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76" t="str">
        <f>+_xlfn.XLOOKUP(Tabla1[[#This Row],[Codigo_actividad]],Conceptos!A:A,Conceptos!H:H)</f>
        <v>P2.03</v>
      </c>
      <c r="L270" s="66" t="str">
        <f>IF(_xlfn.XLOOKUP($J270,Catalogo!$B$7:$B$210,Catalogo!$I$7:$I$210,"",0)=0,"",_xlfn.XLOOKUP($J270,Catalogo!$B$7:$B$210,Catalogo!$I$7:$I$210,"",0))</f>
        <v>DCVG</v>
      </c>
      <c r="M270" s="36">
        <f>+_xlfn.XLOOKUP(Tabla1[[#This Row],[Ducto]],$D$1:$D$988,$M$1:$M$988)</f>
        <v>1.2E-2</v>
      </c>
      <c r="N27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4" x14ac:dyDescent="0.25">
      <c r="A271" s="354">
        <v>46035</v>
      </c>
      <c r="B271" s="114" t="s">
        <v>12</v>
      </c>
      <c r="C271" s="155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76" t="str">
        <f>+_xlfn.XLOOKUP(Tabla1[[#This Row],[Codigo_actividad]],Conceptos!A:A,Conceptos!H:H)</f>
        <v>P2.01</v>
      </c>
      <c r="L271" s="66" t="str">
        <f>IF(_xlfn.XLOOKUP($J271,Catalogo!$B$7:$B$210,Catalogo!$I$7:$I$210,"",0)=0,"",_xlfn.XLOOKUP($J271,Catalogo!$B$7:$B$210,Catalogo!$I$7:$I$210,"",0))</f>
        <v>CIPS</v>
      </c>
      <c r="M271" s="36">
        <v>1.2E-2</v>
      </c>
      <c r="N27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4" x14ac:dyDescent="0.25">
      <c r="A272" s="354">
        <v>46035</v>
      </c>
      <c r="B272" s="114" t="s">
        <v>12</v>
      </c>
      <c r="C272" s="155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76" t="str">
        <f>+_xlfn.XLOOKUP(Tabla1[[#This Row],[Codigo_actividad]],Conceptos!A:A,Conceptos!H:H)</f>
        <v>P2.03</v>
      </c>
      <c r="L272" s="66" t="str">
        <f>IF(_xlfn.XLOOKUP($J272,Catalogo!$B$7:$B$210,Catalogo!$I$7:$I$210,"",0)=0,"",_xlfn.XLOOKUP($J272,Catalogo!$B$7:$B$210,Catalogo!$I$7:$I$210,"",0))</f>
        <v>DCVG</v>
      </c>
      <c r="M272" s="36">
        <v>1.2E-2</v>
      </c>
      <c r="N272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4" x14ac:dyDescent="0.25">
      <c r="A273" s="354">
        <v>46035</v>
      </c>
      <c r="B273" s="114" t="s">
        <v>12</v>
      </c>
      <c r="C273" s="155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76" t="str">
        <f>+_xlfn.XLOOKUP(Tabla1[[#This Row],[Codigo_actividad]],Conceptos!A:A,Conceptos!H:H)</f>
        <v>P2.06</v>
      </c>
      <c r="L273" s="66" t="str">
        <f>IF(_xlfn.XLOOKUP($J273,Catalogo!$B$7:$B$210,Catalogo!$I$7:$I$210,"",0)=0,"",_xlfn.XLOOKUP($J273,Catalogo!$B$7:$B$210,Catalogo!$I$7:$I$210,"",0))</f>
        <v>Localizacion</v>
      </c>
      <c r="M273" s="36">
        <f>+_xlfn.XLOOKUP(Tabla1[[#This Row],[Ducto]],$D$1:$D$988,$M$1:$M$988)</f>
        <v>1.2E-2</v>
      </c>
      <c r="N273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4" x14ac:dyDescent="0.25">
      <c r="A274" s="354">
        <v>46035</v>
      </c>
      <c r="B274" s="114" t="s">
        <v>12</v>
      </c>
      <c r="C274" s="155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76" t="str">
        <f>+_xlfn.XLOOKUP(Tabla1[[#This Row],[Codigo_actividad]],Conceptos!A:A,Conceptos!H:H)</f>
        <v>P2.01</v>
      </c>
      <c r="L274" s="66" t="str">
        <f>IF(_xlfn.XLOOKUP($J274,Catalogo!$B$7:$B$210,Catalogo!$I$7:$I$210,"",0)=0,"",_xlfn.XLOOKUP($J274,Catalogo!$B$7:$B$210,Catalogo!$I$7:$I$210,"",0))</f>
        <v>CIPS</v>
      </c>
      <c r="M274" s="36">
        <f>+_xlfn.XLOOKUP(Tabla1[[#This Row],[Ducto]],$D$1:$D$163,$M$1:$M$163)</f>
        <v>1.02</v>
      </c>
      <c r="N274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4" x14ac:dyDescent="0.25">
      <c r="A275" s="354">
        <v>46035</v>
      </c>
      <c r="B275" s="114" t="s">
        <v>12</v>
      </c>
      <c r="C275" s="155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76" t="str">
        <f>+_xlfn.XLOOKUP(Tabla1[[#This Row],[Codigo_actividad]],Conceptos!A:A,Conceptos!H:H)</f>
        <v>P2.06</v>
      </c>
      <c r="L275" s="66" t="str">
        <f>IF(_xlfn.XLOOKUP($J275,Catalogo!$B$7:$B$210,Catalogo!$I$7:$I$210,"",0)=0,"",_xlfn.XLOOKUP($J275,Catalogo!$B$7:$B$210,Catalogo!$I$7:$I$210,"",0))</f>
        <v>Localizacion</v>
      </c>
      <c r="M275" s="36">
        <v>3.1E-2</v>
      </c>
      <c r="N275" s="261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4" x14ac:dyDescent="0.25">
      <c r="A276" s="354">
        <v>46035</v>
      </c>
      <c r="B276" s="114" t="s">
        <v>12</v>
      </c>
      <c r="C276" s="155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76" t="str">
        <f>+_xlfn.XLOOKUP(Tabla1[[#This Row],[Codigo_actividad]],Conceptos!A:A,Conceptos!H:H)</f>
        <v>P2.03</v>
      </c>
      <c r="L276" s="66" t="str">
        <f>IF(_xlfn.XLOOKUP($J276,Catalogo!$B$7:$B$210,Catalogo!$I$7:$I$210,"",0)=0,"",_xlfn.XLOOKUP($J276,Catalogo!$B$7:$B$210,Catalogo!$I$7:$I$210,"",0))</f>
        <v>DCVG</v>
      </c>
      <c r="M276" s="36">
        <v>3.1E-2</v>
      </c>
      <c r="N276" s="261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4" x14ac:dyDescent="0.25">
      <c r="A277" s="354">
        <v>46035</v>
      </c>
      <c r="B277" s="114" t="s">
        <v>12</v>
      </c>
      <c r="C277" s="155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76" t="str">
        <f>+_xlfn.XLOOKUP(Tabla1[[#This Row],[Codigo_actividad]],Conceptos!A:A,Conceptos!H:H)</f>
        <v>P2.01</v>
      </c>
      <c r="L277" s="66" t="str">
        <f>IF(_xlfn.XLOOKUP($J277,Catalogo!$B$7:$B$210,Catalogo!$I$7:$I$210,"",0)=0,"",_xlfn.XLOOKUP($J277,Catalogo!$B$7:$B$210,Catalogo!$I$7:$I$210,"",0))</f>
        <v>CIPS</v>
      </c>
      <c r="M277" s="36">
        <v>3.1E-2</v>
      </c>
      <c r="N277" s="261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4" x14ac:dyDescent="0.25">
      <c r="A278" s="354">
        <v>46035</v>
      </c>
      <c r="B278" s="114" t="s">
        <v>30</v>
      </c>
      <c r="C278" s="155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76" t="str">
        <f>+_xlfn.XLOOKUP(Tabla1[[#This Row],[Codigo_actividad]],Conceptos!A:A,Conceptos!H:H)</f>
        <v>P2.05</v>
      </c>
      <c r="L278" s="66" t="str">
        <f>IF(_xlfn.XLOOKUP($J278,Catalogo!$B$7:$B$210,Catalogo!$I$7:$I$210,"",0)=0,"",_xlfn.XLOOKUP($J278,Catalogo!$B$7:$B$210,Catalogo!$I$7:$I$210,"",0))</f>
        <v>Resistividades pH BSR BPA</v>
      </c>
      <c r="M278" s="36">
        <f>+_xlfn.XLOOKUP(Tabla1[[#This Row],[Ducto]],$D$1:$D$988,$M$1:$M$988)</f>
        <v>23.864000000000001</v>
      </c>
      <c r="N27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4" x14ac:dyDescent="0.25">
      <c r="A279" s="354"/>
      <c r="C279" s="155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>
        <f>+_xlfn.XLOOKUP(Tabla1[[#This Row],[Codigo_actividad]],Conceptos!A:A,Conceptos!H:H)</f>
        <v>0</v>
      </c>
      <c r="L279" s="66" t="str">
        <f>IF(_xlfn.XLOOKUP($J279,Catalogo!$B$7:$B$210,Catalogo!$I$7:$I$210,"",0)=0,"",_xlfn.XLOOKUP($J279,Catalogo!$B$7:$B$210,Catalogo!$I$7:$I$210,"",0))</f>
        <v/>
      </c>
      <c r="M279" s="36"/>
      <c r="N2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4" x14ac:dyDescent="0.25">
      <c r="A280" s="354">
        <v>46036</v>
      </c>
      <c r="B280" s="114" t="s">
        <v>12</v>
      </c>
      <c r="C280" s="155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76" t="str">
        <f>+_xlfn.XLOOKUP(Tabla1[[#This Row],[Codigo_actividad]],Conceptos!A:A,Conceptos!H:H)</f>
        <v>P2.01</v>
      </c>
      <c r="L280" s="66" t="str">
        <f>IF(_xlfn.XLOOKUP($J280,Catalogo!$B$7:$B$210,Catalogo!$I$7:$I$210,"",0)=0,"",_xlfn.XLOOKUP($J280,Catalogo!$B$7:$B$210,Catalogo!$I$7:$I$210,"",0))</f>
        <v>CIPS</v>
      </c>
      <c r="M280" s="36">
        <f>+_xlfn.XLOOKUP(Tabla1[[#This Row],[Ducto]],$D$1:$D$988,$M$1:$M$988)</f>
        <v>12.657</v>
      </c>
      <c r="N280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4" x14ac:dyDescent="0.25">
      <c r="A281" s="354">
        <v>46036</v>
      </c>
      <c r="B281" s="114" t="s">
        <v>30</v>
      </c>
      <c r="C281" s="155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76" t="str">
        <f>+_xlfn.XLOOKUP(Tabla1[[#This Row],[Codigo_actividad]],Conceptos!A:A,Conceptos!H:H)</f>
        <v>P2.05</v>
      </c>
      <c r="L281" s="66" t="str">
        <f>IF(_xlfn.XLOOKUP($J281,Catalogo!$B$7:$B$210,Catalogo!$I$7:$I$210,"",0)=0,"",_xlfn.XLOOKUP($J281,Catalogo!$B$7:$B$210,Catalogo!$I$7:$I$210,"",0))</f>
        <v>Resistividades pH BSR BPA</v>
      </c>
      <c r="M281" s="36">
        <f>+_xlfn.XLOOKUP(Tabla1[[#This Row],[Ducto]],$D$1:$D$988,$M$1:$M$988)</f>
        <v>23.864000000000001</v>
      </c>
      <c r="N281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4" x14ac:dyDescent="0.25">
      <c r="A282" s="354"/>
      <c r="C282" s="155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>
        <f>+_xlfn.XLOOKUP(Tabla1[[#This Row],[Codigo_actividad]],Conceptos!A:A,Conceptos!H:H)</f>
        <v>0</v>
      </c>
      <c r="L282" s="66" t="str">
        <f>IF(_xlfn.XLOOKUP($J282,Catalogo!$B$7:$B$210,Catalogo!$I$7:$I$210,"",0)=0,"",_xlfn.XLOOKUP($J282,Catalogo!$B$7:$B$210,Catalogo!$I$7:$I$210,"",0))</f>
        <v/>
      </c>
      <c r="M282" s="36"/>
      <c r="N2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4" x14ac:dyDescent="0.25">
      <c r="A283" s="354">
        <v>46037</v>
      </c>
      <c r="B283" s="114" t="s">
        <v>12</v>
      </c>
      <c r="C283" s="155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76" t="str">
        <f>+_xlfn.XLOOKUP(Tabla1[[#This Row],[Codigo_actividad]],Conceptos!A:A,Conceptos!H:H)</f>
        <v>P2.01</v>
      </c>
      <c r="L283" s="66" t="str">
        <f>IF(_xlfn.XLOOKUP($J283,Catalogo!$B$7:$B$210,Catalogo!$I$7:$I$210,"",0)=0,"",_xlfn.XLOOKUP($J283,Catalogo!$B$7:$B$210,Catalogo!$I$7:$I$210,"",0))</f>
        <v>CIPS</v>
      </c>
      <c r="M283" s="36">
        <f>+_xlfn.XLOOKUP(Tabla1[[#This Row],[Ducto]],$D$1:$D$988,$M$1:$M$988)</f>
        <v>12.657</v>
      </c>
      <c r="N283" s="261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4" x14ac:dyDescent="0.25">
      <c r="A284" s="354">
        <v>46037</v>
      </c>
      <c r="B284" s="114" t="s">
        <v>30</v>
      </c>
      <c r="C284" s="155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76" t="str">
        <f>+_xlfn.XLOOKUP(Tabla1[[#This Row],[Codigo_actividad]],Conceptos!A:A,Conceptos!H:H)</f>
        <v>P2.05</v>
      </c>
      <c r="L284" s="66" t="str">
        <f>IF(_xlfn.XLOOKUP($J284,Catalogo!$B$7:$B$210,Catalogo!$I$7:$I$210,"",0)=0,"",_xlfn.XLOOKUP($J284,Catalogo!$B$7:$B$210,Catalogo!$I$7:$I$210,"",0))</f>
        <v>Resistividades pH BSR BPA</v>
      </c>
      <c r="M284" s="36">
        <f>+_xlfn.XLOOKUP(Tabla1[[#This Row],[Ducto]],$D$1:$D$988,$M$1:$M$988)</f>
        <v>23.864000000000001</v>
      </c>
      <c r="N284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4" x14ac:dyDescent="0.25">
      <c r="A285" s="354"/>
      <c r="C285" s="155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>
        <f>+_xlfn.XLOOKUP(Tabla1[[#This Row],[Codigo_actividad]],Conceptos!A:A,Conceptos!H:H)</f>
        <v>0</v>
      </c>
      <c r="L285" s="66" t="str">
        <f>IF(_xlfn.XLOOKUP($J285,Catalogo!$B$7:$B$210,Catalogo!$I$7:$I$210,"",0)=0,"",_xlfn.XLOOKUP($J285,Catalogo!$B$7:$B$210,Catalogo!$I$7:$I$210,"",0))</f>
        <v/>
      </c>
      <c r="M285" s="36"/>
      <c r="N2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4" x14ac:dyDescent="0.25">
      <c r="A286" s="354">
        <v>46038</v>
      </c>
      <c r="B286" s="114" t="s">
        <v>12</v>
      </c>
      <c r="C286" s="155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76" t="str">
        <f>+_xlfn.XLOOKUP(Tabla1[[#This Row],[Codigo_actividad]],Conceptos!A:A,Conceptos!H:H)</f>
        <v>P2.01</v>
      </c>
      <c r="L286" s="66" t="str">
        <f>IF(_xlfn.XLOOKUP($J286,Catalogo!$B$7:$B$210,Catalogo!$I$7:$I$210,"",0)=0,"",_xlfn.XLOOKUP($J286,Catalogo!$B$7:$B$210,Catalogo!$I$7:$I$210,"",0))</f>
        <v>CIPS</v>
      </c>
      <c r="M286" s="36">
        <f>+_xlfn.XLOOKUP(Tabla1[[#This Row],[Ducto]],$D$1:$D$988,$M$1:$M$988)</f>
        <v>12.657</v>
      </c>
      <c r="N286" s="261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4" x14ac:dyDescent="0.25">
      <c r="A287" s="354">
        <v>46038</v>
      </c>
      <c r="B287" s="114" t="s">
        <v>12</v>
      </c>
      <c r="C287" s="155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76" t="str">
        <f>+_xlfn.XLOOKUP(Tabla1[[#This Row],[Codigo_actividad]],Conceptos!A:A,Conceptos!H:H)</f>
        <v>P2.01</v>
      </c>
      <c r="L287" s="66" t="str">
        <f>IF(_xlfn.XLOOKUP($J287,Catalogo!$B$7:$B$210,Catalogo!$I$7:$I$210,"",0)=0,"",_xlfn.XLOOKUP($J287,Catalogo!$B$7:$B$210,Catalogo!$I$7:$I$210,"",0))</f>
        <v>CIPS</v>
      </c>
      <c r="M287" s="36">
        <f>+_xlfn.XLOOKUP(Tabla1[[#This Row],[Ducto]],$D$1:$D$988,$M$1:$M$988)</f>
        <v>2.2770000000000001</v>
      </c>
      <c r="N287" s="261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4" x14ac:dyDescent="0.25">
      <c r="A288" s="354">
        <v>46038</v>
      </c>
      <c r="B288" s="114" t="s">
        <v>30</v>
      </c>
      <c r="C288" s="155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76" t="str">
        <f>+_xlfn.XLOOKUP(Tabla1[[#This Row],[Codigo_actividad]],Conceptos!A:A,Conceptos!H:H)</f>
        <v>P2.05</v>
      </c>
      <c r="L288" s="66" t="str">
        <f>IF(_xlfn.XLOOKUP($J288,Catalogo!$B$7:$B$210,Catalogo!$I$7:$I$210,"",0)=0,"",_xlfn.XLOOKUP($J288,Catalogo!$B$7:$B$210,Catalogo!$I$7:$I$210,"",0))</f>
        <v>Resistividades pH BSR BPA</v>
      </c>
      <c r="M288" s="36">
        <f>+_xlfn.XLOOKUP(Tabla1[[#This Row],[Ducto]],$D$1:$D$988,$M$1:$M$988)</f>
        <v>23.864000000000001</v>
      </c>
      <c r="N288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4" x14ac:dyDescent="0.25">
      <c r="A289" s="354">
        <v>46038</v>
      </c>
      <c r="B289" s="114" t="s">
        <v>30</v>
      </c>
      <c r="C289" s="155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76" t="str">
        <f>+_xlfn.XLOOKUP(Tabla1[[#This Row],[Codigo_actividad]],Conceptos!A:A,Conceptos!H:H)</f>
        <v>P2.05</v>
      </c>
      <c r="L289" s="66" t="str">
        <f>IF(_xlfn.XLOOKUP($J289,Catalogo!$B$7:$B$210,Catalogo!$I$7:$I$210,"",0)=0,"",_xlfn.XLOOKUP($J289,Catalogo!$B$7:$B$210,Catalogo!$I$7:$I$210,"",0))</f>
        <v>Resistividades pH BSR BPA</v>
      </c>
      <c r="M289" s="36">
        <f>+_xlfn.XLOOKUP(Tabla1[[#This Row],[Ducto]],$D$1:$D$988,$M$1:$M$988)</f>
        <v>3.1E-2</v>
      </c>
      <c r="N28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4" x14ac:dyDescent="0.25">
      <c r="A290" s="354"/>
      <c r="B290" s="114"/>
      <c r="C290" s="155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76">
        <f>+_xlfn.XLOOKUP(Tabla1[[#This Row],[Codigo_actividad]],Conceptos!A:A,Conceptos!H:H)</f>
        <v>0</v>
      </c>
      <c r="L290" s="66" t="str">
        <f>IF(_xlfn.XLOOKUP($J290,Catalogo!$B$7:$B$210,Catalogo!$I$7:$I$210,"",0)=0,"",_xlfn.XLOOKUP($J290,Catalogo!$B$7:$B$210,Catalogo!$I$7:$I$210,"",0))</f>
        <v/>
      </c>
      <c r="M290" s="36"/>
      <c r="N2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4" x14ac:dyDescent="0.25">
      <c r="A291" s="354">
        <v>46039</v>
      </c>
      <c r="B291" s="114" t="s">
        <v>12</v>
      </c>
      <c r="C291" s="155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76" t="str">
        <f>+_xlfn.XLOOKUP(Tabla1[[#This Row],[Codigo_actividad]],Conceptos!A:A,Conceptos!H:H)</f>
        <v>P2.01</v>
      </c>
      <c r="L291" s="66" t="str">
        <f>IF(_xlfn.XLOOKUP($J291,Catalogo!$B$7:$B$210,Catalogo!$I$7:$I$210,"",0)=0,"",_xlfn.XLOOKUP($J291,Catalogo!$B$7:$B$210,Catalogo!$I$7:$I$210,"",0))</f>
        <v>CIPS</v>
      </c>
      <c r="M291" s="36">
        <f>+_xlfn.XLOOKUP(Tabla1[[#This Row],[Ducto]],$D$1:$D$988,$M$1:$M$988)</f>
        <v>1.855</v>
      </c>
      <c r="N291" s="261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4" x14ac:dyDescent="0.25">
      <c r="A292" s="354">
        <v>46039</v>
      </c>
      <c r="B292" s="114" t="s">
        <v>30</v>
      </c>
      <c r="C292" s="155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76" t="str">
        <f>+_xlfn.XLOOKUP(Tabla1[[#This Row],[Codigo_actividad]],Conceptos!A:A,Conceptos!H:H)</f>
        <v>P2.05</v>
      </c>
      <c r="L292" s="66" t="str">
        <f>IF(_xlfn.XLOOKUP($J292,Catalogo!$B$7:$B$210,Catalogo!$I$7:$I$210,"",0)=0,"",_xlfn.XLOOKUP($J292,Catalogo!$B$7:$B$210,Catalogo!$I$7:$I$210,"",0))</f>
        <v>Resistividades pH BSR BPA</v>
      </c>
      <c r="M292" s="36">
        <f>+_xlfn.XLOOKUP(Tabla1[[#This Row],[Ducto]],$D$1:$D$988,$M$1:$M$988)</f>
        <v>23.864000000000001</v>
      </c>
      <c r="N292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4" x14ac:dyDescent="0.25">
      <c r="A293" s="354"/>
      <c r="B293" s="114"/>
      <c r="C293" s="155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76">
        <f>+_xlfn.XLOOKUP(Tabla1[[#This Row],[Codigo_actividad]],Conceptos!A:A,Conceptos!H:H)</f>
        <v>0</v>
      </c>
      <c r="L293" s="66" t="str">
        <f>IF(_xlfn.XLOOKUP($J293,Catalogo!$B$7:$B$210,Catalogo!$I$7:$I$210,"",0)=0,"",_xlfn.XLOOKUP($J293,Catalogo!$B$7:$B$210,Catalogo!$I$7:$I$210,"",0))</f>
        <v/>
      </c>
      <c r="M293" s="36"/>
      <c r="N29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4" x14ac:dyDescent="0.25">
      <c r="A294" s="354">
        <v>46040</v>
      </c>
      <c r="B294" s="114" t="s">
        <v>12</v>
      </c>
      <c r="C294" s="155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76" t="str">
        <f>+_xlfn.XLOOKUP(Tabla1[[#This Row],[Codigo_actividad]],Conceptos!A:A,Conceptos!H:H)</f>
        <v>P2.01</v>
      </c>
      <c r="L294" s="66" t="str">
        <f>IF(_xlfn.XLOOKUP($J294,Catalogo!$B$7:$B$210,Catalogo!$I$7:$I$210,"",0)=0,"",_xlfn.XLOOKUP($J294,Catalogo!$B$7:$B$210,Catalogo!$I$7:$I$210,"",0))</f>
        <v>CIPS</v>
      </c>
      <c r="M294" s="36">
        <f>+_xlfn.XLOOKUP(Tabla1[[#This Row],[Ducto]],$D$1:$D$988,$M$1:$M$988)</f>
        <v>10.44422</v>
      </c>
      <c r="N294" s="261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4" x14ac:dyDescent="0.25">
      <c r="A295" s="354"/>
      <c r="B295" s="114"/>
      <c r="C295" s="155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76">
        <f>+_xlfn.XLOOKUP(Tabla1[[#This Row],[Codigo_actividad]],Conceptos!A:A,Conceptos!H:H)</f>
        <v>0</v>
      </c>
      <c r="L295" s="66" t="str">
        <f>IF(_xlfn.XLOOKUP($J295,Catalogo!$B$7:$B$210,Catalogo!$I$7:$I$210,"",0)=0,"",_xlfn.XLOOKUP($J295,Catalogo!$B$7:$B$210,Catalogo!$I$7:$I$210,"",0))</f>
        <v/>
      </c>
      <c r="M295" s="36"/>
      <c r="N2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4" x14ac:dyDescent="0.25">
      <c r="A296" s="354">
        <v>46041</v>
      </c>
      <c r="B296" s="114" t="s">
        <v>12</v>
      </c>
      <c r="C296" s="155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76" t="str">
        <f>+_xlfn.XLOOKUP(Tabla1[[#This Row],[Codigo_actividad]],Conceptos!A:A,Conceptos!H:H)</f>
        <v>P2.01</v>
      </c>
      <c r="L296" s="66" t="str">
        <f>IF(_xlfn.XLOOKUP($J296,Catalogo!$B$7:$B$210,Catalogo!$I$7:$I$210,"",0)=0,"",_xlfn.XLOOKUP($J296,Catalogo!$B$7:$B$210,Catalogo!$I$7:$I$210,"",0))</f>
        <v>CIPS</v>
      </c>
      <c r="M296" s="36">
        <f>+_xlfn.XLOOKUP(Tabla1[[#This Row],[Ducto]],$D$1:$D$988,$M$1:$M$988)</f>
        <v>10.44422</v>
      </c>
      <c r="N296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4" x14ac:dyDescent="0.25">
      <c r="A297" s="354">
        <v>46041</v>
      </c>
      <c r="B297" s="114" t="s">
        <v>30</v>
      </c>
      <c r="C297" s="155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76" t="str">
        <f>+_xlfn.XLOOKUP(Tabla1[[#This Row],[Codigo_actividad]],Conceptos!A:A,Conceptos!H:H)</f>
        <v>P2.05</v>
      </c>
      <c r="L297" s="66" t="str">
        <f>IF(_xlfn.XLOOKUP($J297,Catalogo!$B$7:$B$210,Catalogo!$I$7:$I$210,"",0)=0,"",_xlfn.XLOOKUP($J297,Catalogo!$B$7:$B$210,Catalogo!$I$7:$I$210,"",0))</f>
        <v>Resistividades pH BSR BPA</v>
      </c>
      <c r="M297" s="36">
        <v>1.8720000000000001</v>
      </c>
      <c r="N297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4" x14ac:dyDescent="0.25">
      <c r="A298" s="354">
        <v>46041</v>
      </c>
      <c r="B298" s="114" t="s">
        <v>30</v>
      </c>
      <c r="C298" s="155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76" t="str">
        <f>+_xlfn.XLOOKUP(Tabla1[[#This Row],[Codigo_actividad]],Conceptos!A:A,Conceptos!H:H)</f>
        <v>P2.05</v>
      </c>
      <c r="L298" s="66" t="str">
        <f>IF(_xlfn.XLOOKUP($J298,Catalogo!$B$7:$B$210,Catalogo!$I$7:$I$210,"",0)=0,"",_xlfn.XLOOKUP($J298,Catalogo!$B$7:$B$210,Catalogo!$I$7:$I$210,"",0))</f>
        <v>Resistividades pH BSR BPA</v>
      </c>
      <c r="M298" s="36">
        <v>8.9999999999999993E-3</v>
      </c>
      <c r="N29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4" x14ac:dyDescent="0.25">
      <c r="A299" s="354"/>
      <c r="B299" s="114"/>
      <c r="C299" s="155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76">
        <f>+_xlfn.XLOOKUP(Tabla1[[#This Row],[Codigo_actividad]],Conceptos!A:A,Conceptos!H:H)</f>
        <v>0</v>
      </c>
      <c r="L299" s="66" t="str">
        <f>IF(_xlfn.XLOOKUP($J299,Catalogo!$B$7:$B$210,Catalogo!$I$7:$I$210,"",0)=0,"",_xlfn.XLOOKUP($J299,Catalogo!$B$7:$B$210,Catalogo!$I$7:$I$210,"",0))</f>
        <v/>
      </c>
      <c r="M299" s="36"/>
      <c r="N29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4" x14ac:dyDescent="0.25">
      <c r="A300" s="354">
        <v>46042</v>
      </c>
      <c r="B300" s="114" t="s">
        <v>12</v>
      </c>
      <c r="C300" s="155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76" t="str">
        <f>+_xlfn.XLOOKUP(Tabla1[[#This Row],[Codigo_actividad]],Conceptos!A:A,Conceptos!H:H)</f>
        <v>P2.01</v>
      </c>
      <c r="L300" s="66" t="str">
        <f>IF(_xlfn.XLOOKUP($J300,Catalogo!$B$7:$B$210,Catalogo!$I$7:$I$210,"",0)=0,"",_xlfn.XLOOKUP($J300,Catalogo!$B$7:$B$210,Catalogo!$I$7:$I$210,"",0))</f>
        <v>CIPS</v>
      </c>
      <c r="M300" s="36">
        <f>+_xlfn.XLOOKUP(Tabla1[[#This Row],[Ducto]],$D$1:$D$988,$M$1:$M$988)</f>
        <v>10.44422</v>
      </c>
      <c r="N300" s="261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4" x14ac:dyDescent="0.25">
      <c r="A301" s="354">
        <v>46042</v>
      </c>
      <c r="B301" s="114" t="s">
        <v>12</v>
      </c>
      <c r="C301" s="155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76" t="str">
        <f>+_xlfn.XLOOKUP(Tabla1[[#This Row],[Codigo_actividad]],Conceptos!A:A,Conceptos!H:H)</f>
        <v>P2.01</v>
      </c>
      <c r="L301" s="66" t="str">
        <f>IF(_xlfn.XLOOKUP($J301,Catalogo!$B$7:$B$210,Catalogo!$I$7:$I$210,"",0)=0,"",_xlfn.XLOOKUP($J301,Catalogo!$B$7:$B$210,Catalogo!$I$7:$I$210,"",0))</f>
        <v>CIPS</v>
      </c>
      <c r="M301" s="36">
        <f>+_xlfn.XLOOKUP(Tabla1[[#This Row],[Ducto]],$D$1:$D$988,$M$1:$M$988)</f>
        <v>10.44422</v>
      </c>
      <c r="N301" s="261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4" x14ac:dyDescent="0.25">
      <c r="A302" s="354">
        <v>46042</v>
      </c>
      <c r="B302" s="114" t="s">
        <v>12</v>
      </c>
      <c r="C302" s="155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76" t="str">
        <f>+_xlfn.XLOOKUP(Tabla1[[#This Row],[Codigo_actividad]],Conceptos!A:A,Conceptos!H:H)</f>
        <v>P2.01</v>
      </c>
      <c r="L302" s="66" t="str">
        <f>IF(_xlfn.XLOOKUP($J302,Catalogo!$B$7:$B$210,Catalogo!$I$7:$I$210,"",0)=0,"",_xlfn.XLOOKUP($J302,Catalogo!$B$7:$B$210,Catalogo!$I$7:$I$210,"",0))</f>
        <v>CIPS</v>
      </c>
      <c r="M302" s="36">
        <v>3.6999999999999998E-2</v>
      </c>
      <c r="N302" s="261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4" x14ac:dyDescent="0.25">
      <c r="A303" s="354">
        <v>46042</v>
      </c>
      <c r="B303" s="114" t="s">
        <v>12</v>
      </c>
      <c r="C303" s="155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76" t="str">
        <f>+_xlfn.XLOOKUP(Tabla1[[#This Row],[Codigo_actividad]],Conceptos!A:A,Conceptos!H:H)</f>
        <v>P2.03</v>
      </c>
      <c r="L303" s="66" t="str">
        <f>IF(_xlfn.XLOOKUP($J303,Catalogo!$B$7:$B$210,Catalogo!$I$7:$I$210,"",0)=0,"",_xlfn.XLOOKUP($J303,Catalogo!$B$7:$B$210,Catalogo!$I$7:$I$210,"",0))</f>
        <v>DCVG</v>
      </c>
      <c r="M303" s="36">
        <v>3.6999999999999998E-2</v>
      </c>
      <c r="N303" s="261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4" x14ac:dyDescent="0.25">
      <c r="A304" s="354">
        <v>46042</v>
      </c>
      <c r="B304" s="114" t="s">
        <v>12</v>
      </c>
      <c r="C304" s="155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76" t="str">
        <f>+_xlfn.XLOOKUP(Tabla1[[#This Row],[Codigo_actividad]],Conceptos!A:A,Conceptos!H:H)</f>
        <v>P2.06</v>
      </c>
      <c r="L304" s="66" t="str">
        <f>IF(_xlfn.XLOOKUP($J304,Catalogo!$B$7:$B$210,Catalogo!$I$7:$I$210,"",0)=0,"",_xlfn.XLOOKUP($J304,Catalogo!$B$7:$B$210,Catalogo!$I$7:$I$210,"",0))</f>
        <v>Localizacion</v>
      </c>
      <c r="M304" s="36">
        <v>3.6999999999999998E-2</v>
      </c>
      <c r="N304" s="261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7" x14ac:dyDescent="0.25">
      <c r="A305" s="354">
        <v>46042</v>
      </c>
      <c r="B305" s="114" t="s">
        <v>30</v>
      </c>
      <c r="C305" s="155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76" t="str">
        <f>+_xlfn.XLOOKUP(Tabla1[[#This Row],[Codigo_actividad]],Conceptos!A:A,Conceptos!H:H)</f>
        <v>P2.05</v>
      </c>
      <c r="L305" s="66" t="str">
        <f>IF(_xlfn.XLOOKUP($J305,Catalogo!$B$7:$B$210,Catalogo!$I$7:$I$210,"",0)=0,"",_xlfn.XLOOKUP($J305,Catalogo!$B$7:$B$210,Catalogo!$I$7:$I$210,"",0))</f>
        <v>Resistividades pH BSR BPA</v>
      </c>
      <c r="M305" s="36">
        <v>2.5000000000000001E-2</v>
      </c>
      <c r="N30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7" x14ac:dyDescent="0.25">
      <c r="A306" s="354">
        <v>46042</v>
      </c>
      <c r="B306" s="114" t="s">
        <v>30</v>
      </c>
      <c r="C306" s="155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76" t="str">
        <f>+_xlfn.XLOOKUP(Tabla1[[#This Row],[Codigo_actividad]],Conceptos!A:A,Conceptos!H:H)</f>
        <v>P2.05</v>
      </c>
      <c r="L306" s="66" t="str">
        <f>IF(_xlfn.XLOOKUP($J306,Catalogo!$B$7:$B$210,Catalogo!$I$7:$I$210,"",0)=0,"",_xlfn.XLOOKUP($J306,Catalogo!$B$7:$B$210,Catalogo!$I$7:$I$210,"",0))</f>
        <v>Resistividades pH BSR BPA</v>
      </c>
      <c r="M306" s="36">
        <v>2E-3</v>
      </c>
      <c r="N306" s="261">
        <f>IF(Tabla1[[#This Row],[Avance_km]]&lt;&gt;"",Tabla1[[#This Row],[Avance_km]],Tabla1[[#This Row],[Avance_Med]])*_xlfn.XLOOKUP(Tabla1[[#This Row],[Codigo_actividad]],Catalogo!$B$6:$B$51,Catalogo!$F$6:$F$51,0)</f>
        <v>4658</v>
      </c>
      <c r="O306" s="26"/>
      <c r="P306" s="26"/>
      <c r="Q306" s="26"/>
    </row>
    <row r="307" spans="1:17" x14ac:dyDescent="0.25">
      <c r="A307" s="354">
        <v>46042</v>
      </c>
      <c r="B307" s="114" t="s">
        <v>30</v>
      </c>
      <c r="C307" s="155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76" t="str">
        <f>+_xlfn.XLOOKUP(Tabla1[[#This Row],[Codigo_actividad]],Conceptos!A:A,Conceptos!H:H)</f>
        <v>P2.05</v>
      </c>
      <c r="L307" s="66" t="str">
        <f>IF(_xlfn.XLOOKUP($J307,Catalogo!$B$7:$B$210,Catalogo!$I$7:$I$210,"",0)=0,"",_xlfn.XLOOKUP($J307,Catalogo!$B$7:$B$210,Catalogo!$I$7:$I$210,"",0))</f>
        <v>Resistividades pH BSR BPA</v>
      </c>
      <c r="M307" s="36">
        <v>2E-3</v>
      </c>
      <c r="N30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7" x14ac:dyDescent="0.25">
      <c r="A308" s="354">
        <v>46042</v>
      </c>
      <c r="B308" s="114" t="s">
        <v>30</v>
      </c>
      <c r="C308" s="155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76" t="str">
        <f>+_xlfn.XLOOKUP(Tabla1[[#This Row],[Codigo_actividad]],Conceptos!A:A,Conceptos!H:H)</f>
        <v>P2.05</v>
      </c>
      <c r="L308" s="66" t="str">
        <f>IF(_xlfn.XLOOKUP($J308,Catalogo!$B$7:$B$210,Catalogo!$I$7:$I$210,"",0)=0,"",_xlfn.XLOOKUP($J308,Catalogo!$B$7:$B$210,Catalogo!$I$7:$I$210,"",0))</f>
        <v>Resistividades pH BSR BPA</v>
      </c>
      <c r="M308" s="36">
        <v>0.372</v>
      </c>
      <c r="N308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7" x14ac:dyDescent="0.25">
      <c r="A309" s="354">
        <v>46042</v>
      </c>
      <c r="B309" s="114" t="s">
        <v>30</v>
      </c>
      <c r="C309" s="155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76" t="str">
        <f>+_xlfn.XLOOKUP(Tabla1[[#This Row],[Codigo_actividad]],Conceptos!A:A,Conceptos!H:H)</f>
        <v>P2.05</v>
      </c>
      <c r="L309" s="66" t="str">
        <f>IF(_xlfn.XLOOKUP($J309,Catalogo!$B$7:$B$210,Catalogo!$I$7:$I$210,"",0)=0,"",_xlfn.XLOOKUP($J309,Catalogo!$B$7:$B$210,Catalogo!$I$7:$I$210,"",0))</f>
        <v>Resistividades pH BSR BPA</v>
      </c>
      <c r="M309" s="36">
        <v>1.472</v>
      </c>
      <c r="N309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7" x14ac:dyDescent="0.25">
      <c r="A310" s="354"/>
      <c r="B310" s="114"/>
      <c r="C310" s="155"/>
      <c r="D310" s="39"/>
      <c r="F310" s="28"/>
      <c r="G310" s="28"/>
      <c r="H310" s="54"/>
      <c r="I310" s="66"/>
      <c r="J310" s="76"/>
      <c r="K310" s="76">
        <f>+_xlfn.XLOOKUP(Tabla1[[#This Row],[Codigo_actividad]],Conceptos!A:A,Conceptos!H:H)</f>
        <v>0</v>
      </c>
      <c r="L310" s="66" t="str">
        <f>IF(_xlfn.XLOOKUP($J310,Catalogo!$B$7:$B$210,Catalogo!$I$7:$I$210,"",0)=0,"",_xlfn.XLOOKUP($J310,Catalogo!$B$7:$B$210,Catalogo!$I$7:$I$210,"",0))</f>
        <v/>
      </c>
      <c r="M310" s="36"/>
      <c r="N31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7" x14ac:dyDescent="0.25">
      <c r="A311" s="354">
        <v>46043</v>
      </c>
      <c r="B311" s="114" t="s">
        <v>30</v>
      </c>
      <c r="C311" s="155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76" t="str">
        <f>+_xlfn.XLOOKUP(Tabla1[[#This Row],[Codigo_actividad]],Conceptos!A:A,Conceptos!H:H)</f>
        <v>P2.05</v>
      </c>
      <c r="L311" s="66" t="str">
        <f>IF(_xlfn.XLOOKUP($J311,Catalogo!$B$7:$B$210,Catalogo!$I$7:$I$210,"",0)=0,"",_xlfn.XLOOKUP($J311,Catalogo!$B$7:$B$210,Catalogo!$I$7:$I$210,"",0))</f>
        <v>Resistividades pH BSR BPA</v>
      </c>
      <c r="M311" s="36">
        <v>7.0000000000000001E-3</v>
      </c>
      <c r="N31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7" x14ac:dyDescent="0.25">
      <c r="A312" s="354">
        <v>46043</v>
      </c>
      <c r="B312" s="114" t="s">
        <v>30</v>
      </c>
      <c r="C312" s="155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76" t="str">
        <f>+_xlfn.XLOOKUP(Tabla1[[#This Row],[Codigo_actividad]],Conceptos!A:A,Conceptos!H:H)</f>
        <v>P2.05</v>
      </c>
      <c r="L312" s="66" t="str">
        <f>IF(_xlfn.XLOOKUP($J312,Catalogo!$B$7:$B$210,Catalogo!$I$7:$I$210,"",0)=0,"",_xlfn.XLOOKUP($J312,Catalogo!$B$7:$B$210,Catalogo!$I$7:$I$210,"",0))</f>
        <v>Resistividades pH BSR BPA</v>
      </c>
      <c r="M312" s="36">
        <v>0.01</v>
      </c>
      <c r="N31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7" x14ac:dyDescent="0.25">
      <c r="A313" s="354"/>
      <c r="B313" s="114"/>
      <c r="C313" s="155"/>
      <c r="D313" s="39"/>
      <c r="F313" s="28"/>
      <c r="G313" s="28"/>
      <c r="H313" s="54"/>
      <c r="I313" s="66"/>
      <c r="J313" s="76"/>
      <c r="K313" s="76">
        <f>+_xlfn.XLOOKUP(Tabla1[[#This Row],[Codigo_actividad]],Conceptos!A:A,Conceptos!H:H)</f>
        <v>0</v>
      </c>
      <c r="L313" s="66" t="str">
        <f>IF(_xlfn.XLOOKUP($J313,Catalogo!$B$7:$B$210,Catalogo!$I$7:$I$210,"",0)=0,"",_xlfn.XLOOKUP($J313,Catalogo!$B$7:$B$210,Catalogo!$I$7:$I$210,"",0))</f>
        <v/>
      </c>
      <c r="M313" s="36"/>
      <c r="N31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7" x14ac:dyDescent="0.25">
      <c r="A314" s="354">
        <v>46044</v>
      </c>
      <c r="B314" s="114" t="s">
        <v>30</v>
      </c>
      <c r="C314" s="155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76" t="str">
        <f>+_xlfn.XLOOKUP(Tabla1[[#This Row],[Codigo_actividad]],Conceptos!A:A,Conceptos!H:H)</f>
        <v>P2.05</v>
      </c>
      <c r="L314" s="66" t="str">
        <f>IF(_xlfn.XLOOKUP($J314,Catalogo!$B$7:$B$210,Catalogo!$I$7:$I$210,"",0)=0,"",_xlfn.XLOOKUP($J314,Catalogo!$B$7:$B$210,Catalogo!$I$7:$I$210,"",0))</f>
        <v>Resistividades pH BSR BPA</v>
      </c>
      <c r="M314" s="36">
        <v>5.0000000000000001E-3</v>
      </c>
      <c r="N31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7" x14ac:dyDescent="0.25">
      <c r="A315" s="354">
        <v>46044</v>
      </c>
      <c r="B315" s="114" t="s">
        <v>30</v>
      </c>
      <c r="C315" s="155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76" t="str">
        <f>+_xlfn.XLOOKUP(Tabla1[[#This Row],[Codigo_actividad]],Conceptos!A:A,Conceptos!H:H)</f>
        <v>P2.05</v>
      </c>
      <c r="L315" s="66" t="str">
        <f>IF(_xlfn.XLOOKUP($J315,Catalogo!$B$7:$B$210,Catalogo!$I$7:$I$210,"",0)=0,"",_xlfn.XLOOKUP($J315,Catalogo!$B$7:$B$210,Catalogo!$I$7:$I$210,"",0))</f>
        <v>Resistividades pH BSR BPA</v>
      </c>
      <c r="M315" s="36">
        <v>0.44</v>
      </c>
      <c r="N315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7" x14ac:dyDescent="0.25">
      <c r="A316" s="354">
        <v>46044</v>
      </c>
      <c r="B316" s="114" t="s">
        <v>30</v>
      </c>
      <c r="C316" s="155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76" t="str">
        <f>+_xlfn.XLOOKUP(Tabla1[[#This Row],[Codigo_actividad]],Conceptos!A:A,Conceptos!H:H)</f>
        <v>P2.05</v>
      </c>
      <c r="L316" s="66" t="str">
        <f>IF(_xlfn.XLOOKUP($J316,Catalogo!$B$7:$B$210,Catalogo!$I$7:$I$210,"",0)=0,"",_xlfn.XLOOKUP($J316,Catalogo!$B$7:$B$210,Catalogo!$I$7:$I$210,"",0))</f>
        <v>Resistividades pH BSR BPA</v>
      </c>
      <c r="M316" s="36">
        <v>5.8479999999999999</v>
      </c>
      <c r="N316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7" x14ac:dyDescent="0.25">
      <c r="A317" s="354"/>
      <c r="B317" s="114"/>
      <c r="C317" s="155"/>
      <c r="D317" s="39"/>
      <c r="F317" s="28"/>
      <c r="G317" s="28"/>
      <c r="H317" s="54"/>
      <c r="I317" s="66"/>
      <c r="J317" s="76"/>
      <c r="K317" s="76">
        <f>+_xlfn.XLOOKUP(Tabla1[[#This Row],[Codigo_actividad]],Conceptos!A:A,Conceptos!H:H)</f>
        <v>0</v>
      </c>
      <c r="L317" s="66" t="str">
        <f>IF(_xlfn.XLOOKUP($J317,Catalogo!$B$7:$B$210,Catalogo!$I$7:$I$210,"",0)=0,"",_xlfn.XLOOKUP($J317,Catalogo!$B$7:$B$210,Catalogo!$I$7:$I$210,"",0))</f>
        <v/>
      </c>
      <c r="M317" s="36"/>
      <c r="N31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7" x14ac:dyDescent="0.25">
      <c r="A318" s="354">
        <v>46045</v>
      </c>
      <c r="B318" s="114" t="s">
        <v>30</v>
      </c>
      <c r="C318" s="155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76" t="str">
        <f>+_xlfn.XLOOKUP(Tabla1[[#This Row],[Codigo_actividad]],Conceptos!A:A,Conceptos!H:H)</f>
        <v>P2.05</v>
      </c>
      <c r="L318" s="66" t="str">
        <f>IF(_xlfn.XLOOKUP($J318,Catalogo!$B$7:$B$210,Catalogo!$I$7:$I$210,"",0)=0,"",_xlfn.XLOOKUP($J318,Catalogo!$B$7:$B$210,Catalogo!$I$7:$I$210,"",0))</f>
        <v>Resistividades pH BSR BPA</v>
      </c>
      <c r="M318" s="36">
        <v>5.8479999999999999</v>
      </c>
      <c r="N318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7" x14ac:dyDescent="0.25">
      <c r="A319" s="354"/>
      <c r="B319" s="114"/>
      <c r="C319" s="155"/>
      <c r="D319" s="39"/>
      <c r="F319" s="28"/>
      <c r="G319" s="28"/>
      <c r="H319" s="54"/>
      <c r="I319" s="66"/>
      <c r="J319" s="76"/>
      <c r="K319" s="76">
        <f>+_xlfn.XLOOKUP(Tabla1[[#This Row],[Codigo_actividad]],Conceptos!A:A,Conceptos!H:H)</f>
        <v>0</v>
      </c>
      <c r="L319" s="66" t="str">
        <f>IF(_xlfn.XLOOKUP($J319,Catalogo!$B$7:$B$210,Catalogo!$I$7:$I$210,"",0)=0,"",_xlfn.XLOOKUP($J319,Catalogo!$B$7:$B$210,Catalogo!$I$7:$I$210,"",0))</f>
        <v/>
      </c>
      <c r="M319" s="36"/>
      <c r="N3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7" x14ac:dyDescent="0.25">
      <c r="A320" s="354">
        <v>46048</v>
      </c>
      <c r="B320" s="114" t="s">
        <v>30</v>
      </c>
      <c r="C320" s="155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76" t="str">
        <f>+_xlfn.XLOOKUP(Tabla1[[#This Row],[Codigo_actividad]],Conceptos!A:A,Conceptos!H:H)</f>
        <v>P2.05</v>
      </c>
      <c r="L320" s="55" t="str">
        <f>IF(_xlfn.XLOOKUP($J320,Catalogo!$B$7:$B$210,Catalogo!$I$7:$I$210,"",0)=0,"",_xlfn.XLOOKUP($J320,Catalogo!$B$7:$B$210,Catalogo!$I$7:$I$210,"",0))</f>
        <v>Resistividades pH BSR BPA</v>
      </c>
      <c r="M320" s="36">
        <v>4.3999999999999997E-2</v>
      </c>
      <c r="N32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4" x14ac:dyDescent="0.25">
      <c r="A321" s="354">
        <v>46048</v>
      </c>
      <c r="B321" s="114" t="s">
        <v>30</v>
      </c>
      <c r="C321" s="155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76" t="str">
        <f>+_xlfn.XLOOKUP(Tabla1[[#This Row],[Codigo_actividad]],Conceptos!A:A,Conceptos!H:H)</f>
        <v>P2.05</v>
      </c>
      <c r="L321" s="55" t="str">
        <f>IF(_xlfn.XLOOKUP($J321,Catalogo!$B$7:$B$210,Catalogo!$I$7:$I$210,"",0)=0,"",_xlfn.XLOOKUP($J321,Catalogo!$B$7:$B$210,Catalogo!$I$7:$I$210,"",0))</f>
        <v>Resistividades pH BSR BPA</v>
      </c>
      <c r="M321" s="36">
        <v>1.3240000000000001</v>
      </c>
      <c r="N321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4" x14ac:dyDescent="0.25">
      <c r="A322" s="354">
        <v>46048</v>
      </c>
      <c r="B322" s="114" t="s">
        <v>30</v>
      </c>
      <c r="C322" s="155" t="s">
        <v>329</v>
      </c>
      <c r="D322" s="39" t="s">
        <v>254</v>
      </c>
      <c r="E322" s="40" t="s">
        <v>31</v>
      </c>
      <c r="F322" s="28">
        <v>0</v>
      </c>
      <c r="G322" s="173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76" t="str">
        <f>+_xlfn.XLOOKUP(Tabla1[[#This Row],[Codigo_actividad]],Conceptos!A:A,Conceptos!H:H)</f>
        <v>P2.05</v>
      </c>
      <c r="L322" s="55" t="str">
        <f>IF(_xlfn.XLOOKUP($J322,Catalogo!$B$7:$B$210,Catalogo!$I$7:$I$210,"",0)=0,"",_xlfn.XLOOKUP($J322,Catalogo!$B$7:$B$210,Catalogo!$I$7:$I$210,"",0))</f>
        <v>Resistividades pH BSR BPA</v>
      </c>
      <c r="M322" s="161"/>
      <c r="N32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4" x14ac:dyDescent="0.25">
      <c r="A323" s="354">
        <v>46048</v>
      </c>
      <c r="B323" s="114" t="s">
        <v>30</v>
      </c>
      <c r="C323" s="155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76" t="str">
        <f>+_xlfn.XLOOKUP(Tabla1[[#This Row],[Codigo_actividad]],Conceptos!A:A,Conceptos!H:H)</f>
        <v>P2.05</v>
      </c>
      <c r="L323" s="55" t="str">
        <f>IF(_xlfn.XLOOKUP($J323,Catalogo!$B$7:$B$210,Catalogo!$I$7:$I$210,"",0)=0,"",_xlfn.XLOOKUP($J323,Catalogo!$B$7:$B$210,Catalogo!$I$7:$I$210,"",0))</f>
        <v>Resistividades pH BSR BPA</v>
      </c>
      <c r="M323" s="36">
        <v>0.69399999999999995</v>
      </c>
      <c r="N32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4" x14ac:dyDescent="0.25">
      <c r="A324" s="354"/>
      <c r="B324" s="114"/>
      <c r="C324" s="155"/>
      <c r="D324" s="39"/>
      <c r="F324" s="28"/>
      <c r="G324" s="28"/>
      <c r="H324" s="54"/>
      <c r="I324" s="66"/>
      <c r="J324" s="76"/>
      <c r="K324" s="76">
        <f>+_xlfn.XLOOKUP(Tabla1[[#This Row],[Codigo_actividad]],Conceptos!A:A,Conceptos!H:H)</f>
        <v>0</v>
      </c>
      <c r="L324" s="66" t="str">
        <f>IF(_xlfn.XLOOKUP($J324,Catalogo!$B$7:$B$210,Catalogo!$I$7:$I$210,"",0)=0,"",_xlfn.XLOOKUP($J324,Catalogo!$B$7:$B$210,Catalogo!$I$7:$I$210,"",0))</f>
        <v/>
      </c>
      <c r="M324" s="36"/>
      <c r="N32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4" x14ac:dyDescent="0.25">
      <c r="A325" s="354">
        <v>46049</v>
      </c>
      <c r="B325" s="114" t="s">
        <v>30</v>
      </c>
      <c r="C325" s="155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76" t="str">
        <f>+_xlfn.XLOOKUP(Tabla1[[#This Row],[Codigo_actividad]],Conceptos!A:A,Conceptos!H:H)</f>
        <v>P2.05</v>
      </c>
      <c r="L325" s="55" t="str">
        <f>IF(_xlfn.XLOOKUP($J325,Catalogo!$B$7:$B$210,Catalogo!$I$7:$I$210,"",0)=0,"",_xlfn.XLOOKUP($J325,Catalogo!$B$7:$B$210,Catalogo!$I$7:$I$210,"",0))</f>
        <v>Resistividades pH BSR BPA</v>
      </c>
      <c r="M325" s="36">
        <v>5.7880000000000003</v>
      </c>
      <c r="N325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4" x14ac:dyDescent="0.25">
      <c r="A326" s="354"/>
      <c r="C326" s="155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>
        <f>+_xlfn.XLOOKUP(Tabla1[[#This Row],[Codigo_actividad]],Conceptos!A:A,Conceptos!H:H)</f>
        <v>0</v>
      </c>
      <c r="L326" s="66" t="str">
        <f>IF(_xlfn.XLOOKUP($J326,Catalogo!$B$7:$B$210,Catalogo!$I$7:$I$210,"",0)=0,"",_xlfn.XLOOKUP($J326,Catalogo!$B$7:$B$210,Catalogo!$I$7:$I$210,"",0))</f>
        <v/>
      </c>
      <c r="M326" s="36"/>
      <c r="N32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4" x14ac:dyDescent="0.25">
      <c r="A327" s="355">
        <v>46050</v>
      </c>
      <c r="B327" s="199" t="s">
        <v>30</v>
      </c>
      <c r="C327" s="200" t="s">
        <v>329</v>
      </c>
      <c r="D327" s="201" t="s">
        <v>240</v>
      </c>
      <c r="E327" s="376" t="s">
        <v>31</v>
      </c>
      <c r="F327" s="202">
        <v>0</v>
      </c>
      <c r="G327" s="173">
        <v>0</v>
      </c>
      <c r="H327" s="54"/>
      <c r="I327" s="66">
        <v>1</v>
      </c>
      <c r="J327" s="76">
        <v>2.5</v>
      </c>
      <c r="K327" s="76" t="str">
        <f>+_xlfn.XLOOKUP(Tabla1[[#This Row],[Codigo_actividad]],Conceptos!A:A,Conceptos!H:H)</f>
        <v>P2.05</v>
      </c>
      <c r="L327" s="55" t="str">
        <f>IF(_xlfn.XLOOKUP($J327,Catalogo!$B$7:$B$210,Catalogo!$I$7:$I$210,"",0)=0,"",_xlfn.XLOOKUP($J327,Catalogo!$B$7:$B$210,Catalogo!$I$7:$I$210,"",0))</f>
        <v>Resistividades pH BSR BPA</v>
      </c>
      <c r="M327" s="161"/>
      <c r="N32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4" x14ac:dyDescent="0.25">
      <c r="A328" s="354">
        <v>46050</v>
      </c>
      <c r="B328" s="114" t="s">
        <v>30</v>
      </c>
      <c r="C328" s="155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76" t="str">
        <f>+_xlfn.XLOOKUP(Tabla1[[#This Row],[Codigo_actividad]],Conceptos!A:A,Conceptos!H:H)</f>
        <v>P2.05</v>
      </c>
      <c r="L328" s="55" t="str">
        <f>IF(_xlfn.XLOOKUP($J328,Catalogo!$B$7:$B$210,Catalogo!$I$7:$I$210,"",0)=0,"",_xlfn.XLOOKUP($J328,Catalogo!$B$7:$B$210,Catalogo!$I$7:$I$210,"",0))</f>
        <v>Resistividades pH BSR BPA</v>
      </c>
      <c r="M328" s="36">
        <f>+_xlfn.XLOOKUP(Tabla1[[#This Row],[Ducto]],'Summary S03'!A:A,'Summary S03'!G:G)/1000</f>
        <v>7.0000000000000001E-3</v>
      </c>
      <c r="N32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4" x14ac:dyDescent="0.25">
      <c r="A329" s="354">
        <v>46050</v>
      </c>
      <c r="B329" s="114" t="s">
        <v>30</v>
      </c>
      <c r="C329" s="155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76" t="str">
        <f>+_xlfn.XLOOKUP(Tabla1[[#This Row],[Codigo_actividad]],Conceptos!A:A,Conceptos!H:H)</f>
        <v>P2.05</v>
      </c>
      <c r="L329" s="55" t="str">
        <f>IF(_xlfn.XLOOKUP($J329,Catalogo!$B$7:$B$210,Catalogo!$I$7:$I$210,"",0)=0,"",_xlfn.XLOOKUP($J329,Catalogo!$B$7:$B$210,Catalogo!$I$7:$I$210,"",0))</f>
        <v>Resistividades pH BSR BPA</v>
      </c>
      <c r="M329" s="36">
        <f>+_xlfn.XLOOKUP(Tabla1[[#This Row],[Ducto]],'Summary S03'!A:A,'Summary S03'!G:G)/1000</f>
        <v>2E-3</v>
      </c>
      <c r="N32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4" x14ac:dyDescent="0.25">
      <c r="A330" s="354">
        <v>46050</v>
      </c>
      <c r="B330" s="114" t="s">
        <v>30</v>
      </c>
      <c r="C330" s="155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76" t="str">
        <f>+_xlfn.XLOOKUP(Tabla1[[#This Row],[Codigo_actividad]],Conceptos!A:A,Conceptos!H:H)</f>
        <v>P2.05</v>
      </c>
      <c r="L330" s="55" t="str">
        <f>IF(_xlfn.XLOOKUP($J330,Catalogo!$B$7:$B$210,Catalogo!$I$7:$I$210,"",0)=0,"",_xlfn.XLOOKUP($J330,Catalogo!$B$7:$B$210,Catalogo!$I$7:$I$210,"",0))</f>
        <v>Resistividades pH BSR BPA</v>
      </c>
      <c r="M330" s="36">
        <f>+_xlfn.XLOOKUP(Tabla1[[#This Row],[Ducto]],'Summary S03'!A:A,'Summary S03'!G:G)/1000</f>
        <v>2E-3</v>
      </c>
      <c r="N33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4" x14ac:dyDescent="0.25">
      <c r="A331" s="354">
        <v>46050</v>
      </c>
      <c r="B331" s="114" t="s">
        <v>30</v>
      </c>
      <c r="C331" s="155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76" t="str">
        <f>+_xlfn.XLOOKUP(Tabla1[[#This Row],[Codigo_actividad]],Conceptos!A:A,Conceptos!H:H)</f>
        <v>P2.05</v>
      </c>
      <c r="L331" s="55" t="str">
        <f>IF(_xlfn.XLOOKUP($J331,Catalogo!$B$7:$B$210,Catalogo!$I$7:$I$210,"",0)=0,"",_xlfn.XLOOKUP($J331,Catalogo!$B$7:$B$210,Catalogo!$I$7:$I$210,"",0))</f>
        <v>Resistividades pH BSR BPA</v>
      </c>
      <c r="M331" s="36">
        <f>+_xlfn.XLOOKUP(Tabla1[[#This Row],[Ducto]],'Summary S03'!A:A,'Summary S03'!G:G)/1000</f>
        <v>1.7999999999999999E-2</v>
      </c>
      <c r="N33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4" x14ac:dyDescent="0.25">
      <c r="A332" s="354">
        <v>46050</v>
      </c>
      <c r="B332" s="114" t="s">
        <v>30</v>
      </c>
      <c r="C332" s="155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76" t="str">
        <f>+_xlfn.XLOOKUP(Tabla1[[#This Row],[Codigo_actividad]],Conceptos!A:A,Conceptos!H:H)</f>
        <v>P2.05</v>
      </c>
      <c r="L332" s="55" t="str">
        <f>IF(_xlfn.XLOOKUP($J332,Catalogo!$B$7:$B$210,Catalogo!$I$7:$I$210,"",0)=0,"",_xlfn.XLOOKUP($J332,Catalogo!$B$7:$B$210,Catalogo!$I$7:$I$210,"",0))</f>
        <v>Resistividades pH BSR BPA</v>
      </c>
      <c r="M332" s="36">
        <v>5.7880000000000003</v>
      </c>
      <c r="N33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4" x14ac:dyDescent="0.25">
      <c r="A333" s="354"/>
      <c r="C333" s="155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>
        <f>+_xlfn.XLOOKUP(Tabla1[[#This Row],[Codigo_actividad]],Conceptos!A:A,Conceptos!H:H)</f>
        <v>0</v>
      </c>
      <c r="L333" s="66" t="str">
        <f>IF(_xlfn.XLOOKUP($J333,Catalogo!$B$7:$B$210,Catalogo!$I$7:$I$210,"",0)=0,"",_xlfn.XLOOKUP($J333,Catalogo!$B$7:$B$210,Catalogo!$I$7:$I$210,"",0))</f>
        <v/>
      </c>
      <c r="M333" s="36"/>
      <c r="N33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4" x14ac:dyDescent="0.25">
      <c r="A334" s="354">
        <v>46051</v>
      </c>
      <c r="B334" s="114" t="s">
        <v>30</v>
      </c>
      <c r="C334" s="155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76" t="str">
        <f>+_xlfn.XLOOKUP(Tabla1[[#This Row],[Codigo_actividad]],Conceptos!A:A,Conceptos!H:H)</f>
        <v>P2.05</v>
      </c>
      <c r="L334" s="55" t="str">
        <f>IF(_xlfn.XLOOKUP($J334,Catalogo!$B$7:$B$210,Catalogo!$I$7:$I$210,"",0)=0,"",_xlfn.XLOOKUP($J334,Catalogo!$B$7:$B$210,Catalogo!$I$7:$I$210,"",0))</f>
        <v>Resistividades pH BSR BPA</v>
      </c>
      <c r="M334" s="36">
        <f>+_xlfn.XLOOKUP(Tabla1[[#This Row],[Ducto]],'Summary S03'!A:A,'Summary S03'!G:G)/1000</f>
        <v>3.5999999999999997E-2</v>
      </c>
      <c r="N33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4" x14ac:dyDescent="0.25">
      <c r="A335" s="354">
        <v>46051</v>
      </c>
      <c r="B335" s="114" t="s">
        <v>30</v>
      </c>
      <c r="C335" s="155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76" t="str">
        <f>+_xlfn.XLOOKUP(Tabla1[[#This Row],[Codigo_actividad]],Conceptos!A:A,Conceptos!H:H)</f>
        <v>P2.05</v>
      </c>
      <c r="L335" s="55" t="str">
        <f>IF(_xlfn.XLOOKUP($J335,Catalogo!$B$7:$B$210,Catalogo!$I$7:$I$210,"",0)=0,"",_xlfn.XLOOKUP($J335,Catalogo!$B$7:$B$210,Catalogo!$I$7:$I$210,"",0))</f>
        <v>Resistividades pH BSR BPA</v>
      </c>
      <c r="M335" s="36">
        <f>+_xlfn.XLOOKUP(Tabla1[[#This Row],[Ducto]],'Summary S03'!A:A,'Summary S03'!G:G)/1000</f>
        <v>6.0000000000000001E-3</v>
      </c>
      <c r="N33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4" x14ac:dyDescent="0.25">
      <c r="A336" s="354">
        <v>46051</v>
      </c>
      <c r="B336" s="114" t="s">
        <v>30</v>
      </c>
      <c r="C336" s="155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76" t="str">
        <f>+_xlfn.XLOOKUP(Tabla1[[#This Row],[Codigo_actividad]],Conceptos!A:A,Conceptos!H:H)</f>
        <v>P2.05</v>
      </c>
      <c r="L336" s="55" t="str">
        <f>IF(_xlfn.XLOOKUP($J336,Catalogo!$B$7:$B$210,Catalogo!$I$7:$I$210,"",0)=0,"",_xlfn.XLOOKUP($J336,Catalogo!$B$7:$B$210,Catalogo!$I$7:$I$210,"",0))</f>
        <v>Resistividades pH BSR BPA</v>
      </c>
      <c r="M336" s="36">
        <f>+_xlfn.XLOOKUP(Tabla1[[#This Row],[Ducto]],'Summary S03'!A:A,'Summary S03'!G:G)/1000</f>
        <v>6.0000000000000001E-3</v>
      </c>
      <c r="N33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4" x14ac:dyDescent="0.25">
      <c r="A337" s="354">
        <v>46051</v>
      </c>
      <c r="B337" s="114" t="s">
        <v>30</v>
      </c>
      <c r="C337" s="155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76" t="str">
        <f>+_xlfn.XLOOKUP(Tabla1[[#This Row],[Codigo_actividad]],Conceptos!A:A,Conceptos!H:H)</f>
        <v>P2.05</v>
      </c>
      <c r="L337" s="55" t="str">
        <f>IF(_xlfn.XLOOKUP($J337,Catalogo!$B$7:$B$210,Catalogo!$I$7:$I$210,"",0)=0,"",_xlfn.XLOOKUP($J337,Catalogo!$B$7:$B$210,Catalogo!$I$7:$I$210,"",0))</f>
        <v>Resistividades pH BSR BPA</v>
      </c>
      <c r="M337" s="36">
        <v>1.2E-2</v>
      </c>
      <c r="N33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4" x14ac:dyDescent="0.25">
      <c r="A338" s="354">
        <v>46051</v>
      </c>
      <c r="B338" s="114" t="s">
        <v>30</v>
      </c>
      <c r="C338" s="155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76" t="str">
        <f>+_xlfn.XLOOKUP(Tabla1[[#This Row],[Codigo_actividad]],Conceptos!A:A,Conceptos!H:H)</f>
        <v>P2.05</v>
      </c>
      <c r="L338" s="55" t="str">
        <f>IF(_xlfn.XLOOKUP($J338,Catalogo!$B$7:$B$210,Catalogo!$I$7:$I$210,"",0)=0,"",_xlfn.XLOOKUP($J338,Catalogo!$B$7:$B$210,Catalogo!$I$7:$I$210,"",0))</f>
        <v>Resistividades pH BSR BPA</v>
      </c>
      <c r="M338" s="36">
        <v>1.2999999999999999E-2</v>
      </c>
      <c r="N33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4" x14ac:dyDescent="0.25">
      <c r="A339" s="354">
        <v>46051</v>
      </c>
      <c r="B339" s="114" t="s">
        <v>30</v>
      </c>
      <c r="C339" s="155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76" t="str">
        <f>+_xlfn.XLOOKUP(Tabla1[[#This Row],[Codigo_actividad]],Conceptos!A:A,Conceptos!H:H)</f>
        <v>P2.05</v>
      </c>
      <c r="L339" s="55" t="str">
        <f>IF(_xlfn.XLOOKUP($J339,Catalogo!$B$7:$B$210,Catalogo!$I$7:$I$210,"",0)=0,"",_xlfn.XLOOKUP($J339,Catalogo!$B$7:$B$210,Catalogo!$I$7:$I$210,"",0))</f>
        <v>Resistividades pH BSR BPA</v>
      </c>
      <c r="M339" s="36">
        <f>+_xlfn.XLOOKUP(Tabla1[[#This Row],[Ducto]],'Summary S03'!A:A,'Summary S03'!G:G)/1000</f>
        <v>0.25700000000000001</v>
      </c>
      <c r="N33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4" x14ac:dyDescent="0.25">
      <c r="A340" s="354">
        <v>46051</v>
      </c>
      <c r="B340" s="114" t="s">
        <v>30</v>
      </c>
      <c r="C340" s="155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76" t="str">
        <f>+_xlfn.XLOOKUP(Tabla1[[#This Row],[Codigo_actividad]],Conceptos!A:A,Conceptos!H:H)</f>
        <v>P2.05</v>
      </c>
      <c r="L340" s="55" t="str">
        <f>IF(_xlfn.XLOOKUP($J340,Catalogo!$B$7:$B$210,Catalogo!$I$7:$I$210,"",0)=0,"",_xlfn.XLOOKUP($J340,Catalogo!$B$7:$B$210,Catalogo!$I$7:$I$210,"",0))</f>
        <v>Resistividades pH BSR BPA</v>
      </c>
      <c r="M340" s="36">
        <v>0.85</v>
      </c>
      <c r="N340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4" x14ac:dyDescent="0.25">
      <c r="A341" s="354"/>
      <c r="C341" s="155"/>
      <c r="D341" s="39"/>
      <c r="F341" s="28"/>
      <c r="G341" s="28"/>
      <c r="H341" s="224" t="str">
        <f>IF(Tabla1[[#This Row],[Codigo_actividad]]&lt;&gt;2.5,IF(((Tabla1[[#This Row],[fin]]-Tabla1[[#This Row],[inicio]])/1000)=0,"",((Tabla1[[#This Row],[fin]]-Tabla1[[#This Row],[inicio]])/1000)),"")</f>
        <v/>
      </c>
      <c r="K341">
        <f>+_xlfn.XLOOKUP(Tabla1[[#This Row],[Codigo_actividad]],Conceptos!A:A,Conceptos!H:H)</f>
        <v>0</v>
      </c>
      <c r="L341" s="66" t="str">
        <f>IF(_xlfn.XLOOKUP($J341,Catalogo!$B$7:$B$210,Catalogo!$I$7:$I$210,"",0)=0,"",_xlfn.XLOOKUP($J341,Catalogo!$B$7:$B$210,Catalogo!$I$7:$I$210,"",0))</f>
        <v/>
      </c>
      <c r="M341" s="36"/>
      <c r="N3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4" x14ac:dyDescent="0.25">
      <c r="A342" s="354">
        <v>46057</v>
      </c>
      <c r="B342" s="114" t="s">
        <v>30</v>
      </c>
      <c r="C342" s="155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4"/>
      <c r="I342" s="66">
        <v>1</v>
      </c>
      <c r="J342" s="76">
        <v>2.5</v>
      </c>
      <c r="K342" s="76" t="str">
        <f>+_xlfn.XLOOKUP(Tabla1[[#This Row],[Codigo_actividad]],Conceptos!A:A,Conceptos!H:H)</f>
        <v>P2.05</v>
      </c>
      <c r="L342" s="55" t="str">
        <f>IF(_xlfn.XLOOKUP($J342,Catalogo!$B$7:$B$210,Catalogo!$I$7:$I$210,"",0)=0,"",_xlfn.XLOOKUP($J342,Catalogo!$B$7:$B$210,Catalogo!$I$7:$I$210,"",0))</f>
        <v>Resistividades pH BSR BPA</v>
      </c>
      <c r="M342" s="36">
        <v>5.8479999999999999</v>
      </c>
      <c r="N34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4" x14ac:dyDescent="0.25">
      <c r="A343" s="355">
        <v>46057</v>
      </c>
      <c r="B343" s="199" t="s">
        <v>30</v>
      </c>
      <c r="C343" s="200" t="s">
        <v>329</v>
      </c>
      <c r="D343" s="201" t="s">
        <v>340</v>
      </c>
      <c r="E343" s="376" t="s">
        <v>31</v>
      </c>
      <c r="F343" s="202">
        <v>0</v>
      </c>
      <c r="G343" s="173">
        <v>0</v>
      </c>
      <c r="H343" s="224"/>
      <c r="I343" s="66">
        <v>1</v>
      </c>
      <c r="J343" s="76">
        <v>2.5</v>
      </c>
      <c r="K343" s="76" t="str">
        <f>+_xlfn.XLOOKUP(Tabla1[[#This Row],[Codigo_actividad]],Conceptos!A:A,Conceptos!H:H)</f>
        <v>P2.05</v>
      </c>
      <c r="L343" s="55" t="str">
        <f>IF(_xlfn.XLOOKUP($J343,Catalogo!$B$7:$B$210,Catalogo!$I$7:$I$210,"",0)=0,"",_xlfn.XLOOKUP($J343,Catalogo!$B$7:$B$210,Catalogo!$I$7:$I$210,"",0))</f>
        <v>Resistividades pH BSR BPA</v>
      </c>
      <c r="M343" s="161"/>
      <c r="N34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4" x14ac:dyDescent="0.25">
      <c r="A344" s="354"/>
      <c r="C344" s="155"/>
      <c r="D344" s="39"/>
      <c r="F344" s="28"/>
      <c r="G344" s="28"/>
      <c r="H344" s="224" t="str">
        <f>IF(Tabla1[[#This Row],[Codigo_actividad]]&lt;&gt;2.5,IF(((Tabla1[[#This Row],[fin]]-Tabla1[[#This Row],[inicio]])/1000)=0,"",((Tabla1[[#This Row],[fin]]-Tabla1[[#This Row],[inicio]])/1000)),"")</f>
        <v/>
      </c>
      <c r="K344">
        <f>+_xlfn.XLOOKUP(Tabla1[[#This Row],[Codigo_actividad]],Conceptos!A:A,Conceptos!H:H)</f>
        <v>0</v>
      </c>
      <c r="L344" s="66" t="str">
        <f>IF(_xlfn.XLOOKUP($J344,Catalogo!$B$7:$B$210,Catalogo!$I$7:$I$210,"",0)=0,"",_xlfn.XLOOKUP($J344,Catalogo!$B$7:$B$210,Catalogo!$I$7:$I$210,"",0))</f>
        <v/>
      </c>
      <c r="M344" s="36"/>
      <c r="N3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4" x14ac:dyDescent="0.25">
      <c r="A345" s="354">
        <v>46058</v>
      </c>
      <c r="B345" s="114" t="s">
        <v>30</v>
      </c>
      <c r="C345" s="155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4"/>
      <c r="I345" s="66">
        <v>1</v>
      </c>
      <c r="J345" s="76">
        <v>2.5</v>
      </c>
      <c r="K345" s="76" t="str">
        <f>+_xlfn.XLOOKUP(Tabla1[[#This Row],[Codigo_actividad]],Conceptos!A:A,Conceptos!H:H)</f>
        <v>P2.05</v>
      </c>
      <c r="L345" s="55" t="str">
        <f>IF(_xlfn.XLOOKUP($J345,Catalogo!$B$7:$B$210,Catalogo!$I$7:$I$210,"",0)=0,"",_xlfn.XLOOKUP($J345,Catalogo!$B$7:$B$210,Catalogo!$I$7:$I$210,"",0))</f>
        <v>Resistividades pH BSR BPA</v>
      </c>
      <c r="M345" s="36">
        <v>1.2E-2</v>
      </c>
      <c r="N3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4" x14ac:dyDescent="0.25">
      <c r="A346" s="354">
        <v>46058</v>
      </c>
      <c r="B346" s="114" t="s">
        <v>30</v>
      </c>
      <c r="C346" s="155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4"/>
      <c r="I346" s="66">
        <v>1</v>
      </c>
      <c r="J346" s="76">
        <v>2.5</v>
      </c>
      <c r="K346" s="76" t="str">
        <f>+_xlfn.XLOOKUP(Tabla1[[#This Row],[Codigo_actividad]],Conceptos!A:A,Conceptos!H:H)</f>
        <v>P2.05</v>
      </c>
      <c r="L346" s="55" t="str">
        <f>IF(_xlfn.XLOOKUP($J346,Catalogo!$B$7:$B$210,Catalogo!$I$7:$I$210,"",0)=0,"",_xlfn.XLOOKUP($J346,Catalogo!$B$7:$B$210,Catalogo!$I$7:$I$210,"",0))</f>
        <v>Resistividades pH BSR BPA</v>
      </c>
      <c r="M346" s="36">
        <v>1.2E-2</v>
      </c>
      <c r="N3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4" x14ac:dyDescent="0.25">
      <c r="A347" s="354"/>
      <c r="C347" s="155"/>
      <c r="D347" s="39"/>
      <c r="F347" s="28"/>
      <c r="G347" s="28"/>
      <c r="H347" s="224" t="str">
        <f>IF(Tabla1[[#This Row],[Codigo_actividad]]&lt;&gt;2.5,IF(((Tabla1[[#This Row],[fin]]-Tabla1[[#This Row],[inicio]])/1000)=0,"",((Tabla1[[#This Row],[fin]]-Tabla1[[#This Row],[inicio]])/1000)),"")</f>
        <v/>
      </c>
      <c r="K347">
        <f>+_xlfn.XLOOKUP(Tabla1[[#This Row],[Codigo_actividad]],Conceptos!A:A,Conceptos!H:H)</f>
        <v>0</v>
      </c>
      <c r="L347" s="66" t="str">
        <f>IF(_xlfn.XLOOKUP($J347,Catalogo!$B$7:$B$210,Catalogo!$I$7:$I$210,"",0)=0,"",_xlfn.XLOOKUP($J347,Catalogo!$B$7:$B$210,Catalogo!$I$7:$I$210,"",0))</f>
        <v/>
      </c>
      <c r="M347" s="36"/>
      <c r="N34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4" x14ac:dyDescent="0.25">
      <c r="A348" s="354">
        <v>46062</v>
      </c>
      <c r="B348" s="114" t="s">
        <v>30</v>
      </c>
      <c r="C348" s="155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4"/>
      <c r="I348" s="66">
        <v>1</v>
      </c>
      <c r="J348" s="76">
        <v>2.5</v>
      </c>
      <c r="K348" s="76" t="str">
        <f>+_xlfn.XLOOKUP(Tabla1[[#This Row],[Codigo_actividad]],Conceptos!A:A,Conceptos!H:H)</f>
        <v>P2.05</v>
      </c>
      <c r="L348" s="66" t="str">
        <f>IF(_xlfn.XLOOKUP($J348,Catalogo!$B$7:$B$210,Catalogo!$I$7:$I$210,"",0)=0,"",_xlfn.XLOOKUP($J348,Catalogo!$B$7:$B$210,Catalogo!$I$7:$I$210,"",0))</f>
        <v>Resistividades pH BSR BPA</v>
      </c>
      <c r="M348" s="36">
        <v>5.8479999999999999</v>
      </c>
      <c r="N34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4" x14ac:dyDescent="0.25">
      <c r="A349" s="354"/>
      <c r="C349" s="155"/>
      <c r="D349" s="39"/>
      <c r="F349" s="28"/>
      <c r="G349" s="28"/>
      <c r="H349" s="224" t="str">
        <f>IF(Tabla1[[#This Row],[Codigo_actividad]]&lt;&gt;2.5,IF(((Tabla1[[#This Row],[fin]]-Tabla1[[#This Row],[inicio]])/1000)=0,"",((Tabla1[[#This Row],[fin]]-Tabla1[[#This Row],[inicio]])/1000)),"")</f>
        <v/>
      </c>
      <c r="K349">
        <f>+_xlfn.XLOOKUP(Tabla1[[#This Row],[Codigo_actividad]],Conceptos!A:A,Conceptos!H:H)</f>
        <v>0</v>
      </c>
      <c r="L349" s="66" t="str">
        <f>IF(_xlfn.XLOOKUP($J349,Catalogo!$B$7:$B$210,Catalogo!$I$7:$I$210,"",0)=0,"",_xlfn.XLOOKUP($J349,Catalogo!$B$7:$B$210,Catalogo!$I$7:$I$210,"",0))</f>
        <v/>
      </c>
      <c r="M349" s="36"/>
      <c r="N34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4" x14ac:dyDescent="0.25">
      <c r="A350" s="354">
        <v>46063</v>
      </c>
      <c r="B350" s="114" t="s">
        <v>30</v>
      </c>
      <c r="C350" s="155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4"/>
      <c r="I350" s="66">
        <v>1</v>
      </c>
      <c r="J350" s="76">
        <v>2.5</v>
      </c>
      <c r="K350" s="76" t="str">
        <f>+_xlfn.XLOOKUP(Tabla1[[#This Row],[Codigo_actividad]],Conceptos!A:A,Conceptos!H:H)</f>
        <v>P2.05</v>
      </c>
      <c r="L350" s="55" t="str">
        <f>IF(_xlfn.XLOOKUP($J350,Catalogo!$B$7:$B$210,Catalogo!$I$7:$I$210,"",0)=0,"",_xlfn.XLOOKUP($J350,Catalogo!$B$7:$B$210,Catalogo!$I$7:$I$210,"",0))</f>
        <v>Resistividades pH BSR BPA</v>
      </c>
      <c r="M350" s="36">
        <f>+_xlfn.XLOOKUP(Tabla1[[#This Row],[Ducto]],'R (s03)'!B:B,'R (s03)'!C:C)</f>
        <v>0.27800000000000002</v>
      </c>
      <c r="N35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4" x14ac:dyDescent="0.25">
      <c r="A351" s="354">
        <v>46063</v>
      </c>
      <c r="B351" s="114" t="s">
        <v>30</v>
      </c>
      <c r="C351" s="155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4"/>
      <c r="I351" s="66">
        <v>2</v>
      </c>
      <c r="J351" s="76">
        <v>2.5</v>
      </c>
      <c r="K351" s="76" t="str">
        <f>+_xlfn.XLOOKUP(Tabla1[[#This Row],[Codigo_actividad]],Conceptos!A:A,Conceptos!H:H)</f>
        <v>P2.05</v>
      </c>
      <c r="L351" s="55" t="str">
        <f>IF(_xlfn.XLOOKUP($J351,Catalogo!$B$7:$B$210,Catalogo!$I$7:$I$210,"",0)=0,"",_xlfn.XLOOKUP($J351,Catalogo!$B$7:$B$210,Catalogo!$I$7:$I$210,"",0))</f>
        <v>Resistividades pH BSR BPA</v>
      </c>
      <c r="M351" s="36">
        <v>0.31</v>
      </c>
      <c r="N351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4" x14ac:dyDescent="0.25">
      <c r="A352" s="355">
        <v>46063</v>
      </c>
      <c r="B352" s="199" t="s">
        <v>30</v>
      </c>
      <c r="C352" s="200" t="s">
        <v>329</v>
      </c>
      <c r="D352" s="201" t="s">
        <v>240</v>
      </c>
      <c r="E352" s="376" t="s">
        <v>31</v>
      </c>
      <c r="F352" s="202">
        <v>200</v>
      </c>
      <c r="G352" s="173">
        <v>200</v>
      </c>
      <c r="H352" s="224"/>
      <c r="I352" s="66">
        <v>1</v>
      </c>
      <c r="J352" s="76">
        <v>2.5</v>
      </c>
      <c r="K352" s="76" t="str">
        <f>+_xlfn.XLOOKUP(Tabla1[[#This Row],[Codigo_actividad]],Conceptos!A:A,Conceptos!H:H)</f>
        <v>P2.05</v>
      </c>
      <c r="L352" s="55" t="str">
        <f>IF(_xlfn.XLOOKUP($J352,Catalogo!$B$7:$B$210,Catalogo!$I$7:$I$210,"",0)=0,"",_xlfn.XLOOKUP($J352,Catalogo!$B$7:$B$210,Catalogo!$I$7:$I$210,"",0))</f>
        <v>Resistividades pH BSR BPA</v>
      </c>
      <c r="M352" s="161"/>
      <c r="N3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4" x14ac:dyDescent="0.25">
      <c r="A353" s="354"/>
      <c r="C353" s="155"/>
      <c r="D353" s="39"/>
      <c r="F353" s="28"/>
      <c r="G353" s="28"/>
      <c r="H353" s="224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>
        <f>+_xlfn.XLOOKUP(Tabla1[[#This Row],[Codigo_actividad]],Conceptos!A:A,Conceptos!H:H)</f>
        <v>0</v>
      </c>
      <c r="L353" s="66" t="str">
        <f>IF(_xlfn.XLOOKUP($J353,Catalogo!$B$7:$B$210,Catalogo!$I$7:$I$210,"",0)=0,"",_xlfn.XLOOKUP($J353,Catalogo!$B$7:$B$210,Catalogo!$I$7:$I$210,"",0))</f>
        <v/>
      </c>
      <c r="M353" s="36"/>
      <c r="N3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4" x14ac:dyDescent="0.25">
      <c r="A354" s="354">
        <v>46064</v>
      </c>
      <c r="B354" s="114" t="s">
        <v>30</v>
      </c>
      <c r="C354" s="155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4"/>
      <c r="I354" s="66">
        <v>2</v>
      </c>
      <c r="J354" s="76">
        <v>2.5</v>
      </c>
      <c r="K354" s="76" t="str">
        <f>+_xlfn.XLOOKUP(Tabla1[[#This Row],[Codigo_actividad]],Conceptos!A:A,Conceptos!H:H)</f>
        <v>P2.05</v>
      </c>
      <c r="L354" s="55" t="str">
        <f>IF(_xlfn.XLOOKUP($J354,Catalogo!$B$7:$B$210,Catalogo!$I$7:$I$210,"",0)=0,"",_xlfn.XLOOKUP($J354,Catalogo!$B$7:$B$210,Catalogo!$I$7:$I$210,"",0))</f>
        <v>Resistividades pH BSR BPA</v>
      </c>
      <c r="M354" s="36">
        <v>5.7880000000000003</v>
      </c>
      <c r="N3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4" x14ac:dyDescent="0.25">
      <c r="A355" s="354">
        <v>46064</v>
      </c>
      <c r="B355" s="114" t="s">
        <v>30</v>
      </c>
      <c r="C355" s="155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4"/>
      <c r="I355" s="66">
        <v>1</v>
      </c>
      <c r="J355" s="76">
        <v>2.5</v>
      </c>
      <c r="K355" s="76" t="str">
        <f>+_xlfn.XLOOKUP(Tabla1[[#This Row],[Codigo_actividad]],Conceptos!A:A,Conceptos!H:H)</f>
        <v>P2.05</v>
      </c>
      <c r="L355" s="55" t="str">
        <f>IF(_xlfn.XLOOKUP($J355,Catalogo!$B$7:$B$210,Catalogo!$I$7:$I$210,"",0)=0,"",_xlfn.XLOOKUP($J355,Catalogo!$B$7:$B$210,Catalogo!$I$7:$I$210,"",0))</f>
        <v>Resistividades pH BSR BPA</v>
      </c>
      <c r="M355" s="36">
        <v>4.4999999999999998E-2</v>
      </c>
      <c r="N3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4" x14ac:dyDescent="0.25">
      <c r="A356" s="355">
        <v>46064</v>
      </c>
      <c r="B356" s="199" t="s">
        <v>30</v>
      </c>
      <c r="C356" s="200" t="s">
        <v>329</v>
      </c>
      <c r="D356" s="201" t="s">
        <v>353</v>
      </c>
      <c r="E356" s="376" t="s">
        <v>31</v>
      </c>
      <c r="F356" s="202">
        <v>0</v>
      </c>
      <c r="G356" s="173">
        <v>0</v>
      </c>
      <c r="H356" s="224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76" t="str">
        <f>+_xlfn.XLOOKUP(Tabla1[[#This Row],[Codigo_actividad]],Conceptos!A:A,Conceptos!H:H)</f>
        <v>P2.05</v>
      </c>
      <c r="L356" s="55" t="str">
        <f>IF(_xlfn.XLOOKUP($J356,Catalogo!$B$7:$B$210,Catalogo!$I$7:$I$210,"",0)=0,"",_xlfn.XLOOKUP($J356,Catalogo!$B$7:$B$210,Catalogo!$I$7:$I$210,"",0))</f>
        <v>Resistividades pH BSR BPA</v>
      </c>
      <c r="M356" s="161"/>
      <c r="N35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4" x14ac:dyDescent="0.25">
      <c r="A357" s="354"/>
      <c r="C357" s="155"/>
      <c r="D357" s="39"/>
      <c r="F357" s="28"/>
      <c r="G357" s="28"/>
      <c r="H357" s="224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>
        <f>+_xlfn.XLOOKUP(Tabla1[[#This Row],[Codigo_actividad]],Conceptos!A:A,Conceptos!H:H)</f>
        <v>0</v>
      </c>
      <c r="L357" s="66" t="str">
        <f>IF(_xlfn.XLOOKUP($J357,Catalogo!$B$7:$B$210,Catalogo!$I$7:$I$210,"",0)=0,"",_xlfn.XLOOKUP($J357,Catalogo!$B$7:$B$210,Catalogo!$I$7:$I$210,"",0))</f>
        <v/>
      </c>
      <c r="M357" s="36"/>
      <c r="N3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4" x14ac:dyDescent="0.25">
      <c r="A358" s="355">
        <v>46065</v>
      </c>
      <c r="B358" s="199" t="s">
        <v>30</v>
      </c>
      <c r="C358" s="200" t="s">
        <v>411</v>
      </c>
      <c r="D358" s="201" t="s">
        <v>264</v>
      </c>
      <c r="E358" s="376" t="s">
        <v>31</v>
      </c>
      <c r="F358" s="202">
        <v>0</v>
      </c>
      <c r="G358" s="202">
        <v>2077</v>
      </c>
      <c r="H358" s="224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76" t="str">
        <f>+_xlfn.XLOOKUP(Tabla1[[#This Row],[Codigo_actividad]],Conceptos!A:A,Conceptos!H:H)</f>
        <v>P2.05</v>
      </c>
      <c r="L358" s="55" t="str">
        <f>IF(_xlfn.XLOOKUP($J358,Catalogo!$B$7:$B$210,Catalogo!$I$7:$I$210,"",0)=0,"",_xlfn.XLOOKUP($J358,Catalogo!$B$7:$B$210,Catalogo!$I$7:$I$210,"",0))</f>
        <v>Resistividades pH BSR BPA</v>
      </c>
      <c r="M358" s="36">
        <v>2.077</v>
      </c>
      <c r="N35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4" x14ac:dyDescent="0.25">
      <c r="A359" s="354"/>
      <c r="C359" s="155"/>
      <c r="D359" s="39"/>
      <c r="F359" s="28"/>
      <c r="G359" s="28"/>
      <c r="H359" s="224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76">
        <f>+_xlfn.XLOOKUP(Tabla1[[#This Row],[Codigo_actividad]],Conceptos!A:A,Conceptos!H:H)</f>
        <v>0</v>
      </c>
      <c r="L359" s="66" t="str">
        <f>IF(_xlfn.XLOOKUP($J359,Catalogo!$B$7:$B$210,Catalogo!$I$7:$I$210,"",0)=0,"",_xlfn.XLOOKUP($J359,Catalogo!$B$7:$B$210,Catalogo!$I$7:$I$210,"",0))</f>
        <v/>
      </c>
      <c r="M359" s="36"/>
      <c r="N3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4" x14ac:dyDescent="0.25">
      <c r="A360" s="354">
        <v>46111</v>
      </c>
      <c r="B360" s="114" t="s">
        <v>12</v>
      </c>
      <c r="C360" s="155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4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76" t="str">
        <f>+_xlfn.XLOOKUP(Tabla1[[#This Row],[Codigo_actividad]],Conceptos!A:A,Conceptos!H:H)</f>
        <v>P2.06</v>
      </c>
      <c r="L360" s="66" t="str">
        <f>IF(_xlfn.XLOOKUP($J360,Catalogo!$B$7:$B$210,Catalogo!$I$7:$I$210,"",0)=0,"",_xlfn.XLOOKUP($J360,Catalogo!$B$7:$B$210,Catalogo!$I$7:$I$210,"",0))</f>
        <v>Localizacion</v>
      </c>
      <c r="M360" s="36">
        <f>+_xlfn.XLOOKUP(Tabla1[[#This Row],[Ducto]],'R (s03)'!B:B,'R (s03)'!C:C)</f>
        <v>24.358000000000001</v>
      </c>
      <c r="N360" s="261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4" x14ac:dyDescent="0.25">
      <c r="A361" s="354">
        <v>46112</v>
      </c>
      <c r="B361" s="114" t="s">
        <v>12</v>
      </c>
      <c r="C361" s="155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4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76" t="str">
        <f>+_xlfn.XLOOKUP(Tabla1[[#This Row],[Codigo_actividad]],Conceptos!A:A,Conceptos!H:H)</f>
        <v>P2.06</v>
      </c>
      <c r="L361" s="66" t="str">
        <f>IF(_xlfn.XLOOKUP($J361,Catalogo!$B$7:$B$210,Catalogo!$I$7:$I$210,"",0)=0,"",_xlfn.XLOOKUP($J361,Catalogo!$B$7:$B$210,Catalogo!$I$7:$I$210,"",0))</f>
        <v>Localizacion</v>
      </c>
      <c r="M361" s="36">
        <f>+_xlfn.XLOOKUP(Tabla1[[#This Row],[Ducto]],'R (s03)'!B:B,'R (s03)'!C:C)</f>
        <v>24.358000000000001</v>
      </c>
      <c r="N361" s="261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4" x14ac:dyDescent="0.25">
      <c r="A362" s="354">
        <v>46113</v>
      </c>
      <c r="B362" s="114" t="s">
        <v>12</v>
      </c>
      <c r="C362" s="155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4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76" t="str">
        <f>+_xlfn.XLOOKUP(Tabla1[[#This Row],[Codigo_actividad]],Conceptos!A:A,Conceptos!H:H)</f>
        <v>P2.06</v>
      </c>
      <c r="L362" s="66" t="str">
        <f>IF(_xlfn.XLOOKUP($J362,Catalogo!$B$7:$B$210,Catalogo!$I$7:$I$210,"",0)=0,"",_xlfn.XLOOKUP($J362,Catalogo!$B$7:$B$210,Catalogo!$I$7:$I$210,"",0))</f>
        <v>Localizacion</v>
      </c>
      <c r="M362" s="36">
        <f>+_xlfn.XLOOKUP(Tabla1[[#This Row],[Ducto]],'R (s03)'!B:B,'R (s03)'!C:C)</f>
        <v>24.358000000000001</v>
      </c>
      <c r="N362" s="261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4" x14ac:dyDescent="0.25">
      <c r="A363" s="354">
        <v>46114</v>
      </c>
      <c r="B363" s="114" t="s">
        <v>12</v>
      </c>
      <c r="C363" s="155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4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76" t="str">
        <f>+_xlfn.XLOOKUP(Tabla1[[#This Row],[Codigo_actividad]],Conceptos!A:A,Conceptos!H:H)</f>
        <v>P2.06</v>
      </c>
      <c r="L363" s="66" t="str">
        <f>IF(_xlfn.XLOOKUP($J363,Catalogo!$B$7:$B$210,Catalogo!$I$7:$I$210,"",0)=0,"",_xlfn.XLOOKUP($J363,Catalogo!$B$7:$B$210,Catalogo!$I$7:$I$210,"",0))</f>
        <v>Localizacion</v>
      </c>
      <c r="M363" s="36">
        <f>+_xlfn.XLOOKUP(Tabla1[[#This Row],[Ducto]],'R (s03)'!B:B,'R (s03)'!C:C)</f>
        <v>24.358000000000001</v>
      </c>
      <c r="N363" s="261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4" x14ac:dyDescent="0.25">
      <c r="A364" s="354">
        <v>46115</v>
      </c>
      <c r="B364" s="114" t="s">
        <v>12</v>
      </c>
      <c r="C364" s="155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4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76" t="str">
        <f>+_xlfn.XLOOKUP(Tabla1[[#This Row],[Codigo_actividad]],Conceptos!A:A,Conceptos!H:H)</f>
        <v>P2.06</v>
      </c>
      <c r="L364" s="66" t="str">
        <f>IF(_xlfn.XLOOKUP($J364,Catalogo!$B$7:$B$210,Catalogo!$I$7:$I$210,"",0)=0,"",_xlfn.XLOOKUP($J364,Catalogo!$B$7:$B$210,Catalogo!$I$7:$I$210,"",0))</f>
        <v>Localizacion</v>
      </c>
      <c r="M364" s="36">
        <f>+_xlfn.XLOOKUP(Tabla1[[#This Row],[Ducto]],'R (s03)'!B:B,'R (s03)'!C:C)</f>
        <v>24.358000000000001</v>
      </c>
      <c r="N364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4" x14ac:dyDescent="0.25">
      <c r="A365" s="354">
        <v>46116</v>
      </c>
      <c r="B365" s="114" t="s">
        <v>12</v>
      </c>
      <c r="C365" s="155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4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76" t="str">
        <f>+_xlfn.XLOOKUP(Tabla1[[#This Row],[Codigo_actividad]],Conceptos!A:A,Conceptos!H:H)</f>
        <v>P2.06</v>
      </c>
      <c r="L365" s="66" t="str">
        <f>IF(_xlfn.XLOOKUP($J365,Catalogo!$B$7:$B$210,Catalogo!$I$7:$I$210,"",0)=0,"",_xlfn.XLOOKUP($J365,Catalogo!$B$7:$B$210,Catalogo!$I$7:$I$210,"",0))</f>
        <v>Localizacion</v>
      </c>
      <c r="M365" s="36">
        <v>0.878</v>
      </c>
      <c r="N365" s="261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4" x14ac:dyDescent="0.25">
      <c r="A366" s="354">
        <v>46119</v>
      </c>
      <c r="B366" s="114" t="s">
        <v>12</v>
      </c>
      <c r="C366" s="155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4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76" t="str">
        <f>+_xlfn.XLOOKUP(Tabla1[[#This Row],[Codigo_actividad]],Conceptos!A:A,Conceptos!H:H)</f>
        <v>P2.06</v>
      </c>
      <c r="L366" s="66" t="str">
        <f>IF(_xlfn.XLOOKUP($J366,Catalogo!$B$7:$B$210,Catalogo!$I$7:$I$210,"",0)=0,"",_xlfn.XLOOKUP($J366,Catalogo!$B$7:$B$210,Catalogo!$I$7:$I$210,"",0))</f>
        <v>Localizacion</v>
      </c>
      <c r="M366" s="36">
        <f>+_xlfn.XLOOKUP(Tabla1[[#This Row],[Ducto]],'R (s03)'!B:B,'R (s03)'!C:C)</f>
        <v>24.358000000000001</v>
      </c>
      <c r="N366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4" x14ac:dyDescent="0.25">
      <c r="A367" s="354">
        <v>46120</v>
      </c>
      <c r="B367" s="114" t="s">
        <v>12</v>
      </c>
      <c r="C367" s="155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4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76" t="str">
        <f>+_xlfn.XLOOKUP(Tabla1[[#This Row],[Codigo_actividad]],Conceptos!A:A,Conceptos!H:H)</f>
        <v>P2.06</v>
      </c>
      <c r="L367" s="66" t="str">
        <f>IF(_xlfn.XLOOKUP($J367,Catalogo!$B$7:$B$210,Catalogo!$I$7:$I$210,"",0)=0,"",_xlfn.XLOOKUP($J367,Catalogo!$B$7:$B$210,Catalogo!$I$7:$I$210,"",0))</f>
        <v>Localizacion</v>
      </c>
      <c r="M367" s="36">
        <f>+_xlfn.XLOOKUP(Tabla1[[#This Row],[Ducto]],'R (s03)'!B:B,'R (s03)'!C:C)</f>
        <v>24.358000000000001</v>
      </c>
      <c r="N367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4" x14ac:dyDescent="0.25">
      <c r="A368" s="354">
        <v>46120</v>
      </c>
      <c r="B368" s="114" t="s">
        <v>12</v>
      </c>
      <c r="C368" s="155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4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76" t="str">
        <f>+_xlfn.XLOOKUP(Tabla1[[#This Row],[Codigo_actividad]],Conceptos!A:A,Conceptos!H:H)</f>
        <v>P2.06</v>
      </c>
      <c r="L368" s="66" t="str">
        <f>IF(_xlfn.XLOOKUP($J368,Catalogo!$B$7:$B$210,Catalogo!$I$7:$I$210,"",0)=0,"",_xlfn.XLOOKUP($J368,Catalogo!$B$7:$B$210,Catalogo!$I$7:$I$210,"",0))</f>
        <v>Localizacion</v>
      </c>
      <c r="M368" s="36">
        <f>+_xlfn.XLOOKUP(Tabla1[[#This Row],[Ducto]],'R (s03)'!B:B,'R (s03)'!C:C)</f>
        <v>24.358000000000001</v>
      </c>
      <c r="N368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4" x14ac:dyDescent="0.25">
      <c r="A369" s="354">
        <v>46121</v>
      </c>
      <c r="B369" s="114" t="s">
        <v>12</v>
      </c>
      <c r="C369" s="155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4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76" t="str">
        <f>+_xlfn.XLOOKUP(Tabla1[[#This Row],[Codigo_actividad]],Conceptos!A:A,Conceptos!H:H)</f>
        <v>P2.06</v>
      </c>
      <c r="L369" s="66" t="str">
        <f>IF(_xlfn.XLOOKUP($J369,Catalogo!$B$7:$B$210,Catalogo!$I$7:$I$210,"",0)=0,"",_xlfn.XLOOKUP($J369,Catalogo!$B$7:$B$210,Catalogo!$I$7:$I$210,"",0))</f>
        <v>Localizacion</v>
      </c>
      <c r="M369" s="36">
        <f>+_xlfn.XLOOKUP(Tabla1[[#This Row],[Ducto]],'R (s03)'!B:B,'R (s03)'!C:C)</f>
        <v>24.358000000000001</v>
      </c>
      <c r="N369" s="261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4" x14ac:dyDescent="0.25">
      <c r="A370" s="354">
        <v>46122</v>
      </c>
      <c r="B370" s="114" t="s">
        <v>12</v>
      </c>
      <c r="C370" s="155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4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76" t="str">
        <f>+_xlfn.XLOOKUP(Tabla1[[#This Row],[Codigo_actividad]],Conceptos!A:A,Conceptos!H:H)</f>
        <v>P2.06</v>
      </c>
      <c r="L370" s="66" t="str">
        <f>IF(_xlfn.XLOOKUP($J370,Catalogo!$B$7:$B$210,Catalogo!$I$7:$I$210,"",0)=0,"",_xlfn.XLOOKUP($J370,Catalogo!$B$7:$B$210,Catalogo!$I$7:$I$210,"",0))</f>
        <v>Localizacion</v>
      </c>
      <c r="M370" s="36">
        <f>+_xlfn.XLOOKUP(Tabla1[[#This Row],[Ducto]],'R (s03)'!B:B,'R (s03)'!C:C)</f>
        <v>24.358000000000001</v>
      </c>
      <c r="N370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4" x14ac:dyDescent="0.25">
      <c r="A371" s="354">
        <v>46123</v>
      </c>
      <c r="B371" s="114" t="s">
        <v>12</v>
      </c>
      <c r="C371" s="155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4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76" t="str">
        <f>+_xlfn.XLOOKUP(Tabla1[[#This Row],[Codigo_actividad]],Conceptos!A:A,Conceptos!H:H)</f>
        <v>P2.06</v>
      </c>
      <c r="L371" s="66" t="str">
        <f>IF(_xlfn.XLOOKUP($J371,Catalogo!$B$7:$B$210,Catalogo!$I$7:$I$210,"",0)=0,"",_xlfn.XLOOKUP($J371,Catalogo!$B$7:$B$210,Catalogo!$I$7:$I$210,"",0))</f>
        <v>Localizacion</v>
      </c>
      <c r="M371" s="36">
        <f>+_xlfn.XLOOKUP(Tabla1[[#This Row],[Ducto]],'R (s03)'!B:B,'R (s03)'!C:C)</f>
        <v>24.358000000000001</v>
      </c>
      <c r="N371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4" x14ac:dyDescent="0.25">
      <c r="A372" s="354">
        <v>46123</v>
      </c>
      <c r="B372" s="114" t="s">
        <v>12</v>
      </c>
      <c r="C372" s="155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4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76" t="str">
        <f>+_xlfn.XLOOKUP(Tabla1[[#This Row],[Codigo_actividad]],Conceptos!A:A,Conceptos!H:H)</f>
        <v>P2.06</v>
      </c>
      <c r="L372" s="66" t="str">
        <f>IF(_xlfn.XLOOKUP($J372,Catalogo!$B$7:$B$210,Catalogo!$I$7:$I$210,"",0)=0,"",_xlfn.XLOOKUP($J372,Catalogo!$B$7:$B$210,Catalogo!$I$7:$I$210,"",0))</f>
        <v>Localizacion</v>
      </c>
      <c r="M372" s="36">
        <f>+_xlfn.XLOOKUP(Tabla1[[#This Row],[Ducto]],'R (s03)'!B:B,'R (s03)'!C:C)</f>
        <v>24.358000000000001</v>
      </c>
      <c r="N372" s="261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4" x14ac:dyDescent="0.25">
      <c r="A373" s="354">
        <v>46125</v>
      </c>
      <c r="B373" s="114" t="s">
        <v>12</v>
      </c>
      <c r="C373" s="155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4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76" t="str">
        <f>+_xlfn.XLOOKUP(Tabla1[[#This Row],[Codigo_actividad]],Conceptos!A:A,Conceptos!H:H)</f>
        <v>P2.06</v>
      </c>
      <c r="L373" s="66" t="str">
        <f>IF(_xlfn.XLOOKUP($J373,Catalogo!$B$7:$B$210,Catalogo!$I$7:$I$210,"",0)=0,"",_xlfn.XLOOKUP($J373,Catalogo!$B$7:$B$210,Catalogo!$I$7:$I$210,"",0))</f>
        <v>Localizacion</v>
      </c>
      <c r="M373" s="36">
        <f>+_xlfn.XLOOKUP(Tabla1[[#This Row],[Ducto]],'R (s03)'!B:B,'R (s03)'!C:C)</f>
        <v>24.358000000000001</v>
      </c>
      <c r="N373" s="261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4" x14ac:dyDescent="0.25">
      <c r="A374" s="354">
        <v>46126</v>
      </c>
      <c r="B374" s="114" t="s">
        <v>12</v>
      </c>
      <c r="C374" s="155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4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76" t="str">
        <f>+_xlfn.XLOOKUP(Tabla1[[#This Row],[Codigo_actividad]],Conceptos!A:A,Conceptos!H:H)</f>
        <v>P2.06</v>
      </c>
      <c r="L374" s="66" t="str">
        <f>IF(_xlfn.XLOOKUP($J374,Catalogo!$B$7:$B$210,Catalogo!$I$7:$I$210,"",0)=0,"",_xlfn.XLOOKUP($J374,Catalogo!$B$7:$B$210,Catalogo!$I$7:$I$210,"",0))</f>
        <v>Localizacion</v>
      </c>
      <c r="M374" s="36">
        <f>+_xlfn.XLOOKUP(Tabla1[[#This Row],[Ducto]],'R (s03)'!B:B,'R (s03)'!C:C)</f>
        <v>24.358000000000001</v>
      </c>
      <c r="N374" s="261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4" x14ac:dyDescent="0.25">
      <c r="A375" s="354">
        <v>46127</v>
      </c>
      <c r="B375" s="114" t="s">
        <v>12</v>
      </c>
      <c r="C375" s="155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4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76" t="str">
        <f>+_xlfn.XLOOKUP(Tabla1[[#This Row],[Codigo_actividad]],Conceptos!A:A,Conceptos!H:H)</f>
        <v>P2.06</v>
      </c>
      <c r="L375" s="66" t="str">
        <f>IF(_xlfn.XLOOKUP($J375,Catalogo!$B$7:$B$210,Catalogo!$I$7:$I$210,"",0)=0,"",_xlfn.XLOOKUP($J375,Catalogo!$B$7:$B$210,Catalogo!$I$7:$I$210,"",0))</f>
        <v>Localizacion</v>
      </c>
      <c r="M375" s="36">
        <f>+_xlfn.XLOOKUP(Tabla1[[#This Row],[Ducto]],'R (s03)'!B:B,'R (s03)'!C:C)</f>
        <v>24.358000000000001</v>
      </c>
      <c r="N375" s="261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4" x14ac:dyDescent="0.25">
      <c r="A376" s="354">
        <v>46128</v>
      </c>
      <c r="B376" s="114" t="s">
        <v>12</v>
      </c>
      <c r="C376" s="155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4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76" t="str">
        <f>+_xlfn.XLOOKUP(Tabla1[[#This Row],[Codigo_actividad]],Conceptos!A:A,Conceptos!H:H)</f>
        <v>P2.06</v>
      </c>
      <c r="L376" s="66" t="str">
        <f>IF(_xlfn.XLOOKUP($J376,Catalogo!$B$7:$B$210,Catalogo!$I$7:$I$210,"",0)=0,"",_xlfn.XLOOKUP($J376,Catalogo!$B$7:$B$210,Catalogo!$I$7:$I$210,"",0))</f>
        <v>Localizacion</v>
      </c>
      <c r="M376" s="36">
        <f>+_xlfn.XLOOKUP(Tabla1[[#This Row],[Ducto]],'R (s03)'!B:B,'R (s03)'!C:C)</f>
        <v>24.358000000000001</v>
      </c>
      <c r="N376" s="261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4" x14ac:dyDescent="0.25">
      <c r="A377" s="354"/>
      <c r="C377" s="155"/>
      <c r="D377" s="39"/>
      <c r="F377" s="28"/>
      <c r="G377" s="28"/>
      <c r="H377" s="224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76">
        <f>+_xlfn.XLOOKUP(Tabla1[[#This Row],[Codigo_actividad]],Conceptos!A:A,Conceptos!H:H)</f>
        <v>0</v>
      </c>
      <c r="L377" s="66" t="str">
        <f>IF(_xlfn.XLOOKUP($J377,Catalogo!$B$7:$B$21,Catalogo!$I$7:$I$21,"",0)=0,"",_xlfn.XLOOKUP($J377,Catalogo!$B$7:$B$21,Catalogo!$I$7:$I$21,"",0))</f>
        <v/>
      </c>
      <c r="M377" s="36"/>
      <c r="N3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4" x14ac:dyDescent="0.25">
      <c r="A378" s="354">
        <v>46135</v>
      </c>
      <c r="B378" s="114" t="s">
        <v>12</v>
      </c>
      <c r="C378" s="155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4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76" t="str">
        <f>+_xlfn.XLOOKUP(Tabla1[[#This Row],[Codigo_actividad]],Conceptos!A:A,Conceptos!H:H)</f>
        <v>P2.03</v>
      </c>
      <c r="L378" s="66" t="str">
        <f>IF(_xlfn.XLOOKUP($J378,Catalogo!$B$7:$B$210,Catalogo!$I$7:$I$210,"",0)=0,"",_xlfn.XLOOKUP($J378,Catalogo!$B$7:$B$210,Catalogo!$I$7:$I$210,"",0))</f>
        <v>DCVG</v>
      </c>
      <c r="M378" s="36">
        <f>+_xlfn.XLOOKUP(Tabla1[[#This Row],[Ducto]],'R (s03)'!B:B,'R (s03)'!C:C)</f>
        <v>24.358000000000001</v>
      </c>
      <c r="N378" s="261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Q378" s="369" t="s">
        <v>462</v>
      </c>
      <c r="R378" s="369" t="s">
        <v>463</v>
      </c>
      <c r="S378" s="369" t="s">
        <v>464</v>
      </c>
      <c r="T378" s="375" t="s">
        <v>465</v>
      </c>
      <c r="U378" s="375"/>
      <c r="V378" s="375"/>
      <c r="W378" s="375"/>
      <c r="X378" s="375"/>
    </row>
    <row r="379" spans="1:24" x14ac:dyDescent="0.25">
      <c r="A379" s="354">
        <v>46136</v>
      </c>
      <c r="B379" s="114" t="s">
        <v>12</v>
      </c>
      <c r="C379" s="155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4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76" t="str">
        <f>+_xlfn.XLOOKUP(Tabla1[[#This Row],[Codigo_actividad]],Conceptos!A:A,Conceptos!H:H)</f>
        <v>P2.03</v>
      </c>
      <c r="L379" s="66" t="str">
        <f>IF(_xlfn.XLOOKUP($J379,Catalogo!$B$7:$B$210,Catalogo!$I$7:$I$210,"",0)=0,"",_xlfn.XLOOKUP($J379,Catalogo!$B$7:$B$210,Catalogo!$I$7:$I$210,"",0))</f>
        <v>DCVG</v>
      </c>
      <c r="M379" s="36">
        <f>+_xlfn.XLOOKUP(Tabla1[[#This Row],[Ducto]],'R (s03)'!B:B,'R (s03)'!C:C)</f>
        <v>24.358000000000001</v>
      </c>
      <c r="N379" s="261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Q379" s="372">
        <v>2950</v>
      </c>
      <c r="R379" s="372">
        <v>3463</v>
      </c>
      <c r="S379" s="373">
        <f>R379-Q379</f>
        <v>513</v>
      </c>
      <c r="T379" t="s">
        <v>466</v>
      </c>
      <c r="U379" t="str">
        <f>"SALTO del "&amp;TEXT(Q379,"0+000")&amp;" al "&amp;TEXT(R379,"0+000")&amp;" "&amp;T379</f>
        <v>SALTO del 2+950 al 3+463 ZONA DE CULTIVO DE BROCOLI</v>
      </c>
    </row>
    <row r="380" spans="1:24" x14ac:dyDescent="0.25">
      <c r="A380" s="354">
        <v>46137</v>
      </c>
      <c r="B380" s="114" t="s">
        <v>12</v>
      </c>
      <c r="C380" s="155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4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76" t="str">
        <f>+_xlfn.XLOOKUP(Tabla1[[#This Row],[Codigo_actividad]],Conceptos!A:A,Conceptos!H:H)</f>
        <v>P2.03</v>
      </c>
      <c r="L380" s="66" t="str">
        <f>IF(_xlfn.XLOOKUP($J380,Catalogo!$B$7:$B$210,Catalogo!$I$7:$I$210,"",0)=0,"",_xlfn.XLOOKUP($J380,Catalogo!$B$7:$B$210,Catalogo!$I$7:$I$210,"",0))</f>
        <v>DCVG</v>
      </c>
      <c r="M380" s="36">
        <f>+_xlfn.XLOOKUP(Tabla1[[#This Row],[Ducto]],'R (s03)'!B:B,'R (s03)'!C:C)</f>
        <v>24.358000000000001</v>
      </c>
      <c r="N380" s="261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Q380" s="372">
        <v>4210</v>
      </c>
      <c r="R380" s="372">
        <v>4322</v>
      </c>
      <c r="S380" s="373">
        <f t="shared" ref="S380:S398" si="0">R380-Q380</f>
        <v>112</v>
      </c>
      <c r="T380" t="s">
        <v>467</v>
      </c>
      <c r="U380" t="str">
        <f t="shared" ref="U380:U398" si="1">"SALTO del "&amp;TEXT(Q380,"0+000")&amp;" al "&amp;TEXT(R380,"0+000")&amp;" "&amp;T380</f>
        <v>SALTO del 4+210 al 4+322 ZONA DE SEMBRADIO MILPA</v>
      </c>
    </row>
    <row r="381" spans="1:24" x14ac:dyDescent="0.25">
      <c r="A381" s="354">
        <v>46139</v>
      </c>
      <c r="B381" s="114" t="s">
        <v>12</v>
      </c>
      <c r="C381" s="155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4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76" t="str">
        <f>+_xlfn.XLOOKUP(Tabla1[[#This Row],[Codigo_actividad]],Conceptos!A:A,Conceptos!H:H)</f>
        <v>P2.03</v>
      </c>
      <c r="L381" s="66" t="str">
        <f>IF(_xlfn.XLOOKUP($J381,Catalogo!$B$7:$B$210,Catalogo!$I$7:$I$210,"",0)=0,"",_xlfn.XLOOKUP($J381,Catalogo!$B$7:$B$210,Catalogo!$I$7:$I$210,"",0))</f>
        <v>DCVG</v>
      </c>
      <c r="M381" s="36">
        <f>+_xlfn.XLOOKUP(Tabla1[[#This Row],[Ducto]],'R (s03)'!B:B,'R (s03)'!C:C)</f>
        <v>24.358000000000001</v>
      </c>
      <c r="N381" s="261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Q381" s="372">
        <v>7076</v>
      </c>
      <c r="R381" s="372">
        <v>7087</v>
      </c>
      <c r="S381" s="373">
        <f t="shared" si="0"/>
        <v>11</v>
      </c>
      <c r="T381" t="s">
        <v>468</v>
      </c>
      <c r="U381" t="str">
        <f t="shared" si="1"/>
        <v>SALTO del 7+076 al 7+087 CRUCE DE CUERPO DE AGUA</v>
      </c>
    </row>
    <row r="382" spans="1:24" x14ac:dyDescent="0.25">
      <c r="A382" s="354">
        <v>46139</v>
      </c>
      <c r="B382" s="114" t="s">
        <v>12</v>
      </c>
      <c r="C382" s="155" t="s">
        <v>329</v>
      </c>
      <c r="D382" s="39" t="s">
        <v>212</v>
      </c>
      <c r="E382" s="40" t="s">
        <v>36</v>
      </c>
      <c r="F382" s="367">
        <v>18707</v>
      </c>
      <c r="G382" s="367">
        <v>18675</v>
      </c>
      <c r="H382" s="368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76" t="str">
        <f>+_xlfn.XLOOKUP(Tabla1[[#This Row],[Codigo_actividad]],Conceptos!A:A,Conceptos!H:H)</f>
        <v>P2.03</v>
      </c>
      <c r="L382" s="66" t="str">
        <f>IF(_xlfn.XLOOKUP($J382,Catalogo!$B$7:$B$210,Catalogo!$I$7:$I$210,"",0)=0,"",_xlfn.XLOOKUP($J382,Catalogo!$B$7:$B$210,Catalogo!$I$7:$I$210,"",0))</f>
        <v>DCVG</v>
      </c>
      <c r="M382" s="36">
        <f>+_xlfn.XLOOKUP(Tabla1[[#This Row],[Ducto]],'R (s03)'!B:B,'R (s03)'!C:C)</f>
        <v>24.358000000000001</v>
      </c>
      <c r="N382" s="261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O382" t="s">
        <v>480</v>
      </c>
      <c r="Q382" s="372">
        <v>8105</v>
      </c>
      <c r="R382" s="372">
        <v>8113</v>
      </c>
      <c r="S382" s="373">
        <f t="shared" si="0"/>
        <v>8</v>
      </c>
      <c r="T382" t="s">
        <v>469</v>
      </c>
      <c r="U382" t="str">
        <f t="shared" si="1"/>
        <v>SALTO del 8+105 al 8+113 PROPIEDAD PRIVADA</v>
      </c>
    </row>
    <row r="383" spans="1:24" x14ac:dyDescent="0.25">
      <c r="A383" s="354">
        <v>46139</v>
      </c>
      <c r="B383" s="114" t="s">
        <v>12</v>
      </c>
      <c r="C383" s="155" t="s">
        <v>329</v>
      </c>
      <c r="D383" s="39" t="s">
        <v>212</v>
      </c>
      <c r="E383" s="40" t="s">
        <v>36</v>
      </c>
      <c r="F383" s="367">
        <v>18786</v>
      </c>
      <c r="G383" s="367">
        <v>18716</v>
      </c>
      <c r="H383" s="368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76" t="str">
        <f>+_xlfn.XLOOKUP(Tabla1[[#This Row],[Codigo_actividad]],Conceptos!A:A,Conceptos!H:H)</f>
        <v>P2.03</v>
      </c>
      <c r="L383" s="66" t="str">
        <f>IF(_xlfn.XLOOKUP($J383,Catalogo!$B$7:$B$210,Catalogo!$I$7:$I$210,"",0)=0,"",_xlfn.XLOOKUP($J383,Catalogo!$B$7:$B$210,Catalogo!$I$7:$I$210,"",0))</f>
        <v>DCVG</v>
      </c>
      <c r="M383" s="36">
        <f>+_xlfn.XLOOKUP(Tabla1[[#This Row],[Ducto]],'R (s03)'!B:B,'R (s03)'!C:C)</f>
        <v>24.358000000000001</v>
      </c>
      <c r="N383" s="261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O383" t="s">
        <v>481</v>
      </c>
      <c r="Q383" s="372">
        <v>8522</v>
      </c>
      <c r="R383" s="372">
        <v>8563</v>
      </c>
      <c r="S383" s="373">
        <f t="shared" si="0"/>
        <v>41</v>
      </c>
      <c r="T383" t="s">
        <v>469</v>
      </c>
      <c r="U383" t="str">
        <f t="shared" si="1"/>
        <v>SALTO del 8+522 al 8+563 PROPIEDAD PRIVADA</v>
      </c>
    </row>
    <row r="384" spans="1:24" x14ac:dyDescent="0.25">
      <c r="A384" s="354">
        <v>46139</v>
      </c>
      <c r="B384" s="114" t="s">
        <v>12</v>
      </c>
      <c r="C384" s="155" t="s">
        <v>329</v>
      </c>
      <c r="D384" s="39" t="s">
        <v>212</v>
      </c>
      <c r="E384" s="40" t="s">
        <v>36</v>
      </c>
      <c r="F384" s="367">
        <v>18942</v>
      </c>
      <c r="G384" s="367">
        <v>18911</v>
      </c>
      <c r="H384" s="368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76" t="str">
        <f>+_xlfn.XLOOKUP(Tabla1[[#This Row],[Codigo_actividad]],Conceptos!A:A,Conceptos!H:H)</f>
        <v>P2.03</v>
      </c>
      <c r="L384" s="66" t="str">
        <f>IF(_xlfn.XLOOKUP($J384,Catalogo!$B$7:$B$210,Catalogo!$I$7:$I$210,"",0)=0,"",_xlfn.XLOOKUP($J384,Catalogo!$B$7:$B$210,Catalogo!$I$7:$I$210,"",0))</f>
        <v>DCVG</v>
      </c>
      <c r="M384" s="36">
        <f>+_xlfn.XLOOKUP(Tabla1[[#This Row],[Ducto]],'R (s03)'!B:B,'R (s03)'!C:C)</f>
        <v>24.358000000000001</v>
      </c>
      <c r="N384" s="261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O384" t="s">
        <v>482</v>
      </c>
      <c r="Q384" s="372">
        <v>8572</v>
      </c>
      <c r="R384" s="372">
        <v>8654</v>
      </c>
      <c r="S384" s="373">
        <f t="shared" si="0"/>
        <v>82</v>
      </c>
      <c r="T384" t="s">
        <v>470</v>
      </c>
      <c r="U384" t="str">
        <f t="shared" si="1"/>
        <v>SALTO del 8+572 al 8+654 ZONA HABITACIONAL</v>
      </c>
    </row>
    <row r="385" spans="1:21" x14ac:dyDescent="0.25">
      <c r="A385" s="354">
        <v>46139</v>
      </c>
      <c r="B385" s="114" t="s">
        <v>12</v>
      </c>
      <c r="C385" s="155" t="s">
        <v>329</v>
      </c>
      <c r="D385" s="39" t="s">
        <v>212</v>
      </c>
      <c r="E385" s="40" t="s">
        <v>36</v>
      </c>
      <c r="F385" s="367">
        <v>19445</v>
      </c>
      <c r="G385" s="367">
        <v>19422</v>
      </c>
      <c r="H385" s="368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76" t="str">
        <f>+_xlfn.XLOOKUP(Tabla1[[#This Row],[Codigo_actividad]],Conceptos!A:A,Conceptos!H:H)</f>
        <v>P2.03</v>
      </c>
      <c r="L385" s="66" t="str">
        <f>IF(_xlfn.XLOOKUP($J385,Catalogo!$B$7:$B$210,Catalogo!$I$7:$I$210,"",0)=0,"",_xlfn.XLOOKUP($J385,Catalogo!$B$7:$B$210,Catalogo!$I$7:$I$210,"",0))</f>
        <v>DCVG</v>
      </c>
      <c r="M385" s="36">
        <f>+_xlfn.XLOOKUP(Tabla1[[#This Row],[Ducto]],'R (s03)'!B:B,'R (s03)'!C:C)</f>
        <v>24.358000000000001</v>
      </c>
      <c r="N385" s="261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O385" t="s">
        <v>483</v>
      </c>
      <c r="Q385" s="372">
        <v>9915</v>
      </c>
      <c r="R385" s="372">
        <v>10176</v>
      </c>
      <c r="S385" s="373">
        <f t="shared" si="0"/>
        <v>261</v>
      </c>
      <c r="T385" t="s">
        <v>470</v>
      </c>
      <c r="U385" t="str">
        <f t="shared" si="1"/>
        <v>SALTO del 9+915 al 10+176 ZONA HABITACIONAL</v>
      </c>
    </row>
    <row r="386" spans="1:21" x14ac:dyDescent="0.25">
      <c r="A386" s="354">
        <v>46140</v>
      </c>
      <c r="B386" s="114" t="s">
        <v>12</v>
      </c>
      <c r="C386" s="155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4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76" t="str">
        <f>+_xlfn.XLOOKUP(Tabla1[[#This Row],[Codigo_actividad]],Conceptos!A:A,Conceptos!H:H)</f>
        <v>P2.03</v>
      </c>
      <c r="L386" s="66" t="str">
        <f>IF(_xlfn.XLOOKUP($J386,Catalogo!$B$7:$B$210,Catalogo!$I$7:$I$210,"",0)=0,"",_xlfn.XLOOKUP($J386,Catalogo!$B$7:$B$210,Catalogo!$I$7:$I$210,"",0))</f>
        <v>DCVG</v>
      </c>
      <c r="M386" s="36">
        <f>+_xlfn.XLOOKUP(Tabla1[[#This Row],[Ducto]],'R (s03)'!B:B,'R (s03)'!C:C)</f>
        <v>24.358000000000001</v>
      </c>
      <c r="N386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Q386" s="372">
        <v>11788</v>
      </c>
      <c r="R386" s="372">
        <v>11813</v>
      </c>
      <c r="S386" s="373">
        <f t="shared" si="0"/>
        <v>25</v>
      </c>
      <c r="T386" t="s">
        <v>470</v>
      </c>
      <c r="U386" t="str">
        <f t="shared" si="1"/>
        <v>SALTO del 11+788 al 11+813 ZONA HABITACIONAL</v>
      </c>
    </row>
    <row r="387" spans="1:21" x14ac:dyDescent="0.25">
      <c r="A387" s="354">
        <v>46142</v>
      </c>
      <c r="B387" s="114" t="s">
        <v>12</v>
      </c>
      <c r="C387" s="155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4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76" t="str">
        <f>+_xlfn.XLOOKUP(Tabla1[[#This Row],[Codigo_actividad]],Conceptos!A:A,Conceptos!H:H)</f>
        <v>P2.03</v>
      </c>
      <c r="L387" s="66" t="str">
        <f>IF(_xlfn.XLOOKUP($J387,Catalogo!$B$7:$B$210,Catalogo!$I$7:$I$210,"",0)=0,"",_xlfn.XLOOKUP($J387,Catalogo!$B$7:$B$210,Catalogo!$I$7:$I$210,"",0))</f>
        <v>DCVG</v>
      </c>
      <c r="M387" s="36">
        <f>+_xlfn.XLOOKUP(Tabla1[[#This Row],[Ducto]],'R (s03)'!B:B,'R (s03)'!C:C)</f>
        <v>24.358000000000001</v>
      </c>
      <c r="N387" s="261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Q387" s="372">
        <v>18675</v>
      </c>
      <c r="R387" s="372">
        <v>18707</v>
      </c>
      <c r="S387" s="373">
        <f t="shared" si="0"/>
        <v>32</v>
      </c>
      <c r="T387" t="s">
        <v>471</v>
      </c>
      <c r="U387" t="str">
        <f t="shared" si="1"/>
        <v>SALTO del 18+675 al 18+707 ZONA DE TALLER MECANICO CEA (COMISIÓN DEL AGUA)</v>
      </c>
    </row>
    <row r="388" spans="1:21" x14ac:dyDescent="0.25">
      <c r="A388" s="354">
        <v>46142</v>
      </c>
      <c r="B388" s="114" t="s">
        <v>12</v>
      </c>
      <c r="C388" s="155" t="s">
        <v>329</v>
      </c>
      <c r="D388" s="39" t="s">
        <v>212</v>
      </c>
      <c r="E388" s="40" t="s">
        <v>36</v>
      </c>
      <c r="F388" s="367">
        <v>20716</v>
      </c>
      <c r="G388" s="367">
        <v>20703</v>
      </c>
      <c r="H388" s="368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76" t="str">
        <f>+_xlfn.XLOOKUP(Tabla1[[#This Row],[Codigo_actividad]],Conceptos!A:A,Conceptos!H:H)</f>
        <v>P2.03</v>
      </c>
      <c r="L388" s="66" t="str">
        <f>IF(_xlfn.XLOOKUP($J388,Catalogo!$B$7:$B$210,Catalogo!$I$7:$I$210,"",0)=0,"",_xlfn.XLOOKUP($J388,Catalogo!$B$7:$B$210,Catalogo!$I$7:$I$210,"",0))</f>
        <v>DCVG</v>
      </c>
      <c r="M388" s="36">
        <f>+_xlfn.XLOOKUP(Tabla1[[#This Row],[Ducto]],'R (s03)'!B:B,'R (s03)'!C:C)</f>
        <v>24.358000000000001</v>
      </c>
      <c r="N388" s="261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O388" t="s">
        <v>484</v>
      </c>
      <c r="Q388" s="372">
        <v>18716</v>
      </c>
      <c r="R388" s="372">
        <v>18786</v>
      </c>
      <c r="S388" s="373">
        <f t="shared" si="0"/>
        <v>70</v>
      </c>
      <c r="T388" t="s">
        <v>472</v>
      </c>
      <c r="U388" t="str">
        <f t="shared" si="1"/>
        <v>SALTO del 18+716 al 18+786 OFICINAS CEA (COMISIÓN DEL AGUA)</v>
      </c>
    </row>
    <row r="389" spans="1:21" x14ac:dyDescent="0.25">
      <c r="A389" s="354">
        <v>46142</v>
      </c>
      <c r="B389" s="114" t="s">
        <v>12</v>
      </c>
      <c r="C389" s="155" t="s">
        <v>329</v>
      </c>
      <c r="D389" s="39" t="s">
        <v>212</v>
      </c>
      <c r="E389" s="40" t="s">
        <v>36</v>
      </c>
      <c r="F389" s="367">
        <v>20780</v>
      </c>
      <c r="G389" s="367">
        <v>20730</v>
      </c>
      <c r="H389" s="368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76" t="str">
        <f>+_xlfn.XLOOKUP(Tabla1[[#This Row],[Codigo_actividad]],Conceptos!A:A,Conceptos!H:H)</f>
        <v>P2.03</v>
      </c>
      <c r="L389" s="66" t="str">
        <f>IF(_xlfn.XLOOKUP($J389,Catalogo!$B$7:$B$210,Catalogo!$I$7:$I$210,"",0)=0,"",_xlfn.XLOOKUP($J389,Catalogo!$B$7:$B$210,Catalogo!$I$7:$I$210,"",0))</f>
        <v>DCVG</v>
      </c>
      <c r="M389" s="36">
        <f>+_xlfn.XLOOKUP(Tabla1[[#This Row],[Ducto]],'R (s03)'!B:B,'R (s03)'!C:C)</f>
        <v>24.358000000000001</v>
      </c>
      <c r="N389" s="261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O389" t="s">
        <v>485</v>
      </c>
      <c r="Q389" s="372">
        <v>18911</v>
      </c>
      <c r="R389" s="372">
        <v>18942</v>
      </c>
      <c r="S389" s="373">
        <f t="shared" si="0"/>
        <v>31</v>
      </c>
      <c r="T389" t="s">
        <v>473</v>
      </c>
      <c r="U389" t="str">
        <f t="shared" si="1"/>
        <v>SALTO del 18+911 al 18+942 CANAL DE AGUAS NEGRAS</v>
      </c>
    </row>
    <row r="390" spans="1:21" x14ac:dyDescent="0.25">
      <c r="A390" s="354">
        <v>46142</v>
      </c>
      <c r="B390" s="114" t="s">
        <v>12</v>
      </c>
      <c r="C390" s="155" t="s">
        <v>329</v>
      </c>
      <c r="D390" s="39" t="s">
        <v>212</v>
      </c>
      <c r="E390" s="40" t="s">
        <v>36</v>
      </c>
      <c r="F390" s="367">
        <v>20835</v>
      </c>
      <c r="G390" s="367">
        <v>20826</v>
      </c>
      <c r="H390" s="368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76" t="str">
        <f>+_xlfn.XLOOKUP(Tabla1[[#This Row],[Codigo_actividad]],Conceptos!A:A,Conceptos!H:H)</f>
        <v>P2.03</v>
      </c>
      <c r="L390" s="66" t="str">
        <f>IF(_xlfn.XLOOKUP($J390,Catalogo!$B$7:$B$210,Catalogo!$I$7:$I$210,"",0)=0,"",_xlfn.XLOOKUP($J390,Catalogo!$B$7:$B$210,Catalogo!$I$7:$I$210,"",0))</f>
        <v>DCVG</v>
      </c>
      <c r="M390" s="36">
        <f>+_xlfn.XLOOKUP(Tabla1[[#This Row],[Ducto]],'R (s03)'!B:B,'R (s03)'!C:C)</f>
        <v>24.358000000000001</v>
      </c>
      <c r="N390" s="261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O390" t="s">
        <v>486</v>
      </c>
      <c r="Q390" s="372">
        <v>19422</v>
      </c>
      <c r="R390" s="372">
        <v>19445</v>
      </c>
      <c r="S390" s="373">
        <f t="shared" si="0"/>
        <v>23</v>
      </c>
      <c r="T390" t="s">
        <v>470</v>
      </c>
      <c r="U390" t="str">
        <f t="shared" si="1"/>
        <v>SALTO del 19+422 al 19+445 ZONA HABITACIONAL</v>
      </c>
    </row>
    <row r="391" spans="1:21" x14ac:dyDescent="0.25">
      <c r="A391" s="354">
        <v>46142</v>
      </c>
      <c r="B391" s="114" t="s">
        <v>12</v>
      </c>
      <c r="C391" s="155" t="s">
        <v>329</v>
      </c>
      <c r="D391" s="39" t="s">
        <v>212</v>
      </c>
      <c r="E391" s="40" t="s">
        <v>36</v>
      </c>
      <c r="F391" s="367">
        <v>21023</v>
      </c>
      <c r="G391" s="367">
        <v>20984</v>
      </c>
      <c r="H391" s="368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76" t="str">
        <f>+_xlfn.XLOOKUP(Tabla1[[#This Row],[Codigo_actividad]],Conceptos!A:A,Conceptos!H:H)</f>
        <v>P2.03</v>
      </c>
      <c r="L391" s="66" t="str">
        <f>IF(_xlfn.XLOOKUP($J391,Catalogo!$B$7:$B$210,Catalogo!$I$7:$I$210,"",0)=0,"",_xlfn.XLOOKUP($J391,Catalogo!$B$7:$B$210,Catalogo!$I$7:$I$210,"",0))</f>
        <v>DCVG</v>
      </c>
      <c r="M391" s="36">
        <f>+_xlfn.XLOOKUP(Tabla1[[#This Row],[Ducto]],'R (s03)'!B:B,'R (s03)'!C:C)</f>
        <v>24.358000000000001</v>
      </c>
      <c r="N391" s="261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O391" t="s">
        <v>487</v>
      </c>
      <c r="Q391" s="372">
        <v>20703</v>
      </c>
      <c r="R391" s="372">
        <v>20716</v>
      </c>
      <c r="S391" s="373">
        <f t="shared" si="0"/>
        <v>13</v>
      </c>
      <c r="T391" t="s">
        <v>474</v>
      </c>
      <c r="U391" t="str">
        <f t="shared" si="1"/>
        <v>SALTO del 20+703 al 20+716 ZONA DE MATERIAL Y CASETA GEN (PROMOTORA AMBIENTAL)</v>
      </c>
    </row>
    <row r="392" spans="1:21" x14ac:dyDescent="0.25">
      <c r="A392" s="354">
        <v>46142</v>
      </c>
      <c r="B392" s="114" t="s">
        <v>12</v>
      </c>
      <c r="C392" s="155" t="s">
        <v>329</v>
      </c>
      <c r="D392" s="39" t="s">
        <v>212</v>
      </c>
      <c r="E392" s="40" t="s">
        <v>36</v>
      </c>
      <c r="F392" s="367">
        <v>21184</v>
      </c>
      <c r="G392" s="367">
        <v>21127</v>
      </c>
      <c r="H392" s="368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76" t="str">
        <f>+_xlfn.XLOOKUP(Tabla1[[#This Row],[Codigo_actividad]],Conceptos!A:A,Conceptos!H:H)</f>
        <v>P2.03</v>
      </c>
      <c r="L392" s="66" t="str">
        <f>IF(_xlfn.XLOOKUP($J392,Catalogo!$B$7:$B$210,Catalogo!$I$7:$I$210,"",0)=0,"",_xlfn.XLOOKUP($J392,Catalogo!$B$7:$B$210,Catalogo!$I$7:$I$210,"",0))</f>
        <v>DCVG</v>
      </c>
      <c r="M392" s="36">
        <f>+_xlfn.XLOOKUP(Tabla1[[#This Row],[Ducto]],'R (s03)'!B:B,'R (s03)'!C:C)</f>
        <v>24.358000000000001</v>
      </c>
      <c r="N392" s="261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O392" t="s">
        <v>488</v>
      </c>
      <c r="Q392" s="372">
        <v>20730</v>
      </c>
      <c r="R392" s="372">
        <v>20780</v>
      </c>
      <c r="S392" s="373">
        <f t="shared" si="0"/>
        <v>50</v>
      </c>
      <c r="T392" t="s">
        <v>475</v>
      </c>
      <c r="U392" t="str">
        <f t="shared" si="1"/>
        <v>SALTO del 20+730 al 20+780 ZONA DE CONTENEDORES GEN (PROMOTORA AMBIENTAL)</v>
      </c>
    </row>
    <row r="393" spans="1:21" x14ac:dyDescent="0.25">
      <c r="A393" s="354">
        <v>46143</v>
      </c>
      <c r="B393" s="114" t="s">
        <v>12</v>
      </c>
      <c r="C393" s="155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4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76" t="str">
        <f>+_xlfn.XLOOKUP(Tabla1[[#This Row],[Codigo_actividad]],Conceptos!A:A,Conceptos!H:H)</f>
        <v>P2.03</v>
      </c>
      <c r="L393" s="66" t="str">
        <f>IF(_xlfn.XLOOKUP($J393,Catalogo!$B$7:$B$210,Catalogo!$I$7:$I$210,"",0)=0,"",_xlfn.XLOOKUP($J393,Catalogo!$B$7:$B$210,Catalogo!$I$7:$I$210,"",0))</f>
        <v>DCVG</v>
      </c>
      <c r="M393" s="36">
        <f>+_xlfn.XLOOKUP(Tabla1[[#This Row],[Ducto]],'R (s03)'!B:B,'R (s03)'!C:C)</f>
        <v>24.358000000000001</v>
      </c>
      <c r="N393" s="261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Q393" s="372">
        <v>20826</v>
      </c>
      <c r="R393" s="372">
        <v>20835</v>
      </c>
      <c r="S393" s="373">
        <f t="shared" si="0"/>
        <v>9</v>
      </c>
      <c r="T393" t="s">
        <v>476</v>
      </c>
      <c r="U393" t="str">
        <f t="shared" si="1"/>
        <v>SALTO del 20+826 al 20+835 CANAL DE AGUA PLUVIAL</v>
      </c>
    </row>
    <row r="394" spans="1:21" x14ac:dyDescent="0.25">
      <c r="A394" s="354">
        <v>46143</v>
      </c>
      <c r="B394" s="114" t="s">
        <v>12</v>
      </c>
      <c r="C394" s="155" t="s">
        <v>329</v>
      </c>
      <c r="D394" s="39" t="s">
        <v>212</v>
      </c>
      <c r="E394" s="40" t="s">
        <v>36</v>
      </c>
      <c r="F394" s="367">
        <v>8113</v>
      </c>
      <c r="G394" s="367">
        <v>8105</v>
      </c>
      <c r="H394" s="368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76" t="str">
        <f>+_xlfn.XLOOKUP(Tabla1[[#This Row],[Codigo_actividad]],Conceptos!A:A,Conceptos!H:H)</f>
        <v>P2.03</v>
      </c>
      <c r="L394" s="66" t="str">
        <f>IF(_xlfn.XLOOKUP($J394,Catalogo!$B$7:$B$210,Catalogo!$I$7:$I$210,"",0)=0,"",_xlfn.XLOOKUP($J394,Catalogo!$B$7:$B$210,Catalogo!$I$7:$I$210,"",0))</f>
        <v>DCVG</v>
      </c>
      <c r="M394" s="36">
        <f>+_xlfn.XLOOKUP(Tabla1[[#This Row],[Ducto]],'R (s03)'!B:B,'R (s03)'!C:C)</f>
        <v>24.358000000000001</v>
      </c>
      <c r="N394" s="261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O394" t="s">
        <v>489</v>
      </c>
      <c r="Q394" s="372">
        <v>20984</v>
      </c>
      <c r="R394" s="372">
        <v>21023</v>
      </c>
      <c r="S394" s="373">
        <f t="shared" si="0"/>
        <v>39</v>
      </c>
      <c r="T394" t="s">
        <v>476</v>
      </c>
      <c r="U394" t="str">
        <f t="shared" si="1"/>
        <v>SALTO del 20+984 al 21+023 CANAL DE AGUA PLUVIAL</v>
      </c>
    </row>
    <row r="395" spans="1:21" x14ac:dyDescent="0.25">
      <c r="A395" s="354">
        <v>46143</v>
      </c>
      <c r="B395" s="114" t="s">
        <v>12</v>
      </c>
      <c r="C395" s="155" t="s">
        <v>329</v>
      </c>
      <c r="D395" s="39" t="s">
        <v>212</v>
      </c>
      <c r="E395" s="40" t="s">
        <v>36</v>
      </c>
      <c r="F395" s="367">
        <v>8563</v>
      </c>
      <c r="G395" s="367">
        <v>8522</v>
      </c>
      <c r="H395" s="368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76" t="str">
        <f>+_xlfn.XLOOKUP(Tabla1[[#This Row],[Codigo_actividad]],Conceptos!A:A,Conceptos!H:H)</f>
        <v>P2.03</v>
      </c>
      <c r="L395" s="66" t="str">
        <f>IF(_xlfn.XLOOKUP($J395,Catalogo!$B$7:$B$210,Catalogo!$I$7:$I$210,"",0)=0,"",_xlfn.XLOOKUP($J395,Catalogo!$B$7:$B$210,Catalogo!$I$7:$I$210,"",0))</f>
        <v>DCVG</v>
      </c>
      <c r="M395" s="36">
        <f>+_xlfn.XLOOKUP(Tabla1[[#This Row],[Ducto]],'R (s03)'!B:B,'R (s03)'!C:C)</f>
        <v>24.358000000000001</v>
      </c>
      <c r="N395" s="261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O395" t="s">
        <v>490</v>
      </c>
      <c r="Q395" s="372">
        <v>21127</v>
      </c>
      <c r="R395" s="372">
        <v>21184</v>
      </c>
      <c r="S395" s="373">
        <f t="shared" si="0"/>
        <v>57</v>
      </c>
      <c r="T395" t="s">
        <v>469</v>
      </c>
      <c r="U395" t="str">
        <f t="shared" si="1"/>
        <v>SALTO del 21+127 al 21+184 PROPIEDAD PRIVADA</v>
      </c>
    </row>
    <row r="396" spans="1:21" x14ac:dyDescent="0.25">
      <c r="A396" s="354">
        <v>46143</v>
      </c>
      <c r="B396" s="114" t="s">
        <v>12</v>
      </c>
      <c r="C396" s="155" t="s">
        <v>329</v>
      </c>
      <c r="D396" s="39" t="s">
        <v>212</v>
      </c>
      <c r="E396" s="40" t="s">
        <v>36</v>
      </c>
      <c r="F396" s="367">
        <v>8654</v>
      </c>
      <c r="G396" s="367">
        <v>8572</v>
      </c>
      <c r="H396" s="368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76" t="str">
        <f>+_xlfn.XLOOKUP(Tabla1[[#This Row],[Codigo_actividad]],Conceptos!A:A,Conceptos!H:H)</f>
        <v>P2.03</v>
      </c>
      <c r="L396" s="66" t="str">
        <f>IF(_xlfn.XLOOKUP($J396,Catalogo!$B$7:$B$210,Catalogo!$I$7:$I$210,"",0)=0,"",_xlfn.XLOOKUP($J396,Catalogo!$B$7:$B$210,Catalogo!$I$7:$I$210,"",0))</f>
        <v>DCVG</v>
      </c>
      <c r="M396" s="36">
        <f>+_xlfn.XLOOKUP(Tabla1[[#This Row],[Ducto]],'R (s03)'!B:B,'R (s03)'!C:C)</f>
        <v>24.358000000000001</v>
      </c>
      <c r="N396" s="261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O396" t="s">
        <v>491</v>
      </c>
      <c r="Q396" s="372">
        <v>21253</v>
      </c>
      <c r="R396" s="372">
        <v>21265</v>
      </c>
      <c r="S396" s="373">
        <f t="shared" si="0"/>
        <v>12</v>
      </c>
      <c r="T396" t="s">
        <v>477</v>
      </c>
      <c r="U396" t="str">
        <f t="shared" si="1"/>
        <v>SALTO del 21+253 al 21+265 CANAL DE AGUAS NEGRAS ENVALSADORA QUERETARO</v>
      </c>
    </row>
    <row r="397" spans="1:21" x14ac:dyDescent="0.25">
      <c r="A397" s="354"/>
      <c r="C397" s="155"/>
      <c r="D397" s="39"/>
      <c r="F397" s="28"/>
      <c r="G397" s="28"/>
      <c r="H397" s="224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76">
        <f>+_xlfn.XLOOKUP(Tabla1[[#This Row],[Codigo_actividad]],Conceptos!A:A,Conceptos!H:H)</f>
        <v>0</v>
      </c>
      <c r="L397" s="66" t="str">
        <f>IF(_xlfn.XLOOKUP($J397,Catalogo!$B$7:$B$21,Catalogo!$I$7:$I$21,"",0)=0,"",_xlfn.XLOOKUP($J397,Catalogo!$B$7:$B$21,Catalogo!$I$7:$I$21,"",0))</f>
        <v/>
      </c>
      <c r="M397" s="36"/>
      <c r="N397" s="261">
        <f>IF(Tabla1[[#This Row],[Avance_km]]&lt;&gt;"",Tabla1[[#This Row],[Avance_km]],Tabla1[[#This Row],[Avance_Med]])*_xlfn.XLOOKUP(Tabla1[[#This Row],[Codigo_actividad]],Catalogo!$B$6:$B$51,Catalogo!$F$6:$F$51,0)</f>
        <v>0</v>
      </c>
      <c r="Q397" s="372">
        <v>21462</v>
      </c>
      <c r="R397" s="372">
        <v>21466</v>
      </c>
      <c r="S397" s="373">
        <f t="shared" si="0"/>
        <v>4</v>
      </c>
      <c r="T397" t="s">
        <v>478</v>
      </c>
      <c r="U397" t="str">
        <f t="shared" si="1"/>
        <v>SALTO del 21+462 al 21+466 CANAL DE AGUAS NEGRAS VIDRIERA QUERETARO</v>
      </c>
    </row>
    <row r="398" spans="1:21" x14ac:dyDescent="0.25">
      <c r="A398" s="354">
        <v>46146</v>
      </c>
      <c r="B398" s="114" t="s">
        <v>12</v>
      </c>
      <c r="C398" s="155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4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76" t="str">
        <f>+_xlfn.XLOOKUP(Tabla1[[#This Row],[Codigo_actividad]],Conceptos!A:A,Conceptos!H:H)</f>
        <v>P2.03</v>
      </c>
      <c r="L398" s="66" t="str">
        <f>IF(_xlfn.XLOOKUP($J398,Catalogo!$B$7:$B$210,Catalogo!$I$7:$I$210,"",0)=0,"",_xlfn.XLOOKUP($J398,Catalogo!$B$7:$B$210,Catalogo!$I$7:$I$210,"",0))</f>
        <v>DCVG</v>
      </c>
      <c r="M398" s="36">
        <f>+_xlfn.XLOOKUP(Tabla1[[#This Row],[Ducto]],'R (s03)'!B:B,'R (s03)'!C:C)</f>
        <v>24.358000000000001</v>
      </c>
      <c r="N398" s="261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Q398" s="372">
        <v>24233</v>
      </c>
      <c r="R398" s="372">
        <v>24240</v>
      </c>
      <c r="S398" s="373">
        <f t="shared" si="0"/>
        <v>7</v>
      </c>
      <c r="T398" t="s">
        <v>479</v>
      </c>
      <c r="U398" t="str">
        <f t="shared" si="1"/>
        <v>SALTO del 24+233 al 24+240 PRESA DE AGUAS NEGRAS (ITP)</v>
      </c>
    </row>
    <row r="399" spans="1:21" x14ac:dyDescent="0.25">
      <c r="A399" s="354">
        <v>46147</v>
      </c>
      <c r="B399" s="114" t="s">
        <v>12</v>
      </c>
      <c r="C399" s="155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4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76" t="str">
        <f>+_xlfn.XLOOKUP(Tabla1[[#This Row],[Codigo_actividad]],Conceptos!A:A,Conceptos!H:H)</f>
        <v>P2.03</v>
      </c>
      <c r="L399" s="66" t="str">
        <f>IF(_xlfn.XLOOKUP($J399,Catalogo!$B$7:$B$210,Catalogo!$I$7:$I$210,"",0)=0,"",_xlfn.XLOOKUP($J399,Catalogo!$B$7:$B$210,Catalogo!$I$7:$I$210,"",0))</f>
        <v>DCVG</v>
      </c>
      <c r="M399" s="36">
        <f>+_xlfn.XLOOKUP(Tabla1[[#This Row],[Ducto]],'R (s03)'!B:B,'R (s03)'!C:C)</f>
        <v>24.358000000000001</v>
      </c>
      <c r="N399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Q399" s="370"/>
      <c r="R399" s="371" t="s">
        <v>93</v>
      </c>
      <c r="S399" s="374">
        <f>SUM(S379:S398)</f>
        <v>1400</v>
      </c>
    </row>
    <row r="400" spans="1:21" x14ac:dyDescent="0.25">
      <c r="A400" s="354">
        <v>46147</v>
      </c>
      <c r="B400" s="114" t="s">
        <v>12</v>
      </c>
      <c r="C400" s="155" t="s">
        <v>329</v>
      </c>
      <c r="D400" s="39" t="s">
        <v>212</v>
      </c>
      <c r="E400" s="40" t="s">
        <v>36</v>
      </c>
      <c r="F400" s="367">
        <v>7087</v>
      </c>
      <c r="G400" s="367">
        <v>7076</v>
      </c>
      <c r="H400" s="368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76" t="str">
        <f>+_xlfn.XLOOKUP(Tabla1[[#This Row],[Codigo_actividad]],Conceptos!A:A,Conceptos!H:H)</f>
        <v>P2.03</v>
      </c>
      <c r="L400" s="66" t="str">
        <f>IF(_xlfn.XLOOKUP($J400,Catalogo!$B$7:$B$210,Catalogo!$I$7:$I$210,"",0)=0,"",_xlfn.XLOOKUP($J400,Catalogo!$B$7:$B$210,Catalogo!$I$7:$I$210,"",0))</f>
        <v>DCVG</v>
      </c>
      <c r="M400" s="36">
        <f>+_xlfn.XLOOKUP(Tabla1[[#This Row],[Ducto]],'R (s03)'!B:B,'R (s03)'!C:C)</f>
        <v>24.358000000000001</v>
      </c>
      <c r="N400" s="261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O400" t="s">
        <v>492</v>
      </c>
    </row>
    <row r="401" spans="1:19" x14ac:dyDescent="0.25">
      <c r="A401" s="354">
        <v>46148</v>
      </c>
      <c r="B401" s="114" t="s">
        <v>12</v>
      </c>
      <c r="C401" s="155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4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76" t="str">
        <f>+_xlfn.XLOOKUP(Tabla1[[#This Row],[Codigo_actividad]],Conceptos!A:A,Conceptos!H:H)</f>
        <v>P2.03</v>
      </c>
      <c r="L401" s="66" t="str">
        <f>IF(_xlfn.XLOOKUP($J401,Catalogo!$B$7:$B$210,Catalogo!$I$7:$I$210,"",0)=0,"",_xlfn.XLOOKUP($J401,Catalogo!$B$7:$B$210,Catalogo!$I$7:$I$210,"",0))</f>
        <v>DCVG</v>
      </c>
      <c r="M401" s="36">
        <f>+_xlfn.XLOOKUP(Tabla1[[#This Row],[Ducto]],'R (s03)'!B:B,'R (s03)'!C:C)</f>
        <v>24.358000000000001</v>
      </c>
      <c r="N401" s="261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9" x14ac:dyDescent="0.25">
      <c r="A402" s="354">
        <v>46148</v>
      </c>
      <c r="B402" s="114" t="s">
        <v>12</v>
      </c>
      <c r="C402" s="155" t="s">
        <v>329</v>
      </c>
      <c r="D402" s="39" t="s">
        <v>212</v>
      </c>
      <c r="E402" s="40" t="s">
        <v>36</v>
      </c>
      <c r="F402" s="367">
        <v>4322</v>
      </c>
      <c r="G402" s="367">
        <v>4210</v>
      </c>
      <c r="H402" s="368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76" t="str">
        <f>+_xlfn.XLOOKUP(Tabla1[[#This Row],[Codigo_actividad]],Conceptos!A:A,Conceptos!H:H)</f>
        <v>P2.03</v>
      </c>
      <c r="L402" s="66" t="str">
        <f>IF(_xlfn.XLOOKUP($J402,Catalogo!$B$7:$B$210,Catalogo!$I$7:$I$210,"",0)=0,"",_xlfn.XLOOKUP($J402,Catalogo!$B$7:$B$210,Catalogo!$I$7:$I$210,"",0))</f>
        <v>DCVG</v>
      </c>
      <c r="M402" s="36">
        <f>+_xlfn.XLOOKUP(Tabla1[[#This Row],[Ducto]],'R (s03)'!B:B,'R (s03)'!C:C)</f>
        <v>24.358000000000001</v>
      </c>
      <c r="N402" s="261">
        <f>IF(Tabla1[[#This Row],[Avance_km]]&lt;&gt;"",Tabla1[[#This Row],[Avance_km]],Tabla1[[#This Row],[Avance_Med]])*_xlfn.XLOOKUP(Tabla1[[#This Row],[Codigo_actividad]],Catalogo!$B$6:$B$51,Catalogo!$F$6:$F$51,0)</f>
        <v>-1518.23056</v>
      </c>
      <c r="O402" t="s">
        <v>493</v>
      </c>
    </row>
    <row r="403" spans="1:19" x14ac:dyDescent="0.25">
      <c r="A403" s="354"/>
      <c r="B403" s="114"/>
      <c r="C403" s="155"/>
      <c r="D403" s="39"/>
      <c r="F403" s="28"/>
      <c r="G403" s="28"/>
      <c r="H403" s="224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76">
        <f>+_xlfn.XLOOKUP(Tabla1[[#This Row],[Codigo_actividad]],Conceptos!A:A,Conceptos!H:H)</f>
        <v>0</v>
      </c>
      <c r="L403" s="66" t="str">
        <f>IF(_xlfn.XLOOKUP($J403,Catalogo!$B$7:$B$21,Catalogo!$I$7:$I$21,"",0)=0,"",_xlfn.XLOOKUP($J403,Catalogo!$B$7:$B$21,Catalogo!$I$7:$I$21,"",0))</f>
        <v/>
      </c>
      <c r="M403" s="36"/>
      <c r="N4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9" x14ac:dyDescent="0.25">
      <c r="A404" s="354"/>
      <c r="B404" s="114"/>
      <c r="C404" s="155"/>
      <c r="D404" s="39"/>
      <c r="F404" s="28"/>
      <c r="G404" s="28"/>
      <c r="H404" s="224"/>
      <c r="I404" s="66"/>
      <c r="J404" s="76"/>
      <c r="K404" s="76">
        <f>+_xlfn.XLOOKUP(Tabla1[[#This Row],[Codigo_actividad]],Conceptos!A:A,Conceptos!H:H)</f>
        <v>0</v>
      </c>
      <c r="L404" s="66" t="str">
        <f>IF(_xlfn.XLOOKUP($J404,Catalogo!$B$7:$B$21,Catalogo!$I$7:$I$21,"",0)=0,"",_xlfn.XLOOKUP($J404,Catalogo!$B$7:$B$21,Catalogo!$I$7:$I$21,"",0))</f>
        <v/>
      </c>
      <c r="M404" s="36"/>
      <c r="N4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9" x14ac:dyDescent="0.25">
      <c r="A405" s="354">
        <v>46149</v>
      </c>
      <c r="B405" s="114" t="s">
        <v>12</v>
      </c>
      <c r="C405" s="155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4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76" t="str">
        <f>+_xlfn.XLOOKUP(Tabla1[[#This Row],[Codigo_actividad]],Conceptos!A:A,Conceptos!H:H)</f>
        <v>P2.03</v>
      </c>
      <c r="L405" s="66" t="str">
        <f>IF(_xlfn.XLOOKUP($J405,Catalogo!$B$7:$B$210,Catalogo!$I$7:$I$210,"",0)=0,"",_xlfn.XLOOKUP($J405,Catalogo!$B$7:$B$210,Catalogo!$I$7:$I$210,"",0))</f>
        <v>DCVG</v>
      </c>
      <c r="M405" s="36">
        <f>+_xlfn.XLOOKUP(Tabla1[[#This Row],[Ducto]],'R (s03)'!B:B,'R (s03)'!C:C)</f>
        <v>24.358000000000001</v>
      </c>
      <c r="N405" s="261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9" x14ac:dyDescent="0.25">
      <c r="A406" s="354">
        <v>46149</v>
      </c>
      <c r="B406" s="114" t="s">
        <v>12</v>
      </c>
      <c r="C406" s="155" t="s">
        <v>329</v>
      </c>
      <c r="D406" s="39" t="s">
        <v>212</v>
      </c>
      <c r="E406" s="40" t="s">
        <v>36</v>
      </c>
      <c r="F406" s="367">
        <v>3463</v>
      </c>
      <c r="G406" s="367">
        <v>2950</v>
      </c>
      <c r="H406" s="368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76" t="str">
        <f>+_xlfn.XLOOKUP(Tabla1[[#This Row],[Codigo_actividad]],Conceptos!A:A,Conceptos!H:H)</f>
        <v>P2.03</v>
      </c>
      <c r="L406" s="66" t="str">
        <f>IF(_xlfn.XLOOKUP($J406,Catalogo!$B$7:$B$210,Catalogo!$I$7:$I$210,"",0)=0,"",_xlfn.XLOOKUP($J406,Catalogo!$B$7:$B$210,Catalogo!$I$7:$I$210,"",0))</f>
        <v>DCVG</v>
      </c>
      <c r="M406" s="36">
        <f>+_xlfn.XLOOKUP(Tabla1[[#This Row],[Ducto]],'R (s03)'!B:B,'R (s03)'!C:C)</f>
        <v>24.358000000000001</v>
      </c>
      <c r="N406" s="261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O406" t="s">
        <v>494</v>
      </c>
    </row>
    <row r="407" spans="1:19" x14ac:dyDescent="0.25">
      <c r="A407" s="354">
        <v>46150</v>
      </c>
      <c r="B407" s="114" t="s">
        <v>12</v>
      </c>
      <c r="C407" s="155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4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76" t="str">
        <f>+_xlfn.XLOOKUP(Tabla1[[#This Row],[Codigo_actividad]],Conceptos!A:A,Conceptos!H:H)</f>
        <v>P2.03</v>
      </c>
      <c r="L407" s="66" t="str">
        <f>IF(_xlfn.XLOOKUP($J407,Catalogo!$B$7:$B$210,Catalogo!$I$7:$I$210,"",0)=0,"",_xlfn.XLOOKUP($J407,Catalogo!$B$7:$B$210,Catalogo!$I$7:$I$210,"",0))</f>
        <v>DCVG</v>
      </c>
      <c r="M407" s="36">
        <f>+_xlfn.XLOOKUP(Tabla1[[#This Row],[Ducto]],'R (s03)'!B:B,'R (s03)'!C:C)</f>
        <v>24.358000000000001</v>
      </c>
      <c r="N407" s="261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9" x14ac:dyDescent="0.25">
      <c r="A408" s="354">
        <v>46150</v>
      </c>
      <c r="B408" s="114" t="s">
        <v>12</v>
      </c>
      <c r="C408" s="155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4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76" t="str">
        <f>+_xlfn.XLOOKUP(Tabla1[[#This Row],[Codigo_actividad]],Conceptos!A:A,Conceptos!H:H)</f>
        <v>P2.03</v>
      </c>
      <c r="L408" s="66" t="str">
        <f>IF(_xlfn.XLOOKUP($J408,Catalogo!$B$7:$B$210,Catalogo!$I$7:$I$210,"",0)=0,"",_xlfn.XLOOKUP($J408,Catalogo!$B$7:$B$210,Catalogo!$I$7:$I$210,"",0))</f>
        <v>DCVG</v>
      </c>
      <c r="M408" s="36">
        <f>+_xlfn.XLOOKUP(Tabla1[[#This Row],[Ducto]],'R (s03)'!B:B,'R (s03)'!C:C)</f>
        <v>24.358000000000001</v>
      </c>
      <c r="N408" s="261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9" x14ac:dyDescent="0.25">
      <c r="A409" s="354">
        <v>46150</v>
      </c>
      <c r="B409" s="114" t="s">
        <v>12</v>
      </c>
      <c r="C409" s="155" t="s">
        <v>329</v>
      </c>
      <c r="D409" s="39" t="s">
        <v>212</v>
      </c>
      <c r="E409" s="40" t="s">
        <v>36</v>
      </c>
      <c r="F409" s="367">
        <v>10176</v>
      </c>
      <c r="G409" s="367">
        <v>9915</v>
      </c>
      <c r="H409" s="368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76" t="str">
        <f>+_xlfn.XLOOKUP(Tabla1[[#This Row],[Codigo_actividad]],Conceptos!A:A,Conceptos!H:H)</f>
        <v>P2.03</v>
      </c>
      <c r="L409" s="66" t="str">
        <f>IF(_xlfn.XLOOKUP($J409,Catalogo!$B$7:$B$210,Catalogo!$I$7:$I$210,"",0)=0,"",_xlfn.XLOOKUP($J409,Catalogo!$B$7:$B$210,Catalogo!$I$7:$I$210,"",0))</f>
        <v>DCVG</v>
      </c>
      <c r="M409" s="36">
        <f>+_xlfn.XLOOKUP(Tabla1[[#This Row],[Ducto]],'R (s03)'!B:B,'R (s03)'!C:C)</f>
        <v>24.358000000000001</v>
      </c>
      <c r="N409" s="261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O409" t="s">
        <v>495</v>
      </c>
    </row>
    <row r="410" spans="1:19" x14ac:dyDescent="0.25">
      <c r="A410" s="354">
        <v>46151</v>
      </c>
      <c r="B410" s="114" t="s">
        <v>12</v>
      </c>
      <c r="C410" s="155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4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76" t="str">
        <f>+_xlfn.XLOOKUP(Tabla1[[#This Row],[Codigo_actividad]],Conceptos!A:A,Conceptos!H:H)</f>
        <v>P2.03</v>
      </c>
      <c r="L410" s="66" t="str">
        <f>IF(_xlfn.XLOOKUP($J410,Catalogo!$B$7:$B$210,Catalogo!$I$7:$I$210,"",0)=0,"",_xlfn.XLOOKUP($J410,Catalogo!$B$7:$B$210,Catalogo!$I$7:$I$210,"",0))</f>
        <v>DCVG</v>
      </c>
      <c r="M410" s="36">
        <f>+_xlfn.XLOOKUP(Tabla1[[#This Row],[Ducto]],'R (s03)'!B:B,'R (s03)'!C:C)</f>
        <v>24.358000000000001</v>
      </c>
      <c r="N410" s="261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9" x14ac:dyDescent="0.25">
      <c r="A411" s="354"/>
      <c r="C411" s="155"/>
      <c r="D411" s="39"/>
      <c r="F411" s="28"/>
      <c r="G411" s="28"/>
      <c r="H411" s="224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76">
        <f>+_xlfn.XLOOKUP(Tabla1[[#This Row],[Codigo_actividad]],Conceptos!A:A,Conceptos!H:H)</f>
        <v>0</v>
      </c>
      <c r="L411" s="66" t="str">
        <f>IF(_xlfn.XLOOKUP($J411,Catalogo!$B$7:$B$21,Catalogo!$I$7:$I$21,"",0)=0,"",_xlfn.XLOOKUP($J411,Catalogo!$B$7:$B$21,Catalogo!$I$7:$I$21,"",0))</f>
        <v/>
      </c>
      <c r="M411" s="36"/>
      <c r="N41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9" x14ac:dyDescent="0.25">
      <c r="A412" s="354">
        <v>46153</v>
      </c>
      <c r="B412" s="114" t="s">
        <v>12</v>
      </c>
      <c r="C412" s="155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4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76" t="str">
        <f>+_xlfn.XLOOKUP(Tabla1[[#This Row],[Codigo_actividad]],Conceptos!A:A,Conceptos!H:H)</f>
        <v>P2.03</v>
      </c>
      <c r="L412" s="66" t="str">
        <f>IF(_xlfn.XLOOKUP($J412,Catalogo!$B$7:$B$210,Catalogo!$I$7:$I$210,"",0)=0,"",_xlfn.XLOOKUP($J412,Catalogo!$B$7:$B$210,Catalogo!$I$7:$I$210,"",0))</f>
        <v>DCVG</v>
      </c>
      <c r="M412" s="36">
        <f>+_xlfn.XLOOKUP(Tabla1[[#This Row],[Ducto]],'R (s03)'!B:B,'R (s03)'!C:C)</f>
        <v>24.358000000000001</v>
      </c>
      <c r="N412" s="261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9" x14ac:dyDescent="0.25">
      <c r="A413" s="354">
        <v>46153</v>
      </c>
      <c r="B413" s="114" t="s">
        <v>12</v>
      </c>
      <c r="C413" s="155" t="s">
        <v>329</v>
      </c>
      <c r="D413" s="39" t="s">
        <v>212</v>
      </c>
      <c r="E413" s="40" t="s">
        <v>36</v>
      </c>
      <c r="F413" s="367">
        <v>11813</v>
      </c>
      <c r="G413" s="367">
        <v>11788</v>
      </c>
      <c r="H413" s="368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76" t="str">
        <f>+_xlfn.XLOOKUP(Tabla1[[#This Row],[Codigo_actividad]],Conceptos!A:A,Conceptos!H:H)</f>
        <v>P2.03</v>
      </c>
      <c r="L413" s="66" t="str">
        <f>IF(_xlfn.XLOOKUP($J413,Catalogo!$B$7:$B$210,Catalogo!$I$7:$I$210,"",0)=0,"",_xlfn.XLOOKUP($J413,Catalogo!$B$7:$B$210,Catalogo!$I$7:$I$210,"",0))</f>
        <v>DCVG</v>
      </c>
      <c r="M413" s="36">
        <f>+_xlfn.XLOOKUP(Tabla1[[#This Row],[Ducto]],'R (s03)'!B:B,'R (s03)'!C:C)</f>
        <v>24.358000000000001</v>
      </c>
      <c r="N413" s="261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O413" t="s">
        <v>496</v>
      </c>
    </row>
    <row r="414" spans="1:19" x14ac:dyDescent="0.25">
      <c r="A414" s="354">
        <v>46154</v>
      </c>
      <c r="B414" s="114" t="s">
        <v>12</v>
      </c>
      <c r="C414" s="155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4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76" t="str">
        <f>+_xlfn.XLOOKUP(Tabla1[[#This Row],[Codigo_actividad]],Conceptos!A:A,Conceptos!H:H)</f>
        <v>P2.03</v>
      </c>
      <c r="L414" s="66" t="str">
        <f>IF(_xlfn.XLOOKUP($J414,Catalogo!$B$7:$B$210,Catalogo!$I$7:$I$210,"",0)=0,"",_xlfn.XLOOKUP($J414,Catalogo!$B$7:$B$210,Catalogo!$I$7:$I$210,"",0))</f>
        <v>DCVG</v>
      </c>
      <c r="M414" s="36">
        <f>+_xlfn.XLOOKUP(Tabla1[[#This Row],[Ducto]],'R (s03)'!B:B,'R (s03)'!C:C)</f>
        <v>24.358000000000001</v>
      </c>
      <c r="N414" s="261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9" x14ac:dyDescent="0.25">
      <c r="A415" s="354">
        <v>46155</v>
      </c>
      <c r="B415" s="114" t="s">
        <v>12</v>
      </c>
      <c r="C415" s="155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4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76" t="str">
        <f>+_xlfn.XLOOKUP(Tabla1[[#This Row],[Codigo_actividad]],Conceptos!A:A,Conceptos!H:H)</f>
        <v>P2.03</v>
      </c>
      <c r="L415" s="66" t="str">
        <f>IF(_xlfn.XLOOKUP($J415,Catalogo!$B$7:$B$210,Catalogo!$I$7:$I$210,"",0)=0,"",_xlfn.XLOOKUP($J415,Catalogo!$B$7:$B$210,Catalogo!$I$7:$I$210,"",0))</f>
        <v>DCVG</v>
      </c>
      <c r="M415" s="36">
        <f>+_xlfn.XLOOKUP(Tabla1[[#This Row],[Ducto]],'R (s03)'!B:B,'R (s03)'!C:C)</f>
        <v>24.358000000000001</v>
      </c>
      <c r="N415" s="261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R415" s="352"/>
      <c r="S415" s="352"/>
    </row>
    <row r="416" spans="1:19" x14ac:dyDescent="0.25">
      <c r="A416" s="354">
        <v>46156</v>
      </c>
      <c r="B416" s="114" t="s">
        <v>12</v>
      </c>
      <c r="C416" s="155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4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76" t="str">
        <f>+_xlfn.XLOOKUP(Tabla1[[#This Row],[Codigo_actividad]],Conceptos!A:A,Conceptos!H:H)</f>
        <v>P2.03</v>
      </c>
      <c r="L416" s="66" t="str">
        <f>IF(_xlfn.XLOOKUP($J416,Catalogo!$B$7:$B$210,Catalogo!$I$7:$I$210,"",0)=0,"",_xlfn.XLOOKUP($J416,Catalogo!$B$7:$B$210,Catalogo!$I$7:$I$210,"",0))</f>
        <v>DCVG</v>
      </c>
      <c r="M416" s="36">
        <f>+_xlfn.XLOOKUP(Tabla1[[#This Row],[Ducto]],'R (s03)'!B:B,'R (s03)'!C:C)</f>
        <v>24.358000000000001</v>
      </c>
      <c r="N416" s="261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S416" s="352"/>
    </row>
    <row r="417" spans="1:18" x14ac:dyDescent="0.25">
      <c r="A417" s="354">
        <v>46157</v>
      </c>
      <c r="B417" s="114" t="s">
        <v>12</v>
      </c>
      <c r="C417" s="155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4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76" t="str">
        <f>+_xlfn.XLOOKUP(Tabla1[[#This Row],[Codigo_actividad]],Conceptos!A:A,Conceptos!H:H)</f>
        <v>P2.01</v>
      </c>
      <c r="L417" s="66" t="str">
        <f>IF(_xlfn.XLOOKUP($J417,Catalogo!$B$7:$B$210,Catalogo!$I$7:$I$210,"",0)=0,"",_xlfn.XLOOKUP($J417,Catalogo!$B$7:$B$210,Catalogo!$I$7:$I$210,"",0))</f>
        <v>CIPS</v>
      </c>
      <c r="M417" s="36">
        <f>+_xlfn.XLOOKUP(Tabla1[[#This Row],[Ducto]],'R (s03)'!B:B,'R (s03)'!C:C)</f>
        <v>24.358000000000001</v>
      </c>
      <c r="N417" s="261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8" x14ac:dyDescent="0.25">
      <c r="A418" s="354">
        <v>46158</v>
      </c>
      <c r="B418" s="114" t="s">
        <v>12</v>
      </c>
      <c r="C418" s="155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4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76" t="str">
        <f>+_xlfn.XLOOKUP(Tabla1[[#This Row],[Codigo_actividad]],Conceptos!A:A,Conceptos!H:H)</f>
        <v>P2.01</v>
      </c>
      <c r="L418" s="66" t="str">
        <f>IF(_xlfn.XLOOKUP($J418,Catalogo!$B$7:$B$210,Catalogo!$I$7:$I$210,"",0)=0,"",_xlfn.XLOOKUP($J418,Catalogo!$B$7:$B$210,Catalogo!$I$7:$I$210,"",0))</f>
        <v>CIPS</v>
      </c>
      <c r="M418" s="36">
        <f>+_xlfn.XLOOKUP(Tabla1[[#This Row],[Ducto]],'R (s03)'!B:B,'R (s03)'!C:C)</f>
        <v>24.358000000000001</v>
      </c>
      <c r="N418" s="261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8" x14ac:dyDescent="0.25">
      <c r="A419" s="354"/>
      <c r="C419" s="155"/>
      <c r="D419" s="39"/>
      <c r="F419" s="28"/>
      <c r="G419" s="28"/>
      <c r="H419" s="224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76">
        <f>+_xlfn.XLOOKUP(Tabla1[[#This Row],[Codigo_actividad]],Conceptos!A:A,Conceptos!H:H)</f>
        <v>0</v>
      </c>
      <c r="L419" s="66" t="str">
        <f>IF(_xlfn.XLOOKUP($J419,Catalogo!$B$7:$B$21,Catalogo!$I$7:$I$21,"",0)=0,"",_xlfn.XLOOKUP($J419,Catalogo!$B$7:$B$21,Catalogo!$I$7:$I$21,"",0))</f>
        <v/>
      </c>
      <c r="M419" s="36"/>
      <c r="N4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8" x14ac:dyDescent="0.25">
      <c r="A420" s="354">
        <v>46160</v>
      </c>
      <c r="B420" s="114" t="s">
        <v>12</v>
      </c>
      <c r="C420" s="155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4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76" t="str">
        <f>+_xlfn.XLOOKUP(Tabla1[[#This Row],[Codigo_actividad]],Conceptos!A:A,Conceptos!H:H)</f>
        <v>P2.03</v>
      </c>
      <c r="L420" s="66" t="str">
        <f>IF(_xlfn.XLOOKUP($J420,Catalogo!$B$7:$B$210,Catalogo!$I$7:$I$210,"",0)=0,"",_xlfn.XLOOKUP($J420,Catalogo!$B$7:$B$210,Catalogo!$I$7:$I$210,"",0))</f>
        <v>DCVG</v>
      </c>
      <c r="M420" s="36">
        <f>+_xlfn.XLOOKUP(Tabla1[[#This Row],[Ducto]],'R (s03)'!B:B,'R (s03)'!C:C)</f>
        <v>24.358000000000001</v>
      </c>
      <c r="N420" s="261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8" x14ac:dyDescent="0.25">
      <c r="A421" s="354">
        <v>46160</v>
      </c>
      <c r="B421" s="114" t="s">
        <v>12</v>
      </c>
      <c r="C421" s="155" t="s">
        <v>329</v>
      </c>
      <c r="D421" s="39" t="s">
        <v>212</v>
      </c>
      <c r="E421" s="40" t="s">
        <v>36</v>
      </c>
      <c r="F421" s="367">
        <v>21265</v>
      </c>
      <c r="G421" s="367">
        <v>21253</v>
      </c>
      <c r="H421" s="368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76" t="str">
        <f>+_xlfn.XLOOKUP(Tabla1[[#This Row],[Codigo_actividad]],Conceptos!A:A,Conceptos!H:H)</f>
        <v>P2.03</v>
      </c>
      <c r="L421" s="66" t="str">
        <f>IF(_xlfn.XLOOKUP($J421,Catalogo!$B$7:$B$210,Catalogo!$I$7:$I$210,"",0)=0,"",_xlfn.XLOOKUP($J421,Catalogo!$B$7:$B$210,Catalogo!$I$7:$I$210,"",0))</f>
        <v>DCVG</v>
      </c>
      <c r="M421" s="36">
        <f>+_xlfn.XLOOKUP(Tabla1[[#This Row],[Ducto]],'R (s03)'!B:B,'R (s03)'!C:C)</f>
        <v>24.358000000000001</v>
      </c>
      <c r="N421" s="261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O421" t="s">
        <v>497</v>
      </c>
    </row>
    <row r="422" spans="1:18" x14ac:dyDescent="0.25">
      <c r="A422" s="354">
        <v>46160</v>
      </c>
      <c r="B422" s="114" t="s">
        <v>12</v>
      </c>
      <c r="C422" s="155" t="s">
        <v>329</v>
      </c>
      <c r="D422" s="39" t="s">
        <v>212</v>
      </c>
      <c r="E422" s="40" t="s">
        <v>36</v>
      </c>
      <c r="F422" s="367">
        <v>21466</v>
      </c>
      <c r="G422" s="367">
        <v>21462</v>
      </c>
      <c r="H422" s="368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76" t="str">
        <f>+_xlfn.XLOOKUP(Tabla1[[#This Row],[Codigo_actividad]],Conceptos!A:A,Conceptos!H:H)</f>
        <v>P2.03</v>
      </c>
      <c r="L422" s="66" t="str">
        <f>IF(_xlfn.XLOOKUP($J422,Catalogo!$B$7:$B$210,Catalogo!$I$7:$I$210,"",0)=0,"",_xlfn.XLOOKUP($J422,Catalogo!$B$7:$B$210,Catalogo!$I$7:$I$210,"",0))</f>
        <v>DCVG</v>
      </c>
      <c r="M422" s="36">
        <f>+_xlfn.XLOOKUP(Tabla1[[#This Row],[Ducto]],'R (s03)'!B:B,'R (s03)'!C:C)</f>
        <v>24.358000000000001</v>
      </c>
      <c r="N422" s="261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O422" t="s">
        <v>498</v>
      </c>
    </row>
    <row r="423" spans="1:18" x14ac:dyDescent="0.25">
      <c r="A423" s="354">
        <v>46161</v>
      </c>
      <c r="B423" s="114" t="s">
        <v>12</v>
      </c>
      <c r="C423" s="155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76" t="str">
        <f>+_xlfn.XLOOKUP(Tabla1[[#This Row],[Codigo_actividad]],Conceptos!A:A,Conceptos!H:H)</f>
        <v>P2.03</v>
      </c>
      <c r="L423" s="66" t="str">
        <f>IF(_xlfn.XLOOKUP($J423,Catalogo!$B$7:$B$210,Catalogo!$I$7:$I$210,"",0)=0,"",_xlfn.XLOOKUP($J423,Catalogo!$B$7:$B$210,Catalogo!$I$7:$I$210,"",0))</f>
        <v>DCVG</v>
      </c>
      <c r="M423" s="36">
        <f>+_xlfn.XLOOKUP(Tabla1[[#This Row],[Ducto]],'R (s03)'!B:B,'R (s03)'!C:C)</f>
        <v>24.358000000000001</v>
      </c>
      <c r="N423" s="261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8" x14ac:dyDescent="0.25">
      <c r="A424" s="354">
        <v>46161</v>
      </c>
      <c r="B424" s="114" t="s">
        <v>12</v>
      </c>
      <c r="C424" s="155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4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76" t="str">
        <f>+_xlfn.XLOOKUP(Tabla1[[#This Row],[Codigo_actividad]],Conceptos!A:A,Conceptos!H:H)</f>
        <v>P2.03</v>
      </c>
      <c r="L424" s="66" t="str">
        <f>IF(_xlfn.XLOOKUP($J424,Catalogo!$B$7:$B$210,Catalogo!$I$7:$I$210,"",0)=0,"",_xlfn.XLOOKUP($J424,Catalogo!$B$7:$B$210,Catalogo!$I$7:$I$210,"",0))</f>
        <v>DCVG</v>
      </c>
      <c r="M424" s="36">
        <f>+_xlfn.XLOOKUP(Tabla1[[#This Row],[Ducto]],'R (s03)'!B:B,'R (s03)'!C:C)</f>
        <v>24.358000000000001</v>
      </c>
      <c r="N424" s="261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8" x14ac:dyDescent="0.25">
      <c r="A425" s="354">
        <v>46162</v>
      </c>
      <c r="B425" s="114" t="s">
        <v>12</v>
      </c>
      <c r="C425" s="155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4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76" t="str">
        <f>+_xlfn.XLOOKUP(Tabla1[[#This Row],[Codigo_actividad]],Conceptos!A:A,Conceptos!H:H)</f>
        <v>P2.03</v>
      </c>
      <c r="L425" s="66" t="str">
        <f>IF(_xlfn.XLOOKUP($J425,Catalogo!$B$7:$B$210,Catalogo!$I$7:$I$210,"",0)=0,"",_xlfn.XLOOKUP($J425,Catalogo!$B$7:$B$210,Catalogo!$I$7:$I$210,"",0))</f>
        <v>DCVG</v>
      </c>
      <c r="M425" s="36">
        <f>+_xlfn.XLOOKUP(Tabla1[[#This Row],[Ducto]],'R (s03)'!B:B,'R (s03)'!C:C)</f>
        <v>24.358000000000001</v>
      </c>
      <c r="N425" s="261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8" x14ac:dyDescent="0.25">
      <c r="A426" s="354">
        <v>46162</v>
      </c>
      <c r="B426" s="114" t="s">
        <v>12</v>
      </c>
      <c r="C426" s="155" t="s">
        <v>329</v>
      </c>
      <c r="D426" s="39" t="s">
        <v>212</v>
      </c>
      <c r="E426" s="40" t="s">
        <v>36</v>
      </c>
      <c r="F426" s="367">
        <v>24240</v>
      </c>
      <c r="G426" s="367">
        <v>24233</v>
      </c>
      <c r="H426" s="368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76" t="str">
        <f>+_xlfn.XLOOKUP(Tabla1[[#This Row],[Codigo_actividad]],Conceptos!A:A,Conceptos!H:H)</f>
        <v>P2.03</v>
      </c>
      <c r="L426" s="66" t="str">
        <f>IF(_xlfn.XLOOKUP($J426,Catalogo!$B$7:$B$210,Catalogo!$I$7:$I$210,"",0)=0,"",_xlfn.XLOOKUP($J426,Catalogo!$B$7:$B$210,Catalogo!$I$7:$I$210,"",0))</f>
        <v>DCVG</v>
      </c>
      <c r="M426" s="36">
        <f>+_xlfn.XLOOKUP(Tabla1[[#This Row],[Ducto]],'R (s03)'!B:B,'R (s03)'!C:C)</f>
        <v>24.358000000000001</v>
      </c>
      <c r="N426" s="261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O426" t="s">
        <v>499</v>
      </c>
    </row>
    <row r="427" spans="1:18" x14ac:dyDescent="0.25">
      <c r="A427" s="354">
        <v>46163</v>
      </c>
      <c r="B427" s="114" t="s">
        <v>12</v>
      </c>
      <c r="C427" s="155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4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76" t="str">
        <f>+_xlfn.XLOOKUP(Tabla1[[#This Row],[Codigo_actividad]],Conceptos!A:A,Conceptos!H:H)</f>
        <v>P2.01</v>
      </c>
      <c r="L427" s="66" t="str">
        <f>IF(_xlfn.XLOOKUP($J427,Catalogo!$B$7:$B$210,Catalogo!$I$7:$I$210,"",0)=0,"",_xlfn.XLOOKUP($J427,Catalogo!$B$7:$B$210,Catalogo!$I$7:$I$210,"",0))</f>
        <v>CIPS</v>
      </c>
      <c r="M427" s="36">
        <f>+_xlfn.XLOOKUP(Tabla1[[#This Row],[Ducto]],'R (s03)'!B:B,'R (s03)'!C:C)</f>
        <v>24.358000000000001</v>
      </c>
      <c r="N427" s="261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8" x14ac:dyDescent="0.25">
      <c r="A428" s="354">
        <v>46164</v>
      </c>
      <c r="B428" s="114" t="s">
        <v>12</v>
      </c>
      <c r="C428" s="155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4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76" t="str">
        <f>+_xlfn.XLOOKUP(Tabla1[[#This Row],[Codigo_actividad]],Conceptos!A:A,Conceptos!H:H)</f>
        <v>P2.01</v>
      </c>
      <c r="L428" s="66" t="str">
        <f>IF(_xlfn.XLOOKUP($J428,Catalogo!$B$7:$B$210,Catalogo!$I$7:$I$210,"",0)=0,"",_xlfn.XLOOKUP($J428,Catalogo!$B$7:$B$210,Catalogo!$I$7:$I$210,"",0))</f>
        <v>CIPS</v>
      </c>
      <c r="M428" s="36">
        <f>+_xlfn.XLOOKUP(Tabla1[[#This Row],[Ducto]],'R (s03)'!B:B,'R (s03)'!C:C)</f>
        <v>24.358000000000001</v>
      </c>
      <c r="N428" s="261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8" x14ac:dyDescent="0.25">
      <c r="A429" s="354">
        <v>46165</v>
      </c>
      <c r="B429" s="114" t="s">
        <v>12</v>
      </c>
      <c r="C429" s="155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4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76" t="str">
        <f>+_xlfn.XLOOKUP(Tabla1[[#This Row],[Codigo_actividad]],Conceptos!A:A,Conceptos!H:H)</f>
        <v>P2.01</v>
      </c>
      <c r="L429" s="66" t="str">
        <f>IF(_xlfn.XLOOKUP($J429,Catalogo!$B$7:$B$210,Catalogo!$I$7:$I$210,"",0)=0,"",_xlfn.XLOOKUP($J429,Catalogo!$B$7:$B$210,Catalogo!$I$7:$I$210,"",0))</f>
        <v>CIPS</v>
      </c>
      <c r="M429" s="36">
        <f>+_xlfn.XLOOKUP(Tabla1[[#This Row],[Ducto]],'R (s03)'!B:B,'R (s03)'!C:C)</f>
        <v>24.358000000000001</v>
      </c>
      <c r="N429" s="261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8" x14ac:dyDescent="0.25">
      <c r="A430" s="354"/>
      <c r="C430" s="155"/>
      <c r="D430" s="39"/>
      <c r="F430" s="28"/>
      <c r="G430" s="28"/>
      <c r="H430" s="224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76">
        <f>+_xlfn.XLOOKUP(Tabla1[[#This Row],[Codigo_actividad]],Conceptos!A:A,Conceptos!H:H)</f>
        <v>0</v>
      </c>
      <c r="L430" s="66" t="str">
        <f>IF(_xlfn.XLOOKUP($J430,Catalogo!$B$7:$B$21,Catalogo!$I$7:$I$21,"",0)=0,"",_xlfn.XLOOKUP($J430,Catalogo!$B$7:$B$21,Catalogo!$I$7:$I$21,"",0))</f>
        <v/>
      </c>
      <c r="M430" s="36"/>
      <c r="N43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8" x14ac:dyDescent="0.25">
      <c r="A431" s="354">
        <v>46167</v>
      </c>
      <c r="B431" s="114" t="s">
        <v>12</v>
      </c>
      <c r="C431" s="155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76" t="str">
        <f>+_xlfn.XLOOKUP(Tabla1[[#This Row],[Codigo_actividad]],Conceptos!A:A,Conceptos!H:H)</f>
        <v>P2.06</v>
      </c>
      <c r="L431" s="66" t="str">
        <f>IF(_xlfn.XLOOKUP($J431,Catalogo!$B$7:$B$210,Catalogo!$I$7:$I$210,"",0)=0,"",_xlfn.XLOOKUP($J431,Catalogo!$B$7:$B$210,Catalogo!$I$7:$I$210,"",0))</f>
        <v>Localizacion</v>
      </c>
      <c r="M431" s="36">
        <f>+_xlfn.XLOOKUP(Tabla1[[#This Row],[Ducto]],'R (s03)'!B:B,'R (s03)'!C:C)</f>
        <v>2.5999999999999999E-2</v>
      </c>
      <c r="N431" s="261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Q431" s="389">
        <v>0</v>
      </c>
      <c r="R431" s="389">
        <v>2410</v>
      </c>
    </row>
    <row r="432" spans="1:18" x14ac:dyDescent="0.25">
      <c r="A432" s="354">
        <v>46167</v>
      </c>
      <c r="B432" s="114" t="s">
        <v>12</v>
      </c>
      <c r="C432" s="155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76" t="str">
        <f>+_xlfn.XLOOKUP(Tabla1[[#This Row],[Codigo_actividad]],Conceptos!A:A,Conceptos!H:H)</f>
        <v>P2.03</v>
      </c>
      <c r="L432" s="66" t="str">
        <f>IF(_xlfn.XLOOKUP($J432,Catalogo!$B$7:$B$210,Catalogo!$I$7:$I$210,"",0)=0,"",_xlfn.XLOOKUP($J432,Catalogo!$B$7:$B$210,Catalogo!$I$7:$I$210,"",0))</f>
        <v>DCVG</v>
      </c>
      <c r="M432" s="36">
        <f>+_xlfn.XLOOKUP(Tabla1[[#This Row],[Ducto]],'R (s03)'!B:B,'R (s03)'!C:C)</f>
        <v>2.5999999999999999E-2</v>
      </c>
      <c r="N432" s="261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Q432" s="389">
        <v>2410</v>
      </c>
      <c r="R432" s="389">
        <v>4336</v>
      </c>
    </row>
    <row r="433" spans="1:19" x14ac:dyDescent="0.25">
      <c r="A433" s="354">
        <v>46167</v>
      </c>
      <c r="B433" s="114" t="s">
        <v>12</v>
      </c>
      <c r="C433" s="155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4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76" t="str">
        <f>+_xlfn.XLOOKUP(Tabla1[[#This Row],[Codigo_actividad]],Conceptos!A:A,Conceptos!H:H)</f>
        <v>P2.03</v>
      </c>
      <c r="L433" s="66" t="str">
        <f>IF(_xlfn.XLOOKUP($J433,Catalogo!$B$7:$B$210,Catalogo!$I$7:$I$210,"",0)=0,"",_xlfn.XLOOKUP($J433,Catalogo!$B$7:$B$210,Catalogo!$I$7:$I$210,"",0))</f>
        <v>DCVG</v>
      </c>
      <c r="M433" s="36">
        <f>+_xlfn.XLOOKUP(Tabla1[[#This Row],[Ducto]],'R (s04)'!B:B,'R (s04)'!C:C)</f>
        <v>0.878</v>
      </c>
      <c r="N433" s="261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Q433" s="389">
        <v>4336</v>
      </c>
      <c r="R433" s="389">
        <v>6908</v>
      </c>
    </row>
    <row r="434" spans="1:19" x14ac:dyDescent="0.25">
      <c r="A434" s="354">
        <v>46168</v>
      </c>
      <c r="B434" s="114" t="s">
        <v>12</v>
      </c>
      <c r="C434" s="155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4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76" t="str">
        <f>+_xlfn.XLOOKUP(Tabla1[[#This Row],[Codigo_actividad]],Conceptos!A:A,Conceptos!H:H)</f>
        <v>P2.06</v>
      </c>
      <c r="L434" s="66" t="str">
        <f>IF(_xlfn.XLOOKUP($J434,Catalogo!$B$7:$B$210,Catalogo!$I$7:$I$210,"",0)=0,"",_xlfn.XLOOKUP($J434,Catalogo!$B$7:$B$210,Catalogo!$I$7:$I$210,"",0))</f>
        <v>Localizacion</v>
      </c>
      <c r="M434" s="36">
        <f>+_xlfn.XLOOKUP(Tabla1[[#This Row],[Ducto]],'R (s03)'!B:B,'R (s03)'!C:C)</f>
        <v>1.92</v>
      </c>
      <c r="N434" s="261">
        <f>IF(Tabla1[[#This Row],[Avance_km]]&lt;&gt;"",Tabla1[[#This Row],[Avance_km]],Tabla1[[#This Row],[Avance_Med]])*_xlfn.XLOOKUP(Tabla1[[#This Row],[Codigo_actividad]],Catalogo!$B$6:$B$51,Catalogo!$F$6:$F$51,0)</f>
        <v>4334.2464</v>
      </c>
      <c r="Q434" s="389">
        <v>6908</v>
      </c>
      <c r="R434" s="389">
        <v>9461</v>
      </c>
    </row>
    <row r="435" spans="1:19" x14ac:dyDescent="0.25">
      <c r="A435" s="354">
        <v>46169</v>
      </c>
      <c r="B435" s="114" t="s">
        <v>12</v>
      </c>
      <c r="C435" s="155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76" t="str">
        <f>+_xlfn.XLOOKUP(Tabla1[[#This Row],[Codigo_actividad]],Conceptos!A:A,Conceptos!H:H)</f>
        <v>P2.03</v>
      </c>
      <c r="L435" s="66" t="str">
        <f>IF(_xlfn.XLOOKUP($J435,Catalogo!$B$7:$B$210,Catalogo!$I$7:$I$210,"",0)=0,"",_xlfn.XLOOKUP($J435,Catalogo!$B$7:$B$210,Catalogo!$I$7:$I$210,"",0))</f>
        <v>DCVG</v>
      </c>
      <c r="M435" s="36">
        <f>+_xlfn.XLOOKUP(Tabla1[[#This Row],[Ducto]],'R (s03)'!B:B,'R (s03)'!C:C)</f>
        <v>9.9000000000000005E-2</v>
      </c>
      <c r="N435" s="261">
        <f>IF(Tabla1[[#This Row],[Avance_km]]&lt;&gt;"",Tabla1[[#This Row],[Avance_km]],Tabla1[[#This Row],[Avance_Med]])*_xlfn.XLOOKUP(Tabla1[[#This Row],[Codigo_actividad]],Catalogo!$B$6:$B$51,Catalogo!$F$6:$F$51,0)</f>
        <v>1342.00737</v>
      </c>
      <c r="Q435" s="389"/>
      <c r="R435" s="389"/>
    </row>
    <row r="436" spans="1:19" x14ac:dyDescent="0.25">
      <c r="A436" s="354">
        <v>46170</v>
      </c>
      <c r="B436" s="114" t="s">
        <v>12</v>
      </c>
      <c r="C436" s="155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76" t="str">
        <f>+_xlfn.XLOOKUP(Tabla1[[#This Row],[Codigo_actividad]],Conceptos!A:A,Conceptos!H:H)</f>
        <v>P2.06</v>
      </c>
      <c r="L436" s="66" t="str">
        <f>IF(_xlfn.XLOOKUP($J436,Catalogo!$B$7:$B$210,Catalogo!$I$7:$I$210,"",0)=0,"",_xlfn.XLOOKUP($J436,Catalogo!$B$7:$B$210,Catalogo!$I$7:$I$210,"",0))</f>
        <v>Localizacion</v>
      </c>
      <c r="M436" s="36">
        <f>+_xlfn.XLOOKUP(Tabla1[[#This Row],[Ducto]],nombres!D:D,nombres!E:E)/1000</f>
        <v>1.2E-2</v>
      </c>
      <c r="N436" s="261">
        <f>IF(Tabla1[[#This Row],[Avance_km]]&lt;&gt;"",Tabla1[[#This Row],[Avance_km]],Tabla1[[#This Row],[Avance_Med]])*_xlfn.XLOOKUP(Tabla1[[#This Row],[Codigo_actividad]],Catalogo!$B$6:$B$51,Catalogo!$F$6:$F$51,0)</f>
        <v>33.8613</v>
      </c>
      <c r="Q436" s="389">
        <v>9461</v>
      </c>
      <c r="R436" s="389">
        <v>11253</v>
      </c>
    </row>
    <row r="437" spans="1:19" x14ac:dyDescent="0.25">
      <c r="A437" s="354">
        <v>46170</v>
      </c>
      <c r="B437" s="114" t="s">
        <v>12</v>
      </c>
      <c r="C437" s="155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4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76" t="str">
        <f>+_xlfn.XLOOKUP(Tabla1[[#This Row],[Codigo_actividad]],Conceptos!A:A,Conceptos!H:H)</f>
        <v>P2.06</v>
      </c>
      <c r="L437" s="66" t="str">
        <f>IF(_xlfn.XLOOKUP($J437,Catalogo!$B$7:$B$210,Catalogo!$I$7:$I$210,"",0)=0,"",_xlfn.XLOOKUP($J437,Catalogo!$B$7:$B$210,Catalogo!$I$7:$I$210,"",0))</f>
        <v>Localizacion</v>
      </c>
      <c r="M437" s="36">
        <f>+_xlfn.XLOOKUP(Tabla1[[#This Row],[Ducto]],nombres!D:D,nombres!E:E)/1000</f>
        <v>0.314</v>
      </c>
      <c r="N437" s="261">
        <f>IF(Tabla1[[#This Row],[Avance_km]]&lt;&gt;"",Tabla1[[#This Row],[Avance_km]],Tabla1[[#This Row],[Avance_Med]])*_xlfn.XLOOKUP(Tabla1[[#This Row],[Codigo_actividad]],Catalogo!$B$6:$B$51,Catalogo!$F$6:$F$51,0)</f>
        <v>708.82988</v>
      </c>
      <c r="Q437" s="389">
        <v>11253</v>
      </c>
      <c r="R437" s="389">
        <v>13245</v>
      </c>
    </row>
    <row r="438" spans="1:19" x14ac:dyDescent="0.25">
      <c r="A438" s="354">
        <v>46171</v>
      </c>
      <c r="B438" s="114" t="s">
        <v>12</v>
      </c>
      <c r="C438" s="155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76" t="str">
        <f>+_xlfn.XLOOKUP(Tabla1[[#This Row],[Codigo_actividad]],Conceptos!A:A,Conceptos!H:H)</f>
        <v>P2.06</v>
      </c>
      <c r="L438" s="66" t="str">
        <f>IF(_xlfn.XLOOKUP($J438,Catalogo!$B$7:$B$210,Catalogo!$I$7:$I$210,"",0)=0,"",_xlfn.XLOOKUP($J438,Catalogo!$B$7:$B$210,Catalogo!$I$7:$I$210,"",0))</f>
        <v>Localizacion</v>
      </c>
      <c r="M438" s="36">
        <f>+_xlfn.XLOOKUP(Tabla1[[#This Row],[Ducto]],nombres!D:D,nombres!E:E)/1000</f>
        <v>1.2500000000000001E-2</v>
      </c>
      <c r="N438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Q438" s="389">
        <v>13245</v>
      </c>
      <c r="R438" s="389">
        <v>15238</v>
      </c>
    </row>
    <row r="439" spans="1:19" x14ac:dyDescent="0.25">
      <c r="A439" s="354">
        <v>46171</v>
      </c>
      <c r="B439" s="114" t="s">
        <v>12</v>
      </c>
      <c r="C439" s="155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76" t="str">
        <f>+_xlfn.XLOOKUP(Tabla1[[#This Row],[Codigo_actividad]],Conceptos!A:A,Conceptos!H:H)</f>
        <v>P2.06</v>
      </c>
      <c r="L439" s="66" t="str">
        <f>IF(_xlfn.XLOOKUP($J439,Catalogo!$B$7:$B$210,Catalogo!$I$7:$I$210,"",0)=0,"",_xlfn.XLOOKUP($J439,Catalogo!$B$7:$B$210,Catalogo!$I$7:$I$210,"",0))</f>
        <v>Localizacion</v>
      </c>
      <c r="M439" s="36">
        <f>+_xlfn.XLOOKUP(Tabla1[[#This Row],[Ducto]],nombres!D:D,nombres!E:E)/1000</f>
        <v>0.01</v>
      </c>
      <c r="N439" s="261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Q439" s="389">
        <v>15238</v>
      </c>
      <c r="R439" s="389">
        <v>15605</v>
      </c>
    </row>
    <row r="440" spans="1:19" x14ac:dyDescent="0.25">
      <c r="A440" s="354">
        <v>46171</v>
      </c>
      <c r="B440" s="114" t="s">
        <v>12</v>
      </c>
      <c r="C440" s="155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76" t="str">
        <f>+_xlfn.XLOOKUP(Tabla1[[#This Row],[Codigo_actividad]],Conceptos!A:A,Conceptos!H:H)</f>
        <v>P2.06</v>
      </c>
      <c r="L440" s="66" t="str">
        <f>IF(_xlfn.XLOOKUP($J440,Catalogo!$B$7:$B$210,Catalogo!$I$7:$I$210,"",0)=0,"",_xlfn.XLOOKUP($J440,Catalogo!$B$7:$B$210,Catalogo!$I$7:$I$210,"",0))</f>
        <v>Localizacion</v>
      </c>
      <c r="M440" s="36">
        <f>+_xlfn.XLOOKUP(Tabla1[[#This Row],[Ducto]],nombres!D:D,nombres!E:E)/1000</f>
        <v>7.0000000000000001E-3</v>
      </c>
      <c r="N440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Q440" s="389">
        <v>15605</v>
      </c>
      <c r="R440" s="389">
        <v>16617</v>
      </c>
      <c r="S440" s="352"/>
    </row>
    <row r="441" spans="1:19" x14ac:dyDescent="0.25">
      <c r="A441" s="354">
        <v>46171</v>
      </c>
      <c r="B441" s="114" t="s">
        <v>12</v>
      </c>
      <c r="C441" s="155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4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76" t="str">
        <f>+_xlfn.XLOOKUP(Tabla1[[#This Row],[Codigo_actividad]],Conceptos!A:A,Conceptos!H:H)</f>
        <v>P2.06</v>
      </c>
      <c r="L441" s="66" t="str">
        <f>IF(_xlfn.XLOOKUP($J441,Catalogo!$B$7:$B$210,Catalogo!$I$7:$I$210,"",0)=0,"",_xlfn.XLOOKUP($J441,Catalogo!$B$7:$B$210,Catalogo!$I$7:$I$210,"",0))</f>
        <v>Localizacion</v>
      </c>
      <c r="M441" s="36">
        <f>+_xlfn.XLOOKUP(Tabla1[[#This Row],[Ducto]],nombres!D:D,nombres!E:E)/1000</f>
        <v>0.85</v>
      </c>
      <c r="N441" s="261">
        <f>IF(Tabla1[[#This Row],[Avance_km]]&lt;&gt;"",Tabla1[[#This Row],[Avance_km]],Tabla1[[#This Row],[Avance_Med]])*_xlfn.XLOOKUP(Tabla1[[#This Row],[Codigo_actividad]],Catalogo!$B$6:$B$51,Catalogo!$F$6:$F$51,0)</f>
        <v>1918.807</v>
      </c>
      <c r="Q441" s="389">
        <v>16617</v>
      </c>
      <c r="R441" s="389">
        <v>17605</v>
      </c>
    </row>
    <row r="442" spans="1:19" x14ac:dyDescent="0.25">
      <c r="A442" s="354">
        <v>46172</v>
      </c>
      <c r="B442" s="114" t="s">
        <v>12</v>
      </c>
      <c r="C442" s="155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4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76" t="str">
        <f>+_xlfn.XLOOKUP(Tabla1[[#This Row],[Codigo_actividad]],Conceptos!A:A,Conceptos!H:H)</f>
        <v>P2.06</v>
      </c>
      <c r="L442" s="66" t="str">
        <f>IF(_xlfn.XLOOKUP($J442,Catalogo!$B$7:$B$210,Catalogo!$I$7:$I$210,"",0)=0,"",_xlfn.XLOOKUP($J442,Catalogo!$B$7:$B$210,Catalogo!$I$7:$I$210,"",0))</f>
        <v>Localizacion</v>
      </c>
      <c r="M442" s="36">
        <f>+_xlfn.XLOOKUP(Tabla1[[#This Row],[Ducto]],nombres!D:D,nombres!E:E)/1000</f>
        <v>0.46899999999999997</v>
      </c>
      <c r="N442" s="261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Q442" s="389">
        <v>17605</v>
      </c>
      <c r="R442" s="389">
        <v>17932</v>
      </c>
    </row>
    <row r="443" spans="1:19" x14ac:dyDescent="0.25">
      <c r="A443" s="354"/>
      <c r="C443" s="155"/>
      <c r="D443" s="39"/>
      <c r="F443" s="28"/>
      <c r="G443" s="28"/>
      <c r="H443" s="224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76">
        <f>+_xlfn.XLOOKUP(Tabla1[[#This Row],[Codigo_actividad]],Conceptos!A:A,Conceptos!H:H)</f>
        <v>0</v>
      </c>
      <c r="L443" s="66" t="str">
        <f>IF(_xlfn.XLOOKUP($J443,Catalogo!$B$7:$B$21,Catalogo!$I$7:$I$21,"",0)=0,"",_xlfn.XLOOKUP($J443,Catalogo!$B$7:$B$21,Catalogo!$I$7:$I$21,"",0))</f>
        <v/>
      </c>
      <c r="M443" s="36"/>
      <c r="N443" s="261">
        <f>IF(Tabla1[[#This Row],[Avance_km]]&lt;&gt;"",Tabla1[[#This Row],[Avance_km]],Tabla1[[#This Row],[Avance_Med]])*_xlfn.XLOOKUP(Tabla1[[#This Row],[Codigo_actividad]],Catalogo!$B$6:$B$51,Catalogo!$F$6:$F$51,0)</f>
        <v>0</v>
      </c>
      <c r="Q443" s="389">
        <v>17932</v>
      </c>
      <c r="R443" s="389">
        <v>18406</v>
      </c>
    </row>
    <row r="444" spans="1:19" x14ac:dyDescent="0.25">
      <c r="A444" s="354">
        <v>46174</v>
      </c>
      <c r="B444" s="114" t="s">
        <v>12</v>
      </c>
      <c r="C444" s="155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4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76" t="str">
        <f>+_xlfn.XLOOKUP(Tabla1[[#This Row],[Codigo_actividad]],Conceptos!A:A,Conceptos!H:H)</f>
        <v>P2.01</v>
      </c>
      <c r="L444" s="66" t="str">
        <f>IF(_xlfn.XLOOKUP($J444,Catalogo!$B$7:$B$210,Catalogo!$I$7:$I$210,"",0)=0,"",_xlfn.XLOOKUP($J444,Catalogo!$B$7:$B$210,Catalogo!$I$7:$I$210,"",0))</f>
        <v>CIPS</v>
      </c>
      <c r="M444" s="36">
        <f>+_xlfn.XLOOKUP(Tabla1[[#This Row],[Ducto]],'R (s03)'!B:B,'R (s03)'!C:C)</f>
        <v>24.358000000000001</v>
      </c>
      <c r="N444" s="261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Q444" s="389">
        <v>18406</v>
      </c>
      <c r="R444" s="389">
        <v>18873</v>
      </c>
      <c r="S444" s="352"/>
    </row>
    <row r="445" spans="1:19" x14ac:dyDescent="0.25">
      <c r="A445" s="354">
        <v>46175</v>
      </c>
      <c r="B445" s="114" t="s">
        <v>12</v>
      </c>
      <c r="C445" s="155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4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76" t="str">
        <f>+_xlfn.XLOOKUP(Tabla1[[#This Row],[Codigo_actividad]],Conceptos!A:A,Conceptos!H:H)</f>
        <v>P2.01</v>
      </c>
      <c r="L445" s="66" t="str">
        <f>IF(_xlfn.XLOOKUP($J445,Catalogo!$B$7:$B$210,Catalogo!$I$7:$I$210,"",0)=0,"",_xlfn.XLOOKUP($J445,Catalogo!$B$7:$B$210,Catalogo!$I$7:$I$210,"",0))</f>
        <v>CIPS</v>
      </c>
      <c r="M445" s="36">
        <f>+_xlfn.XLOOKUP(Tabla1[[#This Row],[Ducto]],'R (s03)'!B:B,'R (s03)'!C:C)</f>
        <v>24.358000000000001</v>
      </c>
      <c r="N445" s="261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Q445" s="389">
        <v>18873</v>
      </c>
      <c r="R445" s="389">
        <v>19571</v>
      </c>
      <c r="S445" s="352"/>
    </row>
    <row r="446" spans="1:19" x14ac:dyDescent="0.25">
      <c r="A446" s="354">
        <v>46176</v>
      </c>
      <c r="B446" s="114" t="s">
        <v>12</v>
      </c>
      <c r="C446" s="155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4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76" t="str">
        <f>+_xlfn.XLOOKUP(Tabla1[[#This Row],[Codigo_actividad]],Conceptos!A:A,Conceptos!H:H)</f>
        <v>P2.01</v>
      </c>
      <c r="L446" s="66" t="str">
        <f>IF(_xlfn.XLOOKUP($J446,Catalogo!$B$7:$B$210,Catalogo!$I$7:$I$210,"",0)=0,"",_xlfn.XLOOKUP($J446,Catalogo!$B$7:$B$210,Catalogo!$I$7:$I$210,"",0))</f>
        <v>CIPS</v>
      </c>
      <c r="M446" s="36">
        <f>+_xlfn.XLOOKUP(Tabla1[[#This Row],[Ducto]],'R (s03)'!B:B,'R (s03)'!C:C)</f>
        <v>24.358000000000001</v>
      </c>
      <c r="N446" s="261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Q446" s="389">
        <v>19571</v>
      </c>
      <c r="R446" s="389">
        <v>19731</v>
      </c>
    </row>
    <row r="447" spans="1:19" x14ac:dyDescent="0.25">
      <c r="A447" s="354">
        <v>46176</v>
      </c>
      <c r="B447" s="114" t="s">
        <v>12</v>
      </c>
      <c r="C447" s="155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4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76" t="str">
        <f>+_xlfn.XLOOKUP(Tabla1[[#This Row],[Codigo_actividad]],Conceptos!A:A,Conceptos!H:H)</f>
        <v>P2.01</v>
      </c>
      <c r="L447" s="66" t="str">
        <f>IF(_xlfn.XLOOKUP($J447,Catalogo!$B$7:$B$210,Catalogo!$I$7:$I$210,"",0)=0,"",_xlfn.XLOOKUP($J447,Catalogo!$B$7:$B$210,Catalogo!$I$7:$I$210,"",0))</f>
        <v>CIPS</v>
      </c>
      <c r="M447" s="36">
        <f>+_xlfn.XLOOKUP(Tabla1[[#This Row],[Ducto]],'R (s03)'!B:B,'R (s03)'!C:C)</f>
        <v>24.358000000000001</v>
      </c>
      <c r="N447" s="261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Q447" s="389">
        <v>19731</v>
      </c>
      <c r="R447" s="389">
        <v>20170</v>
      </c>
    </row>
    <row r="448" spans="1:19" x14ac:dyDescent="0.25">
      <c r="A448" s="354">
        <v>46177</v>
      </c>
      <c r="B448" s="114" t="s">
        <v>12</v>
      </c>
      <c r="C448" s="155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4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76" t="str">
        <f>+_xlfn.XLOOKUP(Tabla1[[#This Row],[Codigo_actividad]],Conceptos!A:A,Conceptos!H:H)</f>
        <v>P2.01</v>
      </c>
      <c r="L448" s="66" t="str">
        <f>IF(_xlfn.XLOOKUP($J448,Catalogo!$B$7:$B$210,Catalogo!$I$7:$I$210,"",0)=0,"",_xlfn.XLOOKUP($J448,Catalogo!$B$7:$B$210,Catalogo!$I$7:$I$210,"",0))</f>
        <v>CIPS</v>
      </c>
      <c r="M448" s="36">
        <f>+_xlfn.XLOOKUP(Tabla1[[#This Row],[Ducto]],'R (s03)'!B:B,'R (s03)'!C:C)</f>
        <v>24.358000000000001</v>
      </c>
      <c r="N448" s="261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Q448" s="389">
        <v>20170</v>
      </c>
      <c r="R448" s="389">
        <v>20312</v>
      </c>
    </row>
    <row r="449" spans="1:18" x14ac:dyDescent="0.25">
      <c r="A449" s="354">
        <v>46177</v>
      </c>
      <c r="B449" s="114" t="s">
        <v>12</v>
      </c>
      <c r="C449" s="155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4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76" t="str">
        <f>+_xlfn.XLOOKUP(Tabla1[[#This Row],[Codigo_actividad]],Conceptos!A:A,Conceptos!H:H)</f>
        <v>P2.01</v>
      </c>
      <c r="L449" s="66" t="str">
        <f>IF(_xlfn.XLOOKUP($J449,Catalogo!$B$7:$B$210,Catalogo!$I$7:$I$210,"",0)=0,"",_xlfn.XLOOKUP($J449,Catalogo!$B$7:$B$210,Catalogo!$I$7:$I$210,"",0))</f>
        <v>CIPS</v>
      </c>
      <c r="M449" s="36">
        <f>+_xlfn.XLOOKUP(Tabla1[[#This Row],[Ducto]],'R (s03)'!B:B,'R (s03)'!C:C)</f>
        <v>24.358000000000001</v>
      </c>
      <c r="N449" s="261">
        <f>IF(Tabla1[[#This Row],[Avance_km]]&lt;&gt;"",Tabla1[[#This Row],[Avance_km]],Tabla1[[#This Row],[Avance_Med]])*_xlfn.XLOOKUP(Tabla1[[#This Row],[Codigo_actividad]],Catalogo!$B$6:$B$51,Catalogo!$F$6:$F$51,0)</f>
        <v>14347.15308</v>
      </c>
      <c r="Q449" s="389">
        <v>20312</v>
      </c>
      <c r="R449" s="389">
        <v>21184</v>
      </c>
    </row>
    <row r="450" spans="1:18" x14ac:dyDescent="0.25">
      <c r="A450" s="354">
        <v>46178</v>
      </c>
      <c r="B450" s="114" t="s">
        <v>12</v>
      </c>
      <c r="C450" s="155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4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76" t="str">
        <f>+_xlfn.XLOOKUP(Tabla1[[#This Row],[Codigo_actividad]],Conceptos!A:A,Conceptos!H:H)</f>
        <v>P2.06</v>
      </c>
      <c r="L450" s="66" t="str">
        <f>IF(_xlfn.XLOOKUP($J450,Catalogo!$B$7:$B$210,Catalogo!$I$7:$I$210,"",0)=0,"",_xlfn.XLOOKUP($J450,Catalogo!$B$7:$B$210,Catalogo!$I$7:$I$210,"",0))</f>
        <v>Localizacion</v>
      </c>
      <c r="M450" s="36">
        <f>+_xlfn.XLOOKUP(Tabla1[[#This Row],[Ducto]],nombres!D:D,nombres!E:E)/1000</f>
        <v>1.3240000000000001</v>
      </c>
      <c r="N450" s="261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Q450" s="389">
        <v>21184</v>
      </c>
      <c r="R450" s="389">
        <v>21466</v>
      </c>
    </row>
    <row r="451" spans="1:18" x14ac:dyDescent="0.25">
      <c r="A451" s="354">
        <v>46178</v>
      </c>
      <c r="B451" s="114" t="s">
        <v>12</v>
      </c>
      <c r="C451" s="155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4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76" t="str">
        <f>+_xlfn.XLOOKUP(Tabla1[[#This Row],[Codigo_actividad]],Conceptos!A:A,Conceptos!H:H)</f>
        <v>P2.06</v>
      </c>
      <c r="L451" s="66" t="str">
        <f>IF(_xlfn.XLOOKUP($J451,Catalogo!$B$7:$B$210,Catalogo!$I$7:$I$210,"",0)=0,"",_xlfn.XLOOKUP($J451,Catalogo!$B$7:$B$210,Catalogo!$I$7:$I$210,"",0))</f>
        <v>Localizacion</v>
      </c>
      <c r="M451" s="36">
        <f>+_xlfn.XLOOKUP(Tabla1[[#This Row],[Ducto]],nombres!D:D,nombres!E:E)/1000</f>
        <v>0.70299999999999996</v>
      </c>
      <c r="N451" s="261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Q451" s="389">
        <v>21466</v>
      </c>
      <c r="R451" s="389">
        <v>22255</v>
      </c>
    </row>
    <row r="452" spans="1:18" x14ac:dyDescent="0.25">
      <c r="A452" s="354">
        <v>46178</v>
      </c>
      <c r="B452" s="114" t="s">
        <v>12</v>
      </c>
      <c r="C452" s="155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4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76" t="str">
        <f>+_xlfn.XLOOKUP(Tabla1[[#This Row],[Codigo_actividad]],Conceptos!A:A,Conceptos!H:H)</f>
        <v>P2.06</v>
      </c>
      <c r="L452" s="66" t="str">
        <f>IF(_xlfn.XLOOKUP($J452,Catalogo!$B$7:$B$210,Catalogo!$I$7:$I$210,"",0)=0,"",_xlfn.XLOOKUP($J452,Catalogo!$B$7:$B$210,Catalogo!$I$7:$I$210,"",0))</f>
        <v>Localizacion</v>
      </c>
      <c r="M452" s="36">
        <f>+_xlfn.XLOOKUP(Tabla1[[#This Row],[Ducto]],nombres!D:D,nombres!E:E)/1000</f>
        <v>0.27500000000000002</v>
      </c>
      <c r="N452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Q452" s="389">
        <v>22255</v>
      </c>
      <c r="R452" s="389">
        <v>22858</v>
      </c>
    </row>
    <row r="453" spans="1:18" x14ac:dyDescent="0.25">
      <c r="A453" s="354">
        <v>46179</v>
      </c>
      <c r="B453" s="114" t="s">
        <v>12</v>
      </c>
      <c r="C453" s="155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4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76" t="str">
        <f>+_xlfn.XLOOKUP(Tabla1[[#This Row],[Codigo_actividad]],Conceptos!A:A,Conceptos!H:H)</f>
        <v>P2.01</v>
      </c>
      <c r="L453" s="66" t="str">
        <f>IF(_xlfn.XLOOKUP($J453,Catalogo!$B$7:$B$210,Catalogo!$I$7:$I$210,"",0)=0,"",_xlfn.XLOOKUP($J453,Catalogo!$B$7:$B$210,Catalogo!$I$7:$I$210,"",0))</f>
        <v>CIPS</v>
      </c>
      <c r="M453" s="36">
        <f>+_xlfn.XLOOKUP(Tabla1[[#This Row],[Ducto]],'R (s03)'!B:B,'R (s03)'!C:C)</f>
        <v>1.92</v>
      </c>
      <c r="N453" s="261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Q453" s="389">
        <v>22858</v>
      </c>
      <c r="R453" s="389">
        <v>24240</v>
      </c>
    </row>
    <row r="454" spans="1:18" x14ac:dyDescent="0.25">
      <c r="A454" s="354"/>
      <c r="C454" s="155"/>
      <c r="D454" s="39"/>
      <c r="F454" s="28"/>
      <c r="G454" s="28"/>
      <c r="H454" s="224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76">
        <f>+_xlfn.XLOOKUP(Tabla1[[#This Row],[Codigo_actividad]],Conceptos!A:A,Conceptos!H:H)</f>
        <v>0</v>
      </c>
      <c r="L454" s="66" t="str">
        <f>IF(_xlfn.XLOOKUP($J454,Catalogo!$B$7:$B$21,Catalogo!$I$7:$I$21,"",0)=0,"",_xlfn.XLOOKUP($J454,Catalogo!$B$7:$B$21,Catalogo!$I$7:$I$21,"",0))</f>
        <v/>
      </c>
      <c r="M454" s="36"/>
      <c r="N454" s="261">
        <f>IF(Tabla1[[#This Row],[Avance_km]]&lt;&gt;"",Tabla1[[#This Row],[Avance_km]],Tabla1[[#This Row],[Avance_Med]])*_xlfn.XLOOKUP(Tabla1[[#This Row],[Codigo_actividad]],Catalogo!$B$6:$B$51,Catalogo!$F$6:$F$51,0)</f>
        <v>0</v>
      </c>
      <c r="Q454" s="389">
        <v>24240</v>
      </c>
      <c r="R454" s="389">
        <v>24842</v>
      </c>
    </row>
    <row r="455" spans="1:18" x14ac:dyDescent="0.25">
      <c r="A455" s="354">
        <v>46181</v>
      </c>
      <c r="B455" s="114" t="s">
        <v>12</v>
      </c>
      <c r="C455" s="155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4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76" t="str">
        <f>+_xlfn.XLOOKUP(Tabla1[[#This Row],[Codigo_actividad]],Conceptos!A:A,Conceptos!H:H)</f>
        <v>P2.01</v>
      </c>
      <c r="L455" s="66" t="str">
        <f>IF(_xlfn.XLOOKUP($J455,Catalogo!$B$7:$B$210,Catalogo!$I$7:$I$210,"",0)=0,"",_xlfn.XLOOKUP($J455,Catalogo!$B$7:$B$210,Catalogo!$I$7:$I$210,"",0))</f>
        <v>CIPS</v>
      </c>
      <c r="M455" s="36">
        <f>+_xlfn.XLOOKUP(Tabla1[[#This Row],[Ducto]],'R (s03)'!B:B,'R (s03)'!C:C)</f>
        <v>24.358000000000001</v>
      </c>
      <c r="N455" s="261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8" x14ac:dyDescent="0.25">
      <c r="A456" s="354">
        <v>46182</v>
      </c>
      <c r="B456" s="114" t="s">
        <v>12</v>
      </c>
      <c r="C456" s="155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4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76" t="str">
        <f>+_xlfn.XLOOKUP(Tabla1[[#This Row],[Codigo_actividad]],Conceptos!A:A,Conceptos!H:H)</f>
        <v>P2.01</v>
      </c>
      <c r="L456" s="66" t="str">
        <f>IF(_xlfn.XLOOKUP($J456,Catalogo!$B$7:$B$210,Catalogo!$I$7:$I$210,"",0)=0,"",_xlfn.XLOOKUP($J456,Catalogo!$B$7:$B$210,Catalogo!$I$7:$I$210,"",0))</f>
        <v>CIPS</v>
      </c>
      <c r="M456" s="36">
        <f>+_xlfn.XLOOKUP(Tabla1[[#This Row],[Ducto]],'R (s03)'!B:B,'R (s03)'!C:C)</f>
        <v>24.358000000000001</v>
      </c>
      <c r="N456" s="261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8" x14ac:dyDescent="0.25">
      <c r="A457" s="354">
        <v>46182</v>
      </c>
      <c r="B457" s="114" t="s">
        <v>12</v>
      </c>
      <c r="C457" s="155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4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76" t="str">
        <f>+_xlfn.XLOOKUP(Tabla1[[#This Row],[Codigo_actividad]],Conceptos!A:A,Conceptos!H:H)</f>
        <v>P2.01</v>
      </c>
      <c r="L457" s="66" t="str">
        <f>IF(_xlfn.XLOOKUP($J457,Catalogo!$B$7:$B$210,Catalogo!$I$7:$I$210,"",0)=0,"",_xlfn.XLOOKUP($J457,Catalogo!$B$7:$B$210,Catalogo!$I$7:$I$210,"",0))</f>
        <v>CIPS</v>
      </c>
      <c r="M457" s="36">
        <f>+_xlfn.XLOOKUP(Tabla1[[#This Row],[Ducto]],'R (s03)'!B:B,'R (s03)'!C:C)</f>
        <v>24.358000000000001</v>
      </c>
      <c r="N457" s="261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8" x14ac:dyDescent="0.25">
      <c r="A458" s="354">
        <v>46183</v>
      </c>
      <c r="B458" s="114" t="s">
        <v>12</v>
      </c>
      <c r="C458" s="155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76" t="str">
        <f>+_xlfn.XLOOKUP(Tabla1[[#This Row],[Codigo_actividad]],Conceptos!A:A,Conceptos!H:H)</f>
        <v>P2.01</v>
      </c>
      <c r="L458" s="66" t="str">
        <f>IF(_xlfn.XLOOKUP($J458,Catalogo!$B$7:$B$210,Catalogo!$I$7:$I$210,"",0)=0,"",_xlfn.XLOOKUP($J458,Catalogo!$B$7:$B$210,Catalogo!$I$7:$I$210,"",0))</f>
        <v>CIPS</v>
      </c>
      <c r="M458" s="36">
        <f>+_xlfn.XLOOKUP(Tabla1[[#This Row],[Ducto]],'R (s03)'!B:B,'R (s03)'!C:C)</f>
        <v>24.358000000000001</v>
      </c>
      <c r="N458" s="261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8" x14ac:dyDescent="0.25">
      <c r="A459" s="354">
        <v>46183</v>
      </c>
      <c r="B459" s="114" t="s">
        <v>12</v>
      </c>
      <c r="C459" s="155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4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76" t="str">
        <f>+_xlfn.XLOOKUP(Tabla1[[#This Row],[Codigo_actividad]],Conceptos!A:A,Conceptos!H:H)</f>
        <v>P2.01</v>
      </c>
      <c r="L459" s="66" t="str">
        <f>IF(_xlfn.XLOOKUP($J459,Catalogo!$B$7:$B$210,Catalogo!$I$7:$I$210,"",0)=0,"",_xlfn.XLOOKUP($J459,Catalogo!$B$7:$B$210,Catalogo!$I$7:$I$210,"",0))</f>
        <v>CIPS</v>
      </c>
      <c r="M459" s="36">
        <f>+_xlfn.XLOOKUP(Tabla1[[#This Row],[Ducto]],'R (s03)'!B:B,'R (s03)'!C:C)</f>
        <v>24.358000000000001</v>
      </c>
      <c r="N459" s="261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8" x14ac:dyDescent="0.25">
      <c r="A460" s="354">
        <v>46183</v>
      </c>
      <c r="B460" s="114" t="s">
        <v>12</v>
      </c>
      <c r="C460" s="155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4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76" t="str">
        <f>+_xlfn.XLOOKUP(Tabla1[[#This Row],[Codigo_actividad]],Conceptos!A:A,Conceptos!H:H)</f>
        <v>P2.01</v>
      </c>
      <c r="L460" s="66" t="str">
        <f>IF(_xlfn.XLOOKUP($J460,Catalogo!$B$7:$B$210,Catalogo!$I$7:$I$210,"",0)=0,"",_xlfn.XLOOKUP($J460,Catalogo!$B$7:$B$210,Catalogo!$I$7:$I$210,"",0))</f>
        <v>CIPS</v>
      </c>
      <c r="M460" s="36">
        <f>+_xlfn.XLOOKUP(Tabla1[[#This Row],[Ducto]],'R (s03)'!B:B,'R (s03)'!C:C)</f>
        <v>24.358000000000001</v>
      </c>
      <c r="N460" s="261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8" x14ac:dyDescent="0.25">
      <c r="A461" s="354">
        <v>46184</v>
      </c>
      <c r="B461" s="114" t="s">
        <v>12</v>
      </c>
      <c r="C461" s="155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4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76" t="str">
        <f>+_xlfn.XLOOKUP(Tabla1[[#This Row],[Codigo_actividad]],Conceptos!A:A,Conceptos!H:H)</f>
        <v>P2.01</v>
      </c>
      <c r="L461" s="66" t="str">
        <f>IF(_xlfn.XLOOKUP($J461,Catalogo!$B$7:$B$210,Catalogo!$I$7:$I$210,"",0)=0,"",_xlfn.XLOOKUP($J461,Catalogo!$B$7:$B$210,Catalogo!$I$7:$I$210,"",0))</f>
        <v>CIPS</v>
      </c>
      <c r="M461" s="36">
        <f>+_xlfn.XLOOKUP(Tabla1[[#This Row],[Ducto]],'R (s03)'!B:B,'R (s03)'!C:C)</f>
        <v>2.5999999999999999E-2</v>
      </c>
      <c r="N461" s="261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8" x14ac:dyDescent="0.25">
      <c r="A462" s="354">
        <v>46184</v>
      </c>
      <c r="B462" s="114" t="s">
        <v>12</v>
      </c>
      <c r="C462" s="155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4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76" t="str">
        <f>+_xlfn.XLOOKUP(Tabla1[[#This Row],[Codigo_actividad]],Conceptos!A:A,Conceptos!H:H)</f>
        <v>P2.01</v>
      </c>
      <c r="L462" s="66" t="str">
        <f>IF(_xlfn.XLOOKUP($J462,Catalogo!$B$7:$B$210,Catalogo!$I$7:$I$210,"",0)=0,"",_xlfn.XLOOKUP($J462,Catalogo!$B$7:$B$210,Catalogo!$I$7:$I$210,"",0))</f>
        <v>CIPS</v>
      </c>
      <c r="M462" s="36">
        <v>0.878</v>
      </c>
      <c r="N462" s="261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8" x14ac:dyDescent="0.25">
      <c r="A463" s="354">
        <v>46185</v>
      </c>
      <c r="B463" s="114" t="s">
        <v>12</v>
      </c>
      <c r="C463" s="155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4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76" t="str">
        <f>+_xlfn.XLOOKUP(Tabla1[[#This Row],[Codigo_actividad]],Conceptos!A:A,Conceptos!H:H)</f>
        <v>P2.01</v>
      </c>
      <c r="L463" s="66" t="str">
        <f>IF(_xlfn.XLOOKUP($J463,Catalogo!$B$7:$B$210,Catalogo!$I$7:$I$210,"",0)=0,"",_xlfn.XLOOKUP($J463,Catalogo!$B$7:$B$210,Catalogo!$I$7:$I$210,"",0))</f>
        <v>CIPS</v>
      </c>
      <c r="M463" s="36">
        <f>+_xlfn.XLOOKUP(Tabla1[[#This Row],[Ducto]],'R (s03)'!B:B,'R (s03)'!C:C)</f>
        <v>24.358000000000001</v>
      </c>
      <c r="N463" s="261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8" x14ac:dyDescent="0.25">
      <c r="A464" s="354"/>
      <c r="C464" s="155"/>
      <c r="D464" s="39"/>
      <c r="F464" s="28"/>
      <c r="G464" s="28"/>
      <c r="H464" s="224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76">
        <f>+_xlfn.XLOOKUP(Tabla1[[#This Row],[Codigo_actividad]],Conceptos!A:A,Conceptos!H:H)</f>
        <v>0</v>
      </c>
      <c r="L464" s="66" t="str">
        <f>IF(_xlfn.XLOOKUP($J464,Catalogo!$B$7:$B$21,Catalogo!$I$7:$I$21,"",0)=0,"",_xlfn.XLOOKUP($J464,Catalogo!$B$7:$B$21,Catalogo!$I$7:$I$21,"",0))</f>
        <v/>
      </c>
      <c r="M464" s="36"/>
      <c r="N4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4" x14ac:dyDescent="0.25">
      <c r="A465" s="354">
        <v>46188</v>
      </c>
      <c r="B465" s="114" t="s">
        <v>12</v>
      </c>
      <c r="C465" s="155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4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76" t="str">
        <f>+_xlfn.XLOOKUP(Tabla1[[#This Row],[Codigo_actividad]],Conceptos!A:A,Conceptos!H:H)</f>
        <v>P2.01</v>
      </c>
      <c r="L465" s="66" t="str">
        <f>IF(_xlfn.XLOOKUP($J465,Catalogo!$B$7:$B$210,Catalogo!$I$7:$I$210,"",0)=0,"",_xlfn.XLOOKUP($J465,Catalogo!$B$7:$B$210,Catalogo!$I$7:$I$210,"",0))</f>
        <v>CIPS</v>
      </c>
      <c r="M465" s="36">
        <f>+_xlfn.XLOOKUP(Tabla1[[#This Row],[Ducto]],'R (s03)'!B:B,'R (s03)'!C:C)</f>
        <v>24.358000000000001</v>
      </c>
      <c r="N465" s="261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4" x14ac:dyDescent="0.25">
      <c r="A466" s="354">
        <v>46189</v>
      </c>
      <c r="B466" s="114" t="s">
        <v>12</v>
      </c>
      <c r="C466" s="155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4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76" t="str">
        <f>+_xlfn.XLOOKUP(Tabla1[[#This Row],[Codigo_actividad]],Conceptos!A:A,Conceptos!H:H)</f>
        <v>P2.01</v>
      </c>
      <c r="L466" s="66" t="str">
        <f>IF(_xlfn.XLOOKUP($J466,Catalogo!$B$7:$B$210,Catalogo!$I$7:$I$210,"",0)=0,"",_xlfn.XLOOKUP($J466,Catalogo!$B$7:$B$210,Catalogo!$I$7:$I$210,"",0))</f>
        <v>CIPS</v>
      </c>
      <c r="M466" s="36">
        <f>+_xlfn.XLOOKUP(Tabla1[[#This Row],[Ducto]],'R (s03)'!B:B,'R (s03)'!C:C)</f>
        <v>24.358000000000001</v>
      </c>
      <c r="N466" s="261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4" x14ac:dyDescent="0.25">
      <c r="A467" s="354">
        <v>46190</v>
      </c>
      <c r="B467" s="114" t="s">
        <v>12</v>
      </c>
      <c r="C467" s="155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4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76" t="str">
        <f>+_xlfn.XLOOKUP(Tabla1[[#This Row],[Codigo_actividad]],Conceptos!A:A,Conceptos!H:H)</f>
        <v>P2.01</v>
      </c>
      <c r="L467" s="66" t="str">
        <f>IF(_xlfn.XLOOKUP($J467,Catalogo!$B$7:$B$210,Catalogo!$I$7:$I$210,"",0)=0,"",_xlfn.XLOOKUP($J467,Catalogo!$B$7:$B$210,Catalogo!$I$7:$I$210,"",0))</f>
        <v>CIPS</v>
      </c>
      <c r="M467" s="36">
        <f>+_xlfn.XLOOKUP(Tabla1[[#This Row],[Ducto]],'R (s03)'!B:B,'R (s03)'!C:C)</f>
        <v>24.358000000000001</v>
      </c>
      <c r="N467" s="261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4" x14ac:dyDescent="0.25">
      <c r="A468" s="354">
        <v>46191</v>
      </c>
      <c r="B468" s="114" t="s">
        <v>12</v>
      </c>
      <c r="C468" s="155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4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76" t="str">
        <f>+_xlfn.XLOOKUP(Tabla1[[#This Row],[Codigo_actividad]],Conceptos!A:A,Conceptos!H:H)</f>
        <v>P2.01</v>
      </c>
      <c r="L468" s="66" t="str">
        <f>IF(_xlfn.XLOOKUP($J468,Catalogo!$B$7:$B$210,Catalogo!$I$7:$I$210,"",0)=0,"",_xlfn.XLOOKUP($J468,Catalogo!$B$7:$B$210,Catalogo!$I$7:$I$210,"",0))</f>
        <v>CIPS</v>
      </c>
      <c r="M468" s="36">
        <f>+_xlfn.XLOOKUP(Tabla1[[#This Row],[Ducto]],'R (s03)'!B:B,'R (s03)'!C:C)</f>
        <v>24.358000000000001</v>
      </c>
      <c r="N468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4" x14ac:dyDescent="0.25">
      <c r="A469" s="354">
        <v>46191</v>
      </c>
      <c r="B469" s="114" t="s">
        <v>12</v>
      </c>
      <c r="C469" s="155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4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76" t="str">
        <f>+_xlfn.XLOOKUP(Tabla1[[#This Row],[Codigo_actividad]],Conceptos!A:A,Conceptos!H:H)</f>
        <v>P2.01</v>
      </c>
      <c r="L469" s="66" t="str">
        <f>IF(_xlfn.XLOOKUP($J469,Catalogo!$B$7:$B$210,Catalogo!$I$7:$I$210,"",0)=0,"",_xlfn.XLOOKUP($J469,Catalogo!$B$7:$B$210,Catalogo!$I$7:$I$210,"",0))</f>
        <v>CIPS</v>
      </c>
      <c r="M469" s="36">
        <f>+_xlfn.XLOOKUP(Tabla1[[#This Row],[Ducto]],'R (s03)'!B:B,'R (s03)'!C:C)</f>
        <v>24.358000000000001</v>
      </c>
      <c r="N469" s="261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4" x14ac:dyDescent="0.25">
      <c r="A470" s="354">
        <v>46192</v>
      </c>
      <c r="B470" s="114" t="s">
        <v>12</v>
      </c>
      <c r="C470" s="155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76" t="str">
        <f>+_xlfn.XLOOKUP(Tabla1[[#This Row],[Codigo_actividad]],Conceptos!A:A,Conceptos!H:H)</f>
        <v>P2.06</v>
      </c>
      <c r="L470" s="66" t="str">
        <f>IF(_xlfn.XLOOKUP($J470,Catalogo!$B$7:$B$210,Catalogo!$I$7:$I$210,"",0)=0,"",_xlfn.XLOOKUP($J470,Catalogo!$B$7:$B$210,Catalogo!$I$7:$I$210,"",0))</f>
        <v>Localizacion</v>
      </c>
      <c r="M470" s="36">
        <v>1.2999999999999999E-2</v>
      </c>
      <c r="N470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4" x14ac:dyDescent="0.25">
      <c r="A471" s="354">
        <v>46192</v>
      </c>
      <c r="B471" s="114" t="s">
        <v>12</v>
      </c>
      <c r="C471" s="155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4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76" t="str">
        <f>+_xlfn.XLOOKUP(Tabla1[[#This Row],[Codigo_actividad]],Conceptos!A:A,Conceptos!H:H)</f>
        <v>P2.06</v>
      </c>
      <c r="L471" s="66" t="str">
        <f>IF(_xlfn.XLOOKUP($J471,Catalogo!$B$7:$B$210,Catalogo!$I$7:$I$210,"",0)=0,"",_xlfn.XLOOKUP($J471,Catalogo!$B$7:$B$210,Catalogo!$I$7:$I$210,"",0))</f>
        <v>Localizacion</v>
      </c>
      <c r="M471" s="36">
        <f>+_xlfn.XLOOKUP(Tabla1[[#This Row],[Ducto]],nombres!D:D,nombres!E:E)/1000</f>
        <v>0.1195</v>
      </c>
      <c r="N471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4" x14ac:dyDescent="0.25">
      <c r="A472" s="354">
        <v>46192</v>
      </c>
      <c r="B472" s="114" t="s">
        <v>12</v>
      </c>
      <c r="C472" s="155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4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76" t="str">
        <f>+_xlfn.XLOOKUP(Tabla1[[#This Row],[Codigo_actividad]],Conceptos!A:A,Conceptos!H:H)</f>
        <v>P2.06</v>
      </c>
      <c r="L472" s="66" t="str">
        <f>IF(_xlfn.XLOOKUP($J472,Catalogo!$B$7:$B$210,Catalogo!$I$7:$I$210,"",0)=0,"",_xlfn.XLOOKUP($J472,Catalogo!$B$7:$B$210,Catalogo!$I$7:$I$210,"",0))</f>
        <v>Localizacion</v>
      </c>
      <c r="M472" s="36">
        <f>+_xlfn.XLOOKUP(Tabla1[[#This Row],[Ducto]],nombres!D:D,nombres!E:E)/1000</f>
        <v>1.4359999999999999</v>
      </c>
      <c r="N472" s="261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4" x14ac:dyDescent="0.25">
      <c r="A473" s="354">
        <v>46192</v>
      </c>
      <c r="B473" s="114" t="s">
        <v>12</v>
      </c>
      <c r="C473" s="155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76" t="str">
        <f>+_xlfn.XLOOKUP(Tabla1[[#This Row],[Codigo_actividad]],Conceptos!A:A,Conceptos!H:H)</f>
        <v>P2.01</v>
      </c>
      <c r="L473" s="66" t="str">
        <f>IF(_xlfn.XLOOKUP($J473,Catalogo!$B$7:$B$210,Catalogo!$I$7:$I$210,"",0)=0,"",_xlfn.XLOOKUP($J473,Catalogo!$B$7:$B$210,Catalogo!$I$7:$I$210,"",0))</f>
        <v>CIPS</v>
      </c>
      <c r="M473" s="36">
        <v>1.2999999999999999E-2</v>
      </c>
      <c r="N473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4" x14ac:dyDescent="0.25">
      <c r="A474" s="354">
        <v>46192</v>
      </c>
      <c r="B474" s="114" t="s">
        <v>12</v>
      </c>
      <c r="C474" s="155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4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76" t="str">
        <f>+_xlfn.XLOOKUP(Tabla1[[#This Row],[Codigo_actividad]],Conceptos!A:A,Conceptos!H:H)</f>
        <v>P2.01</v>
      </c>
      <c r="L474" s="66" t="str">
        <f>IF(_xlfn.XLOOKUP($J474,Catalogo!$B$7:$B$210,Catalogo!$I$7:$I$210,"",0)=0,"",_xlfn.XLOOKUP($J474,Catalogo!$B$7:$B$210,Catalogo!$I$7:$I$210,"",0))</f>
        <v>CIPS</v>
      </c>
      <c r="M474" s="36">
        <f>+_xlfn.XLOOKUP(Tabla1[[#This Row],[Ducto]],nombres!D:D,nombres!E:E)/1000</f>
        <v>0.1195</v>
      </c>
      <c r="N474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4" x14ac:dyDescent="0.25">
      <c r="A475" s="354">
        <v>46193</v>
      </c>
      <c r="B475" s="114" t="s">
        <v>12</v>
      </c>
      <c r="C475" s="155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4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76" t="str">
        <f>+_xlfn.XLOOKUP(Tabla1[[#This Row],[Codigo_actividad]],Conceptos!A:A,Conceptos!H:H)</f>
        <v>P2.01</v>
      </c>
      <c r="L475" s="66" t="str">
        <f>IF(_xlfn.XLOOKUP($J475,Catalogo!$B$7:$B$210,Catalogo!$I$7:$I$210,"",0)=0,"",_xlfn.XLOOKUP($J475,Catalogo!$B$7:$B$210,Catalogo!$I$7:$I$210,"",0))</f>
        <v>CIPS</v>
      </c>
      <c r="M475" s="36">
        <v>1.4E-2</v>
      </c>
      <c r="N475" s="261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4" x14ac:dyDescent="0.25">
      <c r="A476" s="354">
        <v>46193</v>
      </c>
      <c r="B476" s="114" t="s">
        <v>12</v>
      </c>
      <c r="C476" s="155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4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76" t="str">
        <f>+_xlfn.XLOOKUP(Tabla1[[#This Row],[Codigo_actividad]],Conceptos!A:A,Conceptos!H:H)</f>
        <v>P2.06</v>
      </c>
      <c r="L476" s="66" t="str">
        <f>IF(_xlfn.XLOOKUP($J476,Catalogo!$B$7:$B$210,Catalogo!$I$7:$I$210,"",0)=0,"",_xlfn.XLOOKUP($J476,Catalogo!$B$7:$B$210,Catalogo!$I$7:$I$210,"",0))</f>
        <v>Localizacion</v>
      </c>
      <c r="M476" s="36">
        <f>+_xlfn.XLOOKUP(Tabla1[[#This Row],[Ducto]],nombres!D:D,nombres!E:E)/1000</f>
        <v>1.0999999999999999E-2</v>
      </c>
      <c r="N476" s="261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4" x14ac:dyDescent="0.25">
      <c r="A477" s="354"/>
      <c r="C477" s="155"/>
      <c r="D477" s="39"/>
      <c r="F477" s="28"/>
      <c r="G477" s="28"/>
      <c r="H477" s="224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76">
        <f>+_xlfn.XLOOKUP(Tabla1[[#This Row],[Codigo_actividad]],Conceptos!A:A,Conceptos!H:H)</f>
        <v>0</v>
      </c>
      <c r="L477" s="66" t="str">
        <f>IF(_xlfn.XLOOKUP($J477,Catalogo!$B$7:$B$21,Catalogo!$I$7:$I$21,"",0)=0,"",_xlfn.XLOOKUP($J477,Catalogo!$B$7:$B$21,Catalogo!$I$7:$I$21,"",0))</f>
        <v/>
      </c>
      <c r="M477" s="36"/>
      <c r="N4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4" x14ac:dyDescent="0.25">
      <c r="A478" s="354">
        <v>46195</v>
      </c>
      <c r="B478" s="114" t="s">
        <v>12</v>
      </c>
      <c r="C478" s="155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4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76" t="str">
        <f>+_xlfn.XLOOKUP(Tabla1[[#This Row],[Codigo_actividad]],Conceptos!A:A,Conceptos!H:H)</f>
        <v>P2.01</v>
      </c>
      <c r="L478" s="66" t="str">
        <f>IF(_xlfn.XLOOKUP($J478,Catalogo!$B$7:$B$210,Catalogo!$I$7:$I$210,"",0)=0,"",_xlfn.XLOOKUP($J478,Catalogo!$B$7:$B$210,Catalogo!$I$7:$I$210,"",0))</f>
        <v>CIPS</v>
      </c>
      <c r="M478" s="36">
        <f>+_xlfn.XLOOKUP(Tabla1[[#This Row],[Ducto]],'R (s03)'!B:B,'R (s03)'!C:C)</f>
        <v>0.314</v>
      </c>
      <c r="N478" s="261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4" x14ac:dyDescent="0.25">
      <c r="A479" s="354">
        <v>46195</v>
      </c>
      <c r="B479" s="114" t="s">
        <v>12</v>
      </c>
      <c r="C479" s="155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4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76" t="str">
        <f>+_xlfn.XLOOKUP(Tabla1[[#This Row],[Codigo_actividad]],Conceptos!A:A,Conceptos!H:H)</f>
        <v>P2.01</v>
      </c>
      <c r="L479" s="66" t="str">
        <f>IF(_xlfn.XLOOKUP($J479,Catalogo!$B$7:$B$210,Catalogo!$I$7:$I$210,"",0)=0,"",_xlfn.XLOOKUP($J479,Catalogo!$B$7:$B$210,Catalogo!$I$7:$I$210,"",0))</f>
        <v>CIPS</v>
      </c>
      <c r="M479" s="36">
        <f>+_xlfn.XLOOKUP(Tabla1[[#This Row],[Ducto]],'R (s03)'!B:B,'R (s03)'!C:C)</f>
        <v>1.2E-2</v>
      </c>
      <c r="N479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4" x14ac:dyDescent="0.25">
      <c r="A480" s="354">
        <v>46195</v>
      </c>
      <c r="B480" s="114" t="s">
        <v>12</v>
      </c>
      <c r="C480" s="155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76" t="str">
        <f>+_xlfn.XLOOKUP(Tabla1[[#This Row],[Codigo_actividad]],Conceptos!A:A,Conceptos!H:H)</f>
        <v>P2.01</v>
      </c>
      <c r="L480" s="66" t="str">
        <f>IF(_xlfn.XLOOKUP($J480,Catalogo!$B$7:$B$210,Catalogo!$I$7:$I$210,"",0)=0,"",_xlfn.XLOOKUP($J480,Catalogo!$B$7:$B$210,Catalogo!$I$7:$I$210,"",0))</f>
        <v>CIPS</v>
      </c>
      <c r="M480" s="36">
        <f>+_xlfn.XLOOKUP(Tabla1[[#This Row],[Ducto]],'R (s03)'!B:B,'R (s03)'!C:C)</f>
        <v>9.9000000000000005E-2</v>
      </c>
      <c r="N480" s="261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5" x14ac:dyDescent="0.25">
      <c r="A481" s="354">
        <v>46196</v>
      </c>
      <c r="B481" s="114" t="s">
        <v>12</v>
      </c>
      <c r="C481" s="155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4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76" t="str">
        <f>+_xlfn.XLOOKUP(Tabla1[[#This Row],[Codigo_actividad]],Conceptos!A:A,Conceptos!H:H)</f>
        <v>P2.01</v>
      </c>
      <c r="L481" s="66" t="str">
        <f>IF(_xlfn.XLOOKUP($J481,Catalogo!$B$7:$B$210,Catalogo!$I$7:$I$210,"",0)=0,"",_xlfn.XLOOKUP($J481,Catalogo!$B$7:$B$210,Catalogo!$I$7:$I$210,"",0))</f>
        <v>CIPS</v>
      </c>
      <c r="M481" s="36">
        <f>+_xlfn.XLOOKUP(Tabla1[[#This Row],[Ducto]],'R (s03)'!B:B,'R (s03)'!C:C)</f>
        <v>0.85</v>
      </c>
      <c r="N481" s="261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5" x14ac:dyDescent="0.25">
      <c r="A482" s="354">
        <v>46196</v>
      </c>
      <c r="B482" s="114" t="s">
        <v>12</v>
      </c>
      <c r="C482" s="155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76" t="str">
        <f>+_xlfn.XLOOKUP(Tabla1[[#This Row],[Codigo_actividad]],Conceptos!A:A,Conceptos!H:H)</f>
        <v>P2.01</v>
      </c>
      <c r="L482" s="66" t="str">
        <f>IF(_xlfn.XLOOKUP($J482,Catalogo!$B$7:$B$210,Catalogo!$I$7:$I$210,"",0)=0,"",_xlfn.XLOOKUP($J482,Catalogo!$B$7:$B$210,Catalogo!$I$7:$I$210,"",0))</f>
        <v>CIPS</v>
      </c>
      <c r="M482" s="36">
        <f>+_xlfn.XLOOKUP(Tabla1[[#This Row],[Ducto]],'R (s03)'!B:B,'R (s03)'!C:C)</f>
        <v>1.2999999999999999E-2</v>
      </c>
      <c r="N482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5" x14ac:dyDescent="0.25">
      <c r="A483" s="354">
        <v>46196</v>
      </c>
      <c r="B483" s="114" t="s">
        <v>12</v>
      </c>
      <c r="C483" s="155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76" t="str">
        <f>+_xlfn.XLOOKUP(Tabla1[[#This Row],[Codigo_actividad]],Conceptos!A:A,Conceptos!H:H)</f>
        <v>P2.01</v>
      </c>
      <c r="L483" s="66" t="str">
        <f>IF(_xlfn.XLOOKUP($J483,Catalogo!$B$7:$B$210,Catalogo!$I$7:$I$210,"",0)=0,"",_xlfn.XLOOKUP($J483,Catalogo!$B$7:$B$210,Catalogo!$I$7:$I$210,"",0))</f>
        <v>CIPS</v>
      </c>
      <c r="M483" s="36">
        <f>+_xlfn.XLOOKUP(Tabla1[[#This Row],[Ducto]],'R (s03)'!B:B,'R (s03)'!C:C)</f>
        <v>8.0000000000000002E-3</v>
      </c>
      <c r="N483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5" x14ac:dyDescent="0.25">
      <c r="A484" s="354">
        <v>46198</v>
      </c>
      <c r="B484" s="114" t="s">
        <v>12</v>
      </c>
      <c r="C484" s="155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4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76" t="str">
        <f>+_xlfn.XLOOKUP(Tabla1[[#This Row],[Codigo_actividad]],Conceptos!A:A,Conceptos!H:H)</f>
        <v>P2.01</v>
      </c>
      <c r="L484" s="66" t="str">
        <f>IF(_xlfn.XLOOKUP($J484,Catalogo!$B$7:$B$210,Catalogo!$I$7:$I$210,"",0)=0,"",_xlfn.XLOOKUP($J484,Catalogo!$B$7:$B$210,Catalogo!$I$7:$I$210,"",0))</f>
        <v>CIPS</v>
      </c>
      <c r="M484" s="36">
        <f>+_xlfn.XLOOKUP(Tabla1[[#This Row],[Ducto]],'R (s03)'!B:B,'R (s03)'!C:C)</f>
        <v>1.4359999999999999</v>
      </c>
      <c r="N484" s="261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5" x14ac:dyDescent="0.25">
      <c r="A485" s="354">
        <v>46198</v>
      </c>
      <c r="B485" s="114" t="s">
        <v>12</v>
      </c>
      <c r="C485" s="155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76" t="str">
        <f>+_xlfn.XLOOKUP(Tabla1[[#This Row],[Codigo_actividad]],Conceptos!A:A,Conceptos!H:H)</f>
        <v>P2.01</v>
      </c>
      <c r="L485" s="66" t="str">
        <f>IF(_xlfn.XLOOKUP($J485,Catalogo!$B$7:$B$210,Catalogo!$I$7:$I$210,"",0)=0,"",_xlfn.XLOOKUP($J485,Catalogo!$B$7:$B$210,Catalogo!$I$7:$I$210,"",0))</f>
        <v>CIPS</v>
      </c>
      <c r="M485" s="36">
        <f>+_xlfn.XLOOKUP(Tabla1[[#This Row],[Ducto]],'R (s03)'!B:B,'R (s03)'!C:C)</f>
        <v>2.1999999999999999E-2</v>
      </c>
      <c r="N485" s="261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5" x14ac:dyDescent="0.25">
      <c r="A486" s="354">
        <v>46198</v>
      </c>
      <c r="B486" s="114" t="s">
        <v>12</v>
      </c>
      <c r="C486" s="155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76" t="str">
        <f>+_xlfn.XLOOKUP(Tabla1[[#This Row],[Codigo_actividad]],Conceptos!A:A,Conceptos!H:H)</f>
        <v>P2.01</v>
      </c>
      <c r="L486" s="66" t="str">
        <f>IF(_xlfn.XLOOKUP($J486,Catalogo!$B$7:$B$210,Catalogo!$I$7:$I$210,"",0)=0,"",_xlfn.XLOOKUP($J486,Catalogo!$B$7:$B$210,Catalogo!$I$7:$I$210,"",0))</f>
        <v>CIPS</v>
      </c>
      <c r="M486" s="36">
        <f>+_xlfn.XLOOKUP(Tabla1[[#This Row],[Ducto]],'R (s03)'!B:B,'R (s03)'!C:C)</f>
        <v>1.0999999999999999E-2</v>
      </c>
      <c r="N486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5" x14ac:dyDescent="0.25">
      <c r="A487" s="354">
        <v>46198</v>
      </c>
      <c r="B487" s="114" t="s">
        <v>12</v>
      </c>
      <c r="C487" s="155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76" t="str">
        <f>+_xlfn.XLOOKUP(Tabla1[[#This Row],[Codigo_actividad]],Conceptos!A:A,Conceptos!H:H)</f>
        <v>P2.06</v>
      </c>
      <c r="L487" s="66" t="str">
        <f>IF(_xlfn.XLOOKUP($J487,Catalogo!$B$7:$B$210,Catalogo!$I$7:$I$210,"",0)=0,"",_xlfn.XLOOKUP($J487,Catalogo!$B$7:$B$210,Catalogo!$I$7:$I$210,"",0))</f>
        <v>Localizacion</v>
      </c>
      <c r="M487" s="36">
        <f>+_xlfn.XLOOKUP(Tabla1[[#This Row],[Ducto]],nombres!D:D,nombres!E:E)/1000</f>
        <v>1.4E-2</v>
      </c>
      <c r="N487" s="261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5" x14ac:dyDescent="0.25">
      <c r="A488" s="354">
        <v>46198</v>
      </c>
      <c r="B488" s="114" t="s">
        <v>12</v>
      </c>
      <c r="C488" s="155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76" t="str">
        <f>+_xlfn.XLOOKUP(Tabla1[[#This Row],[Codigo_actividad]],Conceptos!A:A,Conceptos!H:H)</f>
        <v>P2.06</v>
      </c>
      <c r="L488" s="66" t="str">
        <f>IF(_xlfn.XLOOKUP($J488,Catalogo!$B$7:$B$210,Catalogo!$I$7:$I$210,"",0)=0,"",_xlfn.XLOOKUP($J488,Catalogo!$B$7:$B$210,Catalogo!$I$7:$I$210,"",0))</f>
        <v>Localizacion</v>
      </c>
      <c r="M488" s="36">
        <f>+_xlfn.XLOOKUP(Tabla1[[#This Row],[Ducto]],nombres!D:D,nombres!E:E)/1000</f>
        <v>0.02</v>
      </c>
      <c r="N488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5" x14ac:dyDescent="0.25">
      <c r="A489" s="354">
        <v>46199</v>
      </c>
      <c r="B489" s="114" t="s">
        <v>12</v>
      </c>
      <c r="C489" s="155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76" t="str">
        <f>+_xlfn.XLOOKUP(Tabla1[[#This Row],[Codigo_actividad]],Conceptos!A:A,Conceptos!H:H)</f>
        <v>P2.01</v>
      </c>
      <c r="L489" s="66" t="str">
        <f>IF(_xlfn.XLOOKUP($J489,Catalogo!$B$7:$B$210,Catalogo!$I$7:$I$210,"",0)=0,"",_xlfn.XLOOKUP($J489,Catalogo!$B$7:$B$210,Catalogo!$I$7:$I$210,"",0))</f>
        <v>CIPS</v>
      </c>
      <c r="M489" s="36">
        <f>+_xlfn.XLOOKUP(Tabla1[[#This Row],[Ducto]],'R (s03)'!B:B,'R (s03)'!C:C)</f>
        <v>6.0000000000000001E-3</v>
      </c>
      <c r="N489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5" x14ac:dyDescent="0.25">
      <c r="A490" s="354">
        <v>46199</v>
      </c>
      <c r="B490" s="114" t="s">
        <v>12</v>
      </c>
      <c r="C490" s="155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76" t="str">
        <f>+_xlfn.XLOOKUP(Tabla1[[#This Row],[Codigo_actividad]],Conceptos!A:A,Conceptos!H:H)</f>
        <v>P2.06</v>
      </c>
      <c r="L490" s="66" t="str">
        <f>IF(_xlfn.XLOOKUP($J490,Catalogo!$B$7:$B$210,Catalogo!$I$7:$I$210,"",0)=0,"",_xlfn.XLOOKUP($J490,Catalogo!$B$7:$B$210,Catalogo!$I$7:$I$210,"",0))</f>
        <v>Localizacion</v>
      </c>
      <c r="M490" s="36">
        <f>+_xlfn.XLOOKUP(Tabla1[[#This Row],[Ducto]],nombres!D:D,nombres!E:E)/1000</f>
        <v>6.0000000000000001E-3</v>
      </c>
      <c r="N490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5" x14ac:dyDescent="0.25">
      <c r="A491" s="354">
        <v>46199</v>
      </c>
      <c r="B491" s="114" t="s">
        <v>12</v>
      </c>
      <c r="C491" s="155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4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76" t="str">
        <f>+_xlfn.XLOOKUP(Tabla1[[#This Row],[Codigo_actividad]],Conceptos!A:A,Conceptos!H:H)</f>
        <v>P2.06</v>
      </c>
      <c r="L491" s="66" t="str">
        <f>IF(_xlfn.XLOOKUP($J491,Catalogo!$B$7:$B$210,Catalogo!$I$7:$I$210,"",0)=0,"",_xlfn.XLOOKUP($J491,Catalogo!$B$7:$B$210,Catalogo!$I$7:$I$210,"",0))</f>
        <v>Localizacion</v>
      </c>
      <c r="M491" s="36">
        <f>+_xlfn.XLOOKUP(Tabla1[[#This Row],[Ducto]],'R (s03)'!B:B,'R (s03)'!C:C)</f>
        <v>0.27800000000000002</v>
      </c>
      <c r="N491" s="261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5" x14ac:dyDescent="0.25">
      <c r="A492" s="354">
        <v>46199</v>
      </c>
      <c r="B492" s="114" t="s">
        <v>12</v>
      </c>
      <c r="C492" s="155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4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76" t="str">
        <f>+_xlfn.XLOOKUP(Tabla1[[#This Row],[Codigo_actividad]],Conceptos!A:A,Conceptos!H:H)</f>
        <v>P2.06</v>
      </c>
      <c r="L492" s="66" t="str">
        <f>IF(_xlfn.XLOOKUP($J492,Catalogo!$B$7:$B$210,Catalogo!$I$7:$I$210,"",0)=0,"",_xlfn.XLOOKUP($J492,Catalogo!$B$7:$B$210,Catalogo!$I$7:$I$210,"",0))</f>
        <v>Localizacion</v>
      </c>
      <c r="M492" s="36">
        <f>+_xlfn.XLOOKUP(Tabla1[[#This Row],[Ducto]],nombres!D:D,nombres!E:E)/1000</f>
        <v>0.373</v>
      </c>
      <c r="N492" s="261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5" x14ac:dyDescent="0.25">
      <c r="A493" s="354">
        <v>46200</v>
      </c>
      <c r="B493" s="114" t="s">
        <v>12</v>
      </c>
      <c r="C493" s="155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4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76" t="str">
        <f>+_xlfn.XLOOKUP(Tabla1[[#This Row],[Codigo_actividad]],Conceptos!A:A,Conceptos!H:H)</f>
        <v>P2.06</v>
      </c>
      <c r="L493" s="66" t="str">
        <f>IF(_xlfn.XLOOKUP($J493,Catalogo!$B$7:$B$210,Catalogo!$I$7:$I$210,"",0)=0,"",_xlfn.XLOOKUP($J493,Catalogo!$B$7:$B$210,Catalogo!$I$7:$I$210,"",0))</f>
        <v>Localizacion</v>
      </c>
      <c r="M493" s="36">
        <f>+_xlfn.XLOOKUP(Tabla1[[#This Row],[Ducto]],nombres!D:D,nombres!E:E)/1000</f>
        <v>5.7880000000000003</v>
      </c>
      <c r="N493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5" x14ac:dyDescent="0.25">
      <c r="A494" s="354">
        <v>46200</v>
      </c>
      <c r="B494" s="114" t="s">
        <v>12</v>
      </c>
      <c r="C494" s="155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76" t="str">
        <f>+_xlfn.XLOOKUP(Tabla1[[#This Row],[Codigo_actividad]],Conceptos!A:A,Conceptos!H:H)</f>
        <v>P2.06</v>
      </c>
      <c r="L494" s="66" t="str">
        <f>IF(_xlfn.XLOOKUP($J494,Catalogo!$B$7:$B$210,Catalogo!$I$7:$I$210,"",0)=0,"",_xlfn.XLOOKUP($J494,Catalogo!$B$7:$B$210,Catalogo!$I$7:$I$210,"",0))</f>
        <v>Localizacion</v>
      </c>
      <c r="M494" s="36">
        <f>+_xlfn.XLOOKUP(Tabla1[[#This Row],[Ducto]],nombres!D:D,nombres!E:E)/1000</f>
        <v>9.2999999999999999E-2</v>
      </c>
      <c r="N494" s="261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5" x14ac:dyDescent="0.25">
      <c r="A495" s="354">
        <v>46200</v>
      </c>
      <c r="B495" s="114" t="s">
        <v>12</v>
      </c>
      <c r="C495" s="155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+_xlfn.XLOOKUP(Tabla1[[#This Row],[Codigo_actividad]],Conceptos!A:A,Conceptos!H:H)</f>
        <v>P2.06</v>
      </c>
      <c r="L495" s="76" t="str">
        <f>IF(_xlfn.XLOOKUP($J495,Catalogo!$B$7:$B$210,Catalogo!$I$7:$I$210,"",0)=0,"",_xlfn.XLOOKUP($J495,Catalogo!$B$7:$B$210,Catalogo!$I$7:$I$210,"",0))</f>
        <v>Localizacion</v>
      </c>
      <c r="M495" s="36">
        <f>+_xlfn.XLOOKUP(Tabla1[[#This Row],[Ducto]],'R (s03)'!B:B,'R (s03)'!C:C)</f>
        <v>0.24299999999999999</v>
      </c>
      <c r="N495" s="261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O495" t="s">
        <v>512</v>
      </c>
    </row>
    <row r="496" spans="1:15" x14ac:dyDescent="0.25">
      <c r="A496" s="354"/>
      <c r="C496" s="155"/>
      <c r="D496" s="39"/>
      <c r="F496" s="28"/>
      <c r="G496" s="28"/>
      <c r="H496" s="224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76">
        <f>+_xlfn.XLOOKUP(Tabla1[[#This Row],[Codigo_actividad]],Conceptos!A:A,Conceptos!H:H)</f>
        <v>0</v>
      </c>
      <c r="L496" s="66" t="str">
        <f>IF(_xlfn.XLOOKUP($J496,Catalogo!$B$7:$B$21,Catalogo!$I$7:$I$21,"",0)=0,"",_xlfn.XLOOKUP($J496,Catalogo!$B$7:$B$21,Catalogo!$I$7:$I$21,"",0))</f>
        <v/>
      </c>
      <c r="M496" s="36"/>
      <c r="N49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5" x14ac:dyDescent="0.25">
      <c r="A497" s="354">
        <v>46202</v>
      </c>
      <c r="B497" s="114" t="s">
        <v>12</v>
      </c>
      <c r="C497" s="155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4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76" t="str">
        <f>+_xlfn.XLOOKUP(Tabla1[[#This Row],[Codigo_actividad]],Conceptos!A:A,Conceptos!H:H)</f>
        <v>P2.01</v>
      </c>
      <c r="L497" s="66" t="str">
        <f>IF(_xlfn.XLOOKUP($J497,Catalogo!$B$7:$B$210,Catalogo!$I$7:$I$210,"",0)=0,"",_xlfn.XLOOKUP($J497,Catalogo!$B$7:$B$210,Catalogo!$I$7:$I$210,"",0))</f>
        <v>CIPS</v>
      </c>
      <c r="M497" s="36">
        <f>+_xlfn.XLOOKUP(Tabla1[[#This Row],[Ducto]],'R (s03)'!B:B,'R (s03)'!C:C)</f>
        <v>0.70299999999999996</v>
      </c>
      <c r="N497" s="261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5" x14ac:dyDescent="0.25">
      <c r="A498" s="354">
        <v>46203</v>
      </c>
      <c r="B498" s="114" t="s">
        <v>12</v>
      </c>
      <c r="C498" s="155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76" t="str">
        <f>+_xlfn.XLOOKUP(Tabla1[[#This Row],[Codigo_actividad]],Conceptos!A:A,Conceptos!H:H)</f>
        <v>P2.01</v>
      </c>
      <c r="L498" s="66" t="str">
        <f>IF(_xlfn.XLOOKUP($J498,Catalogo!$B$7:$B$210,Catalogo!$I$7:$I$210,"",0)=0,"",_xlfn.XLOOKUP($J498,Catalogo!$B$7:$B$210,Catalogo!$I$7:$I$210,"",0))</f>
        <v>CIPS</v>
      </c>
      <c r="M498" s="36">
        <f>+_xlfn.XLOOKUP(Tabla1[[#This Row],[Ducto]],'R (s03)'!B:B,'R (s03)'!C:C)</f>
        <v>0.27500000000000002</v>
      </c>
      <c r="N498" s="261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5" x14ac:dyDescent="0.25">
      <c r="A499" s="354">
        <v>46203</v>
      </c>
      <c r="B499" s="114" t="s">
        <v>12</v>
      </c>
      <c r="C499" s="155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4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76" t="str">
        <f>+_xlfn.XLOOKUP(Tabla1[[#This Row],[Codigo_actividad]],Conceptos!A:A,Conceptos!H:H)</f>
        <v>P2.06</v>
      </c>
      <c r="L499" s="66" t="str">
        <f>IF(_xlfn.XLOOKUP($J499,Catalogo!$B$7:$B$210,Catalogo!$I$7:$I$210,"",0)=0,"",_xlfn.XLOOKUP($J499,Catalogo!$B$7:$B$210,Catalogo!$I$7:$I$210,"",0))</f>
        <v>Localizacion</v>
      </c>
      <c r="M499" s="36">
        <f>+_xlfn.XLOOKUP(Tabla1[[#This Row],[Ducto]],nombres!D:D,nombres!E:E)/1000</f>
        <v>0.27500000000000002</v>
      </c>
      <c r="N499" s="261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O499" t="str">
        <f>_xlfn.IFNA(_xlfn.XLOOKUP(Tabla1[[#This Row],[fin]],$Q$379:$Q$398,$U$379:$U$398),"")</f>
        <v/>
      </c>
    </row>
    <row r="500" spans="1:15" x14ac:dyDescent="0.25">
      <c r="A500" s="354">
        <v>46204</v>
      </c>
      <c r="B500" s="114" t="s">
        <v>12</v>
      </c>
      <c r="C500" s="155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4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76" t="str">
        <f>+_xlfn.XLOOKUP(Tabla1[[#This Row],[Codigo_actividad]],Conceptos!A:A,Conceptos!H:H)</f>
        <v>P2.01</v>
      </c>
      <c r="L500" s="66" t="str">
        <f>IF(_xlfn.XLOOKUP($J500,Catalogo!$B$7:$B$210,Catalogo!$I$7:$I$210,"",0)=0,"",_xlfn.XLOOKUP($J500,Catalogo!$B$7:$B$210,Catalogo!$I$7:$I$210,"",0))</f>
        <v>CIPS</v>
      </c>
      <c r="M500" s="36">
        <f>+_xlfn.XLOOKUP(Tabla1[[#This Row],[Ducto]],'R (s03)'!B:B,'R (s03)'!C:C)</f>
        <v>0.46300000000000002</v>
      </c>
      <c r="N500" s="261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5" x14ac:dyDescent="0.25">
      <c r="A501" s="354">
        <v>46204</v>
      </c>
      <c r="B501" s="114" t="s">
        <v>12</v>
      </c>
      <c r="C501" s="155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4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76" t="str">
        <f>+_xlfn.XLOOKUP(Tabla1[[#This Row],[Codigo_actividad]],Conceptos!A:A,Conceptos!H:H)</f>
        <v>P2.01</v>
      </c>
      <c r="L501" s="66" t="str">
        <f>IF(_xlfn.XLOOKUP($J501,Catalogo!$B$7:$B$210,Catalogo!$I$7:$I$210,"",0)=0,"",_xlfn.XLOOKUP($J501,Catalogo!$B$7:$B$210,Catalogo!$I$7:$I$210,"",0))</f>
        <v>CIPS</v>
      </c>
      <c r="M501" s="36">
        <f>+_xlfn.XLOOKUP(Tabla1[[#This Row],[Ducto]],'R (s03)'!B:B,'R (s03)'!C:C)</f>
        <v>0.373</v>
      </c>
      <c r="N501" s="261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5" x14ac:dyDescent="0.25">
      <c r="A502" s="354">
        <v>46204</v>
      </c>
      <c r="B502" s="114" t="s">
        <v>12</v>
      </c>
      <c r="C502" s="155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76" t="str">
        <f>+_xlfn.XLOOKUP(Tabla1[[#This Row],[Codigo_actividad]],Conceptos!A:A,Conceptos!H:H)</f>
        <v>P2.01</v>
      </c>
      <c r="L502" s="66" t="str">
        <f>IF(_xlfn.XLOOKUP($J502,Catalogo!$B$7:$B$210,Catalogo!$I$7:$I$210,"",0)=0,"",_xlfn.XLOOKUP($J502,Catalogo!$B$7:$B$210,Catalogo!$I$7:$I$210,"",0))</f>
        <v>CIPS</v>
      </c>
      <c r="M502" s="36">
        <f>+_xlfn.XLOOKUP(Tabla1[[#This Row],[Ducto]],'R (s03)'!B:B,'R (s03)'!C:C)</f>
        <v>1.7999999999999999E-2</v>
      </c>
      <c r="N502" s="261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5" x14ac:dyDescent="0.25">
      <c r="A503" s="354">
        <v>46205</v>
      </c>
      <c r="B503" s="114" t="s">
        <v>12</v>
      </c>
      <c r="C503" s="155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4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76" t="str">
        <f>+_xlfn.XLOOKUP(Tabla1[[#This Row],[Codigo_actividad]],Conceptos!A:A,Conceptos!H:H)</f>
        <v>P2.06</v>
      </c>
      <c r="L503" s="66" t="str">
        <f>IF(_xlfn.XLOOKUP($J503,Catalogo!$B$7:$B$210,Catalogo!$I$7:$I$210,"",0)=0,"",_xlfn.XLOOKUP($J503,Catalogo!$B$7:$B$210,Catalogo!$I$7:$I$210,"",0))</f>
        <v>Localizacion</v>
      </c>
      <c r="M503" s="36">
        <f>+_xlfn.XLOOKUP(Tabla1[[#This Row],[Ducto]],nombres!D:D,nombres!E:E)/1000</f>
        <v>5.7880000000000003</v>
      </c>
      <c r="N503" s="261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5" x14ac:dyDescent="0.25">
      <c r="A504" s="354">
        <v>46205</v>
      </c>
      <c r="B504" s="114" t="s">
        <v>12</v>
      </c>
      <c r="C504" s="155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4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76" t="str">
        <f>+_xlfn.XLOOKUP(Tabla1[[#This Row],[Codigo_actividad]],Conceptos!A:A,Conceptos!H:H)</f>
        <v>P2.06</v>
      </c>
      <c r="L504" s="66" t="str">
        <f>IF(_xlfn.XLOOKUP($J504,Catalogo!$B$7:$B$210,Catalogo!$I$7:$I$210,"",0)=0,"",_xlfn.XLOOKUP($J504,Catalogo!$B$7:$B$210,Catalogo!$I$7:$I$210,"",0))</f>
        <v>Localizacion</v>
      </c>
      <c r="M504" s="36">
        <v>0.04</v>
      </c>
      <c r="N504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5" x14ac:dyDescent="0.25">
      <c r="A505" s="354">
        <v>46206</v>
      </c>
      <c r="B505" s="114" t="s">
        <v>12</v>
      </c>
      <c r="C505" s="155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4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76" t="str">
        <f>+_xlfn.XLOOKUP(Tabla1[[#This Row],[Codigo_actividad]],Conceptos!A:A,Conceptos!H:H)</f>
        <v>P2.06</v>
      </c>
      <c r="L505" s="66" t="str">
        <f>IF(_xlfn.XLOOKUP($J505,Catalogo!$B$7:$B$210,Catalogo!$I$7:$I$210,"",0)=0,"",_xlfn.XLOOKUP($J505,Catalogo!$B$7:$B$210,Catalogo!$I$7:$I$210,"",0))</f>
        <v>Localizacion</v>
      </c>
      <c r="M505" s="36">
        <f>+_xlfn.XLOOKUP(Tabla1[[#This Row],[Ducto]],nombres!D:D,nombres!E:E)/1000</f>
        <v>5.7880000000000003</v>
      </c>
      <c r="N505" s="261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5" x14ac:dyDescent="0.25">
      <c r="A506" s="354">
        <v>46206</v>
      </c>
      <c r="B506" s="114" t="s">
        <v>12</v>
      </c>
      <c r="C506" s="155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76" t="str">
        <f>+_xlfn.XLOOKUP(Tabla1[[#This Row],[Codigo_actividad]],Conceptos!A:A,Conceptos!H:H)</f>
        <v>P2.06</v>
      </c>
      <c r="L506" s="66" t="str">
        <f>IF(_xlfn.XLOOKUP($J506,Catalogo!$B$7:$B$210,Catalogo!$I$7:$I$210,"",0)=0,"",_xlfn.XLOOKUP($J506,Catalogo!$B$7:$B$210,Catalogo!$I$7:$I$210,"",0))</f>
        <v>Localizacion</v>
      </c>
      <c r="M506" s="36">
        <f>+_xlfn.XLOOKUP(Tabla1[[#This Row],[Ducto]],nombres!D:D,nombres!E:E)/1000</f>
        <v>2E-3</v>
      </c>
      <c r="N506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5" x14ac:dyDescent="0.25">
      <c r="A507" s="354">
        <v>46207</v>
      </c>
      <c r="B507" s="114" t="s">
        <v>12</v>
      </c>
      <c r="C507" s="155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4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76" t="str">
        <f>+_xlfn.XLOOKUP(Tabla1[[#This Row],[Codigo_actividad]],Conceptos!A:A,Conceptos!H:H)</f>
        <v>P2.06</v>
      </c>
      <c r="L507" s="66" t="str">
        <f>IF(_xlfn.XLOOKUP($J507,Catalogo!$B$7:$B$210,Catalogo!$I$7:$I$210,"",0)=0,"",_xlfn.XLOOKUP($J507,Catalogo!$B$7:$B$210,Catalogo!$I$7:$I$210,"",0))</f>
        <v>Localizacion</v>
      </c>
      <c r="M507" s="36">
        <f>+_xlfn.XLOOKUP(Tabla1[[#This Row],[Ducto]],nombres!D:D,nombres!E:E)/1000</f>
        <v>5.7880000000000003</v>
      </c>
      <c r="N507" s="261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5" x14ac:dyDescent="0.25">
      <c r="A508" s="354"/>
      <c r="C508" s="155"/>
      <c r="D508" s="39"/>
      <c r="F508" s="28"/>
      <c r="G508" s="28"/>
      <c r="H508" s="224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76">
        <f>+_xlfn.XLOOKUP(Tabla1[[#This Row],[Codigo_actividad]],Conceptos!A:A,Conceptos!H:H)</f>
        <v>0</v>
      </c>
      <c r="L508" s="66" t="str">
        <f>IF(_xlfn.XLOOKUP($J508,Catalogo!$B$7:$B$21,Catalogo!$I$7:$I$21,"",0)=0,"",_xlfn.XLOOKUP($J508,Catalogo!$B$7:$B$21,Catalogo!$I$7:$I$21,"",0))</f>
        <v/>
      </c>
      <c r="M508" s="36"/>
      <c r="N508" s="261">
        <f>IF(Tabla1[[#This Row],[Avance_km]]&lt;&gt;"",Tabla1[[#This Row],[Avance_km]],Tabla1[[#This Row],[Avance_Med]])*_xlfn.XLOOKUP(Tabla1[[#This Row],[Codigo_actividad]],Catalogo!$B$6:$B$51,Catalogo!$F$6:$F$51,0)</f>
        <v>0</v>
      </c>
      <c r="O508" t="str">
        <f>_xlfn.IFNA(_xlfn.XLOOKUP(Tabla1[[#This Row],[fin]],$Q$379:$Q$398,$U$379:$U$398),"")</f>
        <v/>
      </c>
    </row>
    <row r="509" spans="1:15" x14ac:dyDescent="0.25">
      <c r="A509" s="354"/>
      <c r="C509" s="155"/>
      <c r="D509" s="39"/>
      <c r="F509" s="28"/>
      <c r="G509" s="28"/>
      <c r="H509" s="224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76">
        <f>+_xlfn.XLOOKUP(Tabla1[[#This Row],[Codigo_actividad]],Conceptos!A:A,Conceptos!H:H)</f>
        <v>0</v>
      </c>
      <c r="L509" s="66" t="str">
        <f>IF(_xlfn.XLOOKUP($J509,Catalogo!$B$7:$B$21,Catalogo!$I$7:$I$21,"",0)=0,"",_xlfn.XLOOKUP($J509,Catalogo!$B$7:$B$21,Catalogo!$I$7:$I$21,"",0))</f>
        <v/>
      </c>
      <c r="M509" s="36"/>
      <c r="N509" s="261">
        <f>IF(Tabla1[[#This Row],[Avance_km]]&lt;&gt;"",Tabla1[[#This Row],[Avance_km]],Tabla1[[#This Row],[Avance_Med]])*_xlfn.XLOOKUP(Tabla1[[#This Row],[Codigo_actividad]],Catalogo!$B$6:$B$51,Catalogo!$F$6:$F$51,0)</f>
        <v>0</v>
      </c>
      <c r="O509" t="str">
        <f>_xlfn.IFNA(_xlfn.XLOOKUP(Tabla1[[#This Row],[fin]],$Q$379:$Q$398,$U$379:$U$398),"")</f>
        <v/>
      </c>
    </row>
    <row r="510" spans="1:15" x14ac:dyDescent="0.25">
      <c r="A510" s="354">
        <v>46209</v>
      </c>
      <c r="B510" s="114" t="s">
        <v>12</v>
      </c>
      <c r="C510" s="155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4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76" t="str">
        <f>+_xlfn.XLOOKUP(Tabla1[[#This Row],[Codigo_actividad]],Conceptos!A:A,Conceptos!H:H)</f>
        <v>P2.06</v>
      </c>
      <c r="L510" s="66" t="str">
        <f>IF(_xlfn.XLOOKUP($J510,Catalogo!$B$7:$B$210,Catalogo!$I$7:$I$210,"",0)=0,"",_xlfn.XLOOKUP($J510,Catalogo!$B$7:$B$210,Catalogo!$I$7:$I$210,"",0))</f>
        <v>Localizacion</v>
      </c>
      <c r="M510" s="36">
        <f>+_xlfn.XLOOKUP(Tabla1[[#This Row],[Ducto]],'R (s03)'!B:B,'R (s03)'!C:C)</f>
        <v>5.8719999999999999</v>
      </c>
      <c r="N510" s="261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5" x14ac:dyDescent="0.25">
      <c r="A511" s="354">
        <v>46210</v>
      </c>
      <c r="B511" s="114" t="s">
        <v>12</v>
      </c>
      <c r="C511" s="155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4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76" t="str">
        <f>+_xlfn.XLOOKUP(Tabla1[[#This Row],[Codigo_actividad]],Conceptos!A:A,Conceptos!H:H)</f>
        <v>P2.01</v>
      </c>
      <c r="L511" s="66" t="str">
        <f>IF(_xlfn.XLOOKUP($J511,Catalogo!$B$7:$B$210,Catalogo!$I$7:$I$210,"",0)=0,"",_xlfn.XLOOKUP($J511,Catalogo!$B$7:$B$210,Catalogo!$I$7:$I$210,"",0))</f>
        <v>CIPS</v>
      </c>
      <c r="M511" s="36">
        <f>+_xlfn.XLOOKUP(Tabla1[[#This Row],[Ducto]],'R (s03)'!B:B,'R (s03)'!C:C)</f>
        <v>1.3240000000000001</v>
      </c>
      <c r="N511" s="261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5" x14ac:dyDescent="0.25">
      <c r="A512" s="354">
        <v>46211</v>
      </c>
      <c r="B512" s="114" t="s">
        <v>12</v>
      </c>
      <c r="C512" s="155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76" t="str">
        <f>+_xlfn.XLOOKUP(Tabla1[[#This Row],[Codigo_actividad]],Conceptos!A:A,Conceptos!H:H)</f>
        <v>P2.01</v>
      </c>
      <c r="L512" s="66" t="str">
        <f>IF(_xlfn.XLOOKUP($J512,Catalogo!$B$7:$B$210,Catalogo!$I$7:$I$210,"",0)=0,"",_xlfn.XLOOKUP($J512,Catalogo!$B$7:$B$210,Catalogo!$I$7:$I$210,"",0))</f>
        <v>CIPS</v>
      </c>
      <c r="M512" s="36">
        <f>+_xlfn.XLOOKUP(Tabla1[[#This Row],[Ducto]],'R (s03)'!B:B,'R (s03)'!C:C)</f>
        <v>3.0000000000000001E-3</v>
      </c>
      <c r="N51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8" x14ac:dyDescent="0.25">
      <c r="A513" s="354">
        <v>46211</v>
      </c>
      <c r="B513" s="114" t="s">
        <v>12</v>
      </c>
      <c r="C513" s="155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4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76" t="str">
        <f>+_xlfn.XLOOKUP(Tabla1[[#This Row],[Codigo_actividad]],Conceptos!A:A,Conceptos!H:H)</f>
        <v>P2.01</v>
      </c>
      <c r="L513" s="66" t="str">
        <f>IF(_xlfn.XLOOKUP($J513,Catalogo!$B$7:$B$210,Catalogo!$I$7:$I$210,"",0)=0,"",_xlfn.XLOOKUP($J513,Catalogo!$B$7:$B$210,Catalogo!$I$7:$I$210,"",0))</f>
        <v>CIPS</v>
      </c>
      <c r="M513" s="36">
        <f>+_xlfn.XLOOKUP(Tabla1[[#This Row],[Ducto]],'R (s03)'!B:B,'R (s03)'!C:C)</f>
        <v>0.04</v>
      </c>
      <c r="N513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8" x14ac:dyDescent="0.25">
      <c r="A514" s="354">
        <v>46212</v>
      </c>
      <c r="B514" s="114" t="s">
        <v>12</v>
      </c>
      <c r="C514" s="155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76" t="str">
        <f>+_xlfn.XLOOKUP(Tabla1[[#This Row],[Codigo_actividad]],Conceptos!A:A,Conceptos!H:H)</f>
        <v>P2.01</v>
      </c>
      <c r="L514" s="66" t="str">
        <f>IF(_xlfn.XLOOKUP($J514,Catalogo!$B$7:$B$210,Catalogo!$I$7:$I$210,"",0)=0,"",_xlfn.XLOOKUP($J514,Catalogo!$B$7:$B$210,Catalogo!$I$7:$I$210,"",0))</f>
        <v>CIPS</v>
      </c>
      <c r="M514" s="36">
        <f>+_xlfn.XLOOKUP(Tabla1[[#This Row],[Ducto]],'R (s03)'!B:B,'R (s03)'!C:C)</f>
        <v>0.27800000000000002</v>
      </c>
      <c r="N514" s="261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O514" t="s">
        <v>511</v>
      </c>
    </row>
    <row r="515" spans="1:18" x14ac:dyDescent="0.25">
      <c r="A515" s="354">
        <v>46212</v>
      </c>
      <c r="B515" s="114" t="s">
        <v>12</v>
      </c>
      <c r="C515" s="155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76" t="str">
        <f>+_xlfn.XLOOKUP(Tabla1[[#This Row],[Codigo_actividad]],Conceptos!A:A,Conceptos!H:H)</f>
        <v>P2.01</v>
      </c>
      <c r="L515" s="66" t="str">
        <f>IF(_xlfn.XLOOKUP($J515,Catalogo!$B$7:$B$210,Catalogo!$I$7:$I$210,"",0)=0,"",_xlfn.XLOOKUP($J515,Catalogo!$B$7:$B$210,Catalogo!$I$7:$I$210,"",0))</f>
        <v>CIPS</v>
      </c>
      <c r="M515" s="36">
        <f>+_xlfn.XLOOKUP(Tabla1[[#This Row],[Ducto]],'R (s03)'!B:B,'R (s03)'!C:C)</f>
        <v>0.24299999999999999</v>
      </c>
      <c r="N515" s="261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O515" t="s">
        <v>512</v>
      </c>
    </row>
    <row r="516" spans="1:18" x14ac:dyDescent="0.25">
      <c r="A516" s="354">
        <v>46212</v>
      </c>
      <c r="B516" s="114" t="s">
        <v>12</v>
      </c>
      <c r="C516" s="155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4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76" t="str">
        <f>+_xlfn.XLOOKUP(Tabla1[[#This Row],[Codigo_actividad]],Conceptos!A:A,Conceptos!H:H)</f>
        <v>P2.01</v>
      </c>
      <c r="L516" s="66" t="str">
        <f>IF(_xlfn.XLOOKUP($J516,Catalogo!$B$7:$B$210,Catalogo!$I$7:$I$210,"",0)=0,"",_xlfn.XLOOKUP($J516,Catalogo!$B$7:$B$210,Catalogo!$I$7:$I$210,"",0))</f>
        <v>CIPS</v>
      </c>
      <c r="M516" s="36">
        <f>+_xlfn.XLOOKUP(Tabla1[[#This Row],[Ducto]],'R (s03)'!B:B,'R (s03)'!C:C)</f>
        <v>5.97</v>
      </c>
      <c r="N516" s="261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8" x14ac:dyDescent="0.25">
      <c r="A517" s="354">
        <v>46213</v>
      </c>
      <c r="B517" s="114" t="s">
        <v>12</v>
      </c>
      <c r="C517" s="155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4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76" t="str">
        <f>+_xlfn.XLOOKUP(Tabla1[[#This Row],[Codigo_actividad]],Conceptos!A:A,Conceptos!H:H)</f>
        <v>P2.01</v>
      </c>
      <c r="L517" s="66" t="str">
        <f>IF(_xlfn.XLOOKUP($J517,Catalogo!$B$7:$B$210,Catalogo!$I$7:$I$210,"",0)=0,"",_xlfn.XLOOKUP($J517,Catalogo!$B$7:$B$210,Catalogo!$I$7:$I$210,"",0))</f>
        <v>CIPS</v>
      </c>
      <c r="M517" s="36">
        <f>+_xlfn.XLOOKUP(Tabla1[[#This Row],[Ducto]],'R (s03)'!B:B,'R (s03)'!C:C)</f>
        <v>5.97</v>
      </c>
      <c r="N517" s="261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Q517" t="s">
        <v>225</v>
      </c>
    </row>
    <row r="518" spans="1:18" x14ac:dyDescent="0.25">
      <c r="A518" s="354">
        <v>46214</v>
      </c>
      <c r="B518" s="114" t="s">
        <v>12</v>
      </c>
      <c r="C518" s="155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4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76" t="str">
        <f>+_xlfn.XLOOKUP(Tabla1[[#This Row],[Codigo_actividad]],Conceptos!A:A,Conceptos!H:H)</f>
        <v>P2.01</v>
      </c>
      <c r="L518" s="66" t="str">
        <f>IF(_xlfn.XLOOKUP($J518,Catalogo!$B$7:$B$210,Catalogo!$I$7:$I$210,"",0)=0,"",_xlfn.XLOOKUP($J518,Catalogo!$B$7:$B$210,Catalogo!$I$7:$I$210,"",0))</f>
        <v>CIPS</v>
      </c>
      <c r="M518" s="36">
        <f>+_xlfn.XLOOKUP(Tabla1[[#This Row],[Ducto]],'R (s03)'!B:B,'R (s03)'!C:C)</f>
        <v>5.97</v>
      </c>
      <c r="N518" s="261">
        <f>IF(Tabla1[[#This Row],[Avance_km]]&lt;&gt;"",Tabla1[[#This Row],[Avance_km]],Tabla1[[#This Row],[Avance_Med]])*_xlfn.XLOOKUP(Tabla1[[#This Row],[Codigo_actividad]],Catalogo!$B$6:$B$51,Catalogo!$F$6:$F$51,0)</f>
        <v>3194.7102</v>
      </c>
      <c r="Q518" s="389">
        <v>0</v>
      </c>
      <c r="R518" s="389">
        <v>500</v>
      </c>
    </row>
    <row r="519" spans="1:18" x14ac:dyDescent="0.25">
      <c r="A519" s="354">
        <v>46214</v>
      </c>
      <c r="B519" s="114" t="s">
        <v>12</v>
      </c>
      <c r="C519" s="155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4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76" t="str">
        <f>+_xlfn.XLOOKUP(Tabla1[[#This Row],[Codigo_actividad]],Conceptos!A:A,Conceptos!H:H)</f>
        <v>P2.01</v>
      </c>
      <c r="L519" s="66" t="str">
        <f>IF(_xlfn.XLOOKUP($J519,Catalogo!$B$7:$B$210,Catalogo!$I$7:$I$210,"",0)=0,"",_xlfn.XLOOKUP($J519,Catalogo!$B$7:$B$210,Catalogo!$I$7:$I$210,"",0))</f>
        <v>CIPS</v>
      </c>
      <c r="M519" s="36">
        <f>+_xlfn.XLOOKUP(Tabla1[[#This Row],[Ducto]],'R (s03)'!B:B,'R (s03)'!C:C)</f>
        <v>5.97</v>
      </c>
      <c r="N519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Q519" s="389">
        <v>500</v>
      </c>
      <c r="R519" s="389">
        <v>2200</v>
      </c>
    </row>
    <row r="520" spans="1:18" x14ac:dyDescent="0.25">
      <c r="A520" s="354">
        <v>46215</v>
      </c>
      <c r="B520" s="114" t="s">
        <v>12</v>
      </c>
      <c r="C520" s="155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4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76" t="str">
        <f>+_xlfn.XLOOKUP(Tabla1[[#This Row],[Codigo_actividad]],Conceptos!A:A,Conceptos!H:H)</f>
        <v>P2.01</v>
      </c>
      <c r="L520" s="66" t="str">
        <f>IF(_xlfn.XLOOKUP($J520,Catalogo!$B$7:$B$210,Catalogo!$I$7:$I$210,"",0)=0,"",_xlfn.XLOOKUP($J520,Catalogo!$B$7:$B$210,Catalogo!$I$7:$I$210,"",0))</f>
        <v>CIPS</v>
      </c>
      <c r="M520" s="36">
        <f>+_xlfn.XLOOKUP(Tabla1[[#This Row],[Ducto]],'R (s03)'!B:B,'R (s03)'!C:C)</f>
        <v>5.97</v>
      </c>
      <c r="N520" s="261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Q520" s="389">
        <v>2200</v>
      </c>
      <c r="R520" s="389">
        <v>3400</v>
      </c>
    </row>
    <row r="521" spans="1:18" x14ac:dyDescent="0.25">
      <c r="A521" s="354"/>
      <c r="C521" s="155"/>
      <c r="D521" s="39"/>
      <c r="F521" s="28"/>
      <c r="G521" s="28"/>
      <c r="H521" s="224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76">
        <f>+_xlfn.XLOOKUP(Tabla1[[#This Row],[Codigo_actividad]],Conceptos!A:A,Conceptos!H:H)</f>
        <v>0</v>
      </c>
      <c r="L521" s="66" t="str">
        <f>IF(_xlfn.XLOOKUP($J521,Catalogo!$B$7:$B$21,Catalogo!$I$7:$I$21,"",0)=0,"",_xlfn.XLOOKUP($J521,Catalogo!$B$7:$B$21,Catalogo!$I$7:$I$21,"",0))</f>
        <v/>
      </c>
      <c r="M521" s="36"/>
      <c r="N521" s="261">
        <f>IF(Tabla1[[#This Row],[Avance_km]]&lt;&gt;"",Tabla1[[#This Row],[Avance_km]],Tabla1[[#This Row],[Avance_Med]])*_xlfn.XLOOKUP(Tabla1[[#This Row],[Codigo_actividad]],Catalogo!$B$6:$B$51,Catalogo!$F$6:$F$51,0)</f>
        <v>0</v>
      </c>
      <c r="O521" t="str">
        <f>_xlfn.IFNA(_xlfn.XLOOKUP(Tabla1[[#This Row],[fin]],$Q$379:$Q$398,$U$379:$U$398),"")</f>
        <v/>
      </c>
      <c r="Q521" s="389">
        <v>3400</v>
      </c>
      <c r="R521" s="389">
        <v>5750</v>
      </c>
    </row>
    <row r="522" spans="1:18" x14ac:dyDescent="0.25">
      <c r="A522" s="354">
        <v>46216</v>
      </c>
      <c r="B522" s="114" t="s">
        <v>12</v>
      </c>
      <c r="C522" s="155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4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76" t="str">
        <f>+_xlfn.XLOOKUP(Tabla1[[#This Row],[Codigo_actividad]],Conceptos!A:A,Conceptos!H:H)</f>
        <v>P2.01</v>
      </c>
      <c r="L522" s="66" t="str">
        <f>IF(_xlfn.XLOOKUP($J522,Catalogo!$B$7:$B$210,Catalogo!$I$7:$I$210,"",0)=0,"",_xlfn.XLOOKUP($J522,Catalogo!$B$7:$B$210,Catalogo!$I$7:$I$210,"",0))</f>
        <v>CIPS</v>
      </c>
      <c r="M522" s="36">
        <f>+_xlfn.XLOOKUP(Tabla1[[#This Row],[Ducto]],'R (s03)'!B:B,'R (s03)'!C:C)</f>
        <v>5.8719999999999999</v>
      </c>
      <c r="N522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8" x14ac:dyDescent="0.25">
      <c r="A523" s="354">
        <v>46217</v>
      </c>
      <c r="B523" s="114" t="s">
        <v>12</v>
      </c>
      <c r="C523" s="155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4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76" t="str">
        <f>+_xlfn.XLOOKUP(Tabla1[[#This Row],[Codigo_actividad]],Conceptos!A:A,Conceptos!H:H)</f>
        <v>P2.01</v>
      </c>
      <c r="L523" s="66" t="str">
        <f>IF(_xlfn.XLOOKUP($J523,Catalogo!$B$7:$B$210,Catalogo!$I$7:$I$210,"",0)=0,"",_xlfn.XLOOKUP($J523,Catalogo!$B$7:$B$210,Catalogo!$I$7:$I$210,"",0))</f>
        <v>CIPS</v>
      </c>
      <c r="M523" s="36">
        <f>+_xlfn.XLOOKUP(Tabla1[[#This Row],[Ducto]],'R (s03)'!B:B,'R (s03)'!C:C)</f>
        <v>5.8719999999999999</v>
      </c>
      <c r="N523" s="261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8" x14ac:dyDescent="0.25">
      <c r="A524" s="354">
        <v>46218</v>
      </c>
      <c r="B524" s="114" t="s">
        <v>12</v>
      </c>
      <c r="C524" s="155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4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76" t="str">
        <f>+_xlfn.XLOOKUP(Tabla1[[#This Row],[Codigo_actividad]],Conceptos!A:A,Conceptos!H:H)</f>
        <v>P2.01</v>
      </c>
      <c r="L524" s="66" t="str">
        <f>IF(_xlfn.XLOOKUP($J524,Catalogo!$B$7:$B$210,Catalogo!$I$7:$I$210,"",0)=0,"",_xlfn.XLOOKUP($J524,Catalogo!$B$7:$B$210,Catalogo!$I$7:$I$210,"",0))</f>
        <v>CIPS</v>
      </c>
      <c r="M524" s="36">
        <f>+_xlfn.XLOOKUP(Tabla1[[#This Row],[Ducto]],'R (s03)'!B:B,'R (s03)'!C:C)</f>
        <v>5.8719999999999999</v>
      </c>
      <c r="N524" s="261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8" x14ac:dyDescent="0.25">
      <c r="A525" s="354">
        <v>46219</v>
      </c>
      <c r="B525" s="114" t="s">
        <v>12</v>
      </c>
      <c r="C525" s="155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76" t="str">
        <f>+_xlfn.XLOOKUP(Tabla1[[#This Row],[Codigo_actividad]],Conceptos!A:A,Conceptos!H:H)</f>
        <v>P2.01</v>
      </c>
      <c r="L525" s="66" t="str">
        <f>IF(_xlfn.XLOOKUP($J525,Catalogo!$B$7:$B$210,Catalogo!$I$7:$I$210,"",0)=0,"",_xlfn.XLOOKUP($J525,Catalogo!$B$7:$B$210,Catalogo!$I$7:$I$210,"",0))</f>
        <v>CIPS</v>
      </c>
      <c r="M525" s="36">
        <f>+_xlfn.XLOOKUP(Tabla1[[#This Row],[Ducto]],'R (s03)'!B:B,'R (s03)'!C:C)</f>
        <v>4.4999999999999998E-2</v>
      </c>
      <c r="N525" s="261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8" x14ac:dyDescent="0.25">
      <c r="A526" s="354">
        <v>46219</v>
      </c>
      <c r="B526" s="114" t="s">
        <v>12</v>
      </c>
      <c r="C526" s="155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76" t="str">
        <f>+_xlfn.XLOOKUP(Tabla1[[#This Row],[Codigo_actividad]],Conceptos!A:A,Conceptos!H:H)</f>
        <v>P2.01</v>
      </c>
      <c r="L526" s="66" t="str">
        <f>IF(_xlfn.XLOOKUP($J526,Catalogo!$B$7:$B$210,Catalogo!$I$7:$I$210,"",0)=0,"",_xlfn.XLOOKUP($J526,Catalogo!$B$7:$B$210,Catalogo!$I$7:$I$210,"",0))</f>
        <v>CIPS</v>
      </c>
      <c r="M526" s="36">
        <f>+_xlfn.XLOOKUP(Tabla1[[#This Row],[Ducto]],'R (s03)'!B:B,'R (s03)'!C:C)</f>
        <v>4.1000000000000002E-2</v>
      </c>
      <c r="N526" s="261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8" x14ac:dyDescent="0.25">
      <c r="A527" s="354">
        <v>46219</v>
      </c>
      <c r="B527" s="114" t="s">
        <v>12</v>
      </c>
      <c r="C527" s="155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4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76" t="str">
        <f>+_xlfn.XLOOKUP(Tabla1[[#This Row],[Codigo_actividad]],Conceptos!A:A,Conceptos!H:H)</f>
        <v>P2.01</v>
      </c>
      <c r="L527" s="66" t="str">
        <f>IF(_xlfn.XLOOKUP($J527,Catalogo!$B$7:$B$210,Catalogo!$I$7:$I$210,"",0)=0,"",_xlfn.XLOOKUP($J527,Catalogo!$B$7:$B$210,Catalogo!$I$7:$I$210,"",0))</f>
        <v>CIPS</v>
      </c>
      <c r="M527" s="36">
        <f>+_xlfn.XLOOKUP(Tabla1[[#This Row],[Ducto]],'R (s03)'!B:B,'R (s03)'!C:C)</f>
        <v>6.2E-2</v>
      </c>
      <c r="N527" s="261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8" x14ac:dyDescent="0.25">
      <c r="A528" s="354">
        <v>46219</v>
      </c>
      <c r="B528" s="114" t="s">
        <v>12</v>
      </c>
      <c r="C528" s="155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76" t="str">
        <f>+_xlfn.XLOOKUP(Tabla1[[#This Row],[Codigo_actividad]],Conceptos!A:A,Conceptos!H:H)</f>
        <v>P2.06</v>
      </c>
      <c r="L528" s="66" t="str">
        <f>IF(_xlfn.XLOOKUP($J528,Catalogo!$B$7:$B$210,Catalogo!$I$7:$I$210,"",0)=0,"",_xlfn.XLOOKUP($J528,Catalogo!$B$7:$B$210,Catalogo!$I$7:$I$210,"",0))</f>
        <v>Localizacion</v>
      </c>
      <c r="M528" s="36">
        <f>+_xlfn.XLOOKUP(Tabla1[[#This Row],[Ducto]],'R (s03)'!B:B,'R (s03)'!C:C)</f>
        <v>4.4999999999999998E-2</v>
      </c>
      <c r="N528" s="261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4" x14ac:dyDescent="0.25">
      <c r="A529" s="354">
        <v>46219</v>
      </c>
      <c r="B529" s="114" t="s">
        <v>12</v>
      </c>
      <c r="C529" s="155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76" t="str">
        <f>+_xlfn.XLOOKUP(Tabla1[[#This Row],[Codigo_actividad]],Conceptos!A:A,Conceptos!H:H)</f>
        <v>P2.06</v>
      </c>
      <c r="L529" s="66" t="str">
        <f>IF(_xlfn.XLOOKUP($J529,Catalogo!$B$7:$B$210,Catalogo!$I$7:$I$210,"",0)=0,"",_xlfn.XLOOKUP($J529,Catalogo!$B$7:$B$210,Catalogo!$I$7:$I$210,"",0))</f>
        <v>Localizacion</v>
      </c>
      <c r="M529" s="36">
        <f>+_xlfn.XLOOKUP(Tabla1[[#This Row],[Ducto]],'R (s03)'!B:B,'R (s03)'!C:C)</f>
        <v>4.1000000000000002E-2</v>
      </c>
      <c r="N529" s="261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4" x14ac:dyDescent="0.25">
      <c r="A530" s="354">
        <v>46219</v>
      </c>
      <c r="B530" s="114" t="s">
        <v>12</v>
      </c>
      <c r="C530" s="155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4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76" t="str">
        <f>+_xlfn.XLOOKUP(Tabla1[[#This Row],[Codigo_actividad]],Conceptos!A:A,Conceptos!H:H)</f>
        <v>P2.06</v>
      </c>
      <c r="L530" s="66" t="str">
        <f>IF(_xlfn.XLOOKUP($J530,Catalogo!$B$7:$B$210,Catalogo!$I$7:$I$210,"",0)=0,"",_xlfn.XLOOKUP($J530,Catalogo!$B$7:$B$210,Catalogo!$I$7:$I$210,"",0))</f>
        <v>Localizacion</v>
      </c>
      <c r="M530" s="36">
        <f>+_xlfn.XLOOKUP(Tabla1[[#This Row],[Ducto]],'R (s03)'!B:B,'R (s03)'!C:C)</f>
        <v>6.2E-2</v>
      </c>
      <c r="N530" s="261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4" x14ac:dyDescent="0.25">
      <c r="A531" s="354">
        <v>46220</v>
      </c>
      <c r="B531" s="114" t="s">
        <v>12</v>
      </c>
      <c r="C531" s="155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76" t="str">
        <f>+_xlfn.XLOOKUP(Tabla1[[#This Row],[Codigo_actividad]],Conceptos!A:A,Conceptos!H:H)</f>
        <v>P2.01</v>
      </c>
      <c r="L531" s="66" t="str">
        <f>IF(_xlfn.XLOOKUP($J531,Catalogo!$B$7:$B$210,Catalogo!$I$7:$I$210,"",0)=0,"",_xlfn.XLOOKUP($J531,Catalogo!$B$7:$B$210,Catalogo!$I$7:$I$210,"",0))</f>
        <v>CIPS</v>
      </c>
      <c r="M531" s="36">
        <f>+_xlfn.XLOOKUP(Tabla1[[#This Row],[Ducto]],'R (s03)'!B:B,'R (s03)'!C:C)</f>
        <v>5.1999999999999998E-2</v>
      </c>
      <c r="N531" s="261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4" x14ac:dyDescent="0.25">
      <c r="A532" s="354">
        <v>46220</v>
      </c>
      <c r="B532" s="114" t="s">
        <v>12</v>
      </c>
      <c r="C532" s="155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76" t="str">
        <f>+_xlfn.XLOOKUP(Tabla1[[#This Row],[Codigo_actividad]],Conceptos!A:A,Conceptos!H:H)</f>
        <v>P2.01</v>
      </c>
      <c r="L532" s="66" t="str">
        <f>IF(_xlfn.XLOOKUP($J532,Catalogo!$B$7:$B$210,Catalogo!$I$7:$I$210,"",0)=0,"",_xlfn.XLOOKUP($J532,Catalogo!$B$7:$B$210,Catalogo!$I$7:$I$210,"",0))</f>
        <v>CIPS</v>
      </c>
      <c r="M532" s="36">
        <f>+_xlfn.XLOOKUP(Tabla1[[#This Row],[Ducto]],'R (s03)'!B:B,'R (s03)'!C:C)</f>
        <v>2.1000000000000001E-2</v>
      </c>
      <c r="N532" s="261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4" x14ac:dyDescent="0.25">
      <c r="A533" s="354">
        <v>46220</v>
      </c>
      <c r="B533" s="114" t="s">
        <v>12</v>
      </c>
      <c r="C533" s="155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76" t="str">
        <f>+_xlfn.XLOOKUP(Tabla1[[#This Row],[Codigo_actividad]],Conceptos!A:A,Conceptos!H:H)</f>
        <v>P2.06</v>
      </c>
      <c r="L533" s="66" t="str">
        <f>IF(_xlfn.XLOOKUP($J533,Catalogo!$B$7:$B$210,Catalogo!$I$7:$I$210,"",0)=0,"",_xlfn.XLOOKUP($J533,Catalogo!$B$7:$B$210,Catalogo!$I$7:$I$210,"",0))</f>
        <v>Localizacion</v>
      </c>
      <c r="M533" s="36">
        <f>+_xlfn.XLOOKUP(Tabla1[[#This Row],[Ducto]],'R (s03)'!B:B,'R (s03)'!C:C)</f>
        <v>2.1000000000000001E-2</v>
      </c>
      <c r="N533" s="261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4" x14ac:dyDescent="0.25">
      <c r="A534" s="354">
        <v>46220</v>
      </c>
      <c r="B534" s="114" t="s">
        <v>12</v>
      </c>
      <c r="C534" s="155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76" t="str">
        <f>+_xlfn.XLOOKUP(Tabla1[[#This Row],[Codigo_actividad]],Conceptos!A:A,Conceptos!H:H)</f>
        <v>P2.06</v>
      </c>
      <c r="L534" s="66" t="str">
        <f>IF(_xlfn.XLOOKUP($J534,Catalogo!$B$7:$B$210,Catalogo!$I$7:$I$210,"",0)=0,"",_xlfn.XLOOKUP($J534,Catalogo!$B$7:$B$210,Catalogo!$I$7:$I$210,"",0))</f>
        <v>Localizacion</v>
      </c>
      <c r="M534" s="36">
        <f>+_xlfn.XLOOKUP(Tabla1[[#This Row],[Ducto]],'R (s03)'!B:B,'R (s03)'!C:C)</f>
        <v>5.1999999999999998E-2</v>
      </c>
      <c r="N534" s="261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4" x14ac:dyDescent="0.25">
      <c r="A535" s="354">
        <v>46220</v>
      </c>
      <c r="B535" s="114" t="s">
        <v>12</v>
      </c>
      <c r="C535" s="155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4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76" t="str">
        <f>+_xlfn.XLOOKUP(Tabla1[[#This Row],[Codigo_actividad]],Conceptos!A:A,Conceptos!H:H)</f>
        <v>P2.06</v>
      </c>
      <c r="L535" s="66" t="str">
        <f>IF(_xlfn.XLOOKUP($J535,Catalogo!$B$7:$B$210,Catalogo!$I$7:$I$210,"",0)=0,"",_xlfn.XLOOKUP($J535,Catalogo!$B$7:$B$210,Catalogo!$I$7:$I$210,"",0))</f>
        <v>Localizacion</v>
      </c>
      <c r="M535" s="36">
        <f>+_xlfn.XLOOKUP(Tabla1[[#This Row],[Ducto]],'R (s04)'!B:B,'R (s04)'!C:C)</f>
        <v>0.16</v>
      </c>
      <c r="N535" s="261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4" x14ac:dyDescent="0.25">
      <c r="A536" s="354">
        <v>46220</v>
      </c>
      <c r="B536" s="114" t="s">
        <v>12</v>
      </c>
      <c r="C536" s="155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4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76" t="str">
        <f>+_xlfn.XLOOKUP(Tabla1[[#This Row],[Codigo_actividad]],Conceptos!A:A,Conceptos!H:H)</f>
        <v>P2.01</v>
      </c>
      <c r="L536" s="66" t="str">
        <f>IF(_xlfn.XLOOKUP($J536,Catalogo!$B$7:$B$210,Catalogo!$I$7:$I$210,"",0)=0,"",_xlfn.XLOOKUP($J536,Catalogo!$B$7:$B$210,Catalogo!$I$7:$I$210,"",0))</f>
        <v>CIPS</v>
      </c>
      <c r="M536" s="36">
        <f>+_xlfn.XLOOKUP(Tabla1[[#This Row],[Ducto]],'R (s04)'!B:B,'R (s04)'!C:C)</f>
        <v>0.16</v>
      </c>
      <c r="N536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4" x14ac:dyDescent="0.25">
      <c r="A537" s="354">
        <v>46220</v>
      </c>
      <c r="B537" s="114" t="s">
        <v>12</v>
      </c>
      <c r="C537" s="155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76" t="str">
        <f>+_xlfn.XLOOKUP(Tabla1[[#This Row],[Codigo_actividad]],Conceptos!A:A,Conceptos!H:H)</f>
        <v>P2.06</v>
      </c>
      <c r="L537" s="66" t="str">
        <f>IF(_xlfn.XLOOKUP($J537,Catalogo!$B$7:$B$210,Catalogo!$I$7:$I$210,"",0)=0,"",_xlfn.XLOOKUP($J537,Catalogo!$B$7:$B$210,Catalogo!$I$7:$I$210,"",0))</f>
        <v>Localizacion</v>
      </c>
      <c r="M537" s="36">
        <f>+_xlfn.XLOOKUP(Tabla1[[#This Row],[Ducto]],'R (s04)'!B:B,'R (s04)'!C:C)</f>
        <v>7.0000000000000001E-3</v>
      </c>
      <c r="N537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4" x14ac:dyDescent="0.25">
      <c r="A538" s="354">
        <v>46220</v>
      </c>
      <c r="B538" s="114" t="s">
        <v>12</v>
      </c>
      <c r="C538" s="155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76" t="str">
        <f>+_xlfn.XLOOKUP(Tabla1[[#This Row],[Codigo_actividad]],Conceptos!A:A,Conceptos!H:H)</f>
        <v>P2.01</v>
      </c>
      <c r="L538" s="66" t="str">
        <f>IF(_xlfn.XLOOKUP($J538,Catalogo!$B$7:$B$210,Catalogo!$I$7:$I$210,"",0)=0,"",_xlfn.XLOOKUP($J538,Catalogo!$B$7:$B$210,Catalogo!$I$7:$I$210,"",0))</f>
        <v>CIPS</v>
      </c>
      <c r="M538" s="36">
        <f>+_xlfn.XLOOKUP(Tabla1[[#This Row],[Ducto]],'R (s04)'!B:B,'R (s04)'!C:C)</f>
        <v>7.0000000000000001E-3</v>
      </c>
      <c r="N538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4" x14ac:dyDescent="0.25">
      <c r="A539" s="354">
        <v>46221</v>
      </c>
      <c r="B539" s="114" t="s">
        <v>12</v>
      </c>
      <c r="C539" s="155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4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76" t="str">
        <f>+_xlfn.XLOOKUP(Tabla1[[#This Row],[Codigo_actividad]],Conceptos!A:A,Conceptos!H:H)</f>
        <v>P2.01</v>
      </c>
      <c r="L539" s="66" t="str">
        <f>IF(_xlfn.XLOOKUP($J539,Catalogo!$B$7:$B$210,Catalogo!$I$7:$I$210,"",0)=0,"",_xlfn.XLOOKUP($J539,Catalogo!$B$7:$B$210,Catalogo!$I$7:$I$210,"",0))</f>
        <v>CIPS</v>
      </c>
      <c r="M539" s="36">
        <f>+_xlfn.XLOOKUP(Tabla1[[#This Row],[Ducto]],'R (s03)'!B:B,'R (s03)'!C:C)</f>
        <v>5.8719999999999999</v>
      </c>
      <c r="N539" s="261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4" x14ac:dyDescent="0.25">
      <c r="A540" s="354"/>
      <c r="B540" s="114"/>
      <c r="C540" s="155"/>
      <c r="D540" s="39"/>
      <c r="F540" s="28"/>
      <c r="G540" s="28"/>
      <c r="H540" s="224"/>
      <c r="I540" s="66"/>
      <c r="J540" s="76"/>
      <c r="K540" s="76">
        <f>+_xlfn.XLOOKUP(Tabla1[[#This Row],[Codigo_actividad]],Conceptos!A:A,Conceptos!H:H)</f>
        <v>0</v>
      </c>
      <c r="M540" s="36"/>
      <c r="N54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4" x14ac:dyDescent="0.25">
      <c r="A541" s="354">
        <v>46223</v>
      </c>
      <c r="B541" s="114" t="s">
        <v>12</v>
      </c>
      <c r="C541" s="155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4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76" t="str">
        <f>+_xlfn.XLOOKUP(Tabla1[[#This Row],[Codigo_actividad]],Conceptos!A:A,Conceptos!H:H)</f>
        <v>P2.06</v>
      </c>
      <c r="L541" s="66" t="str">
        <f>IF(_xlfn.XLOOKUP($J541,Catalogo!$B$7:$B$210,Catalogo!$I$7:$I$210,"",0)=0,"",_xlfn.XLOOKUP($J541,Catalogo!$B$7:$B$210,Catalogo!$I$7:$I$210,"",0))</f>
        <v>Localizacion</v>
      </c>
      <c r="M541" s="36">
        <f>+_xlfn.XLOOKUP(Tabla1[[#This Row],[Ducto]],'R (s04)'!B:B,'R (s04)'!C:C)</f>
        <v>2.077</v>
      </c>
      <c r="N541" s="261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4" x14ac:dyDescent="0.25">
      <c r="A542" s="354">
        <v>46225</v>
      </c>
      <c r="B542" s="114" t="s">
        <v>12</v>
      </c>
      <c r="C542" s="155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4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76" t="str">
        <f>+_xlfn.XLOOKUP(Tabla1[[#This Row],[Codigo_actividad]],Conceptos!A:A,Conceptos!H:H)</f>
        <v>P2.03</v>
      </c>
      <c r="L542" s="66" t="str">
        <f>IF(_xlfn.XLOOKUP($J542,Catalogo!$B$7:$B$210,Catalogo!$I$7:$I$210,"",0)=0,"",_xlfn.XLOOKUP($J542,Catalogo!$B$7:$B$210,Catalogo!$I$7:$I$210,"",0))</f>
        <v>DCVG</v>
      </c>
      <c r="M542" s="36">
        <f>+_xlfn.XLOOKUP(Tabla1[[#This Row],[Ducto]],'R (s03)'!B:B,'R (s03)'!C:C)</f>
        <v>0.373</v>
      </c>
      <c r="N542" s="261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4" x14ac:dyDescent="0.25">
      <c r="A543" s="354">
        <v>46225</v>
      </c>
      <c r="B543" s="114" t="s">
        <v>12</v>
      </c>
      <c r="C543" s="155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4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76" t="str">
        <f>+_xlfn.XLOOKUP(Tabla1[[#This Row],[Codigo_actividad]],Conceptos!A:A,Conceptos!H:H)</f>
        <v>P2.03</v>
      </c>
      <c r="L543" s="66" t="str">
        <f>IF(_xlfn.XLOOKUP($J543,Catalogo!$B$7:$B$210,Catalogo!$I$7:$I$210,"",0)=0,"",_xlfn.XLOOKUP($J543,Catalogo!$B$7:$B$210,Catalogo!$I$7:$I$210,"",0))</f>
        <v>DCVG</v>
      </c>
      <c r="M543" s="36">
        <f>+_xlfn.XLOOKUP(Tabla1[[#This Row],[Ducto]],'R (s03)'!B:B,'R (s03)'!C:C)</f>
        <v>0.12</v>
      </c>
      <c r="N543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4" x14ac:dyDescent="0.25">
      <c r="A544" s="354">
        <v>46225</v>
      </c>
      <c r="B544" s="114" t="s">
        <v>12</v>
      </c>
      <c r="C544" s="155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76" t="str">
        <f>+_xlfn.XLOOKUP(Tabla1[[#This Row],[Codigo_actividad]],Conceptos!A:A,Conceptos!H:H)</f>
        <v>P2.03</v>
      </c>
      <c r="L544" s="66" t="str">
        <f>IF(_xlfn.XLOOKUP($J544,Catalogo!$B$7:$B$210,Catalogo!$I$7:$I$210,"",0)=0,"",_xlfn.XLOOKUP($J544,Catalogo!$B$7:$B$210,Catalogo!$I$7:$I$210,"",0))</f>
        <v>DCVG</v>
      </c>
      <c r="M544" s="36">
        <f>+_xlfn.XLOOKUP(Tabla1[[#This Row],[Ducto]],'R (s03)'!B:B,'R (s03)'!C:C)</f>
        <v>1.2999999999999999E-2</v>
      </c>
      <c r="N54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5" x14ac:dyDescent="0.25">
      <c r="A545" s="354">
        <v>46226</v>
      </c>
      <c r="B545" s="114" t="s">
        <v>12</v>
      </c>
      <c r="C545" s="155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76" t="str">
        <f>+_xlfn.XLOOKUP(Tabla1[[#This Row],[Codigo_actividad]],Conceptos!A:A,Conceptos!H:H)</f>
        <v>P2.03</v>
      </c>
      <c r="L545" s="66" t="str">
        <f>IF(_xlfn.XLOOKUP($J545,Catalogo!$B$7:$B$210,Catalogo!$I$7:$I$210,"",0)=0,"",_xlfn.XLOOKUP($J545,Catalogo!$B$7:$B$210,Catalogo!$I$7:$I$210,"",0))</f>
        <v>DCVG</v>
      </c>
      <c r="M545" s="36">
        <f>+_xlfn.XLOOKUP(Tabla1[[#This Row],[Ducto]],'R (s03)'!B:B,'R (s03)'!C:C)</f>
        <v>2.1999999999999999E-2</v>
      </c>
      <c r="N545" s="261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5" x14ac:dyDescent="0.25">
      <c r="A546" s="354">
        <v>46226</v>
      </c>
      <c r="B546" s="114" t="s">
        <v>12</v>
      </c>
      <c r="C546" s="155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76" t="str">
        <f>+_xlfn.XLOOKUP(Tabla1[[#This Row],[Codigo_actividad]],Conceptos!A:A,Conceptos!H:H)</f>
        <v>P2.03</v>
      </c>
      <c r="L546" s="66" t="str">
        <f>IF(_xlfn.XLOOKUP($J546,Catalogo!$B$7:$B$210,Catalogo!$I$7:$I$210,"",0)=0,"",_xlfn.XLOOKUP($J546,Catalogo!$B$7:$B$210,Catalogo!$I$7:$I$210,"",0))</f>
        <v>DCVG</v>
      </c>
      <c r="M546" s="36">
        <f>+_xlfn.XLOOKUP(Tabla1[[#This Row],[Ducto]],'R (s03)'!B:B,'R (s03)'!C:C)</f>
        <v>1.0999999999999999E-2</v>
      </c>
      <c r="N54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5" x14ac:dyDescent="0.25">
      <c r="A547" s="354">
        <v>46226</v>
      </c>
      <c r="B547" s="114" t="s">
        <v>12</v>
      </c>
      <c r="C547" s="155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76" t="str">
        <f>+_xlfn.XLOOKUP(Tabla1[[#This Row],[Codigo_actividad]],Conceptos!A:A,Conceptos!H:H)</f>
        <v>P2.03</v>
      </c>
      <c r="L547" s="66" t="str">
        <f>IF(_xlfn.XLOOKUP($J547,Catalogo!$B$7:$B$210,Catalogo!$I$7:$I$210,"",0)=0,"",_xlfn.XLOOKUP($J547,Catalogo!$B$7:$B$210,Catalogo!$I$7:$I$210,"",0))</f>
        <v>DCVG</v>
      </c>
      <c r="M547" s="36">
        <f>+_xlfn.XLOOKUP(Tabla1[[#This Row],[Ducto]],'R (s03)'!B:B,'R (s03)'!C:C)</f>
        <v>6.0000000000000001E-3</v>
      </c>
      <c r="N547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5" x14ac:dyDescent="0.25">
      <c r="A548" s="354">
        <v>46226</v>
      </c>
      <c r="B548" s="114" t="s">
        <v>12</v>
      </c>
      <c r="C548" s="155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76" t="str">
        <f>+_xlfn.XLOOKUP(Tabla1[[#This Row],[Codigo_actividad]],Conceptos!A:A,Conceptos!H:H)</f>
        <v>P2.03</v>
      </c>
      <c r="L548" s="66" t="str">
        <f>IF(_xlfn.XLOOKUP($J548,Catalogo!$B$7:$B$210,Catalogo!$I$7:$I$210,"",0)=0,"",_xlfn.XLOOKUP($J548,Catalogo!$B$7:$B$210,Catalogo!$I$7:$I$210,"",0))</f>
        <v>DCVG</v>
      </c>
      <c r="M548" s="36">
        <f>+_xlfn.XLOOKUP(Tabla1[[#This Row],[Ducto]],'R (s03)'!B:B,'R (s03)'!C:C)</f>
        <v>1.7999999999999999E-2</v>
      </c>
      <c r="N548" s="261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5" x14ac:dyDescent="0.25">
      <c r="A549" s="354">
        <v>46226</v>
      </c>
      <c r="B549" s="114" t="s">
        <v>12</v>
      </c>
      <c r="C549" s="155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4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76" t="str">
        <f>+_xlfn.XLOOKUP(Tabla1[[#This Row],[Codigo_actividad]],Conceptos!A:A,Conceptos!H:H)</f>
        <v>P2.03</v>
      </c>
      <c r="L549" s="66" t="str">
        <f>IF(_xlfn.XLOOKUP($J549,Catalogo!$B$7:$B$210,Catalogo!$I$7:$I$210,"",0)=0,"",_xlfn.XLOOKUP($J549,Catalogo!$B$7:$B$210,Catalogo!$I$7:$I$210,"",0))</f>
        <v>DCVG</v>
      </c>
      <c r="M549" s="36">
        <f>+_xlfn.XLOOKUP(Tabla1[[#This Row],[Ducto]],'R (s03)'!B:B,'R (s03)'!C:C)</f>
        <v>1.4E-2</v>
      </c>
      <c r="N549" s="261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5" x14ac:dyDescent="0.25">
      <c r="A550" s="354">
        <v>46226</v>
      </c>
      <c r="B550" s="114" t="s">
        <v>12</v>
      </c>
      <c r="C550" s="155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76" t="str">
        <f>+_xlfn.XLOOKUP(Tabla1[[#This Row],[Codigo_actividad]],Conceptos!A:A,Conceptos!H:H)</f>
        <v>P2.03</v>
      </c>
      <c r="L550" s="66" t="str">
        <f>IF(_xlfn.XLOOKUP($J550,Catalogo!$B$7:$B$210,Catalogo!$I$7:$I$210,"",0)=0,"",_xlfn.XLOOKUP($J550,Catalogo!$B$7:$B$210,Catalogo!$I$7:$I$210,"",0))</f>
        <v>DCVG</v>
      </c>
      <c r="M550" s="36">
        <f>+_xlfn.XLOOKUP(Tabla1[[#This Row],[Ducto]],'R (s03)'!B:B,'R (s03)'!C:C)</f>
        <v>8.0000000000000002E-3</v>
      </c>
      <c r="N550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5" x14ac:dyDescent="0.25">
      <c r="A551" s="354">
        <v>46226</v>
      </c>
      <c r="B551" s="114" t="s">
        <v>12</v>
      </c>
      <c r="C551" s="155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4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76" t="str">
        <f>+_xlfn.XLOOKUP(Tabla1[[#This Row],[Codigo_actividad]],Conceptos!A:A,Conceptos!H:H)</f>
        <v>P2.03</v>
      </c>
      <c r="L551" s="66" t="str">
        <f>IF(_xlfn.XLOOKUP($J551,Catalogo!$B$7:$B$210,Catalogo!$I$7:$I$210,"",0)=0,"",_xlfn.XLOOKUP($J551,Catalogo!$B$7:$B$210,Catalogo!$I$7:$I$210,"",0))</f>
        <v>DCVG</v>
      </c>
      <c r="M551" s="36">
        <f>+_xlfn.XLOOKUP(Tabla1[[#This Row],[Ducto]],'R (s03)'!B:B,'R (s03)'!C:C)</f>
        <v>1.2E-2</v>
      </c>
      <c r="N551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5" x14ac:dyDescent="0.25">
      <c r="A552" s="354">
        <v>46227</v>
      </c>
      <c r="B552" s="114" t="s">
        <v>12</v>
      </c>
      <c r="C552" s="155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4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76" t="str">
        <f>+_xlfn.XLOOKUP(Tabla1[[#This Row],[Codigo_actividad]],Conceptos!A:A,Conceptos!H:H)</f>
        <v>P2.03</v>
      </c>
      <c r="L552" s="66" t="str">
        <f>IF(_xlfn.XLOOKUP($J552,Catalogo!$B$7:$B$210,Catalogo!$I$7:$I$210,"",0)=0,"",_xlfn.XLOOKUP($J552,Catalogo!$B$7:$B$210,Catalogo!$I$7:$I$210,"",0))</f>
        <v>DCVG</v>
      </c>
      <c r="M552" s="36">
        <f>+_xlfn.XLOOKUP(Tabla1[[#This Row],[Ducto]],'R (s03)'!B:B,'R (s03)'!C:C)</f>
        <v>0.314</v>
      </c>
      <c r="N552" s="261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5" x14ac:dyDescent="0.25">
      <c r="A553" s="354">
        <v>46227</v>
      </c>
      <c r="B553" s="114" t="s">
        <v>12</v>
      </c>
      <c r="C553" s="155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76" t="str">
        <f>+_xlfn.XLOOKUP(Tabla1[[#This Row],[Codigo_actividad]],Conceptos!A:A,Conceptos!H:H)</f>
        <v>P2.03</v>
      </c>
      <c r="L553" s="66" t="str">
        <f>IF(_xlfn.XLOOKUP($J553,Catalogo!$B$7:$B$210,Catalogo!$I$7:$I$210,"",0)=0,"",_xlfn.XLOOKUP($J553,Catalogo!$B$7:$B$210,Catalogo!$I$7:$I$210,"",0))</f>
        <v>DCVG</v>
      </c>
      <c r="M553" s="36">
        <f>+_xlfn.XLOOKUP(Tabla1[[#This Row],[Ducto]],'R (s03)'!B:B,'R (s03)'!C:C)</f>
        <v>1.2999999999999999E-2</v>
      </c>
      <c r="N553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5" x14ac:dyDescent="0.25">
      <c r="A554" s="354">
        <v>46227</v>
      </c>
      <c r="B554" s="114" t="s">
        <v>12</v>
      </c>
      <c r="C554" s="155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4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76" t="str">
        <f>+_xlfn.XLOOKUP(Tabla1[[#This Row],[Codigo_actividad]],Conceptos!A:A,Conceptos!H:H)</f>
        <v>P2.03</v>
      </c>
      <c r="L554" s="66" t="str">
        <f>IF(_xlfn.XLOOKUP($J554,Catalogo!$B$7:$B$210,Catalogo!$I$7:$I$210,"",0)=0,"",_xlfn.XLOOKUP($J554,Catalogo!$B$7:$B$210,Catalogo!$I$7:$I$210,"",0))</f>
        <v>DCVG</v>
      </c>
      <c r="M554" s="36">
        <f>+_xlfn.XLOOKUP(Tabla1[[#This Row],[Ducto]],'R (s03)'!B:B,'R (s03)'!C:C)</f>
        <v>0.46300000000000002</v>
      </c>
      <c r="N554" s="261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5" x14ac:dyDescent="0.25">
      <c r="A555" s="354">
        <v>46227</v>
      </c>
      <c r="B555" s="114" t="s">
        <v>12</v>
      </c>
      <c r="C555" s="155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4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76" t="str">
        <f>+_xlfn.XLOOKUP(Tabla1[[#This Row],[Codigo_actividad]],Conceptos!A:A,Conceptos!H:H)</f>
        <v>P2.03</v>
      </c>
      <c r="L555" s="66" t="str">
        <f>IF(_xlfn.XLOOKUP($J555,Catalogo!$B$7:$B$210,Catalogo!$I$7:$I$210,"",0)=0,"",_xlfn.XLOOKUP($J555,Catalogo!$B$7:$B$210,Catalogo!$I$7:$I$210,"",0))</f>
        <v>DCVG</v>
      </c>
      <c r="M555" s="36">
        <f>+_xlfn.XLOOKUP(Tabla1[[#This Row],[Ducto]],'R (s03)'!B:B,'R (s03)'!C:C)</f>
        <v>0.85</v>
      </c>
      <c r="N555" s="261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5" x14ac:dyDescent="0.25">
      <c r="A556" s="354">
        <v>46228</v>
      </c>
      <c r="B556" s="114" t="s">
        <v>12</v>
      </c>
      <c r="C556" s="155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4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76" t="str">
        <f>+_xlfn.XLOOKUP(Tabla1[[#This Row],[Codigo_actividad]],Conceptos!A:A,Conceptos!H:H)</f>
        <v>P2.01</v>
      </c>
      <c r="L556" s="66" t="str">
        <f>IF(_xlfn.XLOOKUP($J556,Catalogo!$B$7:$B$210,Catalogo!$I$7:$I$210,"",0)=0,"",_xlfn.XLOOKUP($J556,Catalogo!$B$7:$B$210,Catalogo!$I$7:$I$210,"",0))</f>
        <v>CIPS</v>
      </c>
      <c r="M556" s="36">
        <f>+_xlfn.XLOOKUP(Tabla1[[#This Row],[Ducto]],'R (s04)'!B:B,'R (s04)'!C:C)</f>
        <v>2.077</v>
      </c>
      <c r="N556" s="261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5" x14ac:dyDescent="0.25">
      <c r="A557" s="354"/>
      <c r="C557" s="155"/>
      <c r="D557" s="39"/>
      <c r="F557" s="28"/>
      <c r="G557" s="28"/>
      <c r="H557" s="224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76">
        <f>+_xlfn.XLOOKUP(Tabla1[[#This Row],[Codigo_actividad]],Conceptos!A:A,Conceptos!H:H)</f>
        <v>0</v>
      </c>
      <c r="L557" s="66" t="str">
        <f>IF(_xlfn.XLOOKUP($J557,Catalogo!$B$7:$B$21,Catalogo!$I$7:$I$21,"",0)=0,"",_xlfn.XLOOKUP($J557,Catalogo!$B$7:$B$21,Catalogo!$I$7:$I$21,"",0))</f>
        <v/>
      </c>
      <c r="M557" s="36"/>
      <c r="N557" s="261">
        <f>IF(Tabla1[[#This Row],[Avance_km]]&lt;&gt;"",Tabla1[[#This Row],[Avance_km]],Tabla1[[#This Row],[Avance_Med]])*_xlfn.XLOOKUP(Tabla1[[#This Row],[Codigo_actividad]],Catalogo!$B$6:$B$51,Catalogo!$F$6:$F$51,0)</f>
        <v>0</v>
      </c>
      <c r="O557" t="str">
        <f>_xlfn.IFNA(_xlfn.XLOOKUP(Tabla1[[#This Row],[fin]],$Q$379:$Q$398,$U$379:$U$398),"")</f>
        <v/>
      </c>
    </row>
    <row r="558" spans="1:15" x14ac:dyDescent="0.25">
      <c r="A558" s="354">
        <v>46230</v>
      </c>
      <c r="B558" s="114" t="s">
        <v>12</v>
      </c>
      <c r="C558" s="155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76" t="str">
        <f>+_xlfn.XLOOKUP(Tabla1[[#This Row],[Codigo_actividad]],Conceptos!A:A,Conceptos!H:H)</f>
        <v>P2.03</v>
      </c>
      <c r="L558" s="66" t="str">
        <f>IF(_xlfn.XLOOKUP($J558,Catalogo!$B$7:$B$210,Catalogo!$I$7:$I$210,"",0)=0,"",_xlfn.XLOOKUP($J558,Catalogo!$B$7:$B$210,Catalogo!$I$7:$I$210,"",0))</f>
        <v>DCVG</v>
      </c>
      <c r="M558" s="36">
        <f>+_xlfn.XLOOKUP(Tabla1[[#This Row],[Ducto]],'R (s03)'!B:B,'R (s03)'!C:C)</f>
        <v>0.27500000000000002</v>
      </c>
      <c r="N558" s="261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5" x14ac:dyDescent="0.25">
      <c r="A559" s="354">
        <v>46230</v>
      </c>
      <c r="B559" s="114" t="s">
        <v>12</v>
      </c>
      <c r="C559" s="155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4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76" t="str">
        <f>+_xlfn.XLOOKUP(Tabla1[[#This Row],[Codigo_actividad]],Conceptos!A:A,Conceptos!H:H)</f>
        <v>P2.03</v>
      </c>
      <c r="L559" s="66" t="str">
        <f>IF(_xlfn.XLOOKUP($J559,Catalogo!$B$7:$B$210,Catalogo!$I$7:$I$210,"",0)=0,"",_xlfn.XLOOKUP($J559,Catalogo!$B$7:$B$210,Catalogo!$I$7:$I$210,"",0))</f>
        <v>DCVG</v>
      </c>
      <c r="M559" s="36">
        <f>+_xlfn.XLOOKUP(Tabla1[[#This Row],[Ducto]],'R (s03)'!B:B,'R (s03)'!C:C)</f>
        <v>0.70299999999999996</v>
      </c>
      <c r="N559" s="261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5" x14ac:dyDescent="0.25">
      <c r="A560" s="354">
        <v>46230</v>
      </c>
      <c r="B560" s="114" t="s">
        <v>12</v>
      </c>
      <c r="C560" s="155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4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76" t="str">
        <f>+_xlfn.XLOOKUP(Tabla1[[#This Row],[Codigo_actividad]],Conceptos!A:A,Conceptos!H:H)</f>
        <v>P2.03</v>
      </c>
      <c r="L560" s="66" t="str">
        <f>IF(_xlfn.XLOOKUP($J560,Catalogo!$B$7:$B$210,Catalogo!$I$7:$I$210,"",0)=0,"",_xlfn.XLOOKUP($J560,Catalogo!$B$7:$B$210,Catalogo!$I$7:$I$210,"",0))</f>
        <v>DCVG</v>
      </c>
      <c r="M560" s="36">
        <f>+_xlfn.XLOOKUP(Tabla1[[#This Row],[Ducto]],'R (s03)'!B:B,'R (s03)'!C:C)</f>
        <v>1.3240000000000001</v>
      </c>
      <c r="N560" s="261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8" x14ac:dyDescent="0.25">
      <c r="A561" s="354">
        <v>46231</v>
      </c>
      <c r="B561" s="114" t="s">
        <v>12</v>
      </c>
      <c r="C561" s="155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4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76" t="str">
        <f>+_xlfn.XLOOKUP(Tabla1[[#This Row],[Codigo_actividad]],Conceptos!A:A,Conceptos!H:H)</f>
        <v>P2.03</v>
      </c>
      <c r="L561" s="66" t="str">
        <f>IF(_xlfn.XLOOKUP($J561,Catalogo!$B$7:$B$210,Catalogo!$I$7:$I$210,"",0)=0,"",_xlfn.XLOOKUP($J561,Catalogo!$B$7:$B$210,Catalogo!$I$7:$I$210,"",0))</f>
        <v>DCVG</v>
      </c>
      <c r="M561" s="36">
        <f>+_xlfn.XLOOKUP(Tabla1[[#This Row],[Ducto]],'R (s03)'!B:B,'R (s03)'!C:C)</f>
        <v>1.4359999999999999</v>
      </c>
      <c r="N561" s="261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8" x14ac:dyDescent="0.25">
      <c r="A562" s="354">
        <v>46232</v>
      </c>
      <c r="B562" s="114" t="s">
        <v>12</v>
      </c>
      <c r="C562" s="155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76" t="str">
        <f>+_xlfn.XLOOKUP(Tabla1[[#This Row],[Codigo_actividad]],Conceptos!A:A,Conceptos!H:H)</f>
        <v>P2.03</v>
      </c>
      <c r="L562" s="66" t="str">
        <f>IF(_xlfn.XLOOKUP($J562,Catalogo!$B$7:$B$210,Catalogo!$I$7:$I$210,"",0)=0,"",_xlfn.XLOOKUP($J562,Catalogo!$B$7:$B$210,Catalogo!$I$7:$I$210,"",0))</f>
        <v>DCVG</v>
      </c>
      <c r="M562" s="36">
        <f>+_xlfn.XLOOKUP(Tabla1[[#This Row],[Ducto]],'R (s03)'!B:B,'R (s03)'!C:C)</f>
        <v>4.4999999999999998E-2</v>
      </c>
      <c r="N562" s="261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8" x14ac:dyDescent="0.25">
      <c r="A563" s="354">
        <v>46232</v>
      </c>
      <c r="B563" s="114" t="s">
        <v>12</v>
      </c>
      <c r="C563" s="155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76" t="str">
        <f>+_xlfn.XLOOKUP(Tabla1[[#This Row],[Codigo_actividad]],Conceptos!A:A,Conceptos!H:H)</f>
        <v>P2.03</v>
      </c>
      <c r="L563" s="66" t="str">
        <f>IF(_xlfn.XLOOKUP($J563,Catalogo!$B$7:$B$210,Catalogo!$I$7:$I$210,"",0)=0,"",_xlfn.XLOOKUP($J563,Catalogo!$B$7:$B$210,Catalogo!$I$7:$I$210,"",0))</f>
        <v>DCVG</v>
      </c>
      <c r="M563" s="36">
        <f>+_xlfn.XLOOKUP(Tabla1[[#This Row],[Ducto]],'R (s03)'!B:B,'R (s03)'!C:C)</f>
        <v>4.1000000000000002E-2</v>
      </c>
      <c r="N563" s="261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8" x14ac:dyDescent="0.25">
      <c r="A564" s="354">
        <v>46232</v>
      </c>
      <c r="B564" s="114" t="s">
        <v>12</v>
      </c>
      <c r="C564" s="155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76" t="str">
        <f>+_xlfn.XLOOKUP(Tabla1[[#This Row],[Codigo_actividad]],Conceptos!A:A,Conceptos!H:H)</f>
        <v>P2.03</v>
      </c>
      <c r="L564" s="66" t="str">
        <f>IF(_xlfn.XLOOKUP($J564,Catalogo!$B$7:$B$210,Catalogo!$I$7:$I$210,"",0)=0,"",_xlfn.XLOOKUP($J564,Catalogo!$B$7:$B$210,Catalogo!$I$7:$I$210,"",0))</f>
        <v>DCVG</v>
      </c>
      <c r="M564" s="36">
        <f>+_xlfn.XLOOKUP(Tabla1[[#This Row],[Ducto]],'R (s03)'!B:B,'R (s03)'!C:C)</f>
        <v>3.0000000000000001E-3</v>
      </c>
      <c r="N564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8" x14ac:dyDescent="0.25">
      <c r="A565" s="354">
        <v>46232</v>
      </c>
      <c r="B565" s="114" t="s">
        <v>12</v>
      </c>
      <c r="C565" s="155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4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76" t="str">
        <f>+_xlfn.XLOOKUP(Tabla1[[#This Row],[Codigo_actividad]],Conceptos!A:A,Conceptos!H:H)</f>
        <v>P2.03</v>
      </c>
      <c r="L565" s="66" t="str">
        <f>IF(_xlfn.XLOOKUP($J565,Catalogo!$B$7:$B$210,Catalogo!$I$7:$I$210,"",0)=0,"",_xlfn.XLOOKUP($J565,Catalogo!$B$7:$B$210,Catalogo!$I$7:$I$210,"",0))</f>
        <v>DCVG</v>
      </c>
      <c r="M565" s="36">
        <f>+_xlfn.XLOOKUP(Tabla1[[#This Row],[Ducto]],'R (s03)'!B:B,'R (s03)'!C:C)</f>
        <v>0.04</v>
      </c>
      <c r="N565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8" x14ac:dyDescent="0.25">
      <c r="A566" s="354">
        <v>46232</v>
      </c>
      <c r="B566" s="114" t="s">
        <v>12</v>
      </c>
      <c r="C566" s="155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76" t="str">
        <f>+_xlfn.XLOOKUP(Tabla1[[#This Row],[Codigo_actividad]],Conceptos!A:A,Conceptos!H:H)</f>
        <v>P2.03</v>
      </c>
      <c r="L566" s="66" t="str">
        <f>IF(_xlfn.XLOOKUP($J566,Catalogo!$B$7:$B$210,Catalogo!$I$7:$I$210,"",0)=0,"",_xlfn.XLOOKUP($J566,Catalogo!$B$7:$B$210,Catalogo!$I$7:$I$210,"",0))</f>
        <v>DCVG</v>
      </c>
      <c r="M566" s="36">
        <f>+_xlfn.XLOOKUP(Tabla1[[#This Row],[Ducto]],'R (s03)'!B:B,'R (s03)'!C:C)</f>
        <v>0.24299999999999999</v>
      </c>
      <c r="N566" s="261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8" x14ac:dyDescent="0.25">
      <c r="A567" s="354">
        <v>46232</v>
      </c>
      <c r="B567" s="114" t="s">
        <v>12</v>
      </c>
      <c r="C567" s="155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76" t="str">
        <f>+_xlfn.XLOOKUP(Tabla1[[#This Row],[Codigo_actividad]],Conceptos!A:A,Conceptos!H:H)</f>
        <v>P2.03</v>
      </c>
      <c r="L567" s="66" t="str">
        <f>IF(_xlfn.XLOOKUP($J567,Catalogo!$B$7:$B$210,Catalogo!$I$7:$I$210,"",0)=0,"",_xlfn.XLOOKUP($J567,Catalogo!$B$7:$B$210,Catalogo!$I$7:$I$210,"",0))</f>
        <v>DCVG</v>
      </c>
      <c r="M567" s="36">
        <f>+_xlfn.XLOOKUP(Tabla1[[#This Row],[Ducto]],'R (s03)'!B:B,'R (s03)'!C:C)</f>
        <v>0.27800000000000002</v>
      </c>
      <c r="N567" s="261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8" x14ac:dyDescent="0.25">
      <c r="A568" s="354">
        <v>46233</v>
      </c>
      <c r="B568" s="114" t="s">
        <v>12</v>
      </c>
      <c r="C568" s="155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4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76" t="str">
        <f>+_xlfn.XLOOKUP(Tabla1[[#This Row],[Codigo_actividad]],Conceptos!A:A,Conceptos!H:H)</f>
        <v>P2.03</v>
      </c>
      <c r="L568" s="66" t="str">
        <f>IF(_xlfn.XLOOKUP($J568,Catalogo!$B$7:$B$210,Catalogo!$I$7:$I$210,"",0)=0,"",_xlfn.XLOOKUP($J568,Catalogo!$B$7:$B$210,Catalogo!$I$7:$I$210,"",0))</f>
        <v>DCVG</v>
      </c>
      <c r="M568" s="36">
        <f>+_xlfn.XLOOKUP(Tabla1[[#This Row],[Ducto]],'R (s03)'!B:B,'R (s03)'!C:C)</f>
        <v>5.97</v>
      </c>
      <c r="N568" s="261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8" x14ac:dyDescent="0.25">
      <c r="A569" s="354">
        <v>46234</v>
      </c>
      <c r="B569" s="114" t="s">
        <v>12</v>
      </c>
      <c r="C569" s="155" t="s">
        <v>329</v>
      </c>
      <c r="D569" s="39" t="s">
        <v>225</v>
      </c>
      <c r="E569" s="40" t="s">
        <v>36</v>
      </c>
      <c r="F569" s="28">
        <v>4000</v>
      </c>
      <c r="G569" s="173">
        <v>6168</v>
      </c>
      <c r="H569" s="224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76" t="str">
        <f>+_xlfn.XLOOKUP(Tabla1[[#This Row],[Codigo_actividad]],Conceptos!A:A,Conceptos!H:H)</f>
        <v>P2.03</v>
      </c>
      <c r="L569" s="66" t="str">
        <f>IF(_xlfn.XLOOKUP($J569,Catalogo!$B$7:$B$210,Catalogo!$I$7:$I$210,"",0)=0,"",_xlfn.XLOOKUP($J569,Catalogo!$B$7:$B$210,Catalogo!$I$7:$I$210,"",0))</f>
        <v>DCVG</v>
      </c>
      <c r="M569" s="36">
        <f>+_xlfn.XLOOKUP(Tabla1[[#This Row],[Ducto]],'R (s03)'!B:B,'R (s03)'!C:C)</f>
        <v>5.97</v>
      </c>
      <c r="N569" s="261">
        <f>IF(Tabla1[[#This Row],[Avance_km]]&lt;&gt;"",Tabla1[[#This Row],[Avance_km]],Tabla1[[#This Row],[Avance_Med]])*_xlfn.XLOOKUP(Tabla1[[#This Row],[Codigo_actividad]],Catalogo!$B$6:$B$51,Catalogo!$F$6:$F$51,0)</f>
        <v>29388.60584</v>
      </c>
      <c r="O569" s="211" t="s">
        <v>517</v>
      </c>
    </row>
    <row r="570" spans="1:18" x14ac:dyDescent="0.25">
      <c r="A570" s="354">
        <v>46235</v>
      </c>
      <c r="B570" s="114" t="s">
        <v>12</v>
      </c>
      <c r="C570" s="155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4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76" t="str">
        <f>+_xlfn.XLOOKUP(Tabla1[[#This Row],[Codigo_actividad]],Conceptos!A:A,Conceptos!H:H)</f>
        <v>P2.03</v>
      </c>
      <c r="L570" s="66" t="str">
        <f>IF(_xlfn.XLOOKUP($J570,Catalogo!$B$7:$B$210,Catalogo!$I$7:$I$210,"",0)=0,"",_xlfn.XLOOKUP($J570,Catalogo!$B$7:$B$210,Catalogo!$I$7:$I$210,"",0))</f>
        <v>DCVG</v>
      </c>
      <c r="M570" s="36">
        <f>+_xlfn.XLOOKUP(Tabla1[[#This Row],[Ducto]],'R (s03)'!B:B,'R (s03)'!C:C)</f>
        <v>5.97</v>
      </c>
      <c r="N570" s="261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8" x14ac:dyDescent="0.25">
      <c r="A571" s="354"/>
      <c r="B571" s="114"/>
      <c r="C571" s="155"/>
      <c r="D571" s="39"/>
      <c r="F571" s="28"/>
      <c r="G571" s="28"/>
      <c r="H571" s="224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76">
        <f>+_xlfn.XLOOKUP(Tabla1[[#This Row],[Codigo_actividad]],Conceptos!A:A,Conceptos!H:H)</f>
        <v>0</v>
      </c>
      <c r="L571" s="66" t="str">
        <f>IF(_xlfn.XLOOKUP($J571,Catalogo!$B$7:$B$21,Catalogo!$I$7:$I$21,"",0)=0,"",_xlfn.XLOOKUP($J571,Catalogo!$B$7:$B$21,Catalogo!$I$7:$I$21,"",0))</f>
        <v/>
      </c>
      <c r="M571" s="36"/>
      <c r="N571" s="261">
        <f>IF(Tabla1[[#This Row],[Avance_km]]&lt;&gt;"",Tabla1[[#This Row],[Avance_km]],Tabla1[[#This Row],[Avance_Med]])*_xlfn.XLOOKUP(Tabla1[[#This Row],[Codigo_actividad]],Catalogo!$B$6:$B$51,Catalogo!$F$6:$F$51,0)</f>
        <v>0</v>
      </c>
      <c r="O571" t="str">
        <f>_xlfn.IFNA(_xlfn.XLOOKUP(Tabla1[[#This Row],[fin]],$Q$379:$Q$398,$U$379:$U$398),"")</f>
        <v/>
      </c>
    </row>
    <row r="572" spans="1:18" x14ac:dyDescent="0.25">
      <c r="A572" s="354">
        <v>46237</v>
      </c>
      <c r="B572" s="114" t="s">
        <v>12</v>
      </c>
      <c r="C572" s="155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4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76" t="str">
        <f>+_xlfn.XLOOKUP(Tabla1[[#This Row],[Codigo_actividad]],Conceptos!A:A,Conceptos!H:H)</f>
        <v>P2.03</v>
      </c>
      <c r="L572" s="66" t="str">
        <f>IF(_xlfn.XLOOKUP($J572,Catalogo!$B$7:$B$210,Catalogo!$I$7:$I$210,"",0)=0,"",_xlfn.XLOOKUP($J572,Catalogo!$B$7:$B$210,Catalogo!$I$7:$I$210,"",0))</f>
        <v>DCVG</v>
      </c>
      <c r="M572" s="36">
        <f>+_xlfn.XLOOKUP(Tabla1[[#This Row],[Ducto]],'R (s03)'!B:B,'R (s03)'!C:C)</f>
        <v>5.97</v>
      </c>
      <c r="N572" s="261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8" x14ac:dyDescent="0.25">
      <c r="A573" s="354">
        <v>46238</v>
      </c>
      <c r="B573" s="114" t="s">
        <v>12</v>
      </c>
      <c r="C573" s="155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76" t="str">
        <f>+_xlfn.XLOOKUP(Tabla1[[#This Row],[Codigo_actividad]],Conceptos!A:A,Conceptos!H:H)</f>
        <v>P2.03</v>
      </c>
      <c r="L573" s="66" t="str">
        <f>IF(_xlfn.XLOOKUP($J573,Catalogo!$B$7:$B$210,Catalogo!$I$7:$I$210,"",0)=0,"",_xlfn.XLOOKUP($J573,Catalogo!$B$7:$B$210,Catalogo!$I$7:$I$210,"",0))</f>
        <v>DCVG</v>
      </c>
      <c r="M573" s="36">
        <f>+_xlfn.XLOOKUP(Tabla1[[#This Row],[Ducto]],'R (s03)'!B:B,'R (s03)'!C:C)</f>
        <v>5.1999999999999998E-2</v>
      </c>
      <c r="N573" s="261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8" x14ac:dyDescent="0.25">
      <c r="A574" s="354">
        <v>46238</v>
      </c>
      <c r="B574" s="114" t="s">
        <v>12</v>
      </c>
      <c r="C574" s="155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76" t="str">
        <f>+_xlfn.XLOOKUP(Tabla1[[#This Row],[Codigo_actividad]],Conceptos!A:A,Conceptos!H:H)</f>
        <v>P2.03</v>
      </c>
      <c r="L574" s="66" t="str">
        <f>IF(_xlfn.XLOOKUP($J574,Catalogo!$B$7:$B$210,Catalogo!$I$7:$I$210,"",0)=0,"",_xlfn.XLOOKUP($J574,Catalogo!$B$7:$B$210,Catalogo!$I$7:$I$210,"",0))</f>
        <v>DCVG</v>
      </c>
      <c r="M574" s="36">
        <f>+_xlfn.XLOOKUP(Tabla1[[#This Row],[Ducto]],'R (s04)'!B:B,'R (s04)'!C:C)</f>
        <v>7.0000000000000001E-3</v>
      </c>
      <c r="N574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8" x14ac:dyDescent="0.25">
      <c r="A575" s="354">
        <v>46238</v>
      </c>
      <c r="B575" s="114" t="s">
        <v>12</v>
      </c>
      <c r="C575" s="155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4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76" t="str">
        <f>+_xlfn.XLOOKUP(Tabla1[[#This Row],[Codigo_actividad]],Conceptos!A:A,Conceptos!H:H)</f>
        <v>P2.03</v>
      </c>
      <c r="L575" s="66" t="str">
        <f>IF(_xlfn.XLOOKUP($J575,Catalogo!$B$7:$B$210,Catalogo!$I$7:$I$210,"",0)=0,"",_xlfn.XLOOKUP($J575,Catalogo!$B$7:$B$210,Catalogo!$I$7:$I$210,"",0))</f>
        <v>DCVG</v>
      </c>
      <c r="M575" s="36">
        <f>+_xlfn.XLOOKUP(Tabla1[[#This Row],[Ducto]],'R (s04)'!B:B,'R (s04)'!C:C)</f>
        <v>0.16</v>
      </c>
      <c r="N575" s="261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Q575" t="s">
        <v>524</v>
      </c>
    </row>
    <row r="576" spans="1:18" x14ac:dyDescent="0.25">
      <c r="A576" s="354">
        <v>46239</v>
      </c>
      <c r="B576" s="114" t="s">
        <v>12</v>
      </c>
      <c r="C576" s="155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76" t="str">
        <f>+_xlfn.XLOOKUP(Tabla1[[#This Row],[Codigo_actividad]],Conceptos!A:A,Conceptos!H:H)</f>
        <v>P2.03</v>
      </c>
      <c r="L576" s="66" t="str">
        <f>IF(_xlfn.XLOOKUP($J576,Catalogo!$B$7:$B$210,Catalogo!$I$7:$I$210,"",0)=0,"",_xlfn.XLOOKUP($J576,Catalogo!$B$7:$B$210,Catalogo!$I$7:$I$210,"",0))</f>
        <v>DCVG</v>
      </c>
      <c r="M576" s="36">
        <f>+_xlfn.XLOOKUP(Tabla1[[#This Row],[Ducto]],'R (s03)'!B:B,'R (s03)'!C:C)</f>
        <v>2.1000000000000001E-2</v>
      </c>
      <c r="N576" s="261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Q576" s="389">
        <v>0</v>
      </c>
      <c r="R576" s="389">
        <v>500</v>
      </c>
    </row>
    <row r="577" spans="1:19" x14ac:dyDescent="0.25">
      <c r="A577" s="354">
        <v>46239</v>
      </c>
      <c r="B577" s="114" t="s">
        <v>12</v>
      </c>
      <c r="C577" s="155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76" t="str">
        <f>+_xlfn.XLOOKUP(Tabla1[[#This Row],[Codigo_actividad]],Conceptos!A:A,Conceptos!H:H)</f>
        <v>P2.01</v>
      </c>
      <c r="L577" s="66" t="str">
        <f>IF(_xlfn.XLOOKUP($J577,Catalogo!$B$7:$B$210,Catalogo!$I$7:$I$210,"",0)=0,"",_xlfn.XLOOKUP($J577,Catalogo!$B$7:$B$210,Catalogo!$I$7:$I$210,"",0))</f>
        <v>CIPS</v>
      </c>
      <c r="M577" s="36">
        <f>+_xlfn.XLOOKUP(Tabla1[[#This Row],[Ducto]],'R (s03)'!B:B,'R (s03)'!C:C)</f>
        <v>6.2E-2</v>
      </c>
      <c r="N57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Q577" s="389">
        <v>500</v>
      </c>
      <c r="R577" s="389">
        <v>1600</v>
      </c>
    </row>
    <row r="578" spans="1:19" x14ac:dyDescent="0.25">
      <c r="A578" s="354">
        <v>46239</v>
      </c>
      <c r="B578" s="114" t="s">
        <v>12</v>
      </c>
      <c r="C578" s="155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76" t="str">
        <f>+_xlfn.XLOOKUP(Tabla1[[#This Row],[Codigo_actividad]],Conceptos!A:A,Conceptos!H:H)</f>
        <v>P2.06</v>
      </c>
      <c r="L578" s="66" t="str">
        <f>IF(_xlfn.XLOOKUP($J578,Catalogo!$B$7:$B$210,Catalogo!$I$7:$I$210,"",0)=0,"",_xlfn.XLOOKUP($J578,Catalogo!$B$7:$B$210,Catalogo!$I$7:$I$210,"",0))</f>
        <v>Localizacion</v>
      </c>
      <c r="M578" s="36">
        <f>+_xlfn.XLOOKUP(Tabla1[[#This Row],[Ducto]],'R (s03)'!B:B,'R (s03)'!C:C)</f>
        <v>6.2E-2</v>
      </c>
      <c r="N578" s="261">
        <f>IF(Tabla1[[#This Row],[Avance_km]]&lt;&gt;"",Tabla1[[#This Row],[Avance_km]],Tabla1[[#This Row],[Avance_Med]])*_xlfn.XLOOKUP(Tabla1[[#This Row],[Codigo_actividad]],Catalogo!$B$6:$B$51,Catalogo!$F$6:$F$51,0)</f>
        <v>33.8613</v>
      </c>
      <c r="Q578" s="389">
        <v>1600</v>
      </c>
      <c r="R578" s="389">
        <v>2300</v>
      </c>
    </row>
    <row r="579" spans="1:19" x14ac:dyDescent="0.25">
      <c r="A579" s="354">
        <v>46240</v>
      </c>
      <c r="B579" s="114" t="s">
        <v>12</v>
      </c>
      <c r="C579" s="155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4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76" t="str">
        <f>+_xlfn.XLOOKUP(Tabla1[[#This Row],[Codigo_actividad]],Conceptos!A:A,Conceptos!H:H)</f>
        <v>P2.03</v>
      </c>
      <c r="L579" s="66" t="str">
        <f>IF(_xlfn.XLOOKUP($J579,Catalogo!$B$7:$B$210,Catalogo!$I$7:$I$210,"",0)=0,"",_xlfn.XLOOKUP($J579,Catalogo!$B$7:$B$210,Catalogo!$I$7:$I$210,"",0))</f>
        <v>DCVG</v>
      </c>
      <c r="M579" s="36">
        <f>+_xlfn.XLOOKUP(Tabla1[[#This Row],[Ducto]],'R (s03)'!B:B,'R (s03)'!C:C)</f>
        <v>5.8719999999999999</v>
      </c>
      <c r="N579" s="261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S579" s="352">
        <f>+Q580-R578</f>
        <v>1000</v>
      </c>
    </row>
    <row r="580" spans="1:19" x14ac:dyDescent="0.25">
      <c r="A580" s="354">
        <v>46241</v>
      </c>
      <c r="B580" s="114" t="s">
        <v>12</v>
      </c>
      <c r="C580" s="155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4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76" t="str">
        <f>+_xlfn.XLOOKUP(Tabla1[[#This Row],[Codigo_actividad]],Conceptos!A:A,Conceptos!H:H)</f>
        <v>P2.03</v>
      </c>
      <c r="L580" s="66" t="str">
        <f>IF(_xlfn.XLOOKUP($J580,Catalogo!$B$7:$B$210,Catalogo!$I$7:$I$210,"",0)=0,"",_xlfn.XLOOKUP($J580,Catalogo!$B$7:$B$210,Catalogo!$I$7:$I$210,"",0))</f>
        <v>DCVG</v>
      </c>
      <c r="M580" s="36">
        <f>+_xlfn.XLOOKUP(Tabla1[[#This Row],[Ducto]],'R (s04)'!B:B,'R (s04)'!C:C)</f>
        <v>2.077</v>
      </c>
      <c r="N580" s="261">
        <f>IF(Tabla1[[#This Row],[Avance_km]]&lt;&gt;"",Tabla1[[#This Row],[Avance_km]],Tabla1[[#This Row],[Avance_Med]])*_xlfn.XLOOKUP(Tabla1[[#This Row],[Codigo_actividad]],Catalogo!$B$6:$B$51,Catalogo!$F$6:$F$51,0)</f>
        <v>28155.04351</v>
      </c>
      <c r="Q580" s="389">
        <v>3300</v>
      </c>
      <c r="R580" s="389">
        <v>3400</v>
      </c>
    </row>
    <row r="581" spans="1:19" x14ac:dyDescent="0.25">
      <c r="A581" s="354">
        <v>46241</v>
      </c>
      <c r="B581" s="114" t="s">
        <v>12</v>
      </c>
      <c r="C581" s="155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4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76" t="str">
        <f>+_xlfn.XLOOKUP(Tabla1[[#This Row],[Codigo_actividad]],Conceptos!A:A,Conceptos!H:H)</f>
        <v>P2.03</v>
      </c>
      <c r="L581" s="66" t="str">
        <f>IF(_xlfn.XLOOKUP($J581,Catalogo!$B$7:$B$210,Catalogo!$I$7:$I$210,"",0)=0,"",_xlfn.XLOOKUP($J581,Catalogo!$B$7:$B$210,Catalogo!$I$7:$I$210,"",0))</f>
        <v>DCVG</v>
      </c>
      <c r="M581" s="36">
        <f>+_xlfn.XLOOKUP(Tabla1[[#This Row],[Ducto]],'R (s03)'!B:B,'R (s03)'!C:C)</f>
        <v>1.92</v>
      </c>
      <c r="N581" s="261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Q581" s="389">
        <v>3400</v>
      </c>
      <c r="R581" s="389">
        <v>5872</v>
      </c>
      <c r="S581" s="352"/>
    </row>
    <row r="582" spans="1:19" x14ac:dyDescent="0.25">
      <c r="A582" s="354">
        <v>46243</v>
      </c>
      <c r="B582" s="114" t="s">
        <v>12</v>
      </c>
      <c r="C582" s="155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4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76" t="str">
        <f>+_xlfn.XLOOKUP(Tabla1[[#This Row],[Codigo_actividad]],Conceptos!A:A,Conceptos!H:H)</f>
        <v>P2.01</v>
      </c>
      <c r="L582" s="66" t="str">
        <f>IF(_xlfn.XLOOKUP($J582,Catalogo!$B$7:$B$210,Catalogo!$I$7:$I$210,"",0)=0,"",_xlfn.XLOOKUP($J582,Catalogo!$B$7:$B$210,Catalogo!$I$7:$I$210,"",0))</f>
        <v>CIPS</v>
      </c>
      <c r="M582" s="36">
        <f>+_xlfn.XLOOKUP(Tabla1[[#This Row],[Ducto]],'R (s03)'!B:B,'R (s03)'!C:C)</f>
        <v>5.8719999999999999</v>
      </c>
      <c r="N582" s="261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9" x14ac:dyDescent="0.25">
      <c r="A583" s="354"/>
      <c r="C583" s="155"/>
      <c r="D583" s="39"/>
      <c r="F583" s="28"/>
      <c r="G583" s="28"/>
      <c r="H583" s="224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76">
        <f>+_xlfn.XLOOKUP(Tabla1[[#This Row],[Codigo_actividad]],Conceptos!A:A,Conceptos!H:H)</f>
        <v>0</v>
      </c>
      <c r="L583" s="66" t="str">
        <f>IF(_xlfn.XLOOKUP($J583,Catalogo!$B$7:$B$21,Catalogo!$I$7:$I$21,"",0)=0,"",_xlfn.XLOOKUP($J583,Catalogo!$B$7:$B$21,Catalogo!$I$7:$I$21,"",0))</f>
        <v/>
      </c>
      <c r="M583" s="36"/>
      <c r="N583" s="261">
        <f>IF(Tabla1[[#This Row],[Avance_km]]&lt;&gt;"",Tabla1[[#This Row],[Avance_km]],Tabla1[[#This Row],[Avance_Med]])*_xlfn.XLOOKUP(Tabla1[[#This Row],[Codigo_actividad]],Catalogo!$B$6:$B$51,Catalogo!$F$6:$F$51,0)</f>
        <v>0</v>
      </c>
      <c r="O583" t="str">
        <f>_xlfn.IFNA(_xlfn.XLOOKUP(Tabla1[[#This Row],[fin]],$Q$379:$Q$398,$U$379:$U$398),"")</f>
        <v/>
      </c>
    </row>
    <row r="584" spans="1:19" x14ac:dyDescent="0.25">
      <c r="A584" s="354">
        <v>46247</v>
      </c>
      <c r="B584" s="114" t="s">
        <v>12</v>
      </c>
      <c r="C584" s="155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4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76" t="str">
        <f>+_xlfn.XLOOKUP(Tabla1[[#This Row],[Codigo_actividad]],Conceptos!A:A,Conceptos!H:H)</f>
        <v>P2.03</v>
      </c>
      <c r="L584" s="66" t="str">
        <f>IF(_xlfn.XLOOKUP($J584,Catalogo!$B$7:$B$210,Catalogo!$I$7:$I$210,"",0)=0,"",_xlfn.XLOOKUP($J584,Catalogo!$B$7:$B$210,Catalogo!$I$7:$I$210,"",0))</f>
        <v>DCVG</v>
      </c>
      <c r="M584" s="36">
        <f>+_xlfn.XLOOKUP(Tabla1[[#This Row],[Ducto]],'R (s03)'!B:B,'R (s03)'!C:C)</f>
        <v>5.8719999999999999</v>
      </c>
      <c r="N584" s="261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9" x14ac:dyDescent="0.25">
      <c r="A585" s="354">
        <v>46248</v>
      </c>
      <c r="B585" s="114" t="s">
        <v>12</v>
      </c>
      <c r="C585" s="155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76" t="str">
        <f>+_xlfn.XLOOKUP(Tabla1[[#This Row],[Codigo_actividad]],Conceptos!A:A,Conceptos!H:H)</f>
        <v>P2.06</v>
      </c>
      <c r="L585" s="66" t="str">
        <f>IF(_xlfn.XLOOKUP($J585,Catalogo!$B$7:$B$210,Catalogo!$I$7:$I$210,"",0)=0,"",_xlfn.XLOOKUP($J585,Catalogo!$B$7:$B$210,Catalogo!$I$7:$I$210,"",0))</f>
        <v>Localizacion</v>
      </c>
      <c r="M585" s="36">
        <f>+_xlfn.XLOOKUP(Tabla1[[#This Row],[Ducto]],'R (s03)'!B:B,'R (s03)'!C:C)</f>
        <v>6.0000000000000001E-3</v>
      </c>
      <c r="N585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9" x14ac:dyDescent="0.25">
      <c r="A586" s="354">
        <v>46248</v>
      </c>
      <c r="B586" s="114" t="s">
        <v>12</v>
      </c>
      <c r="C586" s="155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76" t="str">
        <f>+_xlfn.XLOOKUP(Tabla1[[#This Row],[Codigo_actividad]],Conceptos!A:A,Conceptos!H:H)</f>
        <v>P2.01</v>
      </c>
      <c r="L586" s="66" t="str">
        <f>IF(_xlfn.XLOOKUP($J586,Catalogo!$B$7:$B$210,Catalogo!$I$7:$I$210,"",0)=0,"",_xlfn.XLOOKUP($J586,Catalogo!$B$7:$B$210,Catalogo!$I$7:$I$210,"",0))</f>
        <v>CIPS</v>
      </c>
      <c r="M586" s="36">
        <f>+_xlfn.XLOOKUP(Tabla1[[#This Row],[Ducto]],'R (s03)'!B:B,'R (s03)'!C:C)</f>
        <v>6.0000000000000001E-3</v>
      </c>
      <c r="N586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9" x14ac:dyDescent="0.25">
      <c r="A587" s="354">
        <v>46249</v>
      </c>
      <c r="B587" s="114" t="s">
        <v>12</v>
      </c>
      <c r="C587" s="155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4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76" t="str">
        <f>+_xlfn.XLOOKUP(Tabla1[[#This Row],[Codigo_actividad]],Conceptos!A:A,Conceptos!H:H)</f>
        <v>P2.06</v>
      </c>
      <c r="L587" s="66" t="str">
        <f>IF(_xlfn.XLOOKUP($J587,Catalogo!$B$7:$B$210,Catalogo!$I$7:$I$210,"",0)=0,"",_xlfn.XLOOKUP($J587,Catalogo!$B$7:$B$210,Catalogo!$I$7:$I$210,"",0))</f>
        <v>Localizacion</v>
      </c>
      <c r="M587" s="36">
        <f>+_xlfn.XLOOKUP(Tabla1[[#This Row],[Ducto]],'R (s04)'!B:B,'R (s04)'!C:C)</f>
        <v>47.596499999999999</v>
      </c>
      <c r="N587" s="261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9" x14ac:dyDescent="0.25">
      <c r="A588" s="354">
        <v>46248</v>
      </c>
      <c r="B588" s="114" t="s">
        <v>12</v>
      </c>
      <c r="C588" s="155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4">
        <v>6.0000000000000001E-3</v>
      </c>
      <c r="I588" s="66"/>
      <c r="J588" s="76">
        <v>2.2999999999999998</v>
      </c>
      <c r="K588" s="76" t="str">
        <f>+_xlfn.XLOOKUP(Tabla1[[#This Row],[Codigo_actividad]],Conceptos!A:A,Conceptos!H:H)</f>
        <v>P2.03</v>
      </c>
      <c r="L588" s="66" t="str">
        <f>IF(_xlfn.XLOOKUP($J588,Catalogo!$B$7:$B$210,Catalogo!$I$7:$I$210,"",0)=0,"",_xlfn.XLOOKUP($J588,Catalogo!$B$7:$B$210,Catalogo!$I$7:$I$210,"",0))</f>
        <v>DCVG</v>
      </c>
      <c r="M588" s="36">
        <v>6.0000000000000001E-3</v>
      </c>
      <c r="N58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9" x14ac:dyDescent="0.25">
      <c r="A589" s="354">
        <v>46250</v>
      </c>
      <c r="B589" s="114" t="s">
        <v>12</v>
      </c>
      <c r="C589" s="155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4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76" t="str">
        <f>+_xlfn.XLOOKUP(Tabla1[[#This Row],[Codigo_actividad]],Conceptos!A:A,Conceptos!H:H)</f>
        <v>P2.06</v>
      </c>
      <c r="L589" s="66" t="str">
        <f>IF(_xlfn.XLOOKUP($J589,Catalogo!$B$7:$B$210,Catalogo!$I$7:$I$210,"",0)=0,"",_xlfn.XLOOKUP($J589,Catalogo!$B$7:$B$210,Catalogo!$I$7:$I$210,"",0))</f>
        <v>Localizacion</v>
      </c>
      <c r="M589" s="36">
        <f>+_xlfn.XLOOKUP(Tabla1[[#This Row],[Ducto]],'R (s04)'!B:B,'R (s04)'!C:C)</f>
        <v>47.596499999999999</v>
      </c>
      <c r="N589" s="261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9" x14ac:dyDescent="0.25">
      <c r="A590" s="354"/>
      <c r="C590" s="155"/>
      <c r="D590" s="39"/>
      <c r="F590" s="28"/>
      <c r="G590" s="28"/>
      <c r="H590" s="224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76">
        <f>+_xlfn.XLOOKUP(Tabla1[[#This Row],[Codigo_actividad]],Conceptos!A:A,Conceptos!H:H)</f>
        <v>0</v>
      </c>
      <c r="L590" s="66" t="str">
        <f>IF(_xlfn.XLOOKUP($J590,Catalogo!$B$7:$B$21,Catalogo!$I$7:$I$21,"",0)=0,"",_xlfn.XLOOKUP($J590,Catalogo!$B$7:$B$21,Catalogo!$I$7:$I$21,"",0))</f>
        <v/>
      </c>
      <c r="M590" s="36"/>
      <c r="N590" s="261">
        <f>IF(Tabla1[[#This Row],[Avance_km]]&lt;&gt;"",Tabla1[[#This Row],[Avance_km]],Tabla1[[#This Row],[Avance_Med]])*_xlfn.XLOOKUP(Tabla1[[#This Row],[Codigo_actividad]],Catalogo!$B$6:$B$51,Catalogo!$F$6:$F$51,0)</f>
        <v>0</v>
      </c>
      <c r="O590" t="str">
        <f>_xlfn.IFNA(_xlfn.XLOOKUP(Tabla1[[#This Row],[fin]],$Q$379:$Q$398,$U$379:$U$398),"")</f>
        <v/>
      </c>
    </row>
    <row r="591" spans="1:19" x14ac:dyDescent="0.25">
      <c r="A591" s="354">
        <v>46251</v>
      </c>
      <c r="B591" s="114" t="s">
        <v>12</v>
      </c>
      <c r="C591" s="155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4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76" t="str">
        <f>+_xlfn.XLOOKUP(Tabla1[[#This Row],[Codigo_actividad]],Conceptos!A:A,Conceptos!H:H)</f>
        <v>P2.06</v>
      </c>
      <c r="L591" s="66" t="str">
        <f>IF(_xlfn.XLOOKUP($J591,Catalogo!$B$7:$B$210,Catalogo!$I$7:$I$210,"",0)=0,"",_xlfn.XLOOKUP($J591,Catalogo!$B$7:$B$210,Catalogo!$I$7:$I$210,"",0))</f>
        <v>Localizacion</v>
      </c>
      <c r="M591" s="36">
        <f>+_xlfn.XLOOKUP(Tabla1[[#This Row],[Ducto]],'R (s04)'!B:B,'R (s04)'!C:C)</f>
        <v>47.596499999999999</v>
      </c>
      <c r="N591" s="261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9" x14ac:dyDescent="0.25">
      <c r="A592" s="354">
        <v>46252</v>
      </c>
      <c r="B592" s="114" t="s">
        <v>12</v>
      </c>
      <c r="C592" s="155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4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76" t="str">
        <f>+_xlfn.XLOOKUP(Tabla1[[#This Row],[Codigo_actividad]],Conceptos!A:A,Conceptos!H:H)</f>
        <v>P2.01</v>
      </c>
      <c r="L592" s="66" t="str">
        <f>IF(_xlfn.XLOOKUP($J592,Catalogo!$B$7:$B$210,Catalogo!$I$7:$I$210,"",0)=0,"",_xlfn.XLOOKUP($J592,Catalogo!$B$7:$B$210,Catalogo!$I$7:$I$210,"",0))</f>
        <v>CIPS</v>
      </c>
      <c r="M592" s="36">
        <f>+_xlfn.XLOOKUP(Tabla1[[#This Row],[Ducto]],'R (s04)'!B:B,'R (s04)'!C:C)</f>
        <v>47.596499999999999</v>
      </c>
      <c r="N592" s="261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5" x14ac:dyDescent="0.25">
      <c r="A593" s="354">
        <v>46253</v>
      </c>
      <c r="B593" s="114" t="s">
        <v>12</v>
      </c>
      <c r="C593" s="155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4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76" t="str">
        <f>+_xlfn.XLOOKUP(Tabla1[[#This Row],[Codigo_actividad]],Conceptos!A:A,Conceptos!H:H)</f>
        <v>P2.06</v>
      </c>
      <c r="L593" s="66" t="str">
        <f>IF(_xlfn.XLOOKUP($J593,Catalogo!$B$7:$B$210,Catalogo!$I$7:$I$210,"",0)=0,"",_xlfn.XLOOKUP($J593,Catalogo!$B$7:$B$210,Catalogo!$I$7:$I$210,"",0))</f>
        <v>Localizacion</v>
      </c>
      <c r="M593" s="36">
        <f>+_xlfn.XLOOKUP(Tabla1[[#This Row],[Ducto]],'R (s04)'!B:B,'R (s04)'!C:C)</f>
        <v>47.596499999999999</v>
      </c>
      <c r="N59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5" x14ac:dyDescent="0.25">
      <c r="A594" s="354">
        <v>46253</v>
      </c>
      <c r="B594" s="114" t="s">
        <v>12</v>
      </c>
      <c r="C594" s="155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4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76" t="str">
        <f>+_xlfn.XLOOKUP(Tabla1[[#This Row],[Codigo_actividad]],Conceptos!A:A,Conceptos!H:H)</f>
        <v>P2.06</v>
      </c>
      <c r="L594" s="66" t="str">
        <f>IF(_xlfn.XLOOKUP($J594,Catalogo!$B$7:$B$210,Catalogo!$I$7:$I$210,"",0)=0,"",_xlfn.XLOOKUP($J594,Catalogo!$B$7:$B$210,Catalogo!$I$7:$I$210,"",0))</f>
        <v>Localizacion</v>
      </c>
      <c r="M594" s="36">
        <f>+_xlfn.XLOOKUP(Tabla1[[#This Row],[Ducto]],'R (s04)'!B:B,'R (s04)'!C:C)</f>
        <v>47.596499999999999</v>
      </c>
      <c r="N594" s="261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5" x14ac:dyDescent="0.25">
      <c r="A595" s="354">
        <v>46254</v>
      </c>
      <c r="B595" s="114" t="s">
        <v>12</v>
      </c>
      <c r="C595" s="155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4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76" t="str">
        <f>+_xlfn.XLOOKUP(Tabla1[[#This Row],[Codigo_actividad]],Conceptos!A:A,Conceptos!H:H)</f>
        <v>P2.01</v>
      </c>
      <c r="L595" s="66" t="str">
        <f>IF(_xlfn.XLOOKUP($J595,Catalogo!$B$7:$B$210,Catalogo!$I$7:$I$210,"",0)=0,"",_xlfn.XLOOKUP($J595,Catalogo!$B$7:$B$210,Catalogo!$I$7:$I$210,"",0))</f>
        <v>CIPS</v>
      </c>
      <c r="M595" s="36">
        <f>+_xlfn.XLOOKUP(Tabla1[[#This Row],[Ducto]],'R (s04)'!B:B,'R (s04)'!C:C)</f>
        <v>47.596499999999999</v>
      </c>
      <c r="N595" s="261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5" x14ac:dyDescent="0.25">
      <c r="A596" s="354">
        <v>46255</v>
      </c>
      <c r="B596" s="114" t="s">
        <v>12</v>
      </c>
      <c r="C596" s="155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4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76" t="str">
        <f>+_xlfn.XLOOKUP(Tabla1[[#This Row],[Codigo_actividad]],Conceptos!A:A,Conceptos!H:H)</f>
        <v>P2.01</v>
      </c>
      <c r="L596" s="66" t="str">
        <f>IF(_xlfn.XLOOKUP($J596,Catalogo!$B$7:$B$210,Catalogo!$I$7:$I$210,"",0)=0,"",_xlfn.XLOOKUP($J596,Catalogo!$B$7:$B$210,Catalogo!$I$7:$I$210,"",0))</f>
        <v>CIPS</v>
      </c>
      <c r="M596" s="36">
        <f>+_xlfn.XLOOKUP(Tabla1[[#This Row],[Ducto]],'R (s04)'!B:B,'R (s04)'!C:C)</f>
        <v>47.596499999999999</v>
      </c>
      <c r="N596" s="261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5" x14ac:dyDescent="0.25">
      <c r="A597" s="354">
        <v>46255</v>
      </c>
      <c r="B597" s="114" t="s">
        <v>12</v>
      </c>
      <c r="C597" s="155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4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76" t="str">
        <f>+_xlfn.XLOOKUP(Tabla1[[#This Row],[Codigo_actividad]],Conceptos!A:A,Conceptos!H:H)</f>
        <v>P2.06</v>
      </c>
      <c r="L597" s="66" t="str">
        <f>IF(_xlfn.XLOOKUP($J597,Catalogo!$B$7:$B$210,Catalogo!$I$7:$I$210,"",0)=0,"",_xlfn.XLOOKUP($J597,Catalogo!$B$7:$B$210,Catalogo!$I$7:$I$210,"",0))</f>
        <v>Localizacion</v>
      </c>
      <c r="M597" s="36">
        <f>+_xlfn.XLOOKUP(Tabla1[[#This Row],[Ducto]],'R (s04)'!B:B,'R (s04)'!C:C)</f>
        <v>47.596499999999999</v>
      </c>
      <c r="N597" s="261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5" x14ac:dyDescent="0.25">
      <c r="A598" s="354">
        <v>46256</v>
      </c>
      <c r="B598" s="114" t="s">
        <v>12</v>
      </c>
      <c r="C598" s="155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4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76" t="str">
        <f>+_xlfn.XLOOKUP(Tabla1[[#This Row],[Codigo_actividad]],Conceptos!A:A,Conceptos!H:H)</f>
        <v>P2.06</v>
      </c>
      <c r="L598" s="66" t="str">
        <f>IF(_xlfn.XLOOKUP($J598,Catalogo!$B$7:$B$210,Catalogo!$I$7:$I$210,"",0)=0,"",_xlfn.XLOOKUP($J598,Catalogo!$B$7:$B$210,Catalogo!$I$7:$I$210,"",0))</f>
        <v>Localizacion</v>
      </c>
      <c r="M598" s="36">
        <f>+_xlfn.XLOOKUP(Tabla1[[#This Row],[Ducto]],'R (s04)'!B:B,'R (s04)'!C:C)</f>
        <v>47.596499999999999</v>
      </c>
      <c r="N598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5" x14ac:dyDescent="0.25">
      <c r="A599" s="354">
        <v>46256</v>
      </c>
      <c r="B599" s="114" t="s">
        <v>12</v>
      </c>
      <c r="C599" s="155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4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76" t="str">
        <f>+_xlfn.XLOOKUP(Tabla1[[#This Row],[Codigo_actividad]],Conceptos!A:A,Conceptos!H:H)</f>
        <v>P2.06</v>
      </c>
      <c r="L599" s="66" t="str">
        <f>IF(_xlfn.XLOOKUP($J599,Catalogo!$B$7:$B$210,Catalogo!$I$7:$I$210,"",0)=0,"",_xlfn.XLOOKUP($J599,Catalogo!$B$7:$B$210,Catalogo!$I$7:$I$210,"",0))</f>
        <v>Localizacion</v>
      </c>
      <c r="M599" s="36">
        <f>+_xlfn.XLOOKUP(Tabla1[[#This Row],[Ducto]],'R (s04)'!B:B,'R (s04)'!C:C)</f>
        <v>47.596499999999999</v>
      </c>
      <c r="N599" s="261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5" x14ac:dyDescent="0.25">
      <c r="A600" s="354"/>
      <c r="C600" s="155"/>
      <c r="D600" s="39"/>
      <c r="F600" s="28"/>
      <c r="G600" s="28"/>
      <c r="H600" s="224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76">
        <f>+_xlfn.XLOOKUP(Tabla1[[#This Row],[Codigo_actividad]],Conceptos!A:A,Conceptos!H:H)</f>
        <v>0</v>
      </c>
      <c r="L600" s="66" t="str">
        <f>IF(_xlfn.XLOOKUP($J600,Catalogo!$B$7:$B$21,Catalogo!$I$7:$I$21,"",0)=0,"",_xlfn.XLOOKUP($J600,Catalogo!$B$7:$B$21,Catalogo!$I$7:$I$21,"",0))</f>
        <v/>
      </c>
      <c r="M600" s="36"/>
      <c r="N600" s="261">
        <f>IF(Tabla1[[#This Row],[Avance_km]]&lt;&gt;"",Tabla1[[#This Row],[Avance_km]],Tabla1[[#This Row],[Avance_Med]])*_xlfn.XLOOKUP(Tabla1[[#This Row],[Codigo_actividad]],Catalogo!$B$6:$B$51,Catalogo!$F$6:$F$51,0)</f>
        <v>0</v>
      </c>
      <c r="O600" t="str">
        <f>_xlfn.IFNA(_xlfn.XLOOKUP(Tabla1[[#This Row],[fin]],$Q$379:$Q$398,$U$379:$U$398),"")</f>
        <v/>
      </c>
    </row>
    <row r="601" spans="1:15" x14ac:dyDescent="0.25">
      <c r="A601" s="354">
        <v>46258</v>
      </c>
      <c r="B601" s="114" t="s">
        <v>12</v>
      </c>
      <c r="C601" s="155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4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76" t="str">
        <f>+_xlfn.XLOOKUP(Tabla1[[#This Row],[Codigo_actividad]],Conceptos!A:A,Conceptos!H:H)</f>
        <v>P2.06</v>
      </c>
      <c r="L601" s="66" t="str">
        <f>IF(_xlfn.XLOOKUP($J601,Catalogo!$B$7:$B$210,Catalogo!$I$7:$I$210,"",0)=0,"",_xlfn.XLOOKUP($J601,Catalogo!$B$7:$B$210,Catalogo!$I$7:$I$210,"",0))</f>
        <v>Localizacion</v>
      </c>
      <c r="M601" s="36">
        <f>+_xlfn.XLOOKUP(Tabla1[[#This Row],[Ducto]],'R (s04)'!B:B,'R (s04)'!C:C)</f>
        <v>47.596499999999999</v>
      </c>
      <c r="N601" s="261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5" x14ac:dyDescent="0.25">
      <c r="A602" s="354">
        <v>46258</v>
      </c>
      <c r="B602" s="114" t="s">
        <v>12</v>
      </c>
      <c r="C602" s="155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4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76" t="str">
        <f>+_xlfn.XLOOKUP(Tabla1[[#This Row],[Codigo_actividad]],Conceptos!A:A,Conceptos!H:H)</f>
        <v>P2.06</v>
      </c>
      <c r="L602" s="66" t="str">
        <f>IF(_xlfn.XLOOKUP($J602,Catalogo!$B$7:$B$210,Catalogo!$I$7:$I$210,"",0)=0,"",_xlfn.XLOOKUP($J602,Catalogo!$B$7:$B$210,Catalogo!$I$7:$I$210,"",0))</f>
        <v>Localizacion</v>
      </c>
      <c r="M602" s="36">
        <f>+_xlfn.XLOOKUP(Tabla1[[#This Row],[Ducto]],'R (s04)'!B:B,'R (s04)'!C:C)</f>
        <v>47.596499999999999</v>
      </c>
      <c r="N602" s="261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5" x14ac:dyDescent="0.25">
      <c r="A603" s="354">
        <v>46262</v>
      </c>
      <c r="B603" s="114" t="s">
        <v>12</v>
      </c>
      <c r="C603" s="155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4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76" t="str">
        <f>+_xlfn.XLOOKUP(Tabla1[[#This Row],[Codigo_actividad]],Conceptos!A:A,Conceptos!H:H)</f>
        <v>P2.06</v>
      </c>
      <c r="L603" s="66" t="str">
        <f>IF(_xlfn.XLOOKUP($J603,Catalogo!$B$7:$B$210,Catalogo!$I$7:$I$210,"",0)=0,"",_xlfn.XLOOKUP($J603,Catalogo!$B$7:$B$210,Catalogo!$I$7:$I$210,"",0))</f>
        <v>Localizacion</v>
      </c>
      <c r="M603" s="36">
        <f>+_xlfn.XLOOKUP(Tabla1[[#This Row],[Ducto]],'R (s04)'!B:B,'R (s04)'!C:C)</f>
        <v>47.596499999999999</v>
      </c>
      <c r="N603" s="261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5" x14ac:dyDescent="0.25">
      <c r="A604" s="354"/>
      <c r="B604" s="114"/>
      <c r="C604" s="155"/>
      <c r="D604" s="39"/>
      <c r="F604" s="28"/>
      <c r="G604" s="28"/>
      <c r="H604" s="224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76">
        <f>+_xlfn.XLOOKUP(Tabla1[[#This Row],[Codigo_actividad]],Conceptos!A:A,Conceptos!H:H)</f>
        <v>0</v>
      </c>
      <c r="L604" s="66" t="str">
        <f>IF(_xlfn.XLOOKUP($J604,Catalogo!$B$7:$B$21,Catalogo!$I$7:$I$21,"",0)=0,"",_xlfn.XLOOKUP($J604,Catalogo!$B$7:$B$21,Catalogo!$I$7:$I$21,"",0))</f>
        <v/>
      </c>
      <c r="M604" s="36"/>
      <c r="N604" s="261">
        <f>IF(Tabla1[[#This Row],[Avance_km]]&lt;&gt;"",Tabla1[[#This Row],[Avance_km]],Tabla1[[#This Row],[Avance_Med]])*_xlfn.XLOOKUP(Tabla1[[#This Row],[Codigo_actividad]],Catalogo!$B$6:$B$51,Catalogo!$F$6:$F$51,0)</f>
        <v>0</v>
      </c>
      <c r="O604" t="str">
        <f>_xlfn.IFNA(_xlfn.XLOOKUP(Tabla1[[#This Row],[fin]],$Q$379:$Q$398,$U$379:$U$398),"")</f>
        <v/>
      </c>
    </row>
    <row r="605" spans="1:15" x14ac:dyDescent="0.25">
      <c r="A605" s="354">
        <v>46265</v>
      </c>
      <c r="B605" s="114" t="s">
        <v>12</v>
      </c>
      <c r="C605" s="155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4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76" t="str">
        <f>+_xlfn.XLOOKUP(Tabla1[[#This Row],[Codigo_actividad]],Conceptos!A:A,Conceptos!H:H)</f>
        <v>P2.06</v>
      </c>
      <c r="L605" s="66" t="str">
        <f>IF(_xlfn.XLOOKUP($J605,Catalogo!$B$7:$B$210,Catalogo!$I$7:$I$210,"",0)=0,"",_xlfn.XLOOKUP($J605,Catalogo!$B$7:$B$210,Catalogo!$I$7:$I$210,"",0))</f>
        <v>Localizacion</v>
      </c>
      <c r="M605" s="36">
        <f>+_xlfn.XLOOKUP(Tabla1[[#This Row],[Ducto]],'R (s04)'!B:B,'R (s04)'!C:C)</f>
        <v>47.596499999999999</v>
      </c>
      <c r="N605" s="261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5" x14ac:dyDescent="0.25">
      <c r="A606" s="354">
        <v>46266</v>
      </c>
      <c r="B606" s="114" t="s">
        <v>12</v>
      </c>
      <c r="C606" s="155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4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76" t="str">
        <f>+_xlfn.XLOOKUP(Tabla1[[#This Row],[Codigo_actividad]],Conceptos!A:A,Conceptos!H:H)</f>
        <v>P2.06</v>
      </c>
      <c r="L606" s="66" t="str">
        <f>IF(_xlfn.XLOOKUP($J606,Catalogo!$B$7:$B$210,Catalogo!$I$7:$I$210,"",0)=0,"",_xlfn.XLOOKUP($J606,Catalogo!$B$7:$B$210,Catalogo!$I$7:$I$210,"",0))</f>
        <v>Localizacion</v>
      </c>
      <c r="M606" s="36">
        <f>+_xlfn.XLOOKUP(Tabla1[[#This Row],[Ducto]],'R (s04)'!B:B,'R (s04)'!C:C)</f>
        <v>47.596499999999999</v>
      </c>
      <c r="N606" s="261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5" x14ac:dyDescent="0.25">
      <c r="A607" s="354">
        <v>46267</v>
      </c>
      <c r="B607" s="114" t="s">
        <v>12</v>
      </c>
      <c r="C607" s="155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4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76" t="str">
        <f>+_xlfn.XLOOKUP(Tabla1[[#This Row],[Codigo_actividad]],Conceptos!A:A,Conceptos!H:H)</f>
        <v>P2.01</v>
      </c>
      <c r="L607" s="66" t="str">
        <f>IF(_xlfn.XLOOKUP($J607,Catalogo!$B$7:$B$210,Catalogo!$I$7:$I$210,"",0)=0,"",_xlfn.XLOOKUP($J607,Catalogo!$B$7:$B$210,Catalogo!$I$7:$I$210,"",0))</f>
        <v>CIPS</v>
      </c>
      <c r="M607" s="36">
        <f>+_xlfn.XLOOKUP(Tabla1[[#This Row],[Ducto]],'R (s04)'!B:B,'R (s04)'!C:C)</f>
        <v>47.596499999999999</v>
      </c>
      <c r="N607" s="261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5" x14ac:dyDescent="0.25">
      <c r="A608" s="354">
        <v>46268</v>
      </c>
      <c r="B608" s="114" t="s">
        <v>12</v>
      </c>
      <c r="C608" s="155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4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76" t="str">
        <f>+_xlfn.XLOOKUP(Tabla1[[#This Row],[Codigo_actividad]],Conceptos!A:A,Conceptos!H:H)</f>
        <v>P2.01</v>
      </c>
      <c r="L608" s="66" t="str">
        <f>IF(_xlfn.XLOOKUP($J608,Catalogo!$B$7:$B$210,Catalogo!$I$7:$I$210,"",0)=0,"",_xlfn.XLOOKUP($J608,Catalogo!$B$7:$B$210,Catalogo!$I$7:$I$210,"",0))</f>
        <v>CIPS</v>
      </c>
      <c r="M608" s="36">
        <f>+_xlfn.XLOOKUP(Tabla1[[#This Row],[Ducto]],'R (s04)'!B:B,'R (s04)'!C:C)</f>
        <v>47.596499999999999</v>
      </c>
      <c r="N608" s="261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5" x14ac:dyDescent="0.25">
      <c r="A609" s="354"/>
      <c r="B609" s="114"/>
      <c r="C609" s="155"/>
      <c r="D609" s="39"/>
      <c r="F609" s="28"/>
      <c r="G609" s="28"/>
      <c r="H609" s="224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76">
        <f>+_xlfn.XLOOKUP(Tabla1[[#This Row],[Codigo_actividad]],Conceptos!A:A,Conceptos!H:H)</f>
        <v>0</v>
      </c>
      <c r="L609" s="66" t="str">
        <f>IF(_xlfn.XLOOKUP($J609,Catalogo!$B$7:$B$21,Catalogo!$I$7:$I$21,"",0)=0,"",_xlfn.XLOOKUP($J609,Catalogo!$B$7:$B$21,Catalogo!$I$7:$I$21,"",0))</f>
        <v/>
      </c>
      <c r="M609" s="36"/>
      <c r="N609" s="261">
        <f>IF(Tabla1[[#This Row],[Avance_km]]&lt;&gt;"",Tabla1[[#This Row],[Avance_km]],Tabla1[[#This Row],[Avance_Med]])*_xlfn.XLOOKUP(Tabla1[[#This Row],[Codigo_actividad]],Catalogo!$B$6:$B$51,Catalogo!$F$6:$F$51,0)</f>
        <v>0</v>
      </c>
      <c r="O609" t="str">
        <f>_xlfn.IFNA(_xlfn.XLOOKUP(Tabla1[[#This Row],[fin]],$Q$379:$Q$398,$U$379:$U$398),"")</f>
        <v/>
      </c>
    </row>
    <row r="610" spans="1:15" x14ac:dyDescent="0.25">
      <c r="A610" s="354">
        <v>46272</v>
      </c>
      <c r="B610" s="114" t="s">
        <v>12</v>
      </c>
      <c r="C610" s="155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4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76" t="str">
        <f>+_xlfn.XLOOKUP(Tabla1[[#This Row],[Codigo_actividad]],Conceptos!A:A,Conceptos!H:H)</f>
        <v>P2.01</v>
      </c>
      <c r="L610" s="66" t="str">
        <f>IF(_xlfn.XLOOKUP($J610,Catalogo!$B$7:$B$210,Catalogo!$I$7:$I$210,"",0)=0,"",_xlfn.XLOOKUP($J610,Catalogo!$B$7:$B$210,Catalogo!$I$7:$I$210,"",0))</f>
        <v>CIPS</v>
      </c>
      <c r="M610" s="36">
        <f>+_xlfn.XLOOKUP(Tabla1[[#This Row],[Ducto]],'R (s04)'!B:B,'R (s04)'!C:C)</f>
        <v>47.596499999999999</v>
      </c>
      <c r="N610" s="261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5" x14ac:dyDescent="0.25">
      <c r="A611" s="354">
        <v>46273</v>
      </c>
      <c r="B611" s="114" t="s">
        <v>12</v>
      </c>
      <c r="C611" s="155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4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76" t="str">
        <f>+_xlfn.XLOOKUP(Tabla1[[#This Row],[Codigo_actividad]],Conceptos!A:A,Conceptos!H:H)</f>
        <v>P2.01</v>
      </c>
      <c r="L611" s="66" t="str">
        <f>IF(_xlfn.XLOOKUP($J611,Catalogo!$B$7:$B$210,Catalogo!$I$7:$I$210,"",0)=0,"",_xlfn.XLOOKUP($J611,Catalogo!$B$7:$B$210,Catalogo!$I$7:$I$210,"",0))</f>
        <v>CIPS</v>
      </c>
      <c r="M611" s="36">
        <f>+_xlfn.XLOOKUP(Tabla1[[#This Row],[Ducto]],'R (s04)'!B:B,'R (s04)'!C:C)</f>
        <v>47.596499999999999</v>
      </c>
      <c r="N611" s="261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5" x14ac:dyDescent="0.25">
      <c r="A612" s="354">
        <v>46274</v>
      </c>
      <c r="B612" s="114" t="s">
        <v>12</v>
      </c>
      <c r="C612" s="155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4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76" t="str">
        <f>+_xlfn.XLOOKUP(Tabla1[[#This Row],[Codigo_actividad]],Conceptos!A:A,Conceptos!H:H)</f>
        <v>P2.01</v>
      </c>
      <c r="L612" s="66" t="str">
        <f>IF(_xlfn.XLOOKUP($J612,Catalogo!$B$7:$B$210,Catalogo!$I$7:$I$210,"",0)=0,"",_xlfn.XLOOKUP($J612,Catalogo!$B$7:$B$210,Catalogo!$I$7:$I$210,"",0))</f>
        <v>CIPS</v>
      </c>
      <c r="M612" s="36">
        <f>+_xlfn.XLOOKUP(Tabla1[[#This Row],[Ducto]],'R (s04)'!B:B,'R (s04)'!C:C)</f>
        <v>47.596499999999999</v>
      </c>
      <c r="N612" s="261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5" x14ac:dyDescent="0.25">
      <c r="A613" s="354">
        <v>46274</v>
      </c>
      <c r="B613" s="114" t="s">
        <v>12</v>
      </c>
      <c r="C613" s="155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4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76" t="str">
        <f>+_xlfn.XLOOKUP(Tabla1[[#This Row],[Codigo_actividad]],Conceptos!A:A,Conceptos!H:H)</f>
        <v>P2.01</v>
      </c>
      <c r="L613" s="66" t="str">
        <f>IF(_xlfn.XLOOKUP($J613,Catalogo!$B$7:$B$210,Catalogo!$I$7:$I$210,"",0)=0,"",_xlfn.XLOOKUP($J613,Catalogo!$B$7:$B$210,Catalogo!$I$7:$I$210,"",0))</f>
        <v>CIPS</v>
      </c>
      <c r="M613" s="36">
        <f>+_xlfn.XLOOKUP(Tabla1[[#This Row],[Ducto]],'R (s04)'!B:B,'R (s04)'!C:C)</f>
        <v>47.596499999999999</v>
      </c>
      <c r="N613" s="261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5" x14ac:dyDescent="0.25">
      <c r="A614" s="354">
        <v>46275</v>
      </c>
      <c r="B614" s="114" t="s">
        <v>12</v>
      </c>
      <c r="C614" s="155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76" t="str">
        <f>+_xlfn.XLOOKUP(Tabla1[[#This Row],[Codigo_actividad]],Conceptos!A:A,Conceptos!H:H)</f>
        <v>P2.06</v>
      </c>
      <c r="L614" s="66" t="str">
        <f>IF(_xlfn.XLOOKUP($J614,Catalogo!$B$7:$B$210,Catalogo!$I$7:$I$210,"",0)=0,"",_xlfn.XLOOKUP($J614,Catalogo!$B$7:$B$210,Catalogo!$I$7:$I$210,"",0))</f>
        <v>Localizacion</v>
      </c>
      <c r="M614" s="36">
        <f>+_xlfn.XLOOKUP(Tabla1[[#This Row],[Ducto]],'R (s04)'!B:B,'R (s04)'!C:C)</f>
        <v>47.596499999999999</v>
      </c>
      <c r="N614" s="261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5" x14ac:dyDescent="0.25">
      <c r="A615" s="354">
        <v>46276</v>
      </c>
      <c r="B615" s="114" t="s">
        <v>12</v>
      </c>
      <c r="C615" s="155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4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76" t="str">
        <f>+_xlfn.XLOOKUP(Tabla1[[#This Row],[Codigo_actividad]],Conceptos!A:A,Conceptos!H:H)</f>
        <v>P2.01</v>
      </c>
      <c r="L615" s="66" t="str">
        <f>IF(_xlfn.XLOOKUP($J615,Catalogo!$B$7:$B$210,Catalogo!$I$7:$I$210,"",0)=0,"",_xlfn.XLOOKUP($J615,Catalogo!$B$7:$B$210,Catalogo!$I$7:$I$210,"",0))</f>
        <v>CIPS</v>
      </c>
      <c r="M615" s="36">
        <f>+_xlfn.XLOOKUP(Tabla1[[#This Row],[Ducto]],'R (s04)'!B:B,'R (s04)'!C:C)</f>
        <v>47.596499999999999</v>
      </c>
      <c r="N615" s="261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5" x14ac:dyDescent="0.25">
      <c r="A616" s="354">
        <v>46276</v>
      </c>
      <c r="B616" s="114" t="s">
        <v>12</v>
      </c>
      <c r="C616" s="155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4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76" t="str">
        <f>+_xlfn.XLOOKUP(Tabla1[[#This Row],[Codigo_actividad]],Conceptos!A:A,Conceptos!H:H)</f>
        <v>P2.01</v>
      </c>
      <c r="L616" s="66" t="str">
        <f>IF(_xlfn.XLOOKUP($J616,Catalogo!$B$7:$B$210,Catalogo!$I$7:$I$210,"",0)=0,"",_xlfn.XLOOKUP($J616,Catalogo!$B$7:$B$210,Catalogo!$I$7:$I$210,"",0))</f>
        <v>CIPS</v>
      </c>
      <c r="M616" s="36">
        <f>+_xlfn.XLOOKUP(Tabla1[[#This Row],[Ducto]],'R (s04)'!B:B,'R (s04)'!C:C)</f>
        <v>47.596499999999999</v>
      </c>
      <c r="N616" s="261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5" x14ac:dyDescent="0.25">
      <c r="A617" s="354">
        <v>46277</v>
      </c>
      <c r="B617" s="114" t="s">
        <v>12</v>
      </c>
      <c r="C617" s="155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76" t="str">
        <f>+_xlfn.XLOOKUP(Tabla1[[#This Row],[Codigo_actividad]],Conceptos!A:A,Conceptos!H:H)</f>
        <v>P2.01</v>
      </c>
      <c r="L617" s="66" t="str">
        <f>IF(_xlfn.XLOOKUP($J617,Catalogo!$B$7:$B$210,Catalogo!$I$7:$I$210,"",0)=0,"",_xlfn.XLOOKUP($J617,Catalogo!$B$7:$B$210,Catalogo!$I$7:$I$210,"",0))</f>
        <v>CIPS</v>
      </c>
      <c r="M617" s="36">
        <f>+_xlfn.XLOOKUP(Tabla1[[#This Row],[Ducto]],'R (s04)'!B:B,'R (s04)'!C:C)</f>
        <v>47.596499999999999</v>
      </c>
      <c r="N617" s="261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5" x14ac:dyDescent="0.25">
      <c r="A618" s="354"/>
      <c r="B618" s="114"/>
      <c r="C618" s="155"/>
      <c r="D618" s="39"/>
      <c r="F618" s="28"/>
      <c r="G618" s="28"/>
      <c r="H618" s="224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76">
        <f>+_xlfn.XLOOKUP(Tabla1[[#This Row],[Codigo_actividad]],Conceptos!A:A,Conceptos!H:H)</f>
        <v>0</v>
      </c>
      <c r="L618" s="66" t="str">
        <f>IF(_xlfn.XLOOKUP($J618,Catalogo!$B$7:$B$21,Catalogo!$I$7:$I$21,"",0)=0,"",_xlfn.XLOOKUP($J618,Catalogo!$B$7:$B$21,Catalogo!$I$7:$I$21,"",0))</f>
        <v/>
      </c>
      <c r="M618" s="36"/>
      <c r="N618" s="261">
        <f>IF(Tabla1[[#This Row],[Avance_km]]&lt;&gt;"",Tabla1[[#This Row],[Avance_km]],Tabla1[[#This Row],[Avance_Med]])*_xlfn.XLOOKUP(Tabla1[[#This Row],[Codigo_actividad]],Catalogo!$B$6:$B$51,Catalogo!$F$6:$F$51,0)</f>
        <v>0</v>
      </c>
      <c r="O618" t="str">
        <f>_xlfn.IFNA(_xlfn.XLOOKUP(Tabla1[[#This Row],[fin]],$Q$379:$Q$398,$U$379:$U$398),"")</f>
        <v/>
      </c>
    </row>
    <row r="619" spans="1:15" x14ac:dyDescent="0.25">
      <c r="A619" s="354">
        <v>46279</v>
      </c>
      <c r="B619" s="114" t="s">
        <v>12</v>
      </c>
      <c r="C619" s="155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4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76" t="str">
        <f>+_xlfn.XLOOKUP(Tabla1[[#This Row],[Codigo_actividad]],Conceptos!A:A,Conceptos!H:H)</f>
        <v>P2.01</v>
      </c>
      <c r="L619" s="66" t="str">
        <f>IF(_xlfn.XLOOKUP($J619,Catalogo!$B$7:$B$210,Catalogo!$I$7:$I$210,"",0)=0,"",_xlfn.XLOOKUP($J619,Catalogo!$B$7:$B$210,Catalogo!$I$7:$I$210,"",0))</f>
        <v>CIPS</v>
      </c>
      <c r="M619" s="36">
        <f>+_xlfn.XLOOKUP(Tabla1[[#This Row],[Ducto]],'R (s04)'!B:B,'R (s04)'!C:C)</f>
        <v>47.596499999999999</v>
      </c>
      <c r="N619" s="261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5" x14ac:dyDescent="0.25">
      <c r="A620" s="354">
        <v>46280</v>
      </c>
      <c r="B620" s="114" t="s">
        <v>12</v>
      </c>
      <c r="C620" s="155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4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76" t="str">
        <f>+_xlfn.XLOOKUP(Tabla1[[#This Row],[Codigo_actividad]],Conceptos!A:A,Conceptos!H:H)</f>
        <v>P2.06</v>
      </c>
      <c r="L620" s="66" t="str">
        <f>IF(_xlfn.XLOOKUP($J620,Catalogo!$B$7:$B$210,Catalogo!$I$7:$I$210,"",0)=0,"",_xlfn.XLOOKUP($J620,Catalogo!$B$7:$B$210,Catalogo!$I$7:$I$210,"",0))</f>
        <v>Localizacion</v>
      </c>
      <c r="M620" s="36">
        <f>+_xlfn.XLOOKUP(Tabla1[[#This Row],[Ducto]],'R (s04)'!B:B,'R (s04)'!C:C)</f>
        <v>47.596499999999999</v>
      </c>
      <c r="N620" s="261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5" x14ac:dyDescent="0.25">
      <c r="A621" s="354">
        <v>46281</v>
      </c>
      <c r="B621" s="114" t="s">
        <v>30</v>
      </c>
      <c r="C621" s="155" t="s">
        <v>411</v>
      </c>
      <c r="D621" s="39" t="s">
        <v>359</v>
      </c>
      <c r="E621" s="40" t="s">
        <v>31</v>
      </c>
      <c r="F621" s="28"/>
      <c r="G621" s="28"/>
      <c r="H621" s="224"/>
      <c r="I621" s="66">
        <v>2</v>
      </c>
      <c r="J621" s="76">
        <v>2.5</v>
      </c>
      <c r="K621" s="76" t="str">
        <f>+_xlfn.XLOOKUP(Tabla1[[#This Row],[Codigo_actividad]],Conceptos!A:A,Conceptos!H:H)</f>
        <v>P2.05</v>
      </c>
      <c r="L621" s="55" t="str">
        <f>IF(_xlfn.XLOOKUP($J621,Catalogo!$B$7:$B$210,Catalogo!$I$7:$I$210,"",0)=0,"",_xlfn.XLOOKUP($J621,Catalogo!$B$7:$B$210,Catalogo!$I$7:$I$210,"",0))</f>
        <v>Resistividades pH BSR BPA</v>
      </c>
      <c r="M621" s="36"/>
      <c r="N621" s="261">
        <f>IF(Tabla1[[#This Row],[Avance_km]]&lt;&gt;"",Tabla1[[#This Row],[Avance_km]],Tabla1[[#This Row],[Avance_Med]])*_xlfn.XLOOKUP(Tabla1[[#This Row],[Codigo_actividad]],Catalogo!$B$6:$B$51,Catalogo!$F$6:$F$51,0)</f>
        <v>9316</v>
      </c>
      <c r="O621" t="str">
        <f>_xlfn.IFNA(_xlfn.XLOOKUP(Tabla1[[#This Row],[fin]],$Q$379:$Q$398,$U$379:$U$398),"")</f>
        <v/>
      </c>
    </row>
    <row r="622" spans="1:15" x14ac:dyDescent="0.25">
      <c r="A622" s="354">
        <v>46281</v>
      </c>
      <c r="B622" s="114" t="s">
        <v>30</v>
      </c>
      <c r="C622" s="155" t="s">
        <v>411</v>
      </c>
      <c r="D622" s="39" t="s">
        <v>361</v>
      </c>
      <c r="E622" s="40" t="s">
        <v>31</v>
      </c>
      <c r="F622" s="28"/>
      <c r="G622" s="28"/>
      <c r="H622" s="224"/>
      <c r="I622" s="66">
        <v>1</v>
      </c>
      <c r="J622" s="76">
        <v>2.5</v>
      </c>
      <c r="K622" s="76" t="str">
        <f>+_xlfn.XLOOKUP(Tabla1[[#This Row],[Codigo_actividad]],Conceptos!A:A,Conceptos!H:H)</f>
        <v>P2.05</v>
      </c>
      <c r="L622" s="55" t="str">
        <f>IF(_xlfn.XLOOKUP($J622,Catalogo!$B$7:$B$210,Catalogo!$I$7:$I$210,"",0)=0,"",_xlfn.XLOOKUP($J622,Catalogo!$B$7:$B$210,Catalogo!$I$7:$I$210,"",0))</f>
        <v>Resistividades pH BSR BPA</v>
      </c>
      <c r="M622" s="36"/>
      <c r="N622" s="261">
        <f>IF(Tabla1[[#This Row],[Avance_km]]&lt;&gt;"",Tabla1[[#This Row],[Avance_km]],Tabla1[[#This Row],[Avance_Med]])*_xlfn.XLOOKUP(Tabla1[[#This Row],[Codigo_actividad]],Catalogo!$B$6:$B$51,Catalogo!$F$6:$F$51,0)</f>
        <v>4658</v>
      </c>
      <c r="O622" t="str">
        <f>_xlfn.IFNA(_xlfn.XLOOKUP(Tabla1[[#This Row],[fin]],$Q$379:$Q$398,$U$379:$U$398),"")</f>
        <v/>
      </c>
    </row>
    <row r="623" spans="1:15" x14ac:dyDescent="0.25">
      <c r="A623" s="354">
        <v>46281</v>
      </c>
      <c r="B623" s="114" t="s">
        <v>30</v>
      </c>
      <c r="C623" s="155" t="s">
        <v>411</v>
      </c>
      <c r="D623" s="39" t="s">
        <v>360</v>
      </c>
      <c r="E623" s="40" t="s">
        <v>31</v>
      </c>
      <c r="F623" s="28"/>
      <c r="G623" s="28"/>
      <c r="H623" s="224"/>
      <c r="I623" s="66">
        <v>1</v>
      </c>
      <c r="J623" s="76">
        <v>2.5</v>
      </c>
      <c r="K623" s="76" t="str">
        <f>+_xlfn.XLOOKUP(Tabla1[[#This Row],[Codigo_actividad]],Conceptos!A:A,Conceptos!H:H)</f>
        <v>P2.05</v>
      </c>
      <c r="L623" s="55" t="str">
        <f>IF(_xlfn.XLOOKUP($J623,Catalogo!$B$7:$B$210,Catalogo!$I$7:$I$210,"",0)=0,"",_xlfn.XLOOKUP($J623,Catalogo!$B$7:$B$210,Catalogo!$I$7:$I$210,"",0))</f>
        <v>Resistividades pH BSR BPA</v>
      </c>
      <c r="M623" s="36"/>
      <c r="N623" s="261">
        <f>IF(Tabla1[[#This Row],[Avance_km]]&lt;&gt;"",Tabla1[[#This Row],[Avance_km]],Tabla1[[#This Row],[Avance_Med]])*_xlfn.XLOOKUP(Tabla1[[#This Row],[Codigo_actividad]],Catalogo!$B$6:$B$51,Catalogo!$F$6:$F$51,0)</f>
        <v>4658</v>
      </c>
      <c r="O623" t="str">
        <f>_xlfn.IFNA(_xlfn.XLOOKUP(Tabla1[[#This Row],[fin]],$Q$379:$Q$398,$U$379:$U$398),"")</f>
        <v/>
      </c>
    </row>
    <row r="624" spans="1:15" x14ac:dyDescent="0.25">
      <c r="A624" s="354">
        <v>46284</v>
      </c>
      <c r="B624" s="114" t="s">
        <v>30</v>
      </c>
      <c r="C624" s="155" t="s">
        <v>411</v>
      </c>
      <c r="D624" s="39" t="s">
        <v>359</v>
      </c>
      <c r="E624" s="40" t="s">
        <v>31</v>
      </c>
      <c r="F624" s="28"/>
      <c r="G624" s="28"/>
      <c r="H624" s="224"/>
      <c r="I624" s="66">
        <v>1</v>
      </c>
      <c r="J624" s="76">
        <v>2.5</v>
      </c>
      <c r="K624" s="76" t="str">
        <f>+_xlfn.XLOOKUP(Tabla1[[#This Row],[Codigo_actividad]],Conceptos!A:A,Conceptos!H:H)</f>
        <v>P2.05</v>
      </c>
      <c r="L624" s="55" t="str">
        <f>IF(_xlfn.XLOOKUP($J624,Catalogo!$B$7:$B$210,Catalogo!$I$7:$I$210,"",0)=0,"",_xlfn.XLOOKUP($J624,Catalogo!$B$7:$B$210,Catalogo!$I$7:$I$210,"",0))</f>
        <v>Resistividades pH BSR BPA</v>
      </c>
      <c r="M624" s="36"/>
      <c r="N624" s="261">
        <f>IF(Tabla1[[#This Row],[Avance_km]]&lt;&gt;"",Tabla1[[#This Row],[Avance_km]],Tabla1[[#This Row],[Avance_Med]])*_xlfn.XLOOKUP(Tabla1[[#This Row],[Codigo_actividad]],Catalogo!$B$6:$B$51,Catalogo!$F$6:$F$51,0)</f>
        <v>4658</v>
      </c>
      <c r="O624" t="str">
        <f>_xlfn.IFNA(_xlfn.XLOOKUP(Tabla1[[#This Row],[fin]],$Q$379:$Q$398,$U$379:$U$398),"")</f>
        <v/>
      </c>
    </row>
    <row r="625" spans="1:15" x14ac:dyDescent="0.25">
      <c r="A625" s="354"/>
      <c r="B625" s="114"/>
      <c r="C625" s="155"/>
      <c r="D625" s="39"/>
      <c r="F625" s="28"/>
      <c r="G625" s="28"/>
      <c r="H625" s="224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76">
        <f>+_xlfn.XLOOKUP(Tabla1[[#This Row],[Codigo_actividad]],Conceptos!A:A,Conceptos!H:H)</f>
        <v>0</v>
      </c>
      <c r="L625" s="66" t="str">
        <f>IF(_xlfn.XLOOKUP($J625,Catalogo!$B$7:$B$21,Catalogo!$I$7:$I$21,"",0)=0,"",_xlfn.XLOOKUP($J625,Catalogo!$B$7:$B$21,Catalogo!$I$7:$I$21,"",0))</f>
        <v/>
      </c>
      <c r="M625" s="36"/>
      <c r="N625" s="261">
        <f>IF(Tabla1[[#This Row],[Avance_km]]&lt;&gt;"",Tabla1[[#This Row],[Avance_km]],Tabla1[[#This Row],[Avance_Med]])*_xlfn.XLOOKUP(Tabla1[[#This Row],[Codigo_actividad]],Catalogo!$B$6:$B$51,Catalogo!$F$6:$F$51,0)</f>
        <v>0</v>
      </c>
      <c r="O625" t="str">
        <f>_xlfn.IFNA(_xlfn.XLOOKUP(Tabla1[[#This Row],[fin]],$Q$379:$Q$398,$U$379:$U$398),"")</f>
        <v/>
      </c>
    </row>
    <row r="626" spans="1:15" x14ac:dyDescent="0.25">
      <c r="A626" s="354">
        <v>46286</v>
      </c>
      <c r="B626" s="114" t="s">
        <v>30</v>
      </c>
      <c r="C626" s="155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4"/>
      <c r="I626" s="66">
        <v>2</v>
      </c>
      <c r="J626" s="76">
        <v>2.5</v>
      </c>
      <c r="K626" s="76" t="str">
        <f>+_xlfn.XLOOKUP(Tabla1[[#This Row],[Codigo_actividad]],Conceptos!A:A,Conceptos!H:H)</f>
        <v>P2.05</v>
      </c>
      <c r="L626" s="55" t="str">
        <f>IF(_xlfn.XLOOKUP($J626,Catalogo!$B$7:$B$210,Catalogo!$I$7:$I$210,"",0)=0,"",_xlfn.XLOOKUP($J626,Catalogo!$B$7:$B$210,Catalogo!$I$7:$I$210,"",0))</f>
        <v>Resistividades pH BSR BPA</v>
      </c>
      <c r="M626" s="36"/>
      <c r="N626" s="261">
        <f>IF(Tabla1[[#This Row],[Avance_km]]&lt;&gt;"",Tabla1[[#This Row],[Avance_km]],Tabla1[[#This Row],[Avance_Med]])*_xlfn.XLOOKUP(Tabla1[[#This Row],[Codigo_actividad]],Catalogo!$B$6:$B$51,Catalogo!$F$6:$F$51,0)</f>
        <v>9316</v>
      </c>
      <c r="O626" t="str">
        <f>_xlfn.IFNA(_xlfn.XLOOKUP(Tabla1[[#This Row],[fin]],$Q$379:$Q$398,$U$379:$U$398),"")</f>
        <v/>
      </c>
    </row>
    <row r="627" spans="1:15" x14ac:dyDescent="0.25">
      <c r="A627" s="354">
        <v>46286</v>
      </c>
      <c r="B627" s="114" t="s">
        <v>30</v>
      </c>
      <c r="C627" s="155" t="s">
        <v>561</v>
      </c>
      <c r="D627" s="39" t="s">
        <v>375</v>
      </c>
      <c r="E627" s="40" t="s">
        <v>31</v>
      </c>
      <c r="F627" s="28">
        <v>0</v>
      </c>
      <c r="G627" s="28"/>
      <c r="H627" s="224"/>
      <c r="I627" s="66">
        <v>1</v>
      </c>
      <c r="J627" s="76">
        <v>2.5</v>
      </c>
      <c r="K627" s="76" t="str">
        <f>+_xlfn.XLOOKUP(Tabla1[[#This Row],[Codigo_actividad]],Conceptos!A:A,Conceptos!H:H)</f>
        <v>P2.05</v>
      </c>
      <c r="L627" s="55" t="str">
        <f>IF(_xlfn.XLOOKUP($J627,Catalogo!$B$7:$B$210,Catalogo!$I$7:$I$210,"",0)=0,"",_xlfn.XLOOKUP($J627,Catalogo!$B$7:$B$210,Catalogo!$I$7:$I$210,"",0))</f>
        <v>Resistividades pH BSR BPA</v>
      </c>
      <c r="M627" s="36"/>
      <c r="N627" s="261">
        <f>IF(Tabla1[[#This Row],[Avance_km]]&lt;&gt;"",Tabla1[[#This Row],[Avance_km]],Tabla1[[#This Row],[Avance_Med]])*_xlfn.XLOOKUP(Tabla1[[#This Row],[Codigo_actividad]],Catalogo!$B$6:$B$51,Catalogo!$F$6:$F$51,0)</f>
        <v>4658</v>
      </c>
      <c r="O627" t="str">
        <f>_xlfn.IFNA(_xlfn.XLOOKUP(Tabla1[[#This Row],[fin]],$Q$379:$Q$398,$U$379:$U$398),"")</f>
        <v/>
      </c>
    </row>
    <row r="628" spans="1:15" x14ac:dyDescent="0.25">
      <c r="A628" s="354">
        <v>46287</v>
      </c>
      <c r="B628" s="114" t="s">
        <v>30</v>
      </c>
      <c r="C628" s="155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4"/>
      <c r="I628" s="66">
        <v>2</v>
      </c>
      <c r="J628" s="76">
        <v>2.5</v>
      </c>
      <c r="K628" s="76" t="str">
        <f>+_xlfn.XLOOKUP(Tabla1[[#This Row],[Codigo_actividad]],Conceptos!A:A,Conceptos!H:H)</f>
        <v>P2.05</v>
      </c>
      <c r="L628" s="55" t="str">
        <f>IF(_xlfn.XLOOKUP($J628,Catalogo!$B$7:$B$210,Catalogo!$I$7:$I$210,"",0)=0,"",_xlfn.XLOOKUP($J628,Catalogo!$B$7:$B$210,Catalogo!$I$7:$I$210,"",0))</f>
        <v>Resistividades pH BSR BPA</v>
      </c>
      <c r="M628" s="36"/>
      <c r="N628" s="261">
        <f>IF(Tabla1[[#This Row],[Avance_km]]&lt;&gt;"",Tabla1[[#This Row],[Avance_km]],Tabla1[[#This Row],[Avance_Med]])*_xlfn.XLOOKUP(Tabla1[[#This Row],[Codigo_actividad]],Catalogo!$B$6:$B$51,Catalogo!$F$6:$F$51,0)</f>
        <v>9316</v>
      </c>
      <c r="O628" t="str">
        <f>_xlfn.IFNA(_xlfn.XLOOKUP(Tabla1[[#This Row],[fin]],$Q$379:$Q$398,$U$379:$U$398),"")</f>
        <v/>
      </c>
    </row>
    <row r="629" spans="1:15" x14ac:dyDescent="0.25">
      <c r="A629" s="354">
        <v>46287</v>
      </c>
      <c r="B629" s="114" t="s">
        <v>30</v>
      </c>
      <c r="C629" s="155" t="s">
        <v>561</v>
      </c>
      <c r="D629" s="39" t="s">
        <v>373</v>
      </c>
      <c r="E629" s="40" t="s">
        <v>31</v>
      </c>
      <c r="F629" s="28">
        <v>0</v>
      </c>
      <c r="G629" s="28"/>
      <c r="H629" s="224"/>
      <c r="I629" s="66">
        <v>1</v>
      </c>
      <c r="J629" s="76">
        <v>2.5</v>
      </c>
      <c r="K629" s="76" t="str">
        <f>+_xlfn.XLOOKUP(Tabla1[[#This Row],[Codigo_actividad]],Conceptos!A:A,Conceptos!H:H)</f>
        <v>P2.05</v>
      </c>
      <c r="L629" s="55" t="str">
        <f>IF(_xlfn.XLOOKUP($J629,Catalogo!$B$7:$B$210,Catalogo!$I$7:$I$210,"",0)=0,"",_xlfn.XLOOKUP($J629,Catalogo!$B$7:$B$210,Catalogo!$I$7:$I$210,"",0))</f>
        <v>Resistividades pH BSR BPA</v>
      </c>
      <c r="M629" s="36"/>
      <c r="N629" s="261">
        <f>IF(Tabla1[[#This Row],[Avance_km]]&lt;&gt;"",Tabla1[[#This Row],[Avance_km]],Tabla1[[#This Row],[Avance_Med]])*_xlfn.XLOOKUP(Tabla1[[#This Row],[Codigo_actividad]],Catalogo!$B$6:$B$51,Catalogo!$F$6:$F$51,0)</f>
        <v>4658</v>
      </c>
      <c r="O629" t="str">
        <f>_xlfn.IFNA(_xlfn.XLOOKUP(Tabla1[[#This Row],[fin]],$Q$379:$Q$398,$U$379:$U$398),"")</f>
        <v/>
      </c>
    </row>
    <row r="630" spans="1:15" x14ac:dyDescent="0.25">
      <c r="A630" s="354">
        <v>46288</v>
      </c>
      <c r="B630" s="114" t="s">
        <v>30</v>
      </c>
      <c r="C630" s="155" t="s">
        <v>561</v>
      </c>
      <c r="D630" s="39" t="s">
        <v>372</v>
      </c>
      <c r="E630" s="40" t="s">
        <v>31</v>
      </c>
      <c r="F630" s="28">
        <v>0</v>
      </c>
      <c r="G630" s="28"/>
      <c r="H630" s="224"/>
      <c r="I630" s="66">
        <v>1</v>
      </c>
      <c r="J630" s="76">
        <v>2.5</v>
      </c>
      <c r="K630" s="76" t="str">
        <f>+_xlfn.XLOOKUP(Tabla1[[#This Row],[Codigo_actividad]],Conceptos!A:A,Conceptos!H:H)</f>
        <v>P2.05</v>
      </c>
      <c r="L630" s="55" t="str">
        <f>IF(_xlfn.XLOOKUP($J630,Catalogo!$B$7:$B$210,Catalogo!$I$7:$I$210,"",0)=0,"",_xlfn.XLOOKUP($J630,Catalogo!$B$7:$B$210,Catalogo!$I$7:$I$210,"",0))</f>
        <v>Resistividades pH BSR BPA</v>
      </c>
      <c r="M630" s="36"/>
      <c r="N630" s="261">
        <f>IF(Tabla1[[#This Row],[Avance_km]]&lt;&gt;"",Tabla1[[#This Row],[Avance_km]],Tabla1[[#This Row],[Avance_Med]])*_xlfn.XLOOKUP(Tabla1[[#This Row],[Codigo_actividad]],Catalogo!$B$6:$B$51,Catalogo!$F$6:$F$51,0)</f>
        <v>4658</v>
      </c>
      <c r="O630" t="str">
        <f>_xlfn.IFNA(_xlfn.XLOOKUP(Tabla1[[#This Row],[fin]],$Q$379:$Q$398,$U$379:$U$398),"")</f>
        <v/>
      </c>
    </row>
    <row r="631" spans="1:15" x14ac:dyDescent="0.25">
      <c r="A631" s="354">
        <v>46288</v>
      </c>
      <c r="B631" s="114" t="s">
        <v>30</v>
      </c>
      <c r="C631" s="155" t="s">
        <v>561</v>
      </c>
      <c r="D631" s="39" t="s">
        <v>370</v>
      </c>
      <c r="E631" s="40" t="s">
        <v>31</v>
      </c>
      <c r="F631" s="28">
        <v>0</v>
      </c>
      <c r="G631" s="28"/>
      <c r="H631" s="224"/>
      <c r="I631" s="66">
        <v>1</v>
      </c>
      <c r="J631" s="76">
        <v>2.5</v>
      </c>
      <c r="K631" s="76" t="str">
        <f>+_xlfn.XLOOKUP(Tabla1[[#This Row],[Codigo_actividad]],Conceptos!A:A,Conceptos!H:H)</f>
        <v>P2.05</v>
      </c>
      <c r="L631" s="55" t="str">
        <f>IF(_xlfn.XLOOKUP($J631,Catalogo!$B$7:$B$210,Catalogo!$I$7:$I$210,"",0)=0,"",_xlfn.XLOOKUP($J631,Catalogo!$B$7:$B$210,Catalogo!$I$7:$I$210,"",0))</f>
        <v>Resistividades pH BSR BPA</v>
      </c>
      <c r="M631" s="36"/>
      <c r="N631" s="261">
        <f>IF(Tabla1[[#This Row],[Avance_km]]&lt;&gt;"",Tabla1[[#This Row],[Avance_km]],Tabla1[[#This Row],[Avance_Med]])*_xlfn.XLOOKUP(Tabla1[[#This Row],[Codigo_actividad]],Catalogo!$B$6:$B$51,Catalogo!$F$6:$F$51,0)</f>
        <v>4658</v>
      </c>
      <c r="O631" t="str">
        <f>_xlfn.IFNA(_xlfn.XLOOKUP(Tabla1[[#This Row],[fin]],$Q$379:$Q$398,$U$379:$U$398),"")</f>
        <v/>
      </c>
    </row>
    <row r="632" spans="1:15" x14ac:dyDescent="0.25">
      <c r="A632" s="354">
        <v>46289</v>
      </c>
      <c r="B632" s="114" t="s">
        <v>30</v>
      </c>
      <c r="C632" s="155" t="s">
        <v>561</v>
      </c>
      <c r="D632" s="39" t="s">
        <v>368</v>
      </c>
      <c r="E632" s="40" t="s">
        <v>31</v>
      </c>
      <c r="F632" s="28">
        <v>0</v>
      </c>
      <c r="G632" s="28"/>
      <c r="H632" s="224"/>
      <c r="I632" s="66">
        <v>1</v>
      </c>
      <c r="J632" s="76">
        <v>2.5</v>
      </c>
      <c r="K632" s="76" t="str">
        <f>+_xlfn.XLOOKUP(Tabla1[[#This Row],[Codigo_actividad]],Conceptos!A:A,Conceptos!H:H)</f>
        <v>P2.05</v>
      </c>
      <c r="L632" s="55" t="str">
        <f>IF(_xlfn.XLOOKUP($J632,Catalogo!$B$7:$B$210,Catalogo!$I$7:$I$210,"",0)=0,"",_xlfn.XLOOKUP($J632,Catalogo!$B$7:$B$210,Catalogo!$I$7:$I$210,"",0))</f>
        <v>Resistividades pH BSR BPA</v>
      </c>
      <c r="M632" s="36"/>
      <c r="N632" s="261">
        <f>IF(Tabla1[[#This Row],[Avance_km]]&lt;&gt;"",Tabla1[[#This Row],[Avance_km]],Tabla1[[#This Row],[Avance_Med]])*_xlfn.XLOOKUP(Tabla1[[#This Row],[Codigo_actividad]],Catalogo!$B$6:$B$51,Catalogo!$F$6:$F$51,0)</f>
        <v>4658</v>
      </c>
      <c r="O632" t="str">
        <f>_xlfn.IFNA(_xlfn.XLOOKUP(Tabla1[[#This Row],[fin]],$Q$379:$Q$398,$U$379:$U$398),"")</f>
        <v/>
      </c>
    </row>
    <row r="633" spans="1:15" x14ac:dyDescent="0.25">
      <c r="A633" s="354">
        <v>46289</v>
      </c>
      <c r="B633" s="114" t="s">
        <v>30</v>
      </c>
      <c r="C633" s="155" t="s">
        <v>561</v>
      </c>
      <c r="D633" s="39" t="s">
        <v>378</v>
      </c>
      <c r="E633" s="40" t="s">
        <v>31</v>
      </c>
      <c r="F633" s="28">
        <v>0</v>
      </c>
      <c r="G633" s="28"/>
      <c r="H633" s="224"/>
      <c r="I633" s="66">
        <v>1</v>
      </c>
      <c r="J633" s="76">
        <v>2.5</v>
      </c>
      <c r="K633" s="76" t="str">
        <f>+_xlfn.XLOOKUP(Tabla1[[#This Row],[Codigo_actividad]],Conceptos!A:A,Conceptos!H:H)</f>
        <v>P2.05</v>
      </c>
      <c r="L633" s="55" t="str">
        <f>IF(_xlfn.XLOOKUP($J633,Catalogo!$B$7:$B$210,Catalogo!$I$7:$I$210,"",0)=0,"",_xlfn.XLOOKUP($J633,Catalogo!$B$7:$B$210,Catalogo!$I$7:$I$210,"",0))</f>
        <v>Resistividades pH BSR BPA</v>
      </c>
      <c r="M633" s="36"/>
      <c r="N633" s="261">
        <f>IF(Tabla1[[#This Row],[Avance_km]]&lt;&gt;"",Tabla1[[#This Row],[Avance_km]],Tabla1[[#This Row],[Avance_Med]])*_xlfn.XLOOKUP(Tabla1[[#This Row],[Codigo_actividad]],Catalogo!$B$6:$B$51,Catalogo!$F$6:$F$51,0)</f>
        <v>4658</v>
      </c>
      <c r="O633" t="str">
        <f>_xlfn.IFNA(_xlfn.XLOOKUP(Tabla1[[#This Row],[fin]],$Q$379:$Q$398,$U$379:$U$398),"")</f>
        <v/>
      </c>
    </row>
    <row r="634" spans="1:15" x14ac:dyDescent="0.25">
      <c r="A634" s="354">
        <v>46290</v>
      </c>
      <c r="B634" s="114" t="s">
        <v>30</v>
      </c>
      <c r="C634" s="155" t="s">
        <v>561</v>
      </c>
      <c r="D634" s="39" t="s">
        <v>376</v>
      </c>
      <c r="E634" s="40" t="s">
        <v>31</v>
      </c>
      <c r="F634" s="28">
        <v>0</v>
      </c>
      <c r="G634" s="28"/>
      <c r="H634" s="224"/>
      <c r="I634" s="66">
        <v>1</v>
      </c>
      <c r="J634" s="76">
        <v>2.5</v>
      </c>
      <c r="K634" s="76" t="str">
        <f>+_xlfn.XLOOKUP(Tabla1[[#This Row],[Codigo_actividad]],Conceptos!A:A,Conceptos!H:H)</f>
        <v>P2.05</v>
      </c>
      <c r="L634" s="55" t="str">
        <f>IF(_xlfn.XLOOKUP($J634,Catalogo!$B$7:$B$210,Catalogo!$I$7:$I$210,"",0)=0,"",_xlfn.XLOOKUP($J634,Catalogo!$B$7:$B$210,Catalogo!$I$7:$I$210,"",0))</f>
        <v>Resistividades pH BSR BPA</v>
      </c>
      <c r="M634" s="36"/>
      <c r="N634" s="261">
        <f>IF(Tabla1[[#This Row],[Avance_km]]&lt;&gt;"",Tabla1[[#This Row],[Avance_km]],Tabla1[[#This Row],[Avance_Med]])*_xlfn.XLOOKUP(Tabla1[[#This Row],[Codigo_actividad]],Catalogo!$B$6:$B$51,Catalogo!$F$6:$F$51,0)</f>
        <v>4658</v>
      </c>
      <c r="O634" t="str">
        <f>_xlfn.IFNA(_xlfn.XLOOKUP(Tabla1[[#This Row],[fin]],$Q$379:$Q$398,$U$379:$U$398),"")</f>
        <v/>
      </c>
    </row>
    <row r="635" spans="1:15" x14ac:dyDescent="0.25">
      <c r="A635" s="354">
        <v>46290</v>
      </c>
      <c r="B635" s="114" t="s">
        <v>30</v>
      </c>
      <c r="C635" s="155" t="s">
        <v>561</v>
      </c>
      <c r="D635" s="39" t="s">
        <v>371</v>
      </c>
      <c r="E635" s="40" t="s">
        <v>31</v>
      </c>
      <c r="F635" s="28">
        <v>0</v>
      </c>
      <c r="G635" s="28"/>
      <c r="H635" s="224"/>
      <c r="I635" s="66">
        <v>1</v>
      </c>
      <c r="J635" s="76">
        <v>2.5</v>
      </c>
      <c r="K635" s="76" t="str">
        <f>+_xlfn.XLOOKUP(Tabla1[[#This Row],[Codigo_actividad]],Conceptos!A:A,Conceptos!H:H)</f>
        <v>P2.05</v>
      </c>
      <c r="L635" s="55" t="str">
        <f>IF(_xlfn.XLOOKUP($J635,Catalogo!$B$7:$B$210,Catalogo!$I$7:$I$210,"",0)=0,"",_xlfn.XLOOKUP($J635,Catalogo!$B$7:$B$210,Catalogo!$I$7:$I$210,"",0))</f>
        <v>Resistividades pH BSR BPA</v>
      </c>
      <c r="M635" s="36"/>
      <c r="N635" s="261">
        <f>IF(Tabla1[[#This Row],[Avance_km]]&lt;&gt;"",Tabla1[[#This Row],[Avance_km]],Tabla1[[#This Row],[Avance_Med]])*_xlfn.XLOOKUP(Tabla1[[#This Row],[Codigo_actividad]],Catalogo!$B$6:$B$51,Catalogo!$F$6:$F$51,0)</f>
        <v>4658</v>
      </c>
      <c r="O635" t="str">
        <f>_xlfn.IFNA(_xlfn.XLOOKUP(Tabla1[[#This Row],[fin]],$Q$379:$Q$398,$U$379:$U$398),"")</f>
        <v/>
      </c>
    </row>
    <row r="636" spans="1:15" x14ac:dyDescent="0.25">
      <c r="A636" s="354">
        <v>46290</v>
      </c>
      <c r="B636" s="114" t="s">
        <v>30</v>
      </c>
      <c r="C636" s="155" t="s">
        <v>561</v>
      </c>
      <c r="D636" s="39" t="s">
        <v>369</v>
      </c>
      <c r="E636" s="40" t="s">
        <v>31</v>
      </c>
      <c r="F636" s="28">
        <v>0</v>
      </c>
      <c r="G636" s="28"/>
      <c r="H636" s="224"/>
      <c r="I636" s="66">
        <v>1</v>
      </c>
      <c r="J636" s="76">
        <v>2.5</v>
      </c>
      <c r="K636" s="76" t="str">
        <f>+_xlfn.XLOOKUP(Tabla1[[#This Row],[Codigo_actividad]],Conceptos!A:A,Conceptos!H:H)</f>
        <v>P2.05</v>
      </c>
      <c r="L636" s="55" t="str">
        <f>IF(_xlfn.XLOOKUP($J636,Catalogo!$B$7:$B$210,Catalogo!$I$7:$I$210,"",0)=0,"",_xlfn.XLOOKUP($J636,Catalogo!$B$7:$B$210,Catalogo!$I$7:$I$210,"",0))</f>
        <v>Resistividades pH BSR BPA</v>
      </c>
      <c r="M636" s="36"/>
      <c r="N636" s="261">
        <f>IF(Tabla1[[#This Row],[Avance_km]]&lt;&gt;"",Tabla1[[#This Row],[Avance_km]],Tabla1[[#This Row],[Avance_Med]])*_xlfn.XLOOKUP(Tabla1[[#This Row],[Codigo_actividad]],Catalogo!$B$6:$B$51,Catalogo!$F$6:$F$51,0)</f>
        <v>4658</v>
      </c>
      <c r="O636" t="str">
        <f>_xlfn.IFNA(_xlfn.XLOOKUP(Tabla1[[#This Row],[fin]],$Q$379:$Q$398,$U$379:$U$398),"")</f>
        <v/>
      </c>
    </row>
    <row r="637" spans="1:15" x14ac:dyDescent="0.25">
      <c r="A637" s="354">
        <v>46290</v>
      </c>
      <c r="B637" s="114" t="s">
        <v>30</v>
      </c>
      <c r="C637" s="155" t="s">
        <v>561</v>
      </c>
      <c r="D637" s="39" t="s">
        <v>367</v>
      </c>
      <c r="E637" s="40" t="s">
        <v>31</v>
      </c>
      <c r="F637" s="28">
        <v>0</v>
      </c>
      <c r="G637" s="28"/>
      <c r="H637" s="224"/>
      <c r="I637" s="66">
        <v>1</v>
      </c>
      <c r="J637" s="76">
        <v>2.5</v>
      </c>
      <c r="K637" s="76" t="str">
        <f>+_xlfn.XLOOKUP(Tabla1[[#This Row],[Codigo_actividad]],Conceptos!A:A,Conceptos!H:H)</f>
        <v>P2.05</v>
      </c>
      <c r="L637" s="55" t="str">
        <f>IF(_xlfn.XLOOKUP($J637,Catalogo!$B$7:$B$210,Catalogo!$I$7:$I$210,"",0)=0,"",_xlfn.XLOOKUP($J637,Catalogo!$B$7:$B$210,Catalogo!$I$7:$I$210,"",0))</f>
        <v>Resistividades pH BSR BPA</v>
      </c>
      <c r="M637" s="36"/>
      <c r="N637" s="261">
        <f>IF(Tabla1[[#This Row],[Avance_km]]&lt;&gt;"",Tabla1[[#This Row],[Avance_km]],Tabla1[[#This Row],[Avance_Med]])*_xlfn.XLOOKUP(Tabla1[[#This Row],[Codigo_actividad]],Catalogo!$B$6:$B$51,Catalogo!$F$6:$F$51,0)</f>
        <v>4658</v>
      </c>
      <c r="O637" t="str">
        <f>_xlfn.IFNA(_xlfn.XLOOKUP(Tabla1[[#This Row],[fin]],$Q$379:$Q$398,$U$379:$U$398),"")</f>
        <v/>
      </c>
    </row>
    <row r="638" spans="1:15" x14ac:dyDescent="0.25">
      <c r="A638" s="354">
        <v>46291</v>
      </c>
      <c r="B638" s="114" t="s">
        <v>30</v>
      </c>
      <c r="C638" s="155" t="s">
        <v>329</v>
      </c>
      <c r="D638" s="39" t="s">
        <v>504</v>
      </c>
      <c r="E638" s="40" t="s">
        <v>31</v>
      </c>
      <c r="F638" s="28">
        <v>0</v>
      </c>
      <c r="G638" s="28"/>
      <c r="H638" s="224"/>
      <c r="I638" s="66">
        <v>1</v>
      </c>
      <c r="J638" s="76">
        <v>2.5</v>
      </c>
      <c r="K638" s="76" t="str">
        <f>+_xlfn.XLOOKUP(Tabla1[[#This Row],[Codigo_actividad]],Conceptos!A:A,Conceptos!H:H)</f>
        <v>P2.05</v>
      </c>
      <c r="L638" s="55" t="str">
        <f>IF(_xlfn.XLOOKUP($J638,Catalogo!$B$7:$B$210,Catalogo!$I$7:$I$210,"",0)=0,"",_xlfn.XLOOKUP($J638,Catalogo!$B$7:$B$210,Catalogo!$I$7:$I$210,"",0))</f>
        <v>Resistividades pH BSR BPA</v>
      </c>
      <c r="M638" s="36"/>
      <c r="N638" s="261">
        <f>IF(Tabla1[[#This Row],[Avance_km]]&lt;&gt;"",Tabla1[[#This Row],[Avance_km]],Tabla1[[#This Row],[Avance_Med]])*_xlfn.XLOOKUP(Tabla1[[#This Row],[Codigo_actividad]],Catalogo!$B$6:$B$51,Catalogo!$F$6:$F$51,0)</f>
        <v>4658</v>
      </c>
      <c r="O638" t="str">
        <f>_xlfn.IFNA(_xlfn.XLOOKUP(Tabla1[[#This Row],[fin]],$Q$379:$Q$398,$U$379:$U$398),"")</f>
        <v/>
      </c>
    </row>
    <row r="639" spans="1:15" x14ac:dyDescent="0.25">
      <c r="A639" s="354"/>
      <c r="B639" s="114"/>
      <c r="C639" s="155"/>
      <c r="D639" s="39"/>
      <c r="F639" s="28"/>
      <c r="G639" s="28"/>
      <c r="H639" s="224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76">
        <f>+_xlfn.XLOOKUP(Tabla1[[#This Row],[Codigo_actividad]],Conceptos!A:A,Conceptos!H:H)</f>
        <v>0</v>
      </c>
      <c r="L639" s="55" t="str">
        <f>IF(_xlfn.XLOOKUP($J639,Catalogo!$B$7:$B$21,Catalogo!$I$7:$I$21,"",0)=0,"",_xlfn.XLOOKUP($J639,Catalogo!$B$7:$B$21,Catalogo!$I$7:$I$21,"",0))</f>
        <v/>
      </c>
      <c r="M639" s="36"/>
      <c r="N639" s="261">
        <f>IF(Tabla1[[#This Row],[Avance_km]]&lt;&gt;"",Tabla1[[#This Row],[Avance_km]],Tabla1[[#This Row],[Avance_Med]])*_xlfn.XLOOKUP(Tabla1[[#This Row],[Codigo_actividad]],Catalogo!$B$6:$B$51,Catalogo!$F$6:$F$51,0)</f>
        <v>0</v>
      </c>
      <c r="O639" t="str">
        <f>_xlfn.IFNA(_xlfn.XLOOKUP(Tabla1[[#This Row],[fin]],$Q$379:$Q$398,$U$379:$U$398),"")</f>
        <v/>
      </c>
    </row>
    <row r="640" spans="1:15" x14ac:dyDescent="0.25">
      <c r="A640" s="354">
        <v>46293</v>
      </c>
      <c r="B640" s="114" t="s">
        <v>12</v>
      </c>
      <c r="C640" s="155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4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76" t="str">
        <f>+_xlfn.XLOOKUP(Tabla1[[#This Row],[Codigo_actividad]],Conceptos!A:A,Conceptos!H:H)</f>
        <v>P2.06</v>
      </c>
      <c r="L640" s="66" t="str">
        <f>IF(_xlfn.XLOOKUP($J640,Catalogo!$B$7:$B$210,Catalogo!$I$7:$I$210,"",0)=0,"",_xlfn.XLOOKUP($J640,Catalogo!$B$7:$B$210,Catalogo!$I$7:$I$210,"",0))</f>
        <v>Localizacion</v>
      </c>
      <c r="M640" s="36">
        <f>+_xlfn.XLOOKUP(Tabla1[[#This Row],[Ducto]],'R (s04)'!B:B,'R (s04)'!C:C)</f>
        <v>47.596499999999999</v>
      </c>
      <c r="N640" s="261">
        <f>IF(Tabla1[[#This Row],[Avance_km]]&lt;&gt;"",Tabla1[[#This Row],[Avance_km]],Tabla1[[#This Row],[Avance_Med]])*_xlfn.XLOOKUP(Tabla1[[#This Row],[Codigo_actividad]],Catalogo!$B$6:$B$51,Catalogo!$F$6:$F$51,0)</f>
        <v>6772.26</v>
      </c>
      <c r="O640" t="str">
        <f>_xlfn.IFNA(_xlfn.XLOOKUP(Tabla1[[#This Row],[fin]],$Q$379:$Q$398,$U$379:$U$398),"")</f>
        <v/>
      </c>
    </row>
    <row r="641" spans="1:15" x14ac:dyDescent="0.25">
      <c r="A641" s="354">
        <v>46294</v>
      </c>
      <c r="B641" s="114" t="s">
        <v>12</v>
      </c>
      <c r="C641" s="155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4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76" t="str">
        <f>+_xlfn.XLOOKUP(Tabla1[[#This Row],[Codigo_actividad]],Conceptos!A:A,Conceptos!H:H)</f>
        <v>P2.06</v>
      </c>
      <c r="L641" s="66" t="str">
        <f>IF(_xlfn.XLOOKUP($J641,Catalogo!$B$7:$B$210,Catalogo!$I$7:$I$210,"",0)=0,"",_xlfn.XLOOKUP($J641,Catalogo!$B$7:$B$210,Catalogo!$I$7:$I$210,"",0))</f>
        <v>Localizacion</v>
      </c>
      <c r="M641" s="36">
        <f>+_xlfn.XLOOKUP(Tabla1[[#This Row],[Ducto]],'R (s04)'!B:B,'R (s04)'!C:C)</f>
        <v>47.596499999999999</v>
      </c>
      <c r="N641" s="261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O641" t="str">
        <f>_xlfn.IFNA(_xlfn.XLOOKUP(Tabla1[[#This Row],[fin]],$Q$379:$Q$398,$U$379:$U$398),"")</f>
        <v/>
      </c>
    </row>
    <row r="642" spans="1:15" x14ac:dyDescent="0.25">
      <c r="A642" s="354">
        <v>46295</v>
      </c>
      <c r="B642" s="114" t="s">
        <v>12</v>
      </c>
      <c r="C642" s="155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4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76" t="str">
        <f>+_xlfn.XLOOKUP(Tabla1[[#This Row],[Codigo_actividad]],Conceptos!A:A,Conceptos!H:H)</f>
        <v>P2.06</v>
      </c>
      <c r="L642" s="66" t="str">
        <f>IF(_xlfn.XLOOKUP($J642,Catalogo!$B$7:$B$210,Catalogo!$I$7:$I$210,"",0)=0,"",_xlfn.XLOOKUP($J642,Catalogo!$B$7:$B$210,Catalogo!$I$7:$I$210,"",0))</f>
        <v>Localizacion</v>
      </c>
      <c r="M642" s="36">
        <f>+_xlfn.XLOOKUP(Tabla1[[#This Row],[Ducto]],'R (s04)'!B:B,'R (s04)'!C:C)</f>
        <v>47.596499999999999</v>
      </c>
      <c r="N642" s="261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O642" t="str">
        <f>_xlfn.IFNA(_xlfn.XLOOKUP(Tabla1[[#This Row],[fin]],$Q$379:$Q$398,$U$379:$U$398),"")</f>
        <v/>
      </c>
    </row>
    <row r="643" spans="1:15" x14ac:dyDescent="0.25">
      <c r="A643" s="354">
        <v>46296</v>
      </c>
      <c r="B643" s="114" t="s">
        <v>12</v>
      </c>
      <c r="C643" s="155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4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76" t="str">
        <f>+_xlfn.XLOOKUP(Tabla1[[#This Row],[Codigo_actividad]],Conceptos!A:A,Conceptos!H:H)</f>
        <v>P2.01</v>
      </c>
      <c r="L643" s="66" t="str">
        <f>IF(_xlfn.XLOOKUP($J643,Catalogo!$B$7:$B$210,Catalogo!$I$7:$I$210,"",0)=0,"",_xlfn.XLOOKUP($J643,Catalogo!$B$7:$B$210,Catalogo!$I$7:$I$210,"",0))</f>
        <v>CIPS</v>
      </c>
      <c r="M643" s="36">
        <f>+_xlfn.XLOOKUP(Tabla1[[#This Row],[Ducto]],'R (s04)'!B:B,'R (s04)'!C:C)</f>
        <v>47.596499999999999</v>
      </c>
      <c r="N643" s="261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5" x14ac:dyDescent="0.25">
      <c r="A644" s="354">
        <v>46297</v>
      </c>
      <c r="B644" s="114" t="s">
        <v>12</v>
      </c>
      <c r="C644" s="155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4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76" t="str">
        <f>+_xlfn.XLOOKUP(Tabla1[[#This Row],[Codigo_actividad]],Conceptos!A:A,Conceptos!H:H)</f>
        <v>P2.01</v>
      </c>
      <c r="L644" s="66" t="str">
        <f>IF(_xlfn.XLOOKUP($J644,Catalogo!$B$7:$B$210,Catalogo!$I$7:$I$210,"",0)=0,"",_xlfn.XLOOKUP($J644,Catalogo!$B$7:$B$210,Catalogo!$I$7:$I$210,"",0))</f>
        <v>CIPS</v>
      </c>
      <c r="M644" s="36">
        <f>+_xlfn.XLOOKUP(Tabla1[[#This Row],[Ducto]],'R (s04)'!B:B,'R (s04)'!C:C)</f>
        <v>47.596499999999999</v>
      </c>
      <c r="N644" s="261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5" x14ac:dyDescent="0.25">
      <c r="A645" s="354"/>
      <c r="B645" s="114"/>
      <c r="C645" s="155"/>
      <c r="D645" s="39"/>
      <c r="F645" s="28"/>
      <c r="G645" s="28"/>
      <c r="H645" s="224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76">
        <f>+_xlfn.XLOOKUP(Tabla1[[#This Row],[Codigo_actividad]],Conceptos!A:A,Conceptos!H:H)</f>
        <v>0</v>
      </c>
      <c r="L645" s="55" t="str">
        <f>IF(_xlfn.XLOOKUP($J645,Catalogo!$B$7:$B$21,Catalogo!$I$7:$I$21,"",0)=0,"",_xlfn.XLOOKUP($J645,Catalogo!$B$7:$B$21,Catalogo!$I$7:$I$21,"",0))</f>
        <v/>
      </c>
      <c r="M645" s="36"/>
      <c r="N645" s="261">
        <f>IF(Tabla1[[#This Row],[Avance_km]]&lt;&gt;"",Tabla1[[#This Row],[Avance_km]],Tabla1[[#This Row],[Avance_Med]])*_xlfn.XLOOKUP(Tabla1[[#This Row],[Codigo_actividad]],Catalogo!$B$6:$B$51,Catalogo!$F$6:$F$51,0)</f>
        <v>0</v>
      </c>
      <c r="O645" t="str">
        <f>_xlfn.IFNA(_xlfn.XLOOKUP(Tabla1[[#This Row],[fin]],$Q$379:$Q$398,$U$379:$U$398),"")</f>
        <v/>
      </c>
    </row>
    <row r="646" spans="1:15" x14ac:dyDescent="0.25">
      <c r="A646" s="354">
        <v>46300</v>
      </c>
      <c r="B646" s="114" t="s">
        <v>12</v>
      </c>
      <c r="C646" s="155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4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76" t="str">
        <f>+_xlfn.XLOOKUP(Tabla1[[#This Row],[Codigo_actividad]],Conceptos!A:A,Conceptos!H:H)</f>
        <v>P2.01</v>
      </c>
      <c r="L646" s="66" t="str">
        <f>IF(_xlfn.XLOOKUP($J646,Catalogo!$B$7:$B$210,Catalogo!$I$7:$I$210,"",0)=0,"",_xlfn.XLOOKUP($J646,Catalogo!$B$7:$B$210,Catalogo!$I$7:$I$210,"",0))</f>
        <v>CIPS</v>
      </c>
      <c r="M646" s="36">
        <f>+_xlfn.XLOOKUP(Tabla1[[#This Row],[Ducto]],'R (s04)'!B:B,'R (s04)'!C:C)</f>
        <v>47.596499999999999</v>
      </c>
      <c r="N646" s="261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5" x14ac:dyDescent="0.25">
      <c r="A647" s="354">
        <v>46301</v>
      </c>
      <c r="B647" s="114" t="s">
        <v>12</v>
      </c>
      <c r="C647" s="155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4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76" t="str">
        <f>+_xlfn.XLOOKUP(Tabla1[[#This Row],[Codigo_actividad]],Conceptos!A:A,Conceptos!H:H)</f>
        <v>P2.06</v>
      </c>
      <c r="L647" s="55" t="str">
        <f>IF(_xlfn.XLOOKUP($J647,Catalogo!$B$7:$B$21,Catalogo!$I$7:$I$21,"",0)=0,"",_xlfn.XLOOKUP($J647,Catalogo!$B$7:$B$21,Catalogo!$I$7:$I$21,"",0))</f>
        <v>Localizacion</v>
      </c>
      <c r="M647" s="36">
        <f>+_xlfn.XLOOKUP(Tabla1[[#This Row],[Ducto]],nombres!D:D,nombres!E:E)/1000</f>
        <v>0.62390000000000001</v>
      </c>
      <c r="N647" s="261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O647" t="str">
        <f>_xlfn.IFNA(_xlfn.XLOOKUP(Tabla1[[#This Row],[fin]],$Q$379:$Q$398,$U$379:$U$398),"")</f>
        <v/>
      </c>
    </row>
    <row r="648" spans="1:15" x14ac:dyDescent="0.25">
      <c r="A648" s="354">
        <v>46301</v>
      </c>
      <c r="B648" s="114" t="s">
        <v>12</v>
      </c>
      <c r="C648" s="155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76" t="str">
        <f>+_xlfn.XLOOKUP(Tabla1[[#This Row],[Codigo_actividad]],Conceptos!A:A,Conceptos!H:H)</f>
        <v>P2.06</v>
      </c>
      <c r="L648" s="55" t="str">
        <f>IF(_xlfn.XLOOKUP($J648,Catalogo!$B$7:$B$21,Catalogo!$I$7:$I$21,"",0)=0,"",_xlfn.XLOOKUP($J648,Catalogo!$B$7:$B$21,Catalogo!$I$7:$I$21,"",0))</f>
        <v>Localizacion</v>
      </c>
      <c r="M648" s="36">
        <f>+_xlfn.XLOOKUP(Tabla1[[#This Row],[Ducto]],nombres!D:D,nombres!E:E)/1000</f>
        <v>0.60799999999999998</v>
      </c>
      <c r="N648" s="261">
        <f>IF(Tabla1[[#This Row],[Avance_km]]&lt;&gt;"",Tabla1[[#This Row],[Avance_km]],Tabla1[[#This Row],[Avance_Med]])*_xlfn.XLOOKUP(Tabla1[[#This Row],[Codigo_actividad]],Catalogo!$B$6:$B$51,Catalogo!$F$6:$F$51,0)</f>
        <v>1372.51136</v>
      </c>
      <c r="O648" t="str">
        <f>_xlfn.IFNA(_xlfn.XLOOKUP(Tabla1[[#This Row],[fin]],$Q$379:$Q$398,$U$379:$U$398),"")</f>
        <v/>
      </c>
    </row>
    <row r="649" spans="1:15" x14ac:dyDescent="0.25">
      <c r="A649" s="354">
        <v>46301</v>
      </c>
      <c r="B649" s="114" t="s">
        <v>12</v>
      </c>
      <c r="C649" s="155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76" t="str">
        <f>+_xlfn.XLOOKUP(Tabla1[[#This Row],[Codigo_actividad]],Conceptos!A:A,Conceptos!H:H)</f>
        <v>P2.06</v>
      </c>
      <c r="L649" s="55" t="str">
        <f>IF(_xlfn.XLOOKUP($J649,Catalogo!$B$7:$B$21,Catalogo!$I$7:$I$21,"",0)=0,"",_xlfn.XLOOKUP($J649,Catalogo!$B$7:$B$21,Catalogo!$I$7:$I$21,"",0))</f>
        <v>Localizacion</v>
      </c>
      <c r="M649" s="36">
        <f>+_xlfn.XLOOKUP(Tabla1[[#This Row],[Ducto]],nombres!D:D,nombres!E:E)/1000</f>
        <v>3.0000000000000001E-3</v>
      </c>
      <c r="N649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O649" t="str">
        <f>_xlfn.IFNA(_xlfn.XLOOKUP(Tabla1[[#This Row],[fin]],$Q$379:$Q$398,$U$379:$U$398),"")</f>
        <v/>
      </c>
    </row>
    <row r="650" spans="1:15" x14ac:dyDescent="0.25">
      <c r="A650" s="354">
        <v>46301</v>
      </c>
      <c r="B650" s="114" t="s">
        <v>12</v>
      </c>
      <c r="C650" s="155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76" t="str">
        <f>+_xlfn.XLOOKUP(Tabla1[[#This Row],[Codigo_actividad]],Conceptos!A:A,Conceptos!H:H)</f>
        <v>P2.06</v>
      </c>
      <c r="L650" s="55" t="str">
        <f>IF(_xlfn.XLOOKUP($J650,Catalogo!$B$7:$B$21,Catalogo!$I$7:$I$21,"",0)=0,"",_xlfn.XLOOKUP($J650,Catalogo!$B$7:$B$21,Catalogo!$I$7:$I$21,"",0))</f>
        <v>Localizacion</v>
      </c>
      <c r="M650" s="36">
        <f>+_xlfn.XLOOKUP(Tabla1[[#This Row],[Ducto]],nombres!D:D,nombres!E:E)/1000</f>
        <v>7.0000000000000001E-3</v>
      </c>
      <c r="N650" s="261">
        <f>IF(Tabla1[[#This Row],[Avance_km]]&lt;&gt;"",Tabla1[[#This Row],[Avance_km]],Tabla1[[#This Row],[Avance_Med]])*_xlfn.XLOOKUP(Tabla1[[#This Row],[Codigo_actividad]],Catalogo!$B$6:$B$51,Catalogo!$F$6:$F$51,0)</f>
        <v>15.80194</v>
      </c>
      <c r="O650" t="str">
        <f>_xlfn.IFNA(_xlfn.XLOOKUP(Tabla1[[#This Row],[fin]],$Q$379:$Q$398,$U$379:$U$398),"")</f>
        <v/>
      </c>
    </row>
    <row r="651" spans="1:15" x14ac:dyDescent="0.25">
      <c r="A651" s="354">
        <v>46301</v>
      </c>
      <c r="B651" s="114" t="s">
        <v>12</v>
      </c>
      <c r="C651" s="155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4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76" t="str">
        <f>+_xlfn.XLOOKUP(Tabla1[[#This Row],[Codigo_actividad]],Conceptos!A:A,Conceptos!H:H)</f>
        <v>P2.06</v>
      </c>
      <c r="L651" s="55" t="str">
        <f>IF(_xlfn.XLOOKUP($J651,Catalogo!$B$7:$B$21,Catalogo!$I$7:$I$21,"",0)=0,"",_xlfn.XLOOKUP($J651,Catalogo!$B$7:$B$21,Catalogo!$I$7:$I$21,"",0))</f>
        <v>Localizacion</v>
      </c>
      <c r="M651" s="36">
        <f>+_xlfn.XLOOKUP(Tabla1[[#This Row],[Ducto]],nombres!D:D,nombres!E:E)/1000</f>
        <v>1.55E-2</v>
      </c>
      <c r="N651" s="261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O651" t="str">
        <f>_xlfn.IFNA(_xlfn.XLOOKUP(Tabla1[[#This Row],[fin]],$Q$379:$Q$398,$U$379:$U$398),"")</f>
        <v/>
      </c>
    </row>
    <row r="652" spans="1:15" x14ac:dyDescent="0.25">
      <c r="A652" s="354">
        <v>46301</v>
      </c>
      <c r="B652" s="114" t="s">
        <v>12</v>
      </c>
      <c r="C652" s="155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76" t="str">
        <f>+_xlfn.XLOOKUP(Tabla1[[#This Row],[Codigo_actividad]],Conceptos!A:A,Conceptos!H:H)</f>
        <v>P2.06</v>
      </c>
      <c r="L652" s="55" t="str">
        <f>IF(_xlfn.XLOOKUP($J652,Catalogo!$B$7:$B$21,Catalogo!$I$7:$I$21,"",0)=0,"",_xlfn.XLOOKUP($J652,Catalogo!$B$7:$B$21,Catalogo!$I$7:$I$21,"",0))</f>
        <v>Localizacion</v>
      </c>
      <c r="M652" s="36">
        <f>+_xlfn.XLOOKUP(Tabla1[[#This Row],[Ducto]],nombres!D:D,nombres!E:E)/1000</f>
        <v>1.7000000000000001E-2</v>
      </c>
      <c r="N652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O652" t="str">
        <f>_xlfn.IFNA(_xlfn.XLOOKUP(Tabla1[[#This Row],[fin]],$Q$379:$Q$398,$U$379:$U$398),"")</f>
        <v/>
      </c>
    </row>
    <row r="653" spans="1:15" x14ac:dyDescent="0.25">
      <c r="A653" s="354">
        <v>46302</v>
      </c>
      <c r="B653" s="114" t="s">
        <v>12</v>
      </c>
      <c r="C653" s="155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4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76" t="str">
        <f>+_xlfn.XLOOKUP(Tabla1[[#This Row],[Codigo_actividad]],Conceptos!A:A,Conceptos!H:H)</f>
        <v>P2.06</v>
      </c>
      <c r="L653" s="55" t="str">
        <f>IF(_xlfn.XLOOKUP($J653,Catalogo!$B$7:$B$21,Catalogo!$I$7:$I$21,"",0)=0,"",_xlfn.XLOOKUP($J653,Catalogo!$B$7:$B$21,Catalogo!$I$7:$I$21,"",0))</f>
        <v>Localizacion</v>
      </c>
      <c r="M653" s="36">
        <f>+_xlfn.XLOOKUP(Tabla1[[#This Row],[Ducto]],nombres!D:D,nombres!E:E)/1000</f>
        <v>0.17</v>
      </c>
      <c r="N653" s="261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O653" t="str">
        <f>_xlfn.IFNA(_xlfn.XLOOKUP(Tabla1[[#This Row],[fin]],$Q$379:$Q$398,$U$379:$U$398),"")</f>
        <v/>
      </c>
    </row>
    <row r="654" spans="1:15" x14ac:dyDescent="0.25">
      <c r="A654" s="354">
        <v>46302</v>
      </c>
      <c r="B654" s="114" t="s">
        <v>12</v>
      </c>
      <c r="C654" s="155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76" t="str">
        <f>+_xlfn.XLOOKUP(Tabla1[[#This Row],[Codigo_actividad]],Conceptos!A:A,Conceptos!H:H)</f>
        <v>P2.06</v>
      </c>
      <c r="L654" s="55" t="str">
        <f>IF(_xlfn.XLOOKUP($J654,Catalogo!$B$7:$B$21,Catalogo!$I$7:$I$21,"",0)=0,"",_xlfn.XLOOKUP($J654,Catalogo!$B$7:$B$21,Catalogo!$I$7:$I$21,"",0))</f>
        <v>Localizacion</v>
      </c>
      <c r="M654" s="36">
        <f>+_xlfn.XLOOKUP(Tabla1[[#This Row],[Ducto]],nombres!D:D,nombres!E:E)/1000</f>
        <v>8.5000000000000006E-3</v>
      </c>
      <c r="N654" s="261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O654" t="str">
        <f>_xlfn.IFNA(_xlfn.XLOOKUP(Tabla1[[#This Row],[fin]],$Q$379:$Q$398,$U$379:$U$398),"")</f>
        <v/>
      </c>
    </row>
    <row r="655" spans="1:15" x14ac:dyDescent="0.25">
      <c r="A655" s="354">
        <v>46302</v>
      </c>
      <c r="B655" s="114" t="s">
        <v>12</v>
      </c>
      <c r="C655" s="155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76" t="str">
        <f>+_xlfn.XLOOKUP(Tabla1[[#This Row],[Codigo_actividad]],Conceptos!A:A,Conceptos!H:H)</f>
        <v>P2.06</v>
      </c>
      <c r="L655" s="55" t="str">
        <f>IF(_xlfn.XLOOKUP($J655,Catalogo!$B$7:$B$21,Catalogo!$I$7:$I$21,"",0)=0,"",_xlfn.XLOOKUP($J655,Catalogo!$B$7:$B$21,Catalogo!$I$7:$I$21,"",0))</f>
        <v>Localizacion</v>
      </c>
      <c r="M655" s="36">
        <f>+_xlfn.XLOOKUP(Tabla1[[#This Row],[Ducto]],nombres!D:D,nombres!E:E)/1000</f>
        <v>1.2999999999999999E-2</v>
      </c>
      <c r="N655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O655" t="str">
        <f>_xlfn.IFNA(_xlfn.XLOOKUP(Tabla1[[#This Row],[fin]],$Q$379:$Q$398,$U$379:$U$398),"")</f>
        <v/>
      </c>
    </row>
    <row r="656" spans="1:15" x14ac:dyDescent="0.25">
      <c r="A656" s="354">
        <v>46302</v>
      </c>
      <c r="B656" s="114" t="s">
        <v>12</v>
      </c>
      <c r="C656" s="155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76" t="str">
        <f>+_xlfn.XLOOKUP(Tabla1[[#This Row],[Codigo_actividad]],Conceptos!A:A,Conceptos!H:H)</f>
        <v>P2.06</v>
      </c>
      <c r="L656" s="55" t="str">
        <f>IF(_xlfn.XLOOKUP($J656,Catalogo!$B$7:$B$21,Catalogo!$I$7:$I$21,"",0)=0,"",_xlfn.XLOOKUP($J656,Catalogo!$B$7:$B$21,Catalogo!$I$7:$I$21,"",0))</f>
        <v>Localizacion</v>
      </c>
      <c r="M656" s="36">
        <f>+_xlfn.XLOOKUP(Tabla1[[#This Row],[Ducto]],nombres!D:D,nombres!E:E)/1000</f>
        <v>5.2999999999999999E-2</v>
      </c>
      <c r="N656" s="261">
        <f>IF(Tabla1[[#This Row],[Avance_km]]&lt;&gt;"",Tabla1[[#This Row],[Avance_km]],Tabla1[[#This Row],[Avance_Med]])*_xlfn.XLOOKUP(Tabla1[[#This Row],[Codigo_actividad]],Catalogo!$B$6:$B$51,Catalogo!$F$6:$F$51,0)</f>
        <v>119.64326</v>
      </c>
      <c r="O656" t="str">
        <f>_xlfn.IFNA(_xlfn.XLOOKUP(Tabla1[[#This Row],[fin]],$Q$379:$Q$398,$U$379:$U$398),"")</f>
        <v/>
      </c>
    </row>
    <row r="657" spans="1:15" x14ac:dyDescent="0.25">
      <c r="A657" s="354">
        <v>46302</v>
      </c>
      <c r="B657" s="114" t="s">
        <v>12</v>
      </c>
      <c r="C657" s="155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76" t="str">
        <f>+_xlfn.XLOOKUP(Tabla1[[#This Row],[Codigo_actividad]],Conceptos!A:A,Conceptos!H:H)</f>
        <v>P2.06</v>
      </c>
      <c r="L657" s="55" t="str">
        <f>IF(_xlfn.XLOOKUP($J657,Catalogo!$B$7:$B$21,Catalogo!$I$7:$I$21,"",0)=0,"",_xlfn.XLOOKUP($J657,Catalogo!$B$7:$B$21,Catalogo!$I$7:$I$21,"",0))</f>
        <v>Localizacion</v>
      </c>
      <c r="M657" s="36">
        <f>+_xlfn.XLOOKUP(Tabla1[[#This Row],[Ducto]],nombres!D:D,nombres!E:E)/1000</f>
        <v>8.0000000000000002E-3</v>
      </c>
      <c r="N657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O657" t="str">
        <f>_xlfn.IFNA(_xlfn.XLOOKUP(Tabla1[[#This Row],[fin]],$Q$379:$Q$398,$U$379:$U$398),"")</f>
        <v/>
      </c>
    </row>
    <row r="658" spans="1:15" x14ac:dyDescent="0.25">
      <c r="A658" s="354">
        <v>46303</v>
      </c>
      <c r="B658" s="114" t="s">
        <v>12</v>
      </c>
      <c r="C658" s="155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4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76" t="str">
        <f>+_xlfn.XLOOKUP(Tabla1[[#This Row],[Codigo_actividad]],Conceptos!A:A,Conceptos!H:H)</f>
        <v>P2.03</v>
      </c>
      <c r="L658" s="66" t="str">
        <f>IF(_xlfn.XLOOKUP($J658,Catalogo!$B$7:$B$210,Catalogo!$I$7:$I$210,"",0)=0,"",_xlfn.XLOOKUP($J658,Catalogo!$B$7:$B$210,Catalogo!$I$7:$I$210,"",0))</f>
        <v>DCVG</v>
      </c>
      <c r="M658" s="36">
        <f>+_xlfn.XLOOKUP(Tabla1[[#This Row],[Ducto]],nombres!D:D,nombres!E:E)/1000</f>
        <v>0.62390000000000001</v>
      </c>
      <c r="N658" s="261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5" x14ac:dyDescent="0.25">
      <c r="A659" s="354">
        <v>46303</v>
      </c>
      <c r="B659" s="114" t="s">
        <v>12</v>
      </c>
      <c r="C659" s="155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76" t="str">
        <f>+_xlfn.XLOOKUP(Tabla1[[#This Row],[Codigo_actividad]],Conceptos!A:A,Conceptos!H:H)</f>
        <v>P2.03</v>
      </c>
      <c r="L659" s="66" t="str">
        <f>IF(_xlfn.XLOOKUP($J659,Catalogo!$B$7:$B$21,Catalogo!$I$7:$I$21,"",0)=0,"",_xlfn.XLOOKUP($J659,Catalogo!$B$7:$B$21,Catalogo!$I$7:$I$21,"",0))</f>
        <v>DCVG</v>
      </c>
      <c r="M659" s="36">
        <f>+_xlfn.XLOOKUP(Tabla1[[#This Row],[Ducto]],nombres!D:D,nombres!E:E)/1000</f>
        <v>0.60799999999999998</v>
      </c>
      <c r="N659" s="261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O659" t="str">
        <f>_xlfn.IFNA(_xlfn.XLOOKUP(Tabla1[[#This Row],[fin]],$Q$379:$Q$398,$U$379:$U$398),"")</f>
        <v/>
      </c>
    </row>
    <row r="660" spans="1:15" x14ac:dyDescent="0.25">
      <c r="A660" s="354">
        <v>46303</v>
      </c>
      <c r="B660" s="114" t="s">
        <v>12</v>
      </c>
      <c r="C660" s="155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76" t="str">
        <f>+_xlfn.XLOOKUP(Tabla1[[#This Row],[Codigo_actividad]],Conceptos!A:A,Conceptos!H:H)</f>
        <v>P2.03</v>
      </c>
      <c r="L660" s="66" t="str">
        <f>IF(_xlfn.XLOOKUP($J660,Catalogo!$B$7:$B$21,Catalogo!$I$7:$I$21,"",0)=0,"",_xlfn.XLOOKUP($J660,Catalogo!$B$7:$B$21,Catalogo!$I$7:$I$21,"",0))</f>
        <v>DCVG</v>
      </c>
      <c r="M660" s="36">
        <f>+_xlfn.XLOOKUP(Tabla1[[#This Row],[Ducto]],nombres!D:D,nombres!E:E)/1000</f>
        <v>3.0000000000000001E-3</v>
      </c>
      <c r="N660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O660" t="str">
        <f>_xlfn.IFNA(_xlfn.XLOOKUP(Tabla1[[#This Row],[fin]],$Q$379:$Q$398,$U$379:$U$398),"")</f>
        <v/>
      </c>
    </row>
    <row r="661" spans="1:15" x14ac:dyDescent="0.25">
      <c r="A661" s="354">
        <v>46303</v>
      </c>
      <c r="B661" s="114" t="s">
        <v>12</v>
      </c>
      <c r="C661" s="155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76" t="str">
        <f>+_xlfn.XLOOKUP(Tabla1[[#This Row],[Codigo_actividad]],Conceptos!A:A,Conceptos!H:H)</f>
        <v>P2.03</v>
      </c>
      <c r="L661" s="66" t="str">
        <f>IF(_xlfn.XLOOKUP($J661,Catalogo!$B$7:$B$21,Catalogo!$I$7:$I$21,"",0)=0,"",_xlfn.XLOOKUP($J661,Catalogo!$B$7:$B$21,Catalogo!$I$7:$I$21,"",0))</f>
        <v>DCVG</v>
      </c>
      <c r="M661" s="36">
        <f>+_xlfn.XLOOKUP(Tabla1[[#This Row],[Ducto]],nombres!D:D,nombres!E:E)/1000</f>
        <v>7.0000000000000001E-3</v>
      </c>
      <c r="N661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O661" t="str">
        <f>_xlfn.IFNA(_xlfn.XLOOKUP(Tabla1[[#This Row],[fin]],$Q$379:$Q$398,$U$379:$U$398),"")</f>
        <v/>
      </c>
    </row>
    <row r="662" spans="1:15" x14ac:dyDescent="0.25">
      <c r="A662" s="354">
        <v>46303</v>
      </c>
      <c r="B662" s="114" t="s">
        <v>12</v>
      </c>
      <c r="C662" s="155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4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76" t="str">
        <f>+_xlfn.XLOOKUP(Tabla1[[#This Row],[Codigo_actividad]],Conceptos!A:A,Conceptos!H:H)</f>
        <v>P2.03</v>
      </c>
      <c r="L662" s="66" t="str">
        <f>IF(_xlfn.XLOOKUP($J662,Catalogo!$B$7:$B$21,Catalogo!$I$7:$I$21,"",0)=0,"",_xlfn.XLOOKUP($J662,Catalogo!$B$7:$B$21,Catalogo!$I$7:$I$21,"",0))</f>
        <v>DCVG</v>
      </c>
      <c r="M662" s="36">
        <f>+_xlfn.XLOOKUP(Tabla1[[#This Row],[Ducto]],nombres!D:D,nombres!E:E)/1000</f>
        <v>1.55E-2</v>
      </c>
      <c r="N662" s="261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O662" t="str">
        <f>_xlfn.IFNA(_xlfn.XLOOKUP(Tabla1[[#This Row],[fin]],$Q$379:$Q$398,$U$379:$U$398),"")</f>
        <v/>
      </c>
    </row>
    <row r="663" spans="1:15" x14ac:dyDescent="0.25">
      <c r="A663" s="354">
        <v>46303</v>
      </c>
      <c r="B663" s="114" t="s">
        <v>12</v>
      </c>
      <c r="C663" s="155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76" t="str">
        <f>+_xlfn.XLOOKUP(Tabla1[[#This Row],[Codigo_actividad]],Conceptos!A:A,Conceptos!H:H)</f>
        <v>P2.03</v>
      </c>
      <c r="L663" s="66" t="str">
        <f>IF(_xlfn.XLOOKUP($J663,Catalogo!$B$7:$B$21,Catalogo!$I$7:$I$21,"",0)=0,"",_xlfn.XLOOKUP($J663,Catalogo!$B$7:$B$21,Catalogo!$I$7:$I$21,"",0))</f>
        <v>DCVG</v>
      </c>
      <c r="M663" s="36">
        <f>+_xlfn.XLOOKUP(Tabla1[[#This Row],[Ducto]],nombres!D:D,nombres!E:E)/1000</f>
        <v>1.7000000000000001E-2</v>
      </c>
      <c r="N663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O663" t="str">
        <f>_xlfn.IFNA(_xlfn.XLOOKUP(Tabla1[[#This Row],[fin]],$Q$379:$Q$398,$U$379:$U$398),"")</f>
        <v/>
      </c>
    </row>
    <row r="664" spans="1:15" x14ac:dyDescent="0.25">
      <c r="A664" s="354">
        <v>46303</v>
      </c>
      <c r="B664" s="114" t="s">
        <v>12</v>
      </c>
      <c r="C664" s="155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4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76" t="str">
        <f>+_xlfn.XLOOKUP(Tabla1[[#This Row],[Codigo_actividad]],Conceptos!A:A,Conceptos!H:H)</f>
        <v>P2.03</v>
      </c>
      <c r="L664" s="66" t="str">
        <f>IF(_xlfn.XLOOKUP($J664,Catalogo!$B$7:$B$21,Catalogo!$I$7:$I$21,"",0)=0,"",_xlfn.XLOOKUP($J664,Catalogo!$B$7:$B$21,Catalogo!$I$7:$I$21,"",0))</f>
        <v>DCVG</v>
      </c>
      <c r="M664" s="36">
        <f>+_xlfn.XLOOKUP(Tabla1[[#This Row],[Ducto]],nombres!D:D,nombres!E:E)/1000</f>
        <v>0.17</v>
      </c>
      <c r="N664" s="261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O664" t="str">
        <f>_xlfn.IFNA(_xlfn.XLOOKUP(Tabla1[[#This Row],[fin]],$Q$379:$Q$398,$U$379:$U$398),"")</f>
        <v/>
      </c>
    </row>
    <row r="665" spans="1:15" x14ac:dyDescent="0.25">
      <c r="A665" s="354">
        <v>46303</v>
      </c>
      <c r="B665" s="114" t="s">
        <v>12</v>
      </c>
      <c r="C665" s="155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76" t="str">
        <f>+_xlfn.XLOOKUP(Tabla1[[#This Row],[Codigo_actividad]],Conceptos!A:A,Conceptos!H:H)</f>
        <v>P2.03</v>
      </c>
      <c r="L665" s="66" t="str">
        <f>IF(_xlfn.XLOOKUP($J665,Catalogo!$B$7:$B$21,Catalogo!$I$7:$I$21,"",0)=0,"",_xlfn.XLOOKUP($J665,Catalogo!$B$7:$B$21,Catalogo!$I$7:$I$21,"",0))</f>
        <v>DCVG</v>
      </c>
      <c r="M665" s="36">
        <f>+_xlfn.XLOOKUP(Tabla1[[#This Row],[Ducto]],nombres!D:D,nombres!E:E)/1000</f>
        <v>8.5000000000000006E-3</v>
      </c>
      <c r="N665" s="261">
        <f>IF(Tabla1[[#This Row],[Avance_km]]&lt;&gt;"",Tabla1[[#This Row],[Avance_km]],Tabla1[[#This Row],[Avance_Med]])*_xlfn.XLOOKUP(Tabla1[[#This Row],[Codigo_actividad]],Catalogo!$B$6:$B$51,Catalogo!$F$6:$F$51,0)</f>
        <v>115.222855</v>
      </c>
      <c r="O665" t="str">
        <f>_xlfn.IFNA(_xlfn.XLOOKUP(Tabla1[[#This Row],[fin]],$Q$379:$Q$398,$U$379:$U$398),"")</f>
        <v/>
      </c>
    </row>
    <row r="666" spans="1:15" x14ac:dyDescent="0.25">
      <c r="A666" s="354">
        <v>46303</v>
      </c>
      <c r="B666" s="114" t="s">
        <v>12</v>
      </c>
      <c r="C666" s="155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76" t="str">
        <f>+_xlfn.XLOOKUP(Tabla1[[#This Row],[Codigo_actividad]],Conceptos!A:A,Conceptos!H:H)</f>
        <v>P2.03</v>
      </c>
      <c r="L666" s="66" t="str">
        <f>IF(_xlfn.XLOOKUP($J666,Catalogo!$B$7:$B$21,Catalogo!$I$7:$I$21,"",0)=0,"",_xlfn.XLOOKUP($J666,Catalogo!$B$7:$B$21,Catalogo!$I$7:$I$21,"",0))</f>
        <v>DCVG</v>
      </c>
      <c r="M666" s="36">
        <f>+_xlfn.XLOOKUP(Tabla1[[#This Row],[Ducto]],nombres!D:D,nombres!E:E)/1000</f>
        <v>1.2999999999999999E-2</v>
      </c>
      <c r="N666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O666" t="str">
        <f>_xlfn.IFNA(_xlfn.XLOOKUP(Tabla1[[#This Row],[fin]],$Q$379:$Q$398,$U$379:$U$398),"")</f>
        <v/>
      </c>
    </row>
    <row r="667" spans="1:15" x14ac:dyDescent="0.25">
      <c r="A667" s="354">
        <v>46303</v>
      </c>
      <c r="B667" s="114" t="s">
        <v>12</v>
      </c>
      <c r="C667" s="155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76" t="str">
        <f>+_xlfn.XLOOKUP(Tabla1[[#This Row],[Codigo_actividad]],Conceptos!A:A,Conceptos!H:H)</f>
        <v>P2.03</v>
      </c>
      <c r="L667" s="66" t="str">
        <f>IF(_xlfn.XLOOKUP($J667,Catalogo!$B$7:$B$21,Catalogo!$I$7:$I$21,"",0)=0,"",_xlfn.XLOOKUP($J667,Catalogo!$B$7:$B$21,Catalogo!$I$7:$I$21,"",0))</f>
        <v>DCVG</v>
      </c>
      <c r="M667" s="36">
        <f>+_xlfn.XLOOKUP(Tabla1[[#This Row],[Ducto]],nombres!D:D,nombres!E:E)/1000</f>
        <v>5.2999999999999999E-2</v>
      </c>
      <c r="N667" s="261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O667" t="str">
        <f>_xlfn.IFNA(_xlfn.XLOOKUP(Tabla1[[#This Row],[fin]],$Q$379:$Q$398,$U$379:$U$398),"")</f>
        <v/>
      </c>
    </row>
    <row r="668" spans="1:15" x14ac:dyDescent="0.25">
      <c r="A668" s="354">
        <v>46303</v>
      </c>
      <c r="B668" s="114" t="s">
        <v>12</v>
      </c>
      <c r="C668" s="155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76" t="str">
        <f>+_xlfn.XLOOKUP(Tabla1[[#This Row],[Codigo_actividad]],Conceptos!A:A,Conceptos!H:H)</f>
        <v>P2.03</v>
      </c>
      <c r="L668" s="66" t="str">
        <f>IF(_xlfn.XLOOKUP($J668,Catalogo!$B$7:$B$21,Catalogo!$I$7:$I$21,"",0)=0,"",_xlfn.XLOOKUP($J668,Catalogo!$B$7:$B$21,Catalogo!$I$7:$I$21,"",0))</f>
        <v>DCVG</v>
      </c>
      <c r="M668" s="36">
        <f>+_xlfn.XLOOKUP(Tabla1[[#This Row],[Ducto]],nombres!D:D,nombres!E:E)/1000</f>
        <v>8.0000000000000002E-3</v>
      </c>
      <c r="N668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O668" t="str">
        <f>_xlfn.IFNA(_xlfn.XLOOKUP(Tabla1[[#This Row],[fin]],$Q$379:$Q$398,$U$379:$U$398),"")</f>
        <v/>
      </c>
    </row>
    <row r="669" spans="1:15" x14ac:dyDescent="0.25">
      <c r="A669" s="354">
        <v>46303</v>
      </c>
      <c r="B669" s="114" t="s">
        <v>12</v>
      </c>
      <c r="C669" s="155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76" t="str">
        <f>+_xlfn.XLOOKUP(Tabla1[[#This Row],[Codigo_actividad]],Conceptos!A:A,Conceptos!H:H)</f>
        <v>P2.03</v>
      </c>
      <c r="L669" s="66" t="str">
        <f>IF(_xlfn.XLOOKUP($J669,Catalogo!$B$7:$B$21,Catalogo!$I$7:$I$21,"",0)=0,"",_xlfn.XLOOKUP($J669,Catalogo!$B$7:$B$21,Catalogo!$I$7:$I$21,"",0))</f>
        <v>DCVG</v>
      </c>
      <c r="M669" s="36">
        <f>+_xlfn.XLOOKUP(Tabla1[[#This Row],[Ducto]],nombres!D:D,nombres!E:E)/1000</f>
        <v>9.7000000000000003E-2</v>
      </c>
      <c r="N669" s="261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O669" t="str">
        <f>_xlfn.IFNA(_xlfn.XLOOKUP(Tabla1[[#This Row],[fin]],$Q$379:$Q$398,$U$379:$U$398),"")</f>
        <v/>
      </c>
    </row>
    <row r="670" spans="1:15" x14ac:dyDescent="0.25">
      <c r="A670" s="354">
        <v>46303</v>
      </c>
      <c r="B670" s="114" t="s">
        <v>12</v>
      </c>
      <c r="C670" s="155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76" t="str">
        <f>+_xlfn.XLOOKUP(Tabla1[[#This Row],[Codigo_actividad]],Conceptos!A:A,Conceptos!H:H)</f>
        <v>P2.06</v>
      </c>
      <c r="L670" s="66" t="str">
        <f>IF(_xlfn.XLOOKUP($J670,Catalogo!$B$7:$B$21,Catalogo!$I$7:$I$21,"",0)=0,"",_xlfn.XLOOKUP($J670,Catalogo!$B$7:$B$21,Catalogo!$I$7:$I$21,"",0))</f>
        <v>Localizacion</v>
      </c>
      <c r="M670" s="36">
        <f>+_xlfn.XLOOKUP(Tabla1[[#This Row],[Ducto]],nombres!D:D,nombres!E:E)/1000</f>
        <v>9.7000000000000003E-2</v>
      </c>
      <c r="N670" s="261">
        <f>IF(Tabla1[[#This Row],[Avance_km]]&lt;&gt;"",Tabla1[[#This Row],[Avance_km]],Tabla1[[#This Row],[Avance_Med]])*_xlfn.XLOOKUP(Tabla1[[#This Row],[Codigo_actividad]],Catalogo!$B$6:$B$51,Catalogo!$F$6:$F$51,0)</f>
        <v>218.96974</v>
      </c>
      <c r="O670" t="str">
        <f>_xlfn.IFNA(_xlfn.XLOOKUP(Tabla1[[#This Row],[fin]],$Q$379:$Q$398,$U$379:$U$398),"")</f>
        <v/>
      </c>
    </row>
    <row r="671" spans="1:15" x14ac:dyDescent="0.25">
      <c r="A671" s="354">
        <v>46304</v>
      </c>
      <c r="B671" s="114" t="s">
        <v>12</v>
      </c>
      <c r="C671" s="155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4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76" t="str">
        <f>+_xlfn.XLOOKUP(Tabla1[[#This Row],[Codigo_actividad]],Conceptos!A:A,Conceptos!H:H)</f>
        <v>P2.01</v>
      </c>
      <c r="L671" s="66" t="str">
        <f>IF(_xlfn.XLOOKUP($J671,Catalogo!$B$7:$B$210,Catalogo!$I$7:$I$210,"",0)=0,"",_xlfn.XLOOKUP($J671,Catalogo!$B$7:$B$210,Catalogo!$I$7:$I$210,"",0))</f>
        <v>CIPS</v>
      </c>
      <c r="M671" s="36">
        <f>+_xlfn.XLOOKUP(Tabla1[[#This Row],[Ducto]],nombres!D:D,nombres!E:E)/1000</f>
        <v>0.62390000000000001</v>
      </c>
      <c r="N671" s="261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5" x14ac:dyDescent="0.25">
      <c r="A672" s="354">
        <v>46304</v>
      </c>
      <c r="B672" s="114" t="s">
        <v>12</v>
      </c>
      <c r="C672" s="155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76" t="str">
        <f>+_xlfn.XLOOKUP(Tabla1[[#This Row],[Codigo_actividad]],Conceptos!A:A,Conceptos!H:H)</f>
        <v>P2.01</v>
      </c>
      <c r="L672" s="66" t="str">
        <f>IF(_xlfn.XLOOKUP($J672,Catalogo!$B$7:$B$210,Catalogo!$I$7:$I$210,"",0)=0,"",_xlfn.XLOOKUP($J672,Catalogo!$B$7:$B$210,Catalogo!$I$7:$I$210,"",0))</f>
        <v>CIPS</v>
      </c>
      <c r="M672" s="36">
        <f>+_xlfn.XLOOKUP(Tabla1[[#This Row],[Ducto]],nombres!D:D,nombres!E:E)/1000</f>
        <v>3.0000000000000001E-3</v>
      </c>
      <c r="N67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5" x14ac:dyDescent="0.25">
      <c r="A673" s="354">
        <v>46304</v>
      </c>
      <c r="B673" s="114" t="s">
        <v>12</v>
      </c>
      <c r="C673" s="155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4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76" t="str">
        <f>+_xlfn.XLOOKUP(Tabla1[[#This Row],[Codigo_actividad]],Conceptos!A:A,Conceptos!H:H)</f>
        <v>P2.01</v>
      </c>
      <c r="L673" s="66" t="str">
        <f>IF(_xlfn.XLOOKUP($J673,Catalogo!$B$7:$B$210,Catalogo!$I$7:$I$210,"",0)=0,"",_xlfn.XLOOKUP($J673,Catalogo!$B$7:$B$210,Catalogo!$I$7:$I$210,"",0))</f>
        <v>CIPS</v>
      </c>
      <c r="M673" s="36">
        <f>+_xlfn.XLOOKUP(Tabla1[[#This Row],[Ducto]],nombres!D:D,nombres!E:E)/1000</f>
        <v>1.55E-2</v>
      </c>
      <c r="N673" s="261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5" x14ac:dyDescent="0.25">
      <c r="A674" s="354">
        <v>46304</v>
      </c>
      <c r="B674" s="114" t="s">
        <v>12</v>
      </c>
      <c r="C674" s="155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76" t="str">
        <f>+_xlfn.XLOOKUP(Tabla1[[#This Row],[Codigo_actividad]],Conceptos!A:A,Conceptos!H:H)</f>
        <v>P2.01</v>
      </c>
      <c r="L674" s="66" t="str">
        <f>IF(_xlfn.XLOOKUP($J674,Catalogo!$B$7:$B$210,Catalogo!$I$7:$I$210,"",0)=0,"",_xlfn.XLOOKUP($J674,Catalogo!$B$7:$B$210,Catalogo!$I$7:$I$210,"",0))</f>
        <v>CIPS</v>
      </c>
      <c r="M674" s="36">
        <f>+_xlfn.XLOOKUP(Tabla1[[#This Row],[Ducto]],nombres!D:D,nombres!E:E)/1000</f>
        <v>1.7000000000000001E-2</v>
      </c>
      <c r="N674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5" x14ac:dyDescent="0.25">
      <c r="A675" s="354">
        <v>46304</v>
      </c>
      <c r="B675" s="114" t="s">
        <v>12</v>
      </c>
      <c r="C675" s="155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76" t="str">
        <f>+_xlfn.XLOOKUP(Tabla1[[#This Row],[Codigo_actividad]],Conceptos!A:A,Conceptos!H:H)</f>
        <v>P2.01</v>
      </c>
      <c r="L675" s="66" t="str">
        <f>IF(_xlfn.XLOOKUP($J675,Catalogo!$B$7:$B$210,Catalogo!$I$7:$I$210,"",0)=0,"",_xlfn.XLOOKUP($J675,Catalogo!$B$7:$B$210,Catalogo!$I$7:$I$210,"",0))</f>
        <v>CIPS</v>
      </c>
      <c r="M675" s="36">
        <f>+_xlfn.XLOOKUP(Tabla1[[#This Row],[Ducto]],nombres!D:D,nombres!E:E)/1000</f>
        <v>1.2999999999999999E-2</v>
      </c>
      <c r="N675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5" x14ac:dyDescent="0.25">
      <c r="A676" s="354">
        <v>46304</v>
      </c>
      <c r="B676" s="114" t="s">
        <v>12</v>
      </c>
      <c r="C676" s="155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76" t="str">
        <f>+_xlfn.XLOOKUP(Tabla1[[#This Row],[Codigo_actividad]],Conceptos!A:A,Conceptos!H:H)</f>
        <v>P2.01</v>
      </c>
      <c r="L676" s="66" t="str">
        <f>IF(_xlfn.XLOOKUP($J676,Catalogo!$B$7:$B$210,Catalogo!$I$7:$I$210,"",0)=0,"",_xlfn.XLOOKUP($J676,Catalogo!$B$7:$B$210,Catalogo!$I$7:$I$210,"",0))</f>
        <v>CIPS</v>
      </c>
      <c r="M676" s="36">
        <f>+_xlfn.XLOOKUP(Tabla1[[#This Row],[Ducto]],nombres!D:D,nombres!E:E)/1000</f>
        <v>5.2999999999999999E-2</v>
      </c>
      <c r="N676" s="261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5" x14ac:dyDescent="0.25">
      <c r="A677" s="354">
        <v>46304</v>
      </c>
      <c r="B677" s="114" t="s">
        <v>12</v>
      </c>
      <c r="C677" s="155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76" t="str">
        <f>+_xlfn.XLOOKUP(Tabla1[[#This Row],[Codigo_actividad]],Conceptos!A:A,Conceptos!H:H)</f>
        <v>P2.01</v>
      </c>
      <c r="L677" s="66" t="str">
        <f>IF(_xlfn.XLOOKUP($J677,Catalogo!$B$7:$B$210,Catalogo!$I$7:$I$210,"",0)=0,"",_xlfn.XLOOKUP($J677,Catalogo!$B$7:$B$210,Catalogo!$I$7:$I$210,"",0))</f>
        <v>CIPS</v>
      </c>
      <c r="M677" s="36">
        <f>+_xlfn.XLOOKUP(Tabla1[[#This Row],[Ducto]],nombres!D:D,nombres!E:E)/1000</f>
        <v>8.0000000000000002E-3</v>
      </c>
      <c r="N677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5" x14ac:dyDescent="0.25">
      <c r="A678" s="354"/>
      <c r="B678" s="114"/>
      <c r="C678" s="155"/>
      <c r="D678" s="39"/>
      <c r="F678" s="28"/>
      <c r="G678" s="28"/>
      <c r="H678" s="224"/>
      <c r="I678" s="66"/>
      <c r="J678" s="76"/>
      <c r="K678" s="76">
        <f>+_xlfn.XLOOKUP(Tabla1[[#This Row],[Codigo_actividad]],Conceptos!A:A,Conceptos!H:H)</f>
        <v>0</v>
      </c>
      <c r="M678" s="36"/>
      <c r="N678" s="261"/>
    </row>
    <row r="679" spans="1:15" x14ac:dyDescent="0.25">
      <c r="A679" s="354">
        <v>46308</v>
      </c>
      <c r="B679" s="114" t="s">
        <v>12</v>
      </c>
      <c r="C679" s="155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76" t="str">
        <f>+_xlfn.XLOOKUP(Tabla1[[#This Row],[Codigo_actividad]],Conceptos!A:A,Conceptos!H:H)</f>
        <v>P2.01</v>
      </c>
      <c r="L679" s="66" t="str">
        <f>IF(_xlfn.XLOOKUP($J679,Catalogo!$B$7:$B$210,Catalogo!$I$7:$I$210,"",0)=0,"",_xlfn.XLOOKUP($J679,Catalogo!$B$7:$B$210,Catalogo!$I$7:$I$210,"",0))</f>
        <v>CIPS</v>
      </c>
      <c r="M679" s="36">
        <f>+_xlfn.XLOOKUP(Tabla1[[#This Row],[Ducto]],nombres!D:D,nombres!E:E)/1000</f>
        <v>9.7000000000000003E-2</v>
      </c>
      <c r="N679" s="261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5" x14ac:dyDescent="0.25">
      <c r="A680" s="354">
        <v>46308</v>
      </c>
      <c r="B680" s="114" t="s">
        <v>12</v>
      </c>
      <c r="C680" s="155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76" t="str">
        <f>+_xlfn.XLOOKUP(Tabla1[[#This Row],[Codigo_actividad]],Conceptos!A:A,Conceptos!H:H)</f>
        <v>P2.01</v>
      </c>
      <c r="L680" s="66" t="str">
        <f>IF(_xlfn.XLOOKUP($J680,Catalogo!$B$7:$B$210,Catalogo!$I$7:$I$210,"",0)=0,"",_xlfn.XLOOKUP($J680,Catalogo!$B$7:$B$210,Catalogo!$I$7:$I$210,"",0))</f>
        <v>CIPS</v>
      </c>
      <c r="M680" s="36">
        <f>+_xlfn.XLOOKUP(Tabla1[[#This Row],[Ducto]],nombres!D:D,nombres!E:E)/1000</f>
        <v>0.60799999999999998</v>
      </c>
      <c r="N680" s="261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5" x14ac:dyDescent="0.25">
      <c r="A681" s="354">
        <v>46308</v>
      </c>
      <c r="B681" s="114" t="s">
        <v>12</v>
      </c>
      <c r="C681" s="155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4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76" t="str">
        <f>+_xlfn.XLOOKUP(Tabla1[[#This Row],[Codigo_actividad]],Conceptos!A:A,Conceptos!H:H)</f>
        <v>P2.01</v>
      </c>
      <c r="L681" s="66" t="str">
        <f>IF(_xlfn.XLOOKUP($J681,Catalogo!$B$7:$B$210,Catalogo!$I$7:$I$210,"",0)=0,"",_xlfn.XLOOKUP($J681,Catalogo!$B$7:$B$210,Catalogo!$I$7:$I$210,"",0))</f>
        <v>CIPS</v>
      </c>
      <c r="M681" s="36">
        <f>+_xlfn.XLOOKUP(Tabla1[[#This Row],[Ducto]],nombres!D:D,nombres!E:E)/1000</f>
        <v>0.17</v>
      </c>
      <c r="N681" s="261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5" x14ac:dyDescent="0.25">
      <c r="A682" s="354">
        <v>46308</v>
      </c>
      <c r="B682" s="114" t="s">
        <v>12</v>
      </c>
      <c r="C682" s="155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76" t="str">
        <f>+_xlfn.XLOOKUP(Tabla1[[#This Row],[Codigo_actividad]],Conceptos!A:A,Conceptos!H:H)</f>
        <v>P2.01</v>
      </c>
      <c r="L682" s="66" t="str">
        <f>IF(_xlfn.XLOOKUP($J682,Catalogo!$B$7:$B$210,Catalogo!$I$7:$I$210,"",0)=0,"",_xlfn.XLOOKUP($J682,Catalogo!$B$7:$B$210,Catalogo!$I$7:$I$210,"",0))</f>
        <v>CIPS</v>
      </c>
      <c r="M682" s="36">
        <f>+_xlfn.XLOOKUP(Tabla1[[#This Row],[Ducto]],nombres!D:D,nombres!E:E)/1000</f>
        <v>8.5000000000000006E-3</v>
      </c>
      <c r="N682" s="261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5" x14ac:dyDescent="0.25">
      <c r="A683" s="354"/>
      <c r="B683" s="114"/>
      <c r="C683" s="155"/>
      <c r="D683" s="39"/>
      <c r="F683" s="28"/>
      <c r="G683" s="28"/>
      <c r="H683" s="224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76">
        <f>+_xlfn.XLOOKUP(Tabla1[[#This Row],[Codigo_actividad]],Conceptos!A:A,Conceptos!H:H)</f>
        <v>0</v>
      </c>
      <c r="L683" s="55" t="str">
        <f>IF(_xlfn.XLOOKUP($J683,Catalogo!$B$7:$B$21,Catalogo!$I$7:$I$21,"",0)=0,"",_xlfn.XLOOKUP($J683,Catalogo!$B$7:$B$21,Catalogo!$I$7:$I$21,"",0))</f>
        <v/>
      </c>
      <c r="M683" s="36"/>
      <c r="N683" s="261">
        <f>IF(Tabla1[[#This Row],[Avance_km]]&lt;&gt;"",Tabla1[[#This Row],[Avance_km]],Tabla1[[#This Row],[Avance_Med]])*_xlfn.XLOOKUP(Tabla1[[#This Row],[Codigo_actividad]],Catalogo!$B$6:$B$51,Catalogo!$F$6:$F$51,0)</f>
        <v>0</v>
      </c>
      <c r="O683" t="str">
        <f>_xlfn.IFNA(_xlfn.XLOOKUP(Tabla1[[#This Row],[fin]],$Q$379:$Q$398,$U$379:$U$398),"")</f>
        <v/>
      </c>
    </row>
    <row r="684" spans="1:15" x14ac:dyDescent="0.25">
      <c r="A684" s="354">
        <v>46309</v>
      </c>
      <c r="B684" s="114" t="s">
        <v>12</v>
      </c>
      <c r="C684" s="155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76" t="str">
        <f>+_xlfn.XLOOKUP(Tabla1[[#This Row],[Codigo_actividad]],Conceptos!A:A,Conceptos!H:H)</f>
        <v>P2.01</v>
      </c>
      <c r="L684" s="66" t="str">
        <f>IF(_xlfn.XLOOKUP($J684,Catalogo!$B$7:$B$210,Catalogo!$I$7:$I$210,"",0)=0,"",_xlfn.XLOOKUP($J684,Catalogo!$B$7:$B$210,Catalogo!$I$7:$I$210,"",0))</f>
        <v>CIPS</v>
      </c>
      <c r="M684" s="36">
        <f>+_xlfn.XLOOKUP(Tabla1[[#This Row],[Ducto]],nombres!D:D,nombres!E:E)/1000</f>
        <v>7.0000000000000001E-3</v>
      </c>
      <c r="N684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5" x14ac:dyDescent="0.25">
      <c r="A685" s="354">
        <v>46309</v>
      </c>
      <c r="B685" s="114" t="s">
        <v>12</v>
      </c>
      <c r="C685" s="155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4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76" t="str">
        <f>+_xlfn.XLOOKUP(Tabla1[[#This Row],[Codigo_actividad]],Conceptos!A:A,Conceptos!H:H)</f>
        <v>P2.01</v>
      </c>
      <c r="L685" s="66" t="str">
        <f>IF(_xlfn.XLOOKUP($J685,Catalogo!$B$7:$B$210,Catalogo!$I$7:$I$210,"",0)=0,"",_xlfn.XLOOKUP($J685,Catalogo!$B$7:$B$210,Catalogo!$I$7:$I$210,"",0))</f>
        <v>CIPS</v>
      </c>
      <c r="M685" s="36">
        <f>+_xlfn.XLOOKUP(Tabla1[[#This Row],[Ducto]],'R (s04)'!B:B,'R (s04)'!C:C)</f>
        <v>47.596499999999999</v>
      </c>
      <c r="N685" s="261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5" x14ac:dyDescent="0.25">
      <c r="A686" s="354">
        <v>46309</v>
      </c>
      <c r="B686" s="114" t="s">
        <v>12</v>
      </c>
      <c r="C686" s="155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4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76" t="str">
        <f>+_xlfn.XLOOKUP(Tabla1[[#This Row],[Codigo_actividad]],Conceptos!A:A,Conceptos!H:H)</f>
        <v>P2.01</v>
      </c>
      <c r="L686" s="66" t="str">
        <f>IF(_xlfn.XLOOKUP($J686,Catalogo!$B$7:$B$210,Catalogo!$I$7:$I$210,"",0)=0,"",_xlfn.XLOOKUP($J686,Catalogo!$B$7:$B$210,Catalogo!$I$7:$I$210,"",0))</f>
        <v>CIPS</v>
      </c>
      <c r="M686" s="36">
        <f>+_xlfn.XLOOKUP(Tabla1[[#This Row],[Ducto]],'R (s04)'!B:B,'R (s04)'!C:C)</f>
        <v>47.596499999999999</v>
      </c>
      <c r="N686" s="261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5" x14ac:dyDescent="0.25">
      <c r="A687" s="354">
        <v>46310</v>
      </c>
      <c r="B687" s="114" t="s">
        <v>12</v>
      </c>
      <c r="C687" s="155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4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76" t="str">
        <f>+_xlfn.XLOOKUP(Tabla1[[#This Row],[Codigo_actividad]],Conceptos!A:A,Conceptos!H:H)</f>
        <v>P2.01</v>
      </c>
      <c r="L687" s="66" t="str">
        <f>IF(_xlfn.XLOOKUP($J687,Catalogo!$B$7:$B$210,Catalogo!$I$7:$I$210,"",0)=0,"",_xlfn.XLOOKUP($J687,Catalogo!$B$7:$B$210,Catalogo!$I$7:$I$210,"",0))</f>
        <v>CIPS</v>
      </c>
      <c r="M687" s="36">
        <f>+_xlfn.XLOOKUP(Tabla1[[#This Row],[Ducto]],'R (s04)'!B:B,'R (s04)'!C:C)</f>
        <v>47.596499999999999</v>
      </c>
      <c r="N687" s="261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5" x14ac:dyDescent="0.25">
      <c r="A688" s="354">
        <v>46311</v>
      </c>
      <c r="B688" s="114" t="s">
        <v>12</v>
      </c>
      <c r="C688" s="155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4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76" t="str">
        <f>+_xlfn.XLOOKUP(Tabla1[[#This Row],[Codigo_actividad]],Conceptos!A:A,Conceptos!H:H)</f>
        <v>P2.01</v>
      </c>
      <c r="L688" s="66" t="str">
        <f>IF(_xlfn.XLOOKUP($J688,Catalogo!$B$7:$B$210,Catalogo!$I$7:$I$210,"",0)=0,"",_xlfn.XLOOKUP($J688,Catalogo!$B$7:$B$210,Catalogo!$I$7:$I$210,"",0))</f>
        <v>CIPS</v>
      </c>
      <c r="M688" s="36">
        <f>+_xlfn.XLOOKUP(Tabla1[[#This Row],[Ducto]],'R (s04)'!B:B,'R (s04)'!C:C)</f>
        <v>47.596499999999999</v>
      </c>
      <c r="N688" s="261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5" x14ac:dyDescent="0.25">
      <c r="A689" s="354">
        <v>46312</v>
      </c>
      <c r="B689" s="114" t="s">
        <v>12</v>
      </c>
      <c r="C689" s="155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4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76" t="str">
        <f>+_xlfn.XLOOKUP(Tabla1[[#This Row],[Codigo_actividad]],Conceptos!A:A,Conceptos!H:H)</f>
        <v>P2.01</v>
      </c>
      <c r="L689" s="66" t="str">
        <f>IF(_xlfn.XLOOKUP($J689,Catalogo!$B$7:$B$210,Catalogo!$I$7:$I$210,"",0)=0,"",_xlfn.XLOOKUP($J689,Catalogo!$B$7:$B$210,Catalogo!$I$7:$I$210,"",0))</f>
        <v>CIPS</v>
      </c>
      <c r="M689" s="36">
        <f>+_xlfn.XLOOKUP(Tabla1[[#This Row],[Ducto]],'R (s04)'!B:B,'R (s04)'!C:C)</f>
        <v>47.596499999999999</v>
      </c>
      <c r="N689" s="261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5" x14ac:dyDescent="0.25">
      <c r="A690" s="354">
        <v>46312</v>
      </c>
      <c r="B690" s="114" t="s">
        <v>12</v>
      </c>
      <c r="C690" s="155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4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76" t="str">
        <f>+_xlfn.XLOOKUP(Tabla1[[#This Row],[Codigo_actividad]],Conceptos!A:A,Conceptos!H:H)</f>
        <v>P2.01</v>
      </c>
      <c r="L690" s="66" t="str">
        <f>IF(_xlfn.XLOOKUP($J690,Catalogo!$B$7:$B$210,Catalogo!$I$7:$I$210,"",0)=0,"",_xlfn.XLOOKUP($J690,Catalogo!$B$7:$B$210,Catalogo!$I$7:$I$210,"",0))</f>
        <v>CIPS</v>
      </c>
      <c r="M690" s="36">
        <f>+_xlfn.XLOOKUP(Tabla1[[#This Row],[Ducto]],'R (s04)'!B:B,'R (s04)'!C:C)</f>
        <v>47.596499999999999</v>
      </c>
      <c r="N690" s="261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5" x14ac:dyDescent="0.25">
      <c r="A691" s="354"/>
      <c r="B691" s="114"/>
      <c r="C691" s="155"/>
      <c r="D691" s="39"/>
      <c r="F691" s="28"/>
      <c r="G691" s="28"/>
      <c r="H691" s="224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76">
        <f>+_xlfn.XLOOKUP(Tabla1[[#This Row],[Codigo_actividad]],Conceptos!A:A,Conceptos!H:H)</f>
        <v>0</v>
      </c>
      <c r="L691" s="55" t="str">
        <f>IF(_xlfn.XLOOKUP($J691,Catalogo!$B$7:$B$21,Catalogo!$I$7:$I$21,"",0)=0,"",_xlfn.XLOOKUP($J691,Catalogo!$B$7:$B$21,Catalogo!$I$7:$I$21,"",0))</f>
        <v/>
      </c>
      <c r="M691" s="36"/>
      <c r="N691" s="261">
        <f>IF(Tabla1[[#This Row],[Avance_km]]&lt;&gt;"",Tabla1[[#This Row],[Avance_km]],Tabla1[[#This Row],[Avance_Med]])*_xlfn.XLOOKUP(Tabla1[[#This Row],[Codigo_actividad]],Catalogo!$B$6:$B$51,Catalogo!$F$6:$F$51,0)</f>
        <v>0</v>
      </c>
      <c r="O691" t="str">
        <f>_xlfn.IFNA(_xlfn.XLOOKUP(Tabla1[[#This Row],[fin]],$Q$379:$Q$398,$U$379:$U$398),"")</f>
        <v/>
      </c>
    </row>
    <row r="692" spans="1:15" x14ac:dyDescent="0.25">
      <c r="A692" s="354">
        <v>46314</v>
      </c>
      <c r="B692" s="114"/>
      <c r="C692" s="155"/>
      <c r="D692" s="39"/>
      <c r="F692" s="28"/>
      <c r="G692" s="28"/>
      <c r="H692" s="224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76">
        <f>+_xlfn.XLOOKUP(Tabla1[[#This Row],[Codigo_actividad]],Conceptos!A:A,Conceptos!H:H)</f>
        <v>0</v>
      </c>
      <c r="L692" s="55" t="str">
        <f>IF(_xlfn.XLOOKUP($J692,Catalogo!$B$7:$B$21,Catalogo!$I$7:$I$21,"",0)=0,"",_xlfn.XLOOKUP($J692,Catalogo!$B$7:$B$21,Catalogo!$I$7:$I$21,"",0))</f>
        <v/>
      </c>
      <c r="M692" s="36"/>
      <c r="N692" s="261">
        <f>IF(Tabla1[[#This Row],[Avance_km]]&lt;&gt;"",Tabla1[[#This Row],[Avance_km]],Tabla1[[#This Row],[Avance_Med]])*_xlfn.XLOOKUP(Tabla1[[#This Row],[Codigo_actividad]],Catalogo!$B$6:$B$51,Catalogo!$F$6:$F$51,0)</f>
        <v>0</v>
      </c>
      <c r="O692" t="str">
        <f>_xlfn.IFNA(_xlfn.XLOOKUP(Tabla1[[#This Row],[fin]],$Q$379:$Q$398,$U$379:$U$398),"")</f>
        <v/>
      </c>
    </row>
    <row r="693" spans="1:15" x14ac:dyDescent="0.25">
      <c r="A693" s="354">
        <v>46315</v>
      </c>
      <c r="B693" s="114"/>
      <c r="C693" s="155"/>
      <c r="D693" s="39"/>
      <c r="F693" s="28"/>
      <c r="G693" s="28"/>
      <c r="H693" s="224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76">
        <f>+_xlfn.XLOOKUP(Tabla1[[#This Row],[Codigo_actividad]],Conceptos!A:A,Conceptos!H:H)</f>
        <v>0</v>
      </c>
      <c r="L693" s="55" t="str">
        <f>IF(_xlfn.XLOOKUP($J693,Catalogo!$B$7:$B$21,Catalogo!$I$7:$I$21,"",0)=0,"",_xlfn.XLOOKUP($J693,Catalogo!$B$7:$B$21,Catalogo!$I$7:$I$21,"",0))</f>
        <v/>
      </c>
      <c r="M693" s="36"/>
      <c r="N693" s="261">
        <f>IF(Tabla1[[#This Row],[Avance_km]]&lt;&gt;"",Tabla1[[#This Row],[Avance_km]],Tabla1[[#This Row],[Avance_Med]])*_xlfn.XLOOKUP(Tabla1[[#This Row],[Codigo_actividad]],Catalogo!$B$6:$B$51,Catalogo!$F$6:$F$51,0)</f>
        <v>0</v>
      </c>
      <c r="O693" t="str">
        <f>_xlfn.IFNA(_xlfn.XLOOKUP(Tabla1[[#This Row],[fin]],$Q$379:$Q$398,$U$379:$U$398),"")</f>
        <v/>
      </c>
    </row>
    <row r="694" spans="1:15" x14ac:dyDescent="0.25">
      <c r="A694" s="354">
        <v>46316</v>
      </c>
      <c r="B694" s="114"/>
      <c r="C694" s="155"/>
      <c r="D694" s="39"/>
      <c r="F694" s="28"/>
      <c r="G694" s="28"/>
      <c r="H694" s="224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76">
        <f>+_xlfn.XLOOKUP(Tabla1[[#This Row],[Codigo_actividad]],Conceptos!A:A,Conceptos!H:H)</f>
        <v>0</v>
      </c>
      <c r="L694" s="55" t="str">
        <f>IF(_xlfn.XLOOKUP($J694,Catalogo!$B$7:$B$21,Catalogo!$I$7:$I$21,"",0)=0,"",_xlfn.XLOOKUP($J694,Catalogo!$B$7:$B$21,Catalogo!$I$7:$I$21,"",0))</f>
        <v/>
      </c>
      <c r="M694" s="36"/>
      <c r="N694" s="261">
        <f>IF(Tabla1[[#This Row],[Avance_km]]&lt;&gt;"",Tabla1[[#This Row],[Avance_km]],Tabla1[[#This Row],[Avance_Med]])*_xlfn.XLOOKUP(Tabla1[[#This Row],[Codigo_actividad]],Catalogo!$B$6:$B$51,Catalogo!$F$6:$F$51,0)</f>
        <v>0</v>
      </c>
      <c r="O694" t="str">
        <f>_xlfn.IFNA(_xlfn.XLOOKUP(Tabla1[[#This Row],[fin]],$Q$379:$Q$398,$U$379:$U$398),"")</f>
        <v/>
      </c>
    </row>
    <row r="695" spans="1:15" x14ac:dyDescent="0.25">
      <c r="A695" s="354">
        <v>46317</v>
      </c>
      <c r="B695" s="114"/>
      <c r="C695" s="155"/>
      <c r="D695" s="39"/>
      <c r="F695" s="28"/>
      <c r="G695" s="28"/>
      <c r="H695" s="224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76">
        <f>+_xlfn.XLOOKUP(Tabla1[[#This Row],[Codigo_actividad]],Conceptos!A:A,Conceptos!H:H)</f>
        <v>0</v>
      </c>
      <c r="L695" s="55" t="str">
        <f>IF(_xlfn.XLOOKUP($J695,Catalogo!$B$7:$B$21,Catalogo!$I$7:$I$21,"",0)=0,"",_xlfn.XLOOKUP($J695,Catalogo!$B$7:$B$21,Catalogo!$I$7:$I$21,"",0))</f>
        <v/>
      </c>
      <c r="M695" s="36"/>
      <c r="N695" s="261">
        <f>IF(Tabla1[[#This Row],[Avance_km]]&lt;&gt;"",Tabla1[[#This Row],[Avance_km]],Tabla1[[#This Row],[Avance_Med]])*_xlfn.XLOOKUP(Tabla1[[#This Row],[Codigo_actividad]],Catalogo!$B$6:$B$51,Catalogo!$F$6:$F$51,0)</f>
        <v>0</v>
      </c>
      <c r="O695" t="str">
        <f>_xlfn.IFNA(_xlfn.XLOOKUP(Tabla1[[#This Row],[fin]],$Q$379:$Q$398,$U$379:$U$398),"")</f>
        <v/>
      </c>
    </row>
    <row r="696" spans="1:15" x14ac:dyDescent="0.25">
      <c r="A696" s="354">
        <v>46318</v>
      </c>
      <c r="B696" s="114"/>
      <c r="C696" s="155"/>
      <c r="D696" s="39"/>
      <c r="F696" s="28"/>
      <c r="G696" s="28"/>
      <c r="H696" s="224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76">
        <f>+_xlfn.XLOOKUP(Tabla1[[#This Row],[Codigo_actividad]],Conceptos!A:A,Conceptos!H:H)</f>
        <v>0</v>
      </c>
      <c r="L696" s="55" t="str">
        <f>IF(_xlfn.XLOOKUP($J696,Catalogo!$B$7:$B$21,Catalogo!$I$7:$I$21,"",0)=0,"",_xlfn.XLOOKUP($J696,Catalogo!$B$7:$B$21,Catalogo!$I$7:$I$21,"",0))</f>
        <v/>
      </c>
      <c r="M696" s="36"/>
      <c r="N696" s="261">
        <f>IF(Tabla1[[#This Row],[Avance_km]]&lt;&gt;"",Tabla1[[#This Row],[Avance_km]],Tabla1[[#This Row],[Avance_Med]])*_xlfn.XLOOKUP(Tabla1[[#This Row],[Codigo_actividad]],Catalogo!$B$6:$B$51,Catalogo!$F$6:$F$51,0)</f>
        <v>0</v>
      </c>
      <c r="O696" t="str">
        <f>_xlfn.IFNA(_xlfn.XLOOKUP(Tabla1[[#This Row],[fin]],$Q$379:$Q$398,$U$379:$U$398),"")</f>
        <v/>
      </c>
    </row>
    <row r="697" spans="1:15" x14ac:dyDescent="0.25">
      <c r="A697" s="354">
        <v>46319</v>
      </c>
      <c r="B697" s="114"/>
      <c r="C697" s="155"/>
      <c r="D697" s="39"/>
      <c r="F697" s="28"/>
      <c r="G697" s="28"/>
      <c r="H697" s="224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76">
        <f>+_xlfn.XLOOKUP(Tabla1[[#This Row],[Codigo_actividad]],Conceptos!A:A,Conceptos!H:H)</f>
        <v>0</v>
      </c>
      <c r="L697" s="55" t="str">
        <f>IF(_xlfn.XLOOKUP($J697,Catalogo!$B$7:$B$21,Catalogo!$I$7:$I$21,"",0)=0,"",_xlfn.XLOOKUP($J697,Catalogo!$B$7:$B$21,Catalogo!$I$7:$I$21,"",0))</f>
        <v/>
      </c>
      <c r="M697" s="36"/>
      <c r="N697" s="261">
        <f>IF(Tabla1[[#This Row],[Avance_km]]&lt;&gt;"",Tabla1[[#This Row],[Avance_km]],Tabla1[[#This Row],[Avance_Med]])*_xlfn.XLOOKUP(Tabla1[[#This Row],[Codigo_actividad]],Catalogo!$B$6:$B$51,Catalogo!$F$6:$F$51,0)</f>
        <v>0</v>
      </c>
      <c r="O697" t="str">
        <f>_xlfn.IFNA(_xlfn.XLOOKUP(Tabla1[[#This Row],[fin]],$Q$379:$Q$398,$U$379:$U$398),"")</f>
        <v/>
      </c>
    </row>
    <row r="698" spans="1:15" x14ac:dyDescent="0.25">
      <c r="A698" s="354"/>
      <c r="B698" s="114"/>
      <c r="C698" s="155"/>
      <c r="D698" s="39"/>
      <c r="F698" s="28"/>
      <c r="G698" s="28"/>
      <c r="H698" s="224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76">
        <f>+_xlfn.XLOOKUP(Tabla1[[#This Row],[Codigo_actividad]],Conceptos!A:A,Conceptos!H:H)</f>
        <v>0</v>
      </c>
      <c r="L698" s="55" t="str">
        <f>IF(_xlfn.XLOOKUP($J698,Catalogo!$B$7:$B$21,Catalogo!$I$7:$I$21,"",0)=0,"",_xlfn.XLOOKUP($J698,Catalogo!$B$7:$B$21,Catalogo!$I$7:$I$21,"",0))</f>
        <v/>
      </c>
      <c r="M698" s="36"/>
      <c r="N698" s="261">
        <f>IF(Tabla1[[#This Row],[Avance_km]]&lt;&gt;"",Tabla1[[#This Row],[Avance_km]],Tabla1[[#This Row],[Avance_Med]])*_xlfn.XLOOKUP(Tabla1[[#This Row],[Codigo_actividad]],Catalogo!$B$6:$B$51,Catalogo!$F$6:$F$51,0)</f>
        <v>0</v>
      </c>
      <c r="O698" t="str">
        <f>_xlfn.IFNA(_xlfn.XLOOKUP(Tabla1[[#This Row],[fin]],$Q$379:$Q$398,$U$379:$U$398),"")</f>
        <v/>
      </c>
    </row>
    <row r="699" spans="1:15" x14ac:dyDescent="0.25">
      <c r="A699" s="354"/>
      <c r="B699" s="114"/>
      <c r="C699" s="155"/>
      <c r="D699" s="39"/>
      <c r="F699" s="28"/>
      <c r="G699" s="28"/>
      <c r="H699" s="224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76">
        <f>+_xlfn.XLOOKUP(Tabla1[[#This Row],[Codigo_actividad]],Conceptos!A:A,Conceptos!H:H)</f>
        <v>0</v>
      </c>
      <c r="L699" s="55" t="str">
        <f>IF(_xlfn.XLOOKUP($J699,Catalogo!$B$7:$B$21,Catalogo!$I$7:$I$21,"",0)=0,"",_xlfn.XLOOKUP($J699,Catalogo!$B$7:$B$21,Catalogo!$I$7:$I$21,"",0))</f>
        <v/>
      </c>
      <c r="M699" s="36"/>
      <c r="N699" s="261">
        <f>IF(Tabla1[[#This Row],[Avance_km]]&lt;&gt;"",Tabla1[[#This Row],[Avance_km]],Tabla1[[#This Row],[Avance_Med]])*_xlfn.XLOOKUP(Tabla1[[#This Row],[Codigo_actividad]],Catalogo!$B$6:$B$51,Catalogo!$F$6:$F$51,0)</f>
        <v>0</v>
      </c>
      <c r="O699" t="str">
        <f>_xlfn.IFNA(_xlfn.XLOOKUP(Tabla1[[#This Row],[fin]],$Q$379:$Q$398,$U$379:$U$398),"")</f>
        <v/>
      </c>
    </row>
    <row r="700" spans="1:15" x14ac:dyDescent="0.25">
      <c r="A700" s="354"/>
      <c r="B700" s="114"/>
      <c r="C700" s="155"/>
      <c r="D700" s="39"/>
      <c r="F700" s="28"/>
      <c r="G700" s="28"/>
      <c r="H700" s="224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76">
        <f>+_xlfn.XLOOKUP(Tabla1[[#This Row],[Codigo_actividad]],Conceptos!A:A,Conceptos!H:H)</f>
        <v>0</v>
      </c>
      <c r="L700" s="55" t="str">
        <f>IF(_xlfn.XLOOKUP($J700,Catalogo!$B$7:$B$21,Catalogo!$I$7:$I$21,"",0)=0,"",_xlfn.XLOOKUP($J700,Catalogo!$B$7:$B$21,Catalogo!$I$7:$I$21,"",0))</f>
        <v/>
      </c>
      <c r="M700" s="36"/>
      <c r="N700" s="261">
        <f>IF(Tabla1[[#This Row],[Avance_km]]&lt;&gt;"",Tabla1[[#This Row],[Avance_km]],Tabla1[[#This Row],[Avance_Med]])*_xlfn.XLOOKUP(Tabla1[[#This Row],[Codigo_actividad]],Catalogo!$B$6:$B$51,Catalogo!$F$6:$F$51,0)</f>
        <v>0</v>
      </c>
      <c r="O700" t="str">
        <f>_xlfn.IFNA(_xlfn.XLOOKUP(Tabla1[[#This Row],[fin]],$Q$379:$Q$398,$U$379:$U$398),"")</f>
        <v/>
      </c>
    </row>
    <row r="701" spans="1:15" x14ac:dyDescent="0.25">
      <c r="A701" s="354"/>
      <c r="B701" s="114"/>
      <c r="C701" s="155"/>
      <c r="D701" s="39"/>
      <c r="F701" s="28"/>
      <c r="G701" s="28"/>
      <c r="H701" s="224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76">
        <f>+_xlfn.XLOOKUP(Tabla1[[#This Row],[Codigo_actividad]],Conceptos!A:A,Conceptos!H:H)</f>
        <v>0</v>
      </c>
      <c r="L701" s="55" t="str">
        <f>IF(_xlfn.XLOOKUP($J701,Catalogo!$B$7:$B$21,Catalogo!$I$7:$I$21,"",0)=0,"",_xlfn.XLOOKUP($J701,Catalogo!$B$7:$B$21,Catalogo!$I$7:$I$21,"",0))</f>
        <v/>
      </c>
      <c r="M701" s="36"/>
      <c r="N701" s="261">
        <f>IF(Tabla1[[#This Row],[Avance_km]]&lt;&gt;"",Tabla1[[#This Row],[Avance_km]],Tabla1[[#This Row],[Avance_Med]])*_xlfn.XLOOKUP(Tabla1[[#This Row],[Codigo_actividad]],Catalogo!$B$6:$B$51,Catalogo!$F$6:$F$51,0)</f>
        <v>0</v>
      </c>
      <c r="O701" t="str">
        <f>_xlfn.IFNA(_xlfn.XLOOKUP(Tabla1[[#This Row],[fin]],$Q$379:$Q$398,$U$379:$U$398),"")</f>
        <v/>
      </c>
    </row>
    <row r="702" spans="1:15" x14ac:dyDescent="0.25">
      <c r="A702" s="354"/>
      <c r="B702" s="114"/>
      <c r="C702" s="155"/>
      <c r="D702" s="39"/>
      <c r="F702" s="28"/>
      <c r="G702" s="28"/>
      <c r="H702" s="224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76">
        <f>+_xlfn.XLOOKUP(Tabla1[[#This Row],[Codigo_actividad]],Conceptos!A:A,Conceptos!H:H)</f>
        <v>0</v>
      </c>
      <c r="L702" s="55" t="str">
        <f>IF(_xlfn.XLOOKUP($J702,Catalogo!$B$7:$B$21,Catalogo!$I$7:$I$21,"",0)=0,"",_xlfn.XLOOKUP($J702,Catalogo!$B$7:$B$21,Catalogo!$I$7:$I$21,"",0))</f>
        <v/>
      </c>
      <c r="M702" s="36"/>
      <c r="N702" s="261">
        <f>IF(Tabla1[[#This Row],[Avance_km]]&lt;&gt;"",Tabla1[[#This Row],[Avance_km]],Tabla1[[#This Row],[Avance_Med]])*_xlfn.XLOOKUP(Tabla1[[#This Row],[Codigo_actividad]],Catalogo!$B$6:$B$51,Catalogo!$F$6:$F$51,0)</f>
        <v>0</v>
      </c>
      <c r="O702" t="str">
        <f>_xlfn.IFNA(_xlfn.XLOOKUP(Tabla1[[#This Row],[fin]],$Q$379:$Q$398,$U$379:$U$398),"")</f>
        <v/>
      </c>
    </row>
    <row r="703" spans="1:15" x14ac:dyDescent="0.25">
      <c r="A703" s="354"/>
      <c r="B703" s="114"/>
      <c r="C703" s="155"/>
      <c r="D703" s="39"/>
      <c r="F703" s="28"/>
      <c r="G703" s="28"/>
      <c r="H703" s="224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76">
        <f>+_xlfn.XLOOKUP(Tabla1[[#This Row],[Codigo_actividad]],Conceptos!A:A,Conceptos!H:H)</f>
        <v>0</v>
      </c>
      <c r="L703" s="55" t="str">
        <f>IF(_xlfn.XLOOKUP($J703,Catalogo!$B$7:$B$21,Catalogo!$I$7:$I$21,"",0)=0,"",_xlfn.XLOOKUP($J703,Catalogo!$B$7:$B$21,Catalogo!$I$7:$I$21,"",0))</f>
        <v/>
      </c>
      <c r="M703" s="36"/>
      <c r="N703" s="261">
        <f>IF(Tabla1[[#This Row],[Avance_km]]&lt;&gt;"",Tabla1[[#This Row],[Avance_km]],Tabla1[[#This Row],[Avance_Med]])*_xlfn.XLOOKUP(Tabla1[[#This Row],[Codigo_actividad]],Catalogo!$B$6:$B$51,Catalogo!$F$6:$F$51,0)</f>
        <v>0</v>
      </c>
      <c r="O703" t="str">
        <f>_xlfn.IFNA(_xlfn.XLOOKUP(Tabla1[[#This Row],[fin]],$Q$379:$Q$398,$U$379:$U$398),"")</f>
        <v/>
      </c>
    </row>
    <row r="704" spans="1:15" x14ac:dyDescent="0.25">
      <c r="A704" s="354"/>
      <c r="B704" s="114"/>
      <c r="C704" s="155"/>
      <c r="D704" s="39"/>
      <c r="F704" s="28"/>
      <c r="G704" s="28"/>
      <c r="H704" s="224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76">
        <f>+_xlfn.XLOOKUP(Tabla1[[#This Row],[Codigo_actividad]],Conceptos!A:A,Conceptos!H:H)</f>
        <v>0</v>
      </c>
      <c r="L704" s="55" t="str">
        <f>IF(_xlfn.XLOOKUP($J704,Catalogo!$B$7:$B$21,Catalogo!$I$7:$I$21,"",0)=0,"",_xlfn.XLOOKUP($J704,Catalogo!$B$7:$B$21,Catalogo!$I$7:$I$21,"",0))</f>
        <v/>
      </c>
      <c r="M704" s="36"/>
      <c r="N704" s="261">
        <f>IF(Tabla1[[#This Row],[Avance_km]]&lt;&gt;"",Tabla1[[#This Row],[Avance_km]],Tabla1[[#This Row],[Avance_Med]])*_xlfn.XLOOKUP(Tabla1[[#This Row],[Codigo_actividad]],Catalogo!$B$6:$B$51,Catalogo!$F$6:$F$51,0)</f>
        <v>0</v>
      </c>
      <c r="O704" t="str">
        <f>_xlfn.IFNA(_xlfn.XLOOKUP(Tabla1[[#This Row],[fin]],$Q$379:$Q$398,$U$379:$U$398),"")</f>
        <v/>
      </c>
    </row>
    <row r="705" spans="1:15" x14ac:dyDescent="0.25">
      <c r="A705" s="354"/>
      <c r="B705" s="114"/>
      <c r="C705" s="155"/>
      <c r="D705" s="39"/>
      <c r="F705" s="28"/>
      <c r="G705" s="28"/>
      <c r="H705" s="224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76">
        <f>+_xlfn.XLOOKUP(Tabla1[[#This Row],[Codigo_actividad]],Conceptos!A:A,Conceptos!H:H)</f>
        <v>0</v>
      </c>
      <c r="L705" s="55" t="str">
        <f>IF(_xlfn.XLOOKUP($J705,Catalogo!$B$7:$B$21,Catalogo!$I$7:$I$21,"",0)=0,"",_xlfn.XLOOKUP($J705,Catalogo!$B$7:$B$21,Catalogo!$I$7:$I$21,"",0))</f>
        <v/>
      </c>
      <c r="M705" s="36"/>
      <c r="N705" s="261">
        <f>IF(Tabla1[[#This Row],[Avance_km]]&lt;&gt;"",Tabla1[[#This Row],[Avance_km]],Tabla1[[#This Row],[Avance_Med]])*_xlfn.XLOOKUP(Tabla1[[#This Row],[Codigo_actividad]],Catalogo!$B$6:$B$51,Catalogo!$F$6:$F$51,0)</f>
        <v>0</v>
      </c>
      <c r="O705" t="str">
        <f>_xlfn.IFNA(_xlfn.XLOOKUP(Tabla1[[#This Row],[fin]],$Q$379:$Q$398,$U$379:$U$398),"")</f>
        <v/>
      </c>
    </row>
    <row r="706" spans="1:15" x14ac:dyDescent="0.25">
      <c r="A706" s="354"/>
      <c r="B706" s="114"/>
      <c r="C706" s="155"/>
      <c r="D706" s="39"/>
      <c r="F706" s="28"/>
      <c r="G706" s="28"/>
      <c r="H706" s="224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76">
        <f>+_xlfn.XLOOKUP(Tabla1[[#This Row],[Codigo_actividad]],Conceptos!A:A,Conceptos!H:H)</f>
        <v>0</v>
      </c>
      <c r="L706" s="55" t="str">
        <f>IF(_xlfn.XLOOKUP($J706,Catalogo!$B$7:$B$21,Catalogo!$I$7:$I$21,"",0)=0,"",_xlfn.XLOOKUP($J706,Catalogo!$B$7:$B$21,Catalogo!$I$7:$I$21,"",0))</f>
        <v/>
      </c>
      <c r="M706" s="36"/>
      <c r="N706" s="261">
        <f>IF(Tabla1[[#This Row],[Avance_km]]&lt;&gt;"",Tabla1[[#This Row],[Avance_km]],Tabla1[[#This Row],[Avance_Med]])*_xlfn.XLOOKUP(Tabla1[[#This Row],[Codigo_actividad]],Catalogo!$B$6:$B$51,Catalogo!$F$6:$F$51,0)</f>
        <v>0</v>
      </c>
      <c r="O706" t="str">
        <f>_xlfn.IFNA(_xlfn.XLOOKUP(Tabla1[[#This Row],[fin]],$Q$379:$Q$398,$U$379:$U$398),"")</f>
        <v/>
      </c>
    </row>
    <row r="707" spans="1:15" x14ac:dyDescent="0.25">
      <c r="A707" s="354"/>
      <c r="B707" s="114"/>
      <c r="C707" s="155"/>
      <c r="D707" s="39"/>
      <c r="F707" s="28"/>
      <c r="G707" s="28"/>
      <c r="H707" s="224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76">
        <f>+_xlfn.XLOOKUP(Tabla1[[#This Row],[Codigo_actividad]],Conceptos!A:A,Conceptos!H:H)</f>
        <v>0</v>
      </c>
      <c r="L707" s="55" t="str">
        <f>IF(_xlfn.XLOOKUP($J707,Catalogo!$B$7:$B$21,Catalogo!$I$7:$I$21,"",0)=0,"",_xlfn.XLOOKUP($J707,Catalogo!$B$7:$B$21,Catalogo!$I$7:$I$21,"",0))</f>
        <v/>
      </c>
      <c r="M707" s="36"/>
      <c r="N707" s="261">
        <f>IF(Tabla1[[#This Row],[Avance_km]]&lt;&gt;"",Tabla1[[#This Row],[Avance_km]],Tabla1[[#This Row],[Avance_Med]])*_xlfn.XLOOKUP(Tabla1[[#This Row],[Codigo_actividad]],Catalogo!$B$6:$B$51,Catalogo!$F$6:$F$51,0)</f>
        <v>0</v>
      </c>
      <c r="O707" t="str">
        <f>_xlfn.IFNA(_xlfn.XLOOKUP(Tabla1[[#This Row],[fin]],$Q$379:$Q$398,$U$379:$U$398),"")</f>
        <v/>
      </c>
    </row>
    <row r="708" spans="1:15" x14ac:dyDescent="0.25">
      <c r="A708" s="354"/>
      <c r="B708" s="114"/>
      <c r="C708" s="155"/>
      <c r="D708" s="39"/>
      <c r="F708" s="28"/>
      <c r="G708" s="28"/>
      <c r="H708" s="224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76">
        <f>+_xlfn.XLOOKUP(Tabla1[[#This Row],[Codigo_actividad]],Conceptos!A:A,Conceptos!H:H)</f>
        <v>0</v>
      </c>
      <c r="L708" s="55" t="str">
        <f>IF(_xlfn.XLOOKUP($J708,Catalogo!$B$7:$B$21,Catalogo!$I$7:$I$21,"",0)=0,"",_xlfn.XLOOKUP($J708,Catalogo!$B$7:$B$21,Catalogo!$I$7:$I$21,"",0))</f>
        <v/>
      </c>
      <c r="M708" s="36"/>
      <c r="N708" s="261">
        <f>IF(Tabla1[[#This Row],[Avance_km]]&lt;&gt;"",Tabla1[[#This Row],[Avance_km]],Tabla1[[#This Row],[Avance_Med]])*_xlfn.XLOOKUP(Tabla1[[#This Row],[Codigo_actividad]],Catalogo!$B$6:$B$51,Catalogo!$F$6:$F$51,0)</f>
        <v>0</v>
      </c>
      <c r="O708" t="str">
        <f>_xlfn.IFNA(_xlfn.XLOOKUP(Tabla1[[#This Row],[fin]],$Q$379:$Q$398,$U$379:$U$398),"")</f>
        <v/>
      </c>
    </row>
    <row r="709" spans="1:15" x14ac:dyDescent="0.25">
      <c r="A709" s="354"/>
      <c r="B709" s="114"/>
      <c r="C709" s="155"/>
      <c r="D709" s="39"/>
      <c r="F709" s="28"/>
      <c r="G709" s="28"/>
      <c r="H709" s="224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76">
        <f>+_xlfn.XLOOKUP(Tabla1[[#This Row],[Codigo_actividad]],Conceptos!A:A,Conceptos!H:H)</f>
        <v>0</v>
      </c>
      <c r="L709" s="55" t="str">
        <f>IF(_xlfn.XLOOKUP($J709,Catalogo!$B$7:$B$21,Catalogo!$I$7:$I$21,"",0)=0,"",_xlfn.XLOOKUP($J709,Catalogo!$B$7:$B$21,Catalogo!$I$7:$I$21,"",0))</f>
        <v/>
      </c>
      <c r="M709" s="36"/>
      <c r="N709" s="261">
        <f>IF(Tabla1[[#This Row],[Avance_km]]&lt;&gt;"",Tabla1[[#This Row],[Avance_km]],Tabla1[[#This Row],[Avance_Med]])*_xlfn.XLOOKUP(Tabla1[[#This Row],[Codigo_actividad]],Catalogo!$B$6:$B$51,Catalogo!$F$6:$F$51,0)</f>
        <v>0</v>
      </c>
      <c r="O709" t="str">
        <f>_xlfn.IFNA(_xlfn.XLOOKUP(Tabla1[[#This Row],[fin]],$Q$379:$Q$398,$U$379:$U$398),"")</f>
        <v/>
      </c>
    </row>
    <row r="710" spans="1:15" x14ac:dyDescent="0.25">
      <c r="A710" s="354"/>
      <c r="B710" s="114"/>
      <c r="C710" s="155"/>
      <c r="D710" s="39"/>
      <c r="F710" s="28"/>
      <c r="G710" s="28"/>
      <c r="H710" s="224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76">
        <f>+_xlfn.XLOOKUP(Tabla1[[#This Row],[Codigo_actividad]],Conceptos!A:A,Conceptos!H:H)</f>
        <v>0</v>
      </c>
      <c r="L710" s="55" t="str">
        <f>IF(_xlfn.XLOOKUP($J710,Catalogo!$B$7:$B$21,Catalogo!$I$7:$I$21,"",0)=0,"",_xlfn.XLOOKUP($J710,Catalogo!$B$7:$B$21,Catalogo!$I$7:$I$21,"",0))</f>
        <v/>
      </c>
      <c r="M710" s="36"/>
      <c r="N710" s="261">
        <f>IF(Tabla1[[#This Row],[Avance_km]]&lt;&gt;"",Tabla1[[#This Row],[Avance_km]],Tabla1[[#This Row],[Avance_Med]])*_xlfn.XLOOKUP(Tabla1[[#This Row],[Codigo_actividad]],Catalogo!$B$6:$B$51,Catalogo!$F$6:$F$51,0)</f>
        <v>0</v>
      </c>
      <c r="O710" t="str">
        <f>_xlfn.IFNA(_xlfn.XLOOKUP(Tabla1[[#This Row],[fin]],$Q$379:$Q$398,$U$379:$U$398),"")</f>
        <v/>
      </c>
    </row>
    <row r="711" spans="1:15" x14ac:dyDescent="0.25">
      <c r="A711" s="354"/>
      <c r="B711" s="114"/>
      <c r="C711" s="155"/>
      <c r="D711" s="39"/>
      <c r="F711" s="28"/>
      <c r="G711" s="28"/>
      <c r="H711" s="224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76">
        <f>+_xlfn.XLOOKUP(Tabla1[[#This Row],[Codigo_actividad]],Conceptos!A:A,Conceptos!H:H)</f>
        <v>0</v>
      </c>
      <c r="L711" s="55" t="str">
        <f>IF(_xlfn.XLOOKUP($J711,Catalogo!$B$7:$B$21,Catalogo!$I$7:$I$21,"",0)=0,"",_xlfn.XLOOKUP($J711,Catalogo!$B$7:$B$21,Catalogo!$I$7:$I$21,"",0))</f>
        <v/>
      </c>
      <c r="M711" s="36"/>
      <c r="N711" s="261">
        <f>IF(Tabla1[[#This Row],[Avance_km]]&lt;&gt;"",Tabla1[[#This Row],[Avance_km]],Tabla1[[#This Row],[Avance_Med]])*_xlfn.XLOOKUP(Tabla1[[#This Row],[Codigo_actividad]],Catalogo!$B$6:$B$51,Catalogo!$F$6:$F$51,0)</f>
        <v>0</v>
      </c>
      <c r="O711" t="str">
        <f>_xlfn.IFNA(_xlfn.XLOOKUP(Tabla1[[#This Row],[fin]],$Q$379:$Q$398,$U$379:$U$398),"")</f>
        <v/>
      </c>
    </row>
    <row r="712" spans="1:15" x14ac:dyDescent="0.25">
      <c r="A712" s="354"/>
      <c r="B712" s="114"/>
      <c r="C712" s="155"/>
      <c r="D712" s="39"/>
      <c r="F712" s="28"/>
      <c r="G712" s="28"/>
      <c r="H712" s="224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76">
        <f>+_xlfn.XLOOKUP(Tabla1[[#This Row],[Codigo_actividad]],Conceptos!A:A,Conceptos!H:H)</f>
        <v>0</v>
      </c>
      <c r="L712" s="55" t="str">
        <f>IF(_xlfn.XLOOKUP($J712,Catalogo!$B$7:$B$21,Catalogo!$I$7:$I$21,"",0)=0,"",_xlfn.XLOOKUP($J712,Catalogo!$B$7:$B$21,Catalogo!$I$7:$I$21,"",0))</f>
        <v/>
      </c>
      <c r="M712" s="36"/>
      <c r="N712" s="261">
        <f>IF(Tabla1[[#This Row],[Avance_km]]&lt;&gt;"",Tabla1[[#This Row],[Avance_km]],Tabla1[[#This Row],[Avance_Med]])*_xlfn.XLOOKUP(Tabla1[[#This Row],[Codigo_actividad]],Catalogo!$B$6:$B$51,Catalogo!$F$6:$F$51,0)</f>
        <v>0</v>
      </c>
      <c r="O712" t="str">
        <f>_xlfn.IFNA(_xlfn.XLOOKUP(Tabla1[[#This Row],[fin]],$Q$379:$Q$398,$U$379:$U$398),"")</f>
        <v/>
      </c>
    </row>
    <row r="713" spans="1:15" x14ac:dyDescent="0.25">
      <c r="A713" s="354"/>
      <c r="B713" s="114"/>
      <c r="C713" s="155"/>
      <c r="D713" s="39"/>
      <c r="F713" s="28"/>
      <c r="G713" s="28"/>
      <c r="H713" s="224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76">
        <f>+_xlfn.XLOOKUP(Tabla1[[#This Row],[Codigo_actividad]],Conceptos!A:A,Conceptos!H:H)</f>
        <v>0</v>
      </c>
      <c r="L713" s="55" t="str">
        <f>IF(_xlfn.XLOOKUP($J713,Catalogo!$B$7:$B$21,Catalogo!$I$7:$I$21,"",0)=0,"",_xlfn.XLOOKUP($J713,Catalogo!$B$7:$B$21,Catalogo!$I$7:$I$21,"",0))</f>
        <v/>
      </c>
      <c r="M713" s="36"/>
      <c r="N713" s="261">
        <f>IF(Tabla1[[#This Row],[Avance_km]]&lt;&gt;"",Tabla1[[#This Row],[Avance_km]],Tabla1[[#This Row],[Avance_Med]])*_xlfn.XLOOKUP(Tabla1[[#This Row],[Codigo_actividad]],Catalogo!$B$6:$B$51,Catalogo!$F$6:$F$51,0)</f>
        <v>0</v>
      </c>
      <c r="O713" t="str">
        <f>_xlfn.IFNA(_xlfn.XLOOKUP(Tabla1[[#This Row],[fin]],$Q$379:$Q$398,$U$379:$U$398),"")</f>
        <v/>
      </c>
    </row>
    <row r="714" spans="1:15" x14ac:dyDescent="0.25">
      <c r="A714" s="359"/>
      <c r="B714" s="283"/>
      <c r="C714" s="284"/>
      <c r="D714" s="285"/>
      <c r="E714" s="380"/>
      <c r="F714" s="286"/>
      <c r="G714" s="286"/>
      <c r="H714" s="515" t="str">
        <f>IF(Tabla1[[#This Row],[Codigo_actividad]]&lt;&gt;2.5,IF(((Tabla1[[#This Row],[fin]]-Tabla1[[#This Row],[inicio]])/1000)=0,"",((Tabla1[[#This Row],[fin]]-Tabla1[[#This Row],[inicio]])/1000)),"")</f>
        <v/>
      </c>
      <c r="I714" s="516"/>
      <c r="J714" s="516"/>
      <c r="K714" s="516">
        <f>+_xlfn.XLOOKUP(Tabla1[[#This Row],[Codigo_actividad]],Conceptos!A:A,Conceptos!H:H)</f>
        <v>0</v>
      </c>
      <c r="L714" s="516" t="str">
        <f>IF(_xlfn.XLOOKUP($J714,Catalogo!$B$7:$B$21,Catalogo!$I$7:$I$21,"",0)=0,"",_xlfn.XLOOKUP($J714,Catalogo!$B$7:$B$21,Catalogo!$I$7:$I$21,"",0))</f>
        <v/>
      </c>
      <c r="M714" s="517"/>
      <c r="N714" s="518">
        <f>IF(Tabla1[[#This Row],[Avance_km]]&lt;&gt;"",Tabla1[[#This Row],[Avance_km]],Tabla1[[#This Row],[Avance_Med]])*_xlfn.XLOOKUP(Tabla1[[#This Row],[Codigo_actividad]],Catalogo!$B$6:$B$51,Catalogo!$F$6:$F$51,0)</f>
        <v>0</v>
      </c>
      <c r="O714" s="519" t="str">
        <f>_xlfn.IFNA(_xlfn.XLOOKUP(Tabla1[[#This Row],[fin]],$Q$379:$Q$398,$U$379:$U$398),"")</f>
        <v/>
      </c>
    </row>
    <row r="715" spans="1:15" x14ac:dyDescent="0.25">
      <c r="A715" s="354"/>
      <c r="B715" s="114"/>
      <c r="C715" s="155"/>
      <c r="D715" s="39"/>
      <c r="F715" s="28"/>
      <c r="G715" s="28"/>
      <c r="H715" s="224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76">
        <f>+_xlfn.XLOOKUP(Tabla1[[#This Row],[Codigo_actividad]],Conceptos!A:A,Conceptos!H:H)</f>
        <v>0</v>
      </c>
      <c r="L715" s="66" t="str">
        <f>IF(_xlfn.XLOOKUP($J715,Catalogo!$B$7:$B$21,Catalogo!$I$7:$I$21,"",0)=0,"",_xlfn.XLOOKUP($J715,Catalogo!$B$7:$B$21,Catalogo!$I$7:$I$21,"",0))</f>
        <v/>
      </c>
      <c r="M715" s="36"/>
      <c r="N715" s="261">
        <f>IF(Tabla1[[#This Row],[Avance_km]]&lt;&gt;"",Tabla1[[#This Row],[Avance_km]],Tabla1[[#This Row],[Avance_Med]])*_xlfn.XLOOKUP(Tabla1[[#This Row],[Codigo_actividad]],Catalogo!$B$6:$B$51,Catalogo!$F$6:$F$51,0)</f>
        <v>0</v>
      </c>
      <c r="O715" t="str">
        <f>_xlfn.IFNA(_xlfn.XLOOKUP(Tabla1[[#This Row],[fin]],$Q$379:$Q$398,$U$379:$U$398),"")</f>
        <v/>
      </c>
    </row>
    <row r="716" spans="1:15" x14ac:dyDescent="0.25">
      <c r="A716" s="354">
        <v>46280</v>
      </c>
      <c r="B716" s="114" t="s">
        <v>30</v>
      </c>
      <c r="C716" s="512" t="s">
        <v>13</v>
      </c>
      <c r="D716" s="39" t="s">
        <v>14</v>
      </c>
      <c r="E716" s="40" t="s">
        <v>119</v>
      </c>
      <c r="F716" s="493">
        <v>3901</v>
      </c>
      <c r="G716" s="28" t="s">
        <v>618</v>
      </c>
      <c r="H716" s="224"/>
      <c r="I716" s="501">
        <v>1</v>
      </c>
      <c r="J716" s="76">
        <v>3.2</v>
      </c>
      <c r="K716" s="76" t="str">
        <f>+_xlfn.XLOOKUP(Tabla1[[#This Row],[Codigo_actividad]],Conceptos!A:A,Conceptos!H:H)</f>
        <v>P3.02</v>
      </c>
      <c r="L716" s="66" t="str">
        <f>IF(_xlfn.XLOOKUP($J716,Catalogo!$B$7:$B$210,Catalogo!$I$7:$I$210,"",0)=0,"",_xlfn.XLOOKUP($J716,Catalogo!$B$7:$B$210,Catalogo!$I$7:$I$210,"",0))</f>
        <v>DATA EXC</v>
      </c>
      <c r="M716" s="36"/>
      <c r="N716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5" x14ac:dyDescent="0.25">
      <c r="A717" s="354">
        <v>46280</v>
      </c>
      <c r="B717" s="114" t="s">
        <v>30</v>
      </c>
      <c r="C717" s="512" t="s">
        <v>13</v>
      </c>
      <c r="D717" s="39" t="s">
        <v>14</v>
      </c>
      <c r="E717" s="40" t="s">
        <v>531</v>
      </c>
      <c r="F717" s="493">
        <v>3901</v>
      </c>
      <c r="G717" s="28" t="s">
        <v>618</v>
      </c>
      <c r="H717" s="224"/>
      <c r="I717" s="501">
        <v>1</v>
      </c>
      <c r="J717" s="76" t="s">
        <v>122</v>
      </c>
      <c r="K717" s="76" t="str">
        <f>+_xlfn.XLOOKUP(Tabla1[[#This Row],[Codigo_actividad]],Conceptos!A:A,Conceptos!H:H)</f>
        <v>P3.03.01</v>
      </c>
      <c r="L717" s="66" t="str">
        <f>IF(_xlfn.XLOOKUP($J717,Catalogo!$B$7:$B$210,Catalogo!$I$7:$I$210,"",0)=0,"",_xlfn.XLOOKUP($J717,Catalogo!$B$7:$B$210,Catalogo!$I$7:$I$210,"",0))</f>
        <v>VT</v>
      </c>
      <c r="M717" s="36"/>
      <c r="N717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5" x14ac:dyDescent="0.25">
      <c r="A718" s="354">
        <v>46280</v>
      </c>
      <c r="B718" s="114" t="s">
        <v>30</v>
      </c>
      <c r="C718" s="512" t="s">
        <v>13</v>
      </c>
      <c r="D718" s="39" t="s">
        <v>14</v>
      </c>
      <c r="E718" s="40" t="s">
        <v>125</v>
      </c>
      <c r="F718" s="493">
        <v>3901</v>
      </c>
      <c r="G718" s="28" t="s">
        <v>618</v>
      </c>
      <c r="H718" s="224"/>
      <c r="I718" s="501">
        <v>1</v>
      </c>
      <c r="J718" s="76" t="s">
        <v>124</v>
      </c>
      <c r="K718" s="76" t="str">
        <f>+_xlfn.XLOOKUP(Tabla1[[#This Row],[Codigo_actividad]],Conceptos!A:A,Conceptos!H:H)</f>
        <v>P3.03.02</v>
      </c>
      <c r="L718" s="66" t="str">
        <f>IF(_xlfn.XLOOKUP($J718,Catalogo!$B$7:$B$210,Catalogo!$I$7:$I$210,"",0)=0,"",_xlfn.XLOOKUP($J718,Catalogo!$B$7:$B$210,Catalogo!$I$7:$I$210,"",0))</f>
        <v>SANIDAD Y ESPESORES</v>
      </c>
      <c r="M718" s="36"/>
      <c r="N718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5" x14ac:dyDescent="0.25">
      <c r="A719" s="354">
        <v>46280</v>
      </c>
      <c r="B719" s="114" t="s">
        <v>30</v>
      </c>
      <c r="C719" s="512" t="s">
        <v>13</v>
      </c>
      <c r="D719" s="39" t="s">
        <v>14</v>
      </c>
      <c r="E719" s="40" t="s">
        <v>128</v>
      </c>
      <c r="F719" s="493">
        <v>3901</v>
      </c>
      <c r="G719" s="28" t="s">
        <v>618</v>
      </c>
      <c r="H719" s="224"/>
      <c r="I719" s="501">
        <v>1</v>
      </c>
      <c r="J719" s="76" t="s">
        <v>127</v>
      </c>
      <c r="K719" s="76" t="str">
        <f>+_xlfn.XLOOKUP(Tabla1[[#This Row],[Codigo_actividad]],Conceptos!A:A,Conceptos!H:H)</f>
        <v>P3.03.03</v>
      </c>
      <c r="L719" s="66" t="str">
        <f>IF(_xlfn.XLOOKUP($J719,Catalogo!$B$7:$B$210,Catalogo!$I$7:$I$210,"",0)=0,"",_xlfn.XLOOKUP($J719,Catalogo!$B$7:$B$210,Catalogo!$I$7:$I$210,"",0))</f>
        <v>CARACTERIZACION</v>
      </c>
      <c r="M719" s="36"/>
      <c r="N719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5" x14ac:dyDescent="0.25">
      <c r="A720" s="354">
        <v>46280</v>
      </c>
      <c r="B720" s="114" t="s">
        <v>30</v>
      </c>
      <c r="C720" s="512" t="s">
        <v>13</v>
      </c>
      <c r="D720" s="39" t="s">
        <v>14</v>
      </c>
      <c r="E720" s="40" t="s">
        <v>132</v>
      </c>
      <c r="F720" s="493">
        <v>3901</v>
      </c>
      <c r="G720" s="28" t="s">
        <v>618</v>
      </c>
      <c r="H720" s="224"/>
      <c r="I720" s="501">
        <v>1</v>
      </c>
      <c r="J720" s="76" t="s">
        <v>131</v>
      </c>
      <c r="K720" s="76" t="str">
        <f>+_xlfn.XLOOKUP(Tabla1[[#This Row],[Codigo_actividad]],Conceptos!A:A,Conceptos!H:H)</f>
        <v>P3.03.05</v>
      </c>
      <c r="L720" s="66" t="str">
        <f>IF(_xlfn.XLOOKUP($J720,Catalogo!$B$7:$B$210,Catalogo!$I$7:$I$210,"",0)=0,"",_xlfn.XLOOKUP($J720,Catalogo!$B$7:$B$210,Catalogo!$I$7:$I$210,"",0))</f>
        <v>UT RECTO</v>
      </c>
      <c r="M720" s="36"/>
      <c r="N720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5" x14ac:dyDescent="0.25">
      <c r="A721" s="354">
        <v>46280</v>
      </c>
      <c r="B721" s="114" t="s">
        <v>30</v>
      </c>
      <c r="C721" s="512" t="s">
        <v>13</v>
      </c>
      <c r="D721" s="39" t="s">
        <v>14</v>
      </c>
      <c r="E721" s="40" t="s">
        <v>138</v>
      </c>
      <c r="F721" s="493">
        <v>3901</v>
      </c>
      <c r="G721" s="28" t="s">
        <v>618</v>
      </c>
      <c r="H721" s="224"/>
      <c r="I721" s="501">
        <v>1</v>
      </c>
      <c r="J721" s="76" t="s">
        <v>137</v>
      </c>
      <c r="K721" s="76" t="str">
        <f>+_xlfn.XLOOKUP(Tabla1[[#This Row],[Codigo_actividad]],Conceptos!A:A,Conceptos!H:H)</f>
        <v>P3.03.08</v>
      </c>
      <c r="L721" s="66" t="str">
        <f>IF(_xlfn.XLOOKUP($J721,Catalogo!$B$7:$B$210,Catalogo!$I$7:$I$210,"",0)=0,"",_xlfn.XLOOKUP($J721,Catalogo!$B$7:$B$210,Catalogo!$I$7:$I$210,"",0))</f>
        <v>PH EXC</v>
      </c>
      <c r="M721" s="36"/>
      <c r="N721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5" x14ac:dyDescent="0.25">
      <c r="A722" s="354">
        <v>46280</v>
      </c>
      <c r="B722" s="114" t="s">
        <v>30</v>
      </c>
      <c r="C722" s="512" t="s">
        <v>13</v>
      </c>
      <c r="D722" s="39" t="s">
        <v>14</v>
      </c>
      <c r="E722" s="40" t="s">
        <v>140</v>
      </c>
      <c r="F722" s="493">
        <v>3901</v>
      </c>
      <c r="G722" s="28" t="s">
        <v>618</v>
      </c>
      <c r="H722" s="224"/>
      <c r="I722" s="501">
        <v>1</v>
      </c>
      <c r="J722" s="76" t="s">
        <v>139</v>
      </c>
      <c r="K722" s="76" t="str">
        <f>+_xlfn.XLOOKUP(Tabla1[[#This Row],[Codigo_actividad]],Conceptos!A:A,Conceptos!H:H)</f>
        <v>P3.03.09</v>
      </c>
      <c r="L722" s="66" t="str">
        <f>IF(_xlfn.XLOOKUP($J722,Catalogo!$B$7:$B$210,Catalogo!$I$7:$I$210,"",0)=0,"",_xlfn.XLOOKUP($J722,Catalogo!$B$7:$B$210,Catalogo!$I$7:$I$210,"",0))</f>
        <v>BACTERIAS EXC</v>
      </c>
      <c r="M722" s="36"/>
      <c r="N722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5" x14ac:dyDescent="0.25">
      <c r="A723" s="354"/>
      <c r="B723" s="114"/>
      <c r="C723" s="512"/>
      <c r="D723" s="39"/>
      <c r="F723" s="28"/>
      <c r="G723" s="28"/>
      <c r="H723" s="224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76">
        <f>+_xlfn.XLOOKUP(Tabla1[[#This Row],[Codigo_actividad]],Conceptos!A:A,Conceptos!H:H)</f>
        <v>0</v>
      </c>
      <c r="L723" s="66" t="str">
        <f>IF(_xlfn.XLOOKUP($J723,Catalogo!$B$7:$B$21,Catalogo!$I$7:$I$21,"",0)=0,"",_xlfn.XLOOKUP($J723,Catalogo!$B$7:$B$21,Catalogo!$I$7:$I$21,"",0))</f>
        <v/>
      </c>
      <c r="M723" s="36"/>
      <c r="N723" s="261">
        <f>IF(Tabla1[[#This Row],[Avance_km]]&lt;&gt;"",Tabla1[[#This Row],[Avance_km]],Tabla1[[#This Row],[Avance_Med]])*_xlfn.XLOOKUP(Tabla1[[#This Row],[Codigo_actividad]],Catalogo!$B$6:$B$51,Catalogo!$F$6:$F$51,0)</f>
        <v>0</v>
      </c>
      <c r="O723" t="str">
        <f>_xlfn.IFNA(_xlfn.XLOOKUP(Tabla1[[#This Row],[fin]],$Q$379:$Q$398,$U$379:$U$398),"")</f>
        <v/>
      </c>
    </row>
    <row r="724" spans="1:15" x14ac:dyDescent="0.25">
      <c r="A724" s="354">
        <v>46259</v>
      </c>
      <c r="B724" s="114" t="s">
        <v>30</v>
      </c>
      <c r="C724" s="512" t="s">
        <v>13</v>
      </c>
      <c r="D724" s="39" t="s">
        <v>14</v>
      </c>
      <c r="E724" s="40" t="s">
        <v>119</v>
      </c>
      <c r="F724" s="493">
        <v>12165.28</v>
      </c>
      <c r="G724" s="28" t="s">
        <v>618</v>
      </c>
      <c r="H724" s="224"/>
      <c r="I724" s="501">
        <v>1</v>
      </c>
      <c r="J724" s="76">
        <v>3.2</v>
      </c>
      <c r="K724" s="76" t="str">
        <f>+_xlfn.XLOOKUP(Tabla1[[#This Row],[Codigo_actividad]],Conceptos!A:A,Conceptos!H:H)</f>
        <v>P3.02</v>
      </c>
      <c r="L724" s="66" t="str">
        <f>IF(_xlfn.XLOOKUP($J724,Catalogo!$B$7:$B$210,Catalogo!$I$7:$I$210,"",0)=0,"",_xlfn.XLOOKUP($J724,Catalogo!$B$7:$B$210,Catalogo!$I$7:$I$210,"",0))</f>
        <v>DATA EXC</v>
      </c>
      <c r="M724" s="36"/>
      <c r="N7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24" t="s">
        <v>560</v>
      </c>
    </row>
    <row r="725" spans="1:15" x14ac:dyDescent="0.25">
      <c r="A725" s="354">
        <v>46259</v>
      </c>
      <c r="B725" s="114" t="s">
        <v>30</v>
      </c>
      <c r="C725" s="512" t="s">
        <v>13</v>
      </c>
      <c r="D725" s="39" t="s">
        <v>14</v>
      </c>
      <c r="E725" s="40" t="s">
        <v>531</v>
      </c>
      <c r="F725" s="493">
        <v>12165.28</v>
      </c>
      <c r="G725" s="28" t="s">
        <v>618</v>
      </c>
      <c r="H725" s="224"/>
      <c r="I725" s="501">
        <v>1</v>
      </c>
      <c r="J725" s="76" t="s">
        <v>122</v>
      </c>
      <c r="K725" s="76" t="str">
        <f>+_xlfn.XLOOKUP(Tabla1[[#This Row],[Codigo_actividad]],Conceptos!A:A,Conceptos!H:H)</f>
        <v>P3.03.01</v>
      </c>
      <c r="L725" s="66" t="str">
        <f>IF(_xlfn.XLOOKUP($J725,Catalogo!$B$7:$B$210,Catalogo!$I$7:$I$210,"",0)=0,"",_xlfn.XLOOKUP($J725,Catalogo!$B$7:$B$210,Catalogo!$I$7:$I$210,"",0))</f>
        <v>VT</v>
      </c>
      <c r="M725" s="36"/>
      <c r="N7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25" t="s">
        <v>560</v>
      </c>
    </row>
    <row r="726" spans="1:15" x14ac:dyDescent="0.25">
      <c r="A726" s="354">
        <v>46259</v>
      </c>
      <c r="B726" s="114" t="s">
        <v>30</v>
      </c>
      <c r="C726" s="512" t="s">
        <v>13</v>
      </c>
      <c r="D726" s="39" t="s">
        <v>14</v>
      </c>
      <c r="E726" s="40" t="s">
        <v>125</v>
      </c>
      <c r="F726" s="493">
        <v>12165.28</v>
      </c>
      <c r="G726" s="28" t="s">
        <v>618</v>
      </c>
      <c r="H726" s="224"/>
      <c r="I726" s="501">
        <v>1</v>
      </c>
      <c r="J726" s="76" t="s">
        <v>124</v>
      </c>
      <c r="K726" s="76" t="str">
        <f>+_xlfn.XLOOKUP(Tabla1[[#This Row],[Codigo_actividad]],Conceptos!A:A,Conceptos!H:H)</f>
        <v>P3.03.02</v>
      </c>
      <c r="L726" s="66" t="str">
        <f>IF(_xlfn.XLOOKUP($J726,Catalogo!$B$7:$B$210,Catalogo!$I$7:$I$210,"",0)=0,"",_xlfn.XLOOKUP($J726,Catalogo!$B$7:$B$210,Catalogo!$I$7:$I$210,"",0))</f>
        <v>SANIDAD Y ESPESORES</v>
      </c>
      <c r="M726" s="36"/>
      <c r="N7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26" t="s">
        <v>560</v>
      </c>
    </row>
    <row r="727" spans="1:15" x14ac:dyDescent="0.25">
      <c r="A727" s="354">
        <v>46259</v>
      </c>
      <c r="B727" s="114" t="s">
        <v>30</v>
      </c>
      <c r="C727" s="512" t="s">
        <v>13</v>
      </c>
      <c r="D727" s="39" t="s">
        <v>14</v>
      </c>
      <c r="E727" s="40" t="s">
        <v>128</v>
      </c>
      <c r="F727" s="493">
        <v>12165.28</v>
      </c>
      <c r="G727" s="28" t="s">
        <v>618</v>
      </c>
      <c r="H727" s="224"/>
      <c r="I727" s="501">
        <v>1</v>
      </c>
      <c r="J727" s="76" t="s">
        <v>127</v>
      </c>
      <c r="K727" s="76" t="str">
        <f>+_xlfn.XLOOKUP(Tabla1[[#This Row],[Codigo_actividad]],Conceptos!A:A,Conceptos!H:H)</f>
        <v>P3.03.03</v>
      </c>
      <c r="L727" s="66" t="str">
        <f>IF(_xlfn.XLOOKUP($J727,Catalogo!$B$7:$B$210,Catalogo!$I$7:$I$210,"",0)=0,"",_xlfn.XLOOKUP($J727,Catalogo!$B$7:$B$210,Catalogo!$I$7:$I$210,"",0))</f>
        <v>CARACTERIZACION</v>
      </c>
      <c r="M727" s="36"/>
      <c r="N7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27" t="s">
        <v>560</v>
      </c>
    </row>
    <row r="728" spans="1:15" x14ac:dyDescent="0.25">
      <c r="A728" s="354">
        <v>46259</v>
      </c>
      <c r="B728" s="114" t="s">
        <v>30</v>
      </c>
      <c r="C728" s="512" t="s">
        <v>13</v>
      </c>
      <c r="D728" s="39" t="s">
        <v>14</v>
      </c>
      <c r="E728" s="40" t="s">
        <v>132</v>
      </c>
      <c r="F728" s="493">
        <v>12165.28</v>
      </c>
      <c r="G728" s="28" t="s">
        <v>618</v>
      </c>
      <c r="H728" s="224"/>
      <c r="I728" s="501">
        <v>1</v>
      </c>
      <c r="J728" s="76" t="s">
        <v>131</v>
      </c>
      <c r="K728" s="76" t="str">
        <f>+_xlfn.XLOOKUP(Tabla1[[#This Row],[Codigo_actividad]],Conceptos!A:A,Conceptos!H:H)</f>
        <v>P3.03.05</v>
      </c>
      <c r="L728" s="66" t="str">
        <f>IF(_xlfn.XLOOKUP($J728,Catalogo!$B$7:$B$210,Catalogo!$I$7:$I$210,"",0)=0,"",_xlfn.XLOOKUP($J728,Catalogo!$B$7:$B$210,Catalogo!$I$7:$I$210,"",0))</f>
        <v>UT RECTO</v>
      </c>
      <c r="M728" s="36"/>
      <c r="N7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28" t="s">
        <v>560</v>
      </c>
    </row>
    <row r="729" spans="1:15" x14ac:dyDescent="0.25">
      <c r="A729" s="354">
        <v>46259</v>
      </c>
      <c r="B729" s="114" t="s">
        <v>30</v>
      </c>
      <c r="C729" s="512" t="s">
        <v>13</v>
      </c>
      <c r="D729" s="39" t="s">
        <v>14</v>
      </c>
      <c r="E729" s="40" t="s">
        <v>138</v>
      </c>
      <c r="F729" s="493">
        <v>12165.28</v>
      </c>
      <c r="G729" s="28" t="s">
        <v>618</v>
      </c>
      <c r="H729" s="224"/>
      <c r="I729" s="501">
        <v>1</v>
      </c>
      <c r="J729" s="76" t="s">
        <v>137</v>
      </c>
      <c r="K729" s="76" t="str">
        <f>+_xlfn.XLOOKUP(Tabla1[[#This Row],[Codigo_actividad]],Conceptos!A:A,Conceptos!H:H)</f>
        <v>P3.03.08</v>
      </c>
      <c r="L729" s="66" t="str">
        <f>IF(_xlfn.XLOOKUP($J729,Catalogo!$B$7:$B$210,Catalogo!$I$7:$I$210,"",0)=0,"",_xlfn.XLOOKUP($J729,Catalogo!$B$7:$B$210,Catalogo!$I$7:$I$210,"",0))</f>
        <v>PH EXC</v>
      </c>
      <c r="M729" s="36"/>
      <c r="N729" s="261">
        <f>IF(Tabla1[[#This Row],[Avance_km]]&lt;&gt;"",Tabla1[[#This Row],[Avance_km]],Tabla1[[#This Row],[Avance_Med]])*_xlfn.XLOOKUP(Tabla1[[#This Row],[Codigo_actividad]],Catalogo!$B$6:$B$51,Catalogo!$F$6:$F$51,0)</f>
        <v>656</v>
      </c>
      <c r="O729" t="s">
        <v>560</v>
      </c>
    </row>
    <row r="730" spans="1:15" x14ac:dyDescent="0.25">
      <c r="A730" s="354">
        <v>46259</v>
      </c>
      <c r="B730" s="114" t="s">
        <v>30</v>
      </c>
      <c r="C730" s="512" t="s">
        <v>13</v>
      </c>
      <c r="D730" s="39" t="s">
        <v>14</v>
      </c>
      <c r="E730" s="40" t="s">
        <v>140</v>
      </c>
      <c r="F730" s="493">
        <v>12165.28</v>
      </c>
      <c r="G730" s="28" t="s">
        <v>618</v>
      </c>
      <c r="H730" s="224"/>
      <c r="I730" s="501">
        <v>1</v>
      </c>
      <c r="J730" s="76" t="s">
        <v>139</v>
      </c>
      <c r="K730" s="76" t="str">
        <f>+_xlfn.XLOOKUP(Tabla1[[#This Row],[Codigo_actividad]],Conceptos!A:A,Conceptos!H:H)</f>
        <v>P3.03.09</v>
      </c>
      <c r="L730" s="66" t="str">
        <f>IF(_xlfn.XLOOKUP($J730,Catalogo!$B$7:$B$210,Catalogo!$I$7:$I$210,"",0)=0,"",_xlfn.XLOOKUP($J730,Catalogo!$B$7:$B$210,Catalogo!$I$7:$I$210,"",0))</f>
        <v>BACTERIAS EXC</v>
      </c>
      <c r="M730" s="36"/>
      <c r="N730" s="261">
        <f>IF(Tabla1[[#This Row],[Avance_km]]&lt;&gt;"",Tabla1[[#This Row],[Avance_km]],Tabla1[[#This Row],[Avance_Med]])*_xlfn.XLOOKUP(Tabla1[[#This Row],[Codigo_actividad]],Catalogo!$B$6:$B$51,Catalogo!$F$6:$F$51,0)</f>
        <v>4676</v>
      </c>
      <c r="O730" t="s">
        <v>560</v>
      </c>
    </row>
    <row r="731" spans="1:15" x14ac:dyDescent="0.25">
      <c r="A731" s="354"/>
      <c r="C731" s="512"/>
      <c r="D731" s="39"/>
      <c r="F731" s="28"/>
      <c r="G731" s="28"/>
      <c r="H731" s="224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76">
        <f>+_xlfn.XLOOKUP(Tabla1[[#This Row],[Codigo_actividad]],Conceptos!A:A,Conceptos!H:H)</f>
        <v>0</v>
      </c>
      <c r="L731" s="66" t="str">
        <f>IF(_xlfn.XLOOKUP($J731,Catalogo!$B$7:$B$21,Catalogo!$I$7:$I$21,"",0)=0,"",_xlfn.XLOOKUP($J731,Catalogo!$B$7:$B$21,Catalogo!$I$7:$I$21,"",0))</f>
        <v/>
      </c>
      <c r="M731" s="36"/>
      <c r="N731" s="261">
        <f>IF(Tabla1[[#This Row],[Avance_km]]&lt;&gt;"",Tabla1[[#This Row],[Avance_km]],Tabla1[[#This Row],[Avance_Med]])*_xlfn.XLOOKUP(Tabla1[[#This Row],[Codigo_actividad]],Catalogo!$B$6:$B$51,Catalogo!$F$6:$F$51,0)</f>
        <v>0</v>
      </c>
      <c r="O731" t="str">
        <f>_xlfn.IFNA(_xlfn.XLOOKUP(Tabla1[[#This Row],[fin]],$Q$379:$Q$398,$U$379:$U$398),"")</f>
        <v/>
      </c>
    </row>
    <row r="732" spans="1:15" x14ac:dyDescent="0.25">
      <c r="A732" s="354">
        <v>46282</v>
      </c>
      <c r="B732" s="114" t="s">
        <v>30</v>
      </c>
      <c r="C732" s="512" t="s">
        <v>13</v>
      </c>
      <c r="D732" s="39" t="s">
        <v>14</v>
      </c>
      <c r="E732" s="40" t="s">
        <v>119</v>
      </c>
      <c r="F732" s="493">
        <v>12168</v>
      </c>
      <c r="G732" s="28" t="s">
        <v>618</v>
      </c>
      <c r="H732" s="224"/>
      <c r="I732" s="501">
        <v>1</v>
      </c>
      <c r="J732" s="76">
        <v>3.2</v>
      </c>
      <c r="K732" s="76" t="str">
        <f>+_xlfn.XLOOKUP(Tabla1[[#This Row],[Codigo_actividad]],Conceptos!A:A,Conceptos!H:H)</f>
        <v>P3.02</v>
      </c>
      <c r="L732" s="66" t="str">
        <f>IF(_xlfn.XLOOKUP($J732,Catalogo!$B$7:$B$210,Catalogo!$I$7:$I$210,"",0)=0,"",_xlfn.XLOOKUP($J732,Catalogo!$B$7:$B$210,Catalogo!$I$7:$I$210,"",0))</f>
        <v>DATA EXC</v>
      </c>
      <c r="M732" s="36"/>
      <c r="N7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32" t="s">
        <v>559</v>
      </c>
    </row>
    <row r="733" spans="1:15" x14ac:dyDescent="0.25">
      <c r="A733" s="354">
        <v>46282</v>
      </c>
      <c r="B733" s="114" t="s">
        <v>30</v>
      </c>
      <c r="C733" s="512" t="s">
        <v>13</v>
      </c>
      <c r="D733" s="39" t="s">
        <v>14</v>
      </c>
      <c r="E733" s="40" t="s">
        <v>531</v>
      </c>
      <c r="F733" s="493">
        <v>12168</v>
      </c>
      <c r="G733" s="28" t="s">
        <v>618</v>
      </c>
      <c r="H733" s="224"/>
      <c r="I733" s="501">
        <v>1</v>
      </c>
      <c r="J733" s="76" t="s">
        <v>122</v>
      </c>
      <c r="K733" s="76" t="str">
        <f>+_xlfn.XLOOKUP(Tabla1[[#This Row],[Codigo_actividad]],Conceptos!A:A,Conceptos!H:H)</f>
        <v>P3.03.01</v>
      </c>
      <c r="L733" s="66" t="str">
        <f>IF(_xlfn.XLOOKUP($J733,Catalogo!$B$7:$B$210,Catalogo!$I$7:$I$210,"",0)=0,"",_xlfn.XLOOKUP($J733,Catalogo!$B$7:$B$210,Catalogo!$I$7:$I$210,"",0))</f>
        <v>VT</v>
      </c>
      <c r="M733" s="36"/>
      <c r="N7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33" t="s">
        <v>559</v>
      </c>
    </row>
    <row r="734" spans="1:15" x14ac:dyDescent="0.25">
      <c r="A734" s="354">
        <v>46282</v>
      </c>
      <c r="B734" s="114" t="s">
        <v>30</v>
      </c>
      <c r="C734" s="512" t="s">
        <v>13</v>
      </c>
      <c r="D734" s="39" t="s">
        <v>14</v>
      </c>
      <c r="E734" s="40" t="s">
        <v>125</v>
      </c>
      <c r="F734" s="493">
        <v>12168</v>
      </c>
      <c r="G734" s="28" t="s">
        <v>618</v>
      </c>
      <c r="H734" s="224"/>
      <c r="I734" s="501">
        <v>1</v>
      </c>
      <c r="J734" s="76" t="s">
        <v>124</v>
      </c>
      <c r="K734" s="76" t="str">
        <f>+_xlfn.XLOOKUP(Tabla1[[#This Row],[Codigo_actividad]],Conceptos!A:A,Conceptos!H:H)</f>
        <v>P3.03.02</v>
      </c>
      <c r="L734" s="66" t="str">
        <f>IF(_xlfn.XLOOKUP($J734,Catalogo!$B$7:$B$210,Catalogo!$I$7:$I$210,"",0)=0,"",_xlfn.XLOOKUP($J734,Catalogo!$B$7:$B$210,Catalogo!$I$7:$I$210,"",0))</f>
        <v>SANIDAD Y ESPESORES</v>
      </c>
      <c r="M734" s="36"/>
      <c r="N7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34" t="s">
        <v>559</v>
      </c>
    </row>
    <row r="735" spans="1:15" x14ac:dyDescent="0.25">
      <c r="A735" s="354">
        <v>46282</v>
      </c>
      <c r="B735" s="114" t="s">
        <v>30</v>
      </c>
      <c r="C735" s="512" t="s">
        <v>13</v>
      </c>
      <c r="D735" s="39" t="s">
        <v>14</v>
      </c>
      <c r="E735" s="40" t="s">
        <v>128</v>
      </c>
      <c r="F735" s="493">
        <v>12168</v>
      </c>
      <c r="G735" s="28" t="s">
        <v>618</v>
      </c>
      <c r="H735" s="224"/>
      <c r="I735" s="501">
        <v>1</v>
      </c>
      <c r="J735" s="76" t="s">
        <v>127</v>
      </c>
      <c r="K735" s="76" t="str">
        <f>+_xlfn.XLOOKUP(Tabla1[[#This Row],[Codigo_actividad]],Conceptos!A:A,Conceptos!H:H)</f>
        <v>P3.03.03</v>
      </c>
      <c r="L735" s="66" t="str">
        <f>IF(_xlfn.XLOOKUP($J735,Catalogo!$B$7:$B$210,Catalogo!$I$7:$I$210,"",0)=0,"",_xlfn.XLOOKUP($J735,Catalogo!$B$7:$B$210,Catalogo!$I$7:$I$210,"",0))</f>
        <v>CARACTERIZACION</v>
      </c>
      <c r="M735" s="36"/>
      <c r="N7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35" t="s">
        <v>559</v>
      </c>
    </row>
    <row r="736" spans="1:15" x14ac:dyDescent="0.25">
      <c r="A736" s="354">
        <v>46282</v>
      </c>
      <c r="B736" s="114" t="s">
        <v>30</v>
      </c>
      <c r="C736" s="512" t="s">
        <v>13</v>
      </c>
      <c r="D736" s="39" t="s">
        <v>14</v>
      </c>
      <c r="E736" s="40" t="s">
        <v>132</v>
      </c>
      <c r="F736" s="493">
        <v>12168</v>
      </c>
      <c r="G736" s="28" t="s">
        <v>618</v>
      </c>
      <c r="H736" s="224"/>
      <c r="I736" s="501">
        <v>1</v>
      </c>
      <c r="J736" s="76" t="s">
        <v>131</v>
      </c>
      <c r="K736" s="76" t="str">
        <f>+_xlfn.XLOOKUP(Tabla1[[#This Row],[Codigo_actividad]],Conceptos!A:A,Conceptos!H:H)</f>
        <v>P3.03.05</v>
      </c>
      <c r="L736" s="66" t="str">
        <f>IF(_xlfn.XLOOKUP($J736,Catalogo!$B$7:$B$210,Catalogo!$I$7:$I$210,"",0)=0,"",_xlfn.XLOOKUP($J736,Catalogo!$B$7:$B$210,Catalogo!$I$7:$I$210,"",0))</f>
        <v>UT RECTO</v>
      </c>
      <c r="M736" s="36"/>
      <c r="N7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36" t="s">
        <v>559</v>
      </c>
    </row>
    <row r="737" spans="1:15" x14ac:dyDescent="0.25">
      <c r="A737" s="354">
        <v>46282</v>
      </c>
      <c r="B737" s="114" t="s">
        <v>30</v>
      </c>
      <c r="C737" s="512" t="s">
        <v>13</v>
      </c>
      <c r="D737" s="39" t="s">
        <v>14</v>
      </c>
      <c r="E737" s="40" t="s">
        <v>138</v>
      </c>
      <c r="F737" s="493">
        <v>12168</v>
      </c>
      <c r="G737" s="28" t="s">
        <v>618</v>
      </c>
      <c r="H737" s="224"/>
      <c r="I737" s="501">
        <v>1</v>
      </c>
      <c r="J737" s="76" t="s">
        <v>137</v>
      </c>
      <c r="K737" s="76" t="str">
        <f>+_xlfn.XLOOKUP(Tabla1[[#This Row],[Codigo_actividad]],Conceptos!A:A,Conceptos!H:H)</f>
        <v>P3.03.08</v>
      </c>
      <c r="L737" s="66" t="str">
        <f>IF(_xlfn.XLOOKUP($J737,Catalogo!$B$7:$B$210,Catalogo!$I$7:$I$210,"",0)=0,"",_xlfn.XLOOKUP($J737,Catalogo!$B$7:$B$210,Catalogo!$I$7:$I$210,"",0))</f>
        <v>PH EXC</v>
      </c>
      <c r="M737" s="36"/>
      <c r="N737" s="261">
        <f>IF(Tabla1[[#This Row],[Avance_km]]&lt;&gt;"",Tabla1[[#This Row],[Avance_km]],Tabla1[[#This Row],[Avance_Med]])*_xlfn.XLOOKUP(Tabla1[[#This Row],[Codigo_actividad]],Catalogo!$B$6:$B$51,Catalogo!$F$6:$F$51,0)</f>
        <v>656</v>
      </c>
      <c r="O737" t="s">
        <v>559</v>
      </c>
    </row>
    <row r="738" spans="1:15" x14ac:dyDescent="0.25">
      <c r="A738" s="354">
        <v>46282</v>
      </c>
      <c r="B738" s="114" t="s">
        <v>30</v>
      </c>
      <c r="C738" s="512" t="s">
        <v>13</v>
      </c>
      <c r="D738" s="39" t="s">
        <v>14</v>
      </c>
      <c r="E738" s="40" t="s">
        <v>140</v>
      </c>
      <c r="F738" s="493">
        <v>12168</v>
      </c>
      <c r="G738" s="28" t="s">
        <v>618</v>
      </c>
      <c r="H738" s="224"/>
      <c r="I738" s="501">
        <v>1</v>
      </c>
      <c r="J738" s="76" t="s">
        <v>139</v>
      </c>
      <c r="K738" s="76" t="str">
        <f>+_xlfn.XLOOKUP(Tabla1[[#This Row],[Codigo_actividad]],Conceptos!A:A,Conceptos!H:H)</f>
        <v>P3.03.09</v>
      </c>
      <c r="L738" s="66" t="str">
        <f>IF(_xlfn.XLOOKUP($J738,Catalogo!$B$7:$B$210,Catalogo!$I$7:$I$210,"",0)=0,"",_xlfn.XLOOKUP($J738,Catalogo!$B$7:$B$210,Catalogo!$I$7:$I$210,"",0))</f>
        <v>BACTERIAS EXC</v>
      </c>
      <c r="M738" s="36"/>
      <c r="N738" s="261">
        <f>IF(Tabla1[[#This Row],[Avance_km]]&lt;&gt;"",Tabla1[[#This Row],[Avance_km]],Tabla1[[#This Row],[Avance_Med]])*_xlfn.XLOOKUP(Tabla1[[#This Row],[Codigo_actividad]],Catalogo!$B$6:$B$51,Catalogo!$F$6:$F$51,0)</f>
        <v>4676</v>
      </c>
      <c r="O738" t="s">
        <v>559</v>
      </c>
    </row>
    <row r="739" spans="1:15" x14ac:dyDescent="0.25">
      <c r="A739" s="354"/>
      <c r="B739" s="114"/>
      <c r="C739" s="512"/>
      <c r="D739" s="39"/>
      <c r="F739" s="28"/>
      <c r="G739" s="28"/>
      <c r="H739" s="224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76">
        <f>+_xlfn.XLOOKUP(Tabla1[[#This Row],[Codigo_actividad]],Conceptos!A:A,Conceptos!H:H)</f>
        <v>0</v>
      </c>
      <c r="L739" s="66" t="str">
        <f>IF(_xlfn.XLOOKUP($J739,Catalogo!$B$7:$B$21,Catalogo!$I$7:$I$21,"",0)=0,"",_xlfn.XLOOKUP($J739,Catalogo!$B$7:$B$21,Catalogo!$I$7:$I$21,"",0))</f>
        <v/>
      </c>
      <c r="M739" s="36"/>
      <c r="N739" s="261">
        <f>IF(Tabla1[[#This Row],[Avance_km]]&lt;&gt;"",Tabla1[[#This Row],[Avance_km]],Tabla1[[#This Row],[Avance_Med]])*_xlfn.XLOOKUP(Tabla1[[#This Row],[Codigo_actividad]],Catalogo!$B$6:$B$51,Catalogo!$F$6:$F$51,0)</f>
        <v>0</v>
      </c>
      <c r="O739" t="str">
        <f>_xlfn.IFNA(_xlfn.XLOOKUP(Tabla1[[#This Row],[fin]],$Q$379:$Q$398,$U$379:$U$398),"")</f>
        <v/>
      </c>
    </row>
    <row r="740" spans="1:15" x14ac:dyDescent="0.25">
      <c r="A740" s="354">
        <v>46261</v>
      </c>
      <c r="B740" s="114" t="s">
        <v>30</v>
      </c>
      <c r="C740" s="512" t="s">
        <v>13</v>
      </c>
      <c r="D740" s="39" t="s">
        <v>14</v>
      </c>
      <c r="E740" s="40" t="s">
        <v>119</v>
      </c>
      <c r="F740" s="493">
        <v>15734.73</v>
      </c>
      <c r="G740" s="28" t="s">
        <v>618</v>
      </c>
      <c r="H740" s="224"/>
      <c r="I740" s="501">
        <v>1</v>
      </c>
      <c r="J740" s="76">
        <v>3.2</v>
      </c>
      <c r="K740" s="76" t="str">
        <f>+_xlfn.XLOOKUP(Tabla1[[#This Row],[Codigo_actividad]],Conceptos!A:A,Conceptos!H:H)</f>
        <v>P3.02</v>
      </c>
      <c r="L740" s="66" t="str">
        <f>IF(_xlfn.XLOOKUP($J740,Catalogo!$B$7:$B$210,Catalogo!$I$7:$I$210,"",0)=0,"",_xlfn.XLOOKUP($J740,Catalogo!$B$7:$B$210,Catalogo!$I$7:$I$210,"",0))</f>
        <v>DATA EXC</v>
      </c>
      <c r="M740" s="36"/>
      <c r="N740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40" t="str">
        <f>_xlfn.IFNA(_xlfn.XLOOKUP(Tabla1[[#This Row],[fin]],$Q$379:$Q$398,$U$379:$U$398),"")</f>
        <v/>
      </c>
    </row>
    <row r="741" spans="1:15" x14ac:dyDescent="0.25">
      <c r="A741" s="354">
        <v>46261</v>
      </c>
      <c r="B741" s="114" t="s">
        <v>30</v>
      </c>
      <c r="C741" s="512" t="s">
        <v>13</v>
      </c>
      <c r="D741" s="39" t="s">
        <v>14</v>
      </c>
      <c r="E741" s="40" t="s">
        <v>531</v>
      </c>
      <c r="F741" s="493">
        <v>15734.73</v>
      </c>
      <c r="G741" s="28" t="s">
        <v>618</v>
      </c>
      <c r="H741" s="224"/>
      <c r="I741" s="501">
        <v>1</v>
      </c>
      <c r="J741" s="76" t="s">
        <v>122</v>
      </c>
      <c r="K741" s="76" t="str">
        <f>+_xlfn.XLOOKUP(Tabla1[[#This Row],[Codigo_actividad]],Conceptos!A:A,Conceptos!H:H)</f>
        <v>P3.03.01</v>
      </c>
      <c r="L741" s="66" t="str">
        <f>IF(_xlfn.XLOOKUP($J741,Catalogo!$B$7:$B$210,Catalogo!$I$7:$I$210,"",0)=0,"",_xlfn.XLOOKUP($J741,Catalogo!$B$7:$B$210,Catalogo!$I$7:$I$210,"",0))</f>
        <v>VT</v>
      </c>
      <c r="M741" s="36"/>
      <c r="N741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41" t="str">
        <f>_xlfn.IFNA(_xlfn.XLOOKUP(Tabla1[[#This Row],[fin]],$Q$379:$Q$398,$U$379:$U$398),"")</f>
        <v/>
      </c>
    </row>
    <row r="742" spans="1:15" x14ac:dyDescent="0.25">
      <c r="A742" s="354">
        <v>46261</v>
      </c>
      <c r="B742" s="114" t="s">
        <v>30</v>
      </c>
      <c r="C742" s="512" t="s">
        <v>13</v>
      </c>
      <c r="D742" s="39" t="s">
        <v>14</v>
      </c>
      <c r="E742" s="40" t="s">
        <v>125</v>
      </c>
      <c r="F742" s="493">
        <v>15734.73</v>
      </c>
      <c r="G742" s="28" t="s">
        <v>618</v>
      </c>
      <c r="H742" s="224"/>
      <c r="I742" s="501">
        <v>1</v>
      </c>
      <c r="J742" s="76" t="s">
        <v>124</v>
      </c>
      <c r="K742" s="76" t="str">
        <f>+_xlfn.XLOOKUP(Tabla1[[#This Row],[Codigo_actividad]],Conceptos!A:A,Conceptos!H:H)</f>
        <v>P3.03.02</v>
      </c>
      <c r="L742" s="66" t="str">
        <f>IF(_xlfn.XLOOKUP($J742,Catalogo!$B$7:$B$210,Catalogo!$I$7:$I$210,"",0)=0,"",_xlfn.XLOOKUP($J742,Catalogo!$B$7:$B$210,Catalogo!$I$7:$I$210,"",0))</f>
        <v>SANIDAD Y ESPESORES</v>
      </c>
      <c r="M742" s="36"/>
      <c r="N742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42" t="str">
        <f>_xlfn.IFNA(_xlfn.XLOOKUP(Tabla1[[#This Row],[fin]],$Q$379:$Q$398,$U$379:$U$398),"")</f>
        <v/>
      </c>
    </row>
    <row r="743" spans="1:15" x14ac:dyDescent="0.25">
      <c r="A743" s="354">
        <v>46261</v>
      </c>
      <c r="B743" s="114" t="s">
        <v>30</v>
      </c>
      <c r="C743" s="512" t="s">
        <v>13</v>
      </c>
      <c r="D743" s="39" t="s">
        <v>14</v>
      </c>
      <c r="E743" s="40" t="s">
        <v>128</v>
      </c>
      <c r="F743" s="493">
        <v>15734.73</v>
      </c>
      <c r="G743" s="28" t="s">
        <v>618</v>
      </c>
      <c r="H743" s="224"/>
      <c r="I743" s="501">
        <v>1</v>
      </c>
      <c r="J743" s="76" t="s">
        <v>127</v>
      </c>
      <c r="K743" s="76" t="str">
        <f>+_xlfn.XLOOKUP(Tabla1[[#This Row],[Codigo_actividad]],Conceptos!A:A,Conceptos!H:H)</f>
        <v>P3.03.03</v>
      </c>
      <c r="L743" s="66" t="str">
        <f>IF(_xlfn.XLOOKUP($J743,Catalogo!$B$7:$B$210,Catalogo!$I$7:$I$210,"",0)=0,"",_xlfn.XLOOKUP($J743,Catalogo!$B$7:$B$210,Catalogo!$I$7:$I$210,"",0))</f>
        <v>CARACTERIZACION</v>
      </c>
      <c r="M743" s="36"/>
      <c r="N743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43" t="str">
        <f>_xlfn.IFNA(_xlfn.XLOOKUP(Tabla1[[#This Row],[fin]],$Q$379:$Q$398,$U$379:$U$398),"")</f>
        <v/>
      </c>
    </row>
    <row r="744" spans="1:15" x14ac:dyDescent="0.25">
      <c r="A744" s="354">
        <v>46261</v>
      </c>
      <c r="B744" s="114" t="s">
        <v>30</v>
      </c>
      <c r="C744" s="512" t="s">
        <v>13</v>
      </c>
      <c r="D744" s="39" t="s">
        <v>14</v>
      </c>
      <c r="E744" s="40" t="s">
        <v>132</v>
      </c>
      <c r="F744" s="493">
        <v>15734.73</v>
      </c>
      <c r="G744" s="28" t="s">
        <v>618</v>
      </c>
      <c r="H744" s="224"/>
      <c r="I744" s="501">
        <v>1</v>
      </c>
      <c r="J744" s="76" t="s">
        <v>131</v>
      </c>
      <c r="K744" s="76" t="str">
        <f>+_xlfn.XLOOKUP(Tabla1[[#This Row],[Codigo_actividad]],Conceptos!A:A,Conceptos!H:H)</f>
        <v>P3.03.05</v>
      </c>
      <c r="L744" s="66" t="str">
        <f>IF(_xlfn.XLOOKUP($J744,Catalogo!$B$7:$B$210,Catalogo!$I$7:$I$210,"",0)=0,"",_xlfn.XLOOKUP($J744,Catalogo!$B$7:$B$210,Catalogo!$I$7:$I$210,"",0))</f>
        <v>UT RECTO</v>
      </c>
      <c r="M744" s="36"/>
      <c r="N744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44" t="str">
        <f>_xlfn.IFNA(_xlfn.XLOOKUP(Tabla1[[#This Row],[fin]],$Q$379:$Q$398,$U$379:$U$398),"")</f>
        <v/>
      </c>
    </row>
    <row r="745" spans="1:15" x14ac:dyDescent="0.25">
      <c r="A745" s="354">
        <v>46261</v>
      </c>
      <c r="B745" s="114" t="s">
        <v>30</v>
      </c>
      <c r="C745" s="512" t="s">
        <v>13</v>
      </c>
      <c r="D745" s="39" t="s">
        <v>14</v>
      </c>
      <c r="E745" s="40" t="s">
        <v>138</v>
      </c>
      <c r="F745" s="493">
        <v>15734.73</v>
      </c>
      <c r="G745" s="28" t="s">
        <v>618</v>
      </c>
      <c r="H745" s="224"/>
      <c r="I745" s="501">
        <v>1</v>
      </c>
      <c r="J745" s="76" t="s">
        <v>137</v>
      </c>
      <c r="K745" s="76" t="str">
        <f>+_xlfn.XLOOKUP(Tabla1[[#This Row],[Codigo_actividad]],Conceptos!A:A,Conceptos!H:H)</f>
        <v>P3.03.08</v>
      </c>
      <c r="L745" s="66" t="str">
        <f>IF(_xlfn.XLOOKUP($J745,Catalogo!$B$7:$B$210,Catalogo!$I$7:$I$210,"",0)=0,"",_xlfn.XLOOKUP($J745,Catalogo!$B$7:$B$210,Catalogo!$I$7:$I$210,"",0))</f>
        <v>PH EXC</v>
      </c>
      <c r="M745" s="36"/>
      <c r="N745" s="261">
        <f>IF(Tabla1[[#This Row],[Avance_km]]&lt;&gt;"",Tabla1[[#This Row],[Avance_km]],Tabla1[[#This Row],[Avance_Med]])*_xlfn.XLOOKUP(Tabla1[[#This Row],[Codigo_actividad]],Catalogo!$B$6:$B$51,Catalogo!$F$6:$F$51,0)</f>
        <v>656</v>
      </c>
      <c r="O745" t="str">
        <f>_xlfn.IFNA(_xlfn.XLOOKUP(Tabla1[[#This Row],[fin]],$Q$379:$Q$398,$U$379:$U$398),"")</f>
        <v/>
      </c>
    </row>
    <row r="746" spans="1:15" x14ac:dyDescent="0.25">
      <c r="A746" s="354">
        <v>46261</v>
      </c>
      <c r="B746" s="114" t="s">
        <v>30</v>
      </c>
      <c r="C746" s="512" t="s">
        <v>13</v>
      </c>
      <c r="D746" s="39" t="s">
        <v>14</v>
      </c>
      <c r="E746" s="40" t="s">
        <v>140</v>
      </c>
      <c r="F746" s="493">
        <v>15734.73</v>
      </c>
      <c r="G746" s="28" t="s">
        <v>618</v>
      </c>
      <c r="H746" s="224"/>
      <c r="I746" s="501">
        <v>1</v>
      </c>
      <c r="J746" s="76" t="s">
        <v>139</v>
      </c>
      <c r="K746" s="76" t="str">
        <f>+_xlfn.XLOOKUP(Tabla1[[#This Row],[Codigo_actividad]],Conceptos!A:A,Conceptos!H:H)</f>
        <v>P3.03.09</v>
      </c>
      <c r="L746" s="66" t="str">
        <f>IF(_xlfn.XLOOKUP($J746,Catalogo!$B$7:$B$210,Catalogo!$I$7:$I$210,"",0)=0,"",_xlfn.XLOOKUP($J746,Catalogo!$B$7:$B$210,Catalogo!$I$7:$I$210,"",0))</f>
        <v>BACTERIAS EXC</v>
      </c>
      <c r="M746" s="36"/>
      <c r="N746" s="261">
        <f>IF(Tabla1[[#This Row],[Avance_km]]&lt;&gt;"",Tabla1[[#This Row],[Avance_km]],Tabla1[[#This Row],[Avance_Med]])*_xlfn.XLOOKUP(Tabla1[[#This Row],[Codigo_actividad]],Catalogo!$B$6:$B$51,Catalogo!$F$6:$F$51,0)</f>
        <v>4676</v>
      </c>
      <c r="O746" t="str">
        <f>_xlfn.IFNA(_xlfn.XLOOKUP(Tabla1[[#This Row],[fin]],$Q$379:$Q$398,$U$379:$U$398),"")</f>
        <v/>
      </c>
    </row>
    <row r="747" spans="1:15" x14ac:dyDescent="0.25">
      <c r="A747" s="354"/>
      <c r="B747" s="114"/>
      <c r="C747" s="512"/>
      <c r="D747" s="39"/>
      <c r="F747" s="28"/>
      <c r="G747" s="28"/>
      <c r="H747" s="224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76">
        <f>+_xlfn.XLOOKUP(Tabla1[[#This Row],[Codigo_actividad]],Conceptos!A:A,Conceptos!H:H)</f>
        <v>0</v>
      </c>
      <c r="L747" s="66" t="str">
        <f>IF(_xlfn.XLOOKUP($J747,Catalogo!$B$7:$B$21,Catalogo!$I$7:$I$21,"",0)=0,"",_xlfn.XLOOKUP($J747,Catalogo!$B$7:$B$21,Catalogo!$I$7:$I$21,"",0))</f>
        <v/>
      </c>
      <c r="M747" s="36"/>
      <c r="N747" s="261">
        <f>IF(Tabla1[[#This Row],[Avance_km]]&lt;&gt;"",Tabla1[[#This Row],[Avance_km]],Tabla1[[#This Row],[Avance_Med]])*_xlfn.XLOOKUP(Tabla1[[#This Row],[Codigo_actividad]],Catalogo!$B$6:$B$51,Catalogo!$F$6:$F$51,0)</f>
        <v>0</v>
      </c>
      <c r="O747" t="str">
        <f>_xlfn.IFNA(_xlfn.XLOOKUP(Tabla1[[#This Row],[fin]],$Q$379:$Q$398,$U$379:$U$398),"")</f>
        <v/>
      </c>
    </row>
    <row r="748" spans="1:15" x14ac:dyDescent="0.25">
      <c r="A748" s="354">
        <v>46296</v>
      </c>
      <c r="B748" s="114" t="s">
        <v>30</v>
      </c>
      <c r="C748" s="512" t="s">
        <v>13</v>
      </c>
      <c r="D748" s="39" t="s">
        <v>14</v>
      </c>
      <c r="E748" s="40" t="s">
        <v>119</v>
      </c>
      <c r="F748" s="493">
        <v>22765</v>
      </c>
      <c r="G748" s="524" t="s">
        <v>619</v>
      </c>
      <c r="H748" s="224"/>
      <c r="I748" s="501">
        <v>1</v>
      </c>
      <c r="J748" s="76">
        <v>3.2</v>
      </c>
      <c r="K748" s="76" t="str">
        <f>+_xlfn.XLOOKUP(Tabla1[[#This Row],[Codigo_actividad]],Conceptos!A:A,Conceptos!H:H)</f>
        <v>P3.02</v>
      </c>
      <c r="L748" s="66" t="str">
        <f>IF(_xlfn.XLOOKUP($J748,Catalogo!$B$7:$B$210,Catalogo!$I$7:$I$210,"",0)=0,"",_xlfn.XLOOKUP($J748,Catalogo!$B$7:$B$210,Catalogo!$I$7:$I$210,"",0))</f>
        <v>DATA EXC</v>
      </c>
      <c r="M748" s="36"/>
      <c r="N748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5" x14ac:dyDescent="0.25">
      <c r="A749" s="354">
        <v>46296</v>
      </c>
      <c r="B749" s="114" t="s">
        <v>30</v>
      </c>
      <c r="C749" s="512" t="s">
        <v>13</v>
      </c>
      <c r="D749" s="39" t="s">
        <v>14</v>
      </c>
      <c r="E749" s="40" t="s">
        <v>531</v>
      </c>
      <c r="F749" s="493">
        <v>22765</v>
      </c>
      <c r="G749" s="524" t="s">
        <v>619</v>
      </c>
      <c r="H749" s="224"/>
      <c r="I749" s="501">
        <v>1</v>
      </c>
      <c r="J749" s="76" t="s">
        <v>122</v>
      </c>
      <c r="K749" s="76" t="str">
        <f>+_xlfn.XLOOKUP(Tabla1[[#This Row],[Codigo_actividad]],Conceptos!A:A,Conceptos!H:H)</f>
        <v>P3.03.01</v>
      </c>
      <c r="L749" s="66" t="str">
        <f>IF(_xlfn.XLOOKUP($J749,Catalogo!$B$7:$B$210,Catalogo!$I$7:$I$210,"",0)=0,"",_xlfn.XLOOKUP($J749,Catalogo!$B$7:$B$210,Catalogo!$I$7:$I$210,"",0))</f>
        <v>VT</v>
      </c>
      <c r="M749" s="36"/>
      <c r="N749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5" x14ac:dyDescent="0.25">
      <c r="A750" s="444">
        <v>46296</v>
      </c>
      <c r="B750" s="445" t="s">
        <v>30</v>
      </c>
      <c r="C750" s="522" t="s">
        <v>13</v>
      </c>
      <c r="D750" s="446" t="s">
        <v>14</v>
      </c>
      <c r="E750" s="443" t="s">
        <v>125</v>
      </c>
      <c r="F750" s="173">
        <v>22765</v>
      </c>
      <c r="G750" s="523" t="s">
        <v>619</v>
      </c>
      <c r="H750" s="447"/>
      <c r="I750" s="282">
        <v>1</v>
      </c>
      <c r="J750" s="282" t="s">
        <v>124</v>
      </c>
      <c r="K750" s="282" t="str">
        <f>+_xlfn.XLOOKUP(Tabla1[[#This Row],[Codigo_actividad]],Conceptos!A:A,Conceptos!H:H)</f>
        <v>P3.03.02</v>
      </c>
      <c r="L750" s="282" t="str">
        <f>IF(_xlfn.XLOOKUP($J750,Catalogo!$B$7:$B$210,Catalogo!$I$7:$I$210,"",0)=0,"",_xlfn.XLOOKUP($J750,Catalogo!$B$7:$B$210,Catalogo!$I$7:$I$210,"",0))</f>
        <v>SANIDAD Y ESPESORES</v>
      </c>
      <c r="M750" s="161"/>
      <c r="N750" s="448">
        <f>IF(Tabla1[[#This Row],[Avance_km]]&lt;&gt;"",Tabla1[[#This Row],[Avance_km]],Tabla1[[#This Row],[Avance_Med]])*_xlfn.XLOOKUP(Tabla1[[#This Row],[Codigo_actividad]],Catalogo!$B$6:$B$51,Catalogo!$F$6:$F$51,0)</f>
        <v>1934.59</v>
      </c>
      <c r="O750" s="211"/>
    </row>
    <row r="751" spans="1:15" x14ac:dyDescent="0.25">
      <c r="A751" s="354">
        <v>46296</v>
      </c>
      <c r="B751" s="114" t="s">
        <v>30</v>
      </c>
      <c r="C751" s="512" t="s">
        <v>13</v>
      </c>
      <c r="D751" s="39" t="s">
        <v>14</v>
      </c>
      <c r="E751" s="40" t="s">
        <v>128</v>
      </c>
      <c r="F751" s="493">
        <v>22765</v>
      </c>
      <c r="G751" s="524" t="s">
        <v>619</v>
      </c>
      <c r="H751" s="224"/>
      <c r="I751" s="501">
        <v>1</v>
      </c>
      <c r="J751" s="76" t="s">
        <v>127</v>
      </c>
      <c r="K751" s="76" t="str">
        <f>+_xlfn.XLOOKUP(Tabla1[[#This Row],[Codigo_actividad]],Conceptos!A:A,Conceptos!H:H)</f>
        <v>P3.03.03</v>
      </c>
      <c r="L751" s="66" t="str">
        <f>IF(_xlfn.XLOOKUP($J751,Catalogo!$B$7:$B$210,Catalogo!$I$7:$I$210,"",0)=0,"",_xlfn.XLOOKUP($J751,Catalogo!$B$7:$B$210,Catalogo!$I$7:$I$210,"",0))</f>
        <v>CARACTERIZACION</v>
      </c>
      <c r="M751" s="36"/>
      <c r="N751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5" x14ac:dyDescent="0.25">
      <c r="A752" s="444">
        <v>46296</v>
      </c>
      <c r="B752" s="445" t="s">
        <v>30</v>
      </c>
      <c r="C752" s="522" t="s">
        <v>13</v>
      </c>
      <c r="D752" s="446" t="s">
        <v>14</v>
      </c>
      <c r="E752" s="443" t="s">
        <v>132</v>
      </c>
      <c r="F752" s="173">
        <v>22765</v>
      </c>
      <c r="G752" s="523" t="s">
        <v>619</v>
      </c>
      <c r="H752" s="447"/>
      <c r="I752" s="282">
        <v>1</v>
      </c>
      <c r="J752" s="282" t="s">
        <v>131</v>
      </c>
      <c r="K752" s="282" t="str">
        <f>+_xlfn.XLOOKUP(Tabla1[[#This Row],[Codigo_actividad]],Conceptos!A:A,Conceptos!H:H)</f>
        <v>P3.03.05</v>
      </c>
      <c r="L752" s="282" t="str">
        <f>IF(_xlfn.XLOOKUP($J752,Catalogo!$B$7:$B$210,Catalogo!$I$7:$I$210,"",0)=0,"",_xlfn.XLOOKUP($J752,Catalogo!$B$7:$B$210,Catalogo!$I$7:$I$210,"",0))</f>
        <v>UT RECTO</v>
      </c>
      <c r="M752" s="161"/>
      <c r="N752" s="448">
        <f>IF(Tabla1[[#This Row],[Avance_km]]&lt;&gt;"",Tabla1[[#This Row],[Avance_km]],Tabla1[[#This Row],[Avance_Med]])*_xlfn.XLOOKUP(Tabla1[[#This Row],[Codigo_actividad]],Catalogo!$B$6:$B$51,Catalogo!$F$6:$F$51,0)</f>
        <v>2220.59</v>
      </c>
      <c r="O752" s="211"/>
    </row>
    <row r="753" spans="1:15" x14ac:dyDescent="0.25">
      <c r="A753" s="354">
        <v>46296</v>
      </c>
      <c r="B753" s="114" t="s">
        <v>30</v>
      </c>
      <c r="C753" s="512" t="s">
        <v>13</v>
      </c>
      <c r="D753" s="39" t="s">
        <v>14</v>
      </c>
      <c r="E753" s="40" t="s">
        <v>138</v>
      </c>
      <c r="F753" s="493">
        <v>22765</v>
      </c>
      <c r="G753" s="524" t="s">
        <v>619</v>
      </c>
      <c r="H753" s="224"/>
      <c r="I753" s="501">
        <v>1</v>
      </c>
      <c r="J753" s="76" t="s">
        <v>137</v>
      </c>
      <c r="K753" s="76" t="str">
        <f>+_xlfn.XLOOKUP(Tabla1[[#This Row],[Codigo_actividad]],Conceptos!A:A,Conceptos!H:H)</f>
        <v>P3.03.08</v>
      </c>
      <c r="L753" s="66" t="str">
        <f>IF(_xlfn.XLOOKUP($J753,Catalogo!$B$7:$B$210,Catalogo!$I$7:$I$210,"",0)=0,"",_xlfn.XLOOKUP($J753,Catalogo!$B$7:$B$210,Catalogo!$I$7:$I$210,"",0))</f>
        <v>PH EXC</v>
      </c>
      <c r="M753" s="36"/>
      <c r="N753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5" x14ac:dyDescent="0.25">
      <c r="A754" s="354">
        <v>46296</v>
      </c>
      <c r="B754" s="114" t="s">
        <v>30</v>
      </c>
      <c r="C754" s="512" t="s">
        <v>13</v>
      </c>
      <c r="D754" s="39" t="s">
        <v>14</v>
      </c>
      <c r="E754" s="40" t="s">
        <v>140</v>
      </c>
      <c r="F754" s="493">
        <v>22765</v>
      </c>
      <c r="G754" s="524" t="s">
        <v>619</v>
      </c>
      <c r="H754" s="224"/>
      <c r="I754" s="501">
        <v>1</v>
      </c>
      <c r="J754" s="76" t="s">
        <v>139</v>
      </c>
      <c r="K754" s="76" t="str">
        <f>+_xlfn.XLOOKUP(Tabla1[[#This Row],[Codigo_actividad]],Conceptos!A:A,Conceptos!H:H)</f>
        <v>P3.03.09</v>
      </c>
      <c r="L754" s="66" t="str">
        <f>IF(_xlfn.XLOOKUP($J754,Catalogo!$B$7:$B$210,Catalogo!$I$7:$I$210,"",0)=0,"",_xlfn.XLOOKUP($J754,Catalogo!$B$7:$B$210,Catalogo!$I$7:$I$210,"",0))</f>
        <v>BACTERIAS EXC</v>
      </c>
      <c r="M754" s="36"/>
      <c r="N754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5" x14ac:dyDescent="0.25">
      <c r="A755" s="354"/>
      <c r="B755" s="114"/>
      <c r="C755" s="512"/>
      <c r="D755" s="39"/>
      <c r="F755" s="28"/>
      <c r="G755" s="28"/>
      <c r="H755" s="224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76">
        <f>+_xlfn.XLOOKUP(Tabla1[[#This Row],[Codigo_actividad]],Conceptos!A:A,Conceptos!H:H)</f>
        <v>0</v>
      </c>
      <c r="L755" s="66" t="str">
        <f>IF(_xlfn.XLOOKUP($J755,Catalogo!$B$7:$B$21,Catalogo!$I$7:$I$21,"",0)=0,"",_xlfn.XLOOKUP($J755,Catalogo!$B$7:$B$21,Catalogo!$I$7:$I$21,"",0))</f>
        <v/>
      </c>
      <c r="M755" s="36"/>
      <c r="N755" s="261">
        <f>IF(Tabla1[[#This Row],[Avance_km]]&lt;&gt;"",Tabla1[[#This Row],[Avance_km]],Tabla1[[#This Row],[Avance_Med]])*_xlfn.XLOOKUP(Tabla1[[#This Row],[Codigo_actividad]],Catalogo!$B$6:$B$51,Catalogo!$F$6:$F$51,0)</f>
        <v>0</v>
      </c>
      <c r="O755" t="str">
        <f>_xlfn.IFNA(_xlfn.XLOOKUP(Tabla1[[#This Row],[fin]],$Q$379:$Q$398,$U$379:$U$398),"")</f>
        <v/>
      </c>
    </row>
    <row r="756" spans="1:15" x14ac:dyDescent="0.25">
      <c r="A756" s="444">
        <v>46315</v>
      </c>
      <c r="B756" s="114" t="s">
        <v>30</v>
      </c>
      <c r="C756" s="512" t="s">
        <v>13</v>
      </c>
      <c r="D756" s="39" t="s">
        <v>14</v>
      </c>
      <c r="E756" s="40" t="s">
        <v>119</v>
      </c>
      <c r="F756" s="202">
        <v>28512</v>
      </c>
      <c r="G756" s="28"/>
      <c r="H756" s="224"/>
      <c r="I756" s="282"/>
      <c r="J756" s="76">
        <v>3.2</v>
      </c>
      <c r="K756" s="76" t="str">
        <f>+_xlfn.XLOOKUP(Tabla1[[#This Row],[Codigo_actividad]],Conceptos!A:A,Conceptos!H:H)</f>
        <v>P3.02</v>
      </c>
      <c r="L756" s="66" t="str">
        <f>IF(_xlfn.XLOOKUP($J756,Catalogo!$B$7:$B$210,Catalogo!$I$7:$I$210,"",0)=0,"",_xlfn.XLOOKUP($J756,Catalogo!$B$7:$B$210,Catalogo!$I$7:$I$210,"",0))</f>
        <v>DATA EXC</v>
      </c>
      <c r="M756" s="36"/>
      <c r="N7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5" x14ac:dyDescent="0.25">
      <c r="A757" s="444">
        <v>46315</v>
      </c>
      <c r="B757" s="114" t="s">
        <v>30</v>
      </c>
      <c r="C757" s="512" t="s">
        <v>13</v>
      </c>
      <c r="D757" s="39" t="s">
        <v>14</v>
      </c>
      <c r="E757" s="40" t="s">
        <v>531</v>
      </c>
      <c r="F757" s="202">
        <v>28512</v>
      </c>
      <c r="G757" s="28"/>
      <c r="H757" s="224"/>
      <c r="I757" s="282"/>
      <c r="J757" s="76" t="s">
        <v>122</v>
      </c>
      <c r="K757" s="76" t="str">
        <f>+_xlfn.XLOOKUP(Tabla1[[#This Row],[Codigo_actividad]],Conceptos!A:A,Conceptos!H:H)</f>
        <v>P3.03.01</v>
      </c>
      <c r="L757" s="66" t="str">
        <f>IF(_xlfn.XLOOKUP($J757,Catalogo!$B$7:$B$210,Catalogo!$I$7:$I$210,"",0)=0,"",_xlfn.XLOOKUP($J757,Catalogo!$B$7:$B$210,Catalogo!$I$7:$I$210,"",0))</f>
        <v>VT</v>
      </c>
      <c r="M757" s="36"/>
      <c r="N7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5" x14ac:dyDescent="0.25">
      <c r="A758" s="444">
        <v>46315</v>
      </c>
      <c r="B758" s="114" t="s">
        <v>30</v>
      </c>
      <c r="C758" s="512" t="s">
        <v>13</v>
      </c>
      <c r="D758" s="39" t="s">
        <v>14</v>
      </c>
      <c r="E758" s="40" t="s">
        <v>125</v>
      </c>
      <c r="F758" s="202">
        <v>28512</v>
      </c>
      <c r="G758" s="28"/>
      <c r="H758" s="224"/>
      <c r="I758" s="282"/>
      <c r="J758" s="76" t="s">
        <v>124</v>
      </c>
      <c r="K758" s="76" t="str">
        <f>+_xlfn.XLOOKUP(Tabla1[[#This Row],[Codigo_actividad]],Conceptos!A:A,Conceptos!H:H)</f>
        <v>P3.03.02</v>
      </c>
      <c r="L758" s="66" t="str">
        <f>IF(_xlfn.XLOOKUP($J758,Catalogo!$B$7:$B$210,Catalogo!$I$7:$I$210,"",0)=0,"",_xlfn.XLOOKUP($J758,Catalogo!$B$7:$B$210,Catalogo!$I$7:$I$210,"",0))</f>
        <v>SANIDAD Y ESPESORES</v>
      </c>
      <c r="M758" s="36"/>
      <c r="N75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5" x14ac:dyDescent="0.25">
      <c r="A759" s="444">
        <v>46315</v>
      </c>
      <c r="B759" s="114" t="s">
        <v>30</v>
      </c>
      <c r="C759" s="512" t="s">
        <v>13</v>
      </c>
      <c r="D759" s="39" t="s">
        <v>14</v>
      </c>
      <c r="E759" s="40" t="s">
        <v>128</v>
      </c>
      <c r="F759" s="202">
        <v>28512</v>
      </c>
      <c r="G759" s="28"/>
      <c r="H759" s="224"/>
      <c r="I759" s="282"/>
      <c r="J759" s="76" t="s">
        <v>127</v>
      </c>
      <c r="K759" s="76" t="str">
        <f>+_xlfn.XLOOKUP(Tabla1[[#This Row],[Codigo_actividad]],Conceptos!A:A,Conceptos!H:H)</f>
        <v>P3.03.03</v>
      </c>
      <c r="L759" s="66" t="str">
        <f>IF(_xlfn.XLOOKUP($J759,Catalogo!$B$7:$B$210,Catalogo!$I$7:$I$210,"",0)=0,"",_xlfn.XLOOKUP($J759,Catalogo!$B$7:$B$210,Catalogo!$I$7:$I$210,"",0))</f>
        <v>CARACTERIZACION</v>
      </c>
      <c r="M759" s="36"/>
      <c r="N7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5" x14ac:dyDescent="0.25">
      <c r="A760" s="444">
        <v>46315</v>
      </c>
      <c r="B760" s="114" t="s">
        <v>30</v>
      </c>
      <c r="C760" s="512" t="s">
        <v>13</v>
      </c>
      <c r="D760" s="39" t="s">
        <v>14</v>
      </c>
      <c r="E760" s="40" t="s">
        <v>132</v>
      </c>
      <c r="F760" s="202">
        <v>28512</v>
      </c>
      <c r="G760" s="28"/>
      <c r="H760" s="224"/>
      <c r="I760" s="282"/>
      <c r="J760" s="76" t="s">
        <v>131</v>
      </c>
      <c r="K760" s="76" t="str">
        <f>+_xlfn.XLOOKUP(Tabla1[[#This Row],[Codigo_actividad]],Conceptos!A:A,Conceptos!H:H)</f>
        <v>P3.03.05</v>
      </c>
      <c r="L760" s="66" t="str">
        <f>IF(_xlfn.XLOOKUP($J760,Catalogo!$B$7:$B$210,Catalogo!$I$7:$I$210,"",0)=0,"",_xlfn.XLOOKUP($J760,Catalogo!$B$7:$B$210,Catalogo!$I$7:$I$210,"",0))</f>
        <v>UT RECTO</v>
      </c>
      <c r="M760" s="36"/>
      <c r="N7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5" x14ac:dyDescent="0.25">
      <c r="A761" s="444">
        <v>46315</v>
      </c>
      <c r="B761" s="114" t="s">
        <v>30</v>
      </c>
      <c r="C761" s="512" t="s">
        <v>13</v>
      </c>
      <c r="D761" s="39" t="s">
        <v>14</v>
      </c>
      <c r="E761" s="40" t="s">
        <v>138</v>
      </c>
      <c r="F761" s="202">
        <v>28512</v>
      </c>
      <c r="G761" s="28"/>
      <c r="H761" s="224"/>
      <c r="I761" s="282"/>
      <c r="J761" s="76" t="s">
        <v>137</v>
      </c>
      <c r="K761" s="76" t="str">
        <f>+_xlfn.XLOOKUP(Tabla1[[#This Row],[Codigo_actividad]],Conceptos!A:A,Conceptos!H:H)</f>
        <v>P3.03.08</v>
      </c>
      <c r="L761" s="66" t="str">
        <f>IF(_xlfn.XLOOKUP($J761,Catalogo!$B$7:$B$210,Catalogo!$I$7:$I$210,"",0)=0,"",_xlfn.XLOOKUP($J761,Catalogo!$B$7:$B$210,Catalogo!$I$7:$I$210,"",0))</f>
        <v>PH EXC</v>
      </c>
      <c r="M761" s="36"/>
      <c r="N7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5" x14ac:dyDescent="0.25">
      <c r="A762" s="444">
        <v>46315</v>
      </c>
      <c r="B762" s="114" t="s">
        <v>30</v>
      </c>
      <c r="C762" s="512" t="s">
        <v>13</v>
      </c>
      <c r="D762" s="39" t="s">
        <v>14</v>
      </c>
      <c r="E762" s="40" t="s">
        <v>140</v>
      </c>
      <c r="F762" s="202">
        <v>28512</v>
      </c>
      <c r="G762" s="28"/>
      <c r="H762" s="224"/>
      <c r="I762" s="282"/>
      <c r="J762" s="76" t="s">
        <v>139</v>
      </c>
      <c r="K762" s="76" t="str">
        <f>+_xlfn.XLOOKUP(Tabla1[[#This Row],[Codigo_actividad]],Conceptos!A:A,Conceptos!H:H)</f>
        <v>P3.03.09</v>
      </c>
      <c r="L762" s="66" t="str">
        <f>IF(_xlfn.XLOOKUP($J762,Catalogo!$B$7:$B$210,Catalogo!$I$7:$I$210,"",0)=0,"",_xlfn.XLOOKUP($J762,Catalogo!$B$7:$B$210,Catalogo!$I$7:$I$210,"",0))</f>
        <v>BACTERIAS EXC</v>
      </c>
      <c r="M762" s="36"/>
      <c r="N7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5" x14ac:dyDescent="0.25">
      <c r="A763" s="354"/>
      <c r="B763" s="114"/>
      <c r="C763" s="512"/>
      <c r="D763" s="39"/>
      <c r="F763" s="28"/>
      <c r="G763" s="28"/>
      <c r="H763" s="224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76">
        <f>+_xlfn.XLOOKUP(Tabla1[[#This Row],[Codigo_actividad]],Conceptos!A:A,Conceptos!H:H)</f>
        <v>0</v>
      </c>
      <c r="L763" s="66" t="str">
        <f>IF(_xlfn.XLOOKUP($J763,Catalogo!$B$7:$B$21,Catalogo!$I$7:$I$21,"",0)=0,"",_xlfn.XLOOKUP($J763,Catalogo!$B$7:$B$21,Catalogo!$I$7:$I$21,"",0))</f>
        <v/>
      </c>
      <c r="M763" s="36"/>
      <c r="N763" s="261">
        <f>IF(Tabla1[[#This Row],[Avance_km]]&lt;&gt;"",Tabla1[[#This Row],[Avance_km]],Tabla1[[#This Row],[Avance_Med]])*_xlfn.XLOOKUP(Tabla1[[#This Row],[Codigo_actividad]],Catalogo!$B$6:$B$51,Catalogo!$F$6:$F$51,0)</f>
        <v>0</v>
      </c>
      <c r="O763" t="str">
        <f>_xlfn.IFNA(_xlfn.XLOOKUP(Tabla1[[#This Row],[fin]],$Q$379:$Q$398,$U$379:$U$398),"")</f>
        <v/>
      </c>
    </row>
    <row r="764" spans="1:15" x14ac:dyDescent="0.25">
      <c r="A764" s="354">
        <v>46308</v>
      </c>
      <c r="B764" s="114" t="s">
        <v>30</v>
      </c>
      <c r="C764" s="512" t="s">
        <v>13</v>
      </c>
      <c r="D764" s="39" t="s">
        <v>14</v>
      </c>
      <c r="E764" s="40" t="s">
        <v>119</v>
      </c>
      <c r="F764" s="493">
        <v>28591</v>
      </c>
      <c r="G764" s="28" t="s">
        <v>618</v>
      </c>
      <c r="H764" s="224"/>
      <c r="I764" s="501">
        <v>1</v>
      </c>
      <c r="J764" s="76">
        <v>3.2</v>
      </c>
      <c r="K764" s="76" t="str">
        <f>+_xlfn.XLOOKUP(Tabla1[[#This Row],[Codigo_actividad]],Conceptos!A:A,Conceptos!H:H)</f>
        <v>P3.02</v>
      </c>
      <c r="L764" s="66" t="str">
        <f>IF(_xlfn.XLOOKUP($J764,Catalogo!$B$7:$B$210,Catalogo!$I$7:$I$210,"",0)=0,"",_xlfn.XLOOKUP($J764,Catalogo!$B$7:$B$210,Catalogo!$I$7:$I$210,"",0))</f>
        <v>DATA EXC</v>
      </c>
      <c r="M764" s="36"/>
      <c r="N764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5" x14ac:dyDescent="0.25">
      <c r="A765" s="354">
        <v>46308</v>
      </c>
      <c r="B765" s="114" t="s">
        <v>30</v>
      </c>
      <c r="C765" s="512" t="s">
        <v>13</v>
      </c>
      <c r="D765" s="39" t="s">
        <v>14</v>
      </c>
      <c r="E765" s="40" t="s">
        <v>531</v>
      </c>
      <c r="F765" s="493">
        <v>28591</v>
      </c>
      <c r="G765" s="28" t="s">
        <v>618</v>
      </c>
      <c r="H765" s="224"/>
      <c r="I765" s="501">
        <v>1</v>
      </c>
      <c r="J765" s="76" t="s">
        <v>122</v>
      </c>
      <c r="K765" s="76" t="str">
        <f>+_xlfn.XLOOKUP(Tabla1[[#This Row],[Codigo_actividad]],Conceptos!A:A,Conceptos!H:H)</f>
        <v>P3.03.01</v>
      </c>
      <c r="L765" s="66" t="str">
        <f>IF(_xlfn.XLOOKUP($J765,Catalogo!$B$7:$B$210,Catalogo!$I$7:$I$210,"",0)=0,"",_xlfn.XLOOKUP($J765,Catalogo!$B$7:$B$210,Catalogo!$I$7:$I$210,"",0))</f>
        <v>VT</v>
      </c>
      <c r="M765" s="36"/>
      <c r="N765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5" x14ac:dyDescent="0.25">
      <c r="A766" s="354">
        <v>46308</v>
      </c>
      <c r="B766" s="114" t="s">
        <v>30</v>
      </c>
      <c r="C766" s="512" t="s">
        <v>13</v>
      </c>
      <c r="D766" s="39" t="s">
        <v>14</v>
      </c>
      <c r="E766" s="40" t="s">
        <v>125</v>
      </c>
      <c r="F766" s="493">
        <v>28591</v>
      </c>
      <c r="G766" s="28" t="s">
        <v>618</v>
      </c>
      <c r="H766" s="224"/>
      <c r="I766" s="501">
        <v>1</v>
      </c>
      <c r="J766" s="76" t="s">
        <v>124</v>
      </c>
      <c r="K766" s="76" t="str">
        <f>+_xlfn.XLOOKUP(Tabla1[[#This Row],[Codigo_actividad]],Conceptos!A:A,Conceptos!H:H)</f>
        <v>P3.03.02</v>
      </c>
      <c r="L766" s="66" t="str">
        <f>IF(_xlfn.XLOOKUP($J766,Catalogo!$B$7:$B$210,Catalogo!$I$7:$I$210,"",0)=0,"",_xlfn.XLOOKUP($J766,Catalogo!$B$7:$B$210,Catalogo!$I$7:$I$210,"",0))</f>
        <v>SANIDAD Y ESPESORES</v>
      </c>
      <c r="M766" s="36"/>
      <c r="N766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5" x14ac:dyDescent="0.25">
      <c r="A767" s="354">
        <v>46308</v>
      </c>
      <c r="B767" s="114" t="s">
        <v>30</v>
      </c>
      <c r="C767" s="512" t="s">
        <v>13</v>
      </c>
      <c r="D767" s="39" t="s">
        <v>14</v>
      </c>
      <c r="E767" s="40" t="s">
        <v>128</v>
      </c>
      <c r="F767" s="493">
        <v>28591</v>
      </c>
      <c r="G767" s="28" t="s">
        <v>618</v>
      </c>
      <c r="H767" s="224"/>
      <c r="I767" s="501">
        <v>1</v>
      </c>
      <c r="J767" s="76" t="s">
        <v>127</v>
      </c>
      <c r="K767" s="76" t="str">
        <f>+_xlfn.XLOOKUP(Tabla1[[#This Row],[Codigo_actividad]],Conceptos!A:A,Conceptos!H:H)</f>
        <v>P3.03.03</v>
      </c>
      <c r="L767" s="66" t="str">
        <f>IF(_xlfn.XLOOKUP($J767,Catalogo!$B$7:$B$210,Catalogo!$I$7:$I$210,"",0)=0,"",_xlfn.XLOOKUP($J767,Catalogo!$B$7:$B$210,Catalogo!$I$7:$I$210,"",0))</f>
        <v>CARACTERIZACION</v>
      </c>
      <c r="M767" s="36"/>
      <c r="N767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5" x14ac:dyDescent="0.25">
      <c r="A768" s="354">
        <v>46308</v>
      </c>
      <c r="B768" s="114" t="s">
        <v>30</v>
      </c>
      <c r="C768" s="512" t="s">
        <v>13</v>
      </c>
      <c r="D768" s="39" t="s">
        <v>14</v>
      </c>
      <c r="E768" s="40" t="s">
        <v>132</v>
      </c>
      <c r="F768" s="493">
        <v>28591</v>
      </c>
      <c r="G768" s="28" t="s">
        <v>618</v>
      </c>
      <c r="H768" s="224"/>
      <c r="I768" s="501">
        <v>1</v>
      </c>
      <c r="J768" s="76" t="s">
        <v>131</v>
      </c>
      <c r="K768" s="76" t="str">
        <f>+_xlfn.XLOOKUP(Tabla1[[#This Row],[Codigo_actividad]],Conceptos!A:A,Conceptos!H:H)</f>
        <v>P3.03.05</v>
      </c>
      <c r="L768" s="66" t="str">
        <f>IF(_xlfn.XLOOKUP($J768,Catalogo!$B$7:$B$210,Catalogo!$I$7:$I$210,"",0)=0,"",_xlfn.XLOOKUP($J768,Catalogo!$B$7:$B$210,Catalogo!$I$7:$I$210,"",0))</f>
        <v>UT RECTO</v>
      </c>
      <c r="M768" s="36"/>
      <c r="N768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5" x14ac:dyDescent="0.25">
      <c r="A769" s="354">
        <v>46308</v>
      </c>
      <c r="B769" s="114" t="s">
        <v>30</v>
      </c>
      <c r="C769" s="512" t="s">
        <v>13</v>
      </c>
      <c r="D769" s="39" t="s">
        <v>14</v>
      </c>
      <c r="E769" s="40" t="s">
        <v>138</v>
      </c>
      <c r="F769" s="493">
        <v>28591</v>
      </c>
      <c r="G769" s="28" t="s">
        <v>618</v>
      </c>
      <c r="H769" s="224"/>
      <c r="I769" s="501">
        <v>1</v>
      </c>
      <c r="J769" s="76" t="s">
        <v>137</v>
      </c>
      <c r="K769" s="76" t="str">
        <f>+_xlfn.XLOOKUP(Tabla1[[#This Row],[Codigo_actividad]],Conceptos!A:A,Conceptos!H:H)</f>
        <v>P3.03.08</v>
      </c>
      <c r="L769" s="66" t="str">
        <f>IF(_xlfn.XLOOKUP($J769,Catalogo!$B$7:$B$210,Catalogo!$I$7:$I$210,"",0)=0,"",_xlfn.XLOOKUP($J769,Catalogo!$B$7:$B$210,Catalogo!$I$7:$I$210,"",0))</f>
        <v>PH EXC</v>
      </c>
      <c r="M769" s="36"/>
      <c r="N769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5" x14ac:dyDescent="0.25">
      <c r="A770" s="354">
        <v>46308</v>
      </c>
      <c r="B770" s="114" t="s">
        <v>30</v>
      </c>
      <c r="C770" s="512" t="s">
        <v>13</v>
      </c>
      <c r="D770" s="39" t="s">
        <v>14</v>
      </c>
      <c r="E770" s="40" t="s">
        <v>140</v>
      </c>
      <c r="F770" s="493">
        <v>28591</v>
      </c>
      <c r="G770" s="28" t="s">
        <v>618</v>
      </c>
      <c r="H770" s="224"/>
      <c r="I770" s="501">
        <v>1</v>
      </c>
      <c r="J770" s="76" t="s">
        <v>139</v>
      </c>
      <c r="K770" s="76" t="str">
        <f>+_xlfn.XLOOKUP(Tabla1[[#This Row],[Codigo_actividad]],Conceptos!A:A,Conceptos!H:H)</f>
        <v>P3.03.09</v>
      </c>
      <c r="L770" s="66" t="str">
        <f>IF(_xlfn.XLOOKUP($J770,Catalogo!$B$7:$B$210,Catalogo!$I$7:$I$210,"",0)=0,"",_xlfn.XLOOKUP($J770,Catalogo!$B$7:$B$210,Catalogo!$I$7:$I$210,"",0))</f>
        <v>BACTERIAS EXC</v>
      </c>
      <c r="M770" s="36"/>
      <c r="N770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5" x14ac:dyDescent="0.25">
      <c r="A771" s="354"/>
      <c r="B771" s="114"/>
      <c r="C771" s="512"/>
      <c r="D771" s="39"/>
      <c r="F771" s="28"/>
      <c r="G771" s="28"/>
      <c r="H771" s="224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76">
        <f>+_xlfn.XLOOKUP(Tabla1[[#This Row],[Codigo_actividad]],Conceptos!A:A,Conceptos!H:H)</f>
        <v>0</v>
      </c>
      <c r="L771" s="66" t="str">
        <f>IF(_xlfn.XLOOKUP($J771,Catalogo!$B$7:$B$21,Catalogo!$I$7:$I$21,"",0)=0,"",_xlfn.XLOOKUP($J771,Catalogo!$B$7:$B$21,Catalogo!$I$7:$I$21,"",0))</f>
        <v/>
      </c>
      <c r="M771" s="36"/>
      <c r="N771" s="261">
        <f>IF(Tabla1[[#This Row],[Avance_km]]&lt;&gt;"",Tabla1[[#This Row],[Avance_km]],Tabla1[[#This Row],[Avance_Med]])*_xlfn.XLOOKUP(Tabla1[[#This Row],[Codigo_actividad]],Catalogo!$B$6:$B$51,Catalogo!$F$6:$F$51,0)</f>
        <v>0</v>
      </c>
      <c r="O771" t="str">
        <f>_xlfn.IFNA(_xlfn.XLOOKUP(Tabla1[[#This Row],[fin]],$Q$379:$Q$398,$U$379:$U$398),"")</f>
        <v/>
      </c>
    </row>
    <row r="772" spans="1:15" x14ac:dyDescent="0.25">
      <c r="A772" s="354">
        <v>46307</v>
      </c>
      <c r="B772" s="114" t="s">
        <v>30</v>
      </c>
      <c r="C772" s="512" t="s">
        <v>13</v>
      </c>
      <c r="D772" s="39" t="s">
        <v>50</v>
      </c>
      <c r="E772" s="40" t="s">
        <v>119</v>
      </c>
      <c r="F772" s="493">
        <v>5713.29</v>
      </c>
      <c r="G772" s="28" t="s">
        <v>618</v>
      </c>
      <c r="H772" s="224"/>
      <c r="I772" s="501">
        <v>1</v>
      </c>
      <c r="J772" s="76">
        <v>3.2</v>
      </c>
      <c r="K772" s="76" t="str">
        <f>+_xlfn.XLOOKUP(Tabla1[[#This Row],[Codigo_actividad]],Conceptos!A:A,Conceptos!H:H)</f>
        <v>P3.02</v>
      </c>
      <c r="L772" s="66" t="str">
        <f>IF(_xlfn.XLOOKUP($J772,Catalogo!$B$7:$B$210,Catalogo!$I$7:$I$210,"",0)=0,"",_xlfn.XLOOKUP($J772,Catalogo!$B$7:$B$210,Catalogo!$I$7:$I$210,"",0))</f>
        <v>DATA EXC</v>
      </c>
      <c r="M772" s="36"/>
      <c r="N772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5" x14ac:dyDescent="0.25">
      <c r="A773" s="354">
        <v>46307</v>
      </c>
      <c r="B773" s="114" t="s">
        <v>30</v>
      </c>
      <c r="C773" s="512" t="s">
        <v>13</v>
      </c>
      <c r="D773" s="39" t="s">
        <v>50</v>
      </c>
      <c r="E773" s="40" t="s">
        <v>531</v>
      </c>
      <c r="F773" s="493">
        <v>5713.29</v>
      </c>
      <c r="G773" s="28" t="s">
        <v>618</v>
      </c>
      <c r="H773" s="224"/>
      <c r="I773" s="501">
        <v>1</v>
      </c>
      <c r="J773" s="76" t="s">
        <v>122</v>
      </c>
      <c r="K773" s="76" t="str">
        <f>+_xlfn.XLOOKUP(Tabla1[[#This Row],[Codigo_actividad]],Conceptos!A:A,Conceptos!H:H)</f>
        <v>P3.03.01</v>
      </c>
      <c r="L773" s="66" t="str">
        <f>IF(_xlfn.XLOOKUP($J773,Catalogo!$B$7:$B$210,Catalogo!$I$7:$I$210,"",0)=0,"",_xlfn.XLOOKUP($J773,Catalogo!$B$7:$B$210,Catalogo!$I$7:$I$210,"",0))</f>
        <v>VT</v>
      </c>
      <c r="M773" s="36"/>
      <c r="N773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5" x14ac:dyDescent="0.25">
      <c r="A774" s="354">
        <v>46307</v>
      </c>
      <c r="B774" s="114" t="s">
        <v>30</v>
      </c>
      <c r="C774" s="512" t="s">
        <v>13</v>
      </c>
      <c r="D774" s="39" t="s">
        <v>50</v>
      </c>
      <c r="E774" s="40" t="s">
        <v>125</v>
      </c>
      <c r="F774" s="493">
        <v>5713.29</v>
      </c>
      <c r="G774" s="28" t="s">
        <v>618</v>
      </c>
      <c r="H774" s="224"/>
      <c r="I774" s="501">
        <v>1</v>
      </c>
      <c r="J774" s="76" t="s">
        <v>124</v>
      </c>
      <c r="K774" s="76" t="str">
        <f>+_xlfn.XLOOKUP(Tabla1[[#This Row],[Codigo_actividad]],Conceptos!A:A,Conceptos!H:H)</f>
        <v>P3.03.02</v>
      </c>
      <c r="L774" s="66" t="str">
        <f>IF(_xlfn.XLOOKUP($J774,Catalogo!$B$7:$B$210,Catalogo!$I$7:$I$210,"",0)=0,"",_xlfn.XLOOKUP($J774,Catalogo!$B$7:$B$210,Catalogo!$I$7:$I$210,"",0))</f>
        <v>SANIDAD Y ESPESORES</v>
      </c>
      <c r="M774" s="36"/>
      <c r="N774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5" x14ac:dyDescent="0.25">
      <c r="A775" s="354">
        <v>46307</v>
      </c>
      <c r="B775" s="114" t="s">
        <v>30</v>
      </c>
      <c r="C775" s="512" t="s">
        <v>13</v>
      </c>
      <c r="D775" s="39" t="s">
        <v>50</v>
      </c>
      <c r="E775" s="40" t="s">
        <v>128</v>
      </c>
      <c r="F775" s="493">
        <v>5713.29</v>
      </c>
      <c r="G775" s="28" t="s">
        <v>618</v>
      </c>
      <c r="H775" s="224"/>
      <c r="I775" s="501">
        <v>1</v>
      </c>
      <c r="J775" s="76" t="s">
        <v>127</v>
      </c>
      <c r="K775" s="76" t="str">
        <f>+_xlfn.XLOOKUP(Tabla1[[#This Row],[Codigo_actividad]],Conceptos!A:A,Conceptos!H:H)</f>
        <v>P3.03.03</v>
      </c>
      <c r="L775" s="66" t="str">
        <f>IF(_xlfn.XLOOKUP($J775,Catalogo!$B$7:$B$210,Catalogo!$I$7:$I$210,"",0)=0,"",_xlfn.XLOOKUP($J775,Catalogo!$B$7:$B$210,Catalogo!$I$7:$I$210,"",0))</f>
        <v>CARACTERIZACION</v>
      </c>
      <c r="M775" s="36"/>
      <c r="N775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5" x14ac:dyDescent="0.25">
      <c r="A776" s="354">
        <v>46307</v>
      </c>
      <c r="B776" s="114" t="s">
        <v>30</v>
      </c>
      <c r="C776" s="512" t="s">
        <v>13</v>
      </c>
      <c r="D776" s="39" t="s">
        <v>50</v>
      </c>
      <c r="E776" s="40" t="s">
        <v>132</v>
      </c>
      <c r="F776" s="493">
        <v>5713.29</v>
      </c>
      <c r="G776" s="28" t="s">
        <v>618</v>
      </c>
      <c r="H776" s="224"/>
      <c r="I776" s="501">
        <v>1</v>
      </c>
      <c r="J776" s="76" t="s">
        <v>131</v>
      </c>
      <c r="K776" s="76" t="str">
        <f>+_xlfn.XLOOKUP(Tabla1[[#This Row],[Codigo_actividad]],Conceptos!A:A,Conceptos!H:H)</f>
        <v>P3.03.05</v>
      </c>
      <c r="L776" s="66" t="str">
        <f>IF(_xlfn.XLOOKUP($J776,Catalogo!$B$7:$B$210,Catalogo!$I$7:$I$210,"",0)=0,"",_xlfn.XLOOKUP($J776,Catalogo!$B$7:$B$210,Catalogo!$I$7:$I$210,"",0))</f>
        <v>UT RECTO</v>
      </c>
      <c r="M776" s="36"/>
      <c r="N776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5" x14ac:dyDescent="0.25">
      <c r="A777" s="354">
        <v>46307</v>
      </c>
      <c r="B777" s="114" t="s">
        <v>30</v>
      </c>
      <c r="C777" s="512" t="s">
        <v>13</v>
      </c>
      <c r="D777" s="39" t="s">
        <v>50</v>
      </c>
      <c r="E777" s="40" t="s">
        <v>138</v>
      </c>
      <c r="F777" s="493">
        <v>5713.29</v>
      </c>
      <c r="G777" s="28" t="s">
        <v>618</v>
      </c>
      <c r="H777" s="224"/>
      <c r="I777" s="501">
        <v>1</v>
      </c>
      <c r="J777" s="76" t="s">
        <v>137</v>
      </c>
      <c r="K777" s="76" t="str">
        <f>+_xlfn.XLOOKUP(Tabla1[[#This Row],[Codigo_actividad]],Conceptos!A:A,Conceptos!H:H)</f>
        <v>P3.03.08</v>
      </c>
      <c r="L777" s="66" t="str">
        <f>IF(_xlfn.XLOOKUP($J777,Catalogo!$B$7:$B$210,Catalogo!$I$7:$I$210,"",0)=0,"",_xlfn.XLOOKUP($J777,Catalogo!$B$7:$B$210,Catalogo!$I$7:$I$210,"",0))</f>
        <v>PH EXC</v>
      </c>
      <c r="M777" s="36"/>
      <c r="N777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5" x14ac:dyDescent="0.25">
      <c r="A778" s="354">
        <v>46307</v>
      </c>
      <c r="B778" s="114" t="s">
        <v>30</v>
      </c>
      <c r="C778" s="512" t="s">
        <v>13</v>
      </c>
      <c r="D778" s="39" t="s">
        <v>50</v>
      </c>
      <c r="E778" s="40" t="s">
        <v>140</v>
      </c>
      <c r="F778" s="493">
        <v>5713.29</v>
      </c>
      <c r="G778" s="28" t="s">
        <v>618</v>
      </c>
      <c r="H778" s="224"/>
      <c r="I778" s="501">
        <v>1</v>
      </c>
      <c r="J778" s="76" t="s">
        <v>139</v>
      </c>
      <c r="K778" s="76" t="str">
        <f>+_xlfn.XLOOKUP(Tabla1[[#This Row],[Codigo_actividad]],Conceptos!A:A,Conceptos!H:H)</f>
        <v>P3.03.09</v>
      </c>
      <c r="L778" s="66" t="str">
        <f>IF(_xlfn.XLOOKUP($J778,Catalogo!$B$7:$B$210,Catalogo!$I$7:$I$210,"",0)=0,"",_xlfn.XLOOKUP($J778,Catalogo!$B$7:$B$210,Catalogo!$I$7:$I$210,"",0))</f>
        <v>BACTERIAS EXC</v>
      </c>
      <c r="M778" s="36"/>
      <c r="N778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5" x14ac:dyDescent="0.25">
      <c r="A779" s="354"/>
      <c r="B779" s="114"/>
      <c r="C779" s="512"/>
      <c r="D779" s="39"/>
      <c r="F779" s="28"/>
      <c r="G779" s="28"/>
      <c r="H779" s="224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76">
        <f>+_xlfn.XLOOKUP(Tabla1[[#This Row],[Codigo_actividad]],Conceptos!A:A,Conceptos!H:H)</f>
        <v>0</v>
      </c>
      <c r="L779" s="66" t="str">
        <f>IF(_xlfn.XLOOKUP($J779,Catalogo!$B$7:$B$21,Catalogo!$I$7:$I$21,"",0)=0,"",_xlfn.XLOOKUP($J779,Catalogo!$B$7:$B$21,Catalogo!$I$7:$I$21,"",0))</f>
        <v/>
      </c>
      <c r="M779" s="36"/>
      <c r="N779" s="261">
        <f>IF(Tabla1[[#This Row],[Avance_km]]&lt;&gt;"",Tabla1[[#This Row],[Avance_km]],Tabla1[[#This Row],[Avance_Med]])*_xlfn.XLOOKUP(Tabla1[[#This Row],[Codigo_actividad]],Catalogo!$B$6:$B$51,Catalogo!$F$6:$F$51,0)</f>
        <v>0</v>
      </c>
      <c r="O779" t="str">
        <f>_xlfn.IFNA(_xlfn.XLOOKUP(Tabla1[[#This Row],[fin]],$Q$379:$Q$398,$U$379:$U$398),"")</f>
        <v/>
      </c>
    </row>
    <row r="780" spans="1:15" x14ac:dyDescent="0.25">
      <c r="A780" s="354">
        <v>46294</v>
      </c>
      <c r="B780" s="114" t="s">
        <v>30</v>
      </c>
      <c r="C780" s="512" t="s">
        <v>13</v>
      </c>
      <c r="D780" s="39" t="s">
        <v>65</v>
      </c>
      <c r="E780" s="40" t="s">
        <v>119</v>
      </c>
      <c r="F780" s="493">
        <v>9632</v>
      </c>
      <c r="G780" s="28" t="s">
        <v>618</v>
      </c>
      <c r="H780" s="224"/>
      <c r="I780" s="501">
        <v>1</v>
      </c>
      <c r="J780" s="76">
        <v>3.2</v>
      </c>
      <c r="K780" s="76" t="str">
        <f>+_xlfn.XLOOKUP(Tabla1[[#This Row],[Codigo_actividad]],Conceptos!A:A,Conceptos!H:H)</f>
        <v>P3.02</v>
      </c>
      <c r="L780" s="66" t="str">
        <f>IF(_xlfn.XLOOKUP($J780,Catalogo!$B$7:$B$210,Catalogo!$I$7:$I$210,"",0)=0,"",_xlfn.XLOOKUP($J780,Catalogo!$B$7:$B$210,Catalogo!$I$7:$I$210,"",0))</f>
        <v>DATA EXC</v>
      </c>
      <c r="M780" s="36"/>
      <c r="N780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5" x14ac:dyDescent="0.25">
      <c r="A781" s="354">
        <v>46294</v>
      </c>
      <c r="B781" s="114" t="s">
        <v>30</v>
      </c>
      <c r="C781" s="512" t="s">
        <v>13</v>
      </c>
      <c r="D781" s="39" t="s">
        <v>65</v>
      </c>
      <c r="E781" s="40" t="s">
        <v>531</v>
      </c>
      <c r="F781" s="493">
        <v>9632</v>
      </c>
      <c r="G781" s="28" t="s">
        <v>618</v>
      </c>
      <c r="H781" s="224"/>
      <c r="I781" s="501">
        <v>1</v>
      </c>
      <c r="J781" s="76" t="s">
        <v>122</v>
      </c>
      <c r="K781" s="76" t="str">
        <f>+_xlfn.XLOOKUP(Tabla1[[#This Row],[Codigo_actividad]],Conceptos!A:A,Conceptos!H:H)</f>
        <v>P3.03.01</v>
      </c>
      <c r="L781" s="66" t="str">
        <f>IF(_xlfn.XLOOKUP($J781,Catalogo!$B$7:$B$210,Catalogo!$I$7:$I$210,"",0)=0,"",_xlfn.XLOOKUP($J781,Catalogo!$B$7:$B$210,Catalogo!$I$7:$I$210,"",0))</f>
        <v>VT</v>
      </c>
      <c r="M781" s="36"/>
      <c r="N781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5" x14ac:dyDescent="0.25">
      <c r="A782" s="354">
        <v>46294</v>
      </c>
      <c r="B782" s="114" t="s">
        <v>30</v>
      </c>
      <c r="C782" s="512" t="s">
        <v>13</v>
      </c>
      <c r="D782" s="39" t="s">
        <v>65</v>
      </c>
      <c r="E782" s="40" t="s">
        <v>125</v>
      </c>
      <c r="F782" s="493">
        <v>9632</v>
      </c>
      <c r="G782" s="28" t="s">
        <v>618</v>
      </c>
      <c r="H782" s="224"/>
      <c r="I782" s="501">
        <v>1</v>
      </c>
      <c r="J782" s="76" t="s">
        <v>124</v>
      </c>
      <c r="K782" s="76" t="str">
        <f>+_xlfn.XLOOKUP(Tabla1[[#This Row],[Codigo_actividad]],Conceptos!A:A,Conceptos!H:H)</f>
        <v>P3.03.02</v>
      </c>
      <c r="L782" s="66" t="str">
        <f>IF(_xlfn.XLOOKUP($J782,Catalogo!$B$7:$B$210,Catalogo!$I$7:$I$210,"",0)=0,"",_xlfn.XLOOKUP($J782,Catalogo!$B$7:$B$210,Catalogo!$I$7:$I$210,"",0))</f>
        <v>SANIDAD Y ESPESORES</v>
      </c>
      <c r="M782" s="36"/>
      <c r="N782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5" x14ac:dyDescent="0.25">
      <c r="A783" s="354">
        <v>46294</v>
      </c>
      <c r="B783" s="114" t="s">
        <v>30</v>
      </c>
      <c r="C783" s="512" t="s">
        <v>13</v>
      </c>
      <c r="D783" s="39" t="s">
        <v>65</v>
      </c>
      <c r="E783" s="40" t="s">
        <v>128</v>
      </c>
      <c r="F783" s="493">
        <v>9632</v>
      </c>
      <c r="G783" s="28" t="s">
        <v>618</v>
      </c>
      <c r="H783" s="224"/>
      <c r="I783" s="501">
        <v>1</v>
      </c>
      <c r="J783" s="76" t="s">
        <v>127</v>
      </c>
      <c r="K783" s="76" t="str">
        <f>+_xlfn.XLOOKUP(Tabla1[[#This Row],[Codigo_actividad]],Conceptos!A:A,Conceptos!H:H)</f>
        <v>P3.03.03</v>
      </c>
      <c r="L783" s="66" t="str">
        <f>IF(_xlfn.XLOOKUP($J783,Catalogo!$B$7:$B$210,Catalogo!$I$7:$I$210,"",0)=0,"",_xlfn.XLOOKUP($J783,Catalogo!$B$7:$B$210,Catalogo!$I$7:$I$210,"",0))</f>
        <v>CARACTERIZACION</v>
      </c>
      <c r="M783" s="36"/>
      <c r="N783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5" x14ac:dyDescent="0.25">
      <c r="A784" s="354">
        <v>46294</v>
      </c>
      <c r="B784" s="114" t="s">
        <v>30</v>
      </c>
      <c r="C784" s="512" t="s">
        <v>13</v>
      </c>
      <c r="D784" s="39" t="s">
        <v>65</v>
      </c>
      <c r="E784" s="40" t="s">
        <v>132</v>
      </c>
      <c r="F784" s="493">
        <v>9632</v>
      </c>
      <c r="G784" s="28" t="s">
        <v>618</v>
      </c>
      <c r="H784" s="224"/>
      <c r="I784" s="501">
        <v>1</v>
      </c>
      <c r="J784" s="76" t="s">
        <v>131</v>
      </c>
      <c r="K784" s="76" t="str">
        <f>+_xlfn.XLOOKUP(Tabla1[[#This Row],[Codigo_actividad]],Conceptos!A:A,Conceptos!H:H)</f>
        <v>P3.03.05</v>
      </c>
      <c r="L784" s="66" t="str">
        <f>IF(_xlfn.XLOOKUP($J784,Catalogo!$B$7:$B$210,Catalogo!$I$7:$I$210,"",0)=0,"",_xlfn.XLOOKUP($J784,Catalogo!$B$7:$B$210,Catalogo!$I$7:$I$210,"",0))</f>
        <v>UT RECTO</v>
      </c>
      <c r="M784" s="36"/>
      <c r="N784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5" x14ac:dyDescent="0.25">
      <c r="A785" s="354">
        <v>46294</v>
      </c>
      <c r="B785" s="114" t="s">
        <v>30</v>
      </c>
      <c r="C785" s="512" t="s">
        <v>13</v>
      </c>
      <c r="D785" s="39" t="s">
        <v>65</v>
      </c>
      <c r="E785" s="40" t="s">
        <v>138</v>
      </c>
      <c r="F785" s="493">
        <v>9632</v>
      </c>
      <c r="G785" s="28" t="s">
        <v>618</v>
      </c>
      <c r="H785" s="224"/>
      <c r="I785" s="501">
        <v>1</v>
      </c>
      <c r="J785" s="76" t="s">
        <v>137</v>
      </c>
      <c r="K785" s="76" t="str">
        <f>+_xlfn.XLOOKUP(Tabla1[[#This Row],[Codigo_actividad]],Conceptos!A:A,Conceptos!H:H)</f>
        <v>P3.03.08</v>
      </c>
      <c r="L785" s="66" t="str">
        <f>IF(_xlfn.XLOOKUP($J785,Catalogo!$B$7:$B$210,Catalogo!$I$7:$I$210,"",0)=0,"",_xlfn.XLOOKUP($J785,Catalogo!$B$7:$B$210,Catalogo!$I$7:$I$210,"",0))</f>
        <v>PH EXC</v>
      </c>
      <c r="M785" s="36"/>
      <c r="N785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5" x14ac:dyDescent="0.25">
      <c r="A786" s="354">
        <v>46294</v>
      </c>
      <c r="B786" s="114" t="s">
        <v>30</v>
      </c>
      <c r="C786" s="512" t="s">
        <v>13</v>
      </c>
      <c r="D786" s="39" t="s">
        <v>65</v>
      </c>
      <c r="E786" s="40" t="s">
        <v>140</v>
      </c>
      <c r="F786" s="493">
        <v>9632</v>
      </c>
      <c r="G786" s="28" t="s">
        <v>618</v>
      </c>
      <c r="H786" s="224"/>
      <c r="I786" s="501">
        <v>1</v>
      </c>
      <c r="J786" s="76" t="s">
        <v>139</v>
      </c>
      <c r="K786" s="76" t="str">
        <f>+_xlfn.XLOOKUP(Tabla1[[#This Row],[Codigo_actividad]],Conceptos!A:A,Conceptos!H:H)</f>
        <v>P3.03.09</v>
      </c>
      <c r="L786" s="66" t="str">
        <f>IF(_xlfn.XLOOKUP($J786,Catalogo!$B$7:$B$210,Catalogo!$I$7:$I$210,"",0)=0,"",_xlfn.XLOOKUP($J786,Catalogo!$B$7:$B$210,Catalogo!$I$7:$I$210,"",0))</f>
        <v>BACTERIAS EXC</v>
      </c>
      <c r="M786" s="36"/>
      <c r="N786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5" x14ac:dyDescent="0.25">
      <c r="A787" s="354"/>
      <c r="B787" s="114"/>
      <c r="C787" s="512"/>
      <c r="D787" s="39"/>
      <c r="F787" s="28"/>
      <c r="G787" s="28"/>
      <c r="H787" s="224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76">
        <f>+_xlfn.XLOOKUP(Tabla1[[#This Row],[Codigo_actividad]],Conceptos!A:A,Conceptos!H:H)</f>
        <v>0</v>
      </c>
      <c r="L787" s="66" t="str">
        <f>IF(_xlfn.XLOOKUP($J787,Catalogo!$B$7:$B$21,Catalogo!$I$7:$I$21,"",0)=0,"",_xlfn.XLOOKUP($J787,Catalogo!$B$7:$B$21,Catalogo!$I$7:$I$21,"",0))</f>
        <v/>
      </c>
      <c r="M787" s="36"/>
      <c r="N787" s="261">
        <f>IF(Tabla1[[#This Row],[Avance_km]]&lt;&gt;"",Tabla1[[#This Row],[Avance_km]],Tabla1[[#This Row],[Avance_Med]])*_xlfn.XLOOKUP(Tabla1[[#This Row],[Codigo_actividad]],Catalogo!$B$6:$B$51,Catalogo!$F$6:$F$51,0)</f>
        <v>0</v>
      </c>
      <c r="O787" t="str">
        <f>_xlfn.IFNA(_xlfn.XLOOKUP(Tabla1[[#This Row],[fin]],$Q$379:$Q$398,$U$379:$U$398),"")</f>
        <v/>
      </c>
    </row>
    <row r="788" spans="1:15" x14ac:dyDescent="0.25">
      <c r="A788" s="354">
        <v>46274</v>
      </c>
      <c r="B788" s="114" t="s">
        <v>30</v>
      </c>
      <c r="C788" s="512" t="s">
        <v>13</v>
      </c>
      <c r="D788" s="39" t="s">
        <v>71</v>
      </c>
      <c r="E788" s="40" t="s">
        <v>119</v>
      </c>
      <c r="F788" s="493">
        <v>7</v>
      </c>
      <c r="G788" s="28" t="s">
        <v>618</v>
      </c>
      <c r="H788" s="224"/>
      <c r="I788" s="501">
        <v>1</v>
      </c>
      <c r="J788" s="76">
        <v>3.2</v>
      </c>
      <c r="K788" s="76" t="str">
        <f>+_xlfn.XLOOKUP(Tabla1[[#This Row],[Codigo_actividad]],Conceptos!A:A,Conceptos!H:H)</f>
        <v>P3.02</v>
      </c>
      <c r="L788" s="66" t="str">
        <f>IF(_xlfn.XLOOKUP($J788,Catalogo!$B$7:$B$210,Catalogo!$I$7:$I$210,"",0)=0,"",_xlfn.XLOOKUP($J788,Catalogo!$B$7:$B$210,Catalogo!$I$7:$I$210,"",0))</f>
        <v>DATA EXC</v>
      </c>
      <c r="M788" s="36"/>
      <c r="N788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88" t="str">
        <f>_xlfn.IFNA(_xlfn.XLOOKUP(Tabla1[[#This Row],[fin]],$Q$379:$Q$398,$U$379:$U$398),"")</f>
        <v/>
      </c>
    </row>
    <row r="789" spans="1:15" x14ac:dyDescent="0.25">
      <c r="A789" s="354">
        <v>46274</v>
      </c>
      <c r="B789" s="114" t="s">
        <v>30</v>
      </c>
      <c r="C789" s="512" t="s">
        <v>13</v>
      </c>
      <c r="D789" s="39" t="s">
        <v>71</v>
      </c>
      <c r="E789" s="40" t="s">
        <v>531</v>
      </c>
      <c r="F789" s="493">
        <v>7</v>
      </c>
      <c r="G789" s="28" t="s">
        <v>618</v>
      </c>
      <c r="H789" s="224"/>
      <c r="I789" s="501">
        <v>1</v>
      </c>
      <c r="J789" s="76" t="s">
        <v>122</v>
      </c>
      <c r="K789" s="76" t="str">
        <f>+_xlfn.XLOOKUP(Tabla1[[#This Row],[Codigo_actividad]],Conceptos!A:A,Conceptos!H:H)</f>
        <v>P3.03.01</v>
      </c>
      <c r="L789" s="66" t="str">
        <f>IF(_xlfn.XLOOKUP($J789,Catalogo!$B$7:$B$210,Catalogo!$I$7:$I$210,"",0)=0,"",_xlfn.XLOOKUP($J789,Catalogo!$B$7:$B$210,Catalogo!$I$7:$I$210,"",0))</f>
        <v>VT</v>
      </c>
      <c r="M789" s="36"/>
      <c r="N789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89" t="str">
        <f>_xlfn.IFNA(_xlfn.XLOOKUP(Tabla1[[#This Row],[fin]],$Q$379:$Q$398,$U$379:$U$398),"")</f>
        <v/>
      </c>
    </row>
    <row r="790" spans="1:15" x14ac:dyDescent="0.25">
      <c r="A790" s="354">
        <v>46274</v>
      </c>
      <c r="B790" s="114" t="s">
        <v>30</v>
      </c>
      <c r="C790" s="512" t="s">
        <v>13</v>
      </c>
      <c r="D790" s="39" t="s">
        <v>71</v>
      </c>
      <c r="E790" s="40" t="s">
        <v>125</v>
      </c>
      <c r="F790" s="493">
        <v>7</v>
      </c>
      <c r="G790" s="28" t="s">
        <v>618</v>
      </c>
      <c r="H790" s="224"/>
      <c r="I790" s="501">
        <v>1</v>
      </c>
      <c r="J790" s="76" t="s">
        <v>124</v>
      </c>
      <c r="K790" s="76" t="str">
        <f>+_xlfn.XLOOKUP(Tabla1[[#This Row],[Codigo_actividad]],Conceptos!A:A,Conceptos!H:H)</f>
        <v>P3.03.02</v>
      </c>
      <c r="L790" s="66" t="str">
        <f>IF(_xlfn.XLOOKUP($J790,Catalogo!$B$7:$B$210,Catalogo!$I$7:$I$210,"",0)=0,"",_xlfn.XLOOKUP($J790,Catalogo!$B$7:$B$210,Catalogo!$I$7:$I$210,"",0))</f>
        <v>SANIDAD Y ESPESORES</v>
      </c>
      <c r="M790" s="36"/>
      <c r="N790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90" t="str">
        <f>_xlfn.IFNA(_xlfn.XLOOKUP(Tabla1[[#This Row],[fin]],$Q$379:$Q$398,$U$379:$U$398),"")</f>
        <v/>
      </c>
    </row>
    <row r="791" spans="1:15" x14ac:dyDescent="0.25">
      <c r="A791" s="354">
        <v>46274</v>
      </c>
      <c r="B791" s="114" t="s">
        <v>30</v>
      </c>
      <c r="C791" s="512" t="s">
        <v>13</v>
      </c>
      <c r="D791" s="39" t="s">
        <v>71</v>
      </c>
      <c r="E791" s="40" t="s">
        <v>128</v>
      </c>
      <c r="F791" s="493">
        <v>7</v>
      </c>
      <c r="G791" s="28" t="s">
        <v>618</v>
      </c>
      <c r="H791" s="224"/>
      <c r="I791" s="501">
        <v>1</v>
      </c>
      <c r="J791" s="76" t="s">
        <v>127</v>
      </c>
      <c r="K791" s="76" t="str">
        <f>+_xlfn.XLOOKUP(Tabla1[[#This Row],[Codigo_actividad]],Conceptos!A:A,Conceptos!H:H)</f>
        <v>P3.03.03</v>
      </c>
      <c r="L791" s="66" t="str">
        <f>IF(_xlfn.XLOOKUP($J791,Catalogo!$B$7:$B$210,Catalogo!$I$7:$I$210,"",0)=0,"",_xlfn.XLOOKUP($J791,Catalogo!$B$7:$B$210,Catalogo!$I$7:$I$210,"",0))</f>
        <v>CARACTERIZACION</v>
      </c>
      <c r="M791" s="36"/>
      <c r="N791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91" t="str">
        <f>_xlfn.IFNA(_xlfn.XLOOKUP(Tabla1[[#This Row],[fin]],$Q$379:$Q$398,$U$379:$U$398),"")</f>
        <v/>
      </c>
    </row>
    <row r="792" spans="1:15" x14ac:dyDescent="0.25">
      <c r="A792" s="354">
        <v>46274</v>
      </c>
      <c r="B792" s="114" t="s">
        <v>30</v>
      </c>
      <c r="C792" s="512" t="s">
        <v>13</v>
      </c>
      <c r="D792" s="39" t="s">
        <v>71</v>
      </c>
      <c r="E792" s="40" t="s">
        <v>132</v>
      </c>
      <c r="F792" s="493">
        <v>7</v>
      </c>
      <c r="G792" s="28" t="s">
        <v>618</v>
      </c>
      <c r="H792" s="224"/>
      <c r="I792" s="501">
        <v>1</v>
      </c>
      <c r="J792" s="76" t="s">
        <v>131</v>
      </c>
      <c r="K792" s="76" t="str">
        <f>+_xlfn.XLOOKUP(Tabla1[[#This Row],[Codigo_actividad]],Conceptos!A:A,Conceptos!H:H)</f>
        <v>P3.03.05</v>
      </c>
      <c r="L792" s="66" t="str">
        <f>IF(_xlfn.XLOOKUP($J792,Catalogo!$B$7:$B$210,Catalogo!$I$7:$I$210,"",0)=0,"",_xlfn.XLOOKUP($J792,Catalogo!$B$7:$B$210,Catalogo!$I$7:$I$210,"",0))</f>
        <v>UT RECTO</v>
      </c>
      <c r="M792" s="36"/>
      <c r="N79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92" t="str">
        <f>_xlfn.IFNA(_xlfn.XLOOKUP(Tabla1[[#This Row],[fin]],$Q$379:$Q$398,$U$379:$U$398),"")</f>
        <v/>
      </c>
    </row>
    <row r="793" spans="1:15" x14ac:dyDescent="0.25">
      <c r="A793" s="354">
        <v>46274</v>
      </c>
      <c r="B793" s="114" t="s">
        <v>30</v>
      </c>
      <c r="C793" s="512" t="s">
        <v>13</v>
      </c>
      <c r="D793" s="39" t="s">
        <v>71</v>
      </c>
      <c r="E793" s="40" t="s">
        <v>136</v>
      </c>
      <c r="F793" s="493">
        <v>7</v>
      </c>
      <c r="G793" s="28" t="s">
        <v>618</v>
      </c>
      <c r="H793" s="224"/>
      <c r="I793" s="501">
        <v>1</v>
      </c>
      <c r="J793" s="76" t="s">
        <v>135</v>
      </c>
      <c r="K793" s="76" t="str">
        <f>+_xlfn.XLOOKUP(Tabla1[[#This Row],[Codigo_actividad]],Conceptos!A:A,Conceptos!H:H)</f>
        <v>P3.03.07</v>
      </c>
      <c r="L793" s="66" t="str">
        <f>IF(_xlfn.XLOOKUP($J793,Catalogo!$B$7:$B$210,Catalogo!$I$7:$I$210,"",0)=0,"",_xlfn.XLOOKUP($J793,Catalogo!$B$7:$B$210,Catalogo!$I$7:$I$210,"",0))</f>
        <v>LP</v>
      </c>
      <c r="M793" s="36"/>
      <c r="N793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793" t="str">
        <f>_xlfn.IFNA(_xlfn.XLOOKUP(Tabla1[[#This Row],[fin]],$Q$379:$Q$398,$U$379:$U$398),"")</f>
        <v/>
      </c>
    </row>
    <row r="794" spans="1:15" x14ac:dyDescent="0.25">
      <c r="A794" s="354">
        <v>46274</v>
      </c>
      <c r="B794" s="114" t="s">
        <v>30</v>
      </c>
      <c r="C794" s="512" t="s">
        <v>13</v>
      </c>
      <c r="D794" s="39" t="s">
        <v>71</v>
      </c>
      <c r="E794" s="40" t="s">
        <v>138</v>
      </c>
      <c r="F794" s="493">
        <v>7</v>
      </c>
      <c r="G794" s="28" t="s">
        <v>618</v>
      </c>
      <c r="H794" s="224"/>
      <c r="I794" s="501">
        <v>1</v>
      </c>
      <c r="J794" s="76" t="s">
        <v>137</v>
      </c>
      <c r="K794" s="76" t="str">
        <f>+_xlfn.XLOOKUP(Tabla1[[#This Row],[Codigo_actividad]],Conceptos!A:A,Conceptos!H:H)</f>
        <v>P3.03.08</v>
      </c>
      <c r="L794" s="66" t="str">
        <f>IF(_xlfn.XLOOKUP($J794,Catalogo!$B$7:$B$210,Catalogo!$I$7:$I$210,"",0)=0,"",_xlfn.XLOOKUP($J794,Catalogo!$B$7:$B$210,Catalogo!$I$7:$I$210,"",0))</f>
        <v>PH EXC</v>
      </c>
      <c r="M794" s="36"/>
      <c r="N794" s="261">
        <f>IF(Tabla1[[#This Row],[Avance_km]]&lt;&gt;"",Tabla1[[#This Row],[Avance_km]],Tabla1[[#This Row],[Avance_Med]])*_xlfn.XLOOKUP(Tabla1[[#This Row],[Codigo_actividad]],Catalogo!$B$6:$B$51,Catalogo!$F$6:$F$51,0)</f>
        <v>656</v>
      </c>
      <c r="O794" t="str">
        <f>_xlfn.IFNA(_xlfn.XLOOKUP(Tabla1[[#This Row],[fin]],$Q$379:$Q$398,$U$379:$U$398),"")</f>
        <v/>
      </c>
    </row>
    <row r="795" spans="1:15" x14ac:dyDescent="0.25">
      <c r="A795" s="354">
        <v>46274</v>
      </c>
      <c r="B795" s="114" t="s">
        <v>30</v>
      </c>
      <c r="C795" s="512" t="s">
        <v>13</v>
      </c>
      <c r="D795" s="39" t="s">
        <v>71</v>
      </c>
      <c r="E795" s="40" t="s">
        <v>140</v>
      </c>
      <c r="F795" s="493">
        <v>7</v>
      </c>
      <c r="G795" s="28" t="s">
        <v>618</v>
      </c>
      <c r="H795" s="224"/>
      <c r="I795" s="501">
        <v>1</v>
      </c>
      <c r="J795" s="76" t="s">
        <v>139</v>
      </c>
      <c r="K795" s="76" t="str">
        <f>+_xlfn.XLOOKUP(Tabla1[[#This Row],[Codigo_actividad]],Conceptos!A:A,Conceptos!H:H)</f>
        <v>P3.03.09</v>
      </c>
      <c r="L795" s="66" t="str">
        <f>IF(_xlfn.XLOOKUP($J795,Catalogo!$B$7:$B$210,Catalogo!$I$7:$I$210,"",0)=0,"",_xlfn.XLOOKUP($J795,Catalogo!$B$7:$B$210,Catalogo!$I$7:$I$210,"",0))</f>
        <v>BACTERIAS EXC</v>
      </c>
      <c r="M795" s="36"/>
      <c r="N795" s="261">
        <f>IF(Tabla1[[#This Row],[Avance_km]]&lt;&gt;"",Tabla1[[#This Row],[Avance_km]],Tabla1[[#This Row],[Avance_Med]])*_xlfn.XLOOKUP(Tabla1[[#This Row],[Codigo_actividad]],Catalogo!$B$6:$B$51,Catalogo!$F$6:$F$51,0)</f>
        <v>4676</v>
      </c>
      <c r="O795" t="str">
        <f>_xlfn.IFNA(_xlfn.XLOOKUP(Tabla1[[#This Row],[fin]],$Q$379:$Q$398,$U$379:$U$398),"")</f>
        <v/>
      </c>
    </row>
    <row r="796" spans="1:15" x14ac:dyDescent="0.25">
      <c r="A796" s="354"/>
      <c r="B796" s="114"/>
      <c r="C796" s="512"/>
      <c r="D796" s="39"/>
      <c r="F796" s="28"/>
      <c r="G796" s="28"/>
      <c r="H796" s="224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76">
        <f>+_xlfn.XLOOKUP(Tabla1[[#This Row],[Codigo_actividad]],Conceptos!A:A,Conceptos!H:H)</f>
        <v>0</v>
      </c>
      <c r="L796" s="66" t="str">
        <f>IF(_xlfn.XLOOKUP($J796,Catalogo!$B$7:$B$21,Catalogo!$I$7:$I$21,"",0)=0,"",_xlfn.XLOOKUP($J796,Catalogo!$B$7:$B$21,Catalogo!$I$7:$I$21,"",0))</f>
        <v/>
      </c>
      <c r="M796" s="36"/>
      <c r="N796" s="261">
        <f>IF(Tabla1[[#This Row],[Avance_km]]&lt;&gt;"",Tabla1[[#This Row],[Avance_km]],Tabla1[[#This Row],[Avance_Med]])*_xlfn.XLOOKUP(Tabla1[[#This Row],[Codigo_actividad]],Catalogo!$B$6:$B$51,Catalogo!$F$6:$F$51,0)</f>
        <v>0</v>
      </c>
      <c r="O796" t="str">
        <f>_xlfn.IFNA(_xlfn.XLOOKUP(Tabla1[[#This Row],[fin]],$Q$379:$Q$398,$U$379:$U$398),"")</f>
        <v/>
      </c>
    </row>
    <row r="797" spans="1:15" x14ac:dyDescent="0.25">
      <c r="A797" s="354">
        <v>46297</v>
      </c>
      <c r="B797" s="114" t="s">
        <v>30</v>
      </c>
      <c r="C797" s="512" t="s">
        <v>13</v>
      </c>
      <c r="D797" s="39" t="s">
        <v>46</v>
      </c>
      <c r="E797" s="40" t="s">
        <v>119</v>
      </c>
      <c r="F797" s="493">
        <v>271</v>
      </c>
      <c r="G797" s="28" t="s">
        <v>618</v>
      </c>
      <c r="H797" s="224"/>
      <c r="I797" s="501">
        <v>1</v>
      </c>
      <c r="J797" s="76">
        <v>3.2</v>
      </c>
      <c r="K797" s="76" t="str">
        <f>+_xlfn.XLOOKUP(Tabla1[[#This Row],[Codigo_actividad]],Conceptos!A:A,Conceptos!H:H)</f>
        <v>P3.02</v>
      </c>
      <c r="L797" s="66" t="str">
        <f>IF(_xlfn.XLOOKUP($J797,Catalogo!$B$7:$B$210,Catalogo!$I$7:$I$210,"",0)=0,"",_xlfn.XLOOKUP($J797,Catalogo!$B$7:$B$210,Catalogo!$I$7:$I$210,"",0))</f>
        <v>DATA EXC</v>
      </c>
      <c r="M797" s="36"/>
      <c r="N79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97" t="str">
        <f>_xlfn.IFNA(_xlfn.XLOOKUP(Tabla1[[#This Row],[fin]],$Q$379:$Q$398,$U$379:$U$398),"")</f>
        <v/>
      </c>
    </row>
    <row r="798" spans="1:15" x14ac:dyDescent="0.25">
      <c r="A798" s="354">
        <v>46297</v>
      </c>
      <c r="B798" s="114" t="s">
        <v>30</v>
      </c>
      <c r="C798" s="512" t="s">
        <v>13</v>
      </c>
      <c r="D798" s="39" t="s">
        <v>46</v>
      </c>
      <c r="E798" s="40" t="s">
        <v>531</v>
      </c>
      <c r="F798" s="493">
        <v>271</v>
      </c>
      <c r="G798" s="28" t="s">
        <v>618</v>
      </c>
      <c r="H798" s="224"/>
      <c r="I798" s="501">
        <v>1</v>
      </c>
      <c r="J798" s="76" t="s">
        <v>122</v>
      </c>
      <c r="K798" s="76" t="str">
        <f>+_xlfn.XLOOKUP(Tabla1[[#This Row],[Codigo_actividad]],Conceptos!A:A,Conceptos!H:H)</f>
        <v>P3.03.01</v>
      </c>
      <c r="L798" s="66" t="str">
        <f>IF(_xlfn.XLOOKUP($J798,Catalogo!$B$7:$B$210,Catalogo!$I$7:$I$210,"",0)=0,"",_xlfn.XLOOKUP($J798,Catalogo!$B$7:$B$210,Catalogo!$I$7:$I$210,"",0))</f>
        <v>VT</v>
      </c>
      <c r="M798" s="36"/>
      <c r="N79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98" t="str">
        <f>_xlfn.IFNA(_xlfn.XLOOKUP(Tabla1[[#This Row],[fin]],$Q$379:$Q$398,$U$379:$U$398),"")</f>
        <v/>
      </c>
    </row>
    <row r="799" spans="1:15" x14ac:dyDescent="0.25">
      <c r="A799" s="354">
        <v>46297</v>
      </c>
      <c r="B799" s="114" t="s">
        <v>30</v>
      </c>
      <c r="C799" s="512" t="s">
        <v>13</v>
      </c>
      <c r="D799" s="39" t="s">
        <v>46</v>
      </c>
      <c r="E799" s="40" t="s">
        <v>125</v>
      </c>
      <c r="F799" s="493">
        <v>271</v>
      </c>
      <c r="G799" s="28" t="s">
        <v>618</v>
      </c>
      <c r="H799" s="224"/>
      <c r="I799" s="501">
        <v>1</v>
      </c>
      <c r="J799" s="76" t="s">
        <v>124</v>
      </c>
      <c r="K799" s="76" t="str">
        <f>+_xlfn.XLOOKUP(Tabla1[[#This Row],[Codigo_actividad]],Conceptos!A:A,Conceptos!H:H)</f>
        <v>P3.03.02</v>
      </c>
      <c r="L799" s="66" t="str">
        <f>IF(_xlfn.XLOOKUP($J799,Catalogo!$B$7:$B$210,Catalogo!$I$7:$I$210,"",0)=0,"",_xlfn.XLOOKUP($J799,Catalogo!$B$7:$B$210,Catalogo!$I$7:$I$210,"",0))</f>
        <v>SANIDAD Y ESPESORES</v>
      </c>
      <c r="M799" s="36"/>
      <c r="N79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99" t="str">
        <f>_xlfn.IFNA(_xlfn.XLOOKUP(Tabla1[[#This Row],[fin]],$Q$379:$Q$398,$U$379:$U$398),"")</f>
        <v/>
      </c>
    </row>
    <row r="800" spans="1:15" x14ac:dyDescent="0.25">
      <c r="A800" s="354">
        <v>46297</v>
      </c>
      <c r="B800" s="114" t="s">
        <v>30</v>
      </c>
      <c r="C800" s="512" t="s">
        <v>13</v>
      </c>
      <c r="D800" s="39" t="s">
        <v>46</v>
      </c>
      <c r="E800" s="40" t="s">
        <v>128</v>
      </c>
      <c r="F800" s="493">
        <v>271</v>
      </c>
      <c r="G800" s="28" t="s">
        <v>618</v>
      </c>
      <c r="H800" s="224"/>
      <c r="I800" s="501">
        <v>1</v>
      </c>
      <c r="J800" s="76" t="s">
        <v>127</v>
      </c>
      <c r="K800" s="76" t="str">
        <f>+_xlfn.XLOOKUP(Tabla1[[#This Row],[Codigo_actividad]],Conceptos!A:A,Conceptos!H:H)</f>
        <v>P3.03.03</v>
      </c>
      <c r="L800" s="66" t="str">
        <f>IF(_xlfn.XLOOKUP($J800,Catalogo!$B$7:$B$210,Catalogo!$I$7:$I$210,"",0)=0,"",_xlfn.XLOOKUP($J800,Catalogo!$B$7:$B$210,Catalogo!$I$7:$I$210,"",0))</f>
        <v>CARACTERIZACION</v>
      </c>
      <c r="M800" s="36"/>
      <c r="N80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00" t="str">
        <f>_xlfn.IFNA(_xlfn.XLOOKUP(Tabla1[[#This Row],[fin]],$Q$379:$Q$398,$U$379:$U$398),"")</f>
        <v/>
      </c>
    </row>
    <row r="801" spans="1:15" x14ac:dyDescent="0.25">
      <c r="A801" s="354">
        <v>46297</v>
      </c>
      <c r="B801" s="114" t="s">
        <v>30</v>
      </c>
      <c r="C801" s="512" t="s">
        <v>13</v>
      </c>
      <c r="D801" s="39" t="s">
        <v>46</v>
      </c>
      <c r="E801" s="40" t="s">
        <v>132</v>
      </c>
      <c r="F801" s="493">
        <v>271</v>
      </c>
      <c r="G801" s="28" t="s">
        <v>618</v>
      </c>
      <c r="H801" s="224"/>
      <c r="I801" s="501">
        <v>1</v>
      </c>
      <c r="J801" s="76" t="s">
        <v>131</v>
      </c>
      <c r="K801" s="76" t="str">
        <f>+_xlfn.XLOOKUP(Tabla1[[#This Row],[Codigo_actividad]],Conceptos!A:A,Conceptos!H:H)</f>
        <v>P3.03.05</v>
      </c>
      <c r="L801" s="66" t="str">
        <f>IF(_xlfn.XLOOKUP($J801,Catalogo!$B$7:$B$210,Catalogo!$I$7:$I$210,"",0)=0,"",_xlfn.XLOOKUP($J801,Catalogo!$B$7:$B$210,Catalogo!$I$7:$I$210,"",0))</f>
        <v>UT RECTO</v>
      </c>
      <c r="M801" s="36"/>
      <c r="N80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01" t="str">
        <f>_xlfn.IFNA(_xlfn.XLOOKUP(Tabla1[[#This Row],[fin]],$Q$379:$Q$398,$U$379:$U$398),"")</f>
        <v/>
      </c>
    </row>
    <row r="802" spans="1:15" x14ac:dyDescent="0.25">
      <c r="A802" s="354">
        <v>46297</v>
      </c>
      <c r="B802" s="114" t="s">
        <v>30</v>
      </c>
      <c r="C802" s="512" t="s">
        <v>13</v>
      </c>
      <c r="D802" s="39" t="s">
        <v>46</v>
      </c>
      <c r="E802" s="40" t="s">
        <v>138</v>
      </c>
      <c r="F802" s="493">
        <v>271</v>
      </c>
      <c r="G802" s="28" t="s">
        <v>618</v>
      </c>
      <c r="H802" s="224"/>
      <c r="I802" s="501">
        <v>1</v>
      </c>
      <c r="J802" s="76" t="s">
        <v>137</v>
      </c>
      <c r="K802" s="76" t="str">
        <f>+_xlfn.XLOOKUP(Tabla1[[#This Row],[Codigo_actividad]],Conceptos!A:A,Conceptos!H:H)</f>
        <v>P3.03.08</v>
      </c>
      <c r="L802" s="66" t="str">
        <f>IF(_xlfn.XLOOKUP($J802,Catalogo!$B$7:$B$210,Catalogo!$I$7:$I$210,"",0)=0,"",_xlfn.XLOOKUP($J802,Catalogo!$B$7:$B$210,Catalogo!$I$7:$I$210,"",0))</f>
        <v>PH EXC</v>
      </c>
      <c r="M802" s="36"/>
      <c r="N802" s="261">
        <f>IF(Tabla1[[#This Row],[Avance_km]]&lt;&gt;"",Tabla1[[#This Row],[Avance_km]],Tabla1[[#This Row],[Avance_Med]])*_xlfn.XLOOKUP(Tabla1[[#This Row],[Codigo_actividad]],Catalogo!$B$6:$B$51,Catalogo!$F$6:$F$51,0)</f>
        <v>656</v>
      </c>
      <c r="O802" t="str">
        <f>_xlfn.IFNA(_xlfn.XLOOKUP(Tabla1[[#This Row],[fin]],$Q$379:$Q$398,$U$379:$U$398),"")</f>
        <v/>
      </c>
    </row>
    <row r="803" spans="1:15" x14ac:dyDescent="0.25">
      <c r="A803" s="354">
        <v>46297</v>
      </c>
      <c r="B803" s="114" t="s">
        <v>30</v>
      </c>
      <c r="C803" s="512" t="s">
        <v>13</v>
      </c>
      <c r="D803" s="39" t="s">
        <v>46</v>
      </c>
      <c r="E803" s="40" t="s">
        <v>140</v>
      </c>
      <c r="F803" s="493">
        <v>271</v>
      </c>
      <c r="G803" s="28" t="s">
        <v>618</v>
      </c>
      <c r="H803" s="224"/>
      <c r="I803" s="501">
        <v>1</v>
      </c>
      <c r="J803" s="76" t="s">
        <v>139</v>
      </c>
      <c r="K803" s="76" t="str">
        <f>+_xlfn.XLOOKUP(Tabla1[[#This Row],[Codigo_actividad]],Conceptos!A:A,Conceptos!H:H)</f>
        <v>P3.03.09</v>
      </c>
      <c r="L803" s="66" t="str">
        <f>IF(_xlfn.XLOOKUP($J803,Catalogo!$B$7:$B$210,Catalogo!$I$7:$I$210,"",0)=0,"",_xlfn.XLOOKUP($J803,Catalogo!$B$7:$B$210,Catalogo!$I$7:$I$210,"",0))</f>
        <v>BACTERIAS EXC</v>
      </c>
      <c r="M803" s="36"/>
      <c r="N803" s="261">
        <f>IF(Tabla1[[#This Row],[Avance_km]]&lt;&gt;"",Tabla1[[#This Row],[Avance_km]],Tabla1[[#This Row],[Avance_Med]])*_xlfn.XLOOKUP(Tabla1[[#This Row],[Codigo_actividad]],Catalogo!$B$6:$B$51,Catalogo!$F$6:$F$51,0)</f>
        <v>4676</v>
      </c>
      <c r="O803" t="str">
        <f>_xlfn.IFNA(_xlfn.XLOOKUP(Tabla1[[#This Row],[fin]],$Q$379:$Q$398,$U$379:$U$398),"")</f>
        <v/>
      </c>
    </row>
    <row r="804" spans="1:15" x14ac:dyDescent="0.25">
      <c r="A804" s="354"/>
      <c r="B804" s="114"/>
      <c r="C804" s="512"/>
      <c r="D804" s="39"/>
      <c r="F804" s="28"/>
      <c r="G804" s="28"/>
      <c r="H804" s="224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76">
        <f>+_xlfn.XLOOKUP(Tabla1[[#This Row],[Codigo_actividad]],Conceptos!A:A,Conceptos!H:H)</f>
        <v>0</v>
      </c>
      <c r="L804" s="66" t="str">
        <f>IF(_xlfn.XLOOKUP($J804,Catalogo!$B$7:$B$21,Catalogo!$I$7:$I$21,"",0)=0,"",_xlfn.XLOOKUP($J804,Catalogo!$B$7:$B$21,Catalogo!$I$7:$I$21,"",0))</f>
        <v/>
      </c>
      <c r="M804" s="36"/>
      <c r="N804" s="261">
        <f>IF(Tabla1[[#This Row],[Avance_km]]&lt;&gt;"",Tabla1[[#This Row],[Avance_km]],Tabla1[[#This Row],[Avance_Med]])*_xlfn.XLOOKUP(Tabla1[[#This Row],[Codigo_actividad]],Catalogo!$B$6:$B$51,Catalogo!$F$6:$F$51,0)</f>
        <v>0</v>
      </c>
      <c r="O804" t="str">
        <f>_xlfn.IFNA(_xlfn.XLOOKUP(Tabla1[[#This Row],[fin]],$Q$379:$Q$398,$U$379:$U$398),"")</f>
        <v/>
      </c>
    </row>
    <row r="805" spans="1:15" x14ac:dyDescent="0.25">
      <c r="A805" s="354">
        <v>46282</v>
      </c>
      <c r="B805" s="114" t="s">
        <v>30</v>
      </c>
      <c r="C805" s="512" t="s">
        <v>13</v>
      </c>
      <c r="D805" s="39" t="s">
        <v>38</v>
      </c>
      <c r="E805" s="40" t="s">
        <v>119</v>
      </c>
      <c r="F805" s="493">
        <v>517</v>
      </c>
      <c r="G805" s="28" t="s">
        <v>618</v>
      </c>
      <c r="H805" s="224"/>
      <c r="I805" s="501">
        <v>1</v>
      </c>
      <c r="J805" s="76">
        <v>3.2</v>
      </c>
      <c r="K805" s="76" t="str">
        <f>+_xlfn.XLOOKUP(Tabla1[[#This Row],[Codigo_actividad]],Conceptos!A:A,Conceptos!H:H)</f>
        <v>P3.02</v>
      </c>
      <c r="L805" s="66" t="str">
        <f>IF(_xlfn.XLOOKUP($J805,Catalogo!$B$7:$B$210,Catalogo!$I$7:$I$210,"",0)=0,"",_xlfn.XLOOKUP($J805,Catalogo!$B$7:$B$210,Catalogo!$I$7:$I$210,"",0))</f>
        <v>DATA EXC</v>
      </c>
      <c r="M805" s="36"/>
      <c r="N805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5" x14ac:dyDescent="0.25">
      <c r="A806" s="354">
        <v>46282</v>
      </c>
      <c r="B806" s="114" t="s">
        <v>30</v>
      </c>
      <c r="C806" s="512" t="s">
        <v>13</v>
      </c>
      <c r="D806" s="39" t="s">
        <v>38</v>
      </c>
      <c r="E806" s="40" t="s">
        <v>531</v>
      </c>
      <c r="F806" s="493">
        <v>517</v>
      </c>
      <c r="G806" s="28" t="s">
        <v>618</v>
      </c>
      <c r="H806" s="224"/>
      <c r="I806" s="501">
        <v>1</v>
      </c>
      <c r="J806" s="76" t="s">
        <v>122</v>
      </c>
      <c r="K806" s="76" t="str">
        <f>+_xlfn.XLOOKUP(Tabla1[[#This Row],[Codigo_actividad]],Conceptos!A:A,Conceptos!H:H)</f>
        <v>P3.03.01</v>
      </c>
      <c r="L806" s="66" t="str">
        <f>IF(_xlfn.XLOOKUP($J806,Catalogo!$B$7:$B$210,Catalogo!$I$7:$I$210,"",0)=0,"",_xlfn.XLOOKUP($J806,Catalogo!$B$7:$B$210,Catalogo!$I$7:$I$210,"",0))</f>
        <v>VT</v>
      </c>
      <c r="M806" s="36"/>
      <c r="N806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5" x14ac:dyDescent="0.25">
      <c r="A807" s="354">
        <v>46282</v>
      </c>
      <c r="B807" s="114" t="s">
        <v>30</v>
      </c>
      <c r="C807" s="512" t="s">
        <v>13</v>
      </c>
      <c r="D807" s="39" t="s">
        <v>38</v>
      </c>
      <c r="E807" s="40" t="s">
        <v>125</v>
      </c>
      <c r="F807" s="493">
        <v>517</v>
      </c>
      <c r="G807" s="28" t="s">
        <v>618</v>
      </c>
      <c r="H807" s="224"/>
      <c r="I807" s="501">
        <v>1</v>
      </c>
      <c r="J807" s="76" t="s">
        <v>124</v>
      </c>
      <c r="K807" s="76" t="str">
        <f>+_xlfn.XLOOKUP(Tabla1[[#This Row],[Codigo_actividad]],Conceptos!A:A,Conceptos!H:H)</f>
        <v>P3.03.02</v>
      </c>
      <c r="L807" s="66" t="str">
        <f>IF(_xlfn.XLOOKUP($J807,Catalogo!$B$7:$B$210,Catalogo!$I$7:$I$210,"",0)=0,"",_xlfn.XLOOKUP($J807,Catalogo!$B$7:$B$210,Catalogo!$I$7:$I$210,"",0))</f>
        <v>SANIDAD Y ESPESORES</v>
      </c>
      <c r="M807" s="36"/>
      <c r="N807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5" x14ac:dyDescent="0.25">
      <c r="A808" s="354">
        <v>46282</v>
      </c>
      <c r="B808" s="114" t="s">
        <v>30</v>
      </c>
      <c r="C808" s="512" t="s">
        <v>13</v>
      </c>
      <c r="D808" s="39" t="s">
        <v>38</v>
      </c>
      <c r="E808" s="40" t="s">
        <v>128</v>
      </c>
      <c r="F808" s="493">
        <v>517</v>
      </c>
      <c r="G808" s="28" t="s">
        <v>618</v>
      </c>
      <c r="H808" s="224"/>
      <c r="I808" s="501">
        <v>1</v>
      </c>
      <c r="J808" s="76" t="s">
        <v>127</v>
      </c>
      <c r="K808" s="76" t="str">
        <f>+_xlfn.XLOOKUP(Tabla1[[#This Row],[Codigo_actividad]],Conceptos!A:A,Conceptos!H:H)</f>
        <v>P3.03.03</v>
      </c>
      <c r="L808" s="66" t="str">
        <f>IF(_xlfn.XLOOKUP($J808,Catalogo!$B$7:$B$210,Catalogo!$I$7:$I$210,"",0)=0,"",_xlfn.XLOOKUP($J808,Catalogo!$B$7:$B$210,Catalogo!$I$7:$I$210,"",0))</f>
        <v>CARACTERIZACION</v>
      </c>
      <c r="M808" s="36"/>
      <c r="N808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5" x14ac:dyDescent="0.25">
      <c r="A809" s="354">
        <v>46282</v>
      </c>
      <c r="B809" s="114" t="s">
        <v>30</v>
      </c>
      <c r="C809" s="512" t="s">
        <v>13</v>
      </c>
      <c r="D809" s="39" t="s">
        <v>38</v>
      </c>
      <c r="E809" s="40" t="s">
        <v>132</v>
      </c>
      <c r="F809" s="493">
        <v>517</v>
      </c>
      <c r="G809" s="28" t="s">
        <v>618</v>
      </c>
      <c r="H809" s="224"/>
      <c r="I809" s="501">
        <v>1</v>
      </c>
      <c r="J809" s="76" t="s">
        <v>131</v>
      </c>
      <c r="K809" s="76" t="str">
        <f>+_xlfn.XLOOKUP(Tabla1[[#This Row],[Codigo_actividad]],Conceptos!A:A,Conceptos!H:H)</f>
        <v>P3.03.05</v>
      </c>
      <c r="L809" s="66" t="str">
        <f>IF(_xlfn.XLOOKUP($J809,Catalogo!$B$7:$B$210,Catalogo!$I$7:$I$210,"",0)=0,"",_xlfn.XLOOKUP($J809,Catalogo!$B$7:$B$210,Catalogo!$I$7:$I$210,"",0))</f>
        <v>UT RECTO</v>
      </c>
      <c r="M809" s="36"/>
      <c r="N809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5" x14ac:dyDescent="0.25">
      <c r="A810" s="354">
        <v>46282</v>
      </c>
      <c r="B810" s="114" t="s">
        <v>30</v>
      </c>
      <c r="C810" s="512" t="s">
        <v>13</v>
      </c>
      <c r="D810" s="39" t="s">
        <v>38</v>
      </c>
      <c r="E810" s="40" t="s">
        <v>138</v>
      </c>
      <c r="F810" s="493">
        <v>517</v>
      </c>
      <c r="G810" s="28" t="s">
        <v>618</v>
      </c>
      <c r="H810" s="224"/>
      <c r="I810" s="501">
        <v>1</v>
      </c>
      <c r="J810" s="76" t="s">
        <v>137</v>
      </c>
      <c r="K810" s="76" t="str">
        <f>+_xlfn.XLOOKUP(Tabla1[[#This Row],[Codigo_actividad]],Conceptos!A:A,Conceptos!H:H)</f>
        <v>P3.03.08</v>
      </c>
      <c r="L810" s="66" t="str">
        <f>IF(_xlfn.XLOOKUP($J810,Catalogo!$B$7:$B$210,Catalogo!$I$7:$I$210,"",0)=0,"",_xlfn.XLOOKUP($J810,Catalogo!$B$7:$B$210,Catalogo!$I$7:$I$210,"",0))</f>
        <v>PH EXC</v>
      </c>
      <c r="M810" s="36"/>
      <c r="N810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5" x14ac:dyDescent="0.25">
      <c r="A811" s="354">
        <v>46282</v>
      </c>
      <c r="B811" s="114" t="s">
        <v>30</v>
      </c>
      <c r="C811" s="512" t="s">
        <v>13</v>
      </c>
      <c r="D811" s="39" t="s">
        <v>38</v>
      </c>
      <c r="E811" s="40" t="s">
        <v>140</v>
      </c>
      <c r="F811" s="493">
        <v>517</v>
      </c>
      <c r="G811" s="28" t="s">
        <v>618</v>
      </c>
      <c r="H811" s="224"/>
      <c r="I811" s="501">
        <v>1</v>
      </c>
      <c r="J811" s="76" t="s">
        <v>139</v>
      </c>
      <c r="K811" s="76" t="str">
        <f>+_xlfn.XLOOKUP(Tabla1[[#This Row],[Codigo_actividad]],Conceptos!A:A,Conceptos!H:H)</f>
        <v>P3.03.09</v>
      </c>
      <c r="L811" s="66" t="str">
        <f>IF(_xlfn.XLOOKUP($J811,Catalogo!$B$7:$B$210,Catalogo!$I$7:$I$210,"",0)=0,"",_xlfn.XLOOKUP($J811,Catalogo!$B$7:$B$210,Catalogo!$I$7:$I$210,"",0))</f>
        <v>BACTERIAS EXC</v>
      </c>
      <c r="M811" s="36"/>
      <c r="N811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5" x14ac:dyDescent="0.25">
      <c r="A812" s="354"/>
      <c r="B812" s="114"/>
      <c r="C812" s="155"/>
      <c r="D812" s="39"/>
      <c r="F812" s="28"/>
      <c r="G812" s="28"/>
      <c r="H812" s="224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76">
        <f>+_xlfn.XLOOKUP(Tabla1[[#This Row],[Codigo_actividad]],Conceptos!A:A,Conceptos!H:H)</f>
        <v>0</v>
      </c>
      <c r="L812" s="66" t="str">
        <f>IF(_xlfn.XLOOKUP($J812,Catalogo!$B$7:$B$21,Catalogo!$I$7:$I$21,"",0)=0,"",_xlfn.XLOOKUP($J812,Catalogo!$B$7:$B$21,Catalogo!$I$7:$I$21,"",0))</f>
        <v/>
      </c>
      <c r="M812" s="36"/>
      <c r="N812" s="261">
        <f>IF(Tabla1[[#This Row],[Avance_km]]&lt;&gt;"",Tabla1[[#This Row],[Avance_km]],Tabla1[[#This Row],[Avance_Med]])*_xlfn.XLOOKUP(Tabla1[[#This Row],[Codigo_actividad]],Catalogo!$B$6:$B$51,Catalogo!$F$6:$F$51,0)</f>
        <v>0</v>
      </c>
      <c r="O812" t="str">
        <f>_xlfn.IFNA(_xlfn.XLOOKUP(Tabla1[[#This Row],[fin]],$Q$379:$Q$398,$U$379:$U$398),"")</f>
        <v/>
      </c>
    </row>
    <row r="813" spans="1:15" x14ac:dyDescent="0.25">
      <c r="A813" s="354">
        <v>46269</v>
      </c>
      <c r="B813" s="114" t="s">
        <v>30</v>
      </c>
      <c r="C813" s="513" t="s">
        <v>22</v>
      </c>
      <c r="D813" s="39" t="s">
        <v>35</v>
      </c>
      <c r="E813" s="40" t="s">
        <v>119</v>
      </c>
      <c r="F813" s="493">
        <v>1182</v>
      </c>
      <c r="G813" s="28" t="s">
        <v>618</v>
      </c>
      <c r="H813" s="224"/>
      <c r="I813" s="501">
        <v>1</v>
      </c>
      <c r="J813" s="76">
        <v>3.2</v>
      </c>
      <c r="K813" s="76" t="str">
        <f>+_xlfn.XLOOKUP(Tabla1[[#This Row],[Codigo_actividad]],Conceptos!A:A,Conceptos!H:H)</f>
        <v>P3.02</v>
      </c>
      <c r="L813" s="66" t="str">
        <f>IF(_xlfn.XLOOKUP($J813,Catalogo!$B$7:$B$210,Catalogo!$I$7:$I$210,"",0)=0,"",_xlfn.XLOOKUP($J813,Catalogo!$B$7:$B$210,Catalogo!$I$7:$I$210,"",0))</f>
        <v>DATA EXC</v>
      </c>
      <c r="M813" s="36"/>
      <c r="N813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13" t="str">
        <f>_xlfn.IFNA(_xlfn.XLOOKUP(Tabla1[[#This Row],[fin]],$Q$379:$Q$398,$U$379:$U$398),"")</f>
        <v/>
      </c>
    </row>
    <row r="814" spans="1:15" x14ac:dyDescent="0.25">
      <c r="A814" s="354">
        <v>46269</v>
      </c>
      <c r="B814" s="114" t="s">
        <v>30</v>
      </c>
      <c r="C814" s="513" t="s">
        <v>22</v>
      </c>
      <c r="D814" s="39" t="s">
        <v>35</v>
      </c>
      <c r="E814" s="40" t="s">
        <v>531</v>
      </c>
      <c r="F814" s="493">
        <v>1182</v>
      </c>
      <c r="G814" s="28" t="s">
        <v>618</v>
      </c>
      <c r="H814" s="224"/>
      <c r="I814" s="501">
        <v>1</v>
      </c>
      <c r="J814" s="76" t="s">
        <v>122</v>
      </c>
      <c r="K814" s="76" t="str">
        <f>+_xlfn.XLOOKUP(Tabla1[[#This Row],[Codigo_actividad]],Conceptos!A:A,Conceptos!H:H)</f>
        <v>P3.03.01</v>
      </c>
      <c r="L814" s="66" t="str">
        <f>IF(_xlfn.XLOOKUP($J814,Catalogo!$B$7:$B$210,Catalogo!$I$7:$I$210,"",0)=0,"",_xlfn.XLOOKUP($J814,Catalogo!$B$7:$B$210,Catalogo!$I$7:$I$210,"",0))</f>
        <v>VT</v>
      </c>
      <c r="M814" s="36"/>
      <c r="N814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14" t="str">
        <f>_xlfn.IFNA(_xlfn.XLOOKUP(Tabla1[[#This Row],[fin]],$Q$379:$Q$398,$U$379:$U$398),"")</f>
        <v/>
      </c>
    </row>
    <row r="815" spans="1:15" x14ac:dyDescent="0.25">
      <c r="A815" s="354">
        <v>46269</v>
      </c>
      <c r="B815" s="114" t="s">
        <v>30</v>
      </c>
      <c r="C815" s="513" t="s">
        <v>22</v>
      </c>
      <c r="D815" s="39" t="s">
        <v>35</v>
      </c>
      <c r="E815" s="40" t="s">
        <v>125</v>
      </c>
      <c r="F815" s="493">
        <v>1182</v>
      </c>
      <c r="G815" s="28" t="s">
        <v>618</v>
      </c>
      <c r="H815" s="224"/>
      <c r="I815" s="501">
        <v>1</v>
      </c>
      <c r="J815" s="76" t="s">
        <v>124</v>
      </c>
      <c r="K815" s="76" t="str">
        <f>+_xlfn.XLOOKUP(Tabla1[[#This Row],[Codigo_actividad]],Conceptos!A:A,Conceptos!H:H)</f>
        <v>P3.03.02</v>
      </c>
      <c r="L815" s="66" t="str">
        <f>IF(_xlfn.XLOOKUP($J815,Catalogo!$B$7:$B$210,Catalogo!$I$7:$I$210,"",0)=0,"",_xlfn.XLOOKUP($J815,Catalogo!$B$7:$B$210,Catalogo!$I$7:$I$210,"",0))</f>
        <v>SANIDAD Y ESPESORES</v>
      </c>
      <c r="M815" s="36"/>
      <c r="N815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15" t="str">
        <f>_xlfn.IFNA(_xlfn.XLOOKUP(Tabla1[[#This Row],[fin]],$Q$379:$Q$398,$U$379:$U$398),"")</f>
        <v/>
      </c>
    </row>
    <row r="816" spans="1:15" x14ac:dyDescent="0.25">
      <c r="A816" s="354">
        <v>46269</v>
      </c>
      <c r="B816" s="114" t="s">
        <v>30</v>
      </c>
      <c r="C816" s="513" t="s">
        <v>22</v>
      </c>
      <c r="D816" s="39" t="s">
        <v>35</v>
      </c>
      <c r="E816" s="40" t="s">
        <v>128</v>
      </c>
      <c r="F816" s="493">
        <v>1182</v>
      </c>
      <c r="G816" s="28" t="s">
        <v>618</v>
      </c>
      <c r="H816" s="224"/>
      <c r="I816" s="501">
        <v>1</v>
      </c>
      <c r="J816" s="76" t="s">
        <v>127</v>
      </c>
      <c r="K816" s="76" t="str">
        <f>+_xlfn.XLOOKUP(Tabla1[[#This Row],[Codigo_actividad]],Conceptos!A:A,Conceptos!H:H)</f>
        <v>P3.03.03</v>
      </c>
      <c r="L816" s="66" t="str">
        <f>IF(_xlfn.XLOOKUP($J816,Catalogo!$B$7:$B$210,Catalogo!$I$7:$I$210,"",0)=0,"",_xlfn.XLOOKUP($J816,Catalogo!$B$7:$B$210,Catalogo!$I$7:$I$210,"",0))</f>
        <v>CARACTERIZACION</v>
      </c>
      <c r="M816" s="36"/>
      <c r="N816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16" t="str">
        <f>_xlfn.IFNA(_xlfn.XLOOKUP(Tabla1[[#This Row],[fin]],$Q$379:$Q$398,$U$379:$U$398),"")</f>
        <v/>
      </c>
    </row>
    <row r="817" spans="1:15" x14ac:dyDescent="0.25">
      <c r="A817" s="354">
        <v>46269</v>
      </c>
      <c r="B817" s="114" t="s">
        <v>30</v>
      </c>
      <c r="C817" s="513" t="s">
        <v>22</v>
      </c>
      <c r="D817" s="39" t="s">
        <v>35</v>
      </c>
      <c r="E817" s="40" t="s">
        <v>130</v>
      </c>
      <c r="F817" s="493">
        <v>1182</v>
      </c>
      <c r="G817" s="28" t="s">
        <v>618</v>
      </c>
      <c r="H817" s="224"/>
      <c r="I817" s="501">
        <v>1</v>
      </c>
      <c r="J817" s="76" t="s">
        <v>129</v>
      </c>
      <c r="K817" s="76" t="str">
        <f>+_xlfn.XLOOKUP(Tabla1[[#This Row],[Codigo_actividad]],Conceptos!A:A,Conceptos!H:H)</f>
        <v>P3.03.04</v>
      </c>
      <c r="L817" s="66" t="str">
        <f>IF(_xlfn.XLOOKUP($J817,Catalogo!$B$7:$B$210,Catalogo!$I$7:$I$210,"",0)=0,"",_xlfn.XLOOKUP($J817,Catalogo!$B$7:$B$210,Catalogo!$I$7:$I$210,"",0))</f>
        <v>UTPA</v>
      </c>
      <c r="M817" s="36"/>
      <c r="N81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17" t="str">
        <f>_xlfn.IFNA(_xlfn.XLOOKUP(Tabla1[[#This Row],[fin]],$Q$379:$Q$398,$U$379:$U$398),"")</f>
        <v/>
      </c>
    </row>
    <row r="818" spans="1:15" x14ac:dyDescent="0.25">
      <c r="A818" s="354">
        <v>46269</v>
      </c>
      <c r="B818" s="114" t="s">
        <v>30</v>
      </c>
      <c r="C818" s="513" t="s">
        <v>22</v>
      </c>
      <c r="D818" s="39" t="s">
        <v>35</v>
      </c>
      <c r="E818" s="40" t="s">
        <v>132</v>
      </c>
      <c r="F818" s="493">
        <v>1182</v>
      </c>
      <c r="G818" s="28" t="s">
        <v>618</v>
      </c>
      <c r="H818" s="224"/>
      <c r="I818" s="501">
        <v>1</v>
      </c>
      <c r="J818" s="76" t="s">
        <v>131</v>
      </c>
      <c r="K818" s="76" t="str">
        <f>+_xlfn.XLOOKUP(Tabla1[[#This Row],[Codigo_actividad]],Conceptos!A:A,Conceptos!H:H)</f>
        <v>P3.03.05</v>
      </c>
      <c r="L818" s="66" t="str">
        <f>IF(_xlfn.XLOOKUP($J818,Catalogo!$B$7:$B$210,Catalogo!$I$7:$I$210,"",0)=0,"",_xlfn.XLOOKUP($J818,Catalogo!$B$7:$B$210,Catalogo!$I$7:$I$210,"",0))</f>
        <v>UT RECTO</v>
      </c>
      <c r="M818" s="36"/>
      <c r="N81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18" t="str">
        <f>_xlfn.IFNA(_xlfn.XLOOKUP(Tabla1[[#This Row],[fin]],$Q$379:$Q$398,$U$379:$U$398),"")</f>
        <v/>
      </c>
    </row>
    <row r="819" spans="1:15" x14ac:dyDescent="0.25">
      <c r="A819" s="354">
        <v>46269</v>
      </c>
      <c r="B819" s="114" t="s">
        <v>30</v>
      </c>
      <c r="C819" s="513" t="s">
        <v>22</v>
      </c>
      <c r="D819" s="39" t="s">
        <v>35</v>
      </c>
      <c r="E819" s="40" t="s">
        <v>134</v>
      </c>
      <c r="F819" s="493">
        <v>1182</v>
      </c>
      <c r="G819" s="28" t="s">
        <v>618</v>
      </c>
      <c r="H819" s="224"/>
      <c r="I819" s="501">
        <v>1</v>
      </c>
      <c r="J819" s="76" t="s">
        <v>133</v>
      </c>
      <c r="K819" s="76" t="str">
        <f>+_xlfn.XLOOKUP(Tabla1[[#This Row],[Codigo_actividad]],Conceptos!A:A,Conceptos!H:H)</f>
        <v>P3.03.06</v>
      </c>
      <c r="L819" s="66" t="str">
        <f>IF(_xlfn.XLOOKUP($J819,Catalogo!$B$7:$B$210,Catalogo!$I$7:$I$210,"",0)=0,"",_xlfn.XLOOKUP($J819,Catalogo!$B$7:$B$210,Catalogo!$I$7:$I$210,"",0))</f>
        <v>MT</v>
      </c>
      <c r="M819" s="36"/>
      <c r="N81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19" t="str">
        <f>_xlfn.IFNA(_xlfn.XLOOKUP(Tabla1[[#This Row],[fin]],$Q$379:$Q$398,$U$379:$U$398),"")</f>
        <v/>
      </c>
    </row>
    <row r="820" spans="1:15" x14ac:dyDescent="0.25">
      <c r="A820" s="354">
        <v>46269</v>
      </c>
      <c r="B820" s="114" t="s">
        <v>30</v>
      </c>
      <c r="C820" s="513" t="s">
        <v>22</v>
      </c>
      <c r="D820" s="39" t="s">
        <v>35</v>
      </c>
      <c r="E820" s="40" t="s">
        <v>136</v>
      </c>
      <c r="F820" s="493">
        <v>1182</v>
      </c>
      <c r="G820" s="28" t="s">
        <v>618</v>
      </c>
      <c r="H820" s="224"/>
      <c r="I820" s="501">
        <v>1</v>
      </c>
      <c r="J820" s="76" t="s">
        <v>135</v>
      </c>
      <c r="K820" s="76" t="str">
        <f>+_xlfn.XLOOKUP(Tabla1[[#This Row],[Codigo_actividad]],Conceptos!A:A,Conceptos!H:H)</f>
        <v>P3.03.07</v>
      </c>
      <c r="L820" s="66" t="str">
        <f>IF(_xlfn.XLOOKUP($J820,Catalogo!$B$7:$B$210,Catalogo!$I$7:$I$210,"",0)=0,"",_xlfn.XLOOKUP($J820,Catalogo!$B$7:$B$210,Catalogo!$I$7:$I$210,"",0))</f>
        <v>LP</v>
      </c>
      <c r="M820" s="36"/>
      <c r="N820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20" t="str">
        <f>_xlfn.IFNA(_xlfn.XLOOKUP(Tabla1[[#This Row],[fin]],$Q$379:$Q$398,$U$379:$U$398),"")</f>
        <v/>
      </c>
    </row>
    <row r="821" spans="1:15" x14ac:dyDescent="0.25">
      <c r="A821" s="354">
        <v>46269</v>
      </c>
      <c r="B821" s="114" t="s">
        <v>30</v>
      </c>
      <c r="C821" s="513" t="s">
        <v>22</v>
      </c>
      <c r="D821" s="39" t="s">
        <v>35</v>
      </c>
      <c r="E821" s="40" t="s">
        <v>138</v>
      </c>
      <c r="F821" s="493">
        <v>1182</v>
      </c>
      <c r="G821" s="28" t="s">
        <v>618</v>
      </c>
      <c r="H821" s="224"/>
      <c r="I821" s="501">
        <v>1</v>
      </c>
      <c r="J821" s="76" t="s">
        <v>137</v>
      </c>
      <c r="K821" s="76" t="str">
        <f>+_xlfn.XLOOKUP(Tabla1[[#This Row],[Codigo_actividad]],Conceptos!A:A,Conceptos!H:H)</f>
        <v>P3.03.08</v>
      </c>
      <c r="L821" s="66" t="str">
        <f>IF(_xlfn.XLOOKUP($J821,Catalogo!$B$7:$B$210,Catalogo!$I$7:$I$210,"",0)=0,"",_xlfn.XLOOKUP($J821,Catalogo!$B$7:$B$210,Catalogo!$I$7:$I$210,"",0))</f>
        <v>PH EXC</v>
      </c>
      <c r="M821" s="36"/>
      <c r="N821" s="261">
        <f>IF(Tabla1[[#This Row],[Avance_km]]&lt;&gt;"",Tabla1[[#This Row],[Avance_km]],Tabla1[[#This Row],[Avance_Med]])*_xlfn.XLOOKUP(Tabla1[[#This Row],[Codigo_actividad]],Catalogo!$B$6:$B$51,Catalogo!$F$6:$F$51,0)</f>
        <v>656</v>
      </c>
      <c r="O821" t="str">
        <f>_xlfn.IFNA(_xlfn.XLOOKUP(Tabla1[[#This Row],[fin]],$Q$379:$Q$398,$U$379:$U$398),"")</f>
        <v/>
      </c>
    </row>
    <row r="822" spans="1:15" x14ac:dyDescent="0.25">
      <c r="A822" s="354">
        <v>46269</v>
      </c>
      <c r="B822" s="114" t="s">
        <v>30</v>
      </c>
      <c r="C822" s="513" t="s">
        <v>22</v>
      </c>
      <c r="D822" s="39" t="s">
        <v>35</v>
      </c>
      <c r="E822" s="40" t="s">
        <v>140</v>
      </c>
      <c r="F822" s="493">
        <v>1182</v>
      </c>
      <c r="G822" s="28" t="s">
        <v>618</v>
      </c>
      <c r="H822" s="224"/>
      <c r="I822" s="501">
        <v>1</v>
      </c>
      <c r="J822" s="76" t="s">
        <v>139</v>
      </c>
      <c r="K822" s="76" t="str">
        <f>+_xlfn.XLOOKUP(Tabla1[[#This Row],[Codigo_actividad]],Conceptos!A:A,Conceptos!H:H)</f>
        <v>P3.03.09</v>
      </c>
      <c r="L822" s="66" t="str">
        <f>IF(_xlfn.XLOOKUP($J822,Catalogo!$B$7:$B$210,Catalogo!$I$7:$I$210,"",0)=0,"",_xlfn.XLOOKUP($J822,Catalogo!$B$7:$B$210,Catalogo!$I$7:$I$210,"",0))</f>
        <v>BACTERIAS EXC</v>
      </c>
      <c r="M822" s="36"/>
      <c r="N822" s="261">
        <f>IF(Tabla1[[#This Row],[Avance_km]]&lt;&gt;"",Tabla1[[#This Row],[Avance_km]],Tabla1[[#This Row],[Avance_Med]])*_xlfn.XLOOKUP(Tabla1[[#This Row],[Codigo_actividad]],Catalogo!$B$6:$B$51,Catalogo!$F$6:$F$51,0)</f>
        <v>4676</v>
      </c>
      <c r="O822" t="str">
        <f>_xlfn.IFNA(_xlfn.XLOOKUP(Tabla1[[#This Row],[fin]],$Q$379:$Q$398,$U$379:$U$398),"")</f>
        <v/>
      </c>
    </row>
    <row r="823" spans="1:15" x14ac:dyDescent="0.25">
      <c r="A823" s="354"/>
      <c r="B823" s="114"/>
      <c r="C823" s="513"/>
      <c r="D823" s="39"/>
      <c r="F823" s="28"/>
      <c r="G823" s="28"/>
      <c r="H823" s="224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76">
        <f>+_xlfn.XLOOKUP(Tabla1[[#This Row],[Codigo_actividad]],Conceptos!A:A,Conceptos!H:H)</f>
        <v>0</v>
      </c>
      <c r="L823" s="66" t="str">
        <f>IF(_xlfn.XLOOKUP($J823,Catalogo!$B$7:$B$21,Catalogo!$I$7:$I$21,"",0)=0,"",_xlfn.XLOOKUP($J823,Catalogo!$B$7:$B$21,Catalogo!$I$7:$I$21,"",0))</f>
        <v/>
      </c>
      <c r="M823" s="36"/>
      <c r="N823" s="261">
        <f>IF(Tabla1[[#This Row],[Avance_km]]&lt;&gt;"",Tabla1[[#This Row],[Avance_km]],Tabla1[[#This Row],[Avance_Med]])*_xlfn.XLOOKUP(Tabla1[[#This Row],[Codigo_actividad]],Catalogo!$B$6:$B$51,Catalogo!$F$6:$F$51,0)</f>
        <v>0</v>
      </c>
      <c r="O823" t="str">
        <f>_xlfn.IFNA(_xlfn.XLOOKUP(Tabla1[[#This Row],[fin]],$Q$379:$Q$398,$U$379:$U$398),"")</f>
        <v/>
      </c>
    </row>
    <row r="824" spans="1:15" x14ac:dyDescent="0.25">
      <c r="A824" s="354">
        <v>46272</v>
      </c>
      <c r="B824" s="114" t="s">
        <v>30</v>
      </c>
      <c r="C824" s="513" t="s">
        <v>22</v>
      </c>
      <c r="D824" s="39" t="s">
        <v>74</v>
      </c>
      <c r="E824" s="40" t="s">
        <v>119</v>
      </c>
      <c r="F824" s="493">
        <v>7</v>
      </c>
      <c r="G824" s="28" t="s">
        <v>618</v>
      </c>
      <c r="H824" s="224"/>
      <c r="I824" s="501">
        <v>1</v>
      </c>
      <c r="J824" s="76">
        <v>3.2</v>
      </c>
      <c r="K824" s="76" t="str">
        <f>+_xlfn.XLOOKUP(Tabla1[[#This Row],[Codigo_actividad]],Conceptos!A:A,Conceptos!H:H)</f>
        <v>P3.02</v>
      </c>
      <c r="L824" s="66" t="str">
        <f>IF(_xlfn.XLOOKUP($J824,Catalogo!$B$7:$B$210,Catalogo!$I$7:$I$210,"",0)=0,"",_xlfn.XLOOKUP($J824,Catalogo!$B$7:$B$210,Catalogo!$I$7:$I$210,"",0))</f>
        <v>DATA EXC</v>
      </c>
      <c r="M824" s="36"/>
      <c r="N8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24" t="str">
        <f>_xlfn.IFNA(_xlfn.XLOOKUP(Tabla1[[#This Row],[fin]],$Q$379:$Q$398,$U$379:$U$398),"")</f>
        <v/>
      </c>
    </row>
    <row r="825" spans="1:15" x14ac:dyDescent="0.25">
      <c r="A825" s="354">
        <v>46272</v>
      </c>
      <c r="B825" s="114" t="s">
        <v>30</v>
      </c>
      <c r="C825" s="513" t="s">
        <v>22</v>
      </c>
      <c r="D825" s="39" t="s">
        <v>74</v>
      </c>
      <c r="E825" s="40" t="s">
        <v>531</v>
      </c>
      <c r="F825" s="493">
        <v>7</v>
      </c>
      <c r="G825" s="28" t="s">
        <v>618</v>
      </c>
      <c r="H825" s="224"/>
      <c r="I825" s="501">
        <v>1</v>
      </c>
      <c r="J825" s="76" t="s">
        <v>122</v>
      </c>
      <c r="K825" s="76" t="str">
        <f>+_xlfn.XLOOKUP(Tabla1[[#This Row],[Codigo_actividad]],Conceptos!A:A,Conceptos!H:H)</f>
        <v>P3.03.01</v>
      </c>
      <c r="L825" s="66" t="str">
        <f>IF(_xlfn.XLOOKUP($J825,Catalogo!$B$7:$B$210,Catalogo!$I$7:$I$210,"",0)=0,"",_xlfn.XLOOKUP($J825,Catalogo!$B$7:$B$210,Catalogo!$I$7:$I$210,"",0))</f>
        <v>VT</v>
      </c>
      <c r="M825" s="36"/>
      <c r="N8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25" t="str">
        <f>_xlfn.IFNA(_xlfn.XLOOKUP(Tabla1[[#This Row],[fin]],$Q$379:$Q$398,$U$379:$U$398),"")</f>
        <v/>
      </c>
    </row>
    <row r="826" spans="1:15" x14ac:dyDescent="0.25">
      <c r="A826" s="354">
        <v>46272</v>
      </c>
      <c r="B826" s="114" t="s">
        <v>30</v>
      </c>
      <c r="C826" s="513" t="s">
        <v>22</v>
      </c>
      <c r="D826" s="39" t="s">
        <v>74</v>
      </c>
      <c r="E826" s="40" t="s">
        <v>125</v>
      </c>
      <c r="F826" s="493">
        <v>7</v>
      </c>
      <c r="G826" s="28" t="s">
        <v>618</v>
      </c>
      <c r="H826" s="224"/>
      <c r="I826" s="501">
        <v>1</v>
      </c>
      <c r="J826" s="76" t="s">
        <v>124</v>
      </c>
      <c r="K826" s="76" t="str">
        <f>+_xlfn.XLOOKUP(Tabla1[[#This Row],[Codigo_actividad]],Conceptos!A:A,Conceptos!H:H)</f>
        <v>P3.03.02</v>
      </c>
      <c r="L826" s="66" t="str">
        <f>IF(_xlfn.XLOOKUP($J826,Catalogo!$B$7:$B$210,Catalogo!$I$7:$I$210,"",0)=0,"",_xlfn.XLOOKUP($J826,Catalogo!$B$7:$B$210,Catalogo!$I$7:$I$210,"",0))</f>
        <v>SANIDAD Y ESPESORES</v>
      </c>
      <c r="M826" s="36"/>
      <c r="N8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26" t="str">
        <f>_xlfn.IFNA(_xlfn.XLOOKUP(Tabla1[[#This Row],[fin]],$Q$379:$Q$398,$U$379:$U$398),"")</f>
        <v/>
      </c>
    </row>
    <row r="827" spans="1:15" x14ac:dyDescent="0.25">
      <c r="A827" s="354">
        <v>46272</v>
      </c>
      <c r="B827" s="114" t="s">
        <v>30</v>
      </c>
      <c r="C827" s="513" t="s">
        <v>22</v>
      </c>
      <c r="D827" s="39" t="s">
        <v>74</v>
      </c>
      <c r="E827" s="40" t="s">
        <v>128</v>
      </c>
      <c r="F827" s="493">
        <v>7</v>
      </c>
      <c r="G827" s="28" t="s">
        <v>618</v>
      </c>
      <c r="H827" s="224"/>
      <c r="I827" s="501">
        <v>1</v>
      </c>
      <c r="J827" s="76" t="s">
        <v>127</v>
      </c>
      <c r="K827" s="76" t="str">
        <f>+_xlfn.XLOOKUP(Tabla1[[#This Row],[Codigo_actividad]],Conceptos!A:A,Conceptos!H:H)</f>
        <v>P3.03.03</v>
      </c>
      <c r="L827" s="66" t="str">
        <f>IF(_xlfn.XLOOKUP($J827,Catalogo!$B$7:$B$210,Catalogo!$I$7:$I$210,"",0)=0,"",_xlfn.XLOOKUP($J827,Catalogo!$B$7:$B$210,Catalogo!$I$7:$I$210,"",0))</f>
        <v>CARACTERIZACION</v>
      </c>
      <c r="M827" s="36"/>
      <c r="N8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27" t="str">
        <f>_xlfn.IFNA(_xlfn.XLOOKUP(Tabla1[[#This Row],[fin]],$Q$379:$Q$398,$U$379:$U$398),"")</f>
        <v/>
      </c>
    </row>
    <row r="828" spans="1:15" x14ac:dyDescent="0.25">
      <c r="A828" s="354">
        <v>46272</v>
      </c>
      <c r="B828" s="114" t="s">
        <v>30</v>
      </c>
      <c r="C828" s="513" t="s">
        <v>22</v>
      </c>
      <c r="D828" s="39" t="s">
        <v>74</v>
      </c>
      <c r="E828" s="40" t="s">
        <v>132</v>
      </c>
      <c r="F828" s="493">
        <v>7</v>
      </c>
      <c r="G828" s="28" t="s">
        <v>618</v>
      </c>
      <c r="H828" s="224"/>
      <c r="I828" s="501">
        <v>1</v>
      </c>
      <c r="J828" s="76" t="s">
        <v>131</v>
      </c>
      <c r="K828" s="76" t="str">
        <f>+_xlfn.XLOOKUP(Tabla1[[#This Row],[Codigo_actividad]],Conceptos!A:A,Conceptos!H:H)</f>
        <v>P3.03.05</v>
      </c>
      <c r="L828" s="66" t="str">
        <f>IF(_xlfn.XLOOKUP($J828,Catalogo!$B$7:$B$210,Catalogo!$I$7:$I$210,"",0)=0,"",_xlfn.XLOOKUP($J828,Catalogo!$B$7:$B$210,Catalogo!$I$7:$I$210,"",0))</f>
        <v>UT RECTO</v>
      </c>
      <c r="M828" s="36"/>
      <c r="N8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28" t="str">
        <f>_xlfn.IFNA(_xlfn.XLOOKUP(Tabla1[[#This Row],[fin]],$Q$379:$Q$398,$U$379:$U$398),"")</f>
        <v/>
      </c>
    </row>
    <row r="829" spans="1:15" x14ac:dyDescent="0.25">
      <c r="A829" s="354">
        <v>46272</v>
      </c>
      <c r="B829" s="114" t="s">
        <v>30</v>
      </c>
      <c r="C829" s="513" t="s">
        <v>22</v>
      </c>
      <c r="D829" s="39" t="s">
        <v>74</v>
      </c>
      <c r="E829" s="40" t="s">
        <v>138</v>
      </c>
      <c r="F829" s="493">
        <v>7</v>
      </c>
      <c r="G829" s="28" t="s">
        <v>618</v>
      </c>
      <c r="H829" s="224"/>
      <c r="I829" s="501">
        <v>1</v>
      </c>
      <c r="J829" s="76" t="s">
        <v>137</v>
      </c>
      <c r="K829" s="76" t="str">
        <f>+_xlfn.XLOOKUP(Tabla1[[#This Row],[Codigo_actividad]],Conceptos!A:A,Conceptos!H:H)</f>
        <v>P3.03.08</v>
      </c>
      <c r="L829" s="66" t="str">
        <f>IF(_xlfn.XLOOKUP($J829,Catalogo!$B$7:$B$210,Catalogo!$I$7:$I$210,"",0)=0,"",_xlfn.XLOOKUP($J829,Catalogo!$B$7:$B$210,Catalogo!$I$7:$I$210,"",0))</f>
        <v>PH EXC</v>
      </c>
      <c r="M829" s="36"/>
      <c r="N829" s="261">
        <f>IF(Tabla1[[#This Row],[Avance_km]]&lt;&gt;"",Tabla1[[#This Row],[Avance_km]],Tabla1[[#This Row],[Avance_Med]])*_xlfn.XLOOKUP(Tabla1[[#This Row],[Codigo_actividad]],Catalogo!$B$6:$B$51,Catalogo!$F$6:$F$51,0)</f>
        <v>656</v>
      </c>
      <c r="O829" t="str">
        <f>_xlfn.IFNA(_xlfn.XLOOKUP(Tabla1[[#This Row],[fin]],$Q$379:$Q$398,$U$379:$U$398),"")</f>
        <v/>
      </c>
    </row>
    <row r="830" spans="1:15" x14ac:dyDescent="0.25">
      <c r="A830" s="354">
        <v>46272</v>
      </c>
      <c r="B830" s="114" t="s">
        <v>30</v>
      </c>
      <c r="C830" s="513" t="s">
        <v>22</v>
      </c>
      <c r="D830" s="39" t="s">
        <v>74</v>
      </c>
      <c r="E830" s="40" t="s">
        <v>140</v>
      </c>
      <c r="F830" s="493">
        <v>7</v>
      </c>
      <c r="G830" s="28" t="s">
        <v>618</v>
      </c>
      <c r="H830" s="224"/>
      <c r="I830" s="501">
        <v>1</v>
      </c>
      <c r="J830" s="76" t="s">
        <v>139</v>
      </c>
      <c r="K830" s="76" t="str">
        <f>+_xlfn.XLOOKUP(Tabla1[[#This Row],[Codigo_actividad]],Conceptos!A:A,Conceptos!H:H)</f>
        <v>P3.03.09</v>
      </c>
      <c r="L830" s="66" t="str">
        <f>IF(_xlfn.XLOOKUP($J830,Catalogo!$B$7:$B$210,Catalogo!$I$7:$I$210,"",0)=0,"",_xlfn.XLOOKUP($J830,Catalogo!$B$7:$B$210,Catalogo!$I$7:$I$210,"",0))</f>
        <v>BACTERIAS EXC</v>
      </c>
      <c r="M830" s="36"/>
      <c r="N830" s="261">
        <f>IF(Tabla1[[#This Row],[Avance_km]]&lt;&gt;"",Tabla1[[#This Row],[Avance_km]],Tabla1[[#This Row],[Avance_Med]])*_xlfn.XLOOKUP(Tabla1[[#This Row],[Codigo_actividad]],Catalogo!$B$6:$B$51,Catalogo!$F$6:$F$51,0)</f>
        <v>4676</v>
      </c>
      <c r="O830" t="str">
        <f>_xlfn.IFNA(_xlfn.XLOOKUP(Tabla1[[#This Row],[fin]],$Q$379:$Q$398,$U$379:$U$398),"")</f>
        <v/>
      </c>
    </row>
    <row r="831" spans="1:15" x14ac:dyDescent="0.25">
      <c r="A831" s="354"/>
      <c r="B831" s="114"/>
      <c r="C831" s="513"/>
      <c r="D831" s="39"/>
      <c r="F831" s="28"/>
      <c r="G831" s="28"/>
      <c r="H831" s="224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76">
        <f>+_xlfn.XLOOKUP(Tabla1[[#This Row],[Codigo_actividad]],Conceptos!A:A,Conceptos!H:H)</f>
        <v>0</v>
      </c>
      <c r="L831" s="66" t="str">
        <f>IF(_xlfn.XLOOKUP($J831,Catalogo!$B$7:$B$21,Catalogo!$I$7:$I$21,"",0)=0,"",_xlfn.XLOOKUP($J831,Catalogo!$B$7:$B$21,Catalogo!$I$7:$I$21,"",0))</f>
        <v/>
      </c>
      <c r="M831" s="36"/>
      <c r="N831" s="261">
        <f>IF(Tabla1[[#This Row],[Avance_km]]&lt;&gt;"",Tabla1[[#This Row],[Avance_km]],Tabla1[[#This Row],[Avance_Med]])*_xlfn.XLOOKUP(Tabla1[[#This Row],[Codigo_actividad]],Catalogo!$B$6:$B$51,Catalogo!$F$6:$F$51,0)</f>
        <v>0</v>
      </c>
      <c r="O831" t="str">
        <f>_xlfn.IFNA(_xlfn.XLOOKUP(Tabla1[[#This Row],[fin]],$Q$379:$Q$398,$U$379:$U$398),"")</f>
        <v/>
      </c>
    </row>
    <row r="832" spans="1:15" x14ac:dyDescent="0.25">
      <c r="A832" s="354">
        <v>46272</v>
      </c>
      <c r="B832" s="114" t="s">
        <v>30</v>
      </c>
      <c r="C832" s="513" t="s">
        <v>22</v>
      </c>
      <c r="D832" s="39" t="s">
        <v>74</v>
      </c>
      <c r="E832" s="40" t="s">
        <v>119</v>
      </c>
      <c r="F832" s="493">
        <v>28</v>
      </c>
      <c r="G832" s="28" t="s">
        <v>618</v>
      </c>
      <c r="H832" s="224"/>
      <c r="I832" s="501">
        <v>1</v>
      </c>
      <c r="J832" s="76">
        <v>3.2</v>
      </c>
      <c r="K832" s="76" t="str">
        <f>+_xlfn.XLOOKUP(Tabla1[[#This Row],[Codigo_actividad]],Conceptos!A:A,Conceptos!H:H)</f>
        <v>P3.02</v>
      </c>
      <c r="L832" s="66" t="str">
        <f>IF(_xlfn.XLOOKUP($J832,Catalogo!$B$7:$B$210,Catalogo!$I$7:$I$210,"",0)=0,"",_xlfn.XLOOKUP($J832,Catalogo!$B$7:$B$210,Catalogo!$I$7:$I$210,"",0))</f>
        <v>DATA EXC</v>
      </c>
      <c r="M832" s="36"/>
      <c r="N8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32" t="str">
        <f>_xlfn.IFNA(_xlfn.XLOOKUP(Tabla1[[#This Row],[fin]],$Q$379:$Q$398,$U$379:$U$398),"")</f>
        <v/>
      </c>
    </row>
    <row r="833" spans="1:17" x14ac:dyDescent="0.25">
      <c r="A833" s="354">
        <v>46272</v>
      </c>
      <c r="B833" s="114" t="s">
        <v>30</v>
      </c>
      <c r="C833" s="513" t="s">
        <v>22</v>
      </c>
      <c r="D833" s="39" t="s">
        <v>74</v>
      </c>
      <c r="E833" s="40" t="s">
        <v>531</v>
      </c>
      <c r="F833" s="493">
        <v>28</v>
      </c>
      <c r="G833" s="28" t="s">
        <v>618</v>
      </c>
      <c r="H833" s="224"/>
      <c r="I833" s="501">
        <v>1</v>
      </c>
      <c r="J833" s="76" t="s">
        <v>122</v>
      </c>
      <c r="K833" s="76" t="str">
        <f>+_xlfn.XLOOKUP(Tabla1[[#This Row],[Codigo_actividad]],Conceptos!A:A,Conceptos!H:H)</f>
        <v>P3.03.01</v>
      </c>
      <c r="L833" s="66" t="str">
        <f>IF(_xlfn.XLOOKUP($J833,Catalogo!$B$7:$B$210,Catalogo!$I$7:$I$210,"",0)=0,"",_xlfn.XLOOKUP($J833,Catalogo!$B$7:$B$210,Catalogo!$I$7:$I$210,"",0))</f>
        <v>VT</v>
      </c>
      <c r="M833" s="36"/>
      <c r="N8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33" t="str">
        <f>_xlfn.IFNA(_xlfn.XLOOKUP(Tabla1[[#This Row],[fin]],$Q$379:$Q$398,$U$379:$U$398),"")</f>
        <v/>
      </c>
    </row>
    <row r="834" spans="1:17" x14ac:dyDescent="0.25">
      <c r="A834" s="354">
        <v>46272</v>
      </c>
      <c r="B834" s="114" t="s">
        <v>30</v>
      </c>
      <c r="C834" s="513" t="s">
        <v>22</v>
      </c>
      <c r="D834" s="39" t="s">
        <v>74</v>
      </c>
      <c r="E834" s="40" t="s">
        <v>125</v>
      </c>
      <c r="F834" s="493">
        <v>28</v>
      </c>
      <c r="G834" s="28" t="s">
        <v>618</v>
      </c>
      <c r="H834" s="224"/>
      <c r="I834" s="501">
        <v>1</v>
      </c>
      <c r="J834" s="76" t="s">
        <v>124</v>
      </c>
      <c r="K834" s="76" t="str">
        <f>+_xlfn.XLOOKUP(Tabla1[[#This Row],[Codigo_actividad]],Conceptos!A:A,Conceptos!H:H)</f>
        <v>P3.03.02</v>
      </c>
      <c r="L834" s="66" t="str">
        <f>IF(_xlfn.XLOOKUP($J834,Catalogo!$B$7:$B$210,Catalogo!$I$7:$I$210,"",0)=0,"",_xlfn.XLOOKUP($J834,Catalogo!$B$7:$B$210,Catalogo!$I$7:$I$210,"",0))</f>
        <v>SANIDAD Y ESPESORES</v>
      </c>
      <c r="M834" s="36"/>
      <c r="N8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34" t="str">
        <f>_xlfn.IFNA(_xlfn.XLOOKUP(Tabla1[[#This Row],[fin]],$Q$379:$Q$398,$U$379:$U$398),"")</f>
        <v/>
      </c>
    </row>
    <row r="835" spans="1:17" x14ac:dyDescent="0.25">
      <c r="A835" s="354">
        <v>46272</v>
      </c>
      <c r="B835" s="114" t="s">
        <v>30</v>
      </c>
      <c r="C835" s="513" t="s">
        <v>22</v>
      </c>
      <c r="D835" s="39" t="s">
        <v>74</v>
      </c>
      <c r="E835" s="40" t="s">
        <v>128</v>
      </c>
      <c r="F835" s="493">
        <v>28</v>
      </c>
      <c r="G835" s="28" t="s">
        <v>618</v>
      </c>
      <c r="H835" s="224"/>
      <c r="I835" s="501">
        <v>1</v>
      </c>
      <c r="J835" s="76" t="s">
        <v>127</v>
      </c>
      <c r="K835" s="76" t="str">
        <f>+_xlfn.XLOOKUP(Tabla1[[#This Row],[Codigo_actividad]],Conceptos!A:A,Conceptos!H:H)</f>
        <v>P3.03.03</v>
      </c>
      <c r="L835" s="66" t="str">
        <f>IF(_xlfn.XLOOKUP($J835,Catalogo!$B$7:$B$210,Catalogo!$I$7:$I$210,"",0)=0,"",_xlfn.XLOOKUP($J835,Catalogo!$B$7:$B$210,Catalogo!$I$7:$I$210,"",0))</f>
        <v>CARACTERIZACION</v>
      </c>
      <c r="M835" s="36"/>
      <c r="N8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35" t="str">
        <f>_xlfn.IFNA(_xlfn.XLOOKUP(Tabla1[[#This Row],[fin]],$Q$379:$Q$398,$U$379:$U$398),"")</f>
        <v/>
      </c>
      <c r="Q835" s="227"/>
    </row>
    <row r="836" spans="1:17" x14ac:dyDescent="0.25">
      <c r="A836" s="354">
        <v>46272</v>
      </c>
      <c r="B836" s="114" t="s">
        <v>30</v>
      </c>
      <c r="C836" s="513" t="s">
        <v>22</v>
      </c>
      <c r="D836" s="39" t="s">
        <v>74</v>
      </c>
      <c r="E836" s="40" t="s">
        <v>130</v>
      </c>
      <c r="F836" s="493">
        <v>28</v>
      </c>
      <c r="G836" s="28" t="s">
        <v>618</v>
      </c>
      <c r="H836" s="224"/>
      <c r="I836" s="501">
        <v>1</v>
      </c>
      <c r="J836" s="76" t="s">
        <v>129</v>
      </c>
      <c r="K836" s="76" t="str">
        <f>+_xlfn.XLOOKUP(Tabla1[[#This Row],[Codigo_actividad]],Conceptos!A:A,Conceptos!H:H)</f>
        <v>P3.03.04</v>
      </c>
      <c r="L836" s="66" t="str">
        <f>IF(_xlfn.XLOOKUP($J836,Catalogo!$B$7:$B$210,Catalogo!$I$7:$I$210,"",0)=0,"",_xlfn.XLOOKUP($J836,Catalogo!$B$7:$B$210,Catalogo!$I$7:$I$210,"",0))</f>
        <v>UTPA</v>
      </c>
      <c r="M836" s="36"/>
      <c r="N8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36" t="str">
        <f>_xlfn.IFNA(_xlfn.XLOOKUP(Tabla1[[#This Row],[fin]],$Q$379:$Q$398,$U$379:$U$398),"")</f>
        <v/>
      </c>
    </row>
    <row r="837" spans="1:17" x14ac:dyDescent="0.25">
      <c r="A837" s="354">
        <v>46272</v>
      </c>
      <c r="B837" s="114" t="s">
        <v>30</v>
      </c>
      <c r="C837" s="513" t="s">
        <v>22</v>
      </c>
      <c r="D837" s="39" t="s">
        <v>74</v>
      </c>
      <c r="E837" s="40" t="s">
        <v>132</v>
      </c>
      <c r="F837" s="493">
        <v>28</v>
      </c>
      <c r="G837" s="28" t="s">
        <v>618</v>
      </c>
      <c r="H837" s="224"/>
      <c r="I837" s="501">
        <v>1</v>
      </c>
      <c r="J837" s="76" t="s">
        <v>131</v>
      </c>
      <c r="K837" s="76" t="str">
        <f>+_xlfn.XLOOKUP(Tabla1[[#This Row],[Codigo_actividad]],Conceptos!A:A,Conceptos!H:H)</f>
        <v>P3.03.05</v>
      </c>
      <c r="L837" s="66" t="str">
        <f>IF(_xlfn.XLOOKUP($J837,Catalogo!$B$7:$B$210,Catalogo!$I$7:$I$210,"",0)=0,"",_xlfn.XLOOKUP($J837,Catalogo!$B$7:$B$210,Catalogo!$I$7:$I$210,"",0))</f>
        <v>UT RECTO</v>
      </c>
      <c r="M837" s="36"/>
      <c r="N83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37" t="str">
        <f>_xlfn.IFNA(_xlfn.XLOOKUP(Tabla1[[#This Row],[fin]],$Q$379:$Q$398,$U$379:$U$398),"")</f>
        <v/>
      </c>
    </row>
    <row r="838" spans="1:17" x14ac:dyDescent="0.25">
      <c r="A838" s="354">
        <v>46272</v>
      </c>
      <c r="B838" s="114" t="s">
        <v>30</v>
      </c>
      <c r="C838" s="513" t="s">
        <v>22</v>
      </c>
      <c r="D838" s="39" t="s">
        <v>74</v>
      </c>
      <c r="E838" s="40" t="s">
        <v>134</v>
      </c>
      <c r="F838" s="493">
        <v>28</v>
      </c>
      <c r="G838" s="28" t="s">
        <v>618</v>
      </c>
      <c r="H838" s="224"/>
      <c r="I838" s="501">
        <v>1</v>
      </c>
      <c r="J838" s="76" t="s">
        <v>133</v>
      </c>
      <c r="K838" s="76" t="str">
        <f>+_xlfn.XLOOKUP(Tabla1[[#This Row],[Codigo_actividad]],Conceptos!A:A,Conceptos!H:H)</f>
        <v>P3.03.06</v>
      </c>
      <c r="L838" s="66" t="str">
        <f>IF(_xlfn.XLOOKUP($J838,Catalogo!$B$7:$B$210,Catalogo!$I$7:$I$210,"",0)=0,"",_xlfn.XLOOKUP($J838,Catalogo!$B$7:$B$210,Catalogo!$I$7:$I$210,"",0))</f>
        <v>MT</v>
      </c>
      <c r="M838" s="36"/>
      <c r="N838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38" t="str">
        <f>_xlfn.IFNA(_xlfn.XLOOKUP(Tabla1[[#This Row],[fin]],$Q$379:$Q$398,$U$379:$U$398),"")</f>
        <v/>
      </c>
    </row>
    <row r="839" spans="1:17" x14ac:dyDescent="0.25">
      <c r="A839" s="354">
        <v>46272</v>
      </c>
      <c r="B839" s="114" t="s">
        <v>30</v>
      </c>
      <c r="C839" s="513" t="s">
        <v>22</v>
      </c>
      <c r="D839" s="39" t="s">
        <v>74</v>
      </c>
      <c r="E839" s="40" t="s">
        <v>136</v>
      </c>
      <c r="F839" s="493">
        <v>28</v>
      </c>
      <c r="G839" s="28" t="s">
        <v>618</v>
      </c>
      <c r="H839" s="224"/>
      <c r="I839" s="501">
        <v>1</v>
      </c>
      <c r="J839" s="76" t="s">
        <v>135</v>
      </c>
      <c r="K839" s="76" t="str">
        <f>+_xlfn.XLOOKUP(Tabla1[[#This Row],[Codigo_actividad]],Conceptos!A:A,Conceptos!H:H)</f>
        <v>P3.03.07</v>
      </c>
      <c r="L839" s="66" t="str">
        <f>IF(_xlfn.XLOOKUP($J839,Catalogo!$B$7:$B$210,Catalogo!$I$7:$I$210,"",0)=0,"",_xlfn.XLOOKUP($J839,Catalogo!$B$7:$B$210,Catalogo!$I$7:$I$210,"",0))</f>
        <v>LP</v>
      </c>
      <c r="M839" s="36"/>
      <c r="N83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39" t="str">
        <f>_xlfn.IFNA(_xlfn.XLOOKUP(Tabla1[[#This Row],[fin]],$Q$379:$Q$398,$U$379:$U$398),"")</f>
        <v/>
      </c>
    </row>
    <row r="840" spans="1:17" x14ac:dyDescent="0.25">
      <c r="A840" s="354">
        <v>46272</v>
      </c>
      <c r="B840" s="114" t="s">
        <v>30</v>
      </c>
      <c r="C840" s="513" t="s">
        <v>22</v>
      </c>
      <c r="D840" s="39" t="s">
        <v>74</v>
      </c>
      <c r="E840" s="40" t="s">
        <v>138</v>
      </c>
      <c r="F840" s="493">
        <v>28</v>
      </c>
      <c r="G840" s="28" t="s">
        <v>618</v>
      </c>
      <c r="H840" s="224"/>
      <c r="I840" s="501">
        <v>1</v>
      </c>
      <c r="J840" s="76" t="s">
        <v>137</v>
      </c>
      <c r="K840" s="76" t="str">
        <f>+_xlfn.XLOOKUP(Tabla1[[#This Row],[Codigo_actividad]],Conceptos!A:A,Conceptos!H:H)</f>
        <v>P3.03.08</v>
      </c>
      <c r="L840" s="66" t="str">
        <f>IF(_xlfn.XLOOKUP($J840,Catalogo!$B$7:$B$210,Catalogo!$I$7:$I$210,"",0)=0,"",_xlfn.XLOOKUP($J840,Catalogo!$B$7:$B$210,Catalogo!$I$7:$I$210,"",0))</f>
        <v>PH EXC</v>
      </c>
      <c r="M840" s="36"/>
      <c r="N840" s="261">
        <f>IF(Tabla1[[#This Row],[Avance_km]]&lt;&gt;"",Tabla1[[#This Row],[Avance_km]],Tabla1[[#This Row],[Avance_Med]])*_xlfn.XLOOKUP(Tabla1[[#This Row],[Codigo_actividad]],Catalogo!$B$6:$B$51,Catalogo!$F$6:$F$51,0)</f>
        <v>656</v>
      </c>
      <c r="O840" t="str">
        <f>_xlfn.IFNA(_xlfn.XLOOKUP(Tabla1[[#This Row],[fin]],$Q$379:$Q$398,$U$379:$U$398),"")</f>
        <v/>
      </c>
    </row>
    <row r="841" spans="1:17" x14ac:dyDescent="0.25">
      <c r="A841" s="354">
        <v>46272</v>
      </c>
      <c r="B841" s="114" t="s">
        <v>30</v>
      </c>
      <c r="C841" s="513" t="s">
        <v>22</v>
      </c>
      <c r="D841" s="39" t="s">
        <v>74</v>
      </c>
      <c r="E841" s="40" t="s">
        <v>140</v>
      </c>
      <c r="F841" s="493">
        <v>28</v>
      </c>
      <c r="G841" s="28" t="s">
        <v>618</v>
      </c>
      <c r="H841" s="224"/>
      <c r="I841" s="501">
        <v>1</v>
      </c>
      <c r="J841" s="76" t="s">
        <v>139</v>
      </c>
      <c r="K841" s="76" t="str">
        <f>+_xlfn.XLOOKUP(Tabla1[[#This Row],[Codigo_actividad]],Conceptos!A:A,Conceptos!H:H)</f>
        <v>P3.03.09</v>
      </c>
      <c r="L841" s="66" t="str">
        <f>IF(_xlfn.XLOOKUP($J841,Catalogo!$B$7:$B$210,Catalogo!$I$7:$I$210,"",0)=0,"",_xlfn.XLOOKUP($J841,Catalogo!$B$7:$B$210,Catalogo!$I$7:$I$210,"",0))</f>
        <v>BACTERIAS EXC</v>
      </c>
      <c r="M841" s="36"/>
      <c r="N841" s="261">
        <f>IF(Tabla1[[#This Row],[Avance_km]]&lt;&gt;"",Tabla1[[#This Row],[Avance_km]],Tabla1[[#This Row],[Avance_Med]])*_xlfn.XLOOKUP(Tabla1[[#This Row],[Codigo_actividad]],Catalogo!$B$6:$B$51,Catalogo!$F$6:$F$51,0)</f>
        <v>4676</v>
      </c>
      <c r="O841" t="str">
        <f>_xlfn.IFNA(_xlfn.XLOOKUP(Tabla1[[#This Row],[fin]],$Q$379:$Q$398,$U$379:$U$398),"")</f>
        <v/>
      </c>
    </row>
    <row r="842" spans="1:17" x14ac:dyDescent="0.25">
      <c r="A842" s="354"/>
      <c r="B842" s="114"/>
      <c r="C842" s="155"/>
      <c r="D842" s="39"/>
      <c r="F842" s="28"/>
      <c r="G842" s="28"/>
      <c r="H842" s="224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76">
        <f>+_xlfn.XLOOKUP(Tabla1[[#This Row],[Codigo_actividad]],Conceptos!A:A,Conceptos!H:H)</f>
        <v>0</v>
      </c>
      <c r="L842" s="66" t="str">
        <f>IF(_xlfn.XLOOKUP($J842,Catalogo!$B$7:$B$21,Catalogo!$I$7:$I$21,"",0)=0,"",_xlfn.XLOOKUP($J842,Catalogo!$B$7:$B$21,Catalogo!$I$7:$I$21,"",0))</f>
        <v/>
      </c>
      <c r="M842" s="36"/>
      <c r="N842" s="261">
        <f>IF(Tabla1[[#This Row],[Avance_km]]&lt;&gt;"",Tabla1[[#This Row],[Avance_km]],Tabla1[[#This Row],[Avance_Med]])*_xlfn.XLOOKUP(Tabla1[[#This Row],[Codigo_actividad]],Catalogo!$B$6:$B$51,Catalogo!$F$6:$F$51,0)</f>
        <v>0</v>
      </c>
      <c r="O842" t="str">
        <f>_xlfn.IFNA(_xlfn.XLOOKUP(Tabla1[[#This Row],[fin]],$Q$379:$Q$398,$U$379:$U$398),"")</f>
        <v/>
      </c>
    </row>
    <row r="843" spans="1:17" x14ac:dyDescent="0.25">
      <c r="A843" s="359"/>
      <c r="B843" s="283"/>
      <c r="C843" s="284"/>
      <c r="D843" s="285"/>
      <c r="E843" s="380"/>
      <c r="F843" s="286"/>
      <c r="G843" s="286"/>
      <c r="H843" s="515" t="str">
        <f>IF(Tabla1[[#This Row],[Codigo_actividad]]&lt;&gt;2.5,IF(((Tabla1[[#This Row],[fin]]-Tabla1[[#This Row],[inicio]])/1000)=0,"",((Tabla1[[#This Row],[fin]]-Tabla1[[#This Row],[inicio]])/1000)),"")</f>
        <v/>
      </c>
      <c r="I843" s="516"/>
      <c r="J843" s="516"/>
      <c r="K843" s="516">
        <f>+_xlfn.XLOOKUP(Tabla1[[#This Row],[Codigo_actividad]],Conceptos!A:A,Conceptos!H:H)</f>
        <v>0</v>
      </c>
      <c r="L843" s="516" t="str">
        <f>IF(_xlfn.XLOOKUP($J843,Catalogo!$B$7:$B$21,Catalogo!$I$7:$I$21,"",0)=0,"",_xlfn.XLOOKUP($J843,Catalogo!$B$7:$B$21,Catalogo!$I$7:$I$21,"",0))</f>
        <v/>
      </c>
      <c r="M843" s="517"/>
      <c r="N843" s="518">
        <f>IF(Tabla1[[#This Row],[Avance_km]]&lt;&gt;"",Tabla1[[#This Row],[Avance_km]],Tabla1[[#This Row],[Avance_Med]])*_xlfn.XLOOKUP(Tabla1[[#This Row],[Codigo_actividad]],Catalogo!$B$6:$B$51,Catalogo!$F$6:$F$51,0)</f>
        <v>0</v>
      </c>
      <c r="O843" s="519" t="str">
        <f>_xlfn.IFNA(_xlfn.XLOOKUP(Tabla1[[#This Row],[fin]],$Q$379:$Q$398,$U$379:$U$398),"")</f>
        <v/>
      </c>
    </row>
    <row r="844" spans="1:17" x14ac:dyDescent="0.25">
      <c r="A844" s="354"/>
      <c r="B844" s="114"/>
      <c r="C844" s="155"/>
      <c r="D844" s="39"/>
      <c r="F844" s="28"/>
      <c r="G844" s="28"/>
      <c r="H844" s="224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76">
        <f>+_xlfn.XLOOKUP(Tabla1[[#This Row],[Codigo_actividad]],Conceptos!A:A,Conceptos!H:H)</f>
        <v>0</v>
      </c>
      <c r="L844" s="66" t="str">
        <f>IF(_xlfn.XLOOKUP($J844,Catalogo!$B$7:$B$21,Catalogo!$I$7:$I$21,"",0)=0,"",_xlfn.XLOOKUP($J844,Catalogo!$B$7:$B$21,Catalogo!$I$7:$I$21,"",0))</f>
        <v/>
      </c>
      <c r="M844" s="36"/>
      <c r="N844" s="261">
        <f>IF(Tabla1[[#This Row],[Avance_km]]&lt;&gt;"",Tabla1[[#This Row],[Avance_km]],Tabla1[[#This Row],[Avance_Med]])*_xlfn.XLOOKUP(Tabla1[[#This Row],[Codigo_actividad]],Catalogo!$B$6:$B$51,Catalogo!$F$6:$F$51,0)</f>
        <v>0</v>
      </c>
      <c r="O844" t="str">
        <f>_xlfn.IFNA(_xlfn.XLOOKUP(Tabla1[[#This Row],[fin]],$Q$379:$Q$398,$U$379:$U$398),"")</f>
        <v/>
      </c>
    </row>
    <row r="845" spans="1:17" x14ac:dyDescent="0.25">
      <c r="A845" s="354">
        <v>46297</v>
      </c>
      <c r="B845" s="114" t="s">
        <v>30</v>
      </c>
      <c r="C845" s="514" t="s">
        <v>411</v>
      </c>
      <c r="D845" s="39" t="s">
        <v>351</v>
      </c>
      <c r="E845" s="40" t="s">
        <v>531</v>
      </c>
      <c r="F845" s="202">
        <v>3564</v>
      </c>
      <c r="G845" s="28"/>
      <c r="H845" s="224"/>
      <c r="I845" s="66">
        <v>1</v>
      </c>
      <c r="J845" s="76" t="s">
        <v>122</v>
      </c>
      <c r="K845" s="76" t="str">
        <f>+_xlfn.XLOOKUP(Tabla1[[#This Row],[Codigo_actividad]],Conceptos!A:A,Conceptos!H:H)</f>
        <v>P3.03.01</v>
      </c>
      <c r="L845" s="66" t="str">
        <f>IF(_xlfn.XLOOKUP($J845,Catalogo!$B$7:$B$210,Catalogo!$I$7:$I$210,"",0)=0,"",_xlfn.XLOOKUP($J845,Catalogo!$B$7:$B$210,Catalogo!$I$7:$I$210,"",0))</f>
        <v>VT</v>
      </c>
      <c r="M845" s="36"/>
      <c r="N84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45" t="str">
        <f>_xlfn.IFNA(_xlfn.XLOOKUP(Tabla1[[#This Row],[fin]],$Q$379:$Q$398,$U$379:$U$398),"")</f>
        <v/>
      </c>
    </row>
    <row r="846" spans="1:17" x14ac:dyDescent="0.25">
      <c r="A846" s="354">
        <v>46297</v>
      </c>
      <c r="B846" s="114" t="s">
        <v>30</v>
      </c>
      <c r="C846" s="514" t="s">
        <v>411</v>
      </c>
      <c r="D846" s="39" t="s">
        <v>351</v>
      </c>
      <c r="E846" s="40" t="s">
        <v>125</v>
      </c>
      <c r="F846" s="493">
        <v>3564</v>
      </c>
      <c r="G846" s="28" t="s">
        <v>618</v>
      </c>
      <c r="H846" s="224"/>
      <c r="I846" s="501">
        <v>1</v>
      </c>
      <c r="J846" s="76" t="s">
        <v>124</v>
      </c>
      <c r="K846" s="76" t="str">
        <f>+_xlfn.XLOOKUP(Tabla1[[#This Row],[Codigo_actividad]],Conceptos!A:A,Conceptos!H:H)</f>
        <v>P3.03.02</v>
      </c>
      <c r="L846" s="66" t="str">
        <f>IF(_xlfn.XLOOKUP($J846,Catalogo!$B$7:$B$210,Catalogo!$I$7:$I$210,"",0)=0,"",_xlfn.XLOOKUP($J846,Catalogo!$B$7:$B$210,Catalogo!$I$7:$I$210,"",0))</f>
        <v>SANIDAD Y ESPESORES</v>
      </c>
      <c r="M846" s="36"/>
      <c r="N84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46" t="str">
        <f>_xlfn.IFNA(_xlfn.XLOOKUP(Tabla1[[#This Row],[fin]],$Q$379:$Q$398,$U$379:$U$398),"")</f>
        <v/>
      </c>
    </row>
    <row r="847" spans="1:17" x14ac:dyDescent="0.25">
      <c r="A847" s="354">
        <v>46297</v>
      </c>
      <c r="B847" s="114" t="s">
        <v>30</v>
      </c>
      <c r="C847" s="514" t="s">
        <v>411</v>
      </c>
      <c r="D847" s="39" t="s">
        <v>351</v>
      </c>
      <c r="E847" s="40" t="s">
        <v>128</v>
      </c>
      <c r="F847" s="202">
        <v>3564</v>
      </c>
      <c r="G847" s="28"/>
      <c r="H847" s="224"/>
      <c r="I847" s="66">
        <v>1</v>
      </c>
      <c r="J847" s="76" t="s">
        <v>127</v>
      </c>
      <c r="K847" s="76" t="str">
        <f>+_xlfn.XLOOKUP(Tabla1[[#This Row],[Codigo_actividad]],Conceptos!A:A,Conceptos!H:H)</f>
        <v>P3.03.03</v>
      </c>
      <c r="L847" s="66" t="str">
        <f>IF(_xlfn.XLOOKUP($J847,Catalogo!$B$7:$B$210,Catalogo!$I$7:$I$210,"",0)=0,"",_xlfn.XLOOKUP($J847,Catalogo!$B$7:$B$210,Catalogo!$I$7:$I$210,"",0))</f>
        <v>CARACTERIZACION</v>
      </c>
      <c r="M847" s="36"/>
      <c r="N84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47" t="str">
        <f>_xlfn.IFNA(_xlfn.XLOOKUP(Tabla1[[#This Row],[fin]],$Q$379:$Q$398,$U$379:$U$398),"")</f>
        <v/>
      </c>
    </row>
    <row r="848" spans="1:17" x14ac:dyDescent="0.25">
      <c r="A848" s="354">
        <v>46297</v>
      </c>
      <c r="B848" s="114" t="s">
        <v>30</v>
      </c>
      <c r="C848" s="514" t="s">
        <v>411</v>
      </c>
      <c r="D848" s="39" t="s">
        <v>351</v>
      </c>
      <c r="E848" s="40" t="s">
        <v>132</v>
      </c>
      <c r="F848" s="493">
        <v>3564</v>
      </c>
      <c r="G848" s="28" t="s">
        <v>618</v>
      </c>
      <c r="H848" s="224"/>
      <c r="I848" s="501">
        <v>1</v>
      </c>
      <c r="J848" s="76" t="s">
        <v>131</v>
      </c>
      <c r="K848" s="76" t="str">
        <f>+_xlfn.XLOOKUP(Tabla1[[#This Row],[Codigo_actividad]],Conceptos!A:A,Conceptos!H:H)</f>
        <v>P3.03.05</v>
      </c>
      <c r="L848" s="66" t="str">
        <f>IF(_xlfn.XLOOKUP($J848,Catalogo!$B$7:$B$210,Catalogo!$I$7:$I$210,"",0)=0,"",_xlfn.XLOOKUP($J848,Catalogo!$B$7:$B$210,Catalogo!$I$7:$I$210,"",0))</f>
        <v>UT RECTO</v>
      </c>
      <c r="M848" s="36"/>
      <c r="N84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48" t="str">
        <f>_xlfn.IFNA(_xlfn.XLOOKUP(Tabla1[[#This Row],[fin]],$Q$379:$Q$398,$U$379:$U$398),"")</f>
        <v/>
      </c>
    </row>
    <row r="849" spans="1:19" x14ac:dyDescent="0.25">
      <c r="A849" s="354"/>
      <c r="B849" s="114"/>
      <c r="C849" s="155"/>
      <c r="D849" s="39"/>
      <c r="F849" s="28"/>
      <c r="G849" s="28"/>
      <c r="H849" s="224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76">
        <f>+_xlfn.XLOOKUP(Tabla1[[#This Row],[Codigo_actividad]],Conceptos!A:A,Conceptos!H:H)</f>
        <v>0</v>
      </c>
      <c r="L849" s="66" t="str">
        <f>IF(_xlfn.XLOOKUP($J849,Catalogo!$B$7:$B$21,Catalogo!$I$7:$I$21,"",0)=0,"",_xlfn.XLOOKUP($J849,Catalogo!$B$7:$B$21,Catalogo!$I$7:$I$21,"",0))</f>
        <v/>
      </c>
      <c r="M849" s="36"/>
      <c r="N849" s="261">
        <f>IF(Tabla1[[#This Row],[Avance_km]]&lt;&gt;"",Tabla1[[#This Row],[Avance_km]],Tabla1[[#This Row],[Avance_Med]])*_xlfn.XLOOKUP(Tabla1[[#This Row],[Codigo_actividad]],Catalogo!$B$6:$B$51,Catalogo!$F$6:$F$51,0)</f>
        <v>0</v>
      </c>
      <c r="O849" t="str">
        <f>_xlfn.IFNA(_xlfn.XLOOKUP(Tabla1[[#This Row],[fin]],$Q$379:$Q$398,$U$379:$U$398),"")</f>
        <v/>
      </c>
    </row>
    <row r="850" spans="1:19" x14ac:dyDescent="0.25">
      <c r="A850" s="359"/>
      <c r="B850" s="283"/>
      <c r="C850" s="284"/>
      <c r="D850" s="285"/>
      <c r="E850" s="380"/>
      <c r="F850" s="286"/>
      <c r="G850" s="286"/>
      <c r="H850" s="515" t="str">
        <f>IF(Tabla1[[#This Row],[Codigo_actividad]]&lt;&gt;2.5,IF(((Tabla1[[#This Row],[fin]]-Tabla1[[#This Row],[inicio]])/1000)=0,"",((Tabla1[[#This Row],[fin]]-Tabla1[[#This Row],[inicio]])/1000)),"")</f>
        <v/>
      </c>
      <c r="I850" s="516"/>
      <c r="J850" s="516"/>
      <c r="K850" s="516">
        <f>+_xlfn.XLOOKUP(Tabla1[[#This Row],[Codigo_actividad]],Conceptos!A:A,Conceptos!H:H)</f>
        <v>0</v>
      </c>
      <c r="L850" s="516" t="str">
        <f>IF(_xlfn.XLOOKUP($J850,Catalogo!$B$7:$B$21,Catalogo!$I$7:$I$21,"",0)=0,"",_xlfn.XLOOKUP($J850,Catalogo!$B$7:$B$21,Catalogo!$I$7:$I$21,"",0))</f>
        <v/>
      </c>
      <c r="M850" s="517"/>
      <c r="N850" s="518">
        <f>IF(Tabla1[[#This Row],[Avance_km]]&lt;&gt;"",Tabla1[[#This Row],[Avance_km]],Tabla1[[#This Row],[Avance_Med]])*_xlfn.XLOOKUP(Tabla1[[#This Row],[Codigo_actividad]],Catalogo!$B$6:$B$51,Catalogo!$F$6:$F$51,0)</f>
        <v>0</v>
      </c>
      <c r="O850" s="519" t="str">
        <f>_xlfn.IFNA(_xlfn.XLOOKUP(Tabla1[[#This Row],[fin]],$Q$379:$Q$398,$U$379:$U$398),"")</f>
        <v/>
      </c>
    </row>
    <row r="851" spans="1:19" x14ac:dyDescent="0.25">
      <c r="A851" s="354"/>
      <c r="C851" s="155"/>
      <c r="D851" s="39"/>
      <c r="F851" s="28"/>
      <c r="G851" s="28"/>
      <c r="H851" s="224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76">
        <f>+_xlfn.XLOOKUP(Tabla1[[#This Row],[Codigo_actividad]],Conceptos!A:A,Conceptos!H:H)</f>
        <v>0</v>
      </c>
      <c r="L851" s="66" t="str">
        <f>IF(_xlfn.XLOOKUP($J851,Catalogo!$B$7:$B$21,Catalogo!$I$7:$I$21,"",0)=0,"",_xlfn.XLOOKUP($J851,Catalogo!$B$7:$B$21,Catalogo!$I$7:$I$21,"",0))</f>
        <v/>
      </c>
      <c r="M851" s="36"/>
      <c r="N851" s="261">
        <f>IF(Tabla1[[#This Row],[Avance_km]]&lt;&gt;"",Tabla1[[#This Row],[Avance_km]],Tabla1[[#This Row],[Avance_Med]])*_xlfn.XLOOKUP(Tabla1[[#This Row],[Codigo_actividad]],Catalogo!$B$6:$B$51,Catalogo!$F$6:$F$51,0)</f>
        <v>0</v>
      </c>
      <c r="O851" t="str">
        <f>_xlfn.IFNA(_xlfn.XLOOKUP(Tabla1[[#This Row],[fin]],$Q$379:$Q$398,$U$379:$U$398),"")</f>
        <v/>
      </c>
      <c r="Q851" s="486">
        <f>+SUM(N852:N865)</f>
        <v>682944.57</v>
      </c>
      <c r="R851">
        <v>3</v>
      </c>
    </row>
    <row r="852" spans="1:19" x14ac:dyDescent="0.25">
      <c r="A852" s="354">
        <v>46259</v>
      </c>
      <c r="B852" s="114" t="s">
        <v>12</v>
      </c>
      <c r="C852" s="155" t="s">
        <v>411</v>
      </c>
      <c r="D852" s="39" t="s">
        <v>351</v>
      </c>
      <c r="E852" s="40" t="s">
        <v>564</v>
      </c>
      <c r="F852" s="493">
        <v>0</v>
      </c>
      <c r="G852" s="493">
        <v>47584</v>
      </c>
      <c r="H852" s="502">
        <f>(Catalogo!$J$55)*Tabla1[[#This Row],[Observaciones]]</f>
        <v>8.1010741602829377</v>
      </c>
      <c r="J852" s="76">
        <v>2.4</v>
      </c>
      <c r="K852" s="76" t="str">
        <f>+_xlfn.XLOOKUP(Tabla1[[#This Row],[Codigo_actividad]],Conceptos!A:A,Conceptos!H:H)</f>
        <v>P2.04</v>
      </c>
      <c r="L852" s="66" t="str">
        <f>IF(_xlfn.XLOOKUP($J852,Catalogo!$B$7:$B$210,Catalogo!$I$7:$I$210,"",0)=0,"",_xlfn.XLOOKUP($J852,Catalogo!$B$7:$B$210,Catalogo!$I$7:$I$210,"",0))</f>
        <v>PCM</v>
      </c>
      <c r="M852" s="562" t="s">
        <v>555</v>
      </c>
      <c r="N852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O852" s="477">
        <v>58</v>
      </c>
      <c r="Q852" s="486" t="e">
        <f>+#REF!-Q851</f>
        <v>#REF!</v>
      </c>
    </row>
    <row r="853" spans="1:19" x14ac:dyDescent="0.25">
      <c r="A853" s="354">
        <v>46259</v>
      </c>
      <c r="B853" s="114" t="s">
        <v>29</v>
      </c>
      <c r="C853" s="155" t="s">
        <v>329</v>
      </c>
      <c r="D853" s="39" t="s">
        <v>212</v>
      </c>
      <c r="E853" s="40" t="s">
        <v>564</v>
      </c>
      <c r="F853" s="493">
        <v>0</v>
      </c>
      <c r="G853" s="493">
        <v>16250</v>
      </c>
      <c r="H853" s="502">
        <f>(Catalogo!$J$55)*Tabla1[[#This Row],[Observaciones]]</f>
        <v>2.3744527711174128</v>
      </c>
      <c r="J853" s="76">
        <v>2.4</v>
      </c>
      <c r="K853" s="76" t="str">
        <f>+_xlfn.XLOOKUP(Tabla1[[#This Row],[Codigo_actividad]],Conceptos!A:A,Conceptos!H:H)</f>
        <v>P2.04</v>
      </c>
      <c r="L853" s="66" t="str">
        <f>IF(_xlfn.XLOOKUP($J853,Catalogo!$B$7:$B$210,Catalogo!$I$7:$I$210,"",0)=0,"",_xlfn.XLOOKUP($J853,Catalogo!$B$7:$B$210,Catalogo!$I$7:$I$210,"",0))</f>
        <v>PCM</v>
      </c>
      <c r="M853" s="562" t="s">
        <v>555</v>
      </c>
      <c r="N853" s="261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O853" s="477">
        <v>17</v>
      </c>
    </row>
    <row r="854" spans="1:19" x14ac:dyDescent="0.25">
      <c r="A854" s="354">
        <v>46260</v>
      </c>
      <c r="B854" s="114" t="s">
        <v>12</v>
      </c>
      <c r="C854" s="155" t="s">
        <v>561</v>
      </c>
      <c r="D854" s="39" t="s">
        <v>529</v>
      </c>
      <c r="E854" s="40" t="s">
        <v>564</v>
      </c>
      <c r="F854" s="493">
        <v>0</v>
      </c>
      <c r="G854" s="493">
        <v>16000</v>
      </c>
      <c r="H854" s="502">
        <f>(Catalogo!$J$55)*Tabla1[[#This Row],[Observaciones]]</f>
        <v>1.676084309024056</v>
      </c>
      <c r="J854" s="76">
        <v>2.4</v>
      </c>
      <c r="K854" s="76" t="str">
        <f>+_xlfn.XLOOKUP(Tabla1[[#This Row],[Codigo_actividad]],Conceptos!A:A,Conceptos!H:H)</f>
        <v>P2.04</v>
      </c>
      <c r="L854" s="66" t="str">
        <f>IF(_xlfn.XLOOKUP($J854,Catalogo!$B$7:$B$210,Catalogo!$I$7:$I$210,"",0)=0,"",_xlfn.XLOOKUP($J854,Catalogo!$B$7:$B$210,Catalogo!$I$7:$I$210,"",0))</f>
        <v>PCM</v>
      </c>
      <c r="M854" s="562" t="s">
        <v>555</v>
      </c>
      <c r="N854" s="261">
        <f>IF(Tabla1[[#This Row],[Avance_km]]&lt;&gt;"",Tabla1[[#This Row],[Avance_km]],Tabla1[[#This Row],[Avance_Med]])*_xlfn.XLOOKUP(Tabla1[[#This Row],[Codigo_actividad]],Catalogo!$B$6:$B$57,Catalogo!$F$6:$F$57,0)</f>
        <v>22956.12</v>
      </c>
      <c r="O854" s="477">
        <v>12</v>
      </c>
    </row>
    <row r="855" spans="1:19" x14ac:dyDescent="0.25">
      <c r="A855" s="354">
        <v>46260</v>
      </c>
      <c r="B855" s="114" t="s">
        <v>29</v>
      </c>
      <c r="C855" s="155" t="s">
        <v>329</v>
      </c>
      <c r="D855" s="39" t="s">
        <v>212</v>
      </c>
      <c r="E855" s="40" t="s">
        <v>564</v>
      </c>
      <c r="F855" s="493">
        <v>16250</v>
      </c>
      <c r="G855" s="493">
        <v>27250</v>
      </c>
      <c r="H855" s="502">
        <f>(Catalogo!$J$55)*Tabla1[[#This Row],[Observaciones]]</f>
        <v>3.4918423104667835</v>
      </c>
      <c r="J855" s="76">
        <v>2.4</v>
      </c>
      <c r="K855" s="76" t="str">
        <f>+_xlfn.XLOOKUP(Tabla1[[#This Row],[Codigo_actividad]],Conceptos!A:A,Conceptos!H:H)</f>
        <v>P2.04</v>
      </c>
      <c r="L855" s="66" t="str">
        <f>IF(_xlfn.XLOOKUP($J855,Catalogo!$B$7:$B$210,Catalogo!$I$7:$I$210,"",0)=0,"",_xlfn.XLOOKUP($J855,Catalogo!$B$7:$B$210,Catalogo!$I$7:$I$210,"",0))</f>
        <v>PCM</v>
      </c>
      <c r="M855" s="562" t="s">
        <v>555</v>
      </c>
      <c r="N855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55" s="477">
        <v>25</v>
      </c>
    </row>
    <row r="856" spans="1:19" x14ac:dyDescent="0.25">
      <c r="A856" s="354">
        <v>46260</v>
      </c>
      <c r="B856" s="114" t="s">
        <v>29</v>
      </c>
      <c r="C856" s="155" t="s">
        <v>329</v>
      </c>
      <c r="D856" s="39" t="s">
        <v>225</v>
      </c>
      <c r="E856" s="40" t="s">
        <v>564</v>
      </c>
      <c r="F856" s="493">
        <v>0</v>
      </c>
      <c r="G856" s="493">
        <v>5970</v>
      </c>
      <c r="H856" s="502">
        <f>(Catalogo!$J$55)*Tabla1[[#This Row],[Observaciones]]</f>
        <v>1.3967369241867134</v>
      </c>
      <c r="J856" s="76">
        <v>2.4</v>
      </c>
      <c r="K856" s="76" t="str">
        <f>+_xlfn.XLOOKUP(Tabla1[[#This Row],[Codigo_actividad]],Conceptos!A:A,Conceptos!H:H)</f>
        <v>P2.04</v>
      </c>
      <c r="L856" s="66" t="str">
        <f>IF(_xlfn.XLOOKUP($J856,Catalogo!$B$7:$B$210,Catalogo!$I$7:$I$210,"",0)=0,"",_xlfn.XLOOKUP($J856,Catalogo!$B$7:$B$210,Catalogo!$I$7:$I$210,"",0))</f>
        <v>PCM</v>
      </c>
      <c r="M856" s="562" t="s">
        <v>555</v>
      </c>
      <c r="N856" s="261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O856" s="477">
        <v>10</v>
      </c>
    </row>
    <row r="857" spans="1:19" x14ac:dyDescent="0.25">
      <c r="A857" s="354">
        <v>46261</v>
      </c>
      <c r="B857" s="114" t="s">
        <v>12</v>
      </c>
      <c r="C857" s="155" t="s">
        <v>329</v>
      </c>
      <c r="D857" s="39" t="s">
        <v>212</v>
      </c>
      <c r="E857" s="40" t="s">
        <v>564</v>
      </c>
      <c r="F857" s="493" t="s">
        <v>530</v>
      </c>
      <c r="G857" s="493"/>
      <c r="H857" s="502">
        <f>(Catalogo!$J$55)*Tabla1[[#This Row],[Observaciones]]</f>
        <v>4.1902107725601399</v>
      </c>
      <c r="J857" s="76">
        <v>2.4</v>
      </c>
      <c r="K857" s="76" t="str">
        <f>+_xlfn.XLOOKUP(Tabla1[[#This Row],[Codigo_actividad]],Conceptos!A:A,Conceptos!H:H)</f>
        <v>P2.04</v>
      </c>
      <c r="L857" s="66" t="str">
        <f>IF(_xlfn.XLOOKUP($J857,Catalogo!$B$7:$B$210,Catalogo!$I$7:$I$210,"",0)=0,"",_xlfn.XLOOKUP($J857,Catalogo!$B$7:$B$210,Catalogo!$I$7:$I$210,"",0))</f>
        <v>PCM</v>
      </c>
      <c r="M857" s="562" t="s">
        <v>555</v>
      </c>
      <c r="N857" s="261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O857" s="477">
        <v>30</v>
      </c>
    </row>
    <row r="858" spans="1:19" x14ac:dyDescent="0.25">
      <c r="A858" s="354">
        <v>46261</v>
      </c>
      <c r="B858" s="114" t="s">
        <v>29</v>
      </c>
      <c r="C858" s="155" t="s">
        <v>329</v>
      </c>
      <c r="D858" s="39" t="s">
        <v>212</v>
      </c>
      <c r="E858" s="40" t="s">
        <v>564</v>
      </c>
      <c r="F858" s="493">
        <v>22250</v>
      </c>
      <c r="G858" s="493"/>
      <c r="H858" s="502">
        <f>(Catalogo!$J$55)*Tabla1[[#This Row],[Observaciones]]</f>
        <v>0.69836846209335668</v>
      </c>
      <c r="J858" s="76">
        <v>2.4</v>
      </c>
      <c r="K858" s="76" t="str">
        <f>+_xlfn.XLOOKUP(Tabla1[[#This Row],[Codigo_actividad]],Conceptos!A:A,Conceptos!H:H)</f>
        <v>P2.04</v>
      </c>
      <c r="L858" s="66" t="str">
        <f>IF(_xlfn.XLOOKUP($J858,Catalogo!$B$7:$B$210,Catalogo!$I$7:$I$210,"",0)=0,"",_xlfn.XLOOKUP($J858,Catalogo!$B$7:$B$210,Catalogo!$I$7:$I$210,"",0))</f>
        <v>PCM</v>
      </c>
      <c r="M858" s="562" t="s">
        <v>555</v>
      </c>
      <c r="N858" s="261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O858" s="477">
        <v>5</v>
      </c>
      <c r="Q858" t="s">
        <v>555</v>
      </c>
      <c r="R858" t="s">
        <v>556</v>
      </c>
      <c r="S858" t="s">
        <v>557</v>
      </c>
    </row>
    <row r="859" spans="1:19" x14ac:dyDescent="0.25">
      <c r="A859" s="354"/>
      <c r="B859" s="114"/>
      <c r="C859" s="155"/>
      <c r="D859" s="39"/>
      <c r="F859" s="28"/>
      <c r="G859" s="28"/>
      <c r="H859" s="370"/>
      <c r="I859" s="370"/>
      <c r="J859" s="76">
        <v>2.4</v>
      </c>
      <c r="K859" s="76" t="str">
        <f>+_xlfn.XLOOKUP(Tabla1[[#This Row],[Codigo_actividad]],Conceptos!A:A,Conceptos!H:H)</f>
        <v>P2.04</v>
      </c>
      <c r="L859" s="76" t="str">
        <f>IF(_xlfn.XLOOKUP($J859,Catalogo!$B$7:$B$21,Catalogo!$I$7:$I$21,"",0)=0,"",_xlfn.XLOOKUP($J859,Catalogo!$B$7:$B$21,Catalogo!$I$7:$I$21,"",0))</f>
        <v>PCM</v>
      </c>
      <c r="M859" s="137"/>
      <c r="N859" s="261"/>
    </row>
    <row r="860" spans="1:19" x14ac:dyDescent="0.25">
      <c r="A860" s="354">
        <v>46269</v>
      </c>
      <c r="B860" s="114" t="s">
        <v>12</v>
      </c>
      <c r="C860" s="155" t="s">
        <v>13</v>
      </c>
      <c r="D860" s="39" t="s">
        <v>13</v>
      </c>
      <c r="E860" s="40" t="s">
        <v>565</v>
      </c>
      <c r="F860" s="493" t="s">
        <v>643</v>
      </c>
      <c r="G860" s="493" t="s">
        <v>643</v>
      </c>
      <c r="H860" s="502">
        <f>(Catalogo!$J$55)*Tabla1[[#This Row],[Observaciones]]</f>
        <v>5.4472740043281824</v>
      </c>
      <c r="J860" s="76">
        <v>2.4</v>
      </c>
      <c r="K860" s="76" t="str">
        <f>+_xlfn.XLOOKUP(Tabla1[[#This Row],[Codigo_actividad]],Conceptos!A:A,Conceptos!H:H)</f>
        <v>P2.04</v>
      </c>
      <c r="L860" s="66" t="str">
        <f>IF(_xlfn.XLOOKUP($J860,Catalogo!$B$7:$B$210,Catalogo!$I$7:$I$210,"",0)=0,"",_xlfn.XLOOKUP($J860,Catalogo!$B$7:$B$210,Catalogo!$I$7:$I$210,"",0))</f>
        <v>PCM</v>
      </c>
      <c r="M860" s="562" t="s">
        <v>555</v>
      </c>
      <c r="N860" s="261">
        <f>IF(Tabla1[[#This Row],[Avance_km]]&lt;&gt;"",Tabla1[[#This Row],[Avance_km]],Tabla1[[#This Row],[Avance_Med]])*_xlfn.XLOOKUP(Tabla1[[#This Row],[Codigo_actividad]],Catalogo!$B$6:$B$57,Catalogo!$F$6:$F$57,0)</f>
        <v>74607.39</v>
      </c>
      <c r="O860" s="477">
        <v>39</v>
      </c>
    </row>
    <row r="861" spans="1:19" x14ac:dyDescent="0.25">
      <c r="A861" s="354">
        <v>46269</v>
      </c>
      <c r="B861" s="114" t="s">
        <v>29</v>
      </c>
      <c r="C861" s="155" t="s">
        <v>22</v>
      </c>
      <c r="D861" s="39" t="s">
        <v>22</v>
      </c>
      <c r="E861" s="40" t="s">
        <v>565</v>
      </c>
      <c r="F861" s="493" t="s">
        <v>643</v>
      </c>
      <c r="G861" s="493" t="s">
        <v>643</v>
      </c>
      <c r="H861" s="502">
        <f>(Catalogo!$J$55)*Tabla1[[#This Row],[Observaciones]]</f>
        <v>7.123358313352238</v>
      </c>
      <c r="J861" s="76">
        <v>2.4</v>
      </c>
      <c r="K861" s="76" t="str">
        <f>+_xlfn.XLOOKUP(Tabla1[[#This Row],[Codigo_actividad]],Conceptos!A:A,Conceptos!H:H)</f>
        <v>P2.04</v>
      </c>
      <c r="L861" s="66" t="str">
        <f>IF(_xlfn.XLOOKUP($J861,Catalogo!$B$7:$B$210,Catalogo!$I$7:$I$210,"",0)=0,"",_xlfn.XLOOKUP($J861,Catalogo!$B$7:$B$210,Catalogo!$I$7:$I$210,"",0))</f>
        <v>PCM</v>
      </c>
      <c r="M861" s="562" t="s">
        <v>555</v>
      </c>
      <c r="N861" s="261">
        <f>IF(Tabla1[[#This Row],[Avance_km]]&lt;&gt;"",Tabla1[[#This Row],[Avance_km]],Tabla1[[#This Row],[Avance_Med]])*_xlfn.XLOOKUP(Tabla1[[#This Row],[Codigo_actividad]],Catalogo!$B$6:$B$57,Catalogo!$F$6:$F$57,0)</f>
        <v>97563.51</v>
      </c>
      <c r="O861" s="477">
        <v>51</v>
      </c>
    </row>
    <row r="862" spans="1:19" x14ac:dyDescent="0.25">
      <c r="A862" s="354">
        <v>46270</v>
      </c>
      <c r="B862" s="114" t="s">
        <v>12</v>
      </c>
      <c r="C862" s="155" t="s">
        <v>13</v>
      </c>
      <c r="D862" s="39" t="s">
        <v>13</v>
      </c>
      <c r="E862" s="40" t="s">
        <v>565</v>
      </c>
      <c r="F862" s="493" t="s">
        <v>643</v>
      </c>
      <c r="G862" s="493" t="s">
        <v>643</v>
      </c>
      <c r="H862" s="502">
        <f>(Catalogo!$J$55)*Tabla1[[#This Row],[Observaciones]]</f>
        <v>3.4918423104667835</v>
      </c>
      <c r="J862" s="76">
        <v>2.4</v>
      </c>
      <c r="K862" s="76" t="str">
        <f>+_xlfn.XLOOKUP(Tabla1[[#This Row],[Codigo_actividad]],Conceptos!A:A,Conceptos!H:H)</f>
        <v>P2.04</v>
      </c>
      <c r="L862" s="66" t="str">
        <f>IF(_xlfn.XLOOKUP($J862,Catalogo!$B$7:$B$210,Catalogo!$I$7:$I$210,"",0)=0,"",_xlfn.XLOOKUP($J862,Catalogo!$B$7:$B$210,Catalogo!$I$7:$I$210,"",0))</f>
        <v>PCM</v>
      </c>
      <c r="M862" s="562" t="s">
        <v>555</v>
      </c>
      <c r="N862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62" s="477">
        <v>25</v>
      </c>
    </row>
    <row r="863" spans="1:19" x14ac:dyDescent="0.25">
      <c r="A863" s="354">
        <v>46270</v>
      </c>
      <c r="B863" s="114" t="s">
        <v>29</v>
      </c>
      <c r="C863" s="155" t="s">
        <v>22</v>
      </c>
      <c r="D863" s="39" t="s">
        <v>22</v>
      </c>
      <c r="E863" s="40" t="s">
        <v>565</v>
      </c>
      <c r="F863" s="493" t="s">
        <v>643</v>
      </c>
      <c r="G863" s="493" t="s">
        <v>643</v>
      </c>
      <c r="H863" s="502">
        <f>(Catalogo!$J$55)*Tabla1[[#This Row],[Observaciones]]</f>
        <v>3.4918423104667835</v>
      </c>
      <c r="J863" s="76">
        <v>2.4</v>
      </c>
      <c r="K863" s="76" t="str">
        <f>+_xlfn.XLOOKUP(Tabla1[[#This Row],[Codigo_actividad]],Conceptos!A:A,Conceptos!H:H)</f>
        <v>P2.04</v>
      </c>
      <c r="L863" s="66" t="str">
        <f>IF(_xlfn.XLOOKUP($J863,Catalogo!$B$7:$B$210,Catalogo!$I$7:$I$210,"",0)=0,"",_xlfn.XLOOKUP($J863,Catalogo!$B$7:$B$210,Catalogo!$I$7:$I$210,"",0))</f>
        <v>PCM</v>
      </c>
      <c r="M863" s="562" t="s">
        <v>555</v>
      </c>
      <c r="N863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63" s="477">
        <v>25</v>
      </c>
    </row>
    <row r="864" spans="1:19" x14ac:dyDescent="0.25">
      <c r="A864" s="354">
        <v>46282</v>
      </c>
      <c r="B864" s="114" t="s">
        <v>12</v>
      </c>
      <c r="C864" s="155" t="s">
        <v>536</v>
      </c>
      <c r="D864" s="39" t="s">
        <v>536</v>
      </c>
      <c r="E864" s="40" t="s">
        <v>565</v>
      </c>
      <c r="F864" s="493" t="s">
        <v>643</v>
      </c>
      <c r="G864" s="493" t="s">
        <v>643</v>
      </c>
      <c r="H864" s="502">
        <f>(Catalogo!$J$55)*Tabla1[[#This Row],[Observaciones]]</f>
        <v>3.0728212332107692</v>
      </c>
      <c r="J864" s="76">
        <v>2.4</v>
      </c>
      <c r="K864" s="76" t="str">
        <f>+_xlfn.XLOOKUP(Tabla1[[#This Row],[Codigo_actividad]],Conceptos!A:A,Conceptos!H:H)</f>
        <v>P2.04</v>
      </c>
      <c r="L864" s="66" t="str">
        <f>IF(_xlfn.XLOOKUP($J864,Catalogo!$B$7:$B$210,Catalogo!$I$7:$I$210,"",0)=0,"",_xlfn.XLOOKUP($J864,Catalogo!$B$7:$B$210,Catalogo!$I$7:$I$210,"",0))</f>
        <v>PCM</v>
      </c>
      <c r="M864" s="562" t="s">
        <v>555</v>
      </c>
      <c r="N864" s="261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O864" s="477">
        <v>22</v>
      </c>
    </row>
    <row r="865" spans="1:17" x14ac:dyDescent="0.25">
      <c r="A865" s="354">
        <v>46283</v>
      </c>
      <c r="B865" s="114" t="s">
        <v>12</v>
      </c>
      <c r="C865" s="155" t="s">
        <v>536</v>
      </c>
      <c r="D865" s="39" t="s">
        <v>536</v>
      </c>
      <c r="E865" s="40" t="s">
        <v>565</v>
      </c>
      <c r="F865" s="493" t="s">
        <v>643</v>
      </c>
      <c r="G865" s="493" t="s">
        <v>643</v>
      </c>
      <c r="H865" s="502">
        <f>(Catalogo!$J$55)*Tabla1[[#This Row],[Observaciones]]</f>
        <v>5.3076003119095105</v>
      </c>
      <c r="J865" s="76">
        <v>2.4</v>
      </c>
      <c r="K865" s="76" t="str">
        <f>+_xlfn.XLOOKUP(Tabla1[[#This Row],[Codigo_actividad]],Conceptos!A:A,Conceptos!H:H)</f>
        <v>P2.04</v>
      </c>
      <c r="L865" s="66" t="str">
        <f>IF(_xlfn.XLOOKUP($J865,Catalogo!$B$7:$B$210,Catalogo!$I$7:$I$210,"",0)=0,"",_xlfn.XLOOKUP($J865,Catalogo!$B$7:$B$210,Catalogo!$I$7:$I$210,"",0))</f>
        <v>PCM</v>
      </c>
      <c r="M865" s="562" t="s">
        <v>555</v>
      </c>
      <c r="N865" s="261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O865" s="477">
        <v>38</v>
      </c>
    </row>
    <row r="866" spans="1:17" x14ac:dyDescent="0.25">
      <c r="A866" s="354"/>
      <c r="B866" s="114"/>
      <c r="C866" s="155"/>
      <c r="D866" s="39"/>
      <c r="F866" s="28"/>
      <c r="G866" s="28"/>
      <c r="H866" s="370" t="str">
        <f>IF(Tabla1[[#This Row],[Codigo_actividad]]&lt;&gt;2.5,IF(((Tabla1[[#This Row],[fin]]-Tabla1[[#This Row],[inicio]])/1000)=0,"",((Tabla1[[#This Row],[fin]]-Tabla1[[#This Row],[inicio]])/1000)),"")</f>
        <v/>
      </c>
      <c r="I866" s="370"/>
      <c r="J866" s="76"/>
      <c r="K866" s="76">
        <f>+_xlfn.XLOOKUP(Tabla1[[#This Row],[Codigo_actividad]],Conceptos!A:A,Conceptos!H:H)</f>
        <v>0</v>
      </c>
      <c r="L866" s="76" t="str">
        <f>IF(_xlfn.XLOOKUP($J866,Catalogo!$B$7:$B$21,Catalogo!$I$7:$I$21,"",0)=0,"",_xlfn.XLOOKUP($J866,Catalogo!$B$7:$B$21,Catalogo!$I$7:$I$21,"",0))</f>
        <v/>
      </c>
      <c r="M866" s="137"/>
      <c r="N866" s="261"/>
      <c r="O866" t="str">
        <f>_xlfn.IFNA(_xlfn.XLOOKUP(Tabla1[[#This Row],[fin]],$Q$379:$Q$398,$U$379:$U$398),"")</f>
        <v/>
      </c>
    </row>
    <row r="867" spans="1:17" x14ac:dyDescent="0.25">
      <c r="A867" s="354">
        <v>46315</v>
      </c>
      <c r="B867" s="199" t="s">
        <v>12</v>
      </c>
      <c r="C867" s="200" t="s">
        <v>13</v>
      </c>
      <c r="D867" s="201" t="s">
        <v>650</v>
      </c>
      <c r="E867" s="376" t="s">
        <v>537</v>
      </c>
      <c r="F867" s="493" t="s">
        <v>643</v>
      </c>
      <c r="G867" s="493" t="s">
        <v>643</v>
      </c>
      <c r="H867" s="502">
        <f>+(Catalogo!$J$56)*Tabla1[[#This Row],[Observaciones]]</f>
        <v>3.0967824840029552</v>
      </c>
      <c r="J867" s="76">
        <v>2.4</v>
      </c>
      <c r="K867" s="76" t="str">
        <f>+_xlfn.XLOOKUP(Tabla1[[#This Row],[Codigo_actividad]],Conceptos!A:A,Conceptos!H:H)</f>
        <v>P2.04</v>
      </c>
      <c r="L867" s="66" t="str">
        <f>IF(_xlfn.XLOOKUP($J867,Catalogo!$B$7:$B$210,Catalogo!$I$7:$I$210,"",0)=0,"",_xlfn.XLOOKUP($J867,Catalogo!$B$7:$B$210,Catalogo!$I$7:$I$210,"",0))</f>
        <v>PCM</v>
      </c>
      <c r="M867" s="137" t="s">
        <v>556</v>
      </c>
      <c r="N867" s="261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O867" s="477">
        <v>14</v>
      </c>
      <c r="Q867">
        <f>115-SUM(O867:O870)</f>
        <v>101</v>
      </c>
    </row>
    <row r="868" spans="1:17" x14ac:dyDescent="0.25">
      <c r="A868" s="354"/>
      <c r="B868" s="199" t="s">
        <v>29</v>
      </c>
      <c r="C868" s="200" t="s">
        <v>22</v>
      </c>
      <c r="D868" s="201" t="s">
        <v>650</v>
      </c>
      <c r="E868" s="376" t="s">
        <v>537</v>
      </c>
      <c r="F868" s="28"/>
      <c r="G868" s="28"/>
      <c r="H868" s="224">
        <f>+(Catalogo!$J$56)*Tabla1[[#This Row],[Observaciones]]</f>
        <v>0</v>
      </c>
      <c r="J868" s="76">
        <v>2.4</v>
      </c>
      <c r="K868" s="76" t="str">
        <f>+_xlfn.XLOOKUP(Tabla1[[#This Row],[Codigo_actividad]],Conceptos!A:A,Conceptos!H:H)</f>
        <v>P2.04</v>
      </c>
      <c r="L868" s="66" t="str">
        <f>IF(_xlfn.XLOOKUP($J868,Catalogo!$B$7:$B$210,Catalogo!$I$7:$I$210,"",0)=0,"",_xlfn.XLOOKUP($J868,Catalogo!$B$7:$B$210,Catalogo!$I$7:$I$210,"",0))</f>
        <v>PCM</v>
      </c>
      <c r="M868" s="137" t="s">
        <v>556</v>
      </c>
      <c r="N868" s="261">
        <f>IF(Tabla1[[#This Row],[Avance_km]]&lt;&gt;"",Tabla1[[#This Row],[Avance_km]],Tabla1[[#This Row],[Avance_Med]])*_xlfn.XLOOKUP(Tabla1[[#This Row],[Codigo_actividad]],Catalogo!$B$6:$B$57,Catalogo!$F$6:$F$57,0)</f>
        <v>0</v>
      </c>
      <c r="O868" s="478"/>
    </row>
    <row r="869" spans="1:17" x14ac:dyDescent="0.25">
      <c r="A869" s="354"/>
      <c r="B869" s="199" t="s">
        <v>12</v>
      </c>
      <c r="C869" s="200" t="s">
        <v>13</v>
      </c>
      <c r="D869" s="201" t="s">
        <v>650</v>
      </c>
      <c r="E869" s="376" t="s">
        <v>537</v>
      </c>
      <c r="F869" s="28"/>
      <c r="G869" s="28"/>
      <c r="H869" s="224">
        <f>+(Catalogo!$J$56)*Tabla1[[#This Row],[Observaciones]]</f>
        <v>0</v>
      </c>
      <c r="J869" s="76">
        <v>2.4</v>
      </c>
      <c r="K869" s="76" t="str">
        <f>+_xlfn.XLOOKUP(Tabla1[[#This Row],[Codigo_actividad]],Conceptos!A:A,Conceptos!H:H)</f>
        <v>P2.04</v>
      </c>
      <c r="L869" s="66" t="str">
        <f>IF(_xlfn.XLOOKUP($J869,Catalogo!$B$7:$B$210,Catalogo!$I$7:$I$210,"",0)=0,"",_xlfn.XLOOKUP($J869,Catalogo!$B$7:$B$210,Catalogo!$I$7:$I$210,"",0))</f>
        <v>PCM</v>
      </c>
      <c r="M869" s="137" t="s">
        <v>556</v>
      </c>
      <c r="N869" s="261">
        <f>IF(Tabla1[[#This Row],[Avance_km]]&lt;&gt;"",Tabla1[[#This Row],[Avance_km]],Tabla1[[#This Row],[Avance_Med]])*_xlfn.XLOOKUP(Tabla1[[#This Row],[Codigo_actividad]],Catalogo!$B$6:$B$57,Catalogo!$F$6:$F$57,0)</f>
        <v>0</v>
      </c>
      <c r="O869" s="478"/>
    </row>
    <row r="870" spans="1:17" x14ac:dyDescent="0.25">
      <c r="A870" s="354"/>
      <c r="B870" s="199" t="s">
        <v>29</v>
      </c>
      <c r="C870" s="200" t="s">
        <v>22</v>
      </c>
      <c r="D870" s="201" t="s">
        <v>650</v>
      </c>
      <c r="E870" s="376" t="s">
        <v>537</v>
      </c>
      <c r="F870" s="28"/>
      <c r="G870" s="28"/>
      <c r="H870" s="224">
        <f>+(Catalogo!$J$56)*Tabla1[[#This Row],[Observaciones]]</f>
        <v>0</v>
      </c>
      <c r="J870" s="76">
        <v>2.4</v>
      </c>
      <c r="K870" s="76" t="str">
        <f>+_xlfn.XLOOKUP(Tabla1[[#This Row],[Codigo_actividad]],Conceptos!A:A,Conceptos!H:H)</f>
        <v>P2.04</v>
      </c>
      <c r="L870" s="66" t="str">
        <f>IF(_xlfn.XLOOKUP($J870,Catalogo!$B$7:$B$210,Catalogo!$I$7:$I$210,"",0)=0,"",_xlfn.XLOOKUP($J870,Catalogo!$B$7:$B$210,Catalogo!$I$7:$I$210,"",0))</f>
        <v>PCM</v>
      </c>
      <c r="M870" s="137" t="s">
        <v>556</v>
      </c>
      <c r="N870" s="261">
        <f>IF(Tabla1[[#This Row],[Avance_km]]&lt;&gt;"",Tabla1[[#This Row],[Avance_km]],Tabla1[[#This Row],[Avance_Med]])*_xlfn.XLOOKUP(Tabla1[[#This Row],[Codigo_actividad]],Catalogo!$B$6:$B$57,Catalogo!$F$6:$F$57,0)</f>
        <v>0</v>
      </c>
      <c r="O870" s="478"/>
    </row>
    <row r="871" spans="1:17" x14ac:dyDescent="0.25">
      <c r="A871" s="354">
        <v>46314</v>
      </c>
      <c r="B871" s="199" t="s">
        <v>12</v>
      </c>
      <c r="C871" s="200" t="s">
        <v>536</v>
      </c>
      <c r="D871" s="201" t="s">
        <v>536</v>
      </c>
      <c r="E871" s="376" t="s">
        <v>537</v>
      </c>
      <c r="F871" s="493" t="s">
        <v>643</v>
      </c>
      <c r="G871" s="493" t="s">
        <v>643</v>
      </c>
      <c r="H871" s="502">
        <f>+(Catalogo!$J$56)*Tabla1[[#This Row],[Observaciones]]</f>
        <v>3.3179812328603089</v>
      </c>
      <c r="J871" s="76">
        <v>2.4</v>
      </c>
      <c r="K871" s="76" t="str">
        <f>+_xlfn.XLOOKUP(Tabla1[[#This Row],[Codigo_actividad]],Conceptos!A:A,Conceptos!H:H)</f>
        <v>P2.04</v>
      </c>
      <c r="L871" s="66" t="str">
        <f>IF(_xlfn.XLOOKUP($J871,Catalogo!$B$7:$B$210,Catalogo!$I$7:$I$210,"",0)=0,"",_xlfn.XLOOKUP($J871,Catalogo!$B$7:$B$210,Catalogo!$I$7:$I$210,"",0))</f>
        <v>PCM</v>
      </c>
      <c r="M871" s="137" t="s">
        <v>556</v>
      </c>
      <c r="N871" s="261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O871" s="477">
        <v>15</v>
      </c>
    </row>
    <row r="872" spans="1:17" x14ac:dyDescent="0.25">
      <c r="A872" s="354">
        <v>46315</v>
      </c>
      <c r="B872" s="199" t="s">
        <v>29</v>
      </c>
      <c r="C872" s="200" t="s">
        <v>536</v>
      </c>
      <c r="D872" s="201" t="s">
        <v>536</v>
      </c>
      <c r="E872" s="376" t="s">
        <v>537</v>
      </c>
      <c r="F872" s="493" t="s">
        <v>643</v>
      </c>
      <c r="G872" s="493" t="s">
        <v>643</v>
      </c>
      <c r="H872" s="502">
        <f>+(Catalogo!$J$56)*Tabla1[[#This Row],[Observaciones]]</f>
        <v>3.7603787305750171</v>
      </c>
      <c r="J872" s="76">
        <v>2.4</v>
      </c>
      <c r="K872" s="76" t="str">
        <f>+_xlfn.XLOOKUP(Tabla1[[#This Row],[Codigo_actividad]],Conceptos!A:A,Conceptos!H:H)</f>
        <v>P2.04</v>
      </c>
      <c r="L872" s="66" t="str">
        <f>IF(_xlfn.XLOOKUP($J872,Catalogo!$B$7:$B$210,Catalogo!$I$7:$I$210,"",0)=0,"",_xlfn.XLOOKUP($J872,Catalogo!$B$7:$B$210,Catalogo!$I$7:$I$210,"",0))</f>
        <v>PCM</v>
      </c>
      <c r="M872" s="137" t="s">
        <v>556</v>
      </c>
      <c r="N872" s="261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O872" s="477">
        <v>17</v>
      </c>
    </row>
    <row r="873" spans="1:17" x14ac:dyDescent="0.25">
      <c r="A873" s="354"/>
      <c r="B873" s="114"/>
      <c r="C873" s="155"/>
      <c r="D873" s="39"/>
      <c r="F873" s="28"/>
      <c r="G873" s="28"/>
      <c r="H873" s="370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>
        <f>+_xlfn.XLOOKUP(Tabla1[[#This Row],[Codigo_actividad]],Conceptos!A:A,Conceptos!H:H)</f>
        <v>0</v>
      </c>
      <c r="L873" s="76" t="str">
        <f>_xlfn.XLOOKUP($J873,Catalogo!$B$67:$B$69,Catalogo!$L$67:$L$69,"",0)</f>
        <v/>
      </c>
      <c r="M873" s="137"/>
      <c r="N873" s="261"/>
      <c r="O873" t="str">
        <f>_xlfn.IFNA(_xlfn.XLOOKUP(Tabla1[[#This Row],[fin]],$Q$379:$Q$398,$U$379:$U$398),"")</f>
        <v/>
      </c>
    </row>
    <row r="874" spans="1:17" x14ac:dyDescent="0.25">
      <c r="A874" s="354">
        <v>46305</v>
      </c>
      <c r="B874" s="199" t="s">
        <v>12</v>
      </c>
      <c r="C874" s="200" t="s">
        <v>13</v>
      </c>
      <c r="D874" s="201" t="s">
        <v>13</v>
      </c>
      <c r="E874" s="376" t="s">
        <v>538</v>
      </c>
      <c r="F874" s="493" t="s">
        <v>643</v>
      </c>
      <c r="G874" s="493" t="s">
        <v>643</v>
      </c>
      <c r="H874" s="502">
        <f>+(Catalogo!$J$57)*Tabla1[[#This Row],[Observaciones]]</f>
        <v>1.9944247635124281</v>
      </c>
      <c r="J874" s="76">
        <v>2.4</v>
      </c>
      <c r="K874" s="76" t="str">
        <f>+_xlfn.XLOOKUP(Tabla1[[#This Row],[Codigo_actividad]],Conceptos!A:A,Conceptos!H:H)</f>
        <v>P2.04</v>
      </c>
      <c r="L874" s="66" t="str">
        <f>IF(_xlfn.XLOOKUP($J874,Catalogo!$B$7:$B$210,Catalogo!$I$7:$I$210,"",0)=0,"",_xlfn.XLOOKUP($J874,Catalogo!$B$7:$B$210,Catalogo!$I$7:$I$210,"",0))</f>
        <v>PCM</v>
      </c>
      <c r="M874" s="137" t="s">
        <v>557</v>
      </c>
      <c r="N874" s="261">
        <f>IF(Tabla1[[#This Row],[Avance_km]]&lt;&gt;"",Tabla1[[#This Row],[Avance_km]],Tabla1[[#This Row],[Avance_Med]])*_xlfn.XLOOKUP(Tabla1[[#This Row],[Codigo_actividad]],Catalogo!$B$6:$B$57,Catalogo!$F$6:$F$57,0)</f>
        <v>27316.2</v>
      </c>
      <c r="O874" s="477">
        <v>15</v>
      </c>
    </row>
    <row r="875" spans="1:17" x14ac:dyDescent="0.25">
      <c r="A875" s="354">
        <v>46305</v>
      </c>
      <c r="B875" s="199" t="s">
        <v>29</v>
      </c>
      <c r="C875" s="200" t="s">
        <v>22</v>
      </c>
      <c r="D875" s="201" t="s">
        <v>22</v>
      </c>
      <c r="E875" s="376" t="s">
        <v>538</v>
      </c>
      <c r="F875" s="493" t="s">
        <v>643</v>
      </c>
      <c r="G875" s="493" t="s">
        <v>643</v>
      </c>
      <c r="H875" s="502">
        <f>+(Catalogo!$J$57)*Tabla1[[#This Row],[Observaciones]]</f>
        <v>3.457002923421542</v>
      </c>
      <c r="J875" s="76">
        <v>2.4</v>
      </c>
      <c r="K875" s="76" t="str">
        <f>+_xlfn.XLOOKUP(Tabla1[[#This Row],[Codigo_actividad]],Conceptos!A:A,Conceptos!H:H)</f>
        <v>P2.04</v>
      </c>
      <c r="L875" s="66" t="str">
        <f>IF(_xlfn.XLOOKUP($J875,Catalogo!$B$7:$B$210,Catalogo!$I$7:$I$210,"",0)=0,"",_xlfn.XLOOKUP($J875,Catalogo!$B$7:$B$210,Catalogo!$I$7:$I$210,"",0))</f>
        <v>PCM</v>
      </c>
      <c r="M875" s="137" t="s">
        <v>557</v>
      </c>
      <c r="N875" s="261">
        <f>IF(Tabla1[[#This Row],[Avance_km]]&lt;&gt;"",Tabla1[[#This Row],[Avance_km]],Tabla1[[#This Row],[Avance_Med]])*_xlfn.XLOOKUP(Tabla1[[#This Row],[Codigo_actividad]],Catalogo!$B$6:$B$57,Catalogo!$F$6:$F$57,0)</f>
        <v>47348.08</v>
      </c>
      <c r="O875" s="477">
        <f>41-15</f>
        <v>26</v>
      </c>
    </row>
    <row r="876" spans="1:17" x14ac:dyDescent="0.25">
      <c r="A876" s="354">
        <v>46306</v>
      </c>
      <c r="B876" s="199" t="s">
        <v>12</v>
      </c>
      <c r="C876" s="200" t="s">
        <v>13</v>
      </c>
      <c r="D876" s="201" t="s">
        <v>13</v>
      </c>
      <c r="E876" s="376" t="s">
        <v>538</v>
      </c>
      <c r="F876" s="493" t="s">
        <v>643</v>
      </c>
      <c r="G876" s="493" t="s">
        <v>643</v>
      </c>
      <c r="H876" s="502">
        <f>+(Catalogo!$J$57)*Tabla1[[#This Row],[Observaciones]]</f>
        <v>2.6592330180165709</v>
      </c>
      <c r="J876" s="76">
        <v>2.4</v>
      </c>
      <c r="K876" s="76" t="str">
        <f>+_xlfn.XLOOKUP(Tabla1[[#This Row],[Codigo_actividad]],Conceptos!A:A,Conceptos!H:H)</f>
        <v>P2.04</v>
      </c>
      <c r="L876" s="66" t="str">
        <f>IF(_xlfn.XLOOKUP($J876,Catalogo!$B$7:$B$210,Catalogo!$I$7:$I$210,"",0)=0,"",_xlfn.XLOOKUP($J876,Catalogo!$B$7:$B$210,Catalogo!$I$7:$I$210,"",0))</f>
        <v>PCM</v>
      </c>
      <c r="M876" s="137" t="s">
        <v>557</v>
      </c>
      <c r="N876" s="261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O876" s="477">
        <v>20</v>
      </c>
    </row>
    <row r="877" spans="1:17" x14ac:dyDescent="0.25">
      <c r="A877" s="354">
        <v>46306</v>
      </c>
      <c r="B877" s="199" t="s">
        <v>29</v>
      </c>
      <c r="C877" s="200" t="s">
        <v>22</v>
      </c>
      <c r="D877" s="201" t="s">
        <v>22</v>
      </c>
      <c r="E877" s="376" t="s">
        <v>538</v>
      </c>
      <c r="F877" s="493" t="s">
        <v>643</v>
      </c>
      <c r="G877" s="493" t="s">
        <v>643</v>
      </c>
      <c r="H877" s="502">
        <f>+(Catalogo!$J$57)*Tabla1[[#This Row],[Observaciones]]</f>
        <v>4.9195810833306561</v>
      </c>
      <c r="J877" s="76">
        <v>2.4</v>
      </c>
      <c r="K877" s="76" t="str">
        <f>+_xlfn.XLOOKUP(Tabla1[[#This Row],[Codigo_actividad]],Conceptos!A:A,Conceptos!H:H)</f>
        <v>P2.04</v>
      </c>
      <c r="L877" s="66" t="str">
        <f>IF(_xlfn.XLOOKUP($J877,Catalogo!$B$7:$B$210,Catalogo!$I$7:$I$210,"",0)=0,"",_xlfn.XLOOKUP($J877,Catalogo!$B$7:$B$210,Catalogo!$I$7:$I$210,"",0))</f>
        <v>PCM</v>
      </c>
      <c r="M877" s="137" t="s">
        <v>557</v>
      </c>
      <c r="N877" s="261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O877" s="477">
        <f>57-20</f>
        <v>37</v>
      </c>
    </row>
    <row r="878" spans="1:17" x14ac:dyDescent="0.25">
      <c r="A878" s="354">
        <v>46305</v>
      </c>
      <c r="B878" s="199" t="s">
        <v>12</v>
      </c>
      <c r="C878" s="200" t="s">
        <v>536</v>
      </c>
      <c r="D878" s="201" t="s">
        <v>536</v>
      </c>
      <c r="E878" s="376" t="s">
        <v>538</v>
      </c>
      <c r="F878" s="493" t="s">
        <v>643</v>
      </c>
      <c r="G878" s="493" t="s">
        <v>643</v>
      </c>
      <c r="H878" s="502">
        <f>+(Catalogo!$J$57)*Tabla1[[#This Row],[Observaciones]]</f>
        <v>3.1910796216198847</v>
      </c>
      <c r="J878" s="76">
        <v>2.4</v>
      </c>
      <c r="K878" s="76" t="str">
        <f>+_xlfn.XLOOKUP(Tabla1[[#This Row],[Codigo_actividad]],Conceptos!A:A,Conceptos!H:H)</f>
        <v>P2.04</v>
      </c>
      <c r="L878" s="66" t="str">
        <f>IF(_xlfn.XLOOKUP($J878,Catalogo!$B$7:$B$210,Catalogo!$I$7:$I$210,"",0)=0,"",_xlfn.XLOOKUP($J878,Catalogo!$B$7:$B$210,Catalogo!$I$7:$I$210,"",0))</f>
        <v>PCM</v>
      </c>
      <c r="M878" s="137" t="s">
        <v>557</v>
      </c>
      <c r="N878" s="261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O878" s="477">
        <v>24</v>
      </c>
    </row>
    <row r="879" spans="1:17" x14ac:dyDescent="0.25">
      <c r="A879" s="354">
        <v>46307</v>
      </c>
      <c r="B879" s="199" t="s">
        <v>12</v>
      </c>
      <c r="C879" s="200" t="s">
        <v>13</v>
      </c>
      <c r="D879" s="201" t="s">
        <v>13</v>
      </c>
      <c r="E879" s="376" t="s">
        <v>538</v>
      </c>
      <c r="F879" s="493" t="s">
        <v>643</v>
      </c>
      <c r="G879" s="493" t="s">
        <v>643</v>
      </c>
      <c r="H879" s="502">
        <f>+(Catalogo!$J$57)*Tabla1[[#This Row],[Observaciones]]</f>
        <v>3.8558878761240276</v>
      </c>
      <c r="J879" s="76">
        <v>2.4</v>
      </c>
      <c r="K879" s="76" t="str">
        <f>+_xlfn.XLOOKUP(Tabla1[[#This Row],[Codigo_actividad]],Conceptos!A:A,Conceptos!H:H)</f>
        <v>P2.04</v>
      </c>
      <c r="L879" s="66" t="str">
        <f>IF(_xlfn.XLOOKUP($J879,Catalogo!$B$7:$B$210,Catalogo!$I$7:$I$210,"",0)=0,"",_xlfn.XLOOKUP($J879,Catalogo!$B$7:$B$210,Catalogo!$I$7:$I$210,"",0))</f>
        <v>PCM</v>
      </c>
      <c r="M879" s="137" t="s">
        <v>557</v>
      </c>
      <c r="N879" s="261">
        <f>IF(Tabla1[[#This Row],[Avance_km]]&lt;&gt;"",Tabla1[[#This Row],[Avance_km]],Tabla1[[#This Row],[Avance_Med]])*_xlfn.XLOOKUP(Tabla1[[#This Row],[Codigo_actividad]],Catalogo!$B$6:$B$57,Catalogo!$F$6:$F$57,0)</f>
        <v>52811.32</v>
      </c>
      <c r="O879" s="477">
        <f>64-35</f>
        <v>29</v>
      </c>
    </row>
    <row r="880" spans="1:17" x14ac:dyDescent="0.25">
      <c r="A880" s="354">
        <v>46307</v>
      </c>
      <c r="B880" s="199" t="s">
        <v>12</v>
      </c>
      <c r="C880" s="200" t="s">
        <v>22</v>
      </c>
      <c r="D880" s="201" t="s">
        <v>22</v>
      </c>
      <c r="E880" s="376" t="s">
        <v>538</v>
      </c>
      <c r="F880" s="493" t="s">
        <v>643</v>
      </c>
      <c r="G880" s="493" t="s">
        <v>643</v>
      </c>
      <c r="H880" s="502">
        <f>+(Catalogo!$J$57)*Tabla1[[#This Row],[Observaciones]]</f>
        <v>1.728501461710771</v>
      </c>
      <c r="J880" s="76">
        <v>2.4</v>
      </c>
      <c r="K880" s="76" t="str">
        <f>+_xlfn.XLOOKUP(Tabla1[[#This Row],[Codigo_actividad]],Conceptos!A:A,Conceptos!H:H)</f>
        <v>P2.04</v>
      </c>
      <c r="L880" s="66" t="str">
        <f>IF(_xlfn.XLOOKUP($J880,Catalogo!$B$7:$B$210,Catalogo!$I$7:$I$210,"",0)=0,"",_xlfn.XLOOKUP($J880,Catalogo!$B$7:$B$210,Catalogo!$I$7:$I$210,"",0))</f>
        <v>PCM</v>
      </c>
      <c r="M880" s="137" t="s">
        <v>557</v>
      </c>
      <c r="N880" s="261">
        <f>IF(Tabla1[[#This Row],[Avance_km]]&lt;&gt;"",Tabla1[[#This Row],[Avance_km]],Tabla1[[#This Row],[Avance_Med]])*_xlfn.XLOOKUP(Tabla1[[#This Row],[Codigo_actividad]],Catalogo!$B$6:$B$57,Catalogo!$F$6:$F$57,0)</f>
        <v>23674.04</v>
      </c>
      <c r="O880" s="477">
        <f>42-29</f>
        <v>13</v>
      </c>
    </row>
    <row r="881" spans="1:15" x14ac:dyDescent="0.25">
      <c r="A881" s="354">
        <v>46307</v>
      </c>
      <c r="B881" s="199" t="s">
        <v>29</v>
      </c>
      <c r="C881" s="200" t="s">
        <v>536</v>
      </c>
      <c r="D881" s="201" t="s">
        <v>536</v>
      </c>
      <c r="E881" s="376" t="s">
        <v>538</v>
      </c>
      <c r="F881" s="493" t="s">
        <v>643</v>
      </c>
      <c r="G881" s="493" t="s">
        <v>643</v>
      </c>
      <c r="H881" s="502">
        <f>+(Catalogo!$J$57)*Tabla1[[#This Row],[Observaciones]]</f>
        <v>4.786619432429827</v>
      </c>
      <c r="J881" s="76">
        <v>2.4</v>
      </c>
      <c r="K881" s="76" t="str">
        <f>+_xlfn.XLOOKUP(Tabla1[[#This Row],[Codigo_actividad]],Conceptos!A:A,Conceptos!H:H)</f>
        <v>P2.04</v>
      </c>
      <c r="L881" s="66" t="str">
        <f>IF(_xlfn.XLOOKUP($J881,Catalogo!$B$7:$B$210,Catalogo!$I$7:$I$210,"",0)=0,"",_xlfn.XLOOKUP($J881,Catalogo!$B$7:$B$210,Catalogo!$I$7:$I$210,"",0))</f>
        <v>PCM</v>
      </c>
      <c r="M881" s="137" t="s">
        <v>557</v>
      </c>
      <c r="N881" s="261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O881" s="477">
        <v>36</v>
      </c>
    </row>
    <row r="882" spans="1:15" x14ac:dyDescent="0.25">
      <c r="A882" s="354"/>
      <c r="B882" s="114"/>
      <c r="C882" s="155"/>
      <c r="D882" s="39"/>
      <c r="F882" s="28"/>
      <c r="G882" s="28"/>
      <c r="H882" s="370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>
        <f>+_xlfn.XLOOKUP(Tabla1[[#This Row],[Codigo_actividad]],Conceptos!A:A,Conceptos!H:H)</f>
        <v>0</v>
      </c>
      <c r="L882" s="76" t="str">
        <f>IF(_xlfn.XLOOKUP($J882,Catalogo!$B$7:$B$21,Catalogo!$I$7:$I$21,"",0)=0,"",_xlfn.XLOOKUP($J882,Catalogo!$B$7:$B$21,Catalogo!$I$7:$I$21,"",0))</f>
        <v/>
      </c>
      <c r="M882" s="137"/>
      <c r="N882" s="261"/>
      <c r="O882" t="str">
        <f>_xlfn.IFNA(_xlfn.XLOOKUP(Tabla1[[#This Row],[fin]],$Q$379:$Q$398,$U$379:$U$398),"")</f>
        <v/>
      </c>
    </row>
    <row r="883" spans="1:15" x14ac:dyDescent="0.25">
      <c r="A883" s="354"/>
      <c r="B883" s="199" t="s">
        <v>12</v>
      </c>
      <c r="C883" s="200" t="s">
        <v>329</v>
      </c>
      <c r="D883" s="201"/>
      <c r="E883" s="376" t="s">
        <v>539</v>
      </c>
      <c r="F883" s="28"/>
      <c r="G883" s="28"/>
      <c r="H883" s="224">
        <f>+(Catalogo!$J$56)*Tabla1[[#This Row],[Observaciones]]</f>
        <v>0</v>
      </c>
      <c r="J883" s="76">
        <v>2.4</v>
      </c>
      <c r="K883" s="76" t="str">
        <f>+_xlfn.XLOOKUP(Tabla1[[#This Row],[Codigo_actividad]],Conceptos!A:A,Conceptos!H:H)</f>
        <v>P2.04</v>
      </c>
      <c r="L883" s="66" t="str">
        <f>IF(_xlfn.XLOOKUP($J883,Catalogo!$B$7:$B$210,Catalogo!$I$7:$I$210,"",0)=0,"",_xlfn.XLOOKUP($J883,Catalogo!$B$7:$B$210,Catalogo!$I$7:$I$210,"",0))</f>
        <v>PCM</v>
      </c>
      <c r="M883" s="137" t="s">
        <v>556</v>
      </c>
      <c r="N883" s="261">
        <f>IF(Tabla1[[#This Row],[Avance_km]]&lt;&gt;"",Tabla1[[#This Row],[Avance_km]],Tabla1[[#This Row],[Avance_Med]])*_xlfn.XLOOKUP(Tabla1[[#This Row],[Codigo_actividad]],Catalogo!$B$6:$B$57,Catalogo!$F$6:$F$57,0)</f>
        <v>0</v>
      </c>
      <c r="O883" s="478"/>
    </row>
    <row r="884" spans="1:15" x14ac:dyDescent="0.25">
      <c r="A884" s="354"/>
      <c r="B884" s="199" t="s">
        <v>29</v>
      </c>
      <c r="C884" s="200" t="s">
        <v>411</v>
      </c>
      <c r="D884" s="201"/>
      <c r="E884" s="376" t="s">
        <v>539</v>
      </c>
      <c r="F884" s="28"/>
      <c r="G884" s="28"/>
      <c r="H884" s="224">
        <f>+(Catalogo!$J$56)*Tabla1[[#This Row],[Observaciones]]</f>
        <v>0</v>
      </c>
      <c r="J884" s="76">
        <v>2.4</v>
      </c>
      <c r="K884" s="76" t="str">
        <f>+_xlfn.XLOOKUP(Tabla1[[#This Row],[Codigo_actividad]],Conceptos!A:A,Conceptos!H:H)</f>
        <v>P2.04</v>
      </c>
      <c r="L884" s="66" t="str">
        <f>IF(_xlfn.XLOOKUP($J884,Catalogo!$B$7:$B$210,Catalogo!$I$7:$I$210,"",0)=0,"",_xlfn.XLOOKUP($J884,Catalogo!$B$7:$B$210,Catalogo!$I$7:$I$210,"",0))</f>
        <v>PCM</v>
      </c>
      <c r="M884" s="137" t="s">
        <v>556</v>
      </c>
      <c r="N884" s="261">
        <f>IF(Tabla1[[#This Row],[Avance_km]]&lt;&gt;"",Tabla1[[#This Row],[Avance_km]],Tabla1[[#This Row],[Avance_Med]])*_xlfn.XLOOKUP(Tabla1[[#This Row],[Codigo_actividad]],Catalogo!$B$6:$B$57,Catalogo!$F$6:$F$57,0)</f>
        <v>0</v>
      </c>
      <c r="O884" s="478"/>
    </row>
    <row r="885" spans="1:15" x14ac:dyDescent="0.25">
      <c r="A885" s="354"/>
      <c r="B885" s="199" t="s">
        <v>12</v>
      </c>
      <c r="C885" s="200" t="s">
        <v>329</v>
      </c>
      <c r="D885" s="201"/>
      <c r="E885" s="376" t="s">
        <v>539</v>
      </c>
      <c r="F885" s="28"/>
      <c r="G885" s="28"/>
      <c r="H885" s="224">
        <f>+(Catalogo!$J$56)*Tabla1[[#This Row],[Observaciones]]</f>
        <v>0</v>
      </c>
      <c r="J885" s="76">
        <v>2.4</v>
      </c>
      <c r="K885" s="76" t="str">
        <f>+_xlfn.XLOOKUP(Tabla1[[#This Row],[Codigo_actividad]],Conceptos!A:A,Conceptos!H:H)</f>
        <v>P2.04</v>
      </c>
      <c r="L885" s="66" t="str">
        <f>IF(_xlfn.XLOOKUP($J885,Catalogo!$B$7:$B$210,Catalogo!$I$7:$I$210,"",0)=0,"",_xlfn.XLOOKUP($J885,Catalogo!$B$7:$B$210,Catalogo!$I$7:$I$210,"",0))</f>
        <v>PCM</v>
      </c>
      <c r="M885" s="137" t="s">
        <v>556</v>
      </c>
      <c r="N885" s="261">
        <f>IF(Tabla1[[#This Row],[Avance_km]]&lt;&gt;"",Tabla1[[#This Row],[Avance_km]],Tabla1[[#This Row],[Avance_Med]])*_xlfn.XLOOKUP(Tabla1[[#This Row],[Codigo_actividad]],Catalogo!$B$6:$B$57,Catalogo!$F$6:$F$57,0)</f>
        <v>0</v>
      </c>
      <c r="O885" s="478"/>
    </row>
    <row r="886" spans="1:15" x14ac:dyDescent="0.25">
      <c r="A886" s="354"/>
      <c r="B886" s="199" t="s">
        <v>29</v>
      </c>
      <c r="C886" s="200" t="s">
        <v>411</v>
      </c>
      <c r="D886" s="201"/>
      <c r="E886" s="376" t="s">
        <v>539</v>
      </c>
      <c r="F886" s="28"/>
      <c r="G886" s="28"/>
      <c r="H886" s="224">
        <f>+(Catalogo!$J$56)*Tabla1[[#This Row],[Observaciones]]</f>
        <v>0</v>
      </c>
      <c r="J886" s="76">
        <v>2.4</v>
      </c>
      <c r="K886" s="76" t="str">
        <f>+_xlfn.XLOOKUP(Tabla1[[#This Row],[Codigo_actividad]],Conceptos!A:A,Conceptos!H:H)</f>
        <v>P2.04</v>
      </c>
      <c r="L886" s="66" t="str">
        <f>IF(_xlfn.XLOOKUP($J886,Catalogo!$B$7:$B$210,Catalogo!$I$7:$I$210,"",0)=0,"",_xlfn.XLOOKUP($J886,Catalogo!$B$7:$B$210,Catalogo!$I$7:$I$210,"",0))</f>
        <v>PCM</v>
      </c>
      <c r="M886" s="137" t="s">
        <v>556</v>
      </c>
      <c r="N886" s="261">
        <f>IF(Tabla1[[#This Row],[Avance_km]]&lt;&gt;"",Tabla1[[#This Row],[Avance_km]],Tabla1[[#This Row],[Avance_Med]])*_xlfn.XLOOKUP(Tabla1[[#This Row],[Codigo_actividad]],Catalogo!$B$6:$B$57,Catalogo!$F$6:$F$57,0)</f>
        <v>0</v>
      </c>
      <c r="O886" s="478"/>
    </row>
    <row r="887" spans="1:15" x14ac:dyDescent="0.25">
      <c r="A887" s="354"/>
      <c r="B887" s="199" t="s">
        <v>12</v>
      </c>
      <c r="C887" s="200" t="s">
        <v>561</v>
      </c>
      <c r="D887" s="201"/>
      <c r="E887" s="376" t="s">
        <v>539</v>
      </c>
      <c r="F887" s="28"/>
      <c r="G887" s="28"/>
      <c r="H887" s="224">
        <f>+(Catalogo!$J$56)*Tabla1[[#This Row],[Observaciones]]</f>
        <v>0</v>
      </c>
      <c r="J887" s="76">
        <v>2.4</v>
      </c>
      <c r="K887" s="76" t="str">
        <f>+_xlfn.XLOOKUP(Tabla1[[#This Row],[Codigo_actividad]],Conceptos!A:A,Conceptos!H:H)</f>
        <v>P2.04</v>
      </c>
      <c r="L887" s="66" t="str">
        <f>IF(_xlfn.XLOOKUP($J887,Catalogo!$B$7:$B$210,Catalogo!$I$7:$I$210,"",0)=0,"",_xlfn.XLOOKUP($J887,Catalogo!$B$7:$B$210,Catalogo!$I$7:$I$210,"",0))</f>
        <v>PCM</v>
      </c>
      <c r="M887" s="137" t="s">
        <v>556</v>
      </c>
      <c r="N887" s="261">
        <f>IF(Tabla1[[#This Row],[Avance_km]]&lt;&gt;"",Tabla1[[#This Row],[Avance_km]],Tabla1[[#This Row],[Avance_Med]])*_xlfn.XLOOKUP(Tabla1[[#This Row],[Codigo_actividad]],Catalogo!$B$6:$B$57,Catalogo!$F$6:$F$57,0)</f>
        <v>0</v>
      </c>
      <c r="O887" s="478"/>
    </row>
    <row r="888" spans="1:15" x14ac:dyDescent="0.25">
      <c r="A888" s="354"/>
      <c r="B888" s="199" t="s">
        <v>29</v>
      </c>
      <c r="C888" s="200" t="s">
        <v>561</v>
      </c>
      <c r="D888" s="201"/>
      <c r="E888" s="376" t="s">
        <v>539</v>
      </c>
      <c r="F888" s="28"/>
      <c r="G888" s="28"/>
      <c r="H888" s="224">
        <f>+(Catalogo!$J$56)*Tabla1[[#This Row],[Observaciones]]</f>
        <v>0</v>
      </c>
      <c r="J888" s="76">
        <v>2.4</v>
      </c>
      <c r="K888" s="76" t="str">
        <f>+_xlfn.XLOOKUP(Tabla1[[#This Row],[Codigo_actividad]],Conceptos!A:A,Conceptos!H:H)</f>
        <v>P2.04</v>
      </c>
      <c r="L888" s="66" t="str">
        <f>IF(_xlfn.XLOOKUP($J888,Catalogo!$B$7:$B$210,Catalogo!$I$7:$I$210,"",0)=0,"",_xlfn.XLOOKUP($J888,Catalogo!$B$7:$B$210,Catalogo!$I$7:$I$210,"",0))</f>
        <v>PCM</v>
      </c>
      <c r="M888" s="137" t="s">
        <v>556</v>
      </c>
      <c r="N888" s="261">
        <f>IF(Tabla1[[#This Row],[Avance_km]]&lt;&gt;"",Tabla1[[#This Row],[Avance_km]],Tabla1[[#This Row],[Avance_Med]])*_xlfn.XLOOKUP(Tabla1[[#This Row],[Codigo_actividad]],Catalogo!$B$6:$B$57,Catalogo!$F$6:$F$57,0)</f>
        <v>0</v>
      </c>
      <c r="O888" s="478"/>
    </row>
    <row r="889" spans="1:15" x14ac:dyDescent="0.25">
      <c r="A889" s="354"/>
      <c r="B889" s="114"/>
      <c r="C889" s="155"/>
      <c r="D889" s="39"/>
      <c r="F889" s="28"/>
      <c r="G889" s="28"/>
      <c r="H889" s="370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>
        <f>+_xlfn.XLOOKUP(Tabla1[[#This Row],[Codigo_actividad]],Conceptos!A:A,Conceptos!H:H)</f>
        <v>0</v>
      </c>
      <c r="L889" s="76" t="str">
        <f>IF(_xlfn.XLOOKUP($J889,Catalogo!$B$7:$B$21,Catalogo!$I$7:$I$21,"",0)=0,"",_xlfn.XLOOKUP($J889,Catalogo!$B$7:$B$21,Catalogo!$I$7:$I$21,"",0))</f>
        <v/>
      </c>
      <c r="M889" s="137"/>
      <c r="N889" s="261"/>
    </row>
    <row r="890" spans="1:15" x14ac:dyDescent="0.25">
      <c r="A890" s="354"/>
      <c r="B890" s="199" t="s">
        <v>12</v>
      </c>
      <c r="C890" s="200" t="s">
        <v>329</v>
      </c>
      <c r="D890" s="201"/>
      <c r="E890" s="376" t="s">
        <v>540</v>
      </c>
      <c r="F890" s="28"/>
      <c r="G890" s="28"/>
      <c r="H890" s="224">
        <f>+(Catalogo!$J$57)*Tabla1[[#This Row],[Observaciones]]</f>
        <v>0</v>
      </c>
      <c r="J890" s="76">
        <v>2.4</v>
      </c>
      <c r="K890" s="76" t="str">
        <f>+_xlfn.XLOOKUP(Tabla1[[#This Row],[Codigo_actividad]],Conceptos!A:A,Conceptos!H:H)</f>
        <v>P2.04</v>
      </c>
      <c r="L890" s="66" t="str">
        <f>IF(_xlfn.XLOOKUP($J890,Catalogo!$B$7:$B$210,Catalogo!$I$7:$I$210,"",0)=0,"",_xlfn.XLOOKUP($J890,Catalogo!$B$7:$B$210,Catalogo!$I$7:$I$210,"",0))</f>
        <v>PCM</v>
      </c>
      <c r="M890" s="137" t="s">
        <v>557</v>
      </c>
      <c r="N890" s="261">
        <f>IF(Tabla1[[#This Row],[Avance_km]]&lt;&gt;"",Tabla1[[#This Row],[Avance_km]],Tabla1[[#This Row],[Avance_Med]])*_xlfn.XLOOKUP(Tabla1[[#This Row],[Codigo_actividad]],Catalogo!$B$6:$B$57,Catalogo!$F$6:$F$57,0)</f>
        <v>0</v>
      </c>
      <c r="O890" s="478"/>
    </row>
    <row r="891" spans="1:15" x14ac:dyDescent="0.25">
      <c r="A891" s="354"/>
      <c r="B891" s="199" t="s">
        <v>29</v>
      </c>
      <c r="C891" s="200" t="s">
        <v>411</v>
      </c>
      <c r="D891" s="201"/>
      <c r="E891" s="376" t="s">
        <v>540</v>
      </c>
      <c r="F891" s="28"/>
      <c r="G891" s="28"/>
      <c r="H891" s="224">
        <f>+(Catalogo!$J$57)*Tabla1[[#This Row],[Observaciones]]</f>
        <v>0</v>
      </c>
      <c r="J891" s="76">
        <v>2.4</v>
      </c>
      <c r="K891" s="76" t="str">
        <f>+_xlfn.XLOOKUP(Tabla1[[#This Row],[Codigo_actividad]],Conceptos!A:A,Conceptos!H:H)</f>
        <v>P2.04</v>
      </c>
      <c r="L891" s="66" t="str">
        <f>IF(_xlfn.XLOOKUP($J891,Catalogo!$B$7:$B$210,Catalogo!$I$7:$I$210,"",0)=0,"",_xlfn.XLOOKUP($J891,Catalogo!$B$7:$B$210,Catalogo!$I$7:$I$210,"",0))</f>
        <v>PCM</v>
      </c>
      <c r="M891" s="137" t="s">
        <v>557</v>
      </c>
      <c r="N891" s="261">
        <f>IF(Tabla1[[#This Row],[Avance_km]]&lt;&gt;"",Tabla1[[#This Row],[Avance_km]],Tabla1[[#This Row],[Avance_Med]])*_xlfn.XLOOKUP(Tabla1[[#This Row],[Codigo_actividad]],Catalogo!$B$6:$B$57,Catalogo!$F$6:$F$57,0)</f>
        <v>0</v>
      </c>
      <c r="O891" s="478"/>
    </row>
    <row r="892" spans="1:15" x14ac:dyDescent="0.25">
      <c r="A892" s="354"/>
      <c r="B892" s="199" t="s">
        <v>12</v>
      </c>
      <c r="C892" s="200" t="s">
        <v>329</v>
      </c>
      <c r="D892" s="201"/>
      <c r="E892" s="376" t="s">
        <v>540</v>
      </c>
      <c r="F892" s="28"/>
      <c r="G892" s="28"/>
      <c r="H892" s="224">
        <f>+(Catalogo!$J$57)*Tabla1[[#This Row],[Observaciones]]</f>
        <v>0</v>
      </c>
      <c r="J892" s="76">
        <v>2.4</v>
      </c>
      <c r="K892" s="76" t="str">
        <f>+_xlfn.XLOOKUP(Tabla1[[#This Row],[Codigo_actividad]],Conceptos!A:A,Conceptos!H:H)</f>
        <v>P2.04</v>
      </c>
      <c r="L892" s="66" t="str">
        <f>IF(_xlfn.XLOOKUP($J892,Catalogo!$B$7:$B$210,Catalogo!$I$7:$I$210,"",0)=0,"",_xlfn.XLOOKUP($J892,Catalogo!$B$7:$B$210,Catalogo!$I$7:$I$210,"",0))</f>
        <v>PCM</v>
      </c>
      <c r="M892" s="137" t="s">
        <v>557</v>
      </c>
      <c r="N892" s="261">
        <f>IF(Tabla1[[#This Row],[Avance_km]]&lt;&gt;"",Tabla1[[#This Row],[Avance_km]],Tabla1[[#This Row],[Avance_Med]])*_xlfn.XLOOKUP(Tabla1[[#This Row],[Codigo_actividad]],Catalogo!$B$6:$B$57,Catalogo!$F$6:$F$57,0)</f>
        <v>0</v>
      </c>
      <c r="O892" s="478"/>
    </row>
    <row r="893" spans="1:15" x14ac:dyDescent="0.25">
      <c r="A893" s="354"/>
      <c r="B893" s="199" t="s">
        <v>29</v>
      </c>
      <c r="C893" s="200" t="s">
        <v>411</v>
      </c>
      <c r="D893" s="201"/>
      <c r="E893" s="376" t="s">
        <v>540</v>
      </c>
      <c r="F893" s="28"/>
      <c r="G893" s="28"/>
      <c r="H893" s="224">
        <f>+(Catalogo!$J$57)*Tabla1[[#This Row],[Observaciones]]</f>
        <v>0</v>
      </c>
      <c r="J893" s="76">
        <v>2.4</v>
      </c>
      <c r="K893" s="76" t="str">
        <f>+_xlfn.XLOOKUP(Tabla1[[#This Row],[Codigo_actividad]],Conceptos!A:A,Conceptos!H:H)</f>
        <v>P2.04</v>
      </c>
      <c r="L893" s="66" t="str">
        <f>IF(_xlfn.XLOOKUP($J893,Catalogo!$B$7:$B$210,Catalogo!$I$7:$I$210,"",0)=0,"",_xlfn.XLOOKUP($J893,Catalogo!$B$7:$B$210,Catalogo!$I$7:$I$210,"",0))</f>
        <v>PCM</v>
      </c>
      <c r="M893" s="137" t="s">
        <v>557</v>
      </c>
      <c r="N893" s="261">
        <f>IF(Tabla1[[#This Row],[Avance_km]]&lt;&gt;"",Tabla1[[#This Row],[Avance_km]],Tabla1[[#This Row],[Avance_Med]])*_xlfn.XLOOKUP(Tabla1[[#This Row],[Codigo_actividad]],Catalogo!$B$6:$B$57,Catalogo!$F$6:$F$57,0)</f>
        <v>0</v>
      </c>
      <c r="O893" s="478"/>
    </row>
    <row r="894" spans="1:15" x14ac:dyDescent="0.25">
      <c r="A894" s="354"/>
      <c r="B894" s="199" t="s">
        <v>12</v>
      </c>
      <c r="C894" s="200" t="s">
        <v>561</v>
      </c>
      <c r="D894" s="201"/>
      <c r="E894" s="376" t="s">
        <v>540</v>
      </c>
      <c r="F894" s="28"/>
      <c r="G894" s="28"/>
      <c r="H894" s="224">
        <f>+(Catalogo!$J$57)*Tabla1[[#This Row],[Observaciones]]</f>
        <v>0</v>
      </c>
      <c r="J894" s="76">
        <v>2.4</v>
      </c>
      <c r="K894" s="76" t="str">
        <f>+_xlfn.XLOOKUP(Tabla1[[#This Row],[Codigo_actividad]],Conceptos!A:A,Conceptos!H:H)</f>
        <v>P2.04</v>
      </c>
      <c r="L894" s="66" t="str">
        <f>IF(_xlfn.XLOOKUP($J894,Catalogo!$B$7:$B$210,Catalogo!$I$7:$I$210,"",0)=0,"",_xlfn.XLOOKUP($J894,Catalogo!$B$7:$B$210,Catalogo!$I$7:$I$210,"",0))</f>
        <v>PCM</v>
      </c>
      <c r="M894" s="137" t="s">
        <v>557</v>
      </c>
      <c r="N894" s="261">
        <f>IF(Tabla1[[#This Row],[Avance_km]]&lt;&gt;"",Tabla1[[#This Row],[Avance_km]],Tabla1[[#This Row],[Avance_Med]])*_xlfn.XLOOKUP(Tabla1[[#This Row],[Codigo_actividad]],Catalogo!$B$6:$B$57,Catalogo!$F$6:$F$57,0)</f>
        <v>0</v>
      </c>
      <c r="O894" s="478"/>
    </row>
    <row r="895" spans="1:15" x14ac:dyDescent="0.25">
      <c r="A895" s="354"/>
      <c r="B895" s="199" t="s">
        <v>29</v>
      </c>
      <c r="C895" s="200" t="s">
        <v>561</v>
      </c>
      <c r="D895" s="201"/>
      <c r="E895" s="376" t="s">
        <v>540</v>
      </c>
      <c r="F895" s="28"/>
      <c r="G895" s="28"/>
      <c r="H895" s="224">
        <f>+(Catalogo!$J$57)*Tabla1[[#This Row],[Observaciones]]</f>
        <v>0</v>
      </c>
      <c r="J895" s="76">
        <v>2.4</v>
      </c>
      <c r="K895" s="76" t="str">
        <f>+_xlfn.XLOOKUP(Tabla1[[#This Row],[Codigo_actividad]],Conceptos!A:A,Conceptos!H:H)</f>
        <v>P2.04</v>
      </c>
      <c r="L895" s="66" t="str">
        <f>IF(_xlfn.XLOOKUP($J895,Catalogo!$B$7:$B$210,Catalogo!$I$7:$I$210,"",0)=0,"",_xlfn.XLOOKUP($J895,Catalogo!$B$7:$B$210,Catalogo!$I$7:$I$210,"",0))</f>
        <v>PCM</v>
      </c>
      <c r="M895" s="137" t="s">
        <v>557</v>
      </c>
      <c r="N895" s="261">
        <f>IF(Tabla1[[#This Row],[Avance_km]]&lt;&gt;"",Tabla1[[#This Row],[Avance_km]],Tabla1[[#This Row],[Avance_Med]])*_xlfn.XLOOKUP(Tabla1[[#This Row],[Codigo_actividad]],Catalogo!$B$6:$B$57,Catalogo!$F$6:$F$57,0)</f>
        <v>0</v>
      </c>
      <c r="O895" s="478"/>
    </row>
    <row r="896" spans="1:15" x14ac:dyDescent="0.25">
      <c r="A896" s="354"/>
      <c r="B896" s="114"/>
      <c r="C896" s="155"/>
      <c r="D896" s="39"/>
      <c r="F896" s="28"/>
      <c r="G896" s="28"/>
      <c r="H896" s="224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76">
        <f>+_xlfn.XLOOKUP(Tabla1[[#This Row],[Codigo_actividad]],Conceptos!A:A,Conceptos!H:H)</f>
        <v>0</v>
      </c>
      <c r="L896" s="66" t="str">
        <f>IF(_xlfn.XLOOKUP($J896,Catalogo!$B$7:$B$21,Catalogo!$I$7:$I$21,"",0)=0,"",_xlfn.XLOOKUP($J896,Catalogo!$B$7:$B$21,Catalogo!$I$7:$I$21,"",0))</f>
        <v/>
      </c>
      <c r="M896" s="36"/>
      <c r="N896" s="261">
        <f>IF(Tabla1[[#This Row],[Avance_km]]&lt;&gt;"",Tabla1[[#This Row],[Avance_km]],Tabla1[[#This Row],[Avance_Med]])*_xlfn.XLOOKUP(Tabla1[[#This Row],[Codigo_actividad]],Catalogo!$B$6:$B$51,Catalogo!$F$6:$F$51,0)</f>
        <v>0</v>
      </c>
      <c r="O896" t="str">
        <f>_xlfn.IFNA(_xlfn.XLOOKUP(Tabla1[[#This Row],[fin]],$Q$379:$Q$398,$U$379:$U$398),"")</f>
        <v/>
      </c>
    </row>
    <row r="897" spans="1:15" x14ac:dyDescent="0.25">
      <c r="A897" s="359"/>
      <c r="B897" s="283"/>
      <c r="C897" s="284"/>
      <c r="D897" s="285"/>
      <c r="E897" s="380"/>
      <c r="F897" s="286"/>
      <c r="G897" s="286"/>
      <c r="H897" s="515" t="str">
        <f>IF(Tabla1[[#This Row],[Codigo_actividad]]&lt;&gt;2.5,IF(((Tabla1[[#This Row],[fin]]-Tabla1[[#This Row],[inicio]])/1000)=0,"",((Tabla1[[#This Row],[fin]]-Tabla1[[#This Row],[inicio]])/1000)),"")</f>
        <v/>
      </c>
      <c r="I897" s="519"/>
      <c r="J897" s="516"/>
      <c r="K897" s="516">
        <f>+_xlfn.XLOOKUP(Tabla1[[#This Row],[Codigo_actividad]],Conceptos!A:A,Conceptos!H:H)</f>
        <v>0</v>
      </c>
      <c r="L897" s="516" t="str">
        <f>IF(_xlfn.XLOOKUP($J897,Catalogo!$B$7:$B$21,Catalogo!$I$7:$I$21,"",0)=0,"",_xlfn.XLOOKUP($J897,Catalogo!$B$7:$B$21,Catalogo!$I$7:$I$21,"",0))</f>
        <v/>
      </c>
      <c r="M897" s="517"/>
      <c r="N897" s="518">
        <f>IF(Tabla1[[#This Row],[Avance_km]]&lt;&gt;"",Tabla1[[#This Row],[Avance_km]],Tabla1[[#This Row],[Avance_Med]])*_xlfn.XLOOKUP(Tabla1[[#This Row],[Codigo_actividad]],Catalogo!$B$6:$B$51,Catalogo!$F$6:$F$51,0)</f>
        <v>0</v>
      </c>
      <c r="O897" s="519" t="str">
        <f>_xlfn.IFNA(_xlfn.XLOOKUP(Tabla1[[#This Row],[fin]],$Q$379:$Q$398,$U$379:$U$398),"")</f>
        <v/>
      </c>
    </row>
    <row r="898" spans="1:15" x14ac:dyDescent="0.25">
      <c r="A898" s="354"/>
      <c r="B898" s="114"/>
      <c r="C898" s="155"/>
      <c r="D898" s="39"/>
      <c r="F898" s="28"/>
      <c r="G898" s="28"/>
      <c r="H898" s="224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76">
        <f>+_xlfn.XLOOKUP(Tabla1[[#This Row],[Codigo_actividad]],Conceptos!A:A,Conceptos!H:H)</f>
        <v>0</v>
      </c>
      <c r="L898" s="66" t="str">
        <f>IF(_xlfn.XLOOKUP($J898,Catalogo!$B$7:$B$21,Catalogo!$I$7:$I$21,"",0)=0,"",_xlfn.XLOOKUP($J898,Catalogo!$B$7:$B$21,Catalogo!$I$7:$I$21,"",0))</f>
        <v/>
      </c>
      <c r="M898" s="36"/>
      <c r="N898" s="261">
        <f>IF(Tabla1[[#This Row],[Avance_km]]&lt;&gt;"",Tabla1[[#This Row],[Avance_km]],Tabla1[[#This Row],[Avance_Med]])*_xlfn.XLOOKUP(Tabla1[[#This Row],[Codigo_actividad]],Catalogo!$B$6:$B$51,Catalogo!$F$6:$F$51,0)</f>
        <v>0</v>
      </c>
      <c r="O898" t="str">
        <f>_xlfn.IFNA(_xlfn.XLOOKUP(Tabla1[[#This Row],[fin]],$Q$379:$Q$398,$U$379:$U$398),"")</f>
        <v/>
      </c>
    </row>
    <row r="899" spans="1:15" x14ac:dyDescent="0.25">
      <c r="A899" s="354">
        <v>46294</v>
      </c>
      <c r="B899" s="114" t="s">
        <v>590</v>
      </c>
      <c r="C899" s="155" t="s">
        <v>13</v>
      </c>
      <c r="D899" s="506" t="s">
        <v>596</v>
      </c>
      <c r="E899" s="40" t="s">
        <v>589</v>
      </c>
      <c r="F899" s="493" t="s">
        <v>171</v>
      </c>
      <c r="G899" s="493" t="s">
        <v>171</v>
      </c>
      <c r="H899" s="502">
        <f>+Catalogo!$J$58*Tabla1[[#This Row],[Observaciones]]</f>
        <v>1.4028035349744601</v>
      </c>
      <c r="I899" s="66"/>
      <c r="J899" s="76">
        <v>2.4</v>
      </c>
      <c r="K899" s="76" t="str">
        <f>+_xlfn.XLOOKUP(Tabla1[[#This Row],[Codigo_actividad]],Conceptos!A:A,Conceptos!H:H)</f>
        <v>P2.04</v>
      </c>
      <c r="L899" s="66" t="str">
        <f>IF(_xlfn.XLOOKUP($J899,Catalogo!$B$7:$B$21,Catalogo!$I$7:$I$21,"",0)=0,"",_xlfn.XLOOKUP($J899,Catalogo!$B$7:$B$21,Catalogo!$I$7:$I$21,"",0))</f>
        <v>PCM</v>
      </c>
      <c r="M899" s="36"/>
      <c r="N899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899" s="505">
        <v>1</v>
      </c>
    </row>
    <row r="900" spans="1:15" x14ac:dyDescent="0.25">
      <c r="A900" s="354">
        <v>46294</v>
      </c>
      <c r="B900" s="114" t="s">
        <v>590</v>
      </c>
      <c r="C900" s="155" t="s">
        <v>13</v>
      </c>
      <c r="D900" s="506" t="s">
        <v>42</v>
      </c>
      <c r="E900" s="40" t="s">
        <v>589</v>
      </c>
      <c r="F900" s="493" t="s">
        <v>171</v>
      </c>
      <c r="G900" s="493" t="s">
        <v>171</v>
      </c>
      <c r="H900" s="502">
        <f>+Catalogo!$J$58*Tabla1[[#This Row],[Observaciones]]</f>
        <v>1.4028035349744601</v>
      </c>
      <c r="I900" s="66"/>
      <c r="J900" s="76">
        <v>2.4</v>
      </c>
      <c r="K900" s="76" t="str">
        <f>+_xlfn.XLOOKUP(Tabla1[[#This Row],[Codigo_actividad]],Conceptos!A:A,Conceptos!H:H)</f>
        <v>P2.04</v>
      </c>
      <c r="L900" s="66" t="str">
        <f>IF(_xlfn.XLOOKUP($J900,Catalogo!$B$7:$B$21,Catalogo!$I$7:$I$21,"",0)=0,"",_xlfn.XLOOKUP($J900,Catalogo!$B$7:$B$21,Catalogo!$I$7:$I$21,"",0))</f>
        <v>PCM</v>
      </c>
      <c r="M900" s="36"/>
      <c r="N900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0" s="505">
        <v>1</v>
      </c>
    </row>
    <row r="901" spans="1:15" x14ac:dyDescent="0.25">
      <c r="A901" s="354">
        <v>46294</v>
      </c>
      <c r="B901" s="114" t="s">
        <v>590</v>
      </c>
      <c r="C901" s="155" t="s">
        <v>411</v>
      </c>
      <c r="D901" s="506" t="s">
        <v>606</v>
      </c>
      <c r="E901" s="40" t="s">
        <v>589</v>
      </c>
      <c r="F901" s="493" t="s">
        <v>171</v>
      </c>
      <c r="G901" s="493" t="s">
        <v>171</v>
      </c>
      <c r="H901" s="502">
        <f>+Catalogo!$J$58*Tabla1[[#This Row],[Observaciones]]</f>
        <v>1.4028035349744601</v>
      </c>
      <c r="I901" s="66"/>
      <c r="J901" s="76">
        <v>2.4</v>
      </c>
      <c r="K901" s="76" t="str">
        <f>+_xlfn.XLOOKUP(Tabla1[[#This Row],[Codigo_actividad]],Conceptos!A:A,Conceptos!H:H)</f>
        <v>P2.04</v>
      </c>
      <c r="L901" s="66" t="str">
        <f>IF(_xlfn.XLOOKUP($J901,Catalogo!$B$7:$B$21,Catalogo!$I$7:$I$21,"",0)=0,"",_xlfn.XLOOKUP($J901,Catalogo!$B$7:$B$21,Catalogo!$I$7:$I$21,"",0))</f>
        <v>PCM</v>
      </c>
      <c r="M901" s="36"/>
      <c r="N901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1" s="505">
        <v>1</v>
      </c>
    </row>
    <row r="902" spans="1:15" x14ac:dyDescent="0.25">
      <c r="A902" s="354">
        <v>46297</v>
      </c>
      <c r="B902" s="114" t="s">
        <v>590</v>
      </c>
      <c r="C902" s="155" t="s">
        <v>329</v>
      </c>
      <c r="D902" s="507" t="s">
        <v>601</v>
      </c>
      <c r="E902" s="40" t="s">
        <v>589</v>
      </c>
      <c r="F902" s="493" t="s">
        <v>171</v>
      </c>
      <c r="G902" s="493" t="s">
        <v>171</v>
      </c>
      <c r="H902" s="502">
        <f>+Catalogo!$J$58*Tabla1[[#This Row],[Observaciones]]</f>
        <v>1.4028035349744601</v>
      </c>
      <c r="I902" s="66"/>
      <c r="J902" s="76">
        <v>2.4</v>
      </c>
      <c r="K902" s="76" t="str">
        <f>+_xlfn.XLOOKUP(Tabla1[[#This Row],[Codigo_actividad]],Conceptos!A:A,Conceptos!H:H)</f>
        <v>P2.04</v>
      </c>
      <c r="L902" s="66" t="str">
        <f>IF(_xlfn.XLOOKUP($J902,Catalogo!$B$7:$B$21,Catalogo!$I$7:$I$21,"",0)=0,"",_xlfn.XLOOKUP($J902,Catalogo!$B$7:$B$21,Catalogo!$I$7:$I$21,"",0))</f>
        <v>PCM</v>
      </c>
      <c r="M902" s="36"/>
      <c r="N902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2" s="505">
        <v>1</v>
      </c>
    </row>
    <row r="903" spans="1:15" x14ac:dyDescent="0.25">
      <c r="A903" s="354">
        <v>46296</v>
      </c>
      <c r="B903" s="114" t="s">
        <v>590</v>
      </c>
      <c r="C903" s="155" t="s">
        <v>329</v>
      </c>
      <c r="D903" s="507" t="s">
        <v>604</v>
      </c>
      <c r="E903" s="40" t="s">
        <v>589</v>
      </c>
      <c r="F903" s="493" t="s">
        <v>171</v>
      </c>
      <c r="G903" s="493" t="s">
        <v>171</v>
      </c>
      <c r="H903" s="502">
        <f>+Catalogo!$J$58*Tabla1[[#This Row],[Observaciones]]</f>
        <v>1.4028035349744601</v>
      </c>
      <c r="I903" s="66"/>
      <c r="J903" s="76">
        <v>2.4</v>
      </c>
      <c r="K903" s="76" t="str">
        <f>+_xlfn.XLOOKUP(Tabla1[[#This Row],[Codigo_actividad]],Conceptos!A:A,Conceptos!H:H)</f>
        <v>P2.04</v>
      </c>
      <c r="L903" s="66" t="str">
        <f>IF(_xlfn.XLOOKUP($J903,Catalogo!$B$7:$B$21,Catalogo!$I$7:$I$21,"",0)=0,"",_xlfn.XLOOKUP($J903,Catalogo!$B$7:$B$21,Catalogo!$I$7:$I$21,"",0))</f>
        <v>PCM</v>
      </c>
      <c r="M903" s="36"/>
      <c r="N903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3" s="505">
        <v>1</v>
      </c>
    </row>
    <row r="904" spans="1:15" x14ac:dyDescent="0.25">
      <c r="A904" s="354">
        <v>46296</v>
      </c>
      <c r="B904" s="114" t="s">
        <v>590</v>
      </c>
      <c r="C904" s="155" t="s">
        <v>536</v>
      </c>
      <c r="D904" s="507" t="s">
        <v>608</v>
      </c>
      <c r="E904" s="40" t="s">
        <v>589</v>
      </c>
      <c r="F904" s="493" t="s">
        <v>171</v>
      </c>
      <c r="G904" s="493" t="s">
        <v>171</v>
      </c>
      <c r="H904" s="502">
        <f>+Catalogo!$J$58*Tabla1[[#This Row],[Observaciones]]</f>
        <v>1.4028035349744601</v>
      </c>
      <c r="I904" s="66"/>
      <c r="J904" s="76">
        <v>2.4</v>
      </c>
      <c r="K904" s="76" t="str">
        <f>+_xlfn.XLOOKUP(Tabla1[[#This Row],[Codigo_actividad]],Conceptos!A:A,Conceptos!H:H)</f>
        <v>P2.04</v>
      </c>
      <c r="L904" s="66" t="str">
        <f>IF(_xlfn.XLOOKUP($J904,Catalogo!$B$7:$B$21,Catalogo!$I$7:$I$21,"",0)=0,"",_xlfn.XLOOKUP($J904,Catalogo!$B$7:$B$21,Catalogo!$I$7:$I$21,"",0))</f>
        <v>PCM</v>
      </c>
      <c r="M904" s="36"/>
      <c r="N904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4" s="505">
        <v>1</v>
      </c>
    </row>
    <row r="905" spans="1:15" x14ac:dyDescent="0.25">
      <c r="A905" s="354">
        <v>46297</v>
      </c>
      <c r="B905" s="114" t="s">
        <v>590</v>
      </c>
      <c r="C905" s="155" t="s">
        <v>536</v>
      </c>
      <c r="D905" s="507" t="s">
        <v>611</v>
      </c>
      <c r="E905" s="40" t="s">
        <v>589</v>
      </c>
      <c r="F905" s="493" t="s">
        <v>171</v>
      </c>
      <c r="G905" s="493" t="s">
        <v>171</v>
      </c>
      <c r="H905" s="502">
        <f>+Catalogo!$J$58*Tabla1[[#This Row],[Observaciones]]</f>
        <v>1.4028035349744601</v>
      </c>
      <c r="I905" s="66"/>
      <c r="J905" s="76">
        <v>2.4</v>
      </c>
      <c r="K905" s="76" t="str">
        <f>+_xlfn.XLOOKUP(Tabla1[[#This Row],[Codigo_actividad]],Conceptos!A:A,Conceptos!H:H)</f>
        <v>P2.04</v>
      </c>
      <c r="L905" s="66" t="str">
        <f>IF(_xlfn.XLOOKUP($J905,Catalogo!$B$7:$B$21,Catalogo!$I$7:$I$21,"",0)=0,"",_xlfn.XLOOKUP($J905,Catalogo!$B$7:$B$21,Catalogo!$I$7:$I$21,"",0))</f>
        <v>PCM</v>
      </c>
      <c r="M905" s="36"/>
      <c r="N905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5" s="505">
        <v>1</v>
      </c>
    </row>
    <row r="906" spans="1:15" x14ac:dyDescent="0.25">
      <c r="A906" s="354"/>
      <c r="B906" s="114"/>
      <c r="C906" s="155"/>
      <c r="D906" s="39"/>
      <c r="F906" s="28"/>
      <c r="G906" s="28"/>
      <c r="H906" s="224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76">
        <f>+_xlfn.XLOOKUP(Tabla1[[#This Row],[Codigo_actividad]],Conceptos!A:A,Conceptos!H:H)</f>
        <v>0</v>
      </c>
      <c r="L906" s="66" t="str">
        <f>IF(_xlfn.XLOOKUP($J906,Catalogo!$B$7:$B$21,Catalogo!$I$7:$I$21,"",0)=0,"",_xlfn.XLOOKUP($J906,Catalogo!$B$7:$B$21,Catalogo!$I$7:$I$21,"",0))</f>
        <v/>
      </c>
      <c r="M906" s="36"/>
      <c r="N906" s="261">
        <f>IF(Tabla1[[#This Row],[Avance_km]]&lt;&gt;"",Tabla1[[#This Row],[Avance_km]],Tabla1[[#This Row],[Avance_Med]])*_xlfn.XLOOKUP(Tabla1[[#This Row],[Codigo_actividad]],Catalogo!$B$6:$B$51,Catalogo!$F$6:$F$51,0)</f>
        <v>0</v>
      </c>
      <c r="O906" t="str">
        <f>_xlfn.IFNA(_xlfn.XLOOKUP(Tabla1[[#This Row],[fin]],$Q$379:$Q$398,$U$379:$U$398),"")</f>
        <v/>
      </c>
    </row>
    <row r="907" spans="1:15" x14ac:dyDescent="0.25">
      <c r="A907" s="359"/>
      <c r="B907" s="283"/>
      <c r="C907" s="284"/>
      <c r="D907" s="285"/>
      <c r="E907" s="380"/>
      <c r="F907" s="286"/>
      <c r="G907" s="286"/>
      <c r="H907" s="515" t="str">
        <f>IF(Tabla1[[#This Row],[Codigo_actividad]]&lt;&gt;2.5,IF(((Tabla1[[#This Row],[fin]]-Tabla1[[#This Row],[inicio]])/1000)=0,"",((Tabla1[[#This Row],[fin]]-Tabla1[[#This Row],[inicio]])/1000)),"")</f>
        <v/>
      </c>
      <c r="I907" s="519"/>
      <c r="J907" s="516"/>
      <c r="K907" s="516">
        <f>+_xlfn.XLOOKUP(Tabla1[[#This Row],[Codigo_actividad]],Conceptos!A:A,Conceptos!H:H)</f>
        <v>0</v>
      </c>
      <c r="L907" s="516" t="str">
        <f>IF(_xlfn.XLOOKUP($J907,Catalogo!$B$7:$B$21,Catalogo!$I$7:$I$21,"",0)=0,"",_xlfn.XLOOKUP($J907,Catalogo!$B$7:$B$21,Catalogo!$I$7:$I$21,"",0))</f>
        <v/>
      </c>
      <c r="M907" s="517"/>
      <c r="N907" s="518">
        <f>IF(Tabla1[[#This Row],[Avance_km]]&lt;&gt;"",Tabla1[[#This Row],[Avance_km]],Tabla1[[#This Row],[Avance_Med]])*_xlfn.XLOOKUP(Tabla1[[#This Row],[Codigo_actividad]],Catalogo!$B$6:$B$51,Catalogo!$F$6:$F$51,0)</f>
        <v>0</v>
      </c>
      <c r="O907" s="519" t="str">
        <f>_xlfn.IFNA(_xlfn.XLOOKUP(Tabla1[[#This Row],[fin]],$Q$379:$Q$398,$U$379:$U$398),"")</f>
        <v/>
      </c>
    </row>
    <row r="908" spans="1:15" x14ac:dyDescent="0.25">
      <c r="A908" s="354"/>
      <c r="C908" s="155"/>
      <c r="D908" s="39"/>
      <c r="F908" s="28"/>
      <c r="G908" s="28"/>
      <c r="H908" s="224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76">
        <f>+_xlfn.XLOOKUP(Tabla1[[#This Row],[Codigo_actividad]],Conceptos!A:A,Conceptos!H:H)</f>
        <v>0</v>
      </c>
      <c r="L908" s="66" t="str">
        <f>IF(_xlfn.XLOOKUP($J908,Catalogo!$B$7:$B$210,Catalogo!$I$7:$I$210,"",0)=0,"",_xlfn.XLOOKUP($J908,Catalogo!$B$7:$B$210,Catalogo!$I$7:$I$210,"",0))</f>
        <v/>
      </c>
      <c r="M908" s="36"/>
      <c r="N90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5" x14ac:dyDescent="0.25">
      <c r="A909" s="356">
        <v>46111</v>
      </c>
      <c r="B909" s="262" t="s">
        <v>410</v>
      </c>
      <c r="C909" s="263" t="s">
        <v>13</v>
      </c>
      <c r="D909" s="264" t="s">
        <v>403</v>
      </c>
      <c r="E909" s="377" t="s">
        <v>404</v>
      </c>
      <c r="F909" s="265"/>
      <c r="G909" s="265"/>
      <c r="H909" s="224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76" t="str">
        <f>+_xlfn.XLOOKUP(Tabla1[[#This Row],[Codigo_actividad]],Conceptos!A:A,Conceptos!H:H)</f>
        <v>P1.01</v>
      </c>
      <c r="L909" s="66" t="str">
        <f>IF(_xlfn.XLOOKUP($J909,Catalogo!$B$7:$B$210,Catalogo!$I$7:$I$210,"",0)=0,"",_xlfn.XLOOKUP($J909,Catalogo!$B$7:$B$210,Catalogo!$I$7:$I$210,"",0))</f>
        <v>RECOPILACION</v>
      </c>
      <c r="M909" s="36"/>
      <c r="N909" s="261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5" x14ac:dyDescent="0.25">
      <c r="A910" s="356">
        <v>46111</v>
      </c>
      <c r="B910" s="262" t="s">
        <v>410</v>
      </c>
      <c r="C910" s="263" t="s">
        <v>13</v>
      </c>
      <c r="D910" s="264" t="s">
        <v>403</v>
      </c>
      <c r="E910" s="377" t="s">
        <v>405</v>
      </c>
      <c r="F910" s="265"/>
      <c r="G910" s="265"/>
      <c r="H910" s="224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76" t="str">
        <f>+_xlfn.XLOOKUP(Tabla1[[#This Row],[Codigo_actividad]],Conceptos!A:A,Conceptos!H:H)</f>
        <v>P1.02</v>
      </c>
      <c r="L910" s="66" t="str">
        <f>IF(_xlfn.XLOOKUP($J910,Catalogo!$B$7:$B$210,Catalogo!$I$7:$I$210,"",0)=0,"",_xlfn.XLOOKUP($J910,Catalogo!$B$7:$B$210,Catalogo!$I$7:$I$210,"",0))</f>
        <v>ANALISIS</v>
      </c>
      <c r="M910" s="36"/>
      <c r="N910" s="261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5" x14ac:dyDescent="0.25">
      <c r="A911" s="356">
        <v>46111</v>
      </c>
      <c r="B911" s="262" t="s">
        <v>410</v>
      </c>
      <c r="C911" s="263" t="s">
        <v>13</v>
      </c>
      <c r="D911" s="264" t="s">
        <v>403</v>
      </c>
      <c r="E911" s="377" t="s">
        <v>406</v>
      </c>
      <c r="F911" s="265"/>
      <c r="G911" s="265"/>
      <c r="H911" s="224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76" t="str">
        <f>+_xlfn.XLOOKUP(Tabla1[[#This Row],[Codigo_actividad]],Conceptos!A:A,Conceptos!H:H)</f>
        <v>P1.03</v>
      </c>
      <c r="L911" s="66" t="str">
        <f>IF(_xlfn.XLOOKUP($J911,Catalogo!$B$7:$B$210,Catalogo!$I$7:$I$210,"",0)=0,"",_xlfn.XLOOKUP($J911,Catalogo!$B$7:$B$210,Catalogo!$I$7:$I$210,"",0))</f>
        <v>FACTIBILIDAD</v>
      </c>
      <c r="M911" s="36"/>
      <c r="N911" s="261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5" x14ac:dyDescent="0.25">
      <c r="A912" s="356">
        <v>46111</v>
      </c>
      <c r="B912" s="262" t="s">
        <v>410</v>
      </c>
      <c r="C912" s="263" t="s">
        <v>13</v>
      </c>
      <c r="D912" s="264" t="s">
        <v>403</v>
      </c>
      <c r="E912" s="377" t="s">
        <v>407</v>
      </c>
      <c r="F912" s="265"/>
      <c r="G912" s="265"/>
      <c r="H912" s="224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76" t="str">
        <f>+_xlfn.XLOOKUP(Tabla1[[#This Row],[Codigo_actividad]],Conceptos!A:A,Conceptos!H:H)</f>
        <v>P1.04</v>
      </c>
      <c r="L912" s="66" t="str">
        <f>IF(_xlfn.XLOOKUP($J912,Catalogo!$B$7:$B$210,Catalogo!$I$7:$I$210,"",0)=0,"",_xlfn.XLOOKUP($J912,Catalogo!$B$7:$B$210,Catalogo!$I$7:$I$210,"",0))</f>
        <v>SELECCIÓN HERRAMIENTAS</v>
      </c>
      <c r="M912" s="36"/>
      <c r="N912" s="261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4" x14ac:dyDescent="0.25">
      <c r="A913" s="356">
        <v>46111</v>
      </c>
      <c r="B913" s="262" t="s">
        <v>410</v>
      </c>
      <c r="C913" s="263" t="s">
        <v>13</v>
      </c>
      <c r="D913" s="264" t="s">
        <v>403</v>
      </c>
      <c r="E913" s="377" t="s">
        <v>408</v>
      </c>
      <c r="F913" s="265"/>
      <c r="G913" s="265"/>
      <c r="H913" s="224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76" t="str">
        <f>+_xlfn.XLOOKUP(Tabla1[[#This Row],[Codigo_actividad]],Conceptos!A:A,Conceptos!H:H)</f>
        <v>P1.05</v>
      </c>
      <c r="L913" s="66" t="str">
        <f>IF(_xlfn.XLOOKUP($J913,Catalogo!$B$7:$B$210,Catalogo!$I$7:$I$210,"",0)=0,"",_xlfn.XLOOKUP($J913,Catalogo!$B$7:$B$210,Catalogo!$I$7:$I$210,"",0))</f>
        <v>REGIONES ECDA</v>
      </c>
      <c r="M913" s="36"/>
      <c r="N913" s="261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4" x14ac:dyDescent="0.25">
      <c r="A914" s="356">
        <v>46111</v>
      </c>
      <c r="B914" s="262" t="s">
        <v>410</v>
      </c>
      <c r="C914" s="263" t="s">
        <v>13</v>
      </c>
      <c r="D914" s="264" t="s">
        <v>403</v>
      </c>
      <c r="E914" s="377" t="s">
        <v>409</v>
      </c>
      <c r="F914" s="265"/>
      <c r="G914" s="265"/>
      <c r="H914" s="224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76" t="str">
        <f>+_xlfn.XLOOKUP(Tabla1[[#This Row],[Codigo_actividad]],Conceptos!A:A,Conceptos!H:H)</f>
        <v>P1.06</v>
      </c>
      <c r="L914" s="66" t="str">
        <f>IF(_xlfn.XLOOKUP($J914,Catalogo!$B$7:$B$210,Catalogo!$I$7:$I$210,"",0)=0,"",_xlfn.XLOOKUP($J914,Catalogo!$B$7:$B$210,Catalogo!$I$7:$I$210,"",0))</f>
        <v>REPORTE E1</v>
      </c>
      <c r="M914" s="36"/>
      <c r="N914" s="261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4" x14ac:dyDescent="0.25">
      <c r="A915" s="357">
        <v>46111</v>
      </c>
      <c r="B915" s="266" t="s">
        <v>410</v>
      </c>
      <c r="C915" s="267" t="s">
        <v>22</v>
      </c>
      <c r="D915" s="268" t="s">
        <v>403</v>
      </c>
      <c r="E915" s="378" t="s">
        <v>404</v>
      </c>
      <c r="F915" s="269"/>
      <c r="G915" s="269"/>
      <c r="H915" s="224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76" t="str">
        <f>+_xlfn.XLOOKUP(Tabla1[[#This Row],[Codigo_actividad]],Conceptos!A:A,Conceptos!H:H)</f>
        <v>P1.01</v>
      </c>
      <c r="L915" s="66" t="str">
        <f>IF(_xlfn.XLOOKUP($J915,Catalogo!$B$7:$B$210,Catalogo!$I$7:$I$210,"",0)=0,"",_xlfn.XLOOKUP($J915,Catalogo!$B$7:$B$210,Catalogo!$I$7:$I$210,"",0))</f>
        <v>RECOPILACION</v>
      </c>
      <c r="M915" s="36"/>
      <c r="N915" s="261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4" x14ac:dyDescent="0.25">
      <c r="A916" s="357">
        <v>46111</v>
      </c>
      <c r="B916" s="266" t="s">
        <v>410</v>
      </c>
      <c r="C916" s="267" t="s">
        <v>22</v>
      </c>
      <c r="D916" s="268" t="s">
        <v>403</v>
      </c>
      <c r="E916" s="378" t="s">
        <v>405</v>
      </c>
      <c r="F916" s="269"/>
      <c r="G916" s="269"/>
      <c r="H916" s="224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76" t="str">
        <f>+_xlfn.XLOOKUP(Tabla1[[#This Row],[Codigo_actividad]],Conceptos!A:A,Conceptos!H:H)</f>
        <v>P1.02</v>
      </c>
      <c r="L916" s="66" t="str">
        <f>IF(_xlfn.XLOOKUP($J916,Catalogo!$B$7:$B$210,Catalogo!$I$7:$I$210,"",0)=0,"",_xlfn.XLOOKUP($J916,Catalogo!$B$7:$B$210,Catalogo!$I$7:$I$210,"",0))</f>
        <v>ANALISIS</v>
      </c>
      <c r="M916" s="36"/>
      <c r="N916" s="261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4" x14ac:dyDescent="0.25">
      <c r="A917" s="357">
        <v>46111</v>
      </c>
      <c r="B917" s="266" t="s">
        <v>410</v>
      </c>
      <c r="C917" s="267" t="s">
        <v>22</v>
      </c>
      <c r="D917" s="268" t="s">
        <v>403</v>
      </c>
      <c r="E917" s="378" t="s">
        <v>406</v>
      </c>
      <c r="F917" s="269"/>
      <c r="G917" s="269"/>
      <c r="H917" s="224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76" t="str">
        <f>+_xlfn.XLOOKUP(Tabla1[[#This Row],[Codigo_actividad]],Conceptos!A:A,Conceptos!H:H)</f>
        <v>P1.03</v>
      </c>
      <c r="L917" s="66" t="str">
        <f>IF(_xlfn.XLOOKUP($J917,Catalogo!$B$7:$B$210,Catalogo!$I$7:$I$210,"",0)=0,"",_xlfn.XLOOKUP($J917,Catalogo!$B$7:$B$210,Catalogo!$I$7:$I$210,"",0))</f>
        <v>FACTIBILIDAD</v>
      </c>
      <c r="M917" s="36"/>
      <c r="N917" s="261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4" x14ac:dyDescent="0.25">
      <c r="A918" s="357">
        <v>46111</v>
      </c>
      <c r="B918" s="266" t="s">
        <v>410</v>
      </c>
      <c r="C918" s="267" t="s">
        <v>22</v>
      </c>
      <c r="D918" s="268" t="s">
        <v>403</v>
      </c>
      <c r="E918" s="378" t="s">
        <v>407</v>
      </c>
      <c r="F918" s="269"/>
      <c r="G918" s="269"/>
      <c r="H918" s="224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76" t="str">
        <f>+_xlfn.XLOOKUP(Tabla1[[#This Row],[Codigo_actividad]],Conceptos!A:A,Conceptos!H:H)</f>
        <v>P1.04</v>
      </c>
      <c r="L918" s="66" t="str">
        <f>IF(_xlfn.XLOOKUP($J918,Catalogo!$B$7:$B$210,Catalogo!$I$7:$I$210,"",0)=0,"",_xlfn.XLOOKUP($J918,Catalogo!$B$7:$B$210,Catalogo!$I$7:$I$210,"",0))</f>
        <v>SELECCIÓN HERRAMIENTAS</v>
      </c>
      <c r="M918" s="36"/>
      <c r="N918" s="261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4" x14ac:dyDescent="0.25">
      <c r="A919" s="357">
        <v>46111</v>
      </c>
      <c r="B919" s="266" t="s">
        <v>410</v>
      </c>
      <c r="C919" s="267" t="s">
        <v>22</v>
      </c>
      <c r="D919" s="268" t="s">
        <v>403</v>
      </c>
      <c r="E919" s="378" t="s">
        <v>408</v>
      </c>
      <c r="F919" s="269"/>
      <c r="G919" s="269"/>
      <c r="H919" s="224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76" t="str">
        <f>+_xlfn.XLOOKUP(Tabla1[[#This Row],[Codigo_actividad]],Conceptos!A:A,Conceptos!H:H)</f>
        <v>P1.05</v>
      </c>
      <c r="L919" s="66" t="str">
        <f>IF(_xlfn.XLOOKUP($J919,Catalogo!$B$7:$B$210,Catalogo!$I$7:$I$210,"",0)=0,"",_xlfn.XLOOKUP($J919,Catalogo!$B$7:$B$210,Catalogo!$I$7:$I$210,"",0))</f>
        <v>REGIONES ECDA</v>
      </c>
      <c r="M919" s="36"/>
      <c r="N919" s="261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4" x14ac:dyDescent="0.25">
      <c r="A920" s="357">
        <v>46111</v>
      </c>
      <c r="B920" s="266" t="s">
        <v>410</v>
      </c>
      <c r="C920" s="267" t="s">
        <v>22</v>
      </c>
      <c r="D920" s="268" t="s">
        <v>403</v>
      </c>
      <c r="E920" s="378" t="s">
        <v>409</v>
      </c>
      <c r="F920" s="269"/>
      <c r="G920" s="269"/>
      <c r="H920" s="224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76" t="str">
        <f>+_xlfn.XLOOKUP(Tabla1[[#This Row],[Codigo_actividad]],Conceptos!A:A,Conceptos!H:H)</f>
        <v>P1.06</v>
      </c>
      <c r="L920" s="66" t="str">
        <f>IF(_xlfn.XLOOKUP($J920,Catalogo!$B$7:$B$210,Catalogo!$I$7:$I$210,"",0)=0,"",_xlfn.XLOOKUP($J920,Catalogo!$B$7:$B$210,Catalogo!$I$7:$I$210,"",0))</f>
        <v>REPORTE E1</v>
      </c>
      <c r="M920" s="36"/>
      <c r="N920" s="261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4" x14ac:dyDescent="0.25">
      <c r="A921" s="358">
        <v>46111</v>
      </c>
      <c r="B921" s="270" t="s">
        <v>410</v>
      </c>
      <c r="C921" s="271" t="s">
        <v>329</v>
      </c>
      <c r="D921" s="272" t="s">
        <v>403</v>
      </c>
      <c r="E921" s="379" t="s">
        <v>404</v>
      </c>
      <c r="F921" s="273"/>
      <c r="G921" s="273"/>
      <c r="H921" s="224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76" t="str">
        <f>+_xlfn.XLOOKUP(Tabla1[[#This Row],[Codigo_actividad]],Conceptos!A:A,Conceptos!H:H)</f>
        <v>P1.01</v>
      </c>
      <c r="L921" s="66" t="str">
        <f>IF(_xlfn.XLOOKUP($J921,Catalogo!$B$7:$B$210,Catalogo!$I$7:$I$210,"",0)=0,"",_xlfn.XLOOKUP($J921,Catalogo!$B$7:$B$210,Catalogo!$I$7:$I$210,"",0))</f>
        <v>RECOPILACION</v>
      </c>
      <c r="M921" s="36"/>
      <c r="N921" s="261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4" x14ac:dyDescent="0.25">
      <c r="A922" s="358">
        <v>46111</v>
      </c>
      <c r="B922" s="270" t="s">
        <v>410</v>
      </c>
      <c r="C922" s="271" t="s">
        <v>329</v>
      </c>
      <c r="D922" s="272" t="s">
        <v>403</v>
      </c>
      <c r="E922" s="379" t="s">
        <v>405</v>
      </c>
      <c r="F922" s="273"/>
      <c r="G922" s="273"/>
      <c r="H922" s="224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76" t="str">
        <f>+_xlfn.XLOOKUP(Tabla1[[#This Row],[Codigo_actividad]],Conceptos!A:A,Conceptos!H:H)</f>
        <v>P1.02</v>
      </c>
      <c r="L922" s="66" t="str">
        <f>IF(_xlfn.XLOOKUP($J922,Catalogo!$B$7:$B$210,Catalogo!$I$7:$I$210,"",0)=0,"",_xlfn.XLOOKUP($J922,Catalogo!$B$7:$B$210,Catalogo!$I$7:$I$210,"",0))</f>
        <v>ANALISIS</v>
      </c>
      <c r="M922" s="36"/>
      <c r="N922" s="261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4" x14ac:dyDescent="0.25">
      <c r="A923" s="358">
        <v>46111</v>
      </c>
      <c r="B923" s="270" t="s">
        <v>410</v>
      </c>
      <c r="C923" s="271" t="s">
        <v>329</v>
      </c>
      <c r="D923" s="272" t="s">
        <v>403</v>
      </c>
      <c r="E923" s="379" t="s">
        <v>406</v>
      </c>
      <c r="F923" s="273"/>
      <c r="G923" s="273"/>
      <c r="H923" s="224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76" t="str">
        <f>+_xlfn.XLOOKUP(Tabla1[[#This Row],[Codigo_actividad]],Conceptos!A:A,Conceptos!H:H)</f>
        <v>P1.03</v>
      </c>
      <c r="L923" s="66" t="str">
        <f>IF(_xlfn.XLOOKUP($J923,Catalogo!$B$7:$B$210,Catalogo!$I$7:$I$210,"",0)=0,"",_xlfn.XLOOKUP($J923,Catalogo!$B$7:$B$210,Catalogo!$I$7:$I$210,"",0))</f>
        <v>FACTIBILIDAD</v>
      </c>
      <c r="M923" s="36"/>
      <c r="N923" s="261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4" x14ac:dyDescent="0.25">
      <c r="A924" s="358">
        <v>46111</v>
      </c>
      <c r="B924" s="270" t="s">
        <v>410</v>
      </c>
      <c r="C924" s="271" t="s">
        <v>329</v>
      </c>
      <c r="D924" s="272" t="s">
        <v>403</v>
      </c>
      <c r="E924" s="379" t="s">
        <v>407</v>
      </c>
      <c r="F924" s="273"/>
      <c r="G924" s="273"/>
      <c r="H924" s="224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76" t="str">
        <f>+_xlfn.XLOOKUP(Tabla1[[#This Row],[Codigo_actividad]],Conceptos!A:A,Conceptos!H:H)</f>
        <v>P1.04</v>
      </c>
      <c r="L924" s="66" t="str">
        <f>IF(_xlfn.XLOOKUP($J924,Catalogo!$B$7:$B$210,Catalogo!$I$7:$I$210,"",0)=0,"",_xlfn.XLOOKUP($J924,Catalogo!$B$7:$B$210,Catalogo!$I$7:$I$210,"",0))</f>
        <v>SELECCIÓN HERRAMIENTAS</v>
      </c>
      <c r="M924" s="36"/>
      <c r="N924" s="261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4" x14ac:dyDescent="0.25">
      <c r="A925" s="358">
        <v>46111</v>
      </c>
      <c r="B925" s="270" t="s">
        <v>410</v>
      </c>
      <c r="C925" s="271" t="s">
        <v>329</v>
      </c>
      <c r="D925" s="272" t="s">
        <v>403</v>
      </c>
      <c r="E925" s="379" t="s">
        <v>408</v>
      </c>
      <c r="F925" s="273"/>
      <c r="G925" s="273"/>
      <c r="H925" s="224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76" t="str">
        <f>+_xlfn.XLOOKUP(Tabla1[[#This Row],[Codigo_actividad]],Conceptos!A:A,Conceptos!H:H)</f>
        <v>P1.05</v>
      </c>
      <c r="L925" s="66" t="str">
        <f>IF(_xlfn.XLOOKUP($J925,Catalogo!$B$7:$B$210,Catalogo!$I$7:$I$210,"",0)=0,"",_xlfn.XLOOKUP($J925,Catalogo!$B$7:$B$210,Catalogo!$I$7:$I$210,"",0))</f>
        <v>REGIONES ECDA</v>
      </c>
      <c r="M925" s="36"/>
      <c r="N925" s="261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4" x14ac:dyDescent="0.25">
      <c r="A926" s="358">
        <v>46111</v>
      </c>
      <c r="B926" s="270" t="s">
        <v>410</v>
      </c>
      <c r="C926" s="271" t="s">
        <v>329</v>
      </c>
      <c r="D926" s="272" t="s">
        <v>403</v>
      </c>
      <c r="E926" s="379" t="s">
        <v>409</v>
      </c>
      <c r="F926" s="273"/>
      <c r="G926" s="273"/>
      <c r="H926" s="224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76" t="str">
        <f>+_xlfn.XLOOKUP(Tabla1[[#This Row],[Codigo_actividad]],Conceptos!A:A,Conceptos!H:H)</f>
        <v>P1.06</v>
      </c>
      <c r="L926" s="66" t="str">
        <f>IF(_xlfn.XLOOKUP($J926,Catalogo!$B$7:$B$210,Catalogo!$I$7:$I$210,"",0)=0,"",_xlfn.XLOOKUP($J926,Catalogo!$B$7:$B$210,Catalogo!$I$7:$I$210,"",0))</f>
        <v>REPORTE E1</v>
      </c>
      <c r="M926" s="36"/>
      <c r="N926" s="261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4" x14ac:dyDescent="0.25">
      <c r="A927" s="359">
        <v>46134</v>
      </c>
      <c r="B927" s="283" t="s">
        <v>410</v>
      </c>
      <c r="C927" s="284" t="s">
        <v>411</v>
      </c>
      <c r="D927" s="285" t="s">
        <v>403</v>
      </c>
      <c r="E927" s="380" t="s">
        <v>404</v>
      </c>
      <c r="F927" s="286"/>
      <c r="G927" s="286"/>
      <c r="H927" s="224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76" t="str">
        <f>+_xlfn.XLOOKUP(Tabla1[[#This Row],[Codigo_actividad]],Conceptos!A:A,Conceptos!H:H)</f>
        <v>P1.01</v>
      </c>
      <c r="L927" s="66" t="str">
        <f>IF(_xlfn.XLOOKUP($J927,Catalogo!$B$7:$B$210,Catalogo!$I$7:$I$210,"",0)=0,"",_xlfn.XLOOKUP($J927,Catalogo!$B$7:$B$210,Catalogo!$I$7:$I$210,"",0))</f>
        <v>RECOPILACION</v>
      </c>
      <c r="M927" s="36"/>
      <c r="N927" s="261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4" x14ac:dyDescent="0.25">
      <c r="A928" s="359">
        <v>46134</v>
      </c>
      <c r="B928" s="283" t="s">
        <v>410</v>
      </c>
      <c r="C928" s="284" t="s">
        <v>411</v>
      </c>
      <c r="D928" s="285" t="s">
        <v>403</v>
      </c>
      <c r="E928" s="380" t="s">
        <v>405</v>
      </c>
      <c r="F928" s="286"/>
      <c r="G928" s="286"/>
      <c r="H928" s="224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76" t="str">
        <f>+_xlfn.XLOOKUP(Tabla1[[#This Row],[Codigo_actividad]],Conceptos!A:A,Conceptos!H:H)</f>
        <v>P1.02</v>
      </c>
      <c r="L928" s="66" t="str">
        <f>IF(_xlfn.XLOOKUP($J928,Catalogo!$B$7:$B$210,Catalogo!$I$7:$I$210,"",0)=0,"",_xlfn.XLOOKUP($J928,Catalogo!$B$7:$B$210,Catalogo!$I$7:$I$210,"",0))</f>
        <v>ANALISIS</v>
      </c>
      <c r="M928" s="36"/>
      <c r="N928" s="261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4" x14ac:dyDescent="0.25">
      <c r="A929" s="359">
        <v>46134</v>
      </c>
      <c r="B929" s="283" t="s">
        <v>410</v>
      </c>
      <c r="C929" s="284" t="s">
        <v>411</v>
      </c>
      <c r="D929" s="285" t="s">
        <v>403</v>
      </c>
      <c r="E929" s="380" t="s">
        <v>406</v>
      </c>
      <c r="F929" s="286"/>
      <c r="G929" s="286"/>
      <c r="H929" s="224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76" t="str">
        <f>+_xlfn.XLOOKUP(Tabla1[[#This Row],[Codigo_actividad]],Conceptos!A:A,Conceptos!H:H)</f>
        <v>P1.03</v>
      </c>
      <c r="L929" s="66" t="str">
        <f>IF(_xlfn.XLOOKUP($J929,Catalogo!$B$7:$B$210,Catalogo!$I$7:$I$210,"",0)=0,"",_xlfn.XLOOKUP($J929,Catalogo!$B$7:$B$210,Catalogo!$I$7:$I$210,"",0))</f>
        <v>FACTIBILIDAD</v>
      </c>
      <c r="M929" s="36"/>
      <c r="N929" s="261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4" x14ac:dyDescent="0.25">
      <c r="A930" s="359">
        <v>46134</v>
      </c>
      <c r="B930" s="283" t="s">
        <v>410</v>
      </c>
      <c r="C930" s="284" t="s">
        <v>411</v>
      </c>
      <c r="D930" s="285" t="s">
        <v>403</v>
      </c>
      <c r="E930" s="380" t="s">
        <v>407</v>
      </c>
      <c r="F930" s="286"/>
      <c r="G930" s="286"/>
      <c r="H930" s="224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76" t="str">
        <f>+_xlfn.XLOOKUP(Tabla1[[#This Row],[Codigo_actividad]],Conceptos!A:A,Conceptos!H:H)</f>
        <v>P1.04</v>
      </c>
      <c r="L930" s="66" t="str">
        <f>IF(_xlfn.XLOOKUP($J930,Catalogo!$B$7:$B$210,Catalogo!$I$7:$I$210,"",0)=0,"",_xlfn.XLOOKUP($J930,Catalogo!$B$7:$B$210,Catalogo!$I$7:$I$210,"",0))</f>
        <v>SELECCIÓN HERRAMIENTAS</v>
      </c>
      <c r="M930" s="36"/>
      <c r="N930" s="261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4" x14ac:dyDescent="0.25">
      <c r="A931" s="359">
        <v>46134</v>
      </c>
      <c r="B931" s="283" t="s">
        <v>410</v>
      </c>
      <c r="C931" s="284" t="s">
        <v>411</v>
      </c>
      <c r="D931" s="285" t="s">
        <v>403</v>
      </c>
      <c r="E931" s="380" t="s">
        <v>408</v>
      </c>
      <c r="F931" s="286"/>
      <c r="G931" s="286"/>
      <c r="H931" s="224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76" t="str">
        <f>+_xlfn.XLOOKUP(Tabla1[[#This Row],[Codigo_actividad]],Conceptos!A:A,Conceptos!H:H)</f>
        <v>P1.05</v>
      </c>
      <c r="L931" s="66" t="str">
        <f>IF(_xlfn.XLOOKUP($J931,Catalogo!$B$7:$B$210,Catalogo!$I$7:$I$210,"",0)=0,"",_xlfn.XLOOKUP($J931,Catalogo!$B$7:$B$210,Catalogo!$I$7:$I$210,"",0))</f>
        <v>REGIONES ECDA</v>
      </c>
      <c r="M931" s="36"/>
      <c r="N931" s="261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4" x14ac:dyDescent="0.25">
      <c r="A932" s="359">
        <v>46134</v>
      </c>
      <c r="B932" s="283" t="s">
        <v>410</v>
      </c>
      <c r="C932" s="284" t="s">
        <v>411</v>
      </c>
      <c r="D932" s="285" t="s">
        <v>403</v>
      </c>
      <c r="E932" s="380" t="s">
        <v>409</v>
      </c>
      <c r="F932" s="286"/>
      <c r="G932" s="286"/>
      <c r="H932" s="224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76" t="str">
        <f>+_xlfn.XLOOKUP(Tabla1[[#This Row],[Codigo_actividad]],Conceptos!A:A,Conceptos!H:H)</f>
        <v>P1.06</v>
      </c>
      <c r="L932" s="66" t="str">
        <f>IF(_xlfn.XLOOKUP($J932,Catalogo!$B$7:$B$210,Catalogo!$I$7:$I$210,"",0)=0,"",_xlfn.XLOOKUP($J932,Catalogo!$B$7:$B$210,Catalogo!$I$7:$I$210,"",0))</f>
        <v>REPORTE E1</v>
      </c>
      <c r="M932" s="36"/>
      <c r="N932" s="261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4" x14ac:dyDescent="0.25">
      <c r="A933" s="360">
        <v>46135</v>
      </c>
      <c r="B933" s="287" t="s">
        <v>410</v>
      </c>
      <c r="C933" s="288" t="s">
        <v>561</v>
      </c>
      <c r="D933" s="289" t="s">
        <v>403</v>
      </c>
      <c r="E933" s="381" t="s">
        <v>404</v>
      </c>
      <c r="F933" s="290"/>
      <c r="G933" s="290"/>
      <c r="H933" s="224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76" t="str">
        <f>+_xlfn.XLOOKUP(Tabla1[[#This Row],[Codigo_actividad]],Conceptos!A:A,Conceptos!H:H)</f>
        <v>P1.01</v>
      </c>
      <c r="L933" s="66" t="str">
        <f>IF(_xlfn.XLOOKUP($J933,Catalogo!$B$7:$B$210,Catalogo!$I$7:$I$210,"",0)=0,"",_xlfn.XLOOKUP($J933,Catalogo!$B$7:$B$210,Catalogo!$I$7:$I$210,"",0))</f>
        <v>RECOPILACION</v>
      </c>
      <c r="M933" s="36"/>
      <c r="N933" s="261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4" x14ac:dyDescent="0.25">
      <c r="A934" s="360">
        <v>46135</v>
      </c>
      <c r="B934" s="287" t="s">
        <v>410</v>
      </c>
      <c r="C934" s="288" t="s">
        <v>561</v>
      </c>
      <c r="D934" s="289" t="s">
        <v>403</v>
      </c>
      <c r="E934" s="381" t="s">
        <v>405</v>
      </c>
      <c r="F934" s="290"/>
      <c r="G934" s="290"/>
      <c r="H934" s="224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76" t="str">
        <f>+_xlfn.XLOOKUP(Tabla1[[#This Row],[Codigo_actividad]],Conceptos!A:A,Conceptos!H:H)</f>
        <v>P1.02</v>
      </c>
      <c r="L934" s="66" t="str">
        <f>IF(_xlfn.XLOOKUP($J934,Catalogo!$B$7:$B$210,Catalogo!$I$7:$I$210,"",0)=0,"",_xlfn.XLOOKUP($J934,Catalogo!$B$7:$B$210,Catalogo!$I$7:$I$210,"",0))</f>
        <v>ANALISIS</v>
      </c>
      <c r="M934" s="36"/>
      <c r="N934" s="261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4" x14ac:dyDescent="0.25">
      <c r="A935" s="360">
        <v>46135</v>
      </c>
      <c r="B935" s="287" t="s">
        <v>410</v>
      </c>
      <c r="C935" s="288" t="s">
        <v>561</v>
      </c>
      <c r="D935" s="289" t="s">
        <v>403</v>
      </c>
      <c r="E935" s="381" t="s">
        <v>406</v>
      </c>
      <c r="F935" s="290"/>
      <c r="G935" s="290"/>
      <c r="H935" s="224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76" t="str">
        <f>+_xlfn.XLOOKUP(Tabla1[[#This Row],[Codigo_actividad]],Conceptos!A:A,Conceptos!H:H)</f>
        <v>P1.03</v>
      </c>
      <c r="L935" s="66" t="str">
        <f>IF(_xlfn.XLOOKUP($J935,Catalogo!$B$7:$B$210,Catalogo!$I$7:$I$210,"",0)=0,"",_xlfn.XLOOKUP($J935,Catalogo!$B$7:$B$210,Catalogo!$I$7:$I$210,"",0))</f>
        <v>FACTIBILIDAD</v>
      </c>
      <c r="M935" s="36"/>
      <c r="N935" s="261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4" x14ac:dyDescent="0.25">
      <c r="A936" s="360">
        <v>46135</v>
      </c>
      <c r="B936" s="287" t="s">
        <v>410</v>
      </c>
      <c r="C936" s="288" t="s">
        <v>561</v>
      </c>
      <c r="D936" s="289" t="s">
        <v>403</v>
      </c>
      <c r="E936" s="381" t="s">
        <v>407</v>
      </c>
      <c r="F936" s="290"/>
      <c r="G936" s="290"/>
      <c r="H936" s="224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76" t="str">
        <f>+_xlfn.XLOOKUP(Tabla1[[#This Row],[Codigo_actividad]],Conceptos!A:A,Conceptos!H:H)</f>
        <v>P1.04</v>
      </c>
      <c r="L936" s="66" t="str">
        <f>IF(_xlfn.XLOOKUP($J936,Catalogo!$B$7:$B$210,Catalogo!$I$7:$I$210,"",0)=0,"",_xlfn.XLOOKUP($J936,Catalogo!$B$7:$B$210,Catalogo!$I$7:$I$210,"",0))</f>
        <v>SELECCIÓN HERRAMIENTAS</v>
      </c>
      <c r="M936" s="36"/>
      <c r="N936" s="261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4" x14ac:dyDescent="0.25">
      <c r="A937" s="360">
        <v>46135</v>
      </c>
      <c r="B937" s="287" t="s">
        <v>410</v>
      </c>
      <c r="C937" s="288" t="s">
        <v>561</v>
      </c>
      <c r="D937" s="289" t="s">
        <v>403</v>
      </c>
      <c r="E937" s="381" t="s">
        <v>408</v>
      </c>
      <c r="F937" s="290"/>
      <c r="G937" s="290"/>
      <c r="H937" s="224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76" t="str">
        <f>+_xlfn.XLOOKUP(Tabla1[[#This Row],[Codigo_actividad]],Conceptos!A:A,Conceptos!H:H)</f>
        <v>P1.05</v>
      </c>
      <c r="L937" s="66" t="str">
        <f>IF(_xlfn.XLOOKUP($J937,Catalogo!$B$7:$B$210,Catalogo!$I$7:$I$210,"",0)=0,"",_xlfn.XLOOKUP($J937,Catalogo!$B$7:$B$210,Catalogo!$I$7:$I$210,"",0))</f>
        <v>REGIONES ECDA</v>
      </c>
      <c r="M937" s="36"/>
      <c r="N937" s="261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4" x14ac:dyDescent="0.25">
      <c r="A938" s="360">
        <v>46135</v>
      </c>
      <c r="B938" s="287" t="s">
        <v>410</v>
      </c>
      <c r="C938" s="288" t="s">
        <v>561</v>
      </c>
      <c r="D938" s="289" t="s">
        <v>403</v>
      </c>
      <c r="E938" s="381" t="s">
        <v>409</v>
      </c>
      <c r="F938" s="290"/>
      <c r="G938" s="290"/>
      <c r="H938" s="224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76" t="str">
        <f>+_xlfn.XLOOKUP(Tabla1[[#This Row],[Codigo_actividad]],Conceptos!A:A,Conceptos!H:H)</f>
        <v>P1.06</v>
      </c>
      <c r="L938" s="66" t="str">
        <f>IF(_xlfn.XLOOKUP($J938,Catalogo!$B$7:$B$210,Catalogo!$I$7:$I$210,"",0)=0,"",_xlfn.XLOOKUP($J938,Catalogo!$B$7:$B$210,Catalogo!$I$7:$I$210,"",0))</f>
        <v>REPORTE E1</v>
      </c>
      <c r="M938" s="36"/>
      <c r="N938" s="261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4" x14ac:dyDescent="0.25">
      <c r="A939" s="361">
        <v>46111</v>
      </c>
      <c r="B939" s="274" t="s">
        <v>410</v>
      </c>
      <c r="C939" s="275" t="s">
        <v>265</v>
      </c>
      <c r="D939" s="276" t="s">
        <v>403</v>
      </c>
      <c r="E939" s="382" t="s">
        <v>404</v>
      </c>
      <c r="F939" s="277"/>
      <c r="G939" s="277"/>
      <c r="H939" s="224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76" t="str">
        <f>+_xlfn.XLOOKUP(Tabla1[[#This Row],[Codigo_actividad]],Conceptos!A:A,Conceptos!H:H)</f>
        <v>P1.01</v>
      </c>
      <c r="L939" s="66" t="str">
        <f>IF(_xlfn.XLOOKUP($J939,Catalogo!$B$7:$B$210,Catalogo!$I$7:$I$210,"",0)=0,"",_xlfn.XLOOKUP($J939,Catalogo!$B$7:$B$210,Catalogo!$I$7:$I$210,"",0))</f>
        <v>RECOPILACION</v>
      </c>
      <c r="M939" s="36"/>
      <c r="N939" s="261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4" x14ac:dyDescent="0.25">
      <c r="A940" s="361">
        <v>46111</v>
      </c>
      <c r="B940" s="274" t="s">
        <v>410</v>
      </c>
      <c r="C940" s="275" t="s">
        <v>265</v>
      </c>
      <c r="D940" s="276" t="s">
        <v>403</v>
      </c>
      <c r="E940" s="382" t="s">
        <v>405</v>
      </c>
      <c r="F940" s="277"/>
      <c r="G940" s="277"/>
      <c r="H940" s="224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76" t="str">
        <f>+_xlfn.XLOOKUP(Tabla1[[#This Row],[Codigo_actividad]],Conceptos!A:A,Conceptos!H:H)</f>
        <v>P1.02</v>
      </c>
      <c r="L940" s="66" t="str">
        <f>IF(_xlfn.XLOOKUP($J940,Catalogo!$B$7:$B$210,Catalogo!$I$7:$I$210,"",0)=0,"",_xlfn.XLOOKUP($J940,Catalogo!$B$7:$B$210,Catalogo!$I$7:$I$210,"",0))</f>
        <v>ANALISIS</v>
      </c>
      <c r="M940" s="36"/>
      <c r="N940" s="261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4" x14ac:dyDescent="0.25">
      <c r="A941" s="361">
        <v>46111</v>
      </c>
      <c r="B941" s="274" t="s">
        <v>410</v>
      </c>
      <c r="C941" s="275" t="s">
        <v>265</v>
      </c>
      <c r="D941" s="276" t="s">
        <v>403</v>
      </c>
      <c r="E941" s="382" t="s">
        <v>406</v>
      </c>
      <c r="F941" s="277"/>
      <c r="G941" s="277"/>
      <c r="H941" s="224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76" t="str">
        <f>+_xlfn.XLOOKUP(Tabla1[[#This Row],[Codigo_actividad]],Conceptos!A:A,Conceptos!H:H)</f>
        <v>P1.03</v>
      </c>
      <c r="L941" s="66" t="str">
        <f>IF(_xlfn.XLOOKUP($J941,Catalogo!$B$7:$B$210,Catalogo!$I$7:$I$210,"",0)=0,"",_xlfn.XLOOKUP($J941,Catalogo!$B$7:$B$210,Catalogo!$I$7:$I$210,"",0))</f>
        <v>FACTIBILIDAD</v>
      </c>
      <c r="M941" s="36"/>
      <c r="N941" s="261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4" x14ac:dyDescent="0.25">
      <c r="A942" s="361">
        <v>46111</v>
      </c>
      <c r="B942" s="274" t="s">
        <v>410</v>
      </c>
      <c r="C942" s="275" t="s">
        <v>265</v>
      </c>
      <c r="D942" s="276" t="s">
        <v>403</v>
      </c>
      <c r="E942" s="382" t="s">
        <v>407</v>
      </c>
      <c r="F942" s="277"/>
      <c r="G942" s="277"/>
      <c r="H942" s="224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76" t="str">
        <f>+_xlfn.XLOOKUP(Tabla1[[#This Row],[Codigo_actividad]],Conceptos!A:A,Conceptos!H:H)</f>
        <v>P1.04</v>
      </c>
      <c r="L942" s="66" t="str">
        <f>IF(_xlfn.XLOOKUP($J942,Catalogo!$B$7:$B$210,Catalogo!$I$7:$I$210,"",0)=0,"",_xlfn.XLOOKUP($J942,Catalogo!$B$7:$B$210,Catalogo!$I$7:$I$210,"",0))</f>
        <v>SELECCIÓN HERRAMIENTAS</v>
      </c>
      <c r="M942" s="36"/>
      <c r="N942" s="261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4" x14ac:dyDescent="0.25">
      <c r="A943" s="361">
        <v>46111</v>
      </c>
      <c r="B943" s="274" t="s">
        <v>410</v>
      </c>
      <c r="C943" s="275" t="s">
        <v>265</v>
      </c>
      <c r="D943" s="276" t="s">
        <v>403</v>
      </c>
      <c r="E943" s="382" t="s">
        <v>408</v>
      </c>
      <c r="F943" s="277"/>
      <c r="G943" s="277"/>
      <c r="H943" s="224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76" t="str">
        <f>+_xlfn.XLOOKUP(Tabla1[[#This Row],[Codigo_actividad]],Conceptos!A:A,Conceptos!H:H)</f>
        <v>P1.05</v>
      </c>
      <c r="L943" s="66" t="str">
        <f>IF(_xlfn.XLOOKUP($J943,Catalogo!$B$7:$B$210,Catalogo!$I$7:$I$210,"",0)=0,"",_xlfn.XLOOKUP($J943,Catalogo!$B$7:$B$210,Catalogo!$I$7:$I$210,"",0))</f>
        <v>REGIONES ECDA</v>
      </c>
      <c r="M943" s="36"/>
      <c r="N943" s="261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4" x14ac:dyDescent="0.25">
      <c r="A944" s="361">
        <v>46111</v>
      </c>
      <c r="B944" s="274" t="s">
        <v>410</v>
      </c>
      <c r="C944" s="275" t="s">
        <v>265</v>
      </c>
      <c r="D944" s="276" t="s">
        <v>403</v>
      </c>
      <c r="E944" s="382" t="s">
        <v>409</v>
      </c>
      <c r="F944" s="277"/>
      <c r="G944" s="277"/>
      <c r="H944" s="224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76" t="str">
        <f>+_xlfn.XLOOKUP(Tabla1[[#This Row],[Codigo_actividad]],Conceptos!A:A,Conceptos!H:H)</f>
        <v>P1.06</v>
      </c>
      <c r="L944" s="66" t="str">
        <f>IF(_xlfn.XLOOKUP($J944,Catalogo!$B$7:$B$210,Catalogo!$I$7:$I$210,"",0)=0,"",_xlfn.XLOOKUP($J944,Catalogo!$B$7:$B$210,Catalogo!$I$7:$I$210,"",0))</f>
        <v>REPORTE E1</v>
      </c>
      <c r="M944" s="36"/>
      <c r="N944" s="261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4" x14ac:dyDescent="0.25">
      <c r="A945" s="362">
        <v>46111</v>
      </c>
      <c r="B945" s="278" t="s">
        <v>410</v>
      </c>
      <c r="C945" s="279" t="s">
        <v>335</v>
      </c>
      <c r="D945" s="280" t="s">
        <v>403</v>
      </c>
      <c r="E945" s="383" t="s">
        <v>404</v>
      </c>
      <c r="F945" s="281"/>
      <c r="G945" s="281"/>
      <c r="H945" s="224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76" t="str">
        <f>+_xlfn.XLOOKUP(Tabla1[[#This Row],[Codigo_actividad]],Conceptos!A:A,Conceptos!H:H)</f>
        <v>P1.01</v>
      </c>
      <c r="L945" s="66" t="str">
        <f>IF(_xlfn.XLOOKUP($J945,Catalogo!$B$7:$B$210,Catalogo!$I$7:$I$210,"",0)=0,"",_xlfn.XLOOKUP($J945,Catalogo!$B$7:$B$210,Catalogo!$I$7:$I$210,"",0))</f>
        <v>RECOPILACION</v>
      </c>
      <c r="M945" s="36"/>
      <c r="N945" s="261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4" x14ac:dyDescent="0.25">
      <c r="A946" s="362">
        <v>46111</v>
      </c>
      <c r="B946" s="278" t="s">
        <v>410</v>
      </c>
      <c r="C946" s="279" t="s">
        <v>335</v>
      </c>
      <c r="D946" s="280" t="s">
        <v>403</v>
      </c>
      <c r="E946" s="383" t="s">
        <v>405</v>
      </c>
      <c r="F946" s="281"/>
      <c r="G946" s="281"/>
      <c r="H946" s="224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76" t="str">
        <f>+_xlfn.XLOOKUP(Tabla1[[#This Row],[Codigo_actividad]],Conceptos!A:A,Conceptos!H:H)</f>
        <v>P1.02</v>
      </c>
      <c r="L946" s="66" t="str">
        <f>IF(_xlfn.XLOOKUP($J946,Catalogo!$B$7:$B$210,Catalogo!$I$7:$I$210,"",0)=0,"",_xlfn.XLOOKUP($J946,Catalogo!$B$7:$B$210,Catalogo!$I$7:$I$210,"",0))</f>
        <v>ANALISIS</v>
      </c>
      <c r="M946" s="36"/>
      <c r="N946" s="261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4" x14ac:dyDescent="0.25">
      <c r="A947" s="362">
        <v>46111</v>
      </c>
      <c r="B947" s="278" t="s">
        <v>410</v>
      </c>
      <c r="C947" s="279" t="s">
        <v>335</v>
      </c>
      <c r="D947" s="280" t="s">
        <v>403</v>
      </c>
      <c r="E947" s="383" t="s">
        <v>406</v>
      </c>
      <c r="F947" s="281"/>
      <c r="G947" s="281"/>
      <c r="H947" s="224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76" t="str">
        <f>+_xlfn.XLOOKUP(Tabla1[[#This Row],[Codigo_actividad]],Conceptos!A:A,Conceptos!H:H)</f>
        <v>P1.03</v>
      </c>
      <c r="L947" s="66" t="str">
        <f>IF(_xlfn.XLOOKUP($J947,Catalogo!$B$7:$B$210,Catalogo!$I$7:$I$210,"",0)=0,"",_xlfn.XLOOKUP($J947,Catalogo!$B$7:$B$210,Catalogo!$I$7:$I$210,"",0))</f>
        <v>FACTIBILIDAD</v>
      </c>
      <c r="M947" s="36"/>
      <c r="N947" s="261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4" x14ac:dyDescent="0.25">
      <c r="A948" s="362">
        <v>46111</v>
      </c>
      <c r="B948" s="278" t="s">
        <v>410</v>
      </c>
      <c r="C948" s="279" t="s">
        <v>335</v>
      </c>
      <c r="D948" s="280" t="s">
        <v>403</v>
      </c>
      <c r="E948" s="383" t="s">
        <v>407</v>
      </c>
      <c r="F948" s="281"/>
      <c r="G948" s="281"/>
      <c r="H948" s="224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76" t="str">
        <f>+_xlfn.XLOOKUP(Tabla1[[#This Row],[Codigo_actividad]],Conceptos!A:A,Conceptos!H:H)</f>
        <v>P1.04</v>
      </c>
      <c r="L948" s="66" t="str">
        <f>IF(_xlfn.XLOOKUP($J948,Catalogo!$B$7:$B$210,Catalogo!$I$7:$I$210,"",0)=0,"",_xlfn.XLOOKUP($J948,Catalogo!$B$7:$B$210,Catalogo!$I$7:$I$210,"",0))</f>
        <v>SELECCIÓN HERRAMIENTAS</v>
      </c>
      <c r="M948" s="36"/>
      <c r="N948" s="261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4" x14ac:dyDescent="0.25">
      <c r="A949" s="362">
        <v>46111</v>
      </c>
      <c r="B949" s="278" t="s">
        <v>410</v>
      </c>
      <c r="C949" s="279" t="s">
        <v>335</v>
      </c>
      <c r="D949" s="280" t="s">
        <v>403</v>
      </c>
      <c r="E949" s="383" t="s">
        <v>408</v>
      </c>
      <c r="F949" s="281"/>
      <c r="G949" s="281"/>
      <c r="H949" s="224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76" t="str">
        <f>+_xlfn.XLOOKUP(Tabla1[[#This Row],[Codigo_actividad]],Conceptos!A:A,Conceptos!H:H)</f>
        <v>P1.05</v>
      </c>
      <c r="L949" s="66" t="str">
        <f>IF(_xlfn.XLOOKUP($J949,Catalogo!$B$7:$B$210,Catalogo!$I$7:$I$210,"",0)=0,"",_xlfn.XLOOKUP($J949,Catalogo!$B$7:$B$210,Catalogo!$I$7:$I$210,"",0))</f>
        <v>REGIONES ECDA</v>
      </c>
      <c r="M949" s="36"/>
      <c r="N949" s="261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4" x14ac:dyDescent="0.25">
      <c r="A950" s="362">
        <v>46111</v>
      </c>
      <c r="B950" s="278" t="s">
        <v>410</v>
      </c>
      <c r="C950" s="279" t="s">
        <v>335</v>
      </c>
      <c r="D950" s="280" t="s">
        <v>403</v>
      </c>
      <c r="E950" s="383" t="s">
        <v>409</v>
      </c>
      <c r="F950" s="281"/>
      <c r="G950" s="281"/>
      <c r="H950" s="224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76" t="str">
        <f>+_xlfn.XLOOKUP(Tabla1[[#This Row],[Codigo_actividad]],Conceptos!A:A,Conceptos!H:H)</f>
        <v>P1.06</v>
      </c>
      <c r="L950" s="66" t="str">
        <f>IF(_xlfn.XLOOKUP($J950,Catalogo!$B$7:$B$210,Catalogo!$I$7:$I$210,"",0)=0,"",_xlfn.XLOOKUP($J950,Catalogo!$B$7:$B$210,Catalogo!$I$7:$I$210,"",0))</f>
        <v>REPORTE E1</v>
      </c>
      <c r="M950" s="36"/>
      <c r="N950" s="261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4" x14ac:dyDescent="0.25">
      <c r="A951" s="354"/>
      <c r="C951" s="155"/>
      <c r="D951" s="39"/>
      <c r="F951" s="28"/>
      <c r="G951" s="28"/>
      <c r="H951" s="224" t="str">
        <f>IF(Tabla1[[#This Row],[Codigo_actividad]]&lt;&gt;2.5,IF(((Tabla1[[#This Row],[fin]]-Tabla1[[#This Row],[inicio]])/1000)=0,"",((Tabla1[[#This Row],[fin]]-Tabla1[[#This Row],[inicio]])/1000)),"")</f>
        <v/>
      </c>
      <c r="K951">
        <f>+_xlfn.XLOOKUP(Tabla1[[#This Row],[Codigo_actividad]],Conceptos!A:A,Conceptos!H:H)</f>
        <v>0</v>
      </c>
      <c r="L951" s="55" t="str">
        <f>IF(_xlfn.XLOOKUP($J951,Catalogo!$B$7:$B$210,Catalogo!$I$7:$I$210,"",0)=0,"",_xlfn.XLOOKUP($J951,Catalogo!$B$7:$B$210,Catalogo!$I$7:$I$210,"",0))</f>
        <v/>
      </c>
      <c r="M951" s="36"/>
      <c r="N951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6">
        <v>46111</v>
      </c>
      <c r="B952" s="262" t="s">
        <v>410</v>
      </c>
      <c r="C952" s="263" t="s">
        <v>13</v>
      </c>
      <c r="D952" s="264" t="s">
        <v>403</v>
      </c>
      <c r="E952" s="377" t="s">
        <v>412</v>
      </c>
      <c r="F952" s="265"/>
      <c r="G952" s="265"/>
      <c r="H952" s="224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76" t="str">
        <f>+_xlfn.XLOOKUP(Tabla1[[#This Row],[Codigo_actividad]],Conceptos!A:A,Conceptos!H:H)</f>
        <v>P2.07</v>
      </c>
      <c r="L952" s="66" t="str">
        <f>IF(_xlfn.XLOOKUP($J952,Catalogo!$B$7:$B$210,Catalogo!$I$7:$I$210,"",0)=0,"",_xlfn.XLOOKUP($J952,Catalogo!$B$7:$B$210,Catalogo!$I$7:$I$210,"",0))</f>
        <v>SEVERIDAD</v>
      </c>
      <c r="M952" s="36"/>
      <c r="N952" s="261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4" x14ac:dyDescent="0.25">
      <c r="A953" s="356">
        <v>46111</v>
      </c>
      <c r="B953" s="262" t="s">
        <v>410</v>
      </c>
      <c r="C953" s="263" t="s">
        <v>13</v>
      </c>
      <c r="D953" s="264" t="s">
        <v>403</v>
      </c>
      <c r="E953" s="377" t="s">
        <v>400</v>
      </c>
      <c r="F953" s="265"/>
      <c r="G953" s="265"/>
      <c r="H953" s="224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76" t="str">
        <f>+_xlfn.XLOOKUP(Tabla1[[#This Row],[Codigo_actividad]],Conceptos!A:A,Conceptos!H:H)</f>
        <v>P2.08</v>
      </c>
      <c r="L953" s="66" t="str">
        <f>IF(_xlfn.XLOOKUP($J953,Catalogo!$B$7:$B$210,Catalogo!$I$7:$I$210,"",0)=0,"",_xlfn.XLOOKUP($J953,Catalogo!$B$7:$B$210,Catalogo!$I$7:$I$210,"",0))</f>
        <v>REPORTE E2</v>
      </c>
      <c r="M953" s="36"/>
      <c r="N953" s="261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4" x14ac:dyDescent="0.25">
      <c r="A954" s="357">
        <v>46111</v>
      </c>
      <c r="B954" s="266" t="s">
        <v>410</v>
      </c>
      <c r="C954" s="267" t="s">
        <v>22</v>
      </c>
      <c r="D954" s="268" t="s">
        <v>403</v>
      </c>
      <c r="E954" s="378" t="s">
        <v>412</v>
      </c>
      <c r="F954" s="269"/>
      <c r="G954" s="269"/>
      <c r="H954" s="224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76" t="str">
        <f>+_xlfn.XLOOKUP(Tabla1[[#This Row],[Codigo_actividad]],Conceptos!A:A,Conceptos!H:H)</f>
        <v>P2.07</v>
      </c>
      <c r="L954" s="66" t="str">
        <f>IF(_xlfn.XLOOKUP($J954,Catalogo!$B$7:$B$210,Catalogo!$I$7:$I$210,"",0)=0,"",_xlfn.XLOOKUP($J954,Catalogo!$B$7:$B$210,Catalogo!$I$7:$I$210,"",0))</f>
        <v>SEVERIDAD</v>
      </c>
      <c r="M954" s="36"/>
      <c r="N954" s="261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4" x14ac:dyDescent="0.25">
      <c r="A955" s="357">
        <v>46111</v>
      </c>
      <c r="B955" s="266" t="s">
        <v>410</v>
      </c>
      <c r="C955" s="267" t="s">
        <v>22</v>
      </c>
      <c r="D955" s="268" t="s">
        <v>403</v>
      </c>
      <c r="E955" s="378" t="s">
        <v>400</v>
      </c>
      <c r="F955" s="269"/>
      <c r="G955" s="269"/>
      <c r="H955" s="224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76" t="str">
        <f>+_xlfn.XLOOKUP(Tabla1[[#This Row],[Codigo_actividad]],Conceptos!A:A,Conceptos!H:H)</f>
        <v>P2.08</v>
      </c>
      <c r="L955" s="66" t="str">
        <f>IF(_xlfn.XLOOKUP($J955,Catalogo!$B$7:$B$210,Catalogo!$I$7:$I$210,"",0)=0,"",_xlfn.XLOOKUP($J955,Catalogo!$B$7:$B$210,Catalogo!$I$7:$I$210,"",0))</f>
        <v>REPORTE E2</v>
      </c>
      <c r="M955" s="36"/>
      <c r="N955" s="261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4" x14ac:dyDescent="0.25">
      <c r="A956" s="404">
        <v>46291</v>
      </c>
      <c r="B956" s="270" t="s">
        <v>410</v>
      </c>
      <c r="C956" s="271" t="s">
        <v>329</v>
      </c>
      <c r="D956" s="272" t="s">
        <v>403</v>
      </c>
      <c r="E956" s="379" t="s">
        <v>412</v>
      </c>
      <c r="F956" s="273"/>
      <c r="G956" s="273"/>
      <c r="H956" s="224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76" t="str">
        <f>+_xlfn.XLOOKUP(Tabla1[[#This Row],[Codigo_actividad]],Conceptos!A:A,Conceptos!H:H)</f>
        <v>P2.07</v>
      </c>
      <c r="L956" s="66" t="str">
        <f>IF(_xlfn.XLOOKUP($J956,Catalogo!$B$7:$B$210,Catalogo!$I$7:$I$210,"",0)=0,"",_xlfn.XLOOKUP($J956,Catalogo!$B$7:$B$210,Catalogo!$I$7:$I$210,"",0))</f>
        <v>SEVERIDAD</v>
      </c>
      <c r="M956" s="36"/>
      <c r="N956" s="261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4" x14ac:dyDescent="0.25">
      <c r="A957" s="404">
        <v>46291</v>
      </c>
      <c r="B957" s="270" t="s">
        <v>410</v>
      </c>
      <c r="C957" s="271" t="s">
        <v>329</v>
      </c>
      <c r="D957" s="272" t="s">
        <v>403</v>
      </c>
      <c r="E957" s="379" t="s">
        <v>400</v>
      </c>
      <c r="F957" s="273"/>
      <c r="G957" s="273"/>
      <c r="H957" s="224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76" t="str">
        <f>+_xlfn.XLOOKUP(Tabla1[[#This Row],[Codigo_actividad]],Conceptos!A:A,Conceptos!H:H)</f>
        <v>P2.08</v>
      </c>
      <c r="L957" s="66" t="str">
        <f>IF(_xlfn.XLOOKUP($J957,Catalogo!$B$7:$B$210,Catalogo!$I$7:$I$210,"",0)=0,"",_xlfn.XLOOKUP($J957,Catalogo!$B$7:$B$210,Catalogo!$I$7:$I$210,"",0))</f>
        <v>REPORTE E2</v>
      </c>
      <c r="M957" s="36"/>
      <c r="N957" s="261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4" x14ac:dyDescent="0.25">
      <c r="A958" s="405">
        <v>46311</v>
      </c>
      <c r="B958" s="283" t="s">
        <v>410</v>
      </c>
      <c r="C958" s="284" t="s">
        <v>411</v>
      </c>
      <c r="D958" s="285" t="s">
        <v>403</v>
      </c>
      <c r="E958" s="380" t="s">
        <v>412</v>
      </c>
      <c r="F958" s="286"/>
      <c r="G958" s="286"/>
      <c r="H958" s="224" t="str">
        <f>IF(Tabla1[[#This Row],[Codigo_actividad]]&lt;&gt;2.5,IF(((Tabla1[[#This Row],[fin]]-Tabla1[[#This Row],[inicio]])/1000)=0,"",((Tabla1[[#This Row],[fin]]-Tabla1[[#This Row],[inicio]])/1000)),"")</f>
        <v/>
      </c>
      <c r="I958" s="66">
        <v>4</v>
      </c>
      <c r="J958" s="76">
        <v>2.7</v>
      </c>
      <c r="K958" s="76" t="str">
        <f>+_xlfn.XLOOKUP(Tabla1[[#This Row],[Codigo_actividad]],Conceptos!A:A,Conceptos!H:H)</f>
        <v>P2.07</v>
      </c>
      <c r="L958" s="66" t="str">
        <f>IF(_xlfn.XLOOKUP($J958,Catalogo!$B$7:$B$210,Catalogo!$I$7:$I$210,"",0)=0,"",_xlfn.XLOOKUP($J958,Catalogo!$B$7:$B$210,Catalogo!$I$7:$I$210,"",0))</f>
        <v>SEVERIDAD</v>
      </c>
      <c r="M958" s="36"/>
      <c r="N958" s="261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4" x14ac:dyDescent="0.25">
      <c r="A959" s="405">
        <v>46311</v>
      </c>
      <c r="B959" s="283" t="s">
        <v>410</v>
      </c>
      <c r="C959" s="284" t="s">
        <v>411</v>
      </c>
      <c r="D959" s="285" t="s">
        <v>403</v>
      </c>
      <c r="E959" s="380" t="s">
        <v>400</v>
      </c>
      <c r="F959" s="286"/>
      <c r="G959" s="286"/>
      <c r="H959" s="224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4</v>
      </c>
      <c r="J959" s="76">
        <v>2.8</v>
      </c>
      <c r="K959" s="76" t="str">
        <f>+_xlfn.XLOOKUP(Tabla1[[#This Row],[Codigo_actividad]],Conceptos!A:A,Conceptos!H:H)</f>
        <v>P2.08</v>
      </c>
      <c r="L959" s="66" t="str">
        <f>IF(_xlfn.XLOOKUP($J959,Catalogo!$B$7:$B$210,Catalogo!$I$7:$I$210,"",0)=0,"",_xlfn.XLOOKUP($J959,Catalogo!$B$7:$B$210,Catalogo!$I$7:$I$210,"",0))</f>
        <v>REPORTE E2</v>
      </c>
      <c r="M959" s="36"/>
      <c r="N959" s="261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4" x14ac:dyDescent="0.25">
      <c r="A960" s="406"/>
      <c r="B960" s="287" t="s">
        <v>410</v>
      </c>
      <c r="C960" s="288" t="s">
        <v>561</v>
      </c>
      <c r="D960" s="289" t="s">
        <v>403</v>
      </c>
      <c r="E960" s="381" t="s">
        <v>412</v>
      </c>
      <c r="F960" s="290"/>
      <c r="G960" s="290"/>
      <c r="H960" s="224" t="str">
        <f>IF(Tabla1[[#This Row],[Codigo_actividad]]&lt;&gt;2.5,IF(((Tabla1[[#This Row],[fin]]-Tabla1[[#This Row],[inicio]])/1000)=0,"",((Tabla1[[#This Row],[fin]]-Tabla1[[#This Row],[inicio]])/1000)),"")</f>
        <v/>
      </c>
      <c r="I960" s="282"/>
      <c r="J960" s="76">
        <v>2.7</v>
      </c>
      <c r="K960" s="76" t="str">
        <f>+_xlfn.XLOOKUP(Tabla1[[#This Row],[Codigo_actividad]],Conceptos!A:A,Conceptos!H:H)</f>
        <v>P2.07</v>
      </c>
      <c r="L960" s="66" t="str">
        <f>IF(_xlfn.XLOOKUP($J960,Catalogo!$B$7:$B$210,Catalogo!$I$7:$I$210,"",0)=0,"",_xlfn.XLOOKUP($J960,Catalogo!$B$7:$B$210,Catalogo!$I$7:$I$210,"",0))</f>
        <v>SEVERIDAD</v>
      </c>
      <c r="M960" s="36"/>
      <c r="N9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6"/>
      <c r="B961" s="287" t="s">
        <v>410</v>
      </c>
      <c r="C961" s="288" t="s">
        <v>561</v>
      </c>
      <c r="D961" s="289" t="s">
        <v>403</v>
      </c>
      <c r="E961" s="381" t="s">
        <v>400</v>
      </c>
      <c r="F961" s="290"/>
      <c r="G961" s="290"/>
      <c r="H961" s="224" t="str">
        <f>IF(Tabla1[[#This Row],[Codigo_actividad]]&lt;&gt;2.5,IF(((Tabla1[[#This Row],[fin]]-Tabla1[[#This Row],[inicio]])/1000)=0,"",((Tabla1[[#This Row],[fin]]-Tabla1[[#This Row],[inicio]])/1000)),"")</f>
        <v/>
      </c>
      <c r="I961" s="282"/>
      <c r="J961" s="76">
        <v>2.8</v>
      </c>
      <c r="K961" s="76" t="str">
        <f>+_xlfn.XLOOKUP(Tabla1[[#This Row],[Codigo_actividad]],Conceptos!A:A,Conceptos!H:H)</f>
        <v>P2.08</v>
      </c>
      <c r="L961" s="66" t="str">
        <f>IF(_xlfn.XLOOKUP($J961,Catalogo!$B$7:$B$210,Catalogo!$I$7:$I$210,"",0)=0,"",_xlfn.XLOOKUP($J961,Catalogo!$B$7:$B$210,Catalogo!$I$7:$I$210,"",0))</f>
        <v>REPORTE E2</v>
      </c>
      <c r="M961" s="36"/>
      <c r="N9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1">
        <v>46111</v>
      </c>
      <c r="B962" s="274" t="s">
        <v>410</v>
      </c>
      <c r="C962" s="275" t="s">
        <v>265</v>
      </c>
      <c r="D962" s="276" t="s">
        <v>403</v>
      </c>
      <c r="E962" s="382" t="s">
        <v>412</v>
      </c>
      <c r="F962" s="277"/>
      <c r="G962" s="277"/>
      <c r="H962" s="224" t="str">
        <f>IF(Tabla1[[#This Row],[Codigo_actividad]]&lt;&gt;2.5,IF(((Tabla1[[#This Row],[fin]]-Tabla1[[#This Row],[inicio]])/1000)=0,"",((Tabla1[[#This Row],[fin]]-Tabla1[[#This Row],[inicio]])/1000)),"")</f>
        <v/>
      </c>
      <c r="I962" s="282"/>
      <c r="J962" s="76">
        <v>2.7</v>
      </c>
      <c r="K962" s="76" t="str">
        <f>+_xlfn.XLOOKUP(Tabla1[[#This Row],[Codigo_actividad]],Conceptos!A:A,Conceptos!H:H)</f>
        <v>P2.07</v>
      </c>
      <c r="L962" s="66" t="str">
        <f>IF(_xlfn.XLOOKUP($J962,Catalogo!$B$7:$B$210,Catalogo!$I$7:$I$210,"",0)=0,"",_xlfn.XLOOKUP($J962,Catalogo!$B$7:$B$210,Catalogo!$I$7:$I$210,"",0))</f>
        <v>SEVERIDAD</v>
      </c>
      <c r="M962" s="36"/>
      <c r="N9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1">
        <v>46111</v>
      </c>
      <c r="B963" s="274" t="s">
        <v>410</v>
      </c>
      <c r="C963" s="275" t="s">
        <v>265</v>
      </c>
      <c r="D963" s="276" t="s">
        <v>403</v>
      </c>
      <c r="E963" s="382" t="s">
        <v>400</v>
      </c>
      <c r="F963" s="277"/>
      <c r="G963" s="277"/>
      <c r="H963" s="224" t="str">
        <f>IF(Tabla1[[#This Row],[Codigo_actividad]]&lt;&gt;2.5,IF(((Tabla1[[#This Row],[fin]]-Tabla1[[#This Row],[inicio]])/1000)=0,"",((Tabla1[[#This Row],[fin]]-Tabla1[[#This Row],[inicio]])/1000)),"")</f>
        <v/>
      </c>
      <c r="I963" s="282"/>
      <c r="J963" s="76">
        <v>2.8</v>
      </c>
      <c r="K963" s="76" t="str">
        <f>+_xlfn.XLOOKUP(Tabla1[[#This Row],[Codigo_actividad]],Conceptos!A:A,Conceptos!H:H)</f>
        <v>P2.08</v>
      </c>
      <c r="L963" s="66" t="str">
        <f>IF(_xlfn.XLOOKUP($J963,Catalogo!$B$7:$B$210,Catalogo!$I$7:$I$210,"",0)=0,"",_xlfn.XLOOKUP($J963,Catalogo!$B$7:$B$210,Catalogo!$I$7:$I$210,"",0))</f>
        <v>REPORTE E2</v>
      </c>
      <c r="M963" s="36"/>
      <c r="N96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2">
        <v>46111</v>
      </c>
      <c r="B964" s="278" t="s">
        <v>410</v>
      </c>
      <c r="C964" s="279" t="s">
        <v>335</v>
      </c>
      <c r="D964" s="280" t="s">
        <v>403</v>
      </c>
      <c r="E964" s="383" t="s">
        <v>412</v>
      </c>
      <c r="F964" s="281"/>
      <c r="G964" s="281"/>
      <c r="H964" s="224" t="str">
        <f>IF(Tabla1[[#This Row],[Codigo_actividad]]&lt;&gt;2.5,IF(((Tabla1[[#This Row],[fin]]-Tabla1[[#This Row],[inicio]])/1000)=0,"",((Tabla1[[#This Row],[fin]]-Tabla1[[#This Row],[inicio]])/1000)),"")</f>
        <v/>
      </c>
      <c r="I964" s="282"/>
      <c r="J964" s="76">
        <v>2.7</v>
      </c>
      <c r="K964" s="76" t="str">
        <f>+_xlfn.XLOOKUP(Tabla1[[#This Row],[Codigo_actividad]],Conceptos!A:A,Conceptos!H:H)</f>
        <v>P2.07</v>
      </c>
      <c r="L964" s="66" t="str">
        <f>IF(_xlfn.XLOOKUP($J964,Catalogo!$B$7:$B$210,Catalogo!$I$7:$I$210,"",0)=0,"",_xlfn.XLOOKUP($J964,Catalogo!$B$7:$B$210,Catalogo!$I$7:$I$210,"",0))</f>
        <v>SEVERIDAD</v>
      </c>
      <c r="M964" s="36"/>
      <c r="N9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2">
        <v>46111</v>
      </c>
      <c r="B965" s="278" t="s">
        <v>410</v>
      </c>
      <c r="C965" s="279" t="s">
        <v>335</v>
      </c>
      <c r="D965" s="280" t="s">
        <v>403</v>
      </c>
      <c r="E965" s="383" t="s">
        <v>400</v>
      </c>
      <c r="F965" s="281"/>
      <c r="G965" s="281"/>
      <c r="H965" s="224" t="str">
        <f>IF(Tabla1[[#This Row],[Codigo_actividad]]&lt;&gt;2.5,IF(((Tabla1[[#This Row],[fin]]-Tabla1[[#This Row],[inicio]])/1000)=0,"",((Tabla1[[#This Row],[fin]]-Tabla1[[#This Row],[inicio]])/1000)),"")</f>
        <v/>
      </c>
      <c r="I965" s="282"/>
      <c r="J965" s="76">
        <v>2.8</v>
      </c>
      <c r="K965" s="76" t="str">
        <f>+_xlfn.XLOOKUP(Tabla1[[#This Row],[Codigo_actividad]],Conceptos!A:A,Conceptos!H:H)</f>
        <v>P2.08</v>
      </c>
      <c r="L965" s="66" t="str">
        <f>IF(_xlfn.XLOOKUP($J965,Catalogo!$B$7:$B$210,Catalogo!$I$7:$I$210,"",0)=0,"",_xlfn.XLOOKUP($J965,Catalogo!$B$7:$B$210,Catalogo!$I$7:$I$210,"",0))</f>
        <v>REPORTE E2</v>
      </c>
      <c r="M965" s="36"/>
      <c r="N9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4"/>
      <c r="C966" s="155"/>
      <c r="D966" s="39"/>
      <c r="F966" s="28"/>
      <c r="G966" s="28"/>
      <c r="H966" s="224" t="str">
        <f>IF(Tabla1[[#This Row],[Codigo_actividad]]&lt;&gt;2.5,IF(((Tabla1[[#This Row],[fin]]-Tabla1[[#This Row],[inicio]])/1000)=0,"",((Tabla1[[#This Row],[fin]]-Tabla1[[#This Row],[inicio]])/1000)),"")</f>
        <v/>
      </c>
      <c r="K966">
        <f>+_xlfn.XLOOKUP(Tabla1[[#This Row],[Codigo_actividad]],Conceptos!A:A,Conceptos!H:H)</f>
        <v>0</v>
      </c>
      <c r="L966" s="55" t="str">
        <f>IF(_xlfn.XLOOKUP($J966,Catalogo!$B$7:$B$210,Catalogo!$I$7:$I$210,"",0)=0,"",_xlfn.XLOOKUP($J966,Catalogo!$B$7:$B$210,Catalogo!$I$7:$I$210,"",0))</f>
        <v/>
      </c>
      <c r="M966" s="36"/>
      <c r="N966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6">
        <v>46111</v>
      </c>
      <c r="B967" s="262" t="s">
        <v>410</v>
      </c>
      <c r="C967" s="263" t="s">
        <v>13</v>
      </c>
      <c r="D967" s="264" t="s">
        <v>403</v>
      </c>
      <c r="E967" s="377" t="s">
        <v>413</v>
      </c>
      <c r="F967" s="265"/>
      <c r="G967" s="265"/>
      <c r="H967" s="224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76" t="str">
        <f>+_xlfn.XLOOKUP(Tabla1[[#This Row],[Codigo_actividad]],Conceptos!A:A,Conceptos!H:H)</f>
        <v>P3.01</v>
      </c>
      <c r="L967" s="66" t="str">
        <f>IF(_xlfn.XLOOKUP($J967,Catalogo!$B$7:$B$210,Catalogo!$I$7:$I$210,"",0)=0,"",_xlfn.XLOOKUP($J967,Catalogo!$B$7:$B$210,Catalogo!$I$7:$I$210,"",0))</f>
        <v>PRIORIZACION</v>
      </c>
      <c r="M967" s="36"/>
      <c r="N967" s="261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7">
        <v>46111</v>
      </c>
      <c r="B968" s="266" t="s">
        <v>410</v>
      </c>
      <c r="C968" s="267" t="s">
        <v>22</v>
      </c>
      <c r="D968" s="268" t="s">
        <v>403</v>
      </c>
      <c r="E968" s="378" t="s">
        <v>413</v>
      </c>
      <c r="F968" s="269"/>
      <c r="G968" s="269"/>
      <c r="H968" s="224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76" t="str">
        <f>+_xlfn.XLOOKUP(Tabla1[[#This Row],[Codigo_actividad]],Conceptos!A:A,Conceptos!H:H)</f>
        <v>P3.01</v>
      </c>
      <c r="L968" s="66" t="str">
        <f>IF(_xlfn.XLOOKUP($J968,Catalogo!$B$7:$B$210,Catalogo!$I$7:$I$210,"",0)=0,"",_xlfn.XLOOKUP($J968,Catalogo!$B$7:$B$210,Catalogo!$I$7:$I$210,"",0))</f>
        <v>PRIORIZACION</v>
      </c>
      <c r="M968" s="36"/>
      <c r="N968" s="261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4">
        <v>46291</v>
      </c>
      <c r="B969" s="270" t="s">
        <v>410</v>
      </c>
      <c r="C969" s="271" t="s">
        <v>329</v>
      </c>
      <c r="D969" s="272" t="s">
        <v>403</v>
      </c>
      <c r="E969" s="379" t="s">
        <v>413</v>
      </c>
      <c r="F969" s="273"/>
      <c r="G969" s="273"/>
      <c r="H969" s="224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76" t="str">
        <f>+_xlfn.XLOOKUP(Tabla1[[#This Row],[Codigo_actividad]],Conceptos!A:A,Conceptos!H:H)</f>
        <v>P3.01</v>
      </c>
      <c r="L969" s="66" t="str">
        <f>IF(_xlfn.XLOOKUP($J969,Catalogo!$B$7:$B$210,Catalogo!$I$7:$I$210,"",0)=0,"",_xlfn.XLOOKUP($J969,Catalogo!$B$7:$B$210,Catalogo!$I$7:$I$210,"",0))</f>
        <v>PRIORIZACION</v>
      </c>
      <c r="M969" s="36"/>
      <c r="N969" s="261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5">
        <v>46311</v>
      </c>
      <c r="B970" s="283" t="s">
        <v>410</v>
      </c>
      <c r="C970" s="284" t="s">
        <v>411</v>
      </c>
      <c r="D970" s="285" t="s">
        <v>403</v>
      </c>
      <c r="E970" s="380" t="s">
        <v>413</v>
      </c>
      <c r="F970" s="286"/>
      <c r="G970" s="286"/>
      <c r="H970" s="224" t="str">
        <f>IF(Tabla1[[#This Row],[Codigo_actividad]]&lt;&gt;2.5,IF(((Tabla1[[#This Row],[fin]]-Tabla1[[#This Row],[inicio]])/1000)=0,"",((Tabla1[[#This Row],[fin]]-Tabla1[[#This Row],[inicio]])/1000)),"")</f>
        <v/>
      </c>
      <c r="I970" s="66">
        <v>4</v>
      </c>
      <c r="J970" s="76">
        <v>3.1</v>
      </c>
      <c r="K970" s="76" t="str">
        <f>+_xlfn.XLOOKUP(Tabla1[[#This Row],[Codigo_actividad]],Conceptos!A:A,Conceptos!H:H)</f>
        <v>P3.01</v>
      </c>
      <c r="L970" s="66" t="str">
        <f>IF(_xlfn.XLOOKUP($J970,Catalogo!$B$7:$B$210,Catalogo!$I$7:$I$210,"",0)=0,"",_xlfn.XLOOKUP($J970,Catalogo!$B$7:$B$210,Catalogo!$I$7:$I$210,"",0))</f>
        <v>PRIORIZACION</v>
      </c>
      <c r="M970" s="36"/>
      <c r="N970" s="261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6"/>
      <c r="B971" s="287" t="s">
        <v>410</v>
      </c>
      <c r="C971" s="288" t="s">
        <v>561</v>
      </c>
      <c r="D971" s="289" t="s">
        <v>403</v>
      </c>
      <c r="E971" s="381" t="s">
        <v>413</v>
      </c>
      <c r="F971" s="290"/>
      <c r="G971" s="290"/>
      <c r="H971" s="224" t="str">
        <f>IF(Tabla1[[#This Row],[Codigo_actividad]]&lt;&gt;2.5,IF(((Tabla1[[#This Row],[fin]]-Tabla1[[#This Row],[inicio]])/1000)=0,"",((Tabla1[[#This Row],[fin]]-Tabla1[[#This Row],[inicio]])/1000)),"")</f>
        <v/>
      </c>
      <c r="I971" s="282"/>
      <c r="J971" s="76">
        <v>3.1</v>
      </c>
      <c r="K971" s="76" t="str">
        <f>+_xlfn.XLOOKUP(Tabla1[[#This Row],[Codigo_actividad]],Conceptos!A:A,Conceptos!H:H)</f>
        <v>P3.01</v>
      </c>
      <c r="L971" s="66" t="str">
        <f>IF(_xlfn.XLOOKUP($J971,Catalogo!$B$7:$B$210,Catalogo!$I$7:$I$210,"",0)=0,"",_xlfn.XLOOKUP($J971,Catalogo!$B$7:$B$210,Catalogo!$I$7:$I$210,"",0))</f>
        <v>PRIORIZACION</v>
      </c>
      <c r="M971" s="36"/>
      <c r="N97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7"/>
      <c r="B972" s="274" t="s">
        <v>410</v>
      </c>
      <c r="C972" s="275" t="s">
        <v>265</v>
      </c>
      <c r="D972" s="276" t="s">
        <v>403</v>
      </c>
      <c r="E972" s="382" t="s">
        <v>413</v>
      </c>
      <c r="F972" s="277"/>
      <c r="G972" s="277"/>
      <c r="H972" s="224" t="str">
        <f>IF(Tabla1[[#This Row],[Codigo_actividad]]&lt;&gt;2.5,IF(((Tabla1[[#This Row],[fin]]-Tabla1[[#This Row],[inicio]])/1000)=0,"",((Tabla1[[#This Row],[fin]]-Tabla1[[#This Row],[inicio]])/1000)),"")</f>
        <v/>
      </c>
      <c r="I972" s="282"/>
      <c r="J972" s="76">
        <v>3.1</v>
      </c>
      <c r="K972" s="76" t="str">
        <f>+_xlfn.XLOOKUP(Tabla1[[#This Row],[Codigo_actividad]],Conceptos!A:A,Conceptos!H:H)</f>
        <v>P3.01</v>
      </c>
      <c r="L972" s="66" t="str">
        <f>IF(_xlfn.XLOOKUP($J972,Catalogo!$B$7:$B$210,Catalogo!$I$7:$I$210,"",0)=0,"",_xlfn.XLOOKUP($J972,Catalogo!$B$7:$B$210,Catalogo!$I$7:$I$210,"",0))</f>
        <v>PRIORIZACION</v>
      </c>
      <c r="M972" s="36"/>
      <c r="N97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2"/>
      <c r="B973" s="278" t="s">
        <v>410</v>
      </c>
      <c r="C973" s="279" t="s">
        <v>335</v>
      </c>
      <c r="D973" s="280" t="s">
        <v>403</v>
      </c>
      <c r="E973" s="383" t="s">
        <v>413</v>
      </c>
      <c r="F973" s="281"/>
      <c r="G973" s="281"/>
      <c r="H973" s="224" t="str">
        <f>IF(Tabla1[[#This Row],[Codigo_actividad]]&lt;&gt;2.5,IF(((Tabla1[[#This Row],[fin]]-Tabla1[[#This Row],[inicio]])/1000)=0,"",((Tabla1[[#This Row],[fin]]-Tabla1[[#This Row],[inicio]])/1000)),"")</f>
        <v/>
      </c>
      <c r="I973" s="282"/>
      <c r="J973" s="76">
        <v>3.1</v>
      </c>
      <c r="K973" s="76" t="str">
        <f>+_xlfn.XLOOKUP(Tabla1[[#This Row],[Codigo_actividad]],Conceptos!A:A,Conceptos!H:H)</f>
        <v>P3.01</v>
      </c>
      <c r="L973" s="66" t="str">
        <f>IF(_xlfn.XLOOKUP($J973,Catalogo!$B$7:$B$210,Catalogo!$I$7:$I$210,"",0)=0,"",_xlfn.XLOOKUP($J973,Catalogo!$B$7:$B$210,Catalogo!$I$7:$I$210,"",0))</f>
        <v>PRIORIZACION</v>
      </c>
      <c r="M973" s="36"/>
      <c r="N97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4"/>
      <c r="C974" s="155"/>
      <c r="D974" s="39"/>
      <c r="F974" s="28"/>
      <c r="G974" s="28"/>
      <c r="H974" s="224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76">
        <f>+_xlfn.XLOOKUP(Tabla1[[#This Row],[Codigo_actividad]],Conceptos!A:A,Conceptos!H:H)</f>
        <v>0</v>
      </c>
      <c r="L974" s="55" t="str">
        <f>IF(_xlfn.XLOOKUP($J974,Catalogo!$B$7:$B$210,Catalogo!$I$7:$I$210,"",0)=0,"",_xlfn.XLOOKUP($J974,Catalogo!$B$7:$B$210,Catalogo!$I$7:$I$210,"",0))</f>
        <v/>
      </c>
      <c r="M974" s="36"/>
      <c r="N9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B975" s="262" t="s">
        <v>410</v>
      </c>
      <c r="C975" s="263" t="s">
        <v>13</v>
      </c>
      <c r="D975" s="264" t="s">
        <v>403</v>
      </c>
      <c r="E975" s="377" t="s">
        <v>651</v>
      </c>
      <c r="F975" s="265"/>
      <c r="G975" s="265"/>
      <c r="H975" s="224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>
        <v>3.4</v>
      </c>
      <c r="K975" s="76" t="str">
        <f>+_xlfn.XLOOKUP(Tabla1[[#This Row],[Codigo_actividad]],Conceptos!A:A,Conceptos!H:H)</f>
        <v>P3.04</v>
      </c>
      <c r="L975" s="66" t="str">
        <f>IF(_xlfn.XLOOKUP($J975,Catalogo!$B$7:$B$210,Catalogo!$I$7:$I$210,"",0)=0,"",_xlfn.XLOOKUP($J975,Catalogo!$B$7:$B$210,Catalogo!$I$7:$I$210,"",0))</f>
        <v>REPORTE E3</v>
      </c>
      <c r="M975" s="36"/>
      <c r="N97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6" spans="1:14" x14ac:dyDescent="0.25">
      <c r="A976" s="357"/>
      <c r="B976" s="266" t="s">
        <v>410</v>
      </c>
      <c r="C976" s="267" t="s">
        <v>22</v>
      </c>
      <c r="D976" s="268" t="s">
        <v>403</v>
      </c>
      <c r="E976" s="378" t="s">
        <v>651</v>
      </c>
      <c r="F976" s="269"/>
      <c r="G976" s="269"/>
      <c r="H976" s="224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>
        <v>3.4</v>
      </c>
      <c r="K976" s="76" t="str">
        <f>+_xlfn.XLOOKUP(Tabla1[[#This Row],[Codigo_actividad]],Conceptos!A:A,Conceptos!H:H)</f>
        <v>P3.04</v>
      </c>
      <c r="L976" s="66" t="str">
        <f>IF(_xlfn.XLOOKUP($J976,Catalogo!$B$7:$B$210,Catalogo!$I$7:$I$210,"",0)=0,"",_xlfn.XLOOKUP($J976,Catalogo!$B$7:$B$210,Catalogo!$I$7:$I$210,"",0))</f>
        <v>REPORTE E3</v>
      </c>
      <c r="M976" s="36"/>
      <c r="N97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7" spans="1:15" x14ac:dyDescent="0.25">
      <c r="A977" s="404"/>
      <c r="B977" s="270" t="s">
        <v>410</v>
      </c>
      <c r="C977" s="271" t="s">
        <v>329</v>
      </c>
      <c r="D977" s="272" t="s">
        <v>403</v>
      </c>
      <c r="E977" s="379" t="s">
        <v>651</v>
      </c>
      <c r="F977" s="273"/>
      <c r="G977" s="273"/>
      <c r="H977" s="224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>
        <v>3.4</v>
      </c>
      <c r="K977" s="76" t="str">
        <f>+_xlfn.XLOOKUP(Tabla1[[#This Row],[Codigo_actividad]],Conceptos!A:A,Conceptos!H:H)</f>
        <v>P3.04</v>
      </c>
      <c r="L977" s="66" t="str">
        <f>IF(_xlfn.XLOOKUP($J977,Catalogo!$B$7:$B$210,Catalogo!$I$7:$I$210,"",0)=0,"",_xlfn.XLOOKUP($J977,Catalogo!$B$7:$B$210,Catalogo!$I$7:$I$210,"",0))</f>
        <v>REPORTE E3</v>
      </c>
      <c r="M977" s="36"/>
      <c r="N9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8" spans="1:15" x14ac:dyDescent="0.25">
      <c r="A978" s="405"/>
      <c r="B978" s="283" t="s">
        <v>410</v>
      </c>
      <c r="C978" s="284" t="s">
        <v>411</v>
      </c>
      <c r="D978" s="285" t="s">
        <v>403</v>
      </c>
      <c r="E978" s="380" t="s">
        <v>651</v>
      </c>
      <c r="F978" s="286"/>
      <c r="G978" s="286"/>
      <c r="H978" s="224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>
        <v>3.4</v>
      </c>
      <c r="K978" s="76" t="str">
        <f>+_xlfn.XLOOKUP(Tabla1[[#This Row],[Codigo_actividad]],Conceptos!A:A,Conceptos!H:H)</f>
        <v>P3.04</v>
      </c>
      <c r="L978" s="66" t="str">
        <f>IF(_xlfn.XLOOKUP($J978,Catalogo!$B$7:$B$210,Catalogo!$I$7:$I$210,"",0)=0,"",_xlfn.XLOOKUP($J978,Catalogo!$B$7:$B$210,Catalogo!$I$7:$I$210,"",0))</f>
        <v>REPORTE E3</v>
      </c>
      <c r="M978" s="36"/>
      <c r="N97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5" x14ac:dyDescent="0.25">
      <c r="A979" s="406"/>
      <c r="B979" s="287" t="s">
        <v>410</v>
      </c>
      <c r="C979" s="288" t="s">
        <v>561</v>
      </c>
      <c r="D979" s="289" t="s">
        <v>403</v>
      </c>
      <c r="E979" s="381" t="s">
        <v>651</v>
      </c>
      <c r="F979" s="290"/>
      <c r="G979" s="290"/>
      <c r="H979" s="224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>
        <v>3.4</v>
      </c>
      <c r="K979" s="76" t="str">
        <f>+_xlfn.XLOOKUP(Tabla1[[#This Row],[Codigo_actividad]],Conceptos!A:A,Conceptos!H:H)</f>
        <v>P3.04</v>
      </c>
      <c r="L979" s="66" t="str">
        <f>IF(_xlfn.XLOOKUP($J979,Catalogo!$B$7:$B$210,Catalogo!$I$7:$I$210,"",0)=0,"",_xlfn.XLOOKUP($J979,Catalogo!$B$7:$B$210,Catalogo!$I$7:$I$210,"",0))</f>
        <v>REPORTE E3</v>
      </c>
      <c r="M979" s="36"/>
      <c r="N9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5" x14ac:dyDescent="0.25">
      <c r="A980" s="407"/>
      <c r="B980" s="274" t="s">
        <v>410</v>
      </c>
      <c r="C980" s="275" t="s">
        <v>265</v>
      </c>
      <c r="D980" s="276" t="s">
        <v>403</v>
      </c>
      <c r="E980" s="382" t="s">
        <v>651</v>
      </c>
      <c r="F980" s="277"/>
      <c r="G980" s="277"/>
      <c r="H980" s="224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>
        <v>3.4</v>
      </c>
      <c r="K980" s="76" t="str">
        <f>+_xlfn.XLOOKUP(Tabla1[[#This Row],[Codigo_actividad]],Conceptos!A:A,Conceptos!H:H)</f>
        <v>P3.04</v>
      </c>
      <c r="L980" s="66" t="str">
        <f>IF(_xlfn.XLOOKUP($J980,Catalogo!$B$7:$B$210,Catalogo!$I$7:$I$210,"",0)=0,"",_xlfn.XLOOKUP($J980,Catalogo!$B$7:$B$210,Catalogo!$I$7:$I$210,"",0))</f>
        <v>REPORTE E3</v>
      </c>
      <c r="M980" s="36"/>
      <c r="N98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5" x14ac:dyDescent="0.25">
      <c r="A981" s="362"/>
      <c r="B981" s="278" t="s">
        <v>410</v>
      </c>
      <c r="C981" s="279" t="s">
        <v>335</v>
      </c>
      <c r="D981" s="280" t="s">
        <v>403</v>
      </c>
      <c r="E981" s="383" t="s">
        <v>651</v>
      </c>
      <c r="F981" s="281"/>
      <c r="G981" s="281"/>
      <c r="H981" s="224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>
        <v>3.4</v>
      </c>
      <c r="K981" s="76" t="str">
        <f>+_xlfn.XLOOKUP(Tabla1[[#This Row],[Codigo_actividad]],Conceptos!A:A,Conceptos!H:H)</f>
        <v>P3.04</v>
      </c>
      <c r="L981" s="66" t="str">
        <f>IF(_xlfn.XLOOKUP($J981,Catalogo!$B$7:$B$210,Catalogo!$I$7:$I$210,"",0)=0,"",_xlfn.XLOOKUP($J981,Catalogo!$B$7:$B$210,Catalogo!$I$7:$I$210,"",0))</f>
        <v>REPORTE E3</v>
      </c>
      <c r="M981" s="36"/>
      <c r="N98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5" x14ac:dyDescent="0.25">
      <c r="A982" s="354"/>
      <c r="C982" s="155"/>
      <c r="D982" s="39"/>
      <c r="F982" s="28"/>
      <c r="G982" s="28"/>
      <c r="H982" s="224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76">
        <f>+_xlfn.XLOOKUP(Tabla1[[#This Row],[Codigo_actividad]],Conceptos!A:A,Conceptos!H:H)</f>
        <v>0</v>
      </c>
      <c r="L982" s="55" t="str">
        <f>IF(_xlfn.XLOOKUP($J982,Catalogo!$B$7:$B$21,Catalogo!$I$7:$I$21,"",0)=0,"",_xlfn.XLOOKUP($J982,Catalogo!$B$7:$B$21,Catalogo!$I$7:$I$21,"",0))</f>
        <v/>
      </c>
      <c r="M982" s="36"/>
      <c r="N982" s="261">
        <f>IF(Tabla1[[#This Row],[Avance_km]]&lt;&gt;"",Tabla1[[#This Row],[Avance_km]],Tabla1[[#This Row],[Avance_Med]])*_xlfn.XLOOKUP(Tabla1[[#This Row],[Codigo_actividad]],Catalogo!$B$6:$B$51,Catalogo!$F$6:$F$51,0)</f>
        <v>0</v>
      </c>
      <c r="O982" t="str">
        <f>_xlfn.IFNA(_xlfn.XLOOKUP(Tabla1[[#This Row],[fin]],$Q$379:$Q$398,$U$379:$U$398),"")</f>
        <v/>
      </c>
    </row>
    <row r="983" spans="1:15" x14ac:dyDescent="0.25">
      <c r="A983" s="354"/>
      <c r="C983" s="155"/>
      <c r="D983" s="39"/>
      <c r="F983" s="28"/>
      <c r="G983" s="28"/>
      <c r="H983" s="224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76">
        <f>+_xlfn.XLOOKUP(Tabla1[[#This Row],[Codigo_actividad]],Conceptos!A:A,Conceptos!H:H)</f>
        <v>0</v>
      </c>
      <c r="L983" s="55" t="str">
        <f>IF(_xlfn.XLOOKUP($J983,Catalogo!$B$7:$B$21,Catalogo!$I$7:$I$21,"",0)=0,"",_xlfn.XLOOKUP($J983,Catalogo!$B$7:$B$21,Catalogo!$I$7:$I$21,"",0))</f>
        <v/>
      </c>
      <c r="M983" s="36"/>
      <c r="N983" s="261">
        <f>IF(Tabla1[[#This Row],[Avance_km]]&lt;&gt;"",Tabla1[[#This Row],[Avance_km]],Tabla1[[#This Row],[Avance_Med]])*_xlfn.XLOOKUP(Tabla1[[#This Row],[Codigo_actividad]],Catalogo!$B$6:$B$51,Catalogo!$F$6:$F$51,0)</f>
        <v>0</v>
      </c>
      <c r="O983" t="str">
        <f>_xlfn.IFNA(_xlfn.XLOOKUP(Tabla1[[#This Row],[fin]],$Q$379:$Q$398,$U$379:$U$398),"")</f>
        <v/>
      </c>
    </row>
    <row r="984" spans="1:15" x14ac:dyDescent="0.25">
      <c r="A984" s="359"/>
      <c r="B984" s="380"/>
      <c r="C984" s="284"/>
      <c r="D984" s="285"/>
      <c r="E984" s="380"/>
      <c r="F984" s="286"/>
      <c r="G984" s="286"/>
      <c r="H984" s="515" t="str">
        <f>IF(Tabla1[[#This Row],[Codigo_actividad]]&lt;&gt;2.5,IF(((Tabla1[[#This Row],[fin]]-Tabla1[[#This Row],[inicio]])/1000)=0,"",((Tabla1[[#This Row],[fin]]-Tabla1[[#This Row],[inicio]])/1000)),"")</f>
        <v/>
      </c>
      <c r="I984" s="516"/>
      <c r="J984" s="516"/>
      <c r="K984" s="516">
        <f>+_xlfn.XLOOKUP(Tabla1[[#This Row],[Codigo_actividad]],Conceptos!A:A,Conceptos!H:H)</f>
        <v>0</v>
      </c>
      <c r="L984" s="519" t="str">
        <f>IF(_xlfn.XLOOKUP($J984,Catalogo!$B$7:$B$21,Catalogo!$I$7:$I$21,"",0)=0,"",_xlfn.XLOOKUP($J984,Catalogo!$B$7:$B$21,Catalogo!$I$7:$I$21,"",0))</f>
        <v/>
      </c>
      <c r="M984" s="517"/>
      <c r="N984" s="518">
        <f>IF(Tabla1[[#This Row],[Avance_km]]&lt;&gt;"",Tabla1[[#This Row],[Avance_km]],Tabla1[[#This Row],[Avance_Med]])*_xlfn.XLOOKUP(Tabla1[[#This Row],[Codigo_actividad]],Catalogo!$B$6:$B$51,Catalogo!$F$6:$F$51,0)</f>
        <v>0</v>
      </c>
      <c r="O984" s="519" t="str">
        <f>_xlfn.IFNA(_xlfn.XLOOKUP(Tabla1[[#This Row],[fin]],$Q$379:$Q$398,$U$379:$U$398),"")</f>
        <v/>
      </c>
    </row>
    <row r="985" spans="1:15" x14ac:dyDescent="0.25">
      <c r="A985" s="354"/>
      <c r="C985" s="155"/>
      <c r="D985" s="39"/>
      <c r="F985" s="28"/>
      <c r="G985" s="28"/>
      <c r="H985" s="224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76">
        <f>+_xlfn.XLOOKUP(Tabla1[[#This Row],[Codigo_actividad]],Conceptos!A:A,Conceptos!H:H)</f>
        <v>0</v>
      </c>
      <c r="L985" s="55" t="str">
        <f>IF(_xlfn.XLOOKUP($J985,Catalogo!$B$7:$B$210,Catalogo!$I$7:$I$210,"",0)=0,"",_xlfn.XLOOKUP($J985,Catalogo!$B$7:$B$210,Catalogo!$I$7:$I$210,"",0))</f>
        <v/>
      </c>
      <c r="M985" s="36"/>
      <c r="N9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5" x14ac:dyDescent="0.25">
      <c r="A986" s="354">
        <v>46258</v>
      </c>
      <c r="B986" s="40" t="s">
        <v>522</v>
      </c>
      <c r="C986" s="155" t="s">
        <v>13</v>
      </c>
      <c r="D986" s="39" t="s">
        <v>403</v>
      </c>
      <c r="E986" s="40" t="s">
        <v>434</v>
      </c>
      <c r="F986" s="28"/>
      <c r="G986" s="28"/>
      <c r="H986" s="224" t="str">
        <f>IF(Tabla1[[#This Row],[Codigo_actividad]]&lt;&gt;2.5,IF(((Tabla1[[#This Row],[fin]]-Tabla1[[#This Row],[inicio]])/1000)=0,"",((Tabla1[[#This Row],[fin]]-Tabla1[[#This Row],[inicio]])/1000)),"")</f>
        <v/>
      </c>
      <c r="I986" s="66">
        <v>24</v>
      </c>
      <c r="J986" s="76">
        <v>4.9000000000000004</v>
      </c>
      <c r="K986" s="76" t="str">
        <f>+_xlfn.XLOOKUP(Tabla1[[#This Row],[Codigo_actividad]],Conceptos!A:A,Conceptos!H:H)</f>
        <v>P4.09</v>
      </c>
      <c r="L986" s="66" t="str">
        <f>IF(_xlfn.XLOOKUP($J986,Catalogo!$B$7:$B$210,Catalogo!$I$7:$I$210,"",0)=0,"",_xlfn.XLOOKUP($J986,Catalogo!$B$7:$B$210,Catalogo!$I$7:$I$210,"",0))</f>
        <v>COATING 2-4</v>
      </c>
      <c r="M986" s="36"/>
      <c r="N986" s="261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O986" t="str">
        <f>_xlfn.IFNA(_xlfn.XLOOKUP(Tabla1[[#This Row],[fin]],$Q$379:$Q$398,$U$379:$U$398),"")</f>
        <v/>
      </c>
    </row>
    <row r="987" spans="1:15" x14ac:dyDescent="0.25">
      <c r="A987" s="354">
        <v>46258</v>
      </c>
      <c r="B987" s="40" t="s">
        <v>522</v>
      </c>
      <c r="C987" s="155" t="s">
        <v>22</v>
      </c>
      <c r="D987" s="39" t="s">
        <v>403</v>
      </c>
      <c r="E987" s="40" t="s">
        <v>435</v>
      </c>
      <c r="F987" s="28"/>
      <c r="G987" s="28"/>
      <c r="H987" s="224" t="str">
        <f>IF(Tabla1[[#This Row],[Codigo_actividad]]&lt;&gt;2.5,IF(((Tabla1[[#This Row],[fin]]-Tabla1[[#This Row],[inicio]])/1000)=0,"",((Tabla1[[#This Row],[fin]]-Tabla1[[#This Row],[inicio]])/1000)),"")</f>
        <v/>
      </c>
      <c r="I987" s="66">
        <v>24</v>
      </c>
      <c r="J987" s="437" t="s">
        <v>523</v>
      </c>
      <c r="K987" s="437" t="s">
        <v>652</v>
      </c>
      <c r="L987" s="66" t="str">
        <f>IF(_xlfn.XLOOKUP($J987,Catalogo!$B$7:$B$210,Catalogo!$I$7:$I$210,"",0)=0,"",_xlfn.XLOOKUP($J987,Catalogo!$B$7:$B$210,Catalogo!$I$7:$I$210,"",0))</f>
        <v>COATING 6-8</v>
      </c>
      <c r="M987" s="36"/>
      <c r="N987" s="261">
        <f>IF(Tabla1[[#This Row],[Avance_km]]&lt;&gt;"",Tabla1[[#This Row],[Avance_km]],Tabla1[[#This Row],[Avance_Med]])*_xlfn.XLOOKUP(Tabla1[[#This Row],[Codigo_actividad]],Catalogo!$B$6:$B$51,Catalogo!$F$6:$F$51,0)</f>
        <v>167470.32</v>
      </c>
      <c r="O987" t="str">
        <f>_xlfn.IFNA(_xlfn.XLOOKUP(Tabla1[[#This Row],[fin]],$Q$379:$Q$398,$U$379:$U$398),"")</f>
        <v/>
      </c>
    </row>
    <row r="988" spans="1:15" x14ac:dyDescent="0.25">
      <c r="A988" s="354"/>
      <c r="C988" s="155"/>
      <c r="D988" s="39"/>
      <c r="F988" s="28"/>
      <c r="G988" s="28"/>
      <c r="H988" s="224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76">
        <f>+_xlfn.XLOOKUP(Tabla1[[#This Row],[Codigo_actividad]],Conceptos!A:A,Conceptos!H:H)</f>
        <v>0</v>
      </c>
      <c r="L988" s="55" t="str">
        <f>IF(_xlfn.XLOOKUP($J988,Catalogo!$B$7:$B$210,Catalogo!$I$7:$I$210,"",0)=0,"",_xlfn.XLOOKUP($J988,Catalogo!$B$7:$B$210,Catalogo!$I$7:$I$210,"",0))</f>
        <v/>
      </c>
      <c r="M988" s="36"/>
      <c r="N98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5" x14ac:dyDescent="0.25">
      <c r="A989" s="354"/>
      <c r="C989" s="155"/>
      <c r="D989" s="39"/>
      <c r="F989" s="28"/>
      <c r="G989" s="28"/>
      <c r="H989" s="224">
        <f>SUBTOTAL(109,Tabla1[Avance_km])</f>
        <v>607.68610556589113</v>
      </c>
      <c r="I989" s="224"/>
      <c r="M989" s="36"/>
      <c r="N989" s="292">
        <f>+SUBTOTAL(9,Tabla1[EV])</f>
        <v>10867666.575299986</v>
      </c>
    </row>
  </sheetData>
  <sortState xmlns:xlrd2="http://schemas.microsoft.com/office/spreadsheetml/2017/richdata2" ref="V386:Y412">
    <sortCondition ref="X386:X412"/>
  </sortState>
  <phoneticPr fontId="25" type="noConversion"/>
  <conditionalFormatting sqref="N2:N988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J152:J160 J162:J163 J237:J238 J175 J185 J143:J150 J222 J11:J124 J138:J140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2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2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2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9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2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2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2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2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2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9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2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2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2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2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9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2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2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2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2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2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2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2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9"/>
      <c r="H21" s="79"/>
      <c r="I21" s="79"/>
      <c r="J21" s="142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2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2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2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2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2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2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9"/>
      <c r="H28" s="79"/>
      <c r="I28" s="79"/>
      <c r="J28" s="142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2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2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2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9"/>
      <c r="J32" s="142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9"/>
      <c r="J33" s="142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9"/>
      <c r="J34" s="142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9"/>
      <c r="J35" s="142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2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9"/>
      <c r="J37" s="142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9"/>
      <c r="J38" s="142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9"/>
      <c r="J39" s="142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2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2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9"/>
      <c r="J42" s="142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9"/>
      <c r="J43" s="142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2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2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2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9"/>
      <c r="J47" s="142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2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2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9"/>
      <c r="J50" s="142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9"/>
      <c r="J51" s="142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9"/>
      <c r="J52" s="142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9"/>
      <c r="J53" s="142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4">
        <f>IFERROR(SUMIFS(Tabla1[Avance_km],Tabla1[Ducto],Resumen!$B54,Tabla1[nombre_actividad],D$1)/$C54,0)</f>
        <v>0</v>
      </c>
      <c r="E54" s="164">
        <f>IFERROR(SUMIFS(Tabla1[Avance_km],Tabla1[Ducto],Resumen!$B54,Tabla1[nombre_actividad],E$1)/$C54,0)</f>
        <v>0</v>
      </c>
      <c r="F54" s="164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2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4">
        <f>IFERROR(SUMIFS(Tabla1[Avance_km],Tabla1[Ducto],Resumen!$B55,Tabla1[nombre_actividad],D$1)/$C55,0)</f>
        <v>0</v>
      </c>
      <c r="E55" s="164">
        <f>IFERROR(SUMIFS(Tabla1[Avance_km],Tabla1[Ducto],Resumen!$B55,Tabla1[nombre_actividad],E$1)/$C55,0)</f>
        <v>0</v>
      </c>
      <c r="F55" s="164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2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2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2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4">
        <f>IFERROR(SUMIFS(Tabla1[Avance_km],Tabla1[Ducto],Resumen!#REF!,Tabla1[nombre_actividad],D$1)/$C58,0)</f>
        <v>0</v>
      </c>
      <c r="E58" s="164">
        <f>IFERROR(SUMIFS(Tabla1[Avance_km],Tabla1[Ducto],Resumen!#REF!,Tabla1[nombre_actividad],E$1)/$C58,0)</f>
        <v>0</v>
      </c>
      <c r="F58" s="164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2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4">
        <f>IFERROR(SUMIFS(Tabla1[Avance_km],Tabla1[Ducto],Resumen!$B59,Tabla1[nombre_actividad],D$1)/$C59,0)</f>
        <v>1</v>
      </c>
      <c r="E59" s="164">
        <f>IFERROR(SUMIFS(Tabla1[Avance_km],Tabla1[Ducto],Resumen!$B59,Tabla1[nombre_actividad],E$1)/$C59,0)</f>
        <v>1</v>
      </c>
      <c r="F59" s="164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2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4">
        <f>IFERROR(SUMIFS(Tabla1[Avance_km],Tabla1[Ducto],Resumen!$B60,Tabla1[nombre_actividad],D$1)/$C60,0)</f>
        <v>1.0256410256410255</v>
      </c>
      <c r="E60" s="164">
        <f>IFERROR(SUMIFS(Tabla1[Avance_km],Tabla1[Ducto],Resumen!$B60,Tabla1[nombre_actividad],E$1)/$C60,0)</f>
        <v>1.0042735042735043</v>
      </c>
      <c r="F60" s="164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2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4">
        <f>IFERROR(SUMIFS(Tabla1[Avance_km],Tabla1[Ducto],Resumen!$B61,Tabla1[nombre_actividad],D$1)/$C61,0)</f>
        <v>1.4444444444444444</v>
      </c>
      <c r="E61" s="164">
        <f>IFERROR(SUMIFS(Tabla1[Avance_km],Tabla1[Ducto],Resumen!$B61,Tabla1[nombre_actividad],E$1)/$C61,0)</f>
        <v>1.4444444444444444</v>
      </c>
      <c r="F61" s="164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2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4">
        <f>IFERROR(SUMIFS(Tabla1[Avance_km],Tabla1[Ducto],Resumen!$B62,Tabla1[nombre_actividad],D$1)/$C62,0)</f>
        <v>1</v>
      </c>
      <c r="E62" s="164">
        <f>IFERROR(SUMIFS(Tabla1[Avance_km],Tabla1[Ducto],Resumen!$B62,Tabla1[nombre_actividad],E$1)/$C62,0)</f>
        <v>1</v>
      </c>
      <c r="F62" s="164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2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7" t="s">
        <v>84</v>
      </c>
      <c r="E1" s="578"/>
      <c r="F1" s="578"/>
      <c r="G1" s="578"/>
      <c r="H1" s="578"/>
      <c r="I1" s="578"/>
      <c r="J1" s="578"/>
      <c r="K1" s="578"/>
      <c r="L1" s="2"/>
    </row>
    <row r="2" spans="2:15" ht="42.75" customHeight="1" x14ac:dyDescent="0.25">
      <c r="B2" s="2"/>
      <c r="C2" s="2"/>
      <c r="D2" s="578"/>
      <c r="E2" s="578"/>
      <c r="F2" s="578"/>
      <c r="G2" s="578"/>
      <c r="H2" s="578"/>
      <c r="I2" s="578"/>
      <c r="J2" s="578"/>
      <c r="K2" s="578"/>
      <c r="L2" s="2"/>
    </row>
    <row r="3" spans="2:15" x14ac:dyDescent="0.25">
      <c r="B3" s="575" t="s">
        <v>85</v>
      </c>
      <c r="C3" s="575"/>
      <c r="D3" s="575"/>
      <c r="E3" s="575"/>
      <c r="F3" s="575"/>
      <c r="G3" s="575" t="s">
        <v>86</v>
      </c>
      <c r="H3" s="575"/>
      <c r="I3" s="575"/>
      <c r="J3" s="575"/>
      <c r="K3" s="575"/>
      <c r="L3" s="3"/>
    </row>
    <row r="4" spans="2:15" x14ac:dyDescent="0.25">
      <c r="B4" s="579"/>
      <c r="C4" s="579"/>
      <c r="D4" s="579"/>
      <c r="E4" s="579"/>
      <c r="F4" s="579"/>
      <c r="G4" s="580" t="s">
        <v>87</v>
      </c>
      <c r="H4" s="580"/>
      <c r="I4" s="580"/>
      <c r="J4" s="580"/>
      <c r="K4" s="580"/>
      <c r="L4" s="3"/>
    </row>
    <row r="5" spans="2:15" ht="27" x14ac:dyDescent="0.25">
      <c r="B5" s="152" t="s">
        <v>88</v>
      </c>
      <c r="C5" s="575" t="s">
        <v>89</v>
      </c>
      <c r="D5" s="576"/>
      <c r="E5" s="576"/>
      <c r="F5" s="576"/>
      <c r="G5" s="152" t="s">
        <v>90</v>
      </c>
      <c r="H5" s="152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2">
        <v>1</v>
      </c>
      <c r="C6" s="582" t="s">
        <v>95</v>
      </c>
      <c r="D6" s="582"/>
      <c r="E6" s="582"/>
      <c r="F6" s="582"/>
      <c r="G6" s="152"/>
      <c r="H6" s="152"/>
      <c r="I6" s="4"/>
      <c r="J6" s="4"/>
      <c r="K6" s="4"/>
      <c r="L6" s="3"/>
    </row>
    <row r="7" spans="2:15" x14ac:dyDescent="0.25">
      <c r="B7" s="5">
        <v>1.1000000000000001</v>
      </c>
      <c r="C7" s="583" t="s">
        <v>96</v>
      </c>
      <c r="D7" s="583"/>
      <c r="E7" s="583"/>
      <c r="F7" s="583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83" t="s">
        <v>99</v>
      </c>
      <c r="D8" s="583"/>
      <c r="E8" s="583"/>
      <c r="F8" s="583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83" t="s">
        <v>100</v>
      </c>
      <c r="D9" s="583"/>
      <c r="E9" s="583"/>
      <c r="F9" s="583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84" t="s">
        <v>102</v>
      </c>
      <c r="D10" s="584"/>
      <c r="E10" s="584"/>
      <c r="F10" s="584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83" t="s">
        <v>103</v>
      </c>
      <c r="D11" s="583"/>
      <c r="E11" s="583"/>
      <c r="F11" s="583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83" t="s">
        <v>104</v>
      </c>
      <c r="D12" s="583"/>
      <c r="E12" s="583"/>
      <c r="F12" s="583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2">
        <v>2</v>
      </c>
      <c r="C13" s="582" t="s">
        <v>105</v>
      </c>
      <c r="D13" s="582"/>
      <c r="E13" s="582"/>
      <c r="F13" s="582"/>
      <c r="G13" s="152"/>
      <c r="H13" s="152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83" t="s">
        <v>107</v>
      </c>
      <c r="D14" s="583"/>
      <c r="E14" s="583"/>
      <c r="F14" s="583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83" t="s">
        <v>109</v>
      </c>
      <c r="D15" s="583"/>
      <c r="E15" s="583"/>
      <c r="F15" s="583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83" t="s">
        <v>110</v>
      </c>
      <c r="D16" s="583"/>
      <c r="E16" s="583"/>
      <c r="F16" s="583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1" t="s">
        <v>111</v>
      </c>
      <c r="D17" s="581"/>
      <c r="E17" s="581"/>
      <c r="F17" s="581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83" t="s">
        <v>112</v>
      </c>
      <c r="D18" s="583"/>
      <c r="E18" s="583"/>
      <c r="F18" s="583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83" t="s">
        <v>114</v>
      </c>
      <c r="D19" s="583"/>
      <c r="E19" s="583"/>
      <c r="F19" s="583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83" t="s">
        <v>115</v>
      </c>
      <c r="D20" s="583"/>
      <c r="E20" s="583"/>
      <c r="F20" s="583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83" t="s">
        <v>104</v>
      </c>
      <c r="D21" s="583"/>
      <c r="E21" s="583"/>
      <c r="F21" s="583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2">
        <v>3</v>
      </c>
      <c r="C22" s="582" t="s">
        <v>116</v>
      </c>
      <c r="D22" s="582"/>
      <c r="E22" s="582"/>
      <c r="F22" s="582"/>
      <c r="G22" s="152"/>
      <c r="H22" s="152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83" t="s">
        <v>117</v>
      </c>
      <c r="D23" s="583"/>
      <c r="E23" s="583"/>
      <c r="F23" s="583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83" t="s">
        <v>119</v>
      </c>
      <c r="D24" s="583"/>
      <c r="E24" s="583"/>
      <c r="F24" s="583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85" t="s">
        <v>121</v>
      </c>
      <c r="D25" s="585"/>
      <c r="E25" s="585"/>
      <c r="F25" s="585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83" t="s">
        <v>123</v>
      </c>
      <c r="D26" s="583"/>
      <c r="E26" s="583"/>
      <c r="F26" s="583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83" t="s">
        <v>125</v>
      </c>
      <c r="D27" s="583"/>
      <c r="E27" s="583"/>
      <c r="F27" s="583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83" t="s">
        <v>128</v>
      </c>
      <c r="D28" s="583"/>
      <c r="E28" s="583"/>
      <c r="F28" s="583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83" t="s">
        <v>130</v>
      </c>
      <c r="D29" s="583"/>
      <c r="E29" s="583"/>
      <c r="F29" s="583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83" t="s">
        <v>132</v>
      </c>
      <c r="D30" s="583"/>
      <c r="E30" s="583"/>
      <c r="F30" s="583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83" t="s">
        <v>134</v>
      </c>
      <c r="D31" s="583"/>
      <c r="E31" s="583"/>
      <c r="F31" s="583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83" t="s">
        <v>136</v>
      </c>
      <c r="D32" s="583"/>
      <c r="E32" s="583"/>
      <c r="F32" s="583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83" t="s">
        <v>138</v>
      </c>
      <c r="D33" s="583"/>
      <c r="E33" s="583"/>
      <c r="F33" s="583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83" t="s">
        <v>140</v>
      </c>
      <c r="D34" s="583"/>
      <c r="E34" s="583"/>
      <c r="F34" s="583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83" t="s">
        <v>141</v>
      </c>
      <c r="D35" s="583"/>
      <c r="E35" s="583"/>
      <c r="F35" s="583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2">
        <v>4</v>
      </c>
      <c r="C36" s="582" t="s">
        <v>142</v>
      </c>
      <c r="D36" s="582"/>
      <c r="E36" s="582"/>
      <c r="F36" s="582"/>
      <c r="G36" s="152"/>
      <c r="H36" s="152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83" t="s">
        <v>143</v>
      </c>
      <c r="D37" s="583"/>
      <c r="E37" s="583"/>
      <c r="F37" s="583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83" t="s">
        <v>144</v>
      </c>
      <c r="D38" s="583"/>
      <c r="E38" s="583"/>
      <c r="F38" s="583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83" t="s">
        <v>145</v>
      </c>
      <c r="D39" s="583"/>
      <c r="E39" s="583"/>
      <c r="F39" s="583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83" t="s">
        <v>146</v>
      </c>
      <c r="D40" s="583"/>
      <c r="E40" s="583"/>
      <c r="F40" s="583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83" t="s">
        <v>147</v>
      </c>
      <c r="D41" s="583"/>
      <c r="E41" s="583"/>
      <c r="F41" s="583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83" t="s">
        <v>148</v>
      </c>
      <c r="D42" s="583"/>
      <c r="E42" s="583"/>
      <c r="F42" s="583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83" t="s">
        <v>149</v>
      </c>
      <c r="D43" s="583"/>
      <c r="E43" s="583"/>
      <c r="F43" s="583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83" t="s">
        <v>150</v>
      </c>
      <c r="D44" s="583"/>
      <c r="E44" s="583"/>
      <c r="F44" s="583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83" t="s">
        <v>151</v>
      </c>
      <c r="D45" s="583"/>
      <c r="E45" s="583"/>
      <c r="F45" s="583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83" t="s">
        <v>153</v>
      </c>
      <c r="D46" s="583"/>
      <c r="E46" s="583"/>
      <c r="F46" s="583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83" t="s">
        <v>154</v>
      </c>
      <c r="D47" s="583"/>
      <c r="E47" s="583"/>
      <c r="F47" s="583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83" t="s">
        <v>155</v>
      </c>
      <c r="D48" s="583"/>
      <c r="E48" s="583"/>
      <c r="F48" s="583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2">
        <v>5</v>
      </c>
      <c r="C49" s="582" t="s">
        <v>156</v>
      </c>
      <c r="D49" s="582"/>
      <c r="E49" s="582"/>
      <c r="F49" s="582"/>
      <c r="G49" s="152"/>
      <c r="H49" s="152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83" t="s">
        <v>157</v>
      </c>
      <c r="D50" s="583"/>
      <c r="E50" s="583"/>
      <c r="F50" s="583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83" t="s">
        <v>159</v>
      </c>
      <c r="D51" s="583"/>
      <c r="E51" s="583"/>
      <c r="F51" s="583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86"/>
      <c r="C56" s="586"/>
      <c r="D56" s="586"/>
      <c r="E56" s="586"/>
      <c r="F56" s="586"/>
      <c r="G56" s="586"/>
      <c r="H56" s="586"/>
      <c r="I56" s="586"/>
      <c r="J56" s="586"/>
      <c r="K56" s="586"/>
      <c r="L56" s="3"/>
    </row>
    <row r="57" spans="2:12" ht="20.100000000000001" customHeight="1" x14ac:dyDescent="0.25">
      <c r="B57" s="586"/>
      <c r="C57" s="586"/>
      <c r="D57" s="586"/>
      <c r="E57" s="586"/>
      <c r="F57" s="586"/>
      <c r="G57" s="586"/>
      <c r="H57" s="586"/>
      <c r="I57" s="586"/>
      <c r="J57" s="586"/>
      <c r="K57" s="586"/>
      <c r="L57" s="3"/>
    </row>
    <row r="58" spans="2:12" ht="20.100000000000001" customHeight="1" x14ac:dyDescent="0.25">
      <c r="B58" s="586"/>
      <c r="C58" s="586"/>
      <c r="D58" s="586"/>
      <c r="E58" s="586"/>
      <c r="F58" s="586"/>
      <c r="G58" s="586"/>
      <c r="H58" s="586"/>
      <c r="I58" s="586"/>
      <c r="J58" s="586"/>
      <c r="K58" s="586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86"/>
      <c r="C61" s="586"/>
      <c r="D61" s="586"/>
      <c r="E61" s="586"/>
      <c r="F61" s="586"/>
      <c r="G61" s="586"/>
      <c r="H61" s="586"/>
      <c r="I61" s="586"/>
      <c r="J61" s="586"/>
      <c r="K61" s="586"/>
      <c r="L61" s="3"/>
    </row>
    <row r="62" spans="2:12" ht="20.100000000000001" customHeight="1" x14ac:dyDescent="0.25">
      <c r="B62" s="586"/>
      <c r="C62" s="586"/>
      <c r="D62" s="586"/>
      <c r="E62" s="586"/>
      <c r="F62" s="586"/>
      <c r="G62" s="586"/>
      <c r="H62" s="586"/>
      <c r="I62" s="586"/>
      <c r="J62" s="586"/>
      <c r="K62" s="586"/>
      <c r="L62" s="3"/>
    </row>
    <row r="63" spans="2:12" ht="20.100000000000001" customHeight="1" x14ac:dyDescent="0.25">
      <c r="B63" s="586"/>
      <c r="C63" s="586"/>
      <c r="D63" s="586"/>
      <c r="E63" s="586"/>
      <c r="F63" s="586"/>
      <c r="G63" s="586"/>
      <c r="H63" s="586"/>
      <c r="I63" s="586"/>
      <c r="J63" s="586"/>
      <c r="K63" s="586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2">
        <v>6</v>
      </c>
      <c r="C66" s="575" t="s">
        <v>163</v>
      </c>
      <c r="D66" s="576"/>
      <c r="E66" s="576"/>
      <c r="F66" s="576"/>
    </row>
    <row r="67" spans="2:12" x14ac:dyDescent="0.25">
      <c r="B67" s="5">
        <v>6.1</v>
      </c>
      <c r="C67" s="583" t="s">
        <v>164</v>
      </c>
      <c r="D67" s="583"/>
      <c r="E67" s="583"/>
      <c r="F67" s="583"/>
    </row>
    <row r="68" spans="2:12" x14ac:dyDescent="0.25">
      <c r="B68" s="5">
        <v>6.2</v>
      </c>
      <c r="C68" s="583" t="s">
        <v>165</v>
      </c>
      <c r="D68" s="583"/>
      <c r="E68" s="583"/>
      <c r="F68" s="583"/>
    </row>
    <row r="69" spans="2:12" x14ac:dyDescent="0.25">
      <c r="B69" s="5">
        <v>6.3</v>
      </c>
      <c r="C69" s="583" t="s">
        <v>166</v>
      </c>
      <c r="D69" s="583"/>
      <c r="E69" s="583"/>
      <c r="F69" s="583"/>
    </row>
    <row r="70" spans="2:12" x14ac:dyDescent="0.25">
      <c r="B70" s="5">
        <v>6.4</v>
      </c>
      <c r="C70" s="583" t="s">
        <v>167</v>
      </c>
      <c r="D70" s="583"/>
      <c r="E70" s="583"/>
      <c r="F70" s="583"/>
    </row>
    <row r="71" spans="2:12" x14ac:dyDescent="0.25">
      <c r="B71" s="5">
        <v>6.5</v>
      </c>
      <c r="C71" s="583" t="s">
        <v>168</v>
      </c>
      <c r="D71" s="583"/>
      <c r="E71" s="583"/>
      <c r="F71" s="583"/>
    </row>
    <row r="72" spans="2:12" x14ac:dyDescent="0.25">
      <c r="B72" s="5">
        <v>6.6</v>
      </c>
      <c r="C72" s="583" t="s">
        <v>169</v>
      </c>
      <c r="D72" s="583"/>
      <c r="E72" s="583"/>
      <c r="F72" s="583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2" customFormat="1" ht="66.75" customHeight="1" x14ac:dyDescent="0.25">
      <c r="B1" s="233">
        <v>2532.81</v>
      </c>
      <c r="C1" s="233">
        <v>3250.01</v>
      </c>
      <c r="D1" s="233">
        <v>985.32</v>
      </c>
      <c r="E1" s="233">
        <v>1062.92</v>
      </c>
      <c r="F1" s="233">
        <v>1337.25</v>
      </c>
      <c r="G1" s="233">
        <v>1581.21</v>
      </c>
      <c r="H1" s="233">
        <v>14521.41</v>
      </c>
      <c r="I1" s="234">
        <v>13555.63</v>
      </c>
      <c r="J1" s="233">
        <v>13555.63</v>
      </c>
      <c r="K1" s="234">
        <v>13696.28</v>
      </c>
      <c r="L1" s="233">
        <v>4658</v>
      </c>
      <c r="M1" s="233">
        <v>2257.42</v>
      </c>
      <c r="N1" s="233">
        <v>3540.12</v>
      </c>
      <c r="O1" s="233">
        <v>2646.28</v>
      </c>
      <c r="P1" s="233">
        <v>1970.65</v>
      </c>
      <c r="Q1" s="249">
        <v>1</v>
      </c>
    </row>
    <row r="2" spans="1:19" x14ac:dyDescent="0.25">
      <c r="B2" s="315">
        <v>1.1000000000000001</v>
      </c>
      <c r="C2" s="315">
        <v>1.2</v>
      </c>
      <c r="D2" s="315">
        <v>1.3</v>
      </c>
      <c r="E2" s="315">
        <v>1.4</v>
      </c>
      <c r="F2" s="315">
        <v>1.5</v>
      </c>
      <c r="G2" s="315">
        <v>1.6</v>
      </c>
      <c r="H2" s="317">
        <v>2.1</v>
      </c>
      <c r="I2" s="318">
        <v>2.2000000000000002</v>
      </c>
      <c r="J2" s="317">
        <v>2.2999999999999998</v>
      </c>
      <c r="K2" s="318">
        <v>2.4</v>
      </c>
      <c r="L2" s="319">
        <v>2.5</v>
      </c>
      <c r="M2" s="317">
        <v>2.6</v>
      </c>
      <c r="N2" s="317">
        <v>2.7</v>
      </c>
      <c r="O2" s="317">
        <v>2.8</v>
      </c>
      <c r="P2" s="317">
        <v>3.1</v>
      </c>
    </row>
    <row r="3" spans="1:19" s="1" customFormat="1" x14ac:dyDescent="0.25">
      <c r="B3" s="587" t="s">
        <v>398</v>
      </c>
      <c r="C3" s="587"/>
      <c r="D3" s="587"/>
      <c r="E3" s="587"/>
      <c r="F3" s="587"/>
      <c r="G3" s="587"/>
      <c r="H3" s="33" t="s">
        <v>79</v>
      </c>
      <c r="I3" s="33" t="s">
        <v>82</v>
      </c>
      <c r="J3" s="33" t="s">
        <v>80</v>
      </c>
      <c r="K3" s="33" t="s">
        <v>83</v>
      </c>
      <c r="L3" s="250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6" t="s">
        <v>397</v>
      </c>
      <c r="B4" s="316"/>
      <c r="C4" s="316"/>
      <c r="D4" s="316"/>
      <c r="E4" s="316"/>
      <c r="F4" s="316"/>
      <c r="G4" s="316"/>
      <c r="H4" s="316"/>
      <c r="I4" s="316"/>
      <c r="J4" s="316"/>
      <c r="K4" s="316"/>
      <c r="L4" s="316"/>
      <c r="M4" s="320"/>
      <c r="N4" s="316"/>
      <c r="O4" s="316"/>
      <c r="P4" s="316"/>
      <c r="Q4" s="236">
        <v>-11162921.84</v>
      </c>
      <c r="R4" s="13">
        <f>+SUMPRODUCT(B4:Q4,$B$1:$Q$1)</f>
        <v>-11162921.84</v>
      </c>
      <c r="S4" s="13"/>
    </row>
    <row r="5" spans="1:19" x14ac:dyDescent="0.25">
      <c r="A5" s="242">
        <v>45931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+SUMIFS(Tabla1[Avance_km],Tabla1[Fecha],"&gt;="&amp;$A5,Tabla1[Fecha],"&lt;="&amp;EOMONTH($A5,0),Tabla1[nombre_actividad],H$3)</f>
        <v>0</v>
      </c>
      <c r="I5" s="33"/>
      <c r="J5" s="231">
        <f>+SUMIFS(Tabla1[Avance_km],Tabla1[Fecha],"&gt;="&amp;$A5,Tabla1[Fecha],"&lt;="&amp;EOMONTH($A5,0),Tabla1[nombre_actividad],$J$3,Tabla1[Avance_km],"&gt;0")</f>
        <v>0</v>
      </c>
      <c r="K5" s="33"/>
      <c r="L5" s="231">
        <f>+SUMIFS(Tabla1[Avance_Med],Tabla1[Fecha],"&gt;="&amp;$A5,Tabla1[Fecha],"&lt;="&amp;EOMONTH($A5,0),Tabla1[Codigo_actividad],L$2)</f>
        <v>0</v>
      </c>
      <c r="M5" s="231">
        <f>+SUMIFS(Tabla1[Avance_km],Tabla1[Fecha],"&gt;="&amp;$A5,Tabla1[Fecha],"&lt;="&amp;EOMONTH($A5,0),Tabla1[nombre_actividad],$M$3)</f>
        <v>0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6"/>
      <c r="R5" s="13">
        <f>+SUMPRODUCT(B5:P5,$B$1:$P$1)</f>
        <v>0</v>
      </c>
    </row>
    <row r="6" spans="1:19" x14ac:dyDescent="0.25">
      <c r="A6" s="242">
        <v>45962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+SUMIFS(Tabla1[Avance_km],Tabla1[Fecha],"&gt;="&amp;$A6,Tabla1[Fecha],"&lt;="&amp;EOMONTH($A6,0),Tabla1[nombre_actividad],H$3)</f>
        <v>31.548999999999999</v>
      </c>
      <c r="I6" s="33"/>
      <c r="J6" s="231">
        <f>+SUMIFS(Tabla1[Avance_km],Tabla1[Fecha],"&gt;="&amp;$A6,Tabla1[Fecha],"&lt;="&amp;EOMONTH($A6,0),Tabla1[nombre_actividad],$J$3,Tabla1[Avance_km],"&gt;0")</f>
        <v>53.048999999999999</v>
      </c>
      <c r="K6" s="33"/>
      <c r="L6" s="231">
        <f>+SUMIFS(Tabla1[Avance_Med],Tabla1[Fecha],"&gt;="&amp;$A6,Tabla1[Fecha],"&lt;="&amp;EOMONTH($A6,0),Tabla1[Codigo_actividad],L$2)</f>
        <v>98</v>
      </c>
      <c r="M6" s="231">
        <f>+SUMIFS(Tabla1[Avance_km],Tabla1[Fecha],"&gt;="&amp;$A6,Tabla1[Fecha],"&lt;="&amp;EOMONTH($A6,0),Tabla1[nombre_actividad],$M$3)</f>
        <v>72.02200000000002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6"/>
      <c r="R6" s="13">
        <f t="shared" ref="R6:R19" si="0">+SUMPRODUCT(B6:P6,$B$1:$P$1)</f>
        <v>1796316.4832000001</v>
      </c>
    </row>
    <row r="7" spans="1:19" x14ac:dyDescent="0.25">
      <c r="A7" s="242">
        <v>45992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+SUMIFS(Tabla1[Avance_km],Tabla1[Fecha],"&gt;="&amp;$A7,Tabla1[Fecha],"&lt;="&amp;EOMONTH($A7,0),Tabla1[nombre_actividad],H$3)</f>
        <v>31.517000000000003</v>
      </c>
      <c r="I7" s="33"/>
      <c r="J7" s="231">
        <f>+SUMIFS(Tabla1[Avance_km],Tabla1[Fecha],"&gt;="&amp;$A7,Tabla1[Fecha],"&lt;="&amp;EOMONTH($A7,0),Tabla1[nombre_actividad],$J$3,Tabla1[Avance_km],"&gt;0")</f>
        <v>31.543999999999993</v>
      </c>
      <c r="K7" s="33"/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+SUMIFS(Tabla1[Avance_km],Tabla1[Fecha],"&gt;="&amp;$A7,Tabla1[Fecha],"&lt;="&amp;EOMONTH($A7,0),Tabla1[nombre_actividad],$M$3)</f>
        <v>21.183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6"/>
      <c r="R7" s="13">
        <f t="shared" si="0"/>
        <v>1538628.9995499998</v>
      </c>
    </row>
    <row r="8" spans="1:19" x14ac:dyDescent="0.25">
      <c r="A8" s="242">
        <v>46023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+SUMIFS(Tabla1[Avance_km],Tabla1[Fecha],"&gt;="&amp;$A8,Tabla1[Fecha],"&lt;="&amp;EOMONTH($A8,0),Tabla1[nombre_actividad],H$3)</f>
        <v>36.840000000000011</v>
      </c>
      <c r="I8" s="33"/>
      <c r="J8" s="231">
        <f>+SUMIFS(Tabla1[Avance_km],Tabla1[Fecha],"&gt;="&amp;$A8,Tabla1[Fecha],"&lt;="&amp;EOMONTH($A8,0),Tabla1[nombre_actividad],$J$3,Tabla1[Avance_km],"&gt;0")</f>
        <v>15.313000000000004</v>
      </c>
      <c r="K8" s="33"/>
      <c r="L8" s="231">
        <f>+SUMIFS(Tabla1[Avance_Med],Tabla1[Fecha],"&gt;="&amp;$A8,Tabla1[Fecha],"&lt;="&amp;EOMONTH($A8,0),Tabla1[Codigo_actividad],L$2)</f>
        <v>130</v>
      </c>
      <c r="M8" s="231">
        <f>+SUMIFS(Tabla1[Avance_km],Tabla1[Fecha],"&gt;="&amp;$A8,Tabla1[Fecha],"&lt;="&amp;EOMONTH($A8,0),Tabla1[nombre_actividad],$M$3)</f>
        <v>6.7009999999999996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6"/>
      <c r="R8" s="13">
        <f t="shared" si="0"/>
        <v>1363213.0780100003</v>
      </c>
    </row>
    <row r="9" spans="1:19" x14ac:dyDescent="0.25">
      <c r="A9" s="242">
        <v>46054</v>
      </c>
      <c r="B9" s="231">
        <f>+SUMIFS(Tabla1[Avance_Med],Tabla1[Fecha],"&gt;="&amp;$A9,Tabla1[Fecha],"&lt;="&amp;EOMONTH($A9,0),Tabla1[Codigo_actividad],B$2)</f>
        <v>0</v>
      </c>
      <c r="C9" s="231">
        <f>+SUMIFS(Tabla1[Avance_Med],Tabla1[Fecha],"&gt;="&amp;$A9,Tabla1[Fecha],"&lt;="&amp;EOMONTH($A9,0),Tabla1[Codigo_actividad],C$2)</f>
        <v>0</v>
      </c>
      <c r="D9" s="231">
        <f>+SUMIFS(Tabla1[Avance_Med],Tabla1[Fecha],"&gt;="&amp;$A9,Tabla1[Fecha],"&lt;="&amp;EOMONTH($A9,0),Tabla1[Codigo_actividad],D$2)</f>
        <v>0</v>
      </c>
      <c r="E9" s="231">
        <f>+SUMIFS(Tabla1[Avance_Med],Tabla1[Fecha],"&gt;="&amp;$A9,Tabla1[Fecha],"&lt;="&amp;EOMONTH($A9,0),Tabla1[Codigo_actividad],E$2)</f>
        <v>0</v>
      </c>
      <c r="F9" s="231">
        <f>+SUMIFS(Tabla1[Avance_Med],Tabla1[Fecha],"&gt;="&amp;$A9,Tabla1[Fecha],"&lt;="&amp;EOMONTH($A9,0),Tabla1[Codigo_actividad],F$2)</f>
        <v>0</v>
      </c>
      <c r="G9" s="231">
        <f>+SUMIFS(Tabla1[Avance_Med],Tabla1[Fecha],"&gt;="&amp;$A9,Tabla1[Fecha],"&lt;="&amp;EOMONTH($A9,0),Tabla1[Codigo_actividad],G$2)</f>
        <v>0</v>
      </c>
      <c r="H9" s="231">
        <f>+SUMIFS(Tabla1[Avance_km],Tabla1[Fecha],"&gt;="&amp;$A9,Tabla1[Fecha],"&lt;="&amp;EOMONTH($A9,0),Tabla1[nombre_actividad],H$3)</f>
        <v>0</v>
      </c>
      <c r="I9" s="33"/>
      <c r="J9" s="231">
        <f>+SUMIFS(Tabla1[Avance_km],Tabla1[Fecha],"&gt;="&amp;$A9,Tabla1[Fecha],"&lt;="&amp;EOMONTH($A9,0),Tabla1[nombre_actividad],$J$3,Tabla1[Avance_km],"&gt;0")</f>
        <v>0</v>
      </c>
      <c r="K9" s="33"/>
      <c r="L9" s="231">
        <f>+SUMIFS(Tabla1[Avance_Med],Tabla1[Fecha],"&gt;="&amp;$A9,Tabla1[Fecha],"&lt;="&amp;EOMONTH($A9,0),Tabla1[Codigo_actividad],L$2)</f>
        <v>18</v>
      </c>
      <c r="M9" s="231">
        <f>+SUMIFS(Tabla1[Avance_km],Tabla1[Fecha],"&gt;="&amp;$A9,Tabla1[Fecha],"&lt;="&amp;EOMONTH($A9,0),Tabla1[nombre_actividad],$M$3)</f>
        <v>0</v>
      </c>
      <c r="N9" s="231">
        <f>+SUMIFS(Tabla1[Avance_Med],Tabla1[Fecha],"&gt;="&amp;$A9,Tabla1[Fecha],"&lt;="&amp;EOMONTH($A9,0),Tabla1[Codigo_actividad],N$2)</f>
        <v>0</v>
      </c>
      <c r="O9" s="231">
        <f>+SUMIFS(Tabla1[Avance_Med],Tabla1[Fecha],"&gt;="&amp;$A9,Tabla1[Fecha],"&lt;="&amp;EOMONTH($A9,0),Tabla1[Codigo_actividad],O$2)</f>
        <v>0</v>
      </c>
      <c r="P9" s="231">
        <f>+SUMIFS(Tabla1[Avance_Med],Tabla1[Fecha],"&gt;="&amp;$A9,Tabla1[Fecha],"&lt;="&amp;EOMONTH($A9,0),Tabla1[Codigo_actividad],P$2)</f>
        <v>0</v>
      </c>
      <c r="Q9" s="236"/>
      <c r="R9" s="13">
        <f t="shared" si="0"/>
        <v>83844</v>
      </c>
    </row>
    <row r="10" spans="1:19" x14ac:dyDescent="0.25">
      <c r="A10" s="242">
        <v>46082</v>
      </c>
      <c r="B10" s="231">
        <f>+SUMIFS(Tabla1[Avance_Med],Tabla1[Fecha],"&gt;="&amp;$A10,Tabla1[Fecha],"&lt;="&amp;EOMONTH($A10,0),Tabla1[Codigo_actividad],B$2)</f>
        <v>99</v>
      </c>
      <c r="C10" s="231">
        <f>+SUMIFS(Tabla1[Avance_Med],Tabla1[Fecha],"&gt;="&amp;$A10,Tabla1[Fecha],"&lt;="&amp;EOMONTH($A10,0),Tabla1[Codigo_actividad],C$2)</f>
        <v>99</v>
      </c>
      <c r="D10" s="231">
        <f>+SUMIFS(Tabla1[Avance_Med],Tabla1[Fecha],"&gt;="&amp;$A10,Tabla1[Fecha],"&lt;="&amp;EOMONTH($A10,0),Tabla1[Codigo_actividad],D$2)</f>
        <v>99</v>
      </c>
      <c r="E10" s="231">
        <f>+SUMIFS(Tabla1[Avance_Med],Tabla1[Fecha],"&gt;="&amp;$A10,Tabla1[Fecha],"&lt;="&amp;EOMONTH($A10,0),Tabla1[Codigo_actividad],E$2)</f>
        <v>99</v>
      </c>
      <c r="F10" s="231">
        <f>+SUMIFS(Tabla1[Avance_Med],Tabla1[Fecha],"&gt;="&amp;$A10,Tabla1[Fecha],"&lt;="&amp;EOMONTH($A10,0),Tabla1[Codigo_actividad],F$2)</f>
        <v>99</v>
      </c>
      <c r="G10" s="231">
        <f>+SUMIFS(Tabla1[Avance_Med],Tabla1[Fecha],"&gt;="&amp;$A10,Tabla1[Fecha],"&lt;="&amp;EOMONTH($A10,0),Tabla1[Codigo_actividad],G$2)</f>
        <v>99</v>
      </c>
      <c r="H10" s="231">
        <f>+SUMIFS(Tabla1[Avance_km],Tabla1[Fecha],"&gt;="&amp;$A10,Tabla1[Fecha],"&lt;="&amp;EOMONTH($A10,0),Tabla1[nombre_actividad],H$3)</f>
        <v>0</v>
      </c>
      <c r="I10" s="33"/>
      <c r="J10" s="231">
        <f>+SUMIFS(Tabla1[Avance_km],Tabla1[Fecha],"&gt;="&amp;$A10,Tabla1[Fecha],"&lt;="&amp;EOMONTH($A10,0),Tabla1[nombre_actividad],$J$3,Tabla1[Avance_km],"&gt;0")</f>
        <v>0</v>
      </c>
      <c r="K10" s="33"/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+SUMIFS(Tabla1[Avance_km],Tabla1[Fecha],"&gt;="&amp;$A10,Tabla1[Fecha],"&lt;="&amp;EOMONTH($A10,0),Tabla1[nombre_actividad],$M$3)</f>
        <v>3.6</v>
      </c>
      <c r="N10" s="231">
        <f>+SUMIFS(Tabla1[Avance_Med],Tabla1[Fecha],"&gt;="&amp;$A10,Tabla1[Fecha],"&lt;="&amp;EOMONTH($A10,0),Tabla1[Codigo_actividad],N$2)</f>
        <v>54</v>
      </c>
      <c r="O10" s="231">
        <f>+SUMIFS(Tabla1[Avance_Med],Tabla1[Fecha],"&gt;="&amp;$A10,Tabla1[Fecha],"&lt;="&amp;EOMONTH($A10,0),Tabla1[Codigo_actividad],O$2)</f>
        <v>54</v>
      </c>
      <c r="P10" s="231">
        <f>+SUMIFS(Tabla1[Avance_Med],Tabla1[Fecha],"&gt;="&amp;$A10,Tabla1[Fecha],"&lt;="&amp;EOMONTH($A10,0),Tabla1[Codigo_actividad],P$2)</f>
        <v>54</v>
      </c>
      <c r="Q10" s="236"/>
      <c r="R10" s="13">
        <f t="shared" si="0"/>
        <v>1512809.8920000002</v>
      </c>
    </row>
    <row r="11" spans="1:19" x14ac:dyDescent="0.25">
      <c r="A11" s="242">
        <v>46113</v>
      </c>
      <c r="B11" s="231">
        <f>+SUMIFS(Tabla1[Avance_Med],Tabla1[Fecha],"&gt;="&amp;$A11,Tabla1[Fecha],"&lt;="&amp;EOMONTH($A11,0),Tabla1[Codigo_actividad],B$2)</f>
        <v>17</v>
      </c>
      <c r="C11" s="231">
        <f>+SUMIFS(Tabla1[Avance_Med],Tabla1[Fecha],"&gt;="&amp;$A11,Tabla1[Fecha],"&lt;="&amp;EOMONTH($A11,0),Tabla1[Codigo_actividad],C$2)</f>
        <v>17</v>
      </c>
      <c r="D11" s="231">
        <f>+SUMIFS(Tabla1[Avance_Med],Tabla1[Fecha],"&gt;="&amp;$A11,Tabla1[Fecha],"&lt;="&amp;EOMONTH($A11,0),Tabla1[Codigo_actividad],D$2)</f>
        <v>17</v>
      </c>
      <c r="E11" s="231">
        <f>+SUMIFS(Tabla1[Avance_Med],Tabla1[Fecha],"&gt;="&amp;$A11,Tabla1[Fecha],"&lt;="&amp;EOMONTH($A11,0),Tabla1[Codigo_actividad],E$2)</f>
        <v>17</v>
      </c>
      <c r="F11" s="231">
        <f>+SUMIFS(Tabla1[Avance_Med],Tabla1[Fecha],"&gt;="&amp;$A11,Tabla1[Fecha],"&lt;="&amp;EOMONTH($A11,0),Tabla1[Codigo_actividad],F$2)</f>
        <v>17</v>
      </c>
      <c r="G11" s="231">
        <f>+SUMIFS(Tabla1[Avance_Med],Tabla1[Fecha],"&gt;="&amp;$A11,Tabla1[Fecha],"&lt;="&amp;EOMONTH($A11,0),Tabla1[Codigo_actividad],G$2)</f>
        <v>17</v>
      </c>
      <c r="H11" s="231">
        <f>+SUMIFS(Tabla1[Avance_km],Tabla1[Fecha],"&gt;="&amp;$A11,Tabla1[Fecha],"&lt;="&amp;EOMONTH($A11,0),Tabla1[nombre_actividad],H$3)</f>
        <v>0</v>
      </c>
      <c r="I11" s="33"/>
      <c r="J11" s="231">
        <f>+SUMIFS(Tabla1[Avance_km],Tabla1[Fecha],"&gt;="&amp;$A11,Tabla1[Fecha],"&lt;="&amp;EOMONTH($A11,0),Tabla1[nombre_actividad],$J$3,Tabla1[Avance_km],"&gt;0")</f>
        <v>5.9550000000000001</v>
      </c>
      <c r="K11" s="33"/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+SUMIFS(Tabla1[Avance_km],Tabla1[Fecha],"&gt;="&amp;$A11,Tabla1[Fecha],"&lt;="&amp;EOMONTH($A11,0),Tabla1[nombre_actividad],$M$3)</f>
        <v>21.635999999999999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6"/>
      <c r="R11" s="13">
        <f t="shared" si="0"/>
        <v>312307.15577000007</v>
      </c>
    </row>
    <row r="12" spans="1:19" x14ac:dyDescent="0.25">
      <c r="A12" s="242">
        <v>46143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+SUMIFS(Tabla1[Avance_km],Tabla1[Fecha],"&gt;="&amp;$A12,Tabla1[Fecha],"&lt;="&amp;EOMONTH($A12,0),Tabla1[nombre_actividad],H$3)</f>
        <v>11.253</v>
      </c>
      <c r="I12" s="33"/>
      <c r="J12" s="231">
        <f>+SUMIFS(Tabla1[Avance_km],Tabla1[Fecha],"&gt;="&amp;$A12,Tabla1[Fecha],"&lt;="&amp;EOMONTH($A12,0),Tabla1[nombre_actividad],$J$3,Tabla1[Avance_km],"&gt;0")</f>
        <v>19.906000000000002</v>
      </c>
      <c r="K12" s="33"/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+SUMIFS(Tabla1[Avance_km],Tabla1[Fecha],"&gt;="&amp;$A12,Tabla1[Fecha],"&lt;="&amp;EOMONTH($A12,0),Tabla1[nombre_actividad],$M$3)</f>
        <v>3.6269999999999998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6"/>
      <c r="R12" s="13">
        <f t="shared" si="0"/>
        <v>441435.45984999998</v>
      </c>
    </row>
    <row r="13" spans="1:19" x14ac:dyDescent="0.25">
      <c r="A13" s="242">
        <v>46174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+SUMIFS(Tabla1[Avance_km],Tabla1[Fecha],"&gt;="&amp;$A13,Tabla1[Fecha],"&lt;="&amp;EOMONTH($A13,0),Tabla1[nombre_actividad],H$3)</f>
        <v>20.328000000000003</v>
      </c>
      <c r="I13" s="33"/>
      <c r="J13" s="231">
        <f>+SUMIFS(Tabla1[Avance_km],Tabla1[Fecha],"&gt;="&amp;$A13,Tabla1[Fecha],"&lt;="&amp;EOMONTH($A13,0),Tabla1[nombre_actividad],$J$3,Tabla1[Avance_km],"&gt;0")</f>
        <v>0</v>
      </c>
      <c r="K13" s="33"/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+SUMIFS(Tabla1[Avance_km],Tabla1[Fecha],"&gt;="&amp;$A13,Tabla1[Fecha],"&lt;="&amp;EOMONTH($A13,0),Tabla1[nombre_actividad],$M$3)</f>
        <v>5.4169999999999998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6"/>
      <c r="R13" s="13">
        <f t="shared" si="0"/>
        <v>307419.66662000003</v>
      </c>
    </row>
    <row r="14" spans="1:19" x14ac:dyDescent="0.25">
      <c r="A14" s="242">
        <v>46204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+SUMIFS(Tabla1[Avance_km],Tabla1[Fecha],"&gt;="&amp;$A14,Tabla1[Fecha],"&lt;="&amp;EOMONTH($A14,0),Tabla1[nombre_actividad],H$3)</f>
        <v>13.568</v>
      </c>
      <c r="I14" s="33"/>
      <c r="J14" s="231">
        <f>+SUMIFS(Tabla1[Avance_km],Tabla1[Fecha],"&gt;="&amp;$A14,Tabla1[Fecha],"&lt;="&amp;EOMONTH($A14,0),Tabla1[nombre_actividad],$J$3,Tabla1[Avance_km],"&gt;0")</f>
        <v>10.538</v>
      </c>
      <c r="K14" s="33"/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+SUMIFS(Tabla1[Avance_km],Tabla1[Fecha],"&gt;="&amp;$A14,Tabla1[Fecha],"&lt;="&amp;EOMONTH($A14,0),Tabla1[nombre_actividad],$M$3)</f>
        <v>13.835000000000001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6"/>
      <c r="R14" s="13">
        <f t="shared" si="0"/>
        <v>371107.12552</v>
      </c>
    </row>
    <row r="15" spans="1:19" x14ac:dyDescent="0.25">
      <c r="A15" s="242">
        <v>46235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+SUMIFS(Tabla1[Avance_km],Tabla1[Fecha],"&gt;="&amp;$A15,Tabla1[Fecha],"&lt;="&amp;EOMONTH($A15,0),Tabla1[nombre_actividad],H$3)</f>
        <v>10.033000000000001</v>
      </c>
      <c r="I15" s="33"/>
      <c r="J15" s="231">
        <f>+SUMIFS(Tabla1[Avance_km],Tabla1[Fecha],"&gt;="&amp;$A15,Tabla1[Fecha],"&lt;="&amp;EOMONTH($A15,0),Tabla1[nombre_actividad],$J$3,Tabla1[Avance_km],"&gt;0")</f>
        <v>12.395</v>
      </c>
      <c r="K15" s="33"/>
      <c r="L15" s="231">
        <f>+SUMIFS(Tabla1[Avance_Med],Tabla1[Fecha],"&gt;="&amp;$A15,Tabla1[Fecha],"&lt;="&amp;EOMONTH($A15,0),Tabla1[Codigo_actividad],L$2)</f>
        <v>0</v>
      </c>
      <c r="M15" s="231">
        <f>+SUMIFS(Tabla1[Avance_km],Tabla1[Fecha],"&gt;="&amp;$A15,Tabla1[Fecha],"&lt;="&amp;EOMONTH($A15,0),Tabla1[nombre_actividad],$M$3)</f>
        <v>12.17</v>
      </c>
      <c r="N15" s="231">
        <f>+SUMIFS(Tabla1[Avance_Med],Tabla1[Fecha],"&gt;="&amp;$A15,Tabla1[Fecha],"&lt;="&amp;EOMONTH($A15,0),Tabla1[Codigo_actividad],N$2)</f>
        <v>0</v>
      </c>
      <c r="O15" s="231">
        <f>+SUMIFS(Tabla1[Avance_Med],Tabla1[Fecha],"&gt;="&amp;$A15,Tabla1[Fecha],"&lt;="&amp;EOMONTH($A15,0),Tabla1[Codigo_actividad],O$2)</f>
        <v>0</v>
      </c>
      <c r="P15" s="231">
        <f>+SUMIFS(Tabla1[Avance_Med],Tabla1[Fecha],"&gt;="&amp;$A15,Tabla1[Fecha],"&lt;="&amp;EOMONTH($A15,0),Tabla1[Codigo_actividad],P$2)</f>
        <v>0</v>
      </c>
      <c r="Q15" s="236"/>
      <c r="R15" s="13">
        <f t="shared" si="0"/>
        <v>341188.14178000001</v>
      </c>
    </row>
    <row r="16" spans="1:19" x14ac:dyDescent="0.25">
      <c r="A16" s="242">
        <v>46266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+SUMIFS(Tabla1[Avance_km],Tabla1[Fecha],"&gt;="&amp;$A16,Tabla1[Fecha],"&lt;="&amp;EOMONTH($A16,0),Tabla1[nombre_actividad],H$3)</f>
        <v>10.719999999999999</v>
      </c>
      <c r="I16" s="33"/>
      <c r="J16" s="231">
        <f>+SUMIFS(Tabla1[Avance_km],Tabla1[Fecha],"&gt;="&amp;$A16,Tabla1[Fecha],"&lt;="&amp;EOMONTH($A16,0),Tabla1[nombre_actividad],$J$3,Tabla1[Avance_km],"&gt;0")</f>
        <v>0</v>
      </c>
      <c r="K16" s="33"/>
      <c r="L16" s="231">
        <f>+SUMIFS(Tabla1[Avance_Med],Tabla1[Fecha],"&gt;="&amp;$A16,Tabla1[Fecha],"&lt;="&amp;EOMONTH($A16,0),Tabla1[Codigo_actividad],L$2)</f>
        <v>20</v>
      </c>
      <c r="M16" s="231">
        <f>+SUMIFS(Tabla1[Avance_km],Tabla1[Fecha],"&gt;="&amp;$A16,Tabla1[Fecha],"&lt;="&amp;EOMONTH($A16,0),Tabla1[nombre_actividad],$M$3)</f>
        <v>20.07</v>
      </c>
      <c r="N16" s="231">
        <f>+SUMIFS(Tabla1[Avance_Med],Tabla1[Fecha],"&gt;="&amp;$A16,Tabla1[Fecha],"&lt;="&amp;EOMONTH($A16,0),Tabla1[Codigo_actividad],N$2)</f>
        <v>34</v>
      </c>
      <c r="O16" s="231">
        <f>+SUMIFS(Tabla1[Avance_Med],Tabla1[Fecha],"&gt;="&amp;$A16,Tabla1[Fecha],"&lt;="&amp;EOMONTH($A16,0),Tabla1[Codigo_actividad],O$2)</f>
        <v>34</v>
      </c>
      <c r="P16" s="231">
        <f>+SUMIFS(Tabla1[Avance_Med],Tabla1[Fecha],"&gt;="&amp;$A16,Tabla1[Fecha],"&lt;="&amp;EOMONTH($A16,0),Tabla1[Codigo_actividad],P$2)</f>
        <v>34</v>
      </c>
      <c r="Q16" s="236"/>
      <c r="R16" s="13">
        <f t="shared" si="0"/>
        <v>571475.63459999999</v>
      </c>
    </row>
    <row r="17" spans="1:20" x14ac:dyDescent="0.25">
      <c r="A17" s="242">
        <v>46296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+SUMIFS(Tabla1[Avance_km],Tabla1[Fecha],"&gt;="&amp;$A17,Tabla1[Fecha],"&lt;="&amp;EOMONTH($A17,0),Tabla1[nombre_actividad],H$3)</f>
        <v>14.6175</v>
      </c>
      <c r="I17" s="33"/>
      <c r="J17" s="231">
        <f>+SUMIFS(Tabla1[Avance_km],Tabla1[Fecha],"&gt;="&amp;$A17,Tabla1[Fecha],"&lt;="&amp;EOMONTH($A17,0),Tabla1[nombre_actividad],$J$3,Tabla1[Avance_km],"&gt;0")</f>
        <v>1.6244999999999994</v>
      </c>
      <c r="K17" s="33"/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+SUMIFS(Tabla1[Avance_km],Tabla1[Fecha],"&gt;="&amp;$A17,Tabla1[Fecha],"&lt;="&amp;EOMONTH($A17,0),Tabla1[nombre_actividad],$M$3)</f>
        <v>1.6244999999999994</v>
      </c>
      <c r="N17" s="231">
        <f>+SUMIFS(Tabla1[Avance_Med],Tabla1[Fecha],"&gt;="&amp;$A17,Tabla1[Fecha],"&lt;="&amp;EOMONTH($A17,0),Tabla1[Codigo_actividad],N$2)</f>
        <v>4</v>
      </c>
      <c r="O17" s="231">
        <f>+SUMIFS(Tabla1[Avance_Med],Tabla1[Fecha],"&gt;="&amp;$A17,Tabla1[Fecha],"&lt;="&amp;EOMONTH($A17,0),Tabla1[Codigo_actividad],O$2)</f>
        <v>4</v>
      </c>
      <c r="P17" s="231">
        <f>+SUMIFS(Tabla1[Avance_Med],Tabla1[Fecha],"&gt;="&amp;$A17,Tabla1[Fecha],"&lt;="&amp;EOMONTH($A17,0),Tabla1[Codigo_actividad],P$2)</f>
        <v>4</v>
      </c>
      <c r="Q17" s="236"/>
      <c r="R17" s="13">
        <f t="shared" si="0"/>
        <v>270583.21039999998</v>
      </c>
    </row>
    <row r="18" spans="1:20" x14ac:dyDescent="0.25">
      <c r="A18" s="242">
        <v>46327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+SUMIFS(Tabla1[Avance_km],Tabla1[Fecha],"&gt;="&amp;$A18,Tabla1[Fecha],"&lt;="&amp;EOMONTH($A18,0),Tabla1[nombre_actividad],H$3)</f>
        <v>0</v>
      </c>
      <c r="I18" s="33"/>
      <c r="J18" s="231">
        <f>+SUMIFS(Tabla1[Avance_km],Tabla1[Fecha],"&gt;="&amp;$A18,Tabla1[Fecha],"&lt;="&amp;EOMONTH($A18,0),Tabla1[nombre_actividad],$J$3,Tabla1[Avance_km],"&gt;0")</f>
        <v>0</v>
      </c>
      <c r="K18" s="33"/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+SUMIFS(Tabla1[Avance_km],Tabla1[Fecha],"&gt;="&amp;$A18,Tabla1[Fecha],"&lt;="&amp;EOMONTH($A18,0),Tabla1[nombre_actividad],$M$3)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6"/>
      <c r="R18" s="13">
        <f t="shared" si="0"/>
        <v>0</v>
      </c>
    </row>
    <row r="19" spans="1:20" x14ac:dyDescent="0.25">
      <c r="A19" s="242">
        <v>46357</v>
      </c>
      <c r="B19" s="231">
        <f>+SUMIFS(Tabla1[Avance_Med],Tabla1[Fecha],"&gt;="&amp;$A19,Tabla1[Fecha],"&lt;="&amp;EOMONTH($A19,0),Tabla1[Codigo_actividad],B$2)</f>
        <v>0</v>
      </c>
      <c r="C19" s="231">
        <f>+SUMIFS(Tabla1[Avance_Med],Tabla1[Fecha],"&gt;="&amp;$A19,Tabla1[Fecha],"&lt;="&amp;EOMONTH($A19,0),Tabla1[Codigo_actividad],C$2)</f>
        <v>0</v>
      </c>
      <c r="D19" s="231">
        <f>+SUMIFS(Tabla1[Avance_Med],Tabla1[Fecha],"&gt;="&amp;$A19,Tabla1[Fecha],"&lt;="&amp;EOMONTH($A19,0),Tabla1[Codigo_actividad],D$2)</f>
        <v>0</v>
      </c>
      <c r="E19" s="231">
        <f>+SUMIFS(Tabla1[Avance_Med],Tabla1[Fecha],"&gt;="&amp;$A19,Tabla1[Fecha],"&lt;="&amp;EOMONTH($A19,0),Tabla1[Codigo_actividad],E$2)</f>
        <v>0</v>
      </c>
      <c r="F19" s="231">
        <f>+SUMIFS(Tabla1[Avance_Med],Tabla1[Fecha],"&gt;="&amp;$A19,Tabla1[Fecha],"&lt;="&amp;EOMONTH($A19,0),Tabla1[Codigo_actividad],F$2)</f>
        <v>0</v>
      </c>
      <c r="G19" s="231">
        <f>+SUMIFS(Tabla1[Avance_Med],Tabla1[Fecha],"&gt;="&amp;$A19,Tabla1[Fecha],"&lt;="&amp;EOMONTH($A19,0),Tabla1[Codigo_actividad],G$2)</f>
        <v>0</v>
      </c>
      <c r="H19" s="231">
        <f>+SUMIFS(Tabla1[Avance_km],Tabla1[Fecha],"&gt;="&amp;$A19,Tabla1[Fecha],"&lt;="&amp;EOMONTH($A19,0),Tabla1[nombre_actividad],H$3)</f>
        <v>0</v>
      </c>
      <c r="I19" s="33"/>
      <c r="J19" s="231">
        <f>+SUMIFS(Tabla1[Avance_km],Tabla1[Fecha],"&gt;="&amp;$A19,Tabla1[Fecha],"&lt;="&amp;EOMONTH($A19,0),Tabla1[nombre_actividad],$J$3,Tabla1[Avance_km],"&gt;0")</f>
        <v>0</v>
      </c>
      <c r="K19" s="33"/>
      <c r="L19" s="231">
        <f>+SUMIFS(Tabla1[Avance_Med],Tabla1[Fecha],"&gt;="&amp;$A19,Tabla1[Fecha],"&lt;="&amp;EOMONTH($A19,0),Tabla1[Codigo_actividad],L$2)</f>
        <v>0</v>
      </c>
      <c r="M19" s="231">
        <f>+SUMIFS(Tabla1[Avance_km],Tabla1[Fecha],"&gt;="&amp;$A19,Tabla1[Fecha],"&lt;="&amp;EOMONTH($A19,0),Tabla1[nombre_actividad],$M$3)</f>
        <v>0</v>
      </c>
      <c r="N19" s="231">
        <f>+SUMIFS(Tabla1[Avance_Med],Tabla1[Fecha],"&gt;="&amp;$A19,Tabla1[Fecha],"&lt;="&amp;EOMONTH($A19,0),Tabla1[Codigo_actividad],N$2)</f>
        <v>0</v>
      </c>
      <c r="O19" s="231">
        <f>+SUMIFS(Tabla1[Avance_Med],Tabla1[Fecha],"&gt;="&amp;$A19,Tabla1[Fecha],"&lt;="&amp;EOMONTH($A19,0),Tabla1[Codigo_actividad],O$2)</f>
        <v>0</v>
      </c>
      <c r="P19" s="231">
        <f>+SUMIFS(Tabla1[Avance_Med],Tabla1[Fecha],"&gt;="&amp;$A19,Tabla1[Fecha],"&lt;="&amp;EOMONTH($A19,0),Tabla1[Codigo_actividad],P$2)</f>
        <v>0</v>
      </c>
      <c r="Q19" s="236"/>
      <c r="R19" s="13">
        <f t="shared" si="0"/>
        <v>0</v>
      </c>
    </row>
    <row r="20" spans="1:20" ht="21" x14ac:dyDescent="0.35">
      <c r="A20" s="226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7"/>
      <c r="R20" s="13">
        <f>SUM(R4:R19)</f>
        <v>-2252592.9926999984</v>
      </c>
      <c r="S20" s="13">
        <f>+R4-R20</f>
        <v>-8910328.8473000005</v>
      </c>
      <c r="T20" s="251">
        <f>$S$20/$R$4</f>
        <v>0.79820758176158657</v>
      </c>
    </row>
    <row r="21" spans="1:20" x14ac:dyDescent="0.25">
      <c r="A21" s="226"/>
      <c r="H21" s="230"/>
      <c r="J21" s="76"/>
      <c r="K21" s="61"/>
      <c r="L21" s="76"/>
      <c r="M21" s="230"/>
      <c r="Q21" s="237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27" zoomScaleNormal="100" workbookViewId="0">
      <selection activeCell="B46" sqref="B4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8" t="s">
        <v>84</v>
      </c>
      <c r="D1" s="588"/>
      <c r="E1" s="588"/>
      <c r="F1" s="588"/>
      <c r="G1" s="588"/>
      <c r="H1" s="588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75" t="s">
        <v>85</v>
      </c>
      <c r="C3" s="575"/>
      <c r="D3" s="575" t="s">
        <v>86</v>
      </c>
      <c r="E3" s="575"/>
      <c r="F3" s="575"/>
      <c r="G3" s="575"/>
      <c r="H3" s="575"/>
    </row>
    <row r="4" spans="1:21" x14ac:dyDescent="0.25">
      <c r="B4" s="579"/>
      <c r="C4" s="579"/>
      <c r="D4" s="580" t="s">
        <v>87</v>
      </c>
      <c r="E4" s="580"/>
      <c r="F4" s="580"/>
      <c r="G4" s="580"/>
      <c r="H4" s="580"/>
    </row>
    <row r="5" spans="1:21" ht="27" x14ac:dyDescent="0.25">
      <c r="B5" s="152" t="s">
        <v>88</v>
      </c>
      <c r="C5" s="30" t="s">
        <v>89</v>
      </c>
      <c r="D5" s="152" t="s">
        <v>90</v>
      </c>
      <c r="E5" s="152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2">
        <v>1</v>
      </c>
      <c r="C6" s="30" t="s">
        <v>95</v>
      </c>
      <c r="D6" s="152"/>
      <c r="E6" s="152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2">
        <v>37</v>
      </c>
      <c r="L7" s="182">
        <v>17</v>
      </c>
      <c r="M7" s="305">
        <v>40</v>
      </c>
      <c r="N7" s="182">
        <v>4</v>
      </c>
      <c r="O7" s="182">
        <v>13</v>
      </c>
      <c r="P7" s="182">
        <v>3</v>
      </c>
      <c r="Q7" s="182">
        <v>2</v>
      </c>
      <c r="R7" s="118">
        <f>SUM(K7:Q7)</f>
        <v>116</v>
      </c>
      <c r="S7" s="121">
        <f>+D7*0.9</f>
        <v>94.5</v>
      </c>
      <c r="T7" s="125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2">
        <v>37</v>
      </c>
      <c r="L8" s="182">
        <v>17</v>
      </c>
      <c r="M8" s="305">
        <v>40</v>
      </c>
      <c r="N8" s="182">
        <v>4</v>
      </c>
      <c r="O8" s="182">
        <v>13</v>
      </c>
      <c r="P8" s="182">
        <v>3</v>
      </c>
      <c r="Q8" s="182">
        <v>2</v>
      </c>
      <c r="R8" s="118">
        <f t="shared" ref="R8:R11" si="1">SUM(K8:Q8)</f>
        <v>116</v>
      </c>
      <c r="S8" s="121">
        <f t="shared" ref="S8:S11" si="2">+D8*0.9</f>
        <v>94.5</v>
      </c>
      <c r="T8" s="125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2">
        <v>37</v>
      </c>
      <c r="L9" s="182">
        <v>17</v>
      </c>
      <c r="M9" s="305">
        <v>40</v>
      </c>
      <c r="N9" s="182">
        <v>4</v>
      </c>
      <c r="O9" s="182">
        <v>13</v>
      </c>
      <c r="P9" s="182">
        <v>3</v>
      </c>
      <c r="Q9" s="182">
        <v>2</v>
      </c>
      <c r="R9" s="118">
        <f t="shared" si="1"/>
        <v>116</v>
      </c>
      <c r="S9" s="121">
        <f t="shared" si="2"/>
        <v>94.5</v>
      </c>
      <c r="T9" s="125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2">
        <v>37</v>
      </c>
      <c r="L10" s="182">
        <v>17</v>
      </c>
      <c r="M10" s="305">
        <v>40</v>
      </c>
      <c r="N10" s="182">
        <v>4</v>
      </c>
      <c r="O10" s="182">
        <v>13</v>
      </c>
      <c r="P10" s="182">
        <v>3</v>
      </c>
      <c r="Q10" s="182">
        <v>2</v>
      </c>
      <c r="R10" s="118">
        <f t="shared" si="1"/>
        <v>116</v>
      </c>
      <c r="S10" s="121">
        <f t="shared" si="2"/>
        <v>94.5</v>
      </c>
      <c r="T10" s="125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2">
        <v>37</v>
      </c>
      <c r="L11" s="182">
        <v>17</v>
      </c>
      <c r="M11" s="305">
        <v>40</v>
      </c>
      <c r="N11" s="182">
        <v>4</v>
      </c>
      <c r="O11" s="182">
        <v>13</v>
      </c>
      <c r="P11" s="182">
        <v>3</v>
      </c>
      <c r="Q11" s="182">
        <v>2</v>
      </c>
      <c r="R11" s="118">
        <f t="shared" si="1"/>
        <v>116</v>
      </c>
      <c r="S11" s="121">
        <f t="shared" si="2"/>
        <v>94.5</v>
      </c>
      <c r="T11" s="125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2">
        <v>37</v>
      </c>
      <c r="L12" s="182">
        <v>17</v>
      </c>
      <c r="M12" s="305">
        <v>40</v>
      </c>
      <c r="N12" s="182">
        <v>4</v>
      </c>
      <c r="O12" s="182">
        <v>13</v>
      </c>
      <c r="P12" s="182">
        <v>3</v>
      </c>
      <c r="Q12" s="182">
        <v>2</v>
      </c>
      <c r="R12" s="118">
        <f t="shared" ref="R12" si="4">SUM(K12:Q12)</f>
        <v>116</v>
      </c>
      <c r="S12" s="215">
        <f t="shared" ref="S12" si="5">+D12*0.9</f>
        <v>94.5</v>
      </c>
      <c r="T12" s="125">
        <f t="shared" ref="T12" si="6">+D12-S12-(R12-S12)</f>
        <v>-11</v>
      </c>
    </row>
    <row r="13" spans="1:21" x14ac:dyDescent="0.25">
      <c r="B13" s="152">
        <v>2</v>
      </c>
      <c r="C13" s="30" t="s">
        <v>105</v>
      </c>
      <c r="D13" s="152"/>
      <c r="E13" s="152"/>
      <c r="F13" s="11" t="s">
        <v>106</v>
      </c>
      <c r="G13" s="12">
        <f>SUM(G14:G21)</f>
        <v>7587253.5273000002</v>
      </c>
      <c r="H13" s="4"/>
      <c r="I13" s="216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8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7">
        <f>+SUM('Summary S01'!I2:I41)</f>
        <v>66.918000000000006</v>
      </c>
      <c r="L14" s="247">
        <f>+SUM('Summary S02'!I2:I18)</f>
        <v>32.987999999999992</v>
      </c>
      <c r="M14" s="247">
        <f>+SUM('Summary S03'!I2:I45)</f>
        <v>44.519999999999996</v>
      </c>
      <c r="N14" s="248">
        <f>+SUM('Summary S04'!I2:I6)</f>
        <v>34.374999999999986</v>
      </c>
      <c r="O14" s="137">
        <f>+SUM('Summary S06'!I2:I13)</f>
        <v>1.6245000000000001</v>
      </c>
      <c r="P14" s="127">
        <f>+SUM('Summary S07'!I2:I4)</f>
        <v>0</v>
      </c>
      <c r="Q14" s="127">
        <f>+SUM('Summary S08'!I2:I3)</f>
        <v>0</v>
      </c>
      <c r="R14" s="119">
        <f>SUM(K14:Q14)</f>
        <v>180.4255</v>
      </c>
      <c r="S14" s="122">
        <f>+D14*0.7</f>
        <v>140</v>
      </c>
      <c r="T14" s="126">
        <f>+D14-S14-(R14-S14)</f>
        <v>19.5745</v>
      </c>
      <c r="U14" s="13"/>
    </row>
    <row r="15" spans="1:21" outlineLevel="1" x14ac:dyDescent="0.25">
      <c r="A15" s="1" t="s">
        <v>288</v>
      </c>
      <c r="B15" s="131">
        <v>2.2000000000000002</v>
      </c>
      <c r="C15" s="72" t="s">
        <v>109</v>
      </c>
      <c r="D15" s="73">
        <v>200</v>
      </c>
      <c r="E15" s="73" t="s">
        <v>108</v>
      </c>
      <c r="F15" s="132">
        <v>13555.63</v>
      </c>
      <c r="G15" s="133">
        <f t="shared" si="7"/>
        <v>0</v>
      </c>
      <c r="H15" s="134" t="s">
        <v>98</v>
      </c>
      <c r="I15" s="71" t="s">
        <v>82</v>
      </c>
      <c r="J15" s="82">
        <v>8200</v>
      </c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48">
        <f>+SUM('Summary S01'!J2:J41)</f>
        <v>66.918000000000006</v>
      </c>
      <c r="L16" s="248">
        <f>+SUM('Summary S02'!J2:J18)</f>
        <v>32.987999999999992</v>
      </c>
      <c r="M16" s="248">
        <f>+SUM('Summary S03'!J2:J45)</f>
        <v>45.671999999999997</v>
      </c>
      <c r="N16" s="248">
        <f>+SUM('Summary S04'!J2:J6)</f>
        <v>3.1220000000000003</v>
      </c>
      <c r="O16" s="248">
        <f>+SUM('Summary S06'!J2:J13)</f>
        <v>1.6245000000000001</v>
      </c>
      <c r="P16" s="127">
        <f>+SUM('Summary S07'!J2:J4)</f>
        <v>0</v>
      </c>
      <c r="Q16" s="127">
        <f>+SUM('Summary S08'!J2:J3)</f>
        <v>0</v>
      </c>
      <c r="R16" s="119">
        <f>SUM(K16:Q16)</f>
        <v>150.32450000000003</v>
      </c>
      <c r="S16" s="122">
        <f>+D16*0.7</f>
        <v>140</v>
      </c>
      <c r="T16" s="126">
        <f>+D16-S16-(R16-S16)</f>
        <v>49.675499999999971</v>
      </c>
      <c r="U16" s="13"/>
    </row>
    <row r="17" spans="1:22" outlineLevel="1" x14ac:dyDescent="0.25">
      <c r="A17" s="1" t="s">
        <v>290</v>
      </c>
      <c r="B17" s="131">
        <v>2.4</v>
      </c>
      <c r="C17" s="72" t="s">
        <v>111</v>
      </c>
      <c r="D17" s="73">
        <v>200</v>
      </c>
      <c r="E17" s="73" t="s">
        <v>108</v>
      </c>
      <c r="F17" s="132">
        <v>13696.28</v>
      </c>
      <c r="G17" s="133">
        <f t="shared" si="7"/>
        <v>0</v>
      </c>
      <c r="H17" s="134" t="s">
        <v>98</v>
      </c>
      <c r="I17" s="71" t="s">
        <v>83</v>
      </c>
      <c r="J17" s="82">
        <v>6780</v>
      </c>
      <c r="K17" s="135"/>
      <c r="L17" s="136"/>
      <c r="M17" s="136"/>
      <c r="N17" s="136"/>
      <c r="O17" s="136"/>
      <c r="P17" s="136"/>
      <c r="Q17" s="136"/>
      <c r="R17" s="136"/>
      <c r="S17" s="136"/>
      <c r="T17" s="136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2">
        <f>+SUM('Summary S01'!K2:K41)</f>
        <v>156</v>
      </c>
      <c r="L18" s="182">
        <f>+SUM('Summary S02'!K2:K18)</f>
        <v>73</v>
      </c>
      <c r="M18" s="182">
        <f>+SUM('Summary S03'!K2:K45)</f>
        <v>129</v>
      </c>
      <c r="N18" s="182">
        <f>+SUM('Summary S04'!K2:K6)</f>
        <v>10</v>
      </c>
      <c r="O18" s="182">
        <f>+SUM('Summary S06'!K2:K13)</f>
        <v>14</v>
      </c>
      <c r="P18" s="182">
        <f>+SUM('Summary S07'!K2:K4)</f>
        <v>5</v>
      </c>
      <c r="Q18" s="182">
        <f>+SUM('Summary S08'!K2:K3)</f>
        <v>9</v>
      </c>
      <c r="R18" s="118">
        <f>SUM(K18:Q18)</f>
        <v>396</v>
      </c>
      <c r="S18" s="123">
        <f>+D18*0.7</f>
        <v>350</v>
      </c>
      <c r="T18" s="124">
        <f>+D18-S18-(R18-S18)</f>
        <v>104</v>
      </c>
      <c r="V18" s="208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48">
        <f>+SUM('Summary S01'!H2:H41)</f>
        <v>66.918000000000006</v>
      </c>
      <c r="L19" s="248">
        <f>+SUM('Summary S02'!H2:H18)</f>
        <v>32.987999999999992</v>
      </c>
      <c r="M19" s="248">
        <f>+SUM('Summary S03'!H2:H45)</f>
        <v>45.013999999999996</v>
      </c>
      <c r="N19" s="248">
        <f>+SUM('Summary S04'!H2:H6)</f>
        <v>35.340999999999994</v>
      </c>
      <c r="O19" s="248">
        <f>+SUM('Summary S06'!H2:H13)</f>
        <v>1.6245000000000001</v>
      </c>
      <c r="P19" s="127">
        <f>+SUM('Summary S07'!H2:H4)</f>
        <v>0</v>
      </c>
      <c r="Q19" s="127">
        <f>+SUM('Summary S08'!H2:H3)</f>
        <v>0</v>
      </c>
      <c r="R19" s="119">
        <f>SUM(K19:Q19)</f>
        <v>181.88550000000004</v>
      </c>
      <c r="S19" s="122">
        <f>+D19*0.7</f>
        <v>140</v>
      </c>
      <c r="T19" s="126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2">
        <v>37</v>
      </c>
      <c r="L20" s="182">
        <v>17</v>
      </c>
      <c r="M20" s="182">
        <v>34</v>
      </c>
      <c r="N20" s="182">
        <v>4</v>
      </c>
      <c r="O20" s="182">
        <v>12</v>
      </c>
      <c r="P20" s="182">
        <v>3</v>
      </c>
      <c r="Q20" s="182">
        <v>2</v>
      </c>
      <c r="R20" s="118">
        <f>SUM(K20:Q20)</f>
        <v>109</v>
      </c>
      <c r="S20" s="128">
        <f t="shared" ref="S20:S21" si="8">+D20*0.7</f>
        <v>73.5</v>
      </c>
      <c r="T20" s="124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2">
        <v>37</v>
      </c>
      <c r="L21" s="182">
        <v>17</v>
      </c>
      <c r="M21" s="182">
        <v>34</v>
      </c>
      <c r="N21" s="182">
        <v>4</v>
      </c>
      <c r="O21" s="182">
        <v>12</v>
      </c>
      <c r="P21" s="182">
        <v>3</v>
      </c>
      <c r="Q21" s="182">
        <v>2</v>
      </c>
      <c r="R21" s="118">
        <f t="shared" ref="R21:R23" si="9">SUM(K21:Q21)</f>
        <v>109</v>
      </c>
      <c r="S21" s="128">
        <f t="shared" si="8"/>
        <v>73.5</v>
      </c>
      <c r="T21" s="124">
        <f t="shared" ref="T21" si="10">+D21-S21-(R21-S21)</f>
        <v>-4</v>
      </c>
    </row>
    <row r="22" spans="1:22" x14ac:dyDescent="0.25">
      <c r="B22" s="152">
        <v>3</v>
      </c>
      <c r="C22" s="30" t="s">
        <v>116</v>
      </c>
      <c r="D22" s="152"/>
      <c r="E22" s="152"/>
      <c r="F22" s="11" t="s">
        <v>106</v>
      </c>
      <c r="G22" s="12">
        <f>SUM(G23:G35)</f>
        <v>214800.85</v>
      </c>
      <c r="H22" s="4"/>
      <c r="I22" s="216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8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2">
        <v>37</v>
      </c>
      <c r="L23" s="182">
        <v>17</v>
      </c>
      <c r="M23" s="182">
        <v>34</v>
      </c>
      <c r="N23" s="182">
        <v>4</v>
      </c>
      <c r="O23" s="182">
        <v>12</v>
      </c>
      <c r="P23" s="182">
        <v>3</v>
      </c>
      <c r="Q23" s="182">
        <v>2</v>
      </c>
      <c r="R23" s="118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7">
        <f>+SUMIFS(Tabla1[Avance_Med],Tabla1[nombre_actividad],$I24,Tabla1[Sistema],"LIRA_GALERAS")</f>
        <v>11</v>
      </c>
      <c r="L24" s="127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1"/>
    </row>
    <row r="25" spans="1:22" x14ac:dyDescent="0.25">
      <c r="A25" s="414"/>
      <c r="B25" s="412">
        <v>3.3</v>
      </c>
      <c r="C25" s="413" t="s">
        <v>121</v>
      </c>
      <c r="D25" s="73"/>
      <c r="E25" s="131"/>
      <c r="F25" s="132"/>
      <c r="G25" s="133"/>
      <c r="H25" s="134"/>
      <c r="I25" s="71"/>
      <c r="K25" s="127"/>
      <c r="L25" s="127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7">
        <f>+SUMIFS(Tabla1[Avance_Med],Tabla1[nombre_actividad],$I26,Tabla1[Sistema],"LIRA_GALERAS")</f>
        <v>11</v>
      </c>
      <c r="L26" s="127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7">
        <f>+SUMIFS(Tabla1[Avance_Med],Tabla1[nombre_actividad],$I27,Tabla1[Sistema],"LIRA_GALERAS")</f>
        <v>11</v>
      </c>
      <c r="L27" s="127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7">
        <f>+SUMIFS(Tabla1[Avance_Med],Tabla1[nombre_actividad],$I28,Tabla1[Sistema],"LIRA_GALERAS")</f>
        <v>11</v>
      </c>
      <c r="L28" s="127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7">
        <f>+SUMIFS(Tabla1[Avance_Med],Tabla1[nombre_actividad],$I29,Tabla1[Sistema],"LIRA_GALERAS")</f>
        <v>0</v>
      </c>
      <c r="L29" s="127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7">
        <f>+SUMIFS(Tabla1[Avance_Med],Tabla1[nombre_actividad],$I30,Tabla1[Sistema],"LIRA_GALERAS")</f>
        <v>11</v>
      </c>
      <c r="L30" s="127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7">
        <f>+SUMIFS(Tabla1[Avance_Med],Tabla1[nombre_actividad],$I31,Tabla1[Sistema],"LIRA_GALERAS")</f>
        <v>0</v>
      </c>
      <c r="L31" s="127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7">
        <f>+SUMIFS(Tabla1[Avance_Med],Tabla1[nombre_actividad],$I32,Tabla1[Sistema],"LIRA_GALERAS")</f>
        <v>1</v>
      </c>
      <c r="L32" s="127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7">
        <f>+SUMIFS(Tabla1[Avance_Med],Tabla1[nombre_actividad],$I33,Tabla1[Sistema],"LIRA_GALERAS")</f>
        <v>11</v>
      </c>
      <c r="L33" s="127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7">
        <f>+SUMIFS(Tabla1[Avance_Med],Tabla1[nombre_actividad],$I34,Tabla1[Sistema],"LIRA_GALERAS")</f>
        <v>11</v>
      </c>
      <c r="L34" s="127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7"/>
    </row>
    <row r="36" spans="1:26" x14ac:dyDescent="0.25">
      <c r="B36" s="152">
        <v>4</v>
      </c>
      <c r="C36" s="30" t="s">
        <v>142</v>
      </c>
      <c r="D36" s="152"/>
      <c r="E36" s="152"/>
      <c r="F36" s="11" t="s">
        <v>106</v>
      </c>
      <c r="G36" s="12">
        <v>0</v>
      </c>
      <c r="H36" s="4"/>
      <c r="I36" s="216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8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29"/>
      <c r="Z45" s="61"/>
    </row>
    <row r="46" spans="1:26" ht="44.1" customHeight="1" x14ac:dyDescent="0.25">
      <c r="A46" s="1" t="s">
        <v>319</v>
      </c>
      <c r="B46" s="434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29">
        <f>SUM(X45:X47)</f>
        <v>32180.43</v>
      </c>
      <c r="Y48" s="229">
        <f>+X48*0.16</f>
        <v>5148.8688000000002</v>
      </c>
      <c r="Z48" s="429">
        <f>SUM(X48:Y48)</f>
        <v>37329.298800000004</v>
      </c>
    </row>
    <row r="49" spans="1:11" x14ac:dyDescent="0.25">
      <c r="B49" s="152">
        <v>5</v>
      </c>
      <c r="C49" s="30" t="s">
        <v>156</v>
      </c>
      <c r="D49" s="152"/>
      <c r="E49" s="152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6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3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3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541</v>
      </c>
      <c r="D66" s="455" t="s">
        <v>542</v>
      </c>
      <c r="E66" s="455" t="s">
        <v>543</v>
      </c>
      <c r="F66" s="455" t="s">
        <v>544</v>
      </c>
      <c r="G66" s="455" t="s">
        <v>545</v>
      </c>
      <c r="H66" s="455" t="s">
        <v>546</v>
      </c>
      <c r="I66" s="455" t="s">
        <v>93</v>
      </c>
      <c r="J66" s="455" t="s">
        <v>547</v>
      </c>
      <c r="K66" s="455" t="s">
        <v>93</v>
      </c>
    </row>
    <row r="67" spans="2:12" ht="16.5" thickBot="1" x14ac:dyDescent="0.3">
      <c r="B67" s="76" t="s">
        <v>552</v>
      </c>
      <c r="C67" s="454" t="s">
        <v>548</v>
      </c>
      <c r="D67" s="456" t="s">
        <v>549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4" t="s">
        <v>550</v>
      </c>
      <c r="D68" s="456" t="s">
        <v>549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4" t="s">
        <v>551</v>
      </c>
      <c r="D69" s="456" t="s">
        <v>549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J39"/>
  <sheetViews>
    <sheetView showGridLines="0" zoomScale="70" zoomScaleNormal="70" workbookViewId="0">
      <selection activeCell="J8" sqref="J8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50.570312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 outlineLevel="1" collapsed="1"/>
    <col min="8" max="8" width="9" bestFit="1" customWidth="1" outlineLevel="1" collapsed="1"/>
    <col min="9" max="10" width="22.7109375" bestFit="1" customWidth="1" outlineLevel="1" collapsed="1"/>
  </cols>
  <sheetData>
    <row r="1" spans="1:10" s="76" customFormat="1" ht="27" x14ac:dyDescent="0.25">
      <c r="A1" s="152" t="s">
        <v>88</v>
      </c>
      <c r="B1" s="152" t="s">
        <v>89</v>
      </c>
      <c r="C1" s="152" t="s">
        <v>90</v>
      </c>
      <c r="D1" s="152" t="s">
        <v>91</v>
      </c>
      <c r="E1" s="4" t="s">
        <v>92</v>
      </c>
      <c r="F1" s="4" t="s">
        <v>395</v>
      </c>
      <c r="G1" s="4" t="s">
        <v>94</v>
      </c>
      <c r="H1" s="4" t="s">
        <v>653</v>
      </c>
      <c r="I1" s="4" t="s">
        <v>691</v>
      </c>
      <c r="J1" s="4" t="s">
        <v>692</v>
      </c>
    </row>
    <row r="2" spans="1:10" x14ac:dyDescent="0.25">
      <c r="A2" s="5">
        <v>1.1000000000000001</v>
      </c>
      <c r="B2" s="570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10" t="s">
        <v>654</v>
      </c>
      <c r="I2" s="573" t="s">
        <v>276</v>
      </c>
      <c r="J2" s="573" t="s">
        <v>95</v>
      </c>
    </row>
    <row r="3" spans="1:10" x14ac:dyDescent="0.25">
      <c r="A3" s="5">
        <v>1.2</v>
      </c>
      <c r="B3" s="570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10" t="s">
        <v>655</v>
      </c>
      <c r="I3" s="573" t="s">
        <v>278</v>
      </c>
      <c r="J3" s="573" t="s">
        <v>95</v>
      </c>
    </row>
    <row r="4" spans="1:10" x14ac:dyDescent="0.25">
      <c r="A4" s="5">
        <v>1.3</v>
      </c>
      <c r="B4" s="570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10" t="s">
        <v>656</v>
      </c>
      <c r="I4" s="573" t="s">
        <v>280</v>
      </c>
      <c r="J4" s="573" t="s">
        <v>95</v>
      </c>
    </row>
    <row r="5" spans="1:10" x14ac:dyDescent="0.25">
      <c r="A5" s="5">
        <v>1.4</v>
      </c>
      <c r="B5" s="571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10" t="s">
        <v>657</v>
      </c>
      <c r="I5" s="573" t="s">
        <v>282</v>
      </c>
      <c r="J5" s="573" t="s">
        <v>95</v>
      </c>
    </row>
    <row r="6" spans="1:10" x14ac:dyDescent="0.25">
      <c r="A6" s="5">
        <v>1.5</v>
      </c>
      <c r="B6" s="570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10" t="s">
        <v>658</v>
      </c>
      <c r="I6" s="573" t="s">
        <v>284</v>
      </c>
      <c r="J6" s="573" t="s">
        <v>95</v>
      </c>
    </row>
    <row r="7" spans="1:10" x14ac:dyDescent="0.25">
      <c r="A7" s="5">
        <v>1.6</v>
      </c>
      <c r="B7" s="570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10" t="s">
        <v>659</v>
      </c>
      <c r="I7" s="573" t="s">
        <v>286</v>
      </c>
      <c r="J7" s="573" t="s">
        <v>95</v>
      </c>
    </row>
    <row r="8" spans="1:10" x14ac:dyDescent="0.25">
      <c r="A8" s="5">
        <v>2.1</v>
      </c>
      <c r="B8" s="570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10" t="s">
        <v>660</v>
      </c>
      <c r="I8" s="573" t="s">
        <v>79</v>
      </c>
      <c r="J8" s="573" t="s">
        <v>105</v>
      </c>
    </row>
    <row r="9" spans="1:10" outlineLevel="1" x14ac:dyDescent="0.25">
      <c r="A9" s="131">
        <v>2.2000000000000002</v>
      </c>
      <c r="B9" s="572" t="s">
        <v>109</v>
      </c>
      <c r="C9" s="73">
        <v>200</v>
      </c>
      <c r="D9" s="73" t="s">
        <v>108</v>
      </c>
      <c r="E9" s="132">
        <v>13555.63</v>
      </c>
      <c r="F9" s="133">
        <f t="shared" si="0"/>
        <v>2711126</v>
      </c>
      <c r="G9" s="134" t="s">
        <v>98</v>
      </c>
      <c r="H9" s="134" t="s">
        <v>661</v>
      </c>
      <c r="I9" s="574" t="s">
        <v>82</v>
      </c>
      <c r="J9" s="574" t="s">
        <v>105</v>
      </c>
    </row>
    <row r="10" spans="1:10" x14ac:dyDescent="0.25">
      <c r="A10" s="5">
        <v>2.2999999999999998</v>
      </c>
      <c r="B10" s="570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10" t="s">
        <v>662</v>
      </c>
      <c r="I10" s="573" t="s">
        <v>80</v>
      </c>
      <c r="J10" s="573" t="s">
        <v>105</v>
      </c>
    </row>
    <row r="11" spans="1:10" outlineLevel="1" x14ac:dyDescent="0.25">
      <c r="A11" s="131">
        <v>2.4</v>
      </c>
      <c r="B11" s="572" t="s">
        <v>111</v>
      </c>
      <c r="C11" s="73">
        <v>200</v>
      </c>
      <c r="D11" s="73" t="s">
        <v>108</v>
      </c>
      <c r="E11" s="132">
        <v>13696.28</v>
      </c>
      <c r="F11" s="133">
        <f t="shared" si="0"/>
        <v>2739256</v>
      </c>
      <c r="G11" s="134" t="s">
        <v>98</v>
      </c>
      <c r="H11" s="134" t="s">
        <v>663</v>
      </c>
      <c r="I11" s="574" t="s">
        <v>83</v>
      </c>
      <c r="J11" s="574" t="s">
        <v>105</v>
      </c>
    </row>
    <row r="12" spans="1:10" x14ac:dyDescent="0.25">
      <c r="A12" s="5">
        <v>2.5</v>
      </c>
      <c r="B12" s="570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10" t="s">
        <v>664</v>
      </c>
      <c r="I12" s="573" t="s">
        <v>81</v>
      </c>
      <c r="J12" s="573" t="s">
        <v>105</v>
      </c>
    </row>
    <row r="13" spans="1:10" x14ac:dyDescent="0.25">
      <c r="A13" s="5">
        <v>2.6</v>
      </c>
      <c r="B13" s="570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10" t="s">
        <v>665</v>
      </c>
      <c r="I13" s="573" t="s">
        <v>78</v>
      </c>
      <c r="J13" s="573" t="s">
        <v>105</v>
      </c>
    </row>
    <row r="14" spans="1:10" x14ac:dyDescent="0.25">
      <c r="A14" s="5">
        <v>2.7</v>
      </c>
      <c r="B14" s="570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10" t="s">
        <v>666</v>
      </c>
      <c r="I14" s="573" t="s">
        <v>294</v>
      </c>
      <c r="J14" s="573" t="s">
        <v>105</v>
      </c>
    </row>
    <row r="15" spans="1:10" x14ac:dyDescent="0.25">
      <c r="A15" s="5">
        <v>2.8</v>
      </c>
      <c r="B15" s="570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10" t="s">
        <v>667</v>
      </c>
      <c r="I15" s="573" t="s">
        <v>296</v>
      </c>
      <c r="J15" s="573" t="s">
        <v>105</v>
      </c>
    </row>
    <row r="16" spans="1:10" x14ac:dyDescent="0.25">
      <c r="A16" s="5">
        <v>3.1</v>
      </c>
      <c r="B16" s="570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10" t="s">
        <v>668</v>
      </c>
      <c r="I16" s="573" t="s">
        <v>298</v>
      </c>
      <c r="J16" s="573" t="s">
        <v>116</v>
      </c>
    </row>
    <row r="17" spans="1:10" x14ac:dyDescent="0.25">
      <c r="A17" s="5">
        <v>3.2</v>
      </c>
      <c r="B17" s="570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10" t="s">
        <v>669</v>
      </c>
      <c r="I17" s="573" t="s">
        <v>415</v>
      </c>
      <c r="J17" s="573" t="s">
        <v>116</v>
      </c>
    </row>
    <row r="18" spans="1:10" x14ac:dyDescent="0.25">
      <c r="A18" s="5" t="s">
        <v>122</v>
      </c>
      <c r="B18" s="570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10" t="s">
        <v>670</v>
      </c>
      <c r="I18" s="573" t="s">
        <v>416</v>
      </c>
      <c r="J18" s="573" t="s">
        <v>116</v>
      </c>
    </row>
    <row r="19" spans="1:10" x14ac:dyDescent="0.25">
      <c r="A19" s="5" t="s">
        <v>124</v>
      </c>
      <c r="B19" s="570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10" t="s">
        <v>671</v>
      </c>
      <c r="I19" s="573" t="s">
        <v>423</v>
      </c>
      <c r="J19" s="573" t="s">
        <v>116</v>
      </c>
    </row>
    <row r="20" spans="1:10" x14ac:dyDescent="0.25">
      <c r="A20" s="5" t="s">
        <v>127</v>
      </c>
      <c r="B20" s="570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10" t="s">
        <v>672</v>
      </c>
      <c r="I20" s="573" t="s">
        <v>417</v>
      </c>
      <c r="J20" s="573" t="s">
        <v>116</v>
      </c>
    </row>
    <row r="21" spans="1:10" x14ac:dyDescent="0.25">
      <c r="A21" s="5" t="s">
        <v>129</v>
      </c>
      <c r="B21" s="570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10" t="s">
        <v>673</v>
      </c>
      <c r="I21" s="573" t="s">
        <v>424</v>
      </c>
      <c r="J21" s="573" t="s">
        <v>116</v>
      </c>
    </row>
    <row r="22" spans="1:10" x14ac:dyDescent="0.25">
      <c r="A22" s="5" t="s">
        <v>131</v>
      </c>
      <c r="B22" s="570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10" t="s">
        <v>674</v>
      </c>
      <c r="I22" s="573" t="s">
        <v>422</v>
      </c>
      <c r="J22" s="573" t="s">
        <v>116</v>
      </c>
    </row>
    <row r="23" spans="1:10" x14ac:dyDescent="0.25">
      <c r="A23" s="5" t="s">
        <v>133</v>
      </c>
      <c r="B23" s="570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10" t="s">
        <v>675</v>
      </c>
      <c r="I23" s="573" t="s">
        <v>418</v>
      </c>
      <c r="J23" s="573" t="s">
        <v>116</v>
      </c>
    </row>
    <row r="24" spans="1:10" x14ac:dyDescent="0.25">
      <c r="A24" s="5" t="s">
        <v>135</v>
      </c>
      <c r="B24" s="570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10" t="s">
        <v>676</v>
      </c>
      <c r="I24" s="573" t="s">
        <v>425</v>
      </c>
      <c r="J24" s="573" t="s">
        <v>116</v>
      </c>
    </row>
    <row r="25" spans="1:10" x14ac:dyDescent="0.25">
      <c r="A25" s="5" t="s">
        <v>137</v>
      </c>
      <c r="B25" s="570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10" t="s">
        <v>677</v>
      </c>
      <c r="I25" s="573" t="s">
        <v>420</v>
      </c>
      <c r="J25" s="573" t="s">
        <v>116</v>
      </c>
    </row>
    <row r="26" spans="1:10" x14ac:dyDescent="0.25">
      <c r="A26" s="5" t="s">
        <v>139</v>
      </c>
      <c r="B26" s="570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10" t="s">
        <v>678</v>
      </c>
      <c r="I26" s="573" t="s">
        <v>419</v>
      </c>
      <c r="J26" s="573" t="s">
        <v>116</v>
      </c>
    </row>
    <row r="27" spans="1:10" x14ac:dyDescent="0.25">
      <c r="A27" s="5">
        <v>3.4</v>
      </c>
      <c r="B27" s="570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10" t="s">
        <v>679</v>
      </c>
      <c r="I27" s="573" t="s">
        <v>421</v>
      </c>
      <c r="J27" s="573" t="s">
        <v>116</v>
      </c>
    </row>
    <row r="28" spans="1:10" x14ac:dyDescent="0.25">
      <c r="A28" s="5">
        <v>4.0999999999999996</v>
      </c>
      <c r="B28" s="570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10" t="s">
        <v>682</v>
      </c>
      <c r="I28" s="573" t="s">
        <v>426</v>
      </c>
      <c r="J28" s="573" t="s">
        <v>142</v>
      </c>
    </row>
    <row r="29" spans="1:10" x14ac:dyDescent="0.25">
      <c r="A29" s="5">
        <v>4.2</v>
      </c>
      <c r="B29" s="570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10" t="s">
        <v>683</v>
      </c>
      <c r="I29" s="573" t="s">
        <v>427</v>
      </c>
      <c r="J29" s="573" t="s">
        <v>142</v>
      </c>
    </row>
    <row r="30" spans="1:10" x14ac:dyDescent="0.25">
      <c r="A30" s="5">
        <v>4.3</v>
      </c>
      <c r="B30" s="570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10" t="s">
        <v>684</v>
      </c>
      <c r="I30" s="573" t="s">
        <v>428</v>
      </c>
      <c r="J30" s="573" t="s">
        <v>142</v>
      </c>
    </row>
    <row r="31" spans="1:10" x14ac:dyDescent="0.25">
      <c r="A31" s="5">
        <v>4.4000000000000004</v>
      </c>
      <c r="B31" s="570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10" t="s">
        <v>685</v>
      </c>
      <c r="I31" s="573" t="s">
        <v>429</v>
      </c>
      <c r="J31" s="573" t="s">
        <v>142</v>
      </c>
    </row>
    <row r="32" spans="1:10" x14ac:dyDescent="0.25">
      <c r="A32" s="5">
        <v>4.5</v>
      </c>
      <c r="B32" s="570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10" t="s">
        <v>686</v>
      </c>
      <c r="I32" s="573" t="s">
        <v>430</v>
      </c>
      <c r="J32" s="573" t="s">
        <v>142</v>
      </c>
    </row>
    <row r="33" spans="1:10" x14ac:dyDescent="0.25">
      <c r="A33" s="5">
        <v>4.5999999999999996</v>
      </c>
      <c r="B33" s="570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10" t="s">
        <v>687</v>
      </c>
      <c r="I33" s="573" t="s">
        <v>431</v>
      </c>
      <c r="J33" s="573" t="s">
        <v>142</v>
      </c>
    </row>
    <row r="34" spans="1:10" x14ac:dyDescent="0.25">
      <c r="A34" s="5">
        <v>4.7</v>
      </c>
      <c r="B34" s="570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10" t="s">
        <v>688</v>
      </c>
      <c r="I34" s="573" t="s">
        <v>432</v>
      </c>
      <c r="J34" s="573" t="s">
        <v>142</v>
      </c>
    </row>
    <row r="35" spans="1:10" x14ac:dyDescent="0.25">
      <c r="A35" s="5">
        <v>4.8</v>
      </c>
      <c r="B35" s="570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10" t="s">
        <v>689</v>
      </c>
      <c r="I35" s="573" t="s">
        <v>433</v>
      </c>
      <c r="J35" s="573" t="s">
        <v>142</v>
      </c>
    </row>
    <row r="36" spans="1:10" x14ac:dyDescent="0.25">
      <c r="A36" s="5">
        <v>4.9000000000000004</v>
      </c>
      <c r="B36" s="570" t="s">
        <v>151</v>
      </c>
      <c r="C36" s="7">
        <v>100</v>
      </c>
      <c r="D36" s="569" t="s">
        <v>152</v>
      </c>
      <c r="E36" s="8">
        <v>7244.35</v>
      </c>
      <c r="F36" s="9">
        <f t="shared" si="1"/>
        <v>724435</v>
      </c>
      <c r="G36" s="10" t="s">
        <v>98</v>
      </c>
      <c r="H36" s="10" t="s">
        <v>690</v>
      </c>
      <c r="I36" s="573" t="s">
        <v>434</v>
      </c>
      <c r="J36" s="573" t="s">
        <v>142</v>
      </c>
    </row>
    <row r="37" spans="1:10" x14ac:dyDescent="0.25">
      <c r="A37" s="434" t="s">
        <v>523</v>
      </c>
      <c r="B37" s="570" t="s">
        <v>153</v>
      </c>
      <c r="C37" s="7">
        <v>500</v>
      </c>
      <c r="D37" s="569" t="s">
        <v>152</v>
      </c>
      <c r="E37" s="8">
        <v>6977.93</v>
      </c>
      <c r="F37" s="9">
        <f t="shared" si="1"/>
        <v>3488965</v>
      </c>
      <c r="G37" s="10" t="s">
        <v>98</v>
      </c>
      <c r="H37" s="10" t="s">
        <v>652</v>
      </c>
      <c r="I37" s="573" t="s">
        <v>435</v>
      </c>
      <c r="J37" s="573" t="s">
        <v>142</v>
      </c>
    </row>
    <row r="38" spans="1:10" x14ac:dyDescent="0.25">
      <c r="A38" s="17">
        <v>4.1100000000000003</v>
      </c>
      <c r="B38" s="570" t="s">
        <v>154</v>
      </c>
      <c r="C38" s="7">
        <v>800</v>
      </c>
      <c r="D38" s="569" t="s">
        <v>152</v>
      </c>
      <c r="E38" s="8">
        <v>8275.99</v>
      </c>
      <c r="F38" s="9">
        <f>+C38*E38</f>
        <v>6620792</v>
      </c>
      <c r="G38" s="10" t="s">
        <v>98</v>
      </c>
      <c r="H38" s="10" t="s">
        <v>680</v>
      </c>
      <c r="I38" s="573" t="s">
        <v>436</v>
      </c>
      <c r="J38" s="573" t="s">
        <v>142</v>
      </c>
    </row>
    <row r="39" spans="1:10" x14ac:dyDescent="0.25">
      <c r="A39" s="17">
        <v>4.12</v>
      </c>
      <c r="B39" s="570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10" t="s">
        <v>681</v>
      </c>
      <c r="I39" s="573" t="s">
        <v>437</v>
      </c>
      <c r="J39" s="573" t="s">
        <v>142</v>
      </c>
    </row>
  </sheetData>
  <phoneticPr fontId="2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13</v>
      </c>
      <c r="B2" s="147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2"/>
    </row>
    <row r="3" spans="1:12" ht="26.25" x14ac:dyDescent="0.25">
      <c r="A3" s="34" t="s">
        <v>13</v>
      </c>
      <c r="B3" s="147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7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9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2"/>
    </row>
    <row r="5" spans="1:12" ht="26.25" x14ac:dyDescent="0.25">
      <c r="A5" s="34" t="s">
        <v>13</v>
      </c>
      <c r="B5" s="147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2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7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2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7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2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7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2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7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2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7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9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2"/>
    </row>
    <row r="11" spans="1:12" ht="26.25" x14ac:dyDescent="0.25">
      <c r="A11" s="34" t="s">
        <v>13</v>
      </c>
      <c r="B11" s="147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7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9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2"/>
    </row>
    <row r="13" spans="1:12" ht="26.25" x14ac:dyDescent="0.25">
      <c r="A13" s="34" t="s">
        <v>13</v>
      </c>
      <c r="B13" s="147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2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7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2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7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2">
        <f>IFERROR(SUMIFS(Tabla1[Avance_Med],Tabla1[Ducto],$B15,Tabla1[nombre_actividad],G$1),0)</f>
        <v>2</v>
      </c>
    </row>
    <row r="16" spans="1:12" ht="26.25" hidden="1" outlineLevel="1" x14ac:dyDescent="0.25">
      <c r="A16" s="144" t="s">
        <v>13</v>
      </c>
      <c r="B16" s="148" t="s">
        <v>170</v>
      </c>
      <c r="C16" s="145" t="e">
        <f>+_xlfn.XLOOKUP(B16,Tabla1[Ducto],Tabla1[Length])</f>
        <v>#N/A</v>
      </c>
      <c r="D16" s="146" t="s">
        <v>171</v>
      </c>
      <c r="E16" s="146" t="s">
        <v>171</v>
      </c>
      <c r="F16" s="146" t="s">
        <v>171</v>
      </c>
      <c r="G16" s="146" t="s">
        <v>171</v>
      </c>
      <c r="H16" s="79"/>
      <c r="I16" s="79"/>
      <c r="J16" s="142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7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2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7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9"/>
      <c r="H18" s="79"/>
      <c r="I18" s="79"/>
      <c r="J18" s="142"/>
    </row>
    <row r="19" spans="1:10" ht="26.25" x14ac:dyDescent="0.25">
      <c r="A19" s="34" t="s">
        <v>13</v>
      </c>
      <c r="B19" s="147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2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7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2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7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9"/>
      <c r="H21" s="79"/>
      <c r="I21" s="79"/>
      <c r="J21" s="142"/>
    </row>
    <row r="22" spans="1:10" ht="26.25" x14ac:dyDescent="0.25">
      <c r="A22" s="34" t="s">
        <v>13</v>
      </c>
      <c r="B22" s="147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2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7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9"/>
      <c r="H23" s="79"/>
      <c r="I23" s="79"/>
      <c r="J23" s="142"/>
    </row>
    <row r="24" spans="1:10" ht="26.25" x14ac:dyDescent="0.25">
      <c r="A24" s="34" t="s">
        <v>13</v>
      </c>
      <c r="B24" s="147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2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7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2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7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2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7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9"/>
      <c r="H27" s="79"/>
      <c r="I27" s="79"/>
      <c r="J27" s="142"/>
    </row>
    <row r="28" spans="1:10" ht="26.25" x14ac:dyDescent="0.25">
      <c r="A28" s="34" t="s">
        <v>13</v>
      </c>
      <c r="B28" s="147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2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7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2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7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9"/>
      <c r="H30" s="219"/>
      <c r="I30" s="219"/>
      <c r="J30" s="142"/>
    </row>
    <row r="31" spans="1:10" ht="26.25" collapsed="1" x14ac:dyDescent="0.25">
      <c r="A31" s="34" t="s">
        <v>13</v>
      </c>
      <c r="B31" s="147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2">
        <f>IFERROR(SUMIFS(Tabla1[Avance_Med],Tabla1[Ducto],$B31,Tabla1[nombre_actividad],G$1),0)</f>
        <v>6</v>
      </c>
    </row>
    <row r="32" spans="1:10" ht="26.25" hidden="1" outlineLevel="1" x14ac:dyDescent="0.25">
      <c r="A32" s="144" t="s">
        <v>13</v>
      </c>
      <c r="B32" s="148" t="s">
        <v>173</v>
      </c>
      <c r="C32" s="145" t="e">
        <f>+_xlfn.XLOOKUP(B32,Tabla1[Ducto],Tabla1[Length])</f>
        <v>#N/A</v>
      </c>
      <c r="D32" s="146" t="s">
        <v>171</v>
      </c>
      <c r="E32" s="146" t="s">
        <v>171</v>
      </c>
      <c r="F32" s="146" t="s">
        <v>171</v>
      </c>
      <c r="G32" s="146" t="s">
        <v>171</v>
      </c>
      <c r="J32" s="142">
        <f>IFERROR(SUMIFS(Tabla1[Avance_Med],Tabla1[Ducto],$B32,Tabla1[nombre_actividad],G$1),0)</f>
        <v>0</v>
      </c>
    </row>
    <row r="33" spans="1:10" ht="26.25" x14ac:dyDescent="0.25">
      <c r="A33" s="183" t="s">
        <v>13</v>
      </c>
      <c r="B33" s="184" t="s">
        <v>68</v>
      </c>
      <c r="C33" s="185" t="e">
        <f>+_xlfn.XLOOKUP(B33,Tabla1[Ducto],Tabla1[Length])</f>
        <v>#N/A</v>
      </c>
      <c r="D33" s="186">
        <f>IFERROR(SUMIFS(Tabla1[Avance_km],Tabla1[Ducto],'R (s01)'!$B33,Tabla1[nombre_actividad],D$1,Tabla1[Sistema],"LIRA_GALERAS")/$C33,0)</f>
        <v>0</v>
      </c>
      <c r="E33" s="186">
        <f>IFERROR(SUMIFS(Tabla1[Avance_km],Tabla1[Ducto],'R (s01)'!$B33,Tabla1[nombre_actividad],E$1,Tabla1[Sistema],"LIRA_GALERAS")/$C33,0)</f>
        <v>0</v>
      </c>
      <c r="F33" s="186">
        <f>IFERROR(SUMIFS(Tabla1[Avance_km],Tabla1[Ducto],'R (s01)'!$B33,Tabla1[nombre_actividad],F$1,Tabla1[Sistema],"LIRA_GALERAS")/$C33,0)</f>
        <v>0</v>
      </c>
      <c r="G33" s="139"/>
      <c r="J33" s="142"/>
    </row>
    <row r="34" spans="1:10" ht="26.25" x14ac:dyDescent="0.25">
      <c r="A34" s="183" t="s">
        <v>13</v>
      </c>
      <c r="B34" s="184" t="s">
        <v>69</v>
      </c>
      <c r="C34" s="185" t="e">
        <f>+_xlfn.XLOOKUP(B34,Tabla1[Ducto],Tabla1[Length])</f>
        <v>#N/A</v>
      </c>
      <c r="D34" s="186">
        <f>IFERROR(SUMIFS(Tabla1[Avance_km],Tabla1[Ducto],'R (s01)'!$B34,Tabla1[nombre_actividad],D$1,Tabla1[Sistema],"LIRA_GALERAS")/$C34,0)</f>
        <v>0</v>
      </c>
      <c r="E34" s="186">
        <f>IFERROR(SUMIFS(Tabla1[Avance_km],Tabla1[Ducto],'R (s01)'!$B34,Tabla1[nombre_actividad],E$1,Tabla1[Sistema],"LIRA_GALERAS")/$C34,0)</f>
        <v>0</v>
      </c>
      <c r="F34" s="186">
        <f>IFERROR(SUMIFS(Tabla1[Avance_km],Tabla1[Ducto],'R (s01)'!$B34,Tabla1[nombre_actividad],F$1,Tabla1[Sistema],"LIRA_GALERAS")/$C34,0)</f>
        <v>0</v>
      </c>
      <c r="G34" s="139"/>
      <c r="J34" s="142"/>
    </row>
    <row r="35" spans="1:10" ht="26.25" x14ac:dyDescent="0.25">
      <c r="A35" s="34" t="s">
        <v>13</v>
      </c>
      <c r="B35" s="147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9"/>
      <c r="J35" s="142"/>
    </row>
    <row r="36" spans="1:10" ht="26.25" x14ac:dyDescent="0.25">
      <c r="A36" s="34" t="s">
        <v>13</v>
      </c>
      <c r="B36" s="147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9"/>
      <c r="J36" s="142"/>
    </row>
    <row r="37" spans="1:10" ht="26.25" x14ac:dyDescent="0.25">
      <c r="A37" s="34" t="s">
        <v>13</v>
      </c>
      <c r="B37" s="147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2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7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2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7" t="s">
        <v>71</v>
      </c>
      <c r="C39" s="110">
        <f>+_xlfn.XLOOKUP(B39,Tabla1[Ducto],Tabla1[Length])</f>
        <v>7.0000000000000001E-3</v>
      </c>
      <c r="D39" s="164">
        <f>IFERROR(SUMIFS(Tabla1[Avance_km],Tabla1[Ducto],'R (s01)'!$B39,Tabla1[nombre_actividad],D$1,Tabla1[Sistema],"LIRA_GALERAS")/$C39,0)</f>
        <v>1</v>
      </c>
      <c r="E39" s="164">
        <f>IFERROR(SUMIFS(Tabla1[Avance_km],Tabla1[Ducto],'R (s01)'!$B39,Tabla1[nombre_actividad],E$1,Tabla1[Sistema],"LIRA_GALERAS")/$C39,0)</f>
        <v>1</v>
      </c>
      <c r="F39" s="164">
        <f>IFERROR(SUMIFS(Tabla1[Avance_km],Tabla1[Ducto],'R (s01)'!$B39,Tabla1[nombre_actividad],F$1,Tabla1[Sistema],"LIRA_GALERAS")/$C39,0)</f>
        <v>1</v>
      </c>
      <c r="G39" s="139"/>
      <c r="J39" s="142"/>
    </row>
    <row r="40" spans="1:10" ht="26.25" x14ac:dyDescent="0.25">
      <c r="A40" s="34" t="s">
        <v>13</v>
      </c>
      <c r="B40" s="147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2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7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2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22</v>
      </c>
      <c r="B2" s="149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2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9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9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2"/>
    </row>
    <row r="4" spans="1:12" ht="26.25" x14ac:dyDescent="0.25">
      <c r="A4" s="34" t="s">
        <v>22</v>
      </c>
      <c r="B4" s="149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9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2"/>
    </row>
    <row r="5" spans="1:12" ht="26.25" x14ac:dyDescent="0.25">
      <c r="A5" s="34" t="s">
        <v>22</v>
      </c>
      <c r="B5" s="149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9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2"/>
    </row>
    <row r="6" spans="1:12" ht="26.25" x14ac:dyDescent="0.25">
      <c r="A6" s="34" t="s">
        <v>22</v>
      </c>
      <c r="B6" s="149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9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2"/>
    </row>
    <row r="7" spans="1:12" ht="26.25" x14ac:dyDescent="0.25">
      <c r="A7" s="34" t="s">
        <v>22</v>
      </c>
      <c r="B7" s="149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2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9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2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9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2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9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9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2"/>
    </row>
    <row r="11" spans="1:12" ht="26.25" x14ac:dyDescent="0.25">
      <c r="A11" s="34" t="s">
        <v>22</v>
      </c>
      <c r="B11" s="149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9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9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2"/>
    </row>
    <row r="13" spans="1:12" ht="26.25" x14ac:dyDescent="0.25">
      <c r="A13" s="34" t="s">
        <v>22</v>
      </c>
      <c r="B13" s="149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9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2"/>
    </row>
    <row r="14" spans="1:12" ht="26.25" x14ac:dyDescent="0.25">
      <c r="A14" s="34" t="s">
        <v>22</v>
      </c>
      <c r="B14" s="149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2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9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2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9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2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9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2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9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9"/>
      <c r="H18" s="79"/>
      <c r="I18" s="79"/>
      <c r="J18" s="142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3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4" ht="27" thickBot="1" x14ac:dyDescent="0.35">
      <c r="A2" s="34" t="s">
        <v>329</v>
      </c>
      <c r="B2" s="177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2">
        <f>IFERROR(SUMIFS(Tabla1[Avance_Med],Tabla1[Ducto],$B2,Tabla1[nombre_actividad],G$1),0)</f>
        <v>49</v>
      </c>
      <c r="K2" s="398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7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2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7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2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7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2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7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2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7" t="s">
        <v>339</v>
      </c>
      <c r="C7" s="110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2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7" t="s">
        <v>217</v>
      </c>
      <c r="C8" s="110">
        <v>5.8719999999999999</v>
      </c>
      <c r="D8" s="164">
        <f>IFERROR(SUMIFS(Tabla1[Avance_km],Tabla1[Ducto],'R (s03)'!$B8,Tabla1[nombre_actividad],D$1,Tabla1[Sistema],"HUIMILPAN")/$C8,0)</f>
        <v>1</v>
      </c>
      <c r="E8" s="164">
        <f>IFERROR(SUMIFS(Tabla1[Avance_km],Tabla1[Ducto],'R (s03)'!$B8,Tabla1[nombre_actividad],E$1,Tabla1[Sistema],"HUIMILPAN")/$C8,0)</f>
        <v>0.82970027247956402</v>
      </c>
      <c r="F8" s="164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2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3" t="s">
        <v>329</v>
      </c>
      <c r="B9" s="397" t="s">
        <v>340</v>
      </c>
      <c r="C9" s="185">
        <f>_xlfn.IFNA(_xlfn.XLOOKUP(B9,Tabla1[Ducto],Tabla1[Length]), _xlfn.XLOOKUP(B9,'Summary S03'!A:A,'Summary S03'!G:G)/1000)</f>
        <v>0</v>
      </c>
      <c r="D9" s="186">
        <f>IFERROR(SUMIFS(Tabla1[Avance_km],Tabla1[Ducto],'R (s03)'!$B9,Tabla1[nombre_actividad],D$1,Tabla1[Sistema],"HUIMILPAN")/$C9,0)</f>
        <v>0</v>
      </c>
      <c r="E9" s="186">
        <f>IFERROR(SUMIFS(Tabla1[Avance_km],Tabla1[Ducto],'R (s03)'!$B9,Tabla1[nombre_actividad],E$1,Tabla1[Sistema],"HUIMILPAN")/$C9,0)</f>
        <v>0</v>
      </c>
      <c r="F9" s="186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2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7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2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7" t="s">
        <v>341</v>
      </c>
      <c r="C11" s="110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2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7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2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3" t="s">
        <v>329</v>
      </c>
      <c r="B13" s="397" t="s">
        <v>220</v>
      </c>
      <c r="C13" s="185">
        <v>0</v>
      </c>
      <c r="D13" s="186">
        <f>IFERROR(SUMIFS(Tabla1[Avance_km],Tabla1[Ducto],'R (s03)'!$B13,Tabla1[nombre_actividad],D$1,Tabla1[Sistema],"HUIMILPAN")/$C13,0)</f>
        <v>0</v>
      </c>
      <c r="E13" s="186">
        <f>IFERROR(SUMIFS(Tabla1[Avance_km],Tabla1[Ducto],'R (s03)'!$B13,Tabla1[nombre_actividad],E$1,Tabla1[Sistema],"HUIMILPAN")/$C13,0)</f>
        <v>0</v>
      </c>
      <c r="F13" s="186">
        <f>IFERROR(SUMIFS(Tabla1[Avance_km],Tabla1[Ducto],'R (s03)'!$B13,Tabla1[nombre_actividad],F$1,Tabla1[Sistema],"HUIMILPAN")/$C13,0)</f>
        <v>0</v>
      </c>
      <c r="G13" s="198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2"/>
      <c r="M13" s="386" t="s">
        <v>220</v>
      </c>
      <c r="N13" s="26"/>
    </row>
    <row r="14" spans="1:14" ht="27" thickBot="1" x14ac:dyDescent="0.35">
      <c r="A14" s="34" t="s">
        <v>329</v>
      </c>
      <c r="B14" s="177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2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7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2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7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2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7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2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7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2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7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2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3" t="s">
        <v>329</v>
      </c>
      <c r="B20" s="397" t="s">
        <v>229</v>
      </c>
      <c r="C20" s="185">
        <v>0</v>
      </c>
      <c r="D20" s="186">
        <f>IFERROR(SUMIFS(Tabla1[Avance_km],Tabla1[Ducto],'R (s03)'!$B20,Tabla1[nombre_actividad],D$1,Tabla1[Sistema],"HUIMILPAN")/$C20,0)</f>
        <v>0</v>
      </c>
      <c r="E20" s="186">
        <f>IFERROR(SUMIFS(Tabla1[Avance_km],Tabla1[Ducto],'R (s03)'!$B20,Tabla1[nombre_actividad],E$1,Tabla1[Sistema],"HUIMILPAN")/$C20,0)</f>
        <v>0</v>
      </c>
      <c r="F20" s="186">
        <f>IFERROR(SUMIFS(Tabla1[Avance_km],Tabla1[Ducto],'R (s03)'!$B20,Tabla1[nombre_actividad],F$1,Tabla1[Sistema],"HUIMILPAN")/$C20,0)</f>
        <v>0</v>
      </c>
      <c r="G20" s="186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2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7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2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7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2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7" t="s">
        <v>235</v>
      </c>
      <c r="C23" s="110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2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7" t="s">
        <v>237</v>
      </c>
      <c r="C24" s="110">
        <v>5.1999999999999998E-2</v>
      </c>
      <c r="D24" s="164">
        <f>IFERROR(SUMIFS(Tabla1[Avance_km],Tabla1[Ducto],'R (s03)'!$B24,Tabla1[nombre_actividad],D$1,Tabla1[Sistema],"HUIMILPAN")/$C24,0)</f>
        <v>1</v>
      </c>
      <c r="E24" s="164">
        <f>IFERROR(SUMIFS(Tabla1[Avance_km],Tabla1[Ducto],'R (s03)'!$B24,Tabla1[nombre_actividad],E$1,Tabla1[Sistema],"HUIMILPAN")/$C24,0)</f>
        <v>1</v>
      </c>
      <c r="F24" s="164">
        <f>IFERROR(SUMIFS(Tabla1[Avance_km],Tabla1[Ducto],'R (s03)'!$B24,Tabla1[nombre_actividad],F$1,Tabla1[Sistema],"HUIMILPAN")/$C24,0)</f>
        <v>1</v>
      </c>
      <c r="G24" s="146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2"/>
      <c r="K24" s="210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7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2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3" t="s">
        <v>329</v>
      </c>
      <c r="B26" s="397" t="s">
        <v>240</v>
      </c>
      <c r="C26" s="185">
        <f>_xlfn.IFNA(_xlfn.XLOOKUP(B26,Tabla1[Ducto],Tabla1[Length]), _xlfn.XLOOKUP(B26,'Summary S03'!A:A,'Summary S03'!G:G)/1000)</f>
        <v>0</v>
      </c>
      <c r="D26" s="186">
        <f>IFERROR(SUMIFS(Tabla1[Avance_km],Tabla1[Ducto],'R (s03)'!$B26,Tabla1[nombre_actividad],D$1,Tabla1[Sistema],"HUIMILPAN")/$C26,0)</f>
        <v>0</v>
      </c>
      <c r="E26" s="186">
        <f>IFERROR(SUMIFS(Tabla1[Avance_km],Tabla1[Ducto],'R (s03)'!$B26,Tabla1[nombre_actividad],E$1,Tabla1[Sistema],"HUIMILPAN")/$C26,0)</f>
        <v>0</v>
      </c>
      <c r="F26" s="186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2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7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2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7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2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7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8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2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7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2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7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2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2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7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8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2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7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2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7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2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7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2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7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2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7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2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7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2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7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2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7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2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7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2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502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506</v>
      </c>
      <c r="H43" s="79"/>
      <c r="I43" s="79"/>
      <c r="J43" s="142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7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2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7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2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9" t="s">
        <v>237</v>
      </c>
      <c r="C47" s="210" t="s">
        <v>354</v>
      </c>
      <c r="D47" s="211"/>
      <c r="E47" s="211"/>
    </row>
    <row r="49" spans="3:12" ht="24" x14ac:dyDescent="0.4">
      <c r="C49" s="394" t="s">
        <v>509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745.99999999999511</v>
      </c>
    </row>
    <row r="50" spans="3:12" x14ac:dyDescent="0.25">
      <c r="K50" s="425" t="s">
        <v>518</v>
      </c>
    </row>
    <row r="51" spans="3:12" x14ac:dyDescent="0.25">
      <c r="J51" s="424">
        <v>46241</v>
      </c>
      <c r="K51" s="1" t="s">
        <v>504</v>
      </c>
      <c r="L51" t="s">
        <v>519</v>
      </c>
    </row>
    <row r="52" spans="3:12" x14ac:dyDescent="0.25">
      <c r="J52" s="424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t="e" cm="1">
        <f t="array" ref="D55">_xlfn._xlws.SORT(_xlfn._xlws.FILTER(_xlfn._xlws.FILTER(Tabla1[],(Tabla1[Ducto]=D54)*(Tabla1[Actividades]=D53),),{1,0,0,0,0,1,1,0,0,0,0,0,0,0}),2,1)</f>
        <v>#VALUE!</v>
      </c>
      <c r="E55" s="352"/>
      <c r="F55" s="352"/>
      <c r="G55" t="str">
        <f>+IF(F55=E56,"OK","rev")</f>
        <v>OK</v>
      </c>
    </row>
    <row r="56" spans="3:12" x14ac:dyDescent="0.25">
      <c r="D56" s="451"/>
      <c r="E56" s="352"/>
      <c r="F56" s="352"/>
      <c r="G56" t="str">
        <f t="shared" ref="G56:G77" si="0">+IF(F56=E57,"OK","rev")</f>
        <v>OK</v>
      </c>
      <c r="J56" s="424"/>
    </row>
    <row r="57" spans="3:12" x14ac:dyDescent="0.25">
      <c r="D57" s="451"/>
      <c r="E57" s="352"/>
      <c r="F57" s="352"/>
      <c r="G57" t="str">
        <f t="shared" si="0"/>
        <v>OK</v>
      </c>
      <c r="J57" s="424"/>
    </row>
    <row r="58" spans="3:12" x14ac:dyDescent="0.25">
      <c r="D58" s="451"/>
      <c r="E58" s="352"/>
      <c r="F58" s="352"/>
      <c r="G58" t="str">
        <f t="shared" si="0"/>
        <v>OK</v>
      </c>
    </row>
    <row r="59" spans="3:12" x14ac:dyDescent="0.25">
      <c r="D59" s="451"/>
      <c r="E59" s="352"/>
      <c r="F59" s="352"/>
      <c r="G59" t="str">
        <f t="shared" si="0"/>
        <v>OK</v>
      </c>
    </row>
    <row r="60" spans="3:12" x14ac:dyDescent="0.25">
      <c r="D60" s="451"/>
      <c r="E60" s="352"/>
      <c r="F60" s="352"/>
      <c r="G60" t="str">
        <f t="shared" si="0"/>
        <v>OK</v>
      </c>
    </row>
    <row r="61" spans="3:12" x14ac:dyDescent="0.25">
      <c r="D61" s="451"/>
      <c r="E61" s="352"/>
      <c r="F61" s="352"/>
      <c r="G61" t="str">
        <f t="shared" si="0"/>
        <v>OK</v>
      </c>
    </row>
    <row r="62" spans="3:12" x14ac:dyDescent="0.25">
      <c r="D62" s="451"/>
      <c r="E62" s="352"/>
      <c r="F62" s="352"/>
      <c r="G62" t="str">
        <f t="shared" si="0"/>
        <v>OK</v>
      </c>
    </row>
    <row r="63" spans="3:12" x14ac:dyDescent="0.25">
      <c r="D63" s="451"/>
      <c r="E63" s="352"/>
      <c r="F63" s="352"/>
      <c r="G63" t="str">
        <f t="shared" si="0"/>
        <v>OK</v>
      </c>
    </row>
    <row r="64" spans="3:12" x14ac:dyDescent="0.25">
      <c r="D64" s="451"/>
      <c r="E64" s="352"/>
      <c r="F64" s="352"/>
      <c r="G64" t="str">
        <f t="shared" si="0"/>
        <v>OK</v>
      </c>
    </row>
    <row r="65" spans="4:7" x14ac:dyDescent="0.25">
      <c r="D65" s="451"/>
      <c r="E65" s="352"/>
      <c r="F65" s="352"/>
      <c r="G65" t="str">
        <f t="shared" si="0"/>
        <v>OK</v>
      </c>
    </row>
    <row r="66" spans="4:7" x14ac:dyDescent="0.25">
      <c r="D66" s="451"/>
      <c r="E66" s="352"/>
      <c r="F66" s="352"/>
      <c r="G66" t="str">
        <f t="shared" si="0"/>
        <v>OK</v>
      </c>
    </row>
    <row r="67" spans="4:7" x14ac:dyDescent="0.25">
      <c r="D67" s="451"/>
      <c r="E67" s="352"/>
      <c r="F67" s="352"/>
      <c r="G67" t="str">
        <f t="shared" si="0"/>
        <v>OK</v>
      </c>
    </row>
    <row r="68" spans="4:7" x14ac:dyDescent="0.25">
      <c r="D68" s="451"/>
      <c r="E68" s="352"/>
      <c r="F68" s="352"/>
      <c r="G68" t="str">
        <f t="shared" si="0"/>
        <v>OK</v>
      </c>
    </row>
    <row r="69" spans="4:7" x14ac:dyDescent="0.25">
      <c r="D69" s="451"/>
      <c r="E69" s="352"/>
      <c r="F69" s="352"/>
      <c r="G69" t="str">
        <f t="shared" si="0"/>
        <v>OK</v>
      </c>
    </row>
    <row r="70" spans="4:7" x14ac:dyDescent="0.25">
      <c r="D70" s="451"/>
      <c r="E70" s="352"/>
      <c r="F70" s="352"/>
      <c r="G70" t="str">
        <f t="shared" si="0"/>
        <v>OK</v>
      </c>
    </row>
    <row r="71" spans="4:7" x14ac:dyDescent="0.25">
      <c r="D71" s="451"/>
      <c r="E71" s="352"/>
      <c r="F71" s="352"/>
      <c r="G71" t="str">
        <f t="shared" si="0"/>
        <v>OK</v>
      </c>
    </row>
    <row r="72" spans="4:7" x14ac:dyDescent="0.25">
      <c r="D72" s="451"/>
      <c r="E72" s="352"/>
      <c r="F72" s="352"/>
      <c r="G72" t="str">
        <f t="shared" si="0"/>
        <v>OK</v>
      </c>
    </row>
    <row r="73" spans="4:7" x14ac:dyDescent="0.25">
      <c r="D73" s="451"/>
      <c r="E73" s="352"/>
      <c r="F73" s="352"/>
      <c r="G73" t="str">
        <f t="shared" si="0"/>
        <v>OK</v>
      </c>
    </row>
    <row r="74" spans="4:7" x14ac:dyDescent="0.25">
      <c r="D74" s="451"/>
      <c r="E74" s="352"/>
      <c r="F74" s="352"/>
      <c r="G74" t="str">
        <f t="shared" si="0"/>
        <v>OK</v>
      </c>
    </row>
    <row r="75" spans="4:7" x14ac:dyDescent="0.25">
      <c r="D75" s="451"/>
      <c r="E75" s="352"/>
      <c r="F75" s="352"/>
      <c r="G75" t="str">
        <f t="shared" si="0"/>
        <v>OK</v>
      </c>
    </row>
    <row r="76" spans="4:7" x14ac:dyDescent="0.25">
      <c r="D76" s="451"/>
      <c r="E76" s="352"/>
      <c r="F76" s="352"/>
      <c r="G76" t="str">
        <f t="shared" si="0"/>
        <v>OK</v>
      </c>
    </row>
    <row r="77" spans="4:7" x14ac:dyDescent="0.25">
      <c r="D77" s="451"/>
      <c r="E77" s="352"/>
      <c r="F77" s="352"/>
      <c r="G77" t="str">
        <f t="shared" si="0"/>
        <v>OK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3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</row>
    <row r="2" spans="1:19" ht="26.25" x14ac:dyDescent="0.25">
      <c r="A2" s="34" t="s">
        <v>351</v>
      </c>
      <c r="B2" s="177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2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7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2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7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7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7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2" t="s">
        <v>506</v>
      </c>
      <c r="G6" s="422" t="s">
        <v>506</v>
      </c>
      <c r="H6" s="79"/>
      <c r="I6" s="79"/>
      <c r="J6" s="142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4">
        <f>+C6*(1-D6)</f>
        <v>15.377499999999996</v>
      </c>
      <c r="E9" s="564">
        <f>+C6*(1-E6)</f>
        <v>16.343499999999999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528</v>
      </c>
      <c r="M11" s="450"/>
      <c r="N11" s="589" t="s">
        <v>533</v>
      </c>
      <c r="O11" s="590"/>
      <c r="P11" s="591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532</v>
      </c>
      <c r="L12" s="467" t="s">
        <v>504</v>
      </c>
      <c r="M12" s="468">
        <v>1</v>
      </c>
      <c r="N12" s="494" t="s">
        <v>526</v>
      </c>
      <c r="O12" s="471"/>
      <c r="P12" s="472"/>
      <c r="Q12" s="352">
        <v>0</v>
      </c>
    </row>
    <row r="13" spans="1:19" x14ac:dyDescent="0.25">
      <c r="A13" s="451" t="e" cm="1">
        <f t="array" ref="A13">_xlfn._xlws.SORT(_xlfn._xlws.FILTER(_xlfn._xlws.FILTER(Tabla1[],(Tabla1[Ducto]=A12)*(Tabla1[Actividades]=A11),),{1,0,0,0,0,1,1,0,0,0,0,0,0,0}),2,1)</f>
        <v>#VALUE!</v>
      </c>
      <c r="B13" s="352"/>
      <c r="C13" s="352"/>
      <c r="D13" t="str">
        <f>+IF(C12=B13,"OK","rev")</f>
        <v>OK</v>
      </c>
      <c r="E13" s="451" t="e" cm="1">
        <f t="array" ref="E13">_xlfn._xlws.SORT(_xlfn._xlws.FILTER(_xlfn._xlws.FILTER(Tabla1[],(Tabla1[Ducto]=E12)*(Tabla1[Actividades]=E11),),{1,0,0,0,0,1,1,0,0,0,0,0,0,0}),2,1)</f>
        <v>#VALUE!</v>
      </c>
      <c r="F13" s="352"/>
      <c r="G13" s="352"/>
      <c r="H13" t="str">
        <f t="shared" ref="H13:H34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526</v>
      </c>
      <c r="O13" s="467" t="s">
        <v>527</v>
      </c>
      <c r="P13" s="470" t="s">
        <v>525</v>
      </c>
      <c r="Q13" s="352">
        <v>0</v>
      </c>
      <c r="R13" s="352">
        <v>400</v>
      </c>
      <c r="S13" s="352">
        <v>875</v>
      </c>
    </row>
    <row r="14" spans="1:19" x14ac:dyDescent="0.25">
      <c r="A14" s="451"/>
      <c r="B14" s="352"/>
      <c r="C14" s="352"/>
      <c r="D14" t="str">
        <f t="shared" ref="D14:D30" si="1">+IF(C13=B14,"OK","rev")</f>
        <v>OK</v>
      </c>
      <c r="E14" s="451"/>
      <c r="F14" s="352"/>
      <c r="G14" s="352"/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525</v>
      </c>
      <c r="O14" s="471"/>
      <c r="P14" s="472"/>
      <c r="Q14" s="352">
        <v>160</v>
      </c>
      <c r="R14" s="352"/>
      <c r="S14" s="352"/>
    </row>
    <row r="15" spans="1:19" x14ac:dyDescent="0.25">
      <c r="A15" s="451"/>
      <c r="B15" s="352"/>
      <c r="C15" s="352"/>
      <c r="D15" t="str">
        <f t="shared" si="1"/>
        <v>OK</v>
      </c>
      <c r="E15" s="451"/>
      <c r="F15" s="352"/>
      <c r="G15" s="352"/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526</v>
      </c>
      <c r="O15" s="471"/>
      <c r="P15" s="472"/>
      <c r="Q15" s="352">
        <v>6</v>
      </c>
      <c r="R15" s="352"/>
      <c r="S15" s="352"/>
    </row>
    <row r="16" spans="1:19" x14ac:dyDescent="0.25">
      <c r="A16" s="451"/>
      <c r="B16" s="352"/>
      <c r="C16" s="352"/>
      <c r="D16" t="str">
        <f t="shared" si="1"/>
        <v>OK</v>
      </c>
      <c r="E16" s="451"/>
      <c r="F16" s="352"/>
      <c r="G16" s="352"/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526</v>
      </c>
      <c r="O16" s="471"/>
      <c r="P16" s="472"/>
      <c r="Q16" s="352">
        <v>0</v>
      </c>
      <c r="R16" s="352"/>
      <c r="S16" s="352"/>
    </row>
    <row r="17" spans="1:19" x14ac:dyDescent="0.25">
      <c r="A17" s="451"/>
      <c r="B17" s="352"/>
      <c r="C17" s="352"/>
      <c r="D17" t="str">
        <f t="shared" si="1"/>
        <v>OK</v>
      </c>
      <c r="E17" s="451"/>
      <c r="F17" s="352"/>
      <c r="G17" s="352"/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526</v>
      </c>
      <c r="O17" s="471"/>
      <c r="P17" s="472"/>
      <c r="Q17" s="352">
        <v>0</v>
      </c>
      <c r="R17" s="352"/>
      <c r="S17" s="352"/>
    </row>
    <row r="18" spans="1:19" x14ac:dyDescent="0.25">
      <c r="A18" s="451"/>
      <c r="B18" s="352"/>
      <c r="C18" s="352"/>
      <c r="D18" t="str">
        <f t="shared" si="1"/>
        <v>OK</v>
      </c>
      <c r="E18" s="451"/>
      <c r="F18" s="352"/>
      <c r="G18" s="352"/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526</v>
      </c>
      <c r="O18" s="471"/>
      <c r="P18" s="472"/>
      <c r="Q18" s="352">
        <v>0</v>
      </c>
      <c r="R18" s="352"/>
      <c r="S18" s="352"/>
    </row>
    <row r="19" spans="1:19" x14ac:dyDescent="0.25">
      <c r="A19" s="451"/>
      <c r="B19" s="352"/>
      <c r="C19" s="352"/>
      <c r="D19" t="str">
        <f t="shared" si="1"/>
        <v>OK</v>
      </c>
      <c r="E19" s="451"/>
      <c r="F19" s="352"/>
      <c r="G19" s="352"/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526</v>
      </c>
      <c r="O19" s="471"/>
      <c r="P19" s="472"/>
      <c r="Q19" s="352">
        <v>0</v>
      </c>
      <c r="R19" s="352"/>
      <c r="S19" s="352"/>
    </row>
    <row r="20" spans="1:19" x14ac:dyDescent="0.25">
      <c r="A20" s="451"/>
      <c r="B20" s="352"/>
      <c r="C20" s="352"/>
      <c r="D20" t="str">
        <f t="shared" si="1"/>
        <v>OK</v>
      </c>
      <c r="E20" s="451"/>
      <c r="F20" s="352"/>
      <c r="G20" s="352"/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526</v>
      </c>
      <c r="O20" s="471"/>
      <c r="P20" s="472"/>
      <c r="Q20" s="352">
        <v>0</v>
      </c>
      <c r="R20" s="352"/>
      <c r="S20" s="352"/>
    </row>
    <row r="21" spans="1:19" x14ac:dyDescent="0.25">
      <c r="A21" s="451"/>
      <c r="B21" s="352"/>
      <c r="C21" s="352"/>
      <c r="D21" t="str">
        <f t="shared" si="1"/>
        <v>OK</v>
      </c>
      <c r="E21" s="451"/>
      <c r="F21" s="352"/>
      <c r="G21" s="352"/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526</v>
      </c>
      <c r="O21" s="471"/>
      <c r="P21" s="472"/>
      <c r="Q21" s="352">
        <v>0</v>
      </c>
      <c r="R21" s="352"/>
      <c r="S21" s="352"/>
    </row>
    <row r="22" spans="1:19" x14ac:dyDescent="0.25">
      <c r="A22" s="451"/>
      <c r="B22" s="352"/>
      <c r="C22" s="352"/>
      <c r="D22" t="str">
        <f t="shared" si="1"/>
        <v>OK</v>
      </c>
      <c r="E22" s="451"/>
      <c r="F22" s="352"/>
      <c r="G22" s="352"/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526</v>
      </c>
      <c r="O22" s="471"/>
      <c r="P22" s="472"/>
      <c r="Q22" s="352">
        <v>0</v>
      </c>
      <c r="R22" s="352"/>
      <c r="S22" s="352"/>
    </row>
    <row r="23" spans="1:19" x14ac:dyDescent="0.25">
      <c r="A23" s="451"/>
      <c r="B23" s="352"/>
      <c r="C23" s="352"/>
      <c r="D23" t="str">
        <f t="shared" si="1"/>
        <v>OK</v>
      </c>
      <c r="E23" s="451"/>
      <c r="F23" s="352"/>
      <c r="G23" s="352"/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526</v>
      </c>
      <c r="O23" s="467" t="s">
        <v>525</v>
      </c>
      <c r="P23" s="472"/>
      <c r="Q23" s="352">
        <v>0</v>
      </c>
      <c r="R23" s="352">
        <v>608</v>
      </c>
      <c r="S23" s="352"/>
    </row>
    <row r="24" spans="1:19" x14ac:dyDescent="0.25">
      <c r="A24" s="451"/>
      <c r="B24" s="352"/>
      <c r="C24" s="352"/>
      <c r="D24" t="str">
        <f t="shared" si="1"/>
        <v>OK</v>
      </c>
      <c r="E24" s="451"/>
      <c r="F24" s="352"/>
      <c r="G24" s="352"/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526</v>
      </c>
      <c r="O24" s="471"/>
      <c r="P24" s="472"/>
      <c r="Q24" s="352">
        <v>0</v>
      </c>
      <c r="R24" s="352"/>
      <c r="S24" s="352"/>
    </row>
    <row r="25" spans="1:19" x14ac:dyDescent="0.25">
      <c r="A25" s="451"/>
      <c r="B25" s="352"/>
      <c r="C25" s="352"/>
      <c r="D25" t="str">
        <f t="shared" si="1"/>
        <v>OK</v>
      </c>
      <c r="E25" s="451"/>
      <c r="F25" s="352"/>
      <c r="G25" s="352"/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526</v>
      </c>
      <c r="O25" s="471"/>
      <c r="P25" s="472"/>
      <c r="Q25" s="352">
        <v>0</v>
      </c>
      <c r="R25" s="352"/>
      <c r="S25" s="352"/>
    </row>
    <row r="26" spans="1:19" x14ac:dyDescent="0.25">
      <c r="A26" s="451"/>
      <c r="B26" s="352"/>
      <c r="C26" s="352"/>
      <c r="D26" t="str">
        <f t="shared" si="1"/>
        <v>OK</v>
      </c>
      <c r="E26" s="451"/>
      <c r="F26" s="352"/>
      <c r="G26" s="352"/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526</v>
      </c>
      <c r="O26" s="467" t="s">
        <v>525</v>
      </c>
      <c r="P26" s="472"/>
      <c r="Q26" s="352">
        <v>0</v>
      </c>
      <c r="R26" s="352">
        <v>623</v>
      </c>
      <c r="S26" s="352"/>
    </row>
    <row r="27" spans="1:19" ht="15.75" thickBot="1" x14ac:dyDescent="0.3">
      <c r="A27" s="451"/>
      <c r="B27" s="352"/>
      <c r="C27" s="352"/>
      <c r="D27" t="str">
        <f t="shared" si="1"/>
        <v>OK</v>
      </c>
      <c r="E27" s="451"/>
      <c r="F27" s="352"/>
      <c r="G27" s="352"/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526</v>
      </c>
      <c r="O27" s="491"/>
      <c r="P27" s="492"/>
      <c r="Q27" s="352">
        <v>0</v>
      </c>
      <c r="R27" s="352"/>
      <c r="S27" s="352"/>
    </row>
    <row r="28" spans="1:19" x14ac:dyDescent="0.25">
      <c r="A28" s="451"/>
      <c r="B28" s="352"/>
      <c r="C28" s="352"/>
      <c r="D28" t="str">
        <f t="shared" si="1"/>
        <v>OK</v>
      </c>
      <c r="E28" s="451"/>
      <c r="F28" s="352"/>
      <c r="G28" s="352"/>
      <c r="H28" t="str">
        <f t="shared" si="0"/>
        <v>OK</v>
      </c>
      <c r="M28" s="427">
        <f>SUM(M12:M27)</f>
        <v>20</v>
      </c>
    </row>
    <row r="29" spans="1:19" x14ac:dyDescent="0.25">
      <c r="A29" s="451"/>
      <c r="B29" s="352"/>
      <c r="C29" s="352"/>
      <c r="D29" t="str">
        <f t="shared" si="1"/>
        <v>OK</v>
      </c>
      <c r="E29" s="451"/>
      <c r="F29" s="352"/>
      <c r="G29" s="352"/>
      <c r="H29" t="str">
        <f t="shared" si="0"/>
        <v>OK</v>
      </c>
      <c r="J29" s="26"/>
      <c r="K29" s="26"/>
      <c r="M29"/>
    </row>
    <row r="30" spans="1:19" x14ac:dyDescent="0.25">
      <c r="A30" s="451"/>
      <c r="B30" s="352"/>
      <c r="C30" s="352"/>
      <c r="D30" t="str">
        <f t="shared" si="1"/>
        <v>OK</v>
      </c>
      <c r="E30" s="451"/>
      <c r="F30" s="352"/>
      <c r="G30" s="352"/>
      <c r="H30" t="str">
        <f t="shared" si="0"/>
        <v>OK</v>
      </c>
      <c r="J30" s="26"/>
      <c r="K30" s="26"/>
      <c r="M30"/>
    </row>
    <row r="31" spans="1:19" x14ac:dyDescent="0.25">
      <c r="E31" s="451"/>
      <c r="F31" s="352"/>
      <c r="G31" s="352"/>
      <c r="H31" t="str">
        <f t="shared" si="0"/>
        <v>OK</v>
      </c>
      <c r="J31" s="451"/>
      <c r="K31" s="352"/>
      <c r="L31" s="352"/>
      <c r="M31"/>
    </row>
    <row r="32" spans="1:19" x14ac:dyDescent="0.25">
      <c r="E32" s="451"/>
      <c r="F32" s="352"/>
      <c r="G32" s="352"/>
      <c r="H32" t="str">
        <f t="shared" si="0"/>
        <v>OK</v>
      </c>
      <c r="J32" s="451"/>
      <c r="K32" s="352"/>
      <c r="L32" s="352"/>
      <c r="M32"/>
    </row>
    <row r="33" spans="4:13" x14ac:dyDescent="0.25">
      <c r="E33" s="451"/>
      <c r="F33" s="352"/>
      <c r="G33" s="352"/>
      <c r="H33" t="str">
        <f t="shared" si="0"/>
        <v>OK</v>
      </c>
      <c r="J33" s="451"/>
      <c r="K33" s="352"/>
      <c r="L33" s="352"/>
      <c r="M33"/>
    </row>
    <row r="34" spans="4:13" x14ac:dyDescent="0.25">
      <c r="E34" s="451"/>
      <c r="F34" s="352"/>
      <c r="G34" s="352"/>
      <c r="H34" t="str">
        <f t="shared" si="0"/>
        <v>OK</v>
      </c>
      <c r="J34" s="451"/>
      <c r="K34" s="352"/>
      <c r="L34" s="352"/>
      <c r="M34"/>
    </row>
    <row r="35" spans="4:13" x14ac:dyDescent="0.25">
      <c r="J35" s="451"/>
      <c r="K35" s="352"/>
      <c r="L35" s="352"/>
      <c r="M35"/>
    </row>
    <row r="36" spans="4:13" x14ac:dyDescent="0.25">
      <c r="J36" s="451"/>
      <c r="K36" s="352"/>
      <c r="L36" s="352"/>
      <c r="M36"/>
    </row>
    <row r="37" spans="4:13" x14ac:dyDescent="0.25">
      <c r="J37" s="451"/>
      <c r="K37" s="352"/>
      <c r="L37" s="352"/>
      <c r="M37"/>
    </row>
    <row r="38" spans="4:13" x14ac:dyDescent="0.25">
      <c r="J38" s="451"/>
      <c r="K38" s="352"/>
      <c r="L38" s="352"/>
      <c r="M38"/>
    </row>
    <row r="39" spans="4:13" x14ac:dyDescent="0.25">
      <c r="J39" s="451"/>
      <c r="K39" s="352"/>
      <c r="L39" s="352"/>
      <c r="M39"/>
    </row>
    <row r="40" spans="4:13" x14ac:dyDescent="0.25">
      <c r="J40" s="451"/>
      <c r="K40" s="352"/>
      <c r="L40" s="352"/>
      <c r="M40"/>
    </row>
    <row r="41" spans="4:13" x14ac:dyDescent="0.25">
      <c r="D41" s="26"/>
      <c r="E41" s="26"/>
      <c r="J41" s="451"/>
      <c r="K41" s="352"/>
      <c r="L41" s="352"/>
      <c r="M41"/>
    </row>
    <row r="42" spans="4:13" x14ac:dyDescent="0.25">
      <c r="D42" s="26"/>
      <c r="E42" s="26"/>
      <c r="J42" s="451"/>
      <c r="K42" s="352"/>
      <c r="L42" s="352"/>
      <c r="M42"/>
    </row>
    <row r="43" spans="4:13" x14ac:dyDescent="0.25">
      <c r="D43" s="451"/>
      <c r="E43" s="352"/>
      <c r="F43" s="352"/>
      <c r="J43" s="451"/>
      <c r="K43" s="352"/>
      <c r="L43" s="352"/>
      <c r="M43"/>
    </row>
    <row r="44" spans="4:13" x14ac:dyDescent="0.25">
      <c r="D44" s="451"/>
      <c r="E44" s="352"/>
      <c r="F44" s="352"/>
      <c r="J44" s="451"/>
      <c r="K44" s="352"/>
      <c r="L44" s="352"/>
      <c r="M44"/>
    </row>
    <row r="45" spans="4:13" x14ac:dyDescent="0.25">
      <c r="D45" s="451"/>
      <c r="E45" s="352"/>
      <c r="F45" s="352"/>
      <c r="J45" s="451"/>
      <c r="K45" s="352"/>
      <c r="L45" s="352"/>
      <c r="M45"/>
    </row>
    <row r="46" spans="4:13" x14ac:dyDescent="0.25">
      <c r="D46" s="451"/>
      <c r="E46" s="352"/>
      <c r="F46" s="352"/>
      <c r="J46" s="451"/>
      <c r="K46" s="352"/>
      <c r="L46" s="352"/>
      <c r="M46"/>
    </row>
    <row r="47" spans="4:13" x14ac:dyDescent="0.25">
      <c r="D47" s="451"/>
      <c r="E47" s="352"/>
      <c r="F47" s="352"/>
      <c r="J47" s="451"/>
      <c r="K47" s="352"/>
      <c r="L47" s="352"/>
      <c r="M47"/>
    </row>
    <row r="48" spans="4:13" x14ac:dyDescent="0.25">
      <c r="D48" s="451"/>
      <c r="E48" s="352"/>
      <c r="F48" s="352"/>
      <c r="J48" s="451"/>
      <c r="K48" s="352"/>
      <c r="L48" s="352"/>
      <c r="M48"/>
    </row>
    <row r="49" spans="4:6" x14ac:dyDescent="0.25">
      <c r="D49" s="451"/>
      <c r="E49" s="352"/>
      <c r="F49" s="352"/>
    </row>
    <row r="50" spans="4:6" x14ac:dyDescent="0.25">
      <c r="D50" s="451"/>
      <c r="E50" s="352"/>
      <c r="F50" s="352"/>
    </row>
    <row r="51" spans="4:6" x14ac:dyDescent="0.25">
      <c r="D51" s="451"/>
      <c r="E51" s="352"/>
      <c r="F51" s="352"/>
    </row>
    <row r="52" spans="4:6" x14ac:dyDescent="0.25">
      <c r="D52" s="451"/>
      <c r="E52" s="352"/>
      <c r="F52" s="352"/>
    </row>
    <row r="53" spans="4:6" x14ac:dyDescent="0.25">
      <c r="D53" s="451"/>
      <c r="E53" s="352"/>
      <c r="F53" s="352"/>
    </row>
    <row r="54" spans="4:6" x14ac:dyDescent="0.25">
      <c r="D54" s="451"/>
      <c r="E54" s="352"/>
      <c r="F54" s="352"/>
    </row>
    <row r="55" spans="4:6" x14ac:dyDescent="0.25">
      <c r="D55" s="451"/>
      <c r="E55" s="352"/>
      <c r="F55" s="352"/>
    </row>
    <row r="56" spans="4:6" x14ac:dyDescent="0.25">
      <c r="D56" s="451"/>
      <c r="E56" s="352"/>
      <c r="F56" s="352"/>
    </row>
    <row r="57" spans="4:6" x14ac:dyDescent="0.25">
      <c r="D57" s="451"/>
      <c r="E57" s="352"/>
      <c r="F57" s="352"/>
    </row>
    <row r="58" spans="4:6" x14ac:dyDescent="0.25">
      <c r="D58" s="451"/>
      <c r="E58" s="352"/>
      <c r="F58" s="352"/>
    </row>
    <row r="59" spans="4:6" x14ac:dyDescent="0.25">
      <c r="D59" s="451"/>
      <c r="E59" s="352"/>
      <c r="F59" s="352"/>
    </row>
    <row r="60" spans="4:6" x14ac:dyDescent="0.25">
      <c r="D60" s="451"/>
      <c r="E60" s="352"/>
      <c r="F60" s="352"/>
    </row>
    <row r="61" spans="4:6" x14ac:dyDescent="0.25">
      <c r="D61" s="451"/>
      <c r="E61" s="352"/>
      <c r="F61" s="352"/>
    </row>
    <row r="62" spans="4:6" x14ac:dyDescent="0.25">
      <c r="D62" s="451"/>
      <c r="E62" s="352"/>
      <c r="F62" s="352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3" ht="26.25" x14ac:dyDescent="0.25">
      <c r="A2" s="34" t="s">
        <v>379</v>
      </c>
      <c r="B2" s="565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2">
        <f>IFERROR(SUMIFS(Tabla1[Avance_Med],Tabla1[Ducto],$B2,Tabla1[nombre_actividad],G$1),0)</f>
        <v>1</v>
      </c>
      <c r="L2" s="174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2">
        <f>IFERROR(SUMIFS(Tabla1[Avance_Med],Tabla1[Ducto],$B3,Tabla1[nombre_actividad],G$1),0)</f>
        <v>1</v>
      </c>
      <c r="L3" s="174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  <c r="L4" s="174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  <c r="L5" s="174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2">
        <f>IFERROR(SUMIFS(Tabla1[Avance_Med],Tabla1[Ducto],$B6,Tabla1[nombre_actividad],G$1),0)</f>
        <v>1</v>
      </c>
      <c r="L6" s="174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2">
        <f>IFERROR(SUMIFS(Tabla1[Avance_Med],Tabla1[Ducto],$B7,Tabla1[nombre_actividad],G$1),0)</f>
        <v>1</v>
      </c>
      <c r="L7" s="174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2">
        <f>IFERROR(SUMIFS(Tabla1[Avance_Med],Tabla1[Ducto],$B8,Tabla1[nombre_actividad],G$1),0)</f>
        <v>1</v>
      </c>
      <c r="L8" s="174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2">
        <f>IFERROR(SUMIFS(Tabla1[Avance_Med],Tabla1[Ducto],$B9,Tabla1[nombre_actividad],G$1),0)</f>
        <v>2</v>
      </c>
      <c r="L9" s="174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2">
        <f>IFERROR(SUMIFS(Tabla1[Avance_Med],Tabla1[Ducto],$B10,Tabla1[nombre_actividad],G$1),0)</f>
        <v>1</v>
      </c>
      <c r="L10" s="174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2">
        <f>IFERROR(SUMIFS(Tabla1[Avance_Med],Tabla1[Ducto],$B11,Tabla1[nombre_actividad],G$1),0)</f>
        <v>1</v>
      </c>
      <c r="L11" s="174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2">
        <f>IFERROR(SUMIFS(Tabla1[Avance_Med],Tabla1[Ducto],$B12,Tabla1[nombre_actividad],G$1),0)</f>
        <v>2</v>
      </c>
      <c r="L12" s="174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2">
        <f>IFERROR(SUMIFS(Tabla1[Avance_Med],Tabla1[Ducto],$B13,Tabla1[nombre_actividad],G$1),0)</f>
        <v>1</v>
      </c>
      <c r="L13" s="174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265</v>
      </c>
      <c r="B2" s="162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2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2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2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2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5" ht="26.25" x14ac:dyDescent="0.25">
      <c r="A2" s="34" t="s">
        <v>266</v>
      </c>
      <c r="B2" s="172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2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2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2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5"/>
      <c r="M11" s="33" t="s">
        <v>324</v>
      </c>
      <c r="N11" s="33" t="s">
        <v>325</v>
      </c>
      <c r="O11" s="33" t="s">
        <v>80</v>
      </c>
    </row>
    <row r="12" spans="1:15" x14ac:dyDescent="0.25">
      <c r="L12" s="235" t="s">
        <v>380</v>
      </c>
      <c r="M12" s="509"/>
      <c r="N12" s="557"/>
      <c r="O12" s="509"/>
    </row>
    <row r="13" spans="1:15" x14ac:dyDescent="0.25">
      <c r="L13" s="235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5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635</v>
      </c>
      <c r="C2" s="521" t="s">
        <v>636</v>
      </c>
      <c r="D2" s="521" t="s">
        <v>637</v>
      </c>
      <c r="E2" s="521" t="s">
        <v>638</v>
      </c>
      <c r="F2" s="521" t="s">
        <v>132</v>
      </c>
      <c r="G2" s="521" t="s">
        <v>639</v>
      </c>
      <c r="H2" s="521" t="s">
        <v>640</v>
      </c>
      <c r="I2" s="521" t="s">
        <v>641</v>
      </c>
      <c r="J2" s="521" t="s">
        <v>642</v>
      </c>
      <c r="L2" s="520"/>
      <c r="M2" s="521" t="s">
        <v>648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1">
        <v>46280</v>
      </c>
      <c r="M3" s="556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1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1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1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1">
        <v>46296</v>
      </c>
    </row>
    <row r="8" spans="1:20" x14ac:dyDescent="0.25">
      <c r="A8" s="136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1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1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1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1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1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1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1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1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1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F1" sqref="F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3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7" t="s">
        <v>184</v>
      </c>
      <c r="B1" s="567" t="s">
        <v>185</v>
      </c>
      <c r="C1" s="567" t="s">
        <v>186</v>
      </c>
      <c r="D1" s="567" t="s">
        <v>97</v>
      </c>
      <c r="E1" s="568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6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3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3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3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3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3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3" t="s">
        <v>17</v>
      </c>
      <c r="N8" t="s">
        <v>561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3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3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3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3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3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3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3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3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3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3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3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3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3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3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3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3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3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3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3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3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3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3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3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3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3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3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3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3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3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3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3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3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3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4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5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3">
        <v>24358</v>
      </c>
      <c r="G58" s="364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3">
        <v>26</v>
      </c>
      <c r="G59" s="366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3">
        <v>9</v>
      </c>
      <c r="G60" s="366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3">
        <v>1880</v>
      </c>
      <c r="G61" s="366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3">
        <v>119.5</v>
      </c>
      <c r="G62" s="366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3">
        <v>5872</v>
      </c>
      <c r="G63" s="366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3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7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3">
        <v>373</v>
      </c>
    </row>
    <row r="67" spans="1:5" ht="17.25" thickBot="1" x14ac:dyDescent="0.35">
      <c r="A67" s="88" t="s">
        <v>211</v>
      </c>
      <c r="B67" s="89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3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3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3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3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3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3">
        <v>18</v>
      </c>
    </row>
    <row r="74" spans="1:5" ht="17.25" thickBot="1" x14ac:dyDescent="0.35">
      <c r="A74" s="88" t="s">
        <v>211</v>
      </c>
      <c r="B74" s="89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3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3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7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3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3">
        <v>487</v>
      </c>
    </row>
    <row r="80" spans="1:5" ht="17.25" thickBot="1" x14ac:dyDescent="0.35">
      <c r="A80" s="88" t="s">
        <v>211</v>
      </c>
      <c r="B80" s="89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3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3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3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3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3">
        <v>93</v>
      </c>
    </row>
    <row r="86" spans="1:5" ht="17.25" thickBot="1" x14ac:dyDescent="0.35">
      <c r="A86" s="88" t="s">
        <v>211</v>
      </c>
      <c r="B86" s="89" t="s">
        <v>212</v>
      </c>
      <c r="C86" s="384" t="s">
        <v>505</v>
      </c>
      <c r="D86" s="90" t="s">
        <v>246</v>
      </c>
      <c r="E86" s="203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3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3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3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3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3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3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3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7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3">
        <v>275</v>
      </c>
    </row>
    <row r="96" spans="1:5" ht="17.25" thickBot="1" x14ac:dyDescent="0.35">
      <c r="A96" s="88" t="s">
        <v>211</v>
      </c>
      <c r="B96" s="89" t="s">
        <v>212</v>
      </c>
      <c r="C96" s="384" t="s">
        <v>500</v>
      </c>
      <c r="D96" s="90" t="s">
        <v>346</v>
      </c>
      <c r="E96" s="203">
        <v>703</v>
      </c>
    </row>
    <row r="97" spans="1:11" ht="17.25" thickBot="1" x14ac:dyDescent="0.35">
      <c r="A97" s="88" t="s">
        <v>211</v>
      </c>
      <c r="B97" s="89" t="s">
        <v>212</v>
      </c>
      <c r="C97" s="384" t="s">
        <v>501</v>
      </c>
      <c r="D97" s="90" t="s">
        <v>502</v>
      </c>
      <c r="E97" s="203">
        <v>12.5</v>
      </c>
    </row>
    <row r="98" spans="1:11" ht="17.25" thickBot="1" x14ac:dyDescent="0.35">
      <c r="A98" s="88" t="s">
        <v>211</v>
      </c>
      <c r="B98" s="89" t="s">
        <v>212</v>
      </c>
      <c r="C98" s="384" t="s">
        <v>503</v>
      </c>
      <c r="D98" s="90" t="s">
        <v>504</v>
      </c>
      <c r="E98" s="203">
        <v>292.5</v>
      </c>
    </row>
    <row r="99" spans="1:11" ht="17.25" thickBot="1" x14ac:dyDescent="0.35">
      <c r="A99" s="88" t="s">
        <v>211</v>
      </c>
      <c r="B99" s="89" t="s">
        <v>212</v>
      </c>
      <c r="C99" s="384">
        <v>3.33</v>
      </c>
      <c r="D99" s="90" t="s">
        <v>353</v>
      </c>
      <c r="E99" s="203">
        <v>10</v>
      </c>
    </row>
    <row r="100" spans="1:11" ht="17.25" thickBot="1" x14ac:dyDescent="0.35">
      <c r="A100" s="157" t="s">
        <v>272</v>
      </c>
      <c r="B100" s="158" t="s">
        <v>265</v>
      </c>
      <c r="C100" s="159" t="s">
        <v>330</v>
      </c>
      <c r="D100" s="160" t="s">
        <v>265</v>
      </c>
      <c r="E100" s="203" t="e">
        <v>#N/A</v>
      </c>
    </row>
    <row r="101" spans="1:11" ht="17.25" thickBot="1" x14ac:dyDescent="0.35">
      <c r="A101" s="157" t="s">
        <v>272</v>
      </c>
      <c r="B101" s="158" t="s">
        <v>265</v>
      </c>
      <c r="C101" s="159" t="s">
        <v>331</v>
      </c>
      <c r="D101" s="160" t="s">
        <v>333</v>
      </c>
      <c r="E101" s="203">
        <v>366.96</v>
      </c>
    </row>
    <row r="102" spans="1:11" ht="17.25" thickBot="1" x14ac:dyDescent="0.35">
      <c r="A102" s="157" t="s">
        <v>272</v>
      </c>
      <c r="B102" s="158" t="s">
        <v>265</v>
      </c>
      <c r="C102" s="159" t="s">
        <v>332</v>
      </c>
      <c r="D102" s="160" t="s">
        <v>334</v>
      </c>
      <c r="E102" s="203">
        <v>1175</v>
      </c>
    </row>
    <row r="103" spans="1:11" ht="17.25" thickBot="1" x14ac:dyDescent="0.35">
      <c r="A103" s="168" t="s">
        <v>273</v>
      </c>
      <c r="B103" s="169" t="s">
        <v>266</v>
      </c>
      <c r="C103" s="170" t="s">
        <v>337</v>
      </c>
      <c r="D103" s="171" t="s">
        <v>266</v>
      </c>
      <c r="E103" s="203">
        <v>12</v>
      </c>
    </row>
    <row r="104" spans="1:11" ht="17.25" thickBot="1" x14ac:dyDescent="0.35">
      <c r="A104" s="168" t="s">
        <v>273</v>
      </c>
      <c r="B104" s="169" t="s">
        <v>266</v>
      </c>
      <c r="C104" s="170" t="s">
        <v>338</v>
      </c>
      <c r="D104" s="171" t="s">
        <v>336</v>
      </c>
      <c r="E104" s="203">
        <v>4300</v>
      </c>
      <c r="H104">
        <v>14521.41</v>
      </c>
    </row>
    <row r="105" spans="1:11" ht="17.25" thickBot="1" x14ac:dyDescent="0.35">
      <c r="A105" s="204" t="s">
        <v>352</v>
      </c>
      <c r="B105" s="205" t="s">
        <v>351</v>
      </c>
      <c r="C105" s="408" t="s">
        <v>513</v>
      </c>
      <c r="D105" s="207" t="s">
        <v>351</v>
      </c>
      <c r="E105" s="387">
        <v>47596.5</v>
      </c>
      <c r="H105">
        <f>+'R (s04)'!G28</f>
        <v>0</v>
      </c>
      <c r="I105" s="203">
        <f>+E105-H105</f>
        <v>47596.5</v>
      </c>
      <c r="K105" s="410">
        <f>(I105/1000)*H104</f>
        <v>691168.291065</v>
      </c>
    </row>
    <row r="106" spans="1:11" ht="17.25" thickBot="1" x14ac:dyDescent="0.35">
      <c r="A106" s="204" t="s">
        <v>352</v>
      </c>
      <c r="B106" s="205" t="s">
        <v>351</v>
      </c>
      <c r="C106" s="206" t="s">
        <v>362</v>
      </c>
      <c r="D106" s="207" t="s">
        <v>359</v>
      </c>
      <c r="E106" s="352">
        <v>758</v>
      </c>
      <c r="F106" t="str">
        <f>+C106&amp;" "&amp;D106</f>
        <v>4.01 BACHOCO</v>
      </c>
    </row>
    <row r="107" spans="1:11" ht="17.25" thickBot="1" x14ac:dyDescent="0.35">
      <c r="A107" s="204" t="s">
        <v>352</v>
      </c>
      <c r="B107" s="205" t="s">
        <v>351</v>
      </c>
      <c r="C107" s="206" t="s">
        <v>350</v>
      </c>
      <c r="D107" s="207" t="s">
        <v>264</v>
      </c>
      <c r="E107" s="352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4" t="s">
        <v>352</v>
      </c>
      <c r="B108" s="205" t="s">
        <v>351</v>
      </c>
      <c r="C108" s="206" t="s">
        <v>363</v>
      </c>
      <c r="D108" s="207" t="s">
        <v>360</v>
      </c>
      <c r="E108" s="352">
        <v>158</v>
      </c>
      <c r="F108" t="str">
        <f t="shared" si="0"/>
        <v>4.03 NATGAS ARCÁNGEL</v>
      </c>
    </row>
    <row r="109" spans="1:11" ht="17.25" thickBot="1" x14ac:dyDescent="0.35">
      <c r="A109" s="204" t="s">
        <v>352</v>
      </c>
      <c r="B109" s="205" t="s">
        <v>351</v>
      </c>
      <c r="C109" s="206" t="s">
        <v>364</v>
      </c>
      <c r="D109" s="207" t="s">
        <v>361</v>
      </c>
      <c r="E109" s="352">
        <v>7</v>
      </c>
      <c r="F109" t="str">
        <f t="shared" si="0"/>
        <v>4.04 VIÑEDOS</v>
      </c>
    </row>
    <row r="110" spans="1:11" ht="17.25" thickBot="1" x14ac:dyDescent="0.35">
      <c r="A110" s="238" t="s">
        <v>380</v>
      </c>
      <c r="B110" s="239" t="s">
        <v>379</v>
      </c>
      <c r="C110" s="240" t="s">
        <v>381</v>
      </c>
      <c r="D110" s="241" t="s">
        <v>367</v>
      </c>
      <c r="E110" s="203">
        <v>3</v>
      </c>
    </row>
    <row r="111" spans="1:11" ht="17.25" thickBot="1" x14ac:dyDescent="0.35">
      <c r="A111" s="238" t="s">
        <v>380</v>
      </c>
      <c r="B111" s="239" t="s">
        <v>379</v>
      </c>
      <c r="C111" s="240" t="s">
        <v>382</v>
      </c>
      <c r="D111" s="241" t="s">
        <v>368</v>
      </c>
      <c r="E111" s="203">
        <v>97</v>
      </c>
    </row>
    <row r="112" spans="1:11" ht="17.25" thickBot="1" x14ac:dyDescent="0.35">
      <c r="A112" s="238" t="s">
        <v>380</v>
      </c>
      <c r="B112" s="239" t="s">
        <v>379</v>
      </c>
      <c r="C112" s="240" t="s">
        <v>383</v>
      </c>
      <c r="D112" s="241" t="s">
        <v>369</v>
      </c>
      <c r="E112" s="203">
        <v>7</v>
      </c>
    </row>
    <row r="113" spans="1:5" ht="17.25" thickBot="1" x14ac:dyDescent="0.35">
      <c r="A113" s="238" t="s">
        <v>380</v>
      </c>
      <c r="B113" s="239" t="s">
        <v>379</v>
      </c>
      <c r="C113" s="240" t="s">
        <v>384</v>
      </c>
      <c r="D113" s="241" t="s">
        <v>370</v>
      </c>
      <c r="E113" s="203">
        <v>15.5</v>
      </c>
    </row>
    <row r="114" spans="1:5" ht="17.25" thickBot="1" x14ac:dyDescent="0.35">
      <c r="A114" s="238" t="s">
        <v>380</v>
      </c>
      <c r="B114" s="239" t="s">
        <v>379</v>
      </c>
      <c r="C114" s="240" t="s">
        <v>385</v>
      </c>
      <c r="D114" s="241" t="s">
        <v>371</v>
      </c>
      <c r="E114" s="203">
        <v>17</v>
      </c>
    </row>
    <row r="115" spans="1:5" ht="17.25" thickBot="1" x14ac:dyDescent="0.35">
      <c r="A115" s="238" t="s">
        <v>380</v>
      </c>
      <c r="B115" s="239" t="s">
        <v>379</v>
      </c>
      <c r="C115" s="240" t="s">
        <v>386</v>
      </c>
      <c r="D115" s="241" t="s">
        <v>372</v>
      </c>
      <c r="E115" s="203">
        <v>8</v>
      </c>
    </row>
    <row r="116" spans="1:5" ht="17.25" thickBot="1" x14ac:dyDescent="0.35">
      <c r="A116" s="238" t="s">
        <v>380</v>
      </c>
      <c r="B116" s="239" t="s">
        <v>379</v>
      </c>
      <c r="C116" s="240" t="s">
        <v>387</v>
      </c>
      <c r="D116" s="241" t="s">
        <v>373</v>
      </c>
      <c r="E116" s="203">
        <v>53</v>
      </c>
    </row>
    <row r="117" spans="1:5" ht="17.25" thickBot="1" x14ac:dyDescent="0.35">
      <c r="A117" s="238" t="s">
        <v>380</v>
      </c>
      <c r="B117" s="239" t="s">
        <v>379</v>
      </c>
      <c r="C117" s="240" t="s">
        <v>388</v>
      </c>
      <c r="D117" s="241" t="s">
        <v>374</v>
      </c>
      <c r="E117" s="203">
        <v>608</v>
      </c>
    </row>
    <row r="118" spans="1:5" ht="17.25" thickBot="1" x14ac:dyDescent="0.35">
      <c r="A118" s="238" t="s">
        <v>380</v>
      </c>
      <c r="B118" s="239" t="s">
        <v>379</v>
      </c>
      <c r="C118" s="240" t="s">
        <v>389</v>
      </c>
      <c r="D118" s="241" t="s">
        <v>375</v>
      </c>
      <c r="E118" s="203">
        <v>170</v>
      </c>
    </row>
    <row r="119" spans="1:5" ht="17.25" thickBot="1" x14ac:dyDescent="0.35">
      <c r="A119" s="238" t="s">
        <v>380</v>
      </c>
      <c r="B119" s="239" t="s">
        <v>379</v>
      </c>
      <c r="C119" s="240" t="s">
        <v>390</v>
      </c>
      <c r="D119" s="241" t="s">
        <v>376</v>
      </c>
      <c r="E119" s="203">
        <v>13</v>
      </c>
    </row>
    <row r="120" spans="1:5" ht="17.25" thickBot="1" x14ac:dyDescent="0.35">
      <c r="A120" s="238" t="s">
        <v>380</v>
      </c>
      <c r="B120" s="239" t="s">
        <v>379</v>
      </c>
      <c r="C120" s="240" t="s">
        <v>391</v>
      </c>
      <c r="D120" s="241" t="s">
        <v>377</v>
      </c>
      <c r="E120" s="203">
        <v>623.9</v>
      </c>
    </row>
    <row r="121" spans="1:5" ht="17.25" thickBot="1" x14ac:dyDescent="0.35">
      <c r="A121" s="238" t="s">
        <v>380</v>
      </c>
      <c r="B121" s="239" t="s">
        <v>379</v>
      </c>
      <c r="C121" s="240" t="s">
        <v>392</v>
      </c>
      <c r="D121" s="241" t="s">
        <v>378</v>
      </c>
      <c r="E121" s="203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46317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46317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09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2">
        <f ca="1">+$Q$35*Catalogo!J19</f>
        <v>-58216.799999999952</v>
      </c>
      <c r="S35" s="113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400">
        <f t="shared" ref="Q36:Q37" ca="1" si="2">+O36/1000</f>
        <v>-34.925499999999886</v>
      </c>
      <c r="R36" s="222">
        <f ca="1">+$Q$36*Catalogo!J14</f>
        <v>-272418.89999999909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0">
        <f t="shared" ca="1" si="2"/>
        <v>-3.4245000000000583</v>
      </c>
      <c r="R37" s="222">
        <f ca="1">+$Q$37*Catalogo!J16</f>
        <v>-28080.900000000478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23">
        <f ca="1">SUM(R35:R37)</f>
        <v>-358716.59999999951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3">
        <f ca="1">SUM(P35:P40)</f>
        <v>3573451.70573674</v>
      </c>
      <c r="Q41" s="138"/>
      <c r="R41" s="174" t="str">
        <f ca="1">"Ejecutdo SPIN al "&amp;TEXT(TODAY(),"mmm-aaaa")</f>
        <v>Ejecutdo SPIN al oct-2026</v>
      </c>
      <c r="S41" s="243">
        <f ca="1">+P41</f>
        <v>3573451.70573674</v>
      </c>
      <c r="T41" s="245">
        <f ca="1">+P41+R38-1500000</f>
        <v>1714735.1057367404</v>
      </c>
      <c r="U41"/>
      <c r="V41"/>
      <c r="W41" s="323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5" t="s">
        <v>394</v>
      </c>
      <c r="S42" s="243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4660498.7215632591</v>
      </c>
      <c r="P43"/>
      <c r="Q43"/>
      <c r="R43" s="174" t="str">
        <f ca="1">"Por Pagar a "&amp;TEXT(TODAY(),"mmm-aaaa")</f>
        <v>Por Pagar a oct-2026</v>
      </c>
      <c r="S43" s="243">
        <f ca="1">+S41+S42</f>
        <v>2073451.70573674</v>
      </c>
      <c r="T43"/>
      <c r="U43"/>
      <c r="V43" s="390"/>
      <c r="AA43" s="291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4"/>
      <c r="R44" s="174"/>
      <c r="S44" s="174"/>
      <c r="V44" s="390"/>
      <c r="AA44" s="291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4" t="str">
        <f ca="1">"Por Ejecutar SPIN a "&amp;TEXT(TODAY(),"mmm-aaaa")</f>
        <v>Por Ejecutar SPIN a oct-2026</v>
      </c>
      <c r="S45" s="244">
        <f ca="1">+R38</f>
        <v>-358716.59999999951</v>
      </c>
      <c r="V45" s="390"/>
      <c r="AA45" s="291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2">
        <v>156</v>
      </c>
      <c r="O46" s="212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2">
        <v>73</v>
      </c>
      <c r="O47" s="212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2">
        <v>128</v>
      </c>
      <c r="O48" s="212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2">
        <v>5</v>
      </c>
      <c r="O49" s="212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2">
        <v>5</v>
      </c>
      <c r="O50" s="212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2">
        <v>9</v>
      </c>
      <c r="O51" s="212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>
        <f t="shared" ca="1" si="11"/>
        <v>200</v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96.450605565890939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0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0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0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0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3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46317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46317</v>
      </c>
      <c r="K3" s="476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0" t="s">
        <v>81</v>
      </c>
      <c r="K38" s="221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7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0.48225302782945467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9" hidden="1" customWidth="1" outlineLevel="1"/>
    <col min="10" max="10" width="17.28515625" style="229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8" t="s">
        <v>414</v>
      </c>
      <c r="J1" s="228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8">
        <f ca="1">+C2*Catalogo!$F$19+EV!D2*Catalogo!$F$14+EV!E2*Catalogo!$F$16+EV!F2*Catalogo!$F$18</f>
        <v>0</v>
      </c>
      <c r="J2" s="228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8">
        <f ca="1">+C3*Catalogo!$F$19+EV!D3*Catalogo!$F$14+EV!E3*Catalogo!$F$16+EV!F3*Catalogo!$F$18</f>
        <v>0</v>
      </c>
      <c r="J3" s="228">
        <f ca="1">IF(TODAY()&gt;=$A3,SUMIFS(Tabla1[EV],Tabla1[Fecha],"&lt;="&amp;A3,Tabla1[EV],"&gt;0"),NA())</f>
        <v>0</v>
      </c>
      <c r="O3" s="64"/>
      <c r="Y3" s="64"/>
      <c r="AD3" s="64">
        <f ca="1">+TODAY()</f>
        <v>46317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8">
        <f ca="1">+C4*Catalogo!$F$19+EV!D4*Catalogo!$F$14+EV!E4*Catalogo!$F$16+EV!F4*Catalogo!$F$18</f>
        <v>2483.1620000000003</v>
      </c>
      <c r="J4" s="228">
        <f ca="1">IF(TODAY()&gt;=$A4,SUMIFS(Tabla1[EV],Tabla1[Fecha],"&lt;="&amp;A4,Tabla1[EV],"&gt;0"),NA())</f>
        <v>2483.1620000000003</v>
      </c>
      <c r="AD4" s="64">
        <f ca="1">+TODAY()</f>
        <v>46317</v>
      </c>
      <c r="AE4" s="344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8">
        <f ca="1">+C5*Catalogo!$F$19+EV!D5*Catalogo!$F$14+EV!E5*Catalogo!$F$16+EV!F5*Catalogo!$F$18</f>
        <v>9029.68</v>
      </c>
      <c r="J5" s="228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8">
        <f ca="1">+C6*Catalogo!$F$19+EV!D6*Catalogo!$F$14+EV!E6*Catalogo!$F$16+EV!F6*Catalogo!$F$18</f>
        <v>18059.36</v>
      </c>
      <c r="J6" s="228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8">
        <f ca="1">+C7*Catalogo!$F$19+EV!D7*Catalogo!$F$14+EV!E7*Catalogo!$F$16+EV!F7*Catalogo!$F$18</f>
        <v>30475.170000000002</v>
      </c>
      <c r="J7" s="228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8">
        <f ca="1">+C8*Catalogo!$F$19+EV!D8*Catalogo!$F$14+EV!E8*Catalogo!$F$16+EV!F8*Catalogo!$F$18</f>
        <v>39504.85</v>
      </c>
      <c r="J8" s="228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8">
        <f ca="1">+C9*Catalogo!$F$19+EV!D9*Catalogo!$F$14+EV!E9*Catalogo!$F$16+EV!F9*Catalogo!$F$18</f>
        <v>46277.11</v>
      </c>
      <c r="J9" s="228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8">
        <f ca="1">+C10*Catalogo!$F$19+EV!D10*Catalogo!$F$14+EV!E10*Catalogo!$F$16+EV!F10*Catalogo!$F$18</f>
        <v>46277.11</v>
      </c>
      <c r="J10" s="228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8">
        <f ca="1">+C11*Catalogo!$F$19+EV!D11*Catalogo!$F$14+EV!E11*Catalogo!$F$16+EV!F11*Catalogo!$F$18</f>
        <v>58692.92</v>
      </c>
      <c r="J11" s="228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8">
        <f ca="1">+C12*Catalogo!$F$19+EV!D12*Catalogo!$F$14+EV!E12*Catalogo!$F$16+EV!F12*Catalogo!$F$18</f>
        <v>71199.026800000007</v>
      </c>
      <c r="J12" s="228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8">
        <f ca="1">+C13*Catalogo!$F$19+EV!D13*Catalogo!$F$14+EV!E13*Catalogo!$F$16+EV!F13*Catalogo!$F$18</f>
        <v>80786.289539999998</v>
      </c>
      <c r="J13" s="228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8">
        <f ca="1">+C14*Catalogo!$F$19+EV!D14*Catalogo!$F$14+EV!E14*Catalogo!$F$16+EV!F14*Catalogo!$F$18</f>
        <v>93522.653180000008</v>
      </c>
      <c r="J14" s="228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8">
        <f ca="1">+C15*Catalogo!$F$19+EV!D15*Catalogo!$F$14+EV!E15*Catalogo!$F$16+EV!F15*Catalogo!$F$18</f>
        <v>107067.17318000001</v>
      </c>
      <c r="J15" s="228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8">
        <f ca="1">+C16*Catalogo!$F$19+EV!D16*Catalogo!$F$14+EV!E16*Catalogo!$F$16+EV!F16*Catalogo!$F$18</f>
        <v>118354.27318</v>
      </c>
      <c r="J16" s="228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8">
        <f ca="1">+C17*Catalogo!$F$19+EV!D17*Catalogo!$F$14+EV!E17*Catalogo!$F$16+EV!F17*Catalogo!$F$18</f>
        <v>127383.95318000001</v>
      </c>
      <c r="J17" s="228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8">
        <f ca="1">+C18*Catalogo!$F$19+EV!D18*Catalogo!$F$14+EV!E18*Catalogo!$F$16+EV!F18*Catalogo!$F$18</f>
        <v>199991.00318</v>
      </c>
      <c r="J18" s="228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8">
        <f ca="1">+C19*Catalogo!$F$19+EV!D19*Catalogo!$F$14+EV!E19*Catalogo!$F$16+EV!F19*Catalogo!$F$18</f>
        <v>258076.64318000001</v>
      </c>
      <c r="J19" s="228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8">
        <f ca="1">+C20*Catalogo!$F$19+EV!D20*Catalogo!$F$14+EV!E20*Catalogo!$F$16+EV!F20*Catalogo!$F$18</f>
        <v>394576.58918000001</v>
      </c>
      <c r="J20" s="228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8">
        <f ca="1">+C21*Catalogo!$F$19+EV!D21*Catalogo!$F$14+EV!E21*Catalogo!$F$16+EV!F21*Catalogo!$F$18</f>
        <v>516422.23818000004</v>
      </c>
      <c r="J21" s="228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8">
        <f ca="1">+C22*Catalogo!$F$19+EV!D22*Catalogo!$F$14+EV!E22*Catalogo!$F$16+EV!F22*Catalogo!$F$18</f>
        <v>649663.27483000001</v>
      </c>
      <c r="J22" s="228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8">
        <f ca="1">+C23*Catalogo!$F$19+EV!D23*Catalogo!$F$14+EV!E23*Catalogo!$F$16+EV!F23*Catalogo!$F$18</f>
        <v>718068.42393000005</v>
      </c>
      <c r="J23" s="228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8">
        <f ca="1">+C24*Catalogo!$F$19+EV!D24*Catalogo!$F$14+EV!E24*Catalogo!$F$16+EV!F24*Catalogo!$F$18</f>
        <v>762335.51099999994</v>
      </c>
      <c r="J24" s="228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8">
        <f ca="1">+C25*Catalogo!$F$19+EV!D25*Catalogo!$F$14+EV!E25*Catalogo!$F$16+EV!F25*Catalogo!$F$18</f>
        <v>838512.75800000003</v>
      </c>
      <c r="J25" s="228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8">
        <f ca="1">+C26*Catalogo!$F$19+EV!D26*Catalogo!$F$14+EV!E26*Catalogo!$F$16+EV!F26*Catalogo!$F$18</f>
        <v>1007093.4280000001</v>
      </c>
      <c r="J26" s="228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8">
        <f ca="1">+C27*Catalogo!$F$19+EV!D27*Catalogo!$F$14+EV!E27*Catalogo!$F$16+EV!F27*Catalogo!$F$18</f>
        <v>1225656.9879999999</v>
      </c>
      <c r="J27" s="228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8">
        <f ca="1">+C28*Catalogo!$F$19+EV!D28*Catalogo!$F$14+EV!E28*Catalogo!$F$16+EV!F28*Catalogo!$F$18</f>
        <v>1355814.4382</v>
      </c>
      <c r="J28" s="228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8">
        <f ca="1">+C29*Catalogo!$F$19+EV!D29*Catalogo!$F$14+EV!E29*Catalogo!$F$16+EV!F29*Catalogo!$F$18</f>
        <v>1584530.7382</v>
      </c>
      <c r="J29" s="228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8">
        <f ca="1">+C30*Catalogo!$F$19+EV!D30*Catalogo!$F$14+EV!E30*Catalogo!$F$16+EV!F30*Catalogo!$F$18</f>
        <v>1796316.4832000001</v>
      </c>
      <c r="J30" s="228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8">
        <f ca="1">+C31*Catalogo!$F$19+EV!D31*Catalogo!$F$14+EV!E31*Catalogo!$F$16+EV!F31*Catalogo!$F$18</f>
        <v>1796316.4832000001</v>
      </c>
      <c r="J31" s="228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8">
        <f ca="1">+C32*Catalogo!$F$19+EV!D32*Catalogo!$F$14+EV!E32*Catalogo!$F$16+EV!F32*Catalogo!$F$18</f>
        <v>2018486.6132299998</v>
      </c>
      <c r="J32" s="228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8">
        <f ca="1">+C33*Catalogo!$F$19+EV!D33*Catalogo!$F$14+EV!E33*Catalogo!$F$16+EV!F33*Catalogo!$F$18</f>
        <v>2180836.3220200003</v>
      </c>
      <c r="J33" s="228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8">
        <f ca="1">+C34*Catalogo!$F$19+EV!D34*Catalogo!$F$14+EV!E34*Catalogo!$F$16+EV!F34*Catalogo!$F$18</f>
        <v>2265476.2182900002</v>
      </c>
      <c r="J34" s="228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8">
        <f ca="1">+C35*Catalogo!$F$19+EV!D35*Catalogo!$F$14+EV!E35*Catalogo!$F$16+EV!F35*Catalogo!$F$18</f>
        <v>2368530.4988900009</v>
      </c>
      <c r="J35" s="228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09">
        <f ca="1">+$M$42-M35*1000</f>
        <v>-82044.499999999956</v>
      </c>
      <c r="Q35" s="74">
        <f ca="1">+$M$35*Catalogo!J19</f>
        <v>291016.8</v>
      </c>
      <c r="R35" s="117"/>
      <c r="S35"/>
      <c r="T35" s="113"/>
      <c r="U35"/>
      <c r="V35"/>
      <c r="W35"/>
      <c r="X35"/>
      <c r="Y35"/>
      <c r="Z35"/>
      <c r="AA35"/>
      <c r="AB35"/>
      <c r="AC35" s="435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8">
        <f ca="1">+C36*Catalogo!$F$19+EV!D36*Catalogo!$F$14+EV!E36*Catalogo!$F$16+EV!F36*Catalogo!$F$18</f>
        <v>2448754.3418900007</v>
      </c>
      <c r="J36" s="228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8">
        <f ca="1">+C37*Catalogo!$F$19+EV!D37*Catalogo!$F$14+EV!E37*Catalogo!$F$16+EV!F37*Catalogo!$F$18</f>
        <v>2481565.9115400007</v>
      </c>
      <c r="J37" s="228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8">
        <f ca="1">+C38*Catalogo!$F$19+EV!D38*Catalogo!$F$14+EV!E38*Catalogo!$F$16+EV!F38*Catalogo!$F$18</f>
        <v>2481565.9115400007</v>
      </c>
      <c r="J38" s="228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8">
        <f ca="1">+C39*Catalogo!$F$19+EV!D39*Catalogo!$F$14+EV!E39*Catalogo!$F$16+EV!F39*Catalogo!$F$18</f>
        <v>2548570.3030200005</v>
      </c>
      <c r="J39" s="228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8">
        <f ca="1">+C40*Catalogo!$F$19+EV!D40*Catalogo!$F$14+EV!E40*Catalogo!$F$16+EV!F40*Catalogo!$F$18</f>
        <v>2694856.3660200005</v>
      </c>
      <c r="J40" s="228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8">
        <f ca="1">+C41*Catalogo!$F$19+EV!D41*Catalogo!$F$14+EV!E41*Catalogo!$F$16+EV!F41*Catalogo!$F$18</f>
        <v>2841142.4290200006</v>
      </c>
      <c r="J41" s="228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38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8">
        <f ca="1">+C42*Catalogo!$F$19+EV!D42*Catalogo!$F$14+EV!E42*Catalogo!$F$16+EV!F42*Catalogo!$F$18</f>
        <v>2909393.0560200005</v>
      </c>
      <c r="J42" s="228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8">
        <f ca="1">+C43*Catalogo!$F$19+EV!D43*Catalogo!$F$14+EV!E43*Catalogo!$F$16+EV!F43*Catalogo!$F$18</f>
        <v>2978006.7182700005</v>
      </c>
      <c r="J43" s="228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38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8">
        <f ca="1">+C44*Catalogo!$F$19+EV!D44*Catalogo!$F$14+EV!E44*Catalogo!$F$16+EV!F44*Catalogo!$F$18</f>
        <v>3012117.5103600007</v>
      </c>
      <c r="J44" s="228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8">
        <f ca="1">+C45*Catalogo!$F$19+EV!D45*Catalogo!$F$14+EV!E45*Catalogo!$F$16+EV!F45*Catalogo!$F$18</f>
        <v>3012117.5103600007</v>
      </c>
      <c r="J45" s="228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8">
        <f ca="1">+C46*Catalogo!$F$19+EV!D46*Catalogo!$F$14+EV!E46*Catalogo!$F$16+EV!F46*Catalogo!$F$18</f>
        <v>3153692.5100800004</v>
      </c>
      <c r="J46" s="228">
        <f ca="1">IF(TODAY()&gt;=$A46,SUMIFS(Tabla1[EV],Tabla1[Fecha],"&lt;="&amp;A46,Tabla1[EV],"&gt;0"),NA())</f>
        <v>3153692.5100799999</v>
      </c>
      <c r="L46" s="479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8">
        <f ca="1">+C47*Catalogo!$F$19+EV!D47*Catalogo!$F$14+EV!E47*Catalogo!$F$16+EV!F47*Catalogo!$F$18</f>
        <v>3157831.1119300006</v>
      </c>
      <c r="J47" s="228">
        <f ca="1">IF(TODAY()&gt;=$A47,SUMIFS(Tabla1[EV],Tabla1[Fecha],"&lt;="&amp;A47,Tabla1[EV],"&gt;0"),NA())</f>
        <v>3157831.1119299997</v>
      </c>
      <c r="L47" s="95" t="s">
        <v>570</v>
      </c>
      <c r="M47" s="227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8">
        <f ca="1">+C48*Catalogo!$F$19+EV!D48*Catalogo!$F$14+EV!E48*Catalogo!$F$16+EV!F48*Catalogo!$F$18</f>
        <v>3171270.7062100004</v>
      </c>
      <c r="J48" s="228">
        <f ca="1">IF(TODAY()&gt;=$A48,SUMIFS(Tabla1[EV],Tabla1[Fecha],"&lt;="&amp;A48,Tabla1[EV],"&gt;0"),NA())</f>
        <v>3171270.706209999</v>
      </c>
      <c r="L48" s="480" t="s">
        <v>583</v>
      </c>
      <c r="M48" s="227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8">
        <f ca="1">+C49*Catalogo!$F$19+EV!D49*Catalogo!$F$14+EV!E49*Catalogo!$F$16+EV!F49*Catalogo!$F$18</f>
        <v>3182557.8062100005</v>
      </c>
      <c r="J49" s="228">
        <f ca="1">IF(TODAY()&gt;=$A49,SUMIFS(Tabla1[EV],Tabla1[Fecha],"&lt;="&amp;A49,Tabla1[EV],"&gt;0"),NA())</f>
        <v>3182557.8062099991</v>
      </c>
      <c r="L49" s="480" t="s">
        <v>584</v>
      </c>
      <c r="M49" s="227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8">
        <f ca="1">+C50*Catalogo!$F$19+EV!D50*Catalogo!$F$14+EV!E50*Catalogo!$F$16+EV!F50*Catalogo!$F$18</f>
        <v>3266375.3847300005</v>
      </c>
      <c r="J50" s="228">
        <f ca="1">IF(TODAY()&gt;=$A50,SUMIFS(Tabla1[EV],Tabla1[Fecha],"&lt;="&amp;A50,Tabla1[EV],"&gt;0"),NA())</f>
        <v>3266375.3847299996</v>
      </c>
      <c r="L50" s="95" t="s">
        <v>571</v>
      </c>
      <c r="M50" s="227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8">
        <f ca="1">+C51*Catalogo!$F$19+EV!D51*Catalogo!$F$14+EV!E51*Catalogo!$F$16+EV!F51*Catalogo!$F$18</f>
        <v>3297915.8872500006</v>
      </c>
      <c r="J51" s="228">
        <f ca="1">IF(TODAY()&gt;=$A51,SUMIFS(Tabla1[EV],Tabla1[Fecha],"&lt;="&amp;A51,Tabla1[EV],"&gt;0"),NA())</f>
        <v>3297915.8872499997</v>
      </c>
      <c r="L51" s="480" t="s">
        <v>573</v>
      </c>
      <c r="M51" s="227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8">
        <f ca="1">+C52*Catalogo!$F$19+EV!D52*Catalogo!$F$14+EV!E52*Catalogo!$F$16+EV!F52*Catalogo!$F$18</f>
        <v>3297915.8872500006</v>
      </c>
      <c r="J52" s="228">
        <f ca="1">IF(TODAY()&gt;=$A52,SUMIFS(Tabla1[EV],Tabla1[Fecha],"&lt;="&amp;A52,Tabla1[EV],"&gt;0"),NA())</f>
        <v>3297915.8872499997</v>
      </c>
      <c r="L52" s="480" t="s">
        <v>574</v>
      </c>
      <c r="M52" s="227">
        <v>4782002.5607600007</v>
      </c>
      <c r="N52"/>
    </row>
    <row r="53" spans="1:97" x14ac:dyDescent="0.25">
      <c r="A53" s="62">
        <f t="shared" si="0"/>
        <v>46013</v>
      </c>
      <c r="B53" s="326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8">
        <f ca="1">+C53*Catalogo!$F$19+EV!D53*Catalogo!$F$14+EV!E53*Catalogo!$F$16+EV!F53*Catalogo!$F$18</f>
        <v>3334945.4827500004</v>
      </c>
      <c r="J53" s="228">
        <f ca="1">IF(TODAY()&gt;=$A53,SUMIFS(Tabla1[EV],Tabla1[Fecha],"&lt;="&amp;A53,Tabla1[EV],"&gt;0"),NA())</f>
        <v>3334945.4827499995</v>
      </c>
      <c r="L53" s="480" t="s">
        <v>575</v>
      </c>
      <c r="M53" s="227">
        <v>6294812.4527599998</v>
      </c>
      <c r="N53"/>
    </row>
    <row r="54" spans="1:97" x14ac:dyDescent="0.25">
      <c r="A54" s="62">
        <f t="shared" si="0"/>
        <v>46014</v>
      </c>
      <c r="B54" s="326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8">
        <f ca="1">+C54*Catalogo!$F$19+EV!D54*Catalogo!$F$14+EV!E54*Catalogo!$F$16+EV!F54*Catalogo!$F$18</f>
        <v>3334945.4827500004</v>
      </c>
      <c r="J54" s="228">
        <f ca="1">IF(TODAY()&gt;=$A54,SUMIFS(Tabla1[EV],Tabla1[Fecha],"&lt;="&amp;A54,Tabla1[EV],"&gt;0"),NA())</f>
        <v>3334945.4827499995</v>
      </c>
      <c r="L54" s="480" t="s">
        <v>576</v>
      </c>
      <c r="M54" s="227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6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8">
        <f ca="1">+C55*Catalogo!$F$19+EV!D55*Catalogo!$F$14+EV!E55*Catalogo!$F$16+EV!F55*Catalogo!$F$18</f>
        <v>3334945.4827500004</v>
      </c>
      <c r="J55" s="228">
        <f ca="1">IF(TODAY()&gt;=$A55,SUMIFS(Tabla1[EV],Tabla1[Fecha],"&lt;="&amp;A55,Tabla1[EV],"&gt;0"),NA())</f>
        <v>3334945.4827499995</v>
      </c>
      <c r="L55" s="480" t="s">
        <v>577</v>
      </c>
      <c r="M55" s="227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6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8">
        <f ca="1">+C56*Catalogo!$F$19+EV!D56*Catalogo!$F$14+EV!E56*Catalogo!$F$16+EV!F56*Catalogo!$F$18</f>
        <v>3334945.4827500004</v>
      </c>
      <c r="J56" s="228">
        <f ca="1">IF(TODAY()&gt;=$A56,SUMIFS(Tabla1[EV],Tabla1[Fecha],"&lt;="&amp;A56,Tabla1[EV],"&gt;0"),NA())</f>
        <v>3334945.4827499995</v>
      </c>
      <c r="L56" s="480" t="s">
        <v>578</v>
      </c>
      <c r="M56" s="227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6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8">
        <f ca="1">+C57*Catalogo!$F$19+EV!D57*Catalogo!$F$14+EV!E57*Catalogo!$F$16+EV!F57*Catalogo!$F$18</f>
        <v>3334945.4827500004</v>
      </c>
      <c r="J57" s="228">
        <f ca="1">IF(TODAY()&gt;=$A57,SUMIFS(Tabla1[EV],Tabla1[Fecha],"&lt;="&amp;A57,Tabla1[EV],"&gt;0"),NA())</f>
        <v>3334945.4827499995</v>
      </c>
      <c r="L57" s="480" t="s">
        <v>579</v>
      </c>
      <c r="M57" s="227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6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8">
        <f ca="1">+C58*Catalogo!$F$19+EV!D58*Catalogo!$F$14+EV!E58*Catalogo!$F$16+EV!F58*Catalogo!$F$18</f>
        <v>3334945.4827500004</v>
      </c>
      <c r="J58" s="228">
        <f ca="1">IF(TODAY()&gt;=$A58,SUMIFS(Tabla1[EV],Tabla1[Fecha],"&lt;="&amp;A58,Tabla1[EV],"&gt;0"),NA())</f>
        <v>3334945.4827499995</v>
      </c>
      <c r="L58" s="480" t="s">
        <v>580</v>
      </c>
      <c r="M58" s="227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6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8">
        <f ca="1">+C59*Catalogo!$F$19+EV!D59*Catalogo!$F$14+EV!E59*Catalogo!$F$16+EV!F59*Catalogo!$F$18</f>
        <v>3334945.4827500004</v>
      </c>
      <c r="J59" s="228">
        <f ca="1">IF(TODAY()&gt;=$A59,SUMIFS(Tabla1[EV],Tabla1[Fecha],"&lt;="&amp;A59,Tabla1[EV],"&gt;0"),NA())</f>
        <v>3334945.4827499995</v>
      </c>
      <c r="L59" s="480" t="s">
        <v>581</v>
      </c>
      <c r="M59" s="227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6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8">
        <f ca="1">+C60*Catalogo!$F$19+EV!D60*Catalogo!$F$14+EV!E60*Catalogo!$F$16+EV!F60*Catalogo!$F$18</f>
        <v>3334945.4827500004</v>
      </c>
      <c r="J60" s="228">
        <f ca="1">IF(TODAY()&gt;=$A60,SUMIFS(Tabla1[EV],Tabla1[Fecha],"&lt;="&amp;A60,Tabla1[EV],"&gt;0"),NA())</f>
        <v>3334945.4827499995</v>
      </c>
      <c r="L60" s="480" t="s">
        <v>582</v>
      </c>
      <c r="M60" s="227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6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8">
        <f ca="1">+C61*Catalogo!$F$19+EV!D61*Catalogo!$F$14+EV!E61*Catalogo!$F$16+EV!F61*Catalogo!$F$18</f>
        <v>3334945.4827500004</v>
      </c>
      <c r="J61" s="228">
        <f ca="1">IF(TODAY()&gt;=$A61,SUMIFS(Tabla1[EV],Tabla1[Fecha],"&lt;="&amp;A61,Tabla1[EV],"&gt;0"),NA())</f>
        <v>3334945.4827499995</v>
      </c>
      <c r="L61" s="480" t="s">
        <v>583</v>
      </c>
      <c r="M61" s="227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6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8">
        <f ca="1">+C62*Catalogo!$F$19+EV!D62*Catalogo!$F$14+EV!E62*Catalogo!$F$16+EV!F62*Catalogo!$F$18</f>
        <v>3334945.4827500004</v>
      </c>
      <c r="J62" s="228">
        <f ca="1">IF(TODAY()&gt;=$A62,SUMIFS(Tabla1[EV],Tabla1[Fecha],"&lt;="&amp;A62,Tabla1[EV],"&gt;0"),NA())</f>
        <v>3334945.4827499995</v>
      </c>
      <c r="L62" s="480" t="s">
        <v>584</v>
      </c>
      <c r="M62" s="227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6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8">
        <f ca="1">+C63*Catalogo!$F$19+EV!D63*Catalogo!$F$14+EV!E63*Catalogo!$F$16+EV!F63*Catalogo!$F$18</f>
        <v>3334945.4827500004</v>
      </c>
      <c r="J63" s="228">
        <f ca="1">IF(TODAY()&gt;=$A63,SUMIFS(Tabla1[EV],Tabla1[Fecha],"&lt;="&amp;A63,Tabla1[EV],"&gt;0"),NA())</f>
        <v>3334945.4827499995</v>
      </c>
      <c r="L63" s="95" t="s">
        <v>572</v>
      </c>
      <c r="M63" s="227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6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8">
        <f ca="1">+C64*Catalogo!$F$19+EV!D64*Catalogo!$F$14+EV!E64*Catalogo!$F$16+EV!F64*Catalogo!$F$18</f>
        <v>3334945.4827500004</v>
      </c>
      <c r="J64" s="228">
        <f ca="1">IF(TODAY()&gt;=$A64,SUMIFS(Tabla1[EV],Tabla1[Fecha],"&lt;="&amp;A64,Tabla1[EV],"&gt;0"),NA())</f>
        <v>3334945.4827499995</v>
      </c>
      <c r="L64" s="95" t="s">
        <v>569</v>
      </c>
      <c r="M64" s="227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6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8">
        <f ca="1">+C65*Catalogo!$F$19+EV!D65*Catalogo!$F$14+EV!E65*Catalogo!$F$16+EV!F65*Catalogo!$F$18</f>
        <v>3334945.4827500004</v>
      </c>
      <c r="J65" s="228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6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8">
        <f ca="1">+C66*Catalogo!$F$19+EV!D66*Catalogo!$F$14+EV!E66*Catalogo!$F$16+EV!F66*Catalogo!$F$18</f>
        <v>3334945.4827500004</v>
      </c>
      <c r="J66" s="228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6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8">
        <f ca="1">+C67*Catalogo!$F$19+EV!D67*Catalogo!$F$14+EV!E67*Catalogo!$F$16+EV!F67*Catalogo!$F$18</f>
        <v>3346188.3561500004</v>
      </c>
      <c r="J67" s="228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8">
        <f ca="1">+C68*Catalogo!$F$19+EV!D68*Catalogo!$F$14+EV!E68*Catalogo!$F$16+EV!F68*Catalogo!$F$18</f>
        <v>3424987.6555900006</v>
      </c>
      <c r="J68" s="228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8">
        <f ca="1">+C69*Catalogo!$F$19+EV!D69*Catalogo!$F$14+EV!E69*Catalogo!$F$16+EV!F69*Catalogo!$F$18</f>
        <v>3578411.7035900005</v>
      </c>
      <c r="J69" s="228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8">
        <f ca="1">+C70*Catalogo!$F$19+EV!D70*Catalogo!$F$14+EV!E70*Catalogo!$F$16+EV!F70*Catalogo!$F$18</f>
        <v>3692639.4340100004</v>
      </c>
      <c r="J70" s="228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8">
        <f ca="1">+C71*Catalogo!$F$19+EV!D71*Catalogo!$F$14+EV!E71*Catalogo!$F$16+EV!F71*Catalogo!$F$18</f>
        <v>3759027.7985600005</v>
      </c>
      <c r="J71" s="228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8">
        <f ca="1">+C72*Catalogo!$F$19+EV!D72*Catalogo!$F$14+EV!E72*Catalogo!$F$16+EV!F72*Catalogo!$F$18</f>
        <v>3776395.4049200006</v>
      </c>
      <c r="J72" s="228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8">
        <f ca="1">+C73*Catalogo!$F$19+EV!D73*Catalogo!$F$14+EV!E73*Catalogo!$F$16+EV!F73*Catalogo!$F$18</f>
        <v>3792978.8551400006</v>
      </c>
      <c r="J73" s="228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8">
        <f ca="1">+C74*Catalogo!$F$19+EV!D74*Catalogo!$F$14+EV!E74*Catalogo!$F$16+EV!F74*Catalogo!$F$18</f>
        <v>3882519.93114</v>
      </c>
      <c r="J74" s="228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8">
        <f ca="1">+C75*Catalogo!$F$19+EV!D75*Catalogo!$F$14+EV!E75*Catalogo!$F$16+EV!F75*Catalogo!$F$18</f>
        <v>3925315.7032100004</v>
      </c>
      <c r="J75" s="228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8">
        <f ca="1">+C76*Catalogo!$F$19+EV!D76*Catalogo!$F$14+EV!E76*Catalogo!$F$16+EV!F76*Catalogo!$F$18</f>
        <v>4013952.0482100006</v>
      </c>
      <c r="J76" s="228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8">
        <f ca="1">+C77*Catalogo!$F$19+EV!D77*Catalogo!$F$14+EV!E77*Catalogo!$F$16+EV!F77*Catalogo!$F$18</f>
        <v>4080984.9387100004</v>
      </c>
      <c r="J77" s="228">
        <f ca="1">IF(TODAY()&gt;=$A77,SUMIFS(Tabla1[EV],Tabla1[Fecha],"&lt;="&amp;A77,Tabla1[EV],"&gt;0"),NA())</f>
        <v>4080984.9387099999</v>
      </c>
      <c r="L77"/>
      <c r="M77" s="225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8">
        <f ca="1">+C78*Catalogo!$F$19+EV!D78*Catalogo!$F$14+EV!E78*Catalogo!$F$16+EV!F78*Catalogo!$F$18</f>
        <v>4183061.3641500007</v>
      </c>
      <c r="J78" s="228">
        <f ca="1">IF(TODAY()&gt;=$A78,SUMIFS(Tabla1[EV],Tabla1[Fecha],"&lt;="&amp;A78,Tabla1[EV],"&gt;0"),NA())</f>
        <v>4183061.3641500003</v>
      </c>
      <c r="L78"/>
      <c r="M78" s="225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8">
        <f ca="1">+C79*Catalogo!$F$19+EV!D79*Catalogo!$F$14+EV!E79*Catalogo!$F$16+EV!F79*Catalogo!$F$18</f>
        <v>4237946.5797000006</v>
      </c>
      <c r="J79" s="228">
        <f ca="1">IF(TODAY()&gt;=$A79,SUMIFS(Tabla1[EV],Tabla1[Fecha],"&lt;="&amp;A79,Tabla1[EV],"&gt;0"),NA())</f>
        <v>4237946.5797000006</v>
      </c>
      <c r="L79"/>
      <c r="M79" s="225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8">
        <f ca="1">+C80*Catalogo!$F$19+EV!D80*Catalogo!$F$14+EV!E80*Catalogo!$F$16+EV!F80*Catalogo!$F$18</f>
        <v>4290804.5121000009</v>
      </c>
      <c r="J80" s="228">
        <f ca="1">IF(TODAY()&gt;=$A80,SUMIFS(Tabla1[EV],Tabla1[Fecha],"&lt;="&amp;A80,Tabla1[EV],"&gt;0"),NA())</f>
        <v>4290804.5121000009</v>
      </c>
      <c r="L80"/>
      <c r="M80" s="225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8">
        <f ca="1">+C81*Catalogo!$F$19+EV!D81*Catalogo!$F$14+EV!E81*Catalogo!$F$16+EV!F81*Catalogo!$F$18</f>
        <v>4391359.5621000007</v>
      </c>
      <c r="J81" s="228">
        <f ca="1">IF(TODAY()&gt;=$A81,SUMIFS(Tabla1[EV],Tabla1[Fecha],"&lt;="&amp;A81,Tabla1[EV],"&gt;0"),NA())</f>
        <v>4391359.5621000007</v>
      </c>
      <c r="L81"/>
      <c r="M81" s="225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8">
        <f ca="1">+C82*Catalogo!$F$19+EV!D82*Catalogo!$F$14+EV!E82*Catalogo!$F$16+EV!F82*Catalogo!$F$18</f>
        <v>4460600.5607600007</v>
      </c>
      <c r="J82" s="228">
        <f ca="1">IF(TODAY()&gt;=$A82,SUMIFS(Tabla1[EV],Tabla1[Fecha],"&lt;="&amp;A82,Tabla1[EV],"&gt;0"),NA())</f>
        <v>4460600.5607600007</v>
      </c>
      <c r="L82"/>
      <c r="M82" s="225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8">
        <f ca="1">+C83*Catalogo!$F$19+EV!D83*Catalogo!$F$14+EV!E83*Catalogo!$F$16+EV!F83*Catalogo!$F$18</f>
        <v>4469916.5607600007</v>
      </c>
      <c r="J83" s="228">
        <f ca="1">IF(TODAY()&gt;=$A83,SUMIFS(Tabla1[EV],Tabla1[Fecha],"&lt;="&amp;A83,Tabla1[EV],"&gt;0"),NA())</f>
        <v>4469916.5607600007</v>
      </c>
      <c r="L83"/>
      <c r="M83" s="225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8">
        <f ca="1">+C84*Catalogo!$F$19+EV!D84*Catalogo!$F$14+EV!E84*Catalogo!$F$16+EV!F84*Catalogo!$F$18</f>
        <v>4497864.5607600007</v>
      </c>
      <c r="J84" s="228">
        <f ca="1">IF(TODAY()&gt;=$A84,SUMIFS(Tabla1[EV],Tabla1[Fecha],"&lt;="&amp;A84,Tabla1[EV],"&gt;0"),NA())</f>
        <v>4497864.5607600007</v>
      </c>
      <c r="L84"/>
      <c r="M84" s="225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8">
        <f ca="1">+C85*Catalogo!$F$19+EV!D85*Catalogo!$F$14+EV!E85*Catalogo!$F$16+EV!F85*Catalogo!$F$18</f>
        <v>4539786.5607600007</v>
      </c>
      <c r="J85" s="228">
        <f ca="1">IF(TODAY()&gt;=$A85,SUMIFS(Tabla1[EV],Tabla1[Fecha],"&lt;="&amp;A85,Tabla1[EV],"&gt;0"),NA())</f>
        <v>4539786.5607600007</v>
      </c>
      <c r="L85"/>
      <c r="M85" s="225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8">
        <f ca="1">+C86*Catalogo!$F$19+EV!D86*Catalogo!$F$14+EV!E86*Catalogo!$F$16+EV!F86*Catalogo!$F$18</f>
        <v>4539786.5607600007</v>
      </c>
      <c r="J86" s="228">
        <f ca="1">IF(TODAY()&gt;=$A86,SUMIFS(Tabla1[EV],Tabla1[Fecha],"&lt;="&amp;A86,Tabla1[EV],"&gt;0"),NA())</f>
        <v>4539786.5607600007</v>
      </c>
      <c r="L86"/>
      <c r="M86" s="225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8">
        <f ca="1">+C87*Catalogo!$F$19+EV!D87*Catalogo!$F$14+EV!E87*Catalogo!$F$16+EV!F87*Catalogo!$F$18</f>
        <v>4539786.5607600007</v>
      </c>
      <c r="J87" s="228">
        <f ca="1">IF(TODAY()&gt;=$A87,SUMIFS(Tabla1[EV],Tabla1[Fecha],"&lt;="&amp;A87,Tabla1[EV],"&gt;0"),NA())</f>
        <v>4539786.5607600007</v>
      </c>
      <c r="L87"/>
      <c r="M87" s="225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8">
        <f ca="1">+C88*Catalogo!$F$19+EV!D88*Catalogo!$F$14+EV!E88*Catalogo!$F$16+EV!F88*Catalogo!$F$18</f>
        <v>4577050.5607600007</v>
      </c>
      <c r="J88" s="228">
        <f ca="1">IF(TODAY()&gt;=$A88,SUMIFS(Tabla1[EV],Tabla1[Fecha],"&lt;="&amp;A88,Tabla1[EV],"&gt;0"),NA())</f>
        <v>4577050.5607600007</v>
      </c>
      <c r="L88"/>
      <c r="M88" s="225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8">
        <f ca="1">+C89*Catalogo!$F$19+EV!D89*Catalogo!$F$14+EV!E89*Catalogo!$F$16+EV!F89*Catalogo!$F$18</f>
        <v>4623630.5607600007</v>
      </c>
      <c r="J89" s="228">
        <f ca="1">IF(TODAY()&gt;=$A89,SUMIFS(Tabla1[EV],Tabla1[Fecha],"&lt;="&amp;A89,Tabla1[EV],"&gt;0"),NA())</f>
        <v>4623630.5607600007</v>
      </c>
      <c r="L89"/>
      <c r="M89" s="225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8">
        <f ca="1">+C90*Catalogo!$F$19+EV!D90*Catalogo!$F$14+EV!E90*Catalogo!$F$16+EV!F90*Catalogo!$F$18</f>
        <v>4656236.5607600007</v>
      </c>
      <c r="J90" s="228">
        <f ca="1">IF(TODAY()&gt;=$A90,SUMIFS(Tabla1[EV],Tabla1[Fecha],"&lt;="&amp;A90,Tabla1[EV],"&gt;0"),NA())</f>
        <v>4656236.5607600007</v>
      </c>
      <c r="L90"/>
      <c r="M90" s="225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8">
        <f ca="1">+C91*Catalogo!$F$19+EV!D91*Catalogo!$F$14+EV!E91*Catalogo!$F$16+EV!F91*Catalogo!$F$18</f>
        <v>4698158.5607600007</v>
      </c>
      <c r="J91" s="228">
        <f ca="1">IF(TODAY()&gt;=$A91,SUMIFS(Tabla1[EV],Tabla1[Fecha],"&lt;="&amp;A91,Tabla1[EV],"&gt;0"),NA())</f>
        <v>4698158.5607600007</v>
      </c>
      <c r="L91"/>
      <c r="M91" s="225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8">
        <f ca="1">+C92*Catalogo!$F$19+EV!D92*Catalogo!$F$14+EV!E92*Catalogo!$F$16+EV!F92*Catalogo!$F$18</f>
        <v>4698158.5607600007</v>
      </c>
      <c r="J92" s="228">
        <f ca="1">IF(TODAY()&gt;=$A92,SUMIFS(Tabla1[EV],Tabla1[Fecha],"&lt;="&amp;A92,Tabla1[EV],"&gt;0"),NA())</f>
        <v>4698158.5607600007</v>
      </c>
      <c r="L92"/>
      <c r="M92" s="225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8">
        <f ca="1">+C93*Catalogo!$F$19+EV!D93*Catalogo!$F$14+EV!E93*Catalogo!$F$16+EV!F93*Catalogo!$F$18</f>
        <v>4698158.5607600007</v>
      </c>
      <c r="J93" s="228">
        <f ca="1">IF(TODAY()&gt;=$A93,SUMIFS(Tabla1[EV],Tabla1[Fecha],"&lt;="&amp;A93,Tabla1[EV],"&gt;0"),NA())</f>
        <v>4698158.5607600007</v>
      </c>
      <c r="L93"/>
      <c r="M93" s="225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8">
        <f ca="1">+C94*Catalogo!$F$19+EV!D94*Catalogo!$F$14+EV!E94*Catalogo!$F$16+EV!F94*Catalogo!$F$18</f>
        <v>4698158.5607600007</v>
      </c>
      <c r="J94" s="228">
        <f ca="1">IF(TODAY()&gt;=$A94,SUMIFS(Tabla1[EV],Tabla1[Fecha],"&lt;="&amp;A94,Tabla1[EV],"&gt;0"),NA())</f>
        <v>4698158.5607600007</v>
      </c>
      <c r="L94"/>
      <c r="M94" s="225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8">
        <f ca="1">+C95*Catalogo!$F$19+EV!D95*Catalogo!$F$14+EV!E95*Catalogo!$F$16+EV!F95*Catalogo!$F$18</f>
        <v>4698158.5607600007</v>
      </c>
      <c r="J95" s="228">
        <f ca="1">IF(TODAY()&gt;=$A95,SUMIFS(Tabla1[EV],Tabla1[Fecha],"&lt;="&amp;A95,Tabla1[EV],"&gt;0"),NA())</f>
        <v>4698158.5607600007</v>
      </c>
      <c r="L95"/>
      <c r="M95" s="225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8">
        <f ca="1">+C96*Catalogo!$F$19+EV!D96*Catalogo!$F$14+EV!E96*Catalogo!$F$16+EV!F96*Catalogo!$F$18</f>
        <v>4698158.5607600007</v>
      </c>
      <c r="J96" s="228">
        <f ca="1">IF(TODAY()&gt;=$A96,SUMIFS(Tabla1[EV],Tabla1[Fecha],"&lt;="&amp;A96,Tabla1[EV],"&gt;0"),NA())</f>
        <v>4698158.5607600007</v>
      </c>
      <c r="L96"/>
      <c r="M96" s="225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8">
        <f ca="1">+C97*Catalogo!$F$19+EV!D97*Catalogo!$F$14+EV!E97*Catalogo!$F$16+EV!F97*Catalogo!$F$18</f>
        <v>4707474.5607600007</v>
      </c>
      <c r="J97" s="228">
        <f ca="1">IF(TODAY()&gt;=$A97,SUMIFS(Tabla1[EV],Tabla1[Fecha],"&lt;="&amp;A97,Tabla1[EV],"&gt;0"),NA())</f>
        <v>4707474.5607600007</v>
      </c>
      <c r="L97"/>
      <c r="M97" s="225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8">
        <f ca="1">+C98*Catalogo!$F$19+EV!D98*Catalogo!$F$14+EV!E98*Catalogo!$F$16+EV!F98*Catalogo!$F$18</f>
        <v>4716790.5607600007</v>
      </c>
      <c r="J98" s="228">
        <f ca="1">IF(TODAY()&gt;=$A98,SUMIFS(Tabla1[EV],Tabla1[Fecha],"&lt;="&amp;A98,Tabla1[EV],"&gt;0"),NA())</f>
        <v>4716790.5607600007</v>
      </c>
      <c r="L98"/>
      <c r="M98" s="225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8">
        <f ca="1">+C99*Catalogo!$F$19+EV!D99*Catalogo!$F$14+EV!E99*Catalogo!$F$16+EV!F99*Catalogo!$F$18</f>
        <v>4716790.5607600007</v>
      </c>
      <c r="J99" s="228">
        <f ca="1">IF(TODAY()&gt;=$A99,SUMIFS(Tabla1[EV],Tabla1[Fecha],"&lt;="&amp;A99,Tabla1[EV],"&gt;0"),NA())</f>
        <v>4716790.5607600007</v>
      </c>
      <c r="L99"/>
      <c r="M99" s="225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8">
        <f ca="1">+C100*Catalogo!$F$19+EV!D100*Catalogo!$F$14+EV!E100*Catalogo!$F$16+EV!F100*Catalogo!$F$18</f>
        <v>4716790.5607600007</v>
      </c>
      <c r="J100" s="228">
        <f ca="1">IF(TODAY()&gt;=$A100,SUMIFS(Tabla1[EV],Tabla1[Fecha],"&lt;="&amp;A100,Tabla1[EV],"&gt;0"),NA())</f>
        <v>4716790.5607600007</v>
      </c>
      <c r="L100"/>
      <c r="M100" s="225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8">
        <f ca="1">+C101*Catalogo!$F$19+EV!D101*Catalogo!$F$14+EV!E101*Catalogo!$F$16+EV!F101*Catalogo!$F$18</f>
        <v>4716790.5607600007</v>
      </c>
      <c r="J101" s="228">
        <f ca="1">IF(TODAY()&gt;=$A101,SUMIFS(Tabla1[EV],Tabla1[Fecha],"&lt;="&amp;A101,Tabla1[EV],"&gt;0"),NA())</f>
        <v>4716790.5607600007</v>
      </c>
      <c r="L101"/>
      <c r="M101" s="225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8">
        <f ca="1">+C102*Catalogo!$F$19+EV!D102*Catalogo!$F$14+EV!E102*Catalogo!$F$16+EV!F102*Catalogo!$F$18</f>
        <v>4721448.5607600007</v>
      </c>
      <c r="J102" s="228">
        <f ca="1">IF(TODAY()&gt;=$A102,SUMIFS(Tabla1[EV],Tabla1[Fecha],"&lt;="&amp;A102,Tabla1[EV],"&gt;0"),NA())</f>
        <v>4721448.5607600007</v>
      </c>
      <c r="L102"/>
      <c r="M102" s="225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8">
        <f ca="1">+C103*Catalogo!$F$19+EV!D103*Catalogo!$F$14+EV!E103*Catalogo!$F$16+EV!F103*Catalogo!$F$18</f>
        <v>4740080.5607600007</v>
      </c>
      <c r="J103" s="228">
        <f ca="1">IF(TODAY()&gt;=$A103,SUMIFS(Tabla1[EV],Tabla1[Fecha],"&lt;="&amp;A103,Tabla1[EV],"&gt;0"),NA())</f>
        <v>4740080.5607600007</v>
      </c>
      <c r="L103"/>
      <c r="M103" s="225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8">
        <f ca="1">+C104*Catalogo!$F$19+EV!D104*Catalogo!$F$14+EV!E104*Catalogo!$F$16+EV!F104*Catalogo!$F$18</f>
        <v>4758712.5607600007</v>
      </c>
      <c r="J104" s="228">
        <f ca="1">IF(TODAY()&gt;=$A104,SUMIFS(Tabla1[EV],Tabla1[Fecha],"&lt;="&amp;A104,Tabla1[EV],"&gt;0"),NA())</f>
        <v>4758712.5607600007</v>
      </c>
      <c r="L104"/>
      <c r="M104" s="225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8">
        <f ca="1">+C105*Catalogo!$F$19+EV!D105*Catalogo!$F$14+EV!E105*Catalogo!$F$16+EV!F105*Catalogo!$F$18</f>
        <v>4782002.5607600007</v>
      </c>
      <c r="J105" s="228">
        <f ca="1">IF(TODAY()&gt;=$A105,SUMIFS(Tabla1[EV],Tabla1[Fecha],"&lt;="&amp;A105,Tabla1[EV],"&gt;0"),NA())</f>
        <v>4782002.5607600007</v>
      </c>
      <c r="L105"/>
      <c r="M105" s="22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6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8">
        <f ca="1">+C106*Catalogo!$F$19+EV!D106*Catalogo!$F$14+EV!E106*Catalogo!$F$16+EV!F106*Catalogo!$F$18</f>
        <v>4782002.5607600007</v>
      </c>
      <c r="J106" s="228">
        <f ca="1">IF(TODAY()&gt;=$A106,SUMIFS(Tabla1[EV],Tabla1[Fecha],"&lt;="&amp;A106,Tabla1[EV],"&gt;0"),NA())</f>
        <v>4782002.5607600007</v>
      </c>
      <c r="L106"/>
      <c r="M106" s="225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6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8">
        <f ca="1">+C107*Catalogo!$F$19+EV!D107*Catalogo!$F$14+EV!E107*Catalogo!$F$16+EV!F107*Catalogo!$F$18</f>
        <v>4782002.5607600007</v>
      </c>
      <c r="J107" s="228">
        <f ca="1">IF(TODAY()&gt;=$A107,SUMIFS(Tabla1[EV],Tabla1[Fecha],"&lt;="&amp;A107,Tabla1[EV],"&gt;0"),NA())</f>
        <v>4782002.5607600007</v>
      </c>
      <c r="L107"/>
      <c r="M107" s="225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6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8">
        <f ca="1">+C108*Catalogo!$F$19+EV!D108*Catalogo!$F$14+EV!E108*Catalogo!$F$16+EV!F108*Catalogo!$F$18</f>
        <v>4782002.5607600007</v>
      </c>
      <c r="J108" s="228">
        <f ca="1">IF(TODAY()&gt;=$A108,SUMIFS(Tabla1[EV],Tabla1[Fecha],"&lt;="&amp;A108,Tabla1[EV],"&gt;0"),NA())</f>
        <v>4782002.5607600007</v>
      </c>
      <c r="L108"/>
      <c r="M108" s="225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6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8">
        <f ca="1">+C109*Catalogo!$F$19+EV!D109*Catalogo!$F$14+EV!E109*Catalogo!$F$16+EV!F109*Catalogo!$F$18</f>
        <v>4782002.5607600007</v>
      </c>
      <c r="J109" s="228">
        <f ca="1">IF(TODAY()&gt;=$A109,SUMIFS(Tabla1[EV],Tabla1[Fecha],"&lt;="&amp;A109,Tabla1[EV],"&gt;0"),NA())</f>
        <v>4782002.5607600007</v>
      </c>
      <c r="L109"/>
      <c r="M109" s="225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6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8">
        <f ca="1">+C110*Catalogo!$F$19+EV!D110*Catalogo!$F$14+EV!E110*Catalogo!$F$16+EV!F110*Catalogo!$F$18</f>
        <v>4782002.5607600007</v>
      </c>
      <c r="J110" s="228">
        <f ca="1">IF(TODAY()&gt;=$A110,SUMIFS(Tabla1[EV],Tabla1[Fecha],"&lt;="&amp;A110,Tabla1[EV],"&gt;0"),NA())</f>
        <v>4782002.5607600007</v>
      </c>
      <c r="L110"/>
      <c r="M110" s="225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6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8">
        <f ca="1">+C111*Catalogo!$F$19+EV!D111*Catalogo!$F$14+EV!E111*Catalogo!$F$16+EV!F111*Catalogo!$F$18</f>
        <v>4782002.5607600007</v>
      </c>
      <c r="J111" s="228">
        <f ca="1">IF(TODAY()&gt;=$A111,SUMIFS(Tabla1[EV],Tabla1[Fecha],"&lt;="&amp;A111,Tabla1[EV],"&gt;0"),NA())</f>
        <v>4782002.5607600007</v>
      </c>
      <c r="L111"/>
      <c r="M111" s="225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6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8">
        <f ca="1">+C112*Catalogo!$F$19+EV!D112*Catalogo!$F$14+EV!E112*Catalogo!$F$16+EV!F112*Catalogo!$F$18</f>
        <v>4782002.5607600007</v>
      </c>
      <c r="J112" s="228">
        <f ca="1">IF(TODAY()&gt;=$A112,SUMIFS(Tabla1[EV],Tabla1[Fecha],"&lt;="&amp;A112,Tabla1[EV],"&gt;0"),NA())</f>
        <v>4782002.5607600007</v>
      </c>
      <c r="L112"/>
      <c r="M112" s="225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6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8">
        <f ca="1">+C113*Catalogo!$F$19+EV!D113*Catalogo!$F$14+EV!E113*Catalogo!$F$16+EV!F113*Catalogo!$F$18</f>
        <v>4782002.5607600007</v>
      </c>
      <c r="J113" s="228">
        <f ca="1">IF(TODAY()&gt;=$A113,SUMIFS(Tabla1[EV],Tabla1[Fecha],"&lt;="&amp;A113,Tabla1[EV],"&gt;0"),NA())</f>
        <v>4782002.5607600007</v>
      </c>
      <c r="L113"/>
      <c r="M113" s="225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6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8">
        <f ca="1">+C114*Catalogo!$F$19+EV!D114*Catalogo!$F$14+EV!E114*Catalogo!$F$16+EV!F114*Catalogo!$F$18</f>
        <v>4782002.5607600007</v>
      </c>
      <c r="J114" s="228">
        <f ca="1">IF(TODAY()&gt;=$A114,SUMIFS(Tabla1[EV],Tabla1[Fecha],"&lt;="&amp;A114,Tabla1[EV],"&gt;0"),NA())</f>
        <v>4782002.5607600007</v>
      </c>
      <c r="L114"/>
      <c r="M114" s="225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6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8">
        <f ca="1">+C115*Catalogo!$F$19+EV!D115*Catalogo!$F$14+EV!E115*Catalogo!$F$16+EV!F115*Catalogo!$F$18</f>
        <v>4782002.5607600007</v>
      </c>
      <c r="J115" s="228">
        <f ca="1">IF(TODAY()&gt;=$A115,SUMIFS(Tabla1[EV],Tabla1[Fecha],"&lt;="&amp;A115,Tabla1[EV],"&gt;0"),NA())</f>
        <v>4782002.5607600007</v>
      </c>
      <c r="L115"/>
      <c r="M115" s="22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6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8">
        <f ca="1">+C116*Catalogo!$F$19+EV!D116*Catalogo!$F$14+EV!E116*Catalogo!$F$16+EV!F116*Catalogo!$F$18</f>
        <v>4782002.5607600007</v>
      </c>
      <c r="J116" s="228">
        <f ca="1">IF(TODAY()&gt;=$A116,SUMIFS(Tabla1[EV],Tabla1[Fecha],"&lt;="&amp;A116,Tabla1[EV],"&gt;0"),NA())</f>
        <v>4782002.5607600007</v>
      </c>
      <c r="L116"/>
      <c r="M116" s="225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6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8">
        <f ca="1">+C117*Catalogo!$F$19+EV!D117*Catalogo!$F$14+EV!E117*Catalogo!$F$16+EV!F117*Catalogo!$F$18</f>
        <v>4782002.5607600007</v>
      </c>
      <c r="J117" s="228">
        <f ca="1">IF(TODAY()&gt;=$A117,SUMIFS(Tabla1[EV],Tabla1[Fecha],"&lt;="&amp;A117,Tabla1[EV],"&gt;0"),NA())</f>
        <v>4782002.5607600007</v>
      </c>
      <c r="L117"/>
      <c r="M117" s="225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6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8">
        <f ca="1">+C118*Catalogo!$F$19+EV!D118*Catalogo!$F$14+EV!E118*Catalogo!$F$16+EV!F118*Catalogo!$F$18</f>
        <v>4782002.5607600007</v>
      </c>
      <c r="J118" s="228">
        <f ca="1">IF(TODAY()&gt;=$A118,SUMIFS(Tabla1[EV],Tabla1[Fecha],"&lt;="&amp;A118,Tabla1[EV],"&gt;0"),NA())</f>
        <v>4782002.5607600007</v>
      </c>
      <c r="L118"/>
      <c r="M118" s="225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6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8">
        <f ca="1">+C119*Catalogo!$F$19+EV!D119*Catalogo!$F$14+EV!E119*Catalogo!$F$16+EV!F119*Catalogo!$F$18</f>
        <v>4782002.5607600007</v>
      </c>
      <c r="J119" s="228">
        <f ca="1">IF(TODAY()&gt;=$A119,SUMIFS(Tabla1[EV],Tabla1[Fecha],"&lt;="&amp;A119,Tabla1[EV],"&gt;0"),NA())</f>
        <v>4782002.5607600007</v>
      </c>
      <c r="L119"/>
      <c r="M119" s="225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6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8">
        <f ca="1">+C120*Catalogo!$F$19+EV!D120*Catalogo!$F$14+EV!E120*Catalogo!$F$16+EV!F120*Catalogo!$F$18</f>
        <v>4782002.5607600007</v>
      </c>
      <c r="J120" s="228">
        <f ca="1">IF(TODAY()&gt;=$A120,SUMIFS(Tabla1[EV],Tabla1[Fecha],"&lt;="&amp;A120,Tabla1[EV],"&gt;0"),NA())</f>
        <v>4782002.5607600007</v>
      </c>
      <c r="K120" s="291"/>
      <c r="L120"/>
      <c r="M120" s="225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6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8">
        <f ca="1">+C121*Catalogo!$F$19+EV!D121*Catalogo!$F$14+EV!E121*Catalogo!$F$16+EV!F121*Catalogo!$F$18</f>
        <v>4782002.5607600007</v>
      </c>
      <c r="J121" s="228">
        <f ca="1">IF(TODAY()&gt;=$A121,SUMIFS(Tabla1[EV],Tabla1[Fecha],"&lt;="&amp;A121,Tabla1[EV],"&gt;0"),NA())</f>
        <v>4782002.5607600007</v>
      </c>
      <c r="L121"/>
      <c r="M121" s="225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6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8">
        <f ca="1">+C122*Catalogo!$F$19+EV!D122*Catalogo!$F$14+EV!E122*Catalogo!$F$16+EV!F122*Catalogo!$F$18</f>
        <v>4782002.5607600007</v>
      </c>
      <c r="J122" s="228">
        <f ca="1">IF(TODAY()&gt;=$A122,SUMIFS(Tabla1[EV],Tabla1[Fecha],"&lt;="&amp;A122,Tabla1[EV],"&gt;0"),NA())</f>
        <v>4782002.5607600007</v>
      </c>
      <c r="L122"/>
      <c r="M122" s="225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6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8">
        <f ca="1">+C123*Catalogo!$F$19+EV!D123*Catalogo!$F$14+EV!E123*Catalogo!$F$16+EV!F123*Catalogo!$F$18</f>
        <v>4782002.5607600007</v>
      </c>
      <c r="J123" s="228">
        <f ca="1">IF(TODAY()&gt;=$A123,SUMIFS(Tabla1[EV],Tabla1[Fecha],"&lt;="&amp;A123,Tabla1[EV],"&gt;0"),NA())</f>
        <v>4782002.5607600007</v>
      </c>
      <c r="L123"/>
      <c r="M123" s="225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6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8">
        <f ca="1">+C124*Catalogo!$F$19+EV!D124*Catalogo!$F$14+EV!E124*Catalogo!$F$16+EV!F124*Catalogo!$F$18</f>
        <v>4782002.5607600007</v>
      </c>
      <c r="J124" s="228">
        <f ca="1">IF(TODAY()&gt;=$A124,SUMIFS(Tabla1[EV],Tabla1[Fecha],"&lt;="&amp;A124,Tabla1[EV],"&gt;0"),NA())</f>
        <v>4782002.5607600007</v>
      </c>
      <c r="L124"/>
      <c r="M124" s="225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6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8">
        <f ca="1">+C125*Catalogo!$F$19+EV!D125*Catalogo!$F$14+EV!E125*Catalogo!$F$16+EV!F125*Catalogo!$F$18</f>
        <v>4782002.5607600007</v>
      </c>
      <c r="J125" s="228">
        <f ca="1">IF(TODAY()&gt;=$A125,SUMIFS(Tabla1[EV],Tabla1[Fecha],"&lt;="&amp;A125,Tabla1[EV],"&gt;0"),NA())</f>
        <v>4782002.5607600007</v>
      </c>
      <c r="L125"/>
      <c r="M125" s="2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6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8">
        <f ca="1">+C126*Catalogo!$F$19+EV!D126*Catalogo!$F$14+EV!E126*Catalogo!$F$16+EV!F126*Catalogo!$F$18</f>
        <v>4782002.5607600007</v>
      </c>
      <c r="J126" s="228">
        <f ca="1">IF(TODAY()&gt;=$A126,SUMIFS(Tabla1[EV],Tabla1[Fecha],"&lt;="&amp;A126,Tabla1[EV],"&gt;0"),NA())</f>
        <v>4782002.5607600007</v>
      </c>
      <c r="L126"/>
      <c r="M126" s="225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6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8">
        <f ca="1">+C127*Catalogo!$F$19+EV!D127*Catalogo!$F$14+EV!E127*Catalogo!$F$16+EV!F127*Catalogo!$F$18</f>
        <v>4782002.5607600007</v>
      </c>
      <c r="J127" s="228">
        <f ca="1">IF(TODAY()&gt;=$A127,SUMIFS(Tabla1[EV],Tabla1[Fecha],"&lt;="&amp;A127,Tabla1[EV],"&gt;0"),NA())</f>
        <v>4782002.5607600007</v>
      </c>
      <c r="L127"/>
      <c r="M127" s="225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6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8">
        <f ca="1">+C128*Catalogo!$F$19+EV!D128*Catalogo!$F$14+EV!E128*Catalogo!$F$16+EV!F128*Catalogo!$F$18</f>
        <v>4782002.5607600007</v>
      </c>
      <c r="J128" s="228">
        <f ca="1">IF(TODAY()&gt;=$A128,SUMIFS(Tabla1[EV],Tabla1[Fecha],"&lt;="&amp;A128,Tabla1[EV],"&gt;0"),NA())</f>
        <v>4782002.5607600007</v>
      </c>
      <c r="L128"/>
      <c r="M128" s="225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6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8">
        <f ca="1">+C129*Catalogo!$F$19+EV!D129*Catalogo!$F$14+EV!E129*Catalogo!$F$16+EV!F129*Catalogo!$F$18</f>
        <v>4782002.5607600007</v>
      </c>
      <c r="J129" s="228">
        <f ca="1">IF(TODAY()&gt;=$A129,SUMIFS(Tabla1[EV],Tabla1[Fecha],"&lt;="&amp;A129,Tabla1[EV],"&gt;0"),NA())</f>
        <v>4782002.5607600007</v>
      </c>
      <c r="L129"/>
      <c r="M129" s="225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6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8">
        <f ca="1">+C130*Catalogo!$F$19+EV!D130*Catalogo!$F$14+EV!E130*Catalogo!$F$16+EV!F130*Catalogo!$F$18</f>
        <v>4782002.5607600007</v>
      </c>
      <c r="J130" s="228">
        <f ca="1">IF(TODAY()&gt;=$A130,SUMIFS(Tabla1[EV],Tabla1[Fecha],"&lt;="&amp;A130,Tabla1[EV],"&gt;0"),NA())</f>
        <v>4782002.5607600007</v>
      </c>
      <c r="L130"/>
      <c r="M130" s="225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6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8">
        <f ca="1">+C131*Catalogo!$F$19+EV!D131*Catalogo!$F$14+EV!E131*Catalogo!$F$16+EV!F131*Catalogo!$F$18</f>
        <v>4782002.5607600007</v>
      </c>
      <c r="J131" s="228">
        <f ca="1">IF(TODAY()&gt;=$A131,SUMIFS(Tabla1[EV],Tabla1[Fecha],"&lt;="&amp;A131,Tabla1[EV],"&gt;0"),NA())</f>
        <v>4782002.5607600007</v>
      </c>
      <c r="L131"/>
      <c r="M131" s="225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6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8">
        <f ca="1">+C132*Catalogo!$F$19+EV!D132*Catalogo!$F$14+EV!E132*Catalogo!$F$16+EV!F132*Catalogo!$F$18</f>
        <v>4782002.5607600007</v>
      </c>
      <c r="J132" s="228">
        <f ca="1">IF(TODAY()&gt;=$A132,SUMIFS(Tabla1[EV],Tabla1[Fecha],"&lt;="&amp;A132,Tabla1[EV],"&gt;0"),NA())</f>
        <v>4782002.5607600007</v>
      </c>
      <c r="L132"/>
      <c r="M132" s="225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6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8">
        <f ca="1">+C133*Catalogo!$F$19+EV!D133*Catalogo!$F$14+EV!E133*Catalogo!$F$16+EV!F133*Catalogo!$F$18</f>
        <v>4782002.5607600007</v>
      </c>
      <c r="J133" s="228">
        <f ca="1">IF(TODAY()&gt;=$A133,SUMIFS(Tabla1[EV],Tabla1[Fecha],"&lt;="&amp;A133,Tabla1[EV],"&gt;0"),NA())</f>
        <v>4782002.5607600007</v>
      </c>
      <c r="L133"/>
      <c r="M133" s="225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6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8">
        <f ca="1">+C134*Catalogo!$F$19+EV!D134*Catalogo!$F$14+EV!E134*Catalogo!$F$16+EV!F134*Catalogo!$F$18</f>
        <v>4782002.5607600007</v>
      </c>
      <c r="J134" s="228">
        <f ca="1">IF(TODAY()&gt;=$A134,SUMIFS(Tabla1[EV],Tabla1[Fecha],"&lt;="&amp;A134,Tabla1[EV],"&gt;0"),NA())</f>
        <v>4782002.5607600007</v>
      </c>
      <c r="L134"/>
      <c r="M134" s="225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6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8">
        <f ca="1">+C135*Catalogo!$F$19+EV!D135*Catalogo!$F$14+EV!E135*Catalogo!$F$16+EV!F135*Catalogo!$F$18</f>
        <v>4782002.5607600007</v>
      </c>
      <c r="J135" s="228">
        <f ca="1">IF(TODAY()&gt;=$A135,SUMIFS(Tabla1[EV],Tabla1[Fecha],"&lt;="&amp;A135,Tabla1[EV],"&gt;0"),NA())</f>
        <v>4782002.5607600007</v>
      </c>
      <c r="L135"/>
      <c r="M135" s="22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6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8">
        <f ca="1">+C136*Catalogo!$F$19+EV!D136*Catalogo!$F$14+EV!E136*Catalogo!$F$16+EV!F136*Catalogo!$F$18</f>
        <v>4782002.5607600007</v>
      </c>
      <c r="J136" s="228">
        <f ca="1">IF(TODAY()&gt;=$A136,SUMIFS(Tabla1[EV],Tabla1[Fecha],"&lt;="&amp;A136,Tabla1[EV],"&gt;0"),NA())</f>
        <v>4782002.5607600007</v>
      </c>
      <c r="L136"/>
      <c r="M136" s="225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6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8">
        <f ca="1">+C137*Catalogo!$F$19+EV!D137*Catalogo!$F$14+EV!E137*Catalogo!$F$16+EV!F137*Catalogo!$F$18</f>
        <v>4782002.5607600007</v>
      </c>
      <c r="J137" s="228">
        <f ca="1">IF(TODAY()&gt;=$A137,SUMIFS(Tabla1[EV],Tabla1[Fecha],"&lt;="&amp;A137,Tabla1[EV],"&gt;0"),NA())</f>
        <v>4782002.5607600007</v>
      </c>
      <c r="L137"/>
      <c r="M137" s="225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6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8">
        <f ca="1">+C138*Catalogo!$F$19+EV!D138*Catalogo!$F$14+EV!E138*Catalogo!$F$16+EV!F138*Catalogo!$F$18</f>
        <v>4782002.5607600007</v>
      </c>
      <c r="J138" s="228">
        <f ca="1">IF(TODAY()&gt;=$A138,SUMIFS(Tabla1[EV],Tabla1[Fecha],"&lt;="&amp;A138,Tabla1[EV],"&gt;0"),NA())</f>
        <v>4782002.5607600007</v>
      </c>
      <c r="L138"/>
      <c r="M138" s="225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6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8">
        <f ca="1">+C139*Catalogo!$F$19+EV!D139*Catalogo!$F$14+EV!E139*Catalogo!$F$16+EV!F139*Catalogo!$F$18</f>
        <v>4782002.5607600007</v>
      </c>
      <c r="J139" s="228">
        <f ca="1">IF(TODAY()&gt;=$A139,SUMIFS(Tabla1[EV],Tabla1[Fecha],"&lt;="&amp;A139,Tabla1[EV],"&gt;0"),NA())</f>
        <v>4782002.5607600007</v>
      </c>
      <c r="L139"/>
      <c r="M139" s="225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6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8">
        <f ca="1">+C140*Catalogo!$F$19+EV!D140*Catalogo!$F$14+EV!E140*Catalogo!$F$16+EV!F140*Catalogo!$F$18</f>
        <v>4782002.5607600007</v>
      </c>
      <c r="J140" s="228">
        <f ca="1">IF(TODAY()&gt;=$A140,SUMIFS(Tabla1[EV],Tabla1[Fecha],"&lt;="&amp;A140,Tabla1[EV],"&gt;0"),NA())</f>
        <v>4782002.5607600007</v>
      </c>
      <c r="L140"/>
      <c r="M140" s="225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6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8">
        <f ca="1">+C141*Catalogo!$F$19+EV!D141*Catalogo!$F$14+EV!E141*Catalogo!$F$16+EV!F141*Catalogo!$F$18</f>
        <v>4782002.5607600007</v>
      </c>
      <c r="J141" s="228">
        <f ca="1">IF(TODAY()&gt;=$A141,SUMIFS(Tabla1[EV],Tabla1[Fecha],"&lt;="&amp;A141,Tabla1[EV],"&gt;0"),NA())</f>
        <v>4782002.5607600007</v>
      </c>
      <c r="L141"/>
      <c r="M141" s="225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6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8">
        <f ca="1">+C142*Catalogo!$F$19+EV!D142*Catalogo!$F$14+EV!E142*Catalogo!$F$16+EV!F142*Catalogo!$F$18</f>
        <v>4782002.5607600007</v>
      </c>
      <c r="J142" s="228">
        <f ca="1">IF(TODAY()&gt;=$A142,SUMIFS(Tabla1[EV],Tabla1[Fecha],"&lt;="&amp;A142,Tabla1[EV],"&gt;0"),NA())</f>
        <v>4782002.5607600007</v>
      </c>
      <c r="L142"/>
      <c r="M142" s="225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6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8">
        <f ca="1">+C143*Catalogo!$F$19+EV!D143*Catalogo!$F$14+EV!E143*Catalogo!$F$16+EV!F143*Catalogo!$F$18</f>
        <v>4782002.5607600007</v>
      </c>
      <c r="J143" s="228">
        <f ca="1">IF(TODAY()&gt;=$A143,SUMIFS(Tabla1[EV],Tabla1[Fecha],"&lt;="&amp;A143,Tabla1[EV],"&gt;0"),NA())</f>
        <v>4782002.5607600007</v>
      </c>
      <c r="L143"/>
      <c r="M143" s="225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6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8">
        <f ca="1">+C144*Catalogo!$F$19+EV!D144*Catalogo!$F$14+EV!E144*Catalogo!$F$16+EV!F144*Catalogo!$F$18</f>
        <v>4782002.5607600007</v>
      </c>
      <c r="J144" s="228">
        <f ca="1">IF(TODAY()&gt;=$A144,SUMIFS(Tabla1[EV],Tabla1[Fecha],"&lt;="&amp;A144,Tabla1[EV],"&gt;0"),NA())</f>
        <v>4782002.5607600007</v>
      </c>
      <c r="L144"/>
      <c r="M144" s="225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6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8">
        <f ca="1">+C145*Catalogo!$F$19+EV!D145*Catalogo!$F$14+EV!E145*Catalogo!$F$16+EV!F145*Catalogo!$F$18</f>
        <v>4782002.5607600007</v>
      </c>
      <c r="J145" s="228">
        <f ca="1">IF(TODAY()&gt;=$A145,SUMIFS(Tabla1[EV],Tabla1[Fecha],"&lt;="&amp;A145,Tabla1[EV],"&gt;0"),NA())</f>
        <v>4782002.5607600007</v>
      </c>
      <c r="L145"/>
      <c r="M145" s="22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6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8">
        <f ca="1">+C146*Catalogo!$F$19+EV!D146*Catalogo!$F$14+EV!E146*Catalogo!$F$16+EV!F146*Catalogo!$F$18</f>
        <v>4782002.5607600007</v>
      </c>
      <c r="J146" s="228">
        <f ca="1">IF(TODAY()&gt;=$A146,SUMIFS(Tabla1[EV],Tabla1[Fecha],"&lt;="&amp;A146,Tabla1[EV],"&gt;0"),NA())</f>
        <v>4782002.5607600007</v>
      </c>
      <c r="L146"/>
      <c r="M146" s="225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6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8">
        <f ca="1">+C147*Catalogo!$F$19+EV!D147*Catalogo!$F$14+EV!E147*Catalogo!$F$16+EV!F147*Catalogo!$F$18</f>
        <v>4782002.5607600007</v>
      </c>
      <c r="J147" s="228">
        <f ca="1">IF(TODAY()&gt;=$A147,SUMIFS(Tabla1[EV],Tabla1[Fecha],"&lt;="&amp;A147,Tabla1[EV],"&gt;0"),NA())</f>
        <v>4782002.5607600007</v>
      </c>
      <c r="L147"/>
      <c r="M147" s="225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6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8">
        <f ca="1">+C148*Catalogo!$F$19+EV!D148*Catalogo!$F$14+EV!E148*Catalogo!$F$16+EV!F148*Catalogo!$F$18</f>
        <v>4782002.5607600007</v>
      </c>
      <c r="J148" s="228">
        <f ca="1">IF(TODAY()&gt;=$A148,SUMIFS(Tabla1[EV],Tabla1[Fecha],"&lt;="&amp;A148,Tabla1[EV],"&gt;0"),NA())</f>
        <v>4782002.5607600007</v>
      </c>
      <c r="L148"/>
      <c r="M148" s="225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6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8">
        <f ca="1">+C149*Catalogo!$F$19+EV!D149*Catalogo!$F$14+EV!E149*Catalogo!$F$16+EV!F149*Catalogo!$F$18</f>
        <v>4782002.5607600007</v>
      </c>
      <c r="J149" s="228">
        <f ca="1">IF(TODAY()&gt;=$A149,SUMIFS(Tabla1[EV],Tabla1[Fecha],"&lt;="&amp;A149,Tabla1[EV],"&gt;0"),NA())</f>
        <v>4782002.5607600007</v>
      </c>
      <c r="L149"/>
      <c r="M149" s="225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6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8">
        <f ca="1">+C150*Catalogo!$F$19+EV!D150*Catalogo!$F$14+EV!E150*Catalogo!$F$16+EV!F150*Catalogo!$F$18</f>
        <v>4782002.5607600007</v>
      </c>
      <c r="J150" s="228">
        <f ca="1">IF(TODAY()&gt;=$A150,SUMIFS(Tabla1[EV],Tabla1[Fecha],"&lt;="&amp;A150,Tabla1[EV],"&gt;0"),NA())</f>
        <v>4782002.5607600007</v>
      </c>
      <c r="L150"/>
      <c r="M150" s="225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1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8">
        <f ca="1">+C151*Catalogo!$F$19+EV!D151*Catalogo!$F$14+EV!E151*Catalogo!$F$16+EV!F151*Catalogo!$F$18</f>
        <v>4786517.4007600006</v>
      </c>
      <c r="J151" s="228">
        <f ca="1">IF(TODAY()&gt;=$A151,SUMIFS(Tabla1[EV],Tabla1[Fecha],"&lt;="&amp;A151,Tabla1[EV],"&gt;0"),NA())</f>
        <v>6291200.5807599993</v>
      </c>
      <c r="K151" s="291"/>
      <c r="L151"/>
      <c r="M151" s="225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8">
        <f ca="1">+C152*Catalogo!$F$19+EV!D152*Catalogo!$F$14+EV!E152*Catalogo!$F$16+EV!F152*Catalogo!$F$18</f>
        <v>4790129.272760001</v>
      </c>
      <c r="J152" s="228">
        <f ca="1">IF(TODAY()&gt;=$A152,SUMIFS(Tabla1[EV],Tabla1[Fecha],"&lt;="&amp;A152,Tabla1[EV],"&gt;0"),NA())</f>
        <v>6294812.4527599998</v>
      </c>
      <c r="L152"/>
      <c r="M152" s="225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8">
        <f ca="1">+C153*Catalogo!$F$19+EV!D153*Catalogo!$F$14+EV!E153*Catalogo!$F$16+EV!F153*Catalogo!$F$18</f>
        <v>4793289.6607600003</v>
      </c>
      <c r="J153" s="228">
        <f ca="1">IF(TODAY()&gt;=$A153,SUMIFS(Tabla1[EV],Tabla1[Fecha],"&lt;="&amp;A153,Tabla1[EV],"&gt;0"),NA())</f>
        <v>6297972.8407600001</v>
      </c>
      <c r="L153"/>
      <c r="M153" s="225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8">
        <f ca="1">+C154*Catalogo!$F$19+EV!D154*Catalogo!$F$14+EV!E154*Catalogo!$F$16+EV!F154*Catalogo!$F$18</f>
        <v>4799484.0212400006</v>
      </c>
      <c r="J154" s="228">
        <f ca="1">IF(TODAY()&gt;=$A154,SUMIFS(Tabla1[EV],Tabla1[Fecha],"&lt;="&amp;A154,Tabla1[EV],"&gt;0"),NA())</f>
        <v>6304167.2012400003</v>
      </c>
      <c r="L154"/>
      <c r="M154" s="225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8">
        <f ca="1">+C155*Catalogo!$F$19+EV!D155*Catalogo!$F$14+EV!E155*Catalogo!$F$16+EV!F155*Catalogo!$F$18</f>
        <v>4801741.4412400015</v>
      </c>
      <c r="J155" s="228">
        <f ca="1">IF(TODAY()&gt;=$A155,SUMIFS(Tabla1[EV],Tabla1[Fecha],"&lt;="&amp;A155,Tabla1[EV],"&gt;0"),NA())</f>
        <v>6306424.6212400002</v>
      </c>
      <c r="L155"/>
      <c r="M155" s="22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8">
        <f ca="1">+C156*Catalogo!$F$19+EV!D156*Catalogo!$F$14+EV!E156*Catalogo!$F$16+EV!F156*Catalogo!$F$18</f>
        <v>4803723.4560000012</v>
      </c>
      <c r="J156" s="228">
        <f ca="1">IF(TODAY()&gt;=$A156,SUMIFS(Tabla1[EV],Tabla1[Fecha],"&lt;="&amp;A156,Tabla1[EV],"&gt;0"),NA())</f>
        <v>6308406.6359999999</v>
      </c>
      <c r="L156"/>
      <c r="M156" s="225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8">
        <f ca="1">+C157*Catalogo!$F$19+EV!D157*Catalogo!$F$14+EV!E157*Catalogo!$F$16+EV!F157*Catalogo!$F$18</f>
        <v>4803723.4560000012</v>
      </c>
      <c r="J157" s="228">
        <f ca="1">IF(TODAY()&gt;=$A157,SUMIFS(Tabla1[EV],Tabla1[Fecha],"&lt;="&amp;A157,Tabla1[EV],"&gt;0"),NA())</f>
        <v>6308406.6359999999</v>
      </c>
      <c r="L157"/>
      <c r="M157" s="225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8">
        <f ca="1">+C158*Catalogo!$F$19+EV!D158*Catalogo!$F$14+EV!E158*Catalogo!$F$16+EV!F158*Catalogo!$F$18</f>
        <v>4803723.4560000012</v>
      </c>
      <c r="J158" s="228">
        <f ca="1">IF(TODAY()&gt;=$A158,SUMIFS(Tabla1[EV],Tabla1[Fecha],"&lt;="&amp;A158,Tabla1[EV],"&gt;0"),NA())</f>
        <v>6308406.6359999999</v>
      </c>
      <c r="L158"/>
      <c r="M158" s="225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8">
        <f ca="1">+C159*Catalogo!$F$19+EV!D159*Catalogo!$F$14+EV!E159*Catalogo!$F$16+EV!F159*Catalogo!$F$18</f>
        <v>4805980.8760000011</v>
      </c>
      <c r="J159" s="228">
        <f ca="1">IF(TODAY()&gt;=$A159,SUMIFS(Tabla1[EV],Tabla1[Fecha],"&lt;="&amp;A159,Tabla1[EV],"&gt;0"),NA())</f>
        <v>6310664.0559999999</v>
      </c>
      <c r="L159"/>
      <c r="M159" s="225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8">
        <f ca="1">+C160*Catalogo!$F$19+EV!D160*Catalogo!$F$14+EV!E160*Catalogo!$F$16+EV!F160*Catalogo!$F$18</f>
        <v>4810495.7160000009</v>
      </c>
      <c r="J160" s="228">
        <f ca="1">IF(TODAY()&gt;=$A160,SUMIFS(Tabla1[EV],Tabla1[Fecha],"&lt;="&amp;A160,Tabla1[EV],"&gt;0"),NA())</f>
        <v>6315178.8959999997</v>
      </c>
      <c r="L160"/>
      <c r="M160" s="225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8">
        <f ca="1">+C161*Catalogo!$F$19+EV!D161*Catalogo!$F$14+EV!E161*Catalogo!$F$16+EV!F161*Catalogo!$F$18</f>
        <v>4816703.6210000012</v>
      </c>
      <c r="J161" s="228">
        <f ca="1">IF(TODAY()&gt;=$A161,SUMIFS(Tabla1[EV],Tabla1[Fecha],"&lt;="&amp;A161,Tabla1[EV],"&gt;0"),NA())</f>
        <v>6321386.801</v>
      </c>
      <c r="L161"/>
      <c r="M161" s="225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8">
        <f ca="1">+C162*Catalogo!$F$19+EV!D162*Catalogo!$F$14+EV!E162*Catalogo!$F$16+EV!F162*Catalogo!$F$18</f>
        <v>4823475.881000001</v>
      </c>
      <c r="J162" s="228">
        <f ca="1">IF(TODAY()&gt;=$A162,SUMIFS(Tabla1[EV],Tabla1[Fecha],"&lt;="&amp;A162,Tabla1[EV],"&gt;0"),NA())</f>
        <v>6328159.0609999998</v>
      </c>
      <c r="L162"/>
      <c r="M162" s="225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8">
        <f ca="1">+C163*Catalogo!$F$19+EV!D163*Catalogo!$F$14+EV!E163*Catalogo!$F$16+EV!F163*Catalogo!$F$18</f>
        <v>4826297.6560000014</v>
      </c>
      <c r="J163" s="228">
        <f ca="1">IF(TODAY()&gt;=$A163,SUMIFS(Tabla1[EV],Tabla1[Fecha],"&lt;="&amp;A163,Tabla1[EV],"&gt;0"),NA())</f>
        <v>6330980.8360000001</v>
      </c>
      <c r="L163"/>
      <c r="M163" s="225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8">
        <f ca="1">+C164*Catalogo!$F$19+EV!D164*Catalogo!$F$14+EV!E164*Catalogo!$F$16+EV!F164*Catalogo!$F$18</f>
        <v>4826297.6560000014</v>
      </c>
      <c r="J164" s="228">
        <f ca="1">IF(TODAY()&gt;=$A164,SUMIFS(Tabla1[EV],Tabla1[Fecha],"&lt;="&amp;A164,Tabla1[EV],"&gt;0"),NA())</f>
        <v>6330980.8360000001</v>
      </c>
      <c r="L164"/>
      <c r="M164" s="225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8">
        <f ca="1">+C165*Catalogo!$F$19+EV!D165*Catalogo!$F$14+EV!E165*Catalogo!$F$16+EV!F165*Catalogo!$F$18</f>
        <v>4829006.5600000005</v>
      </c>
      <c r="J165" s="228">
        <f ca="1">IF(TODAY()&gt;=$A165,SUMIFS(Tabla1[EV],Tabla1[Fecha],"&lt;="&amp;A165,Tabla1[EV],"&gt;0"),NA())</f>
        <v>6333689.7400000002</v>
      </c>
      <c r="L165"/>
      <c r="M165" s="22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8">
        <f ca="1">+C166*Catalogo!$F$19+EV!D166*Catalogo!$F$14+EV!E166*Catalogo!$F$16+EV!F166*Catalogo!$F$18</f>
        <v>4834198.6260000011</v>
      </c>
      <c r="J166" s="228">
        <f ca="1">IF(TODAY()&gt;=$A166,SUMIFS(Tabla1[EV],Tabla1[Fecha],"&lt;="&amp;A166,Tabla1[EV],"&gt;0"),NA())</f>
        <v>6338881.8059999999</v>
      </c>
      <c r="L166"/>
      <c r="M166" s="225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8">
        <f ca="1">+C167*Catalogo!$F$19+EV!D167*Catalogo!$F$14+EV!E167*Catalogo!$F$16+EV!F167*Catalogo!$F$18</f>
        <v>4838392.9123600014</v>
      </c>
      <c r="J167" s="228">
        <f ca="1">IF(TODAY()&gt;=$A167,SUMIFS(Tabla1[EV],Tabla1[Fecha],"&lt;="&amp;A167,Tabla1[EV],"&gt;0"),NA())</f>
        <v>6343076.0923600001</v>
      </c>
      <c r="L167"/>
      <c r="M167" s="225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8">
        <f ca="1">+C168*Catalogo!$F$19+EV!D168*Catalogo!$F$14+EV!E168*Catalogo!$F$16+EV!F168*Catalogo!$F$18</f>
        <v>4838970.8118800009</v>
      </c>
      <c r="J168" s="228">
        <f ca="1">IF(TODAY()&gt;=$A168,SUMIFS(Tabla1[EV],Tabla1[Fecha],"&lt;="&amp;A168,Tabla1[EV],"&gt;0"),NA())</f>
        <v>6343653.9918800006</v>
      </c>
      <c r="L168"/>
      <c r="M168" s="225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8">
        <f ca="1">+C169*Catalogo!$F$19+EV!D169*Catalogo!$F$14+EV!E169*Catalogo!$F$16+EV!F169*Catalogo!$F$18</f>
        <v>4838970.8118800009</v>
      </c>
      <c r="J169" s="228">
        <f ca="1">IF(TODAY()&gt;=$A169,SUMIFS(Tabla1[EV],Tabla1[Fecha],"&lt;="&amp;A169,Tabla1[EV],"&gt;0"),NA())</f>
        <v>6343653.9918800006</v>
      </c>
      <c r="L169"/>
      <c r="M169" s="225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8">
        <f ca="1">+C170*Catalogo!$F$19+EV!D170*Catalogo!$F$14+EV!E170*Catalogo!$F$16+EV!F170*Catalogo!$F$18</f>
        <v>4838970.8118800009</v>
      </c>
      <c r="J170" s="228">
        <f ca="1">IF(TODAY()&gt;=$A170,SUMIFS(Tabla1[EV],Tabla1[Fecha],"&lt;="&amp;A170,Tabla1[EV],"&gt;0"),NA())</f>
        <v>6343653.9918800006</v>
      </c>
      <c r="L170"/>
      <c r="M170" s="225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8">
        <f ca="1">+C171*Catalogo!$F$19+EV!D171*Catalogo!$F$14+EV!E171*Catalogo!$F$16+EV!F171*Catalogo!$F$18</f>
        <v>4838970.8118800009</v>
      </c>
      <c r="J171" s="228">
        <f ca="1">IF(TODAY()&gt;=$A171,SUMIFS(Tabla1[EV],Tabla1[Fecha],"&lt;="&amp;A171,Tabla1[EV],"&gt;0"),NA())</f>
        <v>6343653.9918800006</v>
      </c>
      <c r="K171" s="291"/>
      <c r="L171"/>
      <c r="M171" s="225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8">
        <f ca="1">+C172*Catalogo!$F$19+EV!D172*Catalogo!$F$14+EV!E172*Catalogo!$F$16+EV!F172*Catalogo!$F$18</f>
        <v>4838970.8118800009</v>
      </c>
      <c r="J172" s="228">
        <f ca="1">IF(TODAY()&gt;=$A172,SUMIFS(Tabla1[EV],Tabla1[Fecha],"&lt;="&amp;A172,Tabla1[EV],"&gt;0"),NA())</f>
        <v>6343653.9918800006</v>
      </c>
      <c r="L172"/>
      <c r="M172" s="225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8">
        <f ca="1">+C173*Catalogo!$F$19+EV!D173*Catalogo!$F$14+EV!E173*Catalogo!$F$16+EV!F173*Catalogo!$F$18</f>
        <v>4838970.8118800009</v>
      </c>
      <c r="J173" s="228">
        <f ca="1">IF(TODAY()&gt;=$A173,SUMIFS(Tabla1[EV],Tabla1[Fecha],"&lt;="&amp;A173,Tabla1[EV],"&gt;0"),NA())</f>
        <v>6343653.9918800006</v>
      </c>
      <c r="L173"/>
      <c r="M173" s="225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8">
        <f ca="1">+C174*Catalogo!$F$19+EV!D174*Catalogo!$F$14+EV!E174*Catalogo!$F$16+EV!F174*Catalogo!$F$18</f>
        <v>4838970.8118800009</v>
      </c>
      <c r="J174" s="228">
        <f ca="1">IF(TODAY()&gt;=$A174,SUMIFS(Tabla1[EV],Tabla1[Fecha],"&lt;="&amp;A174,Tabla1[EV],"&gt;0"),NA())</f>
        <v>6386652.0718800006</v>
      </c>
      <c r="L174"/>
      <c r="M174" s="225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8">
        <f ca="1">+C175*Catalogo!$F$19+EV!D175*Catalogo!$F$14+EV!E175*Catalogo!$F$16+EV!F175*Catalogo!$F$18</f>
        <v>4852689.1094400007</v>
      </c>
      <c r="J175" s="228">
        <f ca="1">IF(TODAY()&gt;=$A175,SUMIFS(Tabla1[EV],Tabla1[Fecha],"&lt;="&amp;A175,Tabla1[EV],"&gt;0"),NA())</f>
        <v>6540114.1294400012</v>
      </c>
      <c r="L175"/>
      <c r="M175" s="22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8">
        <f ca="1">+C176*Catalogo!$F$19+EV!D176*Catalogo!$F$14+EV!E176*Catalogo!$F$16+EV!F176*Catalogo!$F$18</f>
        <v>4876940.1315100007</v>
      </c>
      <c r="J176" s="228">
        <f ca="1">IF(TODAY()&gt;=$A176,SUMIFS(Tabla1[EV],Tabla1[Fecha],"&lt;="&amp;A176,Tabla1[EV],"&gt;0"),NA())</f>
        <v>6564365.1515100012</v>
      </c>
      <c r="L176"/>
      <c r="M176" s="225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8">
        <f ca="1">+C177*Catalogo!$F$19+EV!D177*Catalogo!$F$14+EV!E177*Catalogo!$F$16+EV!F177*Catalogo!$F$18</f>
        <v>4882037.0483900011</v>
      </c>
      <c r="J177" s="228">
        <f ca="1">IF(TODAY()&gt;=$A177,SUMIFS(Tabla1[EV],Tabla1[Fecha],"&lt;="&amp;A177,Tabla1[EV],"&gt;0"),NA())</f>
        <v>6569462.0683900015</v>
      </c>
      <c r="L177"/>
      <c r="M177" s="225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8">
        <f ca="1">+C178*Catalogo!$F$19+EV!D178*Catalogo!$F$14+EV!E178*Catalogo!$F$16+EV!F178*Catalogo!$F$18</f>
        <v>4882037.0483900011</v>
      </c>
      <c r="J178" s="228">
        <f ca="1">IF(TODAY()&gt;=$A178,SUMIFS(Tabla1[EV],Tabla1[Fecha],"&lt;="&amp;A178,Tabla1[EV],"&gt;0"),NA())</f>
        <v>6569462.0683900015</v>
      </c>
      <c r="L178"/>
      <c r="M178" s="225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8">
        <f ca="1">+C179*Catalogo!$F$19+EV!D179*Catalogo!$F$14+EV!E179*Catalogo!$F$16+EV!F179*Catalogo!$F$18</f>
        <v>4897829.3573400006</v>
      </c>
      <c r="J179" s="228">
        <f ca="1">IF(TODAY()&gt;=$A179,SUMIFS(Tabla1[EV],Tabla1[Fecha],"&lt;="&amp;A179,Tabla1[EV],"&gt;0"),NA())</f>
        <v>6585254.377340002</v>
      </c>
      <c r="L179"/>
      <c r="M179" s="225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8">
        <f ca="1">+C180*Catalogo!$F$19+EV!D180*Catalogo!$F$14+EV!E180*Catalogo!$F$16+EV!F180*Catalogo!$F$18</f>
        <v>4913174.3305000011</v>
      </c>
      <c r="J180" s="228">
        <f ca="1">IF(TODAY()&gt;=$A180,SUMIFS(Tabla1[EV],Tabla1[Fecha],"&lt;="&amp;A180,Tabla1[EV],"&gt;0"),NA())</f>
        <v>6600599.3505000016</v>
      </c>
      <c r="L180"/>
      <c r="M180" s="225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8">
        <f ca="1">+C181*Catalogo!$F$19+EV!D181*Catalogo!$F$14+EV!E181*Catalogo!$F$16+EV!F181*Catalogo!$F$18</f>
        <v>4913174.3305000011</v>
      </c>
      <c r="J181" s="228">
        <f ca="1">IF(TODAY()&gt;=$A181,SUMIFS(Tabla1[EV],Tabla1[Fecha],"&lt;="&amp;A181,Tabla1[EV],"&gt;0"),NA())</f>
        <v>6600599.3505000016</v>
      </c>
      <c r="L181"/>
      <c r="M181" s="225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8">
        <f ca="1">+C182*Catalogo!$F$19+EV!D182*Catalogo!$F$14+EV!E182*Catalogo!$F$16+EV!F182*Catalogo!$F$18</f>
        <v>4919694.5885300012</v>
      </c>
      <c r="J182" s="228">
        <f ca="1">IF(TODAY()&gt;=$A182,SUMIFS(Tabla1[EV],Tabla1[Fecha],"&lt;="&amp;A182,Tabla1[EV],"&gt;0"),NA())</f>
        <v>6607119.6085300017</v>
      </c>
      <c r="L182"/>
      <c r="M182" s="225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8">
        <f ca="1">+C183*Catalogo!$F$19+EV!D183*Catalogo!$F$14+EV!E183*Catalogo!$F$16+EV!F183*Catalogo!$F$18</f>
        <v>4938957.1387600014</v>
      </c>
      <c r="J183" s="228">
        <f ca="1">IF(TODAY()&gt;=$A183,SUMIFS(Tabla1[EV],Tabla1[Fecha],"&lt;="&amp;A183,Tabla1[EV],"&gt;0"),NA())</f>
        <v>6626382.1587600019</v>
      </c>
      <c r="L183"/>
      <c r="M183" s="225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8">
        <f ca="1">+C184*Catalogo!$F$19+EV!D184*Catalogo!$F$14+EV!E184*Catalogo!$F$16+EV!F184*Catalogo!$F$18</f>
        <v>4938957.1387600014</v>
      </c>
      <c r="J184" s="228">
        <f ca="1">IF(TODAY()&gt;=$A184,SUMIFS(Tabla1[EV],Tabla1[Fecha],"&lt;="&amp;A184,Tabla1[EV],"&gt;0"),NA())</f>
        <v>6626382.1587600019</v>
      </c>
      <c r="L184"/>
      <c r="M184" s="225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8">
        <f ca="1">+C185*Catalogo!$F$19+EV!D185*Catalogo!$F$14+EV!E185*Catalogo!$F$16+EV!F185*Catalogo!$F$18</f>
        <v>4938957.1387600014</v>
      </c>
      <c r="J185" s="228">
        <f ca="1">IF(TODAY()&gt;=$A185,SUMIFS(Tabla1[EV],Tabla1[Fecha],"&lt;="&amp;A185,Tabla1[EV],"&gt;0"),NA())</f>
        <v>6626382.1587600019</v>
      </c>
      <c r="L185"/>
      <c r="M185" s="22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8">
        <f ca="1">+C186*Catalogo!$F$19+EV!D186*Catalogo!$F$14+EV!E186*Catalogo!$F$16+EV!F186*Catalogo!$F$18</f>
        <v>4961229.0388500011</v>
      </c>
      <c r="J186" s="228">
        <f ca="1">IF(TODAY()&gt;=$A186,SUMIFS(Tabla1[EV],Tabla1[Fecha],"&lt;="&amp;A186,Tabla1[EV],"&gt;0"),NA())</f>
        <v>6648654.0588500015</v>
      </c>
      <c r="L186"/>
      <c r="M186" s="225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8">
        <f ca="1">+C187*Catalogo!$F$19+EV!D187*Catalogo!$F$14+EV!E187*Catalogo!$F$16+EV!F187*Catalogo!$F$18</f>
        <v>4976574.0120100006</v>
      </c>
      <c r="J187" s="228">
        <f ca="1">IF(TODAY()&gt;=$A187,SUMIFS(Tabla1[EV],Tabla1[Fecha],"&lt;="&amp;A187,Tabla1[EV],"&gt;0"),NA())</f>
        <v>6663999.0320100011</v>
      </c>
      <c r="L187"/>
      <c r="M187" s="225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8">
        <f ca="1">+C188*Catalogo!$F$19+EV!D188*Catalogo!$F$14+EV!E188*Catalogo!$F$16+EV!F188*Catalogo!$F$18</f>
        <v>5000919.9234900009</v>
      </c>
      <c r="J188" s="228">
        <f ca="1">IF(TODAY()&gt;=$A188,SUMIFS(Tabla1[EV],Tabla1[Fecha],"&lt;="&amp;A188,Tabla1[EV],"&gt;0"),NA())</f>
        <v>6688344.9434900014</v>
      </c>
      <c r="L188"/>
      <c r="M188" s="225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8">
        <f ca="1">+C189*Catalogo!$F$19+EV!D189*Catalogo!$F$14+EV!E189*Catalogo!$F$16+EV!F189*Catalogo!$F$18</f>
        <v>5030660.9757100008</v>
      </c>
      <c r="J189" s="228">
        <f ca="1">IF(TODAY()&gt;=$A189,SUMIFS(Tabla1[EV],Tabla1[Fecha],"&lt;="&amp;A189,Tabla1[EV],"&gt;0"),NA())</f>
        <v>6718085.9957100013</v>
      </c>
      <c r="L189"/>
      <c r="M189" s="225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8">
        <f ca="1">+C190*Catalogo!$F$19+EV!D190*Catalogo!$F$14+EV!E190*Catalogo!$F$16+EV!F190*Catalogo!$F$18</f>
        <v>5066773.1740300013</v>
      </c>
      <c r="J190" s="228">
        <f ca="1">IF(TODAY()&gt;=$A190,SUMIFS(Tabla1[EV],Tabla1[Fecha],"&lt;="&amp;A190,Tabla1[EV],"&gt;0"),NA())</f>
        <v>6754198.1940300008</v>
      </c>
      <c r="L190"/>
      <c r="M190" s="225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8">
        <f ca="1">+C191*Catalogo!$F$19+EV!D191*Catalogo!$F$14+EV!E191*Catalogo!$F$16+EV!F191*Catalogo!$F$18</f>
        <v>5072236.0929200016</v>
      </c>
      <c r="J191" s="228">
        <f ca="1">IF(TODAY()&gt;=$A191,SUMIFS(Tabla1[EV],Tabla1[Fecha],"&lt;="&amp;A191,Tabla1[EV],"&gt;0"),NA())</f>
        <v>6759661.1129200011</v>
      </c>
      <c r="L191"/>
      <c r="M191" s="225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8">
        <f ca="1">+C192*Catalogo!$F$19+EV!D192*Catalogo!$F$14+EV!E192*Catalogo!$F$16+EV!F192*Catalogo!$F$18</f>
        <v>5072236.0929200016</v>
      </c>
      <c r="J192" s="228">
        <f ca="1">IF(TODAY()&gt;=$A192,SUMIFS(Tabla1[EV],Tabla1[Fecha],"&lt;="&amp;A192,Tabla1[EV],"&gt;0"),NA())</f>
        <v>6759661.1129200011</v>
      </c>
      <c r="L192"/>
      <c r="M192" s="225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8">
        <f ca="1">+C193*Catalogo!$F$19+EV!D193*Catalogo!$F$14+EV!E193*Catalogo!$F$16+EV!F193*Catalogo!$F$18</f>
        <v>5088909.5178200016</v>
      </c>
      <c r="J193" s="228">
        <f ca="1">IF(TODAY()&gt;=$A193,SUMIFS(Tabla1[EV],Tabla1[Fecha],"&lt;="&amp;A193,Tabla1[EV],"&gt;0"),NA())</f>
        <v>6776334.5378200011</v>
      </c>
      <c r="L193"/>
      <c r="M193" s="225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8">
        <f ca="1">+C194*Catalogo!$F$19+EV!D194*Catalogo!$F$14+EV!E194*Catalogo!$F$16+EV!F194*Catalogo!$F$18</f>
        <v>5099238.9078800017</v>
      </c>
      <c r="J194" s="228">
        <f ca="1">IF(TODAY()&gt;=$A194,SUMIFS(Tabla1[EV],Tabla1[Fecha],"&lt;="&amp;A194,Tabla1[EV],"&gt;0"),NA())</f>
        <v>6786663.9278800013</v>
      </c>
      <c r="L194"/>
      <c r="M194" s="225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8">
        <f ca="1">+C195*Catalogo!$F$19+EV!D195*Catalogo!$F$14+EV!E195*Catalogo!$F$16+EV!F195*Catalogo!$F$18</f>
        <v>5117552.5640100017</v>
      </c>
      <c r="J195" s="228">
        <f ca="1">IF(TODAY()&gt;=$A195,SUMIFS(Tabla1[EV],Tabla1[Fecha],"&lt;="&amp;A195,Tabla1[EV],"&gt;0"),NA())</f>
        <v>6804977.5840100013</v>
      </c>
      <c r="L195"/>
      <c r="M195" s="22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8">
        <f ca="1">+C196*Catalogo!$F$19+EV!D196*Catalogo!$F$14+EV!E196*Catalogo!$F$16+EV!F196*Catalogo!$F$18</f>
        <v>5131230.1946800016</v>
      </c>
      <c r="J196" s="228">
        <f ca="1">IF(TODAY()&gt;=$A196,SUMIFS(Tabla1[EV],Tabla1[Fecha],"&lt;="&amp;A196,Tabla1[EV],"&gt;0"),NA())</f>
        <v>6818655.2146800011</v>
      </c>
      <c r="L196"/>
      <c r="M196" s="225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8">
        <f ca="1">+C197*Catalogo!$F$19+EV!D197*Catalogo!$F$14+EV!E197*Catalogo!$F$16+EV!F197*Catalogo!$F$18</f>
        <v>5166226.7927800016</v>
      </c>
      <c r="J197" s="228">
        <f ca="1">IF(TODAY()&gt;=$A197,SUMIFS(Tabla1[EV],Tabla1[Fecha],"&lt;="&amp;A197,Tabla1[EV],"&gt;0"),NA())</f>
        <v>6853651.8127800012</v>
      </c>
      <c r="L197"/>
      <c r="M197" s="225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8">
        <f ca="1">+C198*Catalogo!$F$19+EV!D198*Catalogo!$F$14+EV!E198*Catalogo!$F$16+EV!F198*Catalogo!$F$18</f>
        <v>5194195.0284400014</v>
      </c>
      <c r="J198" s="228">
        <f ca="1">IF(TODAY()&gt;=$A198,SUMIFS(Tabla1[EV],Tabla1[Fecha],"&lt;="&amp;A198,Tabla1[EV],"&gt;0"),NA())</f>
        <v>6881620.048440001</v>
      </c>
      <c r="L198"/>
      <c r="M198" s="225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8">
        <f ca="1">+C199*Catalogo!$F$19+EV!D199*Catalogo!$F$14+EV!E199*Catalogo!$F$16+EV!F199*Catalogo!$F$18</f>
        <v>5194195.0284400014</v>
      </c>
      <c r="J199" s="228">
        <f ca="1">IF(TODAY()&gt;=$A199,SUMIFS(Tabla1[EV],Tabla1[Fecha],"&lt;="&amp;A199,Tabla1[EV],"&gt;0"),NA())</f>
        <v>6881620.048440001</v>
      </c>
      <c r="L199"/>
      <c r="M199" s="225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8">
        <f ca="1">+C200*Catalogo!$F$19+EV!D200*Catalogo!$F$14+EV!E200*Catalogo!$F$16+EV!F200*Catalogo!$F$18</f>
        <v>5208713.1081700018</v>
      </c>
      <c r="J200" s="228">
        <f ca="1">IF(TODAY()&gt;=$A200,SUMIFS(Tabla1[EV],Tabla1[Fecha],"&lt;="&amp;A200,Tabla1[EV],"&gt;0"),NA())</f>
        <v>6896138.1281700013</v>
      </c>
      <c r="L200"/>
      <c r="M200" s="225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8">
        <f ca="1">+C201*Catalogo!$F$19+EV!D201*Catalogo!$F$14+EV!E201*Catalogo!$F$16+EV!F201*Catalogo!$F$18</f>
        <v>5225982.9807900013</v>
      </c>
      <c r="J201" s="228">
        <f ca="1">IF(TODAY()&gt;=$A201,SUMIFS(Tabla1[EV],Tabla1[Fecha],"&lt;="&amp;A201,Tabla1[EV],"&gt;0"),NA())</f>
        <v>6913408.0007900009</v>
      </c>
      <c r="L201"/>
      <c r="M201" s="225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8">
        <f ca="1">+C202*Catalogo!$F$19+EV!D202*Catalogo!$F$14+EV!E202*Catalogo!$F$16+EV!F202*Catalogo!$F$18</f>
        <v>5238901.4961800016</v>
      </c>
      <c r="J202" s="228">
        <f ca="1">IF(TODAY()&gt;=$A202,SUMIFS(Tabla1[EV],Tabla1[Fecha],"&lt;="&amp;A202,Tabla1[EV],"&gt;0"),NA())</f>
        <v>6926326.5161800012</v>
      </c>
      <c r="L202"/>
      <c r="M202" s="225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8">
        <f ca="1">+C203*Catalogo!$F$19+EV!D203*Catalogo!$F$14+EV!E203*Catalogo!$F$16+EV!F203*Catalogo!$F$18</f>
        <v>5276250.5627000015</v>
      </c>
      <c r="J203" s="228">
        <f ca="1">IF(TODAY()&gt;=$A203,SUMIFS(Tabla1[EV],Tabla1[Fecha],"&lt;="&amp;A203,Tabla1[EV],"&gt;0"),NA())</f>
        <v>6963675.5827000011</v>
      </c>
      <c r="L203"/>
      <c r="M203" s="225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8">
        <f ca="1">+C204*Catalogo!$F$19+EV!D204*Catalogo!$F$14+EV!E204*Catalogo!$F$16+EV!F204*Catalogo!$F$18</f>
        <v>5313323.7224300019</v>
      </c>
      <c r="J204" s="228">
        <f ca="1">IF(TODAY()&gt;=$A204,SUMIFS(Tabla1[EV],Tabla1[Fecha],"&lt;="&amp;A204,Tabla1[EV],"&gt;0"),NA())</f>
        <v>7000748.7424300015</v>
      </c>
      <c r="L204"/>
      <c r="M204" s="225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8">
        <f ca="1">+C205*Catalogo!$F$19+EV!D205*Catalogo!$F$14+EV!E205*Catalogo!$F$16+EV!F205*Catalogo!$F$18</f>
        <v>5339346.0891500013</v>
      </c>
      <c r="J205" s="228">
        <f ca="1">IF(TODAY()&gt;=$A205,SUMIFS(Tabla1[EV],Tabla1[Fecha],"&lt;="&amp;A205,Tabla1[EV],"&gt;0"),NA())</f>
        <v>7026771.1091500018</v>
      </c>
      <c r="L205"/>
      <c r="M205" s="22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8">
        <f ca="1">+C206*Catalogo!$F$19+EV!D206*Catalogo!$F$14+EV!E206*Catalogo!$F$16+EV!F206*Catalogo!$F$18</f>
        <v>5339346.0891500013</v>
      </c>
      <c r="J206" s="228">
        <f ca="1">IF(TODAY()&gt;=$A206,SUMIFS(Tabla1[EV],Tabla1[Fecha],"&lt;="&amp;A206,Tabla1[EV],"&gt;0"),NA())</f>
        <v>7026771.1091500018</v>
      </c>
      <c r="L206"/>
      <c r="M206" s="225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8">
        <f ca="1">+C207*Catalogo!$F$19+EV!D207*Catalogo!$F$14+EV!E207*Catalogo!$F$16+EV!F207*Catalogo!$F$18</f>
        <v>5351659.0715900017</v>
      </c>
      <c r="J207" s="228">
        <f ca="1">IF(TODAY()&gt;=$A207,SUMIFS(Tabla1[EV],Tabla1[Fecha],"&lt;="&amp;A207,Tabla1[EV],"&gt;0"),NA())</f>
        <v>7039084.0915900012</v>
      </c>
      <c r="L207"/>
      <c r="M207" s="225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8">
        <f ca="1">+C208*Catalogo!$F$19+EV!D208*Catalogo!$F$14+EV!E208*Catalogo!$F$16+EV!F208*Catalogo!$F$18</f>
        <v>5355993.3179900013</v>
      </c>
      <c r="J208" s="228">
        <f ca="1">IF(TODAY()&gt;=$A208,SUMIFS(Tabla1[EV],Tabla1[Fecha],"&lt;="&amp;A208,Tabla1[EV],"&gt;0"),NA())</f>
        <v>7043418.3379900008</v>
      </c>
      <c r="L208"/>
      <c r="M208" s="225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8">
        <f ca="1">+C209*Catalogo!$F$19+EV!D209*Catalogo!$F$14+EV!E209*Catalogo!$F$16+EV!F209*Catalogo!$F$18</f>
        <v>5357335.325360002</v>
      </c>
      <c r="J209" s="228">
        <f ca="1">IF(TODAY()&gt;=$A209,SUMIFS(Tabla1[EV],Tabla1[Fecha],"&lt;="&amp;A209,Tabla1[EV],"&gt;0"),NA())</f>
        <v>7044760.3453600006</v>
      </c>
      <c r="L209"/>
      <c r="M209" s="225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8">
        <f ca="1">+C210*Catalogo!$F$19+EV!D210*Catalogo!$F$14+EV!E210*Catalogo!$F$16+EV!F210*Catalogo!$F$18</f>
        <v>5358078.0165400021</v>
      </c>
      <c r="J210" s="228">
        <f ca="1">IF(TODAY()&gt;=$A210,SUMIFS(Tabla1[EV],Tabla1[Fecha],"&lt;="&amp;A210,Tabla1[EV],"&gt;0"),NA())</f>
        <v>7045503.0365400007</v>
      </c>
      <c r="L210"/>
      <c r="M210" s="225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8">
        <f ca="1">+C211*Catalogo!$F$19+EV!D211*Catalogo!$F$14+EV!E211*Catalogo!$F$16+EV!F211*Catalogo!$F$18</f>
        <v>5360084.8629200011</v>
      </c>
      <c r="J211" s="228">
        <f ca="1">IF(TODAY()&gt;=$A211,SUMIFS(Tabla1[EV],Tabla1[Fecha],"&lt;="&amp;A211,Tabla1[EV],"&gt;0"),NA())</f>
        <v>7047509.8829200007</v>
      </c>
      <c r="L211"/>
      <c r="M211" s="225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8">
        <f ca="1">+C212*Catalogo!$F$19+EV!D212*Catalogo!$F$14+EV!E212*Catalogo!$F$16+EV!F212*Catalogo!$F$18</f>
        <v>5361130.0483800014</v>
      </c>
      <c r="J212" s="228">
        <f ca="1">IF(TODAY()&gt;=$A212,SUMIFS(Tabla1[EV],Tabla1[Fecha],"&lt;="&amp;A212,Tabla1[EV],"&gt;0"),NA())</f>
        <v>7048555.068380001</v>
      </c>
      <c r="L212"/>
      <c r="M212" s="225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8">
        <f ca="1">+C213*Catalogo!$F$19+EV!D213*Catalogo!$F$14+EV!E213*Catalogo!$F$16+EV!F213*Catalogo!$F$18</f>
        <v>5361130.0483800014</v>
      </c>
      <c r="J213" s="228">
        <f ca="1">IF(TODAY()&gt;=$A213,SUMIFS(Tabla1[EV],Tabla1[Fecha],"&lt;="&amp;A213,Tabla1[EV],"&gt;0"),NA())</f>
        <v>7048555.068380001</v>
      </c>
      <c r="L213"/>
      <c r="M213" s="225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8">
        <f ca="1">+C214*Catalogo!$F$19+EV!D214*Catalogo!$F$14+EV!E214*Catalogo!$F$16+EV!F214*Catalogo!$F$18</f>
        <v>5390056.6971000014</v>
      </c>
      <c r="J214" s="228">
        <f ca="1">IF(TODAY()&gt;=$A214,SUMIFS(Tabla1[EV],Tabla1[Fecha],"&lt;="&amp;A214,Tabla1[EV],"&gt;0"),NA())</f>
        <v>7077481.7171000009</v>
      </c>
      <c r="L214"/>
      <c r="M214" s="225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8">
        <f ca="1">+C215*Catalogo!$F$19+EV!D215*Catalogo!$F$14+EV!E215*Catalogo!$F$16+EV!F215*Catalogo!$F$18</f>
        <v>5418997.8672300018</v>
      </c>
      <c r="J215" s="228">
        <f ca="1">IF(TODAY()&gt;=$A215,SUMIFS(Tabla1[EV],Tabla1[Fecha],"&lt;="&amp;A215,Tabla1[EV],"&gt;0"),NA())</f>
        <v>7106422.8872300014</v>
      </c>
      <c r="L215"/>
      <c r="M215" s="22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8">
        <f ca="1">+C216*Catalogo!$F$19+EV!D216*Catalogo!$F$14+EV!E216*Catalogo!$F$16+EV!F216*Catalogo!$F$18</f>
        <v>5429075.7257700013</v>
      </c>
      <c r="J216" s="228">
        <f ca="1">IF(TODAY()&gt;=$A216,SUMIFS(Tabla1[EV],Tabla1[Fecha],"&lt;="&amp;A216,Tabla1[EV],"&gt;0"),NA())</f>
        <v>7116500.7457700018</v>
      </c>
      <c r="L216"/>
      <c r="M216" s="225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8">
        <f ca="1">+C217*Catalogo!$F$19+EV!D217*Catalogo!$F$14+EV!E217*Catalogo!$F$16+EV!F217*Catalogo!$F$18</f>
        <v>5450306.0271900017</v>
      </c>
      <c r="J217" s="228">
        <f ca="1">IF(TODAY()&gt;=$A217,SUMIFS(Tabla1[EV],Tabla1[Fecha],"&lt;="&amp;A217,Tabla1[EV],"&gt;0"),NA())</f>
        <v>7137731.0471900012</v>
      </c>
      <c r="L217"/>
      <c r="M217" s="225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8">
        <f ca="1">+C218*Catalogo!$F$19+EV!D218*Catalogo!$F$14+EV!E218*Catalogo!$F$16+EV!F218*Catalogo!$F$18</f>
        <v>5455276.866030002</v>
      </c>
      <c r="J218" s="228">
        <f ca="1">IF(TODAY()&gt;=$A218,SUMIFS(Tabla1[EV],Tabla1[Fecha],"&lt;="&amp;A218,Tabla1[EV],"&gt;0"),NA())</f>
        <v>7142701.8860300006</v>
      </c>
      <c r="L218"/>
      <c r="M218" s="225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8">
        <f ca="1">+C219*Catalogo!$F$19+EV!D219*Catalogo!$F$14+EV!E219*Catalogo!$F$16+EV!F219*Catalogo!$F$18</f>
        <v>5482577.1168300016</v>
      </c>
      <c r="J219" s="228">
        <f ca="1">IF(TODAY()&gt;=$A219,SUMIFS(Tabla1[EV],Tabla1[Fecha],"&lt;="&amp;A219,Tabla1[EV],"&gt;0"),NA())</f>
        <v>7170002.1368300002</v>
      </c>
      <c r="L219"/>
      <c r="M219" s="225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8">
        <f ca="1">+C220*Catalogo!$F$19+EV!D220*Catalogo!$F$14+EV!E220*Catalogo!$F$16+EV!F220*Catalogo!$F$18</f>
        <v>5482577.1168300016</v>
      </c>
      <c r="J220" s="228">
        <f ca="1">IF(TODAY()&gt;=$A220,SUMIFS(Tabla1[EV],Tabla1[Fecha],"&lt;="&amp;A220,Tabla1[EV],"&gt;0"),NA())</f>
        <v>7170002.1368300002</v>
      </c>
      <c r="L220"/>
      <c r="M220" s="225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8">
        <f ca="1">+C221*Catalogo!$F$19+EV!D221*Catalogo!$F$14+EV!E221*Catalogo!$F$16+EV!F221*Catalogo!$F$18</f>
        <v>5502645.7054500021</v>
      </c>
      <c r="J221" s="228">
        <f ca="1">IF(TODAY()&gt;=$A221,SUMIFS(Tabla1[EV],Tabla1[Fecha],"&lt;="&amp;A221,Tabla1[EV],"&gt;0"),NA())</f>
        <v>7190070.7254499998</v>
      </c>
      <c r="L221"/>
      <c r="M221" s="225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8">
        <f ca="1">+C222*Catalogo!$F$19+EV!D222*Catalogo!$F$14+EV!E222*Catalogo!$F$16+EV!F222*Catalogo!$F$18</f>
        <v>5522844.9867600016</v>
      </c>
      <c r="J222" s="228">
        <f ca="1">IF(TODAY()&gt;=$A222,SUMIFS(Tabla1[EV],Tabla1[Fecha],"&lt;="&amp;A222,Tabla1[EV],"&gt;0"),NA())</f>
        <v>7210270.0067600003</v>
      </c>
      <c r="L222"/>
      <c r="M222" s="225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8">
        <f ca="1">+C223*Catalogo!$F$19+EV!D223*Catalogo!$F$14+EV!E223*Catalogo!$F$16+EV!F223*Catalogo!$F$18</f>
        <v>5537758.4748300016</v>
      </c>
      <c r="J223" s="228">
        <f ca="1">IF(TODAY()&gt;=$A223,SUMIFS(Tabla1[EV],Tabla1[Fecha],"&lt;="&amp;A223,Tabla1[EV],"&gt;0"),NA())</f>
        <v>7225183.4948299993</v>
      </c>
      <c r="L223"/>
      <c r="M223" s="225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8">
        <f ca="1">+C224*Catalogo!$F$19+EV!D224*Catalogo!$F$14+EV!E224*Catalogo!$F$16+EV!F224*Catalogo!$F$18</f>
        <v>5550871.3080600016</v>
      </c>
      <c r="J224" s="228">
        <f ca="1">IF(TODAY()&gt;=$A224,SUMIFS(Tabla1[EV],Tabla1[Fecha],"&lt;="&amp;A224,Tabla1[EV],"&gt;0"),NA())</f>
        <v>7238296.3280599993</v>
      </c>
      <c r="L224"/>
      <c r="M224" s="225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8">
        <f ca="1">+C225*Catalogo!$F$19+EV!D225*Catalogo!$F$14+EV!E225*Catalogo!$F$16+EV!F225*Catalogo!$F$18</f>
        <v>5563533.9775800016</v>
      </c>
      <c r="J225" s="228">
        <f ca="1">IF(TODAY()&gt;=$A225,SUMIFS(Tabla1[EV],Tabla1[Fecha],"&lt;="&amp;A225,Tabla1[EV],"&gt;0"),NA())</f>
        <v>7250958.9975799993</v>
      </c>
      <c r="L225"/>
      <c r="M225" s="225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8">
        <f ca="1">+C226*Catalogo!$F$19+EV!D226*Catalogo!$F$14+EV!E226*Catalogo!$F$16+EV!F226*Catalogo!$F$18</f>
        <v>5563533.9775800016</v>
      </c>
      <c r="J226" s="228">
        <f ca="1">IF(TODAY()&gt;=$A226,SUMIFS(Tabla1[EV],Tabla1[Fecha],"&lt;="&amp;A226,Tabla1[EV],"&gt;0"),NA())</f>
        <v>7250958.9975799993</v>
      </c>
      <c r="L226"/>
      <c r="M226" s="225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8">
        <f ca="1">+C227*Catalogo!$F$19+EV!D227*Catalogo!$F$14+EV!E227*Catalogo!$F$16+EV!F227*Catalogo!$F$18</f>
        <v>5563533.9775800016</v>
      </c>
      <c r="J227" s="228">
        <f ca="1">IF(TODAY()&gt;=$A227,SUMIFS(Tabla1[EV],Tabla1[Fecha],"&lt;="&amp;A227,Tabla1[EV],"&gt;0"),NA())</f>
        <v>7250958.9975799993</v>
      </c>
      <c r="L227"/>
      <c r="M227" s="225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8">
        <f ca="1">+C228*Catalogo!$F$19+EV!D228*Catalogo!$F$14+EV!E228*Catalogo!$F$16+EV!F228*Catalogo!$F$18</f>
        <v>5570315.4760500016</v>
      </c>
      <c r="J228" s="228">
        <f ca="1">IF(TODAY()&gt;=$A228,SUMIFS(Tabla1[EV],Tabla1[Fecha],"&lt;="&amp;A228,Tabla1[EV],"&gt;0"),NA())</f>
        <v>7257740.4960499993</v>
      </c>
      <c r="L228"/>
      <c r="M228" s="225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8">
        <f ca="1">+C229*Catalogo!$F$19+EV!D229*Catalogo!$F$14+EV!E229*Catalogo!$F$16+EV!F229*Catalogo!$F$18</f>
        <v>5580451.4202300012</v>
      </c>
      <c r="J229" s="228">
        <f ca="1">IF(TODAY()&gt;=$A229,SUMIFS(Tabla1[EV],Tabla1[Fecha],"&lt;="&amp;A229,Tabla1[EV],"&gt;0"),NA())</f>
        <v>7267876.4402299989</v>
      </c>
      <c r="L229"/>
      <c r="M229" s="225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8">
        <f ca="1">+C230*Catalogo!$F$19+EV!D230*Catalogo!$F$14+EV!E230*Catalogo!$F$16+EV!F230*Catalogo!$F$18</f>
        <v>5586826.3192200018</v>
      </c>
      <c r="J230" s="228">
        <f ca="1">IF(TODAY()&gt;=$A230,SUMIFS(Tabla1[EV],Tabla1[Fecha],"&lt;="&amp;A230,Tabla1[EV],"&gt;0"),NA())</f>
        <v>7274251.3392199986</v>
      </c>
      <c r="L230"/>
      <c r="M230" s="225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8">
        <f ca="1">+C231*Catalogo!$F$19+EV!D231*Catalogo!$F$14+EV!E231*Catalogo!$F$16+EV!F231*Catalogo!$F$18</f>
        <v>5603845.4117400013</v>
      </c>
      <c r="J231" s="228">
        <f ca="1">IF(TODAY()&gt;=$A231,SUMIFS(Tabla1[EV],Tabla1[Fecha],"&lt;="&amp;A231,Tabla1[EV],"&gt;0"),NA())</f>
        <v>7291270.4317399981</v>
      </c>
      <c r="L231"/>
      <c r="M231" s="225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8">
        <f ca="1">+C232*Catalogo!$F$19+EV!D232*Catalogo!$F$14+EV!E232*Catalogo!$F$16+EV!F232*Catalogo!$F$18</f>
        <v>5609318.651250002</v>
      </c>
      <c r="J232" s="228">
        <f ca="1">IF(TODAY()&gt;=$A232,SUMIFS(Tabla1[EV],Tabla1[Fecha],"&lt;="&amp;A232,Tabla1[EV],"&gt;0"),NA())</f>
        <v>7296743.6712499978</v>
      </c>
      <c r="L232"/>
      <c r="M232" s="225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8">
        <f ca="1">+C233*Catalogo!$F$19+EV!D233*Catalogo!$F$14+EV!E233*Catalogo!$F$16+EV!F233*Catalogo!$F$18</f>
        <v>5609553.554870002</v>
      </c>
      <c r="J233" s="228">
        <f ca="1">IF(TODAY()&gt;=$A233,SUMIFS(Tabla1[EV],Tabla1[Fecha],"&lt;="&amp;A233,Tabla1[EV],"&gt;0"),NA())</f>
        <v>7296978.5748699978</v>
      </c>
      <c r="L233"/>
      <c r="M233" s="225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8">
        <f ca="1">+C234*Catalogo!$F$19+EV!D234*Catalogo!$F$14+EV!E234*Catalogo!$F$16+EV!F234*Catalogo!$F$18</f>
        <v>5609553.554870002</v>
      </c>
      <c r="J234" s="228">
        <f ca="1">IF(TODAY()&gt;=$A234,SUMIFS(Tabla1[EV],Tabla1[Fecha],"&lt;="&amp;A234,Tabla1[EV],"&gt;0"),NA())</f>
        <v>7296978.5748699978</v>
      </c>
      <c r="L234"/>
      <c r="M234" s="225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8">
        <f ca="1">+C235*Catalogo!$F$19+EV!D235*Catalogo!$F$14+EV!E235*Catalogo!$F$16+EV!F235*Catalogo!$F$18</f>
        <v>5616756.1742300009</v>
      </c>
      <c r="J235" s="228">
        <f ca="1">IF(TODAY()&gt;=$A235,SUMIFS(Tabla1[EV],Tabla1[Fecha],"&lt;="&amp;A235,Tabla1[EV],"&gt;0"),NA())</f>
        <v>7304181.1942299977</v>
      </c>
      <c r="L235"/>
      <c r="M235" s="225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8">
        <f ca="1">+C236*Catalogo!$F$19+EV!D236*Catalogo!$F$14+EV!E236*Catalogo!$F$16+EV!F236*Catalogo!$F$18</f>
        <v>5629404.3223400014</v>
      </c>
      <c r="J236" s="228">
        <f ca="1">IF(TODAY()&gt;=$A236,SUMIFS(Tabla1[EV],Tabla1[Fecha],"&lt;="&amp;A236,Tabla1[EV],"&gt;0"),NA())</f>
        <v>7316829.3423399981</v>
      </c>
      <c r="L236"/>
      <c r="M236" s="225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8">
        <f ca="1">+C237*Catalogo!$F$19+EV!D237*Catalogo!$F$14+EV!E237*Catalogo!$F$16+EV!F237*Catalogo!$F$18</f>
        <v>5629404.3223400014</v>
      </c>
      <c r="J237" s="228">
        <f ca="1">IF(TODAY()&gt;=$A237,SUMIFS(Tabla1[EV],Tabla1[Fecha],"&lt;="&amp;A237,Tabla1[EV],"&gt;0"),NA())</f>
        <v>7316829.3423399981</v>
      </c>
      <c r="L237"/>
      <c r="M237" s="225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8">
        <f ca="1">+C238*Catalogo!$F$19+EV!D238*Catalogo!$F$14+EV!E238*Catalogo!$F$16+EV!F238*Catalogo!$F$18</f>
        <v>5650810.7684900016</v>
      </c>
      <c r="J238" s="228">
        <f ca="1">IF(TODAY()&gt;=$A238,SUMIFS(Tabla1[EV],Tabla1[Fecha],"&lt;="&amp;A238,Tabla1[EV],"&gt;0"),NA())</f>
        <v>7338235.7884899983</v>
      </c>
      <c r="L238"/>
      <c r="M238" s="225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8">
        <f ca="1">+C239*Catalogo!$F$19+EV!D239*Catalogo!$F$14+EV!E239*Catalogo!$F$16+EV!F239*Catalogo!$F$18</f>
        <v>5652381.0218900014</v>
      </c>
      <c r="J239" s="228">
        <f ca="1">IF(TODAY()&gt;=$A239,SUMIFS(Tabla1[EV],Tabla1[Fecha],"&lt;="&amp;A239,Tabla1[EV],"&gt;0"),NA())</f>
        <v>7339806.0418899991</v>
      </c>
      <c r="L239"/>
      <c r="M239" s="225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8">
        <f ca="1">+C240*Catalogo!$F$19+EV!D240*Catalogo!$F$14+EV!E240*Catalogo!$F$16+EV!F240*Catalogo!$F$18</f>
        <v>5654281.7695300011</v>
      </c>
      <c r="J240" s="228">
        <f ca="1">IF(TODAY()&gt;=$A240,SUMIFS(Tabla1[EV],Tabla1[Fecha],"&lt;="&amp;A240,Tabla1[EV],"&gt;0"),NA())</f>
        <v>7341706.7895299988</v>
      </c>
      <c r="L240"/>
      <c r="M240" s="225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8">
        <f ca="1">+C241*Catalogo!$F$19+EV!D241*Catalogo!$F$14+EV!E241*Catalogo!$F$16+EV!F241*Catalogo!$F$18</f>
        <v>5654281.7695300011</v>
      </c>
      <c r="J241" s="228">
        <f ca="1">IF(TODAY()&gt;=$A241,SUMIFS(Tabla1[EV],Tabla1[Fecha],"&lt;="&amp;A241,Tabla1[EV],"&gt;0"),NA())</f>
        <v>7341706.7895299988</v>
      </c>
      <c r="L241"/>
      <c r="M241" s="225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8">
        <f ca="1">+C242*Catalogo!$F$19+EV!D242*Catalogo!$F$14+EV!E242*Catalogo!$F$16+EV!F242*Catalogo!$F$18</f>
        <v>5664330.5852500014</v>
      </c>
      <c r="J242" s="228">
        <f ca="1">IF(TODAY()&gt;=$A242,SUMIFS(Tabla1[EV],Tabla1[Fecha],"&lt;="&amp;A242,Tabla1[EV],"&gt;0"),NA())</f>
        <v>7351755.6052499991</v>
      </c>
      <c r="L242"/>
      <c r="M242" s="225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8">
        <f ca="1">+C243*Catalogo!$F$19+EV!D243*Catalogo!$F$14+EV!E243*Catalogo!$F$16+EV!F243*Catalogo!$F$18</f>
        <v>5668549.7150000017</v>
      </c>
      <c r="J243" s="228">
        <f ca="1">IF(TODAY()&gt;=$A243,SUMIFS(Tabla1[EV],Tabla1[Fecha],"&lt;="&amp;A243,Tabla1[EV],"&gt;0"),NA())</f>
        <v>7355974.7349999985</v>
      </c>
      <c r="L243"/>
      <c r="M243" s="225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8">
        <f ca="1">+C244*Catalogo!$F$19+EV!D244*Catalogo!$F$14+EV!E244*Catalogo!$F$16+EV!F244*Catalogo!$F$18</f>
        <v>5681038.1276000012</v>
      </c>
      <c r="J244" s="228">
        <f ca="1">IF(TODAY()&gt;=$A244,SUMIFS(Tabla1[EV],Tabla1[Fecha],"&lt;="&amp;A244,Tabla1[EV],"&gt;0"),NA())</f>
        <v>7368463.1475999989</v>
      </c>
      <c r="L244"/>
      <c r="M244" s="225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8">
        <f ca="1">+C245*Catalogo!$F$19+EV!D245*Catalogo!$F$14+EV!E245*Catalogo!$F$16+EV!F245*Catalogo!$F$18</f>
        <v>5684063.0704000015</v>
      </c>
      <c r="J245" s="228">
        <f ca="1">IF(TODAY()&gt;=$A245,SUMIFS(Tabla1[EV],Tabla1[Fecha],"&lt;="&amp;A245,Tabla1[EV],"&gt;0"),NA())</f>
        <v>7371488.0903999982</v>
      </c>
      <c r="L245"/>
      <c r="M245" s="225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8">
        <f ca="1">+C246*Catalogo!$F$19+EV!D246*Catalogo!$F$14+EV!E246*Catalogo!$F$16+EV!F246*Catalogo!$F$18</f>
        <v>5690164.8766600015</v>
      </c>
      <c r="J246" s="228">
        <f ca="1">IF(TODAY()&gt;=$A246,SUMIFS(Tabla1[EV],Tabla1[Fecha],"&lt;="&amp;A246,Tabla1[EV],"&gt;0"),NA())</f>
        <v>7377589.8966599982</v>
      </c>
      <c r="L246"/>
      <c r="M246" s="225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8">
        <f ca="1">+C247*Catalogo!$F$19+EV!D247*Catalogo!$F$14+EV!E247*Catalogo!$F$16+EV!F247*Catalogo!$F$18</f>
        <v>5693483.2840600014</v>
      </c>
      <c r="J247" s="228">
        <f ca="1">IF(TODAY()&gt;=$A247,SUMIFS(Tabla1[EV],Tabla1[Fecha],"&lt;="&amp;A247,Tabla1[EV],"&gt;0"),NA())</f>
        <v>7380908.3040599981</v>
      </c>
      <c r="L247"/>
      <c r="M247" s="225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8">
        <f ca="1">+C248*Catalogo!$F$19+EV!D248*Catalogo!$F$14+EV!E248*Catalogo!$F$16+EV!F248*Catalogo!$F$18</f>
        <v>5693483.2840600014</v>
      </c>
      <c r="J248" s="228">
        <f ca="1">IF(TODAY()&gt;=$A248,SUMIFS(Tabla1[EV],Tabla1[Fecha],"&lt;="&amp;A248,Tabla1[EV],"&gt;0"),NA())</f>
        <v>7380908.3040599981</v>
      </c>
      <c r="L248"/>
      <c r="M248" s="225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8">
        <f ca="1">+C249*Catalogo!$F$19+EV!D249*Catalogo!$F$14+EV!E249*Catalogo!$F$16+EV!F249*Catalogo!$F$18</f>
        <v>5706738.8543000007</v>
      </c>
      <c r="J249" s="228">
        <f ca="1">IF(TODAY()&gt;=$A249,SUMIFS(Tabla1[EV],Tabla1[Fecha],"&lt;="&amp;A249,Tabla1[EV],"&gt;0"),NA())</f>
        <v>7394163.8742999984</v>
      </c>
      <c r="L249"/>
      <c r="M249" s="225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8">
        <f ca="1">+C250*Catalogo!$F$19+EV!D250*Catalogo!$F$14+EV!E250*Catalogo!$F$16+EV!F250*Catalogo!$F$18</f>
        <v>5725965.2011400014</v>
      </c>
      <c r="J250" s="228">
        <f ca="1">IF(TODAY()&gt;=$A250,SUMIFS(Tabla1[EV],Tabla1[Fecha],"&lt;="&amp;A250,Tabla1[EV],"&gt;0"),NA())</f>
        <v>7413390.2211399982</v>
      </c>
      <c r="L250"/>
      <c r="M250" s="225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8">
        <f ca="1">+C251*Catalogo!$F$19+EV!D251*Catalogo!$F$14+EV!E251*Catalogo!$F$16+EV!F251*Catalogo!$F$18</f>
        <v>5726589.621770001</v>
      </c>
      <c r="J251" s="228">
        <f ca="1">IF(TODAY()&gt;=$A251,SUMIFS(Tabla1[EV],Tabla1[Fecha],"&lt;="&amp;A251,Tabla1[EV],"&gt;0"),NA())</f>
        <v>7414014.6417699978</v>
      </c>
      <c r="L251"/>
      <c r="M251" s="225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8">
        <f ca="1">+C252*Catalogo!$F$19+EV!D252*Catalogo!$F$14+EV!E252*Catalogo!$F$16+EV!F252*Catalogo!$F$18</f>
        <v>5751580.9683800004</v>
      </c>
      <c r="J252" s="228">
        <f ca="1">IF(TODAY()&gt;=$A252,SUMIFS(Tabla1[EV],Tabla1[Fecha],"&lt;="&amp;A252,Tabla1[EV],"&gt;0"),NA())</f>
        <v>7439005.9883799981</v>
      </c>
      <c r="L252"/>
      <c r="M252" s="225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8">
        <f ca="1">+C253*Catalogo!$F$19+EV!D253*Catalogo!$F$14+EV!E253*Catalogo!$F$16+EV!F253*Catalogo!$F$18</f>
        <v>5785706.2818800006</v>
      </c>
      <c r="J253" s="228">
        <f ca="1">IF(TODAY()&gt;=$A253,SUMIFS(Tabla1[EV],Tabla1[Fecha],"&lt;="&amp;A253,Tabla1[EV],"&gt;0"),NA())</f>
        <v>7473131.3018799983</v>
      </c>
      <c r="L253"/>
      <c r="M253" s="225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8">
        <f ca="1">+C254*Catalogo!$F$19+EV!D254*Catalogo!$F$14+EV!E254*Catalogo!$F$16+EV!F254*Catalogo!$F$18</f>
        <v>5796161.6970800003</v>
      </c>
      <c r="J254" s="228">
        <f ca="1">IF(TODAY()&gt;=$A254,SUMIFS(Tabla1[EV],Tabla1[Fecha],"&lt;="&amp;A254,Tabla1[EV],"&gt;0"),NA())</f>
        <v>7483586.717079998</v>
      </c>
      <c r="L254"/>
      <c r="M254" s="225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8">
        <f ca="1">+C255*Catalogo!$F$19+EV!D255*Catalogo!$F$14+EV!E255*Catalogo!$F$16+EV!F255*Catalogo!$F$18</f>
        <v>5820848.0940800002</v>
      </c>
      <c r="J255" s="228">
        <f ca="1">IF(TODAY()&gt;=$A255,SUMIFS(Tabla1[EV],Tabla1[Fecha],"&lt;="&amp;A255,Tabla1[EV],"&gt;0"),NA())</f>
        <v>7508273.1140799979</v>
      </c>
      <c r="L255"/>
      <c r="M255" s="225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8">
        <f ca="1">+C256*Catalogo!$F$19+EV!D256*Catalogo!$F$14+EV!E256*Catalogo!$F$16+EV!F256*Catalogo!$F$18</f>
        <v>5828108.7990800003</v>
      </c>
      <c r="J256" s="228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8">
        <f ca="1">+C257*Catalogo!$F$19+EV!D257*Catalogo!$F$14+EV!E257*Catalogo!$F$16+EV!F257*Catalogo!$F$18</f>
        <v>5844082.3500800002</v>
      </c>
      <c r="J257" s="228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8">
        <f ca="1">+C258*Catalogo!$F$19+EV!D258*Catalogo!$F$14+EV!E258*Catalogo!$F$16+EV!F258*Catalogo!$F$18</f>
        <v>5854247.33708</v>
      </c>
      <c r="J258" s="228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8">
        <f ca="1">+C259*Catalogo!$F$19+EV!D259*Catalogo!$F$14+EV!E259*Catalogo!$F$16+EV!F259*Catalogo!$F$18</f>
        <v>5856478.9214699995</v>
      </c>
      <c r="J259" s="228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8">
        <f ca="1">+C260*Catalogo!$F$19+EV!D260*Catalogo!$F$14+EV!E260*Catalogo!$F$16+EV!F260*Catalogo!$F$18</f>
        <v>5860505.8406699998</v>
      </c>
      <c r="J260" s="228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8">
        <f ca="1">+C261*Catalogo!$F$19+EV!D261*Catalogo!$F$14+EV!E261*Catalogo!$F$16+EV!F261*Catalogo!$F$18</f>
        <v>5861957.9816699997</v>
      </c>
      <c r="J261" s="228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8">
        <f ca="1">+C262*Catalogo!$F$19+EV!D262*Catalogo!$F$14+EV!E262*Catalogo!$F$16+EV!F262*Catalogo!$F$18</f>
        <v>5861957.9816699997</v>
      </c>
      <c r="J262" s="228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8">
        <f ca="1">+C263*Catalogo!$F$19+EV!D263*Catalogo!$F$14+EV!E263*Catalogo!$F$16+EV!F263*Catalogo!$F$18</f>
        <v>5866646.6430099998</v>
      </c>
      <c r="J263" s="228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8">
        <f ca="1">+C264*Catalogo!$F$19+EV!D264*Catalogo!$F$14+EV!E264*Catalogo!$F$16+EV!F264*Catalogo!$F$18</f>
        <v>5866646.6430099998</v>
      </c>
      <c r="J264" s="228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8">
        <f ca="1">+C265*Catalogo!$F$19+EV!D265*Catalogo!$F$14+EV!E265*Catalogo!$F$16+EV!F265*Catalogo!$F$18</f>
        <v>5873505.7917899992</v>
      </c>
      <c r="J265" s="228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8">
        <f ca="1">+C266*Catalogo!$F$19+EV!D266*Catalogo!$F$14+EV!E266*Catalogo!$F$16+EV!F266*Catalogo!$F$18</f>
        <v>5874739.3541199993</v>
      </c>
      <c r="J266" s="228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8">
        <f ca="1">+C267*Catalogo!$F$19+EV!D267*Catalogo!$F$14+EV!E267*Catalogo!$F$16+EV!F267*Catalogo!$F$18</f>
        <v>5897309.4780699993</v>
      </c>
      <c r="J267" s="228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8">
        <f ca="1">+C268*Catalogo!$F$19+EV!D268*Catalogo!$F$14+EV!E268*Catalogo!$F$16+EV!F268*Catalogo!$F$18</f>
        <v>5927470.4466399997</v>
      </c>
      <c r="J268" s="228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8">
        <f ca="1">+C269*Catalogo!$F$19+EV!D269*Catalogo!$F$14+EV!E269*Catalogo!$F$16+EV!F269*Catalogo!$F$18</f>
        <v>5927470.4466399997</v>
      </c>
      <c r="J269" s="228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8">
        <f ca="1">+C270*Catalogo!$F$19+EV!D270*Catalogo!$F$14+EV!E270*Catalogo!$F$16+EV!F270*Catalogo!$F$18</f>
        <v>5958675.5068999995</v>
      </c>
      <c r="J270" s="228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8">
        <f ca="1">+C271*Catalogo!$F$19+EV!D271*Catalogo!$F$14+EV!E271*Catalogo!$F$16+EV!F271*Catalogo!$F$18</f>
        <v>5978141.3915799996</v>
      </c>
      <c r="J271" s="228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8">
        <f ca="1">+C272*Catalogo!$F$19+EV!D272*Catalogo!$F$14+EV!E272*Catalogo!$F$16+EV!F272*Catalogo!$F$18</f>
        <v>5986952.5510799997</v>
      </c>
      <c r="J272" s="228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8">
        <f ca="1">+C273*Catalogo!$F$19+EV!D273*Catalogo!$F$14+EV!E273*Catalogo!$F$16+EV!F273*Catalogo!$F$18</f>
        <v>6010268.2346799988</v>
      </c>
      <c r="J273" s="228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8">
        <f ca="1">+C274*Catalogo!$F$19+EV!D274*Catalogo!$F$14+EV!E274*Catalogo!$F$16+EV!F274*Catalogo!$F$18</f>
        <v>6039656.8405199992</v>
      </c>
      <c r="J274" s="228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8">
        <f ca="1">+C275*Catalogo!$F$19+EV!D275*Catalogo!$F$14+EV!E275*Catalogo!$F$16+EV!F275*Catalogo!$F$18</f>
        <v>6054296.9209199995</v>
      </c>
      <c r="J275" s="228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8">
        <f ca="1">+C276*Catalogo!$F$19+EV!D276*Catalogo!$F$14+EV!E276*Catalogo!$F$16+EV!F276*Catalogo!$F$18</f>
        <v>6054296.9209199995</v>
      </c>
      <c r="J276" s="228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8">
        <f ca="1">+C277*Catalogo!$F$19+EV!D277*Catalogo!$F$14+EV!E277*Catalogo!$F$16+EV!F277*Catalogo!$F$18</f>
        <v>6070563.6769199995</v>
      </c>
      <c r="J277" s="228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8">
        <f ca="1">+C278*Catalogo!$F$19+EV!D278*Catalogo!$F$14+EV!E278*Catalogo!$F$16+EV!F278*Catalogo!$F$18</f>
        <v>6073532.359889999</v>
      </c>
      <c r="J278" s="228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8">
        <f ca="1">+C279*Catalogo!$F$19+EV!D279*Catalogo!$F$14+EV!E279*Catalogo!$F$16+EV!F279*Catalogo!$F$18</f>
        <v>6074068.7105699982</v>
      </c>
      <c r="J279" s="228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8">
        <f ca="1">+C280*Catalogo!$F$19+EV!D280*Catalogo!$F$14+EV!E280*Catalogo!$F$16+EV!F280*Catalogo!$F$18</f>
        <v>6118802.2895699991</v>
      </c>
      <c r="J280" s="228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8">
        <f ca="1">+C281*Catalogo!$F$19+EV!D281*Catalogo!$F$14+EV!E281*Catalogo!$F$16+EV!F281*Catalogo!$F$18</f>
        <v>6172984.1426799987</v>
      </c>
      <c r="J281" s="228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8">
        <f ca="1">+C282*Catalogo!$F$19+EV!D282*Catalogo!$F$14+EV!E282*Catalogo!$F$16+EV!F282*Catalogo!$F$18</f>
        <v>6172984.1426799987</v>
      </c>
      <c r="J282" s="228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8">
        <f ca="1">+C283*Catalogo!$F$19+EV!D283*Catalogo!$F$14+EV!E283*Catalogo!$F$16+EV!F283*Catalogo!$F$18</f>
        <v>6208881.0681999987</v>
      </c>
      <c r="J283" s="228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8">
        <f ca="1">+C284*Catalogo!$F$19+EV!D284*Catalogo!$F$14+EV!E284*Catalogo!$F$16+EV!F284*Catalogo!$F$18</f>
        <v>6208881.0681999987</v>
      </c>
      <c r="J284" s="228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8">
        <f ca="1">+C285*Catalogo!$F$19+EV!D285*Catalogo!$F$14+EV!E285*Catalogo!$F$16+EV!F285*Catalogo!$F$18</f>
        <v>6208881.0681999987</v>
      </c>
      <c r="J285" s="228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8">
        <f ca="1">+C286*Catalogo!$F$19+EV!D286*Catalogo!$F$14+EV!E286*Catalogo!$F$16+EV!F286*Catalogo!$F$18</f>
        <v>6208881.0681999987</v>
      </c>
      <c r="J286" s="228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8">
        <f ca="1">+C287*Catalogo!$F$19+EV!D287*Catalogo!$F$14+EV!E287*Catalogo!$F$16+EV!F287*Catalogo!$F$18</f>
        <v>6243746.1485599987</v>
      </c>
      <c r="J287" s="228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8">
        <f ca="1">+C288*Catalogo!$F$19+EV!D288*Catalogo!$F$14+EV!E288*Catalogo!$F$16+EV!F288*Catalogo!$F$18</f>
        <v>6243928.155319999</v>
      </c>
      <c r="J288" s="228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8">
        <f ca="1">+C289*Catalogo!$F$19+EV!D289*Catalogo!$F$14+EV!E289*Catalogo!$F$16+EV!F289*Catalogo!$F$18</f>
        <v>6245835.6752199987</v>
      </c>
      <c r="J289" s="228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8">
        <f ca="1">+C290*Catalogo!$F$19+EV!D290*Catalogo!$F$14+EV!E290*Catalogo!$F$16+EV!F290*Catalogo!$F$18</f>
        <v>6248262.4017199986</v>
      </c>
      <c r="J290" s="228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8">
        <f ca="1">+C291*Catalogo!$F$19+EV!D291*Catalogo!$F$14+EV!E291*Catalogo!$F$16+EV!F291*Catalogo!$F$18</f>
        <v>6253635.0613199994</v>
      </c>
      <c r="J291" s="228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8">
        <f ca="1">+C292*Catalogo!$F$19+EV!D292*Catalogo!$F$14+EV!E292*Catalogo!$F$16+EV!F292*Catalogo!$F$18</f>
        <v>6296923.3845299985</v>
      </c>
      <c r="J292" s="228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8">
        <f ca="1">+C293*Catalogo!$F$19+EV!D293*Catalogo!$F$14+EV!E293*Catalogo!$F$16+EV!F293*Catalogo!$F$18</f>
        <v>6302860.3991299979</v>
      </c>
      <c r="J293" s="228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8">
        <f ca="1">+C294*Catalogo!$F$19+EV!D294*Catalogo!$F$14+EV!E294*Catalogo!$F$16+EV!F294*Catalogo!$F$18</f>
        <v>6331293.3199099991</v>
      </c>
      <c r="J294" s="228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8">
        <f ca="1">+C295*Catalogo!$F$19+EV!D295*Catalogo!$F$14+EV!E295*Catalogo!$F$16+EV!F295*Catalogo!$F$18</f>
        <v>6370440.5335199982</v>
      </c>
      <c r="J295" s="228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8">
        <f ca="1">+C296*Catalogo!$F$19+EV!D296*Catalogo!$F$14+EV!E296*Catalogo!$F$16+EV!F296*Catalogo!$F$18</f>
        <v>6372359.3405199982</v>
      </c>
      <c r="J296" s="228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8">
        <f ca="1">+C297*Catalogo!$F$19+EV!D297*Catalogo!$F$14+EV!E297*Catalogo!$F$16+EV!F297*Catalogo!$F$18</f>
        <v>6372359.3405199982</v>
      </c>
      <c r="J297" s="228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8">
        <f ca="1">+C298*Catalogo!$F$19+EV!D298*Catalogo!$F$14+EV!E298*Catalogo!$F$16+EV!F298*Catalogo!$F$18</f>
        <v>6375993.7867199983</v>
      </c>
      <c r="J298" s="228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8">
        <f ca="1">+C299*Catalogo!$F$19+EV!D299*Catalogo!$F$14+EV!E299*Catalogo!$F$16+EV!F299*Catalogo!$F$18</f>
        <v>6375993.7867199983</v>
      </c>
      <c r="J299" s="228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8">
        <f ca="1">+C300*Catalogo!$F$19+EV!D300*Catalogo!$F$14+EV!E300*Catalogo!$F$16+EV!F300*Catalogo!$F$18</f>
        <v>6375993.7867199983</v>
      </c>
      <c r="J300" s="228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8">
        <f ca="1">+C301*Catalogo!$F$19+EV!D301*Catalogo!$F$14+EV!E301*Catalogo!$F$16+EV!F301*Catalogo!$F$18</f>
        <v>6375993.7867199983</v>
      </c>
      <c r="J301" s="228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8">
        <f ca="1">+C302*Catalogo!$F$19+EV!D302*Catalogo!$F$14+EV!E302*Catalogo!$F$16+EV!F302*Catalogo!$F$18</f>
        <v>6379039.0462999986</v>
      </c>
      <c r="J302" s="228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8">
        <f ca="1">+C303*Catalogo!$F$19+EV!D303*Catalogo!$F$14+EV!E303*Catalogo!$F$16+EV!F303*Catalogo!$F$18</f>
        <v>6379039.0462999986</v>
      </c>
      <c r="J303" s="228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8">
        <f ca="1">+C304*Catalogo!$F$19+EV!D304*Catalogo!$F$14+EV!E304*Catalogo!$F$16+EV!F304*Catalogo!$F$18</f>
        <v>6379039.0462999986</v>
      </c>
      <c r="J304" s="228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8">
        <f ca="1">+C305*Catalogo!$F$19+EV!D305*Catalogo!$F$14+EV!E305*Catalogo!$F$16+EV!F305*Catalogo!$F$18</f>
        <v>6380844.9822999984</v>
      </c>
      <c r="J305" s="228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8">
        <f ca="1">+C306*Catalogo!$F$19+EV!D306*Catalogo!$F$14+EV!E306*Catalogo!$F$16+EV!F306*Catalogo!$F$18</f>
        <v>6391601.5885999985</v>
      </c>
      <c r="J306" s="228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8">
        <f ca="1">+C307*Catalogo!$F$19+EV!D307*Catalogo!$F$14+EV!E307*Catalogo!$F$16+EV!F307*Catalogo!$F$18</f>
        <v>6417740.1265999991</v>
      </c>
      <c r="J307" s="228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8">
        <f ca="1">+C308*Catalogo!$F$19+EV!D308*Catalogo!$F$14+EV!E308*Catalogo!$F$16+EV!F308*Catalogo!$F$18</f>
        <v>6437387.5943299988</v>
      </c>
      <c r="J308" s="228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8">
        <f ca="1">+C309*Catalogo!$F$19+EV!D309*Catalogo!$F$14+EV!E309*Catalogo!$F$16+EV!F309*Catalogo!$F$18</f>
        <v>6437387.5943299988</v>
      </c>
      <c r="J309" s="228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8">
        <f ca="1">+C310*Catalogo!$F$19+EV!D310*Catalogo!$F$14+EV!E310*Catalogo!$F$16+EV!F310*Catalogo!$F$18</f>
        <v>6437387.5943299988</v>
      </c>
      <c r="J310" s="228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8">
        <f ca="1">+C311*Catalogo!$F$19+EV!D311*Catalogo!$F$14+EV!E311*Catalogo!$F$16+EV!F311*Catalogo!$F$18</f>
        <v>6437387.5943299988</v>
      </c>
      <c r="J311" s="228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8">
        <f ca="1">+C312*Catalogo!$F$19+EV!D312*Catalogo!$F$14+EV!E312*Catalogo!$F$16+EV!F312*Catalogo!$F$18</f>
        <v>6448017.2664499991</v>
      </c>
      <c r="J312" s="228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8">
        <f ca="1">+C313*Catalogo!$F$19+EV!D313*Catalogo!$F$14+EV!E313*Catalogo!$F$16+EV!F313*Catalogo!$F$18</f>
        <v>6475332.0386599991</v>
      </c>
      <c r="J313" s="228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8">
        <f ca="1">+C314*Catalogo!$F$19+EV!D314*Catalogo!$F$14+EV!E314*Catalogo!$F$16+EV!F314*Catalogo!$F$18</f>
        <v>6491784.7961899992</v>
      </c>
      <c r="J314" s="228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8">
        <f ca="1">+C315*Catalogo!$F$19+EV!D315*Catalogo!$F$14+EV!E315*Catalogo!$F$16+EV!F315*Catalogo!$F$18</f>
        <v>6494823.2835099995</v>
      </c>
      <c r="J315" s="228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8">
        <f ca="1">+C316*Catalogo!$F$19+EV!D316*Catalogo!$F$14+EV!E316*Catalogo!$F$16+EV!F316*Catalogo!$F$18</f>
        <v>6520700.4361299984</v>
      </c>
      <c r="J316" s="228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8">
        <f ca="1">+C317*Catalogo!$F$19+EV!D317*Catalogo!$F$14+EV!E317*Catalogo!$F$16+EV!F317*Catalogo!$F$18</f>
        <v>6540246.2539899992</v>
      </c>
      <c r="J317" s="228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8">
        <f ca="1">+C318*Catalogo!$F$19+EV!D318*Catalogo!$F$14+EV!E318*Catalogo!$F$16+EV!F318*Catalogo!$F$18</f>
        <v>6540246.2539899992</v>
      </c>
      <c r="J318" s="228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8">
        <f ca="1">+C319*Catalogo!$F$19+EV!D319*Catalogo!$F$14+EV!E319*Catalogo!$F$16+EV!F319*Catalogo!$F$18</f>
        <v>6550309.5911199991</v>
      </c>
      <c r="J319" s="228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8">
        <f ca="1">+C320*Catalogo!$F$19+EV!D320*Catalogo!$F$14+EV!E320*Catalogo!$F$16+EV!F320*Catalogo!$F$18</f>
        <v>6560106.7939199992</v>
      </c>
      <c r="J320" s="228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8">
        <f ca="1">+C321*Catalogo!$F$19+EV!D321*Catalogo!$F$14+EV!E321*Catalogo!$F$16+EV!F321*Catalogo!$F$18</f>
        <v>6578738.7939199992</v>
      </c>
      <c r="J321" s="228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8">
        <f ca="1">+C322*Catalogo!$F$19+EV!D322*Catalogo!$F$14+EV!E322*Catalogo!$F$16+EV!F322*Catalogo!$F$18</f>
        <v>6578738.7939199992</v>
      </c>
      <c r="J322" s="228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8">
        <f ca="1">+C323*Catalogo!$F$19+EV!D323*Catalogo!$F$14+EV!E323*Catalogo!$F$16+EV!F323*Catalogo!$F$18</f>
        <v>6578738.7939199992</v>
      </c>
      <c r="J323" s="228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8">
        <f ca="1">+C324*Catalogo!$F$19+EV!D324*Catalogo!$F$14+EV!E324*Catalogo!$F$16+EV!F324*Catalogo!$F$18</f>
        <v>6583396.7939199992</v>
      </c>
      <c r="J324" s="228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8">
        <f ca="1">+C325*Catalogo!$F$19+EV!D325*Catalogo!$F$14+EV!E325*Catalogo!$F$16+EV!F325*Catalogo!$F$18</f>
        <v>6583396.7939199992</v>
      </c>
      <c r="J325" s="228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8">
        <f ca="1">+C326*Catalogo!$F$19+EV!D326*Catalogo!$F$14+EV!E326*Catalogo!$F$16+EV!F326*Catalogo!$F$18</f>
        <v>6597370.7939199992</v>
      </c>
      <c r="J326" s="228">
        <f ca="1">IF(TODAY()&gt;=$A326,SUMIFS(Tabla1[EV],Tabla1[Fecha],"&lt;="&amp;A326,Tabla1[EV],"&gt;0"),NA())</f>
        <v>9511163.3839199916</v>
      </c>
      <c r="L326" s="227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8">
        <f ca="1">+C327*Catalogo!$F$19+EV!D327*Catalogo!$F$14+EV!E327*Catalogo!$F$16+EV!F327*Catalogo!$F$18</f>
        <v>6611344.7939199992</v>
      </c>
      <c r="J327" s="228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8">
        <f ca="1">+C328*Catalogo!$F$19+EV!D328*Catalogo!$F$14+EV!E328*Catalogo!$F$16+EV!F328*Catalogo!$F$18</f>
        <v>6620660.7939199992</v>
      </c>
      <c r="J328" s="228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8">
        <f ca="1">+C329*Catalogo!$F$19+EV!D329*Catalogo!$F$14+EV!E329*Catalogo!$F$16+EV!F329*Catalogo!$F$18</f>
        <v>6629976.7939199992</v>
      </c>
      <c r="J329" s="228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8">
        <f ca="1">+C330*Catalogo!$F$19+EV!D330*Catalogo!$F$14+EV!E330*Catalogo!$F$16+EV!F330*Catalogo!$F$18</f>
        <v>6648608.7939199992</v>
      </c>
      <c r="J330" s="228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8">
        <f ca="1">+C331*Catalogo!$F$19+EV!D331*Catalogo!$F$14+EV!E331*Catalogo!$F$16+EV!F331*Catalogo!$F$18</f>
        <v>6653266.7939199992</v>
      </c>
      <c r="J331" s="228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8">
        <f ca="1">+C332*Catalogo!$F$19+EV!D332*Catalogo!$F$14+EV!E332*Catalogo!$F$16+EV!F332*Catalogo!$F$18</f>
        <v>6653266.7939199992</v>
      </c>
      <c r="J332" s="228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8">
        <f ca="1">+C333*Catalogo!$F$19+EV!D333*Catalogo!$F$14+EV!E333*Catalogo!$F$16+EV!F333*Catalogo!$F$18</f>
        <v>6660039.0539199989</v>
      </c>
      <c r="J333" s="228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8">
        <f ca="1">+C334*Catalogo!$F$19+EV!D334*Catalogo!$F$14+EV!E334*Catalogo!$F$16+EV!F334*Catalogo!$F$18</f>
        <v>6670536.0569199994</v>
      </c>
      <c r="J334" s="228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8">
        <f ca="1">+C335*Catalogo!$F$19+EV!D335*Catalogo!$F$14+EV!E335*Catalogo!$F$16+EV!F335*Catalogo!$F$18</f>
        <v>6674980.9168999996</v>
      </c>
      <c r="J335" s="228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8">
        <f ca="1">+C336*Catalogo!$F$19+EV!D336*Catalogo!$F$14+EV!E336*Catalogo!$F$16+EV!F336*Catalogo!$F$18</f>
        <v>6697677.8807299994</v>
      </c>
      <c r="J336" s="228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8">
        <f ca="1">+C337*Catalogo!$F$19+EV!D337*Catalogo!$F$14+EV!E337*Catalogo!$F$16+EV!F337*Catalogo!$F$18</f>
        <v>6732558.3075499991</v>
      </c>
      <c r="J337" s="228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8">
        <f ca="1">+C338*Catalogo!$F$19+EV!D338*Catalogo!$F$14+EV!E338*Catalogo!$F$16+EV!F338*Catalogo!$F$18</f>
        <v>6732558.3075499991</v>
      </c>
      <c r="J338" s="228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8">
        <f ca="1">+C339*Catalogo!$F$19+EV!D339*Catalogo!$F$14+EV!E339*Catalogo!$F$16+EV!F339*Catalogo!$F$18</f>
        <v>6732558.3075499991</v>
      </c>
      <c r="J339" s="228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8">
        <f ca="1">+C340*Catalogo!$F$19+EV!D340*Catalogo!$F$14+EV!E340*Catalogo!$F$16+EV!F340*Catalogo!$F$18</f>
        <v>6745830.8762899991</v>
      </c>
      <c r="J340" s="228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8">
        <f ca="1">+C341*Catalogo!$F$19+EV!D341*Catalogo!$F$14+EV!E341*Catalogo!$F$16+EV!F341*Catalogo!$F$18</f>
        <v>6748709.0867899992</v>
      </c>
      <c r="J341" s="228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8">
        <f ca="1">+C342*Catalogo!$F$19+EV!D342*Catalogo!$F$14+EV!E342*Catalogo!$F$16+EV!F342*Catalogo!$F$18</f>
        <v>6749279.0853399988</v>
      </c>
      <c r="J342" s="228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8">
        <f ca="1">+C343*Catalogo!$F$19+EV!D343*Catalogo!$F$14+EV!E343*Catalogo!$F$16+EV!F343*Catalogo!$F$18</f>
        <v>6771519.176014998</v>
      </c>
      <c r="J343" s="228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8">
        <f ca="1">+C344*Catalogo!$F$19+EV!D344*Catalogo!$F$14+EV!E344*Catalogo!$F$16+EV!F344*Catalogo!$F$18</f>
        <v>6782177.8909549983</v>
      </c>
      <c r="J344" s="228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8">
        <f ca="1">+C345*Catalogo!$F$19+EV!D345*Catalogo!$F$14+EV!E345*Catalogo!$F$16+EV!F345*Catalogo!$F$18</f>
        <v>6782177.8909549983</v>
      </c>
      <c r="J345" s="228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8">
        <f ca="1">+C346*Catalogo!$F$19+EV!D346*Catalogo!$F$14+EV!E346*Catalogo!$F$16+EV!F346*Catalogo!$F$18</f>
        <v>6782177.8909549983</v>
      </c>
      <c r="J346" s="228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8">
        <f ca="1">+C347*Catalogo!$F$19+EV!D347*Catalogo!$F$14+EV!E347*Catalogo!$F$16+EV!F347*Catalogo!$F$18</f>
        <v>6782177.8909549983</v>
      </c>
      <c r="J347" s="228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8">
        <f ca="1">+C348*Catalogo!$F$19+EV!D348*Catalogo!$F$14+EV!E348*Catalogo!$F$16+EV!F348*Catalogo!$F$18</f>
        <v>6795007.5566899981</v>
      </c>
      <c r="J348" s="228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8">
        <f ca="1">+C349*Catalogo!$F$19+EV!D349*Catalogo!$F$14+EV!E349*Catalogo!$F$16+EV!F349*Catalogo!$F$18</f>
        <v>6812897.9338099984</v>
      </c>
      <c r="J349" s="228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8">
        <f ca="1">+C350*Catalogo!$F$19+EV!D350*Catalogo!$F$14+EV!E350*Catalogo!$F$16+EV!F350*Catalogo!$F$18</f>
        <v>6851902.4410699988</v>
      </c>
      <c r="J350" s="228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8">
        <f ca="1">+C351*Catalogo!$F$19+EV!D351*Catalogo!$F$14+EV!E351*Catalogo!$F$16+EV!F351*Catalogo!$F$18</f>
        <v>6892446.2177899983</v>
      </c>
      <c r="J351" s="228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8">
        <f ca="1">+C352*Catalogo!$F$19+EV!D352*Catalogo!$F$14+EV!E352*Catalogo!$F$16+EV!F352*Catalogo!$F$18</f>
        <v>6912935.9272999987</v>
      </c>
      <c r="J352" s="228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8">
        <f ca="1">+C353*Catalogo!$F$19+EV!D353*Catalogo!$F$14+EV!E353*Catalogo!$F$16+EV!F353*Catalogo!$F$18</f>
        <v>6912935.9272999987</v>
      </c>
      <c r="J353" s="228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8">
        <f ca="1">+C354*Catalogo!$F$19+EV!D354*Catalogo!$F$14+EV!E354*Catalogo!$F$16+EV!F354*Catalogo!$F$18</f>
        <v>6912935.9272999987</v>
      </c>
      <c r="J354" s="228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8">
        <f ca="1">+C355*Catalogo!$F$19+EV!D355*Catalogo!$F$14+EV!E355*Catalogo!$F$16+EV!F355*Catalogo!$F$18</f>
        <v>6912935.9272999987</v>
      </c>
      <c r="J355" s="228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8">
        <f ca="1">+C356*Catalogo!$F$19+EV!D356*Catalogo!$F$14+EV!E356*Catalogo!$F$16+EV!F356*Catalogo!$F$18</f>
        <v>6912935.9272999987</v>
      </c>
      <c r="J356" s="228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96.450605565890939</v>
      </c>
      <c r="I357" s="228">
        <f ca="1">+C357*Catalogo!$F$19+EV!D357*Catalogo!$F$14+EV!E357*Catalogo!$F$16+EV!F357*Catalogo!$F$18</f>
        <v>6912935.9272999987</v>
      </c>
      <c r="J357" s="228">
        <f ca="1">IF(TODAY()&gt;=$A357,SUMIFS(Tabla1[EV],Tabla1[Fecha],"&lt;="&amp;A357,Tabla1[EV],"&gt;0"),NA())</f>
        <v>10886644.457299985</v>
      </c>
      <c r="L357"/>
    </row>
    <row r="358" spans="1:12" x14ac:dyDescent="0.25">
      <c r="A358" s="62">
        <f t="shared" si="7"/>
        <v>46318</v>
      </c>
      <c r="B358" s="62"/>
      <c r="C358" s="110" t="e">
        <f ca="1">IF(TODAY()&gt;=$A358,SUMIFS(Tabla1[Avance_km],Tabla1[Fecha],"&lt;="&amp;EV!$A358,Tabla1[nombre_actividad],EV!C$1),NA())</f>
        <v>#N/A</v>
      </c>
      <c r="D358" s="110" t="e">
        <f ca="1">IF(TODAY()&gt;=$A358,SUMIFS(Tabla1[Avance_km],Tabla1[Fecha],"&lt;="&amp;EV!$A358,Tabla1[nombre_actividad],EV!D$1),NA())</f>
        <v>#N/A</v>
      </c>
      <c r="E358" s="110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0" t="e">
        <f ca="1">IF(TODAY()&gt;=$A358,SUMIFS(Tabla1[Avance_km],Tabla1[Fecha],"&lt;="&amp;EV!$A358-1,Tabla1[nombre_actividad],EV!H$1),NA())</f>
        <v>#N/A</v>
      </c>
      <c r="I358" s="228" t="e">
        <f ca="1">+C358*Catalogo!$F$19+EV!D358*Catalogo!$F$14+EV!E358*Catalogo!$F$16+EV!F358*Catalogo!$F$18</f>
        <v>#N/A</v>
      </c>
      <c r="J358" s="228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0" t="e">
        <f ca="1">IF(TODAY()&gt;=$A359,SUMIFS(Tabla1[Avance_km],Tabla1[Fecha],"&lt;="&amp;EV!$A359,Tabla1[nombre_actividad],EV!C$1),NA())</f>
        <v>#N/A</v>
      </c>
      <c r="D359" s="110" t="e">
        <f ca="1">IF(TODAY()&gt;=$A359,SUMIFS(Tabla1[Avance_km],Tabla1[Fecha],"&lt;="&amp;EV!$A359,Tabla1[nombre_actividad],EV!D$1),NA())</f>
        <v>#N/A</v>
      </c>
      <c r="E359" s="110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0" t="e">
        <f ca="1">IF(TODAY()&gt;=$A359,SUMIFS(Tabla1[Avance_km],Tabla1[Fecha],"&lt;="&amp;EV!$A359-1,Tabla1[nombre_actividad],EV!H$1),NA())</f>
        <v>#N/A</v>
      </c>
      <c r="I359" s="228" t="e">
        <f ca="1">+C359*Catalogo!$F$19+EV!D359*Catalogo!$F$14+EV!E359*Catalogo!$F$16+EV!F359*Catalogo!$F$18</f>
        <v>#N/A</v>
      </c>
      <c r="J359" s="228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0" t="e">
        <f ca="1">IF(TODAY()&gt;=$A360,SUMIFS(Tabla1[Avance_km],Tabla1[Fecha],"&lt;="&amp;EV!$A360,Tabla1[nombre_actividad],EV!C$1),NA())</f>
        <v>#N/A</v>
      </c>
      <c r="D360" s="110" t="e">
        <f ca="1">IF(TODAY()&gt;=$A360,SUMIFS(Tabla1[Avance_km],Tabla1[Fecha],"&lt;="&amp;EV!$A360,Tabla1[nombre_actividad],EV!D$1),NA())</f>
        <v>#N/A</v>
      </c>
      <c r="E360" s="110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0" t="e">
        <f ca="1">IF(TODAY()&gt;=$A360,SUMIFS(Tabla1[Avance_km],Tabla1[Fecha],"&lt;="&amp;EV!$A360-1,Tabla1[nombre_actividad],EV!H$1),NA())</f>
        <v>#N/A</v>
      </c>
      <c r="I360" s="228" t="e">
        <f ca="1">+C360*Catalogo!$F$19+EV!D360*Catalogo!$F$14+EV!E360*Catalogo!$F$16+EV!F360*Catalogo!$F$18</f>
        <v>#N/A</v>
      </c>
      <c r="J360" s="228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0" t="e">
        <f ca="1">IF(TODAY()&gt;=$A361,SUMIFS(Tabla1[Avance_km],Tabla1[Fecha],"&lt;="&amp;EV!$A361,Tabla1[nombre_actividad],EV!C$1),NA())</f>
        <v>#N/A</v>
      </c>
      <c r="D361" s="110" t="e">
        <f ca="1">IF(TODAY()&gt;=$A361,SUMIFS(Tabla1[Avance_km],Tabla1[Fecha],"&lt;="&amp;EV!$A361,Tabla1[nombre_actividad],EV!D$1),NA())</f>
        <v>#N/A</v>
      </c>
      <c r="E361" s="110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0" t="e">
        <f ca="1">IF(TODAY()&gt;=$A361,SUMIFS(Tabla1[Avance_km],Tabla1[Fecha],"&lt;="&amp;EV!$A361-1,Tabla1[nombre_actividad],EV!H$1),NA())</f>
        <v>#N/A</v>
      </c>
      <c r="I361" s="228" t="e">
        <f ca="1">+C361*Catalogo!$F$19+EV!D361*Catalogo!$F$14+EV!E361*Catalogo!$F$16+EV!F361*Catalogo!$F$18</f>
        <v>#N/A</v>
      </c>
      <c r="J361" s="228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8" t="e">
        <f ca="1">+C362*Catalogo!$F$19+EV!D362*Catalogo!$F$14+EV!E362*Catalogo!$F$16+EV!F362*Catalogo!$F$18</f>
        <v>#N/A</v>
      </c>
      <c r="J362" s="228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8" t="e">
        <f ca="1">+C363*Catalogo!$F$19+EV!D363*Catalogo!$F$14+EV!E363*Catalogo!$F$16+EV!F363*Catalogo!$F$18</f>
        <v>#N/A</v>
      </c>
      <c r="J363" s="228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8" t="e">
        <f ca="1">+C364*Catalogo!$F$19+EV!D364*Catalogo!$F$14+EV!E364*Catalogo!$F$16+EV!F364*Catalogo!$F$18</f>
        <v>#N/A</v>
      </c>
      <c r="J364" s="228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8" t="e">
        <f ca="1">+C365*Catalogo!$F$19+EV!D365*Catalogo!$F$14+EV!E365*Catalogo!$F$16+EV!F365*Catalogo!$F$18</f>
        <v>#N/A</v>
      </c>
      <c r="J365" s="228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8" t="e">
        <f ca="1">+C366*Catalogo!$F$19+EV!D366*Catalogo!$F$14+EV!E366*Catalogo!$F$16+EV!F366*Catalogo!$F$18</f>
        <v>#N/A</v>
      </c>
      <c r="J366" s="228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8" t="e">
        <f ca="1">+C367*Catalogo!$F$19+EV!D367*Catalogo!$F$14+EV!E367*Catalogo!$F$16+EV!F367*Catalogo!$F$18</f>
        <v>#N/A</v>
      </c>
      <c r="J367" s="228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8" t="e">
        <f ca="1">+C368*Catalogo!$F$19+EV!D368*Catalogo!$F$14+EV!E368*Catalogo!$F$16+EV!F368*Catalogo!$F$18</f>
        <v>#N/A</v>
      </c>
      <c r="J368" s="228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8" t="e">
        <f ca="1">+C369*Catalogo!$F$19+EV!D369*Catalogo!$F$14+EV!E369*Catalogo!$F$16+EV!F369*Catalogo!$F$18</f>
        <v>#N/A</v>
      </c>
      <c r="J369" s="228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8" t="e">
        <f ca="1">+C370*Catalogo!$F$19+EV!D370*Catalogo!$F$14+EV!E370*Catalogo!$F$16+EV!F370*Catalogo!$F$18</f>
        <v>#N/A</v>
      </c>
      <c r="J370" s="228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8" t="e">
        <f ca="1">+C371*Catalogo!$F$19+EV!D371*Catalogo!$F$14+EV!E371*Catalogo!$F$16+EV!F371*Catalogo!$F$18</f>
        <v>#N/A</v>
      </c>
      <c r="J371" s="228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8" t="e">
        <f ca="1">+C372*Catalogo!$F$19+EV!D372*Catalogo!$F$14+EV!E372*Catalogo!$F$16+EV!F372*Catalogo!$F$18</f>
        <v>#N/A</v>
      </c>
      <c r="J372" s="228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8" t="e">
        <f ca="1">+C373*Catalogo!$F$19+EV!D373*Catalogo!$F$14+EV!E373*Catalogo!$F$16+EV!F373*Catalogo!$F$18</f>
        <v>#N/A</v>
      </c>
      <c r="J373" s="228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8" t="e">
        <f ca="1">+C374*Catalogo!$F$19+EV!D374*Catalogo!$F$14+EV!E374*Catalogo!$F$16+EV!F374*Catalogo!$F$18</f>
        <v>#N/A</v>
      </c>
      <c r="J374" s="228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8" t="e">
        <f ca="1">+C375*Catalogo!$F$19+EV!D375*Catalogo!$F$14+EV!E375*Catalogo!$F$16+EV!F375*Catalogo!$F$18</f>
        <v>#N/A</v>
      </c>
      <c r="J375" s="228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8" t="e">
        <f ca="1">+C376*Catalogo!$F$19+EV!D376*Catalogo!$F$14+EV!E376*Catalogo!$F$16+EV!F376*Catalogo!$F$18</f>
        <v>#N/A</v>
      </c>
      <c r="J376" s="228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8" t="e">
        <f ca="1">+C377*Catalogo!$F$19+EV!D377*Catalogo!$F$14+EV!E377*Catalogo!$F$16+EV!F377*Catalogo!$F$18</f>
        <v>#N/A</v>
      </c>
      <c r="J377" s="228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8" t="e">
        <f ca="1">+C378*Catalogo!$F$19+EV!D378*Catalogo!$F$14+EV!E378*Catalogo!$F$16+EV!F378*Catalogo!$F$18</f>
        <v>#N/A</v>
      </c>
      <c r="J378" s="228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8" t="e">
        <f ca="1">+C379*Catalogo!$F$19+EV!D379*Catalogo!$F$14+EV!E379*Catalogo!$F$16+EV!F379*Catalogo!$F$18</f>
        <v>#N/A</v>
      </c>
      <c r="J379" s="228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8" t="e">
        <f ca="1">+C380*Catalogo!$F$19+EV!D380*Catalogo!$F$14+EV!E380*Catalogo!$F$16+EV!F380*Catalogo!$F$18</f>
        <v>#N/A</v>
      </c>
      <c r="J380" s="228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8" t="e">
        <f ca="1">+C381*Catalogo!$F$19+EV!D381*Catalogo!$F$14+EV!E381*Catalogo!$F$16+EV!F381*Catalogo!$F$18</f>
        <v>#N/A</v>
      </c>
      <c r="J381" s="228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8" t="e">
        <f ca="1">+C382*Catalogo!$F$19+EV!D382*Catalogo!$F$14+EV!E382*Catalogo!$F$16+EV!F382*Catalogo!$F$18</f>
        <v>#N/A</v>
      </c>
      <c r="J382" s="228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8" t="e">
        <f ca="1">+C383*Catalogo!$F$19+EV!D383*Catalogo!$F$14+EV!E383*Catalogo!$F$16+EV!F383*Catalogo!$F$18</f>
        <v>#N/A</v>
      </c>
      <c r="J383" s="228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8" t="e">
        <f ca="1">+C384*Catalogo!$F$19+EV!D384*Catalogo!$F$14+EV!E384*Catalogo!$F$16+EV!F384*Catalogo!$F$18</f>
        <v>#N/A</v>
      </c>
      <c r="J384" s="228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8" t="e">
        <f ca="1">+C385*Catalogo!$F$19+EV!D385*Catalogo!$F$14+EV!E385*Catalogo!$F$16+EV!F385*Catalogo!$F$18</f>
        <v>#N/A</v>
      </c>
      <c r="J385" s="228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8" t="e">
        <f ca="1">+C386*Catalogo!$F$19+EV!D386*Catalogo!$F$14+EV!E386*Catalogo!$F$16+EV!F386*Catalogo!$F$18</f>
        <v>#N/A</v>
      </c>
      <c r="J386" s="228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8" t="e">
        <f ca="1">+C387*Catalogo!$F$19+EV!D387*Catalogo!$F$14+EV!E387*Catalogo!$F$16+EV!F387*Catalogo!$F$18</f>
        <v>#N/A</v>
      </c>
      <c r="J387" s="228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8" t="e">
        <f ca="1">+C388*Catalogo!$F$19+EV!D388*Catalogo!$F$14+EV!E388*Catalogo!$F$16+EV!F388*Catalogo!$F$18</f>
        <v>#N/A</v>
      </c>
      <c r="J388" s="228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8" t="e">
        <f ca="1">+C389*Catalogo!$F$19+EV!D389*Catalogo!$F$14+EV!E389*Catalogo!$F$16+EV!F389*Catalogo!$F$18</f>
        <v>#N/A</v>
      </c>
      <c r="J389" s="228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8" t="e">
        <f ca="1">+C390*Catalogo!$F$19+EV!D390*Catalogo!$F$14+EV!E390*Catalogo!$F$16+EV!F390*Catalogo!$F$18</f>
        <v>#N/A</v>
      </c>
      <c r="J390" s="228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8" t="e">
        <f ca="1">+C391*Catalogo!$F$19+EV!D391*Catalogo!$F$14+EV!E391*Catalogo!$F$16+EV!F391*Catalogo!$F$18</f>
        <v>#N/A</v>
      </c>
      <c r="J391" s="228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8" t="e">
        <f ca="1">+C392*Catalogo!$F$19+EV!D392*Catalogo!$F$14+EV!E392*Catalogo!$F$16+EV!F392*Catalogo!$F$18</f>
        <v>#N/A</v>
      </c>
      <c r="J392" s="228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8" t="e">
        <f ca="1">+C393*Catalogo!$F$19+EV!D393*Catalogo!$F$14+EV!E393*Catalogo!$F$16+EV!F393*Catalogo!$F$18</f>
        <v>#N/A</v>
      </c>
      <c r="J393" s="228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8" t="e">
        <f ca="1">+C394*Catalogo!$F$19+EV!D394*Catalogo!$F$14+EV!E394*Catalogo!$F$16+EV!F394*Catalogo!$F$18</f>
        <v>#N/A</v>
      </c>
      <c r="J394" s="228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8" t="e">
        <f ca="1">+C395*Catalogo!$F$19+EV!D395*Catalogo!$F$14+EV!E395*Catalogo!$F$16+EV!F395*Catalogo!$F$18</f>
        <v>#N/A</v>
      </c>
      <c r="J395" s="228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8" t="e">
        <f ca="1">+C396*Catalogo!$F$19+EV!D396*Catalogo!$F$14+EV!E396*Catalogo!$F$16+EV!F396*Catalogo!$F$18</f>
        <v>#N/A</v>
      </c>
      <c r="J396" s="228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8" t="e">
        <f ca="1">+C397*Catalogo!$F$19+EV!D397*Catalogo!$F$14+EV!E397*Catalogo!$F$16+EV!F397*Catalogo!$F$18</f>
        <v>#N/A</v>
      </c>
      <c r="J397" s="228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8" t="e">
        <f ca="1">+C398*Catalogo!$F$19+EV!D398*Catalogo!$F$14+EV!E398*Catalogo!$F$16+EV!F398*Catalogo!$F$18</f>
        <v>#N/A</v>
      </c>
      <c r="J398" s="228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8" t="e">
        <f ca="1">+C399*Catalogo!$F$19+EV!D399*Catalogo!$F$14+EV!E399*Catalogo!$F$16+EV!F399*Catalogo!$F$18</f>
        <v>#N/A</v>
      </c>
      <c r="J399" s="228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8" t="e">
        <f ca="1">+C400*Catalogo!$F$19+EV!D400*Catalogo!$F$14+EV!E400*Catalogo!$F$16+EV!F400*Catalogo!$F$18</f>
        <v>#N/A</v>
      </c>
      <c r="J400" s="228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8" t="e">
        <f ca="1">+C401*Catalogo!$F$19+EV!D401*Catalogo!$F$14+EV!E401*Catalogo!$F$16+EV!F401*Catalogo!$F$18</f>
        <v>#N/A</v>
      </c>
      <c r="J401" s="228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8" t="e">
        <f ca="1">+C402*Catalogo!$F$19+EV!D402*Catalogo!$F$14+EV!E402*Catalogo!$F$16+EV!F402*Catalogo!$F$18</f>
        <v>#N/A</v>
      </c>
      <c r="J402" s="228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8" t="e">
        <f ca="1">+C403*Catalogo!$F$19+EV!D403*Catalogo!$F$14+EV!E403*Catalogo!$F$16+EV!F403*Catalogo!$F$18</f>
        <v>#N/A</v>
      </c>
      <c r="J403" s="228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8" t="e">
        <f ca="1">+C404*Catalogo!$F$19+EV!D404*Catalogo!$F$14+EV!E404*Catalogo!$F$16+EV!F404*Catalogo!$F$18</f>
        <v>#N/A</v>
      </c>
      <c r="J404" s="228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8" t="e">
        <f ca="1">+C405*Catalogo!$F$19+EV!D405*Catalogo!$F$14+EV!E405*Catalogo!$F$16+EV!F405*Catalogo!$F$18</f>
        <v>#N/A</v>
      </c>
      <c r="J405" s="228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8" t="e">
        <f ca="1">+C406*Catalogo!$F$19+EV!D406*Catalogo!$F$14+EV!E406*Catalogo!$F$16+EV!F406*Catalogo!$F$18</f>
        <v>#N/A</v>
      </c>
      <c r="J406" s="228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8" t="e">
        <f ca="1">+C407*Catalogo!$F$19+EV!D407*Catalogo!$F$14+EV!E407*Catalogo!$F$16+EV!F407*Catalogo!$F$18</f>
        <v>#N/A</v>
      </c>
      <c r="J407" s="228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8" t="e">
        <f ca="1">+C408*Catalogo!$F$19+EV!D408*Catalogo!$F$14+EV!E408*Catalogo!$F$16+EV!F408*Catalogo!$F$18</f>
        <v>#N/A</v>
      </c>
      <c r="J408" s="228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8" t="e">
        <f ca="1">+C409*Catalogo!$F$19+EV!D409*Catalogo!$F$14+EV!E409*Catalogo!$F$16+EV!F409*Catalogo!$F$18</f>
        <v>#N/A</v>
      </c>
      <c r="J409" s="228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8" t="e">
        <f ca="1">+C410*Catalogo!$F$19+EV!D410*Catalogo!$F$14+EV!E410*Catalogo!$F$16+EV!F410*Catalogo!$F$18</f>
        <v>#N/A</v>
      </c>
      <c r="J410" s="228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8" t="e">
        <f ca="1">+C411*Catalogo!$F$19+EV!D411*Catalogo!$F$14+EV!E411*Catalogo!$F$16+EV!F411*Catalogo!$F$18</f>
        <v>#N/A</v>
      </c>
      <c r="J411" s="228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8" t="e">
        <f ca="1">+C412*Catalogo!$F$19+EV!D412*Catalogo!$F$14+EV!E412*Catalogo!$F$16+EV!F412*Catalogo!$F$18</f>
        <v>#N/A</v>
      </c>
      <c r="J412" s="228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8" t="e">
        <f ca="1">+C413*Catalogo!$F$19+EV!D413*Catalogo!$F$14+EV!E413*Catalogo!$F$16+EV!F413*Catalogo!$F$18</f>
        <v>#N/A</v>
      </c>
      <c r="J413" s="228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8" t="e">
        <f ca="1">+C414*Catalogo!$F$19+EV!D414*Catalogo!$F$14+EV!E414*Catalogo!$F$16+EV!F414*Catalogo!$F$18</f>
        <v>#N/A</v>
      </c>
      <c r="J414" s="228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8" t="e">
        <f ca="1">+C415*Catalogo!$F$19+EV!D415*Catalogo!$F$14+EV!E415*Catalogo!$F$16+EV!F415*Catalogo!$F$18</f>
        <v>#N/A</v>
      </c>
      <c r="J415" s="228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8" t="e">
        <f ca="1">+C416*Catalogo!$F$19+EV!D416*Catalogo!$F$14+EV!E416*Catalogo!$F$16+EV!F416*Catalogo!$F$18</f>
        <v>#N/A</v>
      </c>
      <c r="J416" s="228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8" t="e">
        <f ca="1">+C417*Catalogo!$F$19+EV!D417*Catalogo!$F$14+EV!E417*Catalogo!$F$16+EV!F417*Catalogo!$F$18</f>
        <v>#N/A</v>
      </c>
      <c r="J417" s="228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8" t="e">
        <f ca="1">+C418*Catalogo!$F$19+EV!D418*Catalogo!$F$14+EV!E418*Catalogo!$F$16+EV!F418*Catalogo!$F$18</f>
        <v>#N/A</v>
      </c>
      <c r="J418" s="228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8" t="e">
        <f ca="1">+C419*Catalogo!$F$19+EV!D419*Catalogo!$F$14+EV!E419*Catalogo!$F$16+EV!F419*Catalogo!$F$18</f>
        <v>#N/A</v>
      </c>
      <c r="J419" s="228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8" t="e">
        <f ca="1">+C420*Catalogo!$F$19+EV!D420*Catalogo!$F$14+EV!E420*Catalogo!$F$16+EV!F420*Catalogo!$F$18</f>
        <v>#N/A</v>
      </c>
      <c r="J420" s="228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8" t="e">
        <f ca="1">+C421*Catalogo!$F$19+EV!D421*Catalogo!$F$14+EV!E421*Catalogo!$F$16+EV!F421*Catalogo!$F$18</f>
        <v>#N/A</v>
      </c>
      <c r="J421" s="228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8" t="e">
        <f ca="1">+C422*Catalogo!$F$19+EV!D422*Catalogo!$F$14+EV!E422*Catalogo!$F$16+EV!F422*Catalogo!$F$18</f>
        <v>#N/A</v>
      </c>
      <c r="J422" s="228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8" t="e">
        <f ca="1">+C423*Catalogo!$F$19+EV!D423*Catalogo!$F$14+EV!E423*Catalogo!$F$16+EV!F423*Catalogo!$F$18</f>
        <v>#N/A</v>
      </c>
      <c r="J423" s="228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8" t="e">
        <f ca="1">+C424*Catalogo!$F$19+EV!D424*Catalogo!$F$14+EV!E424*Catalogo!$F$16+EV!F424*Catalogo!$F$18</f>
        <v>#N/A</v>
      </c>
      <c r="J424" s="228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8" t="e">
        <f ca="1">+C425*Catalogo!$F$19+EV!D425*Catalogo!$F$14+EV!E425*Catalogo!$F$16+EV!F425*Catalogo!$F$18</f>
        <v>#N/A</v>
      </c>
      <c r="J425" s="228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8" t="e">
        <f ca="1">+C426*Catalogo!$F$19+EV!D426*Catalogo!$F$14+EV!E426*Catalogo!$F$16+EV!F426*Catalogo!$F$18</f>
        <v>#N/A</v>
      </c>
      <c r="J426" s="228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8" t="e">
        <f ca="1">+C427*Catalogo!$F$19+EV!D427*Catalogo!$F$14+EV!E427*Catalogo!$F$16+EV!F427*Catalogo!$F$18</f>
        <v>#N/A</v>
      </c>
      <c r="J427" s="228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8" t="e">
        <f ca="1">+C428*Catalogo!$F$19+EV!D428*Catalogo!$F$14+EV!E428*Catalogo!$F$16+EV!F428*Catalogo!$F$18</f>
        <v>#N/A</v>
      </c>
      <c r="J428" s="228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8" t="e">
        <f ca="1">+C429*Catalogo!$F$19+EV!D429*Catalogo!$F$14+EV!E429*Catalogo!$F$16+EV!F429*Catalogo!$F$18</f>
        <v>#N/A</v>
      </c>
      <c r="J429" s="228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8" t="e">
        <f ca="1">+C430*Catalogo!$F$19+EV!D430*Catalogo!$F$14+EV!E430*Catalogo!$F$16+EV!F430*Catalogo!$F$18</f>
        <v>#N/A</v>
      </c>
      <c r="J430" s="228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8" t="e">
        <f ca="1">+C431*Catalogo!$F$19+EV!D431*Catalogo!$F$14+EV!E431*Catalogo!$F$16+EV!F431*Catalogo!$F$18</f>
        <v>#N/A</v>
      </c>
      <c r="J431" s="228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8" t="e">
        <f ca="1">+C432*Catalogo!$F$19+EV!D432*Catalogo!$F$14+EV!E432*Catalogo!$F$16+EV!F432*Catalogo!$F$18</f>
        <v>#N/A</v>
      </c>
      <c r="J432" s="228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8" t="e">
        <f ca="1">+C433*Catalogo!$F$19+EV!D433*Catalogo!$F$14+EV!E433*Catalogo!$F$16+EV!F433*Catalogo!$F$18</f>
        <v>#N/A</v>
      </c>
      <c r="J433" s="228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8" t="e">
        <f ca="1">+C434*Catalogo!$F$19+EV!D434*Catalogo!$F$14+EV!E434*Catalogo!$F$16+EV!F434*Catalogo!$F$18</f>
        <v>#N/A</v>
      </c>
      <c r="J434" s="228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8" t="e">
        <f ca="1">+C435*Catalogo!$F$19+EV!D435*Catalogo!$F$14+EV!E435*Catalogo!$F$16+EV!F435*Catalogo!$F$18</f>
        <v>#N/A</v>
      </c>
      <c r="J435" s="228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8" t="e">
        <f ca="1">+C436*Catalogo!$F$19+EV!D436*Catalogo!$F$14+EV!E436*Catalogo!$F$16+EV!F436*Catalogo!$F$18</f>
        <v>#N/A</v>
      </c>
      <c r="J436" s="228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8" t="e">
        <f ca="1">+C437*Catalogo!$F$19+EV!D437*Catalogo!$F$14+EV!E437*Catalogo!$F$16+EV!F437*Catalogo!$F$18</f>
        <v>#N/A</v>
      </c>
      <c r="J437" s="228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8" t="e">
        <f ca="1">+C438*Catalogo!$F$19+EV!D438*Catalogo!$F$14+EV!E438*Catalogo!$F$16+EV!F438*Catalogo!$F$18</f>
        <v>#N/A</v>
      </c>
      <c r="J438" s="228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8" t="e">
        <f ca="1">+C439*Catalogo!$F$19+EV!D439*Catalogo!$F$14+EV!E439*Catalogo!$F$16+EV!F439*Catalogo!$F$18</f>
        <v>#N/A</v>
      </c>
      <c r="J439" s="228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8" t="e">
        <f ca="1">+C440*Catalogo!$F$19+EV!D440*Catalogo!$F$14+EV!E440*Catalogo!$F$16+EV!F440*Catalogo!$F$18</f>
        <v>#N/A</v>
      </c>
      <c r="J440" s="228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8" t="e">
        <f ca="1">+C441*Catalogo!$F$19+EV!D441*Catalogo!$F$14+EV!E441*Catalogo!$F$16+EV!F441*Catalogo!$F$18</f>
        <v>#N/A</v>
      </c>
      <c r="J441" s="228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8" t="e">
        <f ca="1">+C442*Catalogo!$F$19+EV!D442*Catalogo!$F$14+EV!E442*Catalogo!$F$16+EV!F442*Catalogo!$F$18</f>
        <v>#N/A</v>
      </c>
      <c r="J442" s="228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8" t="e">
        <f ca="1">+C443*Catalogo!$F$19+EV!D443*Catalogo!$F$14+EV!E443*Catalogo!$F$16+EV!F443*Catalogo!$F$18</f>
        <v>#N/A</v>
      </c>
      <c r="J443" s="228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8" t="e">
        <f ca="1">+C444*Catalogo!$F$19+EV!D444*Catalogo!$F$14+EV!E444*Catalogo!$F$16+EV!F444*Catalogo!$F$18</f>
        <v>#N/A</v>
      </c>
      <c r="J444" s="228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8" t="e">
        <f ca="1">+C445*Catalogo!$F$19+EV!D445*Catalogo!$F$14+EV!E445*Catalogo!$F$16+EV!F445*Catalogo!$F$18</f>
        <v>#N/A</v>
      </c>
      <c r="J445" s="228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8" t="e">
        <f ca="1">+C446*Catalogo!$F$19+EV!D446*Catalogo!$F$14+EV!E446*Catalogo!$F$16+EV!F446*Catalogo!$F$18</f>
        <v>#N/A</v>
      </c>
      <c r="J446" s="228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8" t="e">
        <f ca="1">+C447*Catalogo!$F$19+EV!D447*Catalogo!$F$14+EV!E447*Catalogo!$F$16+EV!F447*Catalogo!$F$18</f>
        <v>#N/A</v>
      </c>
      <c r="J447" s="228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8" t="e">
        <f ca="1">+C448*Catalogo!$F$19+EV!D448*Catalogo!$F$14+EV!E448*Catalogo!$F$16+EV!F448*Catalogo!$F$18</f>
        <v>#N/A</v>
      </c>
      <c r="J448" s="228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8" t="e">
        <f ca="1">+C449*Catalogo!$F$19+EV!D449*Catalogo!$F$14+EV!E449*Catalogo!$F$16+EV!F449*Catalogo!$F$18</f>
        <v>#N/A</v>
      </c>
      <c r="J449" s="228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8" t="e">
        <f ca="1">+C450*Catalogo!$F$19+EV!D450*Catalogo!$F$14+EV!E450*Catalogo!$F$16+EV!F450*Catalogo!$F$18</f>
        <v>#N/A</v>
      </c>
      <c r="J450" s="228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8" t="e">
        <f ca="1">+C451*Catalogo!$F$19+EV!D451*Catalogo!$F$14+EV!E451*Catalogo!$F$16+EV!F451*Catalogo!$F$18</f>
        <v>#N/A</v>
      </c>
      <c r="J451" s="228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8" t="e">
        <f ca="1">+C452*Catalogo!$F$19+EV!D452*Catalogo!$F$14+EV!E452*Catalogo!$F$16+EV!F452*Catalogo!$F$18</f>
        <v>#N/A</v>
      </c>
      <c r="J452" s="228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8" t="e">
        <f ca="1">+C453*Catalogo!$F$19+EV!D453*Catalogo!$F$14+EV!E453*Catalogo!$F$16+EV!F453*Catalogo!$F$18</f>
        <v>#N/A</v>
      </c>
      <c r="J453" s="228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8" t="e">
        <f ca="1">+C454*Catalogo!$F$19+EV!D454*Catalogo!$F$14+EV!E454*Catalogo!$F$16+EV!F454*Catalogo!$F$18</f>
        <v>#N/A</v>
      </c>
      <c r="J454" s="228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8" t="e">
        <f ca="1">+C455*Catalogo!$F$19+EV!D455*Catalogo!$F$14+EV!E455*Catalogo!$F$16+EV!F455*Catalogo!$F$18</f>
        <v>#N/A</v>
      </c>
      <c r="J455" s="228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8" t="e">
        <f ca="1">+C456*Catalogo!$F$19+EV!D456*Catalogo!$F$14+EV!E456*Catalogo!$F$16+EV!F456*Catalogo!$F$18</f>
        <v>#N/A</v>
      </c>
      <c r="J456" s="228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8" t="e">
        <f ca="1">+C457*Catalogo!$F$19+EV!D457*Catalogo!$F$14+EV!E457*Catalogo!$F$16+EV!F457*Catalogo!$F$18</f>
        <v>#N/A</v>
      </c>
      <c r="J457" s="228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8" t="e">
        <f ca="1">+C458*Catalogo!$F$19+EV!D458*Catalogo!$F$14+EV!E458*Catalogo!$F$16+EV!F458*Catalogo!$F$18</f>
        <v>#N/A</v>
      </c>
      <c r="J458" s="228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8" t="e">
        <f ca="1">+C459*Catalogo!$F$19+EV!D459*Catalogo!$F$14+EV!E459*Catalogo!$F$16+EV!F459*Catalogo!$F$18</f>
        <v>#N/A</v>
      </c>
      <c r="J459" s="228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8" t="e">
        <f ca="1">+C460*Catalogo!$F$19+EV!D460*Catalogo!$F$14+EV!E460*Catalogo!$F$16+EV!F460*Catalogo!$F$18</f>
        <v>#N/A</v>
      </c>
      <c r="J460" s="228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8" t="e">
        <f ca="1">+C461*Catalogo!$F$19+EV!D461*Catalogo!$F$14+EV!E461*Catalogo!$F$16+EV!F461*Catalogo!$F$18</f>
        <v>#N/A</v>
      </c>
      <c r="J461" s="228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8" t="e">
        <f ca="1">+C462*Catalogo!$F$19+EV!D462*Catalogo!$F$14+EV!E462*Catalogo!$F$16+EV!F462*Catalogo!$F$18</f>
        <v>#N/A</v>
      </c>
      <c r="J462" s="228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8" t="e">
        <f ca="1">+C463*Catalogo!$F$19+EV!D463*Catalogo!$F$14+EV!E463*Catalogo!$F$16+EV!F463*Catalogo!$F$18</f>
        <v>#N/A</v>
      </c>
      <c r="J463" s="228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8" t="e">
        <f ca="1">+C464*Catalogo!$F$19+EV!D464*Catalogo!$F$14+EV!E464*Catalogo!$F$16+EV!F464*Catalogo!$F$18</f>
        <v>#N/A</v>
      </c>
      <c r="J464" s="228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8" t="e">
        <f ca="1">+C465*Catalogo!$F$19+EV!D465*Catalogo!$F$14+EV!E465*Catalogo!$F$16+EV!F465*Catalogo!$F$18</f>
        <v>#N/A</v>
      </c>
      <c r="J465" s="228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8" t="e">
        <f ca="1">+C466*Catalogo!$F$19+EV!D466*Catalogo!$F$14+EV!E466*Catalogo!$F$16+EV!F466*Catalogo!$F$18</f>
        <v>#N/A</v>
      </c>
      <c r="J466" s="228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8" t="e">
        <f ca="1">+C467*Catalogo!$F$19+EV!D467*Catalogo!$F$14+EV!E467*Catalogo!$F$16+EV!F467*Catalogo!$F$18</f>
        <v>#N/A</v>
      </c>
      <c r="J467" s="228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8" t="e">
        <f ca="1">+C468*Catalogo!$F$19+EV!D468*Catalogo!$F$14+EV!E468*Catalogo!$F$16+EV!F468*Catalogo!$F$18</f>
        <v>#N/A</v>
      </c>
      <c r="J468" s="228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8" t="e">
        <f ca="1">+C469*Catalogo!$F$19+EV!D469*Catalogo!$F$14+EV!E469*Catalogo!$F$16+EV!F469*Catalogo!$F$18</f>
        <v>#N/A</v>
      </c>
      <c r="J469" s="228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8" t="e">
        <f ca="1">+C470*Catalogo!$F$19+EV!D470*Catalogo!$F$14+EV!E470*Catalogo!$F$16+EV!F470*Catalogo!$F$18</f>
        <v>#N/A</v>
      </c>
      <c r="J470" s="228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8" t="e">
        <f ca="1">+C471*Catalogo!$F$19+EV!D471*Catalogo!$F$14+EV!E471*Catalogo!$F$16+EV!F471*Catalogo!$F$18</f>
        <v>#N/A</v>
      </c>
      <c r="J471" s="228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8" t="e">
        <f ca="1">+C472*Catalogo!$F$19+EV!D472*Catalogo!$F$14+EV!E472*Catalogo!$F$16+EV!F472*Catalogo!$F$18</f>
        <v>#N/A</v>
      </c>
      <c r="J472" s="228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8" t="e">
        <f ca="1">+C473*Catalogo!$F$19+EV!D473*Catalogo!$F$14+EV!E473*Catalogo!$F$16+EV!F473*Catalogo!$F$18</f>
        <v>#N/A</v>
      </c>
      <c r="J473" s="228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8" t="e">
        <f ca="1">+C474*Catalogo!$F$19+EV!D474*Catalogo!$F$14+EV!E474*Catalogo!$F$16+EV!F474*Catalogo!$F$18</f>
        <v>#N/A</v>
      </c>
      <c r="J474" s="228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8" t="e">
        <f ca="1">+C475*Catalogo!$F$19+EV!D475*Catalogo!$F$14+EV!E475*Catalogo!$F$16+EV!F475*Catalogo!$F$18</f>
        <v>#N/A</v>
      </c>
      <c r="J475" s="228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8" t="e">
        <f ca="1">+C476*Catalogo!$F$19+EV!D476*Catalogo!$F$14+EV!E476*Catalogo!$F$16+EV!F476*Catalogo!$F$18</f>
        <v>#N/A</v>
      </c>
      <c r="J476" s="228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8" t="e">
        <f ca="1">+C477*Catalogo!$F$19+EV!D477*Catalogo!$F$14+EV!E477*Catalogo!$F$16+EV!F477*Catalogo!$F$18</f>
        <v>#N/A</v>
      </c>
      <c r="J477" s="228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8" t="e">
        <f ca="1">+C478*Catalogo!$F$19+EV!D478*Catalogo!$F$14+EV!E478*Catalogo!$F$16+EV!F478*Catalogo!$F$18</f>
        <v>#N/A</v>
      </c>
      <c r="J478" s="228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8" t="e">
        <f ca="1">+C479*Catalogo!$F$19+EV!D479*Catalogo!$F$14+EV!E479*Catalogo!$F$16+EV!F479*Catalogo!$F$18</f>
        <v>#N/A</v>
      </c>
      <c r="J479" s="228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8" t="e">
        <f ca="1">+C480*Catalogo!$F$19+EV!D480*Catalogo!$F$14+EV!E480*Catalogo!$F$16+EV!F480*Catalogo!$F$18</f>
        <v>#N/A</v>
      </c>
      <c r="J480" s="228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8" t="e">
        <f ca="1">+C481*Catalogo!$F$19+EV!D481*Catalogo!$F$14+EV!E481*Catalogo!$F$16+EV!F481*Catalogo!$F$18</f>
        <v>#N/A</v>
      </c>
      <c r="J481" s="228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8" t="e">
        <f ca="1">+C482*Catalogo!$F$19+EV!D482*Catalogo!$F$14+EV!E482*Catalogo!$F$16+EV!F482*Catalogo!$F$18</f>
        <v>#N/A</v>
      </c>
      <c r="J482" s="228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8" t="e">
        <f ca="1">+C483*Catalogo!$F$19+EV!D483*Catalogo!$F$14+EV!E483*Catalogo!$F$16+EV!F483*Catalogo!$F$18</f>
        <v>#N/A</v>
      </c>
      <c r="J483" s="228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8" t="e">
        <f ca="1">+C484*Catalogo!$F$19+EV!D484*Catalogo!$F$14+EV!E484*Catalogo!$F$16+EV!F484*Catalogo!$F$18</f>
        <v>#N/A</v>
      </c>
      <c r="J484" s="228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8" t="e">
        <f ca="1">+C485*Catalogo!$F$19+EV!D485*Catalogo!$F$14+EV!E485*Catalogo!$F$16+EV!F485*Catalogo!$F$18</f>
        <v>#N/A</v>
      </c>
      <c r="J485" s="228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8" t="e">
        <f ca="1">+C486*Catalogo!$F$19+EV!D486*Catalogo!$F$14+EV!E486*Catalogo!$F$16+EV!F486*Catalogo!$F$18</f>
        <v>#N/A</v>
      </c>
      <c r="J486" s="228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8" t="e">
        <f ca="1">+C487*Catalogo!$F$19+EV!D487*Catalogo!$F$14+EV!E487*Catalogo!$F$16+EV!F487*Catalogo!$F$18</f>
        <v>#N/A</v>
      </c>
      <c r="J487" s="228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8" t="e">
        <f ca="1">+C488*Catalogo!$F$19+EV!D488*Catalogo!$F$14+EV!E488*Catalogo!$F$16+EV!F488*Catalogo!$F$18</f>
        <v>#N/A</v>
      </c>
      <c r="J488" s="228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8" t="e">
        <f ca="1">+C489*Catalogo!$F$19+EV!D489*Catalogo!$F$14+EV!E489*Catalogo!$F$16+EV!F489*Catalogo!$F$18</f>
        <v>#N/A</v>
      </c>
      <c r="J489" s="228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8" t="e">
        <f ca="1">+C490*Catalogo!$F$19+EV!D490*Catalogo!$F$14+EV!E490*Catalogo!$F$16+EV!F490*Catalogo!$F$18</f>
        <v>#N/A</v>
      </c>
      <c r="J490" s="228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8" t="e">
        <f ca="1">+C491*Catalogo!$F$19+EV!D491*Catalogo!$F$14+EV!E491*Catalogo!$F$16+EV!F491*Catalogo!$F$18</f>
        <v>#N/A</v>
      </c>
      <c r="J491" s="228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8" t="e">
        <f ca="1">+C492*Catalogo!$F$19+EV!D492*Catalogo!$F$14+EV!E492*Catalogo!$F$16+EV!F492*Catalogo!$F$18</f>
        <v>#N/A</v>
      </c>
      <c r="J492" s="228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8" t="e">
        <f ca="1">+C493*Catalogo!$F$19+EV!D493*Catalogo!$F$14+EV!E493*Catalogo!$F$16+EV!F493*Catalogo!$F$18</f>
        <v>#N/A</v>
      </c>
      <c r="J493" s="228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8" t="e">
        <f ca="1">+C494*Catalogo!$F$19+EV!D494*Catalogo!$F$14+EV!E494*Catalogo!$F$16+EV!F494*Catalogo!$F$18</f>
        <v>#N/A</v>
      </c>
      <c r="J494" s="228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8" t="e">
        <f ca="1">+C495*Catalogo!$F$19+EV!D495*Catalogo!$F$14+EV!E495*Catalogo!$F$16+EV!F495*Catalogo!$F$18</f>
        <v>#N/A</v>
      </c>
      <c r="J495" s="228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8" t="e">
        <f ca="1">+C496*Catalogo!$F$19+EV!D496*Catalogo!$F$14+EV!E496*Catalogo!$F$16+EV!F496*Catalogo!$F$18</f>
        <v>#N/A</v>
      </c>
      <c r="J496" s="228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8" t="e">
        <f ca="1">+C497*Catalogo!$F$19+EV!D497*Catalogo!$F$14+EV!E497*Catalogo!$F$16+EV!F497*Catalogo!$F$18</f>
        <v>#N/A</v>
      </c>
      <c r="J497" s="228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8" t="e">
        <f ca="1">+C498*Catalogo!$F$19+EV!D498*Catalogo!$F$14+EV!E498*Catalogo!$F$16+EV!F498*Catalogo!$F$18</f>
        <v>#N/A</v>
      </c>
      <c r="J498" s="228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8" t="e">
        <f ca="1">+C499*Catalogo!$F$19+EV!D499*Catalogo!$F$14+EV!E499*Catalogo!$F$16+EV!F499*Catalogo!$F$18</f>
        <v>#N/A</v>
      </c>
      <c r="J499" s="228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8" t="e">
        <f ca="1">+C500*Catalogo!$F$19+EV!D500*Catalogo!$F$14+EV!E500*Catalogo!$F$16+EV!F500*Catalogo!$F$18</f>
        <v>#N/A</v>
      </c>
      <c r="J500" s="228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461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  <c r="AN1" s="303" t="s">
        <v>440</v>
      </c>
      <c r="AQ1"/>
      <c r="AR1"/>
      <c r="AS1"/>
    </row>
    <row r="2" spans="1:50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  <c r="AQ2"/>
      <c r="AR2"/>
      <c r="AS2"/>
    </row>
    <row r="3" spans="1:50" x14ac:dyDescent="0.25">
      <c r="A3"/>
      <c r="B3" s="292">
        <v>2532.81</v>
      </c>
      <c r="C3" s="292">
        <v>3250.01</v>
      </c>
      <c r="D3" s="292">
        <v>985.32</v>
      </c>
      <c r="E3" s="292">
        <v>1062.92</v>
      </c>
      <c r="F3" s="292">
        <v>1337.25</v>
      </c>
      <c r="G3" s="292">
        <v>1581.21</v>
      </c>
      <c r="H3" s="438">
        <v>14521.41</v>
      </c>
      <c r="I3" s="322">
        <v>13555.63</v>
      </c>
      <c r="J3" s="440">
        <v>13555.63</v>
      </c>
      <c r="K3" s="261">
        <v>13696.28</v>
      </c>
      <c r="L3" s="261">
        <v>4658</v>
      </c>
      <c r="M3" s="440">
        <v>2257.42</v>
      </c>
      <c r="N3" s="261">
        <v>3540.12</v>
      </c>
      <c r="O3" s="261">
        <v>2646.28</v>
      </c>
      <c r="P3" s="261">
        <v>1970.65</v>
      </c>
      <c r="Q3" s="261">
        <v>7585.99</v>
      </c>
      <c r="R3" s="261">
        <v>1765.59</v>
      </c>
      <c r="S3" s="261">
        <v>1934.59</v>
      </c>
      <c r="T3" s="261">
        <v>1960.59</v>
      </c>
      <c r="U3" s="261">
        <v>2220.59</v>
      </c>
      <c r="V3" s="261">
        <v>2220.59</v>
      </c>
      <c r="W3" s="261">
        <v>2090.59</v>
      </c>
      <c r="X3" s="261">
        <v>2090.59</v>
      </c>
      <c r="Y3" s="261">
        <v>656</v>
      </c>
      <c r="Z3" s="261">
        <v>4676</v>
      </c>
      <c r="AA3" s="261">
        <v>4124.2700000000004</v>
      </c>
      <c r="AB3" s="261">
        <v>5020.99</v>
      </c>
      <c r="AC3" s="261">
        <v>3652.99</v>
      </c>
      <c r="AD3" s="261">
        <v>3201.98</v>
      </c>
      <c r="AE3" s="261">
        <v>6840</v>
      </c>
      <c r="AF3" s="261">
        <v>2052</v>
      </c>
      <c r="AG3" s="261">
        <v>3420</v>
      </c>
      <c r="AH3" s="261">
        <v>4212.3599999999997</v>
      </c>
      <c r="AI3" s="261">
        <v>1368</v>
      </c>
      <c r="AJ3" s="261">
        <v>7244.35</v>
      </c>
      <c r="AK3" s="261">
        <v>6977.93</v>
      </c>
      <c r="AL3" s="261">
        <v>8275.99</v>
      </c>
      <c r="AM3" s="261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6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8">
        <v>-11162921.84</v>
      </c>
      <c r="AO5" s="308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6">
        <v>45962</v>
      </c>
      <c r="B6" s="314">
        <f>+SUMIFS(Tabla1[Avance_Med],Tabla1[Fecha],"&gt;="&amp;$A6,Tabla1[Fecha],"&lt;="&amp;EOMONTH($A6,0),Tabla1[Codigo_actividad],B$4)*B$3</f>
        <v>0</v>
      </c>
      <c r="C6" s="314">
        <f>+SUMIFS(Tabla1[Avance_Med],Tabla1[Fecha],"&gt;="&amp;$A6,Tabla1[Fecha],"&lt;="&amp;EOMONTH($A6,0),Tabla1[Codigo_actividad],C$4)*C$3</f>
        <v>0</v>
      </c>
      <c r="D6" s="314">
        <f>+SUMIFS(Tabla1[Avance_Med],Tabla1[Fecha],"&gt;="&amp;$A6,Tabla1[Fecha],"&lt;="&amp;EOMONTH($A6,0),Tabla1[Codigo_actividad],D$4)*D$3</f>
        <v>0</v>
      </c>
      <c r="E6" s="314">
        <f>+SUMIFS(Tabla1[Avance_Med],Tabla1[Fecha],"&gt;="&amp;$A6,Tabla1[Fecha],"&lt;="&amp;EOMONTH($A6,0),Tabla1[Codigo_actividad],E$4)*E$3</f>
        <v>0</v>
      </c>
      <c r="F6" s="314">
        <f>+SUMIFS(Tabla1[Avance_Med],Tabla1[Fecha],"&gt;="&amp;$A6,Tabla1[Fecha],"&lt;="&amp;EOMONTH($A6,0),Tabla1[Codigo_actividad],F$4)*F$3</f>
        <v>0</v>
      </c>
      <c r="G6" s="314">
        <f>+SUMIFS(Tabla1[Avance_Med],Tabla1[Fecha],"&gt;="&amp;$A6,Tabla1[Fecha],"&lt;="&amp;EOMONTH($A6,0),Tabla1[Codigo_actividad],G$4)*G$3</f>
        <v>0</v>
      </c>
      <c r="H6" s="314">
        <f>+SUMIFS(Tabla1[Avance_km],Tabla1[Fecha],"&gt;="&amp;$A6,Tabla1[Fecha],"&lt;="&amp;EOMONTH($A6,0),Tabla1[Codigo_actividad],H$4)*H$3</f>
        <v>458135.96408999996</v>
      </c>
      <c r="I6" s="314"/>
      <c r="J6" s="314">
        <f>+SUMIFS(Tabla1[Avance_km],Tabla1[Fecha],"&gt;="&amp;$A6,Tabla1[Fecha],"&lt;="&amp;EOMONTH($A6,0),Tabla1[Codigo_actividad],J$4,Tabla1[Avance_km],"&gt;0")*J$3</f>
        <v>719112.61586999998</v>
      </c>
      <c r="K6" s="314">
        <f>SUMIFS(Tabla1[Avance_km],Tabla1[Fecha],"&gt;="&amp;$A6,Tabla1[Fecha],"&lt;="&amp;EOMONTH($A6,0),Tabla1[Codigo_actividad],K$4,Tabla1[Avance_km],"&gt;0")*K$3</f>
        <v>0</v>
      </c>
      <c r="L6" s="314">
        <f>+SUMIFS(Tabla1[Avance_Med],Tabla1[Fecha],"&gt;="&amp;$A6,Tabla1[Fecha],"&lt;="&amp;EOMONTH($A6,0),Tabla1[Codigo_actividad],L$4)*L$3</f>
        <v>456484</v>
      </c>
      <c r="M6" s="314">
        <f>+SUMIFS(Tabla1[Avance_km],Tabla1[Fecha],"&gt;="&amp;$A6,Tabla1[Fecha],"&lt;="&amp;EOMONTH($A6,0),Tabla1[Codigo_actividad],M$4)*M$3</f>
        <v>162583.90324000004</v>
      </c>
      <c r="N6" s="314">
        <f>+SUMIFS(Tabla1[Avance_Med],Tabla1[Fecha],"&gt;="&amp;$A6,Tabla1[Fecha],"&lt;="&amp;EOMONTH($A6,0),Tabla1[Codigo_actividad],N$4)*N$3</f>
        <v>0</v>
      </c>
      <c r="O6" s="314">
        <f>+SUMIFS(Tabla1[Avance_Med],Tabla1[Fecha],"&gt;="&amp;$A6,Tabla1[Fecha],"&lt;="&amp;EOMONTH($A6,0),Tabla1[Codigo_actividad],O$4)*O$3</f>
        <v>0</v>
      </c>
      <c r="P6" s="314">
        <f>+SUMIFS(Tabla1[Avance_Med],Tabla1[Fecha],"&gt;="&amp;$A6,Tabla1[Fecha],"&lt;="&amp;EOMONTH($A6,0),Tabla1[Codigo_actividad],P$4)*P$3</f>
        <v>0</v>
      </c>
      <c r="Q6" s="314">
        <f>+SUMIFS(Tabla1[Avance_Med],Tabla1[Fecha],"&gt;="&amp;$A6,Tabla1[Fecha],"&lt;="&amp;EOMONTH($A6,0),Tabla1[Codigo_actividad],Q$4)*Q$3</f>
        <v>0</v>
      </c>
      <c r="R6" s="314">
        <f>+SUMIFS(Tabla1[Avance_Med],Tabla1[Fecha],"&gt;="&amp;$A6,Tabla1[Fecha],"&lt;="&amp;EOMONTH($A6,0),Tabla1[Codigo_actividad],R$4)*R$3</f>
        <v>0</v>
      </c>
      <c r="S6" s="314">
        <f>+SUMIFS(Tabla1[Avance_Med],Tabla1[Fecha],"&gt;="&amp;$A6,Tabla1[Fecha],"&lt;="&amp;EOMONTH($A6,0),Tabla1[Codigo_actividad],S$4)*S$3</f>
        <v>0</v>
      </c>
      <c r="T6" s="314">
        <f>+SUMIFS(Tabla1[Avance_Med],Tabla1[Fecha],"&gt;="&amp;$A6,Tabla1[Fecha],"&lt;="&amp;EOMONTH($A6,0),Tabla1[Codigo_actividad],T$4)*T$3</f>
        <v>0</v>
      </c>
      <c r="U6" s="314">
        <f>+SUMIFS(Tabla1[Avance_Med],Tabla1[Fecha],"&gt;="&amp;$A6,Tabla1[Fecha],"&lt;="&amp;EOMONTH($A6,0),Tabla1[Codigo_actividad],U$4)*U$3</f>
        <v>0</v>
      </c>
      <c r="V6" s="314">
        <f>+SUMIFS(Tabla1[Avance_Med],Tabla1[Fecha],"&gt;="&amp;$A6,Tabla1[Fecha],"&lt;="&amp;EOMONTH($A6,0),Tabla1[Codigo_actividad],V$4)*V$3</f>
        <v>0</v>
      </c>
      <c r="W6" s="314">
        <f>+SUMIFS(Tabla1[Avance_Med],Tabla1[Fecha],"&gt;="&amp;$A6,Tabla1[Fecha],"&lt;="&amp;EOMONTH($A6,0),Tabla1[Codigo_actividad],W$4)*W$3</f>
        <v>0</v>
      </c>
      <c r="X6" s="314">
        <f>+SUMIFS(Tabla1[Avance_Med],Tabla1[Fecha],"&gt;="&amp;$A6,Tabla1[Fecha],"&lt;="&amp;EOMONTH($A6,0),Tabla1[Codigo_actividad],X$4)*X$3</f>
        <v>0</v>
      </c>
      <c r="Y6" s="314">
        <f>+SUMIFS(Tabla1[Avance_Med],Tabla1[Fecha],"&gt;="&amp;$A6,Tabla1[Fecha],"&lt;="&amp;EOMONTH($A6,0),Tabla1[Codigo_actividad],Y$4)*Y$3</f>
        <v>0</v>
      </c>
      <c r="Z6" s="314">
        <f>+SUMIFS(Tabla1[Avance_Med],Tabla1[Fecha],"&gt;="&amp;$A6,Tabla1[Fecha],"&lt;="&amp;EOMONTH($A6,0),Tabla1[Codigo_actividad],Z$4)*Z$3</f>
        <v>0</v>
      </c>
      <c r="AA6" s="314">
        <f>+SUMIFS(Tabla1[Avance_Med],Tabla1[Fecha],"&gt;="&amp;$A6,Tabla1[Fecha],"&lt;="&amp;EOMONTH($A6,0),Tabla1[Codigo_actividad],AA$4)*AA$3</f>
        <v>0</v>
      </c>
      <c r="AB6" s="314">
        <f>+SUMIFS(Tabla1[Avance_Med],Tabla1[Fecha],"&gt;="&amp;$A6,Tabla1[Fecha],"&lt;="&amp;EOMONTH($A6,0),Tabla1[Codigo_actividad],AB$4)*AB$3</f>
        <v>0</v>
      </c>
      <c r="AC6" s="314">
        <f>+SUMIFS(Tabla1[Avance_Med],Tabla1[Fecha],"&gt;="&amp;$A6,Tabla1[Fecha],"&lt;="&amp;EOMONTH($A6,0),Tabla1[Codigo_actividad],AC$4)*AC$3</f>
        <v>0</v>
      </c>
      <c r="AD6" s="314">
        <f>+SUMIFS(Tabla1[Avance_Med],Tabla1[Fecha],"&gt;="&amp;$A6,Tabla1[Fecha],"&lt;="&amp;EOMONTH($A6,0),Tabla1[Codigo_actividad],AD$4)*AD$3</f>
        <v>0</v>
      </c>
      <c r="AE6" s="314">
        <f>+SUMIFS(Tabla1[Avance_Med],Tabla1[Fecha],"&gt;="&amp;$A6,Tabla1[Fecha],"&lt;="&amp;EOMONTH($A6,0),Tabla1[Codigo_actividad],AE$4)*AE$3</f>
        <v>0</v>
      </c>
      <c r="AF6" s="314">
        <f>+SUMIFS(Tabla1[Avance_Med],Tabla1[Fecha],"&gt;="&amp;$A6,Tabla1[Fecha],"&lt;="&amp;EOMONTH($A6,0),Tabla1[Codigo_actividad],AF$4)*AF$3</f>
        <v>0</v>
      </c>
      <c r="AG6" s="314">
        <f>+SUMIFS(Tabla1[Avance_Med],Tabla1[Fecha],"&gt;="&amp;$A6,Tabla1[Fecha],"&lt;="&amp;EOMONTH($A6,0),Tabla1[Codigo_actividad],AG$4)*AG$3</f>
        <v>0</v>
      </c>
      <c r="AH6" s="314">
        <f>+SUMIFS(Tabla1[Avance_Med],Tabla1[Fecha],"&gt;="&amp;$A6,Tabla1[Fecha],"&lt;="&amp;EOMONTH($A6,0),Tabla1[Codigo_actividad],AH$4)*AH$3</f>
        <v>0</v>
      </c>
      <c r="AI6" s="314">
        <f>+SUMIFS(Tabla1[Avance_Med],Tabla1[Fecha],"&gt;="&amp;$A6,Tabla1[Fecha],"&lt;="&amp;EOMONTH($A6,0),Tabla1[Codigo_actividad],AI$4)*AI$3</f>
        <v>0</v>
      </c>
      <c r="AJ6" s="314">
        <f>+SUMIFS(Tabla1[Avance_Med],Tabla1[Fecha],"&gt;="&amp;$A6,Tabla1[Fecha],"&lt;="&amp;EOMONTH($A6,0),Tabla1[Codigo_actividad],AJ$4)*AJ$3</f>
        <v>0</v>
      </c>
      <c r="AK6" s="314">
        <f>+SUMIFS(Tabla1[Avance_Med],Tabla1[Fecha],"&gt;="&amp;$A6,Tabla1[Fecha],"&lt;="&amp;EOMONTH($A6,0),Tabla1[Codigo_actividad],AK$4)*AK$3</f>
        <v>0</v>
      </c>
      <c r="AL6" s="314">
        <f>+SUMIFS(Tabla1[Avance_km],Tabla1[Fecha],"&gt;="&amp;$A6,Tabla1[Fecha],"&lt;="&amp;EOMONTH($A6,0),Tabla1[Codigo_actividad],AL$4)*AL$3</f>
        <v>0</v>
      </c>
      <c r="AM6" s="314">
        <f>+SUMIFS(Tabla1[Avance_Med],Tabla1[Fecha],"&gt;="&amp;$A6,Tabla1[Fecha],"&lt;="&amp;EOMONTH($A6,0),Tabla1[Codigo_actividad],AM$4)*AM$3</f>
        <v>0</v>
      </c>
      <c r="AN6" s="313"/>
      <c r="AO6" s="308">
        <f t="shared" si="0"/>
        <v>1796316.4832000001</v>
      </c>
      <c r="AT6"/>
      <c r="AU6"/>
      <c r="AV6"/>
      <c r="AW6"/>
      <c r="AX6"/>
    </row>
    <row r="7" spans="1:50" x14ac:dyDescent="0.25">
      <c r="A7" s="226">
        <v>45992</v>
      </c>
      <c r="B7" s="314">
        <f>+SUMIFS(Tabla1[Avance_Med],Tabla1[Fecha],"&gt;="&amp;$A7,Tabla1[Fecha],"&lt;="&amp;EOMONTH($A7,0),Tabla1[Codigo_actividad],B$4)*B$3</f>
        <v>0</v>
      </c>
      <c r="C7" s="314">
        <f>+SUMIFS(Tabla1[Avance_Med],Tabla1[Fecha],"&gt;="&amp;$A7,Tabla1[Fecha],"&lt;="&amp;EOMONTH($A7,0),Tabla1[Codigo_actividad],C$4)*C$3</f>
        <v>0</v>
      </c>
      <c r="D7" s="314">
        <f>+SUMIFS(Tabla1[Avance_Med],Tabla1[Fecha],"&gt;="&amp;$A7,Tabla1[Fecha],"&lt;="&amp;EOMONTH($A7,0),Tabla1[Codigo_actividad],D$4)*D$3</f>
        <v>0</v>
      </c>
      <c r="E7" s="314">
        <f>+SUMIFS(Tabla1[Avance_Med],Tabla1[Fecha],"&gt;="&amp;$A7,Tabla1[Fecha],"&lt;="&amp;EOMONTH($A7,0),Tabla1[Codigo_actividad],E$4)*E$3</f>
        <v>0</v>
      </c>
      <c r="F7" s="314">
        <f>+SUMIFS(Tabla1[Avance_Med],Tabla1[Fecha],"&gt;="&amp;$A7,Tabla1[Fecha],"&lt;="&amp;EOMONTH($A7,0),Tabla1[Codigo_actividad],F$4)*F$3</f>
        <v>0</v>
      </c>
      <c r="G7" s="314">
        <f>+SUMIFS(Tabla1[Avance_Med],Tabla1[Fecha],"&gt;="&amp;$A7,Tabla1[Fecha],"&lt;="&amp;EOMONTH($A7,0),Tabla1[Codigo_actividad],G$4)*G$3</f>
        <v>0</v>
      </c>
      <c r="H7" s="314">
        <f>+SUMIFS(Tabla1[Avance_km],Tabla1[Fecha],"&gt;="&amp;$A7,Tabla1[Fecha],"&lt;="&amp;EOMONTH($A7,0),Tabla1[Codigo_actividad],H$4)*H$3</f>
        <v>457671.27897000004</v>
      </c>
      <c r="I7" s="314"/>
      <c r="J7" s="314">
        <f>+SUMIFS(Tabla1[Avance_km],Tabla1[Fecha],"&gt;="&amp;$A7,Tabla1[Fecha],"&lt;="&amp;EOMONTH($A7,0),Tabla1[Codigo_actividad],J$4,Tabla1[Avance_km],"&gt;0")*J$3</f>
        <v>427598.79271999991</v>
      </c>
      <c r="K7" s="314">
        <f>SUMIFS(Tabla1[Avance_km],Tabla1[Fecha],"&gt;="&amp;$A7,Tabla1[Fecha],"&lt;="&amp;EOMONTH($A7,0),Tabla1[Codigo_actividad],K$4,Tabla1[Avance_km],"&gt;0")*K$3</f>
        <v>0</v>
      </c>
      <c r="L7" s="314">
        <f>+SUMIFS(Tabla1[Avance_Med],Tabla1[Fecha],"&gt;="&amp;$A7,Tabla1[Fecha],"&lt;="&amp;EOMONTH($A7,0),Tabla1[Codigo_actividad],L$4)*L$3</f>
        <v>605540</v>
      </c>
      <c r="M7" s="314">
        <f>+SUMIFS(Tabla1[Avance_km],Tabla1[Fecha],"&gt;="&amp;$A7,Tabla1[Fecha],"&lt;="&amp;EOMONTH($A7,0),Tabla1[Codigo_actividad],M$4)*M$3</f>
        <v>47818.927860000003</v>
      </c>
      <c r="N7" s="314">
        <f>+SUMIFS(Tabla1[Avance_Med],Tabla1[Fecha],"&gt;="&amp;$A7,Tabla1[Fecha],"&lt;="&amp;EOMONTH($A7,0),Tabla1[Codigo_actividad],N$4)*N$3</f>
        <v>0</v>
      </c>
      <c r="O7" s="314">
        <f>+SUMIFS(Tabla1[Avance_Med],Tabla1[Fecha],"&gt;="&amp;$A7,Tabla1[Fecha],"&lt;="&amp;EOMONTH($A7,0),Tabla1[Codigo_actividad],O$4)*O$3</f>
        <v>0</v>
      </c>
      <c r="P7" s="314">
        <f>+SUMIFS(Tabla1[Avance_Med],Tabla1[Fecha],"&gt;="&amp;$A7,Tabla1[Fecha],"&lt;="&amp;EOMONTH($A7,0),Tabla1[Codigo_actividad],P$4)*P$3</f>
        <v>0</v>
      </c>
      <c r="Q7" s="314">
        <f>+SUMIFS(Tabla1[Avance_Med],Tabla1[Fecha],"&gt;="&amp;$A7,Tabla1[Fecha],"&lt;="&amp;EOMONTH($A7,0),Tabla1[Codigo_actividad],Q$4)*Q$3</f>
        <v>0</v>
      </c>
      <c r="R7" s="314">
        <f>+SUMIFS(Tabla1[Avance_Med],Tabla1[Fecha],"&gt;="&amp;$A7,Tabla1[Fecha],"&lt;="&amp;EOMONTH($A7,0),Tabla1[Codigo_actividad],R$4)*R$3</f>
        <v>0</v>
      </c>
      <c r="S7" s="314">
        <f>+SUMIFS(Tabla1[Avance_Med],Tabla1[Fecha],"&gt;="&amp;$A7,Tabla1[Fecha],"&lt;="&amp;EOMONTH($A7,0),Tabla1[Codigo_actividad],S$4)*S$3</f>
        <v>0</v>
      </c>
      <c r="T7" s="314">
        <f>+SUMIFS(Tabla1[Avance_Med],Tabla1[Fecha],"&gt;="&amp;$A7,Tabla1[Fecha],"&lt;="&amp;EOMONTH($A7,0),Tabla1[Codigo_actividad],T$4)*T$3</f>
        <v>0</v>
      </c>
      <c r="U7" s="314">
        <f>+SUMIFS(Tabla1[Avance_Med],Tabla1[Fecha],"&gt;="&amp;$A7,Tabla1[Fecha],"&lt;="&amp;EOMONTH($A7,0),Tabla1[Codigo_actividad],U$4)*U$3</f>
        <v>0</v>
      </c>
      <c r="V7" s="314">
        <f>+SUMIFS(Tabla1[Avance_Med],Tabla1[Fecha],"&gt;="&amp;$A7,Tabla1[Fecha],"&lt;="&amp;EOMONTH($A7,0),Tabla1[Codigo_actividad],V$4)*V$3</f>
        <v>0</v>
      </c>
      <c r="W7" s="314">
        <f>+SUMIFS(Tabla1[Avance_Med],Tabla1[Fecha],"&gt;="&amp;$A7,Tabla1[Fecha],"&lt;="&amp;EOMONTH($A7,0),Tabla1[Codigo_actividad],W$4)*W$3</f>
        <v>0</v>
      </c>
      <c r="X7" s="314">
        <f>+SUMIFS(Tabla1[Avance_Med],Tabla1[Fecha],"&gt;="&amp;$A7,Tabla1[Fecha],"&lt;="&amp;EOMONTH($A7,0),Tabla1[Codigo_actividad],X$4)*X$3</f>
        <v>0</v>
      </c>
      <c r="Y7" s="314">
        <f>+SUMIFS(Tabla1[Avance_Med],Tabla1[Fecha],"&gt;="&amp;$A7,Tabla1[Fecha],"&lt;="&amp;EOMONTH($A7,0),Tabla1[Codigo_actividad],Y$4)*Y$3</f>
        <v>0</v>
      </c>
      <c r="Z7" s="314">
        <f>+SUMIFS(Tabla1[Avance_Med],Tabla1[Fecha],"&gt;="&amp;$A7,Tabla1[Fecha],"&lt;="&amp;EOMONTH($A7,0),Tabla1[Codigo_actividad],Z$4)*Z$3</f>
        <v>0</v>
      </c>
      <c r="AA7" s="314">
        <f>+SUMIFS(Tabla1[Avance_Med],Tabla1[Fecha],"&gt;="&amp;$A7,Tabla1[Fecha],"&lt;="&amp;EOMONTH($A7,0),Tabla1[Codigo_actividad],AA$4)*AA$3</f>
        <v>0</v>
      </c>
      <c r="AB7" s="314">
        <f>+SUMIFS(Tabla1[Avance_Med],Tabla1[Fecha],"&gt;="&amp;$A7,Tabla1[Fecha],"&lt;="&amp;EOMONTH($A7,0),Tabla1[Codigo_actividad],AB$4)*AB$3</f>
        <v>0</v>
      </c>
      <c r="AC7" s="314">
        <f>+SUMIFS(Tabla1[Avance_Med],Tabla1[Fecha],"&gt;="&amp;$A7,Tabla1[Fecha],"&lt;="&amp;EOMONTH($A7,0),Tabla1[Codigo_actividad],AC$4)*AC$3</f>
        <v>0</v>
      </c>
      <c r="AD7" s="314">
        <f>+SUMIFS(Tabla1[Avance_Med],Tabla1[Fecha],"&gt;="&amp;$A7,Tabla1[Fecha],"&lt;="&amp;EOMONTH($A7,0),Tabla1[Codigo_actividad],AD$4)*AD$3</f>
        <v>0</v>
      </c>
      <c r="AE7" s="314">
        <f>+SUMIFS(Tabla1[Avance_Med],Tabla1[Fecha],"&gt;="&amp;$A7,Tabla1[Fecha],"&lt;="&amp;EOMONTH($A7,0),Tabla1[Codigo_actividad],AE$4)*AE$3</f>
        <v>0</v>
      </c>
      <c r="AF7" s="314">
        <f>+SUMIFS(Tabla1[Avance_Med],Tabla1[Fecha],"&gt;="&amp;$A7,Tabla1[Fecha],"&lt;="&amp;EOMONTH($A7,0),Tabla1[Codigo_actividad],AF$4)*AF$3</f>
        <v>0</v>
      </c>
      <c r="AG7" s="314">
        <f>+SUMIFS(Tabla1[Avance_Med],Tabla1[Fecha],"&gt;="&amp;$A7,Tabla1[Fecha],"&lt;="&amp;EOMONTH($A7,0),Tabla1[Codigo_actividad],AG$4)*AG$3</f>
        <v>0</v>
      </c>
      <c r="AH7" s="314">
        <f>+SUMIFS(Tabla1[Avance_Med],Tabla1[Fecha],"&gt;="&amp;$A7,Tabla1[Fecha],"&lt;="&amp;EOMONTH($A7,0),Tabla1[Codigo_actividad],AH$4)*AH$3</f>
        <v>0</v>
      </c>
      <c r="AI7" s="314">
        <f>+SUMIFS(Tabla1[Avance_Med],Tabla1[Fecha],"&gt;="&amp;$A7,Tabla1[Fecha],"&lt;="&amp;EOMONTH($A7,0),Tabla1[Codigo_actividad],AI$4)*AI$3</f>
        <v>0</v>
      </c>
      <c r="AJ7" s="314">
        <f>+SUMIFS(Tabla1[Avance_Med],Tabla1[Fecha],"&gt;="&amp;$A7,Tabla1[Fecha],"&lt;="&amp;EOMONTH($A7,0),Tabla1[Codigo_actividad],AJ$4)*AJ$3</f>
        <v>0</v>
      </c>
      <c r="AK7" s="314">
        <f>+SUMIFS(Tabla1[Avance_Med],Tabla1[Fecha],"&gt;="&amp;$A7,Tabla1[Fecha],"&lt;="&amp;EOMONTH($A7,0),Tabla1[Codigo_actividad],AK$4)*AK$3</f>
        <v>0</v>
      </c>
      <c r="AL7" s="314">
        <f>+SUMIFS(Tabla1[Avance_km],Tabla1[Fecha],"&gt;="&amp;$A7,Tabla1[Fecha],"&lt;="&amp;EOMONTH($A7,0),Tabla1[Codigo_actividad],AL$4)*AL$3</f>
        <v>0</v>
      </c>
      <c r="AM7" s="314">
        <f>+SUMIFS(Tabla1[Avance_Med],Tabla1[Fecha],"&gt;="&amp;$A7,Tabla1[Fecha],"&lt;="&amp;EOMONTH($A7,0),Tabla1[Codigo_actividad],AM$4)*AM$3</f>
        <v>0</v>
      </c>
      <c r="AN7" s="313"/>
      <c r="AO7" s="308">
        <f t="shared" si="0"/>
        <v>1538628.9995499998</v>
      </c>
      <c r="AT7"/>
      <c r="AU7"/>
      <c r="AV7"/>
      <c r="AW7"/>
      <c r="AX7"/>
    </row>
    <row r="8" spans="1:50" x14ac:dyDescent="0.25">
      <c r="A8" s="226">
        <v>46023</v>
      </c>
      <c r="B8" s="314">
        <f>+SUMIFS(Tabla1[Avance_Med],Tabla1[Fecha],"&gt;="&amp;$A8,Tabla1[Fecha],"&lt;="&amp;EOMONTH($A8,0),Tabla1[Codigo_actividad],B$4)*B$3</f>
        <v>0</v>
      </c>
      <c r="C8" s="314">
        <f>+SUMIFS(Tabla1[Avance_Med],Tabla1[Fecha],"&gt;="&amp;$A8,Tabla1[Fecha],"&lt;="&amp;EOMONTH($A8,0),Tabla1[Codigo_actividad],C$4)*C$3</f>
        <v>0</v>
      </c>
      <c r="D8" s="314">
        <f>+SUMIFS(Tabla1[Avance_Med],Tabla1[Fecha],"&gt;="&amp;$A8,Tabla1[Fecha],"&lt;="&amp;EOMONTH($A8,0),Tabla1[Codigo_actividad],D$4)*D$3</f>
        <v>0</v>
      </c>
      <c r="E8" s="314">
        <f>+SUMIFS(Tabla1[Avance_Med],Tabla1[Fecha],"&gt;="&amp;$A8,Tabla1[Fecha],"&lt;="&amp;EOMONTH($A8,0),Tabla1[Codigo_actividad],E$4)*E$3</f>
        <v>0</v>
      </c>
      <c r="F8" s="314">
        <f>+SUMIFS(Tabla1[Avance_Med],Tabla1[Fecha],"&gt;="&amp;$A8,Tabla1[Fecha],"&lt;="&amp;EOMONTH($A8,0),Tabla1[Codigo_actividad],F$4)*F$3</f>
        <v>0</v>
      </c>
      <c r="G8" s="314">
        <f>+SUMIFS(Tabla1[Avance_Med],Tabla1[Fecha],"&gt;="&amp;$A8,Tabla1[Fecha],"&lt;="&amp;EOMONTH($A8,0),Tabla1[Codigo_actividad],G$4)*G$3</f>
        <v>0</v>
      </c>
      <c r="H8" s="314">
        <f>+SUMIFS(Tabla1[Avance_km],Tabla1[Fecha],"&gt;="&amp;$A8,Tabla1[Fecha],"&lt;="&amp;EOMONTH($A8,0),Tabla1[Codigo_actividad],H$4)*H$3</f>
        <v>534968.7444000002</v>
      </c>
      <c r="I8" s="314"/>
      <c r="J8" s="314">
        <f>+SUMIFS(Tabla1[Avance_km],Tabla1[Fecha],"&gt;="&amp;$A8,Tabla1[Fecha],"&lt;="&amp;EOMONTH($A8,0),Tabla1[Codigo_actividad],J$4,Tabla1[Avance_km],"&gt;0")*J$3</f>
        <v>207577.36219000004</v>
      </c>
      <c r="K8" s="314">
        <f>SUMIFS(Tabla1[Avance_km],Tabla1[Fecha],"&gt;="&amp;$A8,Tabla1[Fecha],"&lt;="&amp;EOMONTH($A8,0),Tabla1[Codigo_actividad],K$4,Tabla1[Avance_km],"&gt;0")*K$3</f>
        <v>0</v>
      </c>
      <c r="L8" s="314">
        <f>+SUMIFS(Tabla1[Avance_Med],Tabla1[Fecha],"&gt;="&amp;$A8,Tabla1[Fecha],"&lt;="&amp;EOMONTH($A8,0),Tabla1[Codigo_actividad],L$4)*L$3</f>
        <v>605540</v>
      </c>
      <c r="M8" s="314">
        <f>+SUMIFS(Tabla1[Avance_km],Tabla1[Fecha],"&gt;="&amp;$A8,Tabla1[Fecha],"&lt;="&amp;EOMONTH($A8,0),Tabla1[Codigo_actividad],M$4)*M$3</f>
        <v>15126.97142</v>
      </c>
      <c r="N8" s="314">
        <f>+SUMIFS(Tabla1[Avance_Med],Tabla1[Fecha],"&gt;="&amp;$A8,Tabla1[Fecha],"&lt;="&amp;EOMONTH($A8,0),Tabla1[Codigo_actividad],N$4)*N$3</f>
        <v>0</v>
      </c>
      <c r="O8" s="314">
        <f>+SUMIFS(Tabla1[Avance_Med],Tabla1[Fecha],"&gt;="&amp;$A8,Tabla1[Fecha],"&lt;="&amp;EOMONTH($A8,0),Tabla1[Codigo_actividad],O$4)*O$3</f>
        <v>0</v>
      </c>
      <c r="P8" s="314">
        <f>+SUMIFS(Tabla1[Avance_Med],Tabla1[Fecha],"&gt;="&amp;$A8,Tabla1[Fecha],"&lt;="&amp;EOMONTH($A8,0),Tabla1[Codigo_actividad],P$4)*P$3</f>
        <v>0</v>
      </c>
      <c r="Q8" s="314">
        <f>+SUMIFS(Tabla1[Avance_Med],Tabla1[Fecha],"&gt;="&amp;$A8,Tabla1[Fecha],"&lt;="&amp;EOMONTH($A8,0),Tabla1[Codigo_actividad],Q$4)*Q$3</f>
        <v>0</v>
      </c>
      <c r="R8" s="314">
        <f>+SUMIFS(Tabla1[Avance_Med],Tabla1[Fecha],"&gt;="&amp;$A8,Tabla1[Fecha],"&lt;="&amp;EOMONTH($A8,0),Tabla1[Codigo_actividad],R$4)*R$3</f>
        <v>0</v>
      </c>
      <c r="S8" s="314">
        <f>+SUMIFS(Tabla1[Avance_Med],Tabla1[Fecha],"&gt;="&amp;$A8,Tabla1[Fecha],"&lt;="&amp;EOMONTH($A8,0),Tabla1[Codigo_actividad],S$4)*S$3</f>
        <v>0</v>
      </c>
      <c r="T8" s="314">
        <f>+SUMIFS(Tabla1[Avance_Med],Tabla1[Fecha],"&gt;="&amp;$A8,Tabla1[Fecha],"&lt;="&amp;EOMONTH($A8,0),Tabla1[Codigo_actividad],T$4)*T$3</f>
        <v>0</v>
      </c>
      <c r="U8" s="314">
        <f>+SUMIFS(Tabla1[Avance_Med],Tabla1[Fecha],"&gt;="&amp;$A8,Tabla1[Fecha],"&lt;="&amp;EOMONTH($A8,0),Tabla1[Codigo_actividad],U$4)*U$3</f>
        <v>0</v>
      </c>
      <c r="V8" s="314">
        <f>+SUMIFS(Tabla1[Avance_Med],Tabla1[Fecha],"&gt;="&amp;$A8,Tabla1[Fecha],"&lt;="&amp;EOMONTH($A8,0),Tabla1[Codigo_actividad],V$4)*V$3</f>
        <v>0</v>
      </c>
      <c r="W8" s="314">
        <f>+SUMIFS(Tabla1[Avance_Med],Tabla1[Fecha],"&gt;="&amp;$A8,Tabla1[Fecha],"&lt;="&amp;EOMONTH($A8,0),Tabla1[Codigo_actividad],W$4)*W$3</f>
        <v>0</v>
      </c>
      <c r="X8" s="314">
        <f>+SUMIFS(Tabla1[Avance_Med],Tabla1[Fecha],"&gt;="&amp;$A8,Tabla1[Fecha],"&lt;="&amp;EOMONTH($A8,0),Tabla1[Codigo_actividad],X$4)*X$3</f>
        <v>0</v>
      </c>
      <c r="Y8" s="314">
        <f>+SUMIFS(Tabla1[Avance_Med],Tabla1[Fecha],"&gt;="&amp;$A8,Tabla1[Fecha],"&lt;="&amp;EOMONTH($A8,0),Tabla1[Codigo_actividad],Y$4)*Y$3</f>
        <v>0</v>
      </c>
      <c r="Z8" s="314">
        <f>+SUMIFS(Tabla1[Avance_Med],Tabla1[Fecha],"&gt;="&amp;$A8,Tabla1[Fecha],"&lt;="&amp;EOMONTH($A8,0),Tabla1[Codigo_actividad],Z$4)*Z$3</f>
        <v>0</v>
      </c>
      <c r="AA8" s="314">
        <f>+SUMIFS(Tabla1[Avance_Med],Tabla1[Fecha],"&gt;="&amp;$A8,Tabla1[Fecha],"&lt;="&amp;EOMONTH($A8,0),Tabla1[Codigo_actividad],AA$4)*AA$3</f>
        <v>0</v>
      </c>
      <c r="AB8" s="314">
        <f>+SUMIFS(Tabla1[Avance_Med],Tabla1[Fecha],"&gt;="&amp;$A8,Tabla1[Fecha],"&lt;="&amp;EOMONTH($A8,0),Tabla1[Codigo_actividad],AB$4)*AB$3</f>
        <v>0</v>
      </c>
      <c r="AC8" s="314">
        <f>+SUMIFS(Tabla1[Avance_Med],Tabla1[Fecha],"&gt;="&amp;$A8,Tabla1[Fecha],"&lt;="&amp;EOMONTH($A8,0),Tabla1[Codigo_actividad],AC$4)*AC$3</f>
        <v>0</v>
      </c>
      <c r="AD8" s="314">
        <f>+SUMIFS(Tabla1[Avance_Med],Tabla1[Fecha],"&gt;="&amp;$A8,Tabla1[Fecha],"&lt;="&amp;EOMONTH($A8,0),Tabla1[Codigo_actividad],AD$4)*AD$3</f>
        <v>0</v>
      </c>
      <c r="AE8" s="314">
        <f>+SUMIFS(Tabla1[Avance_Med],Tabla1[Fecha],"&gt;="&amp;$A8,Tabla1[Fecha],"&lt;="&amp;EOMONTH($A8,0),Tabla1[Codigo_actividad],AE$4)*AE$3</f>
        <v>0</v>
      </c>
      <c r="AF8" s="314">
        <f>+SUMIFS(Tabla1[Avance_Med],Tabla1[Fecha],"&gt;="&amp;$A8,Tabla1[Fecha],"&lt;="&amp;EOMONTH($A8,0),Tabla1[Codigo_actividad],AF$4)*AF$3</f>
        <v>0</v>
      </c>
      <c r="AG8" s="314">
        <f>+SUMIFS(Tabla1[Avance_Med],Tabla1[Fecha],"&gt;="&amp;$A8,Tabla1[Fecha],"&lt;="&amp;EOMONTH($A8,0),Tabla1[Codigo_actividad],AG$4)*AG$3</f>
        <v>0</v>
      </c>
      <c r="AH8" s="314">
        <f>+SUMIFS(Tabla1[Avance_Med],Tabla1[Fecha],"&gt;="&amp;$A8,Tabla1[Fecha],"&lt;="&amp;EOMONTH($A8,0),Tabla1[Codigo_actividad],AH$4)*AH$3</f>
        <v>0</v>
      </c>
      <c r="AI8" s="314">
        <f>+SUMIFS(Tabla1[Avance_Med],Tabla1[Fecha],"&gt;="&amp;$A8,Tabla1[Fecha],"&lt;="&amp;EOMONTH($A8,0),Tabla1[Codigo_actividad],AI$4)*AI$3</f>
        <v>0</v>
      </c>
      <c r="AJ8" s="314">
        <f>+SUMIFS(Tabla1[Avance_Med],Tabla1[Fecha],"&gt;="&amp;$A8,Tabla1[Fecha],"&lt;="&amp;EOMONTH($A8,0),Tabla1[Codigo_actividad],AJ$4)*AJ$3</f>
        <v>0</v>
      </c>
      <c r="AK8" s="314">
        <f>+SUMIFS(Tabla1[Avance_Med],Tabla1[Fecha],"&gt;="&amp;$A8,Tabla1[Fecha],"&lt;="&amp;EOMONTH($A8,0),Tabla1[Codigo_actividad],AK$4)*AK$3</f>
        <v>0</v>
      </c>
      <c r="AL8" s="314">
        <f>+SUMIFS(Tabla1[Avance_km],Tabla1[Fecha],"&gt;="&amp;$A8,Tabla1[Fecha],"&lt;="&amp;EOMONTH($A8,0),Tabla1[Codigo_actividad],AL$4)*AL$3</f>
        <v>0</v>
      </c>
      <c r="AM8" s="314">
        <f>+SUMIFS(Tabla1[Avance_Med],Tabla1[Fecha],"&gt;="&amp;$A8,Tabla1[Fecha],"&lt;="&amp;EOMONTH($A8,0),Tabla1[Codigo_actividad],AM$4)*AM$3</f>
        <v>0</v>
      </c>
      <c r="AN8" s="313"/>
      <c r="AO8" s="308">
        <f t="shared" si="0"/>
        <v>1363213.0780100003</v>
      </c>
      <c r="AT8"/>
      <c r="AU8"/>
      <c r="AV8"/>
      <c r="AW8"/>
      <c r="AX8"/>
    </row>
    <row r="9" spans="1:50" x14ac:dyDescent="0.25">
      <c r="A9" s="226">
        <v>46054</v>
      </c>
      <c r="B9" s="314">
        <f>+SUMIFS(Tabla1[Avance_Med],Tabla1[Fecha],"&gt;="&amp;$A9,Tabla1[Fecha],"&lt;="&amp;EOMONTH($A9,0),Tabla1[Codigo_actividad],B$4)*B$3</f>
        <v>0</v>
      </c>
      <c r="C9" s="314">
        <f>+SUMIFS(Tabla1[Avance_Med],Tabla1[Fecha],"&gt;="&amp;$A9,Tabla1[Fecha],"&lt;="&amp;EOMONTH($A9,0),Tabla1[Codigo_actividad],C$4)*C$3</f>
        <v>0</v>
      </c>
      <c r="D9" s="314">
        <f>+SUMIFS(Tabla1[Avance_Med],Tabla1[Fecha],"&gt;="&amp;$A9,Tabla1[Fecha],"&lt;="&amp;EOMONTH($A9,0),Tabla1[Codigo_actividad],D$4)*D$3</f>
        <v>0</v>
      </c>
      <c r="E9" s="314">
        <f>+SUMIFS(Tabla1[Avance_Med],Tabla1[Fecha],"&gt;="&amp;$A9,Tabla1[Fecha],"&lt;="&amp;EOMONTH($A9,0),Tabla1[Codigo_actividad],E$4)*E$3</f>
        <v>0</v>
      </c>
      <c r="F9" s="314">
        <f>+SUMIFS(Tabla1[Avance_Med],Tabla1[Fecha],"&gt;="&amp;$A9,Tabla1[Fecha],"&lt;="&amp;EOMONTH($A9,0),Tabla1[Codigo_actividad],F$4)*F$3</f>
        <v>0</v>
      </c>
      <c r="G9" s="314">
        <f>+SUMIFS(Tabla1[Avance_Med],Tabla1[Fecha],"&gt;="&amp;$A9,Tabla1[Fecha],"&lt;="&amp;EOMONTH($A9,0),Tabla1[Codigo_actividad],G$4)*G$3</f>
        <v>0</v>
      </c>
      <c r="H9" s="314">
        <f>+SUMIFS(Tabla1[Avance_km],Tabla1[Fecha],"&gt;="&amp;$A9,Tabla1[Fecha],"&lt;="&amp;EOMONTH($A9,0),Tabla1[Codigo_actividad],H$4)*H$3</f>
        <v>0</v>
      </c>
      <c r="I9" s="314"/>
      <c r="J9" s="314">
        <f>+SUMIFS(Tabla1[Avance_km],Tabla1[Fecha],"&gt;="&amp;$A9,Tabla1[Fecha],"&lt;="&amp;EOMONTH($A9,0),Tabla1[Codigo_actividad],J$4,Tabla1[Avance_km],"&gt;0")*J$3</f>
        <v>0</v>
      </c>
      <c r="K9" s="314">
        <f>SUMIFS(Tabla1[Avance_km],Tabla1[Fecha],"&gt;="&amp;$A9,Tabla1[Fecha],"&lt;="&amp;EOMONTH($A9,0),Tabla1[Codigo_actividad],K$4,Tabla1[Avance_km],"&gt;0")*K$3</f>
        <v>0</v>
      </c>
      <c r="L9" s="314">
        <f>+SUMIFS(Tabla1[Avance_Med],Tabla1[Fecha],"&gt;="&amp;$A9,Tabla1[Fecha],"&lt;="&amp;EOMONTH($A9,0),Tabla1[Codigo_actividad],L$4)*L$3</f>
        <v>83844</v>
      </c>
      <c r="M9" s="314">
        <f>+SUMIFS(Tabla1[Avance_km],Tabla1[Fecha],"&gt;="&amp;$A9,Tabla1[Fecha],"&lt;="&amp;EOMONTH($A9,0),Tabla1[Codigo_actividad],M$4)*M$3</f>
        <v>0</v>
      </c>
      <c r="N9" s="314">
        <f>+SUMIFS(Tabla1[Avance_Med],Tabla1[Fecha],"&gt;="&amp;$A9,Tabla1[Fecha],"&lt;="&amp;EOMONTH($A9,0),Tabla1[Codigo_actividad],N$4)*N$3</f>
        <v>0</v>
      </c>
      <c r="O9" s="314">
        <f>+SUMIFS(Tabla1[Avance_Med],Tabla1[Fecha],"&gt;="&amp;$A9,Tabla1[Fecha],"&lt;="&amp;EOMONTH($A9,0),Tabla1[Codigo_actividad],O$4)*O$3</f>
        <v>0</v>
      </c>
      <c r="P9" s="314">
        <f>+SUMIFS(Tabla1[Avance_Med],Tabla1[Fecha],"&gt;="&amp;$A9,Tabla1[Fecha],"&lt;="&amp;EOMONTH($A9,0),Tabla1[Codigo_actividad],P$4)*P$3</f>
        <v>0</v>
      </c>
      <c r="Q9" s="314">
        <f>+SUMIFS(Tabla1[Avance_Med],Tabla1[Fecha],"&gt;="&amp;$A9,Tabla1[Fecha],"&lt;="&amp;EOMONTH($A9,0),Tabla1[Codigo_actividad],Q$4)*Q$3</f>
        <v>0</v>
      </c>
      <c r="R9" s="314">
        <f>+SUMIFS(Tabla1[Avance_Med],Tabla1[Fecha],"&gt;="&amp;$A9,Tabla1[Fecha],"&lt;="&amp;EOMONTH($A9,0),Tabla1[Codigo_actividad],R$4)*R$3</f>
        <v>0</v>
      </c>
      <c r="S9" s="314">
        <f>+SUMIFS(Tabla1[Avance_Med],Tabla1[Fecha],"&gt;="&amp;$A9,Tabla1[Fecha],"&lt;="&amp;EOMONTH($A9,0),Tabla1[Codigo_actividad],S$4)*S$3</f>
        <v>0</v>
      </c>
      <c r="T9" s="314">
        <f>+SUMIFS(Tabla1[Avance_Med],Tabla1[Fecha],"&gt;="&amp;$A9,Tabla1[Fecha],"&lt;="&amp;EOMONTH($A9,0),Tabla1[Codigo_actividad],T$4)*T$3</f>
        <v>0</v>
      </c>
      <c r="U9" s="314">
        <f>+SUMIFS(Tabla1[Avance_Med],Tabla1[Fecha],"&gt;="&amp;$A9,Tabla1[Fecha],"&lt;="&amp;EOMONTH($A9,0),Tabla1[Codigo_actividad],U$4)*U$3</f>
        <v>0</v>
      </c>
      <c r="V9" s="314">
        <f>+SUMIFS(Tabla1[Avance_Med],Tabla1[Fecha],"&gt;="&amp;$A9,Tabla1[Fecha],"&lt;="&amp;EOMONTH($A9,0),Tabla1[Codigo_actividad],V$4)*V$3</f>
        <v>0</v>
      </c>
      <c r="W9" s="314">
        <f>+SUMIFS(Tabla1[Avance_Med],Tabla1[Fecha],"&gt;="&amp;$A9,Tabla1[Fecha],"&lt;="&amp;EOMONTH($A9,0),Tabla1[Codigo_actividad],W$4)*W$3</f>
        <v>0</v>
      </c>
      <c r="X9" s="314">
        <f>+SUMIFS(Tabla1[Avance_Med],Tabla1[Fecha],"&gt;="&amp;$A9,Tabla1[Fecha],"&lt;="&amp;EOMONTH($A9,0),Tabla1[Codigo_actividad],X$4)*X$3</f>
        <v>0</v>
      </c>
      <c r="Y9" s="314">
        <f>+SUMIFS(Tabla1[Avance_Med],Tabla1[Fecha],"&gt;="&amp;$A9,Tabla1[Fecha],"&lt;="&amp;EOMONTH($A9,0),Tabla1[Codigo_actividad],Y$4)*Y$3</f>
        <v>0</v>
      </c>
      <c r="Z9" s="314">
        <f>+SUMIFS(Tabla1[Avance_Med],Tabla1[Fecha],"&gt;="&amp;$A9,Tabla1[Fecha],"&lt;="&amp;EOMONTH($A9,0),Tabla1[Codigo_actividad],Z$4)*Z$3</f>
        <v>0</v>
      </c>
      <c r="AA9" s="314">
        <f>+SUMIFS(Tabla1[Avance_Med],Tabla1[Fecha],"&gt;="&amp;$A9,Tabla1[Fecha],"&lt;="&amp;EOMONTH($A9,0),Tabla1[Codigo_actividad],AA$4)*AA$3</f>
        <v>0</v>
      </c>
      <c r="AB9" s="314">
        <f>+SUMIFS(Tabla1[Avance_Med],Tabla1[Fecha],"&gt;="&amp;$A9,Tabla1[Fecha],"&lt;="&amp;EOMONTH($A9,0),Tabla1[Codigo_actividad],AB$4)*AB$3</f>
        <v>0</v>
      </c>
      <c r="AC9" s="314">
        <f>+SUMIFS(Tabla1[Avance_Med],Tabla1[Fecha],"&gt;="&amp;$A9,Tabla1[Fecha],"&lt;="&amp;EOMONTH($A9,0),Tabla1[Codigo_actividad],AC$4)*AC$3</f>
        <v>0</v>
      </c>
      <c r="AD9" s="314">
        <f>+SUMIFS(Tabla1[Avance_Med],Tabla1[Fecha],"&gt;="&amp;$A9,Tabla1[Fecha],"&lt;="&amp;EOMONTH($A9,0),Tabla1[Codigo_actividad],AD$4)*AD$3</f>
        <v>0</v>
      </c>
      <c r="AE9" s="314">
        <f>+SUMIFS(Tabla1[Avance_Med],Tabla1[Fecha],"&gt;="&amp;$A9,Tabla1[Fecha],"&lt;="&amp;EOMONTH($A9,0),Tabla1[Codigo_actividad],AE$4)*AE$3</f>
        <v>0</v>
      </c>
      <c r="AF9" s="314">
        <f>+SUMIFS(Tabla1[Avance_Med],Tabla1[Fecha],"&gt;="&amp;$A9,Tabla1[Fecha],"&lt;="&amp;EOMONTH($A9,0),Tabla1[Codigo_actividad],AF$4)*AF$3</f>
        <v>0</v>
      </c>
      <c r="AG9" s="314">
        <f>+SUMIFS(Tabla1[Avance_Med],Tabla1[Fecha],"&gt;="&amp;$A9,Tabla1[Fecha],"&lt;="&amp;EOMONTH($A9,0),Tabla1[Codigo_actividad],AG$4)*AG$3</f>
        <v>0</v>
      </c>
      <c r="AH9" s="314">
        <f>+SUMIFS(Tabla1[Avance_Med],Tabla1[Fecha],"&gt;="&amp;$A9,Tabla1[Fecha],"&lt;="&amp;EOMONTH($A9,0),Tabla1[Codigo_actividad],AH$4)*AH$3</f>
        <v>0</v>
      </c>
      <c r="AI9" s="314">
        <f>+SUMIFS(Tabla1[Avance_Med],Tabla1[Fecha],"&gt;="&amp;$A9,Tabla1[Fecha],"&lt;="&amp;EOMONTH($A9,0),Tabla1[Codigo_actividad],AI$4)*AI$3</f>
        <v>0</v>
      </c>
      <c r="AJ9" s="314">
        <f>+SUMIFS(Tabla1[Avance_Med],Tabla1[Fecha],"&gt;="&amp;$A9,Tabla1[Fecha],"&lt;="&amp;EOMONTH($A9,0),Tabla1[Codigo_actividad],AJ$4)*AJ$3</f>
        <v>0</v>
      </c>
      <c r="AK9" s="314">
        <f>+SUMIFS(Tabla1[Avance_Med],Tabla1[Fecha],"&gt;="&amp;$A9,Tabla1[Fecha],"&lt;="&amp;EOMONTH($A9,0),Tabla1[Codigo_actividad],AK$4)*AK$3</f>
        <v>0</v>
      </c>
      <c r="AL9" s="314">
        <f>+SUMIFS(Tabla1[Avance_km],Tabla1[Fecha],"&gt;="&amp;$A9,Tabla1[Fecha],"&lt;="&amp;EOMONTH($A9,0),Tabla1[Codigo_actividad],AL$4)*AL$3</f>
        <v>0</v>
      </c>
      <c r="AM9" s="314">
        <f>+SUMIFS(Tabla1[Avance_Med],Tabla1[Fecha],"&gt;="&amp;$A9,Tabla1[Fecha],"&lt;="&amp;EOMONTH($A9,0),Tabla1[Codigo_actividad],AM$4)*AM$3</f>
        <v>0</v>
      </c>
      <c r="AN9" s="313"/>
      <c r="AO9" s="308">
        <f t="shared" si="0"/>
        <v>83844</v>
      </c>
      <c r="AT9"/>
      <c r="AU9"/>
      <c r="AV9"/>
      <c r="AW9"/>
      <c r="AX9"/>
    </row>
    <row r="10" spans="1:50" x14ac:dyDescent="0.25">
      <c r="A10" s="226">
        <v>46082</v>
      </c>
      <c r="B10" s="314">
        <f>+SUMIFS(Tabla1[Avance_Med],Tabla1[Fecha],"&gt;="&amp;$A10,Tabla1[Fecha],"&lt;="&amp;EOMONTH($A10,0),Tabla1[Codigo_actividad],B$4)*B$3</f>
        <v>250748.19</v>
      </c>
      <c r="C10" s="314">
        <f>+SUMIFS(Tabla1[Avance_Med],Tabla1[Fecha],"&gt;="&amp;$A10,Tabla1[Fecha],"&lt;="&amp;EOMONTH($A10,0),Tabla1[Codigo_actividad],C$4)*C$3</f>
        <v>321750.99000000005</v>
      </c>
      <c r="D10" s="314">
        <f>+SUMIFS(Tabla1[Avance_Med],Tabla1[Fecha],"&gt;="&amp;$A10,Tabla1[Fecha],"&lt;="&amp;EOMONTH($A10,0),Tabla1[Codigo_actividad],D$4)*D$3</f>
        <v>97546.680000000008</v>
      </c>
      <c r="E10" s="314">
        <f>+SUMIFS(Tabla1[Avance_Med],Tabla1[Fecha],"&gt;="&amp;$A10,Tabla1[Fecha],"&lt;="&amp;EOMONTH($A10,0),Tabla1[Codigo_actividad],E$4)*E$3</f>
        <v>105229.08</v>
      </c>
      <c r="F10" s="314">
        <f>+SUMIFS(Tabla1[Avance_Med],Tabla1[Fecha],"&gt;="&amp;$A10,Tabla1[Fecha],"&lt;="&amp;EOMONTH($A10,0),Tabla1[Codigo_actividad],F$4)*F$3</f>
        <v>132387.75</v>
      </c>
      <c r="G10" s="314">
        <f>+SUMIFS(Tabla1[Avance_Med],Tabla1[Fecha],"&gt;="&amp;$A10,Tabla1[Fecha],"&lt;="&amp;EOMONTH($A10,0),Tabla1[Codigo_actividad],G$4)*G$3</f>
        <v>156539.79</v>
      </c>
      <c r="H10" s="314">
        <f>+SUMIFS(Tabla1[Avance_km],Tabla1[Fecha],"&gt;="&amp;$A10,Tabla1[Fecha],"&lt;="&amp;EOMONTH($A10,0),Tabla1[Codigo_actividad],H$4)*H$3</f>
        <v>0</v>
      </c>
      <c r="I10" s="314"/>
      <c r="J10" s="314">
        <f>+SUMIFS(Tabla1[Avance_km],Tabla1[Fecha],"&gt;="&amp;$A10,Tabla1[Fecha],"&lt;="&amp;EOMONTH($A10,0),Tabla1[Codigo_actividad],J$4,Tabla1[Avance_km],"&gt;0")*J$3</f>
        <v>0</v>
      </c>
      <c r="K10" s="314">
        <f>SUMIFS(Tabla1[Avance_km],Tabla1[Fecha],"&gt;="&amp;$A10,Tabla1[Fecha],"&lt;="&amp;EOMONTH($A10,0),Tabla1[Codigo_actividad],K$4,Tabla1[Avance_km],"&gt;0")*K$3</f>
        <v>0</v>
      </c>
      <c r="L10" s="314">
        <f>+SUMIFS(Tabla1[Avance_Med],Tabla1[Fecha],"&gt;="&amp;$A10,Tabla1[Fecha],"&lt;="&amp;EOMONTH($A10,0),Tabla1[Codigo_actividad],L$4)*L$3</f>
        <v>0</v>
      </c>
      <c r="M10" s="314">
        <f>+SUMIFS(Tabla1[Avance_km],Tabla1[Fecha],"&gt;="&amp;$A10,Tabla1[Fecha],"&lt;="&amp;EOMONTH($A10,0),Tabla1[Codigo_actividad],M$4)*M$3</f>
        <v>8126.7120000000004</v>
      </c>
      <c r="N10" s="314">
        <f>+SUMIFS(Tabla1[Avance_Med],Tabla1[Fecha],"&gt;="&amp;$A10,Tabla1[Fecha],"&lt;="&amp;EOMONTH($A10,0),Tabla1[Codigo_actividad],N$4)*N$3</f>
        <v>191166.47999999998</v>
      </c>
      <c r="O10" s="314">
        <f>+SUMIFS(Tabla1[Avance_Med],Tabla1[Fecha],"&gt;="&amp;$A10,Tabla1[Fecha],"&lt;="&amp;EOMONTH($A10,0),Tabla1[Codigo_actividad],O$4)*O$3</f>
        <v>142899.12000000002</v>
      </c>
      <c r="P10" s="314">
        <f>+SUMIFS(Tabla1[Avance_Med],Tabla1[Fecha],"&gt;="&amp;$A10,Tabla1[Fecha],"&lt;="&amp;EOMONTH($A10,0),Tabla1[Codigo_actividad],P$4)*P$3</f>
        <v>106415.1</v>
      </c>
      <c r="Q10" s="314">
        <f>+SUMIFS(Tabla1[Avance_Med],Tabla1[Fecha],"&gt;="&amp;$A10,Tabla1[Fecha],"&lt;="&amp;EOMONTH($A10,0),Tabla1[Codigo_actividad],Q$4)*Q$3</f>
        <v>0</v>
      </c>
      <c r="R10" s="314">
        <f>+SUMIFS(Tabla1[Avance_Med],Tabla1[Fecha],"&gt;="&amp;$A10,Tabla1[Fecha],"&lt;="&amp;EOMONTH($A10,0),Tabla1[Codigo_actividad],R$4)*R$3</f>
        <v>0</v>
      </c>
      <c r="S10" s="314">
        <f>+SUMIFS(Tabla1[Avance_Med],Tabla1[Fecha],"&gt;="&amp;$A10,Tabla1[Fecha],"&lt;="&amp;EOMONTH($A10,0),Tabla1[Codigo_actividad],S$4)*S$3</f>
        <v>0</v>
      </c>
      <c r="T10" s="314">
        <f>+SUMIFS(Tabla1[Avance_Med],Tabla1[Fecha],"&gt;="&amp;$A10,Tabla1[Fecha],"&lt;="&amp;EOMONTH($A10,0),Tabla1[Codigo_actividad],T$4)*T$3</f>
        <v>0</v>
      </c>
      <c r="U10" s="314">
        <f>+SUMIFS(Tabla1[Avance_Med],Tabla1[Fecha],"&gt;="&amp;$A10,Tabla1[Fecha],"&lt;="&amp;EOMONTH($A10,0),Tabla1[Codigo_actividad],U$4)*U$3</f>
        <v>0</v>
      </c>
      <c r="V10" s="314">
        <f>+SUMIFS(Tabla1[Avance_Med],Tabla1[Fecha],"&gt;="&amp;$A10,Tabla1[Fecha],"&lt;="&amp;EOMONTH($A10,0),Tabla1[Codigo_actividad],V$4)*V$3</f>
        <v>0</v>
      </c>
      <c r="W10" s="314">
        <f>+SUMIFS(Tabla1[Avance_Med],Tabla1[Fecha],"&gt;="&amp;$A10,Tabla1[Fecha],"&lt;="&amp;EOMONTH($A10,0),Tabla1[Codigo_actividad],W$4)*W$3</f>
        <v>0</v>
      </c>
      <c r="X10" s="314">
        <f>+SUMIFS(Tabla1[Avance_Med],Tabla1[Fecha],"&gt;="&amp;$A10,Tabla1[Fecha],"&lt;="&amp;EOMONTH($A10,0),Tabla1[Codigo_actividad],X$4)*X$3</f>
        <v>0</v>
      </c>
      <c r="Y10" s="314">
        <f>+SUMIFS(Tabla1[Avance_Med],Tabla1[Fecha],"&gt;="&amp;$A10,Tabla1[Fecha],"&lt;="&amp;EOMONTH($A10,0),Tabla1[Codigo_actividad],Y$4)*Y$3</f>
        <v>0</v>
      </c>
      <c r="Z10" s="314">
        <f>+SUMIFS(Tabla1[Avance_Med],Tabla1[Fecha],"&gt;="&amp;$A10,Tabla1[Fecha],"&lt;="&amp;EOMONTH($A10,0),Tabla1[Codigo_actividad],Z$4)*Z$3</f>
        <v>0</v>
      </c>
      <c r="AA10" s="314">
        <f>+SUMIFS(Tabla1[Avance_Med],Tabla1[Fecha],"&gt;="&amp;$A10,Tabla1[Fecha],"&lt;="&amp;EOMONTH($A10,0),Tabla1[Codigo_actividad],AA$4)*AA$3</f>
        <v>0</v>
      </c>
      <c r="AB10" s="314">
        <f>+SUMIFS(Tabla1[Avance_Med],Tabla1[Fecha],"&gt;="&amp;$A10,Tabla1[Fecha],"&lt;="&amp;EOMONTH($A10,0),Tabla1[Codigo_actividad],AB$4)*AB$3</f>
        <v>0</v>
      </c>
      <c r="AC10" s="314">
        <f>+SUMIFS(Tabla1[Avance_Med],Tabla1[Fecha],"&gt;="&amp;$A10,Tabla1[Fecha],"&lt;="&amp;EOMONTH($A10,0),Tabla1[Codigo_actividad],AC$4)*AC$3</f>
        <v>0</v>
      </c>
      <c r="AD10" s="314">
        <f>+SUMIFS(Tabla1[Avance_Med],Tabla1[Fecha],"&gt;="&amp;$A10,Tabla1[Fecha],"&lt;="&amp;EOMONTH($A10,0),Tabla1[Codigo_actividad],AD$4)*AD$3</f>
        <v>0</v>
      </c>
      <c r="AE10" s="314">
        <f>+SUMIFS(Tabla1[Avance_Med],Tabla1[Fecha],"&gt;="&amp;$A10,Tabla1[Fecha],"&lt;="&amp;EOMONTH($A10,0),Tabla1[Codigo_actividad],AE$4)*AE$3</f>
        <v>0</v>
      </c>
      <c r="AF10" s="314">
        <f>+SUMIFS(Tabla1[Avance_Med],Tabla1[Fecha],"&gt;="&amp;$A10,Tabla1[Fecha],"&lt;="&amp;EOMONTH($A10,0),Tabla1[Codigo_actividad],AF$4)*AF$3</f>
        <v>0</v>
      </c>
      <c r="AG10" s="314">
        <f>+SUMIFS(Tabla1[Avance_Med],Tabla1[Fecha],"&gt;="&amp;$A10,Tabla1[Fecha],"&lt;="&amp;EOMONTH($A10,0),Tabla1[Codigo_actividad],AG$4)*AG$3</f>
        <v>0</v>
      </c>
      <c r="AH10" s="314">
        <f>+SUMIFS(Tabla1[Avance_Med],Tabla1[Fecha],"&gt;="&amp;$A10,Tabla1[Fecha],"&lt;="&amp;EOMONTH($A10,0),Tabla1[Codigo_actividad],AH$4)*AH$3</f>
        <v>0</v>
      </c>
      <c r="AI10" s="314">
        <f>+SUMIFS(Tabla1[Avance_Med],Tabla1[Fecha],"&gt;="&amp;$A10,Tabla1[Fecha],"&lt;="&amp;EOMONTH($A10,0),Tabla1[Codigo_actividad],AI$4)*AI$3</f>
        <v>0</v>
      </c>
      <c r="AJ10" s="314">
        <f>+SUMIFS(Tabla1[Avance_Med],Tabla1[Fecha],"&gt;="&amp;$A10,Tabla1[Fecha],"&lt;="&amp;EOMONTH($A10,0),Tabla1[Codigo_actividad],AJ$4)*AJ$3</f>
        <v>0</v>
      </c>
      <c r="AK10" s="314">
        <f>+SUMIFS(Tabla1[Avance_Med],Tabla1[Fecha],"&gt;="&amp;$A10,Tabla1[Fecha],"&lt;="&amp;EOMONTH($A10,0),Tabla1[Codigo_actividad],AK$4)*AK$3</f>
        <v>0</v>
      </c>
      <c r="AL10" s="314">
        <f>+SUMIFS(Tabla1[Avance_km],Tabla1[Fecha],"&gt;="&amp;$A10,Tabla1[Fecha],"&lt;="&amp;EOMONTH($A10,0),Tabla1[Codigo_actividad],AL$4)*AL$3</f>
        <v>0</v>
      </c>
      <c r="AM10" s="314">
        <f>+SUMIFS(Tabla1[Avance_Med],Tabla1[Fecha],"&gt;="&amp;$A10,Tabla1[Fecha],"&lt;="&amp;EOMONTH($A10,0),Tabla1[Codigo_actividad],AM$4)*AM$3</f>
        <v>0</v>
      </c>
      <c r="AN10" s="313"/>
      <c r="AO10" s="308">
        <f t="shared" si="0"/>
        <v>1512809.8920000002</v>
      </c>
      <c r="AT10"/>
      <c r="AU10"/>
      <c r="AV10"/>
      <c r="AW10"/>
      <c r="AX10"/>
    </row>
    <row r="11" spans="1:50" x14ac:dyDescent="0.25">
      <c r="A11" s="226">
        <v>46113</v>
      </c>
      <c r="B11" s="314">
        <f>+SUMIFS(Tabla1[Avance_Med],Tabla1[Fecha],"&gt;="&amp;$A11,Tabla1[Fecha],"&lt;="&amp;EOMONTH($A11,0),Tabla1[Codigo_actividad],B$4)*B$3</f>
        <v>43057.77</v>
      </c>
      <c r="C11" s="314">
        <f>+SUMIFS(Tabla1[Avance_Med],Tabla1[Fecha],"&gt;="&amp;$A11,Tabla1[Fecha],"&lt;="&amp;EOMONTH($A11,0),Tabla1[Codigo_actividad],C$4)*C$3</f>
        <v>55250.170000000006</v>
      </c>
      <c r="D11" s="314">
        <f>+SUMIFS(Tabla1[Avance_Med],Tabla1[Fecha],"&gt;="&amp;$A11,Tabla1[Fecha],"&lt;="&amp;EOMONTH($A11,0),Tabla1[Codigo_actividad],D$4)*D$3</f>
        <v>16750.440000000002</v>
      </c>
      <c r="E11" s="314">
        <f>+SUMIFS(Tabla1[Avance_Med],Tabla1[Fecha],"&gt;="&amp;$A11,Tabla1[Fecha],"&lt;="&amp;EOMONTH($A11,0),Tabla1[Codigo_actividad],E$4)*E$3</f>
        <v>18069.64</v>
      </c>
      <c r="F11" s="314">
        <f>+SUMIFS(Tabla1[Avance_Med],Tabla1[Fecha],"&gt;="&amp;$A11,Tabla1[Fecha],"&lt;="&amp;EOMONTH($A11,0),Tabla1[Codigo_actividad],F$4)*F$3</f>
        <v>22733.25</v>
      </c>
      <c r="G11" s="314">
        <f>+SUMIFS(Tabla1[Avance_Med],Tabla1[Fecha],"&gt;="&amp;$A11,Tabla1[Fecha],"&lt;="&amp;EOMONTH($A11,0),Tabla1[Codigo_actividad],G$4)*G$3</f>
        <v>26880.57</v>
      </c>
      <c r="H11" s="314">
        <f>+SUMIFS(Tabla1[Avance_km],Tabla1[Fecha],"&gt;="&amp;$A11,Tabla1[Fecha],"&lt;="&amp;EOMONTH($A11,0),Tabla1[Codigo_actividad],H$4)*H$3</f>
        <v>0</v>
      </c>
      <c r="I11" s="314"/>
      <c r="J11" s="314">
        <f>+SUMIFS(Tabla1[Avance_km],Tabla1[Fecha],"&gt;="&amp;$A11,Tabla1[Fecha],"&lt;="&amp;EOMONTH($A11,0),Tabla1[Codigo_actividad],J$4,Tabla1[Avance_km],"&gt;0")*J$3</f>
        <v>80723.77665</v>
      </c>
      <c r="K11" s="314">
        <f>SUMIFS(Tabla1[Avance_km],Tabla1[Fecha],"&gt;="&amp;$A11,Tabla1[Fecha],"&lt;="&amp;EOMONTH($A11,0),Tabla1[Codigo_actividad],K$4,Tabla1[Avance_km],"&gt;0")*K$3</f>
        <v>0</v>
      </c>
      <c r="L11" s="314">
        <f>+SUMIFS(Tabla1[Avance_Med],Tabla1[Fecha],"&gt;="&amp;$A11,Tabla1[Fecha],"&lt;="&amp;EOMONTH($A11,0),Tabla1[Codigo_actividad],L$4)*L$3</f>
        <v>0</v>
      </c>
      <c r="M11" s="314">
        <f>+SUMIFS(Tabla1[Avance_km],Tabla1[Fecha],"&gt;="&amp;$A11,Tabla1[Fecha],"&lt;="&amp;EOMONTH($A11,0),Tabla1[Codigo_actividad],M$4)*M$3</f>
        <v>48841.539120000001</v>
      </c>
      <c r="N11" s="314">
        <f>+SUMIFS(Tabla1[Avance_Med],Tabla1[Fecha],"&gt;="&amp;$A11,Tabla1[Fecha],"&lt;="&amp;EOMONTH($A11,0),Tabla1[Codigo_actividad],N$4)*N$3</f>
        <v>0</v>
      </c>
      <c r="O11" s="314">
        <f>+SUMIFS(Tabla1[Avance_Med],Tabla1[Fecha],"&gt;="&amp;$A11,Tabla1[Fecha],"&lt;="&amp;EOMONTH($A11,0),Tabla1[Codigo_actividad],O$4)*O$3</f>
        <v>0</v>
      </c>
      <c r="P11" s="314">
        <f>+SUMIFS(Tabla1[Avance_Med],Tabla1[Fecha],"&gt;="&amp;$A11,Tabla1[Fecha],"&lt;="&amp;EOMONTH($A11,0),Tabla1[Codigo_actividad],P$4)*P$3</f>
        <v>0</v>
      </c>
      <c r="Q11" s="314">
        <f>+SUMIFS(Tabla1[Avance_Med],Tabla1[Fecha],"&gt;="&amp;$A11,Tabla1[Fecha],"&lt;="&amp;EOMONTH($A11,0),Tabla1[Codigo_actividad],Q$4)*Q$3</f>
        <v>0</v>
      </c>
      <c r="R11" s="314">
        <f>+SUMIFS(Tabla1[Avance_Med],Tabla1[Fecha],"&gt;="&amp;$A11,Tabla1[Fecha],"&lt;="&amp;EOMONTH($A11,0),Tabla1[Codigo_actividad],R$4)*R$3</f>
        <v>0</v>
      </c>
      <c r="S11" s="314">
        <f>+SUMIFS(Tabla1[Avance_Med],Tabla1[Fecha],"&gt;="&amp;$A11,Tabla1[Fecha],"&lt;="&amp;EOMONTH($A11,0),Tabla1[Codigo_actividad],S$4)*S$3</f>
        <v>0</v>
      </c>
      <c r="T11" s="314">
        <f>+SUMIFS(Tabla1[Avance_Med],Tabla1[Fecha],"&gt;="&amp;$A11,Tabla1[Fecha],"&lt;="&amp;EOMONTH($A11,0),Tabla1[Codigo_actividad],T$4)*T$3</f>
        <v>0</v>
      </c>
      <c r="U11" s="314">
        <f>+SUMIFS(Tabla1[Avance_Med],Tabla1[Fecha],"&gt;="&amp;$A11,Tabla1[Fecha],"&lt;="&amp;EOMONTH($A11,0),Tabla1[Codigo_actividad],U$4)*U$3</f>
        <v>0</v>
      </c>
      <c r="V11" s="314">
        <f>+SUMIFS(Tabla1[Avance_Med],Tabla1[Fecha],"&gt;="&amp;$A11,Tabla1[Fecha],"&lt;="&amp;EOMONTH($A11,0),Tabla1[Codigo_actividad],V$4)*V$3</f>
        <v>0</v>
      </c>
      <c r="W11" s="314">
        <f>+SUMIFS(Tabla1[Avance_Med],Tabla1[Fecha],"&gt;="&amp;$A11,Tabla1[Fecha],"&lt;="&amp;EOMONTH($A11,0),Tabla1[Codigo_actividad],W$4)*W$3</f>
        <v>0</v>
      </c>
      <c r="X11" s="314">
        <f>+SUMIFS(Tabla1[Avance_Med],Tabla1[Fecha],"&gt;="&amp;$A11,Tabla1[Fecha],"&lt;="&amp;EOMONTH($A11,0),Tabla1[Codigo_actividad],X$4)*X$3</f>
        <v>0</v>
      </c>
      <c r="Y11" s="314">
        <f>+SUMIFS(Tabla1[Avance_Med],Tabla1[Fecha],"&gt;="&amp;$A11,Tabla1[Fecha],"&lt;="&amp;EOMONTH($A11,0),Tabla1[Codigo_actividad],Y$4)*Y$3</f>
        <v>0</v>
      </c>
      <c r="Z11" s="314">
        <f>+SUMIFS(Tabla1[Avance_Med],Tabla1[Fecha],"&gt;="&amp;$A11,Tabla1[Fecha],"&lt;="&amp;EOMONTH($A11,0),Tabla1[Codigo_actividad],Z$4)*Z$3</f>
        <v>0</v>
      </c>
      <c r="AA11" s="314">
        <f>+SUMIFS(Tabla1[Avance_Med],Tabla1[Fecha],"&gt;="&amp;$A11,Tabla1[Fecha],"&lt;="&amp;EOMONTH($A11,0),Tabla1[Codigo_actividad],AA$4)*AA$3</f>
        <v>0</v>
      </c>
      <c r="AB11" s="314">
        <f>+SUMIFS(Tabla1[Avance_Med],Tabla1[Fecha],"&gt;="&amp;$A11,Tabla1[Fecha],"&lt;="&amp;EOMONTH($A11,0),Tabla1[Codigo_actividad],AB$4)*AB$3</f>
        <v>0</v>
      </c>
      <c r="AC11" s="314">
        <f>+SUMIFS(Tabla1[Avance_Med],Tabla1[Fecha],"&gt;="&amp;$A11,Tabla1[Fecha],"&lt;="&amp;EOMONTH($A11,0),Tabla1[Codigo_actividad],AC$4)*AC$3</f>
        <v>0</v>
      </c>
      <c r="AD11" s="314">
        <f>+SUMIFS(Tabla1[Avance_Med],Tabla1[Fecha],"&gt;="&amp;$A11,Tabla1[Fecha],"&lt;="&amp;EOMONTH($A11,0),Tabla1[Codigo_actividad],AD$4)*AD$3</f>
        <v>0</v>
      </c>
      <c r="AE11" s="314">
        <f>+SUMIFS(Tabla1[Avance_Med],Tabla1[Fecha],"&gt;="&amp;$A11,Tabla1[Fecha],"&lt;="&amp;EOMONTH($A11,0),Tabla1[Codigo_actividad],AE$4)*AE$3</f>
        <v>0</v>
      </c>
      <c r="AF11" s="314">
        <f>+SUMIFS(Tabla1[Avance_Med],Tabla1[Fecha],"&gt;="&amp;$A11,Tabla1[Fecha],"&lt;="&amp;EOMONTH($A11,0),Tabla1[Codigo_actividad],AF$4)*AF$3</f>
        <v>0</v>
      </c>
      <c r="AG11" s="314">
        <f>+SUMIFS(Tabla1[Avance_Med],Tabla1[Fecha],"&gt;="&amp;$A11,Tabla1[Fecha],"&lt;="&amp;EOMONTH($A11,0),Tabla1[Codigo_actividad],AG$4)*AG$3</f>
        <v>0</v>
      </c>
      <c r="AH11" s="314">
        <f>+SUMIFS(Tabla1[Avance_Med],Tabla1[Fecha],"&gt;="&amp;$A11,Tabla1[Fecha],"&lt;="&amp;EOMONTH($A11,0),Tabla1[Codigo_actividad],AH$4)*AH$3</f>
        <v>0</v>
      </c>
      <c r="AI11" s="314">
        <f>+SUMIFS(Tabla1[Avance_Med],Tabla1[Fecha],"&gt;="&amp;$A11,Tabla1[Fecha],"&lt;="&amp;EOMONTH($A11,0),Tabla1[Codigo_actividad],AI$4)*AI$3</f>
        <v>0</v>
      </c>
      <c r="AJ11" s="314">
        <f>+SUMIFS(Tabla1[Avance_Med],Tabla1[Fecha],"&gt;="&amp;$A11,Tabla1[Fecha],"&lt;="&amp;EOMONTH($A11,0),Tabla1[Codigo_actividad],AJ$4)*AJ$3</f>
        <v>0</v>
      </c>
      <c r="AK11" s="314">
        <f>+SUMIFS(Tabla1[Avance_Med],Tabla1[Fecha],"&gt;="&amp;$A11,Tabla1[Fecha],"&lt;="&amp;EOMONTH($A11,0),Tabla1[Codigo_actividad],AK$4)*AK$3</f>
        <v>0</v>
      </c>
      <c r="AL11" s="314">
        <f>+SUMIFS(Tabla1[Avance_km],Tabla1[Fecha],"&gt;="&amp;$A11,Tabla1[Fecha],"&lt;="&amp;EOMONTH($A11,0),Tabla1[Codigo_actividad],AL$4)*AL$3</f>
        <v>0</v>
      </c>
      <c r="AM11" s="314">
        <f>+SUMIFS(Tabla1[Avance_Med],Tabla1[Fecha],"&gt;="&amp;$A11,Tabla1[Fecha],"&lt;="&amp;EOMONTH($A11,0),Tabla1[Codigo_actividad],AM$4)*AM$3</f>
        <v>0</v>
      </c>
      <c r="AN11" s="313"/>
      <c r="AO11" s="308">
        <f t="shared" si="0"/>
        <v>312307.15577000007</v>
      </c>
      <c r="AT11"/>
      <c r="AU11"/>
      <c r="AV11"/>
      <c r="AW11"/>
      <c r="AX11"/>
    </row>
    <row r="12" spans="1:50" x14ac:dyDescent="0.25">
      <c r="A12" s="226">
        <v>46143</v>
      </c>
      <c r="B12" s="314">
        <v>0</v>
      </c>
      <c r="C12" s="314">
        <f>+SUMIFS(Tabla1[Avance_Med],Tabla1[Fecha],"&gt;="&amp;$A12,Tabla1[Fecha],"&lt;="&amp;EOMONTH($A12,0),Tabla1[Codigo_actividad],C$4)*C$3</f>
        <v>0</v>
      </c>
      <c r="D12" s="314">
        <f>+SUMIFS(Tabla1[Avance_Med],Tabla1[Fecha],"&gt;="&amp;$A12,Tabla1[Fecha],"&lt;="&amp;EOMONTH($A12,0),Tabla1[Codigo_actividad],D$4)*D$3</f>
        <v>0</v>
      </c>
      <c r="E12" s="314">
        <f>+SUMIFS(Tabla1[Avance_Med],Tabla1[Fecha],"&gt;="&amp;$A12,Tabla1[Fecha],"&lt;="&amp;EOMONTH($A12,0),Tabla1[Codigo_actividad],E$4)*E$3</f>
        <v>0</v>
      </c>
      <c r="F12" s="314">
        <f>+SUMIFS(Tabla1[Avance_Med],Tabla1[Fecha],"&gt;="&amp;$A12,Tabla1[Fecha],"&lt;="&amp;EOMONTH($A12,0),Tabla1[Codigo_actividad],F$4)*F$3</f>
        <v>0</v>
      </c>
      <c r="G12" s="314">
        <f>+SUMIFS(Tabla1[Avance_Med],Tabla1[Fecha],"&gt;="&amp;$A12,Tabla1[Fecha],"&lt;="&amp;EOMONTH($A12,0),Tabla1[Codigo_actividad],G$4)*G$3</f>
        <v>0</v>
      </c>
      <c r="H12" s="314">
        <f>+SUMIFS(Tabla1[Avance_km],Tabla1[Fecha],"&gt;="&amp;$A12,Tabla1[Fecha],"&lt;="&amp;EOMONTH($A12,0),Tabla1[Codigo_actividad],H$4)*H$3</f>
        <v>163409.42673000001</v>
      </c>
      <c r="I12" s="314"/>
      <c r="J12" s="314">
        <f>+SUMIFS(Tabla1[Avance_km],Tabla1[Fecha],"&gt;="&amp;$A12,Tabla1[Fecha],"&lt;="&amp;EOMONTH($A12,0),Tabla1[Codigo_actividad],J$4,Tabla1[Avance_km],"&gt;0")*J$3</f>
        <v>269838.37078</v>
      </c>
      <c r="K12" s="314">
        <f>SUMIFS(Tabla1[Avance_km],Tabla1[Fecha],"&gt;="&amp;$A12,Tabla1[Fecha],"&lt;="&amp;EOMONTH($A12,0),Tabla1[Codigo_actividad],K$4,Tabla1[Avance_km],"&gt;0")*K$3</f>
        <v>0</v>
      </c>
      <c r="L12" s="314">
        <f>+SUMIFS(Tabla1[Avance_Med],Tabla1[Fecha],"&gt;="&amp;$A12,Tabla1[Fecha],"&lt;="&amp;EOMONTH($A12,0),Tabla1[Codigo_actividad],L$4)*L$3</f>
        <v>0</v>
      </c>
      <c r="M12" s="314">
        <f>+SUMIFS(Tabla1[Avance_km],Tabla1[Fecha],"&gt;="&amp;$A12,Tabla1[Fecha],"&lt;="&amp;EOMONTH($A12,0),Tabla1[Codigo_actividad],M$4)*M$3</f>
        <v>8187.6623399999999</v>
      </c>
      <c r="N12" s="314">
        <f>+SUMIFS(Tabla1[Avance_Med],Tabla1[Fecha],"&gt;="&amp;$A12,Tabla1[Fecha],"&lt;="&amp;EOMONTH($A12,0),Tabla1[Codigo_actividad],N$4)*N$3</f>
        <v>0</v>
      </c>
      <c r="O12" s="314">
        <f>+SUMIFS(Tabla1[Avance_Med],Tabla1[Fecha],"&gt;="&amp;$A12,Tabla1[Fecha],"&lt;="&amp;EOMONTH($A12,0),Tabla1[Codigo_actividad],O$4)*O$3</f>
        <v>0</v>
      </c>
      <c r="P12" s="314">
        <f>+SUMIFS(Tabla1[Avance_Med],Tabla1[Fecha],"&gt;="&amp;$A12,Tabla1[Fecha],"&lt;="&amp;EOMONTH($A12,0),Tabla1[Codigo_actividad],P$4)*P$3</f>
        <v>0</v>
      </c>
      <c r="Q12" s="314">
        <f>+SUMIFS(Tabla1[Avance_Med],Tabla1[Fecha],"&gt;="&amp;$A12,Tabla1[Fecha],"&lt;="&amp;EOMONTH($A12,0),Tabla1[Codigo_actividad],Q$4)*Q$3</f>
        <v>0</v>
      </c>
      <c r="R12" s="314">
        <f>+SUMIFS(Tabla1[Avance_Med],Tabla1[Fecha],"&gt;="&amp;$A12,Tabla1[Fecha],"&lt;="&amp;EOMONTH($A12,0),Tabla1[Codigo_actividad],R$4)*R$3</f>
        <v>0</v>
      </c>
      <c r="S12" s="314">
        <f>+SUMIFS(Tabla1[Avance_Med],Tabla1[Fecha],"&gt;="&amp;$A12,Tabla1[Fecha],"&lt;="&amp;EOMONTH($A12,0),Tabla1[Codigo_actividad],S$4)*S$3</f>
        <v>0</v>
      </c>
      <c r="T12" s="314">
        <f>+SUMIFS(Tabla1[Avance_Med],Tabla1[Fecha],"&gt;="&amp;$A12,Tabla1[Fecha],"&lt;="&amp;EOMONTH($A12,0),Tabla1[Codigo_actividad],T$4)*T$3</f>
        <v>0</v>
      </c>
      <c r="U12" s="314">
        <f>+SUMIFS(Tabla1[Avance_Med],Tabla1[Fecha],"&gt;="&amp;$A12,Tabla1[Fecha],"&lt;="&amp;EOMONTH($A12,0),Tabla1[Codigo_actividad],U$4)*U$3</f>
        <v>0</v>
      </c>
      <c r="V12" s="314">
        <f>+SUMIFS(Tabla1[Avance_Med],Tabla1[Fecha],"&gt;="&amp;$A12,Tabla1[Fecha],"&lt;="&amp;EOMONTH($A12,0),Tabla1[Codigo_actividad],V$4)*V$3</f>
        <v>0</v>
      </c>
      <c r="W12" s="314">
        <f>+SUMIFS(Tabla1[Avance_Med],Tabla1[Fecha],"&gt;="&amp;$A12,Tabla1[Fecha],"&lt;="&amp;EOMONTH($A12,0),Tabla1[Codigo_actividad],W$4)*W$3</f>
        <v>0</v>
      </c>
      <c r="X12" s="314">
        <f>+SUMIFS(Tabla1[Avance_Med],Tabla1[Fecha],"&gt;="&amp;$A12,Tabla1[Fecha],"&lt;="&amp;EOMONTH($A12,0),Tabla1[Codigo_actividad],X$4)*X$3</f>
        <v>0</v>
      </c>
      <c r="Y12" s="314">
        <f>+SUMIFS(Tabla1[Avance_Med],Tabla1[Fecha],"&gt;="&amp;$A12,Tabla1[Fecha],"&lt;="&amp;EOMONTH($A12,0),Tabla1[Codigo_actividad],Y$4)*Y$3</f>
        <v>0</v>
      </c>
      <c r="Z12" s="314">
        <f>+SUMIFS(Tabla1[Avance_Med],Tabla1[Fecha],"&gt;="&amp;$A12,Tabla1[Fecha],"&lt;="&amp;EOMONTH($A12,0),Tabla1[Codigo_actividad],Z$4)*Z$3</f>
        <v>0</v>
      </c>
      <c r="AA12" s="314">
        <f>+SUMIFS(Tabla1[Avance_Med],Tabla1[Fecha],"&gt;="&amp;$A12,Tabla1[Fecha],"&lt;="&amp;EOMONTH($A12,0),Tabla1[Codigo_actividad],AA$4)*AA$3</f>
        <v>0</v>
      </c>
      <c r="AB12" s="314">
        <f>+SUMIFS(Tabla1[Avance_Med],Tabla1[Fecha],"&gt;="&amp;$A12,Tabla1[Fecha],"&lt;="&amp;EOMONTH($A12,0),Tabla1[Codigo_actividad],AB$4)*AB$3</f>
        <v>0</v>
      </c>
      <c r="AC12" s="314">
        <f>+SUMIFS(Tabla1[Avance_Med],Tabla1[Fecha],"&gt;="&amp;$A12,Tabla1[Fecha],"&lt;="&amp;EOMONTH($A12,0),Tabla1[Codigo_actividad],AC$4)*AC$3</f>
        <v>0</v>
      </c>
      <c r="AD12" s="314">
        <f>+SUMIFS(Tabla1[Avance_Med],Tabla1[Fecha],"&gt;="&amp;$A12,Tabla1[Fecha],"&lt;="&amp;EOMONTH($A12,0),Tabla1[Codigo_actividad],AD$4)*AD$3</f>
        <v>0</v>
      </c>
      <c r="AE12" s="314">
        <f>+SUMIFS(Tabla1[Avance_Med],Tabla1[Fecha],"&gt;="&amp;$A12,Tabla1[Fecha],"&lt;="&amp;EOMONTH($A12,0),Tabla1[Codigo_actividad],AE$4)*AE$3</f>
        <v>0</v>
      </c>
      <c r="AF12" s="314">
        <f>+SUMIFS(Tabla1[Avance_Med],Tabla1[Fecha],"&gt;="&amp;$A12,Tabla1[Fecha],"&lt;="&amp;EOMONTH($A12,0),Tabla1[Codigo_actividad],AF$4)*AF$3</f>
        <v>0</v>
      </c>
      <c r="AG12" s="314">
        <f>+SUMIFS(Tabla1[Avance_Med],Tabla1[Fecha],"&gt;="&amp;$A12,Tabla1[Fecha],"&lt;="&amp;EOMONTH($A12,0),Tabla1[Codigo_actividad],AG$4)*AG$3</f>
        <v>0</v>
      </c>
      <c r="AH12" s="314">
        <f>+SUMIFS(Tabla1[Avance_Med],Tabla1[Fecha],"&gt;="&amp;$A12,Tabla1[Fecha],"&lt;="&amp;EOMONTH($A12,0),Tabla1[Codigo_actividad],AH$4)*AH$3</f>
        <v>0</v>
      </c>
      <c r="AI12" s="314">
        <f>+SUMIFS(Tabla1[Avance_Med],Tabla1[Fecha],"&gt;="&amp;$A12,Tabla1[Fecha],"&lt;="&amp;EOMONTH($A12,0),Tabla1[Codigo_actividad],AI$4)*AI$3</f>
        <v>0</v>
      </c>
      <c r="AJ12" s="314">
        <f>+SUMIFS(Tabla1[Avance_Med],Tabla1[Fecha],"&gt;="&amp;$A12,Tabla1[Fecha],"&lt;="&amp;EOMONTH($A12,0),Tabla1[Codigo_actividad],AJ$4)*AJ$3</f>
        <v>0</v>
      </c>
      <c r="AK12" s="314">
        <f>+SUMIFS(Tabla1[Avance_Med],Tabla1[Fecha],"&gt;="&amp;$A12,Tabla1[Fecha],"&lt;="&amp;EOMONTH($A12,0),Tabla1[Codigo_actividad],AK$4)*AK$3</f>
        <v>0</v>
      </c>
      <c r="AL12" s="314">
        <f>+SUMIFS(Tabla1[Avance_km],Tabla1[Fecha],"&gt;="&amp;$A12,Tabla1[Fecha],"&lt;="&amp;EOMONTH($A12,0),Tabla1[Codigo_actividad],AL$4)*AL$3</f>
        <v>0</v>
      </c>
      <c r="AM12" s="314">
        <f>+SUMIFS(Tabla1[Avance_Med],Tabla1[Fecha],"&gt;="&amp;$A12,Tabla1[Fecha],"&lt;="&amp;EOMONTH($A12,0),Tabla1[Codigo_actividad],AM$4)*AM$3</f>
        <v>0</v>
      </c>
      <c r="AN12" s="313"/>
      <c r="AO12" s="308">
        <f t="shared" si="0"/>
        <v>441435.45984999998</v>
      </c>
      <c r="AT12"/>
      <c r="AU12"/>
      <c r="AV12"/>
      <c r="AW12"/>
      <c r="AX12"/>
    </row>
    <row r="13" spans="1:50" x14ac:dyDescent="0.25">
      <c r="A13" s="226">
        <v>46174</v>
      </c>
      <c r="B13" s="314">
        <v>0</v>
      </c>
      <c r="C13" s="314">
        <f>+SUMIFS(Tabla1[Avance_Med],Tabla1[Fecha],"&gt;="&amp;$A13,Tabla1[Fecha],"&lt;="&amp;EOMONTH($A13,0),Tabla1[Codigo_actividad],C$4)*C$3</f>
        <v>0</v>
      </c>
      <c r="D13" s="314">
        <f>+SUMIFS(Tabla1[Avance_Med],Tabla1[Fecha],"&gt;="&amp;$A13,Tabla1[Fecha],"&lt;="&amp;EOMONTH($A13,0),Tabla1[Codigo_actividad],D$4)*D$3</f>
        <v>0</v>
      </c>
      <c r="E13" s="314">
        <f>+SUMIFS(Tabla1[Avance_Med],Tabla1[Fecha],"&gt;="&amp;$A13,Tabla1[Fecha],"&lt;="&amp;EOMONTH($A13,0),Tabla1[Codigo_actividad],E$4)*E$3</f>
        <v>0</v>
      </c>
      <c r="F13" s="314">
        <f>+SUMIFS(Tabla1[Avance_Med],Tabla1[Fecha],"&gt;="&amp;$A13,Tabla1[Fecha],"&lt;="&amp;EOMONTH($A13,0),Tabla1[Codigo_actividad],F$4)*F$3</f>
        <v>0</v>
      </c>
      <c r="G13" s="314">
        <f>+SUMIFS(Tabla1[Avance_Med],Tabla1[Fecha],"&gt;="&amp;$A13,Tabla1[Fecha],"&lt;="&amp;EOMONTH($A13,0),Tabla1[Codigo_actividad],G$4)*G$3</f>
        <v>0</v>
      </c>
      <c r="H13" s="314">
        <f>+SUMIFS(Tabla1[Avance_km],Tabla1[Fecha],"&gt;="&amp;$A13,Tabla1[Fecha],"&lt;="&amp;EOMONTH($A13,0),Tabla1[Codigo_actividad],H$4)*H$3</f>
        <v>295191.22248000005</v>
      </c>
      <c r="I13" s="314"/>
      <c r="J13" s="314">
        <f>+SUMIFS(Tabla1[Avance_km],Tabla1[Fecha],"&gt;="&amp;$A13,Tabla1[Fecha],"&lt;="&amp;EOMONTH($A13,0),Tabla1[Codigo_actividad],J$4,Tabla1[Avance_km],"&gt;0")*J$3</f>
        <v>0</v>
      </c>
      <c r="K13" s="314">
        <f>SUMIFS(Tabla1[Avance_km],Tabla1[Fecha],"&gt;="&amp;$A13,Tabla1[Fecha],"&lt;="&amp;EOMONTH($A13,0),Tabla1[Codigo_actividad],K$4,Tabla1[Avance_km],"&gt;0")*K$3</f>
        <v>0</v>
      </c>
      <c r="L13" s="314">
        <f>+SUMIFS(Tabla1[Avance_Med],Tabla1[Fecha],"&gt;="&amp;$A13,Tabla1[Fecha],"&lt;="&amp;EOMONTH($A13,0),Tabla1[Codigo_actividad],L$4)*L$3</f>
        <v>0</v>
      </c>
      <c r="M13" s="314">
        <f>+SUMIFS(Tabla1[Avance_km],Tabla1[Fecha],"&gt;="&amp;$A13,Tabla1[Fecha],"&lt;="&amp;EOMONTH($A13,0),Tabla1[Codigo_actividad],M$4)*M$3</f>
        <v>12228.44414</v>
      </c>
      <c r="N13" s="314">
        <f>+SUMIFS(Tabla1[Avance_Med],Tabla1[Fecha],"&gt;="&amp;$A13,Tabla1[Fecha],"&lt;="&amp;EOMONTH($A13,0),Tabla1[Codigo_actividad],N$4)*N$3</f>
        <v>0</v>
      </c>
      <c r="O13" s="314">
        <f>+SUMIFS(Tabla1[Avance_Med],Tabla1[Fecha],"&gt;="&amp;$A13,Tabla1[Fecha],"&lt;="&amp;EOMONTH($A13,0),Tabla1[Codigo_actividad],O$4)*O$3</f>
        <v>0</v>
      </c>
      <c r="P13" s="314">
        <f>+SUMIFS(Tabla1[Avance_Med],Tabla1[Fecha],"&gt;="&amp;$A13,Tabla1[Fecha],"&lt;="&amp;EOMONTH($A13,0),Tabla1[Codigo_actividad],P$4)*P$3</f>
        <v>0</v>
      </c>
      <c r="Q13" s="314">
        <f>+SUMIFS(Tabla1[Avance_Med],Tabla1[Fecha],"&gt;="&amp;$A13,Tabla1[Fecha],"&lt;="&amp;EOMONTH($A13,0),Tabla1[Codigo_actividad],Q$4)*Q$3</f>
        <v>0</v>
      </c>
      <c r="R13" s="314">
        <f>+SUMIFS(Tabla1[Avance_Med],Tabla1[Fecha],"&gt;="&amp;$A13,Tabla1[Fecha],"&lt;="&amp;EOMONTH($A13,0),Tabla1[Codigo_actividad],R$4)*R$3</f>
        <v>0</v>
      </c>
      <c r="S13" s="314">
        <f>+SUMIFS(Tabla1[Avance_Med],Tabla1[Fecha],"&gt;="&amp;$A13,Tabla1[Fecha],"&lt;="&amp;EOMONTH($A13,0),Tabla1[Codigo_actividad],S$4)*S$3</f>
        <v>0</v>
      </c>
      <c r="T13" s="314">
        <f>+SUMIFS(Tabla1[Avance_Med],Tabla1[Fecha],"&gt;="&amp;$A13,Tabla1[Fecha],"&lt;="&amp;EOMONTH($A13,0),Tabla1[Codigo_actividad],T$4)*T$3</f>
        <v>0</v>
      </c>
      <c r="U13" s="314">
        <f>+SUMIFS(Tabla1[Avance_Med],Tabla1[Fecha],"&gt;="&amp;$A13,Tabla1[Fecha],"&lt;="&amp;EOMONTH($A13,0),Tabla1[Codigo_actividad],U$4)*U$3</f>
        <v>0</v>
      </c>
      <c r="V13" s="314">
        <f>+SUMIFS(Tabla1[Avance_Med],Tabla1[Fecha],"&gt;="&amp;$A13,Tabla1[Fecha],"&lt;="&amp;EOMONTH($A13,0),Tabla1[Codigo_actividad],V$4)*V$3</f>
        <v>0</v>
      </c>
      <c r="W13" s="314">
        <f>+SUMIFS(Tabla1[Avance_Med],Tabla1[Fecha],"&gt;="&amp;$A13,Tabla1[Fecha],"&lt;="&amp;EOMONTH($A13,0),Tabla1[Codigo_actividad],W$4)*W$3</f>
        <v>0</v>
      </c>
      <c r="X13" s="314">
        <f>+SUMIFS(Tabla1[Avance_Med],Tabla1[Fecha],"&gt;="&amp;$A13,Tabla1[Fecha],"&lt;="&amp;EOMONTH($A13,0),Tabla1[Codigo_actividad],X$4)*X$3</f>
        <v>0</v>
      </c>
      <c r="Y13" s="314">
        <f>+SUMIFS(Tabla1[Avance_Med],Tabla1[Fecha],"&gt;="&amp;$A13,Tabla1[Fecha],"&lt;="&amp;EOMONTH($A13,0),Tabla1[Codigo_actividad],Y$4)*Y$3</f>
        <v>0</v>
      </c>
      <c r="Z13" s="314">
        <f>+SUMIFS(Tabla1[Avance_Med],Tabla1[Fecha],"&gt;="&amp;$A13,Tabla1[Fecha],"&lt;="&amp;EOMONTH($A13,0),Tabla1[Codigo_actividad],Z$4)*Z$3</f>
        <v>0</v>
      </c>
      <c r="AA13" s="314">
        <f>+SUMIFS(Tabla1[Avance_Med],Tabla1[Fecha],"&gt;="&amp;$A13,Tabla1[Fecha],"&lt;="&amp;EOMONTH($A13,0),Tabla1[Codigo_actividad],AA$4)*AA$3</f>
        <v>0</v>
      </c>
      <c r="AB13" s="314">
        <f>+SUMIFS(Tabla1[Avance_Med],Tabla1[Fecha],"&gt;="&amp;$A13,Tabla1[Fecha],"&lt;="&amp;EOMONTH($A13,0),Tabla1[Codigo_actividad],AB$4)*AB$3</f>
        <v>0</v>
      </c>
      <c r="AC13" s="314">
        <f>+SUMIFS(Tabla1[Avance_Med],Tabla1[Fecha],"&gt;="&amp;$A13,Tabla1[Fecha],"&lt;="&amp;EOMONTH($A13,0),Tabla1[Codigo_actividad],AC$4)*AC$3</f>
        <v>0</v>
      </c>
      <c r="AD13" s="314">
        <f>+SUMIFS(Tabla1[Avance_Med],Tabla1[Fecha],"&gt;="&amp;$A13,Tabla1[Fecha],"&lt;="&amp;EOMONTH($A13,0),Tabla1[Codigo_actividad],AD$4)*AD$3</f>
        <v>0</v>
      </c>
      <c r="AE13" s="314">
        <f>+SUMIFS(Tabla1[Avance_Med],Tabla1[Fecha],"&gt;="&amp;$A13,Tabla1[Fecha],"&lt;="&amp;EOMONTH($A13,0),Tabla1[Codigo_actividad],AE$4)*AE$3</f>
        <v>0</v>
      </c>
      <c r="AF13" s="314">
        <f>+SUMIFS(Tabla1[Avance_Med],Tabla1[Fecha],"&gt;="&amp;$A13,Tabla1[Fecha],"&lt;="&amp;EOMONTH($A13,0),Tabla1[Codigo_actividad],AF$4)*AF$3</f>
        <v>0</v>
      </c>
      <c r="AG13" s="314">
        <f>+SUMIFS(Tabla1[Avance_Med],Tabla1[Fecha],"&gt;="&amp;$A13,Tabla1[Fecha],"&lt;="&amp;EOMONTH($A13,0),Tabla1[Codigo_actividad],AG$4)*AG$3</f>
        <v>0</v>
      </c>
      <c r="AH13" s="314">
        <f>+SUMIFS(Tabla1[Avance_Med],Tabla1[Fecha],"&gt;="&amp;$A13,Tabla1[Fecha],"&lt;="&amp;EOMONTH($A13,0),Tabla1[Codigo_actividad],AH$4)*AH$3</f>
        <v>0</v>
      </c>
      <c r="AI13" s="314">
        <f>+SUMIFS(Tabla1[Avance_Med],Tabla1[Fecha],"&gt;="&amp;$A13,Tabla1[Fecha],"&lt;="&amp;EOMONTH($A13,0),Tabla1[Codigo_actividad],AI$4)*AI$3</f>
        <v>0</v>
      </c>
      <c r="AJ13" s="314">
        <f>+SUMIFS(Tabla1[Avance_Med],Tabla1[Fecha],"&gt;="&amp;$A13,Tabla1[Fecha],"&lt;="&amp;EOMONTH($A13,0),Tabla1[Codigo_actividad],AJ$4)*AJ$3</f>
        <v>0</v>
      </c>
      <c r="AK13" s="314">
        <f>+SUMIFS(Tabla1[Avance_Med],Tabla1[Fecha],"&gt;="&amp;$A13,Tabla1[Fecha],"&lt;="&amp;EOMONTH($A13,0),Tabla1[Codigo_actividad],AK$4)*AK$3</f>
        <v>0</v>
      </c>
      <c r="AL13" s="314">
        <f>+SUMIFS(Tabla1[Avance_km],Tabla1[Fecha],"&gt;="&amp;$A13,Tabla1[Fecha],"&lt;="&amp;EOMONTH($A13,0),Tabla1[Codigo_actividad],AL$4)*AL$3</f>
        <v>0</v>
      </c>
      <c r="AM13" s="314">
        <f>+SUMIFS(Tabla1[Avance_Med],Tabla1[Fecha],"&gt;="&amp;$A13,Tabla1[Fecha],"&lt;="&amp;EOMONTH($A13,0),Tabla1[Codigo_actividad],AM$4)*AM$3</f>
        <v>0</v>
      </c>
      <c r="AN13" s="313"/>
      <c r="AO13" s="308">
        <f t="shared" si="0"/>
        <v>307419.66662000003</v>
      </c>
      <c r="AT13"/>
      <c r="AU13"/>
      <c r="AV13"/>
      <c r="AW13"/>
      <c r="AX13"/>
    </row>
    <row r="14" spans="1:50" x14ac:dyDescent="0.25">
      <c r="A14" s="226">
        <v>46204</v>
      </c>
      <c r="B14" s="314">
        <v>0</v>
      </c>
      <c r="C14" s="314">
        <f>+SUMIFS(Tabla1[Avance_Med],Tabla1[Fecha],"&gt;="&amp;$A14,Tabla1[Fecha],"&lt;="&amp;EOMONTH($A14,0),Tabla1[Codigo_actividad],C$4)*C$3</f>
        <v>0</v>
      </c>
      <c r="D14" s="314">
        <f>+SUMIFS(Tabla1[Avance_Med],Tabla1[Fecha],"&gt;="&amp;$A14,Tabla1[Fecha],"&lt;="&amp;EOMONTH($A14,0),Tabla1[Codigo_actividad],D$4)*D$3</f>
        <v>0</v>
      </c>
      <c r="E14" s="314">
        <f>+SUMIFS(Tabla1[Avance_Med],Tabla1[Fecha],"&gt;="&amp;$A14,Tabla1[Fecha],"&lt;="&amp;EOMONTH($A14,0),Tabla1[Codigo_actividad],E$4)*E$3</f>
        <v>0</v>
      </c>
      <c r="F14" s="314">
        <f>+SUMIFS(Tabla1[Avance_Med],Tabla1[Fecha],"&gt;="&amp;$A14,Tabla1[Fecha],"&lt;="&amp;EOMONTH($A14,0),Tabla1[Codigo_actividad],F$4)*F$3</f>
        <v>0</v>
      </c>
      <c r="G14" s="314">
        <f>+SUMIFS(Tabla1[Avance_Med],Tabla1[Fecha],"&gt;="&amp;$A14,Tabla1[Fecha],"&lt;="&amp;EOMONTH($A14,0),Tabla1[Codigo_actividad],G$4)*G$3</f>
        <v>0</v>
      </c>
      <c r="H14" s="314">
        <f>+SUMIFS(Tabla1[Avance_km],Tabla1[Fecha],"&gt;="&amp;$A14,Tabla1[Fecha],"&lt;="&amp;EOMONTH($A14,0),Tabla1[Codigo_actividad],H$4)*H$3</f>
        <v>197026.49088</v>
      </c>
      <c r="I14" s="314"/>
      <c r="J14" s="314">
        <f>+SUMIFS(Tabla1[Avance_km],Tabla1[Fecha],"&gt;="&amp;$A14,Tabla1[Fecha],"&lt;="&amp;EOMONTH($A14,0),Tabla1[Codigo_actividad],J$4,Tabla1[Avance_km],"&gt;0")*J$3</f>
        <v>142849.22894</v>
      </c>
      <c r="K14" s="314">
        <f>SUMIFS(Tabla1[Avance_km],Tabla1[Fecha],"&gt;="&amp;$A14,Tabla1[Fecha],"&lt;="&amp;EOMONTH($A14,0),Tabla1[Codigo_actividad],K$4,Tabla1[Avance_km],"&gt;0")*K$3</f>
        <v>0</v>
      </c>
      <c r="L14" s="314">
        <f>+SUMIFS(Tabla1[Avance_Med],Tabla1[Fecha],"&gt;="&amp;$A14,Tabla1[Fecha],"&lt;="&amp;EOMONTH($A14,0),Tabla1[Codigo_actividad],L$4)*L$3</f>
        <v>0</v>
      </c>
      <c r="M14" s="314">
        <f>+SUMIFS(Tabla1[Avance_km],Tabla1[Fecha],"&gt;="&amp;$A14,Tabla1[Fecha],"&lt;="&amp;EOMONTH($A14,0),Tabla1[Codigo_actividad],M$4)*M$3</f>
        <v>31231.405700000003</v>
      </c>
      <c r="N14" s="314">
        <f>+SUMIFS(Tabla1[Avance_Med],Tabla1[Fecha],"&gt;="&amp;$A14,Tabla1[Fecha],"&lt;="&amp;EOMONTH($A14,0),Tabla1[Codigo_actividad],N$4)*N$3</f>
        <v>0</v>
      </c>
      <c r="O14" s="314">
        <f>+SUMIFS(Tabla1[Avance_Med],Tabla1[Fecha],"&gt;="&amp;$A14,Tabla1[Fecha],"&lt;="&amp;EOMONTH($A14,0),Tabla1[Codigo_actividad],O$4)*O$3</f>
        <v>0</v>
      </c>
      <c r="P14" s="314">
        <f>+SUMIFS(Tabla1[Avance_Med],Tabla1[Fecha],"&gt;="&amp;$A14,Tabla1[Fecha],"&lt;="&amp;EOMONTH($A14,0),Tabla1[Codigo_actividad],P$4)*P$3</f>
        <v>0</v>
      </c>
      <c r="Q14" s="314">
        <f>+SUMIFS(Tabla1[Avance_Med],Tabla1[Fecha],"&gt;="&amp;$A14,Tabla1[Fecha],"&lt;="&amp;EOMONTH($A14,0),Tabla1[Codigo_actividad],Q$4)*Q$3</f>
        <v>0</v>
      </c>
      <c r="R14" s="314">
        <f>+SUMIFS(Tabla1[Avance_Med],Tabla1[Fecha],"&gt;="&amp;$A14,Tabla1[Fecha],"&lt;="&amp;EOMONTH($A14,0),Tabla1[Codigo_actividad],R$4)*R$3</f>
        <v>0</v>
      </c>
      <c r="S14" s="314">
        <f>+SUMIFS(Tabla1[Avance_Med],Tabla1[Fecha],"&gt;="&amp;$A14,Tabla1[Fecha],"&lt;="&amp;EOMONTH($A14,0),Tabla1[Codigo_actividad],S$4)*S$3</f>
        <v>0</v>
      </c>
      <c r="T14" s="314">
        <f>+SUMIFS(Tabla1[Avance_Med],Tabla1[Fecha],"&gt;="&amp;$A14,Tabla1[Fecha],"&lt;="&amp;EOMONTH($A14,0),Tabla1[Codigo_actividad],T$4)*T$3</f>
        <v>0</v>
      </c>
      <c r="U14" s="314">
        <f>+SUMIFS(Tabla1[Avance_Med],Tabla1[Fecha],"&gt;="&amp;$A14,Tabla1[Fecha],"&lt;="&amp;EOMONTH($A14,0),Tabla1[Codigo_actividad],U$4)*U$3</f>
        <v>0</v>
      </c>
      <c r="V14" s="314">
        <f>+SUMIFS(Tabla1[Avance_Med],Tabla1[Fecha],"&gt;="&amp;$A14,Tabla1[Fecha],"&lt;="&amp;EOMONTH($A14,0),Tabla1[Codigo_actividad],V$4)*V$3</f>
        <v>0</v>
      </c>
      <c r="W14" s="314">
        <f>+SUMIFS(Tabla1[Avance_Med],Tabla1[Fecha],"&gt;="&amp;$A14,Tabla1[Fecha],"&lt;="&amp;EOMONTH($A14,0),Tabla1[Codigo_actividad],W$4)*W$3</f>
        <v>0</v>
      </c>
      <c r="X14" s="314">
        <f>+SUMIFS(Tabla1[Avance_Med],Tabla1[Fecha],"&gt;="&amp;$A14,Tabla1[Fecha],"&lt;="&amp;EOMONTH($A14,0),Tabla1[Codigo_actividad],X$4)*X$3</f>
        <v>0</v>
      </c>
      <c r="Y14" s="314">
        <f>+SUMIFS(Tabla1[Avance_Med],Tabla1[Fecha],"&gt;="&amp;$A14,Tabla1[Fecha],"&lt;="&amp;EOMONTH($A14,0),Tabla1[Codigo_actividad],Y$4)*Y$3</f>
        <v>0</v>
      </c>
      <c r="Z14" s="314">
        <f>+SUMIFS(Tabla1[Avance_Med],Tabla1[Fecha],"&gt;="&amp;$A14,Tabla1[Fecha],"&lt;="&amp;EOMONTH($A14,0),Tabla1[Codigo_actividad],Z$4)*Z$3</f>
        <v>0</v>
      </c>
      <c r="AA14" s="314">
        <f>+SUMIFS(Tabla1[Avance_Med],Tabla1[Fecha],"&gt;="&amp;$A14,Tabla1[Fecha],"&lt;="&amp;EOMONTH($A14,0),Tabla1[Codigo_actividad],AA$4)*AA$3</f>
        <v>0</v>
      </c>
      <c r="AB14" s="314">
        <f>+SUMIFS(Tabla1[Avance_Med],Tabla1[Fecha],"&gt;="&amp;$A14,Tabla1[Fecha],"&lt;="&amp;EOMONTH($A14,0),Tabla1[Codigo_actividad],AB$4)*AB$3</f>
        <v>0</v>
      </c>
      <c r="AC14" s="314">
        <f>+SUMIFS(Tabla1[Avance_Med],Tabla1[Fecha],"&gt;="&amp;$A14,Tabla1[Fecha],"&lt;="&amp;EOMONTH($A14,0),Tabla1[Codigo_actividad],AC$4)*AC$3</f>
        <v>0</v>
      </c>
      <c r="AD14" s="314">
        <f>+SUMIFS(Tabla1[Avance_Med],Tabla1[Fecha],"&gt;="&amp;$A14,Tabla1[Fecha],"&lt;="&amp;EOMONTH($A14,0),Tabla1[Codigo_actividad],AD$4)*AD$3</f>
        <v>0</v>
      </c>
      <c r="AE14" s="314">
        <f>+SUMIFS(Tabla1[Avance_Med],Tabla1[Fecha],"&gt;="&amp;$A14,Tabla1[Fecha],"&lt;="&amp;EOMONTH($A14,0),Tabla1[Codigo_actividad],AE$4)*AE$3</f>
        <v>0</v>
      </c>
      <c r="AF14" s="314">
        <f>+SUMIFS(Tabla1[Avance_Med],Tabla1[Fecha],"&gt;="&amp;$A14,Tabla1[Fecha],"&lt;="&amp;EOMONTH($A14,0),Tabla1[Codigo_actividad],AF$4)*AF$3</f>
        <v>0</v>
      </c>
      <c r="AG14" s="314">
        <f>+SUMIFS(Tabla1[Avance_Med],Tabla1[Fecha],"&gt;="&amp;$A14,Tabla1[Fecha],"&lt;="&amp;EOMONTH($A14,0),Tabla1[Codigo_actividad],AG$4)*AG$3</f>
        <v>0</v>
      </c>
      <c r="AH14" s="314">
        <f>+SUMIFS(Tabla1[Avance_Med],Tabla1[Fecha],"&gt;="&amp;$A14,Tabla1[Fecha],"&lt;="&amp;EOMONTH($A14,0),Tabla1[Codigo_actividad],AH$4)*AH$3</f>
        <v>0</v>
      </c>
      <c r="AI14" s="314">
        <f>+SUMIFS(Tabla1[Avance_Med],Tabla1[Fecha],"&gt;="&amp;$A14,Tabla1[Fecha],"&lt;="&amp;EOMONTH($A14,0),Tabla1[Codigo_actividad],AI$4)*AI$3</f>
        <v>0</v>
      </c>
      <c r="AJ14" s="314">
        <f>+SUMIFS(Tabla1[Avance_Med],Tabla1[Fecha],"&gt;="&amp;$A14,Tabla1[Fecha],"&lt;="&amp;EOMONTH($A14,0),Tabla1[Codigo_actividad],AJ$4)*AJ$3</f>
        <v>0</v>
      </c>
      <c r="AK14" s="314">
        <f>+SUMIFS(Tabla1[Avance_Med],Tabla1[Fecha],"&gt;="&amp;$A14,Tabla1[Fecha],"&lt;="&amp;EOMONTH($A14,0),Tabla1[Codigo_actividad],AK$4)*AK$3</f>
        <v>0</v>
      </c>
      <c r="AL14" s="314">
        <f>+SUMIFS(Tabla1[Avance_km],Tabla1[Fecha],"&gt;="&amp;$A14,Tabla1[Fecha],"&lt;="&amp;EOMONTH($A14,0),Tabla1[Codigo_actividad],AL$4)*AL$3</f>
        <v>0</v>
      </c>
      <c r="AM14" s="314">
        <f>+SUMIFS(Tabla1[Avance_Med],Tabla1[Fecha],"&gt;="&amp;$A14,Tabla1[Fecha],"&lt;="&amp;EOMONTH($A14,0),Tabla1[Codigo_actividad],AM$4)*AM$3</f>
        <v>0</v>
      </c>
      <c r="AN14" s="313"/>
      <c r="AO14" s="308">
        <f t="shared" si="0"/>
        <v>371107.12552</v>
      </c>
      <c r="AT14"/>
      <c r="AU14"/>
      <c r="AV14"/>
      <c r="AW14"/>
      <c r="AX14"/>
    </row>
    <row r="15" spans="1:50" x14ac:dyDescent="0.25">
      <c r="A15" s="226">
        <v>46235</v>
      </c>
      <c r="B15" s="314">
        <v>0</v>
      </c>
      <c r="C15" s="314">
        <f>+SUMIFS(Tabla1[Avance_Med],Tabla1[Fecha],"&gt;="&amp;$A15,Tabla1[Fecha],"&lt;="&amp;EOMONTH($A15,0),Tabla1[Codigo_actividad],C$4)*C$3</f>
        <v>0</v>
      </c>
      <c r="D15" s="314">
        <f>+SUMIFS(Tabla1[Avance_Med],Tabla1[Fecha],"&gt;="&amp;$A15,Tabla1[Fecha],"&lt;="&amp;EOMONTH($A15,0),Tabla1[Codigo_actividad],D$4)*D$3</f>
        <v>0</v>
      </c>
      <c r="E15" s="314">
        <f>+SUMIFS(Tabla1[Avance_Med],Tabla1[Fecha],"&gt;="&amp;$A15,Tabla1[Fecha],"&lt;="&amp;EOMONTH($A15,0),Tabla1[Codigo_actividad],E$4)*E$3</f>
        <v>0</v>
      </c>
      <c r="F15" s="314">
        <f>+SUMIFS(Tabla1[Avance_Med],Tabla1[Fecha],"&gt;="&amp;$A15,Tabla1[Fecha],"&lt;="&amp;EOMONTH($A15,0),Tabla1[Codigo_actividad],F$4)*F$3</f>
        <v>0</v>
      </c>
      <c r="G15" s="314">
        <f>+SUMIFS(Tabla1[Avance_Med],Tabla1[Fecha],"&gt;="&amp;$A15,Tabla1[Fecha],"&lt;="&amp;EOMONTH($A15,0),Tabla1[Codigo_actividad],G$4)*G$3</f>
        <v>0</v>
      </c>
      <c r="H15" s="314">
        <f>+SUMIFS(Tabla1[Avance_km],Tabla1[Fecha],"&gt;="&amp;$A15,Tabla1[Fecha],"&lt;="&amp;EOMONTH($A15,0),Tabla1[Codigo_actividad],H$4)*H$3</f>
        <v>145693.30653000003</v>
      </c>
      <c r="I15" s="314"/>
      <c r="J15" s="489">
        <f>+SUMIFS(Tabla1[Avance_km],Tabla1[Fecha],"&gt;="&amp;$A15,Tabla1[Fecha],"&lt;="&amp;EOMONTH($A15,0),Tabla1[Codigo_actividad],J$4,Tabla1[Avance_km],"&gt;0")*$J$3</f>
        <v>168022.03384999998</v>
      </c>
      <c r="K15" s="314">
        <f>SUMIFS(Tabla1[Avance_km],Tabla1[Fecha],"&gt;="&amp;$A15,Tabla1[Fecha],"&lt;="&amp;EOMONTH($A15,0),Tabla1[Codigo_actividad],K$4,Tabla1[Avance_km],"&gt;0")*K$3</f>
        <v>300342.56999999995</v>
      </c>
      <c r="L15" s="314">
        <f>+SUMIFS(Tabla1[Avance_Med],Tabla1[Fecha],"&gt;="&amp;$A15,Tabla1[Fecha],"&lt;="&amp;EOMONTH($A15,0),Tabla1[Codigo_actividad],L$4)*L$3</f>
        <v>0</v>
      </c>
      <c r="M15" s="314">
        <f>+SUMIFS(Tabla1[Avance_km],Tabla1[Fecha],"&gt;="&amp;$A15,Tabla1[Fecha],"&lt;="&amp;EOMONTH($A15,0),Tabla1[Codigo_actividad],M$4)*M$3</f>
        <v>27472.8014</v>
      </c>
      <c r="N15" s="314">
        <f>+SUMIFS(Tabla1[Avance_Med],Tabla1[Fecha],"&gt;="&amp;$A15,Tabla1[Fecha],"&lt;="&amp;EOMONTH($A15,0),Tabla1[Codigo_actividad],N$4)*N$3</f>
        <v>0</v>
      </c>
      <c r="O15" s="314">
        <f>+SUMIFS(Tabla1[Avance_Med],Tabla1[Fecha],"&gt;="&amp;$A15,Tabla1[Fecha],"&lt;="&amp;EOMONTH($A15,0),Tabla1[Codigo_actividad],O$4)*O$3</f>
        <v>0</v>
      </c>
      <c r="P15" s="314">
        <f>+SUMIFS(Tabla1[Avance_Med],Tabla1[Fecha],"&gt;="&amp;$A15,Tabla1[Fecha],"&lt;="&amp;EOMONTH($A15,0),Tabla1[Codigo_actividad],P$4)*P$3</f>
        <v>0</v>
      </c>
      <c r="Q15" s="314">
        <f>+SUMIFS(Tabla1[Avance_Med],Tabla1[Fecha],"&gt;="&amp;$A15,Tabla1[Fecha],"&lt;="&amp;EOMONTH($A15,0),Tabla1[Codigo_actividad],Q$4)*Q$3</f>
        <v>15171.98</v>
      </c>
      <c r="R15" s="314">
        <f>+SUMIFS(Tabla1[Avance_Med],Tabla1[Fecha],"&gt;="&amp;$A15,Tabla1[Fecha],"&lt;="&amp;EOMONTH($A15,0),Tabla1[Codigo_actividad],R$4)*R$3</f>
        <v>3531.18</v>
      </c>
      <c r="S15" s="314">
        <f>+SUMIFS(Tabla1[Avance_Med],Tabla1[Fecha],"&gt;="&amp;$A15,Tabla1[Fecha],"&lt;="&amp;EOMONTH($A15,0),Tabla1[Codigo_actividad],S$4)*S$3</f>
        <v>3869.18</v>
      </c>
      <c r="T15" s="314">
        <f>+SUMIFS(Tabla1[Avance_Med],Tabla1[Fecha],"&gt;="&amp;$A15,Tabla1[Fecha],"&lt;="&amp;EOMONTH($A15,0),Tabla1[Codigo_actividad],T$4)*T$3</f>
        <v>3921.18</v>
      </c>
      <c r="U15" s="314">
        <f>+SUMIFS(Tabla1[Avance_Med],Tabla1[Fecha],"&gt;="&amp;$A15,Tabla1[Fecha],"&lt;="&amp;EOMONTH($A15,0),Tabla1[Codigo_actividad],U$4)*U$3</f>
        <v>0</v>
      </c>
      <c r="V15" s="314">
        <f>+SUMIFS(Tabla1[Avance_Med],Tabla1[Fecha],"&gt;="&amp;$A15,Tabla1[Fecha],"&lt;="&amp;EOMONTH($A15,0),Tabla1[Codigo_actividad],V$4)*V$3</f>
        <v>4441.18</v>
      </c>
      <c r="W15" s="314">
        <f>+SUMIFS(Tabla1[Avance_Med],Tabla1[Fecha],"&gt;="&amp;$A15,Tabla1[Fecha],"&lt;="&amp;EOMONTH($A15,0),Tabla1[Codigo_actividad],W$4)*W$3</f>
        <v>0</v>
      </c>
      <c r="X15" s="314">
        <f>+SUMIFS(Tabla1[Avance_Med],Tabla1[Fecha],"&gt;="&amp;$A15,Tabla1[Fecha],"&lt;="&amp;EOMONTH($A15,0),Tabla1[Codigo_actividad],X$4)*X$3</f>
        <v>0</v>
      </c>
      <c r="Y15" s="314">
        <f>+SUMIFS(Tabla1[Avance_Med],Tabla1[Fecha],"&gt;="&amp;$A15,Tabla1[Fecha],"&lt;="&amp;EOMONTH($A15,0),Tabla1[Codigo_actividad],Y$4)*Y$3</f>
        <v>1312</v>
      </c>
      <c r="Z15" s="314">
        <f>+SUMIFS(Tabla1[Avance_Med],Tabla1[Fecha],"&gt;="&amp;$A15,Tabla1[Fecha],"&lt;="&amp;EOMONTH($A15,0),Tabla1[Codigo_actividad],Z$4)*Z$3</f>
        <v>9352</v>
      </c>
      <c r="AA15" s="314">
        <f>+SUMIFS(Tabla1[Avance_Med],Tabla1[Fecha],"&gt;="&amp;$A15,Tabla1[Fecha],"&lt;="&amp;EOMONTH($A15,0),Tabla1[Codigo_actividad],AA$4)*AA$3</f>
        <v>0</v>
      </c>
      <c r="AB15" s="314">
        <f>+SUMIFS(Tabla1[Avance_Med],Tabla1[Fecha],"&gt;="&amp;$A15,Tabla1[Fecha],"&lt;="&amp;EOMONTH($A15,0),Tabla1[Codigo_actividad],AB$4)*AB$3</f>
        <v>0</v>
      </c>
      <c r="AC15" s="314">
        <f>+SUMIFS(Tabla1[Avance_Med],Tabla1[Fecha],"&gt;="&amp;$A15,Tabla1[Fecha],"&lt;="&amp;EOMONTH($A15,0),Tabla1[Codigo_actividad],AC$4)*AC$3</f>
        <v>0</v>
      </c>
      <c r="AD15" s="314">
        <f>+SUMIFS(Tabla1[Avance_Med],Tabla1[Fecha],"&gt;="&amp;$A15,Tabla1[Fecha],"&lt;="&amp;EOMONTH($A15,0),Tabla1[Codigo_actividad],AD$4)*AD$3</f>
        <v>0</v>
      </c>
      <c r="AE15" s="314">
        <f>+SUMIFS(Tabla1[Avance_Med],Tabla1[Fecha],"&gt;="&amp;$A15,Tabla1[Fecha],"&lt;="&amp;EOMONTH($A15,0),Tabla1[Codigo_actividad],AE$4)*AE$3</f>
        <v>0</v>
      </c>
      <c r="AF15" s="314">
        <f>+SUMIFS(Tabla1[Avance_Med],Tabla1[Fecha],"&gt;="&amp;$A15,Tabla1[Fecha],"&lt;="&amp;EOMONTH($A15,0),Tabla1[Codigo_actividad],AF$4)*AF$3</f>
        <v>0</v>
      </c>
      <c r="AG15" s="314">
        <f>+SUMIFS(Tabla1[Avance_Med],Tabla1[Fecha],"&gt;="&amp;$A15,Tabla1[Fecha],"&lt;="&amp;EOMONTH($A15,0),Tabla1[Codigo_actividad],AG$4)*AG$3</f>
        <v>0</v>
      </c>
      <c r="AH15" s="314">
        <f>+SUMIFS(Tabla1[Avance_Med],Tabla1[Fecha],"&gt;="&amp;$A15,Tabla1[Fecha],"&lt;="&amp;EOMONTH($A15,0),Tabla1[Codigo_actividad],AH$4)*AH$3</f>
        <v>0</v>
      </c>
      <c r="AI15" s="314">
        <f>+SUMIFS(Tabla1[Avance_Med],Tabla1[Fecha],"&gt;="&amp;$A15,Tabla1[Fecha],"&lt;="&amp;EOMONTH($A15,0),Tabla1[Codigo_actividad],AI$4)*AI$3</f>
        <v>0</v>
      </c>
      <c r="AJ15" s="314">
        <f>+SUMIFS(Tabla1[Avance_Med],Tabla1[Fecha],"&gt;="&amp;$A15,Tabla1[Fecha],"&lt;="&amp;EOMONTH($A15,0),Tabla1[Codigo_actividad],AJ$4)*AJ$3</f>
        <v>173864.40000000002</v>
      </c>
      <c r="AK15" s="314">
        <f>+SUMIFS(Tabla1[Avance_Med],Tabla1[Fecha],"&gt;="&amp;$A15,Tabla1[Fecha],"&lt;="&amp;EOMONTH($A15,0),Tabla1[Codigo_actividad],AK$4)*AK$3</f>
        <v>167470.32</v>
      </c>
      <c r="AL15" s="314">
        <f>+SUMIFS(Tabla1[Avance_km],Tabla1[Fecha],"&gt;="&amp;$A15,Tabla1[Fecha],"&lt;="&amp;EOMONTH($A15,0),Tabla1[Codigo_actividad],AL$4)*AL$3</f>
        <v>0</v>
      </c>
      <c r="AM15" s="314">
        <f>+SUMIFS(Tabla1[Avance_Med],Tabla1[Fecha],"&gt;="&amp;$A15,Tabla1[Fecha],"&lt;="&amp;EOMONTH($A15,0),Tabla1[Codigo_actividad],AM$4)*AM$3</f>
        <v>0</v>
      </c>
      <c r="AN15" s="313"/>
      <c r="AO15" s="308">
        <f t="shared" si="0"/>
        <v>1024464.1317800002</v>
      </c>
      <c r="AT15"/>
      <c r="AU15"/>
      <c r="AV15"/>
      <c r="AW15"/>
      <c r="AX15"/>
    </row>
    <row r="16" spans="1:50" x14ac:dyDescent="0.25">
      <c r="A16" s="226">
        <v>46266</v>
      </c>
      <c r="B16" s="314">
        <v>0</v>
      </c>
      <c r="C16" s="314">
        <f>+SUMIFS(Tabla1[Avance_Med],Tabla1[Fecha],"&gt;="&amp;$A16,Tabla1[Fecha],"&lt;="&amp;EOMONTH($A16,0),Tabla1[Codigo_actividad],C$4)*C$3</f>
        <v>0</v>
      </c>
      <c r="D16" s="314">
        <f>+SUMIFS(Tabla1[Avance_Med],Tabla1[Fecha],"&gt;="&amp;$A16,Tabla1[Fecha],"&lt;="&amp;EOMONTH($A16,0),Tabla1[Codigo_actividad],D$4)*D$3</f>
        <v>0</v>
      </c>
      <c r="E16" s="314">
        <f>+SUMIFS(Tabla1[Avance_Med],Tabla1[Fecha],"&gt;="&amp;$A16,Tabla1[Fecha],"&lt;="&amp;EOMONTH($A16,0),Tabla1[Codigo_actividad],E$4)*E$3</f>
        <v>0</v>
      </c>
      <c r="F16" s="314">
        <f>+SUMIFS(Tabla1[Avance_Med],Tabla1[Fecha],"&gt;="&amp;$A16,Tabla1[Fecha],"&lt;="&amp;EOMONTH($A16,0),Tabla1[Codigo_actividad],F$4)*F$3</f>
        <v>0</v>
      </c>
      <c r="G16" s="314">
        <f>+SUMIFS(Tabla1[Avance_Med],Tabla1[Fecha],"&gt;="&amp;$A16,Tabla1[Fecha],"&lt;="&amp;EOMONTH($A16,0),Tabla1[Codigo_actividad],G$4)*G$3</f>
        <v>0</v>
      </c>
      <c r="H16" s="314">
        <f>+SUMIFS(Tabla1[Avance_km],Tabla1[Fecha],"&gt;="&amp;$A16,Tabla1[Fecha],"&lt;="&amp;EOMONTH($A16,0),Tabla1[Codigo_actividad],H$4)*H$3</f>
        <v>155669.51519999999</v>
      </c>
      <c r="I16" s="314"/>
      <c r="J16" s="314">
        <f>+SUMIFS(Tabla1[Avance_km],Tabla1[Fecha],"&gt;="&amp;$A16,Tabla1[Fecha],"&lt;="&amp;EOMONTH($A16,0),Tabla1[Codigo_actividad],J$4,Tabla1[Avance_km],"&gt;0")*J$3</f>
        <v>0</v>
      </c>
      <c r="K16" s="314">
        <f>SUMIFS(Tabla1[Avance_km],Tabla1[Fecha],"&gt;="&amp;$A16,Tabla1[Fecha],"&lt;="&amp;EOMONTH($A16,0),Tabla1[Codigo_actividad],K$4,Tabla1[Avance_km],"&gt;0")*K$3</f>
        <v>440241.56999999995</v>
      </c>
      <c r="L16" s="314">
        <f>+SUMIFS(Tabla1[Avance_Med],Tabla1[Fecha],"&gt;="&amp;$A16,Tabla1[Fecha],"&lt;="&amp;EOMONTH($A16,0),Tabla1[Codigo_actividad],L$4)*L$3</f>
        <v>93160</v>
      </c>
      <c r="M16" s="314">
        <f>+SUMIFS(Tabla1[Avance_km],Tabla1[Fecha],"&gt;="&amp;$A16,Tabla1[Fecha],"&lt;="&amp;EOMONTH($A16,0),Tabla1[Codigo_actividad],M$4)*M$3</f>
        <v>45306.419399999999</v>
      </c>
      <c r="N16" s="314">
        <f>+SUMIFS(Tabla1[Avance_Med],Tabla1[Fecha],"&gt;="&amp;$A16,Tabla1[Fecha],"&lt;="&amp;EOMONTH($A16,0),Tabla1[Codigo_actividad],N$4)*N$3</f>
        <v>120364.08</v>
      </c>
      <c r="O16" s="314">
        <f>+SUMIFS(Tabla1[Avance_Med],Tabla1[Fecha],"&gt;="&amp;$A16,Tabla1[Fecha],"&lt;="&amp;EOMONTH($A16,0),Tabla1[Codigo_actividad],O$4)*O$3</f>
        <v>89973.52</v>
      </c>
      <c r="P16" s="314">
        <f>+SUMIFS(Tabla1[Avance_Med],Tabla1[Fecha],"&gt;="&amp;$A16,Tabla1[Fecha],"&lt;="&amp;EOMONTH($A16,0),Tabla1[Codigo_actividad],P$4)*P$3</f>
        <v>67002.100000000006</v>
      </c>
      <c r="Q16" s="314">
        <f>+SUMIFS(Tabla1[Avance_Med],Tabla1[Fecha],"&gt;="&amp;$A16,Tabla1[Fecha],"&lt;="&amp;EOMONTH($A16,0),Tabla1[Codigo_actividad],Q$4)*Q$3</f>
        <v>60687.92</v>
      </c>
      <c r="R16" s="314">
        <f>+SUMIFS(Tabla1[Avance_Med],Tabla1[Fecha],"&gt;="&amp;$A16,Tabla1[Fecha],"&lt;="&amp;EOMONTH($A16,0),Tabla1[Codigo_actividad],R$4)*R$3</f>
        <v>14124.72</v>
      </c>
      <c r="S16" s="314">
        <f>+SUMIFS(Tabla1[Avance_Med],Tabla1[Fecha],"&gt;="&amp;$A16,Tabla1[Fecha],"&lt;="&amp;EOMONTH($A16,0),Tabla1[Codigo_actividad],S$4)*S$3</f>
        <v>15476.72</v>
      </c>
      <c r="T16" s="314">
        <f>+SUMIFS(Tabla1[Avance_Med],Tabla1[Fecha],"&gt;="&amp;$A16,Tabla1[Fecha],"&lt;="&amp;EOMONTH($A16,0),Tabla1[Codigo_actividad],T$4)*T$3</f>
        <v>15684.72</v>
      </c>
      <c r="U16" s="314">
        <f>+SUMIFS(Tabla1[Avance_Med],Tabla1[Fecha],"&gt;="&amp;$A16,Tabla1[Fecha],"&lt;="&amp;EOMONTH($A16,0),Tabla1[Codigo_actividad],U$4)*U$3</f>
        <v>4441.18</v>
      </c>
      <c r="V16" s="314">
        <f>+SUMIFS(Tabla1[Avance_Med],Tabla1[Fecha],"&gt;="&amp;$A16,Tabla1[Fecha],"&lt;="&amp;EOMONTH($A16,0),Tabla1[Codigo_actividad],V$4)*V$3</f>
        <v>17764.72</v>
      </c>
      <c r="W16" s="314">
        <f>+SUMIFS(Tabla1[Avance_Med],Tabla1[Fecha],"&gt;="&amp;$A16,Tabla1[Fecha],"&lt;="&amp;EOMONTH($A16,0),Tabla1[Codigo_actividad],W$4)*W$3</f>
        <v>4181.18</v>
      </c>
      <c r="X16" s="314">
        <f>+SUMIFS(Tabla1[Avance_Med],Tabla1[Fecha],"&gt;="&amp;$A16,Tabla1[Fecha],"&lt;="&amp;EOMONTH($A16,0),Tabla1[Codigo_actividad],X$4)*X$3</f>
        <v>6271.77</v>
      </c>
      <c r="Y16" s="314">
        <f>+SUMIFS(Tabla1[Avance_Med],Tabla1[Fecha],"&gt;="&amp;$A16,Tabla1[Fecha],"&lt;="&amp;EOMONTH($A16,0),Tabla1[Codigo_actividad],Y$4)*Y$3</f>
        <v>5248</v>
      </c>
      <c r="Z16" s="314">
        <f>+SUMIFS(Tabla1[Avance_Med],Tabla1[Fecha],"&gt;="&amp;$A16,Tabla1[Fecha],"&lt;="&amp;EOMONTH($A16,0),Tabla1[Codigo_actividad],Z$4)*Z$3</f>
        <v>37408</v>
      </c>
      <c r="AA16" s="314">
        <f>+SUMIFS(Tabla1[Avance_Med],Tabla1[Fecha],"&gt;="&amp;$A16,Tabla1[Fecha],"&lt;="&amp;EOMONTH($A16,0),Tabla1[Codigo_actividad],AA$4)*AA$3</f>
        <v>0</v>
      </c>
      <c r="AB16" s="314">
        <f>+SUMIFS(Tabla1[Avance_Med],Tabla1[Fecha],"&gt;="&amp;$A16,Tabla1[Fecha],"&lt;="&amp;EOMONTH($A16,0),Tabla1[Codigo_actividad],AB$4)*AB$3</f>
        <v>0</v>
      </c>
      <c r="AC16" s="314">
        <f>+SUMIFS(Tabla1[Avance_Med],Tabla1[Fecha],"&gt;="&amp;$A16,Tabla1[Fecha],"&lt;="&amp;EOMONTH($A16,0),Tabla1[Codigo_actividad],AC$4)*AC$3</f>
        <v>0</v>
      </c>
      <c r="AD16" s="314">
        <f>+SUMIFS(Tabla1[Avance_Med],Tabla1[Fecha],"&gt;="&amp;$A16,Tabla1[Fecha],"&lt;="&amp;EOMONTH($A16,0),Tabla1[Codigo_actividad],AD$4)*AD$3</f>
        <v>0</v>
      </c>
      <c r="AE16" s="314">
        <f>+SUMIFS(Tabla1[Avance_Med],Tabla1[Fecha],"&gt;="&amp;$A16,Tabla1[Fecha],"&lt;="&amp;EOMONTH($A16,0),Tabla1[Codigo_actividad],AE$4)*AE$3</f>
        <v>0</v>
      </c>
      <c r="AF16" s="314">
        <f>+SUMIFS(Tabla1[Avance_Med],Tabla1[Fecha],"&gt;="&amp;$A16,Tabla1[Fecha],"&lt;="&amp;EOMONTH($A16,0),Tabla1[Codigo_actividad],AF$4)*AF$3</f>
        <v>0</v>
      </c>
      <c r="AG16" s="314">
        <f>+SUMIFS(Tabla1[Avance_Med],Tabla1[Fecha],"&gt;="&amp;$A16,Tabla1[Fecha],"&lt;="&amp;EOMONTH($A16,0),Tabla1[Codigo_actividad],AG$4)*AG$3</f>
        <v>0</v>
      </c>
      <c r="AH16" s="314">
        <f>+SUMIFS(Tabla1[Avance_Med],Tabla1[Fecha],"&gt;="&amp;$A16,Tabla1[Fecha],"&lt;="&amp;EOMONTH($A16,0),Tabla1[Codigo_actividad],AH$4)*AH$3</f>
        <v>0</v>
      </c>
      <c r="AI16" s="314">
        <f>+SUMIFS(Tabla1[Avance_Med],Tabla1[Fecha],"&gt;="&amp;$A16,Tabla1[Fecha],"&lt;="&amp;EOMONTH($A16,0),Tabla1[Codigo_actividad],AI$4)*AI$3</f>
        <v>0</v>
      </c>
      <c r="AJ16" s="314">
        <f>+SUMIFS(Tabla1[Avance_Med],Tabla1[Fecha],"&gt;="&amp;$A16,Tabla1[Fecha],"&lt;="&amp;EOMONTH($A16,0),Tabla1[Codigo_actividad],AJ$4)*AJ$3</f>
        <v>0</v>
      </c>
      <c r="AK16" s="314">
        <f>+SUMIFS(Tabla1[Avance_Med],Tabla1[Fecha],"&gt;="&amp;$A16,Tabla1[Fecha],"&lt;="&amp;EOMONTH($A16,0),Tabla1[Codigo_actividad],AK$4)*AK$3</f>
        <v>0</v>
      </c>
      <c r="AL16" s="314">
        <f>+SUMIFS(Tabla1[Avance_km],Tabla1[Fecha],"&gt;="&amp;$A16,Tabla1[Fecha],"&lt;="&amp;EOMONTH($A16,0),Tabla1[Codigo_actividad],AL$4)*AL$3</f>
        <v>0</v>
      </c>
      <c r="AM16" s="314">
        <f>+SUMIFS(Tabla1[Avance_Med],Tabla1[Fecha],"&gt;="&amp;$A16,Tabla1[Fecha],"&lt;="&amp;EOMONTH($A16,0),Tabla1[Codigo_actividad],AM$4)*AM$3</f>
        <v>0</v>
      </c>
      <c r="AN16" s="313"/>
      <c r="AO16" s="308">
        <f t="shared" si="0"/>
        <v>1193006.1345999998</v>
      </c>
      <c r="AT16"/>
      <c r="AU16"/>
      <c r="AV16"/>
      <c r="AW16"/>
      <c r="AX16"/>
    </row>
    <row r="17" spans="1:52" x14ac:dyDescent="0.25">
      <c r="A17" s="226">
        <v>46296</v>
      </c>
      <c r="B17" s="314">
        <v>0</v>
      </c>
      <c r="C17" s="314">
        <f>+SUMIFS(Tabla1[Avance_Med],Tabla1[Fecha],"&gt;="&amp;$A17,Tabla1[Fecha],"&lt;="&amp;EOMONTH($A17,0),Tabla1[Codigo_actividad],C$4)*C$3</f>
        <v>0</v>
      </c>
      <c r="D17" s="314">
        <f>+SUMIFS(Tabla1[Avance_Med],Tabla1[Fecha],"&gt;="&amp;$A17,Tabla1[Fecha],"&lt;="&amp;EOMONTH($A17,0),Tabla1[Codigo_actividad],D$4)*D$3</f>
        <v>0</v>
      </c>
      <c r="E17" s="314">
        <f>+SUMIFS(Tabla1[Avance_Med],Tabla1[Fecha],"&gt;="&amp;$A17,Tabla1[Fecha],"&lt;="&amp;EOMONTH($A17,0),Tabla1[Codigo_actividad],E$4)*E$3</f>
        <v>0</v>
      </c>
      <c r="F17" s="314">
        <f>+SUMIFS(Tabla1[Avance_Med],Tabla1[Fecha],"&gt;="&amp;$A17,Tabla1[Fecha],"&lt;="&amp;EOMONTH($A17,0),Tabla1[Codigo_actividad],F$4)*F$3</f>
        <v>0</v>
      </c>
      <c r="G17" s="314">
        <f>+SUMIFS(Tabla1[Avance_Med],Tabla1[Fecha],"&gt;="&amp;$A17,Tabla1[Fecha],"&lt;="&amp;EOMONTH($A17,0),Tabla1[Codigo_actividad],G$4)*G$3</f>
        <v>0</v>
      </c>
      <c r="H17" s="314">
        <f>+SUMIFS(Tabla1[Avance_km],Tabla1[Fecha],"&gt;="&amp;$A17,Tabla1[Fecha],"&lt;="&amp;EOMONTH($A17,0),Tabla1[Codigo_actividad],H$4)*H$3</f>
        <v>212266.71067499998</v>
      </c>
      <c r="I17" s="314"/>
      <c r="J17" s="314">
        <f>+SUMIFS(Tabla1[Avance_km],Tabla1[Fecha],"&gt;="&amp;$A17,Tabla1[Fecha],"&lt;="&amp;EOMONTH($A17,0),Tabla1[Codigo_actividad],J$4,Tabla1[Avance_km],"&gt;0")*J$3</f>
        <v>22021.120934999992</v>
      </c>
      <c r="K17" s="314">
        <f>SUMIFS(Tabla1[Avance_km],Tabla1[Fecha],"&gt;="&amp;$A17,Tabla1[Fecha],"&lt;="&amp;EOMONTH($A17,0),Tabla1[Codigo_actividad],K$4,Tabla1[Avance_km],"&gt;0")*K$3</f>
        <v>580430.36</v>
      </c>
      <c r="L17" s="314">
        <f>+SUMIFS(Tabla1[Avance_Med],Tabla1[Fecha],"&gt;="&amp;$A17,Tabla1[Fecha],"&lt;="&amp;EOMONTH($A17,0),Tabla1[Codigo_actividad],L$4)*L$3</f>
        <v>0</v>
      </c>
      <c r="M17" s="314">
        <f>+SUMIFS(Tabla1[Avance_km],Tabla1[Fecha],"&gt;="&amp;$A17,Tabla1[Fecha],"&lt;="&amp;EOMONTH($A17,0),Tabla1[Codigo_actividad],M$4)*M$3</f>
        <v>3667.1787899999986</v>
      </c>
      <c r="N17" s="314">
        <f>+SUMIFS(Tabla1[Avance_Med],Tabla1[Fecha],"&gt;="&amp;$A17,Tabla1[Fecha],"&lt;="&amp;EOMONTH($A17,0),Tabla1[Codigo_actividad],N$4)*N$3</f>
        <v>14160.48</v>
      </c>
      <c r="O17" s="314">
        <f>+SUMIFS(Tabla1[Avance_Med],Tabla1[Fecha],"&gt;="&amp;$A17,Tabla1[Fecha],"&lt;="&amp;EOMONTH($A17,0),Tabla1[Codigo_actividad],O$4)*O$3</f>
        <v>10585.12</v>
      </c>
      <c r="P17" s="314">
        <f>+SUMIFS(Tabla1[Avance_Med],Tabla1[Fecha],"&gt;="&amp;$A17,Tabla1[Fecha],"&lt;="&amp;EOMONTH($A17,0),Tabla1[Codigo_actividad],P$4)*P$3</f>
        <v>7882.6</v>
      </c>
      <c r="Q17" s="314">
        <f>+SUMIFS(Tabla1[Avance_Med],Tabla1[Fecha],"&gt;="&amp;$A17,Tabla1[Fecha],"&lt;="&amp;EOMONTH($A17,0),Tabla1[Codigo_actividad],Q$4)*Q$3</f>
        <v>30343.96</v>
      </c>
      <c r="R17" s="314">
        <f>+SUMIFS(Tabla1[Avance_Med],Tabla1[Fecha],"&gt;="&amp;$A17,Tabla1[Fecha],"&lt;="&amp;EOMONTH($A17,0),Tabla1[Codigo_actividad],R$4)*R$3</f>
        <v>8827.9499999999989</v>
      </c>
      <c r="S17" s="314">
        <f>+SUMIFS(Tabla1[Avance_Med],Tabla1[Fecha],"&gt;="&amp;$A17,Tabla1[Fecha],"&lt;="&amp;EOMONTH($A17,0),Tabla1[Codigo_actividad],S$4)*S$3</f>
        <v>9672.9499999999989</v>
      </c>
      <c r="T17" s="314">
        <f>+SUMIFS(Tabla1[Avance_Med],Tabla1[Fecha],"&gt;="&amp;$A17,Tabla1[Fecha],"&lt;="&amp;EOMONTH($A17,0),Tabla1[Codigo_actividad],T$4)*T$3</f>
        <v>9802.9499999999989</v>
      </c>
      <c r="U17" s="314">
        <f>+SUMIFS(Tabla1[Avance_Med],Tabla1[Fecha],"&gt;="&amp;$A17,Tabla1[Fecha],"&lt;="&amp;EOMONTH($A17,0),Tabla1[Codigo_actividad],U$4)*U$3</f>
        <v>0</v>
      </c>
      <c r="V17" s="314">
        <f>+SUMIFS(Tabla1[Avance_Med],Tabla1[Fecha],"&gt;="&amp;$A17,Tabla1[Fecha],"&lt;="&amp;EOMONTH($A17,0),Tabla1[Codigo_actividad],V$4)*V$3</f>
        <v>11102.95</v>
      </c>
      <c r="W17" s="314">
        <f>+SUMIFS(Tabla1[Avance_Med],Tabla1[Fecha],"&gt;="&amp;$A17,Tabla1[Fecha],"&lt;="&amp;EOMONTH($A17,0),Tabla1[Codigo_actividad],W$4)*W$3</f>
        <v>0</v>
      </c>
      <c r="X17" s="314">
        <f>+SUMIFS(Tabla1[Avance_Med],Tabla1[Fecha],"&gt;="&amp;$A17,Tabla1[Fecha],"&lt;="&amp;EOMONTH($A17,0),Tabla1[Codigo_actividad],X$4)*X$3</f>
        <v>0</v>
      </c>
      <c r="Y17" s="314">
        <f>+SUMIFS(Tabla1[Avance_Med],Tabla1[Fecha],"&gt;="&amp;$A17,Tabla1[Fecha],"&lt;="&amp;EOMONTH($A17,0),Tabla1[Codigo_actividad],Y$4)*Y$3</f>
        <v>2624</v>
      </c>
      <c r="Z17" s="314">
        <f>+SUMIFS(Tabla1[Avance_Med],Tabla1[Fecha],"&gt;="&amp;$A17,Tabla1[Fecha],"&lt;="&amp;EOMONTH($A17,0),Tabla1[Codigo_actividad],Z$4)*Z$3</f>
        <v>18704</v>
      </c>
      <c r="AA17" s="314">
        <f>+SUMIFS(Tabla1[Avance_Med],Tabla1[Fecha],"&gt;="&amp;$A17,Tabla1[Fecha],"&lt;="&amp;EOMONTH($A17,0),Tabla1[Codigo_actividad],AA$4)*AA$3</f>
        <v>0</v>
      </c>
      <c r="AB17" s="314">
        <f>+SUMIFS(Tabla1[Avance_Med],Tabla1[Fecha],"&gt;="&amp;$A17,Tabla1[Fecha],"&lt;="&amp;EOMONTH($A17,0),Tabla1[Codigo_actividad],AB$4)*AB$3</f>
        <v>0</v>
      </c>
      <c r="AC17" s="314">
        <f>+SUMIFS(Tabla1[Avance_Med],Tabla1[Fecha],"&gt;="&amp;$A17,Tabla1[Fecha],"&lt;="&amp;EOMONTH($A17,0),Tabla1[Codigo_actividad],AC$4)*AC$3</f>
        <v>0</v>
      </c>
      <c r="AD17" s="314">
        <f>+SUMIFS(Tabla1[Avance_Med],Tabla1[Fecha],"&gt;="&amp;$A17,Tabla1[Fecha],"&lt;="&amp;EOMONTH($A17,0),Tabla1[Codigo_actividad],AD$4)*AD$3</f>
        <v>0</v>
      </c>
      <c r="AE17" s="314">
        <f>+SUMIFS(Tabla1[Avance_Med],Tabla1[Fecha],"&gt;="&amp;$A17,Tabla1[Fecha],"&lt;="&amp;EOMONTH($A17,0),Tabla1[Codigo_actividad],AE$4)*AE$3</f>
        <v>0</v>
      </c>
      <c r="AF17" s="314">
        <f>+SUMIFS(Tabla1[Avance_Med],Tabla1[Fecha],"&gt;="&amp;$A17,Tabla1[Fecha],"&lt;="&amp;EOMONTH($A17,0),Tabla1[Codigo_actividad],AF$4)*AF$3</f>
        <v>0</v>
      </c>
      <c r="AG17" s="314">
        <f>+SUMIFS(Tabla1[Avance_Med],Tabla1[Fecha],"&gt;="&amp;$A17,Tabla1[Fecha],"&lt;="&amp;EOMONTH($A17,0),Tabla1[Codigo_actividad],AG$4)*AG$3</f>
        <v>0</v>
      </c>
      <c r="AH17" s="314">
        <f>+SUMIFS(Tabla1[Avance_Med],Tabla1[Fecha],"&gt;="&amp;$A17,Tabla1[Fecha],"&lt;="&amp;EOMONTH($A17,0),Tabla1[Codigo_actividad],AH$4)*AH$3</f>
        <v>0</v>
      </c>
      <c r="AI17" s="314">
        <f>+SUMIFS(Tabla1[Avance_Med],Tabla1[Fecha],"&gt;="&amp;$A17,Tabla1[Fecha],"&lt;="&amp;EOMONTH($A17,0),Tabla1[Codigo_actividad],AI$4)*AI$3</f>
        <v>0</v>
      </c>
      <c r="AJ17" s="314">
        <f>+SUMIFS(Tabla1[Avance_Med],Tabla1[Fecha],"&gt;="&amp;$A17,Tabla1[Fecha],"&lt;="&amp;EOMONTH($A17,0),Tabla1[Codigo_actividad],AJ$4)*AJ$3</f>
        <v>0</v>
      </c>
      <c r="AK17" s="314">
        <f>+SUMIFS(Tabla1[Avance_Med],Tabla1[Fecha],"&gt;="&amp;$A17,Tabla1[Fecha],"&lt;="&amp;EOMONTH($A17,0),Tabla1[Codigo_actividad],AK$4)*AK$3</f>
        <v>0</v>
      </c>
      <c r="AL17" s="314">
        <f>+SUMIFS(Tabla1[Avance_km],Tabla1[Fecha],"&gt;="&amp;$A17,Tabla1[Fecha],"&lt;="&amp;EOMONTH($A17,0),Tabla1[Codigo_actividad],AL$4)*AL$3</f>
        <v>0</v>
      </c>
      <c r="AM17" s="314">
        <f>+SUMIFS(Tabla1[Avance_Med],Tabla1[Fecha],"&gt;="&amp;$A17,Tabla1[Fecha],"&lt;="&amp;EOMONTH($A17,0),Tabla1[Codigo_actividad],AM$4)*AM$3</f>
        <v>0</v>
      </c>
      <c r="AN17" s="313"/>
      <c r="AO17" s="308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6">
        <v>46327</v>
      </c>
      <c r="B18" s="314">
        <v>0</v>
      </c>
      <c r="C18" s="314">
        <f>+SUMIFS(Tabla1[Avance_Med],Tabla1[Fecha],"&gt;="&amp;$A18,Tabla1[Fecha],"&lt;="&amp;EOMONTH($A18,0),Tabla1[Codigo_actividad],C$4)*C$3</f>
        <v>0</v>
      </c>
      <c r="D18" s="314">
        <f>+SUMIFS(Tabla1[Avance_Med],Tabla1[Fecha],"&gt;="&amp;$A18,Tabla1[Fecha],"&lt;="&amp;EOMONTH($A18,0),Tabla1[Codigo_actividad],D$4)*D$3</f>
        <v>0</v>
      </c>
      <c r="E18" s="314">
        <f>+SUMIFS(Tabla1[Avance_Med],Tabla1[Fecha],"&gt;="&amp;$A18,Tabla1[Fecha],"&lt;="&amp;EOMONTH($A18,0),Tabla1[Codigo_actividad],E$4)*E$3</f>
        <v>0</v>
      </c>
      <c r="F18" s="314">
        <f>+SUMIFS(Tabla1[Avance_Med],Tabla1[Fecha],"&gt;="&amp;$A18,Tabla1[Fecha],"&lt;="&amp;EOMONTH($A18,0),Tabla1[Codigo_actividad],F$4)*F$3</f>
        <v>0</v>
      </c>
      <c r="G18" s="314">
        <f>+SUMIFS(Tabla1[Avance_Med],Tabla1[Fecha],"&gt;="&amp;$A18,Tabla1[Fecha],"&lt;="&amp;EOMONTH($A18,0),Tabla1[Codigo_actividad],G$4)*G$3</f>
        <v>0</v>
      </c>
      <c r="H18" s="314">
        <f>+SUMIFS(Tabla1[Avance_km],Tabla1[Fecha],"&gt;="&amp;$A18,Tabla1[Fecha],"&lt;="&amp;EOMONTH($A18,0),Tabla1[Codigo_actividad],H$4)*H$3</f>
        <v>0</v>
      </c>
      <c r="I18" s="314"/>
      <c r="J18" s="314">
        <f>+SUMIFS(Tabla1[Avance_km],Tabla1[Fecha],"&gt;="&amp;$A18,Tabla1[Fecha],"&lt;="&amp;EOMONTH($A18,0),Tabla1[Codigo_actividad],J$4,Tabla1[Avance_km],"&gt;0")*J$3</f>
        <v>0</v>
      </c>
      <c r="K18" s="314">
        <f>SUMIFS(Tabla1[Avance_km],Tabla1[Fecha],"&gt;="&amp;$A18,Tabla1[Fecha],"&lt;="&amp;EOMONTH($A18,0),Tabla1[Codigo_actividad],K$4,Tabla1[Avance_km],"&gt;0")*K$3</f>
        <v>0</v>
      </c>
      <c r="L18" s="314">
        <f>+SUMIFS(Tabla1[Avance_Med],Tabla1[Fecha],"&gt;="&amp;$A18,Tabla1[Fecha],"&lt;="&amp;EOMONTH($A18,0),Tabla1[Codigo_actividad],L$4)*L$3</f>
        <v>0</v>
      </c>
      <c r="M18" s="314">
        <f>+SUMIFS(Tabla1[Avance_km],Tabla1[Fecha],"&gt;="&amp;$A18,Tabla1[Fecha],"&lt;="&amp;EOMONTH($A18,0),Tabla1[Codigo_actividad],M$4)*M$3</f>
        <v>0</v>
      </c>
      <c r="N18" s="314">
        <f>+SUMIFS(Tabla1[Avance_Med],Tabla1[Fecha],"&gt;="&amp;$A18,Tabla1[Fecha],"&lt;="&amp;EOMONTH($A18,0),Tabla1[Codigo_actividad],N$4)*N$3</f>
        <v>0</v>
      </c>
      <c r="O18" s="314">
        <f>+SUMIFS(Tabla1[Avance_Med],Tabla1[Fecha],"&gt;="&amp;$A18,Tabla1[Fecha],"&lt;="&amp;EOMONTH($A18,0),Tabla1[Codigo_actividad],O$4)*O$3</f>
        <v>0</v>
      </c>
      <c r="P18" s="314">
        <f>+SUMIFS(Tabla1[Avance_Med],Tabla1[Fecha],"&gt;="&amp;$A18,Tabla1[Fecha],"&lt;="&amp;EOMONTH($A18,0),Tabla1[Codigo_actividad],P$4)*P$3</f>
        <v>0</v>
      </c>
      <c r="Q18" s="314">
        <f>+SUMIFS(Tabla1[Avance_Med],Tabla1[Fecha],"&gt;="&amp;$A18,Tabla1[Fecha],"&lt;="&amp;EOMONTH($A18,0),Tabla1[Codigo_actividad],Q$4)*Q$3</f>
        <v>0</v>
      </c>
      <c r="R18" s="314">
        <f>+SUMIFS(Tabla1[Avance_Med],Tabla1[Fecha],"&gt;="&amp;$A18,Tabla1[Fecha],"&lt;="&amp;EOMONTH($A18,0),Tabla1[Codigo_actividad],R$4)*R$3</f>
        <v>0</v>
      </c>
      <c r="S18" s="314">
        <f>+SUMIFS(Tabla1[Avance_Med],Tabla1[Fecha],"&gt;="&amp;$A18,Tabla1[Fecha],"&lt;="&amp;EOMONTH($A18,0),Tabla1[Codigo_actividad],S$4)*S$3</f>
        <v>0</v>
      </c>
      <c r="T18" s="314">
        <f>+SUMIFS(Tabla1[Avance_Med],Tabla1[Fecha],"&gt;="&amp;$A18,Tabla1[Fecha],"&lt;="&amp;EOMONTH($A18,0),Tabla1[Codigo_actividad],T$4)*T$3</f>
        <v>0</v>
      </c>
      <c r="U18" s="314">
        <f>+SUMIFS(Tabla1[Avance_Med],Tabla1[Fecha],"&gt;="&amp;$A18,Tabla1[Fecha],"&lt;="&amp;EOMONTH($A18,0),Tabla1[Codigo_actividad],U$4)*U$3</f>
        <v>0</v>
      </c>
      <c r="V18" s="314">
        <f>+SUMIFS(Tabla1[Avance_Med],Tabla1[Fecha],"&gt;="&amp;$A18,Tabla1[Fecha],"&lt;="&amp;EOMONTH($A18,0),Tabla1[Codigo_actividad],V$4)*V$3</f>
        <v>0</v>
      </c>
      <c r="W18" s="314">
        <f>+SUMIFS(Tabla1[Avance_Med],Tabla1[Fecha],"&gt;="&amp;$A18,Tabla1[Fecha],"&lt;="&amp;EOMONTH($A18,0),Tabla1[Codigo_actividad],W$4)*W$3</f>
        <v>0</v>
      </c>
      <c r="X18" s="314">
        <f>+SUMIFS(Tabla1[Avance_Med],Tabla1[Fecha],"&gt;="&amp;$A18,Tabla1[Fecha],"&lt;="&amp;EOMONTH($A18,0),Tabla1[Codigo_actividad],X$4)*X$3</f>
        <v>0</v>
      </c>
      <c r="Y18" s="314">
        <f>+SUMIFS(Tabla1[Avance_Med],Tabla1[Fecha],"&gt;="&amp;$A18,Tabla1[Fecha],"&lt;="&amp;EOMONTH($A18,0),Tabla1[Codigo_actividad],Y$4)*Y$3</f>
        <v>0</v>
      </c>
      <c r="Z18" s="314">
        <f>+SUMIFS(Tabla1[Avance_Med],Tabla1[Fecha],"&gt;="&amp;$A18,Tabla1[Fecha],"&lt;="&amp;EOMONTH($A18,0),Tabla1[Codigo_actividad],Z$4)*Z$3</f>
        <v>0</v>
      </c>
      <c r="AA18" s="314">
        <f>+SUMIFS(Tabla1[Avance_Med],Tabla1[Fecha],"&gt;="&amp;$A18,Tabla1[Fecha],"&lt;="&amp;EOMONTH($A18,0),Tabla1[Codigo_actividad],AA$4)*AA$3</f>
        <v>0</v>
      </c>
      <c r="AB18" s="314">
        <f>+SUMIFS(Tabla1[Avance_Med],Tabla1[Fecha],"&gt;="&amp;$A18,Tabla1[Fecha],"&lt;="&amp;EOMONTH($A18,0),Tabla1[Codigo_actividad],AB$4)*AB$3</f>
        <v>0</v>
      </c>
      <c r="AC18" s="314">
        <f>+SUMIFS(Tabla1[Avance_Med],Tabla1[Fecha],"&gt;="&amp;$A18,Tabla1[Fecha],"&lt;="&amp;EOMONTH($A18,0),Tabla1[Codigo_actividad],AC$4)*AC$3</f>
        <v>0</v>
      </c>
      <c r="AD18" s="314">
        <f>+SUMIFS(Tabla1[Avance_Med],Tabla1[Fecha],"&gt;="&amp;$A18,Tabla1[Fecha],"&lt;="&amp;EOMONTH($A18,0),Tabla1[Codigo_actividad],AD$4)*AD$3</f>
        <v>0</v>
      </c>
      <c r="AE18" s="314">
        <f>+SUMIFS(Tabla1[Avance_Med],Tabla1[Fecha],"&gt;="&amp;$A18,Tabla1[Fecha],"&lt;="&amp;EOMONTH($A18,0),Tabla1[Codigo_actividad],AE$4)*AE$3</f>
        <v>0</v>
      </c>
      <c r="AF18" s="314">
        <f>+SUMIFS(Tabla1[Avance_Med],Tabla1[Fecha],"&gt;="&amp;$A18,Tabla1[Fecha],"&lt;="&amp;EOMONTH($A18,0),Tabla1[Codigo_actividad],AF$4)*AF$3</f>
        <v>0</v>
      </c>
      <c r="AG18" s="314">
        <f>+SUMIFS(Tabla1[Avance_Med],Tabla1[Fecha],"&gt;="&amp;$A18,Tabla1[Fecha],"&lt;="&amp;EOMONTH($A18,0),Tabla1[Codigo_actividad],AG$4)*AG$3</f>
        <v>0</v>
      </c>
      <c r="AH18" s="314">
        <f>+SUMIFS(Tabla1[Avance_Med],Tabla1[Fecha],"&gt;="&amp;$A18,Tabla1[Fecha],"&lt;="&amp;EOMONTH($A18,0),Tabla1[Codigo_actividad],AH$4)*AH$3</f>
        <v>0</v>
      </c>
      <c r="AI18" s="314">
        <f>+SUMIFS(Tabla1[Avance_Med],Tabla1[Fecha],"&gt;="&amp;$A18,Tabla1[Fecha],"&lt;="&amp;EOMONTH($A18,0),Tabla1[Codigo_actividad],AI$4)*AI$3</f>
        <v>0</v>
      </c>
      <c r="AJ18" s="314">
        <f>+SUMIFS(Tabla1[Avance_Med],Tabla1[Fecha],"&gt;="&amp;$A18,Tabla1[Fecha],"&lt;="&amp;EOMONTH($A18,0),Tabla1[Codigo_actividad],AJ$4)*AJ$3</f>
        <v>0</v>
      </c>
      <c r="AK18" s="314">
        <f>+SUMIFS(Tabla1[Avance_Med],Tabla1[Fecha],"&gt;="&amp;$A18,Tabla1[Fecha],"&lt;="&amp;EOMONTH($A18,0),Tabla1[Codigo_actividad],AK$4)*AK$3</f>
        <v>0</v>
      </c>
      <c r="AL18" s="314">
        <f>+SUMIFS(Tabla1[Avance_km],Tabla1[Fecha],"&gt;="&amp;$A18,Tabla1[Fecha],"&lt;="&amp;EOMONTH($A18,0),Tabla1[Codigo_actividad],AL$4)*AL$3</f>
        <v>0</v>
      </c>
      <c r="AM18" s="314">
        <f>+SUMIFS(Tabla1[Avance_Med],Tabla1[Fecha],"&gt;="&amp;$A18,Tabla1[Fecha],"&lt;="&amp;EOMONTH($A18,0),Tabla1[Codigo_actividad],AM$4)*AM$3</f>
        <v>0</v>
      </c>
      <c r="AN18" s="313"/>
      <c r="AO18" s="308">
        <f t="shared" si="1"/>
        <v>0</v>
      </c>
      <c r="AT18"/>
      <c r="AU18"/>
      <c r="AV18"/>
      <c r="AW18"/>
      <c r="AX18"/>
    </row>
    <row r="19" spans="1:52" x14ac:dyDescent="0.25">
      <c r="A19" s="226">
        <v>46357</v>
      </c>
      <c r="B19" s="314">
        <v>0</v>
      </c>
      <c r="C19" s="314">
        <f>+SUMIFS(Tabla1[Avance_Med],Tabla1[Fecha],"&gt;="&amp;$A19,Tabla1[Fecha],"&lt;="&amp;EOMONTH($A19,0),Tabla1[Codigo_actividad],C$4)*C$3</f>
        <v>0</v>
      </c>
      <c r="D19" s="314">
        <f>+SUMIFS(Tabla1[Avance_Med],Tabla1[Fecha],"&gt;="&amp;$A19,Tabla1[Fecha],"&lt;="&amp;EOMONTH($A19,0),Tabla1[Codigo_actividad],D$4)*D$3</f>
        <v>0</v>
      </c>
      <c r="E19" s="314">
        <f>+SUMIFS(Tabla1[Avance_Med],Tabla1[Fecha],"&gt;="&amp;$A19,Tabla1[Fecha],"&lt;="&amp;EOMONTH($A19,0),Tabla1[Codigo_actividad],E$4)*E$3</f>
        <v>0</v>
      </c>
      <c r="F19" s="314">
        <f>+SUMIFS(Tabla1[Avance_Med],Tabla1[Fecha],"&gt;="&amp;$A19,Tabla1[Fecha],"&lt;="&amp;EOMONTH($A19,0),Tabla1[Codigo_actividad],F$4)*F$3</f>
        <v>0</v>
      </c>
      <c r="G19" s="314">
        <f>+SUMIFS(Tabla1[Avance_Med],Tabla1[Fecha],"&gt;="&amp;$A19,Tabla1[Fecha],"&lt;="&amp;EOMONTH($A19,0),Tabla1[Codigo_actividad],G$4)*G$3</f>
        <v>0</v>
      </c>
      <c r="H19" s="314">
        <f>+SUMIFS(Tabla1[Avance_km],Tabla1[Fecha],"&gt;="&amp;$A19,Tabla1[Fecha],"&lt;="&amp;EOMONTH($A19,0),Tabla1[Codigo_actividad],H$4)*H$3</f>
        <v>0</v>
      </c>
      <c r="I19" s="314"/>
      <c r="J19" s="314">
        <f>+SUMIFS(Tabla1[Avance_km],Tabla1[Fecha],"&gt;="&amp;$A19,Tabla1[Fecha],"&lt;="&amp;EOMONTH($A19,0),Tabla1[Codigo_actividad],J$4,Tabla1[Avance_km],"&gt;0")*J$3</f>
        <v>0</v>
      </c>
      <c r="K19" s="314">
        <f>SUMIFS(Tabla1[Avance_km],Tabla1[Fecha],"&gt;="&amp;$A19,Tabla1[Fecha],"&lt;="&amp;EOMONTH($A19,0),Tabla1[Codigo_actividad],K$4,Tabla1[Avance_km],"&gt;0")*K$3</f>
        <v>0</v>
      </c>
      <c r="L19" s="314">
        <f>+SUMIFS(Tabla1[Avance_Med],Tabla1[Fecha],"&gt;="&amp;$A19,Tabla1[Fecha],"&lt;="&amp;EOMONTH($A19,0),Tabla1[Codigo_actividad],L$4)*L$3</f>
        <v>0</v>
      </c>
      <c r="M19" s="314">
        <f>+SUMIFS(Tabla1[Avance_km],Tabla1[Fecha],"&gt;="&amp;$A19,Tabla1[Fecha],"&lt;="&amp;EOMONTH($A19,0),Tabla1[Codigo_actividad],M$4)*M$3</f>
        <v>0</v>
      </c>
      <c r="N19" s="314">
        <f>+SUMIFS(Tabla1[Avance_Med],Tabla1[Fecha],"&gt;="&amp;$A19,Tabla1[Fecha],"&lt;="&amp;EOMONTH($A19,0),Tabla1[Codigo_actividad],N$4)*N$3</f>
        <v>0</v>
      </c>
      <c r="O19" s="314">
        <f>+SUMIFS(Tabla1[Avance_Med],Tabla1[Fecha],"&gt;="&amp;$A19,Tabla1[Fecha],"&lt;="&amp;EOMONTH($A19,0),Tabla1[Codigo_actividad],O$4)*O$3</f>
        <v>0</v>
      </c>
      <c r="P19" s="314">
        <f>+SUMIFS(Tabla1[Avance_Med],Tabla1[Fecha],"&gt;="&amp;$A19,Tabla1[Fecha],"&lt;="&amp;EOMONTH($A19,0),Tabla1[Codigo_actividad],P$4)*P$3</f>
        <v>0</v>
      </c>
      <c r="Q19" s="314">
        <f>+SUMIFS(Tabla1[Avance_Med],Tabla1[Fecha],"&gt;="&amp;$A19,Tabla1[Fecha],"&lt;="&amp;EOMONTH($A19,0),Tabla1[Codigo_actividad],Q$4)*Q$3</f>
        <v>0</v>
      </c>
      <c r="R19" s="314">
        <f>+SUMIFS(Tabla1[Avance_Med],Tabla1[Fecha],"&gt;="&amp;$A19,Tabla1[Fecha],"&lt;="&amp;EOMONTH($A19,0),Tabla1[Codigo_actividad],R$4)*R$3</f>
        <v>0</v>
      </c>
      <c r="S19" s="314">
        <f>+SUMIFS(Tabla1[Avance_Med],Tabla1[Fecha],"&gt;="&amp;$A19,Tabla1[Fecha],"&lt;="&amp;EOMONTH($A19,0),Tabla1[Codigo_actividad],S$4)*S$3</f>
        <v>0</v>
      </c>
      <c r="T19" s="314">
        <f>+SUMIFS(Tabla1[Avance_Med],Tabla1[Fecha],"&gt;="&amp;$A19,Tabla1[Fecha],"&lt;="&amp;EOMONTH($A19,0),Tabla1[Codigo_actividad],T$4)*T$3</f>
        <v>0</v>
      </c>
      <c r="U19" s="314">
        <f>+SUMIFS(Tabla1[Avance_Med],Tabla1[Fecha],"&gt;="&amp;$A19,Tabla1[Fecha],"&lt;="&amp;EOMONTH($A19,0),Tabla1[Codigo_actividad],U$4)*U$3</f>
        <v>0</v>
      </c>
      <c r="V19" s="314">
        <f>+SUMIFS(Tabla1[Avance_Med],Tabla1[Fecha],"&gt;="&amp;$A19,Tabla1[Fecha],"&lt;="&amp;EOMONTH($A19,0),Tabla1[Codigo_actividad],V$4)*V$3</f>
        <v>0</v>
      </c>
      <c r="W19" s="314">
        <f>+SUMIFS(Tabla1[Avance_Med],Tabla1[Fecha],"&gt;="&amp;$A19,Tabla1[Fecha],"&lt;="&amp;EOMONTH($A19,0),Tabla1[Codigo_actividad],W$4)*W$3</f>
        <v>0</v>
      </c>
      <c r="X19" s="314">
        <f>+SUMIFS(Tabla1[Avance_Med],Tabla1[Fecha],"&gt;="&amp;$A19,Tabla1[Fecha],"&lt;="&amp;EOMONTH($A19,0),Tabla1[Codigo_actividad],X$4)*X$3</f>
        <v>0</v>
      </c>
      <c r="Y19" s="314">
        <f>+SUMIFS(Tabla1[Avance_Med],Tabla1[Fecha],"&gt;="&amp;$A19,Tabla1[Fecha],"&lt;="&amp;EOMONTH($A19,0),Tabla1[Codigo_actividad],Y$4)*Y$3</f>
        <v>0</v>
      </c>
      <c r="Z19" s="314">
        <f>+SUMIFS(Tabla1[Avance_Med],Tabla1[Fecha],"&gt;="&amp;$A19,Tabla1[Fecha],"&lt;="&amp;EOMONTH($A19,0),Tabla1[Codigo_actividad],Z$4)*Z$3</f>
        <v>0</v>
      </c>
      <c r="AA19" s="314">
        <f>+SUMIFS(Tabla1[Avance_Med],Tabla1[Fecha],"&gt;="&amp;$A19,Tabla1[Fecha],"&lt;="&amp;EOMONTH($A19,0),Tabla1[Codigo_actividad],AA$4)*AA$3</f>
        <v>0</v>
      </c>
      <c r="AB19" s="314">
        <f>+SUMIFS(Tabla1[Avance_Med],Tabla1[Fecha],"&gt;="&amp;$A19,Tabla1[Fecha],"&lt;="&amp;EOMONTH($A19,0),Tabla1[Codigo_actividad],AB$4)*AB$3</f>
        <v>0</v>
      </c>
      <c r="AC19" s="314">
        <f>+SUMIFS(Tabla1[Avance_Med],Tabla1[Fecha],"&gt;="&amp;$A19,Tabla1[Fecha],"&lt;="&amp;EOMONTH($A19,0),Tabla1[Codigo_actividad],AC$4)*AC$3</f>
        <v>0</v>
      </c>
      <c r="AD19" s="314">
        <f>+SUMIFS(Tabla1[Avance_Med],Tabla1[Fecha],"&gt;="&amp;$A19,Tabla1[Fecha],"&lt;="&amp;EOMONTH($A19,0),Tabla1[Codigo_actividad],AD$4)*AD$3</f>
        <v>0</v>
      </c>
      <c r="AE19" s="314">
        <f>+SUMIFS(Tabla1[Avance_Med],Tabla1[Fecha],"&gt;="&amp;$A19,Tabla1[Fecha],"&lt;="&amp;EOMONTH($A19,0),Tabla1[Codigo_actividad],AE$4)*AE$3</f>
        <v>0</v>
      </c>
      <c r="AF19" s="314">
        <f>+SUMIFS(Tabla1[Avance_Med],Tabla1[Fecha],"&gt;="&amp;$A19,Tabla1[Fecha],"&lt;="&amp;EOMONTH($A19,0),Tabla1[Codigo_actividad],AF$4)*AF$3</f>
        <v>0</v>
      </c>
      <c r="AG19" s="314">
        <f>+SUMIFS(Tabla1[Avance_Med],Tabla1[Fecha],"&gt;="&amp;$A19,Tabla1[Fecha],"&lt;="&amp;EOMONTH($A19,0),Tabla1[Codigo_actividad],AG$4)*AG$3</f>
        <v>0</v>
      </c>
      <c r="AH19" s="314">
        <f>+SUMIFS(Tabla1[Avance_Med],Tabla1[Fecha],"&gt;="&amp;$A19,Tabla1[Fecha],"&lt;="&amp;EOMONTH($A19,0),Tabla1[Codigo_actividad],AH$4)*AH$3</f>
        <v>0</v>
      </c>
      <c r="AI19" s="314">
        <f>+SUMIFS(Tabla1[Avance_Med],Tabla1[Fecha],"&gt;="&amp;$A19,Tabla1[Fecha],"&lt;="&amp;EOMONTH($A19,0),Tabla1[Codigo_actividad],AI$4)*AI$3</f>
        <v>0</v>
      </c>
      <c r="AJ19" s="314">
        <f>+SUMIFS(Tabla1[Avance_Med],Tabla1[Fecha],"&gt;="&amp;$A19,Tabla1[Fecha],"&lt;="&amp;EOMONTH($A19,0),Tabla1[Codigo_actividad],AJ$4)*AJ$3</f>
        <v>0</v>
      </c>
      <c r="AK19" s="314">
        <f>+SUMIFS(Tabla1[Avance_Med],Tabla1[Fecha],"&gt;="&amp;$A19,Tabla1[Fecha],"&lt;="&amp;EOMONTH($A19,0),Tabla1[Codigo_actividad],AK$4)*AK$3</f>
        <v>0</v>
      </c>
      <c r="AL19" s="314">
        <f>+SUMIFS(Tabla1[Avance_km],Tabla1[Fecha],"&gt;="&amp;$A19,Tabla1[Fecha],"&lt;="&amp;EOMONTH($A19,0),Tabla1[Codigo_actividad],AL$4)*AL$3</f>
        <v>0</v>
      </c>
      <c r="AM19" s="314">
        <f>+SUMIFS(Tabla1[Avance_Med],Tabla1[Fecha],"&gt;="&amp;$A19,Tabla1[Fecha],"&lt;="&amp;EOMONTH($A19,0),Tabla1[Codigo_actividad],AM$4)*AM$3</f>
        <v>0</v>
      </c>
      <c r="AN19" s="313"/>
      <c r="AO19" s="308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9">
        <f>SUM(AO5:AO19)+AO25</f>
        <v>-276277.38269999844</v>
      </c>
      <c r="AQ20" s="416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0">
        <f>SUM(B6:B19)</f>
        <v>293805.96000000002</v>
      </c>
      <c r="C21" s="310">
        <f t="shared" ref="C21:AM21" si="2">SUM(C6:C19)</f>
        <v>377001.16000000003</v>
      </c>
      <c r="D21" s="310">
        <f t="shared" si="2"/>
        <v>114297.12000000001</v>
      </c>
      <c r="E21" s="310">
        <f t="shared" si="2"/>
        <v>123298.72</v>
      </c>
      <c r="F21" s="310">
        <f t="shared" si="2"/>
        <v>155121</v>
      </c>
      <c r="G21" s="310">
        <f t="shared" si="2"/>
        <v>183420.36000000002</v>
      </c>
      <c r="H21" s="441">
        <f>SUM(H6:H19)</f>
        <v>2620032.6599550005</v>
      </c>
      <c r="I21" s="311">
        <f t="shared" si="2"/>
        <v>0</v>
      </c>
      <c r="J21" s="441">
        <f t="shared" si="2"/>
        <v>2037743.3019349999</v>
      </c>
      <c r="K21" s="310">
        <f t="shared" si="2"/>
        <v>1321014.5</v>
      </c>
      <c r="L21" s="310">
        <f t="shared" si="2"/>
        <v>1844568</v>
      </c>
      <c r="M21" s="441">
        <f t="shared" si="2"/>
        <v>410591.96541</v>
      </c>
      <c r="N21" s="310">
        <f t="shared" si="2"/>
        <v>325691.03999999998</v>
      </c>
      <c r="O21" s="310">
        <f t="shared" si="2"/>
        <v>243457.76</v>
      </c>
      <c r="P21" s="310">
        <f t="shared" si="2"/>
        <v>181299.80000000002</v>
      </c>
      <c r="Q21" s="310">
        <f t="shared" si="2"/>
        <v>106203.85999999999</v>
      </c>
      <c r="R21" s="310">
        <f t="shared" si="2"/>
        <v>26483.85</v>
      </c>
      <c r="S21" s="310">
        <f t="shared" si="2"/>
        <v>29018.85</v>
      </c>
      <c r="T21" s="310">
        <f t="shared" si="2"/>
        <v>29408.85</v>
      </c>
      <c r="U21" s="310">
        <f t="shared" si="2"/>
        <v>4441.18</v>
      </c>
      <c r="V21" s="310">
        <f t="shared" si="2"/>
        <v>33308.850000000006</v>
      </c>
      <c r="W21" s="310">
        <f t="shared" si="2"/>
        <v>4181.18</v>
      </c>
      <c r="X21" s="310">
        <f t="shared" si="2"/>
        <v>6271.77</v>
      </c>
      <c r="Y21" s="310">
        <f t="shared" si="2"/>
        <v>9184</v>
      </c>
      <c r="Z21" s="310">
        <f t="shared" si="2"/>
        <v>65464</v>
      </c>
      <c r="AA21" s="310">
        <f t="shared" si="2"/>
        <v>0</v>
      </c>
      <c r="AB21" s="310">
        <f t="shared" si="2"/>
        <v>0</v>
      </c>
      <c r="AC21" s="310">
        <f t="shared" si="2"/>
        <v>0</v>
      </c>
      <c r="AD21" s="310">
        <f t="shared" si="2"/>
        <v>0</v>
      </c>
      <c r="AE21" s="310">
        <f t="shared" si="2"/>
        <v>0</v>
      </c>
      <c r="AF21" s="310">
        <f t="shared" si="2"/>
        <v>0</v>
      </c>
      <c r="AG21" s="310">
        <f t="shared" si="2"/>
        <v>0</v>
      </c>
      <c r="AH21" s="310">
        <f t="shared" si="2"/>
        <v>0</v>
      </c>
      <c r="AI21" s="310">
        <f t="shared" si="2"/>
        <v>0</v>
      </c>
      <c r="AJ21" s="310">
        <f t="shared" si="2"/>
        <v>173864.40000000002</v>
      </c>
      <c r="AK21" s="310">
        <f t="shared" si="2"/>
        <v>167470.32</v>
      </c>
      <c r="AL21" s="310">
        <f t="shared" si="2"/>
        <v>0</v>
      </c>
      <c r="AM21" s="310">
        <f t="shared" si="2"/>
        <v>0</v>
      </c>
      <c r="AN21" s="227"/>
      <c r="AO21" s="415">
        <f>+IF(SUM(AO6:AO19)=SUM(B21:AM21),SUM(AO6:AO19))</f>
        <v>10886644.457300002</v>
      </c>
      <c r="AQ21" s="417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6">
        <v>45962</v>
      </c>
      <c r="B26" s="307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6">
        <v>45992</v>
      </c>
      <c r="B27" s="307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9"/>
      <c r="AP27"/>
      <c r="AT27"/>
      <c r="AU27"/>
      <c r="AV27"/>
      <c r="AW27"/>
      <c r="AX27"/>
      <c r="AY27"/>
      <c r="AZ27"/>
    </row>
    <row r="28" spans="1:52" x14ac:dyDescent="0.25">
      <c r="A28" s="226">
        <v>46023</v>
      </c>
      <c r="B28" s="307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1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1"/>
      <c r="AP28"/>
      <c r="AT28"/>
      <c r="AU28"/>
      <c r="AV28"/>
      <c r="AW28"/>
      <c r="AX28"/>
      <c r="AY28"/>
      <c r="AZ28"/>
    </row>
    <row r="29" spans="1:52" x14ac:dyDescent="0.25">
      <c r="A29" s="226">
        <v>46054</v>
      </c>
      <c r="B29" s="307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1"/>
      <c r="AP29"/>
      <c r="AT29"/>
      <c r="AU29"/>
      <c r="AV29"/>
      <c r="AW29"/>
      <c r="AX29"/>
      <c r="AY29"/>
      <c r="AZ29"/>
    </row>
    <row r="30" spans="1:52" x14ac:dyDescent="0.25">
      <c r="A30" s="226">
        <v>46082</v>
      </c>
      <c r="B30" s="307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6">
        <v>46113</v>
      </c>
      <c r="B31" s="307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6">
        <v>46143</v>
      </c>
      <c r="B32" s="307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6">
        <v>46174</v>
      </c>
      <c r="B33" s="307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6">
        <v>46204</v>
      </c>
      <c r="B34" s="307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6">
        <v>46235</v>
      </c>
      <c r="B35" s="307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6">
        <v>46266</v>
      </c>
      <c r="B36" s="307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6">
        <v>46296</v>
      </c>
      <c r="B37" s="307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2">
        <f>SUM(B26:B37)</f>
        <v>10886644.4573</v>
      </c>
      <c r="C38" s="293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1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297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</row>
    <row r="2" spans="1:39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</row>
    <row r="5" spans="1:39" x14ac:dyDescent="0.25">
      <c r="A5" s="226">
        <v>45962</v>
      </c>
      <c r="B5" s="231">
        <f>+SUMIFS(Tabla1[Avance_Med],Tabla1[Fecha],"&gt;="&amp;$A5,Tabla1[Fecha],"&lt;="&amp;EOMONTH($A5,0),Tabla1[Codigo_actividad],B$4)*B$3</f>
        <v>0</v>
      </c>
      <c r="C5" s="231">
        <f>+SUMIFS(Tabla1[Avance_Med],Tabla1[Fecha],"&gt;="&amp;$A5,Tabla1[Fecha],"&lt;="&amp;EOMONTH($A5,0),Tabla1[Codigo_actividad],C$4)*C$3</f>
        <v>0</v>
      </c>
      <c r="D5" s="231">
        <f>+SUMIFS(Tabla1[Avance_Med],Tabla1[Fecha],"&gt;="&amp;$A5,Tabla1[Fecha],"&lt;="&amp;EOMONTH($A5,0),Tabla1[Codigo_actividad],D$4)*D$3</f>
        <v>0</v>
      </c>
      <c r="E5" s="231">
        <f>+SUMIFS(Tabla1[Avance_Med],Tabla1[Fecha],"&gt;="&amp;$A5,Tabla1[Fecha],"&lt;="&amp;EOMONTH($A5,0),Tabla1[Codigo_actividad],E$4)*E$3</f>
        <v>0</v>
      </c>
      <c r="F5" s="231">
        <f>+SUMIFS(Tabla1[Avance_Med],Tabla1[Fecha],"&gt;="&amp;$A5,Tabla1[Fecha],"&lt;="&amp;EOMONTH($A5,0),Tabla1[Codigo_actividad],F$4)*F$3</f>
        <v>0</v>
      </c>
      <c r="G5" s="231">
        <f>+SUMIFS(Tabla1[Avance_Med],Tabla1[Fecha],"&gt;="&amp;$A5,Tabla1[Fecha],"&lt;="&amp;EOMONTH($A5,0),Tabla1[Codigo_actividad],G$4)*G$3</f>
        <v>0</v>
      </c>
      <c r="H5" s="343">
        <f>+SUMIFS(Tabla1[Avance_km],Tabla1[Fecha],"&gt;="&amp;$A5,Tabla1[Fecha],"&lt;="&amp;EOMONTH($A5,0),Tabla1[Codigo_actividad],H$4)*H$3</f>
        <v>31.548999999999999</v>
      </c>
      <c r="I5" s="231"/>
      <c r="J5" s="343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1">
        <f>+SUMIFS(Tabla1[Avance_Med],Tabla1[Fecha],"&gt;="&amp;$A5,Tabla1[Fecha],"&lt;="&amp;EOMONTH($A5,0),Tabla1[Codigo_actividad],L$4)*L$3</f>
        <v>98</v>
      </c>
      <c r="M5" s="343">
        <f>+SUMIFS(Tabla1[Avance_km],Tabla1[Fecha],"&gt;="&amp;$A5,Tabla1[Fecha],"&lt;="&amp;EOMONTH($A5,0),Tabla1[Codigo_actividad],M$4)*M$3</f>
        <v>72.02200000000002</v>
      </c>
      <c r="N5" s="231">
        <f>+SUMIFS(Tabla1[Avance_Med],Tabla1[Fecha],"&gt;="&amp;$A5,Tabla1[Fecha],"&lt;="&amp;EOMONTH($A5,0),Tabla1[Codigo_actividad],N$4)*N$3</f>
        <v>0</v>
      </c>
      <c r="O5" s="231">
        <f>+SUMIFS(Tabla1[Avance_Med],Tabla1[Fecha],"&gt;="&amp;$A5,Tabla1[Fecha],"&lt;="&amp;EOMONTH($A5,0),Tabla1[Codigo_actividad],O$4)*O$3</f>
        <v>0</v>
      </c>
      <c r="P5" s="231">
        <f>+SUMIFS(Tabla1[Avance_Med],Tabla1[Fecha],"&gt;="&amp;$A5,Tabla1[Fecha],"&lt;="&amp;EOMONTH($A5,0),Tabla1[Codigo_actividad],P$4)*P$3</f>
        <v>0</v>
      </c>
      <c r="Q5" s="231">
        <f>+SUMIFS(Tabla1[Avance_Med],Tabla1[Fecha],"&gt;="&amp;$A5,Tabla1[Fecha],"&lt;="&amp;EOMONTH($A5,0),Tabla1[Codigo_actividad],Q$4)*Q$3</f>
        <v>0</v>
      </c>
      <c r="R5" s="231">
        <f>+SUMIFS(Tabla1[Avance_Med],Tabla1[Fecha],"&gt;="&amp;$A5,Tabla1[Fecha],"&lt;="&amp;EOMONTH($A5,0),Tabla1[Codigo_actividad],R$4)*R$3</f>
        <v>0</v>
      </c>
      <c r="S5" s="231">
        <f>+SUMIFS(Tabla1[Avance_Med],Tabla1[Fecha],"&gt;="&amp;$A5,Tabla1[Fecha],"&lt;="&amp;EOMONTH($A5,0),Tabla1[Codigo_actividad],S$4)*S$3</f>
        <v>0</v>
      </c>
      <c r="T5" s="231">
        <f>+SUMIFS(Tabla1[Avance_Med],Tabla1[Fecha],"&gt;="&amp;$A5,Tabla1[Fecha],"&lt;="&amp;EOMONTH($A5,0),Tabla1[Codigo_actividad],T$4)*T$3</f>
        <v>0</v>
      </c>
      <c r="U5" s="231">
        <f>+SUMIFS(Tabla1[Avance_Med],Tabla1[Fecha],"&gt;="&amp;$A5,Tabla1[Fecha],"&lt;="&amp;EOMONTH($A5,0),Tabla1[Codigo_actividad],U$4)*U$3</f>
        <v>0</v>
      </c>
      <c r="V5" s="231">
        <f>+SUMIFS(Tabla1[Avance_Med],Tabla1[Fecha],"&gt;="&amp;$A5,Tabla1[Fecha],"&lt;="&amp;EOMONTH($A5,0),Tabla1[Codigo_actividad],V$4)*V$3</f>
        <v>0</v>
      </c>
      <c r="W5" s="231">
        <f>+SUMIFS(Tabla1[Avance_Med],Tabla1[Fecha],"&gt;="&amp;$A5,Tabla1[Fecha],"&lt;="&amp;EOMONTH($A5,0),Tabla1[Codigo_actividad],W$4)*W$3</f>
        <v>0</v>
      </c>
      <c r="X5" s="231">
        <f>+SUMIFS(Tabla1[Avance_Med],Tabla1[Fecha],"&gt;="&amp;$A5,Tabla1[Fecha],"&lt;="&amp;EOMONTH($A5,0),Tabla1[Codigo_actividad],X$4)*X$3</f>
        <v>0</v>
      </c>
      <c r="Y5" s="231">
        <f>+SUMIFS(Tabla1[Avance_Med],Tabla1[Fecha],"&gt;="&amp;$A5,Tabla1[Fecha],"&lt;="&amp;EOMONTH($A5,0),Tabla1[Codigo_actividad],Y$4)*Y$3</f>
        <v>0</v>
      </c>
      <c r="Z5" s="231">
        <f>+SUMIFS(Tabla1[Avance_Med],Tabla1[Fecha],"&gt;="&amp;$A5,Tabla1[Fecha],"&lt;="&amp;EOMONTH($A5,0),Tabla1[Codigo_actividad],Z$4)*Z$3</f>
        <v>0</v>
      </c>
      <c r="AA5" s="231">
        <f>+SUMIFS(Tabla1[Avance_Med],Tabla1[Fecha],"&gt;="&amp;$A5,Tabla1[Fecha],"&lt;="&amp;EOMONTH($A5,0),Tabla1[Codigo_actividad],AA$4)*AA$3</f>
        <v>0</v>
      </c>
      <c r="AB5" s="231">
        <f>+SUMIFS(Tabla1[Avance_Med],Tabla1[Fecha],"&gt;="&amp;$A5,Tabla1[Fecha],"&lt;="&amp;EOMONTH($A5,0),Tabla1[Codigo_actividad],AB$4)*AB$3</f>
        <v>0</v>
      </c>
      <c r="AC5" s="231">
        <f>+SUMIFS(Tabla1[Avance_Med],Tabla1[Fecha],"&gt;="&amp;$A5,Tabla1[Fecha],"&lt;="&amp;EOMONTH($A5,0),Tabla1[Codigo_actividad],AC$4)*AC$3</f>
        <v>0</v>
      </c>
      <c r="AD5" s="231">
        <f>+SUMIFS(Tabla1[Avance_Med],Tabla1[Fecha],"&gt;="&amp;$A5,Tabla1[Fecha],"&lt;="&amp;EOMONTH($A5,0),Tabla1[Codigo_actividad],AD$4)*AD$3</f>
        <v>0</v>
      </c>
      <c r="AE5" s="231">
        <f>+SUMIFS(Tabla1[Avance_Med],Tabla1[Fecha],"&gt;="&amp;$A5,Tabla1[Fecha],"&lt;="&amp;EOMONTH($A5,0),Tabla1[Codigo_actividad],AE$4)*AE$3</f>
        <v>0</v>
      </c>
      <c r="AF5" s="231">
        <f>+SUMIFS(Tabla1[Avance_Med],Tabla1[Fecha],"&gt;="&amp;$A5,Tabla1[Fecha],"&lt;="&amp;EOMONTH($A5,0),Tabla1[Codigo_actividad],AF$4)*AF$3</f>
        <v>0</v>
      </c>
      <c r="AG5" s="231">
        <f>+SUMIFS(Tabla1[Avance_Med],Tabla1[Fecha],"&gt;="&amp;$A5,Tabla1[Fecha],"&lt;="&amp;EOMONTH($A5,0),Tabla1[Codigo_actividad],AG$4)*AG$3</f>
        <v>0</v>
      </c>
      <c r="AH5" s="231">
        <f>+SUMIFS(Tabla1[Avance_Med],Tabla1[Fecha],"&gt;="&amp;$A5,Tabla1[Fecha],"&lt;="&amp;EOMONTH($A5,0),Tabla1[Codigo_actividad],AH$4)*AH$3</f>
        <v>0</v>
      </c>
      <c r="AI5" s="231">
        <f>+SUMIFS(Tabla1[Avance_Med],Tabla1[Fecha],"&gt;="&amp;$A5,Tabla1[Fecha],"&lt;="&amp;EOMONTH($A5,0),Tabla1[Codigo_actividad],AI$4)*AI$3</f>
        <v>0</v>
      </c>
      <c r="AJ5" s="231">
        <f>+SUMIFS(Tabla1[Avance_Med],Tabla1[Fecha],"&gt;="&amp;$A5,Tabla1[Fecha],"&lt;="&amp;EOMONTH($A5,0),Tabla1[Codigo_actividad],AJ$4)*AJ$3</f>
        <v>0</v>
      </c>
      <c r="AK5" s="231">
        <f>+SUMIFS(Tabla1[Avance_Med],Tabla1[Fecha],"&gt;="&amp;$A5,Tabla1[Fecha],"&lt;="&amp;EOMONTH($A5,0),Tabla1[Codigo_actividad],AK$4)*AK$3</f>
        <v>0</v>
      </c>
      <c r="AL5" s="231">
        <f>+SUMIFS(Tabla1[Avance_km],Tabla1[Fecha],"&gt;="&amp;$A5,Tabla1[Fecha],"&lt;="&amp;EOMONTH($A5,0),Tabla1[Codigo_actividad],AL$4)*AL$3</f>
        <v>0</v>
      </c>
      <c r="AM5" s="231">
        <f>+SUMIFS(Tabla1[Avance_Med],Tabla1[Fecha],"&gt;="&amp;$A5,Tabla1[Fecha],"&lt;="&amp;EOMONTH($A5,0),Tabla1[Codigo_actividad],AM$4)*AM$3</f>
        <v>0</v>
      </c>
    </row>
    <row r="6" spans="1:39" x14ac:dyDescent="0.25">
      <c r="A6" s="226">
        <v>45992</v>
      </c>
      <c r="B6" s="231">
        <f>+SUMIFS(Tabla1[Avance_Med],Tabla1[Fecha],"&gt;="&amp;$A6,Tabla1[Fecha],"&lt;="&amp;EOMONTH($A6,0),Tabla1[Codigo_actividad],B$4)*B$3</f>
        <v>0</v>
      </c>
      <c r="C6" s="231">
        <f>+SUMIFS(Tabla1[Avance_Med],Tabla1[Fecha],"&gt;="&amp;$A6,Tabla1[Fecha],"&lt;="&amp;EOMONTH($A6,0),Tabla1[Codigo_actividad],C$4)*C$3</f>
        <v>0</v>
      </c>
      <c r="D6" s="231">
        <f>+SUMIFS(Tabla1[Avance_Med],Tabla1[Fecha],"&gt;="&amp;$A6,Tabla1[Fecha],"&lt;="&amp;EOMONTH($A6,0),Tabla1[Codigo_actividad],D$4)*D$3</f>
        <v>0</v>
      </c>
      <c r="E6" s="231">
        <f>+SUMIFS(Tabla1[Avance_Med],Tabla1[Fecha],"&gt;="&amp;$A6,Tabla1[Fecha],"&lt;="&amp;EOMONTH($A6,0),Tabla1[Codigo_actividad],E$4)*E$3</f>
        <v>0</v>
      </c>
      <c r="F6" s="231">
        <f>+SUMIFS(Tabla1[Avance_Med],Tabla1[Fecha],"&gt;="&amp;$A6,Tabla1[Fecha],"&lt;="&amp;EOMONTH($A6,0),Tabla1[Codigo_actividad],F$4)*F$3</f>
        <v>0</v>
      </c>
      <c r="G6" s="231">
        <f>+SUMIFS(Tabla1[Avance_Med],Tabla1[Fecha],"&gt;="&amp;$A6,Tabla1[Fecha],"&lt;="&amp;EOMONTH($A6,0),Tabla1[Codigo_actividad],G$4)*G$3</f>
        <v>0</v>
      </c>
      <c r="H6" s="343">
        <f>+SUMIFS(Tabla1[Avance_km],Tabla1[Fecha],"&gt;="&amp;$A6,Tabla1[Fecha],"&lt;="&amp;EOMONTH($A6,0),Tabla1[Codigo_actividad],H$4)*H$3</f>
        <v>31.517000000000003</v>
      </c>
      <c r="I6" s="231"/>
      <c r="J6" s="343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1">
        <f>+SUMIFS(Tabla1[Avance_Med],Tabla1[Fecha],"&gt;="&amp;$A6,Tabla1[Fecha],"&lt;="&amp;EOMONTH($A6,0),Tabla1[Codigo_actividad],L$4)*L$3</f>
        <v>130</v>
      </c>
      <c r="M6" s="343">
        <f>+SUMIFS(Tabla1[Avance_km],Tabla1[Fecha],"&gt;="&amp;$A6,Tabla1[Fecha],"&lt;="&amp;EOMONTH($A6,0),Tabla1[Codigo_actividad],M$4)*M$3</f>
        <v>21.183</v>
      </c>
      <c r="N6" s="231">
        <f>+SUMIFS(Tabla1[Avance_Med],Tabla1[Fecha],"&gt;="&amp;$A6,Tabla1[Fecha],"&lt;="&amp;EOMONTH($A6,0),Tabla1[Codigo_actividad],N$4)*N$3</f>
        <v>0</v>
      </c>
      <c r="O6" s="231">
        <f>+SUMIFS(Tabla1[Avance_Med],Tabla1[Fecha],"&gt;="&amp;$A6,Tabla1[Fecha],"&lt;="&amp;EOMONTH($A6,0),Tabla1[Codigo_actividad],O$4)*O$3</f>
        <v>0</v>
      </c>
      <c r="P6" s="231">
        <f>+SUMIFS(Tabla1[Avance_Med],Tabla1[Fecha],"&gt;="&amp;$A6,Tabla1[Fecha],"&lt;="&amp;EOMONTH($A6,0),Tabla1[Codigo_actividad],P$4)*P$3</f>
        <v>0</v>
      </c>
      <c r="Q6" s="231">
        <f>+SUMIFS(Tabla1[Avance_Med],Tabla1[Fecha],"&gt;="&amp;$A6,Tabla1[Fecha],"&lt;="&amp;EOMONTH($A6,0),Tabla1[Codigo_actividad],Q$4)*Q$3</f>
        <v>0</v>
      </c>
      <c r="R6" s="231">
        <f>+SUMIFS(Tabla1[Avance_Med],Tabla1[Fecha],"&gt;="&amp;$A6,Tabla1[Fecha],"&lt;="&amp;EOMONTH($A6,0),Tabla1[Codigo_actividad],R$4)*R$3</f>
        <v>0</v>
      </c>
      <c r="S6" s="231">
        <f>+SUMIFS(Tabla1[Avance_Med],Tabla1[Fecha],"&gt;="&amp;$A6,Tabla1[Fecha],"&lt;="&amp;EOMONTH($A6,0),Tabla1[Codigo_actividad],S$4)*S$3</f>
        <v>0</v>
      </c>
      <c r="T6" s="231">
        <f>+SUMIFS(Tabla1[Avance_Med],Tabla1[Fecha],"&gt;="&amp;$A6,Tabla1[Fecha],"&lt;="&amp;EOMONTH($A6,0),Tabla1[Codigo_actividad],T$4)*T$3</f>
        <v>0</v>
      </c>
      <c r="U6" s="231">
        <f>+SUMIFS(Tabla1[Avance_Med],Tabla1[Fecha],"&gt;="&amp;$A6,Tabla1[Fecha],"&lt;="&amp;EOMONTH($A6,0),Tabla1[Codigo_actividad],U$4)*U$3</f>
        <v>0</v>
      </c>
      <c r="V6" s="231">
        <f>+SUMIFS(Tabla1[Avance_Med],Tabla1[Fecha],"&gt;="&amp;$A6,Tabla1[Fecha],"&lt;="&amp;EOMONTH($A6,0),Tabla1[Codigo_actividad],V$4)*V$3</f>
        <v>0</v>
      </c>
      <c r="W6" s="231">
        <f>+SUMIFS(Tabla1[Avance_Med],Tabla1[Fecha],"&gt;="&amp;$A6,Tabla1[Fecha],"&lt;="&amp;EOMONTH($A6,0),Tabla1[Codigo_actividad],W$4)*W$3</f>
        <v>0</v>
      </c>
      <c r="X6" s="231">
        <f>+SUMIFS(Tabla1[Avance_Med],Tabla1[Fecha],"&gt;="&amp;$A6,Tabla1[Fecha],"&lt;="&amp;EOMONTH($A6,0),Tabla1[Codigo_actividad],X$4)*X$3</f>
        <v>0</v>
      </c>
      <c r="Y6" s="231">
        <f>+SUMIFS(Tabla1[Avance_Med],Tabla1[Fecha],"&gt;="&amp;$A6,Tabla1[Fecha],"&lt;="&amp;EOMONTH($A6,0),Tabla1[Codigo_actividad],Y$4)*Y$3</f>
        <v>0</v>
      </c>
      <c r="Z6" s="231">
        <f>+SUMIFS(Tabla1[Avance_Med],Tabla1[Fecha],"&gt;="&amp;$A6,Tabla1[Fecha],"&lt;="&amp;EOMONTH($A6,0),Tabla1[Codigo_actividad],Z$4)*Z$3</f>
        <v>0</v>
      </c>
      <c r="AA6" s="231">
        <f>+SUMIFS(Tabla1[Avance_Med],Tabla1[Fecha],"&gt;="&amp;$A6,Tabla1[Fecha],"&lt;="&amp;EOMONTH($A6,0),Tabla1[Codigo_actividad],AA$4)*AA$3</f>
        <v>0</v>
      </c>
      <c r="AB6" s="231">
        <f>+SUMIFS(Tabla1[Avance_Med],Tabla1[Fecha],"&gt;="&amp;$A6,Tabla1[Fecha],"&lt;="&amp;EOMONTH($A6,0),Tabla1[Codigo_actividad],AB$4)*AB$3</f>
        <v>0</v>
      </c>
      <c r="AC6" s="231">
        <f>+SUMIFS(Tabla1[Avance_Med],Tabla1[Fecha],"&gt;="&amp;$A6,Tabla1[Fecha],"&lt;="&amp;EOMONTH($A6,0),Tabla1[Codigo_actividad],AC$4)*AC$3</f>
        <v>0</v>
      </c>
      <c r="AD6" s="231">
        <f>+SUMIFS(Tabla1[Avance_Med],Tabla1[Fecha],"&gt;="&amp;$A6,Tabla1[Fecha],"&lt;="&amp;EOMONTH($A6,0),Tabla1[Codigo_actividad],AD$4)*AD$3</f>
        <v>0</v>
      </c>
      <c r="AE6" s="231">
        <f>+SUMIFS(Tabla1[Avance_Med],Tabla1[Fecha],"&gt;="&amp;$A6,Tabla1[Fecha],"&lt;="&amp;EOMONTH($A6,0),Tabla1[Codigo_actividad],AE$4)*AE$3</f>
        <v>0</v>
      </c>
      <c r="AF6" s="231">
        <f>+SUMIFS(Tabla1[Avance_Med],Tabla1[Fecha],"&gt;="&amp;$A6,Tabla1[Fecha],"&lt;="&amp;EOMONTH($A6,0),Tabla1[Codigo_actividad],AF$4)*AF$3</f>
        <v>0</v>
      </c>
      <c r="AG6" s="231">
        <f>+SUMIFS(Tabla1[Avance_Med],Tabla1[Fecha],"&gt;="&amp;$A6,Tabla1[Fecha],"&lt;="&amp;EOMONTH($A6,0),Tabla1[Codigo_actividad],AG$4)*AG$3</f>
        <v>0</v>
      </c>
      <c r="AH6" s="231">
        <f>+SUMIFS(Tabla1[Avance_Med],Tabla1[Fecha],"&gt;="&amp;$A6,Tabla1[Fecha],"&lt;="&amp;EOMONTH($A6,0),Tabla1[Codigo_actividad],AH$4)*AH$3</f>
        <v>0</v>
      </c>
      <c r="AI6" s="231">
        <f>+SUMIFS(Tabla1[Avance_Med],Tabla1[Fecha],"&gt;="&amp;$A6,Tabla1[Fecha],"&lt;="&amp;EOMONTH($A6,0),Tabla1[Codigo_actividad],AI$4)*AI$3</f>
        <v>0</v>
      </c>
      <c r="AJ6" s="231">
        <f>+SUMIFS(Tabla1[Avance_Med],Tabla1[Fecha],"&gt;="&amp;$A6,Tabla1[Fecha],"&lt;="&amp;EOMONTH($A6,0),Tabla1[Codigo_actividad],AJ$4)*AJ$3</f>
        <v>0</v>
      </c>
      <c r="AK6" s="231">
        <f>+SUMIFS(Tabla1[Avance_Med],Tabla1[Fecha],"&gt;="&amp;$A6,Tabla1[Fecha],"&lt;="&amp;EOMONTH($A6,0),Tabla1[Codigo_actividad],AK$4)*AK$3</f>
        <v>0</v>
      </c>
      <c r="AL6" s="231">
        <f>+SUMIFS(Tabla1[Avance_km],Tabla1[Fecha],"&gt;="&amp;$A6,Tabla1[Fecha],"&lt;="&amp;EOMONTH($A6,0),Tabla1[Codigo_actividad],AL$4)*AL$3</f>
        <v>0</v>
      </c>
      <c r="AM6" s="231">
        <f>+SUMIFS(Tabla1[Avance_Med],Tabla1[Fecha],"&gt;="&amp;$A6,Tabla1[Fecha],"&lt;="&amp;EOMONTH($A6,0),Tabla1[Codigo_actividad],AM$4)*AM$3</f>
        <v>0</v>
      </c>
    </row>
    <row r="7" spans="1:39" x14ac:dyDescent="0.25">
      <c r="A7" s="226">
        <v>46023</v>
      </c>
      <c r="B7" s="231">
        <f>+SUMIFS(Tabla1[Avance_Med],Tabla1[Fecha],"&gt;="&amp;$A7,Tabla1[Fecha],"&lt;="&amp;EOMONTH($A7,0),Tabla1[Codigo_actividad],B$4)*B$3</f>
        <v>0</v>
      </c>
      <c r="C7" s="231">
        <f>+SUMIFS(Tabla1[Avance_Med],Tabla1[Fecha],"&gt;="&amp;$A7,Tabla1[Fecha],"&lt;="&amp;EOMONTH($A7,0),Tabla1[Codigo_actividad],C$4)*C$3</f>
        <v>0</v>
      </c>
      <c r="D7" s="231">
        <f>+SUMIFS(Tabla1[Avance_Med],Tabla1[Fecha],"&gt;="&amp;$A7,Tabla1[Fecha],"&lt;="&amp;EOMONTH($A7,0),Tabla1[Codigo_actividad],D$4)*D$3</f>
        <v>0</v>
      </c>
      <c r="E7" s="231">
        <f>+SUMIFS(Tabla1[Avance_Med],Tabla1[Fecha],"&gt;="&amp;$A7,Tabla1[Fecha],"&lt;="&amp;EOMONTH($A7,0),Tabla1[Codigo_actividad],E$4)*E$3</f>
        <v>0</v>
      </c>
      <c r="F7" s="231">
        <f>+SUMIFS(Tabla1[Avance_Med],Tabla1[Fecha],"&gt;="&amp;$A7,Tabla1[Fecha],"&lt;="&amp;EOMONTH($A7,0),Tabla1[Codigo_actividad],F$4)*F$3</f>
        <v>0</v>
      </c>
      <c r="G7" s="231">
        <f>+SUMIFS(Tabla1[Avance_Med],Tabla1[Fecha],"&gt;="&amp;$A7,Tabla1[Fecha],"&lt;="&amp;EOMONTH($A7,0),Tabla1[Codigo_actividad],G$4)*G$3</f>
        <v>0</v>
      </c>
      <c r="H7" s="343">
        <f>+SUMIFS(Tabla1[Avance_km],Tabla1[Fecha],"&gt;="&amp;$A7,Tabla1[Fecha],"&lt;="&amp;EOMONTH($A7,0),Tabla1[Codigo_actividad],H$4)*H$3</f>
        <v>36.840000000000011</v>
      </c>
      <c r="I7" s="231"/>
      <c r="J7" s="343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1">
        <f>+SUMIFS(Tabla1[Avance_Med],Tabla1[Fecha],"&gt;="&amp;$A7,Tabla1[Fecha],"&lt;="&amp;EOMONTH($A7,0),Tabla1[Codigo_actividad],L$4)*L$3</f>
        <v>130</v>
      </c>
      <c r="M7" s="343">
        <f>+SUMIFS(Tabla1[Avance_km],Tabla1[Fecha],"&gt;="&amp;$A7,Tabla1[Fecha],"&lt;="&amp;EOMONTH($A7,0),Tabla1[Codigo_actividad],M$4)*M$3</f>
        <v>6.7009999999999996</v>
      </c>
      <c r="N7" s="231">
        <f>+SUMIFS(Tabla1[Avance_Med],Tabla1[Fecha],"&gt;="&amp;$A7,Tabla1[Fecha],"&lt;="&amp;EOMONTH($A7,0),Tabla1[Codigo_actividad],N$4)*N$3</f>
        <v>0</v>
      </c>
      <c r="O7" s="231">
        <f>+SUMIFS(Tabla1[Avance_Med],Tabla1[Fecha],"&gt;="&amp;$A7,Tabla1[Fecha],"&lt;="&amp;EOMONTH($A7,0),Tabla1[Codigo_actividad],O$4)*O$3</f>
        <v>0</v>
      </c>
      <c r="P7" s="231">
        <f>+SUMIFS(Tabla1[Avance_Med],Tabla1[Fecha],"&gt;="&amp;$A7,Tabla1[Fecha],"&lt;="&amp;EOMONTH($A7,0),Tabla1[Codigo_actividad],P$4)*P$3</f>
        <v>0</v>
      </c>
      <c r="Q7" s="231">
        <f>+SUMIFS(Tabla1[Avance_Med],Tabla1[Fecha],"&gt;="&amp;$A7,Tabla1[Fecha],"&lt;="&amp;EOMONTH($A7,0),Tabla1[Codigo_actividad],Q$4)*Q$3</f>
        <v>0</v>
      </c>
      <c r="R7" s="231">
        <f>+SUMIFS(Tabla1[Avance_Med],Tabla1[Fecha],"&gt;="&amp;$A7,Tabla1[Fecha],"&lt;="&amp;EOMONTH($A7,0),Tabla1[Codigo_actividad],R$4)*R$3</f>
        <v>0</v>
      </c>
      <c r="S7" s="231">
        <f>+SUMIFS(Tabla1[Avance_Med],Tabla1[Fecha],"&gt;="&amp;$A7,Tabla1[Fecha],"&lt;="&amp;EOMONTH($A7,0),Tabla1[Codigo_actividad],S$4)*S$3</f>
        <v>0</v>
      </c>
      <c r="T7" s="231">
        <f>+SUMIFS(Tabla1[Avance_Med],Tabla1[Fecha],"&gt;="&amp;$A7,Tabla1[Fecha],"&lt;="&amp;EOMONTH($A7,0),Tabla1[Codigo_actividad],T$4)*T$3</f>
        <v>0</v>
      </c>
      <c r="U7" s="231">
        <f>+SUMIFS(Tabla1[Avance_Med],Tabla1[Fecha],"&gt;="&amp;$A7,Tabla1[Fecha],"&lt;="&amp;EOMONTH($A7,0),Tabla1[Codigo_actividad],U$4)*U$3</f>
        <v>0</v>
      </c>
      <c r="V7" s="231">
        <f>+SUMIFS(Tabla1[Avance_Med],Tabla1[Fecha],"&gt;="&amp;$A7,Tabla1[Fecha],"&lt;="&amp;EOMONTH($A7,0),Tabla1[Codigo_actividad],V$4)*V$3</f>
        <v>0</v>
      </c>
      <c r="W7" s="231">
        <f>+SUMIFS(Tabla1[Avance_Med],Tabla1[Fecha],"&gt;="&amp;$A7,Tabla1[Fecha],"&lt;="&amp;EOMONTH($A7,0),Tabla1[Codigo_actividad],W$4)*W$3</f>
        <v>0</v>
      </c>
      <c r="X7" s="231">
        <f>+SUMIFS(Tabla1[Avance_Med],Tabla1[Fecha],"&gt;="&amp;$A7,Tabla1[Fecha],"&lt;="&amp;EOMONTH($A7,0),Tabla1[Codigo_actividad],X$4)*X$3</f>
        <v>0</v>
      </c>
      <c r="Y7" s="231">
        <f>+SUMIFS(Tabla1[Avance_Med],Tabla1[Fecha],"&gt;="&amp;$A7,Tabla1[Fecha],"&lt;="&amp;EOMONTH($A7,0),Tabla1[Codigo_actividad],Y$4)*Y$3</f>
        <v>0</v>
      </c>
      <c r="Z7" s="231">
        <f>+SUMIFS(Tabla1[Avance_Med],Tabla1[Fecha],"&gt;="&amp;$A7,Tabla1[Fecha],"&lt;="&amp;EOMONTH($A7,0),Tabla1[Codigo_actividad],Z$4)*Z$3</f>
        <v>0</v>
      </c>
      <c r="AA7" s="231">
        <f>+SUMIFS(Tabla1[Avance_Med],Tabla1[Fecha],"&gt;="&amp;$A7,Tabla1[Fecha],"&lt;="&amp;EOMONTH($A7,0),Tabla1[Codigo_actividad],AA$4)*AA$3</f>
        <v>0</v>
      </c>
      <c r="AB7" s="231">
        <f>+SUMIFS(Tabla1[Avance_Med],Tabla1[Fecha],"&gt;="&amp;$A7,Tabla1[Fecha],"&lt;="&amp;EOMONTH($A7,0),Tabla1[Codigo_actividad],AB$4)*AB$3</f>
        <v>0</v>
      </c>
      <c r="AC7" s="231">
        <f>+SUMIFS(Tabla1[Avance_Med],Tabla1[Fecha],"&gt;="&amp;$A7,Tabla1[Fecha],"&lt;="&amp;EOMONTH($A7,0),Tabla1[Codigo_actividad],AC$4)*AC$3</f>
        <v>0</v>
      </c>
      <c r="AD7" s="231">
        <f>+SUMIFS(Tabla1[Avance_Med],Tabla1[Fecha],"&gt;="&amp;$A7,Tabla1[Fecha],"&lt;="&amp;EOMONTH($A7,0),Tabla1[Codigo_actividad],AD$4)*AD$3</f>
        <v>0</v>
      </c>
      <c r="AE7" s="231">
        <f>+SUMIFS(Tabla1[Avance_Med],Tabla1[Fecha],"&gt;="&amp;$A7,Tabla1[Fecha],"&lt;="&amp;EOMONTH($A7,0),Tabla1[Codigo_actividad],AE$4)*AE$3</f>
        <v>0</v>
      </c>
      <c r="AF7" s="231">
        <f>+SUMIFS(Tabla1[Avance_Med],Tabla1[Fecha],"&gt;="&amp;$A7,Tabla1[Fecha],"&lt;="&amp;EOMONTH($A7,0),Tabla1[Codigo_actividad],AF$4)*AF$3</f>
        <v>0</v>
      </c>
      <c r="AG7" s="231">
        <f>+SUMIFS(Tabla1[Avance_Med],Tabla1[Fecha],"&gt;="&amp;$A7,Tabla1[Fecha],"&lt;="&amp;EOMONTH($A7,0),Tabla1[Codigo_actividad],AG$4)*AG$3</f>
        <v>0</v>
      </c>
      <c r="AH7" s="231">
        <f>+SUMIFS(Tabla1[Avance_Med],Tabla1[Fecha],"&gt;="&amp;$A7,Tabla1[Fecha],"&lt;="&amp;EOMONTH($A7,0),Tabla1[Codigo_actividad],AH$4)*AH$3</f>
        <v>0</v>
      </c>
      <c r="AI7" s="231">
        <f>+SUMIFS(Tabla1[Avance_Med],Tabla1[Fecha],"&gt;="&amp;$A7,Tabla1[Fecha],"&lt;="&amp;EOMONTH($A7,0),Tabla1[Codigo_actividad],AI$4)*AI$3</f>
        <v>0</v>
      </c>
      <c r="AJ7" s="231">
        <f>+SUMIFS(Tabla1[Avance_Med],Tabla1[Fecha],"&gt;="&amp;$A7,Tabla1[Fecha],"&lt;="&amp;EOMONTH($A7,0),Tabla1[Codigo_actividad],AJ$4)*AJ$3</f>
        <v>0</v>
      </c>
      <c r="AK7" s="231">
        <f>+SUMIFS(Tabla1[Avance_Med],Tabla1[Fecha],"&gt;="&amp;$A7,Tabla1[Fecha],"&lt;="&amp;EOMONTH($A7,0),Tabla1[Codigo_actividad],AK$4)*AK$3</f>
        <v>0</v>
      </c>
      <c r="AL7" s="231">
        <f>+SUMIFS(Tabla1[Avance_km],Tabla1[Fecha],"&gt;="&amp;$A7,Tabla1[Fecha],"&lt;="&amp;EOMONTH($A7,0),Tabla1[Codigo_actividad],AL$4)*AL$3</f>
        <v>0</v>
      </c>
      <c r="AM7" s="231">
        <f>+SUMIFS(Tabla1[Avance_Med],Tabla1[Fecha],"&gt;="&amp;$A7,Tabla1[Fecha],"&lt;="&amp;EOMONTH($A7,0),Tabla1[Codigo_actividad],AM$4)*AM$3</f>
        <v>0</v>
      </c>
    </row>
    <row r="8" spans="1:39" x14ac:dyDescent="0.25">
      <c r="A8" s="226">
        <v>46054</v>
      </c>
      <c r="B8" s="231">
        <f>+SUMIFS(Tabla1[Avance_Med],Tabla1[Fecha],"&gt;="&amp;$A8,Tabla1[Fecha],"&lt;="&amp;EOMONTH($A8,0),Tabla1[Codigo_actividad],B$4)*B$3</f>
        <v>0</v>
      </c>
      <c r="C8" s="231">
        <f>+SUMIFS(Tabla1[Avance_Med],Tabla1[Fecha],"&gt;="&amp;$A8,Tabla1[Fecha],"&lt;="&amp;EOMONTH($A8,0),Tabla1[Codigo_actividad],C$4)*C$3</f>
        <v>0</v>
      </c>
      <c r="D8" s="231">
        <f>+SUMIFS(Tabla1[Avance_Med],Tabla1[Fecha],"&gt;="&amp;$A8,Tabla1[Fecha],"&lt;="&amp;EOMONTH($A8,0),Tabla1[Codigo_actividad],D$4)*D$3</f>
        <v>0</v>
      </c>
      <c r="E8" s="231">
        <f>+SUMIFS(Tabla1[Avance_Med],Tabla1[Fecha],"&gt;="&amp;$A8,Tabla1[Fecha],"&lt;="&amp;EOMONTH($A8,0),Tabla1[Codigo_actividad],E$4)*E$3</f>
        <v>0</v>
      </c>
      <c r="F8" s="231">
        <f>+SUMIFS(Tabla1[Avance_Med],Tabla1[Fecha],"&gt;="&amp;$A8,Tabla1[Fecha],"&lt;="&amp;EOMONTH($A8,0),Tabla1[Codigo_actividad],F$4)*F$3</f>
        <v>0</v>
      </c>
      <c r="G8" s="231">
        <f>+SUMIFS(Tabla1[Avance_Med],Tabla1[Fecha],"&gt;="&amp;$A8,Tabla1[Fecha],"&lt;="&amp;EOMONTH($A8,0),Tabla1[Codigo_actividad],G$4)*G$3</f>
        <v>0</v>
      </c>
      <c r="H8" s="343">
        <f>+SUMIFS(Tabla1[Avance_km],Tabla1[Fecha],"&gt;="&amp;$A8,Tabla1[Fecha],"&lt;="&amp;EOMONTH($A8,0),Tabla1[Codigo_actividad],H$4)*H$3</f>
        <v>0</v>
      </c>
      <c r="I8" s="231"/>
      <c r="J8" s="343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1">
        <f>+SUMIFS(Tabla1[Avance_Med],Tabla1[Fecha],"&gt;="&amp;$A8,Tabla1[Fecha],"&lt;="&amp;EOMONTH($A8,0),Tabla1[Codigo_actividad],L$4)*L$3</f>
        <v>18</v>
      </c>
      <c r="M8" s="343">
        <f>+SUMIFS(Tabla1[Avance_km],Tabla1[Fecha],"&gt;="&amp;$A8,Tabla1[Fecha],"&lt;="&amp;EOMONTH($A8,0),Tabla1[Codigo_actividad],M$4)*M$3</f>
        <v>0</v>
      </c>
      <c r="N8" s="231">
        <f>+SUMIFS(Tabla1[Avance_Med],Tabla1[Fecha],"&gt;="&amp;$A8,Tabla1[Fecha],"&lt;="&amp;EOMONTH($A8,0),Tabla1[Codigo_actividad],N$4)*N$3</f>
        <v>0</v>
      </c>
      <c r="O8" s="231">
        <f>+SUMIFS(Tabla1[Avance_Med],Tabla1[Fecha],"&gt;="&amp;$A8,Tabla1[Fecha],"&lt;="&amp;EOMONTH($A8,0),Tabla1[Codigo_actividad],O$4)*O$3</f>
        <v>0</v>
      </c>
      <c r="P8" s="231">
        <f>+SUMIFS(Tabla1[Avance_Med],Tabla1[Fecha],"&gt;="&amp;$A8,Tabla1[Fecha],"&lt;="&amp;EOMONTH($A8,0),Tabla1[Codigo_actividad],P$4)*P$3</f>
        <v>0</v>
      </c>
      <c r="Q8" s="231">
        <f>+SUMIFS(Tabla1[Avance_Med],Tabla1[Fecha],"&gt;="&amp;$A8,Tabla1[Fecha],"&lt;="&amp;EOMONTH($A8,0),Tabla1[Codigo_actividad],Q$4)*Q$3</f>
        <v>0</v>
      </c>
      <c r="R8" s="231">
        <f>+SUMIFS(Tabla1[Avance_Med],Tabla1[Fecha],"&gt;="&amp;$A8,Tabla1[Fecha],"&lt;="&amp;EOMONTH($A8,0),Tabla1[Codigo_actividad],R$4)*R$3</f>
        <v>0</v>
      </c>
      <c r="S8" s="231">
        <f>+SUMIFS(Tabla1[Avance_Med],Tabla1[Fecha],"&gt;="&amp;$A8,Tabla1[Fecha],"&lt;="&amp;EOMONTH($A8,0),Tabla1[Codigo_actividad],S$4)*S$3</f>
        <v>0</v>
      </c>
      <c r="T8" s="231">
        <f>+SUMIFS(Tabla1[Avance_Med],Tabla1[Fecha],"&gt;="&amp;$A8,Tabla1[Fecha],"&lt;="&amp;EOMONTH($A8,0),Tabla1[Codigo_actividad],T$4)*T$3</f>
        <v>0</v>
      </c>
      <c r="U8" s="231">
        <f>+SUMIFS(Tabla1[Avance_Med],Tabla1[Fecha],"&gt;="&amp;$A8,Tabla1[Fecha],"&lt;="&amp;EOMONTH($A8,0),Tabla1[Codigo_actividad],U$4)*U$3</f>
        <v>0</v>
      </c>
      <c r="V8" s="231">
        <f>+SUMIFS(Tabla1[Avance_Med],Tabla1[Fecha],"&gt;="&amp;$A8,Tabla1[Fecha],"&lt;="&amp;EOMONTH($A8,0),Tabla1[Codigo_actividad],V$4)*V$3</f>
        <v>0</v>
      </c>
      <c r="W8" s="231">
        <f>+SUMIFS(Tabla1[Avance_Med],Tabla1[Fecha],"&gt;="&amp;$A8,Tabla1[Fecha],"&lt;="&amp;EOMONTH($A8,0),Tabla1[Codigo_actividad],W$4)*W$3</f>
        <v>0</v>
      </c>
      <c r="X8" s="231">
        <f>+SUMIFS(Tabla1[Avance_Med],Tabla1[Fecha],"&gt;="&amp;$A8,Tabla1[Fecha],"&lt;="&amp;EOMONTH($A8,0),Tabla1[Codigo_actividad],X$4)*X$3</f>
        <v>0</v>
      </c>
      <c r="Y8" s="231">
        <f>+SUMIFS(Tabla1[Avance_Med],Tabla1[Fecha],"&gt;="&amp;$A8,Tabla1[Fecha],"&lt;="&amp;EOMONTH($A8,0),Tabla1[Codigo_actividad],Y$4)*Y$3</f>
        <v>0</v>
      </c>
      <c r="Z8" s="231">
        <f>+SUMIFS(Tabla1[Avance_Med],Tabla1[Fecha],"&gt;="&amp;$A8,Tabla1[Fecha],"&lt;="&amp;EOMONTH($A8,0),Tabla1[Codigo_actividad],Z$4)*Z$3</f>
        <v>0</v>
      </c>
      <c r="AA8" s="231">
        <f>+SUMIFS(Tabla1[Avance_Med],Tabla1[Fecha],"&gt;="&amp;$A8,Tabla1[Fecha],"&lt;="&amp;EOMONTH($A8,0),Tabla1[Codigo_actividad],AA$4)*AA$3</f>
        <v>0</v>
      </c>
      <c r="AB8" s="231">
        <f>+SUMIFS(Tabla1[Avance_Med],Tabla1[Fecha],"&gt;="&amp;$A8,Tabla1[Fecha],"&lt;="&amp;EOMONTH($A8,0),Tabla1[Codigo_actividad],AB$4)*AB$3</f>
        <v>0</v>
      </c>
      <c r="AC8" s="231">
        <f>+SUMIFS(Tabla1[Avance_Med],Tabla1[Fecha],"&gt;="&amp;$A8,Tabla1[Fecha],"&lt;="&amp;EOMONTH($A8,0),Tabla1[Codigo_actividad],AC$4)*AC$3</f>
        <v>0</v>
      </c>
      <c r="AD8" s="231">
        <f>+SUMIFS(Tabla1[Avance_Med],Tabla1[Fecha],"&gt;="&amp;$A8,Tabla1[Fecha],"&lt;="&amp;EOMONTH($A8,0),Tabla1[Codigo_actividad],AD$4)*AD$3</f>
        <v>0</v>
      </c>
      <c r="AE8" s="231">
        <f>+SUMIFS(Tabla1[Avance_Med],Tabla1[Fecha],"&gt;="&amp;$A8,Tabla1[Fecha],"&lt;="&amp;EOMONTH($A8,0),Tabla1[Codigo_actividad],AE$4)*AE$3</f>
        <v>0</v>
      </c>
      <c r="AF8" s="231">
        <f>+SUMIFS(Tabla1[Avance_Med],Tabla1[Fecha],"&gt;="&amp;$A8,Tabla1[Fecha],"&lt;="&amp;EOMONTH($A8,0),Tabla1[Codigo_actividad],AF$4)*AF$3</f>
        <v>0</v>
      </c>
      <c r="AG8" s="231">
        <f>+SUMIFS(Tabla1[Avance_Med],Tabla1[Fecha],"&gt;="&amp;$A8,Tabla1[Fecha],"&lt;="&amp;EOMONTH($A8,0),Tabla1[Codigo_actividad],AG$4)*AG$3</f>
        <v>0</v>
      </c>
      <c r="AH8" s="231">
        <f>+SUMIFS(Tabla1[Avance_Med],Tabla1[Fecha],"&gt;="&amp;$A8,Tabla1[Fecha],"&lt;="&amp;EOMONTH($A8,0),Tabla1[Codigo_actividad],AH$4)*AH$3</f>
        <v>0</v>
      </c>
      <c r="AI8" s="231">
        <f>+SUMIFS(Tabla1[Avance_Med],Tabla1[Fecha],"&gt;="&amp;$A8,Tabla1[Fecha],"&lt;="&amp;EOMONTH($A8,0),Tabla1[Codigo_actividad],AI$4)*AI$3</f>
        <v>0</v>
      </c>
      <c r="AJ8" s="231">
        <f>+SUMIFS(Tabla1[Avance_Med],Tabla1[Fecha],"&gt;="&amp;$A8,Tabla1[Fecha],"&lt;="&amp;EOMONTH($A8,0),Tabla1[Codigo_actividad],AJ$4)*AJ$3</f>
        <v>0</v>
      </c>
      <c r="AK8" s="231">
        <f>+SUMIFS(Tabla1[Avance_Med],Tabla1[Fecha],"&gt;="&amp;$A8,Tabla1[Fecha],"&lt;="&amp;EOMONTH($A8,0),Tabla1[Codigo_actividad],AK$4)*AK$3</f>
        <v>0</v>
      </c>
      <c r="AL8" s="231">
        <f>+SUMIFS(Tabla1[Avance_km],Tabla1[Fecha],"&gt;="&amp;$A8,Tabla1[Fecha],"&lt;="&amp;EOMONTH($A8,0),Tabla1[Codigo_actividad],AL$4)*AL$3</f>
        <v>0</v>
      </c>
      <c r="AM8" s="231">
        <f>+SUMIFS(Tabla1[Avance_Med],Tabla1[Fecha],"&gt;="&amp;$A8,Tabla1[Fecha],"&lt;="&amp;EOMONTH($A8,0),Tabla1[Codigo_actividad],AM$4)*AM$3</f>
        <v>0</v>
      </c>
    </row>
    <row r="9" spans="1:39" x14ac:dyDescent="0.25">
      <c r="A9" s="226">
        <v>46082</v>
      </c>
      <c r="B9" s="231">
        <f>+SUMIFS(Tabla1[Avance_Med],Tabla1[Fecha],"&gt;="&amp;$A9,Tabla1[Fecha],"&lt;="&amp;EOMONTH($A9,0),Tabla1[Codigo_actividad],B$4)*B$3</f>
        <v>99</v>
      </c>
      <c r="C9" s="231">
        <f>+SUMIFS(Tabla1[Avance_Med],Tabla1[Fecha],"&gt;="&amp;$A9,Tabla1[Fecha],"&lt;="&amp;EOMONTH($A9,0),Tabla1[Codigo_actividad],C$4)*C$3</f>
        <v>99</v>
      </c>
      <c r="D9" s="231">
        <f>+SUMIFS(Tabla1[Avance_Med],Tabla1[Fecha],"&gt;="&amp;$A9,Tabla1[Fecha],"&lt;="&amp;EOMONTH($A9,0),Tabla1[Codigo_actividad],D$4)*D$3</f>
        <v>99</v>
      </c>
      <c r="E9" s="231">
        <f>+SUMIFS(Tabla1[Avance_Med],Tabla1[Fecha],"&gt;="&amp;$A9,Tabla1[Fecha],"&lt;="&amp;EOMONTH($A9,0),Tabla1[Codigo_actividad],E$4)*E$3</f>
        <v>99</v>
      </c>
      <c r="F9" s="231">
        <f>+SUMIFS(Tabla1[Avance_Med],Tabla1[Fecha],"&gt;="&amp;$A9,Tabla1[Fecha],"&lt;="&amp;EOMONTH($A9,0),Tabla1[Codigo_actividad],F$4)*F$3</f>
        <v>99</v>
      </c>
      <c r="G9" s="231">
        <f>+SUMIFS(Tabla1[Avance_Med],Tabla1[Fecha],"&gt;="&amp;$A9,Tabla1[Fecha],"&lt;="&amp;EOMONTH($A9,0),Tabla1[Codigo_actividad],G$4)*G$3</f>
        <v>99</v>
      </c>
      <c r="H9" s="343">
        <f>+SUMIFS(Tabla1[Avance_km],Tabla1[Fecha],"&gt;="&amp;$A9,Tabla1[Fecha],"&lt;="&amp;EOMONTH($A9,0),Tabla1[Codigo_actividad],H$4)*H$3</f>
        <v>0</v>
      </c>
      <c r="I9" s="231"/>
      <c r="J9" s="343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1">
        <f>+SUMIFS(Tabla1[Avance_Med],Tabla1[Fecha],"&gt;="&amp;$A9,Tabla1[Fecha],"&lt;="&amp;EOMONTH($A9,0),Tabla1[Codigo_actividad],L$4)*L$3</f>
        <v>0</v>
      </c>
      <c r="M9" s="343">
        <f>+SUMIFS(Tabla1[Avance_km],Tabla1[Fecha],"&gt;="&amp;$A9,Tabla1[Fecha],"&lt;="&amp;EOMONTH($A9,0),Tabla1[Codigo_actividad],M$4)*M$3</f>
        <v>3.6</v>
      </c>
      <c r="N9" s="231">
        <f>+SUMIFS(Tabla1[Avance_Med],Tabla1[Fecha],"&gt;="&amp;$A9,Tabla1[Fecha],"&lt;="&amp;EOMONTH($A9,0),Tabla1[Codigo_actividad],N$4)*N$3</f>
        <v>54</v>
      </c>
      <c r="O9" s="231">
        <f>+SUMIFS(Tabla1[Avance_Med],Tabla1[Fecha],"&gt;="&amp;$A9,Tabla1[Fecha],"&lt;="&amp;EOMONTH($A9,0),Tabla1[Codigo_actividad],O$4)*O$3</f>
        <v>54</v>
      </c>
      <c r="P9" s="231">
        <f>+SUMIFS(Tabla1[Avance_Med],Tabla1[Fecha],"&gt;="&amp;$A9,Tabla1[Fecha],"&lt;="&amp;EOMONTH($A9,0),Tabla1[Codigo_actividad],P$4)*P$3</f>
        <v>54</v>
      </c>
      <c r="Q9" s="231">
        <f>+SUMIFS(Tabla1[Avance_Med],Tabla1[Fecha],"&gt;="&amp;$A9,Tabla1[Fecha],"&lt;="&amp;EOMONTH($A9,0),Tabla1[Codigo_actividad],Q$4)*Q$3</f>
        <v>0</v>
      </c>
      <c r="R9" s="231">
        <f>+SUMIFS(Tabla1[Avance_Med],Tabla1[Fecha],"&gt;="&amp;$A9,Tabla1[Fecha],"&lt;="&amp;EOMONTH($A9,0),Tabla1[Codigo_actividad],R$4)*R$3</f>
        <v>0</v>
      </c>
      <c r="S9" s="231">
        <f>+SUMIFS(Tabla1[Avance_Med],Tabla1[Fecha],"&gt;="&amp;$A9,Tabla1[Fecha],"&lt;="&amp;EOMONTH($A9,0),Tabla1[Codigo_actividad],S$4)*S$3</f>
        <v>0</v>
      </c>
      <c r="T9" s="231">
        <f>+SUMIFS(Tabla1[Avance_Med],Tabla1[Fecha],"&gt;="&amp;$A9,Tabla1[Fecha],"&lt;="&amp;EOMONTH($A9,0),Tabla1[Codigo_actividad],T$4)*T$3</f>
        <v>0</v>
      </c>
      <c r="U9" s="231">
        <f>+SUMIFS(Tabla1[Avance_Med],Tabla1[Fecha],"&gt;="&amp;$A9,Tabla1[Fecha],"&lt;="&amp;EOMONTH($A9,0),Tabla1[Codigo_actividad],U$4)*U$3</f>
        <v>0</v>
      </c>
      <c r="V9" s="231">
        <f>+SUMIFS(Tabla1[Avance_Med],Tabla1[Fecha],"&gt;="&amp;$A9,Tabla1[Fecha],"&lt;="&amp;EOMONTH($A9,0),Tabla1[Codigo_actividad],V$4)*V$3</f>
        <v>0</v>
      </c>
      <c r="W9" s="231">
        <f>+SUMIFS(Tabla1[Avance_Med],Tabla1[Fecha],"&gt;="&amp;$A9,Tabla1[Fecha],"&lt;="&amp;EOMONTH($A9,0),Tabla1[Codigo_actividad],W$4)*W$3</f>
        <v>0</v>
      </c>
      <c r="X9" s="231">
        <f>+SUMIFS(Tabla1[Avance_Med],Tabla1[Fecha],"&gt;="&amp;$A9,Tabla1[Fecha],"&lt;="&amp;EOMONTH($A9,0),Tabla1[Codigo_actividad],X$4)*X$3</f>
        <v>0</v>
      </c>
      <c r="Y9" s="231">
        <f>+SUMIFS(Tabla1[Avance_Med],Tabla1[Fecha],"&gt;="&amp;$A9,Tabla1[Fecha],"&lt;="&amp;EOMONTH($A9,0),Tabla1[Codigo_actividad],Y$4)*Y$3</f>
        <v>0</v>
      </c>
      <c r="Z9" s="231">
        <f>+SUMIFS(Tabla1[Avance_Med],Tabla1[Fecha],"&gt;="&amp;$A9,Tabla1[Fecha],"&lt;="&amp;EOMONTH($A9,0),Tabla1[Codigo_actividad],Z$4)*Z$3</f>
        <v>0</v>
      </c>
      <c r="AA9" s="231">
        <f>+SUMIFS(Tabla1[Avance_Med],Tabla1[Fecha],"&gt;="&amp;$A9,Tabla1[Fecha],"&lt;="&amp;EOMONTH($A9,0),Tabla1[Codigo_actividad],AA$4)*AA$3</f>
        <v>0</v>
      </c>
      <c r="AB9" s="231">
        <f>+SUMIFS(Tabla1[Avance_Med],Tabla1[Fecha],"&gt;="&amp;$A9,Tabla1[Fecha],"&lt;="&amp;EOMONTH($A9,0),Tabla1[Codigo_actividad],AB$4)*AB$3</f>
        <v>0</v>
      </c>
      <c r="AC9" s="231">
        <f>+SUMIFS(Tabla1[Avance_Med],Tabla1[Fecha],"&gt;="&amp;$A9,Tabla1[Fecha],"&lt;="&amp;EOMONTH($A9,0),Tabla1[Codigo_actividad],AC$4)*AC$3</f>
        <v>0</v>
      </c>
      <c r="AD9" s="231">
        <f>+SUMIFS(Tabla1[Avance_Med],Tabla1[Fecha],"&gt;="&amp;$A9,Tabla1[Fecha],"&lt;="&amp;EOMONTH($A9,0),Tabla1[Codigo_actividad],AD$4)*AD$3</f>
        <v>0</v>
      </c>
      <c r="AE9" s="231">
        <f>+SUMIFS(Tabla1[Avance_Med],Tabla1[Fecha],"&gt;="&amp;$A9,Tabla1[Fecha],"&lt;="&amp;EOMONTH($A9,0),Tabla1[Codigo_actividad],AE$4)*AE$3</f>
        <v>0</v>
      </c>
      <c r="AF9" s="231">
        <f>+SUMIFS(Tabla1[Avance_Med],Tabla1[Fecha],"&gt;="&amp;$A9,Tabla1[Fecha],"&lt;="&amp;EOMONTH($A9,0),Tabla1[Codigo_actividad],AF$4)*AF$3</f>
        <v>0</v>
      </c>
      <c r="AG9" s="231">
        <f>+SUMIFS(Tabla1[Avance_Med],Tabla1[Fecha],"&gt;="&amp;$A9,Tabla1[Fecha],"&lt;="&amp;EOMONTH($A9,0),Tabla1[Codigo_actividad],AG$4)*AG$3</f>
        <v>0</v>
      </c>
      <c r="AH9" s="231">
        <f>+SUMIFS(Tabla1[Avance_Med],Tabla1[Fecha],"&gt;="&amp;$A9,Tabla1[Fecha],"&lt;="&amp;EOMONTH($A9,0),Tabla1[Codigo_actividad],AH$4)*AH$3</f>
        <v>0</v>
      </c>
      <c r="AI9" s="231">
        <f>+SUMIFS(Tabla1[Avance_Med],Tabla1[Fecha],"&gt;="&amp;$A9,Tabla1[Fecha],"&lt;="&amp;EOMONTH($A9,0),Tabla1[Codigo_actividad],AI$4)*AI$3</f>
        <v>0</v>
      </c>
      <c r="AJ9" s="231">
        <f>+SUMIFS(Tabla1[Avance_Med],Tabla1[Fecha],"&gt;="&amp;$A9,Tabla1[Fecha],"&lt;="&amp;EOMONTH($A9,0),Tabla1[Codigo_actividad],AJ$4)*AJ$3</f>
        <v>0</v>
      </c>
      <c r="AK9" s="231">
        <f>+SUMIFS(Tabla1[Avance_Med],Tabla1[Fecha],"&gt;="&amp;$A9,Tabla1[Fecha],"&lt;="&amp;EOMONTH($A9,0),Tabla1[Codigo_actividad],AK$4)*AK$3</f>
        <v>0</v>
      </c>
      <c r="AL9" s="231">
        <f>+SUMIFS(Tabla1[Avance_km],Tabla1[Fecha],"&gt;="&amp;$A9,Tabla1[Fecha],"&lt;="&amp;EOMONTH($A9,0),Tabla1[Codigo_actividad],AL$4)*AL$3</f>
        <v>0</v>
      </c>
      <c r="AM9" s="231">
        <f>+SUMIFS(Tabla1[Avance_Med],Tabla1[Fecha],"&gt;="&amp;$A9,Tabla1[Fecha],"&lt;="&amp;EOMONTH($A9,0),Tabla1[Codigo_actividad],AM$4)*AM$3</f>
        <v>0</v>
      </c>
    </row>
    <row r="10" spans="1:39" x14ac:dyDescent="0.25">
      <c r="A10" s="226">
        <v>46113</v>
      </c>
      <c r="B10" s="231">
        <f>+SUMIFS(Tabla1[Avance_Med],Tabla1[Fecha],"&gt;="&amp;$A10,Tabla1[Fecha],"&lt;="&amp;EOMONTH($A10,0),Tabla1[Codigo_actividad],B$4)*B$3</f>
        <v>17</v>
      </c>
      <c r="C10" s="231">
        <f>+SUMIFS(Tabla1[Avance_Med],Tabla1[Fecha],"&gt;="&amp;$A10,Tabla1[Fecha],"&lt;="&amp;EOMONTH($A10,0),Tabla1[Codigo_actividad],C$4)*C$3</f>
        <v>17</v>
      </c>
      <c r="D10" s="231">
        <f>+SUMIFS(Tabla1[Avance_Med],Tabla1[Fecha],"&gt;="&amp;$A10,Tabla1[Fecha],"&lt;="&amp;EOMONTH($A10,0),Tabla1[Codigo_actividad],D$4)*D$3</f>
        <v>17</v>
      </c>
      <c r="E10" s="231">
        <f>+SUMIFS(Tabla1[Avance_Med],Tabla1[Fecha],"&gt;="&amp;$A10,Tabla1[Fecha],"&lt;="&amp;EOMONTH($A10,0),Tabla1[Codigo_actividad],E$4)*E$3</f>
        <v>17</v>
      </c>
      <c r="F10" s="231">
        <f>+SUMIFS(Tabla1[Avance_Med],Tabla1[Fecha],"&gt;="&amp;$A10,Tabla1[Fecha],"&lt;="&amp;EOMONTH($A10,0),Tabla1[Codigo_actividad],F$4)*F$3</f>
        <v>17</v>
      </c>
      <c r="G10" s="231">
        <f>+SUMIFS(Tabla1[Avance_Med],Tabla1[Fecha],"&gt;="&amp;$A10,Tabla1[Fecha],"&lt;="&amp;EOMONTH($A10,0),Tabla1[Codigo_actividad],G$4)*G$3</f>
        <v>17</v>
      </c>
      <c r="H10" s="343">
        <f>+SUMIFS(Tabla1[Avance_km],Tabla1[Fecha],"&gt;="&amp;$A10,Tabla1[Fecha],"&lt;="&amp;EOMONTH($A10,0),Tabla1[Codigo_actividad],H$4)*H$3</f>
        <v>0</v>
      </c>
      <c r="I10" s="231"/>
      <c r="J10" s="343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1">
        <f>+SUMIFS(Tabla1[Avance_Med],Tabla1[Fecha],"&gt;="&amp;$A10,Tabla1[Fecha],"&lt;="&amp;EOMONTH($A10,0),Tabla1[Codigo_actividad],L$4)*L$3</f>
        <v>0</v>
      </c>
      <c r="M10" s="343">
        <f>+SUMIFS(Tabla1[Avance_km],Tabla1[Fecha],"&gt;="&amp;$A10,Tabla1[Fecha],"&lt;="&amp;EOMONTH($A10,0),Tabla1[Codigo_actividad],M$4)*M$3</f>
        <v>21.635999999999999</v>
      </c>
      <c r="N10" s="231">
        <f>+SUMIFS(Tabla1[Avance_Med],Tabla1[Fecha],"&gt;="&amp;$A10,Tabla1[Fecha],"&lt;="&amp;EOMONTH($A10,0),Tabla1[Codigo_actividad],N$4)*N$3</f>
        <v>0</v>
      </c>
      <c r="O10" s="231">
        <f>+SUMIFS(Tabla1[Avance_Med],Tabla1[Fecha],"&gt;="&amp;$A10,Tabla1[Fecha],"&lt;="&amp;EOMONTH($A10,0),Tabla1[Codigo_actividad],O$4)*O$3</f>
        <v>0</v>
      </c>
      <c r="P10" s="231">
        <f>+SUMIFS(Tabla1[Avance_Med],Tabla1[Fecha],"&gt;="&amp;$A10,Tabla1[Fecha],"&lt;="&amp;EOMONTH($A10,0),Tabla1[Codigo_actividad],P$4)*P$3</f>
        <v>0</v>
      </c>
      <c r="Q10" s="231">
        <f>+SUMIFS(Tabla1[Avance_Med],Tabla1[Fecha],"&gt;="&amp;$A10,Tabla1[Fecha],"&lt;="&amp;EOMONTH($A10,0),Tabla1[Codigo_actividad],Q$4)*Q$3</f>
        <v>0</v>
      </c>
      <c r="R10" s="231">
        <f>+SUMIFS(Tabla1[Avance_Med],Tabla1[Fecha],"&gt;="&amp;$A10,Tabla1[Fecha],"&lt;="&amp;EOMONTH($A10,0),Tabla1[Codigo_actividad],R$4)*R$3</f>
        <v>0</v>
      </c>
      <c r="S10" s="231">
        <f>+SUMIFS(Tabla1[Avance_Med],Tabla1[Fecha],"&gt;="&amp;$A10,Tabla1[Fecha],"&lt;="&amp;EOMONTH($A10,0),Tabla1[Codigo_actividad],S$4)*S$3</f>
        <v>0</v>
      </c>
      <c r="T10" s="231">
        <f>+SUMIFS(Tabla1[Avance_Med],Tabla1[Fecha],"&gt;="&amp;$A10,Tabla1[Fecha],"&lt;="&amp;EOMONTH($A10,0),Tabla1[Codigo_actividad],T$4)*T$3</f>
        <v>0</v>
      </c>
      <c r="U10" s="231">
        <f>+SUMIFS(Tabla1[Avance_Med],Tabla1[Fecha],"&gt;="&amp;$A10,Tabla1[Fecha],"&lt;="&amp;EOMONTH($A10,0),Tabla1[Codigo_actividad],U$4)*U$3</f>
        <v>0</v>
      </c>
      <c r="V10" s="231">
        <f>+SUMIFS(Tabla1[Avance_Med],Tabla1[Fecha],"&gt;="&amp;$A10,Tabla1[Fecha],"&lt;="&amp;EOMONTH($A10,0),Tabla1[Codigo_actividad],V$4)*V$3</f>
        <v>0</v>
      </c>
      <c r="W10" s="231">
        <f>+SUMIFS(Tabla1[Avance_Med],Tabla1[Fecha],"&gt;="&amp;$A10,Tabla1[Fecha],"&lt;="&amp;EOMONTH($A10,0),Tabla1[Codigo_actividad],W$4)*W$3</f>
        <v>0</v>
      </c>
      <c r="X10" s="231">
        <f>+SUMIFS(Tabla1[Avance_Med],Tabla1[Fecha],"&gt;="&amp;$A10,Tabla1[Fecha],"&lt;="&amp;EOMONTH($A10,0),Tabla1[Codigo_actividad],X$4)*X$3</f>
        <v>0</v>
      </c>
      <c r="Y10" s="231">
        <f>+SUMIFS(Tabla1[Avance_Med],Tabla1[Fecha],"&gt;="&amp;$A10,Tabla1[Fecha],"&lt;="&amp;EOMONTH($A10,0),Tabla1[Codigo_actividad],Y$4)*Y$3</f>
        <v>0</v>
      </c>
      <c r="Z10" s="231">
        <f>+SUMIFS(Tabla1[Avance_Med],Tabla1[Fecha],"&gt;="&amp;$A10,Tabla1[Fecha],"&lt;="&amp;EOMONTH($A10,0),Tabla1[Codigo_actividad],Z$4)*Z$3</f>
        <v>0</v>
      </c>
      <c r="AA10" s="231">
        <f>+SUMIFS(Tabla1[Avance_Med],Tabla1[Fecha],"&gt;="&amp;$A10,Tabla1[Fecha],"&lt;="&amp;EOMONTH($A10,0),Tabla1[Codigo_actividad],AA$4)*AA$3</f>
        <v>0</v>
      </c>
      <c r="AB10" s="231">
        <f>+SUMIFS(Tabla1[Avance_Med],Tabla1[Fecha],"&gt;="&amp;$A10,Tabla1[Fecha],"&lt;="&amp;EOMONTH($A10,0),Tabla1[Codigo_actividad],AB$4)*AB$3</f>
        <v>0</v>
      </c>
      <c r="AC10" s="231">
        <f>+SUMIFS(Tabla1[Avance_Med],Tabla1[Fecha],"&gt;="&amp;$A10,Tabla1[Fecha],"&lt;="&amp;EOMONTH($A10,0),Tabla1[Codigo_actividad],AC$4)*AC$3</f>
        <v>0</v>
      </c>
      <c r="AD10" s="231">
        <f>+SUMIFS(Tabla1[Avance_Med],Tabla1[Fecha],"&gt;="&amp;$A10,Tabla1[Fecha],"&lt;="&amp;EOMONTH($A10,0),Tabla1[Codigo_actividad],AD$4)*AD$3</f>
        <v>0</v>
      </c>
      <c r="AE10" s="231">
        <f>+SUMIFS(Tabla1[Avance_Med],Tabla1[Fecha],"&gt;="&amp;$A10,Tabla1[Fecha],"&lt;="&amp;EOMONTH($A10,0),Tabla1[Codigo_actividad],AE$4)*AE$3</f>
        <v>0</v>
      </c>
      <c r="AF10" s="231">
        <f>+SUMIFS(Tabla1[Avance_Med],Tabla1[Fecha],"&gt;="&amp;$A10,Tabla1[Fecha],"&lt;="&amp;EOMONTH($A10,0),Tabla1[Codigo_actividad],AF$4)*AF$3</f>
        <v>0</v>
      </c>
      <c r="AG10" s="231">
        <f>+SUMIFS(Tabla1[Avance_Med],Tabla1[Fecha],"&gt;="&amp;$A10,Tabla1[Fecha],"&lt;="&amp;EOMONTH($A10,0),Tabla1[Codigo_actividad],AG$4)*AG$3</f>
        <v>0</v>
      </c>
      <c r="AH10" s="231">
        <f>+SUMIFS(Tabla1[Avance_Med],Tabla1[Fecha],"&gt;="&amp;$A10,Tabla1[Fecha],"&lt;="&amp;EOMONTH($A10,0),Tabla1[Codigo_actividad],AH$4)*AH$3</f>
        <v>0</v>
      </c>
      <c r="AI10" s="231">
        <f>+SUMIFS(Tabla1[Avance_Med],Tabla1[Fecha],"&gt;="&amp;$A10,Tabla1[Fecha],"&lt;="&amp;EOMONTH($A10,0),Tabla1[Codigo_actividad],AI$4)*AI$3</f>
        <v>0</v>
      </c>
      <c r="AJ10" s="231">
        <f>+SUMIFS(Tabla1[Avance_Med],Tabla1[Fecha],"&gt;="&amp;$A10,Tabla1[Fecha],"&lt;="&amp;EOMONTH($A10,0),Tabla1[Codigo_actividad],AJ$4)*AJ$3</f>
        <v>0</v>
      </c>
      <c r="AK10" s="231">
        <f>+SUMIFS(Tabla1[Avance_Med],Tabla1[Fecha],"&gt;="&amp;$A10,Tabla1[Fecha],"&lt;="&amp;EOMONTH($A10,0),Tabla1[Codigo_actividad],AK$4)*AK$3</f>
        <v>0</v>
      </c>
      <c r="AL10" s="231">
        <f>+SUMIFS(Tabla1[Avance_km],Tabla1[Fecha],"&gt;="&amp;$A10,Tabla1[Fecha],"&lt;="&amp;EOMONTH($A10,0),Tabla1[Codigo_actividad],AL$4)*AL$3</f>
        <v>0</v>
      </c>
      <c r="AM10" s="231">
        <f>+SUMIFS(Tabla1[Avance_Med],Tabla1[Fecha],"&gt;="&amp;$A10,Tabla1[Fecha],"&lt;="&amp;EOMONTH($A10,0),Tabla1[Codigo_actividad],AM$4)*AM$3</f>
        <v>0</v>
      </c>
    </row>
    <row r="11" spans="1:39" x14ac:dyDescent="0.25">
      <c r="A11" s="226">
        <v>46143</v>
      </c>
      <c r="B11" s="231">
        <v>0</v>
      </c>
      <c r="C11" s="231">
        <f>+SUMIFS(Tabla1[Avance_Med],Tabla1[Fecha],"&gt;="&amp;$A11,Tabla1[Fecha],"&lt;="&amp;EOMONTH($A11,0),Tabla1[Codigo_actividad],C$4)*C$3</f>
        <v>0</v>
      </c>
      <c r="D11" s="231">
        <f>+SUMIFS(Tabla1[Avance_Med],Tabla1[Fecha],"&gt;="&amp;$A11,Tabla1[Fecha],"&lt;="&amp;EOMONTH($A11,0),Tabla1[Codigo_actividad],D$4)*D$3</f>
        <v>0</v>
      </c>
      <c r="E11" s="231">
        <f>+SUMIFS(Tabla1[Avance_Med],Tabla1[Fecha],"&gt;="&amp;$A11,Tabla1[Fecha],"&lt;="&amp;EOMONTH($A11,0),Tabla1[Codigo_actividad],E$4)*E$3</f>
        <v>0</v>
      </c>
      <c r="F11" s="231">
        <f>+SUMIFS(Tabla1[Avance_Med],Tabla1[Fecha],"&gt;="&amp;$A11,Tabla1[Fecha],"&lt;="&amp;EOMONTH($A11,0),Tabla1[Codigo_actividad],F$4)*F$3</f>
        <v>0</v>
      </c>
      <c r="G11" s="231">
        <f>+SUMIFS(Tabla1[Avance_Med],Tabla1[Fecha],"&gt;="&amp;$A11,Tabla1[Fecha],"&lt;="&amp;EOMONTH($A11,0),Tabla1[Codigo_actividad],G$4)*G$3</f>
        <v>0</v>
      </c>
      <c r="H11" s="343">
        <f>+SUMIFS(Tabla1[Avance_km],Tabla1[Fecha],"&gt;="&amp;$A11,Tabla1[Fecha],"&lt;="&amp;EOMONTH($A11,0),Tabla1[Codigo_actividad],H$4)*H$3</f>
        <v>11.253</v>
      </c>
      <c r="I11" s="231"/>
      <c r="J11" s="343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1">
        <f>+SUMIFS(Tabla1[Avance_Med],Tabla1[Fecha],"&gt;="&amp;$A11,Tabla1[Fecha],"&lt;="&amp;EOMONTH($A11,0),Tabla1[Codigo_actividad],L$4)*L$3</f>
        <v>0</v>
      </c>
      <c r="M11" s="343">
        <f>+SUMIFS(Tabla1[Avance_km],Tabla1[Fecha],"&gt;="&amp;$A11,Tabla1[Fecha],"&lt;="&amp;EOMONTH($A11,0),Tabla1[Codigo_actividad],M$4)*M$3</f>
        <v>3.6269999999999998</v>
      </c>
      <c r="N11" s="231">
        <f>+SUMIFS(Tabla1[Avance_Med],Tabla1[Fecha],"&gt;="&amp;$A11,Tabla1[Fecha],"&lt;="&amp;EOMONTH($A11,0),Tabla1[Codigo_actividad],N$4)*N$3</f>
        <v>0</v>
      </c>
      <c r="O11" s="231">
        <f>+SUMIFS(Tabla1[Avance_Med],Tabla1[Fecha],"&gt;="&amp;$A11,Tabla1[Fecha],"&lt;="&amp;EOMONTH($A11,0),Tabla1[Codigo_actividad],O$4)*O$3</f>
        <v>0</v>
      </c>
      <c r="P11" s="231">
        <f>+SUMIFS(Tabla1[Avance_Med],Tabla1[Fecha],"&gt;="&amp;$A11,Tabla1[Fecha],"&lt;="&amp;EOMONTH($A11,0),Tabla1[Codigo_actividad],P$4)*P$3</f>
        <v>0</v>
      </c>
      <c r="Q11" s="231">
        <f>+SUMIFS(Tabla1[Avance_Med],Tabla1[Fecha],"&gt;="&amp;$A11,Tabla1[Fecha],"&lt;="&amp;EOMONTH($A11,0),Tabla1[Codigo_actividad],Q$4)*Q$3</f>
        <v>0</v>
      </c>
      <c r="R11" s="231">
        <f>+SUMIFS(Tabla1[Avance_Med],Tabla1[Fecha],"&gt;="&amp;$A11,Tabla1[Fecha],"&lt;="&amp;EOMONTH($A11,0),Tabla1[Codigo_actividad],R$4)*R$3</f>
        <v>0</v>
      </c>
      <c r="S11" s="231">
        <f>+SUMIFS(Tabla1[Avance_Med],Tabla1[Fecha],"&gt;="&amp;$A11,Tabla1[Fecha],"&lt;="&amp;EOMONTH($A11,0),Tabla1[Codigo_actividad],S$4)*S$3</f>
        <v>0</v>
      </c>
      <c r="T11" s="231">
        <f>+SUMIFS(Tabla1[Avance_Med],Tabla1[Fecha],"&gt;="&amp;$A11,Tabla1[Fecha],"&lt;="&amp;EOMONTH($A11,0),Tabla1[Codigo_actividad],T$4)*T$3</f>
        <v>0</v>
      </c>
      <c r="U11" s="231">
        <f>+SUMIFS(Tabla1[Avance_Med],Tabla1[Fecha],"&gt;="&amp;$A11,Tabla1[Fecha],"&lt;="&amp;EOMONTH($A11,0),Tabla1[Codigo_actividad],U$4)*U$3</f>
        <v>0</v>
      </c>
      <c r="V11" s="231">
        <f>+SUMIFS(Tabla1[Avance_Med],Tabla1[Fecha],"&gt;="&amp;$A11,Tabla1[Fecha],"&lt;="&amp;EOMONTH($A11,0),Tabla1[Codigo_actividad],V$4)*V$3</f>
        <v>0</v>
      </c>
      <c r="W11" s="231">
        <f>+SUMIFS(Tabla1[Avance_Med],Tabla1[Fecha],"&gt;="&amp;$A11,Tabla1[Fecha],"&lt;="&amp;EOMONTH($A11,0),Tabla1[Codigo_actividad],W$4)*W$3</f>
        <v>0</v>
      </c>
      <c r="X11" s="231">
        <f>+SUMIFS(Tabla1[Avance_Med],Tabla1[Fecha],"&gt;="&amp;$A11,Tabla1[Fecha],"&lt;="&amp;EOMONTH($A11,0),Tabla1[Codigo_actividad],X$4)*X$3</f>
        <v>0</v>
      </c>
      <c r="Y11" s="231">
        <f>+SUMIFS(Tabla1[Avance_Med],Tabla1[Fecha],"&gt;="&amp;$A11,Tabla1[Fecha],"&lt;="&amp;EOMONTH($A11,0),Tabla1[Codigo_actividad],Y$4)*Y$3</f>
        <v>0</v>
      </c>
      <c r="Z11" s="231">
        <f>+SUMIFS(Tabla1[Avance_Med],Tabla1[Fecha],"&gt;="&amp;$A11,Tabla1[Fecha],"&lt;="&amp;EOMONTH($A11,0),Tabla1[Codigo_actividad],Z$4)*Z$3</f>
        <v>0</v>
      </c>
      <c r="AA11" s="231">
        <f>+SUMIFS(Tabla1[Avance_Med],Tabla1[Fecha],"&gt;="&amp;$A11,Tabla1[Fecha],"&lt;="&amp;EOMONTH($A11,0),Tabla1[Codigo_actividad],AA$4)*AA$3</f>
        <v>0</v>
      </c>
      <c r="AB11" s="231">
        <f>+SUMIFS(Tabla1[Avance_Med],Tabla1[Fecha],"&gt;="&amp;$A11,Tabla1[Fecha],"&lt;="&amp;EOMONTH($A11,0),Tabla1[Codigo_actividad],AB$4)*AB$3</f>
        <v>0</v>
      </c>
      <c r="AC11" s="231">
        <f>+SUMIFS(Tabla1[Avance_Med],Tabla1[Fecha],"&gt;="&amp;$A11,Tabla1[Fecha],"&lt;="&amp;EOMONTH($A11,0),Tabla1[Codigo_actividad],AC$4)*AC$3</f>
        <v>0</v>
      </c>
      <c r="AD11" s="231">
        <f>+SUMIFS(Tabla1[Avance_Med],Tabla1[Fecha],"&gt;="&amp;$A11,Tabla1[Fecha],"&lt;="&amp;EOMONTH($A11,0),Tabla1[Codigo_actividad],AD$4)*AD$3</f>
        <v>0</v>
      </c>
      <c r="AE11" s="231">
        <f>+SUMIFS(Tabla1[Avance_Med],Tabla1[Fecha],"&gt;="&amp;$A11,Tabla1[Fecha],"&lt;="&amp;EOMONTH($A11,0),Tabla1[Codigo_actividad],AE$4)*AE$3</f>
        <v>0</v>
      </c>
      <c r="AF11" s="231">
        <f>+SUMIFS(Tabla1[Avance_Med],Tabla1[Fecha],"&gt;="&amp;$A11,Tabla1[Fecha],"&lt;="&amp;EOMONTH($A11,0),Tabla1[Codigo_actividad],AF$4)*AF$3</f>
        <v>0</v>
      </c>
      <c r="AG11" s="231">
        <f>+SUMIFS(Tabla1[Avance_Med],Tabla1[Fecha],"&gt;="&amp;$A11,Tabla1[Fecha],"&lt;="&amp;EOMONTH($A11,0),Tabla1[Codigo_actividad],AG$4)*AG$3</f>
        <v>0</v>
      </c>
      <c r="AH11" s="231">
        <f>+SUMIFS(Tabla1[Avance_Med],Tabla1[Fecha],"&gt;="&amp;$A11,Tabla1[Fecha],"&lt;="&amp;EOMONTH($A11,0),Tabla1[Codigo_actividad],AH$4)*AH$3</f>
        <v>0</v>
      </c>
      <c r="AI11" s="231">
        <f>+SUMIFS(Tabla1[Avance_Med],Tabla1[Fecha],"&gt;="&amp;$A11,Tabla1[Fecha],"&lt;="&amp;EOMONTH($A11,0),Tabla1[Codigo_actividad],AI$4)*AI$3</f>
        <v>0</v>
      </c>
      <c r="AJ11" s="231">
        <f>+SUMIFS(Tabla1[Avance_Med],Tabla1[Fecha],"&gt;="&amp;$A11,Tabla1[Fecha],"&lt;="&amp;EOMONTH($A11,0),Tabla1[Codigo_actividad],AJ$4)*AJ$3</f>
        <v>0</v>
      </c>
      <c r="AK11" s="231">
        <f>+SUMIFS(Tabla1[Avance_Med],Tabla1[Fecha],"&gt;="&amp;$A11,Tabla1[Fecha],"&lt;="&amp;EOMONTH($A11,0),Tabla1[Codigo_actividad],AK$4)*AK$3</f>
        <v>0</v>
      </c>
      <c r="AL11" s="231">
        <f>+SUMIFS(Tabla1[Avance_km],Tabla1[Fecha],"&gt;="&amp;$A11,Tabla1[Fecha],"&lt;="&amp;EOMONTH($A11,0),Tabla1[Codigo_actividad],AL$4)*AL$3</f>
        <v>0</v>
      </c>
      <c r="AM11" s="231">
        <f>+SUMIFS(Tabla1[Avance_Med],Tabla1[Fecha],"&gt;="&amp;$A11,Tabla1[Fecha],"&lt;="&amp;EOMONTH($A11,0),Tabla1[Codigo_actividad],AM$4)*AM$3</f>
        <v>0</v>
      </c>
    </row>
    <row r="12" spans="1:39" x14ac:dyDescent="0.25">
      <c r="A12" s="226">
        <v>46174</v>
      </c>
      <c r="B12" s="231">
        <v>0</v>
      </c>
      <c r="C12" s="231">
        <f>+SUMIFS(Tabla1[Avance_Med],Tabla1[Fecha],"&gt;="&amp;$A12,Tabla1[Fecha],"&lt;="&amp;EOMONTH($A12,0),Tabla1[Codigo_actividad],C$4)*C$3</f>
        <v>0</v>
      </c>
      <c r="D12" s="231">
        <f>+SUMIFS(Tabla1[Avance_Med],Tabla1[Fecha],"&gt;="&amp;$A12,Tabla1[Fecha],"&lt;="&amp;EOMONTH($A12,0),Tabla1[Codigo_actividad],D$4)*D$3</f>
        <v>0</v>
      </c>
      <c r="E12" s="231">
        <f>+SUMIFS(Tabla1[Avance_Med],Tabla1[Fecha],"&gt;="&amp;$A12,Tabla1[Fecha],"&lt;="&amp;EOMONTH($A12,0),Tabla1[Codigo_actividad],E$4)*E$3</f>
        <v>0</v>
      </c>
      <c r="F12" s="231">
        <f>+SUMIFS(Tabla1[Avance_Med],Tabla1[Fecha],"&gt;="&amp;$A12,Tabla1[Fecha],"&lt;="&amp;EOMONTH($A12,0),Tabla1[Codigo_actividad],F$4)*F$3</f>
        <v>0</v>
      </c>
      <c r="G12" s="231">
        <f>+SUMIFS(Tabla1[Avance_Med],Tabla1[Fecha],"&gt;="&amp;$A12,Tabla1[Fecha],"&lt;="&amp;EOMONTH($A12,0),Tabla1[Codigo_actividad],G$4)*G$3</f>
        <v>0</v>
      </c>
      <c r="H12" s="343">
        <f>+SUMIFS(Tabla1[Avance_km],Tabla1[Fecha],"&gt;="&amp;$A12,Tabla1[Fecha],"&lt;="&amp;EOMONTH($A12,0),Tabla1[Codigo_actividad],H$4)*H$3</f>
        <v>20.328000000000003</v>
      </c>
      <c r="I12" s="231"/>
      <c r="J12" s="343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1">
        <f>+SUMIFS(Tabla1[Avance_Med],Tabla1[Fecha],"&gt;="&amp;$A12,Tabla1[Fecha],"&lt;="&amp;EOMONTH($A12,0),Tabla1[Codigo_actividad],L$4)*L$3</f>
        <v>0</v>
      </c>
      <c r="M12" s="343">
        <f>+SUMIFS(Tabla1[Avance_km],Tabla1[Fecha],"&gt;="&amp;$A12,Tabla1[Fecha],"&lt;="&amp;EOMONTH($A12,0),Tabla1[Codigo_actividad],M$4)*M$3</f>
        <v>5.4169999999999998</v>
      </c>
      <c r="N12" s="231">
        <f>+SUMIFS(Tabla1[Avance_Med],Tabla1[Fecha],"&gt;="&amp;$A12,Tabla1[Fecha],"&lt;="&amp;EOMONTH($A12,0),Tabla1[Codigo_actividad],N$4)*N$3</f>
        <v>0</v>
      </c>
      <c r="O12" s="231">
        <f>+SUMIFS(Tabla1[Avance_Med],Tabla1[Fecha],"&gt;="&amp;$A12,Tabla1[Fecha],"&lt;="&amp;EOMONTH($A12,0),Tabla1[Codigo_actividad],O$4)*O$3</f>
        <v>0</v>
      </c>
      <c r="P12" s="231">
        <f>+SUMIFS(Tabla1[Avance_Med],Tabla1[Fecha],"&gt;="&amp;$A12,Tabla1[Fecha],"&lt;="&amp;EOMONTH($A12,0),Tabla1[Codigo_actividad],P$4)*P$3</f>
        <v>0</v>
      </c>
      <c r="Q12" s="231">
        <f>+SUMIFS(Tabla1[Avance_Med],Tabla1[Fecha],"&gt;="&amp;$A12,Tabla1[Fecha],"&lt;="&amp;EOMONTH($A12,0),Tabla1[Codigo_actividad],Q$4)*Q$3</f>
        <v>0</v>
      </c>
      <c r="R12" s="231">
        <f>+SUMIFS(Tabla1[Avance_Med],Tabla1[Fecha],"&gt;="&amp;$A12,Tabla1[Fecha],"&lt;="&amp;EOMONTH($A12,0),Tabla1[Codigo_actividad],R$4)*R$3</f>
        <v>0</v>
      </c>
      <c r="S12" s="231">
        <f>+SUMIFS(Tabla1[Avance_Med],Tabla1[Fecha],"&gt;="&amp;$A12,Tabla1[Fecha],"&lt;="&amp;EOMONTH($A12,0),Tabla1[Codigo_actividad],S$4)*S$3</f>
        <v>0</v>
      </c>
      <c r="T12" s="231">
        <f>+SUMIFS(Tabla1[Avance_Med],Tabla1[Fecha],"&gt;="&amp;$A12,Tabla1[Fecha],"&lt;="&amp;EOMONTH($A12,0),Tabla1[Codigo_actividad],T$4)*T$3</f>
        <v>0</v>
      </c>
      <c r="U12" s="231">
        <f>+SUMIFS(Tabla1[Avance_Med],Tabla1[Fecha],"&gt;="&amp;$A12,Tabla1[Fecha],"&lt;="&amp;EOMONTH($A12,0),Tabla1[Codigo_actividad],U$4)*U$3</f>
        <v>0</v>
      </c>
      <c r="V12" s="231">
        <f>+SUMIFS(Tabla1[Avance_Med],Tabla1[Fecha],"&gt;="&amp;$A12,Tabla1[Fecha],"&lt;="&amp;EOMONTH($A12,0),Tabla1[Codigo_actividad],V$4)*V$3</f>
        <v>0</v>
      </c>
      <c r="W12" s="231">
        <f>+SUMIFS(Tabla1[Avance_Med],Tabla1[Fecha],"&gt;="&amp;$A12,Tabla1[Fecha],"&lt;="&amp;EOMONTH($A12,0),Tabla1[Codigo_actividad],W$4)*W$3</f>
        <v>0</v>
      </c>
      <c r="X12" s="231">
        <f>+SUMIFS(Tabla1[Avance_Med],Tabla1[Fecha],"&gt;="&amp;$A12,Tabla1[Fecha],"&lt;="&amp;EOMONTH($A12,0),Tabla1[Codigo_actividad],X$4)*X$3</f>
        <v>0</v>
      </c>
      <c r="Y12" s="231">
        <f>+SUMIFS(Tabla1[Avance_Med],Tabla1[Fecha],"&gt;="&amp;$A12,Tabla1[Fecha],"&lt;="&amp;EOMONTH($A12,0),Tabla1[Codigo_actividad],Y$4)*Y$3</f>
        <v>0</v>
      </c>
      <c r="Z12" s="231">
        <f>+SUMIFS(Tabla1[Avance_Med],Tabla1[Fecha],"&gt;="&amp;$A12,Tabla1[Fecha],"&lt;="&amp;EOMONTH($A12,0),Tabla1[Codigo_actividad],Z$4)*Z$3</f>
        <v>0</v>
      </c>
      <c r="AA12" s="231">
        <f>+SUMIFS(Tabla1[Avance_Med],Tabla1[Fecha],"&gt;="&amp;$A12,Tabla1[Fecha],"&lt;="&amp;EOMONTH($A12,0),Tabla1[Codigo_actividad],AA$4)*AA$3</f>
        <v>0</v>
      </c>
      <c r="AB12" s="231">
        <f>+SUMIFS(Tabla1[Avance_Med],Tabla1[Fecha],"&gt;="&amp;$A12,Tabla1[Fecha],"&lt;="&amp;EOMONTH($A12,0),Tabla1[Codigo_actividad],AB$4)*AB$3</f>
        <v>0</v>
      </c>
      <c r="AC12" s="231">
        <f>+SUMIFS(Tabla1[Avance_Med],Tabla1[Fecha],"&gt;="&amp;$A12,Tabla1[Fecha],"&lt;="&amp;EOMONTH($A12,0),Tabla1[Codigo_actividad],AC$4)*AC$3</f>
        <v>0</v>
      </c>
      <c r="AD12" s="231">
        <f>+SUMIFS(Tabla1[Avance_Med],Tabla1[Fecha],"&gt;="&amp;$A12,Tabla1[Fecha],"&lt;="&amp;EOMONTH($A12,0),Tabla1[Codigo_actividad],AD$4)*AD$3</f>
        <v>0</v>
      </c>
      <c r="AE12" s="231">
        <f>+SUMIFS(Tabla1[Avance_Med],Tabla1[Fecha],"&gt;="&amp;$A12,Tabla1[Fecha],"&lt;="&amp;EOMONTH($A12,0),Tabla1[Codigo_actividad],AE$4)*AE$3</f>
        <v>0</v>
      </c>
      <c r="AF12" s="231">
        <f>+SUMIFS(Tabla1[Avance_Med],Tabla1[Fecha],"&gt;="&amp;$A12,Tabla1[Fecha],"&lt;="&amp;EOMONTH($A12,0),Tabla1[Codigo_actividad],AF$4)*AF$3</f>
        <v>0</v>
      </c>
      <c r="AG12" s="231">
        <f>+SUMIFS(Tabla1[Avance_Med],Tabla1[Fecha],"&gt;="&amp;$A12,Tabla1[Fecha],"&lt;="&amp;EOMONTH($A12,0),Tabla1[Codigo_actividad],AG$4)*AG$3</f>
        <v>0</v>
      </c>
      <c r="AH12" s="231">
        <f>+SUMIFS(Tabla1[Avance_Med],Tabla1[Fecha],"&gt;="&amp;$A12,Tabla1[Fecha],"&lt;="&amp;EOMONTH($A12,0),Tabla1[Codigo_actividad],AH$4)*AH$3</f>
        <v>0</v>
      </c>
      <c r="AI12" s="231">
        <f>+SUMIFS(Tabla1[Avance_Med],Tabla1[Fecha],"&gt;="&amp;$A12,Tabla1[Fecha],"&lt;="&amp;EOMONTH($A12,0),Tabla1[Codigo_actividad],AI$4)*AI$3</f>
        <v>0</v>
      </c>
      <c r="AJ12" s="231">
        <f>+SUMIFS(Tabla1[Avance_Med],Tabla1[Fecha],"&gt;="&amp;$A12,Tabla1[Fecha],"&lt;="&amp;EOMONTH($A12,0),Tabla1[Codigo_actividad],AJ$4)*AJ$3</f>
        <v>0</v>
      </c>
      <c r="AK12" s="231">
        <f>+SUMIFS(Tabla1[Avance_Med],Tabla1[Fecha],"&gt;="&amp;$A12,Tabla1[Fecha],"&lt;="&amp;EOMONTH($A12,0),Tabla1[Codigo_actividad],AK$4)*AK$3</f>
        <v>0</v>
      </c>
      <c r="AL12" s="231">
        <f>+SUMIFS(Tabla1[Avance_km],Tabla1[Fecha],"&gt;="&amp;$A12,Tabla1[Fecha],"&lt;="&amp;EOMONTH($A12,0),Tabla1[Codigo_actividad],AL$4)*AL$3</f>
        <v>0</v>
      </c>
      <c r="AM12" s="231">
        <f>+SUMIFS(Tabla1[Avance_Med],Tabla1[Fecha],"&gt;="&amp;$A12,Tabla1[Fecha],"&lt;="&amp;EOMONTH($A12,0),Tabla1[Codigo_actividad],AM$4)*AM$3</f>
        <v>0</v>
      </c>
    </row>
    <row r="13" spans="1:39" x14ac:dyDescent="0.25">
      <c r="A13" s="226">
        <v>46204</v>
      </c>
      <c r="B13" s="231">
        <v>0</v>
      </c>
      <c r="C13" s="231">
        <f>+SUMIFS(Tabla1[Avance_Med],Tabla1[Fecha],"&gt;="&amp;$A13,Tabla1[Fecha],"&lt;="&amp;EOMONTH($A13,0),Tabla1[Codigo_actividad],C$4)*C$3</f>
        <v>0</v>
      </c>
      <c r="D13" s="231">
        <f>+SUMIFS(Tabla1[Avance_Med],Tabla1[Fecha],"&gt;="&amp;$A13,Tabla1[Fecha],"&lt;="&amp;EOMONTH($A13,0),Tabla1[Codigo_actividad],D$4)*D$3</f>
        <v>0</v>
      </c>
      <c r="E13" s="231">
        <f>+SUMIFS(Tabla1[Avance_Med],Tabla1[Fecha],"&gt;="&amp;$A13,Tabla1[Fecha],"&lt;="&amp;EOMONTH($A13,0),Tabla1[Codigo_actividad],E$4)*E$3</f>
        <v>0</v>
      </c>
      <c r="F13" s="231">
        <f>+SUMIFS(Tabla1[Avance_Med],Tabla1[Fecha],"&gt;="&amp;$A13,Tabla1[Fecha],"&lt;="&amp;EOMONTH($A13,0),Tabla1[Codigo_actividad],F$4)*F$3</f>
        <v>0</v>
      </c>
      <c r="G13" s="231">
        <f>+SUMIFS(Tabla1[Avance_Med],Tabla1[Fecha],"&gt;="&amp;$A13,Tabla1[Fecha],"&lt;="&amp;EOMONTH($A13,0),Tabla1[Codigo_actividad],G$4)*G$3</f>
        <v>0</v>
      </c>
      <c r="H13" s="343">
        <f>+SUMIFS(Tabla1[Avance_km],Tabla1[Fecha],"&gt;="&amp;$A13,Tabla1[Fecha],"&lt;="&amp;EOMONTH($A13,0),Tabla1[Codigo_actividad],H$4)*H$3</f>
        <v>13.568</v>
      </c>
      <c r="I13" s="231"/>
      <c r="J13" s="343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1">
        <f>+SUMIFS(Tabla1[Avance_Med],Tabla1[Fecha],"&gt;="&amp;$A13,Tabla1[Fecha],"&lt;="&amp;EOMONTH($A13,0),Tabla1[Codigo_actividad],L$4)*L$3</f>
        <v>0</v>
      </c>
      <c r="M13" s="343">
        <f>+SUMIFS(Tabla1[Avance_km],Tabla1[Fecha],"&gt;="&amp;$A13,Tabla1[Fecha],"&lt;="&amp;EOMONTH($A13,0),Tabla1[Codigo_actividad],M$4)*M$3</f>
        <v>13.835000000000001</v>
      </c>
      <c r="N13" s="231">
        <f>+SUMIFS(Tabla1[Avance_Med],Tabla1[Fecha],"&gt;="&amp;$A13,Tabla1[Fecha],"&lt;="&amp;EOMONTH($A13,0),Tabla1[Codigo_actividad],N$4)*N$3</f>
        <v>0</v>
      </c>
      <c r="O13" s="231">
        <f>+SUMIFS(Tabla1[Avance_Med],Tabla1[Fecha],"&gt;="&amp;$A13,Tabla1[Fecha],"&lt;="&amp;EOMONTH($A13,0),Tabla1[Codigo_actividad],O$4)*O$3</f>
        <v>0</v>
      </c>
      <c r="P13" s="231">
        <f>+SUMIFS(Tabla1[Avance_Med],Tabla1[Fecha],"&gt;="&amp;$A13,Tabla1[Fecha],"&lt;="&amp;EOMONTH($A13,0),Tabla1[Codigo_actividad],P$4)*P$3</f>
        <v>0</v>
      </c>
      <c r="Q13" s="231">
        <f>+SUMIFS(Tabla1[Avance_Med],Tabla1[Fecha],"&gt;="&amp;$A13,Tabla1[Fecha],"&lt;="&amp;EOMONTH($A13,0),Tabla1[Codigo_actividad],Q$4)*Q$3</f>
        <v>0</v>
      </c>
      <c r="R13" s="231">
        <f>+SUMIFS(Tabla1[Avance_Med],Tabla1[Fecha],"&gt;="&amp;$A13,Tabla1[Fecha],"&lt;="&amp;EOMONTH($A13,0),Tabla1[Codigo_actividad],R$4)*R$3</f>
        <v>0</v>
      </c>
      <c r="S13" s="231">
        <f>+SUMIFS(Tabla1[Avance_Med],Tabla1[Fecha],"&gt;="&amp;$A13,Tabla1[Fecha],"&lt;="&amp;EOMONTH($A13,0),Tabla1[Codigo_actividad],S$4)*S$3</f>
        <v>0</v>
      </c>
      <c r="T13" s="231">
        <f>+SUMIFS(Tabla1[Avance_Med],Tabla1[Fecha],"&gt;="&amp;$A13,Tabla1[Fecha],"&lt;="&amp;EOMONTH($A13,0),Tabla1[Codigo_actividad],T$4)*T$3</f>
        <v>0</v>
      </c>
      <c r="U13" s="231">
        <f>+SUMIFS(Tabla1[Avance_Med],Tabla1[Fecha],"&gt;="&amp;$A13,Tabla1[Fecha],"&lt;="&amp;EOMONTH($A13,0),Tabla1[Codigo_actividad],U$4)*U$3</f>
        <v>0</v>
      </c>
      <c r="V13" s="231">
        <f>+SUMIFS(Tabla1[Avance_Med],Tabla1[Fecha],"&gt;="&amp;$A13,Tabla1[Fecha],"&lt;="&amp;EOMONTH($A13,0),Tabla1[Codigo_actividad],V$4)*V$3</f>
        <v>0</v>
      </c>
      <c r="W13" s="231">
        <f>+SUMIFS(Tabla1[Avance_Med],Tabla1[Fecha],"&gt;="&amp;$A13,Tabla1[Fecha],"&lt;="&amp;EOMONTH($A13,0),Tabla1[Codigo_actividad],W$4)*W$3</f>
        <v>0</v>
      </c>
      <c r="X13" s="231">
        <f>+SUMIFS(Tabla1[Avance_Med],Tabla1[Fecha],"&gt;="&amp;$A13,Tabla1[Fecha],"&lt;="&amp;EOMONTH($A13,0),Tabla1[Codigo_actividad],X$4)*X$3</f>
        <v>0</v>
      </c>
      <c r="Y13" s="231">
        <f>+SUMIFS(Tabla1[Avance_Med],Tabla1[Fecha],"&gt;="&amp;$A13,Tabla1[Fecha],"&lt;="&amp;EOMONTH($A13,0),Tabla1[Codigo_actividad],Y$4)*Y$3</f>
        <v>0</v>
      </c>
      <c r="Z13" s="231">
        <f>+SUMIFS(Tabla1[Avance_Med],Tabla1[Fecha],"&gt;="&amp;$A13,Tabla1[Fecha],"&lt;="&amp;EOMONTH($A13,0),Tabla1[Codigo_actividad],Z$4)*Z$3</f>
        <v>0</v>
      </c>
      <c r="AA13" s="231">
        <f>+SUMIFS(Tabla1[Avance_Med],Tabla1[Fecha],"&gt;="&amp;$A13,Tabla1[Fecha],"&lt;="&amp;EOMONTH($A13,0),Tabla1[Codigo_actividad],AA$4)*AA$3</f>
        <v>0</v>
      </c>
      <c r="AB13" s="231">
        <f>+SUMIFS(Tabla1[Avance_Med],Tabla1[Fecha],"&gt;="&amp;$A13,Tabla1[Fecha],"&lt;="&amp;EOMONTH($A13,0),Tabla1[Codigo_actividad],AB$4)*AB$3</f>
        <v>0</v>
      </c>
      <c r="AC13" s="231">
        <f>+SUMIFS(Tabla1[Avance_Med],Tabla1[Fecha],"&gt;="&amp;$A13,Tabla1[Fecha],"&lt;="&amp;EOMONTH($A13,0),Tabla1[Codigo_actividad],AC$4)*AC$3</f>
        <v>0</v>
      </c>
      <c r="AD13" s="231">
        <f>+SUMIFS(Tabla1[Avance_Med],Tabla1[Fecha],"&gt;="&amp;$A13,Tabla1[Fecha],"&lt;="&amp;EOMONTH($A13,0),Tabla1[Codigo_actividad],AD$4)*AD$3</f>
        <v>0</v>
      </c>
      <c r="AE13" s="231">
        <f>+SUMIFS(Tabla1[Avance_Med],Tabla1[Fecha],"&gt;="&amp;$A13,Tabla1[Fecha],"&lt;="&amp;EOMONTH($A13,0),Tabla1[Codigo_actividad],AE$4)*AE$3</f>
        <v>0</v>
      </c>
      <c r="AF13" s="231">
        <f>+SUMIFS(Tabla1[Avance_Med],Tabla1[Fecha],"&gt;="&amp;$A13,Tabla1[Fecha],"&lt;="&amp;EOMONTH($A13,0),Tabla1[Codigo_actividad],AF$4)*AF$3</f>
        <v>0</v>
      </c>
      <c r="AG13" s="231">
        <f>+SUMIFS(Tabla1[Avance_Med],Tabla1[Fecha],"&gt;="&amp;$A13,Tabla1[Fecha],"&lt;="&amp;EOMONTH($A13,0),Tabla1[Codigo_actividad],AG$4)*AG$3</f>
        <v>0</v>
      </c>
      <c r="AH13" s="231">
        <f>+SUMIFS(Tabla1[Avance_Med],Tabla1[Fecha],"&gt;="&amp;$A13,Tabla1[Fecha],"&lt;="&amp;EOMONTH($A13,0),Tabla1[Codigo_actividad],AH$4)*AH$3</f>
        <v>0</v>
      </c>
      <c r="AI13" s="231">
        <f>+SUMIFS(Tabla1[Avance_Med],Tabla1[Fecha],"&gt;="&amp;$A13,Tabla1[Fecha],"&lt;="&amp;EOMONTH($A13,0),Tabla1[Codigo_actividad],AI$4)*AI$3</f>
        <v>0</v>
      </c>
      <c r="AJ13" s="231">
        <f>+SUMIFS(Tabla1[Avance_Med],Tabla1[Fecha],"&gt;="&amp;$A13,Tabla1[Fecha],"&lt;="&amp;EOMONTH($A13,0),Tabla1[Codigo_actividad],AJ$4)*AJ$3</f>
        <v>0</v>
      </c>
      <c r="AK13" s="231">
        <f>+SUMIFS(Tabla1[Avance_Med],Tabla1[Fecha],"&gt;="&amp;$A13,Tabla1[Fecha],"&lt;="&amp;EOMONTH($A13,0),Tabla1[Codigo_actividad],AK$4)*AK$3</f>
        <v>0</v>
      </c>
      <c r="AL13" s="231">
        <f>+SUMIFS(Tabla1[Avance_km],Tabla1[Fecha],"&gt;="&amp;$A13,Tabla1[Fecha],"&lt;="&amp;EOMONTH($A13,0),Tabla1[Codigo_actividad],AL$4)*AL$3</f>
        <v>0</v>
      </c>
      <c r="AM13" s="231">
        <f>+SUMIFS(Tabla1[Avance_Med],Tabla1[Fecha],"&gt;="&amp;$A13,Tabla1[Fecha],"&lt;="&amp;EOMONTH($A13,0),Tabla1[Codigo_actividad],AM$4)*AM$3</f>
        <v>0</v>
      </c>
    </row>
    <row r="14" spans="1:39" x14ac:dyDescent="0.25">
      <c r="A14" s="226">
        <v>46235</v>
      </c>
      <c r="B14" s="231">
        <v>0</v>
      </c>
      <c r="C14" s="231">
        <f>+SUMIFS(Tabla1[Avance_Med],Tabla1[Fecha],"&gt;="&amp;$A14,Tabla1[Fecha],"&lt;="&amp;EOMONTH($A14,0),Tabla1[Codigo_actividad],C$4)*C$3</f>
        <v>0</v>
      </c>
      <c r="D14" s="231">
        <f>+SUMIFS(Tabla1[Avance_Med],Tabla1[Fecha],"&gt;="&amp;$A14,Tabla1[Fecha],"&lt;="&amp;EOMONTH($A14,0),Tabla1[Codigo_actividad],D$4)*D$3</f>
        <v>0</v>
      </c>
      <c r="E14" s="231">
        <f>+SUMIFS(Tabla1[Avance_Med],Tabla1[Fecha],"&gt;="&amp;$A14,Tabla1[Fecha],"&lt;="&amp;EOMONTH($A14,0),Tabla1[Codigo_actividad],E$4)*E$3</f>
        <v>0</v>
      </c>
      <c r="F14" s="231">
        <f>+SUMIFS(Tabla1[Avance_Med],Tabla1[Fecha],"&gt;="&amp;$A14,Tabla1[Fecha],"&lt;="&amp;EOMONTH($A14,0),Tabla1[Codigo_actividad],F$4)*F$3</f>
        <v>0</v>
      </c>
      <c r="G14" s="231">
        <f>+SUMIFS(Tabla1[Avance_Med],Tabla1[Fecha],"&gt;="&amp;$A14,Tabla1[Fecha],"&lt;="&amp;EOMONTH($A14,0),Tabla1[Codigo_actividad],G$4)*G$3</f>
        <v>0</v>
      </c>
      <c r="H14" s="343">
        <f>+SUMIFS(Tabla1[Avance_km],Tabla1[Fecha],"&gt;="&amp;$A14,Tabla1[Fecha],"&lt;="&amp;EOMONTH($A14,0),Tabla1[Codigo_actividad],H$4)*H$3</f>
        <v>10.033000000000001</v>
      </c>
      <c r="I14" s="231"/>
      <c r="J14" s="343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1">
        <f>+SUMIFS(Tabla1[Avance_Med],Tabla1[Fecha],"&gt;="&amp;$A14,Tabla1[Fecha],"&lt;="&amp;EOMONTH($A14,0),Tabla1[Codigo_actividad],L$4)*L$3</f>
        <v>0</v>
      </c>
      <c r="M14" s="343">
        <f>+SUMIFS(Tabla1[Avance_km],Tabla1[Fecha],"&gt;="&amp;$A14,Tabla1[Fecha],"&lt;="&amp;EOMONTH($A14,0),Tabla1[Codigo_actividad],M$4)*M$3</f>
        <v>12.17</v>
      </c>
      <c r="N14" s="231">
        <f>+SUMIFS(Tabla1[Avance_Med],Tabla1[Fecha],"&gt;="&amp;$A14,Tabla1[Fecha],"&lt;="&amp;EOMONTH($A14,0),Tabla1[Codigo_actividad],N$4)*N$3</f>
        <v>0</v>
      </c>
      <c r="O14" s="231">
        <f>+SUMIFS(Tabla1[Avance_Med],Tabla1[Fecha],"&gt;="&amp;$A14,Tabla1[Fecha],"&lt;="&amp;EOMONTH($A14,0),Tabla1[Codigo_actividad],O$4)*O$3</f>
        <v>0</v>
      </c>
      <c r="P14" s="231">
        <f>+SUMIFS(Tabla1[Avance_Med],Tabla1[Fecha],"&gt;="&amp;$A14,Tabla1[Fecha],"&lt;="&amp;EOMONTH($A14,0),Tabla1[Codigo_actividad],P$4)*P$3</f>
        <v>0</v>
      </c>
      <c r="Q14" s="231">
        <f>+SUMIFS(Tabla1[Avance_Med],Tabla1[Fecha],"&gt;="&amp;$A14,Tabla1[Fecha],"&lt;="&amp;EOMONTH($A14,0),Tabla1[Codigo_actividad],Q$4)*Q$3</f>
        <v>2</v>
      </c>
      <c r="R14" s="231">
        <f>+SUMIFS(Tabla1[Avance_Med],Tabla1[Fecha],"&gt;="&amp;$A14,Tabla1[Fecha],"&lt;="&amp;EOMONTH($A14,0),Tabla1[Codigo_actividad],R$4)*R$3</f>
        <v>2</v>
      </c>
      <c r="S14" s="231">
        <f>+SUMIFS(Tabla1[Avance_Med],Tabla1[Fecha],"&gt;="&amp;$A14,Tabla1[Fecha],"&lt;="&amp;EOMONTH($A14,0),Tabla1[Codigo_actividad],S$4)*S$3</f>
        <v>2</v>
      </c>
      <c r="T14" s="231">
        <f>+SUMIFS(Tabla1[Avance_Med],Tabla1[Fecha],"&gt;="&amp;$A14,Tabla1[Fecha],"&lt;="&amp;EOMONTH($A14,0),Tabla1[Codigo_actividad],T$4)*T$3</f>
        <v>2</v>
      </c>
      <c r="U14" s="231">
        <f>+SUMIFS(Tabla1[Avance_Med],Tabla1[Fecha],"&gt;="&amp;$A14,Tabla1[Fecha],"&lt;="&amp;EOMONTH($A14,0),Tabla1[Codigo_actividad],U$4)*U$3</f>
        <v>0</v>
      </c>
      <c r="V14" s="231">
        <f>+SUMIFS(Tabla1[Avance_Med],Tabla1[Fecha],"&gt;="&amp;$A14,Tabla1[Fecha],"&lt;="&amp;EOMONTH($A14,0),Tabla1[Codigo_actividad],V$4)*V$3</f>
        <v>2</v>
      </c>
      <c r="W14" s="231">
        <f>+SUMIFS(Tabla1[Avance_Med],Tabla1[Fecha],"&gt;="&amp;$A14,Tabla1[Fecha],"&lt;="&amp;EOMONTH($A14,0),Tabla1[Codigo_actividad],W$4)*W$3</f>
        <v>0</v>
      </c>
      <c r="X14" s="231">
        <f>+SUMIFS(Tabla1[Avance_Med],Tabla1[Fecha],"&gt;="&amp;$A14,Tabla1[Fecha],"&lt;="&amp;EOMONTH($A14,0),Tabla1[Codigo_actividad],X$4)*X$3</f>
        <v>0</v>
      </c>
      <c r="Y14" s="231">
        <f>+SUMIFS(Tabla1[Avance_Med],Tabla1[Fecha],"&gt;="&amp;$A14,Tabla1[Fecha],"&lt;="&amp;EOMONTH($A14,0),Tabla1[Codigo_actividad],Y$4)*Y$3</f>
        <v>2</v>
      </c>
      <c r="Z14" s="231">
        <f>+SUMIFS(Tabla1[Avance_Med],Tabla1[Fecha],"&gt;="&amp;$A14,Tabla1[Fecha],"&lt;="&amp;EOMONTH($A14,0),Tabla1[Codigo_actividad],Z$4)*Z$3</f>
        <v>2</v>
      </c>
      <c r="AA14" s="231">
        <f>+SUMIFS(Tabla1[Avance_Med],Tabla1[Fecha],"&gt;="&amp;$A14,Tabla1[Fecha],"&lt;="&amp;EOMONTH($A14,0),Tabla1[Codigo_actividad],AA$4)*AA$3</f>
        <v>0</v>
      </c>
      <c r="AB14" s="231">
        <f>+SUMIFS(Tabla1[Avance_Med],Tabla1[Fecha],"&gt;="&amp;$A14,Tabla1[Fecha],"&lt;="&amp;EOMONTH($A14,0),Tabla1[Codigo_actividad],AB$4)*AB$3</f>
        <v>0</v>
      </c>
      <c r="AC14" s="231">
        <f>+SUMIFS(Tabla1[Avance_Med],Tabla1[Fecha],"&gt;="&amp;$A14,Tabla1[Fecha],"&lt;="&amp;EOMONTH($A14,0),Tabla1[Codigo_actividad],AC$4)*AC$3</f>
        <v>0</v>
      </c>
      <c r="AD14" s="231">
        <f>+SUMIFS(Tabla1[Avance_Med],Tabla1[Fecha],"&gt;="&amp;$A14,Tabla1[Fecha],"&lt;="&amp;EOMONTH($A14,0),Tabla1[Codigo_actividad],AD$4)*AD$3</f>
        <v>0</v>
      </c>
      <c r="AE14" s="231">
        <f>+SUMIFS(Tabla1[Avance_Med],Tabla1[Fecha],"&gt;="&amp;$A14,Tabla1[Fecha],"&lt;="&amp;EOMONTH($A14,0),Tabla1[Codigo_actividad],AE$4)*AE$3</f>
        <v>0</v>
      </c>
      <c r="AF14" s="231">
        <f>+SUMIFS(Tabla1[Avance_Med],Tabla1[Fecha],"&gt;="&amp;$A14,Tabla1[Fecha],"&lt;="&amp;EOMONTH($A14,0),Tabla1[Codigo_actividad],AF$4)*AF$3</f>
        <v>0</v>
      </c>
      <c r="AG14" s="231">
        <f>+SUMIFS(Tabla1[Avance_Med],Tabla1[Fecha],"&gt;="&amp;$A14,Tabla1[Fecha],"&lt;="&amp;EOMONTH($A14,0),Tabla1[Codigo_actividad],AG$4)*AG$3</f>
        <v>0</v>
      </c>
      <c r="AH14" s="231">
        <f>+SUMIFS(Tabla1[Avance_Med],Tabla1[Fecha],"&gt;="&amp;$A14,Tabla1[Fecha],"&lt;="&amp;EOMONTH($A14,0),Tabla1[Codigo_actividad],AH$4)*AH$3</f>
        <v>0</v>
      </c>
      <c r="AI14" s="231">
        <f>+SUMIFS(Tabla1[Avance_Med],Tabla1[Fecha],"&gt;="&amp;$A14,Tabla1[Fecha],"&lt;="&amp;EOMONTH($A14,0),Tabla1[Codigo_actividad],AI$4)*AI$3</f>
        <v>0</v>
      </c>
      <c r="AJ14" s="231">
        <f>+SUMIFS(Tabla1[Avance_Med],Tabla1[Fecha],"&gt;="&amp;$A14,Tabla1[Fecha],"&lt;="&amp;EOMONTH($A14,0),Tabla1[Codigo_actividad],AJ$4)*AJ$3</f>
        <v>24</v>
      </c>
      <c r="AK14" s="231">
        <f>+SUMIFS(Tabla1[Avance_Med],Tabla1[Fecha],"&gt;="&amp;$A14,Tabla1[Fecha],"&lt;="&amp;EOMONTH($A14,0),Tabla1[Codigo_actividad],AK$4)*AK$3</f>
        <v>24</v>
      </c>
      <c r="AL14" s="231">
        <f>+SUMIFS(Tabla1[Avance_km],Tabla1[Fecha],"&gt;="&amp;$A14,Tabla1[Fecha],"&lt;="&amp;EOMONTH($A14,0),Tabla1[Codigo_actividad],AL$4)*AL$3</f>
        <v>0</v>
      </c>
      <c r="AM14" s="231">
        <f>+SUMIFS(Tabla1[Avance_Med],Tabla1[Fecha],"&gt;="&amp;$A14,Tabla1[Fecha],"&lt;="&amp;EOMONTH($A14,0),Tabla1[Codigo_actividad],AM$4)*AM$3</f>
        <v>0</v>
      </c>
    </row>
    <row r="15" spans="1:39" x14ac:dyDescent="0.25">
      <c r="A15" s="226">
        <v>46266</v>
      </c>
      <c r="B15" s="231">
        <v>0</v>
      </c>
      <c r="C15" s="231">
        <f>+SUMIFS(Tabla1[Avance_Med],Tabla1[Fecha],"&gt;="&amp;$A15,Tabla1[Fecha],"&lt;="&amp;EOMONTH($A15,0),Tabla1[Codigo_actividad],C$4)*C$3</f>
        <v>0</v>
      </c>
      <c r="D15" s="231">
        <f>+SUMIFS(Tabla1[Avance_Med],Tabla1[Fecha],"&gt;="&amp;$A15,Tabla1[Fecha],"&lt;="&amp;EOMONTH($A15,0),Tabla1[Codigo_actividad],D$4)*D$3</f>
        <v>0</v>
      </c>
      <c r="E15" s="231">
        <f>+SUMIFS(Tabla1[Avance_Med],Tabla1[Fecha],"&gt;="&amp;$A15,Tabla1[Fecha],"&lt;="&amp;EOMONTH($A15,0),Tabla1[Codigo_actividad],E$4)*E$3</f>
        <v>0</v>
      </c>
      <c r="F15" s="231">
        <f>+SUMIFS(Tabla1[Avance_Med],Tabla1[Fecha],"&gt;="&amp;$A15,Tabla1[Fecha],"&lt;="&amp;EOMONTH($A15,0),Tabla1[Codigo_actividad],F$4)*F$3</f>
        <v>0</v>
      </c>
      <c r="G15" s="231">
        <f>+SUMIFS(Tabla1[Avance_Med],Tabla1[Fecha],"&gt;="&amp;$A15,Tabla1[Fecha],"&lt;="&amp;EOMONTH($A15,0),Tabla1[Codigo_actividad],G$4)*G$3</f>
        <v>0</v>
      </c>
      <c r="H15" s="343">
        <f>+SUMIFS(Tabla1[Avance_km],Tabla1[Fecha],"&gt;="&amp;$A15,Tabla1[Fecha],"&lt;="&amp;EOMONTH($A15,0),Tabla1[Codigo_actividad],H$4)*H$3</f>
        <v>10.719999999999999</v>
      </c>
      <c r="I15" s="231"/>
      <c r="J15" s="343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32.143000000000001</v>
      </c>
      <c r="L15" s="231">
        <f>+SUMIFS(Tabla1[Avance_Med],Tabla1[Fecha],"&gt;="&amp;$A15,Tabla1[Fecha],"&lt;="&amp;EOMONTH($A15,0),Tabla1[Codigo_actividad],L$4)*L$3</f>
        <v>20</v>
      </c>
      <c r="M15" s="343">
        <f>+SUMIFS(Tabla1[Avance_km],Tabla1[Fecha],"&gt;="&amp;$A15,Tabla1[Fecha],"&lt;="&amp;EOMONTH($A15,0),Tabla1[Codigo_actividad],M$4)*M$3</f>
        <v>20.07</v>
      </c>
      <c r="N15" s="231">
        <f>+SUMIFS(Tabla1[Avance_Med],Tabla1[Fecha],"&gt;="&amp;$A15,Tabla1[Fecha],"&lt;="&amp;EOMONTH($A15,0),Tabla1[Codigo_actividad],N$4)*N$3</f>
        <v>34</v>
      </c>
      <c r="O15" s="231">
        <f>+SUMIFS(Tabla1[Avance_Med],Tabla1[Fecha],"&gt;="&amp;$A15,Tabla1[Fecha],"&lt;="&amp;EOMONTH($A15,0),Tabla1[Codigo_actividad],O$4)*O$3</f>
        <v>34</v>
      </c>
      <c r="P15" s="231">
        <f>+SUMIFS(Tabla1[Avance_Med],Tabla1[Fecha],"&gt;="&amp;$A15,Tabla1[Fecha],"&lt;="&amp;EOMONTH($A15,0),Tabla1[Codigo_actividad],P$4)*P$3</f>
        <v>34</v>
      </c>
      <c r="Q15" s="231">
        <f>+SUMIFS(Tabla1[Avance_Med],Tabla1[Fecha],"&gt;="&amp;$A15,Tabla1[Fecha],"&lt;="&amp;EOMONTH($A15,0),Tabla1[Codigo_actividad],Q$4)*Q$3</f>
        <v>8</v>
      </c>
      <c r="R15" s="231">
        <f>+SUMIFS(Tabla1[Avance_Med],Tabla1[Fecha],"&gt;="&amp;$A15,Tabla1[Fecha],"&lt;="&amp;EOMONTH($A15,0),Tabla1[Codigo_actividad],R$4)*R$3</f>
        <v>8</v>
      </c>
      <c r="S15" s="231">
        <f>+SUMIFS(Tabla1[Avance_Med],Tabla1[Fecha],"&gt;="&amp;$A15,Tabla1[Fecha],"&lt;="&amp;EOMONTH($A15,0),Tabla1[Codigo_actividad],S$4)*S$3</f>
        <v>8</v>
      </c>
      <c r="T15" s="231">
        <f>+SUMIFS(Tabla1[Avance_Med],Tabla1[Fecha],"&gt;="&amp;$A15,Tabla1[Fecha],"&lt;="&amp;EOMONTH($A15,0),Tabla1[Codigo_actividad],T$4)*T$3</f>
        <v>8</v>
      </c>
      <c r="U15" s="231">
        <f>+SUMIFS(Tabla1[Avance_Med],Tabla1[Fecha],"&gt;="&amp;$A15,Tabla1[Fecha],"&lt;="&amp;EOMONTH($A15,0),Tabla1[Codigo_actividad],U$4)*U$3</f>
        <v>2</v>
      </c>
      <c r="V15" s="231">
        <f>+SUMIFS(Tabla1[Avance_Med],Tabla1[Fecha],"&gt;="&amp;$A15,Tabla1[Fecha],"&lt;="&amp;EOMONTH($A15,0),Tabla1[Codigo_actividad],V$4)*V$3</f>
        <v>8</v>
      </c>
      <c r="W15" s="231">
        <f>+SUMIFS(Tabla1[Avance_Med],Tabla1[Fecha],"&gt;="&amp;$A15,Tabla1[Fecha],"&lt;="&amp;EOMONTH($A15,0),Tabla1[Codigo_actividad],W$4)*W$3</f>
        <v>2</v>
      </c>
      <c r="X15" s="231">
        <f>+SUMIFS(Tabla1[Avance_Med],Tabla1[Fecha],"&gt;="&amp;$A15,Tabla1[Fecha],"&lt;="&amp;EOMONTH($A15,0),Tabla1[Codigo_actividad],X$4)*X$3</f>
        <v>3</v>
      </c>
      <c r="Y15" s="231">
        <f>+SUMIFS(Tabla1[Avance_Med],Tabla1[Fecha],"&gt;="&amp;$A15,Tabla1[Fecha],"&lt;="&amp;EOMONTH($A15,0),Tabla1[Codigo_actividad],Y$4)*Y$3</f>
        <v>8</v>
      </c>
      <c r="Z15" s="231">
        <f>+SUMIFS(Tabla1[Avance_Med],Tabla1[Fecha],"&gt;="&amp;$A15,Tabla1[Fecha],"&lt;="&amp;EOMONTH($A15,0),Tabla1[Codigo_actividad],Z$4)*Z$3</f>
        <v>8</v>
      </c>
      <c r="AA15" s="231">
        <f>+SUMIFS(Tabla1[Avance_Med],Tabla1[Fecha],"&gt;="&amp;$A15,Tabla1[Fecha],"&lt;="&amp;EOMONTH($A15,0),Tabla1[Codigo_actividad],AA$4)*AA$3</f>
        <v>0</v>
      </c>
      <c r="AB15" s="231">
        <f>+SUMIFS(Tabla1[Avance_Med],Tabla1[Fecha],"&gt;="&amp;$A15,Tabla1[Fecha],"&lt;="&amp;EOMONTH($A15,0),Tabla1[Codigo_actividad],AB$4)*AB$3</f>
        <v>0</v>
      </c>
      <c r="AC15" s="231">
        <f>+SUMIFS(Tabla1[Avance_Med],Tabla1[Fecha],"&gt;="&amp;$A15,Tabla1[Fecha],"&lt;="&amp;EOMONTH($A15,0),Tabla1[Codigo_actividad],AC$4)*AC$3</f>
        <v>0</v>
      </c>
      <c r="AD15" s="231">
        <f>+SUMIFS(Tabla1[Avance_Med],Tabla1[Fecha],"&gt;="&amp;$A15,Tabla1[Fecha],"&lt;="&amp;EOMONTH($A15,0),Tabla1[Codigo_actividad],AD$4)*AD$3</f>
        <v>0</v>
      </c>
      <c r="AE15" s="231">
        <f>+SUMIFS(Tabla1[Avance_Med],Tabla1[Fecha],"&gt;="&amp;$A15,Tabla1[Fecha],"&lt;="&amp;EOMONTH($A15,0),Tabla1[Codigo_actividad],AE$4)*AE$3</f>
        <v>0</v>
      </c>
      <c r="AF15" s="231">
        <f>+SUMIFS(Tabla1[Avance_Med],Tabla1[Fecha],"&gt;="&amp;$A15,Tabla1[Fecha],"&lt;="&amp;EOMONTH($A15,0),Tabla1[Codigo_actividad],AF$4)*AF$3</f>
        <v>0</v>
      </c>
      <c r="AG15" s="231">
        <f>+SUMIFS(Tabla1[Avance_Med],Tabla1[Fecha],"&gt;="&amp;$A15,Tabla1[Fecha],"&lt;="&amp;EOMONTH($A15,0),Tabla1[Codigo_actividad],AG$4)*AG$3</f>
        <v>0</v>
      </c>
      <c r="AH15" s="231">
        <f>+SUMIFS(Tabla1[Avance_Med],Tabla1[Fecha],"&gt;="&amp;$A15,Tabla1[Fecha],"&lt;="&amp;EOMONTH($A15,0),Tabla1[Codigo_actividad],AH$4)*AH$3</f>
        <v>0</v>
      </c>
      <c r="AI15" s="231">
        <f>+SUMIFS(Tabla1[Avance_Med],Tabla1[Fecha],"&gt;="&amp;$A15,Tabla1[Fecha],"&lt;="&amp;EOMONTH($A15,0),Tabla1[Codigo_actividad],AI$4)*AI$3</f>
        <v>0</v>
      </c>
      <c r="AJ15" s="231">
        <f>+SUMIFS(Tabla1[Avance_Med],Tabla1[Fecha],"&gt;="&amp;$A15,Tabla1[Fecha],"&lt;="&amp;EOMONTH($A15,0),Tabla1[Codigo_actividad],AJ$4)*AJ$3</f>
        <v>0</v>
      </c>
      <c r="AK15" s="231">
        <f>+SUMIFS(Tabla1[Avance_Med],Tabla1[Fecha],"&gt;="&amp;$A15,Tabla1[Fecha],"&lt;="&amp;EOMONTH($A15,0),Tabla1[Codigo_actividad],AK$4)*AK$3</f>
        <v>0</v>
      </c>
      <c r="AL15" s="231">
        <f>+SUMIFS(Tabla1[Avance_km],Tabla1[Fecha],"&gt;="&amp;$A15,Tabla1[Fecha],"&lt;="&amp;EOMONTH($A15,0),Tabla1[Codigo_actividad],AL$4)*AL$3</f>
        <v>0</v>
      </c>
      <c r="AM15" s="231">
        <f>+SUMIFS(Tabla1[Avance_Med],Tabla1[Fecha],"&gt;="&amp;$A15,Tabla1[Fecha],"&lt;="&amp;EOMONTH($A15,0),Tabla1[Codigo_actividad],AM$4)*AM$3</f>
        <v>0</v>
      </c>
    </row>
    <row r="16" spans="1:39" x14ac:dyDescent="0.25">
      <c r="A16" s="226">
        <v>46296</v>
      </c>
      <c r="B16" s="231">
        <v>0</v>
      </c>
      <c r="C16" s="231">
        <f>+SUMIFS(Tabla1[Avance_Med],Tabla1[Fecha],"&gt;="&amp;$A16,Tabla1[Fecha],"&lt;="&amp;EOMONTH($A16,0),Tabla1[Codigo_actividad],C$4)*C$3</f>
        <v>0</v>
      </c>
      <c r="D16" s="231">
        <f>+SUMIFS(Tabla1[Avance_Med],Tabla1[Fecha],"&gt;="&amp;$A16,Tabla1[Fecha],"&lt;="&amp;EOMONTH($A16,0),Tabla1[Codigo_actividad],D$4)*D$3</f>
        <v>0</v>
      </c>
      <c r="E16" s="231">
        <f>+SUMIFS(Tabla1[Avance_Med],Tabla1[Fecha],"&gt;="&amp;$A16,Tabla1[Fecha],"&lt;="&amp;EOMONTH($A16,0),Tabla1[Codigo_actividad],E$4)*E$3</f>
        <v>0</v>
      </c>
      <c r="F16" s="231">
        <f>+SUMIFS(Tabla1[Avance_Med],Tabla1[Fecha],"&gt;="&amp;$A16,Tabla1[Fecha],"&lt;="&amp;EOMONTH($A16,0),Tabla1[Codigo_actividad],F$4)*F$3</f>
        <v>0</v>
      </c>
      <c r="G16" s="231">
        <f>+SUMIFS(Tabla1[Avance_Med],Tabla1[Fecha],"&gt;="&amp;$A16,Tabla1[Fecha],"&lt;="&amp;EOMONTH($A16,0),Tabla1[Codigo_actividad],G$4)*G$3</f>
        <v>0</v>
      </c>
      <c r="H16" s="343">
        <f>+SUMIFS(Tabla1[Avance_km],Tabla1[Fecha],"&gt;="&amp;$A16,Tabla1[Fecha],"&lt;="&amp;EOMONTH($A16,0),Tabla1[Codigo_actividad],H$4)*H$3</f>
        <v>14.6175</v>
      </c>
      <c r="I16" s="231"/>
      <c r="J16" s="343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42.378999999999998</v>
      </c>
      <c r="L16" s="231">
        <f>+SUMIFS(Tabla1[Avance_Med],Tabla1[Fecha],"&gt;="&amp;$A16,Tabla1[Fecha],"&lt;="&amp;EOMONTH($A16,0),Tabla1[Codigo_actividad],L$4)*L$3</f>
        <v>0</v>
      </c>
      <c r="M16" s="343">
        <f>+SUMIFS(Tabla1[Avance_km],Tabla1[Fecha],"&gt;="&amp;$A16,Tabla1[Fecha],"&lt;="&amp;EOMONTH($A16,0),Tabla1[Codigo_actividad],M$4)*M$3</f>
        <v>1.6244999999999994</v>
      </c>
      <c r="N16" s="231">
        <f>+SUMIFS(Tabla1[Avance_Med],Tabla1[Fecha],"&gt;="&amp;$A16,Tabla1[Fecha],"&lt;="&amp;EOMONTH($A16,0),Tabla1[Codigo_actividad],N$4)*N$3</f>
        <v>4</v>
      </c>
      <c r="O16" s="231">
        <f>+SUMIFS(Tabla1[Avance_Med],Tabla1[Fecha],"&gt;="&amp;$A16,Tabla1[Fecha],"&lt;="&amp;EOMONTH($A16,0),Tabla1[Codigo_actividad],O$4)*O$3</f>
        <v>4</v>
      </c>
      <c r="P16" s="231">
        <f>+SUMIFS(Tabla1[Avance_Med],Tabla1[Fecha],"&gt;="&amp;$A16,Tabla1[Fecha],"&lt;="&amp;EOMONTH($A16,0),Tabla1[Codigo_actividad],P$4)*P$3</f>
        <v>4</v>
      </c>
      <c r="Q16" s="231">
        <f>+SUMIFS(Tabla1[Avance_Med],Tabla1[Fecha],"&gt;="&amp;$A16,Tabla1[Fecha],"&lt;="&amp;EOMONTH($A16,0),Tabla1[Codigo_actividad],Q$4)*Q$3</f>
        <v>4</v>
      </c>
      <c r="R16" s="231">
        <f>+SUMIFS(Tabla1[Avance_Med],Tabla1[Fecha],"&gt;="&amp;$A16,Tabla1[Fecha],"&lt;="&amp;EOMONTH($A16,0),Tabla1[Codigo_actividad],R$4)*R$3</f>
        <v>5</v>
      </c>
      <c r="S16" s="231">
        <f>+SUMIFS(Tabla1[Avance_Med],Tabla1[Fecha],"&gt;="&amp;$A16,Tabla1[Fecha],"&lt;="&amp;EOMONTH($A16,0),Tabla1[Codigo_actividad],S$4)*S$3</f>
        <v>5</v>
      </c>
      <c r="T16" s="231">
        <f>+SUMIFS(Tabla1[Avance_Med],Tabla1[Fecha],"&gt;="&amp;$A16,Tabla1[Fecha],"&lt;="&amp;EOMONTH($A16,0),Tabla1[Codigo_actividad],T$4)*T$3</f>
        <v>5</v>
      </c>
      <c r="U16" s="231">
        <f>+SUMIFS(Tabla1[Avance_Med],Tabla1[Fecha],"&gt;="&amp;$A16,Tabla1[Fecha],"&lt;="&amp;EOMONTH($A16,0),Tabla1[Codigo_actividad],U$4)*U$3</f>
        <v>0</v>
      </c>
      <c r="V16" s="231">
        <f>+SUMIFS(Tabla1[Avance_Med],Tabla1[Fecha],"&gt;="&amp;$A16,Tabla1[Fecha],"&lt;="&amp;EOMONTH($A16,0),Tabla1[Codigo_actividad],V$4)*V$3</f>
        <v>5</v>
      </c>
      <c r="W16" s="231">
        <f>+SUMIFS(Tabla1[Avance_Med],Tabla1[Fecha],"&gt;="&amp;$A16,Tabla1[Fecha],"&lt;="&amp;EOMONTH($A16,0),Tabla1[Codigo_actividad],W$4)*W$3</f>
        <v>0</v>
      </c>
      <c r="X16" s="231">
        <f>+SUMIFS(Tabla1[Avance_Med],Tabla1[Fecha],"&gt;="&amp;$A16,Tabla1[Fecha],"&lt;="&amp;EOMONTH($A16,0),Tabla1[Codigo_actividad],X$4)*X$3</f>
        <v>0</v>
      </c>
      <c r="Y16" s="231">
        <f>+SUMIFS(Tabla1[Avance_Med],Tabla1[Fecha],"&gt;="&amp;$A16,Tabla1[Fecha],"&lt;="&amp;EOMONTH($A16,0),Tabla1[Codigo_actividad],Y$4)*Y$3</f>
        <v>4</v>
      </c>
      <c r="Z16" s="231">
        <f>+SUMIFS(Tabla1[Avance_Med],Tabla1[Fecha],"&gt;="&amp;$A16,Tabla1[Fecha],"&lt;="&amp;EOMONTH($A16,0),Tabla1[Codigo_actividad],Z$4)*Z$3</f>
        <v>4</v>
      </c>
      <c r="AA16" s="231">
        <f>+SUMIFS(Tabla1[Avance_Med],Tabla1[Fecha],"&gt;="&amp;$A16,Tabla1[Fecha],"&lt;="&amp;EOMONTH($A16,0),Tabla1[Codigo_actividad],AA$4)*AA$3</f>
        <v>0</v>
      </c>
      <c r="AB16" s="231">
        <f>+SUMIFS(Tabla1[Avance_Med],Tabla1[Fecha],"&gt;="&amp;$A16,Tabla1[Fecha],"&lt;="&amp;EOMONTH($A16,0),Tabla1[Codigo_actividad],AB$4)*AB$3</f>
        <v>0</v>
      </c>
      <c r="AC16" s="231">
        <f>+SUMIFS(Tabla1[Avance_Med],Tabla1[Fecha],"&gt;="&amp;$A16,Tabla1[Fecha],"&lt;="&amp;EOMONTH($A16,0),Tabla1[Codigo_actividad],AC$4)*AC$3</f>
        <v>0</v>
      </c>
      <c r="AD16" s="231">
        <f>+SUMIFS(Tabla1[Avance_Med],Tabla1[Fecha],"&gt;="&amp;$A16,Tabla1[Fecha],"&lt;="&amp;EOMONTH($A16,0),Tabla1[Codigo_actividad],AD$4)*AD$3</f>
        <v>0</v>
      </c>
      <c r="AE16" s="231">
        <f>+SUMIFS(Tabla1[Avance_Med],Tabla1[Fecha],"&gt;="&amp;$A16,Tabla1[Fecha],"&lt;="&amp;EOMONTH($A16,0),Tabla1[Codigo_actividad],AE$4)*AE$3</f>
        <v>0</v>
      </c>
      <c r="AF16" s="231">
        <f>+SUMIFS(Tabla1[Avance_Med],Tabla1[Fecha],"&gt;="&amp;$A16,Tabla1[Fecha],"&lt;="&amp;EOMONTH($A16,0),Tabla1[Codigo_actividad],AF$4)*AF$3</f>
        <v>0</v>
      </c>
      <c r="AG16" s="231">
        <f>+SUMIFS(Tabla1[Avance_Med],Tabla1[Fecha],"&gt;="&amp;$A16,Tabla1[Fecha],"&lt;="&amp;EOMONTH($A16,0),Tabla1[Codigo_actividad],AG$4)*AG$3</f>
        <v>0</v>
      </c>
      <c r="AH16" s="231">
        <f>+SUMIFS(Tabla1[Avance_Med],Tabla1[Fecha],"&gt;="&amp;$A16,Tabla1[Fecha],"&lt;="&amp;EOMONTH($A16,0),Tabla1[Codigo_actividad],AH$4)*AH$3</f>
        <v>0</v>
      </c>
      <c r="AI16" s="231">
        <f>+SUMIFS(Tabla1[Avance_Med],Tabla1[Fecha],"&gt;="&amp;$A16,Tabla1[Fecha],"&lt;="&amp;EOMONTH($A16,0),Tabla1[Codigo_actividad],AI$4)*AI$3</f>
        <v>0</v>
      </c>
      <c r="AJ16" s="231">
        <f>+SUMIFS(Tabla1[Avance_Med],Tabla1[Fecha],"&gt;="&amp;$A16,Tabla1[Fecha],"&lt;="&amp;EOMONTH($A16,0),Tabla1[Codigo_actividad],AJ$4)*AJ$3</f>
        <v>0</v>
      </c>
      <c r="AK16" s="231">
        <f>+SUMIFS(Tabla1[Avance_Med],Tabla1[Fecha],"&gt;="&amp;$A16,Tabla1[Fecha],"&lt;="&amp;EOMONTH($A16,0),Tabla1[Codigo_actividad],AK$4)*AK$3</f>
        <v>0</v>
      </c>
      <c r="AL16" s="231">
        <f>+SUMIFS(Tabla1[Avance_km],Tabla1[Fecha],"&gt;="&amp;$A16,Tabla1[Fecha],"&lt;="&amp;EOMONTH($A16,0),Tabla1[Codigo_actividad],AL$4)*AL$3</f>
        <v>0</v>
      </c>
      <c r="AM16" s="231">
        <f>+SUMIFS(Tabla1[Avance_Med],Tabla1[Fecha],"&gt;="&amp;$A16,Tabla1[Fecha],"&lt;="&amp;EOMONTH($A16,0),Tabla1[Codigo_actividad],AM$4)*AM$3</f>
        <v>0</v>
      </c>
    </row>
    <row r="17" spans="1:49" x14ac:dyDescent="0.25">
      <c r="A17" s="226">
        <v>46327</v>
      </c>
      <c r="B17" s="231">
        <v>0</v>
      </c>
      <c r="C17" s="231">
        <f>+SUMIFS(Tabla1[Avance_Med],Tabla1[Fecha],"&gt;="&amp;$A17,Tabla1[Fecha],"&lt;="&amp;EOMONTH($A17,0),Tabla1[Codigo_actividad],C$4)*C$3</f>
        <v>0</v>
      </c>
      <c r="D17" s="231">
        <f>+SUMIFS(Tabla1[Avance_Med],Tabla1[Fecha],"&gt;="&amp;$A17,Tabla1[Fecha],"&lt;="&amp;EOMONTH($A17,0),Tabla1[Codigo_actividad],D$4)*D$3</f>
        <v>0</v>
      </c>
      <c r="E17" s="231">
        <f>+SUMIFS(Tabla1[Avance_Med],Tabla1[Fecha],"&gt;="&amp;$A17,Tabla1[Fecha],"&lt;="&amp;EOMONTH($A17,0),Tabla1[Codigo_actividad],E$4)*E$3</f>
        <v>0</v>
      </c>
      <c r="F17" s="231">
        <f>+SUMIFS(Tabla1[Avance_Med],Tabla1[Fecha],"&gt;="&amp;$A17,Tabla1[Fecha],"&lt;="&amp;EOMONTH($A17,0),Tabla1[Codigo_actividad],F$4)*F$3</f>
        <v>0</v>
      </c>
      <c r="G17" s="231">
        <f>+SUMIFS(Tabla1[Avance_Med],Tabla1[Fecha],"&gt;="&amp;$A17,Tabla1[Fecha],"&lt;="&amp;EOMONTH($A17,0),Tabla1[Codigo_actividad],G$4)*G$3</f>
        <v>0</v>
      </c>
      <c r="H17" s="343">
        <f>+SUMIFS(Tabla1[Avance_km],Tabla1[Fecha],"&gt;="&amp;$A17,Tabla1[Fecha],"&lt;="&amp;EOMONTH($A17,0),Tabla1[Codigo_actividad],H$4)*H$3</f>
        <v>0</v>
      </c>
      <c r="I17" s="231"/>
      <c r="J17" s="343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1">
        <f>+SUMIFS(Tabla1[Avance_Med],Tabla1[Fecha],"&gt;="&amp;$A17,Tabla1[Fecha],"&lt;="&amp;EOMONTH($A17,0),Tabla1[Codigo_actividad],L$4)*L$3</f>
        <v>0</v>
      </c>
      <c r="M17" s="343">
        <f>+SUMIFS(Tabla1[Avance_km],Tabla1[Fecha],"&gt;="&amp;$A17,Tabla1[Fecha],"&lt;="&amp;EOMONTH($A17,0),Tabla1[Codigo_actividad],M$4)*M$3</f>
        <v>0</v>
      </c>
      <c r="N17" s="231">
        <f>+SUMIFS(Tabla1[Avance_Med],Tabla1[Fecha],"&gt;="&amp;$A17,Tabla1[Fecha],"&lt;="&amp;EOMONTH($A17,0),Tabla1[Codigo_actividad],N$4)*N$3</f>
        <v>0</v>
      </c>
      <c r="O17" s="231">
        <f>+SUMIFS(Tabla1[Avance_Med],Tabla1[Fecha],"&gt;="&amp;$A17,Tabla1[Fecha],"&lt;="&amp;EOMONTH($A17,0),Tabla1[Codigo_actividad],O$4)*O$3</f>
        <v>0</v>
      </c>
      <c r="P17" s="231">
        <f>+SUMIFS(Tabla1[Avance_Med],Tabla1[Fecha],"&gt;="&amp;$A17,Tabla1[Fecha],"&lt;="&amp;EOMONTH($A17,0),Tabla1[Codigo_actividad],P$4)*P$3</f>
        <v>0</v>
      </c>
      <c r="Q17" s="231">
        <f>+SUMIFS(Tabla1[Avance_Med],Tabla1[Fecha],"&gt;="&amp;$A17,Tabla1[Fecha],"&lt;="&amp;EOMONTH($A17,0),Tabla1[Codigo_actividad],Q$4)*Q$3</f>
        <v>0</v>
      </c>
      <c r="R17" s="231">
        <f>+SUMIFS(Tabla1[Avance_Med],Tabla1[Fecha],"&gt;="&amp;$A17,Tabla1[Fecha],"&lt;="&amp;EOMONTH($A17,0),Tabla1[Codigo_actividad],R$4)*R$3</f>
        <v>0</v>
      </c>
      <c r="S17" s="231">
        <f>+SUMIFS(Tabla1[Avance_Med],Tabla1[Fecha],"&gt;="&amp;$A17,Tabla1[Fecha],"&lt;="&amp;EOMONTH($A17,0),Tabla1[Codigo_actividad],S$4)*S$3</f>
        <v>0</v>
      </c>
      <c r="T17" s="231">
        <f>+SUMIFS(Tabla1[Avance_Med],Tabla1[Fecha],"&gt;="&amp;$A17,Tabla1[Fecha],"&lt;="&amp;EOMONTH($A17,0),Tabla1[Codigo_actividad],T$4)*T$3</f>
        <v>0</v>
      </c>
      <c r="U17" s="231">
        <f>+SUMIFS(Tabla1[Avance_Med],Tabla1[Fecha],"&gt;="&amp;$A17,Tabla1[Fecha],"&lt;="&amp;EOMONTH($A17,0),Tabla1[Codigo_actividad],U$4)*U$3</f>
        <v>0</v>
      </c>
      <c r="V17" s="231">
        <f>+SUMIFS(Tabla1[Avance_Med],Tabla1[Fecha],"&gt;="&amp;$A17,Tabla1[Fecha],"&lt;="&amp;EOMONTH($A17,0),Tabla1[Codigo_actividad],V$4)*V$3</f>
        <v>0</v>
      </c>
      <c r="W17" s="231">
        <f>+SUMIFS(Tabla1[Avance_Med],Tabla1[Fecha],"&gt;="&amp;$A17,Tabla1[Fecha],"&lt;="&amp;EOMONTH($A17,0),Tabla1[Codigo_actividad],W$4)*W$3</f>
        <v>0</v>
      </c>
      <c r="X17" s="231">
        <f>+SUMIFS(Tabla1[Avance_Med],Tabla1[Fecha],"&gt;="&amp;$A17,Tabla1[Fecha],"&lt;="&amp;EOMONTH($A17,0),Tabla1[Codigo_actividad],X$4)*X$3</f>
        <v>0</v>
      </c>
      <c r="Y17" s="231">
        <f>+SUMIFS(Tabla1[Avance_Med],Tabla1[Fecha],"&gt;="&amp;$A17,Tabla1[Fecha],"&lt;="&amp;EOMONTH($A17,0),Tabla1[Codigo_actividad],Y$4)*Y$3</f>
        <v>0</v>
      </c>
      <c r="Z17" s="231">
        <f>+SUMIFS(Tabla1[Avance_Med],Tabla1[Fecha],"&gt;="&amp;$A17,Tabla1[Fecha],"&lt;="&amp;EOMONTH($A17,0),Tabla1[Codigo_actividad],Z$4)*Z$3</f>
        <v>0</v>
      </c>
      <c r="AA17" s="231">
        <f>+SUMIFS(Tabla1[Avance_Med],Tabla1[Fecha],"&gt;="&amp;$A17,Tabla1[Fecha],"&lt;="&amp;EOMONTH($A17,0),Tabla1[Codigo_actividad],AA$4)*AA$3</f>
        <v>0</v>
      </c>
      <c r="AB17" s="231">
        <f>+SUMIFS(Tabla1[Avance_Med],Tabla1[Fecha],"&gt;="&amp;$A17,Tabla1[Fecha],"&lt;="&amp;EOMONTH($A17,0),Tabla1[Codigo_actividad],AB$4)*AB$3</f>
        <v>0</v>
      </c>
      <c r="AC17" s="231">
        <f>+SUMIFS(Tabla1[Avance_Med],Tabla1[Fecha],"&gt;="&amp;$A17,Tabla1[Fecha],"&lt;="&amp;EOMONTH($A17,0),Tabla1[Codigo_actividad],AC$4)*AC$3</f>
        <v>0</v>
      </c>
      <c r="AD17" s="231">
        <f>+SUMIFS(Tabla1[Avance_Med],Tabla1[Fecha],"&gt;="&amp;$A17,Tabla1[Fecha],"&lt;="&amp;EOMONTH($A17,0),Tabla1[Codigo_actividad],AD$4)*AD$3</f>
        <v>0</v>
      </c>
      <c r="AE17" s="231">
        <f>+SUMIFS(Tabla1[Avance_Med],Tabla1[Fecha],"&gt;="&amp;$A17,Tabla1[Fecha],"&lt;="&amp;EOMONTH($A17,0),Tabla1[Codigo_actividad],AE$4)*AE$3</f>
        <v>0</v>
      </c>
      <c r="AF17" s="231">
        <f>+SUMIFS(Tabla1[Avance_Med],Tabla1[Fecha],"&gt;="&amp;$A17,Tabla1[Fecha],"&lt;="&amp;EOMONTH($A17,0),Tabla1[Codigo_actividad],AF$4)*AF$3</f>
        <v>0</v>
      </c>
      <c r="AG17" s="231">
        <f>+SUMIFS(Tabla1[Avance_Med],Tabla1[Fecha],"&gt;="&amp;$A17,Tabla1[Fecha],"&lt;="&amp;EOMONTH($A17,0),Tabla1[Codigo_actividad],AG$4)*AG$3</f>
        <v>0</v>
      </c>
      <c r="AH17" s="231">
        <f>+SUMIFS(Tabla1[Avance_Med],Tabla1[Fecha],"&gt;="&amp;$A17,Tabla1[Fecha],"&lt;="&amp;EOMONTH($A17,0),Tabla1[Codigo_actividad],AH$4)*AH$3</f>
        <v>0</v>
      </c>
      <c r="AI17" s="231">
        <f>+SUMIFS(Tabla1[Avance_Med],Tabla1[Fecha],"&gt;="&amp;$A17,Tabla1[Fecha],"&lt;="&amp;EOMONTH($A17,0),Tabla1[Codigo_actividad],AI$4)*AI$3</f>
        <v>0</v>
      </c>
      <c r="AJ17" s="231">
        <f>+SUMIFS(Tabla1[Avance_Med],Tabla1[Fecha],"&gt;="&amp;$A17,Tabla1[Fecha],"&lt;="&amp;EOMONTH($A17,0),Tabla1[Codigo_actividad],AJ$4)*AJ$3</f>
        <v>0</v>
      </c>
      <c r="AK17" s="231">
        <f>+SUMIFS(Tabla1[Avance_Med],Tabla1[Fecha],"&gt;="&amp;$A17,Tabla1[Fecha],"&lt;="&amp;EOMONTH($A17,0),Tabla1[Codigo_actividad],AK$4)*AK$3</f>
        <v>0</v>
      </c>
      <c r="AL17" s="231">
        <f>+SUMIFS(Tabla1[Avance_km],Tabla1[Fecha],"&gt;="&amp;$A17,Tabla1[Fecha],"&lt;="&amp;EOMONTH($A17,0),Tabla1[Codigo_actividad],AL$4)*AL$3</f>
        <v>0</v>
      </c>
      <c r="AM17" s="231">
        <f>+SUMIFS(Tabla1[Avance_Med],Tabla1[Fecha],"&gt;="&amp;$A17,Tabla1[Fecha],"&lt;="&amp;EOMONTH($A17,0),Tabla1[Codigo_actividad],AM$4)*AM$3</f>
        <v>0</v>
      </c>
    </row>
    <row r="18" spans="1:49" x14ac:dyDescent="0.25">
      <c r="A18" s="226">
        <v>46357</v>
      </c>
      <c r="B18" s="231">
        <v>0</v>
      </c>
      <c r="C18" s="231">
        <f>+SUMIFS(Tabla1[Avance_Med],Tabla1[Fecha],"&gt;="&amp;$A18,Tabla1[Fecha],"&lt;="&amp;EOMONTH($A18,0),Tabla1[Codigo_actividad],C$4)*C$3</f>
        <v>0</v>
      </c>
      <c r="D18" s="231">
        <f>+SUMIFS(Tabla1[Avance_Med],Tabla1[Fecha],"&gt;="&amp;$A18,Tabla1[Fecha],"&lt;="&amp;EOMONTH($A18,0),Tabla1[Codigo_actividad],D$4)*D$3</f>
        <v>0</v>
      </c>
      <c r="E18" s="231">
        <f>+SUMIFS(Tabla1[Avance_Med],Tabla1[Fecha],"&gt;="&amp;$A18,Tabla1[Fecha],"&lt;="&amp;EOMONTH($A18,0),Tabla1[Codigo_actividad],E$4)*E$3</f>
        <v>0</v>
      </c>
      <c r="F18" s="231">
        <f>+SUMIFS(Tabla1[Avance_Med],Tabla1[Fecha],"&gt;="&amp;$A18,Tabla1[Fecha],"&lt;="&amp;EOMONTH($A18,0),Tabla1[Codigo_actividad],F$4)*F$3</f>
        <v>0</v>
      </c>
      <c r="G18" s="231">
        <f>+SUMIFS(Tabla1[Avance_Med],Tabla1[Fecha],"&gt;="&amp;$A18,Tabla1[Fecha],"&lt;="&amp;EOMONTH($A18,0),Tabla1[Codigo_actividad],G$4)*G$3</f>
        <v>0</v>
      </c>
      <c r="H18" s="343">
        <f>+SUMIFS(Tabla1[Avance_km],Tabla1[Fecha],"&gt;="&amp;$A18,Tabla1[Fecha],"&lt;="&amp;EOMONTH($A18,0),Tabla1[Codigo_actividad],H$4)*H$3</f>
        <v>0</v>
      </c>
      <c r="I18" s="231"/>
      <c r="J18" s="343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1">
        <f>+SUMIFS(Tabla1[Avance_Med],Tabla1[Fecha],"&gt;="&amp;$A18,Tabla1[Fecha],"&lt;="&amp;EOMONTH($A18,0),Tabla1[Codigo_actividad],L$4)*L$3</f>
        <v>0</v>
      </c>
      <c r="M18" s="343">
        <f>+SUMIFS(Tabla1[Avance_km],Tabla1[Fecha],"&gt;="&amp;$A18,Tabla1[Fecha],"&lt;="&amp;EOMONTH($A18,0),Tabla1[Codigo_actividad],M$4)*M$3</f>
        <v>0</v>
      </c>
      <c r="N18" s="231">
        <f>+SUMIFS(Tabla1[Avance_Med],Tabla1[Fecha],"&gt;="&amp;$A18,Tabla1[Fecha],"&lt;="&amp;EOMONTH($A18,0),Tabla1[Codigo_actividad],N$4)*N$3</f>
        <v>0</v>
      </c>
      <c r="O18" s="231">
        <f>+SUMIFS(Tabla1[Avance_Med],Tabla1[Fecha],"&gt;="&amp;$A18,Tabla1[Fecha],"&lt;="&amp;EOMONTH($A18,0),Tabla1[Codigo_actividad],O$4)*O$3</f>
        <v>0</v>
      </c>
      <c r="P18" s="231">
        <f>+SUMIFS(Tabla1[Avance_Med],Tabla1[Fecha],"&gt;="&amp;$A18,Tabla1[Fecha],"&lt;="&amp;EOMONTH($A18,0),Tabla1[Codigo_actividad],P$4)*P$3</f>
        <v>0</v>
      </c>
      <c r="Q18" s="231">
        <f>+SUMIFS(Tabla1[Avance_Med],Tabla1[Fecha],"&gt;="&amp;$A18,Tabla1[Fecha],"&lt;="&amp;EOMONTH($A18,0),Tabla1[Codigo_actividad],Q$4)*Q$3</f>
        <v>0</v>
      </c>
      <c r="R18" s="231">
        <f>+SUMIFS(Tabla1[Avance_Med],Tabla1[Fecha],"&gt;="&amp;$A18,Tabla1[Fecha],"&lt;="&amp;EOMONTH($A18,0),Tabla1[Codigo_actividad],R$4)*R$3</f>
        <v>0</v>
      </c>
      <c r="S18" s="231">
        <f>+SUMIFS(Tabla1[Avance_Med],Tabla1[Fecha],"&gt;="&amp;$A18,Tabla1[Fecha],"&lt;="&amp;EOMONTH($A18,0),Tabla1[Codigo_actividad],S$4)*S$3</f>
        <v>0</v>
      </c>
      <c r="T18" s="231">
        <f>+SUMIFS(Tabla1[Avance_Med],Tabla1[Fecha],"&gt;="&amp;$A18,Tabla1[Fecha],"&lt;="&amp;EOMONTH($A18,0),Tabla1[Codigo_actividad],T$4)*T$3</f>
        <v>0</v>
      </c>
      <c r="U18" s="231">
        <f>+SUMIFS(Tabla1[Avance_Med],Tabla1[Fecha],"&gt;="&amp;$A18,Tabla1[Fecha],"&lt;="&amp;EOMONTH($A18,0),Tabla1[Codigo_actividad],U$4)*U$3</f>
        <v>0</v>
      </c>
      <c r="V18" s="231">
        <f>+SUMIFS(Tabla1[Avance_Med],Tabla1[Fecha],"&gt;="&amp;$A18,Tabla1[Fecha],"&lt;="&amp;EOMONTH($A18,0),Tabla1[Codigo_actividad],V$4)*V$3</f>
        <v>0</v>
      </c>
      <c r="W18" s="231">
        <f>+SUMIFS(Tabla1[Avance_Med],Tabla1[Fecha],"&gt;="&amp;$A18,Tabla1[Fecha],"&lt;="&amp;EOMONTH($A18,0),Tabla1[Codigo_actividad],W$4)*W$3</f>
        <v>0</v>
      </c>
      <c r="X18" s="231">
        <f>+SUMIFS(Tabla1[Avance_Med],Tabla1[Fecha],"&gt;="&amp;$A18,Tabla1[Fecha],"&lt;="&amp;EOMONTH($A18,0),Tabla1[Codigo_actividad],X$4)*X$3</f>
        <v>0</v>
      </c>
      <c r="Y18" s="231">
        <f>+SUMIFS(Tabla1[Avance_Med],Tabla1[Fecha],"&gt;="&amp;$A18,Tabla1[Fecha],"&lt;="&amp;EOMONTH($A18,0),Tabla1[Codigo_actividad],Y$4)*Y$3</f>
        <v>0</v>
      </c>
      <c r="Z18" s="231">
        <f>+SUMIFS(Tabla1[Avance_Med],Tabla1[Fecha],"&gt;="&amp;$A18,Tabla1[Fecha],"&lt;="&amp;EOMONTH($A18,0),Tabla1[Codigo_actividad],Z$4)*Z$3</f>
        <v>0</v>
      </c>
      <c r="AA18" s="231">
        <f>+SUMIFS(Tabla1[Avance_Med],Tabla1[Fecha],"&gt;="&amp;$A18,Tabla1[Fecha],"&lt;="&amp;EOMONTH($A18,0),Tabla1[Codigo_actividad],AA$4)*AA$3</f>
        <v>0</v>
      </c>
      <c r="AB18" s="231">
        <f>+SUMIFS(Tabla1[Avance_Med],Tabla1[Fecha],"&gt;="&amp;$A18,Tabla1[Fecha],"&lt;="&amp;EOMONTH($A18,0),Tabla1[Codigo_actividad],AB$4)*AB$3</f>
        <v>0</v>
      </c>
      <c r="AC18" s="231">
        <f>+SUMIFS(Tabla1[Avance_Med],Tabla1[Fecha],"&gt;="&amp;$A18,Tabla1[Fecha],"&lt;="&amp;EOMONTH($A18,0),Tabla1[Codigo_actividad],AC$4)*AC$3</f>
        <v>0</v>
      </c>
      <c r="AD18" s="231">
        <f>+SUMIFS(Tabla1[Avance_Med],Tabla1[Fecha],"&gt;="&amp;$A18,Tabla1[Fecha],"&lt;="&amp;EOMONTH($A18,0),Tabla1[Codigo_actividad],AD$4)*AD$3</f>
        <v>0</v>
      </c>
      <c r="AE18" s="231">
        <f>+SUMIFS(Tabla1[Avance_Med],Tabla1[Fecha],"&gt;="&amp;$A18,Tabla1[Fecha],"&lt;="&amp;EOMONTH($A18,0),Tabla1[Codigo_actividad],AE$4)*AE$3</f>
        <v>0</v>
      </c>
      <c r="AF18" s="231">
        <f>+SUMIFS(Tabla1[Avance_Med],Tabla1[Fecha],"&gt;="&amp;$A18,Tabla1[Fecha],"&lt;="&amp;EOMONTH($A18,0),Tabla1[Codigo_actividad],AF$4)*AF$3</f>
        <v>0</v>
      </c>
      <c r="AG18" s="231">
        <f>+SUMIFS(Tabla1[Avance_Med],Tabla1[Fecha],"&gt;="&amp;$A18,Tabla1[Fecha],"&lt;="&amp;EOMONTH($A18,0),Tabla1[Codigo_actividad],AG$4)*AG$3</f>
        <v>0</v>
      </c>
      <c r="AH18" s="231">
        <f>+SUMIFS(Tabla1[Avance_Med],Tabla1[Fecha],"&gt;="&amp;$A18,Tabla1[Fecha],"&lt;="&amp;EOMONTH($A18,0),Tabla1[Codigo_actividad],AH$4)*AH$3</f>
        <v>0</v>
      </c>
      <c r="AI18" s="231">
        <f>+SUMIFS(Tabla1[Avance_Med],Tabla1[Fecha],"&gt;="&amp;$A18,Tabla1[Fecha],"&lt;="&amp;EOMONTH($A18,0),Tabla1[Codigo_actividad],AI$4)*AI$3</f>
        <v>0</v>
      </c>
      <c r="AJ18" s="231">
        <f>+SUMIFS(Tabla1[Avance_Med],Tabla1[Fecha],"&gt;="&amp;$A18,Tabla1[Fecha],"&lt;="&amp;EOMONTH($A18,0),Tabla1[Codigo_actividad],AJ$4)*AJ$3</f>
        <v>0</v>
      </c>
      <c r="AK18" s="231">
        <f>+SUMIFS(Tabla1[Avance_Med],Tabla1[Fecha],"&gt;="&amp;$A18,Tabla1[Fecha],"&lt;="&amp;EOMONTH($A18,0),Tabla1[Codigo_actividad],AK$4)*AK$3</f>
        <v>0</v>
      </c>
      <c r="AL18" s="231">
        <f>+SUMIFS(Tabla1[Avance_km],Tabla1[Fecha],"&gt;="&amp;$A18,Tabla1[Fecha],"&lt;="&amp;EOMONTH($A18,0),Tabla1[Codigo_actividad],AL$4)*AL$3</f>
        <v>0</v>
      </c>
      <c r="AM18" s="231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4">
        <f>SUM(B5:B18)</f>
        <v>116</v>
      </c>
      <c r="C19" s="304">
        <f t="shared" ref="C19:AM19" si="0">SUM(C5:C18)</f>
        <v>116</v>
      </c>
      <c r="D19" s="304">
        <f t="shared" si="0"/>
        <v>116</v>
      </c>
      <c r="E19" s="304">
        <f t="shared" si="0"/>
        <v>116</v>
      </c>
      <c r="F19" s="304">
        <f t="shared" si="0"/>
        <v>116</v>
      </c>
      <c r="G19" s="304">
        <f t="shared" si="0"/>
        <v>116</v>
      </c>
      <c r="H19" s="304">
        <f t="shared" si="0"/>
        <v>180.42550000000003</v>
      </c>
      <c r="I19" s="304">
        <f t="shared" si="0"/>
        <v>0</v>
      </c>
      <c r="J19" s="475">
        <f t="shared" si="0"/>
        <v>150.32450000000003</v>
      </c>
      <c r="K19" s="482">
        <f t="shared" si="0"/>
        <v>96.450999999999993</v>
      </c>
      <c r="L19" s="304">
        <f t="shared" si="0"/>
        <v>396</v>
      </c>
      <c r="M19" s="304">
        <f t="shared" si="0"/>
        <v>181.88550000000001</v>
      </c>
      <c r="N19" s="304">
        <f t="shared" si="0"/>
        <v>92</v>
      </c>
      <c r="O19" s="304">
        <f t="shared" si="0"/>
        <v>92</v>
      </c>
      <c r="P19" s="304">
        <f t="shared" si="0"/>
        <v>92</v>
      </c>
      <c r="Q19" s="304">
        <f t="shared" si="0"/>
        <v>14</v>
      </c>
      <c r="R19" s="304">
        <f t="shared" si="0"/>
        <v>15</v>
      </c>
      <c r="S19" s="304">
        <f t="shared" si="0"/>
        <v>15</v>
      </c>
      <c r="T19" s="304">
        <f t="shared" si="0"/>
        <v>15</v>
      </c>
      <c r="U19" s="304">
        <f t="shared" si="0"/>
        <v>2</v>
      </c>
      <c r="V19" s="304">
        <f t="shared" si="0"/>
        <v>15</v>
      </c>
      <c r="W19" s="304">
        <f t="shared" si="0"/>
        <v>2</v>
      </c>
      <c r="X19" s="304">
        <f t="shared" si="0"/>
        <v>3</v>
      </c>
      <c r="Y19" s="304">
        <f t="shared" si="0"/>
        <v>14</v>
      </c>
      <c r="Z19" s="304">
        <f t="shared" si="0"/>
        <v>14</v>
      </c>
      <c r="AA19" s="304">
        <f t="shared" si="0"/>
        <v>0</v>
      </c>
      <c r="AB19" s="304">
        <f t="shared" si="0"/>
        <v>0</v>
      </c>
      <c r="AC19" s="304">
        <f t="shared" si="0"/>
        <v>0</v>
      </c>
      <c r="AD19" s="304">
        <f t="shared" si="0"/>
        <v>0</v>
      </c>
      <c r="AE19" s="304">
        <f t="shared" si="0"/>
        <v>0</v>
      </c>
      <c r="AF19" s="304">
        <f t="shared" si="0"/>
        <v>0</v>
      </c>
      <c r="AG19" s="304">
        <f t="shared" si="0"/>
        <v>0</v>
      </c>
      <c r="AH19" s="304">
        <f t="shared" si="0"/>
        <v>0</v>
      </c>
      <c r="AI19" s="304">
        <f t="shared" si="0"/>
        <v>0</v>
      </c>
      <c r="AJ19" s="304">
        <f t="shared" si="0"/>
        <v>24</v>
      </c>
      <c r="AK19" s="304">
        <f t="shared" si="0"/>
        <v>24</v>
      </c>
      <c r="AL19" s="304">
        <f t="shared" si="0"/>
        <v>0</v>
      </c>
      <c r="AM19" s="304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1" t="s">
        <v>450</v>
      </c>
      <c r="B21" s="304">
        <f>+_xlfn.XLOOKUP(B4,Catalogo!$B:$B,Catalogo!$D:$D)</f>
        <v>105</v>
      </c>
      <c r="C21" s="304">
        <f>+_xlfn.XLOOKUP(C4,Catalogo!$B:$B,Catalogo!$D:$D)</f>
        <v>105</v>
      </c>
      <c r="D21" s="304">
        <f>+_xlfn.XLOOKUP(D4,Catalogo!$B:$B,Catalogo!$D:$D)</f>
        <v>105</v>
      </c>
      <c r="E21" s="304">
        <f>+_xlfn.XLOOKUP(E4,Catalogo!$B:$B,Catalogo!$D:$D)</f>
        <v>105</v>
      </c>
      <c r="F21" s="304">
        <f>+_xlfn.XLOOKUP(F4,Catalogo!$B:$B,Catalogo!$D:$D)</f>
        <v>105</v>
      </c>
      <c r="G21" s="304">
        <f>+_xlfn.XLOOKUP(G4,Catalogo!$B:$B,Catalogo!$D:$D)</f>
        <v>105</v>
      </c>
      <c r="H21" s="304">
        <v>200</v>
      </c>
      <c r="I21" s="304">
        <f>+_xlfn.XLOOKUP(I4,Catalogo!$B:$B,Catalogo!$D:$D)</f>
        <v>200</v>
      </c>
      <c r="J21" s="304">
        <v>200</v>
      </c>
      <c r="K21" s="304">
        <f>+_xlfn.XLOOKUP(K4,Catalogo!$B:$B,Catalogo!$D:$D)</f>
        <v>200</v>
      </c>
      <c r="L21" s="304">
        <f>+_xlfn.XLOOKUP(L4,Catalogo!$B:$B,Catalogo!$D:$D)</f>
        <v>500</v>
      </c>
      <c r="M21" s="304">
        <v>200</v>
      </c>
      <c r="N21" s="304">
        <f>+_xlfn.XLOOKUP(N4,Catalogo!$B:$B,Catalogo!$D:$D)</f>
        <v>105</v>
      </c>
      <c r="O21" s="304">
        <f>+_xlfn.XLOOKUP(O4,Catalogo!$B:$B,Catalogo!$D:$D)</f>
        <v>105</v>
      </c>
      <c r="P21" s="304">
        <f>+_xlfn.XLOOKUP(P4,Catalogo!$B:$B,Catalogo!$D:$D)</f>
        <v>105</v>
      </c>
      <c r="Q21" s="304">
        <f>+_xlfn.XLOOKUP(Q4,Catalogo!$B:$B,Catalogo!$D:$D)</f>
        <v>55</v>
      </c>
      <c r="R21" s="304">
        <f>+_xlfn.XLOOKUP(R4,Catalogo!$B:$B,Catalogo!$D:$D)</f>
        <v>55</v>
      </c>
      <c r="S21" s="304">
        <f>+_xlfn.XLOOKUP(S4,Catalogo!$B:$B,Catalogo!$D:$D)</f>
        <v>100</v>
      </c>
      <c r="T21" s="304">
        <f>+_xlfn.XLOOKUP(T4,Catalogo!$B:$B,Catalogo!$D:$D)</f>
        <v>100</v>
      </c>
      <c r="U21" s="304">
        <f>+_xlfn.XLOOKUP(U4,Catalogo!$B:$B,Catalogo!$D:$D)</f>
        <v>170</v>
      </c>
      <c r="V21" s="304">
        <f>+_xlfn.XLOOKUP(V4,Catalogo!$B:$B,Catalogo!$D:$D)</f>
        <v>170</v>
      </c>
      <c r="W21" s="304">
        <f>+_xlfn.XLOOKUP(W4,Catalogo!$B:$B,Catalogo!$D:$D)</f>
        <v>100</v>
      </c>
      <c r="X21" s="304">
        <f>+_xlfn.XLOOKUP(X4,Catalogo!$B:$B,Catalogo!$D:$D)</f>
        <v>100</v>
      </c>
      <c r="Y21" s="304">
        <f>+_xlfn.XLOOKUP(Y4,Catalogo!$B:$B,Catalogo!$D:$D)</f>
        <v>55</v>
      </c>
      <c r="Z21" s="304">
        <f>+_xlfn.XLOOKUP(Z4,Catalogo!$B:$B,Catalogo!$D:$D)</f>
        <v>55</v>
      </c>
      <c r="AA21" s="304">
        <f>+_xlfn.XLOOKUP(AA4,Catalogo!$B:$B,Catalogo!$D:$D)</f>
        <v>105</v>
      </c>
      <c r="AB21" s="304">
        <f>+_xlfn.XLOOKUP(AB4,Catalogo!$B:$B,Catalogo!$D:$D)</f>
        <v>105</v>
      </c>
      <c r="AC21" s="304">
        <f>+_xlfn.XLOOKUP(AC4,Catalogo!$B:$B,Catalogo!$D:$D)</f>
        <v>105</v>
      </c>
      <c r="AD21" s="304">
        <f>+_xlfn.XLOOKUP(AD4,Catalogo!$B:$B,Catalogo!$D:$D)</f>
        <v>105</v>
      </c>
      <c r="AE21" s="304">
        <f>+_xlfn.XLOOKUP(AE4,Catalogo!$B:$B,Catalogo!$D:$D)</f>
        <v>105</v>
      </c>
      <c r="AF21" s="304">
        <f>+_xlfn.XLOOKUP(AF4,Catalogo!$B:$B,Catalogo!$D:$D)</f>
        <v>105</v>
      </c>
      <c r="AG21" s="304">
        <f>+_xlfn.XLOOKUP(AG4,Catalogo!$B:$B,Catalogo!$D:$D)</f>
        <v>105</v>
      </c>
      <c r="AH21" s="304">
        <f>+_xlfn.XLOOKUP(AH4,Catalogo!$B:$B,Catalogo!$D:$D)</f>
        <v>105</v>
      </c>
      <c r="AI21" s="304">
        <f>+_xlfn.XLOOKUP(AI4,Catalogo!$B:$B,Catalogo!$D:$D)</f>
        <v>105</v>
      </c>
      <c r="AJ21" s="304">
        <f>+_xlfn.XLOOKUP(AJ4,Catalogo!$B:$B,Catalogo!$D:$D)</f>
        <v>100</v>
      </c>
      <c r="AK21" s="304">
        <f>+_xlfn.XLOOKUP(AK4,Catalogo!$B:$B,Catalogo!$D:$D)</f>
        <v>500</v>
      </c>
      <c r="AL21" s="304">
        <f>+_xlfn.XLOOKUP(AL4,Catalogo!$B:$B,Catalogo!$D:$D)</f>
        <v>800</v>
      </c>
      <c r="AM21" s="304">
        <f>+_xlfn.XLOOKUP(AM4,Catalogo!$B:$B,Catalogo!$D:$D)</f>
        <v>105</v>
      </c>
    </row>
    <row r="22" spans="1:49" s="1" customFormat="1" x14ac:dyDescent="0.25">
      <c r="A22" s="331" t="s">
        <v>451</v>
      </c>
      <c r="B22" s="328">
        <f>+B19/B21</f>
        <v>1.1047619047619048</v>
      </c>
      <c r="C22" s="328">
        <f t="shared" ref="C22:P22" si="1">+C19/C21</f>
        <v>1.1047619047619048</v>
      </c>
      <c r="D22" s="328">
        <f t="shared" si="1"/>
        <v>1.1047619047619048</v>
      </c>
      <c r="E22" s="328">
        <f t="shared" si="1"/>
        <v>1.1047619047619048</v>
      </c>
      <c r="F22" s="328">
        <f t="shared" si="1"/>
        <v>1.1047619047619048</v>
      </c>
      <c r="G22" s="328">
        <f t="shared" si="1"/>
        <v>1.1047619047619048</v>
      </c>
      <c r="H22" s="338">
        <f t="shared" si="1"/>
        <v>0.90212750000000019</v>
      </c>
      <c r="I22" s="340"/>
      <c r="J22" s="338">
        <f t="shared" si="1"/>
        <v>0.75162250000000019</v>
      </c>
      <c r="K22" s="338">
        <f t="shared" si="1"/>
        <v>0.48225499999999999</v>
      </c>
      <c r="L22" s="338">
        <f t="shared" si="1"/>
        <v>0.79200000000000004</v>
      </c>
      <c r="M22" s="338">
        <f t="shared" si="1"/>
        <v>0.90942750000000006</v>
      </c>
      <c r="N22" s="338">
        <f t="shared" si="1"/>
        <v>0.87619047619047619</v>
      </c>
      <c r="O22" s="338">
        <f t="shared" si="1"/>
        <v>0.87619047619047619</v>
      </c>
      <c r="P22" s="339">
        <f t="shared" si="1"/>
        <v>0.87619047619047619</v>
      </c>
      <c r="Q22" s="329">
        <f t="shared" ref="Q22" si="2">+Q19/Q21</f>
        <v>0.25454545454545452</v>
      </c>
      <c r="R22" s="329">
        <f t="shared" ref="R22" si="3">+R19/R21</f>
        <v>0.27272727272727271</v>
      </c>
      <c r="S22" s="329">
        <f t="shared" ref="S22" si="4">+S19/S21</f>
        <v>0.15</v>
      </c>
      <c r="T22" s="329">
        <f t="shared" ref="T22" si="5">+T19/T21</f>
        <v>0.15</v>
      </c>
      <c r="U22" s="329">
        <f t="shared" ref="U22" si="6">+U19/U21</f>
        <v>1.1764705882352941E-2</v>
      </c>
      <c r="V22" s="329">
        <f t="shared" ref="V22" si="7">+V19/V21</f>
        <v>8.8235294117647065E-2</v>
      </c>
      <c r="W22" s="329">
        <f t="shared" ref="W22" si="8">+W19/W21</f>
        <v>0.02</v>
      </c>
      <c r="X22" s="329">
        <f t="shared" ref="X22" si="9">+X19/X21</f>
        <v>0.03</v>
      </c>
      <c r="Y22" s="329">
        <f t="shared" ref="Y22" si="10">+Y19/Y21</f>
        <v>0.25454545454545452</v>
      </c>
      <c r="Z22" s="329">
        <f t="shared" ref="Z22" si="11">+Z19/Z21</f>
        <v>0.25454545454545452</v>
      </c>
      <c r="AA22" s="329">
        <f t="shared" ref="AA22" si="12">+AA19/AA21</f>
        <v>0</v>
      </c>
      <c r="AB22" s="330">
        <f t="shared" ref="AB22" si="13">+AB19/AB21</f>
        <v>0</v>
      </c>
      <c r="AC22" s="330">
        <f t="shared" ref="AC22" si="14">+AC19/AC21</f>
        <v>0</v>
      </c>
      <c r="AD22" s="330">
        <f t="shared" ref="AD22" si="15">+AD19/AD21</f>
        <v>0</v>
      </c>
      <c r="AE22" s="330">
        <f t="shared" ref="AE22" si="16">+AE19/AE21</f>
        <v>0</v>
      </c>
      <c r="AF22" s="330">
        <f t="shared" ref="AF22" si="17">+AF19/AF21</f>
        <v>0</v>
      </c>
      <c r="AG22" s="330">
        <f t="shared" ref="AG22" si="18">+AG19/AG21</f>
        <v>0</v>
      </c>
      <c r="AH22" s="330">
        <f t="shared" ref="AH22" si="19">+AH19/AH21</f>
        <v>0</v>
      </c>
      <c r="AI22" s="330">
        <f t="shared" ref="AI22" si="20">+AI19/AI21</f>
        <v>0</v>
      </c>
      <c r="AJ22" s="330">
        <f t="shared" ref="AJ22" si="21">+AJ19/AJ21</f>
        <v>0.24</v>
      </c>
      <c r="AK22" s="330">
        <f t="shared" ref="AK22" si="22">+AK19/AK21</f>
        <v>4.8000000000000001E-2</v>
      </c>
      <c r="AL22" s="330">
        <f t="shared" ref="AL22" si="23">+AL19/AL21</f>
        <v>0</v>
      </c>
      <c r="AM22" s="330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92" t="s">
        <v>398</v>
      </c>
      <c r="C25" s="592"/>
      <c r="D25" s="349">
        <v>100</v>
      </c>
      <c r="E25" s="333" t="str">
        <f>REPT("█",ROUND(D25/5,0))&amp;REPT("░",20-ROUND(D25/5,0))&amp;" "&amp;ROUND(D25,0)&amp;"%"</f>
        <v>████████████████████ 100%</v>
      </c>
      <c r="M25" s="351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92" t="s">
        <v>447</v>
      </c>
      <c r="C26" s="592"/>
      <c r="D26" s="349">
        <f>+AVERAGE(H22:O22)*100</f>
        <v>79.854477891156478</v>
      </c>
      <c r="E26" s="334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92" t="s">
        <v>448</v>
      </c>
      <c r="C27" s="592"/>
      <c r="D27" s="349">
        <f>+AVERAGE(P22:AA22)*100</f>
        <v>19.687950937950934</v>
      </c>
      <c r="E27" s="348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92" t="s">
        <v>449</v>
      </c>
      <c r="C28" s="592"/>
      <c r="D28" s="349">
        <f>+AVERAGE(AB22:AM22)*100</f>
        <v>2.4</v>
      </c>
      <c r="E28" s="347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4"/>
      <c r="E30" s="350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0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2" t="s">
        <v>398</v>
      </c>
      <c r="C3" s="345">
        <v>100</v>
      </c>
      <c r="D3" s="333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2" t="s">
        <v>447</v>
      </c>
      <c r="C4" s="346">
        <f>+AVERAGE('EV (3)'!H22:O22)*100</f>
        <v>79.854477891156478</v>
      </c>
      <c r="D4" s="334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2" t="s">
        <v>448</v>
      </c>
      <c r="C5" s="346">
        <f>+AVERAGE('EV (3)'!P22:AA22)*100</f>
        <v>19.687950937950934</v>
      </c>
      <c r="D5" s="335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2" t="s">
        <v>449</v>
      </c>
      <c r="C6" s="346">
        <f>IFERROR(AVERAGE('EV (3)'!AB22:AM22)*100,0)</f>
        <v>2.4</v>
      </c>
      <c r="D6" s="336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7" t="s">
        <v>454</v>
      </c>
    </row>
    <row r="9" spans="2:4" ht="16.5" x14ac:dyDescent="0.3">
      <c r="B9" s="102"/>
      <c r="C9" s="102"/>
      <c r="D9" s="337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K34" sqref="K34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536</v>
      </c>
      <c r="K1" s="526" t="s">
        <v>561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8">
        <f>IF(SUM(F3:M3)=0,"",SUM(F3:M3))</f>
        <v>116</v>
      </c>
      <c r="O3" s="536">
        <f>IF(N3&lt;&gt;"",_xlfn.XLOOKUP(A3,Catalogo!B6:B69,Catalogo!F6:F69)*N3,"")</f>
        <v>293805.96000000002</v>
      </c>
      <c r="P3" s="553">
        <f>IFERROR($N3/$C3,"")</f>
        <v>1.1047619047619048</v>
      </c>
      <c r="Q3" s="554">
        <f>IFERROR(1-P3,"")</f>
        <v>-0.10476190476190483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8">
        <f t="shared" ref="N4:N40" si="0">IF(SUM(F4:M4)=0,"",SUM(F4:M4))</f>
        <v>116</v>
      </c>
      <c r="O4" s="536">
        <f>IF(N4&lt;&gt;"",_xlfn.XLOOKUP(A4,Catalogo!B7:B70,Catalogo!F7:F70)*N4,"")</f>
        <v>377001.16000000003</v>
      </c>
      <c r="P4" s="553">
        <f t="shared" ref="P4:P40" si="1">IFERROR($N4/$C4,"")</f>
        <v>1.1047619047619048</v>
      </c>
      <c r="Q4" s="554">
        <f t="shared" ref="Q4:Q40" si="2">IFERROR(1-P4,"")</f>
        <v>-0.10476190476190483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8">
        <f t="shared" si="0"/>
        <v>116</v>
      </c>
      <c r="O5" s="536">
        <f>IF(N5&lt;&gt;"",_xlfn.XLOOKUP(A5,Catalogo!B8:B71,Catalogo!F8:F71)*N5,"")</f>
        <v>114297.12000000001</v>
      </c>
      <c r="P5" s="553">
        <f t="shared" si="1"/>
        <v>1.1047619047619048</v>
      </c>
      <c r="Q5" s="554">
        <f t="shared" si="2"/>
        <v>-0.10476190476190483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8">
        <f t="shared" si="0"/>
        <v>116</v>
      </c>
      <c r="O6" s="536">
        <f>IF(N6&lt;&gt;"",_xlfn.XLOOKUP(A6,Catalogo!B9:B72,Catalogo!F9:F72)*N6,"")</f>
        <v>123298.72</v>
      </c>
      <c r="P6" s="553">
        <f t="shared" si="1"/>
        <v>1.1047619047619048</v>
      </c>
      <c r="Q6" s="554">
        <f t="shared" si="2"/>
        <v>-0.10476190476190483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8">
        <f t="shared" si="0"/>
        <v>116</v>
      </c>
      <c r="O7" s="536">
        <f>IF(N7&lt;&gt;"",_xlfn.XLOOKUP(A7,Catalogo!B10:B73,Catalogo!F10:F73)*N7,"")</f>
        <v>155121</v>
      </c>
      <c r="P7" s="553">
        <f t="shared" si="1"/>
        <v>1.1047619047619048</v>
      </c>
      <c r="Q7" s="554">
        <f t="shared" si="2"/>
        <v>-0.10476190476190483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8">
        <f t="shared" si="0"/>
        <v>116</v>
      </c>
      <c r="O8" s="536">
        <f>IF(N8&lt;&gt;"",_xlfn.XLOOKUP(A8,Catalogo!B11:B74,Catalogo!F11:F74)*N8,"")</f>
        <v>183420.36000000002</v>
      </c>
      <c r="P8" s="553">
        <f t="shared" si="1"/>
        <v>1.1047619047619048</v>
      </c>
      <c r="Q8" s="554">
        <f t="shared" si="2"/>
        <v>-0.10476190476190483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180.42550000000003</v>
      </c>
      <c r="O9" s="536">
        <f>IF(N9&lt;&gt;"",_xlfn.XLOOKUP(A9,Catalogo!B12:B75,Catalogo!F12:F75)*N9,"")</f>
        <v>2620032.6599550005</v>
      </c>
      <c r="P9" s="553">
        <f t="shared" si="1"/>
        <v>0.90212750000000019</v>
      </c>
      <c r="Q9" s="554">
        <f t="shared" si="2"/>
        <v>9.7872499999999807E-2</v>
      </c>
      <c r="R9" s="563">
        <f>+Q9*C9</f>
        <v>19.574499999999961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0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23.351051526399864</v>
      </c>
      <c r="G12" s="530">
        <f>+SUMIFS(Tabla1[Avance_km],Tabla1[nombre_actividad],'EV (4)'!$B12,Tabla1[Sistema],'EV (4)'!G$1)</f>
        <v>20.720286092281988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26.242087632554234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96.450605565890868</v>
      </c>
      <c r="O12" s="536">
        <f>IF(N12&lt;&gt;"",_xlfn.XLOOKUP(A12,Catalogo!B15:B78,Catalogo!F15:F78)*N12,"")</f>
        <v>1321014.4999999998</v>
      </c>
      <c r="P12" s="553">
        <f t="shared" si="1"/>
        <v>0.48225302782945434</v>
      </c>
      <c r="Q12" s="554">
        <f t="shared" si="2"/>
        <v>0.51774697217054566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92</v>
      </c>
      <c r="O16" s="536">
        <f>IF(N16&lt;&gt;"",_xlfn.XLOOKUP(A16,Catalogo!B19:B82,Catalogo!F19:F82)*N16,"")</f>
        <v>243457.76</v>
      </c>
      <c r="P16" s="553">
        <f t="shared" si="1"/>
        <v>0.87619047619047619</v>
      </c>
      <c r="Q16" s="554">
        <f t="shared" si="2"/>
        <v>0.12380952380952381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>
        <f t="shared" si="0"/>
        <v>92</v>
      </c>
      <c r="O17" s="536">
        <f>IF(N17&lt;&gt;"",_xlfn.XLOOKUP(A17,Catalogo!B20:B83,Catalogo!F20:F83)*N17,"")</f>
        <v>181299.80000000002</v>
      </c>
      <c r="P17" s="553">
        <f t="shared" si="1"/>
        <v>0.87619047619047619</v>
      </c>
      <c r="Q17" s="554">
        <f t="shared" si="2"/>
        <v>0.12380952380952381</v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14</v>
      </c>
      <c r="O18" s="536">
        <f>IF(N18&lt;&gt;"",_xlfn.XLOOKUP(A18,Catalogo!B21:B84,Catalogo!F21:F84)*N18,"")</f>
        <v>106203.86</v>
      </c>
      <c r="P18" s="553">
        <f t="shared" si="1"/>
        <v>0.25454545454545452</v>
      </c>
      <c r="Q18" s="554">
        <f t="shared" si="2"/>
        <v>0.74545454545454548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15</v>
      </c>
      <c r="O19" s="536">
        <f>IF(N19&lt;&gt;"",_xlfn.XLOOKUP(A19,Catalogo!B22:B85,Catalogo!F22:F85)*N19,"")</f>
        <v>26483.85</v>
      </c>
      <c r="P19" s="553">
        <f t="shared" si="1"/>
        <v>0.27272727272727271</v>
      </c>
      <c r="Q19" s="554">
        <f t="shared" si="2"/>
        <v>0.72727272727272729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15</v>
      </c>
      <c r="O20" s="536">
        <f>IF(N20&lt;&gt;"",_xlfn.XLOOKUP(A20,Catalogo!B23:B86,Catalogo!F23:F86)*N20,"")</f>
        <v>29018.85</v>
      </c>
      <c r="P20" s="553">
        <f t="shared" si="1"/>
        <v>0.15</v>
      </c>
      <c r="Q20" s="554">
        <f t="shared" si="2"/>
        <v>0.85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15</v>
      </c>
      <c r="O21" s="536">
        <f>IF(N21&lt;&gt;"",_xlfn.XLOOKUP(A21,Catalogo!B24:B87,Catalogo!F24:F87)*N21,"")</f>
        <v>29408.85</v>
      </c>
      <c r="P21" s="553">
        <f t="shared" si="1"/>
        <v>0.15</v>
      </c>
      <c r="Q21" s="554">
        <f t="shared" si="2"/>
        <v>0.85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15</v>
      </c>
      <c r="O23" s="536">
        <f>IF(N23&lt;&gt;"",_xlfn.XLOOKUP(A23,Catalogo!B26:B89,Catalogo!F26:F89)*N23,"")</f>
        <v>33308.850000000006</v>
      </c>
      <c r="P23" s="553">
        <f t="shared" si="1"/>
        <v>8.8235294117647065E-2</v>
      </c>
      <c r="Q23" s="554">
        <f t="shared" si="2"/>
        <v>0.91176470588235292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2</v>
      </c>
      <c r="O24" s="536">
        <f>IF(N24&lt;&gt;"",_xlfn.XLOOKUP(A24,Catalogo!B27:B90,Catalogo!F27:F90)*N24,"")</f>
        <v>4181.18</v>
      </c>
      <c r="P24" s="553">
        <f t="shared" si="1"/>
        <v>0.02</v>
      </c>
      <c r="Q24" s="554">
        <f t="shared" si="2"/>
        <v>0.98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3</v>
      </c>
      <c r="O25" s="536">
        <f>IF(N25&lt;&gt;"",_xlfn.XLOOKUP(A25,Catalogo!B28:B91,Catalogo!F28:F91)*N25,"")</f>
        <v>6271.77</v>
      </c>
      <c r="P25" s="553">
        <f t="shared" si="1"/>
        <v>0.03</v>
      </c>
      <c r="Q25" s="554">
        <f t="shared" si="2"/>
        <v>0.97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646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523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646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646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10886644.457299998</v>
      </c>
      <c r="P42" s="291">
        <f>+'EV (2)'!AN5+'EV (4)'!O42</f>
        <v>-276277.38270000182</v>
      </c>
      <c r="Q42" s="541">
        <f>-O42/'EV (2)'!AO5</f>
        <v>0.97525044189505838</v>
      </c>
      <c r="R42" s="552">
        <f>1-Q42</f>
        <v>2.4749558104941616E-2</v>
      </c>
    </row>
    <row r="43" spans="1:18" x14ac:dyDescent="0.25">
      <c r="C43"/>
      <c r="D43"/>
      <c r="E43"/>
      <c r="F43"/>
      <c r="O43" s="551" t="str">
        <f ca="1">+IF(O42=EV!AC35,"CHECKED","NO CUADRA")</f>
        <v>CHECKED</v>
      </c>
    </row>
    <row r="44" spans="1:18" x14ac:dyDescent="0.25">
      <c r="C44"/>
      <c r="D44"/>
      <c r="E44"/>
      <c r="F44"/>
      <c r="O44" s="229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4" customFormat="1" ht="81.75" customHeight="1" x14ac:dyDescent="0.25">
      <c r="B1" s="297" t="s">
        <v>79</v>
      </c>
      <c r="C1" s="297" t="s">
        <v>80</v>
      </c>
      <c r="D1" s="297" t="s">
        <v>78</v>
      </c>
      <c r="E1" s="461" t="s">
        <v>555</v>
      </c>
      <c r="F1" s="297" t="s">
        <v>556</v>
      </c>
      <c r="G1" s="297" t="s">
        <v>557</v>
      </c>
      <c r="H1" s="303" t="s">
        <v>440</v>
      </c>
      <c r="J1" s="411"/>
      <c r="L1" s="297" t="s">
        <v>79</v>
      </c>
      <c r="M1" s="297" t="s">
        <v>80</v>
      </c>
      <c r="N1" s="297" t="s">
        <v>78</v>
      </c>
      <c r="O1" s="461" t="s">
        <v>555</v>
      </c>
      <c r="P1" s="461" t="s">
        <v>556</v>
      </c>
      <c r="Q1" s="297" t="s">
        <v>557</v>
      </c>
      <c r="R1" s="303" t="s">
        <v>440</v>
      </c>
      <c r="U1" s="461" t="s">
        <v>555</v>
      </c>
      <c r="V1" s="461" t="s">
        <v>556</v>
      </c>
      <c r="W1" s="297" t="s">
        <v>557</v>
      </c>
    </row>
    <row r="2" spans="1:57" s="76" customFormat="1" x14ac:dyDescent="0.25">
      <c r="B2" s="298" t="s">
        <v>108</v>
      </c>
      <c r="C2" s="298" t="s">
        <v>108</v>
      </c>
      <c r="D2" s="298" t="s">
        <v>108</v>
      </c>
      <c r="E2" s="298" t="s">
        <v>558</v>
      </c>
      <c r="F2" s="298" t="s">
        <v>558</v>
      </c>
      <c r="G2" s="298" t="s">
        <v>558</v>
      </c>
      <c r="L2" s="298" t="s">
        <v>108</v>
      </c>
      <c r="M2" s="298" t="s">
        <v>108</v>
      </c>
      <c r="N2" s="298" t="s">
        <v>108</v>
      </c>
      <c r="O2" s="298" t="s">
        <v>558</v>
      </c>
      <c r="P2" s="298" t="s">
        <v>558</v>
      </c>
      <c r="Q2" s="298" t="s">
        <v>558</v>
      </c>
      <c r="U2" s="298" t="s">
        <v>558</v>
      </c>
      <c r="V2" s="298" t="s">
        <v>558</v>
      </c>
      <c r="W2" s="298" t="s">
        <v>558</v>
      </c>
    </row>
    <row r="3" spans="1:57" x14ac:dyDescent="0.25">
      <c r="A3"/>
      <c r="B3" s="292">
        <v>7800</v>
      </c>
      <c r="C3" s="261">
        <v>8200</v>
      </c>
      <c r="D3" s="261">
        <v>1600</v>
      </c>
      <c r="E3" s="261">
        <v>355</v>
      </c>
      <c r="F3" s="261">
        <v>1500</v>
      </c>
      <c r="G3" s="261">
        <v>295</v>
      </c>
      <c r="H3"/>
      <c r="K3"/>
      <c r="L3" s="292">
        <v>7800</v>
      </c>
      <c r="M3" s="261">
        <v>8200</v>
      </c>
      <c r="N3" s="261">
        <v>1600</v>
      </c>
      <c r="O3" s="261">
        <v>355</v>
      </c>
      <c r="P3" s="261">
        <v>1500</v>
      </c>
      <c r="Q3" s="261">
        <v>295</v>
      </c>
      <c r="R3"/>
      <c r="U3" s="261">
        <v>355</v>
      </c>
      <c r="V3" s="261">
        <v>1500</v>
      </c>
      <c r="W3" s="261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8">
        <v>-1500000</v>
      </c>
      <c r="I5" s="308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8"/>
      <c r="S5" s="308"/>
      <c r="U5" s="76"/>
      <c r="V5" s="76"/>
      <c r="W5" s="76"/>
    </row>
    <row r="6" spans="1:57" x14ac:dyDescent="0.25">
      <c r="A6" s="226">
        <v>45962</v>
      </c>
      <c r="B6" s="314">
        <f>+SUMIFS(Tabla1[Avance_km],Tabla1[Fecha],"&gt;="&amp;$A6,Tabla1[Fecha],"&lt;="&amp;EOMONTH($A6,0),Tabla1[Codigo_actividad],B$4)*B$3</f>
        <v>246082.19999999998</v>
      </c>
      <c r="C6" s="314">
        <f>+SUMIFS(Tabla1[Avance_km],Tabla1[Fecha],"&gt;="&amp;$A6,Tabla1[Fecha],"&lt;="&amp;EOMONTH($A6,0),Tabla1[Codigo_actividad],C$4)*C$3</f>
        <v>435001.8</v>
      </c>
      <c r="D6" s="314">
        <f>+SUMIFS(Tabla1[Avance_km],Tabla1[Fecha],"&gt;="&amp;$A6,Tabla1[Fecha],"&lt;="&amp;EOMONTH($A6,0),Tabla1[Codigo_actividad],D$4)*D$3</f>
        <v>115235.20000000003</v>
      </c>
      <c r="E6" s="314">
        <f>+O6*$E$3</f>
        <v>0</v>
      </c>
      <c r="F6" s="314">
        <f>+P6*$F$3</f>
        <v>0</v>
      </c>
      <c r="G6" s="314">
        <f>+Q6*$G$3</f>
        <v>0</v>
      </c>
      <c r="H6" s="313"/>
      <c r="I6" s="308">
        <f>SUM(B6:H6)</f>
        <v>796319.20000000007</v>
      </c>
      <c r="J6" s="229"/>
      <c r="K6" s="226">
        <v>45962</v>
      </c>
      <c r="L6" s="314">
        <f>+SUMIFS(Tabla1[Avance_km],Tabla1[Fecha],"&gt;="&amp;$A6,Tabla1[Fecha],"&lt;="&amp;EOMONTH($A6,0),Tabla1[Codigo_actividad],L$4)</f>
        <v>31.548999999999999</v>
      </c>
      <c r="M6" s="314">
        <f>+SUMIFS(Tabla1[Avance_km],Tabla1[Fecha],"&gt;="&amp;$A6,Tabla1[Fecha],"&lt;="&amp;EOMONTH($A6,0),Tabla1[Codigo_actividad],M$4)</f>
        <v>53.048999999999999</v>
      </c>
      <c r="N6" s="314">
        <f>+SUMIFS(Tabla1[Avance_km],Tabla1[Fecha],"&gt;="&amp;$A6,Tabla1[Fecha],"&lt;="&amp;EOMONTH($A6,0),Tabla1[Codigo_actividad],N$4)</f>
        <v>72.02200000000002</v>
      </c>
      <c r="O6" s="314">
        <f>+SUMIFS(Tabla1[Observaciones],Tabla1[Fecha],"&gt;="&amp;$A6,Tabla1[Fecha],"&lt;="&amp;EOMONTH($A6,0),Tabla1[Codigo_actividad],O$4,Tabla1[Actividades],"&lt;&gt;"&amp;"METALOGRAFIAS",Tabla1[Length],O$1)</f>
        <v>0</v>
      </c>
      <c r="P6" s="314">
        <f>+SUMIFS(Tabla1[Observaciones],Tabla1[Fecha],"&gt;="&amp;$A6,Tabla1[Fecha],"&lt;="&amp;EOMONTH($A6,0),Tabla1[Codigo_actividad],P$4,Tabla1[Actividades],"&lt;&gt;"&amp;"METALOGRAFIAS",Tabla1[Length],P$1)</f>
        <v>0</v>
      </c>
      <c r="Q6" s="314">
        <f>+SUMIFS(Tabla1[Observaciones],Tabla1[Fecha],"&gt;="&amp;$A6,Tabla1[Fecha],"&lt;="&amp;EOMONTH($A6,0),Tabla1[Codigo_actividad],Q$4,Tabla1[Actividades],"&lt;&gt;"&amp;"METALOGRAFIAS",Tabla1[Length],Q$1)</f>
        <v>0</v>
      </c>
      <c r="R6" s="313"/>
      <c r="S6" s="308">
        <f>SUM(L6:N6)</f>
        <v>156.62</v>
      </c>
      <c r="T6" s="463">
        <f>SUM(O6:Q6)</f>
        <v>0</v>
      </c>
      <c r="U6" s="314">
        <f>+SUMIFS(Tabla1[Observaciones],Tabla1[Fecha],"&gt;="&amp;$A6,Tabla1[Fecha],"&lt;="&amp;EOMONTH($A6,0),Tabla1[Codigo_actividad],U$4,Tabla1[Actividades],"&lt;&gt;"&amp;"METALOGRAFIAS",Tabla1[Length],U$1)</f>
        <v>0</v>
      </c>
      <c r="V6" s="314">
        <f>+SUMIFS(Tabla1[Observaciones],Tabla1[Fecha],"&gt;="&amp;$A6,Tabla1[Fecha],"&lt;="&amp;EOMONTH($A6,0),Tabla1[Codigo_actividad],V$4,Tabla1[Actividades],"&lt;&gt;"&amp;"METALOGRAFIAS",Tabla1[Length],V$1)</f>
        <v>0</v>
      </c>
      <c r="W6" s="314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6">
        <v>45992</v>
      </c>
      <c r="B7" s="314">
        <f>+SUMIFS(Tabla1[Avance_km],Tabla1[Fecha],"&gt;="&amp;$A7,Tabla1[Fecha],"&lt;="&amp;EOMONTH($A7,0),Tabla1[Codigo_actividad],B$4)*B$3</f>
        <v>245832.60000000003</v>
      </c>
      <c r="C7" s="314">
        <f>+SUMIFS(Tabla1[Avance_km],Tabla1[Fecha],"&gt;="&amp;$A7,Tabla1[Fecha],"&lt;="&amp;EOMONTH($A7,0),Tabla1[Codigo_actividad],C$4)*C$3</f>
        <v>258660.79999999996</v>
      </c>
      <c r="D7" s="314">
        <f>+SUMIFS(Tabla1[Avance_km],Tabla1[Fecha],"&gt;="&amp;$A7,Tabla1[Fecha],"&lt;="&amp;EOMONTH($A7,0),Tabla1[Codigo_actividad],D$4)*D$3</f>
        <v>33892.800000000003</v>
      </c>
      <c r="E7" s="314">
        <f t="shared" ref="E7:E19" si="1">+O7*$E$3</f>
        <v>0</v>
      </c>
      <c r="F7" s="314">
        <f t="shared" ref="F7:F19" si="2">+P7*$F$3</f>
        <v>0</v>
      </c>
      <c r="G7" s="314">
        <f t="shared" ref="G7:G19" si="3">+Q7*$G$3</f>
        <v>0</v>
      </c>
      <c r="H7" s="313"/>
      <c r="I7" s="308">
        <f t="shared" ref="I7:I19" si="4">SUM(B7:H7)</f>
        <v>538386.20000000007</v>
      </c>
      <c r="K7" s="226">
        <v>45992</v>
      </c>
      <c r="L7" s="314">
        <f>+SUMIFS(Tabla1[Avance_km],Tabla1[Fecha],"&gt;="&amp;$A7,Tabla1[Fecha],"&lt;="&amp;EOMONTH($A7,0),Tabla1[Codigo_actividad],L$4)</f>
        <v>31.517000000000003</v>
      </c>
      <c r="M7" s="314">
        <f>+SUMIFS(Tabla1[Avance_km],Tabla1[Fecha],"&gt;="&amp;$A7,Tabla1[Fecha],"&lt;="&amp;EOMONTH($A7,0),Tabla1[Codigo_actividad],M$4)</f>
        <v>31.543999999999993</v>
      </c>
      <c r="N7" s="314">
        <f>+SUMIFS(Tabla1[Avance_km],Tabla1[Fecha],"&gt;="&amp;$A7,Tabla1[Fecha],"&lt;="&amp;EOMONTH($A7,0),Tabla1[Codigo_actividad],N$4)</f>
        <v>21.183</v>
      </c>
      <c r="O7" s="314">
        <f>+SUMIFS(Tabla1[Observaciones],Tabla1[Fecha],"&gt;="&amp;$A7,Tabla1[Fecha],"&lt;="&amp;EOMONTH($A7,0),Tabla1[Codigo_actividad],O$4,Tabla1[Actividades],"&lt;&gt;"&amp;"METALOGRAFIAS",Tabla1[Length],O$1)</f>
        <v>0</v>
      </c>
      <c r="P7" s="314">
        <f>+SUMIFS(Tabla1[Observaciones],Tabla1[Fecha],"&gt;="&amp;$A7,Tabla1[Fecha],"&lt;="&amp;EOMONTH($A7,0),Tabla1[Codigo_actividad],P$4,Tabla1[Actividades],"&lt;&gt;"&amp;"METALOGRAFIAS",Tabla1[Length],P$1)</f>
        <v>0</v>
      </c>
      <c r="Q7" s="314">
        <f>+SUMIFS(Tabla1[Observaciones],Tabla1[Fecha],"&gt;="&amp;$A7,Tabla1[Fecha],"&lt;="&amp;EOMONTH($A7,0),Tabla1[Codigo_actividad],Q$4,Tabla1[Actividades],"&lt;&gt;"&amp;"METALOGRAFIAS",Tabla1[Length],Q$1)</f>
        <v>0</v>
      </c>
      <c r="R7" s="313"/>
      <c r="S7" s="308">
        <f t="shared" ref="S7:S19" si="5">SUM(L7:N7)</f>
        <v>84.244</v>
      </c>
      <c r="T7" s="463">
        <f t="shared" ref="T7:T19" si="6">SUM(O7:Q7)</f>
        <v>0</v>
      </c>
      <c r="U7" s="314">
        <f>+SUMIFS(Tabla1[Observaciones],Tabla1[Fecha],"&gt;="&amp;$A7,Tabla1[Fecha],"&lt;="&amp;EOMONTH($A7,0),Tabla1[Codigo_actividad],U$4,Tabla1[Actividades],"&lt;&gt;"&amp;"METALOGRAFIAS",Tabla1[Length],U$1)</f>
        <v>0</v>
      </c>
      <c r="V7" s="314">
        <f>+SUMIFS(Tabla1[Observaciones],Tabla1[Fecha],"&gt;="&amp;$A7,Tabla1[Fecha],"&lt;="&amp;EOMONTH($A7,0),Tabla1[Codigo_actividad],V$4,Tabla1[Actividades],"&lt;&gt;"&amp;"METALOGRAFIAS",Tabla1[Length],V$1)</f>
        <v>0</v>
      </c>
      <c r="W7" s="314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6">
        <v>46023</v>
      </c>
      <c r="B8" s="314">
        <f>+SUMIFS(Tabla1[Avance_km],Tabla1[Fecha],"&gt;="&amp;$A8,Tabla1[Fecha],"&lt;="&amp;EOMONTH($A8,0),Tabla1[Codigo_actividad],B$4)*B$3</f>
        <v>287352.00000000006</v>
      </c>
      <c r="C8" s="314">
        <f>+SUMIFS(Tabla1[Avance_km],Tabla1[Fecha],"&gt;="&amp;$A8,Tabla1[Fecha],"&lt;="&amp;EOMONTH($A8,0),Tabla1[Codigo_actividad],C$4)*C$3</f>
        <v>125566.60000000003</v>
      </c>
      <c r="D8" s="314">
        <f>+SUMIFS(Tabla1[Avance_km],Tabla1[Fecha],"&gt;="&amp;$A8,Tabla1[Fecha],"&lt;="&amp;EOMONTH($A8,0),Tabla1[Codigo_actividad],D$4)*D$3</f>
        <v>10721.599999999999</v>
      </c>
      <c r="E8" s="314">
        <f t="shared" si="1"/>
        <v>0</v>
      </c>
      <c r="F8" s="314">
        <f t="shared" si="2"/>
        <v>0</v>
      </c>
      <c r="G8" s="314">
        <f t="shared" si="3"/>
        <v>0</v>
      </c>
      <c r="H8" s="313"/>
      <c r="I8" s="308">
        <f t="shared" si="4"/>
        <v>423640.20000000007</v>
      </c>
      <c r="K8" s="226">
        <v>46023</v>
      </c>
      <c r="L8" s="314">
        <f>+SUMIFS(Tabla1[Avance_km],Tabla1[Fecha],"&gt;="&amp;$A8,Tabla1[Fecha],"&lt;="&amp;EOMONTH($A8,0),Tabla1[Codigo_actividad],L$4)</f>
        <v>36.840000000000011</v>
      </c>
      <c r="M8" s="314">
        <f>+SUMIFS(Tabla1[Avance_km],Tabla1[Fecha],"&gt;="&amp;$A8,Tabla1[Fecha],"&lt;="&amp;EOMONTH($A8,0),Tabla1[Codigo_actividad],M$4)</f>
        <v>15.313000000000004</v>
      </c>
      <c r="N8" s="314">
        <f>+SUMIFS(Tabla1[Avance_km],Tabla1[Fecha],"&gt;="&amp;$A8,Tabla1[Fecha],"&lt;="&amp;EOMONTH($A8,0),Tabla1[Codigo_actividad],N$4)</f>
        <v>6.7009999999999996</v>
      </c>
      <c r="O8" s="314">
        <f>+SUMIFS(Tabla1[Observaciones],Tabla1[Fecha],"&gt;="&amp;$A8,Tabla1[Fecha],"&lt;="&amp;EOMONTH($A8,0),Tabla1[Codigo_actividad],O$4,Tabla1[Actividades],"&lt;&gt;"&amp;"METALOGRAFIAS",Tabla1[Length],O$1)</f>
        <v>0</v>
      </c>
      <c r="P8" s="314">
        <f>+SUMIFS(Tabla1[Observaciones],Tabla1[Fecha],"&gt;="&amp;$A8,Tabla1[Fecha],"&lt;="&amp;EOMONTH($A8,0),Tabla1[Codigo_actividad],P$4,Tabla1[Actividades],"&lt;&gt;"&amp;"METALOGRAFIAS",Tabla1[Length],P$1)</f>
        <v>0</v>
      </c>
      <c r="Q8" s="314">
        <f>+SUMIFS(Tabla1[Observaciones],Tabla1[Fecha],"&gt;="&amp;$A8,Tabla1[Fecha],"&lt;="&amp;EOMONTH($A8,0),Tabla1[Codigo_actividad],Q$4,Tabla1[Actividades],"&lt;&gt;"&amp;"METALOGRAFIAS",Tabla1[Length],Q$1)</f>
        <v>0</v>
      </c>
      <c r="R8" s="313"/>
      <c r="S8" s="308">
        <f t="shared" si="5"/>
        <v>58.854000000000013</v>
      </c>
      <c r="T8" s="463">
        <f t="shared" si="6"/>
        <v>0</v>
      </c>
      <c r="U8" s="314">
        <f>+SUMIFS(Tabla1[Observaciones],Tabla1[Fecha],"&gt;="&amp;$A8,Tabla1[Fecha],"&lt;="&amp;EOMONTH($A8,0),Tabla1[Codigo_actividad],U$4,Tabla1[Actividades],"&lt;&gt;"&amp;"METALOGRAFIAS",Tabla1[Length],U$1)</f>
        <v>0</v>
      </c>
      <c r="V8" s="314">
        <f>+SUMIFS(Tabla1[Observaciones],Tabla1[Fecha],"&gt;="&amp;$A8,Tabla1[Fecha],"&lt;="&amp;EOMONTH($A8,0),Tabla1[Codigo_actividad],V$4,Tabla1[Actividades],"&lt;&gt;"&amp;"METALOGRAFIAS",Tabla1[Length],V$1)</f>
        <v>0</v>
      </c>
      <c r="W8" s="314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6">
        <v>46054</v>
      </c>
      <c r="B9" s="314">
        <f>+SUMIFS(Tabla1[Avance_km],Tabla1[Fecha],"&gt;="&amp;$A9,Tabla1[Fecha],"&lt;="&amp;EOMONTH($A9,0),Tabla1[Codigo_actividad],B$4)*B$3</f>
        <v>0</v>
      </c>
      <c r="C9" s="314">
        <f>+SUMIFS(Tabla1[Avance_km],Tabla1[Fecha],"&gt;="&amp;$A9,Tabla1[Fecha],"&lt;="&amp;EOMONTH($A9,0),Tabla1[Codigo_actividad],C$4)*C$3</f>
        <v>0</v>
      </c>
      <c r="D9" s="314">
        <f>+SUMIFS(Tabla1[Avance_km],Tabla1[Fecha],"&gt;="&amp;$A9,Tabla1[Fecha],"&lt;="&amp;EOMONTH($A9,0),Tabla1[Codigo_actividad],D$4)*D$3</f>
        <v>0</v>
      </c>
      <c r="E9" s="314">
        <f t="shared" si="1"/>
        <v>0</v>
      </c>
      <c r="F9" s="314">
        <f t="shared" si="2"/>
        <v>0</v>
      </c>
      <c r="G9" s="314">
        <f t="shared" si="3"/>
        <v>0</v>
      </c>
      <c r="H9" s="313"/>
      <c r="I9" s="308">
        <f t="shared" si="4"/>
        <v>0</v>
      </c>
      <c r="K9" s="226">
        <v>46054</v>
      </c>
      <c r="L9" s="314">
        <f>+SUMIFS(Tabla1[Avance_km],Tabla1[Fecha],"&gt;="&amp;$A9,Tabla1[Fecha],"&lt;="&amp;EOMONTH($A9,0),Tabla1[Codigo_actividad],L$4)</f>
        <v>0</v>
      </c>
      <c r="M9" s="314">
        <f>+SUMIFS(Tabla1[Avance_km],Tabla1[Fecha],"&gt;="&amp;$A9,Tabla1[Fecha],"&lt;="&amp;EOMONTH($A9,0),Tabla1[Codigo_actividad],M$4)</f>
        <v>0</v>
      </c>
      <c r="N9" s="314">
        <f>+SUMIFS(Tabla1[Avance_km],Tabla1[Fecha],"&gt;="&amp;$A9,Tabla1[Fecha],"&lt;="&amp;EOMONTH($A9,0),Tabla1[Codigo_actividad],N$4)</f>
        <v>0</v>
      </c>
      <c r="O9" s="314">
        <f>+SUMIFS(Tabla1[Observaciones],Tabla1[Fecha],"&gt;="&amp;$A9,Tabla1[Fecha],"&lt;="&amp;EOMONTH($A9,0),Tabla1[Codigo_actividad],O$4,Tabla1[Actividades],"&lt;&gt;"&amp;"METALOGRAFIAS",Tabla1[Length],O$1)</f>
        <v>0</v>
      </c>
      <c r="P9" s="314">
        <f>+SUMIFS(Tabla1[Observaciones],Tabla1[Fecha],"&gt;="&amp;$A9,Tabla1[Fecha],"&lt;="&amp;EOMONTH($A9,0),Tabla1[Codigo_actividad],P$4,Tabla1[Actividades],"&lt;&gt;"&amp;"METALOGRAFIAS",Tabla1[Length],P$1)</f>
        <v>0</v>
      </c>
      <c r="Q9" s="314">
        <f>+SUMIFS(Tabla1[Observaciones],Tabla1[Fecha],"&gt;="&amp;$A9,Tabla1[Fecha],"&lt;="&amp;EOMONTH($A9,0),Tabla1[Codigo_actividad],Q$4,Tabla1[Actividades],"&lt;&gt;"&amp;"METALOGRAFIAS",Tabla1[Length],Q$1)</f>
        <v>0</v>
      </c>
      <c r="R9" s="313"/>
      <c r="S9" s="308">
        <f t="shared" si="5"/>
        <v>0</v>
      </c>
      <c r="T9" s="463">
        <f t="shared" si="6"/>
        <v>0</v>
      </c>
      <c r="U9" s="314">
        <f>+SUMIFS(Tabla1[Observaciones],Tabla1[Fecha],"&gt;="&amp;$A9,Tabla1[Fecha],"&lt;="&amp;EOMONTH($A9,0),Tabla1[Codigo_actividad],U$4,Tabla1[Actividades],"&lt;&gt;"&amp;"METALOGRAFIAS",Tabla1[Length],U$1)</f>
        <v>0</v>
      </c>
      <c r="V9" s="314">
        <f>+SUMIFS(Tabla1[Observaciones],Tabla1[Fecha],"&gt;="&amp;$A9,Tabla1[Fecha],"&lt;="&amp;EOMONTH($A9,0),Tabla1[Codigo_actividad],V$4,Tabla1[Actividades],"&lt;&gt;"&amp;"METALOGRAFIAS",Tabla1[Length],V$1)</f>
        <v>0</v>
      </c>
      <c r="W9" s="314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6">
        <v>46082</v>
      </c>
      <c r="B10" s="314">
        <f>+SUMIFS(Tabla1[Avance_km],Tabla1[Fecha],"&gt;="&amp;$A10,Tabla1[Fecha],"&lt;="&amp;EOMONTH($A10,0),Tabla1[Codigo_actividad],B$4)*B$3</f>
        <v>0</v>
      </c>
      <c r="C10" s="314">
        <f>+SUMIFS(Tabla1[Avance_km],Tabla1[Fecha],"&gt;="&amp;$A10,Tabla1[Fecha],"&lt;="&amp;EOMONTH($A10,0),Tabla1[Codigo_actividad],C$4)*C$3</f>
        <v>0</v>
      </c>
      <c r="D10" s="314">
        <f>+SUMIFS(Tabla1[Avance_km],Tabla1[Fecha],"&gt;="&amp;$A10,Tabla1[Fecha],"&lt;="&amp;EOMONTH($A10,0),Tabla1[Codigo_actividad],D$4)*D$3</f>
        <v>5760</v>
      </c>
      <c r="E10" s="314">
        <f t="shared" si="1"/>
        <v>0</v>
      </c>
      <c r="F10" s="314">
        <f t="shared" si="2"/>
        <v>0</v>
      </c>
      <c r="G10" s="314">
        <f t="shared" si="3"/>
        <v>0</v>
      </c>
      <c r="H10" s="313"/>
      <c r="I10" s="308">
        <f t="shared" si="4"/>
        <v>5760</v>
      </c>
      <c r="K10" s="226">
        <v>46082</v>
      </c>
      <c r="L10" s="314">
        <f>+SUMIFS(Tabla1[Avance_km],Tabla1[Fecha],"&gt;="&amp;$A10,Tabla1[Fecha],"&lt;="&amp;EOMONTH($A10,0),Tabla1[Codigo_actividad],L$4)</f>
        <v>0</v>
      </c>
      <c r="M10" s="314">
        <f>+SUMIFS(Tabla1[Avance_km],Tabla1[Fecha],"&gt;="&amp;$A10,Tabla1[Fecha],"&lt;="&amp;EOMONTH($A10,0),Tabla1[Codigo_actividad],M$4)</f>
        <v>0</v>
      </c>
      <c r="N10" s="314">
        <f>+SUMIFS(Tabla1[Avance_km],Tabla1[Fecha],"&gt;="&amp;$A10,Tabla1[Fecha],"&lt;="&amp;EOMONTH($A10,0),Tabla1[Codigo_actividad],N$4)</f>
        <v>3.6</v>
      </c>
      <c r="O10" s="314">
        <f>+SUMIFS(Tabla1[Observaciones],Tabla1[Fecha],"&gt;="&amp;$A10,Tabla1[Fecha],"&lt;="&amp;EOMONTH($A10,0),Tabla1[Codigo_actividad],O$4,Tabla1[Actividades],"&lt;&gt;"&amp;"METALOGRAFIAS",Tabla1[Length],O$1)</f>
        <v>0</v>
      </c>
      <c r="P10" s="314">
        <f>+SUMIFS(Tabla1[Observaciones],Tabla1[Fecha],"&gt;="&amp;$A10,Tabla1[Fecha],"&lt;="&amp;EOMONTH($A10,0),Tabla1[Codigo_actividad],P$4,Tabla1[Actividades],"&lt;&gt;"&amp;"METALOGRAFIAS",Tabla1[Length],P$1)</f>
        <v>0</v>
      </c>
      <c r="Q10" s="314">
        <f>+SUMIFS(Tabla1[Observaciones],Tabla1[Fecha],"&gt;="&amp;$A10,Tabla1[Fecha],"&lt;="&amp;EOMONTH($A10,0),Tabla1[Codigo_actividad],Q$4,Tabla1[Actividades],"&lt;&gt;"&amp;"METALOGRAFIAS",Tabla1[Length],Q$1)</f>
        <v>0</v>
      </c>
      <c r="R10" s="313"/>
      <c r="S10" s="308">
        <f t="shared" si="5"/>
        <v>3.6</v>
      </c>
      <c r="T10" s="463">
        <f t="shared" si="6"/>
        <v>0</v>
      </c>
      <c r="U10" s="314">
        <f>+SUMIFS(Tabla1[Observaciones],Tabla1[Fecha],"&gt;="&amp;$A10,Tabla1[Fecha],"&lt;="&amp;EOMONTH($A10,0),Tabla1[Codigo_actividad],U$4,Tabla1[Actividades],"&lt;&gt;"&amp;"METALOGRAFIAS",Tabla1[Length],U$1)</f>
        <v>0</v>
      </c>
      <c r="V10" s="314">
        <f>+SUMIFS(Tabla1[Observaciones],Tabla1[Fecha],"&gt;="&amp;$A10,Tabla1[Fecha],"&lt;="&amp;EOMONTH($A10,0),Tabla1[Codigo_actividad],V$4,Tabla1[Actividades],"&lt;&gt;"&amp;"METALOGRAFIAS",Tabla1[Length],V$1)</f>
        <v>0</v>
      </c>
      <c r="W10" s="314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6">
        <v>46113</v>
      </c>
      <c r="B11" s="314">
        <f>+SUMIFS(Tabla1[Avance_km],Tabla1[Fecha],"&gt;="&amp;$A11,Tabla1[Fecha],"&lt;="&amp;EOMONTH($A11,0),Tabla1[Codigo_actividad],B$4)*B$3</f>
        <v>0</v>
      </c>
      <c r="C11" s="314">
        <f>+SUMIFS(Tabla1[Avance_km],Tabla1[Fecha],"&gt;="&amp;$A11,Tabla1[Fecha],"&lt;="&amp;EOMONTH($A11,0),Tabla1[Codigo_actividad],C$4)*C$3</f>
        <v>46174.200000000004</v>
      </c>
      <c r="D11" s="314">
        <f>+SUMIFS(Tabla1[Avance_km],Tabla1[Fecha],"&gt;="&amp;$A11,Tabla1[Fecha],"&lt;="&amp;EOMONTH($A11,0),Tabla1[Codigo_actividad],D$4)*D$3</f>
        <v>34617.599999999999</v>
      </c>
      <c r="E11" s="314">
        <f t="shared" si="1"/>
        <v>0</v>
      </c>
      <c r="F11" s="314">
        <f t="shared" si="2"/>
        <v>0</v>
      </c>
      <c r="G11" s="314">
        <f t="shared" si="3"/>
        <v>0</v>
      </c>
      <c r="H11" s="313"/>
      <c r="I11" s="308">
        <f t="shared" si="4"/>
        <v>80791.8</v>
      </c>
      <c r="K11" s="226">
        <v>46113</v>
      </c>
      <c r="L11" s="314">
        <f>+SUMIFS(Tabla1[Avance_km],Tabla1[Fecha],"&gt;="&amp;$A11,Tabla1[Fecha],"&lt;="&amp;EOMONTH($A11,0),Tabla1[Codigo_actividad],L$4)</f>
        <v>0</v>
      </c>
      <c r="M11" s="314">
        <f>+SUMIFS(Tabla1[Avance_km],Tabla1[Fecha],"&gt;="&amp;$A11,Tabla1[Fecha],"&lt;="&amp;EOMONTH($A11,0),Tabla1[Codigo_actividad],M$4)</f>
        <v>5.6310000000000002</v>
      </c>
      <c r="N11" s="314">
        <f>+SUMIFS(Tabla1[Avance_km],Tabla1[Fecha],"&gt;="&amp;$A11,Tabla1[Fecha],"&lt;="&amp;EOMONTH($A11,0),Tabla1[Codigo_actividad],N$4)</f>
        <v>21.635999999999999</v>
      </c>
      <c r="O11" s="314">
        <f>+SUMIFS(Tabla1[Observaciones],Tabla1[Fecha],"&gt;="&amp;$A11,Tabla1[Fecha],"&lt;="&amp;EOMONTH($A11,0),Tabla1[Codigo_actividad],O$4,Tabla1[Actividades],"&lt;&gt;"&amp;"METALOGRAFIAS",Tabla1[Length],O$1)</f>
        <v>0</v>
      </c>
      <c r="P11" s="314">
        <f>+SUMIFS(Tabla1[Observaciones],Tabla1[Fecha],"&gt;="&amp;$A11,Tabla1[Fecha],"&lt;="&amp;EOMONTH($A11,0),Tabla1[Codigo_actividad],P$4,Tabla1[Actividades],"&lt;&gt;"&amp;"METALOGRAFIAS",Tabla1[Length],P$1)</f>
        <v>0</v>
      </c>
      <c r="Q11" s="314">
        <f>+SUMIFS(Tabla1[Observaciones],Tabla1[Fecha],"&gt;="&amp;$A11,Tabla1[Fecha],"&lt;="&amp;EOMONTH($A11,0),Tabla1[Codigo_actividad],Q$4,Tabla1[Actividades],"&lt;&gt;"&amp;"METALOGRAFIAS",Tabla1[Length],Q$1)</f>
        <v>0</v>
      </c>
      <c r="R11" s="313"/>
      <c r="S11" s="308">
        <f t="shared" si="5"/>
        <v>27.266999999999999</v>
      </c>
      <c r="T11" s="463">
        <f t="shared" si="6"/>
        <v>0</v>
      </c>
      <c r="U11" s="314">
        <f>+SUMIFS(Tabla1[Observaciones],Tabla1[Fecha],"&gt;="&amp;$A11,Tabla1[Fecha],"&lt;="&amp;EOMONTH($A11,0),Tabla1[Codigo_actividad],U$4,Tabla1[Actividades],"&lt;&gt;"&amp;"METALOGRAFIAS",Tabla1[Length],U$1)</f>
        <v>0</v>
      </c>
      <c r="V11" s="314">
        <f>+SUMIFS(Tabla1[Observaciones],Tabla1[Fecha],"&gt;="&amp;$A11,Tabla1[Fecha],"&lt;="&amp;EOMONTH($A11,0),Tabla1[Codigo_actividad],V$4,Tabla1[Actividades],"&lt;&gt;"&amp;"METALOGRAFIAS",Tabla1[Length],V$1)</f>
        <v>0</v>
      </c>
      <c r="W11" s="314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6">
        <v>46143</v>
      </c>
      <c r="B12" s="314">
        <f>+SUMIFS(Tabla1[Avance_km],Tabla1[Fecha],"&gt;="&amp;$A12,Tabla1[Fecha],"&lt;="&amp;EOMONTH($A12,0),Tabla1[Codigo_actividad],B$4)*B$3</f>
        <v>87773.4</v>
      </c>
      <c r="C12" s="314">
        <f>+SUMIFS(Tabla1[Avance_km],Tabla1[Fecha],"&gt;="&amp;$A12,Tabla1[Fecha],"&lt;="&amp;EOMONTH($A12,0),Tabla1[Codigo_actividad],C$4)*C$3</f>
        <v>154406</v>
      </c>
      <c r="D12" s="314">
        <f>+SUMIFS(Tabla1[Avance_km],Tabla1[Fecha],"&gt;="&amp;$A12,Tabla1[Fecha],"&lt;="&amp;EOMONTH($A12,0),Tabla1[Codigo_actividad],D$4)*D$3</f>
        <v>5803.2</v>
      </c>
      <c r="E12" s="314">
        <f t="shared" si="1"/>
        <v>0</v>
      </c>
      <c r="F12" s="314">
        <f t="shared" si="2"/>
        <v>0</v>
      </c>
      <c r="G12" s="314">
        <f t="shared" si="3"/>
        <v>0</v>
      </c>
      <c r="H12" s="313"/>
      <c r="I12" s="308">
        <f t="shared" si="4"/>
        <v>247982.6</v>
      </c>
      <c r="K12" s="226">
        <v>46143</v>
      </c>
      <c r="L12" s="314">
        <f>+SUMIFS(Tabla1[Avance_km],Tabla1[Fecha],"&gt;="&amp;$A12,Tabla1[Fecha],"&lt;="&amp;EOMONTH($A12,0),Tabla1[Codigo_actividad],L$4)</f>
        <v>11.253</v>
      </c>
      <c r="M12" s="314">
        <f>+SUMIFS(Tabla1[Avance_km],Tabla1[Fecha],"&gt;="&amp;$A12,Tabla1[Fecha],"&lt;="&amp;EOMONTH($A12,0),Tabla1[Codigo_actividad],M$4)</f>
        <v>18.829999999999998</v>
      </c>
      <c r="N12" s="314">
        <f>+SUMIFS(Tabla1[Avance_km],Tabla1[Fecha],"&gt;="&amp;$A12,Tabla1[Fecha],"&lt;="&amp;EOMONTH($A12,0),Tabla1[Codigo_actividad],N$4)</f>
        <v>3.6269999999999998</v>
      </c>
      <c r="O12" s="314">
        <f>+SUMIFS(Tabla1[Observaciones],Tabla1[Fecha],"&gt;="&amp;$A12,Tabla1[Fecha],"&lt;="&amp;EOMONTH($A12,0),Tabla1[Codigo_actividad],O$4,Tabla1[Actividades],"&lt;&gt;"&amp;"METALOGRAFIAS",Tabla1[Length],O$1)</f>
        <v>0</v>
      </c>
      <c r="P12" s="314">
        <f>+SUMIFS(Tabla1[Observaciones],Tabla1[Fecha],"&gt;="&amp;$A12,Tabla1[Fecha],"&lt;="&amp;EOMONTH($A12,0),Tabla1[Codigo_actividad],P$4,Tabla1[Actividades],"&lt;&gt;"&amp;"METALOGRAFIAS",Tabla1[Length],P$1)</f>
        <v>0</v>
      </c>
      <c r="Q12" s="314">
        <f>+SUMIFS(Tabla1[Observaciones],Tabla1[Fecha],"&gt;="&amp;$A12,Tabla1[Fecha],"&lt;="&amp;EOMONTH($A12,0),Tabla1[Codigo_actividad],Q$4,Tabla1[Actividades],"&lt;&gt;"&amp;"METALOGRAFIAS",Tabla1[Length],Q$1)</f>
        <v>0</v>
      </c>
      <c r="R12" s="313"/>
      <c r="S12" s="308">
        <f t="shared" si="5"/>
        <v>33.71</v>
      </c>
      <c r="T12" s="463">
        <f t="shared" si="6"/>
        <v>0</v>
      </c>
      <c r="U12" s="314">
        <f>+SUMIFS(Tabla1[Observaciones],Tabla1[Fecha],"&gt;="&amp;$A12,Tabla1[Fecha],"&lt;="&amp;EOMONTH($A12,0),Tabla1[Codigo_actividad],U$4,Tabla1[Actividades],"&lt;&gt;"&amp;"METALOGRAFIAS",Tabla1[Length],U$1)</f>
        <v>0</v>
      </c>
      <c r="V12" s="314">
        <f>+SUMIFS(Tabla1[Observaciones],Tabla1[Fecha],"&gt;="&amp;$A12,Tabla1[Fecha],"&lt;="&amp;EOMONTH($A12,0),Tabla1[Codigo_actividad],V$4,Tabla1[Actividades],"&lt;&gt;"&amp;"METALOGRAFIAS",Tabla1[Length],V$1)</f>
        <v>0</v>
      </c>
      <c r="W12" s="314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6">
        <v>46174</v>
      </c>
      <c r="B13" s="314">
        <f>+SUMIFS(Tabla1[Avance_km],Tabla1[Fecha],"&gt;="&amp;$A13,Tabla1[Fecha],"&lt;="&amp;EOMONTH($A13,0),Tabla1[Codigo_actividad],B$4)*B$3</f>
        <v>158558.40000000002</v>
      </c>
      <c r="C13" s="314">
        <f>+SUMIFS(Tabla1[Avance_km],Tabla1[Fecha],"&gt;="&amp;$A13,Tabla1[Fecha],"&lt;="&amp;EOMONTH($A13,0),Tabla1[Codigo_actividad],C$4)*C$3</f>
        <v>0</v>
      </c>
      <c r="D13" s="314">
        <f>+SUMIFS(Tabla1[Avance_km],Tabla1[Fecha],"&gt;="&amp;$A13,Tabla1[Fecha],"&lt;="&amp;EOMONTH($A13,0),Tabla1[Codigo_actividad],D$4)*D$3</f>
        <v>8667.1999999999989</v>
      </c>
      <c r="E13" s="314">
        <f t="shared" si="1"/>
        <v>0</v>
      </c>
      <c r="F13" s="314">
        <f t="shared" si="2"/>
        <v>0</v>
      </c>
      <c r="G13" s="314">
        <f t="shared" si="3"/>
        <v>0</v>
      </c>
      <c r="H13" s="313"/>
      <c r="I13" s="308">
        <f t="shared" si="4"/>
        <v>167225.60000000003</v>
      </c>
      <c r="K13" s="226">
        <v>46174</v>
      </c>
      <c r="L13" s="314">
        <f>+SUMIFS(Tabla1[Avance_km],Tabla1[Fecha],"&gt;="&amp;$A13,Tabla1[Fecha],"&lt;="&amp;EOMONTH($A13,0),Tabla1[Codigo_actividad],L$4)</f>
        <v>20.328000000000003</v>
      </c>
      <c r="M13" s="314">
        <f>+SUMIFS(Tabla1[Avance_km],Tabla1[Fecha],"&gt;="&amp;$A13,Tabla1[Fecha],"&lt;="&amp;EOMONTH($A13,0),Tabla1[Codigo_actividad],M$4)</f>
        <v>0</v>
      </c>
      <c r="N13" s="314">
        <f>+SUMIFS(Tabla1[Avance_km],Tabla1[Fecha],"&gt;="&amp;$A13,Tabla1[Fecha],"&lt;="&amp;EOMONTH($A13,0),Tabla1[Codigo_actividad],N$4)</f>
        <v>5.4169999999999998</v>
      </c>
      <c r="O13" s="314">
        <f>+SUMIFS(Tabla1[Observaciones],Tabla1[Fecha],"&gt;="&amp;$A13,Tabla1[Fecha],"&lt;="&amp;EOMONTH($A13,0),Tabla1[Codigo_actividad],O$4,Tabla1[Actividades],"&lt;&gt;"&amp;"METALOGRAFIAS",Tabla1[Length],O$1)</f>
        <v>0</v>
      </c>
      <c r="P13" s="314">
        <f>+SUMIFS(Tabla1[Observaciones],Tabla1[Fecha],"&gt;="&amp;$A13,Tabla1[Fecha],"&lt;="&amp;EOMONTH($A13,0),Tabla1[Codigo_actividad],P$4,Tabla1[Actividades],"&lt;&gt;"&amp;"METALOGRAFIAS",Tabla1[Length],P$1)</f>
        <v>0</v>
      </c>
      <c r="Q13" s="314">
        <f>+SUMIFS(Tabla1[Observaciones],Tabla1[Fecha],"&gt;="&amp;$A13,Tabla1[Fecha],"&lt;="&amp;EOMONTH($A13,0),Tabla1[Codigo_actividad],Q$4,Tabla1[Actividades],"&lt;&gt;"&amp;"METALOGRAFIAS",Tabla1[Length],Q$1)</f>
        <v>0</v>
      </c>
      <c r="R13" s="313"/>
      <c r="S13" s="308">
        <f t="shared" si="5"/>
        <v>25.745000000000005</v>
      </c>
      <c r="T13" s="463">
        <f t="shared" si="6"/>
        <v>0</v>
      </c>
      <c r="U13" s="314">
        <f>+SUMIFS(Tabla1[Observaciones],Tabla1[Fecha],"&gt;="&amp;$A13,Tabla1[Fecha],"&lt;="&amp;EOMONTH($A13,0),Tabla1[Codigo_actividad],U$4,Tabla1[Actividades],"&lt;&gt;"&amp;"METALOGRAFIAS",Tabla1[Length],U$1)</f>
        <v>0</v>
      </c>
      <c r="V13" s="314">
        <f>+SUMIFS(Tabla1[Observaciones],Tabla1[Fecha],"&gt;="&amp;$A13,Tabla1[Fecha],"&lt;="&amp;EOMONTH($A13,0),Tabla1[Codigo_actividad],V$4,Tabla1[Actividades],"&lt;&gt;"&amp;"METALOGRAFIAS",Tabla1[Length],V$1)</f>
        <v>0</v>
      </c>
      <c r="W13" s="314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6">
        <v>46204</v>
      </c>
      <c r="B14" s="314">
        <f>+SUMIFS(Tabla1[Avance_km],Tabla1[Fecha],"&gt;="&amp;$A14,Tabla1[Fecha],"&lt;="&amp;EOMONTH($A14,0),Tabla1[Codigo_actividad],B$4)*B$3</f>
        <v>105830.39999999999</v>
      </c>
      <c r="C14" s="314">
        <f>+SUMIFS(Tabla1[Avance_km],Tabla1[Fecha],"&gt;="&amp;$A14,Tabla1[Fecha],"&lt;="&amp;EOMONTH($A14,0),Tabla1[Codigo_actividad],C$4)*C$3</f>
        <v>86411.6</v>
      </c>
      <c r="D14" s="314">
        <f>+SUMIFS(Tabla1[Avance_km],Tabla1[Fecha],"&gt;="&amp;$A14,Tabla1[Fecha],"&lt;="&amp;EOMONTH($A14,0),Tabla1[Codigo_actividad],D$4)*D$3</f>
        <v>22136</v>
      </c>
      <c r="E14" s="314">
        <f t="shared" si="1"/>
        <v>0</v>
      </c>
      <c r="F14" s="314">
        <f t="shared" si="2"/>
        <v>0</v>
      </c>
      <c r="G14" s="314">
        <f t="shared" si="3"/>
        <v>0</v>
      </c>
      <c r="H14" s="313"/>
      <c r="I14" s="308">
        <f t="shared" si="4"/>
        <v>214378</v>
      </c>
      <c r="K14" s="226">
        <v>46204</v>
      </c>
      <c r="L14" s="314">
        <f>+SUMIFS(Tabla1[Avance_km],Tabla1[Fecha],"&gt;="&amp;$A14,Tabla1[Fecha],"&lt;="&amp;EOMONTH($A14,0),Tabla1[Codigo_actividad],L$4)</f>
        <v>13.568</v>
      </c>
      <c r="M14" s="314">
        <f>+SUMIFS(Tabla1[Avance_km],Tabla1[Fecha],"&gt;="&amp;$A14,Tabla1[Fecha],"&lt;="&amp;EOMONTH($A14,0),Tabla1[Codigo_actividad],M$4)</f>
        <v>10.538</v>
      </c>
      <c r="N14" s="314">
        <f>+SUMIFS(Tabla1[Avance_km],Tabla1[Fecha],"&gt;="&amp;$A14,Tabla1[Fecha],"&lt;="&amp;EOMONTH($A14,0),Tabla1[Codigo_actividad],N$4)</f>
        <v>13.835000000000001</v>
      </c>
      <c r="O14" s="314">
        <f>+SUMIFS(Tabla1[Observaciones],Tabla1[Fecha],"&gt;="&amp;$A14,Tabla1[Fecha],"&lt;="&amp;EOMONTH($A14,0),Tabla1[Codigo_actividad],O$4,Tabla1[Actividades],"&lt;&gt;"&amp;"METALOGRAFIAS",Tabla1[Length],O$1)</f>
        <v>0</v>
      </c>
      <c r="P14" s="314">
        <f>+SUMIFS(Tabla1[Observaciones],Tabla1[Fecha],"&gt;="&amp;$A14,Tabla1[Fecha],"&lt;="&amp;EOMONTH($A14,0),Tabla1[Codigo_actividad],P$4,Tabla1[Actividades],"&lt;&gt;"&amp;"METALOGRAFIAS",Tabla1[Length],P$1)</f>
        <v>0</v>
      </c>
      <c r="Q14" s="314">
        <f>+SUMIFS(Tabla1[Observaciones],Tabla1[Fecha],"&gt;="&amp;$A14,Tabla1[Fecha],"&lt;="&amp;EOMONTH($A14,0),Tabla1[Codigo_actividad],Q$4,Tabla1[Actividades],"&lt;&gt;"&amp;"METALOGRAFIAS",Tabla1[Length],Q$1)</f>
        <v>0</v>
      </c>
      <c r="R14" s="313"/>
      <c r="S14" s="308">
        <f t="shared" si="5"/>
        <v>37.941000000000003</v>
      </c>
      <c r="T14" s="463">
        <f t="shared" si="6"/>
        <v>0</v>
      </c>
      <c r="U14" s="314">
        <f>+SUMIFS(Tabla1[Observaciones],Tabla1[Fecha],"&gt;="&amp;$A14,Tabla1[Fecha],"&lt;="&amp;EOMONTH($A14,0),Tabla1[Codigo_actividad],U$4,Tabla1[Actividades],"&lt;&gt;"&amp;"METALOGRAFIAS",Tabla1[Length],U$1)</f>
        <v>0</v>
      </c>
      <c r="V14" s="314">
        <f>+SUMIFS(Tabla1[Observaciones],Tabla1[Fecha],"&gt;="&amp;$A14,Tabla1[Fecha],"&lt;="&amp;EOMONTH($A14,0),Tabla1[Codigo_actividad],V$4,Tabla1[Actividades],"&lt;&gt;"&amp;"METALOGRAFIAS",Tabla1[Length],V$1)</f>
        <v>0</v>
      </c>
      <c r="W14" s="314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6">
        <v>46235</v>
      </c>
      <c r="B15" s="314">
        <f>+SUMIFS(Tabla1[Avance_km],Tabla1[Fecha],"&gt;="&amp;$A15,Tabla1[Fecha],"&lt;="&amp;EOMONTH($A15,0),Tabla1[Codigo_actividad],B$4)*B$3</f>
        <v>78257.400000000009</v>
      </c>
      <c r="C15" s="314">
        <f>+SUMIFS(Tabla1[Avance_km],Tabla1[Fecha],"&gt;="&amp;$A15,Tabla1[Fecha],"&lt;="&amp;EOMONTH($A15,0),Tabla1[Codigo_actividad],C$4)*C$3</f>
        <v>101639</v>
      </c>
      <c r="D15" s="314">
        <f>+SUMIFS(Tabla1[Avance_km],Tabla1[Fecha],"&gt;="&amp;$A15,Tabla1[Fecha],"&lt;="&amp;EOMONTH($A15,0),Tabla1[Codigo_actividad],D$4)*D$3</f>
        <v>19472</v>
      </c>
      <c r="E15" s="314">
        <f t="shared" si="1"/>
        <v>55735</v>
      </c>
      <c r="F15" s="314">
        <f t="shared" si="2"/>
        <v>0</v>
      </c>
      <c r="G15" s="314">
        <f t="shared" si="3"/>
        <v>0</v>
      </c>
      <c r="H15" s="313"/>
      <c r="I15" s="308">
        <f t="shared" si="4"/>
        <v>255103.40000000002</v>
      </c>
      <c r="K15" s="226">
        <v>46235</v>
      </c>
      <c r="L15" s="314">
        <f>+SUMIFS(Tabla1[Avance_km],Tabla1[Fecha],"&gt;="&amp;$A15,Tabla1[Fecha],"&lt;="&amp;EOMONTH($A15,0),Tabla1[Codigo_actividad],L$4)</f>
        <v>10.033000000000001</v>
      </c>
      <c r="M15" s="314">
        <f>+SUMIFS(Tabla1[Avance_km],Tabla1[Fecha],"&gt;="&amp;$A15,Tabla1[Fecha],"&lt;="&amp;EOMONTH($A15,0),Tabla1[Codigo_actividad],M$4)</f>
        <v>12.395</v>
      </c>
      <c r="N15" s="314">
        <f>+SUMIFS(Tabla1[Avance_km],Tabla1[Fecha],"&gt;="&amp;$A15,Tabla1[Fecha],"&lt;="&amp;EOMONTH($A15,0),Tabla1[Codigo_actividad],N$4)</f>
        <v>12.17</v>
      </c>
      <c r="O15" s="314">
        <f>+SUMIFS(Tabla1[Observaciones],Tabla1[Fecha],"&gt;="&amp;$A15,Tabla1[Fecha],"&lt;="&amp;EOMONTH($A15,0),Tabla1[Codigo_actividad],O$4,Tabla1[Actividades],"&lt;&gt;"&amp;"METALOGRAFIAS",Tabla1[Length],O$1)</f>
        <v>157</v>
      </c>
      <c r="P15" s="314">
        <f>+SUMIFS(Tabla1[Observaciones],Tabla1[Fecha],"&gt;="&amp;$A15,Tabla1[Fecha],"&lt;="&amp;EOMONTH($A15,0),Tabla1[Codigo_actividad],P$4,Tabla1[Actividades],"&lt;&gt;"&amp;"METALOGRAFIAS",Tabla1[Length],P$1)</f>
        <v>0</v>
      </c>
      <c r="Q15" s="314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08">
        <f t="shared" si="5"/>
        <v>34.597999999999999</v>
      </c>
      <c r="T15" s="463">
        <f t="shared" si="6"/>
        <v>157</v>
      </c>
      <c r="U15" s="314">
        <f>+SUMIFS(Tabla1[Observaciones],Tabla1[Fecha],"&gt;="&amp;$A15,Tabla1[Fecha],"&lt;="&amp;EOMONTH($A15,0),Tabla1[Codigo_actividad],U$4,Tabla1[Actividades],"&lt;&gt;"&amp;"METALOGRAFIAS",Tabla1[Length],U$1)</f>
        <v>157</v>
      </c>
      <c r="V15" s="314">
        <f>+SUMIFS(Tabla1[Observaciones],Tabla1[Fecha],"&gt;="&amp;$A15,Tabla1[Fecha],"&lt;="&amp;EOMONTH($A15,0),Tabla1[Codigo_actividad],V$4,Tabla1[Actividades],"&lt;&gt;"&amp;"METALOGRAFIAS",Tabla1[Length],V$1)</f>
        <v>0</v>
      </c>
      <c r="W15" s="314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6">
        <v>46266</v>
      </c>
      <c r="B16" s="314">
        <f>+SUMIFS(Tabla1[Avance_km],Tabla1[Fecha],"&gt;="&amp;$A16,Tabla1[Fecha],"&lt;="&amp;EOMONTH($A16,0),Tabla1[Codigo_actividad],B$4)*B$3</f>
        <v>83615.999999999985</v>
      </c>
      <c r="C16" s="314">
        <f>+SUMIFS(Tabla1[Avance_km],Tabla1[Fecha],"&gt;="&amp;$A16,Tabla1[Fecha],"&lt;="&amp;EOMONTH($A16,0),Tabla1[Codigo_actividad],C$4)*C$3</f>
        <v>0</v>
      </c>
      <c r="D16" s="314">
        <f>+SUMIFS(Tabla1[Avance_km],Tabla1[Fecha],"&gt;="&amp;$A16,Tabla1[Fecha],"&lt;="&amp;EOMONTH($A16,0),Tabla1[Codigo_actividad],D$4)*D$3</f>
        <v>32112</v>
      </c>
      <c r="E16" s="314">
        <f t="shared" si="1"/>
        <v>71000</v>
      </c>
      <c r="F16" s="314">
        <f t="shared" si="2"/>
        <v>0</v>
      </c>
      <c r="G16" s="314">
        <f t="shared" si="3"/>
        <v>0</v>
      </c>
      <c r="H16" s="313"/>
      <c r="I16" s="308">
        <f t="shared" si="4"/>
        <v>186728</v>
      </c>
      <c r="K16" s="226">
        <v>46266</v>
      </c>
      <c r="L16" s="314">
        <f>+SUMIFS(Tabla1[Avance_km],Tabla1[Fecha],"&gt;="&amp;$A16,Tabla1[Fecha],"&lt;="&amp;EOMONTH($A16,0),Tabla1[Codigo_actividad],L$4)</f>
        <v>10.719999999999999</v>
      </c>
      <c r="M16" s="314">
        <f>+SUMIFS(Tabla1[Avance_km],Tabla1[Fecha],"&gt;="&amp;$A16,Tabla1[Fecha],"&lt;="&amp;EOMONTH($A16,0),Tabla1[Codigo_actividad],M$4)</f>
        <v>0</v>
      </c>
      <c r="N16" s="314">
        <f>+SUMIFS(Tabla1[Avance_km],Tabla1[Fecha],"&gt;="&amp;$A16,Tabla1[Fecha],"&lt;="&amp;EOMONTH($A16,0),Tabla1[Codigo_actividad],N$4)</f>
        <v>20.07</v>
      </c>
      <c r="O16" s="314">
        <f>+SUMIFS(Tabla1[Observaciones],Tabla1[Fecha],"&gt;="&amp;$A16,Tabla1[Fecha],"&lt;="&amp;EOMONTH($A16,0),Tabla1[Codigo_actividad],O$4,Tabla1[Actividades],"&lt;&gt;"&amp;"METALOGRAFIAS",Tabla1[Length],O$1)</f>
        <v>200</v>
      </c>
      <c r="P16" s="314">
        <f>+SUMIFS(Tabla1[Observaciones],Tabla1[Fecha],"&gt;="&amp;$A16,Tabla1[Fecha],"&lt;="&amp;EOMONTH($A16,0),Tabla1[Codigo_actividad],P$4,Tabla1[Actividades],"&lt;&gt;"&amp;"METALOGRAFIAS",Tabla1[Length],P$1)</f>
        <v>0</v>
      </c>
      <c r="Q16" s="314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08">
        <f t="shared" si="5"/>
        <v>30.79</v>
      </c>
      <c r="T16" s="463">
        <f t="shared" si="6"/>
        <v>200</v>
      </c>
      <c r="U16" s="314">
        <f>+SUMIFS(Tabla1[Observaciones],Tabla1[Fecha],"&gt;="&amp;$A16,Tabla1[Fecha],"&lt;="&amp;EOMONTH($A16,0),Tabla1[Codigo_actividad],U$4,Tabla1[Actividades],"&lt;&gt;"&amp;"METALOGRAFIAS",Tabla1[Length],U$1)</f>
        <v>200</v>
      </c>
      <c r="V16" s="314">
        <f>+SUMIFS(Tabla1[Observaciones],Tabla1[Fecha],"&gt;="&amp;$A16,Tabla1[Fecha],"&lt;="&amp;EOMONTH($A16,0),Tabla1[Codigo_actividad],V$4,Tabla1[Actividades],"&lt;&gt;"&amp;"METALOGRAFIAS",Tabla1[Length],V$1)</f>
        <v>0</v>
      </c>
      <c r="W16" s="314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6">
        <v>46296</v>
      </c>
      <c r="B17" s="314">
        <f>+SUMIFS(Tabla1[Avance_km],Tabla1[Fecha],"&gt;="&amp;$A17,Tabla1[Fecha],"&lt;="&amp;EOMONTH($A17,0),Tabla1[Codigo_actividad],B$4)*B$3</f>
        <v>114016.5</v>
      </c>
      <c r="C17" s="314">
        <f>+SUMIFS(Tabla1[Avance_km],Tabla1[Fecha],"&gt;="&amp;$A17,Tabla1[Fecha],"&lt;="&amp;EOMONTH($A17,0),Tabla1[Codigo_actividad],C$4)*C$3</f>
        <v>13320.899999999994</v>
      </c>
      <c r="D17" s="314">
        <f>+SUMIFS(Tabla1[Avance_km],Tabla1[Fecha],"&gt;="&amp;$A17,Tabla1[Fecha],"&lt;="&amp;EOMONTH($A17,0),Tabla1[Codigo_actividad],D$4)*D$3</f>
        <v>2599.1999999999989</v>
      </c>
      <c r="E17" s="314">
        <f>+O17*$E$3</f>
        <v>0</v>
      </c>
      <c r="F17" s="314">
        <f t="shared" si="2"/>
        <v>69000</v>
      </c>
      <c r="G17" s="314">
        <f t="shared" si="3"/>
        <v>59000</v>
      </c>
      <c r="H17" s="313"/>
      <c r="I17" s="308">
        <f t="shared" si="4"/>
        <v>257936.59999999998</v>
      </c>
      <c r="K17" s="226">
        <v>46296</v>
      </c>
      <c r="L17" s="314">
        <f>+SUMIFS(Tabla1[Avance_km],Tabla1[Fecha],"&gt;="&amp;$A17,Tabla1[Fecha],"&lt;="&amp;EOMONTH($A17,0),Tabla1[Codigo_actividad],L$4)</f>
        <v>14.6175</v>
      </c>
      <c r="M17" s="314">
        <f>+SUMIFS(Tabla1[Avance_km],Tabla1[Fecha],"&gt;="&amp;$A17,Tabla1[Fecha],"&lt;="&amp;EOMONTH($A17,0),Tabla1[Codigo_actividad],M$4)</f>
        <v>1.6244999999999994</v>
      </c>
      <c r="N17" s="314">
        <f>+SUMIFS(Tabla1[Avance_km],Tabla1[Fecha],"&gt;="&amp;$A17,Tabla1[Fecha],"&lt;="&amp;EOMONTH($A17,0),Tabla1[Codigo_actividad],N$4)</f>
        <v>1.6244999999999994</v>
      </c>
      <c r="O17" s="314">
        <f>+SUMIFS(Tabla1[Observaciones],Tabla1[Fecha],"&gt;="&amp;$A17,Tabla1[Fecha],"&lt;="&amp;EOMONTH($A17,0),Tabla1[Codigo_actividad],O$4,Tabla1[Actividades],"&lt;&gt;"&amp;"METALOGRAFIAS",Tabla1[Length],O$1)</f>
        <v>0</v>
      </c>
      <c r="P17" s="314">
        <f>+SUMIFS(Tabla1[Observaciones],Tabla1[Fecha],"&gt;="&amp;$A17,Tabla1[Fecha],"&lt;="&amp;EOMONTH($A17,0),Tabla1[Codigo_actividad],P$4,Tabla1[Actividades],"&lt;&gt;"&amp;"METALOGRAFIAS",Tabla1[Length],P$1)</f>
        <v>46</v>
      </c>
      <c r="Q17" s="314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08">
        <f>SUM(L17:N17)</f>
        <v>17.866499999999995</v>
      </c>
      <c r="T17" s="463">
        <f t="shared" si="6"/>
        <v>246</v>
      </c>
      <c r="U17" s="314">
        <f>+SUMIFS(Tabla1[Observaciones],Tabla1[Fecha],"&gt;="&amp;$A17,Tabla1[Fecha],"&lt;="&amp;EOMONTH($A17,0),Tabla1[Codigo_actividad],U$4,Tabla1[Actividades],"&lt;&gt;"&amp;"METALOGRAFIAS",Tabla1[Length],U$1)</f>
        <v>0</v>
      </c>
      <c r="V17" s="314">
        <f>+SUMIFS(Tabla1[Observaciones],Tabla1[Fecha],"&gt;="&amp;$A17,Tabla1[Fecha],"&lt;="&amp;EOMONTH($A17,0),Tabla1[Codigo_actividad],V$4,Tabla1[Actividades],"&lt;&gt;"&amp;"METALOGRAFIAS",Tabla1[Length],V$1)</f>
        <v>46</v>
      </c>
      <c r="W17" s="314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6">
        <v>46327</v>
      </c>
      <c r="B18" s="314">
        <f>+SUMIFS(Tabla1[Avance_km],Tabla1[Fecha],"&gt;="&amp;$A18,Tabla1[Fecha],"&lt;="&amp;EOMONTH($A18,0),Tabla1[Codigo_actividad],B$4)*B$3</f>
        <v>0</v>
      </c>
      <c r="C18" s="314">
        <f>+SUMIFS(Tabla1[Avance_km],Tabla1[Fecha],"&gt;="&amp;$A18,Tabla1[Fecha],"&lt;="&amp;EOMONTH($A18,0),Tabla1[Codigo_actividad],C$4)*C$3</f>
        <v>0</v>
      </c>
      <c r="D18" s="314">
        <f>+SUMIFS(Tabla1[Avance_km],Tabla1[Fecha],"&gt;="&amp;$A18,Tabla1[Fecha],"&lt;="&amp;EOMONTH($A18,0),Tabla1[Codigo_actividad],D$4)*D$3</f>
        <v>0</v>
      </c>
      <c r="E18" s="314">
        <f t="shared" si="1"/>
        <v>0</v>
      </c>
      <c r="F18" s="314">
        <f t="shared" si="2"/>
        <v>0</v>
      </c>
      <c r="G18" s="314">
        <f t="shared" si="3"/>
        <v>0</v>
      </c>
      <c r="H18" s="313"/>
      <c r="I18" s="308">
        <f t="shared" si="4"/>
        <v>0</v>
      </c>
      <c r="K18" s="226">
        <v>46327</v>
      </c>
      <c r="L18" s="314">
        <f>+SUMIFS(Tabla1[Avance_km],Tabla1[Fecha],"&gt;="&amp;$A18,Tabla1[Fecha],"&lt;="&amp;EOMONTH($A18,0),Tabla1[Codigo_actividad],L$4)</f>
        <v>0</v>
      </c>
      <c r="M18" s="314">
        <f>+SUMIFS(Tabla1[Avance_km],Tabla1[Fecha],"&gt;="&amp;$A18,Tabla1[Fecha],"&lt;="&amp;EOMONTH($A18,0),Tabla1[Codigo_actividad],M$4)</f>
        <v>0</v>
      </c>
      <c r="N18" s="314">
        <f>+SUMIFS(Tabla1[Avance_km],Tabla1[Fecha],"&gt;="&amp;$A18,Tabla1[Fecha],"&lt;="&amp;EOMONTH($A18,0),Tabla1[Codigo_actividad],N$4)</f>
        <v>0</v>
      </c>
      <c r="O18" s="314">
        <f>+SUMIFS(Tabla1[Observaciones],Tabla1[Fecha],"&gt;="&amp;$A18,Tabla1[Fecha],"&lt;="&amp;EOMONTH($A18,0),Tabla1[Codigo_actividad],O$4,Tabla1[Actividades],"&lt;&gt;"&amp;"METALOGRAFIAS",Tabla1[Length],O$1)</f>
        <v>0</v>
      </c>
      <c r="P18" s="314">
        <f>+SUMIFS(Tabla1[Observaciones],Tabla1[Fecha],"&gt;="&amp;$A18,Tabla1[Fecha],"&lt;="&amp;EOMONTH($A18,0),Tabla1[Codigo_actividad],P$4,Tabla1[Actividades],"&lt;&gt;"&amp;"METALOGRAFIAS",Tabla1[Length],P$1)</f>
        <v>0</v>
      </c>
      <c r="Q18" s="314">
        <f>+SUMIFS(Tabla1[Observaciones],Tabla1[Fecha],"&gt;="&amp;$A18,Tabla1[Fecha],"&lt;="&amp;EOMONTH($A18,0),Tabla1[Codigo_actividad],Q$4,Tabla1[Actividades],"&lt;&gt;"&amp;"METALOGRAFIAS",Tabla1[Length],Q$1)</f>
        <v>0</v>
      </c>
      <c r="R18" s="313"/>
      <c r="S18" s="308">
        <f t="shared" si="5"/>
        <v>0</v>
      </c>
      <c r="T18" s="463">
        <f t="shared" si="6"/>
        <v>0</v>
      </c>
      <c r="U18" s="314">
        <f>+SUMIFS(Tabla1[Observaciones],Tabla1[Fecha],"&gt;="&amp;$A18,Tabla1[Fecha],"&lt;="&amp;EOMONTH($A18,0),Tabla1[Codigo_actividad],U$4,Tabla1[Actividades],"&lt;&gt;"&amp;"METALOGRAFIAS",Tabla1[Length],U$1)</f>
        <v>0</v>
      </c>
      <c r="V18" s="314">
        <f>+SUMIFS(Tabla1[Observaciones],Tabla1[Fecha],"&gt;="&amp;$A18,Tabla1[Fecha],"&lt;="&amp;EOMONTH($A18,0),Tabla1[Codigo_actividad],V$4,Tabla1[Actividades],"&lt;&gt;"&amp;"METALOGRAFIAS",Tabla1[Length],V$1)</f>
        <v>0</v>
      </c>
      <c r="W18" s="314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6">
        <v>46357</v>
      </c>
      <c r="B19" s="314">
        <f>+SUMIFS(Tabla1[Avance_km],Tabla1[Fecha],"&gt;="&amp;$A19,Tabla1[Fecha],"&lt;="&amp;EOMONTH($A19,0),Tabla1[Codigo_actividad],B$4)*B$3</f>
        <v>0</v>
      </c>
      <c r="C19" s="314">
        <f>+SUMIFS(Tabla1[Avance_km],Tabla1[Fecha],"&gt;="&amp;$A19,Tabla1[Fecha],"&lt;="&amp;EOMONTH($A19,0),Tabla1[Codigo_actividad],C$4)*C$3</f>
        <v>0</v>
      </c>
      <c r="D19" s="314">
        <f>+SUMIFS(Tabla1[Avance_km],Tabla1[Fecha],"&gt;="&amp;$A19,Tabla1[Fecha],"&lt;="&amp;EOMONTH($A19,0),Tabla1[Codigo_actividad],D$4)*D$3</f>
        <v>0</v>
      </c>
      <c r="E19" s="314">
        <f t="shared" si="1"/>
        <v>0</v>
      </c>
      <c r="F19" s="314">
        <f t="shared" si="2"/>
        <v>0</v>
      </c>
      <c r="G19" s="314">
        <f t="shared" si="3"/>
        <v>0</v>
      </c>
      <c r="H19" s="313"/>
      <c r="I19" s="308">
        <f t="shared" si="4"/>
        <v>0</v>
      </c>
      <c r="K19" s="226">
        <v>46357</v>
      </c>
      <c r="L19" s="314">
        <f>+SUMIFS(Tabla1[Avance_km],Tabla1[Fecha],"&gt;="&amp;$A19,Tabla1[Fecha],"&lt;="&amp;EOMONTH($A19,0),Tabla1[Codigo_actividad],L$4)</f>
        <v>0</v>
      </c>
      <c r="M19" s="314">
        <f>+SUMIFS(Tabla1[Avance_km],Tabla1[Fecha],"&gt;="&amp;$A19,Tabla1[Fecha],"&lt;="&amp;EOMONTH($A19,0),Tabla1[Codigo_actividad],M$4)</f>
        <v>0</v>
      </c>
      <c r="N19" s="314">
        <f>+SUMIFS(Tabla1[Avance_km],Tabla1[Fecha],"&gt;="&amp;$A19,Tabla1[Fecha],"&lt;="&amp;EOMONTH($A19,0),Tabla1[Codigo_actividad],N$4)</f>
        <v>0</v>
      </c>
      <c r="O19" s="314">
        <f>+SUMIFS(Tabla1[Observaciones],Tabla1[Fecha],"&gt;="&amp;$A19,Tabla1[Fecha],"&lt;="&amp;EOMONTH($A19,0),Tabla1[Codigo_actividad],O$4,Tabla1[Actividades],"&lt;&gt;"&amp;"METALOGRAFIAS",Tabla1[Length],O$1)</f>
        <v>0</v>
      </c>
      <c r="P19" s="314">
        <f>+SUMIFS(Tabla1[Observaciones],Tabla1[Fecha],"&gt;="&amp;$A19,Tabla1[Fecha],"&lt;="&amp;EOMONTH($A19,0),Tabla1[Codigo_actividad],P$4,Tabla1[Actividades],"&lt;&gt;"&amp;"METALOGRAFIAS",Tabla1[Length],P$1)</f>
        <v>0</v>
      </c>
      <c r="Q19" s="314">
        <f>+SUMIFS(Tabla1[Observaciones],Tabla1[Fecha],"&gt;="&amp;$A19,Tabla1[Fecha],"&lt;="&amp;EOMONTH($A19,0),Tabla1[Codigo_actividad],Q$4,Tabla1[Actividades],"&lt;&gt;"&amp;"METALOGRAFIAS",Tabla1[Length],Q$1)</f>
        <v>0</v>
      </c>
      <c r="R19" s="313"/>
      <c r="S19" s="308">
        <f t="shared" si="5"/>
        <v>0</v>
      </c>
      <c r="T19" s="463">
        <f t="shared" si="6"/>
        <v>0</v>
      </c>
      <c r="U19" s="314">
        <f>+SUMIFS(Tabla1[Observaciones],Tabla1[Fecha],"&gt;="&amp;$A19,Tabla1[Fecha],"&lt;="&amp;EOMONTH($A19,0),Tabla1[Codigo_actividad],U$4,Tabla1[Actividades],"&lt;&gt;"&amp;"METALOGRAFIAS",Tabla1[Length],U$1)</f>
        <v>0</v>
      </c>
      <c r="V19" s="314">
        <f>+SUMIFS(Tabla1[Observaciones],Tabla1[Fecha],"&gt;="&amp;$A19,Tabla1[Fecha],"&lt;="&amp;EOMONTH($A19,0),Tabla1[Codigo_actividad],V$4,Tabla1[Actividades],"&lt;&gt;"&amp;"METALOGRAFIAS",Tabla1[Length],V$1)</f>
        <v>0</v>
      </c>
      <c r="W19" s="314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507</v>
      </c>
      <c r="I20" s="309">
        <f>SUM(I5:I19)</f>
        <v>1674251.6000000006</v>
      </c>
      <c r="K20" s="61" t="s">
        <v>453</v>
      </c>
      <c r="L20" s="403">
        <f>SUM(L6:L19)</f>
        <v>180.42550000000003</v>
      </c>
      <c r="M20" s="403">
        <f>SUM(M6:M19)</f>
        <v>148.92450000000002</v>
      </c>
      <c r="N20" s="403">
        <f>SUM(N6:N19)</f>
        <v>181.88550000000001</v>
      </c>
      <c r="O20" s="474">
        <f>SUM(O6:O19)</f>
        <v>357</v>
      </c>
      <c r="P20" s="462">
        <f t="shared" ref="P20:Q20" si="7">SUM(P6:P19)</f>
        <v>46</v>
      </c>
      <c r="Q20" s="462">
        <f t="shared" si="7"/>
        <v>200</v>
      </c>
      <c r="S20" s="309">
        <f>SUM(S6:S19)</f>
        <v>511.2355</v>
      </c>
      <c r="T20" s="464">
        <f>SUM(T6:T19)</f>
        <v>603</v>
      </c>
      <c r="U20" s="474">
        <f>SUM(U6:U19)</f>
        <v>357</v>
      </c>
      <c r="V20" s="462">
        <f t="shared" ref="V20:W20" si="8">SUM(V6:V19)</f>
        <v>46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0">
        <f t="shared" ref="B21:G21" si="9">SUM(B6:B19)</f>
        <v>1407318.9</v>
      </c>
      <c r="C21" s="310">
        <f t="shared" si="9"/>
        <v>1221180.8999999999</v>
      </c>
      <c r="D21" s="310">
        <f t="shared" si="9"/>
        <v>291016.8000000001</v>
      </c>
      <c r="E21" s="310">
        <f t="shared" si="9"/>
        <v>126735</v>
      </c>
      <c r="F21" s="310">
        <f t="shared" si="9"/>
        <v>69000</v>
      </c>
      <c r="G21" s="310">
        <f t="shared" si="9"/>
        <v>59000</v>
      </c>
      <c r="H21" s="227"/>
      <c r="I21" s="308">
        <f>+IF(SUM(I6:I19)=SUM(B21:G21),SUM(I6:I19),"Diferencia en los montos")</f>
        <v>3174251.6</v>
      </c>
      <c r="K21"/>
      <c r="R21" s="227"/>
      <c r="S21" s="308">
        <f>+IF(SUM(S6:S19)=SUM(L20:N20),SUM(S6:S19))</f>
        <v>511.2355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7"/>
      <c r="D23"/>
      <c r="E23"/>
      <c r="F23"/>
      <c r="G23"/>
      <c r="H23"/>
      <c r="I23"/>
      <c r="J23"/>
      <c r="K23" s="327"/>
      <c r="L23" s="227"/>
      <c r="M23" s="227"/>
      <c r="N23" s="227"/>
      <c r="O23" s="227"/>
      <c r="P23" s="227"/>
      <c r="Q23" s="227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593"/>
      <c r="M24" s="593"/>
      <c r="N24" s="593"/>
      <c r="O24" s="261"/>
      <c r="P24" s="261"/>
      <c r="Q24" s="261"/>
      <c r="R24" s="261"/>
      <c r="S24" s="292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7"/>
      <c r="M25" s="227"/>
      <c r="N25" s="227"/>
      <c r="O25" s="227"/>
      <c r="P25" s="227"/>
      <c r="Q25" s="227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6">
        <v>45962</v>
      </c>
      <c r="B26" s="307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6">
        <v>45992</v>
      </c>
      <c r="B27" s="307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6">
        <v>46023</v>
      </c>
      <c r="B28" s="307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1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6">
        <v>46054</v>
      </c>
      <c r="B29" s="307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6">
        <v>46082</v>
      </c>
      <c r="B30" s="307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6">
        <v>46113</v>
      </c>
      <c r="B31" s="307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6">
        <v>46143</v>
      </c>
      <c r="B32" s="307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6">
        <v>46174</v>
      </c>
      <c r="B33" s="307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6">
        <v>46204</v>
      </c>
      <c r="B34" s="307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6">
        <v>46235</v>
      </c>
      <c r="B35" s="307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6">
        <v>46266</v>
      </c>
      <c r="B36" s="307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6">
        <v>46296</v>
      </c>
      <c r="B37" s="307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2">
        <f>SUM(B26:B37)</f>
        <v>3174251.6</v>
      </c>
      <c r="C38" s="293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1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515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514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6" sqref="BF16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6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</row>
    <row r="2" spans="1:75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  <c r="BU2" s="136"/>
      <c r="BV2" s="136"/>
      <c r="BW2" s="136"/>
    </row>
    <row r="3" spans="1:75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</row>
    <row r="4" spans="1:75" x14ac:dyDescent="0.2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36"/>
      <c r="BS4" s="136"/>
      <c r="BT4" s="136"/>
      <c r="BU4" s="136"/>
      <c r="BV4" s="136"/>
      <c r="BW4" s="136"/>
    </row>
    <row r="5" spans="1:75" x14ac:dyDescent="0.25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36"/>
      <c r="BS5" s="136"/>
      <c r="BT5" s="136"/>
      <c r="BU5" s="136"/>
      <c r="BV5" s="136"/>
      <c r="BW5" s="136"/>
    </row>
    <row r="6" spans="1:75" x14ac:dyDescent="0.2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</row>
    <row r="7" spans="1:75" x14ac:dyDescent="0.25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36"/>
      <c r="BS7" s="136"/>
      <c r="BT7" s="136"/>
      <c r="BU7" s="136"/>
      <c r="BV7" s="136"/>
      <c r="BW7" s="136"/>
    </row>
    <row r="8" spans="1:75" x14ac:dyDescent="0.25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  <c r="BT8" s="136"/>
      <c r="BU8" s="136"/>
      <c r="BV8" s="136"/>
      <c r="BW8" s="136"/>
    </row>
    <row r="9" spans="1:75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36"/>
      <c r="BS9" s="136"/>
      <c r="BT9" s="136"/>
      <c r="BU9" s="136"/>
      <c r="BV9" s="136"/>
      <c r="BW9" s="136"/>
    </row>
    <row r="10" spans="1:75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36"/>
      <c r="BS10" s="136"/>
      <c r="BT10" s="136"/>
      <c r="BU10" s="136"/>
      <c r="BV10" s="136"/>
      <c r="BW10" s="136"/>
    </row>
    <row r="11" spans="1:75" x14ac:dyDescent="0.2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36"/>
      <c r="BS11" s="136"/>
      <c r="BT11" s="136"/>
      <c r="BU11" s="136"/>
      <c r="BV11" s="136"/>
      <c r="BW11" s="136"/>
    </row>
    <row r="12" spans="1:75" x14ac:dyDescent="0.2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36"/>
      <c r="BS12" s="136"/>
      <c r="BT12" s="136"/>
      <c r="BU12" s="136"/>
      <c r="BV12" s="136"/>
      <c r="BW12" s="136"/>
    </row>
    <row r="13" spans="1:75" x14ac:dyDescent="0.2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36"/>
      <c r="BS13" s="136"/>
      <c r="BT13" s="136"/>
      <c r="BU13" s="136"/>
      <c r="BV13" s="136"/>
      <c r="BW13" s="136"/>
    </row>
    <row r="14" spans="1:75" x14ac:dyDescent="0.2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</row>
    <row r="15" spans="1:75" x14ac:dyDescent="0.2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36"/>
      <c r="BS15" s="136"/>
      <c r="BT15" s="136"/>
      <c r="BU15" s="136"/>
      <c r="BV15" s="136"/>
      <c r="BW15" s="136"/>
    </row>
    <row r="16" spans="1:75" x14ac:dyDescent="0.2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  <c r="BQ16" s="136"/>
      <c r="BR16" s="136"/>
      <c r="BS16" s="136"/>
      <c r="BT16" s="136"/>
      <c r="BU16" s="136"/>
      <c r="BV16" s="136"/>
      <c r="BW16" s="136"/>
    </row>
    <row r="17" spans="1:75" x14ac:dyDescent="0.2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6"/>
      <c r="BR17" s="136"/>
      <c r="BS17" s="136"/>
      <c r="BT17" s="136"/>
      <c r="BU17" s="136"/>
      <c r="BV17" s="136"/>
      <c r="BW17" s="136"/>
    </row>
    <row r="18" spans="1:75" x14ac:dyDescent="0.2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  <c r="BQ18" s="136"/>
      <c r="BR18" s="136"/>
      <c r="BS18" s="136"/>
      <c r="BT18" s="136"/>
      <c r="BU18" s="136"/>
      <c r="BV18" s="136"/>
      <c r="BW18" s="136"/>
    </row>
    <row r="19" spans="1:75" x14ac:dyDescent="0.2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  <c r="BQ19" s="136"/>
      <c r="BR19" s="136"/>
      <c r="BS19" s="136"/>
      <c r="BT19" s="136"/>
      <c r="BU19" s="136"/>
      <c r="BV19" s="136"/>
      <c r="BW19" s="136"/>
    </row>
    <row r="20" spans="1:75" x14ac:dyDescent="0.2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  <c r="BQ20" s="136"/>
      <c r="BR20" s="136"/>
      <c r="BS20" s="136"/>
      <c r="BT20" s="136"/>
      <c r="BU20" s="136"/>
      <c r="BV20" s="136"/>
      <c r="BW20" s="136"/>
    </row>
    <row r="21" spans="1:75" x14ac:dyDescent="0.2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  <c r="BR21" s="136"/>
      <c r="BS21" s="136"/>
      <c r="BT21" s="136"/>
      <c r="BU21" s="136"/>
      <c r="BV21" s="136"/>
      <c r="BW21" s="136"/>
    </row>
    <row r="22" spans="1:75" x14ac:dyDescent="0.2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  <c r="BQ22" s="136"/>
      <c r="BR22" s="136"/>
      <c r="BS22" s="136"/>
      <c r="BT22" s="136"/>
      <c r="BU22" s="136"/>
      <c r="BV22" s="136"/>
      <c r="BW22" s="136"/>
    </row>
    <row r="23" spans="1:75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  <c r="BQ23" s="136"/>
      <c r="BR23" s="136"/>
      <c r="BS23" s="136"/>
      <c r="BT23" s="136"/>
      <c r="BU23" s="136"/>
      <c r="BV23" s="136"/>
      <c r="BW23" s="136"/>
    </row>
    <row r="24" spans="1:75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</row>
    <row r="25" spans="1:75" x14ac:dyDescent="0.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</row>
    <row r="26" spans="1:75" x14ac:dyDescent="0.2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</row>
    <row r="27" spans="1:75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</row>
    <row r="28" spans="1:75" x14ac:dyDescent="0.2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</row>
    <row r="29" spans="1:75" x14ac:dyDescent="0.2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</row>
    <row r="30" spans="1:75" x14ac:dyDescent="0.2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</row>
    <row r="31" spans="1:75" x14ac:dyDescent="0.2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</row>
    <row r="32" spans="1:75" x14ac:dyDescent="0.2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</row>
    <row r="33" spans="1:75" x14ac:dyDescent="0.2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</row>
    <row r="34" spans="1:75" x14ac:dyDescent="0.2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</row>
    <row r="35" spans="1:75" x14ac:dyDescent="0.2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</row>
    <row r="36" spans="1:75" x14ac:dyDescent="0.2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</row>
    <row r="37" spans="1:75" x14ac:dyDescent="0.2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</row>
    <row r="38" spans="1:75" x14ac:dyDescent="0.2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  <c r="BQ38" s="136"/>
      <c r="BR38" s="136"/>
      <c r="BS38" s="136"/>
      <c r="BT38" s="136"/>
      <c r="BU38" s="136"/>
      <c r="BV38" s="136"/>
      <c r="BW38" s="136"/>
    </row>
    <row r="39" spans="1:75" x14ac:dyDescent="0.2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  <c r="BQ39" s="136"/>
      <c r="BR39" s="136"/>
      <c r="BS39" s="136"/>
      <c r="BT39" s="136"/>
      <c r="BU39" s="136"/>
      <c r="BV39" s="136"/>
      <c r="BW39" s="136"/>
    </row>
    <row r="40" spans="1:75" x14ac:dyDescent="0.2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  <c r="BQ40" s="136"/>
      <c r="BR40" s="136"/>
      <c r="BS40" s="136"/>
      <c r="BT40" s="136"/>
      <c r="BU40" s="136"/>
      <c r="BV40" s="136"/>
      <c r="BW40" s="136"/>
    </row>
    <row r="41" spans="1:75" x14ac:dyDescent="0.2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  <c r="BQ41" s="136"/>
      <c r="BR41" s="136"/>
      <c r="BS41" s="136"/>
      <c r="BT41" s="136"/>
      <c r="BU41" s="136"/>
      <c r="BV41" s="136"/>
      <c r="BW41" s="136"/>
    </row>
    <row r="42" spans="1:75" x14ac:dyDescent="0.2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</row>
    <row r="43" spans="1:75" x14ac:dyDescent="0.2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</row>
    <row r="44" spans="1:75" x14ac:dyDescent="0.2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</row>
    <row r="45" spans="1:75" x14ac:dyDescent="0.2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</row>
    <row r="46" spans="1:75" x14ac:dyDescent="0.2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</row>
    <row r="47" spans="1:75" x14ac:dyDescent="0.2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</row>
    <row r="48" spans="1:75" x14ac:dyDescent="0.2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</row>
    <row r="49" spans="1:75" x14ac:dyDescent="0.2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</row>
    <row r="50" spans="1:75" x14ac:dyDescent="0.2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</row>
    <row r="51" spans="1:75" x14ac:dyDescent="0.2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</row>
    <row r="52" spans="1:75" x14ac:dyDescent="0.2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  <c r="BQ52" s="136"/>
      <c r="BR52" s="136"/>
      <c r="BS52" s="136"/>
      <c r="BT52" s="136"/>
      <c r="BU52" s="136"/>
      <c r="BV52" s="136"/>
      <c r="BW52" s="136"/>
    </row>
    <row r="53" spans="1:75" x14ac:dyDescent="0.2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  <c r="BQ53" s="136"/>
      <c r="BR53" s="136"/>
      <c r="BS53" s="136"/>
      <c r="BT53" s="136"/>
      <c r="BU53" s="136"/>
      <c r="BV53" s="136"/>
      <c r="BW53" s="136"/>
    </row>
    <row r="54" spans="1:75" x14ac:dyDescent="0.2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</row>
    <row r="55" spans="1:75" x14ac:dyDescent="0.2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  <c r="BQ55" s="136"/>
      <c r="BR55" s="136"/>
      <c r="BS55" s="136"/>
      <c r="BT55" s="136"/>
      <c r="BU55" s="136"/>
      <c r="BV55" s="136"/>
      <c r="BW55" s="136"/>
    </row>
    <row r="56" spans="1:7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</row>
    <row r="57" spans="1:75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  <c r="BQ57" s="136"/>
      <c r="BR57" s="136"/>
      <c r="BS57" s="136"/>
      <c r="BT57" s="136"/>
      <c r="BU57" s="136"/>
      <c r="BV57" s="136"/>
      <c r="BW57" s="136"/>
    </row>
    <row r="58" spans="1:75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</row>
    <row r="59" spans="1:75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</row>
    <row r="60" spans="1:75" x14ac:dyDescent="0.2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  <c r="BQ60" s="136"/>
      <c r="BR60" s="136"/>
      <c r="BS60" s="136"/>
      <c r="BT60" s="136"/>
      <c r="BU60" s="136"/>
      <c r="BV60" s="136"/>
      <c r="BW60" s="136"/>
    </row>
    <row r="61" spans="1:75" x14ac:dyDescent="0.2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  <c r="BQ61" s="136"/>
      <c r="BR61" s="136"/>
      <c r="BS61" s="136"/>
      <c r="BT61" s="136"/>
      <c r="BU61" s="136"/>
      <c r="BV61" s="136"/>
      <c r="BW61" s="136"/>
    </row>
    <row r="62" spans="1:75" x14ac:dyDescent="0.2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</row>
    <row r="63" spans="1:75" x14ac:dyDescent="0.2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  <c r="BQ63" s="136"/>
      <c r="BR63" s="136"/>
      <c r="BS63" s="136"/>
      <c r="BT63" s="136"/>
      <c r="BU63" s="136"/>
      <c r="BV63" s="136"/>
      <c r="BW63" s="136"/>
    </row>
    <row r="64" spans="1:75" x14ac:dyDescent="0.2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</row>
    <row r="65" spans="1:75" x14ac:dyDescent="0.2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  <c r="BQ65" s="136"/>
      <c r="BR65" s="136"/>
      <c r="BS65" s="136"/>
      <c r="BT65" s="136"/>
      <c r="BU65" s="136"/>
      <c r="BV65" s="136"/>
      <c r="BW65" s="136"/>
    </row>
    <row r="66" spans="1:75" x14ac:dyDescent="0.2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</row>
    <row r="67" spans="1:75" x14ac:dyDescent="0.2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  <c r="BQ67" s="136"/>
      <c r="BR67" s="136"/>
      <c r="BS67" s="136"/>
      <c r="BT67" s="136"/>
      <c r="BU67" s="136"/>
      <c r="BV67" s="136"/>
      <c r="BW67" s="136"/>
    </row>
    <row r="68" spans="1:75" x14ac:dyDescent="0.2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</row>
    <row r="69" spans="1:75" x14ac:dyDescent="0.2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  <c r="BQ69" s="136"/>
      <c r="BR69" s="136"/>
      <c r="BS69" s="136"/>
      <c r="BT69" s="136"/>
      <c r="BU69" s="136"/>
      <c r="BV69" s="136"/>
      <c r="BW69" s="136"/>
    </row>
    <row r="70" spans="1:75" x14ac:dyDescent="0.2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/>
      <c r="BU70" s="136"/>
      <c r="BV70" s="136"/>
      <c r="BW70" s="136"/>
    </row>
    <row r="71" spans="1:75" x14ac:dyDescent="0.2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  <c r="BQ71" s="136"/>
      <c r="BR71" s="136"/>
      <c r="BS71" s="136"/>
      <c r="BT71" s="136"/>
      <c r="BU71" s="136"/>
      <c r="BV71" s="136"/>
      <c r="BW71" s="136"/>
    </row>
    <row r="72" spans="1:75" x14ac:dyDescent="0.2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  <c r="BQ72" s="136"/>
      <c r="BR72" s="136"/>
      <c r="BS72" s="136"/>
      <c r="BT72" s="136"/>
      <c r="BU72" s="136"/>
      <c r="BV72" s="136"/>
      <c r="BW72" s="136"/>
    </row>
    <row r="73" spans="1:75" x14ac:dyDescent="0.2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  <c r="BQ73" s="136"/>
      <c r="BR73" s="136"/>
      <c r="BS73" s="136"/>
      <c r="BT73" s="136"/>
      <c r="BU73" s="136"/>
      <c r="BV73" s="136"/>
      <c r="BW73" s="136"/>
    </row>
    <row r="74" spans="1:75" x14ac:dyDescent="0.2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  <c r="BQ74" s="136"/>
      <c r="BR74" s="136"/>
      <c r="BS74" s="136"/>
      <c r="BT74" s="136"/>
      <c r="BU74" s="136"/>
      <c r="BV74" s="136"/>
      <c r="BW74" s="136"/>
    </row>
    <row r="75" spans="1:75" x14ac:dyDescent="0.2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  <c r="BQ75" s="136"/>
      <c r="BR75" s="136"/>
      <c r="BS75" s="136"/>
      <c r="BT75" s="136"/>
      <c r="BU75" s="136"/>
      <c r="BV75" s="136"/>
      <c r="BW75" s="136"/>
    </row>
    <row r="76" spans="1:75" x14ac:dyDescent="0.2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  <c r="BQ76" s="136"/>
      <c r="BR76" s="136"/>
      <c r="BS76" s="136"/>
      <c r="BT76" s="136"/>
      <c r="BU76" s="136"/>
      <c r="BV76" s="136"/>
      <c r="BW76" s="136"/>
    </row>
    <row r="77" spans="1:75" x14ac:dyDescent="0.2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  <c r="BQ77" s="136"/>
      <c r="BR77" s="136"/>
      <c r="BS77" s="136"/>
      <c r="BT77" s="136"/>
      <c r="BU77" s="136"/>
      <c r="BV77" s="136"/>
      <c r="BW77" s="136"/>
    </row>
    <row r="78" spans="1:75" x14ac:dyDescent="0.2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  <c r="BQ78" s="136"/>
      <c r="BR78" s="136"/>
      <c r="BS78" s="136"/>
      <c r="BT78" s="136"/>
      <c r="BU78" s="136"/>
      <c r="BV78" s="136"/>
      <c r="BW78" s="136"/>
    </row>
    <row r="79" spans="1:75" x14ac:dyDescent="0.2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  <c r="BQ79" s="136"/>
      <c r="BR79" s="136"/>
      <c r="BS79" s="136"/>
      <c r="BT79" s="136"/>
      <c r="BU79" s="136"/>
      <c r="BV79" s="136"/>
      <c r="BW79" s="136"/>
    </row>
    <row r="80" spans="1:75" x14ac:dyDescent="0.2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  <c r="BQ80" s="136"/>
      <c r="BR80" s="136"/>
      <c r="BS80" s="136"/>
      <c r="BT80" s="136"/>
      <c r="BU80" s="136"/>
      <c r="BV80" s="136"/>
      <c r="BW80" s="136"/>
    </row>
    <row r="81" spans="1:75" x14ac:dyDescent="0.2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</row>
    <row r="82" spans="1:75" x14ac:dyDescent="0.2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</row>
    <row r="83" spans="1:75" x14ac:dyDescent="0.2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</row>
    <row r="84" spans="1:75" x14ac:dyDescent="0.2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</row>
    <row r="85" spans="1:75" x14ac:dyDescent="0.2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</row>
    <row r="86" spans="1:75" x14ac:dyDescent="0.2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</row>
    <row r="87" spans="1:75" x14ac:dyDescent="0.2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</row>
    <row r="88" spans="1:75" x14ac:dyDescent="0.2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</row>
    <row r="89" spans="1:75" x14ac:dyDescent="0.2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</row>
    <row r="90" spans="1:75" x14ac:dyDescent="0.2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</row>
    <row r="91" spans="1:75" x14ac:dyDescent="0.2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IFERROR(_xlfn.XLOOKUP(A2,diario!D:D,diario!M:M,"")*1000,"")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IFERROR(_xlfn.XLOOKUP(A3,diario!D:D,diario!M:M,"")*1000,"")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8" t="s">
        <v>342</v>
      </c>
      <c r="F4" s="105">
        <f>IFERROR(_xlfn.XLOOKUP(A4,diario!D:D,diario!M:M,"")*1000,"")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IFERROR(_xlfn.XLOOKUP(A5,diario!D:D,diario!M:M,"")*1000,"")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IFERROR(_xlfn.XLOOKUP(A6,diario!D:D,diario!M:M,"")*1000,"")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IFERROR(_xlfn.XLOOKUP(A7,diario!D:D,diario!M:M,"")*1000,"")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IFERROR(_xlfn.XLOOKUP(A8,diario!D:D,diario!M:M,"")*1000,"")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IFERROR(_xlfn.XLOOKUP(A9,diario!D:D,diario!M:M,"")*1000,"")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8" t="s">
        <v>342</v>
      </c>
      <c r="F10" s="105">
        <f>IFERROR(_xlfn.XLOOKUP(A10,diario!D:D,diario!M:M,"")*1000,"")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IFERROR(_xlfn.XLOOKUP(A11,diario!D:D,diario!M:M,"")*1000,"")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8" t="s">
        <v>342</v>
      </c>
      <c r="F12" s="105">
        <f>IFERROR(_xlfn.XLOOKUP(A12,diario!D:D,diario!M:M,"")*1000,"")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IFERROR(_xlfn.XLOOKUP(A13,diario!D:D,diario!M:M,"")*1000,"")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IFERROR(_xlfn.XLOOKUP(A14,diario!D:D,diario!M:M,"")*1000,"")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IFERROR(_xlfn.XLOOKUP(A15,diario!D:D,diario!M:M,"")*1000,"")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6" customFormat="1" hidden="1" x14ac:dyDescent="0.3">
      <c r="A16" s="189" t="s">
        <v>170</v>
      </c>
      <c r="B16" s="190" t="s">
        <v>171</v>
      </c>
      <c r="C16" s="191" t="s">
        <v>171</v>
      </c>
      <c r="D16" s="191" t="s">
        <v>171</v>
      </c>
      <c r="E16" s="191" t="s">
        <v>171</v>
      </c>
      <c r="F16" s="192" t="str">
        <f>IFERROR(_xlfn.XLOOKUP(A16,diario!D:D,diario!M:M,"")*1000,"")</f>
        <v/>
      </c>
      <c r="G16" s="193">
        <v>1.23</v>
      </c>
      <c r="H16" s="194" t="str">
        <f>IF(SUMIFS(Tabla1[Avance_km],Tabla1[Ducto],$A16,Tabla1[nombre_actividad],H$1)=0,"",SUMIFS(Tabla1[Avance_km],Tabla1[Ducto],$A16,Tabla1[nombre_actividad],H$1))</f>
        <v/>
      </c>
      <c r="I16" s="194" t="str">
        <f>IF(SUMIFS(Tabla1[Avance_km],Tabla1[Ducto],$A16,Tabla1[nombre_actividad],I$1)=0,"",SUMIFS(Tabla1[Avance_km],Tabla1[Ducto],$A16,Tabla1[nombre_actividad],I$1))</f>
        <v/>
      </c>
      <c r="J16" s="194" t="str">
        <f>IF(SUMIFS(Tabla1[Avance_km],Tabla1[Ducto],$A16,Tabla1[nombre_actividad],J$1)=0,"",SUMIFS(Tabla1[Avance_km],Tabla1[Ducto],$A16,Tabla1[nombre_actividad],J$1))</f>
        <v/>
      </c>
      <c r="K16" s="195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IFERROR(_xlfn.XLOOKUP(A17,diario!D:D,diario!M:M,"")*1000,"")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8" t="s">
        <v>342</v>
      </c>
      <c r="F18" s="105">
        <f>IFERROR(_xlfn.XLOOKUP(A18,diario!D:D,diario!M:M,"")*1000,"")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40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IFERROR(_xlfn.XLOOKUP(A19,diario!D:D,diario!M:M,"")*1000,"")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IFERROR(_xlfn.XLOOKUP(A20,diario!D:D,diario!M:M,"")*1000,"")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8" t="s">
        <v>342</v>
      </c>
      <c r="F21" s="105">
        <f>IFERROR(_xlfn.XLOOKUP(A21,diario!D:D,diario!M:M,"")*1000,"")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40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IFERROR(_xlfn.XLOOKUP(A22,diario!D:D,diario!M:M,"")*1000,"")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6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8" t="s">
        <v>342</v>
      </c>
      <c r="F23" s="105">
        <f>IFERROR(_xlfn.XLOOKUP(A23,diario!D:D,diario!M:M,"")*1000,"")</f>
        <v>12</v>
      </c>
      <c r="G23" s="193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40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IFERROR(_xlfn.XLOOKUP(A24,diario!D:D,diario!M:M,"")*1000,"")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IFERROR(_xlfn.XLOOKUP(A25,diario!D:D,diario!M:M,"")*1000,"")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IFERROR(_xlfn.XLOOKUP(A26,diario!D:D,diario!M:M,"")*1000,"")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8" t="s">
        <v>342</v>
      </c>
      <c r="F27" s="105">
        <f>IFERROR(_xlfn.XLOOKUP(A27,diario!D:D,diario!M:M,"")*1000,"")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40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IFERROR(_xlfn.XLOOKUP(A28,diario!D:D,diario!M:M,"")*1000,"")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IFERROR(_xlfn.XLOOKUP(A29,diario!D:D,diario!M:M,"")*1000,"")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IFERROR(_xlfn.XLOOKUP(A30,diario!D:D,diario!M:M,"")*1000,"")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8" t="s">
        <v>342</v>
      </c>
      <c r="F31" s="187">
        <f>IFERROR(_xlfn.XLOOKUP(A31,diario!D:D,diario!M:M,"")*1000,"")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40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8" t="s">
        <v>342</v>
      </c>
      <c r="F32" s="105" t="str">
        <f>IFERROR(_xlfn.XLOOKUP(A32,diario!D:D,diario!M:M,"")*1000,"")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40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8" t="s">
        <v>342</v>
      </c>
      <c r="F33" s="105" t="str">
        <f>IFERROR(_xlfn.XLOOKUP(A33,diario!D:D,diario!M:M,"")*1000,"")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40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8" t="s">
        <v>342</v>
      </c>
      <c r="F34" s="105">
        <f>IFERROR(_xlfn.XLOOKUP(A34,diario!D:D,diario!M:M,"")*1000,"")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40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8" t="s">
        <v>342</v>
      </c>
      <c r="F35" s="105">
        <f>IFERROR(_xlfn.XLOOKUP(A35,diario!D:D,diario!M:M,"")*1000,"")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40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IFERROR(_xlfn.XLOOKUP(A36,diario!D:D,diario!M:M,"")*1000,"")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IFERROR(_xlfn.XLOOKUP(A37,diario!D:D,diario!M:M,"")*1000,"")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8" t="s">
        <v>342</v>
      </c>
      <c r="F38" s="105">
        <f>IFERROR(_xlfn.XLOOKUP(A38,diario!D:D,diario!M:M,"")*1000,"")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40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8" t="s">
        <v>342</v>
      </c>
      <c r="F39" s="105" t="str">
        <f>IFERROR(_xlfn.XLOOKUP(A39,diario!D:D,diario!M:M,"")*1000,"")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40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IFERROR(_xlfn.XLOOKUP(A40,diario!D:D,diario!M:M,"")*1000,"")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IFERROR(_xlfn.XLOOKUP(A41,diario!D:D,diario!M:M,"")*1000,"")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9">
        <f>SUM(H2:H41)</f>
        <v>66.918000000000006</v>
      </c>
      <c r="I43" s="129">
        <f t="shared" ref="I43:J43" si="0">SUM(I2:I41)</f>
        <v>66.918000000000006</v>
      </c>
      <c r="J43" s="129">
        <f t="shared" si="0"/>
        <v>66.918000000000006</v>
      </c>
      <c r="K43" s="130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IFERROR(_xlfn.XLOOKUP(A2,diario!D:D,diario!M:M,"")*1000,"")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8" t="s">
        <v>342</v>
      </c>
      <c r="F3" s="105">
        <f>IFERROR(_xlfn.XLOOKUP(A3,diario!D:D,diario!M:M,"")*1000,"")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40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8" t="s">
        <v>342</v>
      </c>
      <c r="F4" s="105">
        <f>IFERROR(_xlfn.XLOOKUP(A4,diario!D:D,diario!M:M,"")*1000,"")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8" t="s">
        <v>342</v>
      </c>
      <c r="F5" s="105">
        <f>IFERROR(_xlfn.XLOOKUP(A5,diario!D:D,diario!M:M,"")*1000,"")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40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8" t="s">
        <v>342</v>
      </c>
      <c r="F6" s="105">
        <f>IFERROR(_xlfn.XLOOKUP(A6,diario!D:D,diario!M:M,"")*1000,"")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40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IFERROR(_xlfn.XLOOKUP(A7,diario!D:D,diario!M:M,"")*1000,"")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7">
        <f>IFERROR(_xlfn.XLOOKUP(A8,diario!D:D,diario!M:M,"")*1000,"")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IFERROR(_xlfn.XLOOKUP(A9,diario!D:D,diario!M:M,"")*1000,"")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8" t="s">
        <v>342</v>
      </c>
      <c r="F10" s="105">
        <f>IFERROR(_xlfn.XLOOKUP(A10,diario!D:D,diario!M:M,"")*1000,"")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IFERROR(_xlfn.XLOOKUP(A11,diario!D:D,diario!M:M,"")*1000,"")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8" t="s">
        <v>342</v>
      </c>
      <c r="F12" s="105">
        <f>IFERROR(_xlfn.XLOOKUP(A12,diario!D:D,diario!M:M,"")*1000,"")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8" t="s">
        <v>342</v>
      </c>
      <c r="F13" s="105">
        <f>IFERROR(_xlfn.XLOOKUP(A13,diario!D:D,diario!M:M,"")*1000,"")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40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IFERROR(_xlfn.XLOOKUP(A14,diario!D:D,diario!M:M,"")*1000,"")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IFERROR(_xlfn.XLOOKUP(A15,diario!D:D,diario!M:M,"")*1000,"")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IFERROR(_xlfn.XLOOKUP(A16,diario!D:D,diario!M:M,"")*1000,"")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IFERROR(_xlfn.XLOOKUP(A17,diario!D:D,diario!M:M,"")*1000,"")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8" t="s">
        <v>342</v>
      </c>
      <c r="F18" s="105">
        <f>IFERROR(_xlfn.XLOOKUP(A18,diario!D:D,diario!M:M,"")*1000,"")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40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9">
        <f>SUM(H2:H18)</f>
        <v>32.987999999999992</v>
      </c>
      <c r="I20" s="129">
        <f t="shared" ref="I20:K20" si="0">SUM(I2:I18)</f>
        <v>32.987999999999992</v>
      </c>
      <c r="J20" s="129">
        <f t="shared" si="0"/>
        <v>32.987999999999992</v>
      </c>
      <c r="K20" s="130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8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3" t="s">
        <v>339</v>
      </c>
      <c r="B7" s="254">
        <f>+_xlfn.XLOOKUP($A7,'R (s03)'!$B:$B,'R (s03)'!D:D,"Falta")</f>
        <v>0</v>
      </c>
      <c r="C7" s="255">
        <f>+_xlfn.XLOOKUP($A7,'R (s03)'!$B:$B,'R (s03)'!E:E,"Falta")</f>
        <v>0</v>
      </c>
      <c r="D7" s="255">
        <f>+_xlfn.XLOOKUP($A7,'R (s03)'!$B:$B,'R (s03)'!F:F,"Falta")</f>
        <v>0</v>
      </c>
      <c r="E7" s="255">
        <f>+_xlfn.XLOOKUP($A7,'R (s03)'!$B:$B,'R (s03)'!G:G,"Falta")</f>
        <v>1</v>
      </c>
      <c r="F7" s="256"/>
      <c r="G7" s="257">
        <v>2</v>
      </c>
      <c r="H7" s="258" t="str">
        <f>IF(SUMIFS(Tabla1[Avance_km],Tabla1[Ducto],$A7,Tabla1[nombre_actividad],H$1)=0,"",SUMIFS(Tabla1[Avance_km],Tabla1[Ducto],$A7,Tabla1[nombre_actividad],H$1))</f>
        <v/>
      </c>
      <c r="I7" s="258" t="str">
        <f>IF(SUMIFS(Tabla1[Avance_km],Tabla1[Ducto],$A7,Tabla1[nombre_actividad],I$1)=0,"",SUMIFS(Tabla1[Avance_km],Tabla1[Ducto],$A7,Tabla1[nombre_actividad],I$1))</f>
        <v/>
      </c>
      <c r="J7" s="258" t="str">
        <f>IF(SUMIFS(Tabla1[Avance_km],Tabla1[Ducto],$A7,Tabla1[nombre_actividad],J$1,Tabla1[Avance_km],"&gt;0")=0,"",SUMIFS(Tabla1[Avance_km],Tabla1[Ducto],$A7,Tabla1[nombre_actividad],J$1,Tabla1[Avance_km],"&gt;0"))</f>
        <v/>
      </c>
      <c r="K7" s="259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3" t="s">
        <v>340</v>
      </c>
      <c r="B9" s="254">
        <f>+_xlfn.XLOOKUP($A9,'R (s03)'!$B:$B,'R (s03)'!D:D,"Falta")</f>
        <v>0</v>
      </c>
      <c r="C9" s="255">
        <f>+_xlfn.XLOOKUP($A9,'R (s03)'!$B:$B,'R (s03)'!E:E,"Falta")</f>
        <v>0</v>
      </c>
      <c r="D9" s="255">
        <f>+_xlfn.XLOOKUP($A9,'R (s03)'!$B:$B,'R (s03)'!F:F,"Falta")</f>
        <v>0</v>
      </c>
      <c r="E9" s="255">
        <f>+_xlfn.XLOOKUP($A9,'R (s03)'!$B:$B,'R (s03)'!G:G,"Falta")</f>
        <v>1</v>
      </c>
      <c r="F9" s="256"/>
      <c r="G9" s="257">
        <v>22</v>
      </c>
      <c r="H9" s="258" t="str">
        <f>IF(SUMIFS(Tabla1[Avance_km],Tabla1[Ducto],$A9,Tabla1[nombre_actividad],H$1)=0,"",SUMIFS(Tabla1[Avance_km],Tabla1[Ducto],$A9,Tabla1[nombre_actividad],H$1))</f>
        <v/>
      </c>
      <c r="I9" s="258" t="str">
        <f>IF(SUMIFS(Tabla1[Avance_km],Tabla1[Ducto],$A9,Tabla1[nombre_actividad],I$1)=0,"",SUMIFS(Tabla1[Avance_km],Tabla1[Ducto],$A9,Tabla1[nombre_actividad],I$1))</f>
        <v/>
      </c>
      <c r="J9" s="258" t="str">
        <f>IF(SUMIFS(Tabla1[Avance_km],Tabla1[Ducto],$A9,Tabla1[nombre_actividad],J$1,Tabla1[Avance_km],"&gt;0")=0,"",SUMIFS(Tabla1[Avance_km],Tabla1[Ducto],$A9,Tabla1[nombre_actividad],J$1,Tabla1[Avance_km],"&gt;0"))</f>
        <v/>
      </c>
      <c r="K9" s="259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3" t="s">
        <v>341</v>
      </c>
      <c r="B11" s="254">
        <f>+_xlfn.XLOOKUP($A11,'R (s03)'!$B:$B,'R (s03)'!D:D,"Falta")</f>
        <v>0</v>
      </c>
      <c r="C11" s="255">
        <f>+_xlfn.XLOOKUP($A11,'R (s03)'!$B:$B,'R (s03)'!E:E,"Falta")</f>
        <v>0</v>
      </c>
      <c r="D11" s="255">
        <f>+_xlfn.XLOOKUP($A11,'R (s03)'!$B:$B,'R (s03)'!F:F,"Falta")</f>
        <v>0</v>
      </c>
      <c r="E11" s="255">
        <f>+_xlfn.XLOOKUP($A11,'R (s03)'!$B:$B,'R (s03)'!G:G,"Falta")</f>
        <v>1</v>
      </c>
      <c r="F11" s="256"/>
      <c r="G11" s="257">
        <v>7</v>
      </c>
      <c r="H11" s="258" t="str">
        <f>IF(SUMIFS(Tabla1[Avance_km],Tabla1[Ducto],$A11,Tabla1[nombre_actividad],H$1)=0,"",SUMIFS(Tabla1[Avance_km],Tabla1[Ducto],$A11,Tabla1[nombre_actividad],H$1))</f>
        <v/>
      </c>
      <c r="I11" s="258" t="str">
        <f>IF(SUMIFS(Tabla1[Avance_km],Tabla1[Ducto],$A11,Tabla1[nombre_actividad],I$1)=0,"",SUMIFS(Tabla1[Avance_km],Tabla1[Ducto],$A11,Tabla1[nombre_actividad],I$1))</f>
        <v/>
      </c>
      <c r="J11" s="258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9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4">
        <f>+_xlfn.XLOOKUP($A13,'R (s03)'!$B:$B,'R (s03)'!D:D,"Falta")</f>
        <v>0</v>
      </c>
      <c r="C13" s="255">
        <f>+_xlfn.XLOOKUP($A13,'R (s03)'!$B:$B,'R (s03)'!E:E,"Falta")</f>
        <v>0</v>
      </c>
      <c r="D13" s="255">
        <f>+_xlfn.XLOOKUP($A13,'R (s03)'!$B:$B,'R (s03)'!F:F,"Falta")</f>
        <v>0</v>
      </c>
      <c r="E13" s="255" t="str">
        <f>+_xlfn.XLOOKUP($A13,'R (s03)'!$B:$B,'R (s03)'!G:G,"Falta")</f>
        <v>ref 0+372 Kellog's</v>
      </c>
      <c r="F13" s="256">
        <v>345</v>
      </c>
      <c r="G13" s="257">
        <v>345</v>
      </c>
      <c r="H13" s="258" t="str">
        <f>IF(SUMIFS(Tabla1[Avance_km],Tabla1[Ducto],$A13,Tabla1[nombre_actividad],H$1)=0,"",SUMIFS(Tabla1[Avance_km],Tabla1[Ducto],$A13,Tabla1[nombre_actividad],H$1))</f>
        <v/>
      </c>
      <c r="I13" s="258" t="str">
        <f>IF(SUMIFS(Tabla1[Avance_km],Tabla1[Ducto],$A13,Tabla1[nombre_actividad],I$1)=0,"",SUMIFS(Tabla1[Avance_km],Tabla1[Ducto],$A13,Tabla1[nombre_actividad],I$1))</f>
        <v/>
      </c>
      <c r="J13" s="258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9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3" t="s">
        <v>229</v>
      </c>
      <c r="B20" s="254">
        <f>+_xlfn.XLOOKUP($A20,'R (s03)'!$B:$B,'R (s03)'!D:D,"Falta")</f>
        <v>0</v>
      </c>
      <c r="C20" s="255">
        <f>+_xlfn.XLOOKUP($A20,'R (s03)'!$B:$B,'R (s03)'!E:E,"Falta")</f>
        <v>0</v>
      </c>
      <c r="D20" s="255">
        <f>+_xlfn.XLOOKUP($A20,'R (s03)'!$B:$B,'R (s03)'!F:F,"Falta")</f>
        <v>0</v>
      </c>
      <c r="E20" s="255">
        <f>+_xlfn.XLOOKUP($A20,'R (s03)'!$B:$B,'R (s03)'!G:G,"Falta")</f>
        <v>0</v>
      </c>
      <c r="F20" s="256">
        <v>3</v>
      </c>
      <c r="G20" s="257">
        <v>2</v>
      </c>
      <c r="H20" s="258" t="str">
        <f>IF(SUMIFS(Tabla1[Avance_km],Tabla1[Ducto],$A20,Tabla1[nombre_actividad],H$1)=0,"",SUMIFS(Tabla1[Avance_km],Tabla1[Ducto],$A20,Tabla1[nombre_actividad],H$1))</f>
        <v/>
      </c>
      <c r="I20" s="258" t="str">
        <f>IF(SUMIFS(Tabla1[Avance_km],Tabla1[Ducto],$A20,Tabla1[nombre_actividad],I$1)=0,"",SUMIFS(Tabla1[Avance_km],Tabla1[Ducto],$A20,Tabla1[nombre_actividad],I$1))</f>
        <v/>
      </c>
      <c r="J20" s="258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9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4">
        <f>+_xlfn.XLOOKUP($A23,'R (s03)'!$B:$B,'R (s03)'!D:D,"Falta")</f>
        <v>0</v>
      </c>
      <c r="C23" s="255">
        <f>+_xlfn.XLOOKUP($A23,'R (s03)'!$B:$B,'R (s03)'!E:E,"Falta")</f>
        <v>0</v>
      </c>
      <c r="D23" s="255">
        <f>+_xlfn.XLOOKUP($A23,'R (s03)'!$B:$B,'R (s03)'!F:F,"Falta")</f>
        <v>0</v>
      </c>
      <c r="E23" s="255">
        <f>+_xlfn.XLOOKUP($A23,'R (s03)'!$B:$B,'R (s03)'!G:G,"Falta")</f>
        <v>1</v>
      </c>
      <c r="F23" s="256">
        <v>2</v>
      </c>
      <c r="G23" s="257">
        <v>2</v>
      </c>
      <c r="H23" s="258" t="str">
        <f>IF(SUMIFS(Tabla1[Avance_km],Tabla1[Ducto],$A23,Tabla1[nombre_actividad],H$1)=0,"",SUMIFS(Tabla1[Avance_km],Tabla1[Ducto],$A23,Tabla1[nombre_actividad],H$1))</f>
        <v/>
      </c>
      <c r="I23" s="258" t="str">
        <f>IF(SUMIFS(Tabla1[Avance_km],Tabla1[Ducto],$A23,Tabla1[nombre_actividad],I$1)=0,"",SUMIFS(Tabla1[Avance_km],Tabla1[Ducto],$A23,Tabla1[nombre_actividad],I$1))</f>
        <v/>
      </c>
      <c r="J23" s="258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9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4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0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4">
        <f>+_xlfn.XLOOKUP($A26,'R (s03)'!$B:$B,'R (s03)'!D:D,"Falta")</f>
        <v>0</v>
      </c>
      <c r="C26" s="255">
        <f>+_xlfn.XLOOKUP($A26,'R (s03)'!$B:$B,'R (s03)'!E:E,"Falta")</f>
        <v>0</v>
      </c>
      <c r="D26" s="255">
        <f>+_xlfn.XLOOKUP($A26,'R (s03)'!$B:$B,'R (s03)'!F:F,"Falta")</f>
        <v>0</v>
      </c>
      <c r="E26" s="255">
        <f>+_xlfn.XLOOKUP($A26,'R (s03)'!$B:$B,'R (s03)'!G:G,"Falta")</f>
        <v>1</v>
      </c>
      <c r="F26" s="256"/>
      <c r="G26" s="257"/>
      <c r="H26" s="258" t="str">
        <f>IF(SUMIFS(Tabla1[Avance_km],Tabla1[Ducto],$A26,Tabla1[nombre_actividad],H$1)=0,"",SUMIFS(Tabla1[Avance_km],Tabla1[Ducto],$A26,Tabla1[nombre_actividad],H$1))</f>
        <v/>
      </c>
      <c r="I26" s="258" t="str">
        <f>IF(SUMIFS(Tabla1[Avance_km],Tabla1[Ducto],$A26,Tabla1[nombre_actividad],I$1)=0,"",SUMIFS(Tabla1[Avance_km],Tabla1[Ducto],$A26,Tabla1[nombre_actividad],I$1))</f>
        <v/>
      </c>
      <c r="J26" s="258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9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8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0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4">
        <f>+_xlfn.XLOOKUP($A32,'R (s03)'!$B:$B,'R (s03)'!D:D,"Falta")</f>
        <v>0</v>
      </c>
      <c r="C32" s="255">
        <f>+_xlfn.XLOOKUP($A32,'R (s03)'!$B:$B,'R (s03)'!E:E,"Falta")</f>
        <v>0</v>
      </c>
      <c r="D32" s="255">
        <f>+_xlfn.XLOOKUP($A32,'R (s03)'!$B:$B,'R (s03)'!F:F,"Falta")</f>
        <v>0</v>
      </c>
      <c r="E32" s="255">
        <f>+_xlfn.XLOOKUP($A32,'R (s03)'!$B:$B,'R (s03)'!G:G,"Falta")</f>
        <v>1</v>
      </c>
      <c r="F32" s="256">
        <v>6</v>
      </c>
      <c r="G32" s="257">
        <v>6</v>
      </c>
      <c r="H32" s="258" t="str">
        <f>IF(SUMIFS(Tabla1[Avance_km],Tabla1[Ducto],$A32,Tabla1[nombre_actividad],H$1)=0,"",SUMIFS(Tabla1[Avance_km],Tabla1[Ducto],$A32,Tabla1[nombre_actividad],H$1))</f>
        <v/>
      </c>
      <c r="I32" s="258" t="str">
        <f>IF(SUMIFS(Tabla1[Avance_km],Tabla1[Ducto],$A32,Tabla1[nombre_actividad],I$1)=0,"",SUMIFS(Tabla1[Avance_km],Tabla1[Ducto],$A32,Tabla1[nombre_actividad],I$1))</f>
        <v/>
      </c>
      <c r="J32" s="258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9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8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0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4">
        <f>+_xlfn.XLOOKUP($A40,'R (s03)'!$B:$B,'R (s03)'!D:D,"Falta")</f>
        <v>0</v>
      </c>
      <c r="C40" s="255">
        <f>+_xlfn.XLOOKUP($A40,'R (s03)'!$B:$B,'R (s03)'!E:E,"Falta")</f>
        <v>0</v>
      </c>
      <c r="D40" s="255">
        <f>+_xlfn.XLOOKUP($A40,'R (s03)'!$B:$B,'R (s03)'!F:F,"Falta")</f>
        <v>0</v>
      </c>
      <c r="E40" s="255">
        <f>+_xlfn.XLOOKUP($A40,'R (s03)'!$B:$B,'R (s03)'!G:G,"Falta")</f>
        <v>1</v>
      </c>
      <c r="F40" s="256">
        <v>12</v>
      </c>
      <c r="G40" s="257">
        <v>12</v>
      </c>
      <c r="H40" s="258" t="str">
        <f>IF(SUMIFS(Tabla1[Avance_km],Tabla1[Ducto],$A40,Tabla1[nombre_actividad],H$1)=0,"",SUMIFS(Tabla1[Avance_km],Tabla1[Ducto],$A40,Tabla1[nombre_actividad],H$1))</f>
        <v/>
      </c>
      <c r="I40" s="258" t="str">
        <f>IF(SUMIFS(Tabla1[Avance_km],Tabla1[Ducto],$A40,Tabla1[nombre_actividad],I$1)=0,"",SUMIFS(Tabla1[Avance_km],Tabla1[Ducto],$A40,Tabla1[nombre_actividad],I$1))</f>
        <v/>
      </c>
      <c r="J40" s="258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9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502</v>
      </c>
      <c r="B43" s="254">
        <f>+_xlfn.XLOOKUP($A43,'R (s03)'!$B:$B,'R (s03)'!D:D,"Falta")</f>
        <v>0</v>
      </c>
      <c r="C43" s="255">
        <f>+_xlfn.XLOOKUP($A43,'R (s03)'!$B:$B,'R (s03)'!E:E,"Falta")</f>
        <v>0</v>
      </c>
      <c r="D43" s="255">
        <f>+_xlfn.XLOOKUP($A43,'R (s03)'!$B:$B,'R (s03)'!F:F,"Falta")</f>
        <v>0</v>
      </c>
      <c r="E43" s="255" t="str">
        <f>+_xlfn.XLOOKUP($A43,'R (s03)'!$B:$B,'R (s03)'!G:G,"Falta")</f>
        <v>---</v>
      </c>
      <c r="F43" s="256"/>
      <c r="G43" s="257"/>
      <c r="H43" s="258" t="str">
        <f>IF(SUMIFS(Tabla1[Avance_km],Tabla1[Ducto],$A43,Tabla1[nombre_actividad],H$1)=0,"",SUMIFS(Tabla1[Avance_km],Tabla1[Ducto],$A43,Tabla1[nombre_actividad],H$1))</f>
        <v/>
      </c>
      <c r="I43" s="258" t="str">
        <f>IF(SUMIFS(Tabla1[Avance_km],Tabla1[Ducto],$A43,Tabla1[nombre_actividad],I$1)=0,"",SUMIFS(Tabla1[Avance_km],Tabla1[Ducto],$A43,Tabla1[nombre_actividad],I$1))</f>
        <v/>
      </c>
      <c r="J43" s="258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9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8"/>
      <c r="C45" s="104"/>
      <c r="D45" s="104"/>
      <c r="E45" s="104">
        <f>+_xlfn.XLOOKUP($A45,'R (s03)'!$B:$B,'R (s03)'!G:G,"Falta")</f>
        <v>1</v>
      </c>
      <c r="F45" s="187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9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9">
        <f t="shared" si="0"/>
        <v>45.013999999999996</v>
      </c>
      <c r="I48" s="129">
        <f t="shared" si="0"/>
        <v>44.519999999999996</v>
      </c>
      <c r="J48" s="129">
        <f t="shared" si="0"/>
        <v>45.671999999999997</v>
      </c>
      <c r="K48" s="130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351</v>
      </c>
      <c r="B2" s="103">
        <f>+_xlfn.XLOOKUP($A2,'R (s04)'!B:B,'R (s04)'!D:D,"Falta")</f>
        <v>0.67691952139337985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32.219000000000001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8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8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8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9"/>
    </row>
    <row r="8" spans="1:12" x14ac:dyDescent="0.3">
      <c r="F8" s="107">
        <f>SUM(F2:F6)</f>
        <v>3990</v>
      </c>
      <c r="G8" s="107">
        <f>SUM(G2:G6)</f>
        <v>3990</v>
      </c>
      <c r="H8" s="129">
        <f t="shared" ref="H8:K8" si="0">SUM(H2:H2)</f>
        <v>32.219000000000001</v>
      </c>
      <c r="I8" s="129">
        <f t="shared" si="0"/>
        <v>31.252999999999997</v>
      </c>
      <c r="J8" s="129">
        <f t="shared" si="0"/>
        <v>0</v>
      </c>
      <c r="K8" s="130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8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8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8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8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8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8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8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8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8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8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9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9">
        <f t="shared" si="0"/>
        <v>1.6245000000000001</v>
      </c>
      <c r="I15" s="129">
        <f t="shared" si="0"/>
        <v>1.6245000000000001</v>
      </c>
      <c r="J15" s="129">
        <f t="shared" si="0"/>
        <v>1.6245000000000001</v>
      </c>
      <c r="K15" s="130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IFERROR(_xlfn.XLOOKUP(A2,diario!D:D,diario!M:M,"")*1000,"")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IFERROR(_xlfn.XLOOKUP(A3,diario!D:D,diario!M:M,"")*1000,"")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IFERROR(_xlfn.XLOOKUP(A4,diario!D:D,diario!M:M,"")*1000,"")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9">
        <f t="shared" si="0"/>
        <v>0</v>
      </c>
      <c r="I6" s="129">
        <f t="shared" si="0"/>
        <v>0</v>
      </c>
      <c r="J6" s="129">
        <f t="shared" si="0"/>
        <v>0</v>
      </c>
      <c r="K6" s="130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IFERROR(_xlfn.XLOOKUP(A2,diario!D:D,diario!M:M,"")*1000,"")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IFERROR(_xlfn.XLOOKUP(A3,diario!D:D,diario!M:M,"")*1000,"")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9">
        <f t="shared" si="0"/>
        <v>0</v>
      </c>
      <c r="I5" s="129">
        <f t="shared" si="0"/>
        <v>0</v>
      </c>
      <c r="J5" s="129">
        <f t="shared" si="0"/>
        <v>0</v>
      </c>
      <c r="K5" s="130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0" t="s">
        <v>261</v>
      </c>
      <c r="C2" s="46">
        <v>24000</v>
      </c>
      <c r="D2" s="47"/>
      <c r="E2" s="49"/>
      <c r="F2" s="341" t="s">
        <v>180</v>
      </c>
      <c r="G2" s="342">
        <f>+'Summary S01'!H43</f>
        <v>66.918000000000006</v>
      </c>
    </row>
    <row r="3" spans="1:7" x14ac:dyDescent="0.3">
      <c r="A3" s="45">
        <v>2</v>
      </c>
      <c r="B3" s="150" t="s">
        <v>217</v>
      </c>
      <c r="C3" s="46">
        <v>5872</v>
      </c>
      <c r="D3" s="47"/>
      <c r="F3" s="341" t="s">
        <v>181</v>
      </c>
      <c r="G3" s="342">
        <f>+'Summary S02'!H20</f>
        <v>32.987999999999992</v>
      </c>
    </row>
    <row r="4" spans="1:7" x14ac:dyDescent="0.3">
      <c r="A4" s="45">
        <v>3</v>
      </c>
      <c r="B4" s="150" t="s">
        <v>262</v>
      </c>
      <c r="C4" s="46">
        <v>5788</v>
      </c>
      <c r="D4" s="47"/>
      <c r="F4" s="341" t="s">
        <v>211</v>
      </c>
      <c r="G4" s="342">
        <f>+'Summary S03'!F48/1000</f>
        <v>44.517000000000003</v>
      </c>
    </row>
    <row r="5" spans="1:7" x14ac:dyDescent="0.3">
      <c r="A5" s="45">
        <v>4</v>
      </c>
      <c r="B5" s="150" t="s">
        <v>215</v>
      </c>
      <c r="C5" s="46">
        <v>1880</v>
      </c>
      <c r="D5" s="47"/>
      <c r="F5" s="341" t="s">
        <v>352</v>
      </c>
      <c r="G5" s="342">
        <f>+'Summary S04'!F8/1000</f>
        <v>3.99</v>
      </c>
    </row>
    <row r="6" spans="1:7" x14ac:dyDescent="0.3">
      <c r="A6" s="45">
        <v>5</v>
      </c>
      <c r="B6" s="150" t="s">
        <v>253</v>
      </c>
      <c r="C6" s="46">
        <v>1324</v>
      </c>
      <c r="D6" s="47"/>
      <c r="F6" s="341" t="s">
        <v>380</v>
      </c>
      <c r="G6" s="342">
        <f>+'Summary S06'!F15/1000</f>
        <v>1.6239000000000001</v>
      </c>
    </row>
    <row r="7" spans="1:7" x14ac:dyDescent="0.3">
      <c r="A7" s="45">
        <v>6</v>
      </c>
      <c r="B7" s="150" t="s">
        <v>263</v>
      </c>
      <c r="C7" s="46">
        <v>1100</v>
      </c>
      <c r="D7" s="47"/>
      <c r="F7" s="341" t="s">
        <v>272</v>
      </c>
      <c r="G7" s="342">
        <f>+'Summary S07'!F6/1000</f>
        <v>1.5489999999999999</v>
      </c>
    </row>
    <row r="8" spans="1:7" x14ac:dyDescent="0.3">
      <c r="A8" s="45">
        <v>7</v>
      </c>
      <c r="B8" s="150" t="s">
        <v>264</v>
      </c>
      <c r="C8" s="46">
        <v>2077</v>
      </c>
      <c r="D8" s="47"/>
      <c r="F8" s="341" t="s">
        <v>273</v>
      </c>
      <c r="G8" s="342">
        <f>+'Summary S08'!F5/1000</f>
        <v>3.524</v>
      </c>
    </row>
    <row r="9" spans="1:7" x14ac:dyDescent="0.3">
      <c r="A9" s="45">
        <v>8</v>
      </c>
      <c r="B9" s="165" t="s">
        <v>265</v>
      </c>
      <c r="C9" s="181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7" t="s">
        <v>266</v>
      </c>
      <c r="C10" s="181">
        <v>4300</v>
      </c>
      <c r="D10" s="47"/>
    </row>
    <row r="11" spans="1:7" x14ac:dyDescent="0.3">
      <c r="A11" s="45">
        <v>10</v>
      </c>
      <c r="B11" s="58" t="s">
        <v>267</v>
      </c>
      <c r="C11" s="181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1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1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1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1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1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1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1">
        <v>1830</v>
      </c>
      <c r="D18" s="47">
        <v>1222</v>
      </c>
    </row>
    <row r="19" spans="1:7" x14ac:dyDescent="0.3">
      <c r="A19" s="45">
        <v>18</v>
      </c>
      <c r="B19" s="166" t="s">
        <v>270</v>
      </c>
      <c r="C19" s="181">
        <v>27648</v>
      </c>
      <c r="D19" s="47">
        <v>27648</v>
      </c>
    </row>
    <row r="20" spans="1:7" x14ac:dyDescent="0.3">
      <c r="A20" s="45">
        <v>19</v>
      </c>
      <c r="B20" s="166" t="s">
        <v>271</v>
      </c>
      <c r="C20" s="181">
        <v>1197</v>
      </c>
      <c r="D20" s="47">
        <v>1190</v>
      </c>
    </row>
    <row r="21" spans="1:7" x14ac:dyDescent="0.3">
      <c r="A21" s="45">
        <v>20</v>
      </c>
      <c r="B21" s="166" t="s">
        <v>23</v>
      </c>
      <c r="C21" s="181">
        <v>2144</v>
      </c>
      <c r="D21" s="47">
        <v>2185</v>
      </c>
    </row>
    <row r="22" spans="1:7" x14ac:dyDescent="0.3">
      <c r="A22" s="45">
        <v>21</v>
      </c>
      <c r="B22" s="166" t="s">
        <v>24</v>
      </c>
      <c r="C22" s="181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592</v>
      </c>
      <c r="D3" s="496" t="s">
        <v>593</v>
      </c>
      <c r="E3" s="496" t="s">
        <v>594</v>
      </c>
      <c r="F3" s="496" t="s">
        <v>595</v>
      </c>
    </row>
    <row r="4" spans="2:6" ht="34.5" customHeight="1" x14ac:dyDescent="0.25">
      <c r="B4" s="500">
        <v>46294</v>
      </c>
      <c r="C4" s="497" t="s">
        <v>596</v>
      </c>
      <c r="D4" s="498" t="s">
        <v>597</v>
      </c>
      <c r="E4" s="499" t="s">
        <v>598</v>
      </c>
      <c r="F4" s="559" t="s">
        <v>649</v>
      </c>
    </row>
    <row r="5" spans="2:6" ht="34.5" customHeight="1" x14ac:dyDescent="0.25">
      <c r="B5" s="500">
        <v>46294</v>
      </c>
      <c r="C5" s="497" t="s">
        <v>599</v>
      </c>
      <c r="D5" s="498" t="s">
        <v>600</v>
      </c>
      <c r="E5" s="499" t="s">
        <v>598</v>
      </c>
      <c r="F5" s="559" t="s">
        <v>649</v>
      </c>
    </row>
    <row r="6" spans="2:6" ht="34.5" customHeight="1" x14ac:dyDescent="0.25">
      <c r="B6" s="500">
        <v>46297</v>
      </c>
      <c r="C6" s="497" t="s">
        <v>601</v>
      </c>
      <c r="D6" s="498" t="s">
        <v>602</v>
      </c>
      <c r="E6" s="499" t="s">
        <v>603</v>
      </c>
      <c r="F6" s="559" t="s">
        <v>649</v>
      </c>
    </row>
    <row r="7" spans="2:6" ht="34.5" customHeight="1" x14ac:dyDescent="0.25">
      <c r="B7" s="500">
        <v>46296</v>
      </c>
      <c r="C7" s="497" t="s">
        <v>604</v>
      </c>
      <c r="D7" s="498" t="s">
        <v>605</v>
      </c>
      <c r="E7" s="499" t="s">
        <v>603</v>
      </c>
      <c r="F7" s="559" t="s">
        <v>649</v>
      </c>
    </row>
    <row r="8" spans="2:6" ht="34.5" customHeight="1" x14ac:dyDescent="0.25">
      <c r="B8" s="500">
        <v>46294</v>
      </c>
      <c r="C8" s="497" t="s">
        <v>606</v>
      </c>
      <c r="D8" s="498" t="s">
        <v>607</v>
      </c>
      <c r="E8" s="499" t="s">
        <v>603</v>
      </c>
      <c r="F8" s="559" t="s">
        <v>649</v>
      </c>
    </row>
    <row r="9" spans="2:6" ht="34.5" customHeight="1" x14ac:dyDescent="0.25">
      <c r="B9" s="500">
        <v>46296</v>
      </c>
      <c r="C9" s="497" t="s">
        <v>608</v>
      </c>
      <c r="D9" s="498" t="s">
        <v>609</v>
      </c>
      <c r="E9" s="499" t="s">
        <v>610</v>
      </c>
      <c r="F9" s="559" t="s">
        <v>649</v>
      </c>
    </row>
    <row r="10" spans="2:6" ht="34.5" customHeight="1" x14ac:dyDescent="0.25">
      <c r="B10" s="500">
        <v>46297</v>
      </c>
      <c r="C10" s="497" t="s">
        <v>611</v>
      </c>
      <c r="D10" s="498" t="s">
        <v>612</v>
      </c>
      <c r="E10" s="499" t="s">
        <v>610</v>
      </c>
      <c r="F10" s="559" t="s">
        <v>649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2" customFormat="1" ht="77.25" customHeight="1" x14ac:dyDescent="0.25">
      <c r="B1" s="324">
        <v>2532.81</v>
      </c>
      <c r="C1" s="324">
        <v>3250.01</v>
      </c>
      <c r="D1" s="324">
        <v>985.32</v>
      </c>
      <c r="E1" s="324">
        <v>1062.92</v>
      </c>
      <c r="F1" s="324">
        <v>1337.25</v>
      </c>
      <c r="G1" s="324">
        <v>1581.21</v>
      </c>
      <c r="H1" s="324">
        <v>14521.41</v>
      </c>
      <c r="I1" s="325">
        <v>13555.63</v>
      </c>
      <c r="J1" s="324">
        <v>13555.63</v>
      </c>
      <c r="K1" s="325">
        <v>13696.28</v>
      </c>
      <c r="L1" s="324">
        <v>4658</v>
      </c>
      <c r="M1" s="324">
        <v>2257.42</v>
      </c>
      <c r="N1" s="324">
        <v>3540.12</v>
      </c>
      <c r="O1" s="324">
        <v>2646.28</v>
      </c>
      <c r="P1" s="324">
        <v>1970.65</v>
      </c>
      <c r="Q1" s="324">
        <v>7585.99</v>
      </c>
      <c r="R1" s="324">
        <v>1765.59</v>
      </c>
      <c r="S1" s="324">
        <v>1934.59</v>
      </c>
      <c r="T1" s="324">
        <v>1960.59</v>
      </c>
      <c r="U1" s="324">
        <v>2220.59</v>
      </c>
      <c r="V1" s="324">
        <v>2220.59</v>
      </c>
      <c r="W1" s="324">
        <v>2090.59</v>
      </c>
      <c r="X1" s="324">
        <v>2090.59</v>
      </c>
      <c r="Y1" s="324">
        <v>656</v>
      </c>
      <c r="Z1" s="324">
        <v>4676</v>
      </c>
      <c r="AA1" s="324">
        <v>4124.2700000000004</v>
      </c>
      <c r="AB1" s="324">
        <v>5020.99</v>
      </c>
      <c r="AC1" s="324">
        <v>3652.99</v>
      </c>
      <c r="AD1" s="324">
        <v>3201.98</v>
      </c>
      <c r="AE1" s="324">
        <v>6840</v>
      </c>
      <c r="AF1" s="324">
        <v>2052</v>
      </c>
      <c r="AG1" s="324">
        <v>3420</v>
      </c>
      <c r="AH1" s="324">
        <v>4212.3599999999997</v>
      </c>
      <c r="AI1" s="324">
        <v>1368</v>
      </c>
      <c r="AJ1" s="324">
        <v>7244.35</v>
      </c>
      <c r="AK1" s="324">
        <v>6977.93</v>
      </c>
      <c r="AL1" s="324">
        <v>8275.99</v>
      </c>
      <c r="AM1" s="324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2">
        <v>45901</v>
      </c>
      <c r="B3" s="231">
        <f>+SUMIFS(Tabla1[Avance_Med],Tabla1[Fecha],"&gt;="&amp;$A3,Tabla1[Fecha],"&lt;="&amp;EOMONTH($A3,0),Tabla1[Codigo_actividad],B$2)</f>
        <v>0</v>
      </c>
      <c r="C3" s="231">
        <f>+SUMIFS(Tabla1[Avance_Med],Tabla1[Fecha],"&gt;="&amp;$A3,Tabla1[Fecha],"&lt;="&amp;EOMONTH($A3,0),Tabla1[Codigo_actividad],C$2)</f>
        <v>0</v>
      </c>
      <c r="D3" s="231">
        <f>+SUMIFS(Tabla1[Avance_Med],Tabla1[Fecha],"&gt;="&amp;$A3,Tabla1[Fecha],"&lt;="&amp;EOMONTH($A3,0),Tabla1[Codigo_actividad],D$2)</f>
        <v>0</v>
      </c>
      <c r="E3" s="231">
        <f>+SUMIFS(Tabla1[Avance_Med],Tabla1[Fecha],"&gt;="&amp;$A3,Tabla1[Fecha],"&lt;="&amp;EOMONTH($A3,0),Tabla1[Codigo_actividad],E$2)</f>
        <v>0</v>
      </c>
      <c r="F3" s="231">
        <f>+SUMIFS(Tabla1[Avance_Med],Tabla1[Fecha],"&gt;="&amp;$A3,Tabla1[Fecha],"&lt;="&amp;EOMONTH($A3,0),Tabla1[Codigo_actividad],F$2)</f>
        <v>0</v>
      </c>
      <c r="G3" s="231">
        <f>+SUMIFS(Tabla1[Avance_Med],Tabla1[Fecha],"&gt;="&amp;$A3,Tabla1[Fecha],"&lt;="&amp;EOMONTH($A3,0),Tabla1[Codigo_actividad],G$2)</f>
        <v>0</v>
      </c>
      <c r="H3" s="231">
        <f>+SUMIFS(Tabla1[Avance_km],Tabla1[Fecha],"&gt;="&amp;$A3,Tabla1[Fecha],"&lt;="&amp;EOMONTH($A3,0),Tabla1[Codigo_actividad],H$2)</f>
        <v>0</v>
      </c>
      <c r="I3" s="231">
        <f>+SUMIFS(Tabla1[Avance_km],Tabla1[Fecha],"&gt;="&amp;$A3,Tabla1[Fecha],"&lt;="&amp;EOMONTH($A3,0),Tabla1[Codigo_actividad],I$2)</f>
        <v>0</v>
      </c>
      <c r="J3" s="231">
        <f>+SUMIFS(Tabla1[Avance_km],Tabla1[Fecha],"&gt;="&amp;$A3,Tabla1[Fecha],"&lt;="&amp;EOMONTH($A3,0),Tabla1[Codigo_actividad],J$2,Tabla1[Avance_km],"&gt;0")</f>
        <v>0</v>
      </c>
      <c r="K3" s="343">
        <f>+SUMIFS(Tabla1[Avance_km],Tabla1[Fecha],"&gt;="&amp;$A3,Tabla1[Fecha],"&lt;="&amp;EOMONTH($A3,0),Tabla1[Codigo_actividad],K$2)</f>
        <v>0</v>
      </c>
      <c r="L3" s="231">
        <f>+SUMIFS(Tabla1[Avance_Med],Tabla1[Fecha],"&gt;="&amp;$A3,Tabla1[Fecha],"&lt;="&amp;EOMONTH($A3,0),Tabla1[Codigo_actividad],L$2)</f>
        <v>0</v>
      </c>
      <c r="M3" s="231">
        <f>+SUMIFS(Tabla1[Avance_km],Tabla1[Fecha],"&gt;="&amp;$A3,Tabla1[Fecha],"&lt;="&amp;EOMONTH($A3,0),Tabla1[Codigo_actividad],M$2)</f>
        <v>0</v>
      </c>
      <c r="N3" s="231">
        <f>+SUMIFS(Tabla1[Avance_Med],Tabla1[Fecha],"&gt;="&amp;$A3,Tabla1[Fecha],"&lt;="&amp;EOMONTH($A3,0),Tabla1[Codigo_actividad],N$2)</f>
        <v>0</v>
      </c>
      <c r="O3" s="231">
        <f>+SUMIFS(Tabla1[Avance_Med],Tabla1[Fecha],"&gt;="&amp;$A3,Tabla1[Fecha],"&lt;="&amp;EOMONTH($A3,0),Tabla1[Codigo_actividad],O$2)</f>
        <v>0</v>
      </c>
      <c r="P3" s="231">
        <f>+SUMIFS(Tabla1[Avance_Med],Tabla1[Fecha],"&gt;="&amp;$A3,Tabla1[Fecha],"&lt;="&amp;EOMONTH($A3,0),Tabla1[Codigo_actividad],P$2)</f>
        <v>0</v>
      </c>
      <c r="Q3" s="231">
        <f>+SUMIFS(Tabla1[Avance_Med],Tabla1[Fecha],"&gt;="&amp;$A3,Tabla1[Fecha],"&lt;="&amp;EOMONTH($A3,0),Tabla1[Codigo_actividad],Q$2)</f>
        <v>0</v>
      </c>
      <c r="R3" s="231">
        <f>+SUMIFS(Tabla1[Avance_Med],Tabla1[Fecha],"&gt;="&amp;$A3,Tabla1[Fecha],"&lt;="&amp;EOMONTH($A3,0),Tabla1[Codigo_actividad],R$2)</f>
        <v>0</v>
      </c>
      <c r="S3" s="231">
        <f>+SUMIFS(Tabla1[Avance_Med],Tabla1[Fecha],"&gt;="&amp;$A3,Tabla1[Fecha],"&lt;="&amp;EOMONTH($A3,0),Tabla1[Codigo_actividad],S$2)</f>
        <v>0</v>
      </c>
      <c r="T3" s="231">
        <f>+SUMIFS(Tabla1[Avance_Med],Tabla1[Fecha],"&gt;="&amp;$A3,Tabla1[Fecha],"&lt;="&amp;EOMONTH($A3,0),Tabla1[Codigo_actividad],T$2)</f>
        <v>0</v>
      </c>
      <c r="U3" s="231">
        <f>+SUMIFS(Tabla1[Avance_Med],Tabla1[Fecha],"&gt;="&amp;$A3,Tabla1[Fecha],"&lt;="&amp;EOMONTH($A3,0),Tabla1[Codigo_actividad],U$2)</f>
        <v>0</v>
      </c>
      <c r="V3" s="231">
        <f>+SUMIFS(Tabla1[Avance_Med],Tabla1[Fecha],"&gt;="&amp;$A3,Tabla1[Fecha],"&lt;="&amp;EOMONTH($A3,0),Tabla1[Codigo_actividad],V$2)</f>
        <v>0</v>
      </c>
      <c r="W3" s="231">
        <f>+SUMIFS(Tabla1[Avance_Med],Tabla1[Fecha],"&gt;="&amp;$A3,Tabla1[Fecha],"&lt;="&amp;EOMONTH($A3,0),Tabla1[Codigo_actividad],W$2)</f>
        <v>0</v>
      </c>
      <c r="X3" s="231">
        <f>+SUMIFS(Tabla1[Avance_Med],Tabla1[Fecha],"&gt;="&amp;$A3,Tabla1[Fecha],"&lt;="&amp;EOMONTH($A3,0),Tabla1[Codigo_actividad],X$2)</f>
        <v>0</v>
      </c>
      <c r="Y3" s="231">
        <f>+SUMIFS(Tabla1[Avance_Med],Tabla1[Fecha],"&gt;="&amp;$A3,Tabla1[Fecha],"&lt;="&amp;EOMONTH($A3,0),Tabla1[Codigo_actividad],Y$2)</f>
        <v>0</v>
      </c>
      <c r="Z3" s="231">
        <f>+SUMIFS(Tabla1[Avance_Med],Tabla1[Fecha],"&gt;="&amp;$A3,Tabla1[Fecha],"&lt;="&amp;EOMONTH($A3,0),Tabla1[Codigo_actividad],Z$2)</f>
        <v>0</v>
      </c>
      <c r="AA3" s="231">
        <f>+SUMIFS(Tabla1[Avance_Med],Tabla1[Fecha],"&gt;="&amp;$A3,Tabla1[Fecha],"&lt;="&amp;EOMONTH($A3,0),Tabla1[Codigo_actividad],AA$2)</f>
        <v>0</v>
      </c>
      <c r="AB3" s="231">
        <f>+SUMIFS(Tabla1[Avance_Med],Tabla1[Fecha],"&gt;="&amp;$A3,Tabla1[Fecha],"&lt;="&amp;EOMONTH($A3,0),Tabla1[Codigo_actividad],AB$2)</f>
        <v>0</v>
      </c>
      <c r="AC3" s="231">
        <f>+SUMIFS(Tabla1[Avance_Med],Tabla1[Fecha],"&gt;="&amp;$A3,Tabla1[Fecha],"&lt;="&amp;EOMONTH($A3,0),Tabla1[Codigo_actividad],AC$2)</f>
        <v>0</v>
      </c>
      <c r="AD3" s="231">
        <f>+SUMIFS(Tabla1[Avance_Med],Tabla1[Fecha],"&gt;="&amp;$A3,Tabla1[Fecha],"&lt;="&amp;EOMONTH($A3,0),Tabla1[Codigo_actividad],AD$2)</f>
        <v>0</v>
      </c>
      <c r="AE3" s="231">
        <f>+SUMIFS(Tabla1[Avance_Med],Tabla1[Fecha],"&gt;="&amp;$A3,Tabla1[Fecha],"&lt;="&amp;EOMONTH($A3,0),Tabla1[Codigo_actividad],AE$2)</f>
        <v>0</v>
      </c>
      <c r="AF3" s="231">
        <f>+SUMIFS(Tabla1[Avance_Med],Tabla1[Fecha],"&gt;="&amp;$A3,Tabla1[Fecha],"&lt;="&amp;EOMONTH($A3,0),Tabla1[Codigo_actividad],AF$2)</f>
        <v>0</v>
      </c>
      <c r="AG3" s="231">
        <f>+SUMIFS(Tabla1[Avance_Med],Tabla1[Fecha],"&gt;="&amp;$A3,Tabla1[Fecha],"&lt;="&amp;EOMONTH($A3,0),Tabla1[Codigo_actividad],AG$2)</f>
        <v>0</v>
      </c>
      <c r="AH3" s="231">
        <f>+SUMIFS(Tabla1[Avance_Med],Tabla1[Fecha],"&gt;="&amp;$A3,Tabla1[Fecha],"&lt;="&amp;EOMONTH($A3,0),Tabla1[Codigo_actividad],AH$2)</f>
        <v>0</v>
      </c>
      <c r="AI3" s="231">
        <f>+SUMIFS(Tabla1[Avance_Med],Tabla1[Fecha],"&gt;="&amp;$A3,Tabla1[Fecha],"&lt;="&amp;EOMONTH($A3,0),Tabla1[Codigo_actividad],AI$2)</f>
        <v>0</v>
      </c>
      <c r="AJ3" s="231">
        <f>+SUMIFS(Tabla1[Avance_Med],Tabla1[Fecha],"&gt;="&amp;$A3,Tabla1[Fecha],"&lt;="&amp;EOMONTH($A3,0),Tabla1[Codigo_actividad],AJ$2)</f>
        <v>0</v>
      </c>
      <c r="AK3" s="231">
        <f>+SUMIFS(Tabla1[Avance_Med],Tabla1[Fecha],"&gt;="&amp;$A3,Tabla1[Fecha],"&lt;="&amp;EOMONTH($A3,0),Tabla1[Codigo_actividad],AK$2)</f>
        <v>0</v>
      </c>
      <c r="AL3" s="231">
        <f>+SUMIFS(Tabla1[Avance_Med],Tabla1[Fecha],"&gt;="&amp;$A3,Tabla1[Fecha],"&lt;="&amp;EOMONTH($A3,0),Tabla1[Codigo_actividad],AL$2)</f>
        <v>0</v>
      </c>
      <c r="AM3" s="231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2">
        <v>45931</v>
      </c>
      <c r="B4" s="231">
        <f>+SUMIFS(Tabla1[Avance_Med],Tabla1[Fecha],"&gt;="&amp;$A4,Tabla1[Fecha],"&lt;="&amp;EOMONTH($A4,0),Tabla1[Codigo_actividad],B$2)</f>
        <v>0</v>
      </c>
      <c r="C4" s="231">
        <f>+SUMIFS(Tabla1[Avance_Med],Tabla1[Fecha],"&gt;="&amp;$A4,Tabla1[Fecha],"&lt;="&amp;EOMONTH($A4,0),Tabla1[Codigo_actividad],C$2)</f>
        <v>0</v>
      </c>
      <c r="D4" s="231">
        <f>+SUMIFS(Tabla1[Avance_Med],Tabla1[Fecha],"&gt;="&amp;$A4,Tabla1[Fecha],"&lt;="&amp;EOMONTH($A4,0),Tabla1[Codigo_actividad],D$2)</f>
        <v>0</v>
      </c>
      <c r="E4" s="231">
        <f>+SUMIFS(Tabla1[Avance_Med],Tabla1[Fecha],"&gt;="&amp;$A4,Tabla1[Fecha],"&lt;="&amp;EOMONTH($A4,0),Tabla1[Codigo_actividad],E$2)</f>
        <v>0</v>
      </c>
      <c r="F4" s="231">
        <f>+SUMIFS(Tabla1[Avance_Med],Tabla1[Fecha],"&gt;="&amp;$A4,Tabla1[Fecha],"&lt;="&amp;EOMONTH($A4,0),Tabla1[Codigo_actividad],F$2)</f>
        <v>0</v>
      </c>
      <c r="G4" s="231">
        <f>+SUMIFS(Tabla1[Avance_Med],Tabla1[Fecha],"&gt;="&amp;$A4,Tabla1[Fecha],"&lt;="&amp;EOMONTH($A4,0),Tabla1[Codigo_actividad],G$2)</f>
        <v>0</v>
      </c>
      <c r="H4" s="231">
        <f>+SUMIFS(Tabla1[Avance_km],Tabla1[Fecha],"&gt;="&amp;$A4,Tabla1[Fecha],"&lt;="&amp;EOMONTH($A4,0),Tabla1[Codigo_actividad],H$2)</f>
        <v>0</v>
      </c>
      <c r="I4" s="231">
        <f>+SUMIFS(Tabla1[Avance_km],Tabla1[Fecha],"&gt;="&amp;$A4,Tabla1[Fecha],"&lt;="&amp;EOMONTH($A4,0),Tabla1[Codigo_actividad],I$2)</f>
        <v>0</v>
      </c>
      <c r="J4" s="231">
        <f>+SUMIFS(Tabla1[Avance_km],Tabla1[Fecha],"&gt;="&amp;$A4,Tabla1[Fecha],"&lt;="&amp;EOMONTH($A4,0),Tabla1[Codigo_actividad],J$2,Tabla1[Avance_km],"&gt;0")</f>
        <v>0</v>
      </c>
      <c r="K4" s="343">
        <f>+SUMIFS(Tabla1[Avance_km],Tabla1[Fecha],"&gt;="&amp;$A4,Tabla1[Fecha],"&lt;="&amp;EOMONTH($A4,0),Tabla1[Codigo_actividad],K$2)</f>
        <v>0</v>
      </c>
      <c r="L4" s="231">
        <f>+SUMIFS(Tabla1[Avance_Med],Tabla1[Fecha],"&gt;="&amp;$A4,Tabla1[Fecha],"&lt;="&amp;EOMONTH($A4,0),Tabla1[Codigo_actividad],L$2)</f>
        <v>0</v>
      </c>
      <c r="M4" s="231">
        <f>+SUMIFS(Tabla1[Avance_km],Tabla1[Fecha],"&gt;="&amp;$A4,Tabla1[Fecha],"&lt;="&amp;EOMONTH($A4,0),Tabla1[Codigo_actividad],M$2)</f>
        <v>0</v>
      </c>
      <c r="N4" s="231">
        <f>+SUMIFS(Tabla1[Avance_Med],Tabla1[Fecha],"&gt;="&amp;$A4,Tabla1[Fecha],"&lt;="&amp;EOMONTH($A4,0),Tabla1[Codigo_actividad],N$2)</f>
        <v>0</v>
      </c>
      <c r="O4" s="231">
        <f>+SUMIFS(Tabla1[Avance_Med],Tabla1[Fecha],"&gt;="&amp;$A4,Tabla1[Fecha],"&lt;="&amp;EOMONTH($A4,0),Tabla1[Codigo_actividad],O$2)</f>
        <v>0</v>
      </c>
      <c r="P4" s="231">
        <f>+SUMIFS(Tabla1[Avance_Med],Tabla1[Fecha],"&gt;="&amp;$A4,Tabla1[Fecha],"&lt;="&amp;EOMONTH($A4,0),Tabla1[Codigo_actividad],P$2)</f>
        <v>0</v>
      </c>
      <c r="Q4" s="231">
        <f>+SUMIFS(Tabla1[Avance_Med],Tabla1[Fecha],"&gt;="&amp;$A4,Tabla1[Fecha],"&lt;="&amp;EOMONTH($A4,0),Tabla1[Codigo_actividad],Q$2)</f>
        <v>0</v>
      </c>
      <c r="R4" s="231">
        <f>+SUMIFS(Tabla1[Avance_Med],Tabla1[Fecha],"&gt;="&amp;$A4,Tabla1[Fecha],"&lt;="&amp;EOMONTH($A4,0),Tabla1[Codigo_actividad],R$2)</f>
        <v>0</v>
      </c>
      <c r="S4" s="231">
        <f>+SUMIFS(Tabla1[Avance_Med],Tabla1[Fecha],"&gt;="&amp;$A4,Tabla1[Fecha],"&lt;="&amp;EOMONTH($A4,0),Tabla1[Codigo_actividad],S$2)</f>
        <v>0</v>
      </c>
      <c r="T4" s="231">
        <f>+SUMIFS(Tabla1[Avance_Med],Tabla1[Fecha],"&gt;="&amp;$A4,Tabla1[Fecha],"&lt;="&amp;EOMONTH($A4,0),Tabla1[Codigo_actividad],T$2)</f>
        <v>0</v>
      </c>
      <c r="U4" s="231">
        <f>+SUMIFS(Tabla1[Avance_Med],Tabla1[Fecha],"&gt;="&amp;$A4,Tabla1[Fecha],"&lt;="&amp;EOMONTH($A4,0),Tabla1[Codigo_actividad],U$2)</f>
        <v>0</v>
      </c>
      <c r="V4" s="231">
        <f>+SUMIFS(Tabla1[Avance_Med],Tabla1[Fecha],"&gt;="&amp;$A4,Tabla1[Fecha],"&lt;="&amp;EOMONTH($A4,0),Tabla1[Codigo_actividad],V$2)</f>
        <v>0</v>
      </c>
      <c r="W4" s="231">
        <f>+SUMIFS(Tabla1[Avance_Med],Tabla1[Fecha],"&gt;="&amp;$A4,Tabla1[Fecha],"&lt;="&amp;EOMONTH($A4,0),Tabla1[Codigo_actividad],W$2)</f>
        <v>0</v>
      </c>
      <c r="X4" s="231">
        <f>+SUMIFS(Tabla1[Avance_Med],Tabla1[Fecha],"&gt;="&amp;$A4,Tabla1[Fecha],"&lt;="&amp;EOMONTH($A4,0),Tabla1[Codigo_actividad],X$2)</f>
        <v>0</v>
      </c>
      <c r="Y4" s="231">
        <f>+SUMIFS(Tabla1[Avance_Med],Tabla1[Fecha],"&gt;="&amp;$A4,Tabla1[Fecha],"&lt;="&amp;EOMONTH($A4,0),Tabla1[Codigo_actividad],Y$2)</f>
        <v>0</v>
      </c>
      <c r="Z4" s="231">
        <f>+SUMIFS(Tabla1[Avance_Med],Tabla1[Fecha],"&gt;="&amp;$A4,Tabla1[Fecha],"&lt;="&amp;EOMONTH($A4,0),Tabla1[Codigo_actividad],Z$2)</f>
        <v>0</v>
      </c>
      <c r="AA4" s="231">
        <f>+SUMIFS(Tabla1[Avance_Med],Tabla1[Fecha],"&gt;="&amp;$A4,Tabla1[Fecha],"&lt;="&amp;EOMONTH($A4,0),Tabla1[Codigo_actividad],AA$2)</f>
        <v>0</v>
      </c>
      <c r="AB4" s="231">
        <f>+SUMIFS(Tabla1[Avance_Med],Tabla1[Fecha],"&gt;="&amp;$A4,Tabla1[Fecha],"&lt;="&amp;EOMONTH($A4,0),Tabla1[Codigo_actividad],AB$2)</f>
        <v>0</v>
      </c>
      <c r="AC4" s="231">
        <f>+SUMIFS(Tabla1[Avance_Med],Tabla1[Fecha],"&gt;="&amp;$A4,Tabla1[Fecha],"&lt;="&amp;EOMONTH($A4,0),Tabla1[Codigo_actividad],AC$2)</f>
        <v>0</v>
      </c>
      <c r="AD4" s="231">
        <f>+SUMIFS(Tabla1[Avance_Med],Tabla1[Fecha],"&gt;="&amp;$A4,Tabla1[Fecha],"&lt;="&amp;EOMONTH($A4,0),Tabla1[Codigo_actividad],AD$2)</f>
        <v>0</v>
      </c>
      <c r="AE4" s="231">
        <f>+SUMIFS(Tabla1[Avance_Med],Tabla1[Fecha],"&gt;="&amp;$A4,Tabla1[Fecha],"&lt;="&amp;EOMONTH($A4,0),Tabla1[Codigo_actividad],AE$2)</f>
        <v>0</v>
      </c>
      <c r="AF4" s="231">
        <f>+SUMIFS(Tabla1[Avance_Med],Tabla1[Fecha],"&gt;="&amp;$A4,Tabla1[Fecha],"&lt;="&amp;EOMONTH($A4,0),Tabla1[Codigo_actividad],AF$2)</f>
        <v>0</v>
      </c>
      <c r="AG4" s="231">
        <f>+SUMIFS(Tabla1[Avance_Med],Tabla1[Fecha],"&gt;="&amp;$A4,Tabla1[Fecha],"&lt;="&amp;EOMONTH($A4,0),Tabla1[Codigo_actividad],AG$2)</f>
        <v>0</v>
      </c>
      <c r="AH4" s="231">
        <f>+SUMIFS(Tabla1[Avance_Med],Tabla1[Fecha],"&gt;="&amp;$A4,Tabla1[Fecha],"&lt;="&amp;EOMONTH($A4,0),Tabla1[Codigo_actividad],AH$2)</f>
        <v>0</v>
      </c>
      <c r="AI4" s="231">
        <f>+SUMIFS(Tabla1[Avance_Med],Tabla1[Fecha],"&gt;="&amp;$A4,Tabla1[Fecha],"&lt;="&amp;EOMONTH($A4,0),Tabla1[Codigo_actividad],AI$2)</f>
        <v>0</v>
      </c>
      <c r="AJ4" s="231">
        <f>+SUMIFS(Tabla1[Avance_Med],Tabla1[Fecha],"&gt;="&amp;$A4,Tabla1[Fecha],"&lt;="&amp;EOMONTH($A4,0),Tabla1[Codigo_actividad],AJ$2)</f>
        <v>0</v>
      </c>
      <c r="AK4" s="231">
        <f>+SUMIFS(Tabla1[Avance_Med],Tabla1[Fecha],"&gt;="&amp;$A4,Tabla1[Fecha],"&lt;="&amp;EOMONTH($A4,0),Tabla1[Codigo_actividad],AK$2)</f>
        <v>0</v>
      </c>
      <c r="AL4" s="231">
        <f>+SUMIFS(Tabla1[Avance_Med],Tabla1[Fecha],"&gt;="&amp;$A4,Tabla1[Fecha],"&lt;="&amp;EOMONTH($A4,0),Tabla1[Codigo_actividad],AL$2)</f>
        <v>0</v>
      </c>
      <c r="AM4" s="231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2">
        <v>45962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+SUMIFS(Tabla1[Avance_km],Tabla1[Fecha],"&gt;="&amp;$A5,Tabla1[Fecha],"&lt;="&amp;EOMONTH($A5,0),Tabla1[Codigo_actividad],H$2)</f>
        <v>31.548999999999999</v>
      </c>
      <c r="I5" s="231">
        <f>+SUMIFS(Tabla1[Avance_km],Tabla1[Fecha],"&gt;="&amp;$A5,Tabla1[Fecha],"&lt;="&amp;EOMONTH($A5,0),Tabla1[Codigo_actividad],I$2)</f>
        <v>0</v>
      </c>
      <c r="J5" s="231">
        <f>+SUMIFS(Tabla1[Avance_km],Tabla1[Fecha],"&gt;="&amp;$A5,Tabla1[Fecha],"&lt;="&amp;EOMONTH($A5,0),Tabla1[Codigo_actividad],J$2,Tabla1[Avance_km],"&gt;0")</f>
        <v>53.048999999999999</v>
      </c>
      <c r="K5" s="343">
        <f>+SUMIFS(Tabla1[Avance_km],Tabla1[Fecha],"&gt;="&amp;$A5,Tabla1[Fecha],"&lt;="&amp;EOMONTH($A5,0),Tabla1[Codigo_actividad],K$2)</f>
        <v>0</v>
      </c>
      <c r="L5" s="231">
        <f>+SUMIFS(Tabla1[Avance_Med],Tabla1[Fecha],"&gt;="&amp;$A5,Tabla1[Fecha],"&lt;="&amp;EOMONTH($A5,0),Tabla1[Codigo_actividad],L$2)</f>
        <v>98</v>
      </c>
      <c r="M5" s="231">
        <f>+SUMIFS(Tabla1[Avance_km],Tabla1[Fecha],"&gt;="&amp;$A5,Tabla1[Fecha],"&lt;="&amp;EOMONTH($A5,0),Tabla1[Codigo_actividad],M$2)</f>
        <v>72.02200000000002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1">
        <f>+SUMIFS(Tabla1[Avance_Med],Tabla1[Fecha],"&gt;="&amp;$A5,Tabla1[Fecha],"&lt;="&amp;EOMONTH($A5,0),Tabla1[Codigo_actividad],Q$2)</f>
        <v>0</v>
      </c>
      <c r="R5" s="231">
        <f>+SUMIFS(Tabla1[Avance_Med],Tabla1[Fecha],"&gt;="&amp;$A5,Tabla1[Fecha],"&lt;="&amp;EOMONTH($A5,0),Tabla1[Codigo_actividad],R$2)</f>
        <v>0</v>
      </c>
      <c r="S5" s="231">
        <f>+SUMIFS(Tabla1[Avance_Med],Tabla1[Fecha],"&gt;="&amp;$A5,Tabla1[Fecha],"&lt;="&amp;EOMONTH($A5,0),Tabla1[Codigo_actividad],S$2)</f>
        <v>0</v>
      </c>
      <c r="T5" s="231">
        <f>+SUMIFS(Tabla1[Avance_Med],Tabla1[Fecha],"&gt;="&amp;$A5,Tabla1[Fecha],"&lt;="&amp;EOMONTH($A5,0),Tabla1[Codigo_actividad],T$2)</f>
        <v>0</v>
      </c>
      <c r="U5" s="231">
        <f>+SUMIFS(Tabla1[Avance_Med],Tabla1[Fecha],"&gt;="&amp;$A5,Tabla1[Fecha],"&lt;="&amp;EOMONTH($A5,0),Tabla1[Codigo_actividad],U$2)</f>
        <v>0</v>
      </c>
      <c r="V5" s="231">
        <f>+SUMIFS(Tabla1[Avance_Med],Tabla1[Fecha],"&gt;="&amp;$A5,Tabla1[Fecha],"&lt;="&amp;EOMONTH($A5,0),Tabla1[Codigo_actividad],V$2)</f>
        <v>0</v>
      </c>
      <c r="W5" s="231">
        <f>+SUMIFS(Tabla1[Avance_Med],Tabla1[Fecha],"&gt;="&amp;$A5,Tabla1[Fecha],"&lt;="&amp;EOMONTH($A5,0),Tabla1[Codigo_actividad],W$2)</f>
        <v>0</v>
      </c>
      <c r="X5" s="231">
        <f>+SUMIFS(Tabla1[Avance_Med],Tabla1[Fecha],"&gt;="&amp;$A5,Tabla1[Fecha],"&lt;="&amp;EOMONTH($A5,0),Tabla1[Codigo_actividad],X$2)</f>
        <v>0</v>
      </c>
      <c r="Y5" s="231">
        <f>+SUMIFS(Tabla1[Avance_Med],Tabla1[Fecha],"&gt;="&amp;$A5,Tabla1[Fecha],"&lt;="&amp;EOMONTH($A5,0),Tabla1[Codigo_actividad],Y$2)</f>
        <v>0</v>
      </c>
      <c r="Z5" s="231">
        <f>+SUMIFS(Tabla1[Avance_Med],Tabla1[Fecha],"&gt;="&amp;$A5,Tabla1[Fecha],"&lt;="&amp;EOMONTH($A5,0),Tabla1[Codigo_actividad],Z$2)</f>
        <v>0</v>
      </c>
      <c r="AA5" s="231">
        <f>+SUMIFS(Tabla1[Avance_Med],Tabla1[Fecha],"&gt;="&amp;$A5,Tabla1[Fecha],"&lt;="&amp;EOMONTH($A5,0),Tabla1[Codigo_actividad],AA$2)</f>
        <v>0</v>
      </c>
      <c r="AB5" s="231">
        <f>+SUMIFS(Tabla1[Avance_Med],Tabla1[Fecha],"&gt;="&amp;$A5,Tabla1[Fecha],"&lt;="&amp;EOMONTH($A5,0),Tabla1[Codigo_actividad],AB$2)</f>
        <v>0</v>
      </c>
      <c r="AC5" s="231">
        <f>+SUMIFS(Tabla1[Avance_Med],Tabla1[Fecha],"&gt;="&amp;$A5,Tabla1[Fecha],"&lt;="&amp;EOMONTH($A5,0),Tabla1[Codigo_actividad],AC$2)</f>
        <v>0</v>
      </c>
      <c r="AD5" s="231">
        <f>+SUMIFS(Tabla1[Avance_Med],Tabla1[Fecha],"&gt;="&amp;$A5,Tabla1[Fecha],"&lt;="&amp;EOMONTH($A5,0),Tabla1[Codigo_actividad],AD$2)</f>
        <v>0</v>
      </c>
      <c r="AE5" s="231">
        <f>+SUMIFS(Tabla1[Avance_Med],Tabla1[Fecha],"&gt;="&amp;$A5,Tabla1[Fecha],"&lt;="&amp;EOMONTH($A5,0),Tabla1[Codigo_actividad],AE$2)</f>
        <v>0</v>
      </c>
      <c r="AF5" s="231">
        <f>+SUMIFS(Tabla1[Avance_Med],Tabla1[Fecha],"&gt;="&amp;$A5,Tabla1[Fecha],"&lt;="&amp;EOMONTH($A5,0),Tabla1[Codigo_actividad],AF$2)</f>
        <v>0</v>
      </c>
      <c r="AG5" s="231">
        <f>+SUMIFS(Tabla1[Avance_Med],Tabla1[Fecha],"&gt;="&amp;$A5,Tabla1[Fecha],"&lt;="&amp;EOMONTH($A5,0),Tabla1[Codigo_actividad],AG$2)</f>
        <v>0</v>
      </c>
      <c r="AH5" s="231">
        <f>+SUMIFS(Tabla1[Avance_Med],Tabla1[Fecha],"&gt;="&amp;$A5,Tabla1[Fecha],"&lt;="&amp;EOMONTH($A5,0),Tabla1[Codigo_actividad],AH$2)</f>
        <v>0</v>
      </c>
      <c r="AI5" s="231">
        <f>+SUMIFS(Tabla1[Avance_Med],Tabla1[Fecha],"&gt;="&amp;$A5,Tabla1[Fecha],"&lt;="&amp;EOMONTH($A5,0),Tabla1[Codigo_actividad],AI$2)</f>
        <v>0</v>
      </c>
      <c r="AJ5" s="231">
        <f>+SUMIFS(Tabla1[Avance_Med],Tabla1[Fecha],"&gt;="&amp;$A5,Tabla1[Fecha],"&lt;="&amp;EOMONTH($A5,0),Tabla1[Codigo_actividad],AJ$2)</f>
        <v>0</v>
      </c>
      <c r="AK5" s="231">
        <f>+SUMIFS(Tabla1[Avance_Med],Tabla1[Fecha],"&gt;="&amp;$A5,Tabla1[Fecha],"&lt;="&amp;EOMONTH($A5,0),Tabla1[Codigo_actividad],AK$2)</f>
        <v>0</v>
      </c>
      <c r="AL5" s="231">
        <f>+SUMIFS(Tabla1[Avance_Med],Tabla1[Fecha],"&gt;="&amp;$A5,Tabla1[Fecha],"&lt;="&amp;EOMONTH($A5,0),Tabla1[Codigo_actividad],AL$2)</f>
        <v>0</v>
      </c>
      <c r="AM5" s="231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2">
        <v>45992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+SUMIFS(Tabla1[Avance_km],Tabla1[Fecha],"&gt;="&amp;$A6,Tabla1[Fecha],"&lt;="&amp;EOMONTH($A6,0),Tabla1[Codigo_actividad],H$2)</f>
        <v>31.517000000000003</v>
      </c>
      <c r="I6" s="231">
        <f>+SUMIFS(Tabla1[Avance_km],Tabla1[Fecha],"&gt;="&amp;$A6,Tabla1[Fecha],"&lt;="&amp;EOMONTH($A6,0),Tabla1[Codigo_actividad],I$2)</f>
        <v>0</v>
      </c>
      <c r="J6" s="231">
        <f>+SUMIFS(Tabla1[Avance_km],Tabla1[Fecha],"&gt;="&amp;$A6,Tabla1[Fecha],"&lt;="&amp;EOMONTH($A6,0),Tabla1[Codigo_actividad],J$2,Tabla1[Avance_km],"&gt;0")</f>
        <v>31.543999999999993</v>
      </c>
      <c r="K6" s="343">
        <f>+SUMIFS(Tabla1[Avance_km],Tabla1[Fecha],"&gt;="&amp;$A6,Tabla1[Fecha],"&lt;="&amp;EOMONTH($A6,0),Tabla1[Codigo_actividad],K$2)</f>
        <v>0</v>
      </c>
      <c r="L6" s="231">
        <f>+SUMIFS(Tabla1[Avance_Med],Tabla1[Fecha],"&gt;="&amp;$A6,Tabla1[Fecha],"&lt;="&amp;EOMONTH($A6,0),Tabla1[Codigo_actividad],L$2)</f>
        <v>130</v>
      </c>
      <c r="M6" s="231">
        <f>+SUMIFS(Tabla1[Avance_km],Tabla1[Fecha],"&gt;="&amp;$A6,Tabla1[Fecha],"&lt;="&amp;EOMONTH($A6,0),Tabla1[Codigo_actividad],M$2)</f>
        <v>21.183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1">
        <f>+SUMIFS(Tabla1[Avance_Med],Tabla1[Fecha],"&gt;="&amp;$A6,Tabla1[Fecha],"&lt;="&amp;EOMONTH($A6,0),Tabla1[Codigo_actividad],Q$2)</f>
        <v>0</v>
      </c>
      <c r="R6" s="231">
        <f>+SUMIFS(Tabla1[Avance_Med],Tabla1[Fecha],"&gt;="&amp;$A6,Tabla1[Fecha],"&lt;="&amp;EOMONTH($A6,0),Tabla1[Codigo_actividad],R$2)</f>
        <v>0</v>
      </c>
      <c r="S6" s="231">
        <f>+SUMIFS(Tabla1[Avance_Med],Tabla1[Fecha],"&gt;="&amp;$A6,Tabla1[Fecha],"&lt;="&amp;EOMONTH($A6,0),Tabla1[Codigo_actividad],S$2)</f>
        <v>0</v>
      </c>
      <c r="T6" s="231">
        <f>+SUMIFS(Tabla1[Avance_Med],Tabla1[Fecha],"&gt;="&amp;$A6,Tabla1[Fecha],"&lt;="&amp;EOMONTH($A6,0),Tabla1[Codigo_actividad],T$2)</f>
        <v>0</v>
      </c>
      <c r="U6" s="231">
        <f>+SUMIFS(Tabla1[Avance_Med],Tabla1[Fecha],"&gt;="&amp;$A6,Tabla1[Fecha],"&lt;="&amp;EOMONTH($A6,0),Tabla1[Codigo_actividad],U$2)</f>
        <v>0</v>
      </c>
      <c r="V6" s="231">
        <f>+SUMIFS(Tabla1[Avance_Med],Tabla1[Fecha],"&gt;="&amp;$A6,Tabla1[Fecha],"&lt;="&amp;EOMONTH($A6,0),Tabla1[Codigo_actividad],V$2)</f>
        <v>0</v>
      </c>
      <c r="W6" s="231">
        <f>+SUMIFS(Tabla1[Avance_Med],Tabla1[Fecha],"&gt;="&amp;$A6,Tabla1[Fecha],"&lt;="&amp;EOMONTH($A6,0),Tabla1[Codigo_actividad],W$2)</f>
        <v>0</v>
      </c>
      <c r="X6" s="231">
        <f>+SUMIFS(Tabla1[Avance_Med],Tabla1[Fecha],"&gt;="&amp;$A6,Tabla1[Fecha],"&lt;="&amp;EOMONTH($A6,0),Tabla1[Codigo_actividad],X$2)</f>
        <v>0</v>
      </c>
      <c r="Y6" s="231">
        <f>+SUMIFS(Tabla1[Avance_Med],Tabla1[Fecha],"&gt;="&amp;$A6,Tabla1[Fecha],"&lt;="&amp;EOMONTH($A6,0),Tabla1[Codigo_actividad],Y$2)</f>
        <v>0</v>
      </c>
      <c r="Z6" s="231">
        <f>+SUMIFS(Tabla1[Avance_Med],Tabla1[Fecha],"&gt;="&amp;$A6,Tabla1[Fecha],"&lt;="&amp;EOMONTH($A6,0),Tabla1[Codigo_actividad],Z$2)</f>
        <v>0</v>
      </c>
      <c r="AA6" s="231">
        <f>+SUMIFS(Tabla1[Avance_Med],Tabla1[Fecha],"&gt;="&amp;$A6,Tabla1[Fecha],"&lt;="&amp;EOMONTH($A6,0),Tabla1[Codigo_actividad],AA$2)</f>
        <v>0</v>
      </c>
      <c r="AB6" s="231">
        <f>+SUMIFS(Tabla1[Avance_Med],Tabla1[Fecha],"&gt;="&amp;$A6,Tabla1[Fecha],"&lt;="&amp;EOMONTH($A6,0),Tabla1[Codigo_actividad],AB$2)</f>
        <v>0</v>
      </c>
      <c r="AC6" s="231">
        <f>+SUMIFS(Tabla1[Avance_Med],Tabla1[Fecha],"&gt;="&amp;$A6,Tabla1[Fecha],"&lt;="&amp;EOMONTH($A6,0),Tabla1[Codigo_actividad],AC$2)</f>
        <v>0</v>
      </c>
      <c r="AD6" s="231">
        <f>+SUMIFS(Tabla1[Avance_Med],Tabla1[Fecha],"&gt;="&amp;$A6,Tabla1[Fecha],"&lt;="&amp;EOMONTH($A6,0),Tabla1[Codigo_actividad],AD$2)</f>
        <v>0</v>
      </c>
      <c r="AE6" s="231">
        <f>+SUMIFS(Tabla1[Avance_Med],Tabla1[Fecha],"&gt;="&amp;$A6,Tabla1[Fecha],"&lt;="&amp;EOMONTH($A6,0),Tabla1[Codigo_actividad],AE$2)</f>
        <v>0</v>
      </c>
      <c r="AF6" s="231">
        <f>+SUMIFS(Tabla1[Avance_Med],Tabla1[Fecha],"&gt;="&amp;$A6,Tabla1[Fecha],"&lt;="&amp;EOMONTH($A6,0),Tabla1[Codigo_actividad],AF$2)</f>
        <v>0</v>
      </c>
      <c r="AG6" s="231">
        <f>+SUMIFS(Tabla1[Avance_Med],Tabla1[Fecha],"&gt;="&amp;$A6,Tabla1[Fecha],"&lt;="&amp;EOMONTH($A6,0),Tabla1[Codigo_actividad],AG$2)</f>
        <v>0</v>
      </c>
      <c r="AH6" s="231">
        <f>+SUMIFS(Tabla1[Avance_Med],Tabla1[Fecha],"&gt;="&amp;$A6,Tabla1[Fecha],"&lt;="&amp;EOMONTH($A6,0),Tabla1[Codigo_actividad],AH$2)</f>
        <v>0</v>
      </c>
      <c r="AI6" s="231">
        <f>+SUMIFS(Tabla1[Avance_Med],Tabla1[Fecha],"&gt;="&amp;$A6,Tabla1[Fecha],"&lt;="&amp;EOMONTH($A6,0),Tabla1[Codigo_actividad],AI$2)</f>
        <v>0</v>
      </c>
      <c r="AJ6" s="231">
        <f>+SUMIFS(Tabla1[Avance_Med],Tabla1[Fecha],"&gt;="&amp;$A6,Tabla1[Fecha],"&lt;="&amp;EOMONTH($A6,0),Tabla1[Codigo_actividad],AJ$2)</f>
        <v>0</v>
      </c>
      <c r="AK6" s="231">
        <f>+SUMIFS(Tabla1[Avance_Med],Tabla1[Fecha],"&gt;="&amp;$A6,Tabla1[Fecha],"&lt;="&amp;EOMONTH($A6,0),Tabla1[Codigo_actividad],AK$2)</f>
        <v>0</v>
      </c>
      <c r="AL6" s="231">
        <f>+SUMIFS(Tabla1[Avance_Med],Tabla1[Fecha],"&gt;="&amp;$A6,Tabla1[Fecha],"&lt;="&amp;EOMONTH($A6,0),Tabla1[Codigo_actividad],AL$2)</f>
        <v>0</v>
      </c>
      <c r="AM6" s="231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2">
        <v>46023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+SUMIFS(Tabla1[Avance_km],Tabla1[Fecha],"&gt;="&amp;$A7,Tabla1[Fecha],"&lt;="&amp;EOMONTH($A7,0),Tabla1[Codigo_actividad],H$2)</f>
        <v>36.840000000000011</v>
      </c>
      <c r="I7" s="231">
        <f>+SUMIFS(Tabla1[Avance_km],Tabla1[Fecha],"&gt;="&amp;$A7,Tabla1[Fecha],"&lt;="&amp;EOMONTH($A7,0),Tabla1[Codigo_actividad],I$2)</f>
        <v>0</v>
      </c>
      <c r="J7" s="231">
        <f>+SUMIFS(Tabla1[Avance_km],Tabla1[Fecha],"&gt;="&amp;$A7,Tabla1[Fecha],"&lt;="&amp;EOMONTH($A7,0),Tabla1[Codigo_actividad],J$2,Tabla1[Avance_km],"&gt;0")</f>
        <v>15.313000000000004</v>
      </c>
      <c r="K7" s="343">
        <f>+SUMIFS(Tabla1[Avance_km],Tabla1[Fecha],"&gt;="&amp;$A7,Tabla1[Fecha],"&lt;="&amp;EOMONTH($A7,0),Tabla1[Codigo_actividad],K$2)</f>
        <v>0</v>
      </c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+SUMIFS(Tabla1[Avance_km],Tabla1[Fecha],"&gt;="&amp;$A7,Tabla1[Fecha],"&lt;="&amp;EOMONTH($A7,0),Tabla1[Codigo_actividad],M$2)</f>
        <v>6.7009999999999996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1">
        <f>+SUMIFS(Tabla1[Avance_Med],Tabla1[Fecha],"&gt;="&amp;$A7,Tabla1[Fecha],"&lt;="&amp;EOMONTH($A7,0),Tabla1[Codigo_actividad],Q$2)</f>
        <v>0</v>
      </c>
      <c r="R7" s="231">
        <f>+SUMIFS(Tabla1[Avance_Med],Tabla1[Fecha],"&gt;="&amp;$A7,Tabla1[Fecha],"&lt;="&amp;EOMONTH($A7,0),Tabla1[Codigo_actividad],R$2)</f>
        <v>0</v>
      </c>
      <c r="S7" s="231">
        <f>+SUMIFS(Tabla1[Avance_Med],Tabla1[Fecha],"&gt;="&amp;$A7,Tabla1[Fecha],"&lt;="&amp;EOMONTH($A7,0),Tabla1[Codigo_actividad],S$2)</f>
        <v>0</v>
      </c>
      <c r="T7" s="231">
        <f>+SUMIFS(Tabla1[Avance_Med],Tabla1[Fecha],"&gt;="&amp;$A7,Tabla1[Fecha],"&lt;="&amp;EOMONTH($A7,0),Tabla1[Codigo_actividad],T$2)</f>
        <v>0</v>
      </c>
      <c r="U7" s="231">
        <f>+SUMIFS(Tabla1[Avance_Med],Tabla1[Fecha],"&gt;="&amp;$A7,Tabla1[Fecha],"&lt;="&amp;EOMONTH($A7,0),Tabla1[Codigo_actividad],U$2)</f>
        <v>0</v>
      </c>
      <c r="V7" s="231">
        <f>+SUMIFS(Tabla1[Avance_Med],Tabla1[Fecha],"&gt;="&amp;$A7,Tabla1[Fecha],"&lt;="&amp;EOMONTH($A7,0),Tabla1[Codigo_actividad],V$2)</f>
        <v>0</v>
      </c>
      <c r="W7" s="231">
        <f>+SUMIFS(Tabla1[Avance_Med],Tabla1[Fecha],"&gt;="&amp;$A7,Tabla1[Fecha],"&lt;="&amp;EOMONTH($A7,0),Tabla1[Codigo_actividad],W$2)</f>
        <v>0</v>
      </c>
      <c r="X7" s="231">
        <f>+SUMIFS(Tabla1[Avance_Med],Tabla1[Fecha],"&gt;="&amp;$A7,Tabla1[Fecha],"&lt;="&amp;EOMONTH($A7,0),Tabla1[Codigo_actividad],X$2)</f>
        <v>0</v>
      </c>
      <c r="Y7" s="231">
        <f>+SUMIFS(Tabla1[Avance_Med],Tabla1[Fecha],"&gt;="&amp;$A7,Tabla1[Fecha],"&lt;="&amp;EOMONTH($A7,0),Tabla1[Codigo_actividad],Y$2)</f>
        <v>0</v>
      </c>
      <c r="Z7" s="231">
        <f>+SUMIFS(Tabla1[Avance_Med],Tabla1[Fecha],"&gt;="&amp;$A7,Tabla1[Fecha],"&lt;="&amp;EOMONTH($A7,0),Tabla1[Codigo_actividad],Z$2)</f>
        <v>0</v>
      </c>
      <c r="AA7" s="231">
        <f>+SUMIFS(Tabla1[Avance_Med],Tabla1[Fecha],"&gt;="&amp;$A7,Tabla1[Fecha],"&lt;="&amp;EOMONTH($A7,0),Tabla1[Codigo_actividad],AA$2)</f>
        <v>0</v>
      </c>
      <c r="AB7" s="231">
        <f>+SUMIFS(Tabla1[Avance_Med],Tabla1[Fecha],"&gt;="&amp;$A7,Tabla1[Fecha],"&lt;="&amp;EOMONTH($A7,0),Tabla1[Codigo_actividad],AB$2)</f>
        <v>0</v>
      </c>
      <c r="AC7" s="231">
        <f>+SUMIFS(Tabla1[Avance_Med],Tabla1[Fecha],"&gt;="&amp;$A7,Tabla1[Fecha],"&lt;="&amp;EOMONTH($A7,0),Tabla1[Codigo_actividad],AC$2)</f>
        <v>0</v>
      </c>
      <c r="AD7" s="231">
        <f>+SUMIFS(Tabla1[Avance_Med],Tabla1[Fecha],"&gt;="&amp;$A7,Tabla1[Fecha],"&lt;="&amp;EOMONTH($A7,0),Tabla1[Codigo_actividad],AD$2)</f>
        <v>0</v>
      </c>
      <c r="AE7" s="231">
        <f>+SUMIFS(Tabla1[Avance_Med],Tabla1[Fecha],"&gt;="&amp;$A7,Tabla1[Fecha],"&lt;="&amp;EOMONTH($A7,0),Tabla1[Codigo_actividad],AE$2)</f>
        <v>0</v>
      </c>
      <c r="AF7" s="231">
        <f>+SUMIFS(Tabla1[Avance_Med],Tabla1[Fecha],"&gt;="&amp;$A7,Tabla1[Fecha],"&lt;="&amp;EOMONTH($A7,0),Tabla1[Codigo_actividad],AF$2)</f>
        <v>0</v>
      </c>
      <c r="AG7" s="231">
        <f>+SUMIFS(Tabla1[Avance_Med],Tabla1[Fecha],"&gt;="&amp;$A7,Tabla1[Fecha],"&lt;="&amp;EOMONTH($A7,0),Tabla1[Codigo_actividad],AG$2)</f>
        <v>0</v>
      </c>
      <c r="AH7" s="231">
        <f>+SUMIFS(Tabla1[Avance_Med],Tabla1[Fecha],"&gt;="&amp;$A7,Tabla1[Fecha],"&lt;="&amp;EOMONTH($A7,0),Tabla1[Codigo_actividad],AH$2)</f>
        <v>0</v>
      </c>
      <c r="AI7" s="231">
        <f>+SUMIFS(Tabla1[Avance_Med],Tabla1[Fecha],"&gt;="&amp;$A7,Tabla1[Fecha],"&lt;="&amp;EOMONTH($A7,0),Tabla1[Codigo_actividad],AI$2)</f>
        <v>0</v>
      </c>
      <c r="AJ7" s="231">
        <f>+SUMIFS(Tabla1[Avance_Med],Tabla1[Fecha],"&gt;="&amp;$A7,Tabla1[Fecha],"&lt;="&amp;EOMONTH($A7,0),Tabla1[Codigo_actividad],AJ$2)</f>
        <v>0</v>
      </c>
      <c r="AK7" s="231">
        <f>+SUMIFS(Tabla1[Avance_Med],Tabla1[Fecha],"&gt;="&amp;$A7,Tabla1[Fecha],"&lt;="&amp;EOMONTH($A7,0),Tabla1[Codigo_actividad],AK$2)</f>
        <v>0</v>
      </c>
      <c r="AL7" s="231">
        <f>+SUMIFS(Tabla1[Avance_Med],Tabla1[Fecha],"&gt;="&amp;$A7,Tabla1[Fecha],"&lt;="&amp;EOMONTH($A7,0),Tabla1[Codigo_actividad],AL$2)</f>
        <v>0</v>
      </c>
      <c r="AM7" s="231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2">
        <v>46054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+SUMIFS(Tabla1[Avance_km],Tabla1[Fecha],"&gt;="&amp;$A8,Tabla1[Fecha],"&lt;="&amp;EOMONTH($A8,0),Tabla1[Codigo_actividad],H$2)</f>
        <v>0</v>
      </c>
      <c r="I8" s="231">
        <f>+SUMIFS(Tabla1[Avance_km],Tabla1[Fecha],"&gt;="&amp;$A8,Tabla1[Fecha],"&lt;="&amp;EOMONTH($A8,0),Tabla1[Codigo_actividad],I$2)</f>
        <v>0</v>
      </c>
      <c r="J8" s="231">
        <f>+SUMIFS(Tabla1[Avance_km],Tabla1[Fecha],"&gt;="&amp;$A8,Tabla1[Fecha],"&lt;="&amp;EOMONTH($A8,0),Tabla1[Codigo_actividad],J$2,Tabla1[Avance_km],"&gt;0")</f>
        <v>0</v>
      </c>
      <c r="K8" s="343">
        <f>+SUMIFS(Tabla1[Avance_km],Tabla1[Fecha],"&gt;="&amp;$A8,Tabla1[Fecha],"&lt;="&amp;EOMONTH($A8,0),Tabla1[Codigo_actividad],K$2)</f>
        <v>0</v>
      </c>
      <c r="L8" s="231">
        <f>+SUMIFS(Tabla1[Avance_Med],Tabla1[Fecha],"&gt;="&amp;$A8,Tabla1[Fecha],"&lt;="&amp;EOMONTH($A8,0),Tabla1[Codigo_actividad],L$2)</f>
        <v>18</v>
      </c>
      <c r="M8" s="231">
        <f>+SUMIFS(Tabla1[Avance_km],Tabla1[Fecha],"&gt;="&amp;$A8,Tabla1[Fecha],"&lt;="&amp;EOMONTH($A8,0),Tabla1[Codigo_actividad],M$2)</f>
        <v>0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1">
        <f>+SUMIFS(Tabla1[Avance_Med],Tabla1[Fecha],"&gt;="&amp;$A8,Tabla1[Fecha],"&lt;="&amp;EOMONTH($A8,0),Tabla1[Codigo_actividad],Q$2)</f>
        <v>0</v>
      </c>
      <c r="R8" s="231">
        <f>+SUMIFS(Tabla1[Avance_Med],Tabla1[Fecha],"&gt;="&amp;$A8,Tabla1[Fecha],"&lt;="&amp;EOMONTH($A8,0),Tabla1[Codigo_actividad],R$2)</f>
        <v>0</v>
      </c>
      <c r="S8" s="231">
        <f>+SUMIFS(Tabla1[Avance_Med],Tabla1[Fecha],"&gt;="&amp;$A8,Tabla1[Fecha],"&lt;="&amp;EOMONTH($A8,0),Tabla1[Codigo_actividad],S$2)</f>
        <v>0</v>
      </c>
      <c r="T8" s="231">
        <f>+SUMIFS(Tabla1[Avance_Med],Tabla1[Fecha],"&gt;="&amp;$A8,Tabla1[Fecha],"&lt;="&amp;EOMONTH($A8,0),Tabla1[Codigo_actividad],T$2)</f>
        <v>0</v>
      </c>
      <c r="U8" s="231">
        <f>+SUMIFS(Tabla1[Avance_Med],Tabla1[Fecha],"&gt;="&amp;$A8,Tabla1[Fecha],"&lt;="&amp;EOMONTH($A8,0),Tabla1[Codigo_actividad],U$2)</f>
        <v>0</v>
      </c>
      <c r="V8" s="231">
        <f>+SUMIFS(Tabla1[Avance_Med],Tabla1[Fecha],"&gt;="&amp;$A8,Tabla1[Fecha],"&lt;="&amp;EOMONTH($A8,0),Tabla1[Codigo_actividad],V$2)</f>
        <v>0</v>
      </c>
      <c r="W8" s="231">
        <f>+SUMIFS(Tabla1[Avance_Med],Tabla1[Fecha],"&gt;="&amp;$A8,Tabla1[Fecha],"&lt;="&amp;EOMONTH($A8,0),Tabla1[Codigo_actividad],W$2)</f>
        <v>0</v>
      </c>
      <c r="X8" s="231">
        <f>+SUMIFS(Tabla1[Avance_Med],Tabla1[Fecha],"&gt;="&amp;$A8,Tabla1[Fecha],"&lt;="&amp;EOMONTH($A8,0),Tabla1[Codigo_actividad],X$2)</f>
        <v>0</v>
      </c>
      <c r="Y8" s="231">
        <f>+SUMIFS(Tabla1[Avance_Med],Tabla1[Fecha],"&gt;="&amp;$A8,Tabla1[Fecha],"&lt;="&amp;EOMONTH($A8,0),Tabla1[Codigo_actividad],Y$2)</f>
        <v>0</v>
      </c>
      <c r="Z8" s="231">
        <f>+SUMIFS(Tabla1[Avance_Med],Tabla1[Fecha],"&gt;="&amp;$A8,Tabla1[Fecha],"&lt;="&amp;EOMONTH($A8,0),Tabla1[Codigo_actividad],Z$2)</f>
        <v>0</v>
      </c>
      <c r="AA8" s="231">
        <f>+SUMIFS(Tabla1[Avance_Med],Tabla1[Fecha],"&gt;="&amp;$A8,Tabla1[Fecha],"&lt;="&amp;EOMONTH($A8,0),Tabla1[Codigo_actividad],AA$2)</f>
        <v>0</v>
      </c>
      <c r="AB8" s="231">
        <f>+SUMIFS(Tabla1[Avance_Med],Tabla1[Fecha],"&gt;="&amp;$A8,Tabla1[Fecha],"&lt;="&amp;EOMONTH($A8,0),Tabla1[Codigo_actividad],AB$2)</f>
        <v>0</v>
      </c>
      <c r="AC8" s="231">
        <f>+SUMIFS(Tabla1[Avance_Med],Tabla1[Fecha],"&gt;="&amp;$A8,Tabla1[Fecha],"&lt;="&amp;EOMONTH($A8,0),Tabla1[Codigo_actividad],AC$2)</f>
        <v>0</v>
      </c>
      <c r="AD8" s="231">
        <f>+SUMIFS(Tabla1[Avance_Med],Tabla1[Fecha],"&gt;="&amp;$A8,Tabla1[Fecha],"&lt;="&amp;EOMONTH($A8,0),Tabla1[Codigo_actividad],AD$2)</f>
        <v>0</v>
      </c>
      <c r="AE8" s="231">
        <f>+SUMIFS(Tabla1[Avance_Med],Tabla1[Fecha],"&gt;="&amp;$A8,Tabla1[Fecha],"&lt;="&amp;EOMONTH($A8,0),Tabla1[Codigo_actividad],AE$2)</f>
        <v>0</v>
      </c>
      <c r="AF8" s="231">
        <f>+SUMIFS(Tabla1[Avance_Med],Tabla1[Fecha],"&gt;="&amp;$A8,Tabla1[Fecha],"&lt;="&amp;EOMONTH($A8,0),Tabla1[Codigo_actividad],AF$2)</f>
        <v>0</v>
      </c>
      <c r="AG8" s="231">
        <f>+SUMIFS(Tabla1[Avance_Med],Tabla1[Fecha],"&gt;="&amp;$A8,Tabla1[Fecha],"&lt;="&amp;EOMONTH($A8,0),Tabla1[Codigo_actividad],AG$2)</f>
        <v>0</v>
      </c>
      <c r="AH8" s="231">
        <f>+SUMIFS(Tabla1[Avance_Med],Tabla1[Fecha],"&gt;="&amp;$A8,Tabla1[Fecha],"&lt;="&amp;EOMONTH($A8,0),Tabla1[Codigo_actividad],AH$2)</f>
        <v>0</v>
      </c>
      <c r="AI8" s="231">
        <f>+SUMIFS(Tabla1[Avance_Med],Tabla1[Fecha],"&gt;="&amp;$A8,Tabla1[Fecha],"&lt;="&amp;EOMONTH($A8,0),Tabla1[Codigo_actividad],AI$2)</f>
        <v>0</v>
      </c>
      <c r="AJ8" s="231">
        <f>+SUMIFS(Tabla1[Avance_Med],Tabla1[Fecha],"&gt;="&amp;$A8,Tabla1[Fecha],"&lt;="&amp;EOMONTH($A8,0),Tabla1[Codigo_actividad],AJ$2)</f>
        <v>0</v>
      </c>
      <c r="AK8" s="231">
        <f>+SUMIFS(Tabla1[Avance_Med],Tabla1[Fecha],"&gt;="&amp;$A8,Tabla1[Fecha],"&lt;="&amp;EOMONTH($A8,0),Tabla1[Codigo_actividad],AK$2)</f>
        <v>0</v>
      </c>
      <c r="AL8" s="231">
        <f>+SUMIFS(Tabla1[Avance_Med],Tabla1[Fecha],"&gt;="&amp;$A8,Tabla1[Fecha],"&lt;="&amp;EOMONTH($A8,0),Tabla1[Codigo_actividad],AL$2)</f>
        <v>0</v>
      </c>
      <c r="AM8" s="231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2">
        <v>46082</v>
      </c>
      <c r="B9" s="231">
        <f>+SUMIFS(Tabla1[Avance_Med],Tabla1[Fecha],"&gt;="&amp;$A9,Tabla1[Fecha],"&lt;="&amp;EOMONTH($A9,0),Tabla1[Codigo_actividad],B$2)</f>
        <v>99</v>
      </c>
      <c r="C9" s="231">
        <f>+SUMIFS(Tabla1[Avance_Med],Tabla1[Fecha],"&gt;="&amp;$A9,Tabla1[Fecha],"&lt;="&amp;EOMONTH($A9,0),Tabla1[Codigo_actividad],C$2)</f>
        <v>99</v>
      </c>
      <c r="D9" s="231">
        <f>+SUMIFS(Tabla1[Avance_Med],Tabla1[Fecha],"&gt;="&amp;$A9,Tabla1[Fecha],"&lt;="&amp;EOMONTH($A9,0),Tabla1[Codigo_actividad],D$2)</f>
        <v>99</v>
      </c>
      <c r="E9" s="231">
        <f>+SUMIFS(Tabla1[Avance_Med],Tabla1[Fecha],"&gt;="&amp;$A9,Tabla1[Fecha],"&lt;="&amp;EOMONTH($A9,0),Tabla1[Codigo_actividad],E$2)</f>
        <v>99</v>
      </c>
      <c r="F9" s="231">
        <f>+SUMIFS(Tabla1[Avance_Med],Tabla1[Fecha],"&gt;="&amp;$A9,Tabla1[Fecha],"&lt;="&amp;EOMONTH($A9,0),Tabla1[Codigo_actividad],F$2)</f>
        <v>99</v>
      </c>
      <c r="G9" s="231">
        <f>+SUMIFS(Tabla1[Avance_Med],Tabla1[Fecha],"&gt;="&amp;$A9,Tabla1[Fecha],"&lt;="&amp;EOMONTH($A9,0),Tabla1[Codigo_actividad],G$2)</f>
        <v>99</v>
      </c>
      <c r="H9" s="231">
        <f>+SUMIFS(Tabla1[Avance_km],Tabla1[Fecha],"&gt;="&amp;$A9,Tabla1[Fecha],"&lt;="&amp;EOMONTH($A9,0),Tabla1[Codigo_actividad],H$2)</f>
        <v>0</v>
      </c>
      <c r="I9" s="231">
        <f>+SUMIFS(Tabla1[Avance_km],Tabla1[Fecha],"&gt;="&amp;$A9,Tabla1[Fecha],"&lt;="&amp;EOMONTH($A9,0),Tabla1[Codigo_actividad],I$2)</f>
        <v>0</v>
      </c>
      <c r="J9" s="231">
        <f>+SUMIFS(Tabla1[Avance_km],Tabla1[Fecha],"&gt;="&amp;$A9,Tabla1[Fecha],"&lt;="&amp;EOMONTH($A9,0),Tabla1[Codigo_actividad],J$2,Tabla1[Avance_km],"&gt;0")</f>
        <v>0</v>
      </c>
      <c r="K9" s="343">
        <f>+SUMIFS(Tabla1[Avance_km],Tabla1[Fecha],"&gt;="&amp;$A9,Tabla1[Fecha],"&lt;="&amp;EOMONTH($A9,0),Tabla1[Codigo_actividad],K$2)</f>
        <v>0</v>
      </c>
      <c r="L9" s="231">
        <f>+SUMIFS(Tabla1[Avance_Med],Tabla1[Fecha],"&gt;="&amp;$A9,Tabla1[Fecha],"&lt;="&amp;EOMONTH($A9,0),Tabla1[Codigo_actividad],L$2)</f>
        <v>0</v>
      </c>
      <c r="M9" s="231">
        <f>+SUMIFS(Tabla1[Avance_km],Tabla1[Fecha],"&gt;="&amp;$A9,Tabla1[Fecha],"&lt;="&amp;EOMONTH($A9,0),Tabla1[Codigo_actividad],M$2)</f>
        <v>3.6</v>
      </c>
      <c r="N9" s="231">
        <f>+SUMIFS(Tabla1[Avance_Med],Tabla1[Fecha],"&gt;="&amp;$A9,Tabla1[Fecha],"&lt;="&amp;EOMONTH($A9,0),Tabla1[Codigo_actividad],N$2)</f>
        <v>54</v>
      </c>
      <c r="O9" s="231">
        <f>+SUMIFS(Tabla1[Avance_Med],Tabla1[Fecha],"&gt;="&amp;$A9,Tabla1[Fecha],"&lt;="&amp;EOMONTH($A9,0),Tabla1[Codigo_actividad],O$2)</f>
        <v>54</v>
      </c>
      <c r="P9" s="231">
        <f>+SUMIFS(Tabla1[Avance_Med],Tabla1[Fecha],"&gt;="&amp;$A9,Tabla1[Fecha],"&lt;="&amp;EOMONTH($A9,0),Tabla1[Codigo_actividad],P$2)</f>
        <v>54</v>
      </c>
      <c r="Q9" s="231">
        <f>+SUMIFS(Tabla1[Avance_Med],Tabla1[Fecha],"&gt;="&amp;$A9,Tabla1[Fecha],"&lt;="&amp;EOMONTH($A9,0),Tabla1[Codigo_actividad],Q$2)</f>
        <v>0</v>
      </c>
      <c r="R9" s="231">
        <f>+SUMIFS(Tabla1[Avance_Med],Tabla1[Fecha],"&gt;="&amp;$A9,Tabla1[Fecha],"&lt;="&amp;EOMONTH($A9,0),Tabla1[Codigo_actividad],R$2)</f>
        <v>0</v>
      </c>
      <c r="S9" s="231">
        <f>+SUMIFS(Tabla1[Avance_Med],Tabla1[Fecha],"&gt;="&amp;$A9,Tabla1[Fecha],"&lt;="&amp;EOMONTH($A9,0),Tabla1[Codigo_actividad],S$2)</f>
        <v>0</v>
      </c>
      <c r="T9" s="231">
        <f>+SUMIFS(Tabla1[Avance_Med],Tabla1[Fecha],"&gt;="&amp;$A9,Tabla1[Fecha],"&lt;="&amp;EOMONTH($A9,0),Tabla1[Codigo_actividad],T$2)</f>
        <v>0</v>
      </c>
      <c r="U9" s="231">
        <f>+SUMIFS(Tabla1[Avance_Med],Tabla1[Fecha],"&gt;="&amp;$A9,Tabla1[Fecha],"&lt;="&amp;EOMONTH($A9,0),Tabla1[Codigo_actividad],U$2)</f>
        <v>0</v>
      </c>
      <c r="V9" s="231">
        <f>+SUMIFS(Tabla1[Avance_Med],Tabla1[Fecha],"&gt;="&amp;$A9,Tabla1[Fecha],"&lt;="&amp;EOMONTH($A9,0),Tabla1[Codigo_actividad],V$2)</f>
        <v>0</v>
      </c>
      <c r="W9" s="231">
        <f>+SUMIFS(Tabla1[Avance_Med],Tabla1[Fecha],"&gt;="&amp;$A9,Tabla1[Fecha],"&lt;="&amp;EOMONTH($A9,0),Tabla1[Codigo_actividad],W$2)</f>
        <v>0</v>
      </c>
      <c r="X9" s="231">
        <f>+SUMIFS(Tabla1[Avance_Med],Tabla1[Fecha],"&gt;="&amp;$A9,Tabla1[Fecha],"&lt;="&amp;EOMONTH($A9,0),Tabla1[Codigo_actividad],X$2)</f>
        <v>0</v>
      </c>
      <c r="Y9" s="231">
        <f>+SUMIFS(Tabla1[Avance_Med],Tabla1[Fecha],"&gt;="&amp;$A9,Tabla1[Fecha],"&lt;="&amp;EOMONTH($A9,0),Tabla1[Codigo_actividad],Y$2)</f>
        <v>0</v>
      </c>
      <c r="Z9" s="231">
        <f>+SUMIFS(Tabla1[Avance_Med],Tabla1[Fecha],"&gt;="&amp;$A9,Tabla1[Fecha],"&lt;="&amp;EOMONTH($A9,0),Tabla1[Codigo_actividad],Z$2)</f>
        <v>0</v>
      </c>
      <c r="AA9" s="231">
        <f>+SUMIFS(Tabla1[Avance_Med],Tabla1[Fecha],"&gt;="&amp;$A9,Tabla1[Fecha],"&lt;="&amp;EOMONTH($A9,0),Tabla1[Codigo_actividad],AA$2)</f>
        <v>0</v>
      </c>
      <c r="AB9" s="231">
        <f>+SUMIFS(Tabla1[Avance_Med],Tabla1[Fecha],"&gt;="&amp;$A9,Tabla1[Fecha],"&lt;="&amp;EOMONTH($A9,0),Tabla1[Codigo_actividad],AB$2)</f>
        <v>0</v>
      </c>
      <c r="AC9" s="231">
        <f>+SUMIFS(Tabla1[Avance_Med],Tabla1[Fecha],"&gt;="&amp;$A9,Tabla1[Fecha],"&lt;="&amp;EOMONTH($A9,0),Tabla1[Codigo_actividad],AC$2)</f>
        <v>0</v>
      </c>
      <c r="AD9" s="231">
        <f>+SUMIFS(Tabla1[Avance_Med],Tabla1[Fecha],"&gt;="&amp;$A9,Tabla1[Fecha],"&lt;="&amp;EOMONTH($A9,0),Tabla1[Codigo_actividad],AD$2)</f>
        <v>0</v>
      </c>
      <c r="AE9" s="231">
        <f>+SUMIFS(Tabla1[Avance_Med],Tabla1[Fecha],"&gt;="&amp;$A9,Tabla1[Fecha],"&lt;="&amp;EOMONTH($A9,0),Tabla1[Codigo_actividad],AE$2)</f>
        <v>0</v>
      </c>
      <c r="AF9" s="231">
        <f>+SUMIFS(Tabla1[Avance_Med],Tabla1[Fecha],"&gt;="&amp;$A9,Tabla1[Fecha],"&lt;="&amp;EOMONTH($A9,0),Tabla1[Codigo_actividad],AF$2)</f>
        <v>0</v>
      </c>
      <c r="AG9" s="231">
        <f>+SUMIFS(Tabla1[Avance_Med],Tabla1[Fecha],"&gt;="&amp;$A9,Tabla1[Fecha],"&lt;="&amp;EOMONTH($A9,0),Tabla1[Codigo_actividad],AG$2)</f>
        <v>0</v>
      </c>
      <c r="AH9" s="231">
        <f>+SUMIFS(Tabla1[Avance_Med],Tabla1[Fecha],"&gt;="&amp;$A9,Tabla1[Fecha],"&lt;="&amp;EOMONTH($A9,0),Tabla1[Codigo_actividad],AH$2)</f>
        <v>0</v>
      </c>
      <c r="AI9" s="231">
        <f>+SUMIFS(Tabla1[Avance_Med],Tabla1[Fecha],"&gt;="&amp;$A9,Tabla1[Fecha],"&lt;="&amp;EOMONTH($A9,0),Tabla1[Codigo_actividad],AI$2)</f>
        <v>0</v>
      </c>
      <c r="AJ9" s="231">
        <f>+SUMIFS(Tabla1[Avance_Med],Tabla1[Fecha],"&gt;="&amp;$A9,Tabla1[Fecha],"&lt;="&amp;EOMONTH($A9,0),Tabla1[Codigo_actividad],AJ$2)</f>
        <v>0</v>
      </c>
      <c r="AK9" s="231">
        <f>+SUMIFS(Tabla1[Avance_Med],Tabla1[Fecha],"&gt;="&amp;$A9,Tabla1[Fecha],"&lt;="&amp;EOMONTH($A9,0),Tabla1[Codigo_actividad],AK$2)</f>
        <v>0</v>
      </c>
      <c r="AL9" s="231">
        <f>+SUMIFS(Tabla1[Avance_Med],Tabla1[Fecha],"&gt;="&amp;$A9,Tabla1[Fecha],"&lt;="&amp;EOMONTH($A9,0),Tabla1[Codigo_actividad],AL$2)</f>
        <v>0</v>
      </c>
      <c r="AM9" s="231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1406394.7920000001</v>
      </c>
    </row>
    <row r="10" spans="1:42" x14ac:dyDescent="0.25">
      <c r="A10" s="242">
        <v>46113</v>
      </c>
      <c r="B10" s="231">
        <f>+SUMIFS(Tabla1[Avance_Med],Tabla1[Fecha],"&gt;="&amp;$A10,Tabla1[Fecha],"&lt;="&amp;EOMONTH($A10,0),Tabla1[Codigo_actividad],B$2)</f>
        <v>17</v>
      </c>
      <c r="C10" s="231">
        <f>+SUMIFS(Tabla1[Avance_Med],Tabla1[Fecha],"&gt;="&amp;$A10,Tabla1[Fecha],"&lt;="&amp;EOMONTH($A10,0),Tabla1[Codigo_actividad],C$2)</f>
        <v>17</v>
      </c>
      <c r="D10" s="231">
        <f>+SUMIFS(Tabla1[Avance_Med],Tabla1[Fecha],"&gt;="&amp;$A10,Tabla1[Fecha],"&lt;="&amp;EOMONTH($A10,0),Tabla1[Codigo_actividad],D$2)</f>
        <v>17</v>
      </c>
      <c r="E10" s="231">
        <f>+SUMIFS(Tabla1[Avance_Med],Tabla1[Fecha],"&gt;="&amp;$A10,Tabla1[Fecha],"&lt;="&amp;EOMONTH($A10,0),Tabla1[Codigo_actividad],E$2)</f>
        <v>17</v>
      </c>
      <c r="F10" s="231">
        <f>+SUMIFS(Tabla1[Avance_Med],Tabla1[Fecha],"&gt;="&amp;$A10,Tabla1[Fecha],"&lt;="&amp;EOMONTH($A10,0),Tabla1[Codigo_actividad],F$2)</f>
        <v>17</v>
      </c>
      <c r="G10" s="231">
        <f>+SUMIFS(Tabla1[Avance_Med],Tabla1[Fecha],"&gt;="&amp;$A10,Tabla1[Fecha],"&lt;="&amp;EOMONTH($A10,0),Tabla1[Codigo_actividad],G$2)</f>
        <v>17</v>
      </c>
      <c r="H10" s="231">
        <f>+SUMIFS(Tabla1[Avance_km],Tabla1[Fecha],"&gt;="&amp;$A10,Tabla1[Fecha],"&lt;="&amp;EOMONTH($A10,0),Tabla1[Codigo_actividad],H$2)</f>
        <v>0</v>
      </c>
      <c r="I10" s="231">
        <f>+SUMIFS(Tabla1[Avance_km],Tabla1[Fecha],"&gt;="&amp;$A10,Tabla1[Fecha],"&lt;="&amp;EOMONTH($A10,0),Tabla1[Codigo_actividad],I$2)</f>
        <v>0</v>
      </c>
      <c r="J10" s="231">
        <f>+SUMIFS(Tabla1[Avance_km],Tabla1[Fecha],"&gt;="&amp;$A10,Tabla1[Fecha],"&lt;="&amp;EOMONTH($A10,0),Tabla1[Codigo_actividad],J$2,Tabla1[Avance_km],"&gt;0")</f>
        <v>5.9550000000000001</v>
      </c>
      <c r="K10" s="343">
        <f>+SUMIFS(Tabla1[Avance_km],Tabla1[Fecha],"&gt;="&amp;$A10,Tabla1[Fecha],"&lt;="&amp;EOMONTH($A10,0),Tabla1[Codigo_actividad],K$2)</f>
        <v>0</v>
      </c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+SUMIFS(Tabla1[Avance_km],Tabla1[Fecha],"&gt;="&amp;$A10,Tabla1[Fecha],"&lt;="&amp;EOMONTH($A10,0),Tabla1[Codigo_actividad],M$2)</f>
        <v>21.635999999999999</v>
      </c>
      <c r="N10" s="231">
        <f>+SUMIFS(Tabla1[Avance_Med],Tabla1[Fecha],"&gt;="&amp;$A10,Tabla1[Fecha],"&lt;="&amp;EOMONTH($A10,0),Tabla1[Codigo_actividad],N$2)</f>
        <v>0</v>
      </c>
      <c r="O10" s="231">
        <f>+SUMIFS(Tabla1[Avance_Med],Tabla1[Fecha],"&gt;="&amp;$A10,Tabla1[Fecha],"&lt;="&amp;EOMONTH($A10,0),Tabla1[Codigo_actividad],O$2)</f>
        <v>0</v>
      </c>
      <c r="P10" s="231">
        <f>+SUMIFS(Tabla1[Avance_Med],Tabla1[Fecha],"&gt;="&amp;$A10,Tabla1[Fecha],"&lt;="&amp;EOMONTH($A10,0),Tabla1[Codigo_actividad],P$2)</f>
        <v>0</v>
      </c>
      <c r="Q10" s="231">
        <f>+SUMIFS(Tabla1[Avance_Med],Tabla1[Fecha],"&gt;="&amp;$A10,Tabla1[Fecha],"&lt;="&amp;EOMONTH($A10,0),Tabla1[Codigo_actividad],Q$2)</f>
        <v>0</v>
      </c>
      <c r="R10" s="231">
        <f>+SUMIFS(Tabla1[Avance_Med],Tabla1[Fecha],"&gt;="&amp;$A10,Tabla1[Fecha],"&lt;="&amp;EOMONTH($A10,0),Tabla1[Codigo_actividad],R$2)</f>
        <v>0</v>
      </c>
      <c r="S10" s="231">
        <f>+SUMIFS(Tabla1[Avance_Med],Tabla1[Fecha],"&gt;="&amp;$A10,Tabla1[Fecha],"&lt;="&amp;EOMONTH($A10,0),Tabla1[Codigo_actividad],S$2)</f>
        <v>0</v>
      </c>
      <c r="T10" s="231">
        <f>+SUMIFS(Tabla1[Avance_Med],Tabla1[Fecha],"&gt;="&amp;$A10,Tabla1[Fecha],"&lt;="&amp;EOMONTH($A10,0),Tabla1[Codigo_actividad],T$2)</f>
        <v>0</v>
      </c>
      <c r="U10" s="231">
        <f>+SUMIFS(Tabla1[Avance_Med],Tabla1[Fecha],"&gt;="&amp;$A10,Tabla1[Fecha],"&lt;="&amp;EOMONTH($A10,0),Tabla1[Codigo_actividad],U$2)</f>
        <v>0</v>
      </c>
      <c r="V10" s="231">
        <f>+SUMIFS(Tabla1[Avance_Med],Tabla1[Fecha],"&gt;="&amp;$A10,Tabla1[Fecha],"&lt;="&amp;EOMONTH($A10,0),Tabla1[Codigo_actividad],V$2)</f>
        <v>0</v>
      </c>
      <c r="W10" s="231">
        <f>+SUMIFS(Tabla1[Avance_Med],Tabla1[Fecha],"&gt;="&amp;$A10,Tabla1[Fecha],"&lt;="&amp;EOMONTH($A10,0),Tabla1[Codigo_actividad],W$2)</f>
        <v>0</v>
      </c>
      <c r="X10" s="231">
        <f>+SUMIFS(Tabla1[Avance_Med],Tabla1[Fecha],"&gt;="&amp;$A10,Tabla1[Fecha],"&lt;="&amp;EOMONTH($A10,0),Tabla1[Codigo_actividad],X$2)</f>
        <v>0</v>
      </c>
      <c r="Y10" s="231">
        <f>+SUMIFS(Tabla1[Avance_Med],Tabla1[Fecha],"&gt;="&amp;$A10,Tabla1[Fecha],"&lt;="&amp;EOMONTH($A10,0),Tabla1[Codigo_actividad],Y$2)</f>
        <v>0</v>
      </c>
      <c r="Z10" s="231">
        <f>+SUMIFS(Tabla1[Avance_Med],Tabla1[Fecha],"&gt;="&amp;$A10,Tabla1[Fecha],"&lt;="&amp;EOMONTH($A10,0),Tabla1[Codigo_actividad],Z$2)</f>
        <v>0</v>
      </c>
      <c r="AA10" s="231">
        <f>+SUMIFS(Tabla1[Avance_Med],Tabla1[Fecha],"&gt;="&amp;$A10,Tabla1[Fecha],"&lt;="&amp;EOMONTH($A10,0),Tabla1[Codigo_actividad],AA$2)</f>
        <v>0</v>
      </c>
      <c r="AB10" s="231">
        <f>+SUMIFS(Tabla1[Avance_Med],Tabla1[Fecha],"&gt;="&amp;$A10,Tabla1[Fecha],"&lt;="&amp;EOMONTH($A10,0),Tabla1[Codigo_actividad],AB$2)</f>
        <v>0</v>
      </c>
      <c r="AC10" s="231">
        <f>+SUMIFS(Tabla1[Avance_Med],Tabla1[Fecha],"&gt;="&amp;$A10,Tabla1[Fecha],"&lt;="&amp;EOMONTH($A10,0),Tabla1[Codigo_actividad],AC$2)</f>
        <v>0</v>
      </c>
      <c r="AD10" s="231">
        <f>+SUMIFS(Tabla1[Avance_Med],Tabla1[Fecha],"&gt;="&amp;$A10,Tabla1[Fecha],"&lt;="&amp;EOMONTH($A10,0),Tabla1[Codigo_actividad],AD$2)</f>
        <v>0</v>
      </c>
      <c r="AE10" s="231">
        <f>+SUMIFS(Tabla1[Avance_Med],Tabla1[Fecha],"&gt;="&amp;$A10,Tabla1[Fecha],"&lt;="&amp;EOMONTH($A10,0),Tabla1[Codigo_actividad],AE$2)</f>
        <v>0</v>
      </c>
      <c r="AF10" s="231">
        <f>+SUMIFS(Tabla1[Avance_Med],Tabla1[Fecha],"&gt;="&amp;$A10,Tabla1[Fecha],"&lt;="&amp;EOMONTH($A10,0),Tabla1[Codigo_actividad],AF$2)</f>
        <v>0</v>
      </c>
      <c r="AG10" s="231">
        <f>+SUMIFS(Tabla1[Avance_Med],Tabla1[Fecha],"&gt;="&amp;$A10,Tabla1[Fecha],"&lt;="&amp;EOMONTH($A10,0),Tabla1[Codigo_actividad],AG$2)</f>
        <v>0</v>
      </c>
      <c r="AH10" s="231">
        <f>+SUMIFS(Tabla1[Avance_Med],Tabla1[Fecha],"&gt;="&amp;$A10,Tabla1[Fecha],"&lt;="&amp;EOMONTH($A10,0),Tabla1[Codigo_actividad],AH$2)</f>
        <v>0</v>
      </c>
      <c r="AI10" s="231">
        <f>+SUMIFS(Tabla1[Avance_Med],Tabla1[Fecha],"&gt;="&amp;$A10,Tabla1[Fecha],"&lt;="&amp;EOMONTH($A10,0),Tabla1[Codigo_actividad],AI$2)</f>
        <v>0</v>
      </c>
      <c r="AJ10" s="231">
        <f>+SUMIFS(Tabla1[Avance_Med],Tabla1[Fecha],"&gt;="&amp;$A10,Tabla1[Fecha],"&lt;="&amp;EOMONTH($A10,0),Tabla1[Codigo_actividad],AJ$2)</f>
        <v>0</v>
      </c>
      <c r="AK10" s="231">
        <f>+SUMIFS(Tabla1[Avance_Med],Tabla1[Fecha],"&gt;="&amp;$A10,Tabla1[Fecha],"&lt;="&amp;EOMONTH($A10,0),Tabla1[Codigo_actividad],AK$2)</f>
        <v>0</v>
      </c>
      <c r="AL10" s="231">
        <f>+SUMIFS(Tabla1[Avance_Med],Tabla1[Fecha],"&gt;="&amp;$A10,Tabla1[Fecha],"&lt;="&amp;EOMONTH($A10,0),Tabla1[Codigo_actividad],AL$2)</f>
        <v>0</v>
      </c>
      <c r="AM10" s="231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312307.15577000007</v>
      </c>
    </row>
    <row r="11" spans="1:42" x14ac:dyDescent="0.25">
      <c r="A11" s="242">
        <v>46143</v>
      </c>
      <c r="B11" s="231">
        <f>+SUMIFS(Tabla1[Avance_Med],Tabla1[Fecha],"&gt;="&amp;$A11,Tabla1[Fecha],"&lt;="&amp;EOMONTH($A11,0),Tabla1[Codigo_actividad],B$2)</f>
        <v>0</v>
      </c>
      <c r="C11" s="231">
        <f>+SUMIFS(Tabla1[Avance_Med],Tabla1[Fecha],"&gt;="&amp;$A11,Tabla1[Fecha],"&lt;="&amp;EOMONTH($A11,0),Tabla1[Codigo_actividad],C$2)</f>
        <v>0</v>
      </c>
      <c r="D11" s="231">
        <f>+SUMIFS(Tabla1[Avance_Med],Tabla1[Fecha],"&gt;="&amp;$A11,Tabla1[Fecha],"&lt;="&amp;EOMONTH($A11,0),Tabla1[Codigo_actividad],D$2)</f>
        <v>0</v>
      </c>
      <c r="E11" s="231">
        <f>+SUMIFS(Tabla1[Avance_Med],Tabla1[Fecha],"&gt;="&amp;$A11,Tabla1[Fecha],"&lt;="&amp;EOMONTH($A11,0),Tabla1[Codigo_actividad],E$2)</f>
        <v>0</v>
      </c>
      <c r="F11" s="231">
        <f>+SUMIFS(Tabla1[Avance_Med],Tabla1[Fecha],"&gt;="&amp;$A11,Tabla1[Fecha],"&lt;="&amp;EOMONTH($A11,0),Tabla1[Codigo_actividad],F$2)</f>
        <v>0</v>
      </c>
      <c r="G11" s="231">
        <f>+SUMIFS(Tabla1[Avance_Med],Tabla1[Fecha],"&gt;="&amp;$A11,Tabla1[Fecha],"&lt;="&amp;EOMONTH($A11,0),Tabla1[Codigo_actividad],G$2)</f>
        <v>0</v>
      </c>
      <c r="H11" s="231">
        <f>+SUMIFS(Tabla1[Avance_km],Tabla1[Fecha],"&gt;="&amp;$A11,Tabla1[Fecha],"&lt;="&amp;EOMONTH($A11,0),Tabla1[Codigo_actividad],H$2)</f>
        <v>11.253</v>
      </c>
      <c r="I11" s="231">
        <f>+SUMIFS(Tabla1[Avance_km],Tabla1[Fecha],"&gt;="&amp;$A11,Tabla1[Fecha],"&lt;="&amp;EOMONTH($A11,0),Tabla1[Codigo_actividad],I$2)</f>
        <v>0</v>
      </c>
      <c r="J11" s="231">
        <f>+SUMIFS(Tabla1[Avance_km],Tabla1[Fecha],"&gt;="&amp;$A11,Tabla1[Fecha],"&lt;="&amp;EOMONTH($A11,0),Tabla1[Codigo_actividad],J$2,Tabla1[Avance_km],"&gt;0")</f>
        <v>19.906000000000002</v>
      </c>
      <c r="K11" s="343">
        <f>+SUMIFS(Tabla1[Avance_km],Tabla1[Fecha],"&gt;="&amp;$A11,Tabla1[Fecha],"&lt;="&amp;EOMONTH($A11,0),Tabla1[Codigo_actividad],K$2)</f>
        <v>0</v>
      </c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+SUMIFS(Tabla1[Avance_km],Tabla1[Fecha],"&gt;="&amp;$A11,Tabla1[Fecha],"&lt;="&amp;EOMONTH($A11,0),Tabla1[Codigo_actividad],M$2)</f>
        <v>3.6269999999999998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1">
        <f>+SUMIFS(Tabla1[Avance_Med],Tabla1[Fecha],"&gt;="&amp;$A11,Tabla1[Fecha],"&lt;="&amp;EOMONTH($A11,0),Tabla1[Codigo_actividad],Q$2)</f>
        <v>0</v>
      </c>
      <c r="R11" s="231">
        <f>+SUMIFS(Tabla1[Avance_Med],Tabla1[Fecha],"&gt;="&amp;$A11,Tabla1[Fecha],"&lt;="&amp;EOMONTH($A11,0),Tabla1[Codigo_actividad],R$2)</f>
        <v>0</v>
      </c>
      <c r="S11" s="231">
        <f>+SUMIFS(Tabla1[Avance_Med],Tabla1[Fecha],"&gt;="&amp;$A11,Tabla1[Fecha],"&lt;="&amp;EOMONTH($A11,0),Tabla1[Codigo_actividad],S$2)</f>
        <v>0</v>
      </c>
      <c r="T11" s="231">
        <f>+SUMIFS(Tabla1[Avance_Med],Tabla1[Fecha],"&gt;="&amp;$A11,Tabla1[Fecha],"&lt;="&amp;EOMONTH($A11,0),Tabla1[Codigo_actividad],T$2)</f>
        <v>0</v>
      </c>
      <c r="U11" s="231">
        <f>+SUMIFS(Tabla1[Avance_Med],Tabla1[Fecha],"&gt;="&amp;$A11,Tabla1[Fecha],"&lt;="&amp;EOMONTH($A11,0),Tabla1[Codigo_actividad],U$2)</f>
        <v>0</v>
      </c>
      <c r="V11" s="231">
        <f>+SUMIFS(Tabla1[Avance_Med],Tabla1[Fecha],"&gt;="&amp;$A11,Tabla1[Fecha],"&lt;="&amp;EOMONTH($A11,0),Tabla1[Codigo_actividad],V$2)</f>
        <v>0</v>
      </c>
      <c r="W11" s="231">
        <f>+SUMIFS(Tabla1[Avance_Med],Tabla1[Fecha],"&gt;="&amp;$A11,Tabla1[Fecha],"&lt;="&amp;EOMONTH($A11,0),Tabla1[Codigo_actividad],W$2)</f>
        <v>0</v>
      </c>
      <c r="X11" s="231">
        <f>+SUMIFS(Tabla1[Avance_Med],Tabla1[Fecha],"&gt;="&amp;$A11,Tabla1[Fecha],"&lt;="&amp;EOMONTH($A11,0),Tabla1[Codigo_actividad],X$2)</f>
        <v>0</v>
      </c>
      <c r="Y11" s="231">
        <f>+SUMIFS(Tabla1[Avance_Med],Tabla1[Fecha],"&gt;="&amp;$A11,Tabla1[Fecha],"&lt;="&amp;EOMONTH($A11,0),Tabla1[Codigo_actividad],Y$2)</f>
        <v>0</v>
      </c>
      <c r="Z11" s="231">
        <f>+SUMIFS(Tabla1[Avance_Med],Tabla1[Fecha],"&gt;="&amp;$A11,Tabla1[Fecha],"&lt;="&amp;EOMONTH($A11,0),Tabla1[Codigo_actividad],Z$2)</f>
        <v>0</v>
      </c>
      <c r="AA11" s="231">
        <f>+SUMIFS(Tabla1[Avance_Med],Tabla1[Fecha],"&gt;="&amp;$A11,Tabla1[Fecha],"&lt;="&amp;EOMONTH($A11,0),Tabla1[Codigo_actividad],AA$2)</f>
        <v>0</v>
      </c>
      <c r="AB11" s="231">
        <f>+SUMIFS(Tabla1[Avance_Med],Tabla1[Fecha],"&gt;="&amp;$A11,Tabla1[Fecha],"&lt;="&amp;EOMONTH($A11,0),Tabla1[Codigo_actividad],AB$2)</f>
        <v>0</v>
      </c>
      <c r="AC11" s="231">
        <f>+SUMIFS(Tabla1[Avance_Med],Tabla1[Fecha],"&gt;="&amp;$A11,Tabla1[Fecha],"&lt;="&amp;EOMONTH($A11,0),Tabla1[Codigo_actividad],AC$2)</f>
        <v>0</v>
      </c>
      <c r="AD11" s="231">
        <f>+SUMIFS(Tabla1[Avance_Med],Tabla1[Fecha],"&gt;="&amp;$A11,Tabla1[Fecha],"&lt;="&amp;EOMONTH($A11,0),Tabla1[Codigo_actividad],AD$2)</f>
        <v>0</v>
      </c>
      <c r="AE11" s="231">
        <f>+SUMIFS(Tabla1[Avance_Med],Tabla1[Fecha],"&gt;="&amp;$A11,Tabla1[Fecha],"&lt;="&amp;EOMONTH($A11,0),Tabla1[Codigo_actividad],AE$2)</f>
        <v>0</v>
      </c>
      <c r="AF11" s="231">
        <f>+SUMIFS(Tabla1[Avance_Med],Tabla1[Fecha],"&gt;="&amp;$A11,Tabla1[Fecha],"&lt;="&amp;EOMONTH($A11,0),Tabla1[Codigo_actividad],AF$2)</f>
        <v>0</v>
      </c>
      <c r="AG11" s="231">
        <f>+SUMIFS(Tabla1[Avance_Med],Tabla1[Fecha],"&gt;="&amp;$A11,Tabla1[Fecha],"&lt;="&amp;EOMONTH($A11,0),Tabla1[Codigo_actividad],AG$2)</f>
        <v>0</v>
      </c>
      <c r="AH11" s="231">
        <f>+SUMIFS(Tabla1[Avance_Med],Tabla1[Fecha],"&gt;="&amp;$A11,Tabla1[Fecha],"&lt;="&amp;EOMONTH($A11,0),Tabla1[Codigo_actividad],AH$2)</f>
        <v>0</v>
      </c>
      <c r="AI11" s="231">
        <f>+SUMIFS(Tabla1[Avance_Med],Tabla1[Fecha],"&gt;="&amp;$A11,Tabla1[Fecha],"&lt;="&amp;EOMONTH($A11,0),Tabla1[Codigo_actividad],AI$2)</f>
        <v>0</v>
      </c>
      <c r="AJ11" s="231">
        <f>+SUMIFS(Tabla1[Avance_Med],Tabla1[Fecha],"&gt;="&amp;$A11,Tabla1[Fecha],"&lt;="&amp;EOMONTH($A11,0),Tabla1[Codigo_actividad],AJ$2)</f>
        <v>0</v>
      </c>
      <c r="AK11" s="231">
        <f>+SUMIFS(Tabla1[Avance_Med],Tabla1[Fecha],"&gt;="&amp;$A11,Tabla1[Fecha],"&lt;="&amp;EOMONTH($A11,0),Tabla1[Codigo_actividad],AK$2)</f>
        <v>0</v>
      </c>
      <c r="AL11" s="231">
        <f>+SUMIFS(Tabla1[Avance_Med],Tabla1[Fecha],"&gt;="&amp;$A11,Tabla1[Fecha],"&lt;="&amp;EOMONTH($A11,0),Tabla1[Codigo_actividad],AL$2)</f>
        <v>0</v>
      </c>
      <c r="AM11" s="231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2">
        <v>46174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+SUMIFS(Tabla1[Avance_km],Tabla1[Fecha],"&gt;="&amp;$A12,Tabla1[Fecha],"&lt;="&amp;EOMONTH($A12,0),Tabla1[Codigo_actividad],H$2)</f>
        <v>20.328000000000003</v>
      </c>
      <c r="I12" s="231">
        <f>+SUMIFS(Tabla1[Avance_km],Tabla1[Fecha],"&gt;="&amp;$A12,Tabla1[Fecha],"&lt;="&amp;EOMONTH($A12,0),Tabla1[Codigo_actividad],I$2)</f>
        <v>0</v>
      </c>
      <c r="J12" s="231">
        <f>+SUMIFS(Tabla1[Avance_km],Tabla1[Fecha],"&gt;="&amp;$A12,Tabla1[Fecha],"&lt;="&amp;EOMONTH($A12,0),Tabla1[Codigo_actividad],J$2,Tabla1[Avance_km],"&gt;0")</f>
        <v>0</v>
      </c>
      <c r="K12" s="343">
        <f>+SUMIFS(Tabla1[Avance_km],Tabla1[Fecha],"&gt;="&amp;$A12,Tabla1[Fecha],"&lt;="&amp;EOMONTH($A12,0),Tabla1[Codigo_actividad],K$2)</f>
        <v>0</v>
      </c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+SUMIFS(Tabla1[Avance_km],Tabla1[Fecha],"&gt;="&amp;$A12,Tabla1[Fecha],"&lt;="&amp;EOMONTH($A12,0),Tabla1[Codigo_actividad],M$2)</f>
        <v>5.4169999999999998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1">
        <f>+SUMIFS(Tabla1[Avance_Med],Tabla1[Fecha],"&gt;="&amp;$A12,Tabla1[Fecha],"&lt;="&amp;EOMONTH($A12,0),Tabla1[Codigo_actividad],Q$2)</f>
        <v>0</v>
      </c>
      <c r="R12" s="231">
        <f>+SUMIFS(Tabla1[Avance_Med],Tabla1[Fecha],"&gt;="&amp;$A12,Tabla1[Fecha],"&lt;="&amp;EOMONTH($A12,0),Tabla1[Codigo_actividad],R$2)</f>
        <v>0</v>
      </c>
      <c r="S12" s="231">
        <f>+SUMIFS(Tabla1[Avance_Med],Tabla1[Fecha],"&gt;="&amp;$A12,Tabla1[Fecha],"&lt;="&amp;EOMONTH($A12,0),Tabla1[Codigo_actividad],S$2)</f>
        <v>0</v>
      </c>
      <c r="T12" s="231">
        <f>+SUMIFS(Tabla1[Avance_Med],Tabla1[Fecha],"&gt;="&amp;$A12,Tabla1[Fecha],"&lt;="&amp;EOMONTH($A12,0),Tabla1[Codigo_actividad],T$2)</f>
        <v>0</v>
      </c>
      <c r="U12" s="231">
        <f>+SUMIFS(Tabla1[Avance_Med],Tabla1[Fecha],"&gt;="&amp;$A12,Tabla1[Fecha],"&lt;="&amp;EOMONTH($A12,0),Tabla1[Codigo_actividad],U$2)</f>
        <v>0</v>
      </c>
      <c r="V12" s="231">
        <f>+SUMIFS(Tabla1[Avance_Med],Tabla1[Fecha],"&gt;="&amp;$A12,Tabla1[Fecha],"&lt;="&amp;EOMONTH($A12,0),Tabla1[Codigo_actividad],V$2)</f>
        <v>0</v>
      </c>
      <c r="W12" s="231">
        <f>+SUMIFS(Tabla1[Avance_Med],Tabla1[Fecha],"&gt;="&amp;$A12,Tabla1[Fecha],"&lt;="&amp;EOMONTH($A12,0),Tabla1[Codigo_actividad],W$2)</f>
        <v>0</v>
      </c>
      <c r="X12" s="231">
        <f>+SUMIFS(Tabla1[Avance_Med],Tabla1[Fecha],"&gt;="&amp;$A12,Tabla1[Fecha],"&lt;="&amp;EOMONTH($A12,0),Tabla1[Codigo_actividad],X$2)</f>
        <v>0</v>
      </c>
      <c r="Y12" s="231">
        <f>+SUMIFS(Tabla1[Avance_Med],Tabla1[Fecha],"&gt;="&amp;$A12,Tabla1[Fecha],"&lt;="&amp;EOMONTH($A12,0),Tabla1[Codigo_actividad],Y$2)</f>
        <v>0</v>
      </c>
      <c r="Z12" s="231">
        <f>+SUMIFS(Tabla1[Avance_Med],Tabla1[Fecha],"&gt;="&amp;$A12,Tabla1[Fecha],"&lt;="&amp;EOMONTH($A12,0),Tabla1[Codigo_actividad],Z$2)</f>
        <v>0</v>
      </c>
      <c r="AA12" s="231">
        <f>+SUMIFS(Tabla1[Avance_Med],Tabla1[Fecha],"&gt;="&amp;$A12,Tabla1[Fecha],"&lt;="&amp;EOMONTH($A12,0),Tabla1[Codigo_actividad],AA$2)</f>
        <v>0</v>
      </c>
      <c r="AB12" s="231">
        <f>+SUMIFS(Tabla1[Avance_Med],Tabla1[Fecha],"&gt;="&amp;$A12,Tabla1[Fecha],"&lt;="&amp;EOMONTH($A12,0),Tabla1[Codigo_actividad],AB$2)</f>
        <v>0</v>
      </c>
      <c r="AC12" s="231">
        <f>+SUMIFS(Tabla1[Avance_Med],Tabla1[Fecha],"&gt;="&amp;$A12,Tabla1[Fecha],"&lt;="&amp;EOMONTH($A12,0),Tabla1[Codigo_actividad],AC$2)</f>
        <v>0</v>
      </c>
      <c r="AD12" s="231">
        <f>+SUMIFS(Tabla1[Avance_Med],Tabla1[Fecha],"&gt;="&amp;$A12,Tabla1[Fecha],"&lt;="&amp;EOMONTH($A12,0),Tabla1[Codigo_actividad],AD$2)</f>
        <v>0</v>
      </c>
      <c r="AE12" s="231">
        <f>+SUMIFS(Tabla1[Avance_Med],Tabla1[Fecha],"&gt;="&amp;$A12,Tabla1[Fecha],"&lt;="&amp;EOMONTH($A12,0),Tabla1[Codigo_actividad],AE$2)</f>
        <v>0</v>
      </c>
      <c r="AF12" s="231">
        <f>+SUMIFS(Tabla1[Avance_Med],Tabla1[Fecha],"&gt;="&amp;$A12,Tabla1[Fecha],"&lt;="&amp;EOMONTH($A12,0),Tabla1[Codigo_actividad],AF$2)</f>
        <v>0</v>
      </c>
      <c r="AG12" s="231">
        <f>+SUMIFS(Tabla1[Avance_Med],Tabla1[Fecha],"&gt;="&amp;$A12,Tabla1[Fecha],"&lt;="&amp;EOMONTH($A12,0),Tabla1[Codigo_actividad],AG$2)</f>
        <v>0</v>
      </c>
      <c r="AH12" s="231">
        <f>+SUMIFS(Tabla1[Avance_Med],Tabla1[Fecha],"&gt;="&amp;$A12,Tabla1[Fecha],"&lt;="&amp;EOMONTH($A12,0),Tabla1[Codigo_actividad],AH$2)</f>
        <v>0</v>
      </c>
      <c r="AI12" s="231">
        <f>+SUMIFS(Tabla1[Avance_Med],Tabla1[Fecha],"&gt;="&amp;$A12,Tabla1[Fecha],"&lt;="&amp;EOMONTH($A12,0),Tabla1[Codigo_actividad],AI$2)</f>
        <v>0</v>
      </c>
      <c r="AJ12" s="231">
        <f>+SUMIFS(Tabla1[Avance_Med],Tabla1[Fecha],"&gt;="&amp;$A12,Tabla1[Fecha],"&lt;="&amp;EOMONTH($A12,0),Tabla1[Codigo_actividad],AJ$2)</f>
        <v>0</v>
      </c>
      <c r="AK12" s="231">
        <f>+SUMIFS(Tabla1[Avance_Med],Tabla1[Fecha],"&gt;="&amp;$A12,Tabla1[Fecha],"&lt;="&amp;EOMONTH($A12,0),Tabla1[Codigo_actividad],AK$2)</f>
        <v>0</v>
      </c>
      <c r="AL12" s="231">
        <f>+SUMIFS(Tabla1[Avance_Med],Tabla1[Fecha],"&gt;="&amp;$A12,Tabla1[Fecha],"&lt;="&amp;EOMONTH($A12,0),Tabla1[Codigo_actividad],AL$2)</f>
        <v>0</v>
      </c>
      <c r="AM12" s="231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2">
        <v>46204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+SUMIFS(Tabla1[Avance_km],Tabla1[Fecha],"&gt;="&amp;$A13,Tabla1[Fecha],"&lt;="&amp;EOMONTH($A13,0),Tabla1[Codigo_actividad],H$2)</f>
        <v>13.568</v>
      </c>
      <c r="I13" s="231">
        <f>+SUMIFS(Tabla1[Avance_km],Tabla1[Fecha],"&gt;="&amp;$A13,Tabla1[Fecha],"&lt;="&amp;EOMONTH($A13,0),Tabla1[Codigo_actividad],I$2)</f>
        <v>0</v>
      </c>
      <c r="J13" s="231">
        <f>+SUMIFS(Tabla1[Avance_km],Tabla1[Fecha],"&gt;="&amp;$A13,Tabla1[Fecha],"&lt;="&amp;EOMONTH($A13,0),Tabla1[Codigo_actividad],J$2,Tabla1[Avance_km],"&gt;0")</f>
        <v>10.538</v>
      </c>
      <c r="K13" s="343">
        <f>+SUMIFS(Tabla1[Avance_km],Tabla1[Fecha],"&gt;="&amp;$A13,Tabla1[Fecha],"&lt;="&amp;EOMONTH($A13,0),Tabla1[Codigo_actividad],K$2)</f>
        <v>0</v>
      </c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+SUMIFS(Tabla1[Avance_km],Tabla1[Fecha],"&gt;="&amp;$A13,Tabla1[Fecha],"&lt;="&amp;EOMONTH($A13,0),Tabla1[Codigo_actividad],M$2)</f>
        <v>13.835000000000001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1">
        <f>+SUMIFS(Tabla1[Avance_Med],Tabla1[Fecha],"&gt;="&amp;$A13,Tabla1[Fecha],"&lt;="&amp;EOMONTH($A13,0),Tabla1[Codigo_actividad],Q$2)</f>
        <v>0</v>
      </c>
      <c r="R13" s="231">
        <f>+SUMIFS(Tabla1[Avance_Med],Tabla1[Fecha],"&gt;="&amp;$A13,Tabla1[Fecha],"&lt;="&amp;EOMONTH($A13,0),Tabla1[Codigo_actividad],R$2)</f>
        <v>0</v>
      </c>
      <c r="S13" s="231">
        <f>+SUMIFS(Tabla1[Avance_Med],Tabla1[Fecha],"&gt;="&amp;$A13,Tabla1[Fecha],"&lt;="&amp;EOMONTH($A13,0),Tabla1[Codigo_actividad],S$2)</f>
        <v>0</v>
      </c>
      <c r="T13" s="231">
        <f>+SUMIFS(Tabla1[Avance_Med],Tabla1[Fecha],"&gt;="&amp;$A13,Tabla1[Fecha],"&lt;="&amp;EOMONTH($A13,0),Tabla1[Codigo_actividad],T$2)</f>
        <v>0</v>
      </c>
      <c r="U13" s="231">
        <f>+SUMIFS(Tabla1[Avance_Med],Tabla1[Fecha],"&gt;="&amp;$A13,Tabla1[Fecha],"&lt;="&amp;EOMONTH($A13,0),Tabla1[Codigo_actividad],U$2)</f>
        <v>0</v>
      </c>
      <c r="V13" s="231">
        <f>+SUMIFS(Tabla1[Avance_Med],Tabla1[Fecha],"&gt;="&amp;$A13,Tabla1[Fecha],"&lt;="&amp;EOMONTH($A13,0),Tabla1[Codigo_actividad],V$2)</f>
        <v>0</v>
      </c>
      <c r="W13" s="231">
        <f>+SUMIFS(Tabla1[Avance_Med],Tabla1[Fecha],"&gt;="&amp;$A13,Tabla1[Fecha],"&lt;="&amp;EOMONTH($A13,0),Tabla1[Codigo_actividad],W$2)</f>
        <v>0</v>
      </c>
      <c r="X13" s="231">
        <f>+SUMIFS(Tabla1[Avance_Med],Tabla1[Fecha],"&gt;="&amp;$A13,Tabla1[Fecha],"&lt;="&amp;EOMONTH($A13,0),Tabla1[Codigo_actividad],X$2)</f>
        <v>0</v>
      </c>
      <c r="Y13" s="231">
        <f>+SUMIFS(Tabla1[Avance_Med],Tabla1[Fecha],"&gt;="&amp;$A13,Tabla1[Fecha],"&lt;="&amp;EOMONTH($A13,0),Tabla1[Codigo_actividad],Y$2)</f>
        <v>0</v>
      </c>
      <c r="Z13" s="231">
        <f>+SUMIFS(Tabla1[Avance_Med],Tabla1[Fecha],"&gt;="&amp;$A13,Tabla1[Fecha],"&lt;="&amp;EOMONTH($A13,0),Tabla1[Codigo_actividad],Z$2)</f>
        <v>0</v>
      </c>
      <c r="AA13" s="231">
        <f>+SUMIFS(Tabla1[Avance_Med],Tabla1[Fecha],"&gt;="&amp;$A13,Tabla1[Fecha],"&lt;="&amp;EOMONTH($A13,0),Tabla1[Codigo_actividad],AA$2)</f>
        <v>0</v>
      </c>
      <c r="AB13" s="231">
        <f>+SUMIFS(Tabla1[Avance_Med],Tabla1[Fecha],"&gt;="&amp;$A13,Tabla1[Fecha],"&lt;="&amp;EOMONTH($A13,0),Tabla1[Codigo_actividad],AB$2)</f>
        <v>0</v>
      </c>
      <c r="AC13" s="231">
        <f>+SUMIFS(Tabla1[Avance_Med],Tabla1[Fecha],"&gt;="&amp;$A13,Tabla1[Fecha],"&lt;="&amp;EOMONTH($A13,0),Tabla1[Codigo_actividad],AC$2)</f>
        <v>0</v>
      </c>
      <c r="AD13" s="231">
        <f>+SUMIFS(Tabla1[Avance_Med],Tabla1[Fecha],"&gt;="&amp;$A13,Tabla1[Fecha],"&lt;="&amp;EOMONTH($A13,0),Tabla1[Codigo_actividad],AD$2)</f>
        <v>0</v>
      </c>
      <c r="AE13" s="231">
        <f>+SUMIFS(Tabla1[Avance_Med],Tabla1[Fecha],"&gt;="&amp;$A13,Tabla1[Fecha],"&lt;="&amp;EOMONTH($A13,0),Tabla1[Codigo_actividad],AE$2)</f>
        <v>0</v>
      </c>
      <c r="AF13" s="231">
        <f>+SUMIFS(Tabla1[Avance_Med],Tabla1[Fecha],"&gt;="&amp;$A13,Tabla1[Fecha],"&lt;="&amp;EOMONTH($A13,0),Tabla1[Codigo_actividad],AF$2)</f>
        <v>0</v>
      </c>
      <c r="AG13" s="231">
        <f>+SUMIFS(Tabla1[Avance_Med],Tabla1[Fecha],"&gt;="&amp;$A13,Tabla1[Fecha],"&lt;="&amp;EOMONTH($A13,0),Tabla1[Codigo_actividad],AG$2)</f>
        <v>0</v>
      </c>
      <c r="AH13" s="231">
        <f>+SUMIFS(Tabla1[Avance_Med],Tabla1[Fecha],"&gt;="&amp;$A13,Tabla1[Fecha],"&lt;="&amp;EOMONTH($A13,0),Tabla1[Codigo_actividad],AH$2)</f>
        <v>0</v>
      </c>
      <c r="AI13" s="231">
        <f>+SUMIFS(Tabla1[Avance_Med],Tabla1[Fecha],"&gt;="&amp;$A13,Tabla1[Fecha],"&lt;="&amp;EOMONTH($A13,0),Tabla1[Codigo_actividad],AI$2)</f>
        <v>0</v>
      </c>
      <c r="AJ13" s="231">
        <f>+SUMIFS(Tabla1[Avance_Med],Tabla1[Fecha],"&gt;="&amp;$A13,Tabla1[Fecha],"&lt;="&amp;EOMONTH($A13,0),Tabla1[Codigo_actividad],AJ$2)</f>
        <v>0</v>
      </c>
      <c r="AK13" s="231">
        <f>+SUMIFS(Tabla1[Avance_Med],Tabla1[Fecha],"&gt;="&amp;$A13,Tabla1[Fecha],"&lt;="&amp;EOMONTH($A13,0),Tabla1[Codigo_actividad],AK$2)</f>
        <v>0</v>
      </c>
      <c r="AL13" s="231">
        <f>+SUMIFS(Tabla1[Avance_Med],Tabla1[Fecha],"&gt;="&amp;$A13,Tabla1[Fecha],"&lt;="&amp;EOMONTH($A13,0),Tabla1[Codigo_actividad],AL$2)</f>
        <v>0</v>
      </c>
      <c r="AM13" s="231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2">
        <v>46235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+SUMIFS(Tabla1[Avance_km],Tabla1[Fecha],"&gt;="&amp;$A14,Tabla1[Fecha],"&lt;="&amp;EOMONTH($A14,0),Tabla1[Codigo_actividad],H$2)</f>
        <v>10.033000000000001</v>
      </c>
      <c r="I14" s="231">
        <f>+SUMIFS(Tabla1[Avance_km],Tabla1[Fecha],"&gt;="&amp;$A14,Tabla1[Fecha],"&lt;="&amp;EOMONTH($A14,0),Tabla1[Codigo_actividad],I$2)</f>
        <v>0</v>
      </c>
      <c r="J14" s="231">
        <f>+SUMIFS(Tabla1[Avance_km],Tabla1[Fecha],"&gt;="&amp;$A14,Tabla1[Fecha],"&lt;="&amp;EOMONTH($A14,0),Tabla1[Codigo_actividad],J$2,Tabla1[Avance_km],"&gt;0")</f>
        <v>12.395</v>
      </c>
      <c r="K14" s="343">
        <f>+SUMIFS(Tabla1[Avance_km],Tabla1[Fecha],"&gt;="&amp;$A14,Tabla1[Fecha],"&lt;="&amp;EOMONTH($A14,0),Tabla1[Codigo_actividad],K$2)</f>
        <v>21.928769709731398</v>
      </c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+SUMIFS(Tabla1[Avance_km],Tabla1[Fecha],"&gt;="&amp;$A14,Tabla1[Fecha],"&lt;="&amp;EOMONTH($A14,0),Tabla1[Codigo_actividad],M$2)</f>
        <v>12.17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1">
        <f>+SUMIFS(Tabla1[Avance_Med],Tabla1[Fecha],"&gt;="&amp;$A14,Tabla1[Fecha],"&lt;="&amp;EOMONTH($A14,0),Tabla1[Codigo_actividad],Q$2)</f>
        <v>2</v>
      </c>
      <c r="R14" s="231">
        <f>+SUMIFS(Tabla1[Avance_Med],Tabla1[Fecha],"&gt;="&amp;$A14,Tabla1[Fecha],"&lt;="&amp;EOMONTH($A14,0),Tabla1[Codigo_actividad],R$2)</f>
        <v>2</v>
      </c>
      <c r="S14" s="231">
        <f>+SUMIFS(Tabla1[Avance_Med],Tabla1[Fecha],"&gt;="&amp;$A14,Tabla1[Fecha],"&lt;="&amp;EOMONTH($A14,0),Tabla1[Codigo_actividad],S$2)</f>
        <v>2</v>
      </c>
      <c r="T14" s="231">
        <f>+SUMIFS(Tabla1[Avance_Med],Tabla1[Fecha],"&gt;="&amp;$A14,Tabla1[Fecha],"&lt;="&amp;EOMONTH($A14,0),Tabla1[Codigo_actividad],T$2)</f>
        <v>2</v>
      </c>
      <c r="U14" s="231">
        <f>+SUMIFS(Tabla1[Avance_Med],Tabla1[Fecha],"&gt;="&amp;$A14,Tabla1[Fecha],"&lt;="&amp;EOMONTH($A14,0),Tabla1[Codigo_actividad],U$2)</f>
        <v>0</v>
      </c>
      <c r="V14" s="231">
        <f>+SUMIFS(Tabla1[Avance_Med],Tabla1[Fecha],"&gt;="&amp;$A14,Tabla1[Fecha],"&lt;="&amp;EOMONTH($A14,0),Tabla1[Codigo_actividad],V$2)</f>
        <v>2</v>
      </c>
      <c r="W14" s="231">
        <f>+SUMIFS(Tabla1[Avance_Med],Tabla1[Fecha],"&gt;="&amp;$A14,Tabla1[Fecha],"&lt;="&amp;EOMONTH($A14,0),Tabla1[Codigo_actividad],W$2)</f>
        <v>0</v>
      </c>
      <c r="X14" s="231">
        <f>+SUMIFS(Tabla1[Avance_Med],Tabla1[Fecha],"&gt;="&amp;$A14,Tabla1[Fecha],"&lt;="&amp;EOMONTH($A14,0),Tabla1[Codigo_actividad],X$2)</f>
        <v>0</v>
      </c>
      <c r="Y14" s="231">
        <f>+SUMIFS(Tabla1[Avance_Med],Tabla1[Fecha],"&gt;="&amp;$A14,Tabla1[Fecha],"&lt;="&amp;EOMONTH($A14,0),Tabla1[Codigo_actividad],Y$2)</f>
        <v>2</v>
      </c>
      <c r="Z14" s="231">
        <f>+SUMIFS(Tabla1[Avance_Med],Tabla1[Fecha],"&gt;="&amp;$A14,Tabla1[Fecha],"&lt;="&amp;EOMONTH($A14,0),Tabla1[Codigo_actividad],Z$2)</f>
        <v>2</v>
      </c>
      <c r="AA14" s="231">
        <f>+SUMIFS(Tabla1[Avance_Med],Tabla1[Fecha],"&gt;="&amp;$A14,Tabla1[Fecha],"&lt;="&amp;EOMONTH($A14,0),Tabla1[Codigo_actividad],AA$2)</f>
        <v>0</v>
      </c>
      <c r="AB14" s="231">
        <f>+SUMIFS(Tabla1[Avance_Med],Tabla1[Fecha],"&gt;="&amp;$A14,Tabla1[Fecha],"&lt;="&amp;EOMONTH($A14,0),Tabla1[Codigo_actividad],AB$2)</f>
        <v>0</v>
      </c>
      <c r="AC14" s="231">
        <f>+SUMIFS(Tabla1[Avance_Med],Tabla1[Fecha],"&gt;="&amp;$A14,Tabla1[Fecha],"&lt;="&amp;EOMONTH($A14,0),Tabla1[Codigo_actividad],AC$2)</f>
        <v>0</v>
      </c>
      <c r="AD14" s="231">
        <f>+SUMIFS(Tabla1[Avance_Med],Tabla1[Fecha],"&gt;="&amp;$A14,Tabla1[Fecha],"&lt;="&amp;EOMONTH($A14,0),Tabla1[Codigo_actividad],AD$2)</f>
        <v>0</v>
      </c>
      <c r="AE14" s="231">
        <f>+SUMIFS(Tabla1[Avance_Med],Tabla1[Fecha],"&gt;="&amp;$A14,Tabla1[Fecha],"&lt;="&amp;EOMONTH($A14,0),Tabla1[Codigo_actividad],AE$2)</f>
        <v>0</v>
      </c>
      <c r="AF14" s="231">
        <f>+SUMIFS(Tabla1[Avance_Med],Tabla1[Fecha],"&gt;="&amp;$A14,Tabla1[Fecha],"&lt;="&amp;EOMONTH($A14,0),Tabla1[Codigo_actividad],AF$2)</f>
        <v>0</v>
      </c>
      <c r="AG14" s="231">
        <f>+SUMIFS(Tabla1[Avance_Med],Tabla1[Fecha],"&gt;="&amp;$A14,Tabla1[Fecha],"&lt;="&amp;EOMONTH($A14,0),Tabla1[Codigo_actividad],AG$2)</f>
        <v>0</v>
      </c>
      <c r="AH14" s="231">
        <f>+SUMIFS(Tabla1[Avance_Med],Tabla1[Fecha],"&gt;="&amp;$A14,Tabla1[Fecha],"&lt;="&amp;EOMONTH($A14,0),Tabla1[Codigo_actividad],AH$2)</f>
        <v>0</v>
      </c>
      <c r="AI14" s="231">
        <f>+SUMIFS(Tabla1[Avance_Med],Tabla1[Fecha],"&gt;="&amp;$A14,Tabla1[Fecha],"&lt;="&amp;EOMONTH($A14,0),Tabla1[Codigo_actividad],AI$2)</f>
        <v>0</v>
      </c>
      <c r="AJ14" s="231">
        <f>+SUMIFS(Tabla1[Avance_Med],Tabla1[Fecha],"&gt;="&amp;$A14,Tabla1[Fecha],"&lt;="&amp;EOMONTH($A14,0),Tabla1[Codigo_actividad],AJ$2)</f>
        <v>24</v>
      </c>
      <c r="AK14" s="231">
        <f>+SUMIFS(Tabla1[Avance_Med],Tabla1[Fecha],"&gt;="&amp;$A14,Tabla1[Fecha],"&lt;="&amp;EOMONTH($A14,0),Tabla1[Codigo_actividad],AK$2)</f>
        <v>24</v>
      </c>
      <c r="AL14" s="231">
        <f>+SUMIFS(Tabla1[Avance_Med],Tabla1[Fecha],"&gt;="&amp;$A14,Tabla1[Fecha],"&lt;="&amp;EOMONTH($A14,0),Tabla1[Codigo_actividad],AL$2)</f>
        <v>0</v>
      </c>
      <c r="AM14" s="231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2">
        <v>46266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+SUMIFS(Tabla1[Avance_km],Tabla1[Fecha],"&gt;="&amp;$A15,Tabla1[Fecha],"&lt;="&amp;EOMONTH($A15,0),Tabla1[Codigo_actividad],H$2)</f>
        <v>10.719999999999999</v>
      </c>
      <c r="I15" s="231">
        <f>+SUMIFS(Tabla1[Avance_km],Tabla1[Fecha],"&gt;="&amp;$A15,Tabla1[Fecha],"&lt;="&amp;EOMONTH($A15,0),Tabla1[Codigo_actividad],I$2)</f>
        <v>0</v>
      </c>
      <c r="J15" s="231">
        <f>+SUMIFS(Tabla1[Avance_km],Tabla1[Fecha],"&gt;="&amp;$A15,Tabla1[Fecha],"&lt;="&amp;EOMONTH($A15,0),Tabla1[Codigo_actividad],J$2,Tabla1[Avance_km],"&gt;0")</f>
        <v>0</v>
      </c>
      <c r="K15" s="343">
        <f>+SUMIFS(Tabla1[Avance_km],Tabla1[Fecha],"&gt;="&amp;$A15,Tabla1[Fecha],"&lt;="&amp;EOMONTH($A15,0),Tabla1[Codigo_actividad],K$2)</f>
        <v>32.143149088657644</v>
      </c>
      <c r="L15" s="231">
        <f>+SUMIFS(Tabla1[Avance_Med],Tabla1[Fecha],"&gt;="&amp;$A15,Tabla1[Fecha],"&lt;="&amp;EOMONTH($A15,0),Tabla1[Codigo_actividad],L$2)</f>
        <v>20</v>
      </c>
      <c r="M15" s="231">
        <f>+SUMIFS(Tabla1[Avance_km],Tabla1[Fecha],"&gt;="&amp;$A15,Tabla1[Fecha],"&lt;="&amp;EOMONTH($A15,0),Tabla1[Codigo_actividad],M$2)</f>
        <v>20.07</v>
      </c>
      <c r="N15" s="231">
        <f>+SUMIFS(Tabla1[Avance_Med],Tabla1[Fecha],"&gt;="&amp;$A15,Tabla1[Fecha],"&lt;="&amp;EOMONTH($A15,0),Tabla1[Codigo_actividad],N$2)</f>
        <v>34</v>
      </c>
      <c r="O15" s="231">
        <f>+SUMIFS(Tabla1[Avance_Med],Tabla1[Fecha],"&gt;="&amp;$A15,Tabla1[Fecha],"&lt;="&amp;EOMONTH($A15,0),Tabla1[Codigo_actividad],O$2)</f>
        <v>34</v>
      </c>
      <c r="P15" s="231">
        <f>+SUMIFS(Tabla1[Avance_Med],Tabla1[Fecha],"&gt;="&amp;$A15,Tabla1[Fecha],"&lt;="&amp;EOMONTH($A15,0),Tabla1[Codigo_actividad],P$2)</f>
        <v>34</v>
      </c>
      <c r="Q15" s="231">
        <f>+SUMIFS(Tabla1[Avance_Med],Tabla1[Fecha],"&gt;="&amp;$A15,Tabla1[Fecha],"&lt;="&amp;EOMONTH($A15,0),Tabla1[Codigo_actividad],Q$2)</f>
        <v>8</v>
      </c>
      <c r="R15" s="231">
        <f>+SUMIFS(Tabla1[Avance_Med],Tabla1[Fecha],"&gt;="&amp;$A15,Tabla1[Fecha],"&lt;="&amp;EOMONTH($A15,0),Tabla1[Codigo_actividad],R$2)</f>
        <v>8</v>
      </c>
      <c r="S15" s="231">
        <f>+SUMIFS(Tabla1[Avance_Med],Tabla1[Fecha],"&gt;="&amp;$A15,Tabla1[Fecha],"&lt;="&amp;EOMONTH($A15,0),Tabla1[Codigo_actividad],S$2)</f>
        <v>8</v>
      </c>
      <c r="T15" s="231">
        <f>+SUMIFS(Tabla1[Avance_Med],Tabla1[Fecha],"&gt;="&amp;$A15,Tabla1[Fecha],"&lt;="&amp;EOMONTH($A15,0),Tabla1[Codigo_actividad],T$2)</f>
        <v>8</v>
      </c>
      <c r="U15" s="231">
        <f>+SUMIFS(Tabla1[Avance_Med],Tabla1[Fecha],"&gt;="&amp;$A15,Tabla1[Fecha],"&lt;="&amp;EOMONTH($A15,0),Tabla1[Codigo_actividad],U$2)</f>
        <v>2</v>
      </c>
      <c r="V15" s="231">
        <f>+SUMIFS(Tabla1[Avance_Med],Tabla1[Fecha],"&gt;="&amp;$A15,Tabla1[Fecha],"&lt;="&amp;EOMONTH($A15,0),Tabla1[Codigo_actividad],V$2)</f>
        <v>8</v>
      </c>
      <c r="W15" s="231">
        <f>+SUMIFS(Tabla1[Avance_Med],Tabla1[Fecha],"&gt;="&amp;$A15,Tabla1[Fecha],"&lt;="&amp;EOMONTH($A15,0),Tabla1[Codigo_actividad],W$2)</f>
        <v>2</v>
      </c>
      <c r="X15" s="231">
        <f>+SUMIFS(Tabla1[Avance_Med],Tabla1[Fecha],"&gt;="&amp;$A15,Tabla1[Fecha],"&lt;="&amp;EOMONTH($A15,0),Tabla1[Codigo_actividad],X$2)</f>
        <v>3</v>
      </c>
      <c r="Y15" s="231">
        <f>+SUMIFS(Tabla1[Avance_Med],Tabla1[Fecha],"&gt;="&amp;$A15,Tabla1[Fecha],"&lt;="&amp;EOMONTH($A15,0),Tabla1[Codigo_actividad],Y$2)</f>
        <v>8</v>
      </c>
      <c r="Z15" s="231">
        <f>+SUMIFS(Tabla1[Avance_Med],Tabla1[Fecha],"&gt;="&amp;$A15,Tabla1[Fecha],"&lt;="&amp;EOMONTH($A15,0),Tabla1[Codigo_actividad],Z$2)</f>
        <v>8</v>
      </c>
      <c r="AA15" s="231">
        <f>+SUMIFS(Tabla1[Avance_Med],Tabla1[Fecha],"&gt;="&amp;$A15,Tabla1[Fecha],"&lt;="&amp;EOMONTH($A15,0),Tabla1[Codigo_actividad],AA$2)</f>
        <v>0</v>
      </c>
      <c r="AB15" s="231">
        <f>+SUMIFS(Tabla1[Avance_Med],Tabla1[Fecha],"&gt;="&amp;$A15,Tabla1[Fecha],"&lt;="&amp;EOMONTH($A15,0),Tabla1[Codigo_actividad],AB$2)</f>
        <v>0</v>
      </c>
      <c r="AC15" s="231">
        <f>+SUMIFS(Tabla1[Avance_Med],Tabla1[Fecha],"&gt;="&amp;$A15,Tabla1[Fecha],"&lt;="&amp;EOMONTH($A15,0),Tabla1[Codigo_actividad],AC$2)</f>
        <v>0</v>
      </c>
      <c r="AD15" s="231">
        <f>+SUMIFS(Tabla1[Avance_Med],Tabla1[Fecha],"&gt;="&amp;$A15,Tabla1[Fecha],"&lt;="&amp;EOMONTH($A15,0),Tabla1[Codigo_actividad],AD$2)</f>
        <v>0</v>
      </c>
      <c r="AE15" s="231">
        <f>+SUMIFS(Tabla1[Avance_Med],Tabla1[Fecha],"&gt;="&amp;$A15,Tabla1[Fecha],"&lt;="&amp;EOMONTH($A15,0),Tabla1[Codigo_actividad],AE$2)</f>
        <v>0</v>
      </c>
      <c r="AF15" s="231">
        <f>+SUMIFS(Tabla1[Avance_Med],Tabla1[Fecha],"&gt;="&amp;$A15,Tabla1[Fecha],"&lt;="&amp;EOMONTH($A15,0),Tabla1[Codigo_actividad],AF$2)</f>
        <v>0</v>
      </c>
      <c r="AG15" s="231">
        <f>+SUMIFS(Tabla1[Avance_Med],Tabla1[Fecha],"&gt;="&amp;$A15,Tabla1[Fecha],"&lt;="&amp;EOMONTH($A15,0),Tabla1[Codigo_actividad],AG$2)</f>
        <v>0</v>
      </c>
      <c r="AH15" s="231">
        <f>+SUMIFS(Tabla1[Avance_Med],Tabla1[Fecha],"&gt;="&amp;$A15,Tabla1[Fecha],"&lt;="&amp;EOMONTH($A15,0),Tabla1[Codigo_actividad],AH$2)</f>
        <v>0</v>
      </c>
      <c r="AI15" s="231">
        <f>+SUMIFS(Tabla1[Avance_Med],Tabla1[Fecha],"&gt;="&amp;$A15,Tabla1[Fecha],"&lt;="&amp;EOMONTH($A15,0),Tabla1[Codigo_actividad],AI$2)</f>
        <v>0</v>
      </c>
      <c r="AJ15" s="231">
        <f>+SUMIFS(Tabla1[Avance_Med],Tabla1[Fecha],"&gt;="&amp;$A15,Tabla1[Fecha],"&lt;="&amp;EOMONTH($A15,0),Tabla1[Codigo_actividad],AJ$2)</f>
        <v>0</v>
      </c>
      <c r="AK15" s="231">
        <f>+SUMIFS(Tabla1[Avance_Med],Tabla1[Fecha],"&gt;="&amp;$A15,Tabla1[Fecha],"&lt;="&amp;EOMONTH($A15,0),Tabla1[Codigo_actividad],AK$2)</f>
        <v>0</v>
      </c>
      <c r="AL15" s="231">
        <f>+SUMIFS(Tabla1[Avance_Med],Tabla1[Fecha],"&gt;="&amp;$A15,Tabla1[Fecha],"&lt;="&amp;EOMONTH($A15,0),Tabla1[Codigo_actividad],AL$2)</f>
        <v>0</v>
      </c>
      <c r="AM15" s="231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944715.10459999996</v>
      </c>
    </row>
    <row r="16" spans="1:42" x14ac:dyDescent="0.25">
      <c r="A16" s="242">
        <v>46296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+SUMIFS(Tabla1[Avance_km],Tabla1[Fecha],"&gt;="&amp;$A16,Tabla1[Fecha],"&lt;="&amp;EOMONTH($A16,0),Tabla1[Codigo_actividad],H$2)</f>
        <v>14.6175</v>
      </c>
      <c r="I16" s="231">
        <f>+SUMIFS(Tabla1[Avance_km],Tabla1[Fecha],"&gt;="&amp;$A16,Tabla1[Fecha],"&lt;="&amp;EOMONTH($A16,0),Tabla1[Codigo_actividad],I$2)</f>
        <v>0</v>
      </c>
      <c r="J16" s="231">
        <f>+SUMIFS(Tabla1[Avance_km],Tabla1[Fecha],"&gt;="&amp;$A16,Tabla1[Fecha],"&lt;="&amp;EOMONTH($A16,0),Tabla1[Codigo_actividad],J$2,Tabla1[Avance_km],"&gt;0")</f>
        <v>1.6244999999999994</v>
      </c>
      <c r="K16" s="343">
        <f>+SUMIFS(Tabla1[Avance_km],Tabla1[Fecha],"&gt;="&amp;$A16,Tabla1[Fecha],"&lt;="&amp;EOMONTH($A16,0),Tabla1[Codigo_actividad],K$2)</f>
        <v>42.378686767501833</v>
      </c>
      <c r="L16" s="231">
        <f>+SUMIFS(Tabla1[Avance_Med],Tabla1[Fecha],"&gt;="&amp;$A16,Tabla1[Fecha],"&lt;="&amp;EOMONTH($A16,0),Tabla1[Codigo_actividad],L$2)</f>
        <v>0</v>
      </c>
      <c r="M16" s="231">
        <f>+SUMIFS(Tabla1[Avance_km],Tabla1[Fecha],"&gt;="&amp;$A16,Tabla1[Fecha],"&lt;="&amp;EOMONTH($A16,0),Tabla1[Codigo_actividad],M$2)</f>
        <v>1.6244999999999994</v>
      </c>
      <c r="N16" s="231">
        <f>+SUMIFS(Tabla1[Avance_Med],Tabla1[Fecha],"&gt;="&amp;$A16,Tabla1[Fecha],"&lt;="&amp;EOMONTH($A16,0),Tabla1[Codigo_actividad],N$2)</f>
        <v>4</v>
      </c>
      <c r="O16" s="231">
        <f>+SUMIFS(Tabla1[Avance_Med],Tabla1[Fecha],"&gt;="&amp;$A16,Tabla1[Fecha],"&lt;="&amp;EOMONTH($A16,0),Tabla1[Codigo_actividad],O$2)</f>
        <v>4</v>
      </c>
      <c r="P16" s="231">
        <f>+SUMIFS(Tabla1[Avance_Med],Tabla1[Fecha],"&gt;="&amp;$A16,Tabla1[Fecha],"&lt;="&amp;EOMONTH($A16,0),Tabla1[Codigo_actividad],P$2)</f>
        <v>4</v>
      </c>
      <c r="Q16" s="231">
        <f>+SUMIFS(Tabla1[Avance_Med],Tabla1[Fecha],"&gt;="&amp;$A16,Tabla1[Fecha],"&lt;="&amp;EOMONTH($A16,0),Tabla1[Codigo_actividad],Q$2)</f>
        <v>4</v>
      </c>
      <c r="R16" s="231">
        <f>+SUMIFS(Tabla1[Avance_Med],Tabla1[Fecha],"&gt;="&amp;$A16,Tabla1[Fecha],"&lt;="&amp;EOMONTH($A16,0),Tabla1[Codigo_actividad],R$2)</f>
        <v>5</v>
      </c>
      <c r="S16" s="231">
        <f>+SUMIFS(Tabla1[Avance_Med],Tabla1[Fecha],"&gt;="&amp;$A16,Tabla1[Fecha],"&lt;="&amp;EOMONTH($A16,0),Tabla1[Codigo_actividad],S$2)</f>
        <v>5</v>
      </c>
      <c r="T16" s="231">
        <f>+SUMIFS(Tabla1[Avance_Med],Tabla1[Fecha],"&gt;="&amp;$A16,Tabla1[Fecha],"&lt;="&amp;EOMONTH($A16,0),Tabla1[Codigo_actividad],T$2)</f>
        <v>5</v>
      </c>
      <c r="U16" s="231">
        <f>+SUMIFS(Tabla1[Avance_Med],Tabla1[Fecha],"&gt;="&amp;$A16,Tabla1[Fecha],"&lt;="&amp;EOMONTH($A16,0),Tabla1[Codigo_actividad],U$2)</f>
        <v>0</v>
      </c>
      <c r="V16" s="231">
        <f>+SUMIFS(Tabla1[Avance_Med],Tabla1[Fecha],"&gt;="&amp;$A16,Tabla1[Fecha],"&lt;="&amp;EOMONTH($A16,0),Tabla1[Codigo_actividad],V$2)</f>
        <v>5</v>
      </c>
      <c r="W16" s="231">
        <f>+SUMIFS(Tabla1[Avance_Med],Tabla1[Fecha],"&gt;="&amp;$A16,Tabla1[Fecha],"&lt;="&amp;EOMONTH($A16,0),Tabla1[Codigo_actividad],W$2)</f>
        <v>0</v>
      </c>
      <c r="X16" s="231">
        <f>+SUMIFS(Tabla1[Avance_Med],Tabla1[Fecha],"&gt;="&amp;$A16,Tabla1[Fecha],"&lt;="&amp;EOMONTH($A16,0),Tabla1[Codigo_actividad],X$2)</f>
        <v>0</v>
      </c>
      <c r="Y16" s="231">
        <f>+SUMIFS(Tabla1[Avance_Med],Tabla1[Fecha],"&gt;="&amp;$A16,Tabla1[Fecha],"&lt;="&amp;EOMONTH($A16,0),Tabla1[Codigo_actividad],Y$2)</f>
        <v>4</v>
      </c>
      <c r="Z16" s="231">
        <f>+SUMIFS(Tabla1[Avance_Med],Tabla1[Fecha],"&gt;="&amp;$A16,Tabla1[Fecha],"&lt;="&amp;EOMONTH($A16,0),Tabla1[Codigo_actividad],Z$2)</f>
        <v>4</v>
      </c>
      <c r="AA16" s="231">
        <f>+SUMIFS(Tabla1[Avance_Med],Tabla1[Fecha],"&gt;="&amp;$A16,Tabla1[Fecha],"&lt;="&amp;EOMONTH($A16,0),Tabla1[Codigo_actividad],AA$2)</f>
        <v>0</v>
      </c>
      <c r="AB16" s="231">
        <f>+SUMIFS(Tabla1[Avance_Med],Tabla1[Fecha],"&gt;="&amp;$A16,Tabla1[Fecha],"&lt;="&amp;EOMONTH($A16,0),Tabla1[Codigo_actividad],AB$2)</f>
        <v>0</v>
      </c>
      <c r="AC16" s="231">
        <f>+SUMIFS(Tabla1[Avance_Med],Tabla1[Fecha],"&gt;="&amp;$A16,Tabla1[Fecha],"&lt;="&amp;EOMONTH($A16,0),Tabla1[Codigo_actividad],AC$2)</f>
        <v>0</v>
      </c>
      <c r="AD16" s="231">
        <f>+SUMIFS(Tabla1[Avance_Med],Tabla1[Fecha],"&gt;="&amp;$A16,Tabla1[Fecha],"&lt;="&amp;EOMONTH($A16,0),Tabla1[Codigo_actividad],AD$2)</f>
        <v>0</v>
      </c>
      <c r="AE16" s="231">
        <f>+SUMIFS(Tabla1[Avance_Med],Tabla1[Fecha],"&gt;="&amp;$A16,Tabla1[Fecha],"&lt;="&amp;EOMONTH($A16,0),Tabla1[Codigo_actividad],AE$2)</f>
        <v>0</v>
      </c>
      <c r="AF16" s="231">
        <f>+SUMIFS(Tabla1[Avance_Med],Tabla1[Fecha],"&gt;="&amp;$A16,Tabla1[Fecha],"&lt;="&amp;EOMONTH($A16,0),Tabla1[Codigo_actividad],AF$2)</f>
        <v>0</v>
      </c>
      <c r="AG16" s="231">
        <f>+SUMIFS(Tabla1[Avance_Med],Tabla1[Fecha],"&gt;="&amp;$A16,Tabla1[Fecha],"&lt;="&amp;EOMONTH($A16,0),Tabla1[Codigo_actividad],AG$2)</f>
        <v>0</v>
      </c>
      <c r="AH16" s="231">
        <f>+SUMIFS(Tabla1[Avance_Med],Tabla1[Fecha],"&gt;="&amp;$A16,Tabla1[Fecha],"&lt;="&amp;EOMONTH($A16,0),Tabla1[Codigo_actividad],AH$2)</f>
        <v>0</v>
      </c>
      <c r="AI16" s="231">
        <f>+SUMIFS(Tabla1[Avance_Med],Tabla1[Fecha],"&gt;="&amp;$A16,Tabla1[Fecha],"&lt;="&amp;EOMONTH($A16,0),Tabla1[Codigo_actividad],AI$2)</f>
        <v>0</v>
      </c>
      <c r="AJ16" s="231">
        <f>+SUMIFS(Tabla1[Avance_Med],Tabla1[Fecha],"&gt;="&amp;$A16,Tabla1[Fecha],"&lt;="&amp;EOMONTH($A16,0),Tabla1[Codigo_actividad],AJ$2)</f>
        <v>0</v>
      </c>
      <c r="AK16" s="231">
        <f>+SUMIFS(Tabla1[Avance_Med],Tabla1[Fecha],"&gt;="&amp;$A16,Tabla1[Fecha],"&lt;="&amp;EOMONTH($A16,0),Tabla1[Codigo_actividad],AK$2)</f>
        <v>0</v>
      </c>
      <c r="AL16" s="231">
        <f>+SUMIFS(Tabla1[Avance_Med],Tabla1[Fecha],"&gt;="&amp;$A16,Tabla1[Fecha],"&lt;="&amp;EOMONTH($A16,0),Tabla1[Codigo_actividad],AL$2)</f>
        <v>0</v>
      </c>
      <c r="AM16" s="231">
        <f>+SUMIFS(Tabla1[Avance_Med],Tabla1[Fecha],"&gt;="&amp;$A16,Tabla1[Fecha],"&lt;="&amp;EOMONTH($A16,0),Tabla1[Codigo_actividad],AM$2)</f>
        <v>0</v>
      </c>
      <c r="AN16" s="442"/>
      <c r="AP16" s="13">
        <f t="shared" si="0"/>
        <v>843130.97039999999</v>
      </c>
    </row>
    <row r="17" spans="1:44" x14ac:dyDescent="0.25">
      <c r="A17" s="242">
        <v>46327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+SUMIFS(Tabla1[Avance_km],Tabla1[Fecha],"&gt;="&amp;$A17,Tabla1[Fecha],"&lt;="&amp;EOMONTH($A17,0),Tabla1[Codigo_actividad],H$2)</f>
        <v>0</v>
      </c>
      <c r="I17" s="231">
        <f>+SUMIFS(Tabla1[Avance_km],Tabla1[Fecha],"&gt;="&amp;$A17,Tabla1[Fecha],"&lt;="&amp;EOMONTH($A17,0),Tabla1[Codigo_actividad],I$2)</f>
        <v>0</v>
      </c>
      <c r="J17" s="231">
        <f>+SUMIFS(Tabla1[Avance_km],Tabla1[Fecha],"&gt;="&amp;$A17,Tabla1[Fecha],"&lt;="&amp;EOMONTH($A17,0),Tabla1[Codigo_actividad],J$2,Tabla1[Avance_km],"&gt;0")</f>
        <v>0</v>
      </c>
      <c r="K17" s="343">
        <f>+SUMIFS(Tabla1[Avance_km],Tabla1[Fecha],"&gt;="&amp;$A17,Tabla1[Fecha],"&lt;="&amp;EOMONTH($A17,0),Tabla1[Codigo_actividad],K$2)</f>
        <v>0</v>
      </c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+SUMIFS(Tabla1[Avance_km],Tabla1[Fecha],"&gt;="&amp;$A17,Tabla1[Fecha],"&lt;="&amp;EOMONTH($A17,0),Tabla1[Codigo_actividad],M$2)</f>
        <v>0</v>
      </c>
      <c r="N17" s="231">
        <f>+SUMIFS(Tabla1[Avance_Med],Tabla1[Fecha],"&gt;="&amp;$A17,Tabla1[Fecha],"&lt;="&amp;EOMONTH($A17,0),Tabla1[Codigo_actividad],N$2)</f>
        <v>0</v>
      </c>
      <c r="O17" s="231">
        <f>+SUMIFS(Tabla1[Avance_Med],Tabla1[Fecha],"&gt;="&amp;$A17,Tabla1[Fecha],"&lt;="&amp;EOMONTH($A17,0),Tabla1[Codigo_actividad],O$2)</f>
        <v>0</v>
      </c>
      <c r="P17" s="231">
        <f>+SUMIFS(Tabla1[Avance_Med],Tabla1[Fecha],"&gt;="&amp;$A17,Tabla1[Fecha],"&lt;="&amp;EOMONTH($A17,0),Tabla1[Codigo_actividad],P$2)</f>
        <v>0</v>
      </c>
      <c r="Q17" s="231">
        <f>+SUMIFS(Tabla1[Avance_Med],Tabla1[Fecha],"&gt;="&amp;$A17,Tabla1[Fecha],"&lt;="&amp;EOMONTH($A17,0),Tabla1[Codigo_actividad],Q$2)</f>
        <v>0</v>
      </c>
      <c r="R17" s="231">
        <f>+SUMIFS(Tabla1[Avance_Med],Tabla1[Fecha],"&gt;="&amp;$A17,Tabla1[Fecha],"&lt;="&amp;EOMONTH($A17,0),Tabla1[Codigo_actividad],R$2)</f>
        <v>0</v>
      </c>
      <c r="S17" s="231">
        <f>+SUMIFS(Tabla1[Avance_Med],Tabla1[Fecha],"&gt;="&amp;$A17,Tabla1[Fecha],"&lt;="&amp;EOMONTH($A17,0),Tabla1[Codigo_actividad],S$2)</f>
        <v>0</v>
      </c>
      <c r="T17" s="231">
        <f>+SUMIFS(Tabla1[Avance_Med],Tabla1[Fecha],"&gt;="&amp;$A17,Tabla1[Fecha],"&lt;="&amp;EOMONTH($A17,0),Tabla1[Codigo_actividad],T$2)</f>
        <v>0</v>
      </c>
      <c r="U17" s="231">
        <f>+SUMIFS(Tabla1[Avance_Med],Tabla1[Fecha],"&gt;="&amp;$A17,Tabla1[Fecha],"&lt;="&amp;EOMONTH($A17,0),Tabla1[Codigo_actividad],U$2)</f>
        <v>0</v>
      </c>
      <c r="V17" s="231">
        <f>+SUMIFS(Tabla1[Avance_Med],Tabla1[Fecha],"&gt;="&amp;$A17,Tabla1[Fecha],"&lt;="&amp;EOMONTH($A17,0),Tabla1[Codigo_actividad],V$2)</f>
        <v>0</v>
      </c>
      <c r="W17" s="231">
        <f>+SUMIFS(Tabla1[Avance_Med],Tabla1[Fecha],"&gt;="&amp;$A17,Tabla1[Fecha],"&lt;="&amp;EOMONTH($A17,0),Tabla1[Codigo_actividad],W$2)</f>
        <v>0</v>
      </c>
      <c r="X17" s="231">
        <f>+SUMIFS(Tabla1[Avance_Med],Tabla1[Fecha],"&gt;="&amp;$A17,Tabla1[Fecha],"&lt;="&amp;EOMONTH($A17,0),Tabla1[Codigo_actividad],X$2)</f>
        <v>0</v>
      </c>
      <c r="Y17" s="231">
        <f>+SUMIFS(Tabla1[Avance_Med],Tabla1[Fecha],"&gt;="&amp;$A17,Tabla1[Fecha],"&lt;="&amp;EOMONTH($A17,0),Tabla1[Codigo_actividad],Y$2)</f>
        <v>0</v>
      </c>
      <c r="Z17" s="231">
        <f>+SUMIFS(Tabla1[Avance_Med],Tabla1[Fecha],"&gt;="&amp;$A17,Tabla1[Fecha],"&lt;="&amp;EOMONTH($A17,0),Tabla1[Codigo_actividad],Z$2)</f>
        <v>0</v>
      </c>
      <c r="AA17" s="231">
        <f>+SUMIFS(Tabla1[Avance_Med],Tabla1[Fecha],"&gt;="&amp;$A17,Tabla1[Fecha],"&lt;="&amp;EOMONTH($A17,0),Tabla1[Codigo_actividad],AA$2)</f>
        <v>0</v>
      </c>
      <c r="AB17" s="231">
        <f>+SUMIFS(Tabla1[Avance_Med],Tabla1[Fecha],"&gt;="&amp;$A17,Tabla1[Fecha],"&lt;="&amp;EOMONTH($A17,0),Tabla1[Codigo_actividad],AB$2)</f>
        <v>0</v>
      </c>
      <c r="AC17" s="231">
        <f>+SUMIFS(Tabla1[Avance_Med],Tabla1[Fecha],"&gt;="&amp;$A17,Tabla1[Fecha],"&lt;="&amp;EOMONTH($A17,0),Tabla1[Codigo_actividad],AC$2)</f>
        <v>0</v>
      </c>
      <c r="AD17" s="231">
        <f>+SUMIFS(Tabla1[Avance_Med],Tabla1[Fecha],"&gt;="&amp;$A17,Tabla1[Fecha],"&lt;="&amp;EOMONTH($A17,0),Tabla1[Codigo_actividad],AD$2)</f>
        <v>0</v>
      </c>
      <c r="AE17" s="231">
        <f>+SUMIFS(Tabla1[Avance_Med],Tabla1[Fecha],"&gt;="&amp;$A17,Tabla1[Fecha],"&lt;="&amp;EOMONTH($A17,0),Tabla1[Codigo_actividad],AE$2)</f>
        <v>0</v>
      </c>
      <c r="AF17" s="231">
        <f>+SUMIFS(Tabla1[Avance_Med],Tabla1[Fecha],"&gt;="&amp;$A17,Tabla1[Fecha],"&lt;="&amp;EOMONTH($A17,0),Tabla1[Codigo_actividad],AF$2)</f>
        <v>0</v>
      </c>
      <c r="AG17" s="231">
        <f>+SUMIFS(Tabla1[Avance_Med],Tabla1[Fecha],"&gt;="&amp;$A17,Tabla1[Fecha],"&lt;="&amp;EOMONTH($A17,0),Tabla1[Codigo_actividad],AG$2)</f>
        <v>0</v>
      </c>
      <c r="AH17" s="231">
        <f>+SUMIFS(Tabla1[Avance_Med],Tabla1[Fecha],"&gt;="&amp;$A17,Tabla1[Fecha],"&lt;="&amp;EOMONTH($A17,0),Tabla1[Codigo_actividad],AH$2)</f>
        <v>0</v>
      </c>
      <c r="AI17" s="231">
        <f>+SUMIFS(Tabla1[Avance_Med],Tabla1[Fecha],"&gt;="&amp;$A17,Tabla1[Fecha],"&lt;="&amp;EOMONTH($A17,0),Tabla1[Codigo_actividad],AI$2)</f>
        <v>0</v>
      </c>
      <c r="AJ17" s="231">
        <f>+SUMIFS(Tabla1[Avance_Med],Tabla1[Fecha],"&gt;="&amp;$A17,Tabla1[Fecha],"&lt;="&amp;EOMONTH($A17,0),Tabla1[Codigo_actividad],AJ$2)</f>
        <v>0</v>
      </c>
      <c r="AK17" s="231">
        <f>+SUMIFS(Tabla1[Avance_Med],Tabla1[Fecha],"&gt;="&amp;$A17,Tabla1[Fecha],"&lt;="&amp;EOMONTH($A17,0),Tabla1[Codigo_actividad],AK$2)</f>
        <v>0</v>
      </c>
      <c r="AL17" s="231">
        <f>+SUMIFS(Tabla1[Avance_Med],Tabla1[Fecha],"&gt;="&amp;$A17,Tabla1[Fecha],"&lt;="&amp;EOMONTH($A17,0),Tabla1[Codigo_actividad],AL$2)</f>
        <v>0</v>
      </c>
      <c r="AM17" s="231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2">
        <v>46357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+SUMIFS(Tabla1[Avance_km],Tabla1[Fecha],"&gt;="&amp;$A18,Tabla1[Fecha],"&lt;="&amp;EOMONTH($A18,0),Tabla1[Codigo_actividad],H$2)</f>
        <v>0</v>
      </c>
      <c r="I18" s="231">
        <f>+SUMIFS(Tabla1[Avance_km],Tabla1[Fecha],"&gt;="&amp;$A18,Tabla1[Fecha],"&lt;="&amp;EOMONTH($A18,0),Tabla1[Codigo_actividad],I$2)</f>
        <v>0</v>
      </c>
      <c r="J18" s="231">
        <f>+SUMIFS(Tabla1[Avance_km],Tabla1[Fecha],"&gt;="&amp;$A18,Tabla1[Fecha],"&lt;="&amp;EOMONTH($A18,0),Tabla1[Codigo_actividad],J$2,Tabla1[Avance_km],"&gt;0")</f>
        <v>0</v>
      </c>
      <c r="K18" s="343">
        <f>+SUMIFS(Tabla1[Avance_km],Tabla1[Fecha],"&gt;="&amp;$A18,Tabla1[Fecha],"&lt;="&amp;EOMONTH($A18,0),Tabla1[Codigo_actividad],K$2)</f>
        <v>0</v>
      </c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+SUMIFS(Tabla1[Avance_km],Tabla1[Fecha],"&gt;="&amp;$A18,Tabla1[Fecha],"&lt;="&amp;EOMONTH($A18,0),Tabla1[Codigo_actividad],M$2)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1">
        <f>+SUMIFS(Tabla1[Avance_Med],Tabla1[Fecha],"&gt;="&amp;$A18,Tabla1[Fecha],"&lt;="&amp;EOMONTH($A18,0),Tabla1[Codigo_actividad],Q$2)</f>
        <v>0</v>
      </c>
      <c r="R18" s="231">
        <f>+SUMIFS(Tabla1[Avance_Med],Tabla1[Fecha],"&gt;="&amp;$A18,Tabla1[Fecha],"&lt;="&amp;EOMONTH($A18,0),Tabla1[Codigo_actividad],R$2)</f>
        <v>0</v>
      </c>
      <c r="S18" s="231">
        <f>+SUMIFS(Tabla1[Avance_Med],Tabla1[Fecha],"&gt;="&amp;$A18,Tabla1[Fecha],"&lt;="&amp;EOMONTH($A18,0),Tabla1[Codigo_actividad],S$2)</f>
        <v>0</v>
      </c>
      <c r="T18" s="231">
        <f>+SUMIFS(Tabla1[Avance_Med],Tabla1[Fecha],"&gt;="&amp;$A18,Tabla1[Fecha],"&lt;="&amp;EOMONTH($A18,0),Tabla1[Codigo_actividad],T$2)</f>
        <v>0</v>
      </c>
      <c r="U18" s="231">
        <f>+SUMIFS(Tabla1[Avance_Med],Tabla1[Fecha],"&gt;="&amp;$A18,Tabla1[Fecha],"&lt;="&amp;EOMONTH($A18,0),Tabla1[Codigo_actividad],U$2)</f>
        <v>0</v>
      </c>
      <c r="V18" s="231">
        <f>+SUMIFS(Tabla1[Avance_Med],Tabla1[Fecha],"&gt;="&amp;$A18,Tabla1[Fecha],"&lt;="&amp;EOMONTH($A18,0),Tabla1[Codigo_actividad],V$2)</f>
        <v>0</v>
      </c>
      <c r="W18" s="231">
        <f>+SUMIFS(Tabla1[Avance_Med],Tabla1[Fecha],"&gt;="&amp;$A18,Tabla1[Fecha],"&lt;="&amp;EOMONTH($A18,0),Tabla1[Codigo_actividad],W$2)</f>
        <v>0</v>
      </c>
      <c r="X18" s="231">
        <f>+SUMIFS(Tabla1[Avance_Med],Tabla1[Fecha],"&gt;="&amp;$A18,Tabla1[Fecha],"&lt;="&amp;EOMONTH($A18,0),Tabla1[Codigo_actividad],X$2)</f>
        <v>0</v>
      </c>
      <c r="Y18" s="231">
        <f>+SUMIFS(Tabla1[Avance_Med],Tabla1[Fecha],"&gt;="&amp;$A18,Tabla1[Fecha],"&lt;="&amp;EOMONTH($A18,0),Tabla1[Codigo_actividad],Y$2)</f>
        <v>0</v>
      </c>
      <c r="Z18" s="231">
        <f>+SUMIFS(Tabla1[Avance_Med],Tabla1[Fecha],"&gt;="&amp;$A18,Tabla1[Fecha],"&lt;="&amp;EOMONTH($A18,0),Tabla1[Codigo_actividad],Z$2)</f>
        <v>0</v>
      </c>
      <c r="AA18" s="231">
        <f>+SUMIFS(Tabla1[Avance_Med],Tabla1[Fecha],"&gt;="&amp;$A18,Tabla1[Fecha],"&lt;="&amp;EOMONTH($A18,0),Tabla1[Codigo_actividad],AA$2)</f>
        <v>0</v>
      </c>
      <c r="AB18" s="231">
        <f>+SUMIFS(Tabla1[Avance_Med],Tabla1[Fecha],"&gt;="&amp;$A18,Tabla1[Fecha],"&lt;="&amp;EOMONTH($A18,0),Tabla1[Codigo_actividad],AB$2)</f>
        <v>0</v>
      </c>
      <c r="AC18" s="231">
        <f>+SUMIFS(Tabla1[Avance_Med],Tabla1[Fecha],"&gt;="&amp;$A18,Tabla1[Fecha],"&lt;="&amp;EOMONTH($A18,0),Tabla1[Codigo_actividad],AC$2)</f>
        <v>0</v>
      </c>
      <c r="AD18" s="231">
        <f>+SUMIFS(Tabla1[Avance_Med],Tabla1[Fecha],"&gt;="&amp;$A18,Tabla1[Fecha],"&lt;="&amp;EOMONTH($A18,0),Tabla1[Codigo_actividad],AD$2)</f>
        <v>0</v>
      </c>
      <c r="AE18" s="231">
        <f>+SUMIFS(Tabla1[Avance_Med],Tabla1[Fecha],"&gt;="&amp;$A18,Tabla1[Fecha],"&lt;="&amp;EOMONTH($A18,0),Tabla1[Codigo_actividad],AE$2)</f>
        <v>0</v>
      </c>
      <c r="AF18" s="231">
        <f>+SUMIFS(Tabla1[Avance_Med],Tabla1[Fecha],"&gt;="&amp;$A18,Tabla1[Fecha],"&lt;="&amp;EOMONTH($A18,0),Tabla1[Codigo_actividad],AF$2)</f>
        <v>0</v>
      </c>
      <c r="AG18" s="231">
        <f>+SUMIFS(Tabla1[Avance_Med],Tabla1[Fecha],"&gt;="&amp;$A18,Tabla1[Fecha],"&lt;="&amp;EOMONTH($A18,0),Tabla1[Codigo_actividad],AG$2)</f>
        <v>0</v>
      </c>
      <c r="AH18" s="231">
        <f>+SUMIFS(Tabla1[Avance_Med],Tabla1[Fecha],"&gt;="&amp;$A18,Tabla1[Fecha],"&lt;="&amp;EOMONTH($A18,0),Tabla1[Codigo_actividad],AH$2)</f>
        <v>0</v>
      </c>
      <c r="AI18" s="231">
        <f>+SUMIFS(Tabla1[Avance_Med],Tabla1[Fecha],"&gt;="&amp;$A18,Tabla1[Fecha],"&lt;="&amp;EOMONTH($A18,0),Tabla1[Codigo_actividad],AI$2)</f>
        <v>0</v>
      </c>
      <c r="AJ18" s="231">
        <f>+SUMIFS(Tabla1[Avance_Med],Tabla1[Fecha],"&gt;="&amp;$A18,Tabla1[Fecha],"&lt;="&amp;EOMONTH($A18,0),Tabla1[Codigo_actividad],AJ$2)</f>
        <v>0</v>
      </c>
      <c r="AK18" s="231">
        <f>+SUMIFS(Tabla1[Avance_Med],Tabla1[Fecha],"&gt;="&amp;$A18,Tabla1[Fecha],"&lt;="&amp;EOMONTH($A18,0),Tabla1[Codigo_actividad],AK$2)</f>
        <v>0</v>
      </c>
      <c r="AL18" s="231">
        <f>+SUMIFS(Tabla1[Avance_Med],Tabla1[Fecha],"&gt;="&amp;$A18,Tabla1[Fecha],"&lt;="&amp;EOMONTH($A18,0),Tabla1[Codigo_actividad],AL$2)</f>
        <v>0</v>
      </c>
      <c r="AM18" s="231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6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3">
        <f t="shared" si="1"/>
        <v>96.450605565890868</v>
      </c>
      <c r="L19" s="1">
        <f t="shared" si="1"/>
        <v>396</v>
      </c>
      <c r="M19" s="252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7"/>
      <c r="AP19" s="13">
        <f>SUM(AP3:AP18)</f>
        <v>10050043.547300002</v>
      </c>
    </row>
    <row r="20" spans="1:44" x14ac:dyDescent="0.25">
      <c r="A20" s="226"/>
      <c r="H20" s="230">
        <f>145.5-H19</f>
        <v>-34.925500000000028</v>
      </c>
      <c r="J20" s="230">
        <f>145.5-J19</f>
        <v>-4.8245000000000289</v>
      </c>
      <c r="K20" s="61"/>
      <c r="L20" s="76"/>
      <c r="M20" s="230"/>
      <c r="AN20" s="237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523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2">
        <v>45901</v>
      </c>
      <c r="B23" s="314">
        <f>+B3*B$1</f>
        <v>0</v>
      </c>
      <c r="C23" s="314">
        <f t="shared" ref="C23:P23" si="2">+C3*C$1</f>
        <v>0</v>
      </c>
      <c r="D23" s="314">
        <f t="shared" si="2"/>
        <v>0</v>
      </c>
      <c r="E23" s="314">
        <f t="shared" si="2"/>
        <v>0</v>
      </c>
      <c r="F23" s="314">
        <f t="shared" si="2"/>
        <v>0</v>
      </c>
      <c r="G23" s="314">
        <f t="shared" si="2"/>
        <v>0</v>
      </c>
      <c r="H23" s="314">
        <f t="shared" si="2"/>
        <v>0</v>
      </c>
      <c r="I23" s="391">
        <f t="shared" si="2"/>
        <v>0</v>
      </c>
      <c r="J23" s="314">
        <f t="shared" si="2"/>
        <v>0</v>
      </c>
      <c r="K23" s="525">
        <f t="shared" si="2"/>
        <v>0</v>
      </c>
      <c r="L23" s="314">
        <f t="shared" si="2"/>
        <v>0</v>
      </c>
      <c r="M23" s="314">
        <f t="shared" si="2"/>
        <v>0</v>
      </c>
      <c r="N23" s="314">
        <f t="shared" si="2"/>
        <v>0</v>
      </c>
      <c r="O23" s="314">
        <f t="shared" si="2"/>
        <v>0</v>
      </c>
      <c r="P23" s="314">
        <f t="shared" si="2"/>
        <v>0</v>
      </c>
      <c r="Q23" s="314">
        <f t="shared" ref="Q23:AM23" si="3">+Q3*Q$1</f>
        <v>0</v>
      </c>
      <c r="R23" s="314">
        <f t="shared" si="3"/>
        <v>0</v>
      </c>
      <c r="S23" s="314">
        <f t="shared" si="3"/>
        <v>0</v>
      </c>
      <c r="T23" s="314">
        <f t="shared" si="3"/>
        <v>0</v>
      </c>
      <c r="U23" s="314">
        <f t="shared" si="3"/>
        <v>0</v>
      </c>
      <c r="V23" s="314">
        <f t="shared" si="3"/>
        <v>0</v>
      </c>
      <c r="W23" s="314">
        <f t="shared" si="3"/>
        <v>0</v>
      </c>
      <c r="X23" s="314">
        <f t="shared" si="3"/>
        <v>0</v>
      </c>
      <c r="Y23" s="314">
        <f t="shared" si="3"/>
        <v>0</v>
      </c>
      <c r="Z23" s="314">
        <f t="shared" si="3"/>
        <v>0</v>
      </c>
      <c r="AA23" s="314">
        <f t="shared" si="3"/>
        <v>0</v>
      </c>
      <c r="AB23" s="314">
        <f t="shared" si="3"/>
        <v>0</v>
      </c>
      <c r="AC23" s="314">
        <f t="shared" si="3"/>
        <v>0</v>
      </c>
      <c r="AD23" s="314">
        <f t="shared" si="3"/>
        <v>0</v>
      </c>
      <c r="AE23" s="314">
        <f t="shared" si="3"/>
        <v>0</v>
      </c>
      <c r="AF23" s="314">
        <f t="shared" si="3"/>
        <v>0</v>
      </c>
      <c r="AG23" s="314">
        <f t="shared" si="3"/>
        <v>0</v>
      </c>
      <c r="AH23" s="314">
        <f t="shared" si="3"/>
        <v>0</v>
      </c>
      <c r="AI23" s="314">
        <f t="shared" si="3"/>
        <v>0</v>
      </c>
      <c r="AJ23" s="314">
        <f t="shared" si="3"/>
        <v>0</v>
      </c>
      <c r="AK23" s="314">
        <f t="shared" si="3"/>
        <v>0</v>
      </c>
      <c r="AL23" s="314">
        <f t="shared" si="3"/>
        <v>0</v>
      </c>
      <c r="AM23" s="314">
        <f t="shared" si="3"/>
        <v>0</v>
      </c>
      <c r="AN23" s="449">
        <f>-[1]Dashboard!D61</f>
        <v>-91574.907240000015</v>
      </c>
      <c r="AO23" s="313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2">
        <v>45931</v>
      </c>
      <c r="B24" s="314">
        <f t="shared" ref="B24:AM24" si="4">+B4*B$1</f>
        <v>0</v>
      </c>
      <c r="C24" s="314">
        <f t="shared" si="4"/>
        <v>0</v>
      </c>
      <c r="D24" s="314">
        <f t="shared" si="4"/>
        <v>0</v>
      </c>
      <c r="E24" s="314">
        <f t="shared" si="4"/>
        <v>0</v>
      </c>
      <c r="F24" s="314">
        <f t="shared" si="4"/>
        <v>0</v>
      </c>
      <c r="G24" s="314">
        <f t="shared" si="4"/>
        <v>0</v>
      </c>
      <c r="H24" s="314">
        <f t="shared" si="4"/>
        <v>0</v>
      </c>
      <c r="I24" s="391">
        <f t="shared" si="4"/>
        <v>0</v>
      </c>
      <c r="J24" s="314">
        <f t="shared" si="4"/>
        <v>0</v>
      </c>
      <c r="K24" s="525">
        <f t="shared" si="4"/>
        <v>0</v>
      </c>
      <c r="L24" s="314">
        <f t="shared" si="4"/>
        <v>0</v>
      </c>
      <c r="M24" s="314">
        <f t="shared" si="4"/>
        <v>0</v>
      </c>
      <c r="N24" s="314">
        <f t="shared" si="4"/>
        <v>0</v>
      </c>
      <c r="O24" s="314">
        <f t="shared" si="4"/>
        <v>0</v>
      </c>
      <c r="P24" s="314">
        <f t="shared" si="4"/>
        <v>0</v>
      </c>
      <c r="Q24" s="314">
        <f t="shared" si="4"/>
        <v>0</v>
      </c>
      <c r="R24" s="314">
        <f t="shared" si="4"/>
        <v>0</v>
      </c>
      <c r="S24" s="314">
        <f t="shared" si="4"/>
        <v>0</v>
      </c>
      <c r="T24" s="314">
        <f t="shared" si="4"/>
        <v>0</v>
      </c>
      <c r="U24" s="314">
        <f t="shared" si="4"/>
        <v>0</v>
      </c>
      <c r="V24" s="314">
        <f t="shared" si="4"/>
        <v>0</v>
      </c>
      <c r="W24" s="314">
        <f t="shared" si="4"/>
        <v>0</v>
      </c>
      <c r="X24" s="314">
        <f t="shared" si="4"/>
        <v>0</v>
      </c>
      <c r="Y24" s="314">
        <f t="shared" si="4"/>
        <v>0</v>
      </c>
      <c r="Z24" s="314">
        <f t="shared" si="4"/>
        <v>0</v>
      </c>
      <c r="AA24" s="314">
        <f t="shared" si="4"/>
        <v>0</v>
      </c>
      <c r="AB24" s="314">
        <f t="shared" si="4"/>
        <v>0</v>
      </c>
      <c r="AC24" s="314">
        <f t="shared" si="4"/>
        <v>0</v>
      </c>
      <c r="AD24" s="314">
        <f t="shared" si="4"/>
        <v>0</v>
      </c>
      <c r="AE24" s="314">
        <f t="shared" si="4"/>
        <v>0</v>
      </c>
      <c r="AF24" s="314">
        <f t="shared" si="4"/>
        <v>0</v>
      </c>
      <c r="AG24" s="314">
        <f t="shared" si="4"/>
        <v>0</v>
      </c>
      <c r="AH24" s="314">
        <f t="shared" si="4"/>
        <v>0</v>
      </c>
      <c r="AI24" s="314">
        <f t="shared" si="4"/>
        <v>0</v>
      </c>
      <c r="AJ24" s="314">
        <f t="shared" si="4"/>
        <v>0</v>
      </c>
      <c r="AK24" s="314">
        <f t="shared" si="4"/>
        <v>0</v>
      </c>
      <c r="AL24" s="314">
        <f t="shared" si="4"/>
        <v>0</v>
      </c>
      <c r="AM24" s="314">
        <f t="shared" si="4"/>
        <v>0</v>
      </c>
      <c r="AN24" s="449">
        <f>-[1]Dashboard!D62</f>
        <v>-131427.58128000001</v>
      </c>
      <c r="AO24" s="313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2">
        <v>45962</v>
      </c>
      <c r="B25" s="314">
        <f t="shared" ref="B25:AM25" si="6">+B5*B$1</f>
        <v>0</v>
      </c>
      <c r="C25" s="314">
        <f t="shared" si="6"/>
        <v>0</v>
      </c>
      <c r="D25" s="314">
        <f t="shared" si="6"/>
        <v>0</v>
      </c>
      <c r="E25" s="314">
        <f t="shared" si="6"/>
        <v>0</v>
      </c>
      <c r="F25" s="314">
        <f t="shared" si="6"/>
        <v>0</v>
      </c>
      <c r="G25" s="314">
        <f t="shared" si="6"/>
        <v>0</v>
      </c>
      <c r="H25" s="314">
        <f t="shared" si="6"/>
        <v>458135.96408999996</v>
      </c>
      <c r="I25" s="391">
        <f t="shared" si="6"/>
        <v>0</v>
      </c>
      <c r="J25" s="314">
        <f t="shared" si="6"/>
        <v>719112.61586999998</v>
      </c>
      <c r="K25" s="525">
        <f t="shared" si="6"/>
        <v>0</v>
      </c>
      <c r="L25" s="314">
        <f t="shared" si="6"/>
        <v>456484</v>
      </c>
      <c r="M25" s="314">
        <f t="shared" si="6"/>
        <v>162583.90324000004</v>
      </c>
      <c r="N25" s="314">
        <f t="shared" si="6"/>
        <v>0</v>
      </c>
      <c r="O25" s="314">
        <f t="shared" si="6"/>
        <v>0</v>
      </c>
      <c r="P25" s="314">
        <f t="shared" si="6"/>
        <v>0</v>
      </c>
      <c r="Q25" s="314">
        <f t="shared" si="6"/>
        <v>0</v>
      </c>
      <c r="R25" s="314">
        <f t="shared" si="6"/>
        <v>0</v>
      </c>
      <c r="S25" s="314">
        <f t="shared" si="6"/>
        <v>0</v>
      </c>
      <c r="T25" s="314">
        <f t="shared" si="6"/>
        <v>0</v>
      </c>
      <c r="U25" s="314">
        <f t="shared" si="6"/>
        <v>0</v>
      </c>
      <c r="V25" s="314">
        <f t="shared" si="6"/>
        <v>0</v>
      </c>
      <c r="W25" s="314">
        <f t="shared" si="6"/>
        <v>0</v>
      </c>
      <c r="X25" s="314">
        <f t="shared" si="6"/>
        <v>0</v>
      </c>
      <c r="Y25" s="314">
        <f t="shared" si="6"/>
        <v>0</v>
      </c>
      <c r="Z25" s="314">
        <f t="shared" si="6"/>
        <v>0</v>
      </c>
      <c r="AA25" s="314">
        <f t="shared" si="6"/>
        <v>0</v>
      </c>
      <c r="AB25" s="314">
        <f t="shared" si="6"/>
        <v>0</v>
      </c>
      <c r="AC25" s="314">
        <f t="shared" si="6"/>
        <v>0</v>
      </c>
      <c r="AD25" s="314">
        <f t="shared" si="6"/>
        <v>0</v>
      </c>
      <c r="AE25" s="314">
        <f t="shared" si="6"/>
        <v>0</v>
      </c>
      <c r="AF25" s="314">
        <f t="shared" si="6"/>
        <v>0</v>
      </c>
      <c r="AG25" s="314">
        <f t="shared" si="6"/>
        <v>0</v>
      </c>
      <c r="AH25" s="314">
        <f t="shared" si="6"/>
        <v>0</v>
      </c>
      <c r="AI25" s="314">
        <f t="shared" si="6"/>
        <v>0</v>
      </c>
      <c r="AJ25" s="314">
        <f t="shared" si="6"/>
        <v>0</v>
      </c>
      <c r="AK25" s="314">
        <f t="shared" si="6"/>
        <v>0</v>
      </c>
      <c r="AL25" s="314">
        <f t="shared" si="6"/>
        <v>0</v>
      </c>
      <c r="AM25" s="314">
        <f t="shared" si="6"/>
        <v>0</v>
      </c>
      <c r="AN25" s="449">
        <f>-[1]Dashboard!D63</f>
        <v>-162389.24028</v>
      </c>
      <c r="AO25" s="313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2">
        <v>45992</v>
      </c>
      <c r="B26" s="314">
        <f t="shared" ref="B26:AM26" si="7">+B6*B$1</f>
        <v>0</v>
      </c>
      <c r="C26" s="314">
        <f t="shared" si="7"/>
        <v>0</v>
      </c>
      <c r="D26" s="314">
        <f t="shared" si="7"/>
        <v>0</v>
      </c>
      <c r="E26" s="314">
        <f t="shared" si="7"/>
        <v>0</v>
      </c>
      <c r="F26" s="314">
        <f t="shared" si="7"/>
        <v>0</v>
      </c>
      <c r="G26" s="314">
        <f t="shared" si="7"/>
        <v>0</v>
      </c>
      <c r="H26" s="314">
        <f t="shared" si="7"/>
        <v>457671.27897000004</v>
      </c>
      <c r="I26" s="391">
        <f t="shared" si="7"/>
        <v>0</v>
      </c>
      <c r="J26" s="314">
        <f t="shared" si="7"/>
        <v>427598.79271999991</v>
      </c>
      <c r="K26" s="525">
        <f t="shared" si="7"/>
        <v>0</v>
      </c>
      <c r="L26" s="314">
        <f t="shared" si="7"/>
        <v>605540</v>
      </c>
      <c r="M26" s="314">
        <f t="shared" si="7"/>
        <v>47818.927860000003</v>
      </c>
      <c r="N26" s="314">
        <f t="shared" si="7"/>
        <v>0</v>
      </c>
      <c r="O26" s="314">
        <f t="shared" si="7"/>
        <v>0</v>
      </c>
      <c r="P26" s="314">
        <f t="shared" si="7"/>
        <v>0</v>
      </c>
      <c r="Q26" s="314">
        <f t="shared" si="7"/>
        <v>0</v>
      </c>
      <c r="R26" s="314">
        <f t="shared" si="7"/>
        <v>0</v>
      </c>
      <c r="S26" s="314">
        <f t="shared" si="7"/>
        <v>0</v>
      </c>
      <c r="T26" s="314">
        <f t="shared" si="7"/>
        <v>0</v>
      </c>
      <c r="U26" s="314">
        <f t="shared" si="7"/>
        <v>0</v>
      </c>
      <c r="V26" s="314">
        <f t="shared" si="7"/>
        <v>0</v>
      </c>
      <c r="W26" s="314">
        <f t="shared" si="7"/>
        <v>0</v>
      </c>
      <c r="X26" s="314">
        <f t="shared" si="7"/>
        <v>0</v>
      </c>
      <c r="Y26" s="314">
        <f t="shared" si="7"/>
        <v>0</v>
      </c>
      <c r="Z26" s="314">
        <f t="shared" si="7"/>
        <v>0</v>
      </c>
      <c r="AA26" s="314">
        <f t="shared" si="7"/>
        <v>0</v>
      </c>
      <c r="AB26" s="314">
        <f t="shared" si="7"/>
        <v>0</v>
      </c>
      <c r="AC26" s="314">
        <f t="shared" si="7"/>
        <v>0</v>
      </c>
      <c r="AD26" s="314">
        <f t="shared" si="7"/>
        <v>0</v>
      </c>
      <c r="AE26" s="314">
        <f t="shared" si="7"/>
        <v>0</v>
      </c>
      <c r="AF26" s="314">
        <f t="shared" si="7"/>
        <v>0</v>
      </c>
      <c r="AG26" s="314">
        <f t="shared" si="7"/>
        <v>0</v>
      </c>
      <c r="AH26" s="314">
        <f t="shared" si="7"/>
        <v>0</v>
      </c>
      <c r="AI26" s="314">
        <f t="shared" si="7"/>
        <v>0</v>
      </c>
      <c r="AJ26" s="314">
        <f t="shared" si="7"/>
        <v>0</v>
      </c>
      <c r="AK26" s="314">
        <f t="shared" si="7"/>
        <v>0</v>
      </c>
      <c r="AL26" s="314">
        <f t="shared" si="7"/>
        <v>0</v>
      </c>
      <c r="AM26" s="314">
        <f t="shared" si="7"/>
        <v>0</v>
      </c>
      <c r="AN26" s="449">
        <f>-[1]Dashboard!D64</f>
        <v>-2103203.6595120002</v>
      </c>
      <c r="AO26" s="313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2">
        <v>46023</v>
      </c>
      <c r="B27" s="314">
        <f t="shared" ref="B27:AM27" si="9">+B7*B$1</f>
        <v>0</v>
      </c>
      <c r="C27" s="314">
        <f t="shared" si="9"/>
        <v>0</v>
      </c>
      <c r="D27" s="314">
        <f t="shared" si="9"/>
        <v>0</v>
      </c>
      <c r="E27" s="314">
        <f t="shared" si="9"/>
        <v>0</v>
      </c>
      <c r="F27" s="314">
        <f t="shared" si="9"/>
        <v>0</v>
      </c>
      <c r="G27" s="314">
        <f t="shared" si="9"/>
        <v>0</v>
      </c>
      <c r="H27" s="314">
        <f t="shared" si="9"/>
        <v>534968.7444000002</v>
      </c>
      <c r="I27" s="391">
        <f t="shared" si="9"/>
        <v>0</v>
      </c>
      <c r="J27" s="314">
        <f t="shared" si="9"/>
        <v>207577.36219000004</v>
      </c>
      <c r="K27" s="525">
        <f t="shared" si="9"/>
        <v>0</v>
      </c>
      <c r="L27" s="314">
        <f t="shared" si="9"/>
        <v>605540</v>
      </c>
      <c r="M27" s="314">
        <f t="shared" si="9"/>
        <v>15126.97142</v>
      </c>
      <c r="N27" s="314">
        <f t="shared" si="9"/>
        <v>0</v>
      </c>
      <c r="O27" s="314">
        <f t="shared" si="9"/>
        <v>0</v>
      </c>
      <c r="P27" s="314">
        <f t="shared" si="9"/>
        <v>0</v>
      </c>
      <c r="Q27" s="314">
        <f t="shared" si="9"/>
        <v>0</v>
      </c>
      <c r="R27" s="314">
        <f t="shared" si="9"/>
        <v>0</v>
      </c>
      <c r="S27" s="314">
        <f t="shared" si="9"/>
        <v>0</v>
      </c>
      <c r="T27" s="314">
        <f t="shared" si="9"/>
        <v>0</v>
      </c>
      <c r="U27" s="314">
        <f t="shared" si="9"/>
        <v>0</v>
      </c>
      <c r="V27" s="314">
        <f t="shared" si="9"/>
        <v>0</v>
      </c>
      <c r="W27" s="314">
        <f t="shared" si="9"/>
        <v>0</v>
      </c>
      <c r="X27" s="314">
        <f t="shared" si="9"/>
        <v>0</v>
      </c>
      <c r="Y27" s="314">
        <f t="shared" si="9"/>
        <v>0</v>
      </c>
      <c r="Z27" s="314">
        <f t="shared" si="9"/>
        <v>0</v>
      </c>
      <c r="AA27" s="314">
        <f t="shared" si="9"/>
        <v>0</v>
      </c>
      <c r="AB27" s="314">
        <f t="shared" si="9"/>
        <v>0</v>
      </c>
      <c r="AC27" s="314">
        <f t="shared" si="9"/>
        <v>0</v>
      </c>
      <c r="AD27" s="314">
        <f t="shared" si="9"/>
        <v>0</v>
      </c>
      <c r="AE27" s="314">
        <f t="shared" si="9"/>
        <v>0</v>
      </c>
      <c r="AF27" s="314">
        <f t="shared" si="9"/>
        <v>0</v>
      </c>
      <c r="AG27" s="314">
        <f t="shared" si="9"/>
        <v>0</v>
      </c>
      <c r="AH27" s="314">
        <f t="shared" si="9"/>
        <v>0</v>
      </c>
      <c r="AI27" s="314">
        <f t="shared" si="9"/>
        <v>0</v>
      </c>
      <c r="AJ27" s="314">
        <f t="shared" si="9"/>
        <v>0</v>
      </c>
      <c r="AK27" s="314">
        <f t="shared" si="9"/>
        <v>0</v>
      </c>
      <c r="AL27" s="314">
        <f t="shared" si="9"/>
        <v>0</v>
      </c>
      <c r="AM27" s="314">
        <f t="shared" si="9"/>
        <v>0</v>
      </c>
      <c r="AN27" s="449">
        <f>-[1]Dashboard!D65</f>
        <v>-284577.85708800005</v>
      </c>
      <c r="AO27" s="313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2">
        <v>46054</v>
      </c>
      <c r="B28" s="314">
        <f t="shared" ref="B28:AM28" si="10">+B8*B$1</f>
        <v>0</v>
      </c>
      <c r="C28" s="314">
        <f t="shared" si="10"/>
        <v>0</v>
      </c>
      <c r="D28" s="314">
        <f t="shared" si="10"/>
        <v>0</v>
      </c>
      <c r="E28" s="314">
        <f t="shared" si="10"/>
        <v>0</v>
      </c>
      <c r="F28" s="314">
        <f t="shared" si="10"/>
        <v>0</v>
      </c>
      <c r="G28" s="314">
        <f t="shared" si="10"/>
        <v>0</v>
      </c>
      <c r="H28" s="314">
        <f t="shared" si="10"/>
        <v>0</v>
      </c>
      <c r="I28" s="391">
        <f t="shared" si="10"/>
        <v>0</v>
      </c>
      <c r="J28" s="314">
        <f t="shared" si="10"/>
        <v>0</v>
      </c>
      <c r="K28" s="525">
        <f t="shared" si="10"/>
        <v>0</v>
      </c>
      <c r="L28" s="314">
        <f t="shared" si="10"/>
        <v>83844</v>
      </c>
      <c r="M28" s="314">
        <f t="shared" si="10"/>
        <v>0</v>
      </c>
      <c r="N28" s="314">
        <f t="shared" si="10"/>
        <v>0</v>
      </c>
      <c r="O28" s="314">
        <f t="shared" si="10"/>
        <v>0</v>
      </c>
      <c r="P28" s="314">
        <f t="shared" si="10"/>
        <v>0</v>
      </c>
      <c r="Q28" s="314">
        <f t="shared" si="10"/>
        <v>0</v>
      </c>
      <c r="R28" s="314">
        <f t="shared" si="10"/>
        <v>0</v>
      </c>
      <c r="S28" s="314">
        <f t="shared" si="10"/>
        <v>0</v>
      </c>
      <c r="T28" s="314">
        <f t="shared" si="10"/>
        <v>0</v>
      </c>
      <c r="U28" s="314">
        <f t="shared" si="10"/>
        <v>0</v>
      </c>
      <c r="V28" s="314">
        <f t="shared" si="10"/>
        <v>0</v>
      </c>
      <c r="W28" s="314">
        <f t="shared" si="10"/>
        <v>0</v>
      </c>
      <c r="X28" s="314">
        <f t="shared" si="10"/>
        <v>0</v>
      </c>
      <c r="Y28" s="314">
        <f t="shared" si="10"/>
        <v>0</v>
      </c>
      <c r="Z28" s="314">
        <f t="shared" si="10"/>
        <v>0</v>
      </c>
      <c r="AA28" s="314">
        <f t="shared" si="10"/>
        <v>0</v>
      </c>
      <c r="AB28" s="314">
        <f t="shared" si="10"/>
        <v>0</v>
      </c>
      <c r="AC28" s="314">
        <f t="shared" si="10"/>
        <v>0</v>
      </c>
      <c r="AD28" s="314">
        <f t="shared" si="10"/>
        <v>0</v>
      </c>
      <c r="AE28" s="314">
        <f t="shared" si="10"/>
        <v>0</v>
      </c>
      <c r="AF28" s="314">
        <f t="shared" si="10"/>
        <v>0</v>
      </c>
      <c r="AG28" s="314">
        <f t="shared" si="10"/>
        <v>0</v>
      </c>
      <c r="AH28" s="314">
        <f t="shared" si="10"/>
        <v>0</v>
      </c>
      <c r="AI28" s="314">
        <f t="shared" si="10"/>
        <v>0</v>
      </c>
      <c r="AJ28" s="314">
        <f t="shared" si="10"/>
        <v>0</v>
      </c>
      <c r="AK28" s="314">
        <f t="shared" si="10"/>
        <v>0</v>
      </c>
      <c r="AL28" s="314">
        <f t="shared" si="10"/>
        <v>0</v>
      </c>
      <c r="AM28" s="314">
        <f t="shared" si="10"/>
        <v>0</v>
      </c>
      <c r="AN28" s="449">
        <f>-[1]Dashboard!D66</f>
        <v>-4104758.7796800006</v>
      </c>
      <c r="AO28" s="313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2">
        <v>46082</v>
      </c>
      <c r="B29" s="314">
        <f t="shared" ref="B29:AM29" si="11">+B9*B$1</f>
        <v>250748.19</v>
      </c>
      <c r="C29" s="314">
        <f t="shared" si="11"/>
        <v>321750.99000000005</v>
      </c>
      <c r="D29" s="314">
        <f t="shared" si="11"/>
        <v>97546.680000000008</v>
      </c>
      <c r="E29" s="314">
        <f t="shared" si="11"/>
        <v>105229.08</v>
      </c>
      <c r="F29" s="314">
        <f t="shared" si="11"/>
        <v>132387.75</v>
      </c>
      <c r="G29" s="314">
        <f t="shared" si="11"/>
        <v>156539.79</v>
      </c>
      <c r="H29" s="314">
        <f t="shared" si="11"/>
        <v>0</v>
      </c>
      <c r="I29" s="391">
        <f t="shared" si="11"/>
        <v>0</v>
      </c>
      <c r="J29" s="314">
        <f t="shared" si="11"/>
        <v>0</v>
      </c>
      <c r="K29" s="525">
        <f t="shared" si="11"/>
        <v>0</v>
      </c>
      <c r="L29" s="314">
        <f t="shared" si="11"/>
        <v>0</v>
      </c>
      <c r="M29" s="314">
        <f t="shared" si="11"/>
        <v>8126.7120000000004</v>
      </c>
      <c r="N29" s="314">
        <f t="shared" si="11"/>
        <v>191166.47999999998</v>
      </c>
      <c r="O29" s="314">
        <f t="shared" si="11"/>
        <v>142899.12000000002</v>
      </c>
      <c r="P29" s="314">
        <f t="shared" si="11"/>
        <v>106415.1</v>
      </c>
      <c r="Q29" s="314">
        <f t="shared" si="11"/>
        <v>0</v>
      </c>
      <c r="R29" s="314">
        <f t="shared" si="11"/>
        <v>0</v>
      </c>
      <c r="S29" s="314">
        <f t="shared" si="11"/>
        <v>0</v>
      </c>
      <c r="T29" s="314">
        <f t="shared" si="11"/>
        <v>0</v>
      </c>
      <c r="U29" s="314">
        <f t="shared" si="11"/>
        <v>0</v>
      </c>
      <c r="V29" s="314">
        <f t="shared" si="11"/>
        <v>0</v>
      </c>
      <c r="W29" s="314">
        <f t="shared" si="11"/>
        <v>0</v>
      </c>
      <c r="X29" s="314">
        <f t="shared" si="11"/>
        <v>0</v>
      </c>
      <c r="Y29" s="314">
        <f t="shared" si="11"/>
        <v>0</v>
      </c>
      <c r="Z29" s="314">
        <f t="shared" si="11"/>
        <v>0</v>
      </c>
      <c r="AA29" s="314">
        <f t="shared" si="11"/>
        <v>0</v>
      </c>
      <c r="AB29" s="314">
        <f t="shared" si="11"/>
        <v>0</v>
      </c>
      <c r="AC29" s="314">
        <f t="shared" si="11"/>
        <v>0</v>
      </c>
      <c r="AD29" s="314">
        <f t="shared" si="11"/>
        <v>0</v>
      </c>
      <c r="AE29" s="314">
        <f t="shared" si="11"/>
        <v>0</v>
      </c>
      <c r="AF29" s="314">
        <f t="shared" si="11"/>
        <v>0</v>
      </c>
      <c r="AG29" s="314">
        <f t="shared" si="11"/>
        <v>0</v>
      </c>
      <c r="AH29" s="314">
        <f t="shared" si="11"/>
        <v>0</v>
      </c>
      <c r="AI29" s="314">
        <f t="shared" si="11"/>
        <v>0</v>
      </c>
      <c r="AJ29" s="314">
        <f t="shared" si="11"/>
        <v>0</v>
      </c>
      <c r="AK29" s="314">
        <f t="shared" si="11"/>
        <v>0</v>
      </c>
      <c r="AL29" s="314">
        <f t="shared" si="11"/>
        <v>0</v>
      </c>
      <c r="AM29" s="314">
        <f t="shared" si="11"/>
        <v>0</v>
      </c>
      <c r="AN29" s="449">
        <f>-[1]Dashboard!D67</f>
        <v>-85730.795280000006</v>
      </c>
      <c r="AO29" s="313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2">
        <v>46113</v>
      </c>
      <c r="B30" s="314">
        <f t="shared" ref="B30:AM30" si="12">+B10*B$1</f>
        <v>43057.77</v>
      </c>
      <c r="C30" s="314">
        <f t="shared" si="12"/>
        <v>55250.170000000006</v>
      </c>
      <c r="D30" s="314">
        <f t="shared" si="12"/>
        <v>16750.440000000002</v>
      </c>
      <c r="E30" s="314">
        <f t="shared" si="12"/>
        <v>18069.64</v>
      </c>
      <c r="F30" s="314">
        <f t="shared" si="12"/>
        <v>22733.25</v>
      </c>
      <c r="G30" s="314">
        <f t="shared" si="12"/>
        <v>26880.57</v>
      </c>
      <c r="H30" s="314">
        <f t="shared" si="12"/>
        <v>0</v>
      </c>
      <c r="I30" s="391">
        <f t="shared" si="12"/>
        <v>0</v>
      </c>
      <c r="J30" s="314">
        <f t="shared" si="12"/>
        <v>80723.77665</v>
      </c>
      <c r="K30" s="525">
        <f t="shared" si="12"/>
        <v>0</v>
      </c>
      <c r="L30" s="314">
        <f t="shared" si="12"/>
        <v>0</v>
      </c>
      <c r="M30" s="314">
        <f t="shared" si="12"/>
        <v>48841.539120000001</v>
      </c>
      <c r="N30" s="314">
        <f t="shared" si="12"/>
        <v>0</v>
      </c>
      <c r="O30" s="314">
        <f t="shared" si="12"/>
        <v>0</v>
      </c>
      <c r="P30" s="314">
        <f t="shared" si="12"/>
        <v>0</v>
      </c>
      <c r="Q30" s="314">
        <f t="shared" si="12"/>
        <v>0</v>
      </c>
      <c r="R30" s="314">
        <f t="shared" si="12"/>
        <v>0</v>
      </c>
      <c r="S30" s="314">
        <f t="shared" si="12"/>
        <v>0</v>
      </c>
      <c r="T30" s="314">
        <f t="shared" si="12"/>
        <v>0</v>
      </c>
      <c r="U30" s="314">
        <f t="shared" si="12"/>
        <v>0</v>
      </c>
      <c r="V30" s="314">
        <f t="shared" si="12"/>
        <v>0</v>
      </c>
      <c r="W30" s="314">
        <f t="shared" si="12"/>
        <v>0</v>
      </c>
      <c r="X30" s="314">
        <f t="shared" si="12"/>
        <v>0</v>
      </c>
      <c r="Y30" s="314">
        <f t="shared" si="12"/>
        <v>0</v>
      </c>
      <c r="Z30" s="314">
        <f t="shared" si="12"/>
        <v>0</v>
      </c>
      <c r="AA30" s="314">
        <f t="shared" si="12"/>
        <v>0</v>
      </c>
      <c r="AB30" s="314">
        <f t="shared" si="12"/>
        <v>0</v>
      </c>
      <c r="AC30" s="314">
        <f t="shared" si="12"/>
        <v>0</v>
      </c>
      <c r="AD30" s="314">
        <f t="shared" si="12"/>
        <v>0</v>
      </c>
      <c r="AE30" s="314">
        <f t="shared" si="12"/>
        <v>0</v>
      </c>
      <c r="AF30" s="314">
        <f t="shared" si="12"/>
        <v>0</v>
      </c>
      <c r="AG30" s="314">
        <f t="shared" si="12"/>
        <v>0</v>
      </c>
      <c r="AH30" s="314">
        <f t="shared" si="12"/>
        <v>0</v>
      </c>
      <c r="AI30" s="314">
        <f t="shared" si="12"/>
        <v>0</v>
      </c>
      <c r="AJ30" s="314">
        <f t="shared" si="12"/>
        <v>0</v>
      </c>
      <c r="AK30" s="314">
        <f t="shared" si="12"/>
        <v>0</v>
      </c>
      <c r="AL30" s="314">
        <f t="shared" si="12"/>
        <v>0</v>
      </c>
      <c r="AM30" s="314">
        <f t="shared" si="12"/>
        <v>0</v>
      </c>
      <c r="AN30" s="449">
        <f>-[1]Dashboard!D68</f>
        <v>-85734.352079999997</v>
      </c>
      <c r="AO30" s="313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2">
        <v>46143</v>
      </c>
      <c r="B31" s="314">
        <f t="shared" ref="B31:AM31" si="13">+B11*B$1</f>
        <v>0</v>
      </c>
      <c r="C31" s="314">
        <f t="shared" si="13"/>
        <v>0</v>
      </c>
      <c r="D31" s="314">
        <f t="shared" si="13"/>
        <v>0</v>
      </c>
      <c r="E31" s="314">
        <f t="shared" si="13"/>
        <v>0</v>
      </c>
      <c r="F31" s="314">
        <f t="shared" si="13"/>
        <v>0</v>
      </c>
      <c r="G31" s="314">
        <f t="shared" si="13"/>
        <v>0</v>
      </c>
      <c r="H31" s="314">
        <f t="shared" si="13"/>
        <v>163409.42673000001</v>
      </c>
      <c r="I31" s="391">
        <f t="shared" si="13"/>
        <v>0</v>
      </c>
      <c r="J31" s="314">
        <f t="shared" si="13"/>
        <v>269838.37078</v>
      </c>
      <c r="K31" s="525">
        <f t="shared" si="13"/>
        <v>0</v>
      </c>
      <c r="L31" s="314">
        <f t="shared" si="13"/>
        <v>0</v>
      </c>
      <c r="M31" s="314">
        <f t="shared" si="13"/>
        <v>8187.6623399999999</v>
      </c>
      <c r="N31" s="314">
        <f t="shared" si="13"/>
        <v>0</v>
      </c>
      <c r="O31" s="314">
        <f t="shared" si="13"/>
        <v>0</v>
      </c>
      <c r="P31" s="314">
        <f t="shared" si="13"/>
        <v>0</v>
      </c>
      <c r="Q31" s="314">
        <f t="shared" si="13"/>
        <v>0</v>
      </c>
      <c r="R31" s="314">
        <f t="shared" si="13"/>
        <v>0</v>
      </c>
      <c r="S31" s="314">
        <f t="shared" si="13"/>
        <v>0</v>
      </c>
      <c r="T31" s="314">
        <f t="shared" si="13"/>
        <v>0</v>
      </c>
      <c r="U31" s="314">
        <f t="shared" si="13"/>
        <v>0</v>
      </c>
      <c r="V31" s="314">
        <f t="shared" si="13"/>
        <v>0</v>
      </c>
      <c r="W31" s="314">
        <f t="shared" si="13"/>
        <v>0</v>
      </c>
      <c r="X31" s="314">
        <f t="shared" si="13"/>
        <v>0</v>
      </c>
      <c r="Y31" s="314">
        <f t="shared" si="13"/>
        <v>0</v>
      </c>
      <c r="Z31" s="314">
        <f t="shared" si="13"/>
        <v>0</v>
      </c>
      <c r="AA31" s="314">
        <f t="shared" si="13"/>
        <v>0</v>
      </c>
      <c r="AB31" s="314">
        <f t="shared" si="13"/>
        <v>0</v>
      </c>
      <c r="AC31" s="314">
        <f t="shared" si="13"/>
        <v>0</v>
      </c>
      <c r="AD31" s="314">
        <f t="shared" si="13"/>
        <v>0</v>
      </c>
      <c r="AE31" s="314">
        <f t="shared" si="13"/>
        <v>0</v>
      </c>
      <c r="AF31" s="314">
        <f t="shared" si="13"/>
        <v>0</v>
      </c>
      <c r="AG31" s="314">
        <f t="shared" si="13"/>
        <v>0</v>
      </c>
      <c r="AH31" s="314">
        <f t="shared" si="13"/>
        <v>0</v>
      </c>
      <c r="AI31" s="314">
        <f t="shared" si="13"/>
        <v>0</v>
      </c>
      <c r="AJ31" s="314">
        <f t="shared" si="13"/>
        <v>0</v>
      </c>
      <c r="AK31" s="314">
        <f t="shared" si="13"/>
        <v>0</v>
      </c>
      <c r="AL31" s="314">
        <f t="shared" si="13"/>
        <v>0</v>
      </c>
      <c r="AM31" s="314">
        <f t="shared" si="13"/>
        <v>0</v>
      </c>
      <c r="AN31" s="449">
        <f>-[1]Dashboard!D69</f>
        <v>-85734.352079999997</v>
      </c>
      <c r="AO31" s="313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2">
        <v>46174</v>
      </c>
      <c r="B32" s="314">
        <f t="shared" ref="B32:AM32" si="14">+B12*B$1</f>
        <v>0</v>
      </c>
      <c r="C32" s="314">
        <f t="shared" si="14"/>
        <v>0</v>
      </c>
      <c r="D32" s="314">
        <f t="shared" si="14"/>
        <v>0</v>
      </c>
      <c r="E32" s="314">
        <f t="shared" si="14"/>
        <v>0</v>
      </c>
      <c r="F32" s="314">
        <f t="shared" si="14"/>
        <v>0</v>
      </c>
      <c r="G32" s="314">
        <f t="shared" si="14"/>
        <v>0</v>
      </c>
      <c r="H32" s="314">
        <f t="shared" si="14"/>
        <v>295191.22248000005</v>
      </c>
      <c r="I32" s="391">
        <f t="shared" si="14"/>
        <v>0</v>
      </c>
      <c r="J32" s="314">
        <f t="shared" si="14"/>
        <v>0</v>
      </c>
      <c r="K32" s="525">
        <f t="shared" si="14"/>
        <v>0</v>
      </c>
      <c r="L32" s="314">
        <f t="shared" si="14"/>
        <v>0</v>
      </c>
      <c r="M32" s="314">
        <f t="shared" si="14"/>
        <v>12228.44414</v>
      </c>
      <c r="N32" s="314">
        <f t="shared" si="14"/>
        <v>0</v>
      </c>
      <c r="O32" s="314">
        <f t="shared" si="14"/>
        <v>0</v>
      </c>
      <c r="P32" s="314">
        <f t="shared" si="14"/>
        <v>0</v>
      </c>
      <c r="Q32" s="314">
        <f t="shared" si="14"/>
        <v>0</v>
      </c>
      <c r="R32" s="314">
        <f t="shared" si="14"/>
        <v>0</v>
      </c>
      <c r="S32" s="314">
        <f t="shared" si="14"/>
        <v>0</v>
      </c>
      <c r="T32" s="314">
        <f t="shared" si="14"/>
        <v>0</v>
      </c>
      <c r="U32" s="314">
        <f t="shared" si="14"/>
        <v>0</v>
      </c>
      <c r="V32" s="314">
        <f t="shared" si="14"/>
        <v>0</v>
      </c>
      <c r="W32" s="314">
        <f t="shared" si="14"/>
        <v>0</v>
      </c>
      <c r="X32" s="314">
        <f t="shared" si="14"/>
        <v>0</v>
      </c>
      <c r="Y32" s="314">
        <f t="shared" si="14"/>
        <v>0</v>
      </c>
      <c r="Z32" s="314">
        <f t="shared" si="14"/>
        <v>0</v>
      </c>
      <c r="AA32" s="314">
        <f t="shared" si="14"/>
        <v>0</v>
      </c>
      <c r="AB32" s="314">
        <f t="shared" si="14"/>
        <v>0</v>
      </c>
      <c r="AC32" s="314">
        <f t="shared" si="14"/>
        <v>0</v>
      </c>
      <c r="AD32" s="314">
        <f t="shared" si="14"/>
        <v>0</v>
      </c>
      <c r="AE32" s="314">
        <f t="shared" si="14"/>
        <v>0</v>
      </c>
      <c r="AF32" s="314">
        <f t="shared" si="14"/>
        <v>0</v>
      </c>
      <c r="AG32" s="314">
        <f t="shared" si="14"/>
        <v>0</v>
      </c>
      <c r="AH32" s="314">
        <f t="shared" si="14"/>
        <v>0</v>
      </c>
      <c r="AI32" s="314">
        <f t="shared" si="14"/>
        <v>0</v>
      </c>
      <c r="AJ32" s="314">
        <f t="shared" si="14"/>
        <v>0</v>
      </c>
      <c r="AK32" s="314">
        <f t="shared" si="14"/>
        <v>0</v>
      </c>
      <c r="AL32" s="314">
        <f t="shared" si="14"/>
        <v>0</v>
      </c>
      <c r="AM32" s="314">
        <f t="shared" si="14"/>
        <v>0</v>
      </c>
      <c r="AN32" s="449">
        <f>-[1]Dashboard!D70</f>
        <v>-102830.79528000001</v>
      </c>
      <c r="AO32" s="313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2">
        <v>46204</v>
      </c>
      <c r="B33" s="314">
        <f t="shared" ref="B33:AM33" si="15">+B13*B$1</f>
        <v>0</v>
      </c>
      <c r="C33" s="314">
        <f t="shared" si="15"/>
        <v>0</v>
      </c>
      <c r="D33" s="314">
        <f t="shared" si="15"/>
        <v>0</v>
      </c>
      <c r="E33" s="314">
        <f t="shared" si="15"/>
        <v>0</v>
      </c>
      <c r="F33" s="314">
        <f t="shared" si="15"/>
        <v>0</v>
      </c>
      <c r="G33" s="314">
        <f t="shared" si="15"/>
        <v>0</v>
      </c>
      <c r="H33" s="314">
        <f t="shared" si="15"/>
        <v>197026.49088</v>
      </c>
      <c r="I33" s="391">
        <f t="shared" si="15"/>
        <v>0</v>
      </c>
      <c r="J33" s="314">
        <f t="shared" si="15"/>
        <v>142849.22894</v>
      </c>
      <c r="K33" s="525">
        <f t="shared" si="15"/>
        <v>0</v>
      </c>
      <c r="L33" s="314">
        <f t="shared" si="15"/>
        <v>0</v>
      </c>
      <c r="M33" s="314">
        <f t="shared" si="15"/>
        <v>31231.405700000003</v>
      </c>
      <c r="N33" s="314">
        <f t="shared" si="15"/>
        <v>0</v>
      </c>
      <c r="O33" s="314">
        <f t="shared" si="15"/>
        <v>0</v>
      </c>
      <c r="P33" s="314">
        <f t="shared" si="15"/>
        <v>0</v>
      </c>
      <c r="Q33" s="314">
        <f t="shared" si="15"/>
        <v>0</v>
      </c>
      <c r="R33" s="314">
        <f t="shared" si="15"/>
        <v>0</v>
      </c>
      <c r="S33" s="314">
        <f t="shared" si="15"/>
        <v>0</v>
      </c>
      <c r="T33" s="314">
        <f t="shared" si="15"/>
        <v>0</v>
      </c>
      <c r="U33" s="314">
        <f t="shared" si="15"/>
        <v>0</v>
      </c>
      <c r="V33" s="314">
        <f t="shared" si="15"/>
        <v>0</v>
      </c>
      <c r="W33" s="314">
        <f t="shared" si="15"/>
        <v>0</v>
      </c>
      <c r="X33" s="314">
        <f t="shared" si="15"/>
        <v>0</v>
      </c>
      <c r="Y33" s="314">
        <f t="shared" si="15"/>
        <v>0</v>
      </c>
      <c r="Z33" s="314">
        <f t="shared" si="15"/>
        <v>0</v>
      </c>
      <c r="AA33" s="314">
        <f t="shared" si="15"/>
        <v>0</v>
      </c>
      <c r="AB33" s="314">
        <f t="shared" si="15"/>
        <v>0</v>
      </c>
      <c r="AC33" s="314">
        <f t="shared" si="15"/>
        <v>0</v>
      </c>
      <c r="AD33" s="314">
        <f t="shared" si="15"/>
        <v>0</v>
      </c>
      <c r="AE33" s="314">
        <f t="shared" si="15"/>
        <v>0</v>
      </c>
      <c r="AF33" s="314">
        <f t="shared" si="15"/>
        <v>0</v>
      </c>
      <c r="AG33" s="314">
        <f t="shared" si="15"/>
        <v>0</v>
      </c>
      <c r="AH33" s="314">
        <f t="shared" si="15"/>
        <v>0</v>
      </c>
      <c r="AI33" s="314">
        <f t="shared" si="15"/>
        <v>0</v>
      </c>
      <c r="AJ33" s="314">
        <f t="shared" si="15"/>
        <v>0</v>
      </c>
      <c r="AK33" s="314">
        <f t="shared" si="15"/>
        <v>0</v>
      </c>
      <c r="AL33" s="314">
        <f t="shared" si="15"/>
        <v>0</v>
      </c>
      <c r="AM33" s="314">
        <f t="shared" si="15"/>
        <v>0</v>
      </c>
      <c r="AN33" s="449">
        <f>-[1]Dashboard!D71</f>
        <v>-102830.79528000001</v>
      </c>
      <c r="AO33" s="313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2">
        <v>46235</v>
      </c>
      <c r="B34" s="314">
        <f t="shared" ref="B34:AM34" si="16">+B14*B$1</f>
        <v>0</v>
      </c>
      <c r="C34" s="314">
        <f t="shared" si="16"/>
        <v>0</v>
      </c>
      <c r="D34" s="314">
        <f t="shared" si="16"/>
        <v>0</v>
      </c>
      <c r="E34" s="314">
        <f t="shared" si="16"/>
        <v>0</v>
      </c>
      <c r="F34" s="314">
        <f t="shared" si="16"/>
        <v>0</v>
      </c>
      <c r="G34" s="314">
        <f t="shared" si="16"/>
        <v>0</v>
      </c>
      <c r="H34" s="314">
        <f t="shared" si="16"/>
        <v>145693.30653000003</v>
      </c>
      <c r="I34" s="391">
        <f t="shared" si="16"/>
        <v>0</v>
      </c>
      <c r="J34" s="314">
        <f t="shared" si="16"/>
        <v>168022.03384999998</v>
      </c>
      <c r="K34" s="525">
        <f t="shared" si="16"/>
        <v>300342.56999999995</v>
      </c>
      <c r="L34" s="314">
        <f t="shared" si="16"/>
        <v>0</v>
      </c>
      <c r="M34" s="314">
        <f t="shared" si="16"/>
        <v>27472.8014</v>
      </c>
      <c r="N34" s="314">
        <f t="shared" si="16"/>
        <v>0</v>
      </c>
      <c r="O34" s="314">
        <f t="shared" si="16"/>
        <v>0</v>
      </c>
      <c r="P34" s="314">
        <f t="shared" si="16"/>
        <v>0</v>
      </c>
      <c r="Q34" s="314">
        <f t="shared" si="16"/>
        <v>15171.98</v>
      </c>
      <c r="R34" s="314">
        <f t="shared" si="16"/>
        <v>3531.18</v>
      </c>
      <c r="S34" s="314">
        <f t="shared" si="16"/>
        <v>3869.18</v>
      </c>
      <c r="T34" s="314">
        <f t="shared" si="16"/>
        <v>3921.18</v>
      </c>
      <c r="U34" s="314">
        <f t="shared" si="16"/>
        <v>0</v>
      </c>
      <c r="V34" s="314">
        <f t="shared" si="16"/>
        <v>4441.18</v>
      </c>
      <c r="W34" s="314">
        <f t="shared" si="16"/>
        <v>0</v>
      </c>
      <c r="X34" s="314">
        <f t="shared" si="16"/>
        <v>0</v>
      </c>
      <c r="Y34" s="314">
        <f t="shared" si="16"/>
        <v>1312</v>
      </c>
      <c r="Z34" s="314">
        <f t="shared" si="16"/>
        <v>9352</v>
      </c>
      <c r="AA34" s="314">
        <f t="shared" si="16"/>
        <v>0</v>
      </c>
      <c r="AB34" s="314">
        <f t="shared" si="16"/>
        <v>0</v>
      </c>
      <c r="AC34" s="314">
        <f t="shared" si="16"/>
        <v>0</v>
      </c>
      <c r="AD34" s="314">
        <f t="shared" si="16"/>
        <v>0</v>
      </c>
      <c r="AE34" s="314">
        <f t="shared" si="16"/>
        <v>0</v>
      </c>
      <c r="AF34" s="314">
        <f t="shared" si="16"/>
        <v>0</v>
      </c>
      <c r="AG34" s="314">
        <f t="shared" si="16"/>
        <v>0</v>
      </c>
      <c r="AH34" s="314">
        <f t="shared" si="16"/>
        <v>0</v>
      </c>
      <c r="AI34" s="314">
        <f t="shared" si="16"/>
        <v>0</v>
      </c>
      <c r="AJ34" s="314">
        <f t="shared" si="16"/>
        <v>173864.40000000002</v>
      </c>
      <c r="AK34" s="314">
        <f t="shared" si="16"/>
        <v>167470.32</v>
      </c>
      <c r="AL34" s="314">
        <f t="shared" si="16"/>
        <v>0</v>
      </c>
      <c r="AM34" s="314">
        <f t="shared" si="16"/>
        <v>0</v>
      </c>
      <c r="AN34" s="449">
        <f>-[1]Dashboard!D72</f>
        <v>-102830.79528000001</v>
      </c>
      <c r="AO34" s="313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2">
        <v>46266</v>
      </c>
      <c r="B35" s="314">
        <f t="shared" ref="B35:AM35" si="17">+B15*B$1</f>
        <v>0</v>
      </c>
      <c r="C35" s="314">
        <f t="shared" si="17"/>
        <v>0</v>
      </c>
      <c r="D35" s="314">
        <f t="shared" si="17"/>
        <v>0</v>
      </c>
      <c r="E35" s="314">
        <f t="shared" si="17"/>
        <v>0</v>
      </c>
      <c r="F35" s="314">
        <f t="shared" si="17"/>
        <v>0</v>
      </c>
      <c r="G35" s="314">
        <f t="shared" si="17"/>
        <v>0</v>
      </c>
      <c r="H35" s="314">
        <f t="shared" si="17"/>
        <v>155669.51519999999</v>
      </c>
      <c r="I35" s="391">
        <f t="shared" si="17"/>
        <v>0</v>
      </c>
      <c r="J35" s="314">
        <f t="shared" si="17"/>
        <v>0</v>
      </c>
      <c r="K35" s="525">
        <f t="shared" si="17"/>
        <v>440241.56999999995</v>
      </c>
      <c r="L35" s="314">
        <f t="shared" si="17"/>
        <v>93160</v>
      </c>
      <c r="M35" s="314">
        <f t="shared" si="17"/>
        <v>45306.419399999999</v>
      </c>
      <c r="N35" s="314">
        <f t="shared" si="17"/>
        <v>120364.08</v>
      </c>
      <c r="O35" s="314">
        <f t="shared" si="17"/>
        <v>89973.52</v>
      </c>
      <c r="P35" s="314">
        <f t="shared" si="17"/>
        <v>67002.100000000006</v>
      </c>
      <c r="Q35" s="314">
        <f t="shared" si="17"/>
        <v>60687.92</v>
      </c>
      <c r="R35" s="314">
        <f t="shared" si="17"/>
        <v>14124.72</v>
      </c>
      <c r="S35" s="314">
        <f t="shared" si="17"/>
        <v>15476.72</v>
      </c>
      <c r="T35" s="314">
        <f t="shared" si="17"/>
        <v>15684.72</v>
      </c>
      <c r="U35" s="314">
        <f t="shared" si="17"/>
        <v>4441.18</v>
      </c>
      <c r="V35" s="314">
        <f t="shared" si="17"/>
        <v>17764.72</v>
      </c>
      <c r="W35" s="314">
        <f t="shared" si="17"/>
        <v>4181.18</v>
      </c>
      <c r="X35" s="314">
        <f t="shared" si="17"/>
        <v>6271.77</v>
      </c>
      <c r="Y35" s="314">
        <f t="shared" si="17"/>
        <v>5248</v>
      </c>
      <c r="Z35" s="314">
        <f t="shared" si="17"/>
        <v>37408</v>
      </c>
      <c r="AA35" s="314">
        <f t="shared" si="17"/>
        <v>0</v>
      </c>
      <c r="AB35" s="314">
        <f t="shared" si="17"/>
        <v>0</v>
      </c>
      <c r="AC35" s="314">
        <f t="shared" si="17"/>
        <v>0</v>
      </c>
      <c r="AD35" s="314">
        <f t="shared" si="17"/>
        <v>0</v>
      </c>
      <c r="AE35" s="314">
        <f t="shared" si="17"/>
        <v>0</v>
      </c>
      <c r="AF35" s="314">
        <f t="shared" si="17"/>
        <v>0</v>
      </c>
      <c r="AG35" s="314">
        <f t="shared" si="17"/>
        <v>0</v>
      </c>
      <c r="AH35" s="314">
        <f t="shared" si="17"/>
        <v>0</v>
      </c>
      <c r="AI35" s="314">
        <f t="shared" si="17"/>
        <v>0</v>
      </c>
      <c r="AJ35" s="314">
        <f t="shared" si="17"/>
        <v>0</v>
      </c>
      <c r="AK35" s="314">
        <f t="shared" si="17"/>
        <v>0</v>
      </c>
      <c r="AL35" s="314">
        <f t="shared" si="17"/>
        <v>0</v>
      </c>
      <c r="AM35" s="314">
        <f t="shared" si="17"/>
        <v>0</v>
      </c>
      <c r="AN35" s="449">
        <f>-[1]Dashboard!D73</f>
        <v>-102830.79528000001</v>
      </c>
      <c r="AO35" s="313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2">
        <v>46296</v>
      </c>
      <c r="B36" s="314">
        <f t="shared" ref="B36:AM36" si="18">+B16*B$1</f>
        <v>0</v>
      </c>
      <c r="C36" s="314">
        <f t="shared" si="18"/>
        <v>0</v>
      </c>
      <c r="D36" s="314">
        <f t="shared" si="18"/>
        <v>0</v>
      </c>
      <c r="E36" s="314">
        <f t="shared" si="18"/>
        <v>0</v>
      </c>
      <c r="F36" s="314">
        <f t="shared" si="18"/>
        <v>0</v>
      </c>
      <c r="G36" s="314">
        <f t="shared" si="18"/>
        <v>0</v>
      </c>
      <c r="H36" s="314">
        <f t="shared" si="18"/>
        <v>212266.71067499998</v>
      </c>
      <c r="I36" s="391">
        <f t="shared" si="18"/>
        <v>0</v>
      </c>
      <c r="J36" s="314">
        <f t="shared" si="18"/>
        <v>22021.120934999992</v>
      </c>
      <c r="K36" s="525">
        <f t="shared" si="18"/>
        <v>580430.36</v>
      </c>
      <c r="L36" s="314">
        <f t="shared" si="18"/>
        <v>0</v>
      </c>
      <c r="M36" s="314">
        <f t="shared" si="18"/>
        <v>3667.1787899999986</v>
      </c>
      <c r="N36" s="314">
        <f t="shared" si="18"/>
        <v>14160.48</v>
      </c>
      <c r="O36" s="314">
        <f t="shared" si="18"/>
        <v>10585.12</v>
      </c>
      <c r="P36" s="314">
        <f t="shared" si="18"/>
        <v>7882.6</v>
      </c>
      <c r="Q36" s="314">
        <f t="shared" si="18"/>
        <v>30343.96</v>
      </c>
      <c r="R36" s="314">
        <f t="shared" si="18"/>
        <v>8827.9499999999989</v>
      </c>
      <c r="S36" s="314">
        <f t="shared" si="18"/>
        <v>9672.9499999999989</v>
      </c>
      <c r="T36" s="314">
        <f t="shared" si="18"/>
        <v>9802.9499999999989</v>
      </c>
      <c r="U36" s="314">
        <f t="shared" si="18"/>
        <v>0</v>
      </c>
      <c r="V36" s="314">
        <f t="shared" si="18"/>
        <v>11102.95</v>
      </c>
      <c r="W36" s="314">
        <f t="shared" si="18"/>
        <v>0</v>
      </c>
      <c r="X36" s="314">
        <f t="shared" si="18"/>
        <v>0</v>
      </c>
      <c r="Y36" s="314">
        <f t="shared" si="18"/>
        <v>2624</v>
      </c>
      <c r="Z36" s="314">
        <f t="shared" si="18"/>
        <v>18704</v>
      </c>
      <c r="AA36" s="314">
        <f t="shared" si="18"/>
        <v>0</v>
      </c>
      <c r="AB36" s="314">
        <f t="shared" si="18"/>
        <v>0</v>
      </c>
      <c r="AC36" s="314">
        <f t="shared" si="18"/>
        <v>0</v>
      </c>
      <c r="AD36" s="314">
        <f t="shared" si="18"/>
        <v>0</v>
      </c>
      <c r="AE36" s="314">
        <f t="shared" si="18"/>
        <v>0</v>
      </c>
      <c r="AF36" s="314">
        <f t="shared" si="18"/>
        <v>0</v>
      </c>
      <c r="AG36" s="314">
        <f t="shared" si="18"/>
        <v>0</v>
      </c>
      <c r="AH36" s="314">
        <f t="shared" si="18"/>
        <v>0</v>
      </c>
      <c r="AI36" s="314">
        <f t="shared" si="18"/>
        <v>0</v>
      </c>
      <c r="AJ36" s="314">
        <f t="shared" si="18"/>
        <v>0</v>
      </c>
      <c r="AK36" s="314">
        <f t="shared" si="18"/>
        <v>0</v>
      </c>
      <c r="AL36" s="314">
        <f t="shared" si="18"/>
        <v>0</v>
      </c>
      <c r="AM36" s="314">
        <f t="shared" si="18"/>
        <v>0</v>
      </c>
      <c r="AN36" s="449">
        <f>-[1]Dashboard!D74</f>
        <v>-102830.79528000001</v>
      </c>
      <c r="AO36" s="313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2">
        <v>46327</v>
      </c>
      <c r="B37" s="314">
        <f t="shared" ref="B37:AM37" si="19">+B17*B$1</f>
        <v>0</v>
      </c>
      <c r="C37" s="314">
        <f t="shared" si="19"/>
        <v>0</v>
      </c>
      <c r="D37" s="314">
        <f t="shared" si="19"/>
        <v>0</v>
      </c>
      <c r="E37" s="314">
        <f t="shared" si="19"/>
        <v>0</v>
      </c>
      <c r="F37" s="314">
        <f t="shared" si="19"/>
        <v>0</v>
      </c>
      <c r="G37" s="314">
        <f t="shared" si="19"/>
        <v>0</v>
      </c>
      <c r="H37" s="314">
        <f t="shared" si="19"/>
        <v>0</v>
      </c>
      <c r="I37" s="391">
        <f t="shared" si="19"/>
        <v>0</v>
      </c>
      <c r="J37" s="314">
        <f t="shared" si="19"/>
        <v>0</v>
      </c>
      <c r="K37" s="525">
        <f t="shared" si="19"/>
        <v>0</v>
      </c>
      <c r="L37" s="314">
        <f t="shared" si="19"/>
        <v>0</v>
      </c>
      <c r="M37" s="314">
        <f t="shared" si="19"/>
        <v>0</v>
      </c>
      <c r="N37" s="314">
        <f t="shared" si="19"/>
        <v>0</v>
      </c>
      <c r="O37" s="314">
        <f t="shared" si="19"/>
        <v>0</v>
      </c>
      <c r="P37" s="314">
        <f t="shared" si="19"/>
        <v>0</v>
      </c>
      <c r="Q37" s="314">
        <f t="shared" si="19"/>
        <v>0</v>
      </c>
      <c r="R37" s="314">
        <f t="shared" si="19"/>
        <v>0</v>
      </c>
      <c r="S37" s="314">
        <f t="shared" si="19"/>
        <v>0</v>
      </c>
      <c r="T37" s="314">
        <f t="shared" si="19"/>
        <v>0</v>
      </c>
      <c r="U37" s="314">
        <f t="shared" si="19"/>
        <v>0</v>
      </c>
      <c r="V37" s="314">
        <f t="shared" si="19"/>
        <v>0</v>
      </c>
      <c r="W37" s="314">
        <f t="shared" si="19"/>
        <v>0</v>
      </c>
      <c r="X37" s="314">
        <f t="shared" si="19"/>
        <v>0</v>
      </c>
      <c r="Y37" s="314">
        <f t="shared" si="19"/>
        <v>0</v>
      </c>
      <c r="Z37" s="314">
        <f t="shared" si="19"/>
        <v>0</v>
      </c>
      <c r="AA37" s="314">
        <f t="shared" si="19"/>
        <v>0</v>
      </c>
      <c r="AB37" s="314">
        <f t="shared" si="19"/>
        <v>0</v>
      </c>
      <c r="AC37" s="314">
        <f t="shared" si="19"/>
        <v>0</v>
      </c>
      <c r="AD37" s="314">
        <f t="shared" si="19"/>
        <v>0</v>
      </c>
      <c r="AE37" s="314">
        <f t="shared" si="19"/>
        <v>0</v>
      </c>
      <c r="AF37" s="314">
        <f t="shared" si="19"/>
        <v>0</v>
      </c>
      <c r="AG37" s="314">
        <f t="shared" si="19"/>
        <v>0</v>
      </c>
      <c r="AH37" s="314">
        <f t="shared" si="19"/>
        <v>0</v>
      </c>
      <c r="AI37" s="314">
        <f t="shared" si="19"/>
        <v>0</v>
      </c>
      <c r="AJ37" s="314">
        <f t="shared" si="19"/>
        <v>0</v>
      </c>
      <c r="AK37" s="314">
        <f t="shared" si="19"/>
        <v>0</v>
      </c>
      <c r="AL37" s="314">
        <f t="shared" si="19"/>
        <v>0</v>
      </c>
      <c r="AM37" s="314">
        <f t="shared" si="19"/>
        <v>0</v>
      </c>
      <c r="AN37" s="391"/>
      <c r="AO37" s="313"/>
      <c r="AP37" s="13">
        <f t="shared" si="5"/>
        <v>0</v>
      </c>
      <c r="AQ37" s="13">
        <f t="shared" si="8"/>
        <v>4979222.0695479978</v>
      </c>
    </row>
    <row r="38" spans="1:47" x14ac:dyDescent="0.25">
      <c r="A38" s="242">
        <v>46357</v>
      </c>
      <c r="B38" s="314">
        <f t="shared" ref="B38:AM38" si="20">+B18*B$1</f>
        <v>0</v>
      </c>
      <c r="C38" s="314">
        <f t="shared" si="20"/>
        <v>0</v>
      </c>
      <c r="D38" s="314">
        <f t="shared" si="20"/>
        <v>0</v>
      </c>
      <c r="E38" s="314">
        <f t="shared" si="20"/>
        <v>0</v>
      </c>
      <c r="F38" s="314">
        <f t="shared" si="20"/>
        <v>0</v>
      </c>
      <c r="G38" s="314">
        <f t="shared" si="20"/>
        <v>0</v>
      </c>
      <c r="H38" s="314">
        <f t="shared" si="20"/>
        <v>0</v>
      </c>
      <c r="I38" s="391">
        <f t="shared" si="20"/>
        <v>0</v>
      </c>
      <c r="J38" s="314">
        <f t="shared" si="20"/>
        <v>0</v>
      </c>
      <c r="K38" s="525">
        <f t="shared" si="20"/>
        <v>0</v>
      </c>
      <c r="L38" s="314">
        <f t="shared" si="20"/>
        <v>0</v>
      </c>
      <c r="M38" s="314">
        <f t="shared" si="20"/>
        <v>0</v>
      </c>
      <c r="N38" s="314">
        <f t="shared" si="20"/>
        <v>0</v>
      </c>
      <c r="O38" s="314">
        <f t="shared" si="20"/>
        <v>0</v>
      </c>
      <c r="P38" s="314">
        <f t="shared" si="20"/>
        <v>0</v>
      </c>
      <c r="Q38" s="314">
        <f t="shared" si="20"/>
        <v>0</v>
      </c>
      <c r="R38" s="314">
        <f t="shared" si="20"/>
        <v>0</v>
      </c>
      <c r="S38" s="314">
        <f t="shared" si="20"/>
        <v>0</v>
      </c>
      <c r="T38" s="314">
        <f t="shared" si="20"/>
        <v>0</v>
      </c>
      <c r="U38" s="314">
        <f t="shared" si="20"/>
        <v>0</v>
      </c>
      <c r="V38" s="314">
        <f t="shared" si="20"/>
        <v>0</v>
      </c>
      <c r="W38" s="314">
        <f t="shared" si="20"/>
        <v>0</v>
      </c>
      <c r="X38" s="314">
        <f t="shared" si="20"/>
        <v>0</v>
      </c>
      <c r="Y38" s="314">
        <f t="shared" si="20"/>
        <v>0</v>
      </c>
      <c r="Z38" s="314">
        <f t="shared" si="20"/>
        <v>0</v>
      </c>
      <c r="AA38" s="314">
        <f t="shared" si="20"/>
        <v>0</v>
      </c>
      <c r="AB38" s="314">
        <f t="shared" si="20"/>
        <v>0</v>
      </c>
      <c r="AC38" s="314">
        <f t="shared" si="20"/>
        <v>0</v>
      </c>
      <c r="AD38" s="314">
        <f t="shared" si="20"/>
        <v>0</v>
      </c>
      <c r="AE38" s="314">
        <f t="shared" si="20"/>
        <v>0</v>
      </c>
      <c r="AF38" s="314">
        <f t="shared" si="20"/>
        <v>0</v>
      </c>
      <c r="AG38" s="314">
        <f t="shared" si="20"/>
        <v>0</v>
      </c>
      <c r="AH38" s="314">
        <f t="shared" si="20"/>
        <v>0</v>
      </c>
      <c r="AI38" s="314">
        <f t="shared" si="20"/>
        <v>0</v>
      </c>
      <c r="AJ38" s="314">
        <f t="shared" si="20"/>
        <v>0</v>
      </c>
      <c r="AK38" s="314">
        <f t="shared" si="20"/>
        <v>0</v>
      </c>
      <c r="AL38" s="314">
        <f t="shared" si="20"/>
        <v>0</v>
      </c>
      <c r="AM38" s="314">
        <f t="shared" si="20"/>
        <v>0</v>
      </c>
      <c r="AN38" s="391"/>
      <c r="AO38" s="313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4" t="s">
        <v>323</v>
      </c>
      <c r="F2" s="174" t="s">
        <v>324</v>
      </c>
      <c r="G2" s="174" t="s">
        <v>325</v>
      </c>
      <c r="H2" s="174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5">
        <v>45963</v>
      </c>
      <c r="F3" s="176">
        <f ca="1">+'Grafico %'!K$35</f>
        <v>0.90942749999999994</v>
      </c>
      <c r="G3" s="176">
        <f ca="1">+'Grafico %'!$K$36</f>
        <v>0.90212749999999942</v>
      </c>
      <c r="H3" s="176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5">
        <f>+E3+2</f>
        <v>45965</v>
      </c>
      <c r="F4" s="176">
        <f ca="1">+'Grafico %'!K$35</f>
        <v>0.90942749999999994</v>
      </c>
      <c r="G4" s="176">
        <f ca="1">+'Grafico %'!$K$36</f>
        <v>0.90212749999999942</v>
      </c>
      <c r="H4" s="176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35</vt:i4>
      </vt:variant>
      <vt:variant>
        <vt:lpstr>Rangos con nombre</vt:lpstr>
      </vt:variant>
      <vt:variant>
        <vt:i4>9</vt:i4>
      </vt:variant>
    </vt:vector>
  </HeadingPairs>
  <TitlesOfParts>
    <vt:vector size="44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2026-10-22T17:39:49Z</dcterms:modified>
  <cp:category/>
  <cp:contentStatus/>
</cp:coreProperties>
</file>