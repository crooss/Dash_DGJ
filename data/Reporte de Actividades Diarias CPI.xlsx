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ta/"/>
    </mc:Choice>
  </mc:AlternateContent>
  <xr:revisionPtr revIDLastSave="2066" documentId="8_{4AADA8ED-8E7D-4B32-A08C-3385DCB314DA}" xr6:coauthVersionLast="47" xr6:coauthVersionMax="47" xr10:uidLastSave="{6B597A70-569C-47DD-A419-5EDB339023C4}"/>
  <bookViews>
    <workbookView xWindow="-120" yWindow="-120" windowWidth="29040" windowHeight="15720" tabRatio="929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SPIN'!$I$5:$I$20</definedName>
    <definedName name="_xlchart.v5.11" hidden="1">'EV SPIN'!$K$6:$K$20</definedName>
    <definedName name="_xlchart.v5.12" hidden="1">'EV SPIN'!$Q$6:$Q$20</definedName>
    <definedName name="_xlchart.v5.13" hidden="1">'EV SPIN'!$A$26:$A$38</definedName>
    <definedName name="_xlchart.v5.14" hidden="1">'EV SPIN'!$B$26:$B$38</definedName>
    <definedName name="_xlchart.v5.15" hidden="1">'EV SPIN'!$K$6:$K$20</definedName>
    <definedName name="_xlchart.v5.16" hidden="1">'EV SPIN'!$L$6:$L$20</definedName>
    <definedName name="_xlchart.v5.17" hidden="1">'EV SPIN'!$K$6:$K$20</definedName>
    <definedName name="_xlchart.v5.18" hidden="1">'EV SPIN'!$M$6:$M$20</definedName>
    <definedName name="_xlchart.v5.19" hidden="1">'EV SPIN'!$K$6:$K$20</definedName>
    <definedName name="_xlchart.v5.2" hidden="1">'EV (2)'!$A$5:$A$20</definedName>
    <definedName name="_xlchart.v5.20" hidden="1">'EV SPIN'!$N$6:$N$20</definedName>
    <definedName name="_xlchart.v5.21" hidden="1">'EV SPIN'!$K$6:$K$20</definedName>
    <definedName name="_xlchart.v5.22" hidden="1">'EV SPIN'!$O$6:$O$20</definedName>
    <definedName name="_xlchart.v5.23" hidden="1">'EV SPIN'!$A$5:$A$20</definedName>
    <definedName name="_xlchart.v5.24" hidden="1">'EV SPIN'!$I$5:$I$20</definedName>
    <definedName name="_xlchart.v5.25" hidden="1">'EV SPIN'!$K$6:$K$20</definedName>
    <definedName name="_xlchart.v5.26" hidden="1">'EV SPIN'!$M$6:$M$20</definedName>
    <definedName name="_xlchart.v5.27" hidden="1">'EV SPIN'!$K$6:$K$20</definedName>
    <definedName name="_xlchart.v5.28" hidden="1">'EV SPIN'!$N$6:$N$20</definedName>
    <definedName name="_xlchart.v5.29" hidden="1">'EV SPIN'!$K$6:$K$20</definedName>
    <definedName name="_xlchart.v5.3" hidden="1">'EV (2)'!$AO$5:$AO$20</definedName>
    <definedName name="_xlchart.v5.30" hidden="1">'EV SPIN'!$P$6:$P$20</definedName>
    <definedName name="_xlchart.v5.31" hidden="1">'EV SPIN'!$K$6:$K$20</definedName>
    <definedName name="_xlchart.v5.32" hidden="1">'EV SPIN'!$Q$6:$Q$20</definedName>
    <definedName name="_xlchart.v5.33" hidden="1">'EV SPIN'!$K$6:$K$20</definedName>
    <definedName name="_xlchart.v5.34" hidden="1">'EV SPIN'!$O$6:$O$20</definedName>
    <definedName name="_xlchart.v5.35" hidden="1">'EV SPIN'!$K$6:$K$20</definedName>
    <definedName name="_xlchart.v5.36" hidden="1">'EV SPIN'!$L$6:$L$20</definedName>
    <definedName name="_xlchart.v5.37" hidden="1">waterfall!$A$3:$A$19</definedName>
    <definedName name="_xlchart.v5.38" hidden="1">waterfall!$AP$3:$AP$19</definedName>
    <definedName name="_xlchart.v5.39" hidden="1">waterfall!$AR$74</definedName>
    <definedName name="_xlchart.v5.4" hidden="1">'waterfall ENGIE'!$U$31</definedName>
    <definedName name="_xlchart.v5.40" hidden="1">waterfall!$A$23:$A$39</definedName>
    <definedName name="_xlchart.v5.41" hidden="1">waterfall!$AP$23:$AP$39</definedName>
    <definedName name="_xlchart.v5.5" hidden="1">'EV (2)'!$A$26:$A$38</definedName>
    <definedName name="_xlchart.v5.6" hidden="1">'EV (2)'!$B$26:$B$38</definedName>
    <definedName name="_xlchart.v5.7" hidden="1">'EV SPIN'!$K$6:$K$20</definedName>
    <definedName name="_xlchart.v5.8" hidden="1">'EV SPIN'!$P$6:$P$20</definedName>
    <definedName name="_xlchart.v5.9" hidden="1">'EV SPIN'!$A$5:$A$20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2" i="39" l="1"/>
  <c r="H847" i="1"/>
  <c r="M847" i="1" s="1"/>
  <c r="H679" i="1"/>
  <c r="M679" i="1" s="1"/>
  <c r="K679" i="1"/>
  <c r="N679" i="1"/>
  <c r="H680" i="1"/>
  <c r="M680" i="1" s="1"/>
  <c r="K680" i="1"/>
  <c r="N680" i="1"/>
  <c r="H681" i="1"/>
  <c r="M681" i="1" s="1"/>
  <c r="K681" i="1"/>
  <c r="N681" i="1"/>
  <c r="H682" i="1"/>
  <c r="M682" i="1" s="1"/>
  <c r="K682" i="1"/>
  <c r="N682" i="1"/>
  <c r="H683" i="1"/>
  <c r="M683" i="1" s="1"/>
  <c r="K683" i="1"/>
  <c r="N683" i="1"/>
  <c r="H684" i="1"/>
  <c r="M684" i="1" s="1"/>
  <c r="K684" i="1"/>
  <c r="N684" i="1"/>
  <c r="H685" i="1"/>
  <c r="M685" i="1" s="1"/>
  <c r="K685" i="1"/>
  <c r="N685" i="1"/>
  <c r="H686" i="1"/>
  <c r="M686" i="1" s="1"/>
  <c r="K686" i="1"/>
  <c r="N686" i="1"/>
  <c r="H687" i="1"/>
  <c r="M687" i="1" s="1"/>
  <c r="K687" i="1"/>
  <c r="N687" i="1"/>
  <c r="H688" i="1"/>
  <c r="M688" i="1" s="1"/>
  <c r="K688" i="1"/>
  <c r="N688" i="1"/>
  <c r="H689" i="1"/>
  <c r="M689" i="1" s="1"/>
  <c r="K689" i="1"/>
  <c r="N689" i="1"/>
  <c r="H690" i="1"/>
  <c r="M690" i="1" s="1"/>
  <c r="K690" i="1"/>
  <c r="N690" i="1"/>
  <c r="H691" i="1"/>
  <c r="M691" i="1" s="1"/>
  <c r="K691" i="1"/>
  <c r="N691" i="1"/>
  <c r="L670" i="1"/>
  <c r="K670" i="1"/>
  <c r="H670" i="1"/>
  <c r="M670" i="1" s="1"/>
  <c r="L669" i="1"/>
  <c r="K669" i="1"/>
  <c r="H669" i="1"/>
  <c r="M669" i="1" s="1"/>
  <c r="L668" i="1"/>
  <c r="K668" i="1"/>
  <c r="H668" i="1"/>
  <c r="M668" i="1" s="1"/>
  <c r="H671" i="1"/>
  <c r="M671" i="1" s="1"/>
  <c r="K671" i="1"/>
  <c r="N671" i="1"/>
  <c r="H672" i="1"/>
  <c r="M672" i="1" s="1"/>
  <c r="K672" i="1"/>
  <c r="N672" i="1"/>
  <c r="H673" i="1"/>
  <c r="M673" i="1" s="1"/>
  <c r="K673" i="1"/>
  <c r="N673" i="1"/>
  <c r="H674" i="1"/>
  <c r="M674" i="1" s="1"/>
  <c r="K674" i="1"/>
  <c r="N674" i="1"/>
  <c r="H675" i="1"/>
  <c r="M675" i="1" s="1"/>
  <c r="K675" i="1"/>
  <c r="N675" i="1"/>
  <c r="H676" i="1"/>
  <c r="M676" i="1" s="1"/>
  <c r="K676" i="1"/>
  <c r="N676" i="1"/>
  <c r="H677" i="1"/>
  <c r="M677" i="1" s="1"/>
  <c r="K677" i="1"/>
  <c r="N677" i="1"/>
  <c r="L667" i="1"/>
  <c r="K667" i="1"/>
  <c r="H667" i="1"/>
  <c r="M66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66" i="1"/>
  <c r="K666" i="1"/>
  <c r="H666" i="1"/>
  <c r="M666" i="1" s="1"/>
  <c r="L665" i="1"/>
  <c r="K665" i="1"/>
  <c r="H665" i="1"/>
  <c r="M66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60" i="1"/>
  <c r="N859" i="1"/>
  <c r="H859" i="1" s="1"/>
  <c r="M859" i="1" s="1"/>
  <c r="N857" i="1"/>
  <c r="N855" i="1"/>
  <c r="K861" i="1"/>
  <c r="H861" i="1"/>
  <c r="M861" i="1" s="1"/>
  <c r="K860" i="1"/>
  <c r="K85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60" i="1"/>
  <c r="M860" i="1" s="1"/>
  <c r="AN36" i="25"/>
  <c r="N773" i="1"/>
  <c r="M773" i="1"/>
  <c r="K773" i="1"/>
  <c r="H678" i="1"/>
  <c r="M678" i="1" s="1"/>
  <c r="K678" i="1"/>
  <c r="N678" i="1"/>
  <c r="H692" i="1"/>
  <c r="M692" i="1" s="1"/>
  <c r="K692" i="1"/>
  <c r="N692" i="1"/>
  <c r="H693" i="1"/>
  <c r="M693" i="1" s="1"/>
  <c r="K693" i="1"/>
  <c r="N693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H767" i="1"/>
  <c r="M767" i="1" s="1"/>
  <c r="K767" i="1"/>
  <c r="N767" i="1"/>
  <c r="H887" i="1"/>
  <c r="M887" i="1" s="1"/>
  <c r="K887" i="1"/>
  <c r="N887" i="1"/>
  <c r="H877" i="1"/>
  <c r="M877" i="1" s="1"/>
  <c r="K877" i="1"/>
  <c r="N877" i="1"/>
  <c r="H830" i="1"/>
  <c r="M830" i="1" s="1"/>
  <c r="K830" i="1"/>
  <c r="N830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H743" i="1"/>
  <c r="M743" i="1" s="1"/>
  <c r="K743" i="1"/>
  <c r="N743" i="1"/>
  <c r="H751" i="1"/>
  <c r="M751" i="1" s="1"/>
  <c r="K751" i="1"/>
  <c r="N751" i="1"/>
  <c r="H759" i="1"/>
  <c r="M759" i="1" s="1"/>
  <c r="K759" i="1"/>
  <c r="N759" i="1"/>
  <c r="H792" i="1"/>
  <c r="M792" i="1" s="1"/>
  <c r="K792" i="1"/>
  <c r="N792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H735" i="1"/>
  <c r="M735" i="1" s="1"/>
  <c r="K735" i="1"/>
  <c r="N735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H695" i="1"/>
  <c r="M695" i="1" s="1"/>
  <c r="K695" i="1"/>
  <c r="N695" i="1"/>
  <c r="H719" i="1"/>
  <c r="M719" i="1" s="1"/>
  <c r="K719" i="1"/>
  <c r="N719" i="1"/>
  <c r="H823" i="1"/>
  <c r="M823" i="1" s="1"/>
  <c r="K823" i="1"/>
  <c r="N823" i="1"/>
  <c r="H824" i="1"/>
  <c r="M824" i="1" s="1"/>
  <c r="K824" i="1"/>
  <c r="N824" i="1"/>
  <c r="H829" i="1"/>
  <c r="M829" i="1" s="1"/>
  <c r="K829" i="1"/>
  <c r="N829" i="1"/>
  <c r="H955" i="1"/>
  <c r="M955" i="1" s="1"/>
  <c r="K955" i="1"/>
  <c r="N955" i="1"/>
  <c r="H956" i="1"/>
  <c r="M956" i="1" s="1"/>
  <c r="K956" i="1"/>
  <c r="N956" i="1"/>
  <c r="H957" i="1"/>
  <c r="M957" i="1" s="1"/>
  <c r="K957" i="1"/>
  <c r="N957" i="1"/>
  <c r="H958" i="1"/>
  <c r="M958" i="1" s="1"/>
  <c r="K958" i="1"/>
  <c r="N958" i="1"/>
  <c r="H959" i="1"/>
  <c r="M959" i="1" s="1"/>
  <c r="K959" i="1"/>
  <c r="N959" i="1"/>
  <c r="H960" i="1"/>
  <c r="M960" i="1" s="1"/>
  <c r="K960" i="1"/>
  <c r="N960" i="1"/>
  <c r="H961" i="1"/>
  <c r="M961" i="1" s="1"/>
  <c r="K961" i="1"/>
  <c r="N961" i="1"/>
  <c r="H962" i="1"/>
  <c r="M962" i="1" s="1"/>
  <c r="K962" i="1"/>
  <c r="N962" i="1"/>
  <c r="H963" i="1"/>
  <c r="M963" i="1" s="1"/>
  <c r="K963" i="1"/>
  <c r="N963" i="1"/>
  <c r="H964" i="1"/>
  <c r="M964" i="1" s="1"/>
  <c r="K964" i="1"/>
  <c r="N964" i="1"/>
  <c r="H965" i="1"/>
  <c r="M965" i="1" s="1"/>
  <c r="K965" i="1"/>
  <c r="N965" i="1"/>
  <c r="H966" i="1"/>
  <c r="M966" i="1" s="1"/>
  <c r="K966" i="1"/>
  <c r="N966" i="1"/>
  <c r="H967" i="1"/>
  <c r="M967" i="1" s="1"/>
  <c r="K967" i="1"/>
  <c r="N967" i="1"/>
  <c r="H968" i="1"/>
  <c r="M968" i="1" s="1"/>
  <c r="K968" i="1"/>
  <c r="N968" i="1"/>
  <c r="H969" i="1"/>
  <c r="M969" i="1" s="1"/>
  <c r="K969" i="1"/>
  <c r="N969" i="1"/>
  <c r="L662" i="1" l="1"/>
  <c r="L661" i="1"/>
  <c r="L660" i="1"/>
  <c r="L664" i="1"/>
  <c r="L659" i="1"/>
  <c r="L657" i="1"/>
  <c r="L656" i="1"/>
  <c r="L655" i="1"/>
  <c r="L654" i="1"/>
  <c r="L653" i="1"/>
  <c r="L652" i="1"/>
  <c r="L651" i="1"/>
  <c r="O15" i="17"/>
  <c r="N15" i="17"/>
  <c r="M14" i="17"/>
  <c r="F107" i="10"/>
  <c r="F108" i="10"/>
  <c r="F109" i="10"/>
  <c r="F106" i="10"/>
  <c r="L516" i="1"/>
  <c r="K516" i="1"/>
  <c r="H516" i="1"/>
  <c r="M516" i="1" s="1"/>
  <c r="L518" i="1"/>
  <c r="K518" i="1"/>
  <c r="H518" i="1"/>
  <c r="M518" i="1" s="1"/>
  <c r="K662" i="1" l="1"/>
  <c r="H662" i="1"/>
  <c r="M662" i="1" s="1"/>
  <c r="K661" i="1"/>
  <c r="H661" i="1"/>
  <c r="M661" i="1" s="1"/>
  <c r="K660" i="1"/>
  <c r="H660" i="1"/>
  <c r="M660" i="1" s="1"/>
  <c r="K664" i="1"/>
  <c r="H664" i="1"/>
  <c r="M664" i="1" s="1"/>
  <c r="K659" i="1"/>
  <c r="H659" i="1"/>
  <c r="M659" i="1" s="1"/>
  <c r="K657" i="1"/>
  <c r="H657" i="1"/>
  <c r="M657" i="1" s="1"/>
  <c r="K656" i="1"/>
  <c r="H656" i="1"/>
  <c r="M656" i="1" s="1"/>
  <c r="K655" i="1"/>
  <c r="H655" i="1"/>
  <c r="M655" i="1" s="1"/>
  <c r="K654" i="1"/>
  <c r="H654" i="1"/>
  <c r="M654" i="1" s="1"/>
  <c r="K653" i="1"/>
  <c r="H653" i="1"/>
  <c r="M653" i="1" s="1"/>
  <c r="K652" i="1"/>
  <c r="H652" i="1"/>
  <c r="M652" i="1" s="1"/>
  <c r="K651" i="1"/>
  <c r="H651" i="1"/>
  <c r="M651" i="1" s="1"/>
  <c r="N636" i="1"/>
  <c r="L636" i="1"/>
  <c r="K636" i="1"/>
  <c r="H636" i="1"/>
  <c r="M636" i="1" s="1"/>
  <c r="N650" i="1"/>
  <c r="L650" i="1"/>
  <c r="K650" i="1"/>
  <c r="H650" i="1"/>
  <c r="M650" i="1" s="1"/>
  <c r="N649" i="1"/>
  <c r="L649" i="1"/>
  <c r="K649" i="1"/>
  <c r="H649" i="1"/>
  <c r="M649" i="1" s="1"/>
  <c r="L648" i="1"/>
  <c r="L647" i="1"/>
  <c r="L646" i="1"/>
  <c r="L645" i="1"/>
  <c r="L644" i="1"/>
  <c r="L643" i="1"/>
  <c r="L642" i="1"/>
  <c r="L641" i="1"/>
  <c r="L640" i="1"/>
  <c r="L639" i="1"/>
  <c r="L638" i="1"/>
  <c r="K638" i="1"/>
  <c r="H638" i="1"/>
  <c r="E25" i="30"/>
  <c r="U7" i="5"/>
  <c r="H639" i="1"/>
  <c r="M639" i="1" s="1"/>
  <c r="K639" i="1"/>
  <c r="N639" i="1"/>
  <c r="H640" i="1"/>
  <c r="M640" i="1" s="1"/>
  <c r="K640" i="1"/>
  <c r="N640" i="1"/>
  <c r="H641" i="1"/>
  <c r="M641" i="1" s="1"/>
  <c r="K641" i="1"/>
  <c r="N641" i="1"/>
  <c r="H642" i="1"/>
  <c r="M642" i="1" s="1"/>
  <c r="K642" i="1"/>
  <c r="N642" i="1"/>
  <c r="H643" i="1"/>
  <c r="M643" i="1" s="1"/>
  <c r="K643" i="1"/>
  <c r="N643" i="1"/>
  <c r="H644" i="1"/>
  <c r="M644" i="1" s="1"/>
  <c r="K644" i="1"/>
  <c r="N644" i="1"/>
  <c r="H645" i="1"/>
  <c r="M645" i="1" s="1"/>
  <c r="K645" i="1"/>
  <c r="N645" i="1"/>
  <c r="H646" i="1"/>
  <c r="M646" i="1" s="1"/>
  <c r="K646" i="1"/>
  <c r="N646" i="1"/>
  <c r="H647" i="1"/>
  <c r="M647" i="1" s="1"/>
  <c r="K647" i="1"/>
  <c r="N647" i="1"/>
  <c r="H648" i="1"/>
  <c r="M648" i="1" s="1"/>
  <c r="K648" i="1"/>
  <c r="N648" i="1"/>
  <c r="H663" i="1"/>
  <c r="M663" i="1" s="1"/>
  <c r="K663" i="1"/>
  <c r="N663" i="1"/>
  <c r="L628" i="1"/>
  <c r="L629" i="1"/>
  <c r="L630" i="1"/>
  <c r="L631" i="1"/>
  <c r="L632" i="1"/>
  <c r="L633" i="1"/>
  <c r="L634" i="1"/>
  <c r="L635" i="1"/>
  <c r="L637" i="1"/>
  <c r="L627" i="1"/>
  <c r="L626" i="1"/>
  <c r="N637" i="1"/>
  <c r="K637" i="1"/>
  <c r="H637" i="1"/>
  <c r="M637" i="1" s="1"/>
  <c r="N635" i="1"/>
  <c r="K635" i="1"/>
  <c r="H635" i="1"/>
  <c r="M635" i="1" s="1"/>
  <c r="N634" i="1"/>
  <c r="K634" i="1"/>
  <c r="H634" i="1"/>
  <c r="M634" i="1" s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633" i="1"/>
  <c r="K633" i="1"/>
  <c r="H633" i="1"/>
  <c r="M633" i="1" s="1"/>
  <c r="K632" i="1"/>
  <c r="H632" i="1"/>
  <c r="M632" i="1" s="1"/>
  <c r="K631" i="1"/>
  <c r="H631" i="1"/>
  <c r="M631" i="1" s="1"/>
  <c r="K630" i="1"/>
  <c r="H630" i="1"/>
  <c r="M630" i="1" s="1"/>
  <c r="K629" i="1"/>
  <c r="H629" i="1"/>
  <c r="M629" i="1" s="1"/>
  <c r="K628" i="1"/>
  <c r="H628" i="1"/>
  <c r="M628" i="1" s="1"/>
  <c r="B9" i="30"/>
  <c r="K626" i="1"/>
  <c r="H626" i="1"/>
  <c r="M626" i="1" s="1"/>
  <c r="E17" i="33"/>
  <c r="L624" i="1"/>
  <c r="K624" i="1"/>
  <c r="H624" i="1"/>
  <c r="M624" i="1" s="1"/>
  <c r="M638" i="1" l="1"/>
  <c r="N783" i="1"/>
  <c r="M783" i="1"/>
  <c r="K783" i="1"/>
  <c r="N782" i="1"/>
  <c r="M782" i="1"/>
  <c r="K782" i="1"/>
  <c r="N781" i="1"/>
  <c r="M781" i="1"/>
  <c r="K781" i="1"/>
  <c r="N780" i="1"/>
  <c r="M780" i="1"/>
  <c r="K780" i="1"/>
  <c r="N779" i="1"/>
  <c r="M779" i="1"/>
  <c r="K779" i="1"/>
  <c r="N778" i="1"/>
  <c r="M778" i="1"/>
  <c r="K778" i="1"/>
  <c r="N777" i="1"/>
  <c r="M777" i="1"/>
  <c r="K777" i="1"/>
  <c r="H784" i="1"/>
  <c r="M784" i="1" s="1"/>
  <c r="K784" i="1"/>
  <c r="N784" i="1"/>
  <c r="H880" i="1"/>
  <c r="M880" i="1" s="1"/>
  <c r="K882" i="1"/>
  <c r="K883" i="1"/>
  <c r="K884" i="1"/>
  <c r="K885" i="1"/>
  <c r="L623" i="1"/>
  <c r="K623" i="1"/>
  <c r="H623" i="1"/>
  <c r="G58" i="5"/>
  <c r="J58" i="5"/>
  <c r="H881" i="1" s="1"/>
  <c r="M881" i="1" s="1"/>
  <c r="N622" i="1"/>
  <c r="L622" i="1"/>
  <c r="K622" i="1"/>
  <c r="H622" i="1"/>
  <c r="M622" i="1" s="1"/>
  <c r="N621" i="1"/>
  <c r="L621" i="1"/>
  <c r="K621" i="1"/>
  <c r="H621" i="1"/>
  <c r="M621" i="1" s="1"/>
  <c r="L620" i="1"/>
  <c r="K620" i="1"/>
  <c r="H620" i="1"/>
  <c r="M620" i="1" s="1"/>
  <c r="H619" i="1"/>
  <c r="M619" i="1" s="1"/>
  <c r="K619" i="1"/>
  <c r="N619" i="1"/>
  <c r="N620" i="1"/>
  <c r="K879" i="1"/>
  <c r="K880" i="1"/>
  <c r="K881" i="1"/>
  <c r="H625" i="1"/>
  <c r="M625" i="1" s="1"/>
  <c r="K625" i="1"/>
  <c r="N625" i="1"/>
  <c r="H627" i="1"/>
  <c r="K627" i="1"/>
  <c r="N627" i="1"/>
  <c r="N628" i="1"/>
  <c r="N629" i="1"/>
  <c r="N630" i="1"/>
  <c r="N631" i="1"/>
  <c r="N632" i="1"/>
  <c r="M618" i="1"/>
  <c r="K618" i="1"/>
  <c r="N617" i="1"/>
  <c r="M617" i="1"/>
  <c r="K617" i="1"/>
  <c r="N616" i="1"/>
  <c r="M616" i="1"/>
  <c r="K616" i="1"/>
  <c r="M615" i="1"/>
  <c r="K615" i="1"/>
  <c r="E6" i="26" s="1"/>
  <c r="M614" i="1"/>
  <c r="K614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K612" i="1"/>
  <c r="M612" i="1"/>
  <c r="N612" i="1"/>
  <c r="K613" i="1"/>
  <c r="M613" i="1"/>
  <c r="N613" i="1"/>
  <c r="M627" i="1" l="1"/>
  <c r="M62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79" i="1"/>
  <c r="M879" i="1" s="1"/>
  <c r="H885" i="1"/>
  <c r="M885" i="1" s="1"/>
  <c r="H884" i="1"/>
  <c r="M884" i="1" s="1"/>
  <c r="H883" i="1"/>
  <c r="M883" i="1" s="1"/>
  <c r="H882" i="1"/>
  <c r="M88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11" i="1"/>
  <c r="M611" i="1"/>
  <c r="K611" i="1"/>
  <c r="N610" i="1"/>
  <c r="M610" i="1"/>
  <c r="K610" i="1"/>
  <c r="N609" i="1"/>
  <c r="M609" i="1"/>
  <c r="K609" i="1"/>
  <c r="N608" i="1"/>
  <c r="M608" i="1"/>
  <c r="K608" i="1"/>
  <c r="M568" i="1"/>
  <c r="J9" i="29"/>
  <c r="J10" i="29"/>
  <c r="J13" i="29"/>
  <c r="J16" i="29"/>
  <c r="J17" i="29"/>
  <c r="J18" i="29"/>
  <c r="J19" i="29"/>
  <c r="B24" i="29"/>
  <c r="H833" i="1"/>
  <c r="H834" i="1"/>
  <c r="M834" i="1" s="1"/>
  <c r="H835" i="1"/>
  <c r="H836" i="1"/>
  <c r="H837" i="1"/>
  <c r="H838" i="1"/>
  <c r="H840" i="1"/>
  <c r="M840" i="1" s="1"/>
  <c r="H841" i="1"/>
  <c r="J56" i="5"/>
  <c r="H850" i="1" s="1"/>
  <c r="M850" i="1" s="1"/>
  <c r="J57" i="5"/>
  <c r="H874" i="1" s="1"/>
  <c r="M874" i="1" s="1"/>
  <c r="J55" i="5"/>
  <c r="H83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58" i="1"/>
  <c r="H858" i="1"/>
  <c r="M858" i="1" s="1"/>
  <c r="K857" i="1"/>
  <c r="H857" i="1"/>
  <c r="M857" i="1" s="1"/>
  <c r="K856" i="1"/>
  <c r="H856" i="1"/>
  <c r="M856" i="1" s="1"/>
  <c r="K855" i="1"/>
  <c r="K854" i="1"/>
  <c r="K875" i="1"/>
  <c r="H875" i="1"/>
  <c r="M875" i="1" s="1"/>
  <c r="K874" i="1"/>
  <c r="K873" i="1"/>
  <c r="H873" i="1"/>
  <c r="M873" i="1" s="1"/>
  <c r="K872" i="1"/>
  <c r="H872" i="1"/>
  <c r="M872" i="1" s="1"/>
  <c r="K871" i="1"/>
  <c r="H871" i="1"/>
  <c r="M871" i="1" s="1"/>
  <c r="H870" i="1"/>
  <c r="M870" i="1" s="1"/>
  <c r="K870" i="1"/>
  <c r="K852" i="1"/>
  <c r="H852" i="1"/>
  <c r="M852" i="1" s="1"/>
  <c r="K851" i="1"/>
  <c r="H851" i="1"/>
  <c r="M851" i="1" s="1"/>
  <c r="K850" i="1"/>
  <c r="K849" i="1"/>
  <c r="K848" i="1"/>
  <c r="H848" i="1"/>
  <c r="M848" i="1" s="1"/>
  <c r="K847" i="1"/>
  <c r="K868" i="1"/>
  <c r="K867" i="1"/>
  <c r="K866" i="1"/>
  <c r="K865" i="1"/>
  <c r="K864" i="1"/>
  <c r="K863" i="1"/>
  <c r="G2" i="8"/>
  <c r="C2" i="8"/>
  <c r="H864" i="1"/>
  <c r="M864" i="1" s="1"/>
  <c r="H865" i="1"/>
  <c r="M865" i="1" s="1"/>
  <c r="H866" i="1"/>
  <c r="H867" i="1"/>
  <c r="H868" i="1"/>
  <c r="H863" i="1"/>
  <c r="M86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45" i="1"/>
  <c r="K844" i="1"/>
  <c r="K843" i="1"/>
  <c r="K842" i="1"/>
  <c r="K841" i="1"/>
  <c r="K840" i="1"/>
  <c r="K833" i="1"/>
  <c r="K834" i="1"/>
  <c r="K835" i="1"/>
  <c r="K836" i="1"/>
  <c r="K837" i="1"/>
  <c r="K838" i="1"/>
  <c r="K832" i="1"/>
  <c r="G56" i="5"/>
  <c r="G57" i="5"/>
  <c r="G55" i="5"/>
  <c r="N607" i="1"/>
  <c r="M607" i="1"/>
  <c r="K60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54" i="1"/>
  <c r="H844" i="1"/>
  <c r="M844" i="1" s="1"/>
  <c r="H855" i="1"/>
  <c r="M855" i="1" s="1"/>
  <c r="H843" i="1"/>
  <c r="M843" i="1" s="1"/>
  <c r="H845" i="1"/>
  <c r="M845" i="1" s="1"/>
  <c r="H849" i="1"/>
  <c r="M849" i="1" s="1"/>
  <c r="H842" i="1"/>
  <c r="K55" i="5"/>
  <c r="M841" i="1"/>
  <c r="M837" i="1"/>
  <c r="M835" i="1"/>
  <c r="M833" i="1"/>
  <c r="M838" i="1"/>
  <c r="M836" i="1"/>
  <c r="U20" i="33"/>
  <c r="W20" i="33"/>
  <c r="V20" i="33"/>
  <c r="M842" i="1" l="1"/>
  <c r="M854" i="1"/>
  <c r="J12" i="39"/>
  <c r="K16" i="30"/>
  <c r="K17" i="29"/>
  <c r="K16" i="29"/>
  <c r="M83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06" i="1"/>
  <c r="M606" i="1"/>
  <c r="K606" i="1"/>
  <c r="M604" i="1"/>
  <c r="K604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H65" i="5"/>
  <c r="G65" i="5"/>
  <c r="F65" i="5"/>
  <c r="E65" i="5"/>
  <c r="M603" i="1"/>
  <c r="K603" i="1"/>
  <c r="M602" i="1"/>
  <c r="K602" i="1"/>
  <c r="M601" i="1"/>
  <c r="K601" i="1"/>
  <c r="L600" i="1"/>
  <c r="K600" i="1"/>
  <c r="H600" i="1"/>
  <c r="M600" i="1" s="1"/>
  <c r="K68" i="5"/>
  <c r="K69" i="5"/>
  <c r="K67" i="5"/>
  <c r="K853" i="1"/>
  <c r="L599" i="1"/>
  <c r="K599" i="1"/>
  <c r="H599" i="1"/>
  <c r="M599" i="1" s="1"/>
  <c r="H598" i="1"/>
  <c r="M598" i="1" s="1"/>
  <c r="K598" i="1"/>
  <c r="N598" i="1"/>
  <c r="N601" i="1"/>
  <c r="N602" i="1"/>
  <c r="N603" i="1"/>
  <c r="N604" i="1"/>
  <c r="H605" i="1"/>
  <c r="M605" i="1" s="1"/>
  <c r="K605" i="1"/>
  <c r="N605" i="1"/>
  <c r="N614" i="1"/>
  <c r="N615" i="1"/>
  <c r="N618" i="1"/>
  <c r="H694" i="1"/>
  <c r="M694" i="1" s="1"/>
  <c r="K694" i="1"/>
  <c r="N694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N853" i="1"/>
  <c r="H853" i="1"/>
  <c r="H876" i="1"/>
  <c r="M876" i="1" s="1"/>
  <c r="K876" i="1"/>
  <c r="N876" i="1"/>
  <c r="H878" i="1"/>
  <c r="M878" i="1" s="1"/>
  <c r="K878" i="1"/>
  <c r="N878" i="1"/>
  <c r="H886" i="1"/>
  <c r="M886" i="1" s="1"/>
  <c r="K886" i="1"/>
  <c r="N886" i="1"/>
  <c r="K862" i="1"/>
  <c r="H862" i="1"/>
  <c r="H869" i="1"/>
  <c r="K869" i="1"/>
  <c r="N862" i="1"/>
  <c r="M868" i="1"/>
  <c r="M867" i="1"/>
  <c r="M866" i="1"/>
  <c r="H846" i="1"/>
  <c r="K846" i="1"/>
  <c r="N846" i="1"/>
  <c r="L594" i="1"/>
  <c r="K594" i="1"/>
  <c r="H594" i="1"/>
  <c r="M594" i="1" s="1"/>
  <c r="H703" i="1"/>
  <c r="M703" i="1" s="1"/>
  <c r="K703" i="1"/>
  <c r="N703" i="1"/>
  <c r="H727" i="1"/>
  <c r="M727" i="1" s="1"/>
  <c r="K727" i="1"/>
  <c r="N727" i="1"/>
  <c r="H822" i="1"/>
  <c r="M822" i="1" s="1"/>
  <c r="K822" i="1"/>
  <c r="N822" i="1"/>
  <c r="H776" i="1"/>
  <c r="M776" i="1" s="1"/>
  <c r="K776" i="1"/>
  <c r="N776" i="1"/>
  <c r="N775" i="1"/>
  <c r="M775" i="1"/>
  <c r="K775" i="1"/>
  <c r="N774" i="1"/>
  <c r="M774" i="1"/>
  <c r="K774" i="1"/>
  <c r="N772" i="1"/>
  <c r="M772" i="1"/>
  <c r="K772" i="1"/>
  <c r="N771" i="1"/>
  <c r="M771" i="1"/>
  <c r="K771" i="1"/>
  <c r="N770" i="1"/>
  <c r="M770" i="1"/>
  <c r="K770" i="1"/>
  <c r="N769" i="1"/>
  <c r="M769" i="1"/>
  <c r="K769" i="1"/>
  <c r="N768" i="1"/>
  <c r="M768" i="1"/>
  <c r="K768" i="1"/>
  <c r="L593" i="1"/>
  <c r="K593" i="1"/>
  <c r="H593" i="1"/>
  <c r="M593" i="1" s="1"/>
  <c r="L592" i="1"/>
  <c r="K592" i="1"/>
  <c r="H592" i="1"/>
  <c r="M592" i="1" s="1"/>
  <c r="K568" i="1"/>
  <c r="L475" i="1"/>
  <c r="K475" i="1"/>
  <c r="H475" i="1"/>
  <c r="M47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591" i="1"/>
  <c r="K591" i="1"/>
  <c r="H591" i="1"/>
  <c r="M59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19" i="1"/>
  <c r="M819" i="1"/>
  <c r="K819" i="1"/>
  <c r="N818" i="1"/>
  <c r="M818" i="1"/>
  <c r="K818" i="1"/>
  <c r="N816" i="1"/>
  <c r="M816" i="1"/>
  <c r="K816" i="1"/>
  <c r="N821" i="1"/>
  <c r="M821" i="1"/>
  <c r="K821" i="1"/>
  <c r="N820" i="1"/>
  <c r="M820" i="1"/>
  <c r="K820" i="1"/>
  <c r="N817" i="1"/>
  <c r="M817" i="1"/>
  <c r="K817" i="1"/>
  <c r="N815" i="1"/>
  <c r="M815" i="1"/>
  <c r="K815" i="1"/>
  <c r="N814" i="1"/>
  <c r="M814" i="1"/>
  <c r="K814" i="1"/>
  <c r="N813" i="1"/>
  <c r="M813" i="1"/>
  <c r="K813" i="1"/>
  <c r="N812" i="1"/>
  <c r="M812" i="1"/>
  <c r="K812" i="1"/>
  <c r="N810" i="1"/>
  <c r="M810" i="1"/>
  <c r="K810" i="1"/>
  <c r="N809" i="1"/>
  <c r="M809" i="1"/>
  <c r="K809" i="1"/>
  <c r="N808" i="1"/>
  <c r="M808" i="1"/>
  <c r="K808" i="1"/>
  <c r="N807" i="1"/>
  <c r="M807" i="1"/>
  <c r="K807" i="1"/>
  <c r="N806" i="1"/>
  <c r="M806" i="1"/>
  <c r="K806" i="1"/>
  <c r="N805" i="1"/>
  <c r="M805" i="1"/>
  <c r="K805" i="1"/>
  <c r="N804" i="1"/>
  <c r="M804" i="1"/>
  <c r="K804" i="1"/>
  <c r="H811" i="1"/>
  <c r="M811" i="1" s="1"/>
  <c r="K811" i="1"/>
  <c r="N811" i="1"/>
  <c r="N800" i="1"/>
  <c r="M800" i="1"/>
  <c r="K800" i="1"/>
  <c r="N799" i="1"/>
  <c r="M799" i="1"/>
  <c r="K799" i="1"/>
  <c r="N797" i="1"/>
  <c r="M797" i="1"/>
  <c r="K797" i="1"/>
  <c r="N802" i="1"/>
  <c r="M802" i="1"/>
  <c r="K802" i="1"/>
  <c r="N801" i="1"/>
  <c r="M801" i="1"/>
  <c r="K801" i="1"/>
  <c r="N798" i="1"/>
  <c r="M798" i="1"/>
  <c r="K798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L590" i="1"/>
  <c r="K590" i="1"/>
  <c r="H590" i="1"/>
  <c r="M590" i="1" s="1"/>
  <c r="T20" i="33" l="1"/>
  <c r="H803" i="1"/>
  <c r="M803" i="1" s="1"/>
  <c r="K803" i="1"/>
  <c r="N803" i="1"/>
  <c r="N723" i="1"/>
  <c r="M723" i="1"/>
  <c r="K723" i="1"/>
  <c r="M707" i="1"/>
  <c r="K707" i="1"/>
  <c r="L588" i="1"/>
  <c r="K588" i="1"/>
  <c r="H588" i="1"/>
  <c r="M588" i="1" s="1"/>
  <c r="L587" i="1"/>
  <c r="K587" i="1"/>
  <c r="H587" i="1"/>
  <c r="M587" i="1" l="1"/>
  <c r="L586" i="1"/>
  <c r="K586" i="1"/>
  <c r="H586" i="1"/>
  <c r="L585" i="1"/>
  <c r="K585" i="1"/>
  <c r="H585" i="1"/>
  <c r="M585" i="1" s="1"/>
  <c r="H583" i="1"/>
  <c r="M583" i="1" s="1"/>
  <c r="L583" i="1"/>
  <c r="K583" i="1"/>
  <c r="H584" i="1"/>
  <c r="M584" i="1" s="1"/>
  <c r="K584" i="1"/>
  <c r="N584" i="1"/>
  <c r="H589" i="1"/>
  <c r="M589" i="1" s="1"/>
  <c r="K589" i="1"/>
  <c r="N589" i="1"/>
  <c r="N726" i="1"/>
  <c r="K726" i="1"/>
  <c r="M726" i="1"/>
  <c r="N725" i="1"/>
  <c r="K725" i="1"/>
  <c r="M725" i="1"/>
  <c r="N724" i="1"/>
  <c r="K724" i="1"/>
  <c r="M724" i="1"/>
  <c r="N722" i="1"/>
  <c r="K722" i="1"/>
  <c r="M722" i="1"/>
  <c r="N721" i="1"/>
  <c r="K721" i="1"/>
  <c r="M721" i="1"/>
  <c r="N720" i="1"/>
  <c r="K720" i="1"/>
  <c r="M720" i="1"/>
  <c r="K704" i="1"/>
  <c r="M704" i="1"/>
  <c r="K708" i="1"/>
  <c r="K709" i="1"/>
  <c r="K710" i="1"/>
  <c r="K706" i="1"/>
  <c r="M706" i="1"/>
  <c r="K705" i="1"/>
  <c r="M586" i="1" l="1"/>
  <c r="M705" i="1"/>
  <c r="M708" i="1"/>
  <c r="M709" i="1"/>
  <c r="M710" i="1"/>
  <c r="K839" i="1"/>
  <c r="L582" i="1"/>
  <c r="K582" i="1"/>
  <c r="H582" i="1"/>
  <c r="M582" i="1" s="1"/>
  <c r="L581" i="1"/>
  <c r="K581" i="1"/>
  <c r="H581" i="1"/>
  <c r="M581" i="1" s="1"/>
  <c r="L579" i="1"/>
  <c r="K579" i="1"/>
  <c r="H579" i="1"/>
  <c r="M579" i="1" s="1"/>
  <c r="L578" i="1"/>
  <c r="K578" i="1"/>
  <c r="H578" i="1"/>
  <c r="M578" i="1" s="1"/>
  <c r="H711" i="1"/>
  <c r="M711" i="1" s="1"/>
  <c r="K711" i="1"/>
  <c r="N711" i="1"/>
  <c r="H831" i="1"/>
  <c r="M831" i="1" s="1"/>
  <c r="K831" i="1"/>
  <c r="N831" i="1"/>
  <c r="L577" i="1"/>
  <c r="K577" i="1"/>
  <c r="H577" i="1"/>
  <c r="M577" i="1" s="1"/>
  <c r="L576" i="1"/>
  <c r="K576" i="1"/>
  <c r="H576" i="1"/>
  <c r="M576" i="1" s="1"/>
  <c r="L575" i="1"/>
  <c r="K575" i="1"/>
  <c r="H575" i="1"/>
  <c r="M575" i="1" s="1"/>
  <c r="L574" i="1"/>
  <c r="K574" i="1"/>
  <c r="H574" i="1"/>
  <c r="M574" i="1" s="1"/>
  <c r="L573" i="1"/>
  <c r="K573" i="1"/>
  <c r="H573" i="1"/>
  <c r="M573" i="1" s="1"/>
  <c r="L572" i="1" l="1"/>
  <c r="K572" i="1"/>
  <c r="H572" i="1"/>
  <c r="M572" i="1" s="1"/>
  <c r="L571" i="1"/>
  <c r="K571" i="1"/>
  <c r="H571" i="1"/>
  <c r="M571" i="1" s="1"/>
  <c r="K566" i="1"/>
  <c r="H566" i="1"/>
  <c r="M566" i="1" s="1"/>
  <c r="H580" i="1"/>
  <c r="M580" i="1" s="1"/>
  <c r="K580" i="1"/>
  <c r="N580" i="1"/>
  <c r="L569" i="1"/>
  <c r="L567" i="1"/>
  <c r="K569" i="1"/>
  <c r="H569" i="1"/>
  <c r="M569" i="1" s="1"/>
  <c r="K567" i="1"/>
  <c r="H567" i="1"/>
  <c r="M567" i="1" s="1"/>
  <c r="K565" i="1"/>
  <c r="H565" i="1"/>
  <c r="M565" i="1" s="1"/>
  <c r="L564" i="1"/>
  <c r="K564" i="1"/>
  <c r="H564" i="1"/>
  <c r="M56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72" i="1"/>
  <c r="K971" i="1"/>
  <c r="H971" i="1"/>
  <c r="M971" i="1" s="1"/>
  <c r="N971" i="1"/>
  <c r="H972" i="1"/>
  <c r="M972" i="1" s="1"/>
  <c r="N97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71" i="1"/>
  <c r="L511" i="1"/>
  <c r="K511" i="1"/>
  <c r="H511" i="1"/>
  <c r="M511" i="1" s="1"/>
  <c r="L415" i="1"/>
  <c r="K415" i="1"/>
  <c r="H415" i="1"/>
  <c r="M415" i="1" s="1"/>
  <c r="L562" i="1"/>
  <c r="K562" i="1"/>
  <c r="H562" i="1"/>
  <c r="M562" i="1" s="1"/>
  <c r="L561" i="1"/>
  <c r="K561" i="1"/>
  <c r="H561" i="1"/>
  <c r="M561" i="1" s="1"/>
  <c r="M28" i="22"/>
  <c r="E6" i="22" l="1"/>
  <c r="E9" i="22" s="1"/>
  <c r="L560" i="1"/>
  <c r="K560" i="1"/>
  <c r="H560" i="1"/>
  <c r="M560" i="1" s="1"/>
  <c r="L559" i="1"/>
  <c r="K559" i="1"/>
  <c r="H559" i="1"/>
  <c r="M559" i="1" s="1"/>
  <c r="L558" i="1"/>
  <c r="K558" i="1"/>
  <c r="H558" i="1"/>
  <c r="L557" i="1"/>
  <c r="K557" i="1"/>
  <c r="H557" i="1"/>
  <c r="L556" i="1"/>
  <c r="K556" i="1"/>
  <c r="H556" i="1"/>
  <c r="M556" i="1" s="1"/>
  <c r="L555" i="1"/>
  <c r="L554" i="1"/>
  <c r="K555" i="1"/>
  <c r="H555" i="1"/>
  <c r="M555" i="1" s="1"/>
  <c r="K554" i="1"/>
  <c r="H554" i="1"/>
  <c r="M554" i="1" s="1"/>
  <c r="H563" i="1"/>
  <c r="M563" i="1" s="1"/>
  <c r="K563" i="1"/>
  <c r="N563" i="1"/>
  <c r="H570" i="1"/>
  <c r="M570" i="1" s="1"/>
  <c r="K570" i="1"/>
  <c r="N570" i="1"/>
  <c r="L553" i="1"/>
  <c r="K553" i="1"/>
  <c r="H553" i="1"/>
  <c r="M553" i="1" s="1"/>
  <c r="L552" i="1"/>
  <c r="K552" i="1"/>
  <c r="H552" i="1"/>
  <c r="M552" i="1" s="1"/>
  <c r="L550" i="1"/>
  <c r="K550" i="1"/>
  <c r="H550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K546" i="1"/>
  <c r="H546" i="1"/>
  <c r="M546" i="1" s="1"/>
  <c r="L545" i="1"/>
  <c r="K545" i="1"/>
  <c r="H545" i="1"/>
  <c r="M545" i="1" s="1"/>
  <c r="L544" i="1"/>
  <c r="K544" i="1"/>
  <c r="H544" i="1"/>
  <c r="M544" i="1" s="1"/>
  <c r="L543" i="1"/>
  <c r="K543" i="1"/>
  <c r="H543" i="1"/>
  <c r="M543" i="1" s="1"/>
  <c r="K542" i="1"/>
  <c r="H542" i="1"/>
  <c r="M542" i="1" s="1"/>
  <c r="K541" i="1"/>
  <c r="H541" i="1"/>
  <c r="M541" i="1" s="1"/>
  <c r="H539" i="1"/>
  <c r="M539" i="1" s="1"/>
  <c r="K539" i="1"/>
  <c r="L539" i="1"/>
  <c r="H540" i="1"/>
  <c r="M540" i="1" s="1"/>
  <c r="K540" i="1"/>
  <c r="H551" i="1"/>
  <c r="M551" i="1" s="1"/>
  <c r="K551" i="1"/>
  <c r="N551" i="1"/>
  <c r="K538" i="1"/>
  <c r="H538" i="1"/>
  <c r="M538" i="1" s="1"/>
  <c r="L536" i="1"/>
  <c r="K536" i="1"/>
  <c r="H536" i="1"/>
  <c r="M536" i="1" s="1"/>
  <c r="K535" i="1"/>
  <c r="H535" i="1"/>
  <c r="M535" i="1" s="1"/>
  <c r="L534" i="1"/>
  <c r="K534" i="1"/>
  <c r="H534" i="1"/>
  <c r="M534" i="1" s="1"/>
  <c r="K533" i="1"/>
  <c r="H533" i="1"/>
  <c r="M533" i="1" s="1"/>
  <c r="L532" i="1"/>
  <c r="K532" i="1"/>
  <c r="H532" i="1"/>
  <c r="M532" i="1" s="1"/>
  <c r="D77" i="33"/>
  <c r="D78" i="33" s="1"/>
  <c r="D79" i="33" s="1"/>
  <c r="L524" i="1"/>
  <c r="K524" i="1"/>
  <c r="H524" i="1"/>
  <c r="M524" i="1" s="1"/>
  <c r="L531" i="1"/>
  <c r="K531" i="1"/>
  <c r="H531" i="1"/>
  <c r="M531" i="1" s="1"/>
  <c r="L530" i="1"/>
  <c r="K530" i="1"/>
  <c r="H530" i="1"/>
  <c r="M530" i="1" s="1"/>
  <c r="H537" i="1"/>
  <c r="M537" i="1" s="1"/>
  <c r="K537" i="1"/>
  <c r="N537" i="1"/>
  <c r="L529" i="1"/>
  <c r="K529" i="1"/>
  <c r="H529" i="1"/>
  <c r="M529" i="1" s="1"/>
  <c r="L528" i="1"/>
  <c r="K528" i="1"/>
  <c r="H528" i="1"/>
  <c r="M528" i="1" s="1"/>
  <c r="L527" i="1"/>
  <c r="K527" i="1"/>
  <c r="H527" i="1"/>
  <c r="M527" i="1" s="1"/>
  <c r="L526" i="1"/>
  <c r="K526" i="1"/>
  <c r="H526" i="1"/>
  <c r="M526" i="1" s="1"/>
  <c r="L525" i="1"/>
  <c r="K525" i="1"/>
  <c r="H525" i="1"/>
  <c r="M525" i="1" s="1"/>
  <c r="R559" i="1"/>
  <c r="L522" i="1"/>
  <c r="L523" i="1"/>
  <c r="K523" i="1"/>
  <c r="H523" i="1"/>
  <c r="M523" i="1" s="1"/>
  <c r="K522" i="1"/>
  <c r="H522" i="1"/>
  <c r="L521" i="1"/>
  <c r="K521" i="1"/>
  <c r="H521" i="1"/>
  <c r="M521" i="1" s="1"/>
  <c r="L519" i="1"/>
  <c r="K519" i="1"/>
  <c r="H519" i="1"/>
  <c r="M519" i="1" s="1"/>
  <c r="L515" i="1"/>
  <c r="L517" i="1"/>
  <c r="K517" i="1"/>
  <c r="H517" i="1"/>
  <c r="M517" i="1" s="1"/>
  <c r="K515" i="1"/>
  <c r="H515" i="1"/>
  <c r="M515" i="1" s="1"/>
  <c r="K514" i="1"/>
  <c r="H514" i="1"/>
  <c r="M514" i="1" s="1"/>
  <c r="K513" i="1"/>
  <c r="H513" i="1"/>
  <c r="M513" i="1" s="1"/>
  <c r="K512" i="1"/>
  <c r="H512" i="1"/>
  <c r="M512" i="1" s="1"/>
  <c r="M520" i="1"/>
  <c r="K510" i="1"/>
  <c r="H510" i="1"/>
  <c r="M510" i="1" s="1"/>
  <c r="L509" i="1"/>
  <c r="K509" i="1"/>
  <c r="H509" i="1"/>
  <c r="M509" i="1" s="1"/>
  <c r="K508" i="1"/>
  <c r="H508" i="1"/>
  <c r="M508" i="1" s="1"/>
  <c r="K507" i="1"/>
  <c r="H507" i="1"/>
  <c r="M507" i="1" s="1"/>
  <c r="K506" i="1"/>
  <c r="H506" i="1"/>
  <c r="M506" i="1" s="1"/>
  <c r="K505" i="1"/>
  <c r="H505" i="1"/>
  <c r="M505" i="1" s="1"/>
  <c r="L504" i="1"/>
  <c r="K504" i="1"/>
  <c r="H504" i="1"/>
  <c r="M50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03" i="1"/>
  <c r="K503" i="1"/>
  <c r="H503" i="1"/>
  <c r="M503" i="1" s="1"/>
  <c r="L474" i="1"/>
  <c r="K474" i="1"/>
  <c r="H474" i="1"/>
  <c r="M474" i="1" s="1"/>
  <c r="L456" i="1"/>
  <c r="K456" i="1"/>
  <c r="H456" i="1"/>
  <c r="M456" i="1" s="1"/>
  <c r="K502" i="1"/>
  <c r="H502" i="1"/>
  <c r="M502" i="1" s="1"/>
  <c r="L500" i="1"/>
  <c r="K500" i="1"/>
  <c r="H500" i="1"/>
  <c r="M500" i="1" s="1"/>
  <c r="L499" i="1"/>
  <c r="K499" i="1"/>
  <c r="H499" i="1"/>
  <c r="M499" i="1" s="1"/>
  <c r="L498" i="1"/>
  <c r="K498" i="1"/>
  <c r="H498" i="1"/>
  <c r="M498" i="1" s="1"/>
  <c r="L497" i="1"/>
  <c r="K497" i="1"/>
  <c r="H497" i="1"/>
  <c r="M497" i="1" s="1"/>
  <c r="H495" i="1"/>
  <c r="M495" i="1" s="1"/>
  <c r="K495" i="1"/>
  <c r="L495" i="1"/>
  <c r="H496" i="1"/>
  <c r="M496" i="1" s="1"/>
  <c r="K496" i="1"/>
  <c r="L496" i="1"/>
  <c r="L494" i="1"/>
  <c r="K494" i="1"/>
  <c r="H494" i="1"/>
  <c r="M494" i="1" s="1"/>
  <c r="H493" i="1"/>
  <c r="M493" i="1" s="1"/>
  <c r="K493" i="1"/>
  <c r="K492" i="1"/>
  <c r="H492" i="1"/>
  <c r="M492" i="1" s="1"/>
  <c r="K491" i="1"/>
  <c r="H491" i="1"/>
  <c r="M491" i="1" s="1"/>
  <c r="K490" i="1"/>
  <c r="H490" i="1"/>
  <c r="M490" i="1" s="1"/>
  <c r="L487" i="1"/>
  <c r="K487" i="1"/>
  <c r="H487" i="1"/>
  <c r="M487" i="1" s="1"/>
  <c r="L486" i="1"/>
  <c r="K486" i="1"/>
  <c r="H486" i="1"/>
  <c r="M486" i="1" s="1"/>
  <c r="L485" i="1"/>
  <c r="K485" i="1"/>
  <c r="H485" i="1"/>
  <c r="M485" i="1" s="1"/>
  <c r="K484" i="1"/>
  <c r="H484" i="1"/>
  <c r="M484" i="1" s="1"/>
  <c r="R41" i="7"/>
  <c r="R43" i="7"/>
  <c r="R45" i="7"/>
  <c r="L483" i="1"/>
  <c r="K483" i="1"/>
  <c r="H483" i="1"/>
  <c r="L482" i="1"/>
  <c r="K482" i="1"/>
  <c r="H482" i="1"/>
  <c r="M482" i="1" s="1"/>
  <c r="L481" i="1"/>
  <c r="K481" i="1"/>
  <c r="H481" i="1"/>
  <c r="M481" i="1" s="1"/>
  <c r="L480" i="1"/>
  <c r="K480" i="1"/>
  <c r="H480" i="1"/>
  <c r="L479" i="1"/>
  <c r="K479" i="1"/>
  <c r="H479" i="1"/>
  <c r="M479" i="1" s="1"/>
  <c r="K478" i="1"/>
  <c r="H478" i="1"/>
  <c r="M478" i="1" s="1"/>
  <c r="K477" i="1"/>
  <c r="H477" i="1"/>
  <c r="M477" i="1" s="1"/>
  <c r="L473" i="1"/>
  <c r="K473" i="1"/>
  <c r="H473" i="1"/>
  <c r="M473" i="1" s="1"/>
  <c r="H488" i="1"/>
  <c r="M488" i="1" s="1"/>
  <c r="H489" i="1"/>
  <c r="M489" i="1" s="1"/>
  <c r="K488" i="1"/>
  <c r="K489" i="1"/>
  <c r="N479" i="1"/>
  <c r="N488" i="1"/>
  <c r="N489" i="1"/>
  <c r="H501" i="1"/>
  <c r="M501" i="1" s="1"/>
  <c r="K501" i="1"/>
  <c r="N501" i="1"/>
  <c r="H471" i="1"/>
  <c r="M471" i="1" s="1"/>
  <c r="K471" i="1"/>
  <c r="H472" i="1"/>
  <c r="M472" i="1" s="1"/>
  <c r="K472" i="1"/>
  <c r="L472" i="1"/>
  <c r="L470" i="1"/>
  <c r="K470" i="1"/>
  <c r="H470" i="1"/>
  <c r="M470" i="1" s="1"/>
  <c r="K469" i="1"/>
  <c r="H469" i="1"/>
  <c r="M469" i="1" s="1"/>
  <c r="L468" i="1"/>
  <c r="K468" i="1"/>
  <c r="H468" i="1"/>
  <c r="M468" i="1" s="1"/>
  <c r="L467" i="1"/>
  <c r="K467" i="1"/>
  <c r="H467" i="1"/>
  <c r="M467" i="1" s="1"/>
  <c r="K466" i="1"/>
  <c r="H466" i="1"/>
  <c r="M466" i="1" s="1"/>
  <c r="K465" i="1"/>
  <c r="H465" i="1"/>
  <c r="M465" i="1" s="1"/>
  <c r="L449" i="1"/>
  <c r="K449" i="1"/>
  <c r="H449" i="1"/>
  <c r="M449" i="1" s="1"/>
  <c r="L464" i="1"/>
  <c r="K464" i="1"/>
  <c r="H464" i="1"/>
  <c r="M464" i="1" s="1"/>
  <c r="L421" i="1"/>
  <c r="K421" i="1"/>
  <c r="H421" i="1"/>
  <c r="M421" i="1" s="1"/>
  <c r="L420" i="1"/>
  <c r="K420" i="1"/>
  <c r="H420" i="1"/>
  <c r="M420" i="1" s="1"/>
  <c r="K463" i="1"/>
  <c r="H463" i="1"/>
  <c r="M463" i="1" s="1"/>
  <c r="K462" i="1"/>
  <c r="H462" i="1"/>
  <c r="M462" i="1" s="1"/>
  <c r="K461" i="1"/>
  <c r="H461" i="1"/>
  <c r="M461" i="1" s="1"/>
  <c r="I44" i="20" l="1"/>
  <c r="J44" i="20"/>
  <c r="K44" i="20"/>
  <c r="H44" i="20"/>
  <c r="M480" i="1"/>
  <c r="M557" i="1"/>
  <c r="M558" i="1"/>
  <c r="M483" i="1"/>
  <c r="G4" i="22"/>
  <c r="G5" i="22"/>
  <c r="J15" i="29"/>
  <c r="M522" i="1"/>
  <c r="J14" i="29"/>
  <c r="M55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59" i="1"/>
  <c r="L458" i="1"/>
  <c r="K460" i="1"/>
  <c r="H460" i="1"/>
  <c r="M460" i="1" s="1"/>
  <c r="K459" i="1"/>
  <c r="H459" i="1"/>
  <c r="M459" i="1" s="1"/>
  <c r="K458" i="1"/>
  <c r="H458" i="1"/>
  <c r="M458" i="1" s="1"/>
  <c r="K455" i="1" l="1"/>
  <c r="H455" i="1"/>
  <c r="M455" i="1" s="1"/>
  <c r="L454" i="1"/>
  <c r="L451" i="1"/>
  <c r="K454" i="1"/>
  <c r="H454" i="1"/>
  <c r="M454" i="1" s="1"/>
  <c r="K453" i="1"/>
  <c r="H453" i="1"/>
  <c r="M453" i="1" s="1"/>
  <c r="L452" i="1"/>
  <c r="K452" i="1"/>
  <c r="H452" i="1"/>
  <c r="M452" i="1" s="1"/>
  <c r="K451" i="1"/>
  <c r="H451" i="1"/>
  <c r="M451" i="1" s="1"/>
  <c r="H13" i="25"/>
  <c r="H33" i="25" s="1"/>
  <c r="H14" i="25"/>
  <c r="H34" i="25" s="1"/>
  <c r="K450" i="1"/>
  <c r="H450" i="1"/>
  <c r="M450" i="1" s="1"/>
  <c r="L448" i="1"/>
  <c r="K448" i="1"/>
  <c r="H448" i="1"/>
  <c r="M448" i="1" s="1"/>
  <c r="L447" i="1"/>
  <c r="K447" i="1"/>
  <c r="H447" i="1"/>
  <c r="M447" i="1" s="1"/>
  <c r="J6" i="23"/>
  <c r="J5" i="23"/>
  <c r="J12" i="30"/>
  <c r="J29" i="20"/>
  <c r="J24" i="20"/>
  <c r="J20" i="20"/>
  <c r="J13" i="20"/>
  <c r="L446" i="1"/>
  <c r="K446" i="1"/>
  <c r="H446" i="1"/>
  <c r="M446" i="1" s="1"/>
  <c r="L445" i="1"/>
  <c r="K445" i="1"/>
  <c r="H445" i="1"/>
  <c r="M44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43" i="1"/>
  <c r="K443" i="1"/>
  <c r="H443" i="1"/>
  <c r="M443" i="1" s="1"/>
  <c r="K442" i="1"/>
  <c r="H442" i="1"/>
  <c r="M442" i="1" s="1"/>
  <c r="L441" i="1"/>
  <c r="K441" i="1"/>
  <c r="H441" i="1"/>
  <c r="M441" i="1" s="1"/>
  <c r="L440" i="1"/>
  <c r="K440" i="1"/>
  <c r="H440" i="1"/>
  <c r="M440" i="1" s="1"/>
  <c r="L439" i="1"/>
  <c r="K439" i="1"/>
  <c r="H439" i="1"/>
  <c r="M439" i="1" s="1"/>
  <c r="L438" i="1"/>
  <c r="K438" i="1"/>
  <c r="H438" i="1"/>
  <c r="M438" i="1" s="1"/>
  <c r="H436" i="1"/>
  <c r="M436" i="1" s="1"/>
  <c r="L437" i="1"/>
  <c r="K437" i="1"/>
  <c r="H437" i="1"/>
  <c r="M437" i="1" s="1"/>
  <c r="L436" i="1"/>
  <c r="K436" i="1"/>
  <c r="L435" i="1"/>
  <c r="K435" i="1"/>
  <c r="H435" i="1"/>
  <c r="M435" i="1" s="1"/>
  <c r="L433" i="1"/>
  <c r="K433" i="1"/>
  <c r="H433" i="1"/>
  <c r="M433" i="1" s="1"/>
  <c r="L432" i="1"/>
  <c r="K432" i="1"/>
  <c r="H432" i="1"/>
  <c r="M432" i="1" s="1"/>
  <c r="L431" i="1"/>
  <c r="K431" i="1"/>
  <c r="H431" i="1"/>
  <c r="M431" i="1" s="1"/>
  <c r="L430" i="1"/>
  <c r="K430" i="1"/>
  <c r="H430" i="1"/>
  <c r="L429" i="1"/>
  <c r="K429" i="1"/>
  <c r="H429" i="1"/>
  <c r="M429" i="1" s="1"/>
  <c r="L428" i="1"/>
  <c r="K428" i="1"/>
  <c r="H428" i="1"/>
  <c r="M428" i="1" s="1"/>
  <c r="L427" i="1"/>
  <c r="K427" i="1"/>
  <c r="H427" i="1"/>
  <c r="M427" i="1" s="1"/>
  <c r="H426" i="1"/>
  <c r="M426" i="1" s="1"/>
  <c r="L426" i="1"/>
  <c r="K426" i="1"/>
  <c r="L425" i="1"/>
  <c r="K425" i="1"/>
  <c r="H425" i="1"/>
  <c r="M425" i="1" s="1"/>
  <c r="L424" i="1"/>
  <c r="K424" i="1"/>
  <c r="H424" i="1"/>
  <c r="L422" i="1"/>
  <c r="K422" i="1"/>
  <c r="H422" i="1"/>
  <c r="M422" i="1" s="1"/>
  <c r="L419" i="1"/>
  <c r="K419" i="1"/>
  <c r="H419" i="1"/>
  <c r="M419" i="1" s="1"/>
  <c r="L418" i="1"/>
  <c r="K418" i="1"/>
  <c r="F43" i="19" s="1"/>
  <c r="D43" i="20" s="1"/>
  <c r="H418" i="1"/>
  <c r="M418" i="1" s="1"/>
  <c r="L417" i="1"/>
  <c r="K417" i="1"/>
  <c r="H417" i="1"/>
  <c r="M417" i="1" s="1"/>
  <c r="L416" i="1"/>
  <c r="K416" i="1"/>
  <c r="H416" i="1"/>
  <c r="M416" i="1" s="1"/>
  <c r="M430" i="1" l="1"/>
  <c r="M424" i="1"/>
  <c r="E43" i="19"/>
  <c r="C43" i="20" s="1"/>
  <c r="D43" i="19"/>
  <c r="B43" i="20" s="1"/>
  <c r="K414" i="1"/>
  <c r="H414" i="1"/>
  <c r="M414" i="1" s="1"/>
  <c r="F5" i="22"/>
  <c r="E5" i="22"/>
  <c r="D5" i="22"/>
  <c r="F4" i="22"/>
  <c r="E4" i="22"/>
  <c r="D4" i="22"/>
  <c r="J33" i="20" l="1"/>
  <c r="L413" i="1"/>
  <c r="K413" i="1"/>
  <c r="H413" i="1"/>
  <c r="M413" i="1" s="1"/>
  <c r="K412" i="1"/>
  <c r="H412" i="1"/>
  <c r="M412" i="1" s="1"/>
  <c r="K411" i="1" l="1"/>
  <c r="H411" i="1"/>
  <c r="M411" i="1" l="1"/>
  <c r="L409" i="1"/>
  <c r="K409" i="1"/>
  <c r="H409" i="1"/>
  <c r="M409" i="1" s="1"/>
  <c r="L408" i="1"/>
  <c r="K408" i="1"/>
  <c r="H408" i="1"/>
  <c r="M408" i="1" s="1"/>
  <c r="H12" i="25"/>
  <c r="H32" i="25" s="1"/>
  <c r="A3" i="21"/>
  <c r="C2" i="21"/>
  <c r="I2" i="21" s="1"/>
  <c r="H407" i="1"/>
  <c r="AD3" i="21"/>
  <c r="AD4" i="21"/>
  <c r="L407" i="1"/>
  <c r="K407" i="1"/>
  <c r="T380" i="1"/>
  <c r="T381" i="1"/>
  <c r="T382" i="1"/>
  <c r="T383" i="1"/>
  <c r="T384" i="1"/>
  <c r="T385" i="1"/>
  <c r="T386" i="1"/>
  <c r="T379" i="1"/>
  <c r="R386" i="1"/>
  <c r="R385" i="1"/>
  <c r="R384" i="1"/>
  <c r="R383" i="1"/>
  <c r="R382" i="1"/>
  <c r="R381" i="1"/>
  <c r="R380" i="1"/>
  <c r="R379" i="1"/>
  <c r="H389" i="1"/>
  <c r="M389" i="1" s="1"/>
  <c r="K389" i="1"/>
  <c r="K390" i="1"/>
  <c r="M390" i="1"/>
  <c r="L378" i="1"/>
  <c r="K378" i="1"/>
  <c r="H378" i="1"/>
  <c r="L406" i="1"/>
  <c r="K406" i="1"/>
  <c r="H406" i="1"/>
  <c r="M406" i="1" s="1"/>
  <c r="L405" i="1"/>
  <c r="K405" i="1"/>
  <c r="H405" i="1"/>
  <c r="M405" i="1" s="1"/>
  <c r="L404" i="1"/>
  <c r="K404" i="1"/>
  <c r="H404" i="1"/>
  <c r="M404" i="1" s="1"/>
  <c r="H403" i="1"/>
  <c r="M403" i="1" s="1"/>
  <c r="L403" i="1"/>
  <c r="K403" i="1"/>
  <c r="L401" i="1"/>
  <c r="K401" i="1"/>
  <c r="H401" i="1"/>
  <c r="M401" i="1" s="1"/>
  <c r="L400" i="1"/>
  <c r="K400" i="1"/>
  <c r="H400" i="1"/>
  <c r="L399" i="1"/>
  <c r="K399" i="1"/>
  <c r="H399" i="1"/>
  <c r="M399" i="1" s="1"/>
  <c r="L398" i="1"/>
  <c r="K398" i="1"/>
  <c r="H398" i="1"/>
  <c r="M398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397" i="1"/>
  <c r="K397" i="1"/>
  <c r="H397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396" i="1"/>
  <c r="K396" i="1"/>
  <c r="H396" i="1"/>
  <c r="M396" i="1" s="1"/>
  <c r="L394" i="1"/>
  <c r="K394" i="1"/>
  <c r="H394" i="1"/>
  <c r="M394" i="1" s="1"/>
  <c r="L393" i="1"/>
  <c r="K393" i="1"/>
  <c r="H393" i="1"/>
  <c r="M393" i="1" s="1"/>
  <c r="L392" i="1"/>
  <c r="K392" i="1"/>
  <c r="H392" i="1"/>
  <c r="M392" i="1" s="1"/>
  <c r="L391" i="1"/>
  <c r="K391" i="1"/>
  <c r="H391" i="1"/>
  <c r="M391" i="1" s="1"/>
  <c r="L388" i="1"/>
  <c r="K388" i="1"/>
  <c r="H388" i="1"/>
  <c r="M388" i="1" s="1"/>
  <c r="L387" i="1"/>
  <c r="K387" i="1"/>
  <c r="H387" i="1"/>
  <c r="M387" i="1" s="1"/>
  <c r="L386" i="1"/>
  <c r="K386" i="1"/>
  <c r="H386" i="1"/>
  <c r="M386" i="1" s="1"/>
  <c r="L384" i="1"/>
  <c r="K384" i="1"/>
  <c r="H384" i="1"/>
  <c r="H383" i="1"/>
  <c r="L383" i="1"/>
  <c r="K383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2" i="1"/>
  <c r="K382" i="1"/>
  <c r="H382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85" i="1"/>
  <c r="M385" i="1" s="1"/>
  <c r="K385" i="1"/>
  <c r="H395" i="1"/>
  <c r="M395" i="1" s="1"/>
  <c r="K395" i="1"/>
  <c r="H402" i="1"/>
  <c r="M402" i="1" s="1"/>
  <c r="K402" i="1"/>
  <c r="H410" i="1"/>
  <c r="M410" i="1" s="1"/>
  <c r="K410" i="1"/>
  <c r="H423" i="1"/>
  <c r="M423" i="1" s="1"/>
  <c r="K423" i="1"/>
  <c r="H434" i="1"/>
  <c r="M434" i="1" s="1"/>
  <c r="K434" i="1"/>
  <c r="H444" i="1"/>
  <c r="M444" i="1" s="1"/>
  <c r="K444" i="1"/>
  <c r="H457" i="1"/>
  <c r="M457" i="1" s="1"/>
  <c r="K457" i="1"/>
  <c r="H476" i="1"/>
  <c r="M476" i="1" s="1"/>
  <c r="K476" i="1"/>
  <c r="K948" i="1"/>
  <c r="K949" i="1"/>
  <c r="K950" i="1"/>
  <c r="K951" i="1"/>
  <c r="K952" i="1"/>
  <c r="K953" i="1"/>
  <c r="K973" i="1"/>
  <c r="K970" i="1"/>
  <c r="K954" i="1"/>
  <c r="K947" i="1"/>
  <c r="K946" i="1"/>
  <c r="K945" i="1"/>
  <c r="K944" i="1"/>
  <c r="K943" i="1"/>
  <c r="K942" i="1"/>
  <c r="K941" i="1"/>
  <c r="K940" i="1"/>
  <c r="K939" i="1"/>
  <c r="K938" i="1"/>
  <c r="H17" i="27" s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53" i="1"/>
  <c r="M953" i="1" s="1"/>
  <c r="H952" i="1"/>
  <c r="M952" i="1" s="1"/>
  <c r="H951" i="1"/>
  <c r="M951" i="1" s="1"/>
  <c r="H950" i="1"/>
  <c r="M950" i="1" s="1"/>
  <c r="H949" i="1"/>
  <c r="M949" i="1" s="1"/>
  <c r="H948" i="1"/>
  <c r="M948" i="1" s="1"/>
  <c r="H947" i="1"/>
  <c r="M947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46" i="1"/>
  <c r="M946" i="1" s="1"/>
  <c r="H918" i="1"/>
  <c r="M918" i="1" s="1"/>
  <c r="H917" i="1"/>
  <c r="M917" i="1" s="1"/>
  <c r="H916" i="1"/>
  <c r="M916" i="1" s="1"/>
  <c r="H915" i="1"/>
  <c r="M915" i="1" s="1"/>
  <c r="H914" i="1"/>
  <c r="M914" i="1" s="1"/>
  <c r="H913" i="1"/>
  <c r="M913" i="1" s="1"/>
  <c r="H912" i="1"/>
  <c r="M912" i="1" s="1"/>
  <c r="H911" i="1"/>
  <c r="M911" i="1" s="1"/>
  <c r="H910" i="1"/>
  <c r="M910" i="1" s="1"/>
  <c r="H909" i="1"/>
  <c r="M909" i="1" s="1"/>
  <c r="H908" i="1"/>
  <c r="M908" i="1" s="1"/>
  <c r="H907" i="1"/>
  <c r="M907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31" i="1"/>
  <c r="M931" i="1" s="1"/>
  <c r="H954" i="1"/>
  <c r="M954" i="1" s="1"/>
  <c r="H970" i="1"/>
  <c r="M970" i="1" s="1"/>
  <c r="H973" i="1"/>
  <c r="M97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06" i="1"/>
  <c r="M906" i="1" s="1"/>
  <c r="H905" i="1"/>
  <c r="M905" i="1" s="1"/>
  <c r="H904" i="1"/>
  <c r="M904" i="1" s="1"/>
  <c r="H903" i="1"/>
  <c r="M903" i="1" s="1"/>
  <c r="H902" i="1"/>
  <c r="M902" i="1" s="1"/>
  <c r="H901" i="1"/>
  <c r="M901" i="1" s="1"/>
  <c r="H900" i="1"/>
  <c r="M900" i="1" s="1"/>
  <c r="H899" i="1"/>
  <c r="M899" i="1" s="1"/>
  <c r="H898" i="1"/>
  <c r="M898" i="1" s="1"/>
  <c r="H897" i="1"/>
  <c r="M897" i="1" s="1"/>
  <c r="H896" i="1"/>
  <c r="M896" i="1" s="1"/>
  <c r="H895" i="1"/>
  <c r="M895" i="1" s="1"/>
  <c r="H890" i="1"/>
  <c r="M890" i="1" s="1"/>
  <c r="H891" i="1"/>
  <c r="M891" i="1" s="1"/>
  <c r="H892" i="1"/>
  <c r="M892" i="1" s="1"/>
  <c r="H893" i="1"/>
  <c r="M893" i="1" s="1"/>
  <c r="H894" i="1"/>
  <c r="M89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888" i="1"/>
  <c r="M888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55" i="21" l="1"/>
  <c r="M17" i="27"/>
  <c r="J17" i="27"/>
  <c r="R17" i="27" s="1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87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07" i="1"/>
  <c r="L12" i="33"/>
  <c r="B12" i="33"/>
  <c r="M400" i="1"/>
  <c r="H11" i="30"/>
  <c r="H12" i="29"/>
  <c r="H11" i="25"/>
  <c r="H31" i="25" s="1"/>
  <c r="H12" i="27"/>
  <c r="M12" i="27"/>
  <c r="M384" i="1"/>
  <c r="C12" i="33"/>
  <c r="C11" i="33"/>
  <c r="M11" i="33"/>
  <c r="N11" i="33"/>
  <c r="D11" i="33"/>
  <c r="M397" i="1"/>
  <c r="M12" i="33"/>
  <c r="M383" i="1"/>
  <c r="M76" i="1"/>
  <c r="M382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N25" i="39" l="1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D2" i="19"/>
  <c r="M10" i="27"/>
  <c r="H10" i="27"/>
  <c r="G25" i="19"/>
  <c r="F25" i="19"/>
  <c r="E25" i="19"/>
  <c r="D25" i="19"/>
  <c r="G16" i="19"/>
  <c r="G15" i="19"/>
  <c r="G9" i="19"/>
  <c r="L339" i="1"/>
  <c r="L47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7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490" i="1"/>
  <c r="C9" i="19"/>
  <c r="C11" i="19"/>
  <c r="L465" i="1"/>
  <c r="L466" i="1"/>
  <c r="L469" i="1"/>
  <c r="L493" i="1"/>
  <c r="L514" i="1"/>
  <c r="C26" i="19"/>
  <c r="L546" i="1" s="1"/>
  <c r="C27" i="19"/>
  <c r="L542" i="1" s="1"/>
  <c r="C34" i="19"/>
  <c r="C36" i="19"/>
  <c r="L538" i="1" s="1"/>
  <c r="C38" i="19"/>
  <c r="L53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66" i="1" l="1"/>
  <c r="L565" i="1"/>
  <c r="L540" i="1"/>
  <c r="L541" i="1"/>
  <c r="L535" i="1"/>
  <c r="L512" i="1"/>
  <c r="L507" i="1"/>
  <c r="L510" i="1"/>
  <c r="L505" i="1"/>
  <c r="L508" i="1"/>
  <c r="L502" i="1"/>
  <c r="L491" i="1"/>
  <c r="L492" i="1"/>
  <c r="D38" i="19"/>
  <c r="L460" i="1"/>
  <c r="L461" i="1"/>
  <c r="L463" i="1"/>
  <c r="L462" i="1"/>
  <c r="L414" i="1"/>
  <c r="L411" i="1"/>
  <c r="L41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31" i="1" l="1"/>
  <c r="P83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4" i="7" l="1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G13" i="5" l="1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M35" i="21" s="1"/>
  <c r="D355" i="21"/>
  <c r="M36" i="21" s="1"/>
  <c r="E355" i="21"/>
  <c r="M37" i="21" s="1"/>
  <c r="F355" i="21"/>
  <c r="M38" i="21" s="1"/>
  <c r="A326" i="8"/>
  <c r="G328" i="7"/>
  <c r="D328" i="7"/>
  <c r="H328" i="7"/>
  <c r="E328" i="7"/>
  <c r="I328" i="7"/>
  <c r="A329" i="7"/>
  <c r="Q35" i="21" l="1"/>
  <c r="P35" i="21"/>
  <c r="O35" i="21"/>
  <c r="Q36" i="21"/>
  <c r="P36" i="21"/>
  <c r="O36" i="21"/>
  <c r="O37" i="21"/>
  <c r="Q37" i="21"/>
  <c r="P37" i="21"/>
  <c r="O38" i="21"/>
  <c r="P38" i="21"/>
  <c r="H326" i="8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O41" i="21" l="1"/>
  <c r="Q41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3" i="21" l="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L39" i="7" s="1"/>
  <c r="E354" i="7"/>
  <c r="D354" i="7"/>
  <c r="G354" i="7"/>
  <c r="L38" i="7" s="1"/>
  <c r="I354" i="7"/>
  <c r="L40" i="7" s="1"/>
  <c r="A355" i="7"/>
  <c r="N39" i="7" l="1"/>
  <c r="P39" i="7"/>
  <c r="N38" i="7"/>
  <c r="J47" i="8"/>
  <c r="O38" i="7"/>
  <c r="N40" i="7"/>
  <c r="P40" i="7"/>
  <c r="E352" i="8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0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1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  <c r="H889" i="1"/>
  <c r="M889" i="1" s="1"/>
  <c r="H974" i="1"/>
  <c r="M974" i="1"/>
  <c r="J268" i="21" l="1"/>
  <c r="J317" i="21"/>
  <c r="J353" i="21"/>
  <c r="J354" i="21"/>
  <c r="J352" i="21"/>
  <c r="J351" i="21"/>
  <c r="J355" i="21"/>
  <c r="AC35" i="21" s="1"/>
  <c r="O43" i="39" s="1"/>
  <c r="J202" i="21"/>
  <c r="J331" i="21"/>
  <c r="J302" i="21"/>
  <c r="J295" i="21"/>
  <c r="J248" i="21"/>
  <c r="J151" i="21"/>
  <c r="J239" i="21"/>
  <c r="B30" i="29"/>
  <c r="B38" i="29" s="1"/>
  <c r="J152" i="21"/>
  <c r="J160" i="21"/>
  <c r="J161" i="21"/>
  <c r="J163" i="21"/>
  <c r="J172" i="21"/>
  <c r="J174" i="21"/>
  <c r="J185" i="21"/>
  <c r="J241" i="21"/>
  <c r="J300" i="21"/>
  <c r="J329" i="21"/>
  <c r="J337" i="21"/>
  <c r="J346" i="21"/>
  <c r="J215" i="21"/>
  <c r="J153" i="21"/>
  <c r="J154" i="21"/>
  <c r="J155" i="21"/>
  <c r="J156" i="21"/>
  <c r="J157" i="21"/>
  <c r="J158" i="21"/>
  <c r="J159" i="21"/>
  <c r="J162" i="21"/>
  <c r="J173" i="21"/>
  <c r="J240" i="21"/>
  <c r="J297" i="21"/>
  <c r="J171" i="21"/>
  <c r="J187" i="21"/>
  <c r="J191" i="21"/>
  <c r="J212" i="21"/>
  <c r="J203" i="21"/>
  <c r="J209" i="21"/>
  <c r="J213" i="21"/>
  <c r="J335" i="21"/>
  <c r="J164" i="21"/>
  <c r="J165" i="21"/>
  <c r="J166" i="21"/>
  <c r="J167" i="21"/>
  <c r="J168" i="21"/>
  <c r="J169" i="21"/>
  <c r="J170" i="21"/>
  <c r="J186" i="21"/>
  <c r="J190" i="21"/>
  <c r="J208" i="21"/>
  <c r="J196" i="21"/>
  <c r="J183" i="21"/>
  <c r="J242" i="21"/>
  <c r="J210" i="21"/>
  <c r="J214" i="21"/>
  <c r="J175" i="21"/>
  <c r="J176" i="21"/>
  <c r="J177" i="21"/>
  <c r="J178" i="21"/>
  <c r="J179" i="21"/>
  <c r="J180" i="21"/>
  <c r="J181" i="21"/>
  <c r="J182" i="21"/>
  <c r="J184" i="21"/>
  <c r="J243" i="21"/>
  <c r="J260" i="21"/>
  <c r="J192" i="21"/>
  <c r="J200" i="21"/>
  <c r="J301" i="21"/>
  <c r="J339" i="21"/>
  <c r="J188" i="21"/>
  <c r="J189" i="21"/>
  <c r="J193" i="21"/>
  <c r="J204" i="21"/>
  <c r="J194" i="21"/>
  <c r="J195" i="21"/>
  <c r="J205" i="21"/>
  <c r="J245" i="21"/>
  <c r="J197" i="21"/>
  <c r="J198" i="21"/>
  <c r="J199" i="21"/>
  <c r="J201" i="21"/>
  <c r="J206" i="21"/>
  <c r="J250" i="21"/>
  <c r="J211" i="21"/>
  <c r="J316" i="21"/>
  <c r="J299" i="21"/>
  <c r="J338" i="21"/>
  <c r="J292" i="21"/>
  <c r="J310" i="21"/>
  <c r="J332" i="21"/>
  <c r="J207" i="21"/>
  <c r="J216" i="21"/>
  <c r="J217" i="21"/>
  <c r="J226" i="21"/>
  <c r="J228" i="21"/>
  <c r="J230" i="21"/>
  <c r="J232" i="21"/>
  <c r="J234" i="21"/>
  <c r="J236" i="21"/>
  <c r="J246" i="21"/>
  <c r="J249" i="21"/>
  <c r="J259" i="21"/>
  <c r="J345" i="21"/>
  <c r="J281" i="21"/>
  <c r="J282" i="21"/>
  <c r="J307" i="21"/>
  <c r="J326" i="21"/>
  <c r="J323" i="21"/>
  <c r="J347" i="21"/>
  <c r="J269" i="21"/>
  <c r="J315" i="21"/>
  <c r="J298" i="21"/>
  <c r="J304" i="21"/>
  <c r="J336" i="21"/>
  <c r="J343" i="21"/>
  <c r="J218" i="21"/>
  <c r="J219" i="21"/>
  <c r="J220" i="21"/>
  <c r="J221" i="21"/>
  <c r="J222" i="21"/>
  <c r="J237" i="21"/>
  <c r="J255" i="21"/>
  <c r="J318" i="21"/>
  <c r="J283" i="21"/>
  <c r="J288" i="21"/>
  <c r="J289" i="21"/>
  <c r="J305" i="21"/>
  <c r="J309" i="21"/>
  <c r="J334" i="21"/>
  <c r="J327" i="21"/>
  <c r="J350" i="21"/>
  <c r="J223" i="21"/>
  <c r="J314" i="21"/>
  <c r="J224" i="21"/>
  <c r="J225" i="21"/>
  <c r="J227" i="21"/>
  <c r="J229" i="21"/>
  <c r="J231" i="21"/>
  <c r="J233" i="21"/>
  <c r="J235" i="21"/>
  <c r="J238" i="21"/>
  <c r="J258" i="21"/>
  <c r="J270" i="21"/>
  <c r="J278" i="21"/>
  <c r="J287" i="21"/>
  <c r="J290" i="21"/>
  <c r="J284" i="21"/>
  <c r="J313" i="21"/>
  <c r="J303" i="21"/>
  <c r="J308" i="21"/>
  <c r="J328" i="21"/>
  <c r="J325" i="21"/>
  <c r="J349" i="21"/>
  <c r="J342" i="21"/>
  <c r="J244" i="21"/>
  <c r="J247" i="21"/>
  <c r="J256" i="21"/>
  <c r="J257" i="21"/>
  <c r="J264" i="21"/>
  <c r="J296" i="21"/>
  <c r="J267" i="21"/>
  <c r="J271" i="21"/>
  <c r="J344" i="21"/>
  <c r="J251" i="21"/>
  <c r="J252" i="21"/>
  <c r="J253" i="21"/>
  <c r="J254" i="21"/>
  <c r="J265" i="21"/>
  <c r="J330" i="21"/>
  <c r="J279" i="21"/>
  <c r="J312" i="21"/>
  <c r="J291" i="21"/>
  <c r="J285" i="21"/>
  <c r="J319" i="21"/>
  <c r="J341" i="21"/>
  <c r="J311" i="21"/>
  <c r="J340" i="21"/>
  <c r="J348" i="21"/>
  <c r="J261" i="21"/>
  <c r="J262" i="21"/>
  <c r="J263" i="21"/>
  <c r="J266" i="21"/>
  <c r="J322" i="21"/>
  <c r="J333" i="21"/>
  <c r="J272" i="21"/>
  <c r="J273" i="21"/>
  <c r="J274" i="21"/>
  <c r="J275" i="21"/>
  <c r="J276" i="21"/>
  <c r="J277" i="21"/>
  <c r="J280" i="21"/>
  <c r="J320" i="21"/>
  <c r="J293" i="21"/>
  <c r="J286" i="21"/>
  <c r="J294" i="21"/>
  <c r="J306" i="21"/>
  <c r="J324" i="21"/>
  <c r="J321" i="21"/>
  <c r="AE4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<sst xmlns="http://schemas.openxmlformats.org/spreadsheetml/2006/main" count="5936" uniqueCount="624">
  <si>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</si>
  <si>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</si>
  <si>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</si>
  <si>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</si>
  <si>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</si>
  <si>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</si>
  <si>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</si>
  <si>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</si>
  <si>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</si>
  <si>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</si>
  <si>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</si>
  <si>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</si>
  <si>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</si>
  <si>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</si>
  <si>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</si>
  <si>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</si>
  <si>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</si>
  <si>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</si>
  <si>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</si>
  <si>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</si>
  <si>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</si>
  <si>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</si>
  <si>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</si>
  <si>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</si>
  <si>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</si>
  <si>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</si>
  <si>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</si>
  <si>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</si>
  <si>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</si>
  <si>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</si>
  <si>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</si>
  <si>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</si>
  <si>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</si>
  <si>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</si>
  <si>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</si>
  <si>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</si>
  <si>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</si>
  <si>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</si>
  <si>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</si>
  <si>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</si>
  <si>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</si>
  <si>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</si>
  <si>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</si>
  <si>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</si>
  <si>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</si>
  <si>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</si>
  <si>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</si>
  <si>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</si>
  <si>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</si>
  <si>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</si>
  <si>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</si>
  <si>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</si>
  <si>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</si>
  <si>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</si>
  <si>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</si>
  <si>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</si>
  <si>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</si>
  <si>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</si>
  <si>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</si>
  <si>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</si>
  <si>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</si>
  <si>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</si>
  <si>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</si>
  <si>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</si>
  <si>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</si>
  <si>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</si>
  <si>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</si>
  <si>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</si>
  <si>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</si>
  <si>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</si>
  <si>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</si>
  <si>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</si>
  <si>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</si>
  <si>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</si>
  <si>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</si>
  <si>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</si>
  <si>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</si>
  <si>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</si>
  <si>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</si>
  <si>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</si>
  <si>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</si>
  <si>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</si>
  <si>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</si>
  <si>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</si>
  <si>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</si>
  <si>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</si>
  <si>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</si>
  <si>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</si>
  <si>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</si>
  <si>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</si>
  <si>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</si>
  <si>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</si>
  <si>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</si>
  <si>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</si>
  <si>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</si>
  <si>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</si>
  <si>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</si>
  <si>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</si>
  <si>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</si>
  <si>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</si>
  <si>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</si>
  <si>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</si>
  <si>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</si>
  <si>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</si>
  <si>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</si>
  <si>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</si>
  <si>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</si>
  <si>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</si>
  <si>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</si>
  <si>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</si>
  <si>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</si>
  <si>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</si>
  <si>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</si>
  <si>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</si>
  <si>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</si>
  <si>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</si>
  <si>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</si>
  <si>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</si>
  <si>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</si>
  <si>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</si>
  <si>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</si>
  <si>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</si>
  <si>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</si>
  <si>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</si>
  <si>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</si>
  <si>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</si>
  <si>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</si>
  <si>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</si>
  <si>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</si>
  <si>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</si>
  <si>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</si>
  <si>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</si>
  <si>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</si>
  <si>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</si>
  <si>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</si>
  <si>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</si>
  <si>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</si>
  <si>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</si>
  <si>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</si>
  <si>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</si>
  <si>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</si>
  <si>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</si>
  <si>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</si>
  <si>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</si>
  <si>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</si>
  <si>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</si>
  <si>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</si>
  <si>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</si>
  <si>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</si>
  <si>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</si>
  <si>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</si>
  <si>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</si>
  <si>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</si>
  <si>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</si>
  <si>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</si>
  <si>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</si>
  <si>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</si>
  <si>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</si>
  <si>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</si>
  <si>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</si>
  <si>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</si>
  <si>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</si>
  <si>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</si>
  <si>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</si>
  <si>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</si>
  <si>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</si>
  <si>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</si>
  <si>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</si>
  <si>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</si>
  <si>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</si>
  <si>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</si>
  <si>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</si>
  <si>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</si>
  <si>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</si>
  <si>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</si>
  <si>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</si>
  <si>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</si>
  <si>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</si>
  <si>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</si>
  <si>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</si>
  <si>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</si>
  <si>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</si>
  <si>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</si>
  <si>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</si>
  <si>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</si>
  <si>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</si>
  <si>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</si>
  <si>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</si>
  <si>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</si>
  <si>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</si>
  <si>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</si>
  <si>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</si>
  <si>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</si>
  <si>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</si>
  <si>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</si>
  <si>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</si>
  <si>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</si>
  <si>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</si>
  <si>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</si>
  <si>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</si>
  <si>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</si>
  <si>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</si>
  <si>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</si>
  <si>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</si>
  <si>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</si>
  <si>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</si>
  <si>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</si>
  <si>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</si>
  <si>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</si>
  <si>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</si>
  <si>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</si>
  <si>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</si>
  <si>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</si>
  <si>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</si>
  <si>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</si>
  <si>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</si>
  <si>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</si>
  <si>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</si>
  <si>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</si>
  <si>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</si>
  <si>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</si>
  <si>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</si>
  <si>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</si>
  <si>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</si>
  <si>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</si>
  <si>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</si>
  <si>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</si>
  <si>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</si>
  <si>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</si>
  <si>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</si>
  <si>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</si>
  <si>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</si>
  <si>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</si>
  <si>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</si>
  <si>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</si>
  <si>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</si>
  <si>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</si>
  <si>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</si>
  <si>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</si>
  <si>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</si>
  <si>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</si>
  <si>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</si>
  <si>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</si>
  <si>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</si>
  <si>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</si>
  <si>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</si>
  <si>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</si>
  <si>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</si>
  <si>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</si>
  <si>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</si>
  <si>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</si>
  <si>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</si>
  <si>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</si>
  <si>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</si>
  <si>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</si>
  <si>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</si>
  <si>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</si>
  <si>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</si>
  <si>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</si>
  <si>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</si>
  <si>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</si>
  <si>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</si>
  <si>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</si>
  <si>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</si>
  <si>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</si>
  <si>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</si>
  <si>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</si>
  <si>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</si>
  <si>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</si>
  <si>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</si>
  <si>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</si>
  <si>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</si>
  <si>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</si>
  <si>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</si>
  <si>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</si>
  <si>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</si>
  <si>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</si>
  <si>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</si>
  <si>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</si>
  <si>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</si>
  <si>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</si>
  <si>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</si>
  <si>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</si>
  <si>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</si>
  <si>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</si>
  <si>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</si>
  <si>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</si>
  <si>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</si>
  <si>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</si>
  <si>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</si>
  <si>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</si>
  <si>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</si>
  <si>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</si>
  <si>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</si>
  <si>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</si>
  <si>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</si>
  <si>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</si>
  <si>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</si>
  <si>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</si>
  <si>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</si>
  <si>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</si>
  <si>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</si>
  <si>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</si>
  <si>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</si>
  <si>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</si>
  <si>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</si>
  <si>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</si>
  <si>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</si>
  <si>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</si>
  <si>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</si>
  <si>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</si>
  <si>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</si>
  <si>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</si>
  <si>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</si>
  <si>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</si>
  <si>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</si>
  <si>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</si>
  <si>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</si>
  <si>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</si>
  <si>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</si>
  <si>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</si>
  <si>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</si>
  <si>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</si>
  <si>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</si>
  <si>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</si>
  <si>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</si>
  <si>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</si>
  <si>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</si>
  <si>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</si>
  <si>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</si>
  <si>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</si>
  <si>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</si>
  <si>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</si>
  <si>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</si>
  <si>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</si>
  <si>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</si>
  <si>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</si>
  <si>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</si>
  <si>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</si>
  <si>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</si>
  <si>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</si>
  <si>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</si>
  <si>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</si>
  <si>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</si>
  <si>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</si>
  <si>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</si>
  <si>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</si>
  <si>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</si>
  <si>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</si>
  <si>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</si>
  <si>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</si>
  <si>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</si>
  <si>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</si>
  <si>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</si>
  <si>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</si>
  <si>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</si>
  <si>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</si>
  <si>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</si>
  <si>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</si>
  <si>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</si>
  <si>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</si>
  <si>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</si>
  <si>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</si>
  <si>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</si>
  <si>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</si>
  <si>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</si>
  <si>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</si>
  <si>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</si>
  <si>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</si>
  <si>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</si>
  <si>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</si>
  <si>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</si>
  <si>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</si>
  <si>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</si>
  <si>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</si>
  <si>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</si>
  <si>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</si>
  <si>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</si>
  <si>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</si>
  <si>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</si>
  <si>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</si>
  <si>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</si>
  <si>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</si>
  <si>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</si>
  <si>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</si>
  <si>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</si>
  <si>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</si>
  <si>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</si>
  <si>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</si>
  <si>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</si>
  <si>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</si>
  <si>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</si>
  <si>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</si>
  <si>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</si>
  <si>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</si>
  <si>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</si>
  <si>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</si>
  <si>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</si>
  <si>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</si>
  <si>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</si>
  <si>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</si>
  <si>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</si>
  <si>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</si>
  <si>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</si>
  <si>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</si>
  <si>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</si>
  <si>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</si>
  <si>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</si>
  <si>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</si>
  <si>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</si>
  <si>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</si>
  <si>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</si>
  <si>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</si>
  <si>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</si>
  <si>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</si>
  <si>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</si>
  <si>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</si>
  <si>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</si>
  <si>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</si>
  <si>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</si>
  <si>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</si>
  <si>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</si>
  <si>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</si>
  <si>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</si>
  <si>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</si>
  <si>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</si>
  <si>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</si>
  <si>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</si>
  <si>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</si>
  <si>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</si>
  <si>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</si>
  <si>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</si>
  <si>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</si>
  <si>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</si>
  <si>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</si>
  <si>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</si>
  <si>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</si>
  <si>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</si>
  <si>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</si>
  <si>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</si>
  <si>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</si>
  <si>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</si>
  <si>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</si>
  <si>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</si>
  <si>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</si>
  <si>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</si>
  <si>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</si>
  <si>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</si>
  <si>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</si>
  <si>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</si>
  <si>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</si>
  <si>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</si>
  <si>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</si>
  <si>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</si>
  <si>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</si>
  <si>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</si>
  <si>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</si>
  <si>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</si>
  <si>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</si>
  <si>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</si>
  <si>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</si>
  <si>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</si>
  <si>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</si>
  <si>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</si>
  <si>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</si>
  <si>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</si>
  <si>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</si>
  <si>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</si>
  <si>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</si>
  <si>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ZONA HABITACIONAL</t>
  </si>
  <si>
    <t>ZONA DE TALLER MECANICO CEA (COMISIÓN DEL AGUA)</t>
  </si>
  <si>
    <t>CANAL DE AGUA PLUVIAL</t>
  </si>
  <si>
    <t>CANAL DE AGUAS NEGRAS VIDRIERA QUERETARO</t>
  </si>
  <si>
    <t>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</si>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</sst>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5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200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#N/A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49.723834501047001</c:v>
                </c:pt>
                <c:pt idx="321">
                  <c:v>49.723834501047001</c:v>
                </c:pt>
                <c:pt idx="322">
                  <c:v>49.723834501047001</c:v>
                </c:pt>
                <c:pt idx="323">
                  <c:v>49.723834501047001</c:v>
                </c:pt>
                <c:pt idx="324">
                  <c:v>49.723834501047001</c:v>
                </c:pt>
                <c:pt idx="325">
                  <c:v>49.723834501047001</c:v>
                </c:pt>
                <c:pt idx="326">
                  <c:v>49.723834501047001</c:v>
                </c:pt>
                <c:pt idx="327">
                  <c:v>49.723834501047001</c:v>
                </c:pt>
                <c:pt idx="328">
                  <c:v>49.723834501047001</c:v>
                </c:pt>
                <c:pt idx="329">
                  <c:v>49.723834501047001</c:v>
                </c:pt>
                <c:pt idx="330">
                  <c:v>49.723834501047001</c:v>
                </c:pt>
                <c:pt idx="331">
                  <c:v>53.932245105970381</c:v>
                </c:pt>
                <c:pt idx="332">
                  <c:v>53.932245105970381</c:v>
                </c:pt>
                <c:pt idx="333">
                  <c:v>56.737852175919301</c:v>
                </c:pt>
                <c:pt idx="334">
                  <c:v>59.54345924586822</c:v>
                </c:pt>
                <c:pt idx="335">
                  <c:v>59.54345924586822</c:v>
                </c:pt>
                <c:pt idx="336">
                  <c:v>59.54345924586822</c:v>
                </c:pt>
                <c:pt idx="337">
                  <c:v>59.54345924586822</c:v>
                </c:pt>
                <c:pt idx="338">
                  <c:v>59.54345924586822</c:v>
                </c:pt>
                <c:pt idx="339">
                  <c:v>59.54345924586822</c:v>
                </c:pt>
                <c:pt idx="340">
                  <c:v>59.54345924586822</c:v>
                </c:pt>
                <c:pt idx="341">
                  <c:v>59.54345924586822</c:v>
                </c:pt>
                <c:pt idx="342">
                  <c:v>68.185966554422095</c:v>
                </c:pt>
                <c:pt idx="343">
                  <c:v>75.764780655769343</c:v>
                </c:pt>
                <c:pt idx="344">
                  <c:v>86.13578942603398</c:v>
                </c:pt>
                <c:pt idx="345">
                  <c:v>86.13578942603398</c:v>
                </c:pt>
                <c:pt idx="346">
                  <c:v>86.13578942603398</c:v>
                </c:pt>
                <c:pt idx="347">
                  <c:v>86.13578942603398</c:v>
                </c:pt>
                <c:pt idx="348">
                  <c:v>86.13578942603398</c:v>
                </c:pt>
                <c:pt idx="349">
                  <c:v>86.13578942603398</c:v>
                </c:pt>
                <c:pt idx="350">
                  <c:v>86.13578942603398</c:v>
                </c:pt>
                <c:pt idx="351">
                  <c:v>89.4537706588943</c:v>
                </c:pt>
                <c:pt idx="352">
                  <c:v>89.4537706588943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0.24861917250523502</c:v>
                </c:pt>
                <c:pt idx="321">
                  <c:v>0.24861917250523502</c:v>
                </c:pt>
                <c:pt idx="322">
                  <c:v>0.24861917250523502</c:v>
                </c:pt>
                <c:pt idx="323">
                  <c:v>0.24861917250523502</c:v>
                </c:pt>
                <c:pt idx="324">
                  <c:v>0.24861917250523502</c:v>
                </c:pt>
                <c:pt idx="325">
                  <c:v>0.24861917250523502</c:v>
                </c:pt>
                <c:pt idx="326">
                  <c:v>0.24861917250523502</c:v>
                </c:pt>
                <c:pt idx="327">
                  <c:v>0.24861917250523502</c:v>
                </c:pt>
                <c:pt idx="328">
                  <c:v>0.24861917250523502</c:v>
                </c:pt>
                <c:pt idx="329">
                  <c:v>0.24861917250523502</c:v>
                </c:pt>
                <c:pt idx="330">
                  <c:v>0.24861917250523502</c:v>
                </c:pt>
                <c:pt idx="331">
                  <c:v>0.26966122552985189</c:v>
                </c:pt>
                <c:pt idx="332">
                  <c:v>0.26966122552985189</c:v>
                </c:pt>
                <c:pt idx="333">
                  <c:v>0.28368926087959651</c:v>
                </c:pt>
                <c:pt idx="334">
                  <c:v>0.29771729622934112</c:v>
                </c:pt>
                <c:pt idx="335">
                  <c:v>0.29771729622934112</c:v>
                </c:pt>
                <c:pt idx="336">
                  <c:v>0.29771729622934112</c:v>
                </c:pt>
                <c:pt idx="337">
                  <c:v>0.29771729622934112</c:v>
                </c:pt>
                <c:pt idx="338">
                  <c:v>0.29771729622934112</c:v>
                </c:pt>
                <c:pt idx="339">
                  <c:v>0.29771729622934112</c:v>
                </c:pt>
                <c:pt idx="340">
                  <c:v>0.29771729622934112</c:v>
                </c:pt>
                <c:pt idx="341">
                  <c:v>0.29771729622934112</c:v>
                </c:pt>
                <c:pt idx="342">
                  <c:v>0.34092983277211047</c:v>
                </c:pt>
                <c:pt idx="343">
                  <c:v>0.37882390327884674</c:v>
                </c:pt>
                <c:pt idx="344">
                  <c:v>0.43067894713016991</c:v>
                </c:pt>
                <c:pt idx="345">
                  <c:v>0.43067894713016991</c:v>
                </c:pt>
                <c:pt idx="346">
                  <c:v>0.43067894713016991</c:v>
                </c:pt>
                <c:pt idx="347">
                  <c:v>0.43067894713016991</c:v>
                </c:pt>
                <c:pt idx="348">
                  <c:v>0.43067894713016991</c:v>
                </c:pt>
                <c:pt idx="349">
                  <c:v>0.43067894713016991</c:v>
                </c:pt>
                <c:pt idx="350">
                  <c:v>0.43067894713016991</c:v>
                </c:pt>
                <c:pt idx="351">
                  <c:v>0.44726885329447152</c:v>
                </c:pt>
                <c:pt idx="352">
                  <c:v>0.44726885329447152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5733305.6407600017</c:v>
                </c:pt>
                <c:pt idx="150">
                  <c:v>5736917.5127600022</c:v>
                </c:pt>
                <c:pt idx="151">
                  <c:v>5740077.9007600024</c:v>
                </c:pt>
                <c:pt idx="152">
                  <c:v>5746272.2612400027</c:v>
                </c:pt>
                <c:pt idx="153">
                  <c:v>5748529.6812400026</c:v>
                </c:pt>
                <c:pt idx="154">
                  <c:v>5750511.6960000023</c:v>
                </c:pt>
                <c:pt idx="155">
                  <c:v>5750511.6960000023</c:v>
                </c:pt>
                <c:pt idx="156">
                  <c:v>5750511.6960000023</c:v>
                </c:pt>
                <c:pt idx="157">
                  <c:v>5752769.1160000023</c:v>
                </c:pt>
                <c:pt idx="158">
                  <c:v>5757283.9560000021</c:v>
                </c:pt>
                <c:pt idx="159">
                  <c:v>5763491.8610000024</c:v>
                </c:pt>
                <c:pt idx="160">
                  <c:v>5770264.1210000021</c:v>
                </c:pt>
                <c:pt idx="161">
                  <c:v>5773085.8960000025</c:v>
                </c:pt>
                <c:pt idx="162">
                  <c:v>5773085.8960000025</c:v>
                </c:pt>
                <c:pt idx="163">
                  <c:v>5775794.8000000026</c:v>
                </c:pt>
                <c:pt idx="164">
                  <c:v>5780986.8660000023</c:v>
                </c:pt>
                <c:pt idx="165">
                  <c:v>5785181.1523600025</c:v>
                </c:pt>
                <c:pt idx="166">
                  <c:v>5785759.051880003</c:v>
                </c:pt>
                <c:pt idx="167">
                  <c:v>5785759.051880003</c:v>
                </c:pt>
                <c:pt idx="168">
                  <c:v>5785759.051880003</c:v>
                </c:pt>
                <c:pt idx="169">
                  <c:v>5785759.051880003</c:v>
                </c:pt>
                <c:pt idx="170">
                  <c:v>5785759.051880003</c:v>
                </c:pt>
                <c:pt idx="171">
                  <c:v>5785759.051880003</c:v>
                </c:pt>
                <c:pt idx="172">
                  <c:v>5812831.6118800035</c:v>
                </c:pt>
                <c:pt idx="173">
                  <c:v>5826549.9094400033</c:v>
                </c:pt>
                <c:pt idx="174">
                  <c:v>5850800.9315100033</c:v>
                </c:pt>
                <c:pt idx="175">
                  <c:v>5855897.8483900037</c:v>
                </c:pt>
                <c:pt idx="176">
                  <c:v>5855897.8483900037</c:v>
                </c:pt>
                <c:pt idx="177">
                  <c:v>5871690.1573400041</c:v>
                </c:pt>
                <c:pt idx="178">
                  <c:v>5887035.1305000037</c:v>
                </c:pt>
                <c:pt idx="179">
                  <c:v>5887035.1305000037</c:v>
                </c:pt>
                <c:pt idx="180">
                  <c:v>5893555.3885300038</c:v>
                </c:pt>
                <c:pt idx="181">
                  <c:v>5912817.938760004</c:v>
                </c:pt>
                <c:pt idx="182">
                  <c:v>5912817.938760004</c:v>
                </c:pt>
                <c:pt idx="183">
                  <c:v>5912817.938760004</c:v>
                </c:pt>
                <c:pt idx="184">
                  <c:v>5935089.8388500037</c:v>
                </c:pt>
                <c:pt idx="185">
                  <c:v>5950434.8120100033</c:v>
                </c:pt>
                <c:pt idx="186">
                  <c:v>5974780.7234900035</c:v>
                </c:pt>
                <c:pt idx="187">
                  <c:v>6004521.7757100035</c:v>
                </c:pt>
                <c:pt idx="188">
                  <c:v>6040633.974030003</c:v>
                </c:pt>
                <c:pt idx="189">
                  <c:v>6046096.8929200033</c:v>
                </c:pt>
                <c:pt idx="190">
                  <c:v>6046096.8929200033</c:v>
                </c:pt>
                <c:pt idx="191">
                  <c:v>6062770.3178200033</c:v>
                </c:pt>
                <c:pt idx="192">
                  <c:v>6073099.7078800034</c:v>
                </c:pt>
                <c:pt idx="193">
                  <c:v>6091413.3640100034</c:v>
                </c:pt>
                <c:pt idx="194">
                  <c:v>6105090.9946800033</c:v>
                </c:pt>
                <c:pt idx="195">
                  <c:v>6140087.5927800033</c:v>
                </c:pt>
                <c:pt idx="196">
                  <c:v>6168055.8284400031</c:v>
                </c:pt>
                <c:pt idx="197">
                  <c:v>6168055.8284400031</c:v>
                </c:pt>
                <c:pt idx="198">
                  <c:v>6182573.9081700034</c:v>
                </c:pt>
                <c:pt idx="199">
                  <c:v>6199843.780790003</c:v>
                </c:pt>
                <c:pt idx="200">
                  <c:v>6212762.2961800033</c:v>
                </c:pt>
                <c:pt idx="201">
                  <c:v>6250111.3627000032</c:v>
                </c:pt>
                <c:pt idx="202">
                  <c:v>6287184.5224300036</c:v>
                </c:pt>
                <c:pt idx="203">
                  <c:v>6313206.8891500039</c:v>
                </c:pt>
                <c:pt idx="204">
                  <c:v>6313206.8891500039</c:v>
                </c:pt>
                <c:pt idx="205">
                  <c:v>6325519.8715900034</c:v>
                </c:pt>
                <c:pt idx="206">
                  <c:v>6329854.117990003</c:v>
                </c:pt>
                <c:pt idx="207">
                  <c:v>6331196.1253600027</c:v>
                </c:pt>
                <c:pt idx="208">
                  <c:v>6331938.8165400028</c:v>
                </c:pt>
                <c:pt idx="209">
                  <c:v>6333945.6629200028</c:v>
                </c:pt>
                <c:pt idx="210">
                  <c:v>6334990.8483800031</c:v>
                </c:pt>
                <c:pt idx="211">
                  <c:v>6334990.8483800031</c:v>
                </c:pt>
                <c:pt idx="212">
                  <c:v>6363917.4971000031</c:v>
                </c:pt>
                <c:pt idx="213">
                  <c:v>6392858.6672300035</c:v>
                </c:pt>
                <c:pt idx="214">
                  <c:v>6402936.5257700039</c:v>
                </c:pt>
                <c:pt idx="215">
                  <c:v>6424166.8271900034</c:v>
                </c:pt>
                <c:pt idx="216">
                  <c:v>6429137.6660300028</c:v>
                </c:pt>
                <c:pt idx="217">
                  <c:v>6456437.9168300023</c:v>
                </c:pt>
                <c:pt idx="218">
                  <c:v>6456437.9168300023</c:v>
                </c:pt>
                <c:pt idx="219">
                  <c:v>6476506.5054500019</c:v>
                </c:pt>
                <c:pt idx="220">
                  <c:v>6496705.7867600024</c:v>
                </c:pt>
                <c:pt idx="221">
                  <c:v>6511619.2748300014</c:v>
                </c:pt>
                <c:pt idx="222">
                  <c:v>6524732.1080600014</c:v>
                </c:pt>
                <c:pt idx="223">
                  <c:v>6537394.7775800014</c:v>
                </c:pt>
                <c:pt idx="224">
                  <c:v>6537394.7775800014</c:v>
                </c:pt>
                <c:pt idx="225">
                  <c:v>6537394.7775800014</c:v>
                </c:pt>
                <c:pt idx="226">
                  <c:v>6544176.2760500014</c:v>
                </c:pt>
                <c:pt idx="227">
                  <c:v>6554312.220230001</c:v>
                </c:pt>
                <c:pt idx="228">
                  <c:v>6560687.1192200007</c:v>
                </c:pt>
                <c:pt idx="229">
                  <c:v>6577706.2117400002</c:v>
                </c:pt>
                <c:pt idx="230">
                  <c:v>6583179.4512499999</c:v>
                </c:pt>
                <c:pt idx="231">
                  <c:v>6583414.3548699999</c:v>
                </c:pt>
                <c:pt idx="232">
                  <c:v>6583414.3548699999</c:v>
                </c:pt>
                <c:pt idx="233">
                  <c:v>6590616.9742299998</c:v>
                </c:pt>
                <c:pt idx="234">
                  <c:v>6603265.1223400002</c:v>
                </c:pt>
                <c:pt idx="235">
                  <c:v>6603265.1223400002</c:v>
                </c:pt>
                <c:pt idx="236">
                  <c:v>6624671.5684900004</c:v>
                </c:pt>
                <c:pt idx="237">
                  <c:v>6626241.8218900012</c:v>
                </c:pt>
                <c:pt idx="238">
                  <c:v>6628142.5695300009</c:v>
                </c:pt>
                <c:pt idx="239">
                  <c:v>6628142.5695300009</c:v>
                </c:pt>
                <c:pt idx="240">
                  <c:v>6638191.3852500012</c:v>
                </c:pt>
                <c:pt idx="241">
                  <c:v>6642410.5150000006</c:v>
                </c:pt>
                <c:pt idx="242">
                  <c:v>6654898.927600001</c:v>
                </c:pt>
                <c:pt idx="243">
                  <c:v>6657923.8704000004</c:v>
                </c:pt>
                <c:pt idx="244">
                  <c:v>6664025.6766600003</c:v>
                </c:pt>
                <c:pt idx="245">
                  <c:v>6667344.0840600003</c:v>
                </c:pt>
                <c:pt idx="246">
                  <c:v>6667344.0840600003</c:v>
                </c:pt>
                <c:pt idx="247">
                  <c:v>6680599.6543000005</c:v>
                </c:pt>
                <c:pt idx="248">
                  <c:v>6699826.0011400003</c:v>
                </c:pt>
                <c:pt idx="249">
                  <c:v>6700450.4217699999</c:v>
                </c:pt>
                <c:pt idx="250">
                  <c:v>6725441.7683800003</c:v>
                </c:pt>
                <c:pt idx="251">
                  <c:v>6759567.0818800004</c:v>
                </c:pt>
                <c:pt idx="252">
                  <c:v>6770022.4970800001</c:v>
                </c:pt>
                <c:pt idx="253">
                  <c:v>6794708.89408</c:v>
                </c:pt>
                <c:pt idx="254">
                  <c:v>6801969.5990800001</c:v>
                </c:pt>
                <c:pt idx="255">
                  <c:v>6817943.1500800001</c:v>
                </c:pt>
                <c:pt idx="256">
                  <c:v>6828108.1370799998</c:v>
                </c:pt>
                <c:pt idx="257">
                  <c:v>6830339.7214700002</c:v>
                </c:pt>
                <c:pt idx="258">
                  <c:v>6834366.6406699978</c:v>
                </c:pt>
                <c:pt idx="259">
                  <c:v>6835818.7816699976</c:v>
                </c:pt>
                <c:pt idx="260">
                  <c:v>6835818.7816699976</c:v>
                </c:pt>
                <c:pt idx="261">
                  <c:v>6840507.4430099977</c:v>
                </c:pt>
                <c:pt idx="262">
                  <c:v>6840507.4430099977</c:v>
                </c:pt>
                <c:pt idx="263">
                  <c:v>6847366.5917899981</c:v>
                </c:pt>
                <c:pt idx="264">
                  <c:v>6848600.1541199973</c:v>
                </c:pt>
                <c:pt idx="265">
                  <c:v>6871170.2780699972</c:v>
                </c:pt>
                <c:pt idx="266">
                  <c:v>6901331.2466399968</c:v>
                </c:pt>
                <c:pt idx="267">
                  <c:v>6901331.2466399968</c:v>
                </c:pt>
                <c:pt idx="268">
                  <c:v>6932536.3068999965</c:v>
                </c:pt>
                <c:pt idx="269">
                  <c:v>6952002.1915799966</c:v>
                </c:pt>
                <c:pt idx="270">
                  <c:v>6960813.3510799967</c:v>
                </c:pt>
                <c:pt idx="271">
                  <c:v>6984129.0346799968</c:v>
                </c:pt>
                <c:pt idx="272">
                  <c:v>7013517.6405199971</c:v>
                </c:pt>
                <c:pt idx="273">
                  <c:v>7028157.7209199974</c:v>
                </c:pt>
                <c:pt idx="274">
                  <c:v>7028157.7209199974</c:v>
                </c:pt>
                <c:pt idx="275">
                  <c:v>7044424.4769199975</c:v>
                </c:pt>
                <c:pt idx="276">
                  <c:v>7047393.1598899979</c:v>
                </c:pt>
                <c:pt idx="277">
                  <c:v>7047929.5105699981</c:v>
                </c:pt>
                <c:pt idx="278">
                  <c:v>7092663.089569998</c:v>
                </c:pt>
                <c:pt idx="279">
                  <c:v>7146844.9426799985</c:v>
                </c:pt>
                <c:pt idx="280">
                  <c:v>7146844.9426799985</c:v>
                </c:pt>
                <c:pt idx="281">
                  <c:v>7182741.8681999985</c:v>
                </c:pt>
                <c:pt idx="282">
                  <c:v>7182741.8681999985</c:v>
                </c:pt>
                <c:pt idx="283">
                  <c:v>7182741.8681999985</c:v>
                </c:pt>
                <c:pt idx="284">
                  <c:v>7182741.8681999985</c:v>
                </c:pt>
                <c:pt idx="285">
                  <c:v>7217606.9485599985</c:v>
                </c:pt>
                <c:pt idx="286">
                  <c:v>7217788.9553199988</c:v>
                </c:pt>
                <c:pt idx="287">
                  <c:v>7219696.4752199985</c:v>
                </c:pt>
                <c:pt idx="288">
                  <c:v>7222123.2017199984</c:v>
                </c:pt>
                <c:pt idx="289">
                  <c:v>7227495.8613199983</c:v>
                </c:pt>
                <c:pt idx="290">
                  <c:v>7270784.1845299983</c:v>
                </c:pt>
                <c:pt idx="291">
                  <c:v>7276721.1991299987</c:v>
                </c:pt>
                <c:pt idx="292">
                  <c:v>7305154.119909999</c:v>
                </c:pt>
                <c:pt idx="293">
                  <c:v>7344301.3335199989</c:v>
                </c:pt>
                <c:pt idx="294">
                  <c:v>7346220.140519999</c:v>
                </c:pt>
                <c:pt idx="295">
                  <c:v>7346220.140519999</c:v>
                </c:pt>
                <c:pt idx="296">
                  <c:v>7691189.3067199998</c:v>
                </c:pt>
                <c:pt idx="297">
                  <c:v>7855464.4067199994</c:v>
                </c:pt>
                <c:pt idx="298">
                  <c:v>7945375.8767199991</c:v>
                </c:pt>
                <c:pt idx="299">
                  <c:v>8033130.5767199984</c:v>
                </c:pt>
                <c:pt idx="300">
                  <c:v>8036175.8362999987</c:v>
                </c:pt>
                <c:pt idx="301">
                  <c:v>8036175.8362999987</c:v>
                </c:pt>
                <c:pt idx="302">
                  <c:v>8036175.8362999987</c:v>
                </c:pt>
                <c:pt idx="303">
                  <c:v>8037981.7722999984</c:v>
                </c:pt>
                <c:pt idx="304">
                  <c:v>8048738.3785999985</c:v>
                </c:pt>
                <c:pt idx="305">
                  <c:v>8074876.9165999983</c:v>
                </c:pt>
                <c:pt idx="306">
                  <c:v>8094524.3843299979</c:v>
                </c:pt>
                <c:pt idx="307">
                  <c:v>8293896.4043299966</c:v>
                </c:pt>
                <c:pt idx="308">
                  <c:v>8389546.9043299966</c:v>
                </c:pt>
                <c:pt idx="309">
                  <c:v>8389546.9043299966</c:v>
                </c:pt>
                <c:pt idx="310">
                  <c:v>8448177.0464499947</c:v>
                </c:pt>
                <c:pt idx="311">
                  <c:v>8475491.8186599948</c:v>
                </c:pt>
                <c:pt idx="312">
                  <c:v>8514834.5161899943</c:v>
                </c:pt>
                <c:pt idx="313">
                  <c:v>8517873.0035099946</c:v>
                </c:pt>
                <c:pt idx="314">
                  <c:v>8543750.1561299954</c:v>
                </c:pt>
                <c:pt idx="315">
                  <c:v>8563295.9739899952</c:v>
                </c:pt>
                <c:pt idx="316">
                  <c:v>8563295.9739899952</c:v>
                </c:pt>
                <c:pt idx="317">
                  <c:v>8573359.311119996</c:v>
                </c:pt>
                <c:pt idx="318">
                  <c:v>8603955.8639199957</c:v>
                </c:pt>
                <c:pt idx="319">
                  <c:v>8622587.8639199957</c:v>
                </c:pt>
                <c:pt idx="320">
                  <c:v>8706272.7839199938</c:v>
                </c:pt>
                <c:pt idx="321">
                  <c:v>8777054.1539199948</c:v>
                </c:pt>
                <c:pt idx="322">
                  <c:v>8781712.1539199948</c:v>
                </c:pt>
                <c:pt idx="323">
                  <c:v>8781712.1539199948</c:v>
                </c:pt>
                <c:pt idx="324">
                  <c:v>8795686.1539199948</c:v>
                </c:pt>
                <c:pt idx="325">
                  <c:v>8809660.1539199948</c:v>
                </c:pt>
                <c:pt idx="326">
                  <c:v>8818976.1539199948</c:v>
                </c:pt>
                <c:pt idx="327">
                  <c:v>8828292.1539199948</c:v>
                </c:pt>
                <c:pt idx="328">
                  <c:v>8846924.153919993</c:v>
                </c:pt>
                <c:pt idx="329">
                  <c:v>9061919.7539199926</c:v>
                </c:pt>
                <c:pt idx="330">
                  <c:v>9061919.7539199926</c:v>
                </c:pt>
                <c:pt idx="331">
                  <c:v>9068692.0139199924</c:v>
                </c:pt>
                <c:pt idx="332">
                  <c:v>9157627.9369199928</c:v>
                </c:pt>
                <c:pt idx="333">
                  <c:v>9162072.796899993</c:v>
                </c:pt>
                <c:pt idx="334">
                  <c:v>9243995.4907299932</c:v>
                </c:pt>
                <c:pt idx="335">
                  <c:v>9345983.00754999</c:v>
                </c:pt>
                <c:pt idx="336">
                  <c:v>9345983.00754999</c:v>
                </c:pt>
                <c:pt idx="337">
                  <c:v>9345983.00754999</c:v>
                </c:pt>
                <c:pt idx="338">
                  <c:v>9359255.5762899891</c:v>
                </c:pt>
                <c:pt idx="339">
                  <c:v>9362133.7867899891</c:v>
                </c:pt>
                <c:pt idx="340">
                  <c:v>9362703.7853399888</c:v>
                </c:pt>
                <c:pt idx="341">
                  <c:v>9384943.8760149907</c:v>
                </c:pt>
                <c:pt idx="342">
                  <c:v>9395602.5909549911</c:v>
                </c:pt>
                <c:pt idx="343">
                  <c:v>9513972.7909549922</c:v>
                </c:pt>
                <c:pt idx="344">
                  <c:v>9617774.3509549908</c:v>
                </c:pt>
                <c:pt idx="345">
                  <c:v>9780617.9409549925</c:v>
                </c:pt>
                <c:pt idx="346">
                  <c:v>9814246.9566899929</c:v>
                </c:pt>
                <c:pt idx="347">
                  <c:v>9832137.3338099923</c:v>
                </c:pt>
                <c:pt idx="348">
                  <c:v>9871141.8410699926</c:v>
                </c:pt>
                <c:pt idx="349">
                  <c:v>9933784.9377899934</c:v>
                </c:pt>
                <c:pt idx="350">
                  <c:v>9954274.6472999919</c:v>
                </c:pt>
                <c:pt idx="351">
                  <c:v>9954274.6472999919</c:v>
                </c:pt>
                <c:pt idx="352">
                  <c:v>9999718.6472999882</c:v>
                </c:pt>
                <c:pt idx="353">
                  <c:v>9999718.6472999882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83.3309887274999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-1,163,203.19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_xlchart.v5.40</cx:f>
      </cx:strDim>
      <cx:numDim type="val">
        <cx:f>_xlchart.v5.41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_xlchart.v5.39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89.454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44.7%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4992749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89.45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$9,999,719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9,999,718.65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89.6%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10.4%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150.325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74" totalsRowCount="1" headerRowDxfId="66">
  <autoFilter ref="A1:N973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Row],[fin]],$P$379:$P$386,$T$379:$T$386),"")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74"/>
  <sheetViews>
    <sheetView showGridLines="0" tabSelected="1" topLeftCell="A946" zoomScaleNormal="100" workbookViewId="0">
      <selection activeCell="L852" sqref="L852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Row],[Ducto]],$D$1:$D$973,$L$1:$L$973)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Row],[Ducto]],$D$1:$D$973,$L$1:$L$973)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Row],[Ducto]],$D$1:$D$973,$L$1:$L$973)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Row],[Ducto]],$D$1:$D$973,$L$1:$L$973)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Row],[Ducto]],$D$1:$D$973,$L$1:$L$973)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Row],[Ducto]],$D$1:$D$973,$L$1:$L$973)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Row],[Ducto]],$D$1:$D$973,$L$1:$L$973)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Row],[Ducto]],$D$1:$D$973,$L$1:$L$973)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Row],[Ducto]],$D$1:$D$973,$L$1:$L$973)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Row],[Ducto]],$D$1:$D$973,$L$1:$L$973)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Row],[Ducto]],$D$1:$D$973,$L$1:$L$973)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Row],[Ducto]],$D$1:$D$973,$L$1:$L$973)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Row],[Ducto]],$D$1:$D$973,$L$1:$L$973)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Row],[Ducto]],$D$1:$D$973,$L$1:$L$973)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Row],[Ducto]],$D$1:$D$973,$L$1:$L$973)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Row],[Ducto]],$D$1:$D$973,$L$1:$L$973)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Row],[Ducto]],$D$1:$D$973,$L$1:$L$973)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Row],[Ducto]],$D$1:$D$973,$L$1:$L$973)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Row],[Ducto]],$D$1:$D$973,$L$1:$L$973)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6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6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6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6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6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9" t="s">
        <v>462</v>
      </c>
      <c r="Q378" s="369" t="s">
        <v>463</v>
      </c>
      <c r="R378" s="369" t="s">
        <v>464</v>
      </c>
      <c r="S378" s="375" t="s">
        <v>465</v>
      </c>
      <c r="T378" s="375"/>
      <c r="U378" s="375"/>
      <c r="V378" s="375"/>
      <c r="W378" s="375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2">
        <v>2950</v>
      </c>
      <c r="Q379" s="372">
        <v>3463</v>
      </c>
      <c r="R379" s="373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2">
        <v>4210</v>
      </c>
      <c r="Q380" s="372">
        <v>4322</v>
      </c>
      <c r="R380" s="373">
        <f t="shared" ref="R380:R386" si="0">Q380-P380</f>
        <v>112</v>
      </c>
      <c r="S380" t="s">
        <v>467</v>
      </c>
      <c r="T380" t="str">
        <f t="shared" ref="T380:T386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2">
        <v>7076</v>
      </c>
      <c r="Q381" s="372">
        <v>7087</v>
      </c>
      <c r="R381" s="373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46140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28">
        <v>19571</v>
      </c>
      <c r="G382" s="28">
        <v>20703</v>
      </c>
      <c r="H382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2" s="372">
        <v>11788</v>
      </c>
      <c r="Q382" s="372">
        <v>11813</v>
      </c>
      <c r="R382" s="373">
        <f t="shared" si="0"/>
        <v>25</v>
      </c>
      <c r="S382" t="s">
        <v>469</v>
      </c>
      <c r="T382" t="str">
        <f t="shared" si="1"/>
        <v>SALTO del 11+788 al 11+813 ZONA HABITACIONAL</v>
      </c>
    </row>
    <row r="383" spans="1:23" x14ac:dyDescent="0.25">
      <c r="A383" s="356">
        <v>46142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28">
        <v>20703</v>
      </c>
      <c r="G383" s="28">
        <v>21184</v>
      </c>
      <c r="H383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3" s="372">
        <v>18675</v>
      </c>
      <c r="Q383" s="372">
        <v>18707</v>
      </c>
      <c r="R383" s="373">
        <f t="shared" si="0"/>
        <v>32</v>
      </c>
      <c r="S383" t="s">
        <v>470</v>
      </c>
      <c r="T383" t="str">
        <f t="shared" si="1"/>
        <v>SALTO del 18+675 al 18+707 ZONA DE TALLER MECANICO CEA (COMISIÓN DEL AGUA)</v>
      </c>
    </row>
    <row r="384" spans="1:23" x14ac:dyDescent="0.25">
      <c r="A384" s="356">
        <v>46143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28">
        <v>8040</v>
      </c>
      <c r="G384" s="28">
        <v>9461</v>
      </c>
      <c r="H384" s="226">
        <f>IF(Tabla1[[#This Row],[Codigo_actividad]]&lt;&gt;2.5,IF(((Tabla1[[#This Row],[fin]]-Tabla1[[#This Row],[inicio]])/1000)=0,"",((Tabla1[[#This Row],[fin]]-Tabla1[[#This Row],[inicio]])/1000)),"")</f>
        <v>1.421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84" s="372">
        <v>20826</v>
      </c>
      <c r="Q384" s="372">
        <v>20835</v>
      </c>
      <c r="R384" s="373">
        <f t="shared" si="0"/>
        <v>9</v>
      </c>
      <c r="S384" t="s">
        <v>471</v>
      </c>
      <c r="T384" t="str">
        <f t="shared" si="1"/>
        <v>SALTO del 20+826 al 20+835 CANAL DE AGUA PLUVIAL</v>
      </c>
    </row>
    <row r="385" spans="1:20" x14ac:dyDescent="0.25">
      <c r="A385" s="356"/>
      <c r="C385" s="157"/>
      <c r="D385" s="39"/>
      <c r="F385" s="28"/>
      <c r="G385" s="28"/>
      <c r="H385" s="226" t="str">
        <f>IF(Tabla1[[#This Row],[Codigo_actividad]]&lt;&gt;2.5,IF(((Tabla1[[#This Row],[fin]]-Tabla1[[#This Row],[inicio]])/1000)=0,"",((Tabla1[[#This Row],[fin]]-Tabla1[[#This Row],[inicio]])/1000)),"")</f>
        <v/>
      </c>
      <c r="J385" s="76"/>
      <c r="K385" s="66" t="str">
        <f>IF(_xlfn.XLOOKUP($J385,Catalogo!$B$7:$B$21,Catalogo!$I$7:$I$21,"",0)=0,"",_xlfn.XLOOKUP($J385,Catalogo!$B$7:$B$21,Catalogo!$I$7:$I$21,"",0))</f>
        <v/>
      </c>
      <c r="L385" s="36"/>
      <c r="M385" s="263">
        <f>IF(Tabla1[[#This Row],[Avance_km]]&lt;&gt;"",Tabla1[[#This Row],[Avance_km]],Tabla1[[#This Row],[Avance_Med]])*_xlfn.XLOOKUP(Tabla1[[#This Row],[Codigo_actividad]],Catalogo!$B$6:$B$51,Catalogo!$F$6:$F$51,0)</f>
        <v>0</v>
      </c>
      <c r="P385" s="372">
        <v>21462</v>
      </c>
      <c r="Q385" s="372">
        <v>21466</v>
      </c>
      <c r="R385" s="373">
        <f t="shared" si="0"/>
        <v>4</v>
      </c>
      <c r="S385" t="s">
        <v>472</v>
      </c>
      <c r="T385" t="str">
        <f t="shared" si="1"/>
        <v>SALTO del 21+462 al 21+466 CANAL DE AGUAS NEGRAS VIDRIERA QUERETARO</v>
      </c>
    </row>
    <row r="386" spans="1:20" x14ac:dyDescent="0.25">
      <c r="A386" s="356">
        <v>46146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5265</v>
      </c>
      <c r="G386" s="28">
        <v>6908</v>
      </c>
      <c r="H386" s="226">
        <f>IF(Tabla1[[#This Row],[Codigo_actividad]]&lt;&gt;2.5,IF(((Tabla1[[#This Row],[fin]]-Tabla1[[#This Row],[inicio]])/1000)=0,"",((Tabla1[[#This Row],[fin]]-Tabla1[[#This Row],[inicio]])/1000)),"")</f>
        <v>1.643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86" s="372">
        <v>24233</v>
      </c>
      <c r="Q386" s="372">
        <v>24240</v>
      </c>
      <c r="R386" s="373">
        <f t="shared" si="0"/>
        <v>7</v>
      </c>
      <c r="S386" t="s">
        <v>473</v>
      </c>
      <c r="T386" t="str">
        <f t="shared" si="1"/>
        <v>SALTO del 24+233 al 24+240 PRESA DE AGUAS NEGRAS (ITP)</v>
      </c>
    </row>
    <row r="387" spans="1:20" x14ac:dyDescent="0.25">
      <c r="A387" s="356">
        <v>46147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6908</v>
      </c>
      <c r="G387" s="28">
        <v>8040</v>
      </c>
      <c r="H387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7" s="370"/>
      <c r="Q387" s="371" t="s">
        <v>93</v>
      </c>
      <c r="R387" s="374">
        <f>SUM(R379:R386)</f>
        <v>713</v>
      </c>
    </row>
    <row r="388" spans="1:20" x14ac:dyDescent="0.25">
      <c r="A388" s="356">
        <v>46148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28">
        <v>3469</v>
      </c>
      <c r="G388" s="28">
        <v>5265</v>
      </c>
      <c r="H388" s="226">
        <f>IF(Tabla1[[#This Row],[Codigo_actividad]]&lt;&gt;2.5,IF(((Tabla1[[#This Row],[fin]]-Tabla1[[#This Row],[inicio]])/1000)=0,"",((Tabla1[[#This Row],[fin]]-Tabla1[[#This Row],[inicio]])/1000)),"")</f>
        <v>1.796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389" spans="1:20" x14ac:dyDescent="0.25">
      <c r="A389" s="356"/>
      <c r="B389" s="116"/>
      <c r="C389" s="157"/>
      <c r="D389" s="39"/>
      <c r="F389" s="28"/>
      <c r="G389" s="28"/>
      <c r="H389" s="226" t="str">
        <f>IF(Tabla1[[#This Row],[Codigo_actividad]]&lt;&gt;2.5,IF(((Tabla1[[#This Row],[fin]]-Tabla1[[#This Row],[inicio]])/1000)=0,"",((Tabla1[[#This Row],[fin]]-Tabla1[[#This Row],[inicio]])/1000)),"")</f>
        <v/>
      </c>
      <c r="I389" s="66"/>
      <c r="J389" s="76"/>
      <c r="K389" s="66" t="str">
        <f>IF(_xlfn.XLOOKUP($J389,Catalogo!$B$7:$B$21,Catalogo!$I$7:$I$21,"",0)=0,"",_xlfn.XLOOKUP($J389,Catalogo!$B$7:$B$21,Catalogo!$I$7:$I$21,"",0))</f>
        <v/>
      </c>
      <c r="L389" s="36"/>
      <c r="M38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90" spans="1:20" x14ac:dyDescent="0.25">
      <c r="A390" s="356"/>
      <c r="B390" s="116"/>
      <c r="C390" s="157"/>
      <c r="D390" s="39"/>
      <c r="F390" s="28"/>
      <c r="G390" s="28"/>
      <c r="H390" s="226"/>
      <c r="I390" s="66"/>
      <c r="J390" s="76"/>
      <c r="K390" s="66" t="str">
        <f>IF(_xlfn.XLOOKUP($J390,Catalogo!$B$7:$B$21,Catalogo!$I$7:$I$21,"",0)=0,"",_xlfn.XLOOKUP($J390,Catalogo!$B$7:$B$21,Catalogo!$I$7:$I$21,"",0))</f>
        <v/>
      </c>
      <c r="L390" s="36"/>
      <c r="M3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91" spans="1:20" x14ac:dyDescent="0.25">
      <c r="A391" s="356">
        <v>46149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28">
        <v>1275</v>
      </c>
      <c r="G391" s="28">
        <v>3469</v>
      </c>
      <c r="H391" s="226">
        <f>IF(Tabla1[[#This Row],[Codigo_actividad]]&lt;&gt;2.5,IF(((Tabla1[[#This Row],[fin]]-Tabla1[[#This Row],[inicio]])/1000)=0,"",((Tabla1[[#This Row],[fin]]-Tabla1[[#This Row],[inicio]])/1000)),"")</f>
        <v>2.194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392" spans="1:20" x14ac:dyDescent="0.25">
      <c r="A392" s="356">
        <v>46150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28">
        <v>0</v>
      </c>
      <c r="G392" s="28">
        <v>1275</v>
      </c>
      <c r="H392" s="226">
        <f>IF(Tabla1[[#This Row],[Codigo_actividad]]&lt;&gt;2.5,IF(((Tabla1[[#This Row],[fin]]-Tabla1[[#This Row],[inicio]])/1000)=0,"",((Tabla1[[#This Row],[fin]]-Tabla1[[#This Row],[inicio]])/1000)),"")</f>
        <v>1.2749999999999999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393" spans="1:20" x14ac:dyDescent="0.25">
      <c r="A393" s="356">
        <v>46150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9461</v>
      </c>
      <c r="G393" s="28">
        <v>10850</v>
      </c>
      <c r="H393" s="226">
        <f>IF(Tabla1[[#This Row],[Codigo_actividad]]&lt;&gt;2.5,IF(((Tabla1[[#This Row],[fin]]-Tabla1[[#This Row],[inicio]])/1000)=0,"",((Tabla1[[#This Row],[fin]]-Tabla1[[#This Row],[inicio]])/1000)),"")</f>
        <v>1.389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394" spans="1:20" x14ac:dyDescent="0.25">
      <c r="A394" s="356">
        <v>46151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28">
        <v>10850</v>
      </c>
      <c r="G394" s="28">
        <v>11253</v>
      </c>
      <c r="H394" s="226">
        <f>IF(Tabla1[[#This Row],[Codigo_actividad]]&lt;&gt;2.5,IF(((Tabla1[[#This Row],[fin]]-Tabla1[[#This Row],[inicio]])/1000)=0,"",((Tabla1[[#This Row],[fin]]-Tabla1[[#This Row],[inicio]])/1000)),"")</f>
        <v>0.40300000000000002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395" spans="1:20" x14ac:dyDescent="0.25">
      <c r="A395" s="356"/>
      <c r="C395" s="157"/>
      <c r="D395" s="39"/>
      <c r="F395" s="28"/>
      <c r="G395" s="28"/>
      <c r="H395" s="226" t="str">
        <f>IF(Tabla1[[#This Row],[Codigo_actividad]]&lt;&gt;2.5,IF(((Tabla1[[#This Row],[fin]]-Tabla1[[#This Row],[inicio]])/1000)=0,"",((Tabla1[[#This Row],[fin]]-Tabla1[[#This Row],[inicio]])/1000)),"")</f>
        <v/>
      </c>
      <c r="J395" s="76"/>
      <c r="K395" s="66" t="str">
        <f>IF(_xlfn.XLOOKUP($J395,Catalogo!$B$7:$B$21,Catalogo!$I$7:$I$21,"",0)=0,"",_xlfn.XLOOKUP($J395,Catalogo!$B$7:$B$21,Catalogo!$I$7:$I$21,"",0))</f>
        <v/>
      </c>
      <c r="L395" s="36"/>
      <c r="M3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96" spans="1:20" x14ac:dyDescent="0.25">
      <c r="A396" s="356">
        <v>46153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28">
        <v>11253</v>
      </c>
      <c r="G396" s="28">
        <v>12483</v>
      </c>
      <c r="H396" s="226">
        <f>IF(Tabla1[[#This Row],[Codigo_actividad]]&lt;&gt;2.5,IF(((Tabla1[[#This Row],[fin]]-Tabla1[[#This Row],[inicio]])/1000)=0,"",((Tabla1[[#This Row],[fin]]-Tabla1[[#This Row],[inicio]])/1000)),"")</f>
        <v>1.23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397" spans="1:20" x14ac:dyDescent="0.25">
      <c r="A397" s="356">
        <v>46154</v>
      </c>
      <c r="B397" s="116" t="s">
        <v>12</v>
      </c>
      <c r="C397" s="157" t="s">
        <v>329</v>
      </c>
      <c r="D397" s="39" t="s">
        <v>212</v>
      </c>
      <c r="E397" s="40" t="s">
        <v>36</v>
      </c>
      <c r="F397" s="28">
        <v>12483</v>
      </c>
      <c r="G397" s="28">
        <v>13245</v>
      </c>
      <c r="H397" s="226">
        <f>IF(Tabla1[[#This Row],[Codigo_actividad]]&lt;&gt;2.5,IF(((Tabla1[[#This Row],[fin]]-Tabla1[[#This Row],[inicio]])/1000)=0,"",((Tabla1[[#This Row],[fin]]-Tabla1[[#This Row],[inicio]])/1000)),"")</f>
        <v>0.76200000000000001</v>
      </c>
      <c r="I397" s="66"/>
      <c r="J397" s="76">
        <v>2.2999999999999998</v>
      </c>
      <c r="K397" s="66" t="str">
        <f>IF(_xlfn.XLOOKUP($J397,Catalogo!$B$7:$B$210,Catalogo!$I$7:$I$210,"",0)=0,"",_xlfn.XLOOKUP($J397,Catalogo!$B$7:$B$210,Catalogo!$I$7:$I$210,"",0))</f>
        <v>DCVG</v>
      </c>
      <c r="L397" s="36">
        <f>+_xlfn.XLOOKUP(Tabla1[[#This Row],[Ducto]],'R (s03)'!B:B,'R (s03)'!C:C)</f>
        <v>24.358000000000001</v>
      </c>
      <c r="M397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398" spans="1:20" x14ac:dyDescent="0.25">
      <c r="A398" s="356">
        <v>46155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13245</v>
      </c>
      <c r="G398" s="28">
        <v>14596</v>
      </c>
      <c r="H398" s="226">
        <f>IF(Tabla1[[#This Row],[Codigo_actividad]]&lt;&gt;2.5,IF(((Tabla1[[#This Row],[fin]]-Tabla1[[#This Row],[inicio]])/1000)=0,"",((Tabla1[[#This Row],[fin]]-Tabla1[[#This Row],[inicio]])/1000)),"")</f>
        <v>1.351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398" s="354"/>
      <c r="R398" s="354"/>
    </row>
    <row r="399" spans="1:20" x14ac:dyDescent="0.25">
      <c r="A399" s="356">
        <v>46156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14596</v>
      </c>
      <c r="G399" s="28">
        <v>15605</v>
      </c>
      <c r="H399" s="226">
        <f>IF(Tabla1[[#This Row],[Codigo_actividad]]&lt;&gt;2.5,IF(((Tabla1[[#This Row],[fin]]-Tabla1[[#This Row],[inicio]])/1000)=0,"",((Tabla1[[#This Row],[fin]]-Tabla1[[#This Row],[inicio]])/1000)),"")</f>
        <v>1.0089999999999999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399" s="354"/>
    </row>
    <row r="400" spans="1:20" x14ac:dyDescent="0.25">
      <c r="A400" s="356">
        <v>46157</v>
      </c>
      <c r="B400" s="116" t="s">
        <v>12</v>
      </c>
      <c r="C400" s="157" t="s">
        <v>329</v>
      </c>
      <c r="D400" s="39" t="s">
        <v>212</v>
      </c>
      <c r="E400" s="40" t="s">
        <v>28</v>
      </c>
      <c r="F400" s="28">
        <v>0</v>
      </c>
      <c r="G400" s="28">
        <v>2410</v>
      </c>
      <c r="H400" s="226">
        <f>IF(Tabla1[[#This Row],[Codigo_actividad]]&lt;&gt;2.5,IF(((Tabla1[[#This Row],[fin]]-Tabla1[[#This Row],[inicio]])/1000)=0,"",((Tabla1[[#This Row],[fin]]-Tabla1[[#This Row],[inicio]])/1000)),"")</f>
        <v>2.41</v>
      </c>
      <c r="I400" s="66"/>
      <c r="J400" s="76">
        <v>2.1</v>
      </c>
      <c r="K400" s="66" t="str">
        <f>IF(_xlfn.XLOOKUP($J400,Catalogo!$B$7:$B$210,Catalogo!$I$7:$I$210,"",0)=0,"",_xlfn.XLOOKUP($J400,Catalogo!$B$7:$B$210,Catalogo!$I$7:$I$210,"",0))</f>
        <v>CIPS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01" spans="1:17" x14ac:dyDescent="0.25">
      <c r="A401" s="356">
        <v>46158</v>
      </c>
      <c r="B401" s="116" t="s">
        <v>12</v>
      </c>
      <c r="C401" s="157" t="s">
        <v>329</v>
      </c>
      <c r="D401" s="39" t="s">
        <v>212</v>
      </c>
      <c r="E401" s="40" t="s">
        <v>28</v>
      </c>
      <c r="F401" s="28">
        <v>2410</v>
      </c>
      <c r="G401" s="28">
        <v>4336</v>
      </c>
      <c r="H401" s="226">
        <f>IF(Tabla1[[#This Row],[Codigo_actividad]]&lt;&gt;2.5,IF(((Tabla1[[#This Row],[fin]]-Tabla1[[#This Row],[inicio]])/1000)=0,"",((Tabla1[[#This Row],[fin]]-Tabla1[[#This Row],[inicio]])/1000)),"")</f>
        <v>1.9259999999999999</v>
      </c>
      <c r="I401" s="66"/>
      <c r="J401" s="76">
        <v>2.1</v>
      </c>
      <c r="K401" s="66" t="str">
        <f>IF(_xlfn.XLOOKUP($J401,Catalogo!$B$7:$B$210,Catalogo!$I$7:$I$210,"",0)=0,"",_xlfn.XLOOKUP($J401,Catalogo!$B$7:$B$210,Catalogo!$I$7:$I$210,"",0))</f>
        <v>CIPS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02" spans="1:17" x14ac:dyDescent="0.25">
      <c r="A402" s="356"/>
      <c r="C402" s="157"/>
      <c r="D402" s="39"/>
      <c r="F402" s="28"/>
      <c r="G402" s="28"/>
      <c r="H402" s="226" t="str">
        <f>IF(Tabla1[[#This Row],[Codigo_actividad]]&lt;&gt;2.5,IF(((Tabla1[[#This Row],[fin]]-Tabla1[[#This Row],[inicio]])/1000)=0,"",((Tabla1[[#This Row],[fin]]-Tabla1[[#This Row],[inicio]])/1000)),"")</f>
        <v/>
      </c>
      <c r="J402" s="76"/>
      <c r="K402" s="66" t="str">
        <f>IF(_xlfn.XLOOKUP($J402,Catalogo!$B$7:$B$21,Catalogo!$I$7:$I$21,"",0)=0,"",_xlfn.XLOOKUP($J402,Catalogo!$B$7:$B$21,Catalogo!$I$7:$I$21,"",0))</f>
        <v/>
      </c>
      <c r="L402" s="36"/>
      <c r="M40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3" spans="1:17" x14ac:dyDescent="0.25">
      <c r="A403" s="356">
        <v>46160</v>
      </c>
      <c r="B403" s="116" t="s">
        <v>12</v>
      </c>
      <c r="C403" s="157" t="s">
        <v>329</v>
      </c>
      <c r="D403" s="39" t="s">
        <v>212</v>
      </c>
      <c r="E403" s="40" t="s">
        <v>36</v>
      </c>
      <c r="F403" s="28">
        <v>21184</v>
      </c>
      <c r="G403" s="28">
        <v>22255</v>
      </c>
      <c r="H403" s="226">
        <f>IF(Tabla1[[#This Row],[Codigo_actividad]]&lt;&gt;2.5,IF(((Tabla1[[#This Row],[fin]]-Tabla1[[#This Row],[inicio]])/1000)=0,"",((Tabla1[[#This Row],[fin]]-Tabla1[[#This Row],[inicio]])/1000)),"")</f>
        <v>1.071</v>
      </c>
      <c r="I403" s="66"/>
      <c r="J403" s="76">
        <v>2.2999999999999998</v>
      </c>
      <c r="K403" s="66" t="str">
        <f>IF(_xlfn.XLOOKUP($J403,Catalogo!$B$7:$B$210,Catalogo!$I$7:$I$210,"",0)=0,"",_xlfn.XLOOKUP($J403,Catalogo!$B$7:$B$210,Catalogo!$I$7:$I$210,"",0))</f>
        <v>DCVG</v>
      </c>
      <c r="L403" s="36">
        <f>+_xlfn.XLOOKUP(Tabla1[[#This Row],[Ducto]],'R (s03)'!B:B,'R (s03)'!C:C)</f>
        <v>24.358000000000001</v>
      </c>
      <c r="M403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04" spans="1:17" x14ac:dyDescent="0.25">
      <c r="A404" s="356">
        <v>46161</v>
      </c>
      <c r="B404" s="116" t="s">
        <v>12</v>
      </c>
      <c r="C404" s="157" t="s">
        <v>329</v>
      </c>
      <c r="D404" s="39" t="s">
        <v>212</v>
      </c>
      <c r="E404" s="40" t="s">
        <v>36</v>
      </c>
      <c r="F404" s="28">
        <v>22255</v>
      </c>
      <c r="G404" s="28">
        <v>22858</v>
      </c>
      <c r="H404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04" s="66"/>
      <c r="J404" s="76">
        <v>2.2999999999999998</v>
      </c>
      <c r="K404" s="66" t="str">
        <f>IF(_xlfn.XLOOKUP($J404,Catalogo!$B$7:$B$210,Catalogo!$I$7:$I$210,"",0)=0,"",_xlfn.XLOOKUP($J404,Catalogo!$B$7:$B$210,Catalogo!$I$7:$I$210,"",0))</f>
        <v>DCVG</v>
      </c>
      <c r="L404" s="36">
        <f>+_xlfn.XLOOKUP(Tabla1[[#This Row],[Ducto]],'R (s03)'!B:B,'R (s03)'!C:C)</f>
        <v>24.358000000000001</v>
      </c>
      <c r="M404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05" spans="1:17" x14ac:dyDescent="0.25">
      <c r="A405" s="356">
        <v>46161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23234</v>
      </c>
      <c r="G405" s="28">
        <v>23905</v>
      </c>
      <c r="H405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06" spans="1:17" x14ac:dyDescent="0.25">
      <c r="A406" s="356">
        <v>46162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28">
        <v>23905</v>
      </c>
      <c r="G406" s="28">
        <v>24858</v>
      </c>
      <c r="H406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07" spans="1:17" x14ac:dyDescent="0.25">
      <c r="A407" s="356">
        <v>46163</v>
      </c>
      <c r="B407" s="116" t="s">
        <v>12</v>
      </c>
      <c r="C407" s="157" t="s">
        <v>329</v>
      </c>
      <c r="D407" s="39" t="s">
        <v>212</v>
      </c>
      <c r="E407" s="40" t="s">
        <v>28</v>
      </c>
      <c r="F407" s="28">
        <v>4336</v>
      </c>
      <c r="G407" s="28">
        <v>6908</v>
      </c>
      <c r="H40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07" s="66"/>
      <c r="J407" s="76">
        <v>2.1</v>
      </c>
      <c r="K407" s="66" t="str">
        <f>IF(_xlfn.XLOOKUP($J407,Catalogo!$B$7:$B$210,Catalogo!$I$7:$I$210,"",0)=0,"",_xlfn.XLOOKUP($J407,Catalogo!$B$7:$B$210,Catalogo!$I$7:$I$210,"",0))</f>
        <v>CIPS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08" spans="1:17" x14ac:dyDescent="0.25">
      <c r="A408" s="356">
        <v>46164</v>
      </c>
      <c r="B408" s="116" t="s">
        <v>12</v>
      </c>
      <c r="C408" s="157" t="s">
        <v>329</v>
      </c>
      <c r="D408" s="39" t="s">
        <v>212</v>
      </c>
      <c r="E408" s="40" t="s">
        <v>28</v>
      </c>
      <c r="F408" s="28">
        <v>6908</v>
      </c>
      <c r="G408" s="28">
        <v>9461</v>
      </c>
      <c r="H40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08" s="66"/>
      <c r="J408" s="76">
        <v>2.1</v>
      </c>
      <c r="K408" s="66" t="str">
        <f>IF(_xlfn.XLOOKUP($J408,Catalogo!$B$7:$B$210,Catalogo!$I$7:$I$210,"",0)=0,"",_xlfn.XLOOKUP($J408,Catalogo!$B$7:$B$210,Catalogo!$I$7:$I$210,"",0))</f>
        <v>CIPS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09" spans="1:17" x14ac:dyDescent="0.25">
      <c r="A409" s="356">
        <v>46165</v>
      </c>
      <c r="B409" s="116" t="s">
        <v>12</v>
      </c>
      <c r="C409" s="157" t="s">
        <v>329</v>
      </c>
      <c r="D409" s="39" t="s">
        <v>212</v>
      </c>
      <c r="E409" s="40" t="s">
        <v>28</v>
      </c>
      <c r="F409" s="28">
        <v>9461</v>
      </c>
      <c r="G409" s="28">
        <v>11253</v>
      </c>
      <c r="H409" s="226">
        <f>IF(Tabla1[[#This Row],[Codigo_actividad]]&lt;&gt;2.5,IF(((Tabla1[[#This Row],[fin]]-Tabla1[[#This Row],[inicio]])/1000)=0,"",((Tabla1[[#This Row],[fin]]-Tabla1[[#This Row],[inicio]])/1000)),"")</f>
        <v>1.792</v>
      </c>
      <c r="I409" s="66"/>
      <c r="J409" s="76">
        <v>2.1</v>
      </c>
      <c r="K409" s="66" t="str">
        <f>IF(_xlfn.XLOOKUP($J409,Catalogo!$B$7:$B$210,Catalogo!$I$7:$I$210,"",0)=0,"",_xlfn.XLOOKUP($J409,Catalogo!$B$7:$B$210,Catalogo!$I$7:$I$210,"",0))</f>
        <v>CIPS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10" spans="1:17" x14ac:dyDescent="0.25">
      <c r="A410" s="356"/>
      <c r="C410" s="157"/>
      <c r="D410" s="39"/>
      <c r="F410" s="28"/>
      <c r="G410" s="28"/>
      <c r="H410" s="226" t="str">
        <f>IF(Tabla1[[#This Row],[Codigo_actividad]]&lt;&gt;2.5,IF(((Tabla1[[#This Row],[fin]]-Tabla1[[#This Row],[inicio]])/1000)=0,"",((Tabla1[[#This Row],[fin]]-Tabla1[[#This Row],[inicio]])/1000)),"")</f>
        <v/>
      </c>
      <c r="J410" s="76"/>
      <c r="K410" s="66" t="str">
        <f>IF(_xlfn.XLOOKUP($J410,Catalogo!$B$7:$B$21,Catalogo!$I$7:$I$21,"",0)=0,"",_xlfn.XLOOKUP($J410,Catalogo!$B$7:$B$21,Catalogo!$I$7:$I$21,"",0))</f>
        <v/>
      </c>
      <c r="L410" s="36"/>
      <c r="M4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1" spans="1:17" x14ac:dyDescent="0.25">
      <c r="A411" s="356">
        <v>46167</v>
      </c>
      <c r="B411" s="116" t="s">
        <v>12</v>
      </c>
      <c r="C411" s="157" t="s">
        <v>329</v>
      </c>
      <c r="D411" s="39" t="s">
        <v>213</v>
      </c>
      <c r="E411" s="40" t="s">
        <v>16</v>
      </c>
      <c r="F411" s="28">
        <v>0</v>
      </c>
      <c r="G411" s="28">
        <v>26</v>
      </c>
      <c r="H41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11" s="66"/>
      <c r="J411" s="76">
        <v>2.6</v>
      </c>
      <c r="K411" s="66" t="str">
        <f>IF(_xlfn.XLOOKUP($J411,Catalogo!$B$7:$B$210,Catalogo!$I$7:$I$210,"",0)=0,"",_xlfn.XLOOKUP($J411,Catalogo!$B$7:$B$210,Catalogo!$I$7:$I$210,"",0))</f>
        <v>Localizacion</v>
      </c>
      <c r="L411" s="36">
        <f>+_xlfn.XLOOKUP(Tabla1[[#This Row],[Ducto]],'R (s03)'!B:B,'R (s03)'!C:C)</f>
        <v>2.5999999999999999E-2</v>
      </c>
      <c r="M41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11" s="389">
        <v>0</v>
      </c>
      <c r="Q411" s="389">
        <v>2410</v>
      </c>
    </row>
    <row r="412" spans="1:17" x14ac:dyDescent="0.25">
      <c r="A412" s="356">
        <v>46167</v>
      </c>
      <c r="B412" s="116" t="s">
        <v>12</v>
      </c>
      <c r="C412" s="157" t="s">
        <v>329</v>
      </c>
      <c r="D412" s="39" t="s">
        <v>213</v>
      </c>
      <c r="E412" s="40" t="s">
        <v>36</v>
      </c>
      <c r="F412" s="28">
        <v>0</v>
      </c>
      <c r="G412" s="28">
        <v>26</v>
      </c>
      <c r="H41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2.5999999999999999E-2</v>
      </c>
      <c r="M41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12" s="389">
        <v>2410</v>
      </c>
      <c r="Q412" s="389">
        <v>4336</v>
      </c>
    </row>
    <row r="413" spans="1:17" x14ac:dyDescent="0.25">
      <c r="A413" s="356">
        <v>46167</v>
      </c>
      <c r="B413" s="116" t="s">
        <v>12</v>
      </c>
      <c r="C413" s="157" t="s">
        <v>411</v>
      </c>
      <c r="D413" s="39" t="s">
        <v>359</v>
      </c>
      <c r="E413" s="40" t="s">
        <v>36</v>
      </c>
      <c r="F413" s="28">
        <v>0</v>
      </c>
      <c r="G413" s="28">
        <v>878</v>
      </c>
      <c r="H413" s="226">
        <f>IF(Tabla1[[#This Row],[Codigo_actividad]]&lt;&gt;2.5,IF(((Tabla1[[#This Row],[fin]]-Tabla1[[#This Row],[inicio]])/1000)=0,"",((Tabla1[[#This Row],[fin]]-Tabla1[[#This Row],[inicio]])/1000)),"")</f>
        <v>0.878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(s04)'!B:B,'R (s04)'!C:C)</f>
        <v>0.878</v>
      </c>
      <c r="M41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13" s="389">
        <v>4336</v>
      </c>
      <c r="Q413" s="389">
        <v>6908</v>
      </c>
    </row>
    <row r="414" spans="1:17" x14ac:dyDescent="0.25">
      <c r="A414" s="356">
        <v>46168</v>
      </c>
      <c r="B414" s="116" t="s">
        <v>12</v>
      </c>
      <c r="C414" s="157" t="s">
        <v>329</v>
      </c>
      <c r="D414" s="39" t="s">
        <v>215</v>
      </c>
      <c r="E414" s="40" t="s">
        <v>16</v>
      </c>
      <c r="F414" s="28">
        <v>0</v>
      </c>
      <c r="G414" s="28">
        <v>1920</v>
      </c>
      <c r="H414" s="226">
        <f>IF(Tabla1[[#This Row],[Codigo_actividad]]&lt;&gt;2.5,IF(((Tabla1[[#This Row],[fin]]-Tabla1[[#This Row],[inicio]])/1000)=0,"",((Tabla1[[#This Row],[fin]]-Tabla1[[#This Row],[inicio]])/1000)),"")</f>
        <v>1.92</v>
      </c>
      <c r="I414" s="66"/>
      <c r="J414" s="76">
        <v>2.6</v>
      </c>
      <c r="K414" s="66" t="str">
        <f>IF(_xlfn.XLOOKUP($J414,Catalogo!$B$7:$B$210,Catalogo!$I$7:$I$210,"",0)=0,"",_xlfn.XLOOKUP($J414,Catalogo!$B$7:$B$210,Catalogo!$I$7:$I$210,"",0))</f>
        <v>Localizacion</v>
      </c>
      <c r="L414" s="36">
        <f>+_xlfn.XLOOKUP(Tabla1[[#This Row],[Ducto]],'R (s03)'!B:B,'R (s03)'!C:C)</f>
        <v>1.92</v>
      </c>
      <c r="M41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14" s="389">
        <v>6908</v>
      </c>
      <c r="Q414" s="389">
        <v>9461</v>
      </c>
    </row>
    <row r="415" spans="1:17" x14ac:dyDescent="0.25">
      <c r="A415" s="356">
        <v>46169</v>
      </c>
      <c r="B415" s="116" t="s">
        <v>12</v>
      </c>
      <c r="C415" s="157" t="s">
        <v>329</v>
      </c>
      <c r="D415" s="39" t="s">
        <v>245</v>
      </c>
      <c r="E415" s="40" t="s">
        <v>36</v>
      </c>
      <c r="F415" s="28">
        <v>0</v>
      </c>
      <c r="G415" s="28">
        <v>99</v>
      </c>
      <c r="H41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9.9000000000000005E-2</v>
      </c>
      <c r="M41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15" s="389"/>
      <c r="Q415" s="389"/>
    </row>
    <row r="416" spans="1:17" x14ac:dyDescent="0.25">
      <c r="A416" s="356">
        <v>46170</v>
      </c>
      <c r="B416" s="116" t="s">
        <v>12</v>
      </c>
      <c r="C416" s="157" t="s">
        <v>329</v>
      </c>
      <c r="D416" s="39" t="s">
        <v>249</v>
      </c>
      <c r="E416" s="40" t="s">
        <v>16</v>
      </c>
      <c r="F416" s="28">
        <v>0</v>
      </c>
      <c r="G416" s="28">
        <v>15</v>
      </c>
      <c r="H41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16" s="66"/>
      <c r="J416" s="76">
        <v>2.6</v>
      </c>
      <c r="K416" s="66" t="str">
        <f>IF(_xlfn.XLOOKUP($J416,Catalogo!$B$7:$B$210,Catalogo!$I$7:$I$210,"",0)=0,"",_xlfn.XLOOKUP($J416,Catalogo!$B$7:$B$210,Catalogo!$I$7:$I$210,"",0))</f>
        <v>Localizacion</v>
      </c>
      <c r="L416" s="36">
        <f>+_xlfn.XLOOKUP(Tabla1[[#This Row],[Ducto]],nombres!D:D,nombres!E:E)/1000</f>
        <v>1.2E-2</v>
      </c>
      <c r="M41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16" s="389">
        <v>9461</v>
      </c>
      <c r="Q416" s="389">
        <v>11253</v>
      </c>
    </row>
    <row r="417" spans="1:18" x14ac:dyDescent="0.25">
      <c r="A417" s="356">
        <v>46170</v>
      </c>
      <c r="B417" s="116" t="s">
        <v>12</v>
      </c>
      <c r="C417" s="157" t="s">
        <v>329</v>
      </c>
      <c r="D417" s="39" t="s">
        <v>251</v>
      </c>
      <c r="E417" s="40" t="s">
        <v>16</v>
      </c>
      <c r="F417" s="28">
        <v>0</v>
      </c>
      <c r="G417" s="28">
        <v>314</v>
      </c>
      <c r="H417" s="226">
        <f>IF(Tabla1[[#This Row],[Codigo_actividad]]&lt;&gt;2.5,IF(((Tabla1[[#This Row],[fin]]-Tabla1[[#This Row],[inicio]])/1000)=0,"",((Tabla1[[#This Row],[fin]]-Tabla1[[#This Row],[inicio]])/1000)),"")</f>
        <v>0.314</v>
      </c>
      <c r="I417" s="66"/>
      <c r="J417" s="76">
        <v>2.6</v>
      </c>
      <c r="K417" s="66" t="str">
        <f>IF(_xlfn.XLOOKUP($J417,Catalogo!$B$7:$B$210,Catalogo!$I$7:$I$210,"",0)=0,"",_xlfn.XLOOKUP($J417,Catalogo!$B$7:$B$210,Catalogo!$I$7:$I$210,"",0))</f>
        <v>Localizacion</v>
      </c>
      <c r="L417" s="36">
        <f>+_xlfn.XLOOKUP(Tabla1[[#This Row],[Ducto]],nombres!D:D,nombres!E:E)/1000</f>
        <v>0.314</v>
      </c>
      <c r="M41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17" s="389">
        <v>11253</v>
      </c>
      <c r="Q417" s="389">
        <v>13245</v>
      </c>
    </row>
    <row r="418" spans="1:18" x14ac:dyDescent="0.25">
      <c r="A418" s="356">
        <v>46171</v>
      </c>
      <c r="B418" s="116" t="s">
        <v>12</v>
      </c>
      <c r="C418" s="157" t="s">
        <v>329</v>
      </c>
      <c r="D418" s="39" t="s">
        <v>252</v>
      </c>
      <c r="E418" s="40" t="s">
        <v>16</v>
      </c>
      <c r="F418" s="28">
        <v>0</v>
      </c>
      <c r="G418" s="28">
        <v>13</v>
      </c>
      <c r="H41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18" s="66"/>
      <c r="J418" s="76">
        <v>2.6</v>
      </c>
      <c r="K418" s="66" t="str">
        <f>IF(_xlfn.XLOOKUP($J418,Catalogo!$B$7:$B$210,Catalogo!$I$7:$I$210,"",0)=0,"",_xlfn.XLOOKUP($J418,Catalogo!$B$7:$B$210,Catalogo!$I$7:$I$210,"",0))</f>
        <v>Localizacion</v>
      </c>
      <c r="L418" s="36">
        <f>+_xlfn.XLOOKUP(Tabla1[[#This Row],[Ducto]],nombres!D:D,nombres!E:E)/1000</f>
        <v>1.2500000000000001E-2</v>
      </c>
      <c r="M41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18" s="389">
        <v>13245</v>
      </c>
      <c r="Q418" s="389">
        <v>15238</v>
      </c>
    </row>
    <row r="419" spans="1:18" x14ac:dyDescent="0.25">
      <c r="A419" s="356">
        <v>46171</v>
      </c>
      <c r="B419" s="116" t="s">
        <v>12</v>
      </c>
      <c r="C419" s="157" t="s">
        <v>329</v>
      </c>
      <c r="D419" s="39" t="s">
        <v>353</v>
      </c>
      <c r="E419" s="40" t="s">
        <v>16</v>
      </c>
      <c r="F419" s="28">
        <v>0</v>
      </c>
      <c r="G419" s="28">
        <v>18</v>
      </c>
      <c r="H41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19" s="66"/>
      <c r="J419" s="76">
        <v>2.6</v>
      </c>
      <c r="K419" s="66" t="str">
        <f>IF(_xlfn.XLOOKUP($J419,Catalogo!$B$7:$B$210,Catalogo!$I$7:$I$210,"",0)=0,"",_xlfn.XLOOKUP($J419,Catalogo!$B$7:$B$210,Catalogo!$I$7:$I$210,"",0))</f>
        <v>Localizacion</v>
      </c>
      <c r="L419" s="36">
        <f>+_xlfn.XLOOKUP(Tabla1[[#This Row],[Ducto]],nombres!D:D,nombres!E:E)/1000</f>
        <v>0.01</v>
      </c>
      <c r="M41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19" s="389">
        <v>15238</v>
      </c>
      <c r="Q419" s="389">
        <v>15605</v>
      </c>
    </row>
    <row r="420" spans="1:18" x14ac:dyDescent="0.25">
      <c r="A420" s="356">
        <v>46171</v>
      </c>
      <c r="B420" s="116" t="s">
        <v>12</v>
      </c>
      <c r="C420" s="157" t="s">
        <v>329</v>
      </c>
      <c r="D420" s="39" t="s">
        <v>247</v>
      </c>
      <c r="E420" s="40" t="s">
        <v>16</v>
      </c>
      <c r="F420" s="28">
        <v>0</v>
      </c>
      <c r="G420" s="28">
        <v>8</v>
      </c>
      <c r="H42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20" s="66"/>
      <c r="J420" s="76">
        <v>2.6</v>
      </c>
      <c r="K420" s="66" t="str">
        <f>IF(_xlfn.XLOOKUP($J420,Catalogo!$B$7:$B$210,Catalogo!$I$7:$I$210,"",0)=0,"",_xlfn.XLOOKUP($J420,Catalogo!$B$7:$B$210,Catalogo!$I$7:$I$210,"",0))</f>
        <v>Localizacion</v>
      </c>
      <c r="L420" s="36">
        <f>+_xlfn.XLOOKUP(Tabla1[[#This Row],[Ducto]],nombres!D:D,nombres!E:E)/1000</f>
        <v>7.0000000000000001E-3</v>
      </c>
      <c r="M42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20" s="389">
        <v>15605</v>
      </c>
      <c r="Q420" s="389">
        <v>16617</v>
      </c>
      <c r="R420" s="354"/>
    </row>
    <row r="421" spans="1:18" x14ac:dyDescent="0.25">
      <c r="A421" s="356">
        <v>46171</v>
      </c>
      <c r="B421" s="116" t="s">
        <v>12</v>
      </c>
      <c r="C421" s="157" t="s">
        <v>329</v>
      </c>
      <c r="D421" s="39" t="s">
        <v>250</v>
      </c>
      <c r="E421" s="40" t="s">
        <v>16</v>
      </c>
      <c r="F421" s="28">
        <v>0</v>
      </c>
      <c r="G421" s="28">
        <v>850</v>
      </c>
      <c r="H421" s="226">
        <f>IF(Tabla1[[#This Row],[Codigo_actividad]]&lt;&gt;2.5,IF(((Tabla1[[#This Row],[fin]]-Tabla1[[#This Row],[inicio]])/1000)=0,"",((Tabla1[[#This Row],[fin]]-Tabla1[[#This Row],[inicio]])/1000)),"")</f>
        <v>0.85</v>
      </c>
      <c r="I421" s="66"/>
      <c r="J421" s="76">
        <v>2.6</v>
      </c>
      <c r="K421" s="66" t="str">
        <f>IF(_xlfn.XLOOKUP($J421,Catalogo!$B$7:$B$210,Catalogo!$I$7:$I$210,"",0)=0,"",_xlfn.XLOOKUP($J421,Catalogo!$B$7:$B$210,Catalogo!$I$7:$I$210,"",0))</f>
        <v>Localizacion</v>
      </c>
      <c r="L421" s="36">
        <f>+_xlfn.XLOOKUP(Tabla1[[#This Row],[Ducto]],nombres!D:D,nombres!E:E)/1000</f>
        <v>0.85</v>
      </c>
      <c r="M42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21" s="389">
        <v>16617</v>
      </c>
      <c r="Q421" s="389">
        <v>17605</v>
      </c>
    </row>
    <row r="422" spans="1:18" x14ac:dyDescent="0.25">
      <c r="A422" s="356">
        <v>46172</v>
      </c>
      <c r="B422" s="116" t="s">
        <v>12</v>
      </c>
      <c r="C422" s="157" t="s">
        <v>329</v>
      </c>
      <c r="D422" s="39" t="s">
        <v>244</v>
      </c>
      <c r="E422" s="40" t="s">
        <v>16</v>
      </c>
      <c r="F422" s="28">
        <v>0</v>
      </c>
      <c r="G422" s="28">
        <v>463</v>
      </c>
      <c r="H42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22" s="66"/>
      <c r="J422" s="76">
        <v>2.6</v>
      </c>
      <c r="K422" s="66" t="str">
        <f>IF(_xlfn.XLOOKUP($J422,Catalogo!$B$7:$B$210,Catalogo!$I$7:$I$210,"",0)=0,"",_xlfn.XLOOKUP($J422,Catalogo!$B$7:$B$210,Catalogo!$I$7:$I$210,"",0))</f>
        <v>Localizacion</v>
      </c>
      <c r="L422" s="36">
        <f>+_xlfn.XLOOKUP(Tabla1[[#This Row],[Ducto]],nombres!D:D,nombres!E:E)/1000</f>
        <v>0.46899999999999997</v>
      </c>
      <c r="M42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22" s="389">
        <v>17605</v>
      </c>
      <c r="Q422" s="389">
        <v>17932</v>
      </c>
    </row>
    <row r="423" spans="1:18" x14ac:dyDescent="0.25">
      <c r="A423" s="356"/>
      <c r="C423" s="157"/>
      <c r="D423" s="39"/>
      <c r="F423" s="28"/>
      <c r="G423" s="28"/>
      <c r="H423" s="226" t="str">
        <f>IF(Tabla1[[#This Row],[Codigo_actividad]]&lt;&gt;2.5,IF(((Tabla1[[#This Row],[fin]]-Tabla1[[#This Row],[inicio]])/1000)=0,"",((Tabla1[[#This Row],[fin]]-Tabla1[[#This Row],[inicio]])/1000)),"")</f>
        <v/>
      </c>
      <c r="J423" s="76"/>
      <c r="K423" s="66" t="str">
        <f>IF(_xlfn.XLOOKUP($J423,Catalogo!$B$7:$B$21,Catalogo!$I$7:$I$21,"",0)=0,"",_xlfn.XLOOKUP($J423,Catalogo!$B$7:$B$21,Catalogo!$I$7:$I$21,"",0))</f>
        <v/>
      </c>
      <c r="L423" s="36"/>
      <c r="M423" s="263">
        <f>IF(Tabla1[[#This Row],[Avance_km]]&lt;&gt;"",Tabla1[[#This Row],[Avance_km]],Tabla1[[#This Row],[Avance_Med]])*_xlfn.XLOOKUP(Tabla1[[#This Row],[Codigo_actividad]],Catalogo!$B$6:$B$51,Catalogo!$F$6:$F$51,0)</f>
        <v>0</v>
      </c>
      <c r="P423" s="389">
        <v>17932</v>
      </c>
      <c r="Q423" s="389">
        <v>18406</v>
      </c>
    </row>
    <row r="424" spans="1:18" x14ac:dyDescent="0.25">
      <c r="A424" s="356">
        <v>46174</v>
      </c>
      <c r="B424" s="116" t="s">
        <v>12</v>
      </c>
      <c r="C424" s="157" t="s">
        <v>329</v>
      </c>
      <c r="D424" s="39" t="s">
        <v>212</v>
      </c>
      <c r="E424" s="40" t="s">
        <v>28</v>
      </c>
      <c r="F424" s="28">
        <v>11253</v>
      </c>
      <c r="G424" s="28">
        <v>13245</v>
      </c>
      <c r="H424" s="226">
        <f>IF(Tabla1[[#This Row],[Codigo_actividad]]&lt;&gt;2.5,IF(((Tabla1[[#This Row],[fin]]-Tabla1[[#This Row],[inicio]])/1000)=0,"",((Tabla1[[#This Row],[fin]]-Tabla1[[#This Row],[inicio]])/1000)),"")</f>
        <v>1.992</v>
      </c>
      <c r="I424" s="66"/>
      <c r="J424" s="76">
        <v>2.1</v>
      </c>
      <c r="K424" s="66" t="str">
        <f>IF(_xlfn.XLOOKUP($J424,Catalogo!$B$7:$B$210,Catalogo!$I$7:$I$210,"",0)=0,"",_xlfn.XLOOKUP($J424,Catalogo!$B$7:$B$210,Catalogo!$I$7:$I$210,"",0))</f>
        <v>CIPS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24" s="389">
        <v>18406</v>
      </c>
      <c r="Q424" s="389">
        <v>18873</v>
      </c>
      <c r="R424" s="354"/>
    </row>
    <row r="425" spans="1:18" x14ac:dyDescent="0.25">
      <c r="A425" s="356">
        <v>46175</v>
      </c>
      <c r="B425" s="116" t="s">
        <v>12</v>
      </c>
      <c r="C425" s="157" t="s">
        <v>329</v>
      </c>
      <c r="D425" s="39" t="s">
        <v>212</v>
      </c>
      <c r="E425" s="40" t="s">
        <v>28</v>
      </c>
      <c r="F425" s="28">
        <v>13245</v>
      </c>
      <c r="G425" s="28">
        <v>15238</v>
      </c>
      <c r="H42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25" s="66"/>
      <c r="J425" s="76">
        <v>2.1</v>
      </c>
      <c r="K425" s="66" t="str">
        <f>IF(_xlfn.XLOOKUP($J425,Catalogo!$B$7:$B$210,Catalogo!$I$7:$I$210,"",0)=0,"",_xlfn.XLOOKUP($J425,Catalogo!$B$7:$B$210,Catalogo!$I$7:$I$210,"",0))</f>
        <v>CIPS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25" s="389">
        <v>18873</v>
      </c>
      <c r="Q425" s="389">
        <v>19571</v>
      </c>
      <c r="R425" s="354"/>
    </row>
    <row r="426" spans="1:18" x14ac:dyDescent="0.25">
      <c r="A426" s="356">
        <v>46176</v>
      </c>
      <c r="B426" s="116" t="s">
        <v>12</v>
      </c>
      <c r="C426" s="157" t="s">
        <v>329</v>
      </c>
      <c r="D426" s="39" t="s">
        <v>212</v>
      </c>
      <c r="E426" s="40" t="s">
        <v>28</v>
      </c>
      <c r="F426" s="28">
        <v>15238</v>
      </c>
      <c r="G426" s="28">
        <v>15605</v>
      </c>
      <c r="H42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26" s="66"/>
      <c r="J426" s="76">
        <v>2.1</v>
      </c>
      <c r="K426" s="66" t="str">
        <f>IF(_xlfn.XLOOKUP($J426,Catalogo!$B$7:$B$210,Catalogo!$I$7:$I$210,"",0)=0,"",_xlfn.XLOOKUP($J426,Catalogo!$B$7:$B$210,Catalogo!$I$7:$I$210,"",0))</f>
        <v>CIPS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26" s="389">
        <v>19571</v>
      </c>
      <c r="Q426" s="389">
        <v>19731</v>
      </c>
    </row>
    <row r="427" spans="1:18" x14ac:dyDescent="0.25">
      <c r="A427" s="356">
        <v>46176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17605</v>
      </c>
      <c r="G427" s="28">
        <v>17932</v>
      </c>
      <c r="H42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27" s="389">
        <v>19731</v>
      </c>
      <c r="Q427" s="389">
        <v>20170</v>
      </c>
    </row>
    <row r="428" spans="1:18" x14ac:dyDescent="0.25">
      <c r="A428" s="356">
        <v>46177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17932</v>
      </c>
      <c r="G428" s="28">
        <v>18406</v>
      </c>
      <c r="H42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28" s="389">
        <v>20170</v>
      </c>
      <c r="Q428" s="389">
        <v>20312</v>
      </c>
    </row>
    <row r="429" spans="1:18" x14ac:dyDescent="0.25">
      <c r="A429" s="356">
        <v>46177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16617</v>
      </c>
      <c r="G429" s="28">
        <v>17605</v>
      </c>
      <c r="H42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29" s="389">
        <v>20312</v>
      </c>
      <c r="Q429" s="389">
        <v>21184</v>
      </c>
    </row>
    <row r="430" spans="1:18" x14ac:dyDescent="0.25">
      <c r="A430" s="356">
        <v>46178</v>
      </c>
      <c r="B430" s="116" t="s">
        <v>12</v>
      </c>
      <c r="C430" s="157" t="s">
        <v>329</v>
      </c>
      <c r="D430" s="39" t="s">
        <v>253</v>
      </c>
      <c r="E430" s="40" t="s">
        <v>16</v>
      </c>
      <c r="F430" s="28">
        <v>0</v>
      </c>
      <c r="G430" s="28">
        <v>1324</v>
      </c>
      <c r="H43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30" s="66"/>
      <c r="J430" s="76">
        <v>2.6</v>
      </c>
      <c r="K430" s="66" t="str">
        <f>IF(_xlfn.XLOOKUP($J430,Catalogo!$B$7:$B$210,Catalogo!$I$7:$I$210,"",0)=0,"",_xlfn.XLOOKUP($J430,Catalogo!$B$7:$B$210,Catalogo!$I$7:$I$210,"",0))</f>
        <v>Localizacion</v>
      </c>
      <c r="L430" s="36">
        <f>+_xlfn.XLOOKUP(Tabla1[[#This Row],[Ducto]],nombres!D:D,nombres!E:E)/1000</f>
        <v>1.3240000000000001</v>
      </c>
      <c r="M43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30" s="389">
        <v>21184</v>
      </c>
      <c r="Q430" s="389">
        <v>21466</v>
      </c>
    </row>
    <row r="431" spans="1:18" x14ac:dyDescent="0.25">
      <c r="A431" s="356">
        <v>46178</v>
      </c>
      <c r="B431" s="116" t="s">
        <v>12</v>
      </c>
      <c r="C431" s="157" t="s">
        <v>329</v>
      </c>
      <c r="D431" s="39" t="s">
        <v>346</v>
      </c>
      <c r="E431" s="40" t="s">
        <v>16</v>
      </c>
      <c r="F431" s="28">
        <v>0</v>
      </c>
      <c r="G431" s="28">
        <v>703</v>
      </c>
      <c r="H43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Row],[Ducto]],nombres!D:D,nombres!E:E)/1000</f>
        <v>0.70299999999999996</v>
      </c>
      <c r="M43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31" s="389">
        <v>21466</v>
      </c>
      <c r="Q431" s="389">
        <v>22255</v>
      </c>
    </row>
    <row r="432" spans="1:18" x14ac:dyDescent="0.25">
      <c r="A432" s="356">
        <v>46178</v>
      </c>
      <c r="B432" s="116" t="s">
        <v>12</v>
      </c>
      <c r="C432" s="157" t="s">
        <v>329</v>
      </c>
      <c r="D432" s="39" t="s">
        <v>255</v>
      </c>
      <c r="E432" s="40" t="s">
        <v>16</v>
      </c>
      <c r="F432" s="28">
        <v>0</v>
      </c>
      <c r="G432" s="28">
        <v>175</v>
      </c>
      <c r="H43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32" s="66"/>
      <c r="J432" s="76">
        <v>2.6</v>
      </c>
      <c r="K432" s="66" t="str">
        <f>IF(_xlfn.XLOOKUP($J432,Catalogo!$B$7:$B$210,Catalogo!$I$7:$I$210,"",0)=0,"",_xlfn.XLOOKUP($J432,Catalogo!$B$7:$B$210,Catalogo!$I$7:$I$210,"",0))</f>
        <v>Localizacion</v>
      </c>
      <c r="L432" s="36">
        <f>+_xlfn.XLOOKUP(Tabla1[[#This Row],[Ducto]],nombres!D:D,nombres!E:E)/1000</f>
        <v>0.27500000000000002</v>
      </c>
      <c r="M43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32" s="389">
        <v>22255</v>
      </c>
      <c r="Q432" s="389">
        <v>22858</v>
      </c>
    </row>
    <row r="433" spans="1:17" x14ac:dyDescent="0.25">
      <c r="A433" s="356">
        <v>46179</v>
      </c>
      <c r="B433" s="116" t="s">
        <v>12</v>
      </c>
      <c r="C433" s="157" t="s">
        <v>329</v>
      </c>
      <c r="D433" s="39" t="s">
        <v>215</v>
      </c>
      <c r="E433" s="40" t="s">
        <v>28</v>
      </c>
      <c r="F433" s="28">
        <v>0</v>
      </c>
      <c r="G433" s="28">
        <v>1880</v>
      </c>
      <c r="H433" s="226">
        <f>IF(Tabla1[[#This Row],[Codigo_actividad]]&lt;&gt;2.5,IF(((Tabla1[[#This Row],[fin]]-Tabla1[[#This Row],[inicio]])/1000)=0,"",((Tabla1[[#This Row],[fin]]-Tabla1[[#This Row],[inicio]])/1000)),"")</f>
        <v>1.88</v>
      </c>
      <c r="I433" s="66"/>
      <c r="J433" s="76">
        <v>2.1</v>
      </c>
      <c r="K433" s="66" t="str">
        <f>IF(_xlfn.XLOOKUP($J433,Catalogo!$B$7:$B$210,Catalogo!$I$7:$I$210,"",0)=0,"",_xlfn.XLOOKUP($J433,Catalogo!$B$7:$B$210,Catalogo!$I$7:$I$210,"",0))</f>
        <v>CIPS</v>
      </c>
      <c r="L433" s="36">
        <f>+_xlfn.XLOOKUP(Tabla1[[#This Row],[Ducto]],'R (s03)'!B:B,'R (s03)'!C:C)</f>
        <v>1.92</v>
      </c>
      <c r="M43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33" s="389">
        <v>22858</v>
      </c>
      <c r="Q433" s="389">
        <v>24240</v>
      </c>
    </row>
    <row r="434" spans="1:17" x14ac:dyDescent="0.25">
      <c r="A434" s="356"/>
      <c r="C434" s="157"/>
      <c r="D434" s="39"/>
      <c r="F434" s="28"/>
      <c r="G434" s="28"/>
      <c r="H434" s="226" t="str">
        <f>IF(Tabla1[[#This Row],[Codigo_actividad]]&lt;&gt;2.5,IF(((Tabla1[[#This Row],[fin]]-Tabla1[[#This Row],[inicio]])/1000)=0,"",((Tabla1[[#This Row],[fin]]-Tabla1[[#This Row],[inicio]])/1000)),"")</f>
        <v/>
      </c>
      <c r="J434" s="76"/>
      <c r="K434" s="66" t="str">
        <f>IF(_xlfn.XLOOKUP($J434,Catalogo!$B$7:$B$21,Catalogo!$I$7:$I$21,"",0)=0,"",_xlfn.XLOOKUP($J434,Catalogo!$B$7:$B$21,Catalogo!$I$7:$I$21,"",0))</f>
        <v/>
      </c>
      <c r="L434" s="36"/>
      <c r="M434" s="263">
        <f>IF(Tabla1[[#This Row],[Avance_km]]&lt;&gt;"",Tabla1[[#This Row],[Avance_km]],Tabla1[[#This Row],[Avance_Med]])*_xlfn.XLOOKUP(Tabla1[[#This Row],[Codigo_actividad]],Catalogo!$B$6:$B$51,Catalogo!$F$6:$F$51,0)</f>
        <v>0</v>
      </c>
      <c r="P434" s="389">
        <v>24240</v>
      </c>
      <c r="Q434" s="389">
        <v>24842</v>
      </c>
    </row>
    <row r="435" spans="1:17" x14ac:dyDescent="0.25">
      <c r="A435" s="356">
        <v>46181</v>
      </c>
      <c r="B435" s="116" t="s">
        <v>12</v>
      </c>
      <c r="C435" s="157" t="s">
        <v>329</v>
      </c>
      <c r="D435" s="39" t="s">
        <v>212</v>
      </c>
      <c r="E435" s="40" t="s">
        <v>28</v>
      </c>
      <c r="F435" s="28">
        <v>22858</v>
      </c>
      <c r="G435" s="28">
        <v>24240</v>
      </c>
      <c r="H43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35" s="66"/>
      <c r="J435" s="76">
        <v>2.1</v>
      </c>
      <c r="K435" s="66" t="str">
        <f>IF(_xlfn.XLOOKUP($J435,Catalogo!$B$7:$B$210,Catalogo!$I$7:$I$210,"",0)=0,"",_xlfn.XLOOKUP($J435,Catalogo!$B$7:$B$210,Catalogo!$I$7:$I$210,"",0))</f>
        <v>CIPS</v>
      </c>
      <c r="L435" s="36">
        <f>+_xlfn.XLOOKUP(Tabla1[[#This Row],[Ducto]],'R (s03)'!B:B,'R (s03)'!C:C)</f>
        <v>24.358000000000001</v>
      </c>
      <c r="M43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36" spans="1:17" x14ac:dyDescent="0.25">
      <c r="A436" s="356">
        <v>46182</v>
      </c>
      <c r="B436" s="116" t="s">
        <v>12</v>
      </c>
      <c r="C436" s="157" t="s">
        <v>329</v>
      </c>
      <c r="D436" s="39" t="s">
        <v>212</v>
      </c>
      <c r="E436" s="40" t="s">
        <v>28</v>
      </c>
      <c r="F436" s="28">
        <v>21466</v>
      </c>
      <c r="G436" s="28">
        <v>22255</v>
      </c>
      <c r="H43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36" s="66"/>
      <c r="J436" s="76">
        <v>2.1</v>
      </c>
      <c r="K436" s="66" t="str">
        <f>IF(_xlfn.XLOOKUP($J436,Catalogo!$B$7:$B$210,Catalogo!$I$7:$I$210,"",0)=0,"",_xlfn.XLOOKUP($J436,Catalogo!$B$7:$B$210,Catalogo!$I$7:$I$210,"",0))</f>
        <v>CIPS</v>
      </c>
      <c r="L436" s="36">
        <f>+_xlfn.XLOOKUP(Tabla1[[#This Row],[Ducto]],'R (s03)'!B:B,'R (s03)'!C:C)</f>
        <v>24.358000000000001</v>
      </c>
      <c r="M43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37" spans="1:17" x14ac:dyDescent="0.25">
      <c r="A437" s="356">
        <v>46182</v>
      </c>
      <c r="B437" s="116" t="s">
        <v>12</v>
      </c>
      <c r="C437" s="157" t="s">
        <v>329</v>
      </c>
      <c r="D437" s="39" t="s">
        <v>212</v>
      </c>
      <c r="E437" s="40" t="s">
        <v>28</v>
      </c>
      <c r="F437" s="28">
        <v>24240</v>
      </c>
      <c r="G437" s="28">
        <v>24842</v>
      </c>
      <c r="H43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37" s="66"/>
      <c r="J437" s="76">
        <v>2.1</v>
      </c>
      <c r="K437" s="66" t="str">
        <f>IF(_xlfn.XLOOKUP($J437,Catalogo!$B$7:$B$210,Catalogo!$I$7:$I$210,"",0)=0,"",_xlfn.XLOOKUP($J437,Catalogo!$B$7:$B$210,Catalogo!$I$7:$I$210,"",0))</f>
        <v>CIPS</v>
      </c>
      <c r="L437" s="36">
        <f>+_xlfn.XLOOKUP(Tabla1[[#This Row],[Ducto]],'R (s03)'!B:B,'R (s03)'!C:C)</f>
        <v>24.358000000000001</v>
      </c>
      <c r="M43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38" spans="1:17" x14ac:dyDescent="0.25">
      <c r="A438" s="356">
        <v>46183</v>
      </c>
      <c r="B438" s="116" t="s">
        <v>12</v>
      </c>
      <c r="C438" s="157" t="s">
        <v>329</v>
      </c>
      <c r="D438" s="39" t="s">
        <v>212</v>
      </c>
      <c r="E438" s="40" t="s">
        <v>28</v>
      </c>
      <c r="F438" s="28">
        <v>22255</v>
      </c>
      <c r="G438" s="28">
        <v>22858</v>
      </c>
      <c r="H43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38" s="66"/>
      <c r="J438" s="76">
        <v>2.1</v>
      </c>
      <c r="K438" s="66" t="str">
        <f>IF(_xlfn.XLOOKUP($J438,Catalogo!$B$7:$B$210,Catalogo!$I$7:$I$210,"",0)=0,"",_xlfn.XLOOKUP($J438,Catalogo!$B$7:$B$210,Catalogo!$I$7:$I$210,"",0))</f>
        <v>CIPS</v>
      </c>
      <c r="L438" s="36">
        <f>+_xlfn.XLOOKUP(Tabla1[[#This Row],[Ducto]],'R (s03)'!B:B,'R (s03)'!C:C)</f>
        <v>24.358000000000001</v>
      </c>
      <c r="M43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39" spans="1:17" x14ac:dyDescent="0.25">
      <c r="A439" s="356">
        <v>46183</v>
      </c>
      <c r="B439" s="116" t="s">
        <v>12</v>
      </c>
      <c r="C439" s="157" t="s">
        <v>329</v>
      </c>
      <c r="D439" s="39" t="s">
        <v>212</v>
      </c>
      <c r="E439" s="40" t="s">
        <v>28</v>
      </c>
      <c r="F439" s="28">
        <v>21184</v>
      </c>
      <c r="G439" s="28">
        <v>21466</v>
      </c>
      <c r="H43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39" s="66"/>
      <c r="J439" s="76">
        <v>2.1</v>
      </c>
      <c r="K439" s="66" t="str">
        <f>IF(_xlfn.XLOOKUP($J439,Catalogo!$B$7:$B$210,Catalogo!$I$7:$I$210,"",0)=0,"",_xlfn.XLOOKUP($J439,Catalogo!$B$7:$B$210,Catalogo!$I$7:$I$210,"",0))</f>
        <v>CIPS</v>
      </c>
      <c r="L439" s="36">
        <f>+_xlfn.XLOOKUP(Tabla1[[#This Row],[Ducto]],'R (s03)'!B:B,'R (s03)'!C:C)</f>
        <v>24.358000000000001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40" spans="1:17" x14ac:dyDescent="0.25">
      <c r="A440" s="356">
        <v>46183</v>
      </c>
      <c r="B440" s="116" t="s">
        <v>12</v>
      </c>
      <c r="C440" s="157" t="s">
        <v>329</v>
      </c>
      <c r="D440" s="39" t="s">
        <v>212</v>
      </c>
      <c r="E440" s="40" t="s">
        <v>28</v>
      </c>
      <c r="F440" s="28">
        <v>20170</v>
      </c>
      <c r="G440" s="28">
        <v>20312</v>
      </c>
      <c r="H44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40" s="66"/>
      <c r="J440" s="76">
        <v>2.1</v>
      </c>
      <c r="K440" s="66" t="str">
        <f>IF(_xlfn.XLOOKUP($J440,Catalogo!$B$7:$B$210,Catalogo!$I$7:$I$210,"",0)=0,"",_xlfn.XLOOKUP($J440,Catalogo!$B$7:$B$210,Catalogo!$I$7:$I$210,"",0))</f>
        <v>CIPS</v>
      </c>
      <c r="L440" s="36">
        <f>+_xlfn.XLOOKUP(Tabla1[[#This Row],[Ducto]],'R (s03)'!B:B,'R (s03)'!C:C)</f>
        <v>24.358000000000001</v>
      </c>
      <c r="M44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41" spans="1:17" x14ac:dyDescent="0.25">
      <c r="A441" s="356">
        <v>46184</v>
      </c>
      <c r="B441" s="116" t="s">
        <v>12</v>
      </c>
      <c r="C441" s="157" t="s">
        <v>329</v>
      </c>
      <c r="D441" s="39" t="s">
        <v>213</v>
      </c>
      <c r="E441" s="40" t="s">
        <v>28</v>
      </c>
      <c r="F441" s="28">
        <v>0</v>
      </c>
      <c r="G441" s="28">
        <v>25</v>
      </c>
      <c r="H44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41" s="66"/>
      <c r="J441" s="76">
        <v>2.1</v>
      </c>
      <c r="K441" s="66" t="str">
        <f>IF(_xlfn.XLOOKUP($J441,Catalogo!$B$7:$B$210,Catalogo!$I$7:$I$210,"",0)=0,"",_xlfn.XLOOKUP($J441,Catalogo!$B$7:$B$210,Catalogo!$I$7:$I$210,"",0))</f>
        <v>CIPS</v>
      </c>
      <c r="L441" s="36">
        <f>+_xlfn.XLOOKUP(Tabla1[[#This Row],[Ducto]],'R (s03)'!B:B,'R (s03)'!C:C)</f>
        <v>2.5999999999999999E-2</v>
      </c>
      <c r="M44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42" spans="1:17" x14ac:dyDescent="0.25">
      <c r="A442" s="356">
        <v>46184</v>
      </c>
      <c r="B442" s="116" t="s">
        <v>12</v>
      </c>
      <c r="C442" s="157" t="s">
        <v>411</v>
      </c>
      <c r="D442" s="39" t="s">
        <v>359</v>
      </c>
      <c r="E442" s="40" t="s">
        <v>28</v>
      </c>
      <c r="F442" s="28">
        <v>0</v>
      </c>
      <c r="G442" s="28">
        <v>878</v>
      </c>
      <c r="H442" s="226">
        <f>IF(Tabla1[[#This Row],[Codigo_actividad]]&lt;&gt;2.5,IF(((Tabla1[[#This Row],[fin]]-Tabla1[[#This Row],[inicio]])/1000)=0,"",((Tabla1[[#This Row],[fin]]-Tabla1[[#This Row],[inicio]])/1000)),"")</f>
        <v>0.878</v>
      </c>
      <c r="I442" s="66"/>
      <c r="J442" s="76">
        <v>2.1</v>
      </c>
      <c r="K442" s="66" t="str">
        <f>IF(_xlfn.XLOOKUP($J442,Catalogo!$B$7:$B$210,Catalogo!$I$7:$I$210,"",0)=0,"",_xlfn.XLOOKUP($J442,Catalogo!$B$7:$B$210,Catalogo!$I$7:$I$210,"",0))</f>
        <v>CIPS</v>
      </c>
      <c r="L442" s="36">
        <v>0.878</v>
      </c>
      <c r="M44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43" spans="1:17" x14ac:dyDescent="0.25">
      <c r="A443" s="356">
        <v>46185</v>
      </c>
      <c r="B443" s="116" t="s">
        <v>12</v>
      </c>
      <c r="C443" s="157" t="s">
        <v>329</v>
      </c>
      <c r="D443" s="39" t="s">
        <v>212</v>
      </c>
      <c r="E443" s="40" t="s">
        <v>28</v>
      </c>
      <c r="F443" s="28">
        <v>20312</v>
      </c>
      <c r="G443" s="28">
        <v>21184</v>
      </c>
      <c r="H443" s="226">
        <f>IF(Tabla1[[#This Row],[Codigo_actividad]]&lt;&gt;2.5,IF(((Tabla1[[#This Row],[fin]]-Tabla1[[#This Row],[inicio]])/1000)=0,"",((Tabla1[[#This Row],[fin]]-Tabla1[[#This Row],[inicio]])/1000)),"")</f>
        <v>0.872</v>
      </c>
      <c r="I443" s="66"/>
      <c r="J443" s="76">
        <v>2.1</v>
      </c>
      <c r="K443" s="66" t="str">
        <f>IF(_xlfn.XLOOKUP($J443,Catalogo!$B$7:$B$210,Catalogo!$I$7:$I$210,"",0)=0,"",_xlfn.XLOOKUP($J443,Catalogo!$B$7:$B$210,Catalogo!$I$7:$I$210,"",0))</f>
        <v>CIPS</v>
      </c>
      <c r="L443" s="36">
        <f>+_xlfn.XLOOKUP(Tabla1[[#This Row],[Ducto]],'R (s03)'!B:B,'R (s03)'!C:C)</f>
        <v>24.358000000000001</v>
      </c>
      <c r="M44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44" spans="1:17" x14ac:dyDescent="0.25">
      <c r="A444" s="356"/>
      <c r="C444" s="157"/>
      <c r="D444" s="39"/>
      <c r="F444" s="28"/>
      <c r="G444" s="28"/>
      <c r="H444" s="226" t="str">
        <f>IF(Tabla1[[#This Row],[Codigo_actividad]]&lt;&gt;2.5,IF(((Tabla1[[#This Row],[fin]]-Tabla1[[#This Row],[inicio]])/1000)=0,"",((Tabla1[[#This Row],[fin]]-Tabla1[[#This Row],[inicio]])/1000)),"")</f>
        <v/>
      </c>
      <c r="J444" s="76"/>
      <c r="K444" s="66" t="str">
        <f>IF(_xlfn.XLOOKUP($J444,Catalogo!$B$7:$B$21,Catalogo!$I$7:$I$21,"",0)=0,"",_xlfn.XLOOKUP($J444,Catalogo!$B$7:$B$21,Catalogo!$I$7:$I$21,"",0))</f>
        <v/>
      </c>
      <c r="L444" s="36"/>
      <c r="M4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45" spans="1:17" x14ac:dyDescent="0.25">
      <c r="A445" s="356">
        <v>46188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18406</v>
      </c>
      <c r="G445" s="28">
        <v>18873</v>
      </c>
      <c r="H44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46" spans="1:17" x14ac:dyDescent="0.25">
      <c r="A446" s="356">
        <v>46189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18873</v>
      </c>
      <c r="G446" s="28">
        <v>19571</v>
      </c>
      <c r="H44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47" spans="1:17" x14ac:dyDescent="0.25">
      <c r="A447" s="356">
        <v>46190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19731</v>
      </c>
      <c r="G447" s="28">
        <v>20170</v>
      </c>
      <c r="H447" s="226">
        <f>IF(Tabla1[[#This Row],[Codigo_actividad]]&lt;&gt;2.5,IF(((Tabla1[[#This Row],[fin]]-Tabla1[[#This Row],[inicio]])/1000)=0,"",((Tabla1[[#This Row],[fin]]-Tabla1[[#This Row],[inicio]])/1000)),"")</f>
        <v>0.439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48" spans="1:17" x14ac:dyDescent="0.25">
      <c r="A448" s="356">
        <v>46191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19571</v>
      </c>
      <c r="G448" s="28">
        <v>19731</v>
      </c>
      <c r="H448" s="226">
        <f>IF(Tabla1[[#This Row],[Codigo_actividad]]&lt;&gt;2.5,IF(((Tabla1[[#This Row],[fin]]-Tabla1[[#This Row],[inicio]])/1000)=0,"",((Tabla1[[#This Row],[fin]]-Tabla1[[#This Row],[inicio]])/1000)),"")</f>
        <v>0.16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49" spans="1:13" x14ac:dyDescent="0.25">
      <c r="A449" s="356">
        <v>46191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15605</v>
      </c>
      <c r="G449" s="28">
        <v>16617</v>
      </c>
      <c r="H449" s="226">
        <f>IF(Tabla1[[#This Row],[Codigo_actividad]]&lt;&gt;2.5,IF(((Tabla1[[#This Row],[fin]]-Tabla1[[#This Row],[inicio]])/1000)=0,"",((Tabla1[[#This Row],[fin]]-Tabla1[[#This Row],[inicio]])/1000)),"")</f>
        <v>1.012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50" spans="1:13" x14ac:dyDescent="0.25">
      <c r="A450" s="356">
        <v>46192</v>
      </c>
      <c r="B450" s="116" t="s">
        <v>12</v>
      </c>
      <c r="C450" s="157" t="s">
        <v>329</v>
      </c>
      <c r="D450" s="39" t="s">
        <v>214</v>
      </c>
      <c r="E450" s="40" t="s">
        <v>16</v>
      </c>
      <c r="F450" s="28">
        <v>0</v>
      </c>
      <c r="G450" s="28">
        <v>13</v>
      </c>
      <c r="H45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v>1.2999999999999999E-2</v>
      </c>
      <c r="M45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51" spans="1:13" x14ac:dyDescent="0.25">
      <c r="A451" s="356">
        <v>46192</v>
      </c>
      <c r="B451" s="116" t="s">
        <v>12</v>
      </c>
      <c r="C451" s="157" t="s">
        <v>329</v>
      </c>
      <c r="D451" s="39" t="s">
        <v>216</v>
      </c>
      <c r="E451" s="40" t="s">
        <v>16</v>
      </c>
      <c r="F451" s="28">
        <v>0</v>
      </c>
      <c r="G451" s="28">
        <v>120</v>
      </c>
      <c r="H451" s="226">
        <f>IF(Tabla1[[#This Row],[Codigo_actividad]]&lt;&gt;2.5,IF(((Tabla1[[#This Row],[fin]]-Tabla1[[#This Row],[inicio]])/1000)=0,"",((Tabla1[[#This Row],[fin]]-Tabla1[[#This Row],[inicio]])/1000)),"")</f>
        <v>0.12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0.1195</v>
      </c>
      <c r="M45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52" spans="1:13" x14ac:dyDescent="0.25">
      <c r="A452" s="356">
        <v>46192</v>
      </c>
      <c r="B452" s="116" t="s">
        <v>12</v>
      </c>
      <c r="C452" s="157" t="s">
        <v>329</v>
      </c>
      <c r="D452" s="39" t="s">
        <v>218</v>
      </c>
      <c r="E452" s="40" t="s">
        <v>16</v>
      </c>
      <c r="F452" s="28">
        <v>0</v>
      </c>
      <c r="G452" s="28">
        <v>1436</v>
      </c>
      <c r="H45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1.4359999999999999</v>
      </c>
      <c r="M45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53" spans="1:13" x14ac:dyDescent="0.25">
      <c r="A453" s="356">
        <v>46192</v>
      </c>
      <c r="B453" s="116" t="s">
        <v>12</v>
      </c>
      <c r="C453" s="157" t="s">
        <v>329</v>
      </c>
      <c r="D453" s="39" t="s">
        <v>214</v>
      </c>
      <c r="E453" s="40" t="s">
        <v>28</v>
      </c>
      <c r="F453" s="28">
        <v>0</v>
      </c>
      <c r="G453" s="28">
        <v>13</v>
      </c>
      <c r="H4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v>1.2999999999999999E-2</v>
      </c>
      <c r="M45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54" spans="1:13" x14ac:dyDescent="0.25">
      <c r="A454" s="356">
        <v>46192</v>
      </c>
      <c r="B454" s="116" t="s">
        <v>12</v>
      </c>
      <c r="C454" s="157" t="s">
        <v>329</v>
      </c>
      <c r="D454" s="39" t="s">
        <v>216</v>
      </c>
      <c r="E454" s="40" t="s">
        <v>28</v>
      </c>
      <c r="F454" s="28">
        <v>0</v>
      </c>
      <c r="G454" s="28">
        <v>120</v>
      </c>
      <c r="H454" s="226">
        <f>IF(Tabla1[[#This Row],[Codigo_actividad]]&lt;&gt;2.5,IF(((Tabla1[[#This Row],[fin]]-Tabla1[[#This Row],[inicio]])/1000)=0,"",((Tabla1[[#This Row],[fin]]-Tabla1[[#This Row],[inicio]])/1000)),"")</f>
        <v>0.12</v>
      </c>
      <c r="I454" s="66"/>
      <c r="J454" s="76">
        <v>2.1</v>
      </c>
      <c r="K454" s="66" t="str">
        <f>IF(_xlfn.XLOOKUP($J454,Catalogo!$B$7:$B$210,Catalogo!$I$7:$I$210,"",0)=0,"",_xlfn.XLOOKUP($J454,Catalogo!$B$7:$B$210,Catalogo!$I$7:$I$210,"",0))</f>
        <v>CIPS</v>
      </c>
      <c r="L454" s="36">
        <f>+_xlfn.XLOOKUP(Tabla1[[#This Row],[Ducto]],nombres!D:D,nombres!E:E)/1000</f>
        <v>0.1195</v>
      </c>
      <c r="M45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55" spans="1:13" x14ac:dyDescent="0.25">
      <c r="A455" s="356">
        <v>46193</v>
      </c>
      <c r="B455" s="116" t="s">
        <v>12</v>
      </c>
      <c r="C455" s="157" t="s">
        <v>329</v>
      </c>
      <c r="D455" s="39" t="s">
        <v>221</v>
      </c>
      <c r="E455" s="40" t="s">
        <v>28</v>
      </c>
      <c r="F455" s="28">
        <v>0</v>
      </c>
      <c r="G455" s="28">
        <v>14</v>
      </c>
      <c r="H455" s="226">
        <f>IF(Tabla1[[#This Row],[Codigo_actividad]]&lt;&gt;2.5,IF(((Tabla1[[#This Row],[fin]]-Tabla1[[#This Row],[inicio]])/1000)=0,"",((Tabla1[[#This Row],[fin]]-Tabla1[[#This Row],[inicio]])/1000)),"")</f>
        <v>1.4E-2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v>1.4E-2</v>
      </c>
      <c r="M45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56" spans="1:13" x14ac:dyDescent="0.25">
      <c r="A456" s="356">
        <v>46193</v>
      </c>
      <c r="B456" s="116" t="s">
        <v>12</v>
      </c>
      <c r="C456" s="157" t="s">
        <v>329</v>
      </c>
      <c r="D456" s="39" t="s">
        <v>221</v>
      </c>
      <c r="E456" s="40" t="s">
        <v>16</v>
      </c>
      <c r="F456" s="28">
        <v>0</v>
      </c>
      <c r="G456" s="28">
        <v>14</v>
      </c>
      <c r="H456" s="226">
        <f>IF(Tabla1[[#This Row],[Codigo_actividad]]&lt;&gt;2.5,IF(((Tabla1[[#This Row],[fin]]-Tabla1[[#This Row],[inicio]])/1000)=0,"",((Tabla1[[#This Row],[fin]]-Tabla1[[#This Row],[inicio]])/1000)),"")</f>
        <v>1.4E-2</v>
      </c>
      <c r="I456" s="66"/>
      <c r="J456" s="76">
        <v>2.6</v>
      </c>
      <c r="K456" s="66" t="str">
        <f>IF(_xlfn.XLOOKUP($J456,Catalogo!$B$7:$B$210,Catalogo!$I$7:$I$210,"",0)=0,"",_xlfn.XLOOKUP($J456,Catalogo!$B$7:$B$210,Catalogo!$I$7:$I$210,"",0))</f>
        <v>Localizacion</v>
      </c>
      <c r="L456" s="36">
        <f>+_xlfn.XLOOKUP(Tabla1[[#This Row],[Ducto]],nombres!D:D,nombres!E:E)/1000</f>
        <v>1.0999999999999999E-2</v>
      </c>
      <c r="M45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57" spans="1:13" x14ac:dyDescent="0.25">
      <c r="A457" s="356"/>
      <c r="C457" s="157"/>
      <c r="D457" s="39"/>
      <c r="F457" s="28"/>
      <c r="G457" s="28"/>
      <c r="H457" s="226" t="str">
        <f>IF(Tabla1[[#This Row],[Codigo_actividad]]&lt;&gt;2.5,IF(((Tabla1[[#This Row],[fin]]-Tabla1[[#This Row],[inicio]])/1000)=0,"",((Tabla1[[#This Row],[fin]]-Tabla1[[#This Row],[inicio]])/1000)),"")</f>
        <v/>
      </c>
      <c r="J457" s="76"/>
      <c r="K457" s="66" t="str">
        <f>IF(_xlfn.XLOOKUP($J457,Catalogo!$B$7:$B$21,Catalogo!$I$7:$I$21,"",0)=0,"",_xlfn.XLOOKUP($J457,Catalogo!$B$7:$B$21,Catalogo!$I$7:$I$21,"",0))</f>
        <v/>
      </c>
      <c r="L457" s="36"/>
      <c r="M4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58" spans="1:13" x14ac:dyDescent="0.25">
      <c r="A458" s="356">
        <v>46195</v>
      </c>
      <c r="B458" s="116" t="s">
        <v>12</v>
      </c>
      <c r="C458" s="157" t="s">
        <v>329</v>
      </c>
      <c r="D458" s="39" t="s">
        <v>251</v>
      </c>
      <c r="E458" s="40" t="s">
        <v>28</v>
      </c>
      <c r="F458" s="28">
        <v>0</v>
      </c>
      <c r="G458" s="28">
        <v>385</v>
      </c>
      <c r="H45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0.314</v>
      </c>
      <c r="M45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59" spans="1:13" x14ac:dyDescent="0.25">
      <c r="A459" s="356">
        <v>46195</v>
      </c>
      <c r="B459" s="116" t="s">
        <v>12</v>
      </c>
      <c r="C459" s="157" t="s">
        <v>329</v>
      </c>
      <c r="D459" s="39" t="s">
        <v>249</v>
      </c>
      <c r="E459" s="40" t="s">
        <v>28</v>
      </c>
      <c r="F459" s="28">
        <v>0</v>
      </c>
      <c r="G459" s="28">
        <v>12</v>
      </c>
      <c r="H459" s="226">
        <f>IF(Tabla1[[#This Row],[Codigo_actividad]]&lt;&gt;2.5,IF(((Tabla1[[#This Row],[fin]]-Tabla1[[#This Row],[inicio]])/1000)=0,"",((Tabla1[[#This Row],[fin]]-Tabla1[[#This Row],[inicio]])/1000)),"")</f>
        <v>1.2E-2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1.2E-2</v>
      </c>
      <c r="M45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60" spans="1:13" x14ac:dyDescent="0.25">
      <c r="A460" s="356">
        <v>46195</v>
      </c>
      <c r="B460" s="116" t="s">
        <v>12</v>
      </c>
      <c r="C460" s="157" t="s">
        <v>329</v>
      </c>
      <c r="D460" s="39" t="s">
        <v>245</v>
      </c>
      <c r="E460" s="40" t="s">
        <v>28</v>
      </c>
      <c r="F460" s="28">
        <v>0</v>
      </c>
      <c r="G460" s="28">
        <v>99</v>
      </c>
      <c r="H46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9.9000000000000005E-2</v>
      </c>
      <c r="M46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61" spans="1:13" x14ac:dyDescent="0.25">
      <c r="A461" s="356">
        <v>46196</v>
      </c>
      <c r="B461" s="116" t="s">
        <v>12</v>
      </c>
      <c r="C461" s="157" t="s">
        <v>329</v>
      </c>
      <c r="D461" s="39" t="s">
        <v>250</v>
      </c>
      <c r="E461" s="40" t="s">
        <v>28</v>
      </c>
      <c r="F461" s="28">
        <v>0</v>
      </c>
      <c r="G461" s="28">
        <v>850</v>
      </c>
      <c r="H461" s="226">
        <f>IF(Tabla1[[#This Row],[Codigo_actividad]]&lt;&gt;2.5,IF(((Tabla1[[#This Row],[fin]]-Tabla1[[#This Row],[inicio]])/1000)=0,"",((Tabla1[[#This Row],[fin]]-Tabla1[[#This Row],[inicio]])/1000)),"")</f>
        <v>0.85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0.85</v>
      </c>
      <c r="M46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62" spans="1:13" x14ac:dyDescent="0.25">
      <c r="A462" s="356">
        <v>46196</v>
      </c>
      <c r="B462" s="116" t="s">
        <v>12</v>
      </c>
      <c r="C462" s="157" t="s">
        <v>329</v>
      </c>
      <c r="D462" s="39" t="s">
        <v>252</v>
      </c>
      <c r="E462" s="40" t="s">
        <v>28</v>
      </c>
      <c r="F462" s="28">
        <v>0</v>
      </c>
      <c r="G462" s="28">
        <v>13</v>
      </c>
      <c r="H46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f>+_xlfn.XLOOKUP(Tabla1[[#This Row],[Ducto]],'R (s03)'!B:B,'R (s03)'!C:C)</f>
        <v>1.2999999999999999E-2</v>
      </c>
      <c r="M46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63" spans="1:13" x14ac:dyDescent="0.25">
      <c r="A463" s="356">
        <v>46196</v>
      </c>
      <c r="B463" s="116" t="s">
        <v>12</v>
      </c>
      <c r="C463" s="157" t="s">
        <v>329</v>
      </c>
      <c r="D463" s="39" t="s">
        <v>247</v>
      </c>
      <c r="E463" s="40" t="s">
        <v>28</v>
      </c>
      <c r="F463" s="28">
        <v>0</v>
      </c>
      <c r="G463" s="28">
        <v>8</v>
      </c>
      <c r="H46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8.0000000000000002E-3</v>
      </c>
      <c r="M46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64" spans="1:13" x14ac:dyDescent="0.25">
      <c r="A464" s="356">
        <v>46198</v>
      </c>
      <c r="B464" s="116" t="s">
        <v>12</v>
      </c>
      <c r="C464" s="157" t="s">
        <v>329</v>
      </c>
      <c r="D464" s="39" t="s">
        <v>218</v>
      </c>
      <c r="E464" s="40" t="s">
        <v>28</v>
      </c>
      <c r="F464" s="28">
        <v>0</v>
      </c>
      <c r="G464" s="28">
        <v>1436</v>
      </c>
      <c r="H46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64" s="66"/>
      <c r="J464" s="76">
        <v>2.1</v>
      </c>
      <c r="K464" s="66" t="str">
        <f>IF(_xlfn.XLOOKUP($J464,Catalogo!$B$7:$B$210,Catalogo!$I$7:$I$210,"",0)=0,"",_xlfn.XLOOKUP($J464,Catalogo!$B$7:$B$210,Catalogo!$I$7:$I$210,"",0))</f>
        <v>CIPS</v>
      </c>
      <c r="L464" s="36">
        <f>+_xlfn.XLOOKUP(Tabla1[[#This Row],[Ducto]],'R (s03)'!B:B,'R (s03)'!C:C)</f>
        <v>1.4359999999999999</v>
      </c>
      <c r="M46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65" spans="1:14" x14ac:dyDescent="0.25">
      <c r="A465" s="356">
        <v>46198</v>
      </c>
      <c r="B465" s="116" t="s">
        <v>12</v>
      </c>
      <c r="C465" s="157" t="s">
        <v>329</v>
      </c>
      <c r="D465" s="39" t="s">
        <v>222</v>
      </c>
      <c r="E465" s="40" t="s">
        <v>28</v>
      </c>
      <c r="F465" s="28">
        <v>0</v>
      </c>
      <c r="G465" s="28">
        <v>22</v>
      </c>
      <c r="H46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2.1999999999999999E-2</v>
      </c>
      <c r="M46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66" spans="1:14" x14ac:dyDescent="0.25">
      <c r="A466" s="356">
        <v>46198</v>
      </c>
      <c r="B466" s="116" t="s">
        <v>12</v>
      </c>
      <c r="C466" s="157" t="s">
        <v>329</v>
      </c>
      <c r="D466" s="39" t="s">
        <v>223</v>
      </c>
      <c r="E466" s="40" t="s">
        <v>28</v>
      </c>
      <c r="F466" s="28">
        <v>0</v>
      </c>
      <c r="G466" s="28">
        <v>11</v>
      </c>
      <c r="H46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1.0999999999999999E-2</v>
      </c>
      <c r="M46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67" spans="1:14" x14ac:dyDescent="0.25">
      <c r="A467" s="356">
        <v>46198</v>
      </c>
      <c r="B467" s="116" t="s">
        <v>12</v>
      </c>
      <c r="C467" s="157" t="s">
        <v>329</v>
      </c>
      <c r="D467" s="39" t="s">
        <v>222</v>
      </c>
      <c r="E467" s="40" t="s">
        <v>16</v>
      </c>
      <c r="F467" s="28">
        <v>0</v>
      </c>
      <c r="G467" s="28">
        <v>22</v>
      </c>
      <c r="H46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67" s="66"/>
      <c r="J467" s="76">
        <v>2.6</v>
      </c>
      <c r="K467" s="66" t="str">
        <f>IF(_xlfn.XLOOKUP($J467,Catalogo!$B$7:$B$210,Catalogo!$I$7:$I$210,"",0)=0,"",_xlfn.XLOOKUP($J467,Catalogo!$B$7:$B$210,Catalogo!$I$7:$I$210,"",0))</f>
        <v>Localizacion</v>
      </c>
      <c r="L467" s="36">
        <f>+_xlfn.XLOOKUP(Tabla1[[#This Row],[Ducto]],nombres!D:D,nombres!E:E)/1000</f>
        <v>1.4E-2</v>
      </c>
      <c r="M46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68" spans="1:14" x14ac:dyDescent="0.25">
      <c r="A468" s="356">
        <v>46198</v>
      </c>
      <c r="B468" s="116" t="s">
        <v>12</v>
      </c>
      <c r="C468" s="157" t="s">
        <v>329</v>
      </c>
      <c r="D468" s="39" t="s">
        <v>223</v>
      </c>
      <c r="E468" s="40" t="s">
        <v>16</v>
      </c>
      <c r="F468" s="28">
        <v>0</v>
      </c>
      <c r="G468" s="28">
        <v>11</v>
      </c>
      <c r="H46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68" s="66"/>
      <c r="J468" s="76">
        <v>2.6</v>
      </c>
      <c r="K468" s="66" t="str">
        <f>IF(_xlfn.XLOOKUP($J468,Catalogo!$B$7:$B$210,Catalogo!$I$7:$I$210,"",0)=0,"",_xlfn.XLOOKUP($J468,Catalogo!$B$7:$B$210,Catalogo!$I$7:$I$210,"",0))</f>
        <v>Localizacion</v>
      </c>
      <c r="L468" s="36">
        <f>+_xlfn.XLOOKUP(Tabla1[[#This Row],[Ducto]],nombres!D:D,nombres!E:E)/1000</f>
        <v>0.02</v>
      </c>
      <c r="M46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69" spans="1:14" x14ac:dyDescent="0.25">
      <c r="A469" s="356">
        <v>46199</v>
      </c>
      <c r="B469" s="116" t="s">
        <v>12</v>
      </c>
      <c r="C469" s="157" t="s">
        <v>329</v>
      </c>
      <c r="D469" s="39" t="s">
        <v>224</v>
      </c>
      <c r="E469" s="40" t="s">
        <v>28</v>
      </c>
      <c r="F469" s="28">
        <v>0</v>
      </c>
      <c r="G469" s="28">
        <v>6</v>
      </c>
      <c r="H46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6.0000000000000001E-3</v>
      </c>
      <c r="M46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70" spans="1:14" x14ac:dyDescent="0.25">
      <c r="A470" s="356">
        <v>46199</v>
      </c>
      <c r="B470" s="116" t="s">
        <v>12</v>
      </c>
      <c r="C470" s="157" t="s">
        <v>329</v>
      </c>
      <c r="D470" s="39" t="s">
        <v>224</v>
      </c>
      <c r="E470" s="40" t="s">
        <v>16</v>
      </c>
      <c r="F470" s="28">
        <v>0</v>
      </c>
      <c r="G470" s="28">
        <v>6</v>
      </c>
      <c r="H47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f>+_xlfn.XLOOKUP(Tabla1[[#This Row],[Ducto]],nombres!D:D,nombres!E:E)/1000</f>
        <v>6.0000000000000001E-3</v>
      </c>
      <c r="M47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71" spans="1:14" x14ac:dyDescent="0.25">
      <c r="A471" s="356">
        <v>46199</v>
      </c>
      <c r="B471" s="116" t="s">
        <v>12</v>
      </c>
      <c r="C471" s="157" t="s">
        <v>329</v>
      </c>
      <c r="D471" s="39" t="s">
        <v>239</v>
      </c>
      <c r="E471" s="40" t="s">
        <v>16</v>
      </c>
      <c r="F471" s="28">
        <v>0</v>
      </c>
      <c r="G471" s="28">
        <v>278</v>
      </c>
      <c r="H47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Row],[Ducto]],'R (s03)'!B:B,'R (s03)'!C:C)</f>
        <v>0.27800000000000002</v>
      </c>
      <c r="M47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72" spans="1:14" x14ac:dyDescent="0.25">
      <c r="A472" s="356">
        <v>46199</v>
      </c>
      <c r="B472" s="116" t="s">
        <v>12</v>
      </c>
      <c r="C472" s="157" t="s">
        <v>329</v>
      </c>
      <c r="D472" s="39" t="s">
        <v>219</v>
      </c>
      <c r="E472" s="40" t="s">
        <v>16</v>
      </c>
      <c r="F472" s="28">
        <v>0</v>
      </c>
      <c r="G472" s="28">
        <v>373</v>
      </c>
      <c r="H472" s="226">
        <f>IF(Tabla1[[#This Row],[Codigo_actividad]]&lt;&gt;2.5,IF(((Tabla1[[#This Row],[fin]]-Tabla1[[#This Row],[inicio]])/1000)=0,"",((Tabla1[[#This Row],[fin]]-Tabla1[[#This Row],[inicio]])/1000)),"")</f>
        <v>0.373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0.373</v>
      </c>
      <c r="M47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73" spans="1:14" x14ac:dyDescent="0.25">
      <c r="A473" s="356">
        <v>46200</v>
      </c>
      <c r="B473" s="116" t="s">
        <v>12</v>
      </c>
      <c r="C473" s="157" t="s">
        <v>329</v>
      </c>
      <c r="D473" s="39" t="s">
        <v>225</v>
      </c>
      <c r="E473" s="40" t="s">
        <v>16</v>
      </c>
      <c r="F473" s="28">
        <v>0</v>
      </c>
      <c r="G473" s="28">
        <v>500</v>
      </c>
      <c r="H473" s="226">
        <f>IF(Tabla1[[#This Row],[Codigo_actividad]]&lt;&gt;2.5,IF(((Tabla1[[#This Row],[fin]]-Tabla1[[#This Row],[inicio]])/1000)=0,"",((Tabla1[[#This Row],[fin]]-Tabla1[[#This Row],[inicio]])/1000)),"")</f>
        <v>0.5</v>
      </c>
      <c r="I473" s="66"/>
      <c r="J473" s="76">
        <v>2.6</v>
      </c>
      <c r="K473" s="66" t="str">
        <f>IF(_xlfn.XLOOKUP($J473,Catalogo!$B$7:$B$210,Catalogo!$I$7:$I$210,"",0)=0,"",_xlfn.XLOOKUP($J473,Catalogo!$B$7:$B$210,Catalogo!$I$7:$I$210,"",0))</f>
        <v>Localizacion</v>
      </c>
      <c r="L473" s="36">
        <f>+_xlfn.XLOOKUP(Tabla1[[#This Row],[Ducto]],nombres!D:D,nombres!E:E)/1000</f>
        <v>5.7880000000000003</v>
      </c>
      <c r="M47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74" spans="1:14" x14ac:dyDescent="0.25">
      <c r="A474" s="356">
        <v>46200</v>
      </c>
      <c r="B474" s="116" t="s">
        <v>12</v>
      </c>
      <c r="C474" s="157" t="s">
        <v>329</v>
      </c>
      <c r="D474" s="39" t="s">
        <v>245</v>
      </c>
      <c r="E474" s="40" t="s">
        <v>16</v>
      </c>
      <c r="F474" s="28">
        <v>0</v>
      </c>
      <c r="G474" s="28">
        <v>99</v>
      </c>
      <c r="H47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74" s="66"/>
      <c r="J474" s="76">
        <v>2.6</v>
      </c>
      <c r="K474" s="66" t="str">
        <f>IF(_xlfn.XLOOKUP($J474,Catalogo!$B$7:$B$210,Catalogo!$I$7:$I$210,"",0)=0,"",_xlfn.XLOOKUP($J474,Catalogo!$B$7:$B$210,Catalogo!$I$7:$I$210,"",0))</f>
        <v>Localizacion</v>
      </c>
      <c r="L474" s="36">
        <f>+_xlfn.XLOOKUP(Tabla1[[#This Row],[Ducto]],nombres!D:D,nombres!E:E)/1000</f>
        <v>9.2999999999999999E-2</v>
      </c>
      <c r="M47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75" spans="1:14" x14ac:dyDescent="0.25">
      <c r="A475" s="356">
        <v>46200</v>
      </c>
      <c r="B475" s="116" t="s">
        <v>12</v>
      </c>
      <c r="C475" s="157" t="s">
        <v>329</v>
      </c>
      <c r="D475" s="39" t="s">
        <v>478</v>
      </c>
      <c r="E475" s="40" t="s">
        <v>16</v>
      </c>
      <c r="F475" s="28">
        <v>0</v>
      </c>
      <c r="G475" s="28">
        <v>243</v>
      </c>
      <c r="H475" s="370">
        <f>IF(Tabla1[[#This Row],[Codigo_actividad]]&lt;&gt;2.5,IF(((Tabla1[[#This Row],[fin]]-Tabla1[[#This Row],[inicio]])/1000)=0,"",((Tabla1[[#This Row],[fin]]-Tabla1[[#This Row],[inicio]])/1000)),"")</f>
        <v>0.24299999999999999</v>
      </c>
      <c r="I475" s="76"/>
      <c r="J475" s="76">
        <v>2.6</v>
      </c>
      <c r="K475" s="76" t="str">
        <f>IF(_xlfn.XLOOKUP($J475,Catalogo!$B$7:$B$210,Catalogo!$I$7:$I$210,"",0)=0,"",_xlfn.XLOOKUP($J475,Catalogo!$B$7:$B$210,Catalogo!$I$7:$I$210,"",0))</f>
        <v>Localizacion</v>
      </c>
      <c r="L475" s="36">
        <f>+_xlfn.XLOOKUP(Tabla1[[#This Row],[Ducto]],'R (s03)'!B:B,'R (s03)'!C:C)</f>
        <v>0.24299999999999999</v>
      </c>
      <c r="M47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75" t="s">
        <v>486</v>
      </c>
    </row>
    <row r="476" spans="1:14" x14ac:dyDescent="0.25">
      <c r="A476" s="356"/>
      <c r="C476" s="157"/>
      <c r="D476" s="39"/>
      <c r="F476" s="28"/>
      <c r="G476" s="28"/>
      <c r="H476" s="226" t="str">
        <f>IF(Tabla1[[#This Row],[Codigo_actividad]]&lt;&gt;2.5,IF(((Tabla1[[#This Row],[fin]]-Tabla1[[#This Row],[inicio]])/1000)=0,"",((Tabla1[[#This Row],[fin]]-Tabla1[[#This Row],[inicio]])/1000)),"")</f>
        <v/>
      </c>
      <c r="J476" s="76"/>
      <c r="K476" s="66" t="str">
        <f>IF(_xlfn.XLOOKUP($J476,Catalogo!$B$7:$B$21,Catalogo!$I$7:$I$21,"",0)=0,"",_xlfn.XLOOKUP($J476,Catalogo!$B$7:$B$21,Catalogo!$I$7:$I$21,"",0))</f>
        <v/>
      </c>
      <c r="L476" s="36"/>
      <c r="M47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7" spans="1:14" x14ac:dyDescent="0.25">
      <c r="A477" s="356">
        <v>46202</v>
      </c>
      <c r="B477" s="116" t="s">
        <v>12</v>
      </c>
      <c r="C477" s="157" t="s">
        <v>329</v>
      </c>
      <c r="D477" s="39" t="s">
        <v>346</v>
      </c>
      <c r="E477" s="40" t="s">
        <v>28</v>
      </c>
      <c r="F477" s="28">
        <v>0</v>
      </c>
      <c r="G477" s="28">
        <v>692</v>
      </c>
      <c r="H47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77" s="66"/>
      <c r="J477" s="76">
        <v>2.1</v>
      </c>
      <c r="K477" s="66" t="str">
        <f>IF(_xlfn.XLOOKUP($J477,Catalogo!$B$7:$B$210,Catalogo!$I$7:$I$210,"",0)=0,"",_xlfn.XLOOKUP($J477,Catalogo!$B$7:$B$210,Catalogo!$I$7:$I$210,"",0))</f>
        <v>CIPS</v>
      </c>
      <c r="L477" s="36">
        <f>+_xlfn.XLOOKUP(Tabla1[[#This Row],[Ducto]],'R (s03)'!B:B,'R (s03)'!C:C)</f>
        <v>0.70299999999999996</v>
      </c>
      <c r="M47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78" spans="1:14" x14ac:dyDescent="0.25">
      <c r="A478" s="356">
        <v>46203</v>
      </c>
      <c r="B478" s="116" t="s">
        <v>12</v>
      </c>
      <c r="C478" s="157" t="s">
        <v>329</v>
      </c>
      <c r="D478" s="39" t="s">
        <v>255</v>
      </c>
      <c r="E478" s="40" t="s">
        <v>28</v>
      </c>
      <c r="F478" s="28">
        <v>0</v>
      </c>
      <c r="G478" s="28">
        <v>275</v>
      </c>
      <c r="H47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0.27500000000000002</v>
      </c>
      <c r="M47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79" spans="1:14" x14ac:dyDescent="0.25">
      <c r="A479" s="356">
        <v>46203</v>
      </c>
      <c r="B479" s="116" t="s">
        <v>12</v>
      </c>
      <c r="C479" s="157" t="s">
        <v>329</v>
      </c>
      <c r="D479" s="39" t="s">
        <v>255</v>
      </c>
      <c r="E479" s="40" t="s">
        <v>16</v>
      </c>
      <c r="F479" s="28">
        <v>175</v>
      </c>
      <c r="G479" s="28">
        <v>275</v>
      </c>
      <c r="H479" s="226">
        <f>IF(Tabla1[[#This Row],[Codigo_actividad]]&lt;&gt;2.5,IF(((Tabla1[[#This Row],[fin]]-Tabla1[[#This Row],[inicio]])/1000)=0,"",((Tabla1[[#This Row],[fin]]-Tabla1[[#This Row],[inicio]])/1000)),"")</f>
        <v>0.1</v>
      </c>
      <c r="I479" s="66"/>
      <c r="J479" s="76">
        <v>2.6</v>
      </c>
      <c r="K479" s="66" t="str">
        <f>IF(_xlfn.XLOOKUP($J479,Catalogo!$B$7:$B$210,Catalogo!$I$7:$I$210,"",0)=0,"",_xlfn.XLOOKUP($J479,Catalogo!$B$7:$B$210,Catalogo!$I$7:$I$210,"",0))</f>
        <v>Localizacion</v>
      </c>
      <c r="L479" s="36">
        <f>+_xlfn.XLOOKUP(Tabla1[[#This Row],[Ducto]],nombres!D:D,nombres!E:E)/1000</f>
        <v>0.27500000000000002</v>
      </c>
      <c r="M47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79" t="str">
        <f>_xlfn.IFNA(_xlfn.XLOOKUP(Tabla1[[#This Row],[fin]],$P$379:$P$386,$T$379:$T$386),"")</f>
        <v/>
      </c>
    </row>
    <row r="480" spans="1:14" x14ac:dyDescent="0.25">
      <c r="A480" s="356">
        <v>46204</v>
      </c>
      <c r="B480" s="116" t="s">
        <v>12</v>
      </c>
      <c r="C480" s="157" t="s">
        <v>329</v>
      </c>
      <c r="D480" s="39" t="s">
        <v>244</v>
      </c>
      <c r="E480" s="40" t="s">
        <v>28</v>
      </c>
      <c r="F480" s="28">
        <v>0</v>
      </c>
      <c r="G480" s="28">
        <v>469</v>
      </c>
      <c r="H48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0.46300000000000002</v>
      </c>
      <c r="M48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481" spans="1:14" x14ac:dyDescent="0.25">
      <c r="A481" s="356">
        <v>46204</v>
      </c>
      <c r="B481" s="116" t="s">
        <v>12</v>
      </c>
      <c r="C481" s="157" t="s">
        <v>329</v>
      </c>
      <c r="D481" s="39" t="s">
        <v>219</v>
      </c>
      <c r="E481" s="40" t="s">
        <v>28</v>
      </c>
      <c r="F481" s="28">
        <v>0</v>
      </c>
      <c r="G481" s="28">
        <v>373</v>
      </c>
      <c r="H481" s="226">
        <f>IF(Tabla1[[#This Row],[Codigo_actividad]]&lt;&gt;2.5,IF(((Tabla1[[#This Row],[fin]]-Tabla1[[#This Row],[inicio]])/1000)=0,"",((Tabla1[[#This Row],[fin]]-Tabla1[[#This Row],[inicio]])/1000)),"")</f>
        <v>0.373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0.373</v>
      </c>
      <c r="M48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482" spans="1:14" x14ac:dyDescent="0.25">
      <c r="A482" s="356">
        <v>46204</v>
      </c>
      <c r="B482" s="116" t="s">
        <v>12</v>
      </c>
      <c r="C482" s="157" t="s">
        <v>329</v>
      </c>
      <c r="D482" s="39" t="s">
        <v>353</v>
      </c>
      <c r="E482" s="40" t="s">
        <v>28</v>
      </c>
      <c r="F482" s="28">
        <v>0</v>
      </c>
      <c r="G482" s="28">
        <v>18</v>
      </c>
      <c r="H48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1.7999999999999999E-2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483" spans="1:14" x14ac:dyDescent="0.25">
      <c r="A483" s="356">
        <v>46205</v>
      </c>
      <c r="B483" s="116" t="s">
        <v>12</v>
      </c>
      <c r="C483" s="157" t="s">
        <v>329</v>
      </c>
      <c r="D483" s="39" t="s">
        <v>225</v>
      </c>
      <c r="E483" s="40" t="s">
        <v>16</v>
      </c>
      <c r="F483" s="28">
        <v>500</v>
      </c>
      <c r="G483" s="28">
        <v>1800</v>
      </c>
      <c r="H483" s="226">
        <f>IF(Tabla1[[#This Row],[Codigo_actividad]]&lt;&gt;2.5,IF(((Tabla1[[#This Row],[fin]]-Tabla1[[#This Row],[inicio]])/1000)=0,"",((Tabla1[[#This Row],[fin]]-Tabla1[[#This Row],[inicio]])/1000)),"")</f>
        <v>1.3</v>
      </c>
      <c r="I483" s="66"/>
      <c r="J483" s="76">
        <v>2.6</v>
      </c>
      <c r="K483" s="66" t="str">
        <f>IF(_xlfn.XLOOKUP($J483,Catalogo!$B$7:$B$210,Catalogo!$I$7:$I$210,"",0)=0,"",_xlfn.XLOOKUP($J483,Catalogo!$B$7:$B$210,Catalogo!$I$7:$I$210,"",0))</f>
        <v>Localizacion</v>
      </c>
      <c r="L483" s="36">
        <f>+_xlfn.XLOOKUP(Tabla1[[#This Row],[Ducto]],nombres!D:D,nombres!E:E)/1000</f>
        <v>5.7880000000000003</v>
      </c>
      <c r="M48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484" spans="1:14" x14ac:dyDescent="0.25">
      <c r="A484" s="356">
        <v>46205</v>
      </c>
      <c r="B484" s="116" t="s">
        <v>12</v>
      </c>
      <c r="C484" s="157" t="s">
        <v>329</v>
      </c>
      <c r="D484" s="39" t="s">
        <v>227</v>
      </c>
      <c r="E484" s="40" t="s">
        <v>16</v>
      </c>
      <c r="F484" s="28">
        <v>0</v>
      </c>
      <c r="G484" s="28">
        <v>40</v>
      </c>
      <c r="H484" s="226">
        <f>IF(Tabla1[[#This Row],[Codigo_actividad]]&lt;&gt;2.5,IF(((Tabla1[[#This Row],[fin]]-Tabla1[[#This Row],[inicio]])/1000)=0,"",((Tabla1[[#This Row],[fin]]-Tabla1[[#This Row],[inicio]])/1000)),"")</f>
        <v>0.04</v>
      </c>
      <c r="I484" s="66"/>
      <c r="J484" s="76">
        <v>2.6</v>
      </c>
      <c r="K484" s="66" t="str">
        <f>IF(_xlfn.XLOOKUP($J484,Catalogo!$B$7:$B$210,Catalogo!$I$7:$I$210,"",0)=0,"",_xlfn.XLOOKUP($J484,Catalogo!$B$7:$B$210,Catalogo!$I$7:$I$210,"",0))</f>
        <v>Localizacion</v>
      </c>
      <c r="L484" s="36">
        <v>0.04</v>
      </c>
      <c r="M48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485" spans="1:14" x14ac:dyDescent="0.25">
      <c r="A485" s="356">
        <v>46206</v>
      </c>
      <c r="B485" s="116" t="s">
        <v>12</v>
      </c>
      <c r="C485" s="157" t="s">
        <v>329</v>
      </c>
      <c r="D485" s="39" t="s">
        <v>225</v>
      </c>
      <c r="E485" s="40" t="s">
        <v>16</v>
      </c>
      <c r="F485" s="28">
        <v>1800</v>
      </c>
      <c r="G485" s="28">
        <v>4500</v>
      </c>
      <c r="H485" s="226">
        <f>IF(Tabla1[[#This Row],[Codigo_actividad]]&lt;&gt;2.5,IF(((Tabla1[[#This Row],[fin]]-Tabla1[[#This Row],[inicio]])/1000)=0,"",((Tabla1[[#This Row],[fin]]-Tabla1[[#This Row],[inicio]])/1000)),"")</f>
        <v>2.7</v>
      </c>
      <c r="I485" s="66"/>
      <c r="J485" s="76">
        <v>2.6</v>
      </c>
      <c r="K485" s="66" t="str">
        <f>IF(_xlfn.XLOOKUP($J485,Catalogo!$B$7:$B$210,Catalogo!$I$7:$I$210,"",0)=0,"",_xlfn.XLOOKUP($J485,Catalogo!$B$7:$B$210,Catalogo!$I$7:$I$210,"",0))</f>
        <v>Localizacion</v>
      </c>
      <c r="L485" s="36">
        <f>+_xlfn.XLOOKUP(Tabla1[[#This Row],[Ducto]],nombres!D:D,nombres!E:E)/1000</f>
        <v>5.7880000000000003</v>
      </c>
      <c r="M48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486" spans="1:14" x14ac:dyDescent="0.25">
      <c r="A486" s="356">
        <v>46206</v>
      </c>
      <c r="B486" s="116" t="s">
        <v>12</v>
      </c>
      <c r="C486" s="157" t="s">
        <v>329</v>
      </c>
      <c r="D486" s="39" t="s">
        <v>233</v>
      </c>
      <c r="E486" s="40" t="s">
        <v>16</v>
      </c>
      <c r="F486" s="28">
        <v>0</v>
      </c>
      <c r="G486" s="28">
        <v>3</v>
      </c>
      <c r="H48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486" s="66"/>
      <c r="J486" s="76">
        <v>2.6</v>
      </c>
      <c r="K486" s="66" t="str">
        <f>IF(_xlfn.XLOOKUP($J486,Catalogo!$B$7:$B$210,Catalogo!$I$7:$I$210,"",0)=0,"",_xlfn.XLOOKUP($J486,Catalogo!$B$7:$B$210,Catalogo!$I$7:$I$210,"",0))</f>
        <v>Localizacion</v>
      </c>
      <c r="L486" s="36">
        <f>+_xlfn.XLOOKUP(Tabla1[[#This Row],[Ducto]],nombres!D:D,nombres!E:E)/1000</f>
        <v>2E-3</v>
      </c>
      <c r="M48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487" spans="1:14" x14ac:dyDescent="0.25">
      <c r="A487" s="356">
        <v>46207</v>
      </c>
      <c r="B487" s="116" t="s">
        <v>12</v>
      </c>
      <c r="C487" s="157" t="s">
        <v>329</v>
      </c>
      <c r="D487" s="39" t="s">
        <v>225</v>
      </c>
      <c r="E487" s="40" t="s">
        <v>16</v>
      </c>
      <c r="F487" s="28">
        <v>4500</v>
      </c>
      <c r="G487" s="28">
        <v>5970</v>
      </c>
      <c r="H487" s="226">
        <f>IF(Tabla1[[#This Row],[Codigo_actividad]]&lt;&gt;2.5,IF(((Tabla1[[#This Row],[fin]]-Tabla1[[#This Row],[inicio]])/1000)=0,"",((Tabla1[[#This Row],[fin]]-Tabla1[[#This Row],[inicio]])/1000)),"")</f>
        <v>1.47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5.7880000000000003</v>
      </c>
      <c r="M48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488" spans="1:14" x14ac:dyDescent="0.25">
      <c r="A488" s="356"/>
      <c r="C488" s="157"/>
      <c r="D488" s="39"/>
      <c r="F488" s="28"/>
      <c r="G488" s="28"/>
      <c r="H488" s="226" t="str">
        <f>IF(Tabla1[[#This Row],[Codigo_actividad]]&lt;&gt;2.5,IF(((Tabla1[[#This Row],[fin]]-Tabla1[[#This Row],[inicio]])/1000)=0,"",((Tabla1[[#This Row],[fin]]-Tabla1[[#This Row],[inicio]])/1000)),"")</f>
        <v/>
      </c>
      <c r="J488" s="76"/>
      <c r="K488" s="66" t="str">
        <f>IF(_xlfn.XLOOKUP($J488,Catalogo!$B$7:$B$21,Catalogo!$I$7:$I$21,"",0)=0,"",_xlfn.XLOOKUP($J488,Catalogo!$B$7:$B$21,Catalogo!$I$7:$I$21,"",0))</f>
        <v/>
      </c>
      <c r="L488" s="36"/>
      <c r="M488" s="263">
        <f>IF(Tabla1[[#This Row],[Avance_km]]&lt;&gt;"",Tabla1[[#This Row],[Avance_km]],Tabla1[[#This Row],[Avance_Med]])*_xlfn.XLOOKUP(Tabla1[[#This Row],[Codigo_actividad]],Catalogo!$B$6:$B$51,Catalogo!$F$6:$F$51,0)</f>
        <v>0</v>
      </c>
      <c r="N488" t="str">
        <f>_xlfn.IFNA(_xlfn.XLOOKUP(Tabla1[[#This Row],[fin]],$P$379:$P$386,$T$379:$T$386),"")</f>
        <v/>
      </c>
    </row>
    <row r="489" spans="1:14" x14ac:dyDescent="0.25">
      <c r="A489" s="356"/>
      <c r="C489" s="157"/>
      <c r="D489" s="39"/>
      <c r="F489" s="28"/>
      <c r="G489" s="28"/>
      <c r="H489" s="226" t="str">
        <f>IF(Tabla1[[#This Row],[Codigo_actividad]]&lt;&gt;2.5,IF(((Tabla1[[#This Row],[fin]]-Tabla1[[#This Row],[inicio]])/1000)=0,"",((Tabla1[[#This Row],[fin]]-Tabla1[[#This Row],[inicio]])/1000)),"")</f>
        <v/>
      </c>
      <c r="J489" s="76"/>
      <c r="K489" s="66" t="str">
        <f>IF(_xlfn.XLOOKUP($J489,Catalogo!$B$7:$B$21,Catalogo!$I$7:$I$21,"",0)=0,"",_xlfn.XLOOKUP($J489,Catalogo!$B$7:$B$21,Catalogo!$I$7:$I$21,"",0))</f>
        <v/>
      </c>
      <c r="L489" s="36"/>
      <c r="M489" s="263">
        <f>IF(Tabla1[[#This Row],[Avance_km]]&lt;&gt;"",Tabla1[[#This Row],[Avance_km]],Tabla1[[#This Row],[Avance_Med]])*_xlfn.XLOOKUP(Tabla1[[#This Row],[Codigo_actividad]],Catalogo!$B$6:$B$51,Catalogo!$F$6:$F$51,0)</f>
        <v>0</v>
      </c>
      <c r="N489" t="str">
        <f>_xlfn.IFNA(_xlfn.XLOOKUP(Tabla1[[#This Row],[fin]],$P$379:$P$386,$T$379:$T$386),"")</f>
        <v/>
      </c>
    </row>
    <row r="490" spans="1:14" x14ac:dyDescent="0.25">
      <c r="A490" s="356">
        <v>46209</v>
      </c>
      <c r="B490" s="116" t="s">
        <v>12</v>
      </c>
      <c r="C490" s="157" t="s">
        <v>329</v>
      </c>
      <c r="D490" s="39" t="s">
        <v>217</v>
      </c>
      <c r="E490" s="40" t="s">
        <v>16</v>
      </c>
      <c r="F490" s="28">
        <v>0</v>
      </c>
      <c r="G490" s="28">
        <v>5872</v>
      </c>
      <c r="H490" s="226">
        <f>IF(Tabla1[[#This Row],[Codigo_actividad]]&lt;&gt;2.5,IF(((Tabla1[[#This Row],[fin]]-Tabla1[[#This Row],[inicio]])/1000)=0,"",((Tabla1[[#This Row],[fin]]-Tabla1[[#This Row],[inicio]])/1000)),"")</f>
        <v>5.8719999999999999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Row],[Ducto]],'R (s03)'!B:B,'R (s03)'!C:C)</f>
        <v>5.8719999999999999</v>
      </c>
      <c r="M49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491" spans="1:14" x14ac:dyDescent="0.25">
      <c r="A491" s="356">
        <v>46210</v>
      </c>
      <c r="B491" s="116" t="s">
        <v>12</v>
      </c>
      <c r="C491" s="157" t="s">
        <v>329</v>
      </c>
      <c r="D491" s="39" t="s">
        <v>253</v>
      </c>
      <c r="E491" s="40" t="s">
        <v>28</v>
      </c>
      <c r="F491" s="28">
        <v>0</v>
      </c>
      <c r="G491" s="28">
        <v>1324</v>
      </c>
      <c r="H491" s="226">
        <f>IF(Tabla1[[#This Row],[Codigo_actividad]]&lt;&gt;2.5,IF(((Tabla1[[#This Row],[fin]]-Tabla1[[#This Row],[inicio]])/1000)=0,"",((Tabla1[[#This Row],[fin]]-Tabla1[[#This Row],[inicio]])/1000)),"")</f>
        <v>1.3240000000000001</v>
      </c>
      <c r="I491" s="66"/>
      <c r="J491" s="76">
        <v>2.1</v>
      </c>
      <c r="K491" s="66" t="str">
        <f>IF(_xlfn.XLOOKUP($J491,Catalogo!$B$7:$B$210,Catalogo!$I$7:$I$210,"",0)=0,"",_xlfn.XLOOKUP($J491,Catalogo!$B$7:$B$210,Catalogo!$I$7:$I$210,"",0))</f>
        <v>CIPS</v>
      </c>
      <c r="L491" s="36">
        <f>+_xlfn.XLOOKUP(Tabla1[[#This Row],[Ducto]],'R (s03)'!B:B,'R (s03)'!C:C)</f>
        <v>1.3240000000000001</v>
      </c>
      <c r="M49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492" spans="1:14" x14ac:dyDescent="0.25">
      <c r="A492" s="356">
        <v>46211</v>
      </c>
      <c r="B492" s="116" t="s">
        <v>12</v>
      </c>
      <c r="C492" s="157" t="s">
        <v>329</v>
      </c>
      <c r="D492" s="39" t="s">
        <v>233</v>
      </c>
      <c r="E492" s="40" t="s">
        <v>28</v>
      </c>
      <c r="F492" s="28">
        <v>0</v>
      </c>
      <c r="G492" s="28">
        <v>3</v>
      </c>
      <c r="H49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492" s="66"/>
      <c r="J492" s="76">
        <v>2.1</v>
      </c>
      <c r="K492" s="66" t="str">
        <f>IF(_xlfn.XLOOKUP($J492,Catalogo!$B$7:$B$210,Catalogo!$I$7:$I$210,"",0)=0,"",_xlfn.XLOOKUP($J492,Catalogo!$B$7:$B$210,Catalogo!$I$7:$I$210,"",0))</f>
        <v>CIPS</v>
      </c>
      <c r="L492" s="36">
        <f>+_xlfn.XLOOKUP(Tabla1[[#This Row],[Ducto]],'R (s03)'!B:B,'R (s03)'!C:C)</f>
        <v>3.0000000000000001E-3</v>
      </c>
      <c r="M49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493" spans="1:14" x14ac:dyDescent="0.25">
      <c r="A493" s="356">
        <v>46211</v>
      </c>
      <c r="B493" s="116" t="s">
        <v>12</v>
      </c>
      <c r="C493" s="157" t="s">
        <v>329</v>
      </c>
      <c r="D493" s="39" t="s">
        <v>227</v>
      </c>
      <c r="E493" s="40" t="s">
        <v>28</v>
      </c>
      <c r="F493" s="28">
        <v>0</v>
      </c>
      <c r="G493" s="28">
        <v>40</v>
      </c>
      <c r="H493" s="226">
        <f>IF(Tabla1[[#This Row],[Codigo_actividad]]&lt;&gt;2.5,IF(((Tabla1[[#This Row],[fin]]-Tabla1[[#This Row],[inicio]])/1000)=0,"",((Tabla1[[#This Row],[fin]]-Tabla1[[#This Row],[inicio]])/1000)),"")</f>
        <v>0.04</v>
      </c>
      <c r="I493" s="66"/>
      <c r="J493" s="76">
        <v>2.1</v>
      </c>
      <c r="K493" s="66" t="str">
        <f>IF(_xlfn.XLOOKUP($J493,Catalogo!$B$7:$B$210,Catalogo!$I$7:$I$210,"",0)=0,"",_xlfn.XLOOKUP($J493,Catalogo!$B$7:$B$210,Catalogo!$I$7:$I$210,"",0))</f>
        <v>CIPS</v>
      </c>
      <c r="L493" s="36">
        <f>+_xlfn.XLOOKUP(Tabla1[[#This Row],[Ducto]],'R (s03)'!B:B,'R (s03)'!C:C)</f>
        <v>0.04</v>
      </c>
      <c r="M49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494" spans="1:14" x14ac:dyDescent="0.25">
      <c r="A494" s="356">
        <v>46212</v>
      </c>
      <c r="B494" s="116" t="s">
        <v>12</v>
      </c>
      <c r="C494" s="157" t="s">
        <v>329</v>
      </c>
      <c r="D494" s="39" t="s">
        <v>239</v>
      </c>
      <c r="E494" s="40" t="s">
        <v>28</v>
      </c>
      <c r="F494" s="28">
        <v>0</v>
      </c>
      <c r="G494" s="28">
        <v>278</v>
      </c>
      <c r="H49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4" s="66"/>
      <c r="J494" s="76">
        <v>2.1</v>
      </c>
      <c r="K494" s="66" t="str">
        <f>IF(_xlfn.XLOOKUP($J494,Catalogo!$B$7:$B$210,Catalogo!$I$7:$I$210,"",0)=0,"",_xlfn.XLOOKUP($J494,Catalogo!$B$7:$B$210,Catalogo!$I$7:$I$210,"",0))</f>
        <v>CIPS</v>
      </c>
      <c r="L494" s="36">
        <f>+_xlfn.XLOOKUP(Tabla1[[#This Row],[Ducto]],'R (s03)'!B:B,'R (s03)'!C:C)</f>
        <v>0.27800000000000002</v>
      </c>
      <c r="M49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494" t="s">
        <v>485</v>
      </c>
    </row>
    <row r="495" spans="1:14" x14ac:dyDescent="0.25">
      <c r="A495" s="356">
        <v>46212</v>
      </c>
      <c r="B495" s="116" t="s">
        <v>12</v>
      </c>
      <c r="C495" s="157" t="s">
        <v>329</v>
      </c>
      <c r="D495" s="39" t="s">
        <v>478</v>
      </c>
      <c r="E495" s="40" t="s">
        <v>28</v>
      </c>
      <c r="F495" s="28">
        <v>0</v>
      </c>
      <c r="G495" s="28">
        <v>243</v>
      </c>
      <c r="H49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495" s="66"/>
      <c r="J495" s="76">
        <v>2.1</v>
      </c>
      <c r="K495" s="66" t="str">
        <f>IF(_xlfn.XLOOKUP($J495,Catalogo!$B$7:$B$210,Catalogo!$I$7:$I$210,"",0)=0,"",_xlfn.XLOOKUP($J495,Catalogo!$B$7:$B$210,Catalogo!$I$7:$I$210,"",0))</f>
        <v>CIPS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495" t="s">
        <v>486</v>
      </c>
    </row>
    <row r="496" spans="1:14" x14ac:dyDescent="0.25">
      <c r="A496" s="356">
        <v>46212</v>
      </c>
      <c r="B496" s="116" t="s">
        <v>12</v>
      </c>
      <c r="C496" s="157" t="s">
        <v>329</v>
      </c>
      <c r="D496" s="39" t="s">
        <v>225</v>
      </c>
      <c r="E496" s="40" t="s">
        <v>28</v>
      </c>
      <c r="F496" s="28">
        <v>2200</v>
      </c>
      <c r="G496" s="28">
        <v>3400</v>
      </c>
      <c r="H496" s="226">
        <f>IF(Tabla1[[#This Row],[Codigo_actividad]]&lt;&gt;2.5,IF(((Tabla1[[#This Row],[fin]]-Tabla1[[#This Row],[inicio]])/1000)=0,"",((Tabla1[[#This Row],[fin]]-Tabla1[[#This Row],[inicio]])/1000)),"")</f>
        <v>1.2</v>
      </c>
      <c r="I496" s="66"/>
      <c r="J496" s="76">
        <v>2.1</v>
      </c>
      <c r="K496" s="66" t="str">
        <f>IF(_xlfn.XLOOKUP($J496,Catalogo!$B$7:$B$210,Catalogo!$I$7:$I$210,"",0)=0,"",_xlfn.XLOOKUP($J496,Catalogo!$B$7:$B$210,Catalogo!$I$7:$I$210,"",0))</f>
        <v>CIPS</v>
      </c>
      <c r="L496" s="36">
        <f>+_xlfn.XLOOKUP(Tabla1[[#This Row],[Ducto]],'R (s03)'!B:B,'R (s03)'!C:C)</f>
        <v>5.97</v>
      </c>
      <c r="M49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497" spans="1:17" x14ac:dyDescent="0.25">
      <c r="A497" s="356">
        <v>46213</v>
      </c>
      <c r="B497" s="116" t="s">
        <v>12</v>
      </c>
      <c r="C497" s="157" t="s">
        <v>329</v>
      </c>
      <c r="D497" s="39" t="s">
        <v>225</v>
      </c>
      <c r="E497" s="40" t="s">
        <v>28</v>
      </c>
      <c r="F497" s="28">
        <v>3400</v>
      </c>
      <c r="G497" s="28">
        <v>5750</v>
      </c>
      <c r="H497" s="226">
        <f>IF(Tabla1[[#This Row],[Codigo_actividad]]&lt;&gt;2.5,IF(((Tabla1[[#This Row],[fin]]-Tabla1[[#This Row],[inicio]])/1000)=0,"",((Tabla1[[#This Row],[fin]]-Tabla1[[#This Row],[inicio]])/1000)),"")</f>
        <v>2.35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5.97</v>
      </c>
      <c r="M49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497" t="s">
        <v>225</v>
      </c>
    </row>
    <row r="498" spans="1:17" x14ac:dyDescent="0.25">
      <c r="A498" s="356">
        <v>46214</v>
      </c>
      <c r="B498" s="116" t="s">
        <v>12</v>
      </c>
      <c r="C498" s="157" t="s">
        <v>329</v>
      </c>
      <c r="D498" s="39" t="s">
        <v>225</v>
      </c>
      <c r="E498" s="40" t="s">
        <v>28</v>
      </c>
      <c r="F498" s="28">
        <v>5750</v>
      </c>
      <c r="G498" s="28">
        <v>5970</v>
      </c>
      <c r="H498" s="226">
        <f>IF(Tabla1[[#This Row],[Codigo_actividad]]&lt;&gt;2.5,IF(((Tabla1[[#This Row],[fin]]-Tabla1[[#This Row],[inicio]])/1000)=0,"",((Tabla1[[#This Row],[fin]]-Tabla1[[#This Row],[inicio]])/1000)),"")</f>
        <v>0.22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5.97</v>
      </c>
      <c r="M49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498" s="389">
        <v>0</v>
      </c>
      <c r="Q498" s="389">
        <v>500</v>
      </c>
    </row>
    <row r="499" spans="1:17" x14ac:dyDescent="0.25">
      <c r="A499" s="356">
        <v>46214</v>
      </c>
      <c r="B499" s="116" t="s">
        <v>12</v>
      </c>
      <c r="C499" s="157" t="s">
        <v>329</v>
      </c>
      <c r="D499" s="39" t="s">
        <v>225</v>
      </c>
      <c r="E499" s="40" t="s">
        <v>28</v>
      </c>
      <c r="F499" s="28">
        <v>0</v>
      </c>
      <c r="G499" s="28">
        <v>500</v>
      </c>
      <c r="H499" s="226">
        <f>IF(Tabla1[[#This Row],[Codigo_actividad]]&lt;&gt;2.5,IF(((Tabla1[[#This Row],[fin]]-Tabla1[[#This Row],[inicio]])/1000)=0,"",((Tabla1[[#This Row],[fin]]-Tabla1[[#This Row],[inicio]])/1000)),"")</f>
        <v>0.5</v>
      </c>
      <c r="I499" s="66"/>
      <c r="J499" s="76">
        <v>2.1</v>
      </c>
      <c r="K499" s="66" t="str">
        <f>IF(_xlfn.XLOOKUP($J499,Catalogo!$B$7:$B$210,Catalogo!$I$7:$I$210,"",0)=0,"",_xlfn.XLOOKUP($J499,Catalogo!$B$7:$B$210,Catalogo!$I$7:$I$210,"",0))</f>
        <v>CIPS</v>
      </c>
      <c r="L499" s="36">
        <f>+_xlfn.XLOOKUP(Tabla1[[#This Row],[Ducto]],'R (s03)'!B:B,'R (s03)'!C:C)</f>
        <v>5.97</v>
      </c>
      <c r="M49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499" s="389">
        <v>500</v>
      </c>
      <c r="Q499" s="389">
        <v>2200</v>
      </c>
    </row>
    <row r="500" spans="1:17" x14ac:dyDescent="0.25">
      <c r="A500" s="356">
        <v>46215</v>
      </c>
      <c r="B500" s="116" t="s">
        <v>12</v>
      </c>
      <c r="C500" s="157" t="s">
        <v>329</v>
      </c>
      <c r="D500" s="39" t="s">
        <v>225</v>
      </c>
      <c r="E500" s="40" t="s">
        <v>28</v>
      </c>
      <c r="F500" s="28">
        <v>500</v>
      </c>
      <c r="G500" s="28">
        <v>2200</v>
      </c>
      <c r="H500" s="226">
        <f>IF(Tabla1[[#This Row],[Codigo_actividad]]&lt;&gt;2.5,IF(((Tabla1[[#This Row],[fin]]-Tabla1[[#This Row],[inicio]])/1000)=0,"",((Tabla1[[#This Row],[fin]]-Tabla1[[#This Row],[inicio]])/1000)),"")</f>
        <v>1.7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5.97</v>
      </c>
      <c r="M50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00" s="389">
        <v>2200</v>
      </c>
      <c r="Q500" s="389">
        <v>3400</v>
      </c>
    </row>
    <row r="501" spans="1:17" x14ac:dyDescent="0.25">
      <c r="A501" s="356"/>
      <c r="C501" s="157"/>
      <c r="D501" s="39"/>
      <c r="F501" s="28"/>
      <c r="G501" s="28"/>
      <c r="H501" s="226" t="str">
        <f>IF(Tabla1[[#This Row],[Codigo_actividad]]&lt;&gt;2.5,IF(((Tabla1[[#This Row],[fin]]-Tabla1[[#This Row],[inicio]])/1000)=0,"",((Tabla1[[#This Row],[fin]]-Tabla1[[#This Row],[inicio]])/1000)),"")</f>
        <v/>
      </c>
      <c r="J501" s="76"/>
      <c r="K501" s="66" t="str">
        <f>IF(_xlfn.XLOOKUP($J501,Catalogo!$B$7:$B$21,Catalogo!$I$7:$I$21,"",0)=0,"",_xlfn.XLOOKUP($J501,Catalogo!$B$7:$B$21,Catalogo!$I$7:$I$21,"",0))</f>
        <v/>
      </c>
      <c r="L501" s="36"/>
      <c r="M501" s="263">
        <f>IF(Tabla1[[#This Row],[Avance_km]]&lt;&gt;"",Tabla1[[#This Row],[Avance_km]],Tabla1[[#This Row],[Avance_Med]])*_xlfn.XLOOKUP(Tabla1[[#This Row],[Codigo_actividad]],Catalogo!$B$6:$B$51,Catalogo!$F$6:$F$51,0)</f>
        <v>0</v>
      </c>
      <c r="N501" t="str">
        <f>_xlfn.IFNA(_xlfn.XLOOKUP(Tabla1[[#This Row],[fin]],$P$379:$P$386,$T$379:$T$386),"")</f>
        <v/>
      </c>
      <c r="P501" s="389">
        <v>3400</v>
      </c>
      <c r="Q501" s="389">
        <v>5750</v>
      </c>
    </row>
    <row r="502" spans="1:17" x14ac:dyDescent="0.25">
      <c r="A502" s="356">
        <v>46216</v>
      </c>
      <c r="B502" s="116" t="s">
        <v>12</v>
      </c>
      <c r="C502" s="157" t="s">
        <v>329</v>
      </c>
      <c r="D502" s="39" t="s">
        <v>217</v>
      </c>
      <c r="E502" s="40" t="s">
        <v>28</v>
      </c>
      <c r="F502" s="28">
        <v>0</v>
      </c>
      <c r="G502" s="28">
        <v>500</v>
      </c>
      <c r="H502" s="226">
        <f>IF(Tabla1[[#This Row],[Codigo_actividad]]&lt;&gt;2.5,IF(((Tabla1[[#This Row],[fin]]-Tabla1[[#This Row],[inicio]])/1000)=0,"",((Tabla1[[#This Row],[fin]]-Tabla1[[#This Row],[inicio]])/1000)),"")</f>
        <v>0.5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5.8719999999999999</v>
      </c>
      <c r="M50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03" spans="1:17" x14ac:dyDescent="0.25">
      <c r="A503" s="356">
        <v>46217</v>
      </c>
      <c r="B503" s="116" t="s">
        <v>12</v>
      </c>
      <c r="C503" s="157" t="s">
        <v>329</v>
      </c>
      <c r="D503" s="39" t="s">
        <v>217</v>
      </c>
      <c r="E503" s="40" t="s">
        <v>28</v>
      </c>
      <c r="F503" s="28">
        <v>500</v>
      </c>
      <c r="G503" s="28">
        <v>1600</v>
      </c>
      <c r="H50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03" s="66"/>
      <c r="J503" s="76">
        <v>2.1</v>
      </c>
      <c r="K503" s="66" t="str">
        <f>IF(_xlfn.XLOOKUP($J503,Catalogo!$B$7:$B$210,Catalogo!$I$7:$I$210,"",0)=0,"",_xlfn.XLOOKUP($J503,Catalogo!$B$7:$B$210,Catalogo!$I$7:$I$210,"",0))</f>
        <v>CIPS</v>
      </c>
      <c r="L503" s="36">
        <f>+_xlfn.XLOOKUP(Tabla1[[#This Row],[Ducto]],'R (s03)'!B:B,'R (s03)'!C:C)</f>
        <v>5.8719999999999999</v>
      </c>
      <c r="M50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04" spans="1:17" x14ac:dyDescent="0.25">
      <c r="A504" s="356">
        <v>46218</v>
      </c>
      <c r="B504" s="116" t="s">
        <v>12</v>
      </c>
      <c r="C504" s="157" t="s">
        <v>329</v>
      </c>
      <c r="D504" s="39" t="s">
        <v>217</v>
      </c>
      <c r="E504" s="40" t="s">
        <v>28</v>
      </c>
      <c r="F504" s="28">
        <v>1600</v>
      </c>
      <c r="G504" s="28">
        <v>2300</v>
      </c>
      <c r="H504" s="226">
        <f>IF(Tabla1[[#This Row],[Codigo_actividad]]&lt;&gt;2.5,IF(((Tabla1[[#This Row],[fin]]-Tabla1[[#This Row],[inicio]])/1000)=0,"",((Tabla1[[#This Row],[fin]]-Tabla1[[#This Row],[inicio]])/1000)),"")</f>
        <v>0.7</v>
      </c>
      <c r="I504" s="66"/>
      <c r="J504" s="76">
        <v>2.1</v>
      </c>
      <c r="K504" s="66" t="str">
        <f>IF(_xlfn.XLOOKUP($J504,Catalogo!$B$7:$B$210,Catalogo!$I$7:$I$210,"",0)=0,"",_xlfn.XLOOKUP($J504,Catalogo!$B$7:$B$210,Catalogo!$I$7:$I$210,"",0))</f>
        <v>CIPS</v>
      </c>
      <c r="L504" s="36">
        <f>+_xlfn.XLOOKUP(Tabla1[[#This Row],[Ducto]],'R (s03)'!B:B,'R (s03)'!C:C)</f>
        <v>5.8719999999999999</v>
      </c>
      <c r="M50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05" spans="1:17" x14ac:dyDescent="0.25">
      <c r="A505" s="356">
        <v>46219</v>
      </c>
      <c r="B505" s="116" t="s">
        <v>12</v>
      </c>
      <c r="C505" s="157" t="s">
        <v>329</v>
      </c>
      <c r="D505" s="39" t="s">
        <v>241</v>
      </c>
      <c r="E505" s="40" t="s">
        <v>28</v>
      </c>
      <c r="F505" s="28">
        <v>0</v>
      </c>
      <c r="G505" s="28">
        <v>45</v>
      </c>
      <c r="H50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05" s="66"/>
      <c r="J505" s="76">
        <v>2.1</v>
      </c>
      <c r="K505" s="66" t="str">
        <f>IF(_xlfn.XLOOKUP($J505,Catalogo!$B$7:$B$210,Catalogo!$I$7:$I$210,"",0)=0,"",_xlfn.XLOOKUP($J505,Catalogo!$B$7:$B$210,Catalogo!$I$7:$I$210,"",0))</f>
        <v>CIPS</v>
      </c>
      <c r="L505" s="36">
        <f>+_xlfn.XLOOKUP(Tabla1[[#This Row],[Ducto]],'R (s03)'!B:B,'R (s03)'!C:C)</f>
        <v>4.4999999999999998E-2</v>
      </c>
      <c r="M50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06" spans="1:17" x14ac:dyDescent="0.25">
      <c r="A506" s="356">
        <v>46219</v>
      </c>
      <c r="B506" s="116" t="s">
        <v>12</v>
      </c>
      <c r="C506" s="157" t="s">
        <v>329</v>
      </c>
      <c r="D506" s="39" t="s">
        <v>243</v>
      </c>
      <c r="E506" s="40" t="s">
        <v>28</v>
      </c>
      <c r="F506" s="28">
        <v>0</v>
      </c>
      <c r="G506" s="28">
        <v>41</v>
      </c>
      <c r="H50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06" s="66"/>
      <c r="J506" s="76">
        <v>2.1</v>
      </c>
      <c r="K506" s="66" t="str">
        <f>IF(_xlfn.XLOOKUP($J506,Catalogo!$B$7:$B$210,Catalogo!$I$7:$I$210,"",0)=0,"",_xlfn.XLOOKUP($J506,Catalogo!$B$7:$B$210,Catalogo!$I$7:$I$210,"",0))</f>
        <v>CIPS</v>
      </c>
      <c r="L506" s="36">
        <f>+_xlfn.XLOOKUP(Tabla1[[#This Row],[Ducto]],'R (s03)'!B:B,'R (s03)'!C:C)</f>
        <v>4.1000000000000002E-2</v>
      </c>
      <c r="M50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07" spans="1:17" x14ac:dyDescent="0.25">
      <c r="A507" s="356">
        <v>46219</v>
      </c>
      <c r="B507" s="116" t="s">
        <v>12</v>
      </c>
      <c r="C507" s="157" t="s">
        <v>329</v>
      </c>
      <c r="D507" s="39" t="s">
        <v>242</v>
      </c>
      <c r="E507" s="40" t="s">
        <v>28</v>
      </c>
      <c r="F507" s="28">
        <v>0</v>
      </c>
      <c r="G507" s="28">
        <v>47</v>
      </c>
      <c r="H507" s="226">
        <f>IF(Tabla1[[#This Row],[Codigo_actividad]]&lt;&gt;2.5,IF(((Tabla1[[#This Row],[fin]]-Tabla1[[#This Row],[inicio]])/1000)=0,"",((Tabla1[[#This Row],[fin]]-Tabla1[[#This Row],[inicio]])/1000)),"")</f>
        <v>4.7E-2</v>
      </c>
      <c r="I507" s="66"/>
      <c r="J507" s="76">
        <v>2.1</v>
      </c>
      <c r="K507" s="66" t="str">
        <f>IF(_xlfn.XLOOKUP($J507,Catalogo!$B$7:$B$210,Catalogo!$I$7:$I$210,"",0)=0,"",_xlfn.XLOOKUP($J507,Catalogo!$B$7:$B$210,Catalogo!$I$7:$I$210,"",0))</f>
        <v>CIPS</v>
      </c>
      <c r="L507" s="36">
        <f>+_xlfn.XLOOKUP(Tabla1[[#This Row],[Ducto]],'R (s03)'!B:B,'R (s03)'!C:C)</f>
        <v>6.2E-2</v>
      </c>
      <c r="M50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08" spans="1:17" x14ac:dyDescent="0.25">
      <c r="A508" s="356">
        <v>46219</v>
      </c>
      <c r="B508" s="116" t="s">
        <v>12</v>
      </c>
      <c r="C508" s="157" t="s">
        <v>329</v>
      </c>
      <c r="D508" s="39" t="s">
        <v>241</v>
      </c>
      <c r="E508" s="40" t="s">
        <v>16</v>
      </c>
      <c r="F508" s="28">
        <v>0</v>
      </c>
      <c r="G508" s="28">
        <v>45</v>
      </c>
      <c r="H50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08" s="66"/>
      <c r="J508" s="76">
        <v>2.6</v>
      </c>
      <c r="K508" s="66" t="str">
        <f>IF(_xlfn.XLOOKUP($J508,Catalogo!$B$7:$B$210,Catalogo!$I$7:$I$210,"",0)=0,"",_xlfn.XLOOKUP($J508,Catalogo!$B$7:$B$210,Catalogo!$I$7:$I$210,"",0))</f>
        <v>Localizacion</v>
      </c>
      <c r="L508" s="36">
        <f>+_xlfn.XLOOKUP(Tabla1[[#This Row],[Ducto]],'R (s03)'!B:B,'R (s03)'!C:C)</f>
        <v>4.4999999999999998E-2</v>
      </c>
      <c r="M50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09" spans="1:17" x14ac:dyDescent="0.25">
      <c r="A509" s="356">
        <v>46219</v>
      </c>
      <c r="B509" s="116" t="s">
        <v>12</v>
      </c>
      <c r="C509" s="157" t="s">
        <v>329</v>
      </c>
      <c r="D509" s="39" t="s">
        <v>243</v>
      </c>
      <c r="E509" s="40" t="s">
        <v>16</v>
      </c>
      <c r="F509" s="28">
        <v>0</v>
      </c>
      <c r="G509" s="28">
        <v>41</v>
      </c>
      <c r="H50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09" s="66"/>
      <c r="J509" s="76">
        <v>2.6</v>
      </c>
      <c r="K509" s="66" t="str">
        <f>IF(_xlfn.XLOOKUP($J509,Catalogo!$B$7:$B$210,Catalogo!$I$7:$I$210,"",0)=0,"",_xlfn.XLOOKUP($J509,Catalogo!$B$7:$B$210,Catalogo!$I$7:$I$210,"",0))</f>
        <v>Localizacion</v>
      </c>
      <c r="L509" s="36">
        <f>+_xlfn.XLOOKUP(Tabla1[[#This Row],[Ducto]],'R (s03)'!B:B,'R (s03)'!C:C)</f>
        <v>4.1000000000000002E-2</v>
      </c>
      <c r="M50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10" spans="1:17" x14ac:dyDescent="0.25">
      <c r="A510" s="356">
        <v>46219</v>
      </c>
      <c r="B510" s="116" t="s">
        <v>12</v>
      </c>
      <c r="C510" s="157" t="s">
        <v>329</v>
      </c>
      <c r="D510" s="39" t="s">
        <v>242</v>
      </c>
      <c r="E510" s="40" t="s">
        <v>16</v>
      </c>
      <c r="F510" s="28">
        <v>0</v>
      </c>
      <c r="G510" s="28">
        <v>47</v>
      </c>
      <c r="H510" s="226">
        <f>IF(Tabla1[[#This Row],[Codigo_actividad]]&lt;&gt;2.5,IF(((Tabla1[[#This Row],[fin]]-Tabla1[[#This Row],[inicio]])/1000)=0,"",((Tabla1[[#This Row],[fin]]-Tabla1[[#This Row],[inicio]])/1000)),"")</f>
        <v>4.7E-2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6.2E-2</v>
      </c>
      <c r="M51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11" spans="1:17" x14ac:dyDescent="0.25">
      <c r="A511" s="356">
        <v>46220</v>
      </c>
      <c r="B511" s="116" t="s">
        <v>12</v>
      </c>
      <c r="C511" s="157" t="s">
        <v>329</v>
      </c>
      <c r="D511" s="39" t="s">
        <v>237</v>
      </c>
      <c r="E511" s="40" t="s">
        <v>28</v>
      </c>
      <c r="F511" s="28">
        <v>0</v>
      </c>
      <c r="G511" s="28">
        <v>52</v>
      </c>
      <c r="H51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5.1999999999999998E-2</v>
      </c>
      <c r="M51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12" spans="1:17" x14ac:dyDescent="0.25">
      <c r="A512" s="356">
        <v>46220</v>
      </c>
      <c r="B512" s="116" t="s">
        <v>12</v>
      </c>
      <c r="C512" s="157" t="s">
        <v>329</v>
      </c>
      <c r="D512" s="39" t="s">
        <v>231</v>
      </c>
      <c r="E512" s="40" t="s">
        <v>28</v>
      </c>
      <c r="F512" s="28">
        <v>0</v>
      </c>
      <c r="G512" s="28">
        <v>21</v>
      </c>
      <c r="H51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2.1000000000000001E-2</v>
      </c>
      <c r="M51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13" spans="1:13" x14ac:dyDescent="0.25">
      <c r="A513" s="356">
        <v>46220</v>
      </c>
      <c r="B513" s="116" t="s">
        <v>12</v>
      </c>
      <c r="C513" s="157" t="s">
        <v>329</v>
      </c>
      <c r="D513" s="39" t="s">
        <v>231</v>
      </c>
      <c r="E513" s="40" t="s">
        <v>16</v>
      </c>
      <c r="F513" s="28">
        <v>0</v>
      </c>
      <c r="G513" s="28">
        <v>21</v>
      </c>
      <c r="H51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13" s="66"/>
      <c r="J513" s="76">
        <v>2.6</v>
      </c>
      <c r="K513" s="66" t="str">
        <f>IF(_xlfn.XLOOKUP($J513,Catalogo!$B$7:$B$210,Catalogo!$I$7:$I$210,"",0)=0,"",_xlfn.XLOOKUP($J513,Catalogo!$B$7:$B$210,Catalogo!$I$7:$I$210,"",0))</f>
        <v>Localizacion</v>
      </c>
      <c r="L513" s="36">
        <f>+_xlfn.XLOOKUP(Tabla1[[#This Row],[Ducto]],'R (s03)'!B:B,'R (s03)'!C:C)</f>
        <v>2.1000000000000001E-2</v>
      </c>
      <c r="M51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14" spans="1:13" x14ac:dyDescent="0.25">
      <c r="A514" s="356">
        <v>46220</v>
      </c>
      <c r="B514" s="116" t="s">
        <v>12</v>
      </c>
      <c r="C514" s="157" t="s">
        <v>329</v>
      </c>
      <c r="D514" s="39" t="s">
        <v>237</v>
      </c>
      <c r="E514" s="40" t="s">
        <v>16</v>
      </c>
      <c r="F514" s="28">
        <v>0</v>
      </c>
      <c r="G514" s="28">
        <v>52</v>
      </c>
      <c r="H51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14" s="66"/>
      <c r="J514" s="76">
        <v>2.6</v>
      </c>
      <c r="K514" s="66" t="str">
        <f>IF(_xlfn.XLOOKUP($J514,Catalogo!$B$7:$B$210,Catalogo!$I$7:$I$210,"",0)=0,"",_xlfn.XLOOKUP($J514,Catalogo!$B$7:$B$210,Catalogo!$I$7:$I$210,"",0))</f>
        <v>Localizacion</v>
      </c>
      <c r="L514" s="36">
        <f>+_xlfn.XLOOKUP(Tabla1[[#This Row],[Ducto]],'R (s03)'!B:B,'R (s03)'!C:C)</f>
        <v>5.1999999999999998E-2</v>
      </c>
      <c r="M51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15" spans="1:13" x14ac:dyDescent="0.25">
      <c r="A515" s="356">
        <v>46220</v>
      </c>
      <c r="B515" s="116" t="s">
        <v>12</v>
      </c>
      <c r="C515" s="157" t="s">
        <v>411</v>
      </c>
      <c r="D515" s="39" t="s">
        <v>360</v>
      </c>
      <c r="E515" s="40" t="s">
        <v>16</v>
      </c>
      <c r="F515" s="28">
        <v>0</v>
      </c>
      <c r="G515" s="28">
        <v>160</v>
      </c>
      <c r="H515" s="226">
        <f>IF(Tabla1[[#This Row],[Codigo_actividad]]&lt;&gt;2.5,IF(((Tabla1[[#This Row],[fin]]-Tabla1[[#This Row],[inicio]])/1000)=0,"",((Tabla1[[#This Row],[fin]]-Tabla1[[#This Row],[inicio]])/1000)),"")</f>
        <v>0.16</v>
      </c>
      <c r="I515" s="66"/>
      <c r="J515" s="76">
        <v>2.6</v>
      </c>
      <c r="K515" s="66" t="str">
        <f>IF(_xlfn.XLOOKUP($J515,Catalogo!$B$7:$B$210,Catalogo!$I$7:$I$210,"",0)=0,"",_xlfn.XLOOKUP($J515,Catalogo!$B$7:$B$210,Catalogo!$I$7:$I$210,"",0))</f>
        <v>Localizacion</v>
      </c>
      <c r="L515" s="36">
        <f>+_xlfn.XLOOKUP(Tabla1[[#This Row],[Ducto]],'R (s04)'!B:B,'R (s04)'!C:C)</f>
        <v>0.16</v>
      </c>
      <c r="M51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16" spans="1:13" x14ac:dyDescent="0.25">
      <c r="A516" s="356">
        <v>46220</v>
      </c>
      <c r="B516" s="116" t="s">
        <v>12</v>
      </c>
      <c r="C516" s="157" t="s">
        <v>411</v>
      </c>
      <c r="D516" s="39" t="s">
        <v>360</v>
      </c>
      <c r="E516" s="40" t="s">
        <v>28</v>
      </c>
      <c r="F516" s="28">
        <v>0</v>
      </c>
      <c r="G516" s="28">
        <v>160</v>
      </c>
      <c r="H516" s="226">
        <f>IF(Tabla1[[#This Row],[Codigo_actividad]]&lt;&gt;2.5,IF(((Tabla1[[#This Row],[fin]]-Tabla1[[#This Row],[inicio]])/1000)=0,"",((Tabla1[[#This Row],[fin]]-Tabla1[[#This Row],[inicio]])/1000)),"")</f>
        <v>0.16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(s04)'!B:B,'R (s04)'!C:C)</f>
        <v>0.16</v>
      </c>
      <c r="M51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17" spans="1:13" x14ac:dyDescent="0.25">
      <c r="A517" s="356">
        <v>46220</v>
      </c>
      <c r="B517" s="116" t="s">
        <v>12</v>
      </c>
      <c r="C517" s="157" t="s">
        <v>411</v>
      </c>
      <c r="D517" s="39" t="s">
        <v>361</v>
      </c>
      <c r="E517" s="40" t="s">
        <v>16</v>
      </c>
      <c r="F517" s="28">
        <v>0</v>
      </c>
      <c r="G517" s="28">
        <v>7</v>
      </c>
      <c r="H51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17" s="66"/>
      <c r="J517" s="76">
        <v>2.6</v>
      </c>
      <c r="K517" s="66" t="str">
        <f>IF(_xlfn.XLOOKUP($J517,Catalogo!$B$7:$B$210,Catalogo!$I$7:$I$210,"",0)=0,"",_xlfn.XLOOKUP($J517,Catalogo!$B$7:$B$210,Catalogo!$I$7:$I$210,"",0))</f>
        <v>Localizacion</v>
      </c>
      <c r="L517" s="36">
        <f>+_xlfn.XLOOKUP(Tabla1[[#This Row],[Ducto]],'R (s04)'!B:B,'R (s04)'!C:C)</f>
        <v>7.0000000000000001E-3</v>
      </c>
      <c r="M51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18" spans="1:13" x14ac:dyDescent="0.25">
      <c r="A518" s="356">
        <v>46220</v>
      </c>
      <c r="B518" s="116" t="s">
        <v>12</v>
      </c>
      <c r="C518" s="157" t="s">
        <v>411</v>
      </c>
      <c r="D518" s="39" t="s">
        <v>361</v>
      </c>
      <c r="E518" s="40" t="s">
        <v>28</v>
      </c>
      <c r="F518" s="28">
        <v>0</v>
      </c>
      <c r="G518" s="28">
        <v>7</v>
      </c>
      <c r="H51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(s04)'!B:B,'R (s04)'!C:C)</f>
        <v>7.0000000000000001E-3</v>
      </c>
      <c r="M51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19" spans="1:13" x14ac:dyDescent="0.25">
      <c r="A519" s="356">
        <v>46221</v>
      </c>
      <c r="B519" s="116" t="s">
        <v>12</v>
      </c>
      <c r="C519" s="157" t="s">
        <v>329</v>
      </c>
      <c r="D519" s="39" t="s">
        <v>217</v>
      </c>
      <c r="E519" s="40" t="s">
        <v>28</v>
      </c>
      <c r="F519" s="28">
        <v>3300</v>
      </c>
      <c r="G519" s="28">
        <v>3400</v>
      </c>
      <c r="H519" s="226">
        <f>IF(Tabla1[[#This Row],[Codigo_actividad]]&lt;&gt;2.5,IF(((Tabla1[[#This Row],[fin]]-Tabla1[[#This Row],[inicio]])/1000)=0,"",((Tabla1[[#This Row],[fin]]-Tabla1[[#This Row],[inicio]])/1000)),"")</f>
        <v>0.1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5.8719999999999999</v>
      </c>
      <c r="M51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20" spans="1:13" x14ac:dyDescent="0.25">
      <c r="A520" s="356"/>
      <c r="B520" s="116"/>
      <c r="C520" s="157"/>
      <c r="D520" s="39"/>
      <c r="F520" s="28"/>
      <c r="G520" s="28"/>
      <c r="H520" s="226"/>
      <c r="I520" s="66"/>
      <c r="J520" s="76"/>
      <c r="L520" s="36"/>
      <c r="M5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1" spans="1:13" x14ac:dyDescent="0.25">
      <c r="A521" s="356">
        <v>46223</v>
      </c>
      <c r="B521" s="116" t="s">
        <v>12</v>
      </c>
      <c r="C521" s="157" t="s">
        <v>411</v>
      </c>
      <c r="D521" s="39" t="s">
        <v>264</v>
      </c>
      <c r="E521" s="40" t="s">
        <v>16</v>
      </c>
      <c r="F521" s="28">
        <v>0</v>
      </c>
      <c r="G521" s="28">
        <v>2077</v>
      </c>
      <c r="H521" s="226">
        <f>IF(Tabla1[[#This Row],[Codigo_actividad]]&lt;&gt;2.5,IF(((Tabla1[[#This Row],[fin]]-Tabla1[[#This Row],[inicio]])/1000)=0,"",((Tabla1[[#This Row],[fin]]-Tabla1[[#This Row],[inicio]])/1000)),"")</f>
        <v>2.077</v>
      </c>
      <c r="I521" s="66"/>
      <c r="J521" s="76">
        <v>2.6</v>
      </c>
      <c r="K521" s="66" t="str">
        <f>IF(_xlfn.XLOOKUP($J521,Catalogo!$B$7:$B$210,Catalogo!$I$7:$I$210,"",0)=0,"",_xlfn.XLOOKUP($J521,Catalogo!$B$7:$B$210,Catalogo!$I$7:$I$210,"",0))</f>
        <v>Localizacion</v>
      </c>
      <c r="L521" s="36">
        <f>+_xlfn.XLOOKUP(Tabla1[[#This Row],[Ducto]],'R (s04)'!B:B,'R (s04)'!C:C)</f>
        <v>2.077</v>
      </c>
      <c r="M52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22" spans="1:13" x14ac:dyDescent="0.25">
      <c r="A522" s="356">
        <v>46225</v>
      </c>
      <c r="B522" s="116" t="s">
        <v>12</v>
      </c>
      <c r="C522" s="157" t="s">
        <v>329</v>
      </c>
      <c r="D522" s="39" t="s">
        <v>219</v>
      </c>
      <c r="E522" s="40" t="s">
        <v>36</v>
      </c>
      <c r="F522" s="28">
        <v>0</v>
      </c>
      <c r="G522" s="28">
        <v>373</v>
      </c>
      <c r="H522" s="226">
        <f>IF(Tabla1[[#This Row],[Codigo_actividad]]&lt;&gt;2.5,IF(((Tabla1[[#This Row],[fin]]-Tabla1[[#This Row],[inicio]])/1000)=0,"",((Tabla1[[#This Row],[fin]]-Tabla1[[#This Row],[inicio]])/1000)),"")</f>
        <v>0.373</v>
      </c>
      <c r="I522" s="66"/>
      <c r="J522" s="76">
        <v>2.2999999999999998</v>
      </c>
      <c r="K522" s="66" t="str">
        <f>IF(_xlfn.XLOOKUP($J522,Catalogo!$B$7:$B$210,Catalogo!$I$7:$I$210,"",0)=0,"",_xlfn.XLOOKUP($J522,Catalogo!$B$7:$B$210,Catalogo!$I$7:$I$210,"",0))</f>
        <v>DCVG</v>
      </c>
      <c r="L522" s="36">
        <f>+_xlfn.XLOOKUP(Tabla1[[#This Row],[Ducto]],'R (s03)'!B:B,'R (s03)'!C:C)</f>
        <v>0.373</v>
      </c>
      <c r="M52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23" spans="1:13" x14ac:dyDescent="0.25">
      <c r="A523" s="356">
        <v>46225</v>
      </c>
      <c r="B523" s="116" t="s">
        <v>12</v>
      </c>
      <c r="C523" s="157" t="s">
        <v>329</v>
      </c>
      <c r="D523" s="39" t="s">
        <v>216</v>
      </c>
      <c r="E523" s="40" t="s">
        <v>36</v>
      </c>
      <c r="F523" s="28">
        <v>0</v>
      </c>
      <c r="G523" s="28">
        <v>120</v>
      </c>
      <c r="H523" s="226">
        <f>IF(Tabla1[[#This Row],[Codigo_actividad]]&lt;&gt;2.5,IF(((Tabla1[[#This Row],[fin]]-Tabla1[[#This Row],[inicio]])/1000)=0,"",((Tabla1[[#This Row],[fin]]-Tabla1[[#This Row],[inicio]])/1000)),"")</f>
        <v>0.12</v>
      </c>
      <c r="I523" s="66"/>
      <c r="J523" s="76">
        <v>2.2999999999999998</v>
      </c>
      <c r="K523" s="66" t="str">
        <f>IF(_xlfn.XLOOKUP($J523,Catalogo!$B$7:$B$210,Catalogo!$I$7:$I$210,"",0)=0,"",_xlfn.XLOOKUP($J523,Catalogo!$B$7:$B$210,Catalogo!$I$7:$I$210,"",0))</f>
        <v>DCVG</v>
      </c>
      <c r="L523" s="36">
        <f>+_xlfn.XLOOKUP(Tabla1[[#This Row],[Ducto]],'R (s03)'!B:B,'R (s03)'!C:C)</f>
        <v>0.12</v>
      </c>
      <c r="M52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24" spans="1:13" x14ac:dyDescent="0.25">
      <c r="A524" s="356">
        <v>46225</v>
      </c>
      <c r="B524" s="116" t="s">
        <v>12</v>
      </c>
      <c r="C524" s="157" t="s">
        <v>329</v>
      </c>
      <c r="D524" s="39" t="s">
        <v>214</v>
      </c>
      <c r="E524" s="40" t="s">
        <v>36</v>
      </c>
      <c r="F524" s="28">
        <v>0</v>
      </c>
      <c r="G524" s="28">
        <v>13</v>
      </c>
      <c r="H52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24" s="66"/>
      <c r="J524" s="76">
        <v>2.2999999999999998</v>
      </c>
      <c r="K524" s="66" t="str">
        <f>IF(_xlfn.XLOOKUP($J524,Catalogo!$B$7:$B$210,Catalogo!$I$7:$I$210,"",0)=0,"",_xlfn.XLOOKUP($J524,Catalogo!$B$7:$B$210,Catalogo!$I$7:$I$210,"",0))</f>
        <v>DCVG</v>
      </c>
      <c r="L524" s="36">
        <f>+_xlfn.XLOOKUP(Tabla1[[#This Row],[Ducto]],'R (s03)'!B:B,'R (s03)'!C:C)</f>
        <v>1.2999999999999999E-2</v>
      </c>
      <c r="M52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25" spans="1:13" x14ac:dyDescent="0.25">
      <c r="A525" s="356">
        <v>46226</v>
      </c>
      <c r="B525" s="116" t="s">
        <v>12</v>
      </c>
      <c r="C525" s="157" t="s">
        <v>329</v>
      </c>
      <c r="D525" s="39" t="s">
        <v>222</v>
      </c>
      <c r="E525" s="40" t="s">
        <v>36</v>
      </c>
      <c r="F525" s="28">
        <v>0</v>
      </c>
      <c r="G525" s="28">
        <v>22</v>
      </c>
      <c r="H52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25" s="66"/>
      <c r="J525" s="76">
        <v>2.2999999999999998</v>
      </c>
      <c r="K525" s="66" t="str">
        <f>IF(_xlfn.XLOOKUP($J525,Catalogo!$B$7:$B$210,Catalogo!$I$7:$I$210,"",0)=0,"",_xlfn.XLOOKUP($J525,Catalogo!$B$7:$B$210,Catalogo!$I$7:$I$210,"",0))</f>
        <v>DCVG</v>
      </c>
      <c r="L525" s="36">
        <f>+_xlfn.XLOOKUP(Tabla1[[#This Row],[Ducto]],'R (s03)'!B:B,'R (s03)'!C:C)</f>
        <v>2.1999999999999999E-2</v>
      </c>
      <c r="M52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26" spans="1:13" x14ac:dyDescent="0.25">
      <c r="A526" s="356">
        <v>46226</v>
      </c>
      <c r="B526" s="116" t="s">
        <v>12</v>
      </c>
      <c r="C526" s="157" t="s">
        <v>329</v>
      </c>
      <c r="D526" s="39" t="s">
        <v>223</v>
      </c>
      <c r="E526" s="40" t="s">
        <v>36</v>
      </c>
      <c r="F526" s="28">
        <v>0</v>
      </c>
      <c r="G526" s="28">
        <v>11</v>
      </c>
      <c r="H52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26" s="66"/>
      <c r="J526" s="76">
        <v>2.2999999999999998</v>
      </c>
      <c r="K526" s="66" t="str">
        <f>IF(_xlfn.XLOOKUP($J526,Catalogo!$B$7:$B$210,Catalogo!$I$7:$I$210,"",0)=0,"",_xlfn.XLOOKUP($J526,Catalogo!$B$7:$B$210,Catalogo!$I$7:$I$210,"",0))</f>
        <v>DCVG</v>
      </c>
      <c r="L526" s="36">
        <f>+_xlfn.XLOOKUP(Tabla1[[#This Row],[Ducto]],'R (s03)'!B:B,'R (s03)'!C:C)</f>
        <v>1.0999999999999999E-2</v>
      </c>
      <c r="M52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27" spans="1:13" x14ac:dyDescent="0.25">
      <c r="A527" s="356">
        <v>46226</v>
      </c>
      <c r="B527" s="116" t="s">
        <v>12</v>
      </c>
      <c r="C527" s="157" t="s">
        <v>329</v>
      </c>
      <c r="D527" s="39" t="s">
        <v>224</v>
      </c>
      <c r="E527" s="40" t="s">
        <v>36</v>
      </c>
      <c r="F527" s="28">
        <v>0</v>
      </c>
      <c r="G527" s="28">
        <v>6</v>
      </c>
      <c r="H52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27" s="66"/>
      <c r="J527" s="76">
        <v>2.2999999999999998</v>
      </c>
      <c r="K527" s="66" t="str">
        <f>IF(_xlfn.XLOOKUP($J527,Catalogo!$B$7:$B$210,Catalogo!$I$7:$I$210,"",0)=0,"",_xlfn.XLOOKUP($J527,Catalogo!$B$7:$B$210,Catalogo!$I$7:$I$210,"",0))</f>
        <v>DCVG</v>
      </c>
      <c r="L527" s="36">
        <f>+_xlfn.XLOOKUP(Tabla1[[#This Row],[Ducto]],'R (s03)'!B:B,'R (s03)'!C:C)</f>
        <v>6.0000000000000001E-3</v>
      </c>
      <c r="M52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28" spans="1:13" x14ac:dyDescent="0.25">
      <c r="A528" s="356">
        <v>46226</v>
      </c>
      <c r="B528" s="116" t="s">
        <v>12</v>
      </c>
      <c r="C528" s="157" t="s">
        <v>329</v>
      </c>
      <c r="D528" s="39" t="s">
        <v>353</v>
      </c>
      <c r="E528" s="40" t="s">
        <v>36</v>
      </c>
      <c r="F528" s="28">
        <v>0</v>
      </c>
      <c r="G528" s="28">
        <v>18</v>
      </c>
      <c r="H52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28" s="66"/>
      <c r="J528" s="76">
        <v>2.2999999999999998</v>
      </c>
      <c r="K528" s="66" t="str">
        <f>IF(_xlfn.XLOOKUP($J528,Catalogo!$B$7:$B$210,Catalogo!$I$7:$I$210,"",0)=0,"",_xlfn.XLOOKUP($J528,Catalogo!$B$7:$B$210,Catalogo!$I$7:$I$210,"",0))</f>
        <v>DCVG</v>
      </c>
      <c r="L528" s="36">
        <f>+_xlfn.XLOOKUP(Tabla1[[#This Row],[Ducto]],'R (s03)'!B:B,'R (s03)'!C:C)</f>
        <v>1.7999999999999999E-2</v>
      </c>
      <c r="M52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29" spans="1:14" x14ac:dyDescent="0.25">
      <c r="A529" s="356">
        <v>46226</v>
      </c>
      <c r="B529" s="116" t="s">
        <v>12</v>
      </c>
      <c r="C529" s="157" t="s">
        <v>329</v>
      </c>
      <c r="D529" s="39" t="s">
        <v>221</v>
      </c>
      <c r="E529" s="40" t="s">
        <v>36</v>
      </c>
      <c r="F529" s="28">
        <v>0</v>
      </c>
      <c r="G529" s="28">
        <v>14</v>
      </c>
      <c r="H529" s="226">
        <f>IF(Tabla1[[#This Row],[Codigo_actividad]]&lt;&gt;2.5,IF(((Tabla1[[#This Row],[fin]]-Tabla1[[#This Row],[inicio]])/1000)=0,"",((Tabla1[[#This Row],[fin]]-Tabla1[[#This Row],[inicio]])/1000)),"")</f>
        <v>1.4E-2</v>
      </c>
      <c r="I529" s="66"/>
      <c r="J529" s="76">
        <v>2.2999999999999998</v>
      </c>
      <c r="K529" s="66" t="str">
        <f>IF(_xlfn.XLOOKUP($J529,Catalogo!$B$7:$B$210,Catalogo!$I$7:$I$210,"",0)=0,"",_xlfn.XLOOKUP($J529,Catalogo!$B$7:$B$210,Catalogo!$I$7:$I$210,"",0))</f>
        <v>DCVG</v>
      </c>
      <c r="L529" s="36">
        <f>+_xlfn.XLOOKUP(Tabla1[[#This Row],[Ducto]],'R (s03)'!B:B,'R (s03)'!C:C)</f>
        <v>1.4E-2</v>
      </c>
      <c r="M52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30" spans="1:14" x14ac:dyDescent="0.25">
      <c r="A530" s="356">
        <v>46226</v>
      </c>
      <c r="B530" s="116" t="s">
        <v>12</v>
      </c>
      <c r="C530" s="157" t="s">
        <v>329</v>
      </c>
      <c r="D530" s="39" t="s">
        <v>247</v>
      </c>
      <c r="E530" s="40" t="s">
        <v>36</v>
      </c>
      <c r="F530" s="28">
        <v>0</v>
      </c>
      <c r="G530" s="28">
        <v>8</v>
      </c>
      <c r="H53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30" s="66"/>
      <c r="J530" s="76">
        <v>2.2999999999999998</v>
      </c>
      <c r="K530" s="66" t="str">
        <f>IF(_xlfn.XLOOKUP($J530,Catalogo!$B$7:$B$210,Catalogo!$I$7:$I$210,"",0)=0,"",_xlfn.XLOOKUP($J530,Catalogo!$B$7:$B$210,Catalogo!$I$7:$I$210,"",0))</f>
        <v>DCVG</v>
      </c>
      <c r="L530" s="36">
        <f>+_xlfn.XLOOKUP(Tabla1[[#This Row],[Ducto]],'R (s03)'!B:B,'R (s03)'!C:C)</f>
        <v>8.0000000000000002E-3</v>
      </c>
      <c r="M53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31" spans="1:14" x14ac:dyDescent="0.25">
      <c r="A531" s="356">
        <v>46226</v>
      </c>
      <c r="B531" s="116" t="s">
        <v>12</v>
      </c>
      <c r="C531" s="157" t="s">
        <v>329</v>
      </c>
      <c r="D531" s="39" t="s">
        <v>249</v>
      </c>
      <c r="E531" s="40" t="s">
        <v>36</v>
      </c>
      <c r="F531" s="28">
        <v>0</v>
      </c>
      <c r="G531" s="28">
        <v>12</v>
      </c>
      <c r="H531" s="226">
        <f>IF(Tabla1[[#This Row],[Codigo_actividad]]&lt;&gt;2.5,IF(((Tabla1[[#This Row],[fin]]-Tabla1[[#This Row],[inicio]])/1000)=0,"",((Tabla1[[#This Row],[fin]]-Tabla1[[#This Row],[inicio]])/1000)),"")</f>
        <v>1.2E-2</v>
      </c>
      <c r="I531" s="66"/>
      <c r="J531" s="76">
        <v>2.2999999999999998</v>
      </c>
      <c r="K531" s="66" t="str">
        <f>IF(_xlfn.XLOOKUP($J531,Catalogo!$B$7:$B$210,Catalogo!$I$7:$I$210,"",0)=0,"",_xlfn.XLOOKUP($J531,Catalogo!$B$7:$B$210,Catalogo!$I$7:$I$210,"",0))</f>
        <v>DCVG</v>
      </c>
      <c r="L531" s="36">
        <f>+_xlfn.XLOOKUP(Tabla1[[#This Row],[Ducto]],'R (s03)'!B:B,'R (s03)'!C:C)</f>
        <v>1.2E-2</v>
      </c>
      <c r="M53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32" spans="1:14" x14ac:dyDescent="0.25">
      <c r="A532" s="356">
        <v>46227</v>
      </c>
      <c r="B532" s="116" t="s">
        <v>12</v>
      </c>
      <c r="C532" s="157" t="s">
        <v>329</v>
      </c>
      <c r="D532" s="39" t="s">
        <v>251</v>
      </c>
      <c r="E532" s="40" t="s">
        <v>36</v>
      </c>
      <c r="F532" s="28">
        <v>0</v>
      </c>
      <c r="G532" s="28">
        <v>314</v>
      </c>
      <c r="H532" s="226">
        <f>IF(Tabla1[[#This Row],[Codigo_actividad]]&lt;&gt;2.5,IF(((Tabla1[[#This Row],[fin]]-Tabla1[[#This Row],[inicio]])/1000)=0,"",((Tabla1[[#This Row],[fin]]-Tabla1[[#This Row],[inicio]])/1000)),"")</f>
        <v>0.314</v>
      </c>
      <c r="I532" s="66"/>
      <c r="J532" s="76">
        <v>2.2999999999999998</v>
      </c>
      <c r="K532" s="66" t="str">
        <f>IF(_xlfn.XLOOKUP($J532,Catalogo!$B$7:$B$210,Catalogo!$I$7:$I$210,"",0)=0,"",_xlfn.XLOOKUP($J532,Catalogo!$B$7:$B$210,Catalogo!$I$7:$I$210,"",0))</f>
        <v>DCVG</v>
      </c>
      <c r="L532" s="36">
        <f>+_xlfn.XLOOKUP(Tabla1[[#This Row],[Ducto]],'R (s03)'!B:B,'R (s03)'!C:C)</f>
        <v>0.314</v>
      </c>
      <c r="M53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33" spans="1:14" x14ac:dyDescent="0.25">
      <c r="A533" s="356">
        <v>46227</v>
      </c>
      <c r="B533" s="116" t="s">
        <v>12</v>
      </c>
      <c r="C533" s="157" t="s">
        <v>329</v>
      </c>
      <c r="D533" s="39" t="s">
        <v>252</v>
      </c>
      <c r="E533" s="40" t="s">
        <v>36</v>
      </c>
      <c r="F533" s="28">
        <v>0</v>
      </c>
      <c r="G533" s="28">
        <v>13</v>
      </c>
      <c r="H53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33" s="66"/>
      <c r="J533" s="76">
        <v>2.2999999999999998</v>
      </c>
      <c r="K533" s="66" t="str">
        <f>IF(_xlfn.XLOOKUP($J533,Catalogo!$B$7:$B$210,Catalogo!$I$7:$I$210,"",0)=0,"",_xlfn.XLOOKUP($J533,Catalogo!$B$7:$B$210,Catalogo!$I$7:$I$210,"",0))</f>
        <v>DCVG</v>
      </c>
      <c r="L533" s="36">
        <f>+_xlfn.XLOOKUP(Tabla1[[#This Row],[Ducto]],'R (s03)'!B:B,'R (s03)'!C:C)</f>
        <v>1.2999999999999999E-2</v>
      </c>
      <c r="M53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34" spans="1:14" x14ac:dyDescent="0.25">
      <c r="A534" s="356">
        <v>46227</v>
      </c>
      <c r="B534" s="116" t="s">
        <v>12</v>
      </c>
      <c r="C534" s="157" t="s">
        <v>329</v>
      </c>
      <c r="D534" s="39" t="s">
        <v>244</v>
      </c>
      <c r="E534" s="40" t="s">
        <v>36</v>
      </c>
      <c r="F534" s="28">
        <v>0</v>
      </c>
      <c r="G534" s="28">
        <v>463</v>
      </c>
      <c r="H53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34" s="66"/>
      <c r="J534" s="76">
        <v>2.2999999999999998</v>
      </c>
      <c r="K534" s="66" t="str">
        <f>IF(_xlfn.XLOOKUP($J534,Catalogo!$B$7:$B$210,Catalogo!$I$7:$I$210,"",0)=0,"",_xlfn.XLOOKUP($J534,Catalogo!$B$7:$B$210,Catalogo!$I$7:$I$210,"",0))</f>
        <v>DCVG</v>
      </c>
      <c r="L534" s="36">
        <f>+_xlfn.XLOOKUP(Tabla1[[#This Row],[Ducto]],'R (s03)'!B:B,'R (s03)'!C:C)</f>
        <v>0.46300000000000002</v>
      </c>
      <c r="M53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35" spans="1:14" x14ac:dyDescent="0.25">
      <c r="A535" s="356">
        <v>46227</v>
      </c>
      <c r="B535" s="116" t="s">
        <v>12</v>
      </c>
      <c r="C535" s="157" t="s">
        <v>329</v>
      </c>
      <c r="D535" s="39" t="s">
        <v>250</v>
      </c>
      <c r="E535" s="40" t="s">
        <v>36</v>
      </c>
      <c r="F535" s="28">
        <v>0</v>
      </c>
      <c r="G535" s="28">
        <v>875</v>
      </c>
      <c r="H535" s="226">
        <f>IF(Tabla1[[#This Row],[Codigo_actividad]]&lt;&gt;2.5,IF(((Tabla1[[#This Row],[fin]]-Tabla1[[#This Row],[inicio]])/1000)=0,"",((Tabla1[[#This Row],[fin]]-Tabla1[[#This Row],[inicio]])/1000)),"")</f>
        <v>0.875</v>
      </c>
      <c r="I535" s="66"/>
      <c r="J535" s="76">
        <v>2.2999999999999998</v>
      </c>
      <c r="K535" s="66" t="str">
        <f>IF(_xlfn.XLOOKUP($J535,Catalogo!$B$7:$B$210,Catalogo!$I$7:$I$210,"",0)=0,"",_xlfn.XLOOKUP($J535,Catalogo!$B$7:$B$210,Catalogo!$I$7:$I$210,"",0))</f>
        <v>DCVG</v>
      </c>
      <c r="L535" s="36">
        <f>+_xlfn.XLOOKUP(Tabla1[[#This Row],[Ducto]],'R (s03)'!B:B,'R (s03)'!C:C)</f>
        <v>0.85</v>
      </c>
      <c r="M53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36" spans="1:14" x14ac:dyDescent="0.25">
      <c r="A536" s="356">
        <v>46228</v>
      </c>
      <c r="B536" s="116" t="s">
        <v>12</v>
      </c>
      <c r="C536" s="157" t="s">
        <v>411</v>
      </c>
      <c r="D536" s="39" t="s">
        <v>264</v>
      </c>
      <c r="E536" s="40" t="s">
        <v>28</v>
      </c>
      <c r="F536" s="28">
        <v>0</v>
      </c>
      <c r="G536" s="28">
        <v>2077</v>
      </c>
      <c r="H536" s="226">
        <f>IF(Tabla1[[#This Row],[Codigo_actividad]]&lt;&gt;2.5,IF(((Tabla1[[#This Row],[fin]]-Tabla1[[#This Row],[inicio]])/1000)=0,"",((Tabla1[[#This Row],[fin]]-Tabla1[[#This Row],[inicio]])/1000)),"")</f>
        <v>2.077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2.077</v>
      </c>
      <c r="M53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37" spans="1:14" x14ac:dyDescent="0.25">
      <c r="A537" s="356"/>
      <c r="C537" s="157"/>
      <c r="D537" s="39"/>
      <c r="F537" s="28"/>
      <c r="G537" s="28"/>
      <c r="H537" s="226" t="str">
        <f>IF(Tabla1[[#This Row],[Codigo_actividad]]&lt;&gt;2.5,IF(((Tabla1[[#This Row],[fin]]-Tabla1[[#This Row],[inicio]])/1000)=0,"",((Tabla1[[#This Row],[fin]]-Tabla1[[#This Row],[inicio]])/1000)),"")</f>
        <v/>
      </c>
      <c r="J537" s="76"/>
      <c r="K537" s="66" t="str">
        <f>IF(_xlfn.XLOOKUP($J537,Catalogo!$B$7:$B$21,Catalogo!$I$7:$I$21,"",0)=0,"",_xlfn.XLOOKUP($J537,Catalogo!$B$7:$B$21,Catalogo!$I$7:$I$21,"",0))</f>
        <v/>
      </c>
      <c r="L537" s="36"/>
      <c r="M537" s="263">
        <f>IF(Tabla1[[#This Row],[Avance_km]]&lt;&gt;"",Tabla1[[#This Row],[Avance_km]],Tabla1[[#This Row],[Avance_Med]])*_xlfn.XLOOKUP(Tabla1[[#This Row],[Codigo_actividad]],Catalogo!$B$6:$B$51,Catalogo!$F$6:$F$51,0)</f>
        <v>0</v>
      </c>
      <c r="N537" t="str">
        <f>_xlfn.IFNA(_xlfn.XLOOKUP(Tabla1[[#This Row],[fin]],$P$379:$P$386,$T$379:$T$386),"")</f>
        <v/>
      </c>
    </row>
    <row r="538" spans="1:14" x14ac:dyDescent="0.25">
      <c r="A538" s="356">
        <v>46230</v>
      </c>
      <c r="B538" s="116" t="s">
        <v>12</v>
      </c>
      <c r="C538" s="157" t="s">
        <v>329</v>
      </c>
      <c r="D538" s="39" t="s">
        <v>255</v>
      </c>
      <c r="E538" s="40" t="s">
        <v>36</v>
      </c>
      <c r="F538" s="28">
        <v>0</v>
      </c>
      <c r="G538" s="28">
        <v>275</v>
      </c>
      <c r="H53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38" s="66"/>
      <c r="J538" s="76">
        <v>2.2999999999999998</v>
      </c>
      <c r="K538" s="66" t="str">
        <f>IF(_xlfn.XLOOKUP($J538,Catalogo!$B$7:$B$210,Catalogo!$I$7:$I$210,"",0)=0,"",_xlfn.XLOOKUP($J538,Catalogo!$B$7:$B$210,Catalogo!$I$7:$I$210,"",0))</f>
        <v>DCVG</v>
      </c>
      <c r="L538" s="36">
        <f>+_xlfn.XLOOKUP(Tabla1[[#This Row],[Ducto]],'R (s03)'!B:B,'R (s03)'!C:C)</f>
        <v>0.27500000000000002</v>
      </c>
      <c r="M53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39" spans="1:14" x14ac:dyDescent="0.25">
      <c r="A539" s="356">
        <v>46230</v>
      </c>
      <c r="B539" s="116" t="s">
        <v>12</v>
      </c>
      <c r="C539" s="157" t="s">
        <v>329</v>
      </c>
      <c r="D539" s="39" t="s">
        <v>346</v>
      </c>
      <c r="E539" s="40" t="s">
        <v>36</v>
      </c>
      <c r="F539" s="28">
        <v>0</v>
      </c>
      <c r="G539" s="28">
        <v>703</v>
      </c>
      <c r="H53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39" s="66"/>
      <c r="J539" s="76">
        <v>2.2999999999999998</v>
      </c>
      <c r="K539" s="66" t="str">
        <f>IF(_xlfn.XLOOKUP($J539,Catalogo!$B$7:$B$210,Catalogo!$I$7:$I$210,"",0)=0,"",_xlfn.XLOOKUP($J539,Catalogo!$B$7:$B$210,Catalogo!$I$7:$I$210,"",0))</f>
        <v>DCVG</v>
      </c>
      <c r="L539" s="36">
        <f>+_xlfn.XLOOKUP(Tabla1[[#This Row],[Ducto]],'R (s03)'!B:B,'R (s03)'!C:C)</f>
        <v>0.70299999999999996</v>
      </c>
      <c r="M53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40" spans="1:14" x14ac:dyDescent="0.25">
      <c r="A540" s="356">
        <v>46230</v>
      </c>
      <c r="B540" s="116" t="s">
        <v>12</v>
      </c>
      <c r="C540" s="157" t="s">
        <v>329</v>
      </c>
      <c r="D540" s="39" t="s">
        <v>253</v>
      </c>
      <c r="E540" s="40" t="s">
        <v>36</v>
      </c>
      <c r="F540" s="28">
        <v>0</v>
      </c>
      <c r="G540" s="28">
        <v>1324</v>
      </c>
      <c r="H54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40" s="66"/>
      <c r="J540" s="76">
        <v>2.2999999999999998</v>
      </c>
      <c r="K540" s="66" t="str">
        <f>IF(_xlfn.XLOOKUP($J540,Catalogo!$B$7:$B$210,Catalogo!$I$7:$I$210,"",0)=0,"",_xlfn.XLOOKUP($J540,Catalogo!$B$7:$B$210,Catalogo!$I$7:$I$210,"",0))</f>
        <v>DCVG</v>
      </c>
      <c r="L540" s="36">
        <f>+_xlfn.XLOOKUP(Tabla1[[#This Row],[Ducto]],'R (s03)'!B:B,'R (s03)'!C:C)</f>
        <v>1.3240000000000001</v>
      </c>
      <c r="M54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41" spans="1:14" x14ac:dyDescent="0.25">
      <c r="A541" s="356">
        <v>46231</v>
      </c>
      <c r="B541" s="116" t="s">
        <v>12</v>
      </c>
      <c r="C541" s="157" t="s">
        <v>329</v>
      </c>
      <c r="D541" s="39" t="s">
        <v>218</v>
      </c>
      <c r="E541" s="40" t="s">
        <v>36</v>
      </c>
      <c r="F541" s="28">
        <v>0</v>
      </c>
      <c r="G541" s="28">
        <v>1436</v>
      </c>
      <c r="H54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41" s="66"/>
      <c r="J541" s="76">
        <v>2.2999999999999998</v>
      </c>
      <c r="K541" s="66" t="str">
        <f>IF(_xlfn.XLOOKUP($J541,Catalogo!$B$7:$B$210,Catalogo!$I$7:$I$210,"",0)=0,"",_xlfn.XLOOKUP($J541,Catalogo!$B$7:$B$210,Catalogo!$I$7:$I$210,"",0))</f>
        <v>DCVG</v>
      </c>
      <c r="L541" s="36">
        <f>+_xlfn.XLOOKUP(Tabla1[[#This Row],[Ducto]],'R (s03)'!B:B,'R (s03)'!C:C)</f>
        <v>1.4359999999999999</v>
      </c>
      <c r="M54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42" spans="1:14" x14ac:dyDescent="0.25">
      <c r="A542" s="356">
        <v>46232</v>
      </c>
      <c r="B542" s="116" t="s">
        <v>12</v>
      </c>
      <c r="C542" s="157" t="s">
        <v>329</v>
      </c>
      <c r="D542" s="39" t="s">
        <v>241</v>
      </c>
      <c r="E542" s="40" t="s">
        <v>36</v>
      </c>
      <c r="F542" s="28">
        <v>0</v>
      </c>
      <c r="G542" s="28">
        <v>45</v>
      </c>
      <c r="H54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4.4999999999999998E-2</v>
      </c>
      <c r="M54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43" spans="1:14" x14ac:dyDescent="0.25">
      <c r="A543" s="356">
        <v>46232</v>
      </c>
      <c r="B543" s="116" t="s">
        <v>12</v>
      </c>
      <c r="C543" s="157" t="s">
        <v>329</v>
      </c>
      <c r="D543" s="39" t="s">
        <v>243</v>
      </c>
      <c r="E543" s="40" t="s">
        <v>36</v>
      </c>
      <c r="F543" s="28">
        <v>0</v>
      </c>
      <c r="G543" s="28">
        <v>41</v>
      </c>
      <c r="H54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4.1000000000000002E-2</v>
      </c>
      <c r="M54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44" spans="1:14" x14ac:dyDescent="0.25">
      <c r="A544" s="356">
        <v>46232</v>
      </c>
      <c r="B544" s="116" t="s">
        <v>12</v>
      </c>
      <c r="C544" s="157" t="s">
        <v>329</v>
      </c>
      <c r="D544" s="39" t="s">
        <v>233</v>
      </c>
      <c r="E544" s="40" t="s">
        <v>36</v>
      </c>
      <c r="F544" s="28">
        <v>0</v>
      </c>
      <c r="G544" s="28">
        <v>3</v>
      </c>
      <c r="H54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3.0000000000000001E-3</v>
      </c>
      <c r="M54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45" spans="1:18" x14ac:dyDescent="0.25">
      <c r="A545" s="356">
        <v>46232</v>
      </c>
      <c r="B545" s="116" t="s">
        <v>12</v>
      </c>
      <c r="C545" s="157" t="s">
        <v>329</v>
      </c>
      <c r="D545" s="39" t="s">
        <v>227</v>
      </c>
      <c r="E545" s="40" t="s">
        <v>36</v>
      </c>
      <c r="F545" s="28">
        <v>0</v>
      </c>
      <c r="G545" s="28">
        <v>40</v>
      </c>
      <c r="H545" s="226">
        <f>IF(Tabla1[[#This Row],[Codigo_actividad]]&lt;&gt;2.5,IF(((Tabla1[[#This Row],[fin]]-Tabla1[[#This Row],[inicio]])/1000)=0,"",((Tabla1[[#This Row],[fin]]-Tabla1[[#This Row],[inicio]])/1000)),"")</f>
        <v>0.04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0.04</v>
      </c>
      <c r="M54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46" spans="1:18" x14ac:dyDescent="0.25">
      <c r="A546" s="356">
        <v>46232</v>
      </c>
      <c r="B546" s="116" t="s">
        <v>12</v>
      </c>
      <c r="C546" s="157" t="s">
        <v>329</v>
      </c>
      <c r="D546" s="39" t="s">
        <v>478</v>
      </c>
      <c r="E546" s="40" t="s">
        <v>36</v>
      </c>
      <c r="F546" s="28">
        <v>0</v>
      </c>
      <c r="G546" s="28">
        <v>243</v>
      </c>
      <c r="H54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0.24299999999999999</v>
      </c>
      <c r="M54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47" spans="1:18" x14ac:dyDescent="0.25">
      <c r="A547" s="356">
        <v>46232</v>
      </c>
      <c r="B547" s="116" t="s">
        <v>12</v>
      </c>
      <c r="C547" s="157" t="s">
        <v>329</v>
      </c>
      <c r="D547" s="39" t="s">
        <v>239</v>
      </c>
      <c r="E547" s="40" t="s">
        <v>36</v>
      </c>
      <c r="F547" s="28">
        <v>0</v>
      </c>
      <c r="G547" s="28">
        <v>278</v>
      </c>
      <c r="H54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0.27800000000000002</v>
      </c>
      <c r="M54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48" spans="1:18" x14ac:dyDescent="0.25">
      <c r="A548" s="356">
        <v>46233</v>
      </c>
      <c r="B548" s="116" t="s">
        <v>12</v>
      </c>
      <c r="C548" s="157" t="s">
        <v>329</v>
      </c>
      <c r="D548" s="39" t="s">
        <v>225</v>
      </c>
      <c r="E548" s="40" t="s">
        <v>36</v>
      </c>
      <c r="F548" s="28">
        <v>2280</v>
      </c>
      <c r="G548" s="28">
        <v>4000</v>
      </c>
      <c r="H548" s="226">
        <f>IF(Tabla1[[#This Row],[Codigo_actividad]]&lt;&gt;2.5,IF(((Tabla1[[#This Row],[fin]]-Tabla1[[#This Row],[inicio]])/1000)=0,"",((Tabla1[[#This Row],[fin]]-Tabla1[[#This Row],[inicio]])/1000)),"")</f>
        <v>1.72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5.97</v>
      </c>
      <c r="M54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49" spans="1:18" x14ac:dyDescent="0.25">
      <c r="A549" s="356">
        <v>46234</v>
      </c>
      <c r="B549" s="116" t="s">
        <v>12</v>
      </c>
      <c r="C549" s="157" t="s">
        <v>329</v>
      </c>
      <c r="D549" s="39" t="s">
        <v>225</v>
      </c>
      <c r="E549" s="40" t="s">
        <v>36</v>
      </c>
      <c r="F549" s="28">
        <v>4000</v>
      </c>
      <c r="G549" s="175">
        <v>6168</v>
      </c>
      <c r="H54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5.97</v>
      </c>
      <c r="M54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49" s="213" t="s">
        <v>491</v>
      </c>
    </row>
    <row r="550" spans="1:18" x14ac:dyDescent="0.25">
      <c r="A550" s="356">
        <v>46235</v>
      </c>
      <c r="B550" s="116" t="s">
        <v>12</v>
      </c>
      <c r="C550" s="157" t="s">
        <v>329</v>
      </c>
      <c r="D550" s="39" t="s">
        <v>225</v>
      </c>
      <c r="E550" s="40" t="s">
        <v>36</v>
      </c>
      <c r="F550" s="28">
        <v>1200</v>
      </c>
      <c r="G550" s="28">
        <v>2280</v>
      </c>
      <c r="H550" s="226">
        <f>IF(Tabla1[[#This Row],[Codigo_actividad]]&lt;&gt;2.5,IF(((Tabla1[[#This Row],[fin]]-Tabla1[[#This Row],[inicio]])/1000)=0,"",((Tabla1[[#This Row],[fin]]-Tabla1[[#This Row],[inicio]])/1000)),"")</f>
        <v>1.08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5.97</v>
      </c>
      <c r="M55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51" spans="1:18" x14ac:dyDescent="0.25">
      <c r="A551" s="356"/>
      <c r="B551" s="116"/>
      <c r="C551" s="157"/>
      <c r="D551" s="39"/>
      <c r="F551" s="28"/>
      <c r="G551" s="28"/>
      <c r="H551" s="226" t="str">
        <f>IF(Tabla1[[#This Row],[Codigo_actividad]]&lt;&gt;2.5,IF(((Tabla1[[#This Row],[fin]]-Tabla1[[#This Row],[inicio]])/1000)=0,"",((Tabla1[[#This Row],[fin]]-Tabla1[[#This Row],[inicio]])/1000)),"")</f>
        <v/>
      </c>
      <c r="I551" s="66"/>
      <c r="J551" s="76"/>
      <c r="K551" s="66" t="str">
        <f>IF(_xlfn.XLOOKUP($J551,Catalogo!$B$7:$B$21,Catalogo!$I$7:$I$21,"",0)=0,"",_xlfn.XLOOKUP($J551,Catalogo!$B$7:$B$21,Catalogo!$I$7:$I$21,"",0))</f>
        <v/>
      </c>
      <c r="L551" s="36"/>
      <c r="M551" s="263">
        <f>IF(Tabla1[[#This Row],[Avance_km]]&lt;&gt;"",Tabla1[[#This Row],[Avance_km]],Tabla1[[#This Row],[Avance_Med]])*_xlfn.XLOOKUP(Tabla1[[#This Row],[Codigo_actividad]],Catalogo!$B$6:$B$51,Catalogo!$F$6:$F$51,0)</f>
        <v>0</v>
      </c>
      <c r="N551" t="str">
        <f>_xlfn.IFNA(_xlfn.XLOOKUP(Tabla1[[#This Row],[fin]],$P$379:$P$386,$T$379:$T$386),"")</f>
        <v/>
      </c>
    </row>
    <row r="552" spans="1:18" x14ac:dyDescent="0.25">
      <c r="A552" s="356">
        <v>46237</v>
      </c>
      <c r="B552" s="116" t="s">
        <v>12</v>
      </c>
      <c r="C552" s="157" t="s">
        <v>329</v>
      </c>
      <c r="D552" s="39" t="s">
        <v>225</v>
      </c>
      <c r="E552" s="40" t="s">
        <v>36</v>
      </c>
      <c r="F552" s="28">
        <v>0</v>
      </c>
      <c r="G552" s="28">
        <v>1200</v>
      </c>
      <c r="H552" s="226">
        <f>IF(Tabla1[[#This Row],[Codigo_actividad]]&lt;&gt;2.5,IF(((Tabla1[[#This Row],[fin]]-Tabla1[[#This Row],[inicio]])/1000)=0,"",((Tabla1[[#This Row],[fin]]-Tabla1[[#This Row],[inicio]])/1000)),"")</f>
        <v>1.2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5.97</v>
      </c>
      <c r="M55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53" spans="1:18" x14ac:dyDescent="0.25">
      <c r="A553" s="356">
        <v>46238</v>
      </c>
      <c r="B553" s="116" t="s">
        <v>12</v>
      </c>
      <c r="C553" s="157" t="s">
        <v>329</v>
      </c>
      <c r="D553" s="39" t="s">
        <v>237</v>
      </c>
      <c r="E553" s="40" t="s">
        <v>36</v>
      </c>
      <c r="F553" s="28">
        <v>0</v>
      </c>
      <c r="G553" s="28">
        <v>52</v>
      </c>
      <c r="H55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5.1999999999999998E-2</v>
      </c>
      <c r="M55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54" spans="1:18" x14ac:dyDescent="0.25">
      <c r="A554" s="356">
        <v>46238</v>
      </c>
      <c r="B554" s="116" t="s">
        <v>12</v>
      </c>
      <c r="C554" s="157" t="s">
        <v>411</v>
      </c>
      <c r="D554" s="39" t="s">
        <v>361</v>
      </c>
      <c r="E554" s="40" t="s">
        <v>36</v>
      </c>
      <c r="F554" s="28">
        <v>0</v>
      </c>
      <c r="G554" s="28">
        <v>7</v>
      </c>
      <c r="H55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(s04)'!B:B,'R (s04)'!C:C)</f>
        <v>7.0000000000000001E-3</v>
      </c>
      <c r="M55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55" spans="1:18" x14ac:dyDescent="0.25">
      <c r="A555" s="356">
        <v>46238</v>
      </c>
      <c r="B555" s="116" t="s">
        <v>12</v>
      </c>
      <c r="C555" s="157" t="s">
        <v>411</v>
      </c>
      <c r="D555" s="39" t="s">
        <v>360</v>
      </c>
      <c r="E555" s="40" t="s">
        <v>36</v>
      </c>
      <c r="F555" s="28">
        <v>0</v>
      </c>
      <c r="G555" s="28">
        <v>160</v>
      </c>
      <c r="H555" s="226">
        <f>IF(Tabla1[[#This Row],[Codigo_actividad]]&lt;&gt;2.5,IF(((Tabla1[[#This Row],[fin]]-Tabla1[[#This Row],[inicio]])/1000)=0,"",((Tabla1[[#This Row],[fin]]-Tabla1[[#This Row],[inicio]])/1000)),"")</f>
        <v>0.16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(s04)'!B:B,'R (s04)'!C:C)</f>
        <v>0.16</v>
      </c>
      <c r="M55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55" t="s">
        <v>498</v>
      </c>
    </row>
    <row r="556" spans="1:18" x14ac:dyDescent="0.25">
      <c r="A556" s="356">
        <v>46239</v>
      </c>
      <c r="B556" s="116" t="s">
        <v>12</v>
      </c>
      <c r="C556" s="157" t="s">
        <v>329</v>
      </c>
      <c r="D556" s="39" t="s">
        <v>231</v>
      </c>
      <c r="E556" s="40" t="s">
        <v>36</v>
      </c>
      <c r="F556" s="28">
        <v>0</v>
      </c>
      <c r="G556" s="28">
        <v>21</v>
      </c>
      <c r="H55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56" s="66"/>
      <c r="J556" s="76">
        <v>2.2999999999999998</v>
      </c>
      <c r="K556" s="66" t="str">
        <f>IF(_xlfn.XLOOKUP($J556,Catalogo!$B$7:$B$210,Catalogo!$I$7:$I$210,"",0)=0,"",_xlfn.XLOOKUP($J556,Catalogo!$B$7:$B$210,Catalogo!$I$7:$I$210,"",0))</f>
        <v>DCVG</v>
      </c>
      <c r="L556" s="36">
        <f>+_xlfn.XLOOKUP(Tabla1[[#This Row],[Ducto]],'R (s03)'!B:B,'R (s03)'!C:C)</f>
        <v>2.1000000000000001E-2</v>
      </c>
      <c r="M55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56" s="389">
        <v>0</v>
      </c>
      <c r="Q556" s="389">
        <v>500</v>
      </c>
    </row>
    <row r="557" spans="1:18" x14ac:dyDescent="0.25">
      <c r="A557" s="356">
        <v>46239</v>
      </c>
      <c r="B557" s="116" t="s">
        <v>12</v>
      </c>
      <c r="C557" s="157" t="s">
        <v>329</v>
      </c>
      <c r="D557" s="39" t="s">
        <v>242</v>
      </c>
      <c r="E557" s="40" t="s">
        <v>28</v>
      </c>
      <c r="F557" s="28">
        <v>47</v>
      </c>
      <c r="G557" s="28">
        <v>62</v>
      </c>
      <c r="H55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57" s="66"/>
      <c r="J557" s="76">
        <v>2.1</v>
      </c>
      <c r="K557" s="66" t="str">
        <f>IF(_xlfn.XLOOKUP($J557,Catalogo!$B$7:$B$210,Catalogo!$I$7:$I$210,"",0)=0,"",_xlfn.XLOOKUP($J557,Catalogo!$B$7:$B$210,Catalogo!$I$7:$I$210,"",0))</f>
        <v>CIPS</v>
      </c>
      <c r="L557" s="36">
        <f>+_xlfn.XLOOKUP(Tabla1[[#This Row],[Ducto]],'R (s03)'!B:B,'R (s03)'!C:C)</f>
        <v>6.2E-2</v>
      </c>
      <c r="M55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57" s="389">
        <v>500</v>
      </c>
      <c r="Q557" s="389">
        <v>1600</v>
      </c>
    </row>
    <row r="558" spans="1:18" x14ac:dyDescent="0.25">
      <c r="A558" s="356">
        <v>46239</v>
      </c>
      <c r="B558" s="116" t="s">
        <v>12</v>
      </c>
      <c r="C558" s="157" t="s">
        <v>329</v>
      </c>
      <c r="D558" s="39" t="s">
        <v>242</v>
      </c>
      <c r="E558" s="40" t="s">
        <v>16</v>
      </c>
      <c r="F558" s="28">
        <v>47</v>
      </c>
      <c r="G558" s="28">
        <v>62</v>
      </c>
      <c r="H55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58" s="66"/>
      <c r="J558" s="76">
        <v>2.6</v>
      </c>
      <c r="K558" s="66" t="str">
        <f>IF(_xlfn.XLOOKUP($J558,Catalogo!$B$7:$B$210,Catalogo!$I$7:$I$210,"",0)=0,"",_xlfn.XLOOKUP($J558,Catalogo!$B$7:$B$210,Catalogo!$I$7:$I$210,"",0))</f>
        <v>Localizacion</v>
      </c>
      <c r="L558" s="36">
        <f>+_xlfn.XLOOKUP(Tabla1[[#This Row],[Ducto]],'R (s03)'!B:B,'R (s03)'!C:C)</f>
        <v>6.2E-2</v>
      </c>
      <c r="M55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58" s="389">
        <v>1600</v>
      </c>
      <c r="Q558" s="389">
        <v>2300</v>
      </c>
    </row>
    <row r="559" spans="1:18" x14ac:dyDescent="0.25">
      <c r="A559" s="356">
        <v>46240</v>
      </c>
      <c r="B559" s="116" t="s">
        <v>12</v>
      </c>
      <c r="C559" s="157" t="s">
        <v>329</v>
      </c>
      <c r="D559" s="39" t="s">
        <v>217</v>
      </c>
      <c r="E559" s="40" t="s">
        <v>36</v>
      </c>
      <c r="F559" s="28">
        <v>0</v>
      </c>
      <c r="G559" s="28">
        <v>3300</v>
      </c>
      <c r="H559" s="226">
        <f>IF(Tabla1[[#This Row],[Codigo_actividad]]&lt;&gt;2.5,IF(((Tabla1[[#This Row],[fin]]-Tabla1[[#This Row],[inicio]])/1000)=0,"",((Tabla1[[#This Row],[fin]]-Tabla1[[#This Row],[inicio]])/1000)),"")</f>
        <v>3.3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5.8719999999999999</v>
      </c>
      <c r="M55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59" s="354">
        <f>+P560-Q558</f>
        <v>1000</v>
      </c>
    </row>
    <row r="560" spans="1:18" x14ac:dyDescent="0.25">
      <c r="A560" s="356">
        <v>46241</v>
      </c>
      <c r="B560" s="116" t="s">
        <v>12</v>
      </c>
      <c r="C560" s="157" t="s">
        <v>411</v>
      </c>
      <c r="D560" s="39" t="s">
        <v>264</v>
      </c>
      <c r="E560" s="40" t="s">
        <v>36</v>
      </c>
      <c r="F560" s="28">
        <v>0</v>
      </c>
      <c r="G560" s="28">
        <v>2077</v>
      </c>
      <c r="H560" s="226">
        <f>IF(Tabla1[[#This Row],[Codigo_actividad]]&lt;&gt;2.5,IF(((Tabla1[[#This Row],[fin]]-Tabla1[[#This Row],[inicio]])/1000)=0,"",((Tabla1[[#This Row],[fin]]-Tabla1[[#This Row],[inicio]])/1000)),"")</f>
        <v>2.077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(s04)'!B:B,'R (s04)'!C:C)</f>
        <v>2.077</v>
      </c>
      <c r="M56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60" s="389">
        <v>3300</v>
      </c>
      <c r="Q560" s="389">
        <v>3400</v>
      </c>
    </row>
    <row r="561" spans="1:18" x14ac:dyDescent="0.25">
      <c r="A561" s="356">
        <v>46241</v>
      </c>
      <c r="B561" s="116" t="s">
        <v>12</v>
      </c>
      <c r="C561" s="157" t="s">
        <v>329</v>
      </c>
      <c r="D561" s="39" t="s">
        <v>215</v>
      </c>
      <c r="E561" s="40" t="s">
        <v>36</v>
      </c>
      <c r="F561" s="28">
        <v>0</v>
      </c>
      <c r="G561" s="28">
        <v>1920</v>
      </c>
      <c r="H561" s="226">
        <f>IF(Tabla1[[#This Row],[Codigo_actividad]]&lt;&gt;2.5,IF(((Tabla1[[#This Row],[fin]]-Tabla1[[#This Row],[inicio]])/1000)=0,"",((Tabla1[[#This Row],[fin]]-Tabla1[[#This Row],[inicio]])/1000)),"")</f>
        <v>1.92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1.92</v>
      </c>
      <c r="M56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61" s="389">
        <v>3400</v>
      </c>
      <c r="Q561" s="389">
        <v>5872</v>
      </c>
      <c r="R561" s="354"/>
    </row>
    <row r="562" spans="1:18" x14ac:dyDescent="0.25">
      <c r="A562" s="356">
        <v>46243</v>
      </c>
      <c r="B562" s="116" t="s">
        <v>12</v>
      </c>
      <c r="C562" s="157" t="s">
        <v>329</v>
      </c>
      <c r="D562" s="39" t="s">
        <v>217</v>
      </c>
      <c r="E562" s="40" t="s">
        <v>28</v>
      </c>
      <c r="F562" s="28">
        <v>3400</v>
      </c>
      <c r="G562" s="28">
        <v>5872</v>
      </c>
      <c r="H562" s="226">
        <f>IF(Tabla1[[#This Row],[Codigo_actividad]]&lt;&gt;2.5,IF(((Tabla1[[#This Row],[fin]]-Tabla1[[#This Row],[inicio]])/1000)=0,"",((Tabla1[[#This Row],[fin]]-Tabla1[[#This Row],[inicio]])/1000)),"")</f>
        <v>2.472</v>
      </c>
      <c r="I562" s="66"/>
      <c r="J562" s="76">
        <v>2.1</v>
      </c>
      <c r="K562" s="66" t="str">
        <f>IF(_xlfn.XLOOKUP($J562,Catalogo!$B$7:$B$210,Catalogo!$I$7:$I$210,"",0)=0,"",_xlfn.XLOOKUP($J562,Catalogo!$B$7:$B$210,Catalogo!$I$7:$I$210,"",0))</f>
        <v>CIPS</v>
      </c>
      <c r="L562" s="36">
        <f>+_xlfn.XLOOKUP(Tabla1[[#This Row],[Ducto]],'R (s03)'!B:B,'R (s03)'!C:C)</f>
        <v>5.8719999999999999</v>
      </c>
      <c r="M56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63" spans="1:18" x14ac:dyDescent="0.25">
      <c r="A563" s="356"/>
      <c r="C563" s="157"/>
      <c r="D563" s="39"/>
      <c r="F563" s="28"/>
      <c r="G563" s="28"/>
      <c r="H563" s="226" t="str">
        <f>IF(Tabla1[[#This Row],[Codigo_actividad]]&lt;&gt;2.5,IF(((Tabla1[[#This Row],[fin]]-Tabla1[[#This Row],[inicio]])/1000)=0,"",((Tabla1[[#This Row],[fin]]-Tabla1[[#This Row],[inicio]])/1000)),"")</f>
        <v/>
      </c>
      <c r="J563" s="76"/>
      <c r="K563" s="66" t="str">
        <f>IF(_xlfn.XLOOKUP($J563,Catalogo!$B$7:$B$21,Catalogo!$I$7:$I$21,"",0)=0,"",_xlfn.XLOOKUP($J563,Catalogo!$B$7:$B$21,Catalogo!$I$7:$I$21,"",0))</f>
        <v/>
      </c>
      <c r="L563" s="36"/>
      <c r="M563" s="263">
        <f>IF(Tabla1[[#This Row],[Avance_km]]&lt;&gt;"",Tabla1[[#This Row],[Avance_km]],Tabla1[[#This Row],[Avance_Med]])*_xlfn.XLOOKUP(Tabla1[[#This Row],[Codigo_actividad]],Catalogo!$B$6:$B$51,Catalogo!$F$6:$F$51,0)</f>
        <v>0</v>
      </c>
      <c r="N563" t="str">
        <f>_xlfn.IFNA(_xlfn.XLOOKUP(Tabla1[[#This Row],[fin]],$P$379:$P$386,$T$379:$T$386),"")</f>
        <v/>
      </c>
    </row>
    <row r="564" spans="1:18" x14ac:dyDescent="0.25">
      <c r="A564" s="356">
        <v>46247</v>
      </c>
      <c r="B564" s="116" t="s">
        <v>12</v>
      </c>
      <c r="C564" s="157" t="s">
        <v>329</v>
      </c>
      <c r="D564" s="39" t="s">
        <v>217</v>
      </c>
      <c r="E564" s="40" t="s">
        <v>36</v>
      </c>
      <c r="F564" s="28">
        <v>3300</v>
      </c>
      <c r="G564" s="28">
        <v>5872</v>
      </c>
      <c r="H56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5.8719999999999999</v>
      </c>
      <c r="M56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65" spans="1:18" x14ac:dyDescent="0.25">
      <c r="A565" s="356">
        <v>46248</v>
      </c>
      <c r="B565" s="116" t="s">
        <v>12</v>
      </c>
      <c r="C565" s="157" t="s">
        <v>329</v>
      </c>
      <c r="D565" s="39" t="s">
        <v>248</v>
      </c>
      <c r="E565" s="40" t="s">
        <v>16</v>
      </c>
      <c r="F565" s="28">
        <v>0</v>
      </c>
      <c r="G565" s="28">
        <v>6</v>
      </c>
      <c r="H56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65" s="66"/>
      <c r="J565" s="76">
        <v>2.6</v>
      </c>
      <c r="K565" s="66" t="str">
        <f>IF(_xlfn.XLOOKUP($J565,Catalogo!$B$7:$B$210,Catalogo!$I$7:$I$210,"",0)=0,"",_xlfn.XLOOKUP($J565,Catalogo!$B$7:$B$210,Catalogo!$I$7:$I$210,"",0))</f>
        <v>Localizacion</v>
      </c>
      <c r="L565" s="36">
        <f>+_xlfn.XLOOKUP(Tabla1[[#This Row],[Ducto]],'R (s03)'!B:B,'R (s03)'!C:C)</f>
        <v>6.0000000000000001E-3</v>
      </c>
      <c r="M56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66" spans="1:18" x14ac:dyDescent="0.25">
      <c r="A566" s="356">
        <v>46248</v>
      </c>
      <c r="B566" s="116" t="s">
        <v>12</v>
      </c>
      <c r="C566" s="157" t="s">
        <v>329</v>
      </c>
      <c r="D566" s="39" t="s">
        <v>248</v>
      </c>
      <c r="E566" s="40" t="s">
        <v>28</v>
      </c>
      <c r="F566" s="28">
        <v>0</v>
      </c>
      <c r="G566" s="28">
        <v>6</v>
      </c>
      <c r="H56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66" s="66"/>
      <c r="J566" s="76">
        <v>2.1</v>
      </c>
      <c r="K566" s="66" t="str">
        <f>IF(_xlfn.XLOOKUP($J566,Catalogo!$B$7:$B$210,Catalogo!$I$7:$I$210,"",0)=0,"",_xlfn.XLOOKUP($J566,Catalogo!$B$7:$B$210,Catalogo!$I$7:$I$210,"",0))</f>
        <v>CIPS</v>
      </c>
      <c r="L566" s="36">
        <f>+_xlfn.XLOOKUP(Tabla1[[#This Row],[Ducto]],'R (s03)'!B:B,'R (s03)'!C:C)</f>
        <v>6.0000000000000001E-3</v>
      </c>
      <c r="M56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67" spans="1:18" x14ac:dyDescent="0.25">
      <c r="A567" s="356">
        <v>46249</v>
      </c>
      <c r="B567" s="116" t="s">
        <v>12</v>
      </c>
      <c r="C567" s="157" t="s">
        <v>411</v>
      </c>
      <c r="D567" s="39" t="s">
        <v>351</v>
      </c>
      <c r="E567" s="40" t="s">
        <v>16</v>
      </c>
      <c r="F567" s="28">
        <v>0</v>
      </c>
      <c r="G567" s="28">
        <v>845</v>
      </c>
      <c r="H56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67" s="66"/>
      <c r="J567" s="76">
        <v>2.6</v>
      </c>
      <c r="K567" s="66" t="str">
        <f>IF(_xlfn.XLOOKUP($J567,Catalogo!$B$7:$B$210,Catalogo!$I$7:$I$210,"",0)=0,"",_xlfn.XLOOKUP($J567,Catalogo!$B$7:$B$210,Catalogo!$I$7:$I$210,"",0))</f>
        <v>Localizacion</v>
      </c>
      <c r="L567" s="36">
        <f>+_xlfn.XLOOKUP(Tabla1[[#This Row],[Ducto]],'R (s04)'!B:B,'R (s04)'!C:C)</f>
        <v>47.596499999999999</v>
      </c>
      <c r="M56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68" spans="1:18" x14ac:dyDescent="0.25">
      <c r="A568" s="356">
        <v>46248</v>
      </c>
      <c r="B568" s="116" t="s">
        <v>12</v>
      </c>
      <c r="C568" s="157" t="s">
        <v>329</v>
      </c>
      <c r="D568" s="39" t="s">
        <v>248</v>
      </c>
      <c r="E568" s="40" t="s">
        <v>36</v>
      </c>
      <c r="F568" s="28">
        <v>0</v>
      </c>
      <c r="G568" s="28">
        <v>6</v>
      </c>
      <c r="H568" s="226">
        <v>6.0000000000000001E-3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v>6.0000000000000001E-3</v>
      </c>
      <c r="M56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69" spans="1:18" x14ac:dyDescent="0.25">
      <c r="A569" s="356">
        <v>46250</v>
      </c>
      <c r="B569" s="116" t="s">
        <v>12</v>
      </c>
      <c r="C569" s="157" t="s">
        <v>411</v>
      </c>
      <c r="D569" s="39" t="s">
        <v>351</v>
      </c>
      <c r="E569" s="40" t="s">
        <v>16</v>
      </c>
      <c r="F569" s="28">
        <v>845</v>
      </c>
      <c r="G569" s="28">
        <v>1920</v>
      </c>
      <c r="H569" s="226">
        <f>IF(Tabla1[[#This Row],[Codigo_actividad]]&lt;&gt;2.5,IF(((Tabla1[[#This Row],[fin]]-Tabla1[[#This Row],[inicio]])/1000)=0,"",((Tabla1[[#This Row],[fin]]-Tabla1[[#This Row],[inicio]])/1000)),"")</f>
        <v>1.075</v>
      </c>
      <c r="I569" s="66"/>
      <c r="J569" s="76">
        <v>2.6</v>
      </c>
      <c r="K569" s="66" t="str">
        <f>IF(_xlfn.XLOOKUP($J569,Catalogo!$B$7:$B$210,Catalogo!$I$7:$I$210,"",0)=0,"",_xlfn.XLOOKUP($J569,Catalogo!$B$7:$B$210,Catalogo!$I$7:$I$210,"",0))</f>
        <v>Localizacion</v>
      </c>
      <c r="L569" s="36">
        <f>+_xlfn.XLOOKUP(Tabla1[[#This Row],[Ducto]],'R (s04)'!B:B,'R (s04)'!C:C)</f>
        <v>47.596499999999999</v>
      </c>
      <c r="M56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70" spans="1:18" x14ac:dyDescent="0.25">
      <c r="A570" s="356"/>
      <c r="C570" s="157"/>
      <c r="D570" s="39"/>
      <c r="F570" s="28"/>
      <c r="G570" s="28"/>
      <c r="H570" s="226" t="str">
        <f>IF(Tabla1[[#This Row],[Codigo_actividad]]&lt;&gt;2.5,IF(((Tabla1[[#This Row],[fin]]-Tabla1[[#This Row],[inicio]])/1000)=0,"",((Tabla1[[#This Row],[fin]]-Tabla1[[#This Row],[inicio]])/1000)),"")</f>
        <v/>
      </c>
      <c r="J570" s="76"/>
      <c r="K570" s="66" t="str">
        <f>IF(_xlfn.XLOOKUP($J570,Catalogo!$B$7:$B$21,Catalogo!$I$7:$I$21,"",0)=0,"",_xlfn.XLOOKUP($J570,Catalogo!$B$7:$B$21,Catalogo!$I$7:$I$21,"",0))</f>
        <v/>
      </c>
      <c r="L570" s="36"/>
      <c r="M570" s="263">
        <f>IF(Tabla1[[#This Row],[Avance_km]]&lt;&gt;"",Tabla1[[#This Row],[Avance_km]],Tabla1[[#This Row],[Avance_Med]])*_xlfn.XLOOKUP(Tabla1[[#This Row],[Codigo_actividad]],Catalogo!$B$6:$B$51,Catalogo!$F$6:$F$51,0)</f>
        <v>0</v>
      </c>
      <c r="N570" t="str">
        <f>_xlfn.IFNA(_xlfn.XLOOKUP(Tabla1[[#This Row],[fin]],$P$379:$P$386,$T$379:$T$386),"")</f>
        <v/>
      </c>
    </row>
    <row r="571" spans="1:18" x14ac:dyDescent="0.25">
      <c r="A571" s="356">
        <v>46251</v>
      </c>
      <c r="B571" s="116" t="s">
        <v>12</v>
      </c>
      <c r="C571" s="157" t="s">
        <v>411</v>
      </c>
      <c r="D571" s="39" t="s">
        <v>351</v>
      </c>
      <c r="E571" s="40" t="s">
        <v>16</v>
      </c>
      <c r="F571" s="28">
        <v>1920</v>
      </c>
      <c r="G571" s="28">
        <v>4300</v>
      </c>
      <c r="H571" s="226">
        <f>IF(Tabla1[[#This Row],[Codigo_actividad]]&lt;&gt;2.5,IF(((Tabla1[[#This Row],[fin]]-Tabla1[[#This Row],[inicio]])/1000)=0,"",((Tabla1[[#This Row],[fin]]-Tabla1[[#This Row],[inicio]])/1000)),"")</f>
        <v>2.38</v>
      </c>
      <c r="I571" s="66"/>
      <c r="J571" s="76">
        <v>2.6</v>
      </c>
      <c r="K571" s="66" t="str">
        <f>IF(_xlfn.XLOOKUP($J571,Catalogo!$B$7:$B$210,Catalogo!$I$7:$I$210,"",0)=0,"",_xlfn.XLOOKUP($J571,Catalogo!$B$7:$B$210,Catalogo!$I$7:$I$210,"",0))</f>
        <v>Localizacion</v>
      </c>
      <c r="L571" s="36">
        <f>+_xlfn.XLOOKUP(Tabla1[[#This Row],[Ducto]],'R (s04)'!B:B,'R (s04)'!C:C)</f>
        <v>47.596499999999999</v>
      </c>
      <c r="M57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72" spans="1:18" x14ac:dyDescent="0.25">
      <c r="A572" s="356">
        <v>46252</v>
      </c>
      <c r="B572" s="116" t="s">
        <v>12</v>
      </c>
      <c r="C572" s="157" t="s">
        <v>411</v>
      </c>
      <c r="D572" s="39" t="s">
        <v>351</v>
      </c>
      <c r="E572" s="40" t="s">
        <v>28</v>
      </c>
      <c r="F572" s="28">
        <v>0</v>
      </c>
      <c r="G572" s="28">
        <v>2981</v>
      </c>
      <c r="H57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72" s="66"/>
      <c r="J572" s="76">
        <v>2.1</v>
      </c>
      <c r="K572" s="66" t="str">
        <f>IF(_xlfn.XLOOKUP($J572,Catalogo!$B$7:$B$210,Catalogo!$I$7:$I$210,"",0)=0,"",_xlfn.XLOOKUP($J572,Catalogo!$B$7:$B$210,Catalogo!$I$7:$I$210,"",0))</f>
        <v>CIPS</v>
      </c>
      <c r="L572" s="36">
        <f>+_xlfn.XLOOKUP(Tabla1[[#This Row],[Ducto]],'R (s04)'!B:B,'R (s04)'!C:C)</f>
        <v>47.596499999999999</v>
      </c>
      <c r="M57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73" spans="1:18" x14ac:dyDescent="0.25">
      <c r="A573" s="356">
        <v>46253</v>
      </c>
      <c r="B573" s="116" t="s">
        <v>12</v>
      </c>
      <c r="C573" s="157" t="s">
        <v>411</v>
      </c>
      <c r="D573" s="39" t="s">
        <v>351</v>
      </c>
      <c r="E573" s="40" t="s">
        <v>16</v>
      </c>
      <c r="F573" s="28">
        <v>4300</v>
      </c>
      <c r="G573" s="28">
        <v>5320</v>
      </c>
      <c r="H573" s="226">
        <f>IF(Tabla1[[#This Row],[Codigo_actividad]]&lt;&gt;2.5,IF(((Tabla1[[#This Row],[fin]]-Tabla1[[#This Row],[inicio]])/1000)=0,"",((Tabla1[[#This Row],[fin]]-Tabla1[[#This Row],[inicio]])/1000)),"")</f>
        <v>1.02</v>
      </c>
      <c r="I573" s="66"/>
      <c r="J573" s="76">
        <v>2.6</v>
      </c>
      <c r="K573" s="66" t="str">
        <f>IF(_xlfn.XLOOKUP($J573,Catalogo!$B$7:$B$210,Catalogo!$I$7:$I$210,"",0)=0,"",_xlfn.XLOOKUP($J573,Catalogo!$B$7:$B$210,Catalogo!$I$7:$I$210,"",0))</f>
        <v>Localizacion</v>
      </c>
      <c r="L573" s="36">
        <f>+_xlfn.XLOOKUP(Tabla1[[#This Row],[Ducto]],'R (s04)'!B:B,'R (s04)'!C:C)</f>
        <v>47.596499999999999</v>
      </c>
      <c r="M57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74" spans="1:18" x14ac:dyDescent="0.25">
      <c r="A574" s="356">
        <v>46253</v>
      </c>
      <c r="B574" s="116" t="s">
        <v>12</v>
      </c>
      <c r="C574" s="157" t="s">
        <v>411</v>
      </c>
      <c r="D574" s="39" t="s">
        <v>351</v>
      </c>
      <c r="E574" s="40" t="s">
        <v>16</v>
      </c>
      <c r="F574" s="28">
        <v>5930</v>
      </c>
      <c r="G574" s="28">
        <v>7540</v>
      </c>
      <c r="H574" s="226">
        <f>IF(Tabla1[[#This Row],[Codigo_actividad]]&lt;&gt;2.5,IF(((Tabla1[[#This Row],[fin]]-Tabla1[[#This Row],[inicio]])/1000)=0,"",((Tabla1[[#This Row],[fin]]-Tabla1[[#This Row],[inicio]])/1000)),"")</f>
        <v>1.61</v>
      </c>
      <c r="I574" s="66"/>
      <c r="J574" s="76">
        <v>2.6</v>
      </c>
      <c r="K574" s="66" t="str">
        <f>IF(_xlfn.XLOOKUP($J574,Catalogo!$B$7:$B$210,Catalogo!$I$7:$I$210,"",0)=0,"",_xlfn.XLOOKUP($J574,Catalogo!$B$7:$B$210,Catalogo!$I$7:$I$210,"",0))</f>
        <v>Localizacion</v>
      </c>
      <c r="L574" s="36">
        <f>+_xlfn.XLOOKUP(Tabla1[[#This Row],[Ducto]],'R (s04)'!B:B,'R (s04)'!C:C)</f>
        <v>47.596499999999999</v>
      </c>
      <c r="M57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75" spans="1:18" x14ac:dyDescent="0.25">
      <c r="A575" s="356">
        <v>46254</v>
      </c>
      <c r="B575" s="116" t="s">
        <v>12</v>
      </c>
      <c r="C575" s="157" t="s">
        <v>411</v>
      </c>
      <c r="D575" s="39" t="s">
        <v>351</v>
      </c>
      <c r="E575" s="40" t="s">
        <v>28</v>
      </c>
      <c r="F575" s="28">
        <v>2981</v>
      </c>
      <c r="G575" s="28">
        <v>4939</v>
      </c>
      <c r="H575" s="226">
        <f>IF(Tabla1[[#This Row],[Codigo_actividad]]&lt;&gt;2.5,IF(((Tabla1[[#This Row],[fin]]-Tabla1[[#This Row],[inicio]])/1000)=0,"",((Tabla1[[#This Row],[fin]]-Tabla1[[#This Row],[inicio]])/1000)),"")</f>
        <v>1.958</v>
      </c>
      <c r="I575" s="66"/>
      <c r="J575" s="76">
        <v>2.1</v>
      </c>
      <c r="K575" s="66" t="str">
        <f>IF(_xlfn.XLOOKUP($J575,Catalogo!$B$7:$B$210,Catalogo!$I$7:$I$210,"",0)=0,"",_xlfn.XLOOKUP($J575,Catalogo!$B$7:$B$210,Catalogo!$I$7:$I$210,"",0))</f>
        <v>CIPS</v>
      </c>
      <c r="L575" s="36">
        <f>+_xlfn.XLOOKUP(Tabla1[[#This Row],[Ducto]],'R (s04)'!B:B,'R (s04)'!C:C)</f>
        <v>47.596499999999999</v>
      </c>
      <c r="M57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76" spans="1:18" x14ac:dyDescent="0.25">
      <c r="A576" s="356">
        <v>46255</v>
      </c>
      <c r="B576" s="116" t="s">
        <v>12</v>
      </c>
      <c r="C576" s="157" t="s">
        <v>411</v>
      </c>
      <c r="D576" s="39" t="s">
        <v>351</v>
      </c>
      <c r="E576" s="40" t="s">
        <v>28</v>
      </c>
      <c r="F576" s="28">
        <v>4939</v>
      </c>
      <c r="G576" s="28">
        <v>7540</v>
      </c>
      <c r="H576" s="226">
        <f>IF(Tabla1[[#This Row],[Codigo_actividad]]&lt;&gt;2.5,IF(((Tabla1[[#This Row],[fin]]-Tabla1[[#This Row],[inicio]])/1000)=0,"",((Tabla1[[#This Row],[fin]]-Tabla1[[#This Row],[inicio]])/1000)),"")</f>
        <v>2.601</v>
      </c>
      <c r="I576" s="66"/>
      <c r="J576" s="76">
        <v>2.1</v>
      </c>
      <c r="K576" s="66" t="str">
        <f>IF(_xlfn.XLOOKUP($J576,Catalogo!$B$7:$B$210,Catalogo!$I$7:$I$210,"",0)=0,"",_xlfn.XLOOKUP($J576,Catalogo!$B$7:$B$210,Catalogo!$I$7:$I$210,"",0))</f>
        <v>CIPS</v>
      </c>
      <c r="L576" s="36">
        <f>+_xlfn.XLOOKUP(Tabla1[[#This Row],[Ducto]],'R (s04)'!B:B,'R (s04)'!C:C)</f>
        <v>47.596499999999999</v>
      </c>
      <c r="M57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77" spans="1:14" x14ac:dyDescent="0.25">
      <c r="A577" s="356">
        <v>46255</v>
      </c>
      <c r="B577" s="116" t="s">
        <v>12</v>
      </c>
      <c r="C577" s="157" t="s">
        <v>411</v>
      </c>
      <c r="D577" s="39" t="s">
        <v>351</v>
      </c>
      <c r="E577" s="40" t="s">
        <v>16</v>
      </c>
      <c r="F577" s="28">
        <v>5320</v>
      </c>
      <c r="G577" s="28">
        <v>5930</v>
      </c>
      <c r="H577" s="226">
        <f>IF(Tabla1[[#This Row],[Codigo_actividad]]&lt;&gt;2.5,IF(((Tabla1[[#This Row],[fin]]-Tabla1[[#This Row],[inicio]])/1000)=0,"",((Tabla1[[#This Row],[fin]]-Tabla1[[#This Row],[inicio]])/1000)),"")</f>
        <v>0.61</v>
      </c>
      <c r="I577" s="66"/>
      <c r="J577" s="76">
        <v>2.6</v>
      </c>
      <c r="K577" s="66" t="str">
        <f>IF(_xlfn.XLOOKUP($J577,Catalogo!$B$7:$B$210,Catalogo!$I$7:$I$210,"",0)=0,"",_xlfn.XLOOKUP($J577,Catalogo!$B$7:$B$210,Catalogo!$I$7:$I$210,"",0))</f>
        <v>Localizacion</v>
      </c>
      <c r="L577" s="36">
        <f>+_xlfn.XLOOKUP(Tabla1[[#This Row],[Ducto]],'R (s04)'!B:B,'R (s04)'!C:C)</f>
        <v>47.596499999999999</v>
      </c>
      <c r="M57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78" spans="1:14" x14ac:dyDescent="0.25">
      <c r="A578" s="356">
        <v>46256</v>
      </c>
      <c r="B578" s="116" t="s">
        <v>12</v>
      </c>
      <c r="C578" s="157" t="s">
        <v>411</v>
      </c>
      <c r="D578" s="39" t="s">
        <v>351</v>
      </c>
      <c r="E578" s="40" t="s">
        <v>16</v>
      </c>
      <c r="F578" s="28">
        <v>7540</v>
      </c>
      <c r="G578" s="28">
        <v>8040</v>
      </c>
      <c r="H578" s="226">
        <f>IF(Tabla1[[#This Row],[Codigo_actividad]]&lt;&gt;2.5,IF(((Tabla1[[#This Row],[fin]]-Tabla1[[#This Row],[inicio]])/1000)=0,"",((Tabla1[[#This Row],[fin]]-Tabla1[[#This Row],[inicio]])/1000)),"")</f>
        <v>0.5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(s04)'!B:B,'R (s04)'!C:C)</f>
        <v>47.596499999999999</v>
      </c>
      <c r="M57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79" spans="1:14" x14ac:dyDescent="0.25">
      <c r="A579" s="356">
        <v>46256</v>
      </c>
      <c r="B579" s="116" t="s">
        <v>12</v>
      </c>
      <c r="C579" s="157" t="s">
        <v>411</v>
      </c>
      <c r="D579" s="39" t="s">
        <v>351</v>
      </c>
      <c r="E579" s="40" t="s">
        <v>16</v>
      </c>
      <c r="F579" s="28">
        <v>8720</v>
      </c>
      <c r="G579" s="28">
        <v>9070</v>
      </c>
      <c r="H579" s="226">
        <f>IF(Tabla1[[#This Row],[Codigo_actividad]]&lt;&gt;2.5,IF(((Tabla1[[#This Row],[fin]]-Tabla1[[#This Row],[inicio]])/1000)=0,"",((Tabla1[[#This Row],[fin]]-Tabla1[[#This Row],[inicio]])/1000)),"")</f>
        <v>0.35</v>
      </c>
      <c r="I579" s="66"/>
      <c r="J579" s="76">
        <v>2.6</v>
      </c>
      <c r="K579" s="66" t="str">
        <f>IF(_xlfn.XLOOKUP($J579,Catalogo!$B$7:$B$210,Catalogo!$I$7:$I$210,"",0)=0,"",_xlfn.XLOOKUP($J579,Catalogo!$B$7:$B$210,Catalogo!$I$7:$I$210,"",0))</f>
        <v>Localizacion</v>
      </c>
      <c r="L579" s="36">
        <f>+_xlfn.XLOOKUP(Tabla1[[#This Row],[Ducto]],'R (s04)'!B:B,'R (s04)'!C:C)</f>
        <v>47.596499999999999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580" spans="1:14" x14ac:dyDescent="0.25">
      <c r="A580" s="356"/>
      <c r="C580" s="157"/>
      <c r="D580" s="39"/>
      <c r="F580" s="28"/>
      <c r="G580" s="28"/>
      <c r="H580" s="226" t="str">
        <f>IF(Tabla1[[#This Row],[Codigo_actividad]]&lt;&gt;2.5,IF(((Tabla1[[#This Row],[fin]]-Tabla1[[#This Row],[inicio]])/1000)=0,"",((Tabla1[[#This Row],[fin]]-Tabla1[[#This Row],[inicio]])/1000)),"")</f>
        <v/>
      </c>
      <c r="J580" s="76"/>
      <c r="K580" s="66" t="str">
        <f>IF(_xlfn.XLOOKUP($J580,Catalogo!$B$7:$B$21,Catalogo!$I$7:$I$21,"",0)=0,"",_xlfn.XLOOKUP($J580,Catalogo!$B$7:$B$21,Catalogo!$I$7:$I$21,"",0))</f>
        <v/>
      </c>
      <c r="L580" s="36"/>
      <c r="M580" s="263">
        <f>IF(Tabla1[[#This Row],[Avance_km]]&lt;&gt;"",Tabla1[[#This Row],[Avance_km]],Tabla1[[#This Row],[Avance_Med]])*_xlfn.XLOOKUP(Tabla1[[#This Row],[Codigo_actividad]],Catalogo!$B$6:$B$51,Catalogo!$F$6:$F$51,0)</f>
        <v>0</v>
      </c>
      <c r="N580" t="str">
        <f>_xlfn.IFNA(_xlfn.XLOOKUP(Tabla1[[#This Row],[fin]],$P$379:$P$386,$T$379:$T$386),"")</f>
        <v/>
      </c>
    </row>
    <row r="581" spans="1:14" x14ac:dyDescent="0.25">
      <c r="A581" s="356">
        <v>46258</v>
      </c>
      <c r="B581" s="116" t="s">
        <v>12</v>
      </c>
      <c r="C581" s="157" t="s">
        <v>411</v>
      </c>
      <c r="D581" s="39" t="s">
        <v>351</v>
      </c>
      <c r="E581" s="40" t="s">
        <v>16</v>
      </c>
      <c r="F581" s="28">
        <v>8040</v>
      </c>
      <c r="G581" s="28">
        <v>8720</v>
      </c>
      <c r="H581" s="226">
        <f>IF(Tabla1[[#This Row],[Codigo_actividad]]&lt;&gt;2.5,IF(((Tabla1[[#This Row],[fin]]-Tabla1[[#This Row],[inicio]])/1000)=0,"",((Tabla1[[#This Row],[fin]]-Tabla1[[#This Row],[inicio]])/1000)),"")</f>
        <v>0.68</v>
      </c>
      <c r="I581" s="66"/>
      <c r="J581" s="76">
        <v>2.6</v>
      </c>
      <c r="K581" s="66" t="str">
        <f>IF(_xlfn.XLOOKUP($J581,Catalogo!$B$7:$B$210,Catalogo!$I$7:$I$210,"",0)=0,"",_xlfn.XLOOKUP($J581,Catalogo!$B$7:$B$210,Catalogo!$I$7:$I$210,"",0))</f>
        <v>Localizacion</v>
      </c>
      <c r="L581" s="36">
        <f>+_xlfn.XLOOKUP(Tabla1[[#This Row],[Ducto]],'R (s04)'!B:B,'R (s04)'!C:C)</f>
        <v>47.596499999999999</v>
      </c>
      <c r="M58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582" spans="1:14" x14ac:dyDescent="0.25">
      <c r="A582" s="356">
        <v>46258</v>
      </c>
      <c r="B582" s="116" t="s">
        <v>12</v>
      </c>
      <c r="C582" s="157" t="s">
        <v>411</v>
      </c>
      <c r="D582" s="39" t="s">
        <v>351</v>
      </c>
      <c r="E582" s="40" t="s">
        <v>16</v>
      </c>
      <c r="F582" s="28">
        <v>9070</v>
      </c>
      <c r="G582" s="28">
        <v>10000</v>
      </c>
      <c r="H582" s="226">
        <f>IF(Tabla1[[#This Row],[Codigo_actividad]]&lt;&gt;2.5,IF(((Tabla1[[#This Row],[fin]]-Tabla1[[#This Row],[inicio]])/1000)=0,"",((Tabla1[[#This Row],[fin]]-Tabla1[[#This Row],[inicio]])/1000)),"")</f>
        <v>0.93</v>
      </c>
      <c r="I582" s="66"/>
      <c r="J582" s="76">
        <v>2.6</v>
      </c>
      <c r="K582" s="66" t="str">
        <f>IF(_xlfn.XLOOKUP($J582,Catalogo!$B$7:$B$210,Catalogo!$I$7:$I$210,"",0)=0,"",_xlfn.XLOOKUP($J582,Catalogo!$B$7:$B$210,Catalogo!$I$7:$I$210,"",0))</f>
        <v>Localizacion</v>
      </c>
      <c r="L582" s="36">
        <f>+_xlfn.XLOOKUP(Tabla1[[#This Row],[Ducto]],'R (s04)'!B:B,'R (s04)'!C:C)</f>
        <v>47.596499999999999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583" spans="1:14" x14ac:dyDescent="0.25">
      <c r="A583" s="356">
        <v>46262</v>
      </c>
      <c r="B583" s="116" t="s">
        <v>12</v>
      </c>
      <c r="C583" s="157" t="s">
        <v>411</v>
      </c>
      <c r="D583" s="39" t="s">
        <v>351</v>
      </c>
      <c r="E583" s="40" t="s">
        <v>16</v>
      </c>
      <c r="F583" s="28">
        <v>10800</v>
      </c>
      <c r="G583" s="28">
        <v>12149</v>
      </c>
      <c r="H583" s="226">
        <f>IF(Tabla1[[#This Row],[Codigo_actividad]]&lt;&gt;2.5,IF(((Tabla1[[#This Row],[fin]]-Tabla1[[#This Row],[inicio]])/1000)=0,"",((Tabla1[[#This Row],[fin]]-Tabla1[[#This Row],[inicio]])/1000)),"")</f>
        <v>1.349</v>
      </c>
      <c r="I583" s="66"/>
      <c r="J583" s="76">
        <v>2.6</v>
      </c>
      <c r="K583" s="66" t="str">
        <f>IF(_xlfn.XLOOKUP($J583,Catalogo!$B$7:$B$210,Catalogo!$I$7:$I$210,"",0)=0,"",_xlfn.XLOOKUP($J583,Catalogo!$B$7:$B$210,Catalogo!$I$7:$I$210,"",0))</f>
        <v>Localizacion</v>
      </c>
      <c r="L583" s="36">
        <f>+_xlfn.XLOOKUP(Tabla1[[#This Row],[Ducto]],'R (s04)'!B:B,'R (s04)'!C:C)</f>
        <v>47.596499999999999</v>
      </c>
      <c r="M58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584" spans="1:14" x14ac:dyDescent="0.25">
      <c r="A584" s="356"/>
      <c r="B584" s="116"/>
      <c r="C584" s="157"/>
      <c r="D584" s="39"/>
      <c r="F584" s="28"/>
      <c r="G584" s="28"/>
      <c r="H584" s="226" t="str">
        <f>IF(Tabla1[[#This Row],[Codigo_actividad]]&lt;&gt;2.5,IF(((Tabla1[[#This Row],[fin]]-Tabla1[[#This Row],[inicio]])/1000)=0,"",((Tabla1[[#This Row],[fin]]-Tabla1[[#This Row],[inicio]])/1000)),"")</f>
        <v/>
      </c>
      <c r="I584" s="66"/>
      <c r="J584" s="76"/>
      <c r="K584" s="66" t="str">
        <f>IF(_xlfn.XLOOKUP($J584,Catalogo!$B$7:$B$21,Catalogo!$I$7:$I$21,"",0)=0,"",_xlfn.XLOOKUP($J584,Catalogo!$B$7:$B$21,Catalogo!$I$7:$I$21,"",0))</f>
        <v/>
      </c>
      <c r="L584" s="36"/>
      <c r="M584" s="263">
        <f>IF(Tabla1[[#This Row],[Avance_km]]&lt;&gt;"",Tabla1[[#This Row],[Avance_km]],Tabla1[[#This Row],[Avance_Med]])*_xlfn.XLOOKUP(Tabla1[[#This Row],[Codigo_actividad]],Catalogo!$B$6:$B$51,Catalogo!$F$6:$F$51,0)</f>
        <v>0</v>
      </c>
      <c r="N584" t="str">
        <f>_xlfn.IFNA(_xlfn.XLOOKUP(Tabla1[[#This Row],[fin]],$P$379:$P$386,$T$379:$T$386),"")</f>
        <v/>
      </c>
    </row>
    <row r="585" spans="1:14" x14ac:dyDescent="0.25">
      <c r="A585" s="356">
        <v>46265</v>
      </c>
      <c r="B585" s="116" t="s">
        <v>12</v>
      </c>
      <c r="C585" s="157" t="s">
        <v>411</v>
      </c>
      <c r="D585" s="39" t="s">
        <v>351</v>
      </c>
      <c r="E585" s="40" t="s">
        <v>16</v>
      </c>
      <c r="F585" s="28">
        <v>10000</v>
      </c>
      <c r="G585" s="28">
        <v>10800</v>
      </c>
      <c r="H585" s="226">
        <f>IF(Tabla1[[#This Row],[Codigo_actividad]]&lt;&gt;2.5,IF(((Tabla1[[#This Row],[fin]]-Tabla1[[#This Row],[inicio]])/1000)=0,"",((Tabla1[[#This Row],[fin]]-Tabla1[[#This Row],[inicio]])/1000)),"")</f>
        <v>0.8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(s04)'!B:B,'R (s04)'!C:C)</f>
        <v>47.596499999999999</v>
      </c>
      <c r="M58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586" spans="1:14" x14ac:dyDescent="0.25">
      <c r="A586" s="356">
        <v>46266</v>
      </c>
      <c r="B586" s="116" t="s">
        <v>12</v>
      </c>
      <c r="C586" s="157" t="s">
        <v>411</v>
      </c>
      <c r="D586" s="39" t="s">
        <v>351</v>
      </c>
      <c r="E586" s="40" t="s">
        <v>16</v>
      </c>
      <c r="F586" s="28">
        <v>12149</v>
      </c>
      <c r="G586" s="28">
        <v>16914</v>
      </c>
      <c r="H586" s="226">
        <f>IF(Tabla1[[#This Row],[Codigo_actividad]]&lt;&gt;2.5,IF(((Tabla1[[#This Row],[fin]]-Tabla1[[#This Row],[inicio]])/1000)=0,"",((Tabla1[[#This Row],[fin]]-Tabla1[[#This Row],[inicio]])/1000)),"")</f>
        <v>4.7649999999999997</v>
      </c>
      <c r="I586" s="66"/>
      <c r="J586" s="76">
        <v>2.6</v>
      </c>
      <c r="K586" s="66" t="str">
        <f>IF(_xlfn.XLOOKUP($J586,Catalogo!$B$7:$B$210,Catalogo!$I$7:$I$210,"",0)=0,"",_xlfn.XLOOKUP($J586,Catalogo!$B$7:$B$210,Catalogo!$I$7:$I$210,"",0))</f>
        <v>Localizacion</v>
      </c>
      <c r="L586" s="36">
        <f>+_xlfn.XLOOKUP(Tabla1[[#This Row],[Ducto]],'R (s04)'!B:B,'R (s04)'!C:C)</f>
        <v>47.596499999999999</v>
      </c>
      <c r="M58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587" spans="1:14" x14ac:dyDescent="0.25">
      <c r="A587" s="356">
        <v>46267</v>
      </c>
      <c r="B587" s="116" t="s">
        <v>12</v>
      </c>
      <c r="C587" s="157" t="s">
        <v>411</v>
      </c>
      <c r="D587" s="39" t="s">
        <v>351</v>
      </c>
      <c r="E587" s="40" t="s">
        <v>28</v>
      </c>
      <c r="F587" s="28">
        <v>7540</v>
      </c>
      <c r="G587" s="28">
        <v>9340</v>
      </c>
      <c r="H587" s="226">
        <f>IF(Tabla1[[#This Row],[Codigo_actividad]]&lt;&gt;2.5,IF(((Tabla1[[#This Row],[fin]]-Tabla1[[#This Row],[inicio]])/1000)=0,"",((Tabla1[[#This Row],[fin]]-Tabla1[[#This Row],[inicio]])/1000)),"")</f>
        <v>1.8</v>
      </c>
      <c r="I587" s="66"/>
      <c r="J587" s="76">
        <v>2.1</v>
      </c>
      <c r="K587" s="66" t="str">
        <f>IF(_xlfn.XLOOKUP($J587,Catalogo!$B$7:$B$210,Catalogo!$I$7:$I$210,"",0)=0,"",_xlfn.XLOOKUP($J587,Catalogo!$B$7:$B$210,Catalogo!$I$7:$I$210,"",0))</f>
        <v>CIPS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588" spans="1:14" x14ac:dyDescent="0.25">
      <c r="A588" s="356">
        <v>46268</v>
      </c>
      <c r="B588" s="116" t="s">
        <v>12</v>
      </c>
      <c r="C588" s="157" t="s">
        <v>411</v>
      </c>
      <c r="D588" s="39" t="s">
        <v>351</v>
      </c>
      <c r="E588" s="40" t="s">
        <v>28</v>
      </c>
      <c r="F588" s="28">
        <v>9340</v>
      </c>
      <c r="G588" s="28">
        <v>10693</v>
      </c>
      <c r="H588" s="226">
        <f>IF(Tabla1[[#This Row],[Codigo_actividad]]&lt;&gt;2.5,IF(((Tabla1[[#This Row],[fin]]-Tabla1[[#This Row],[inicio]])/1000)=0,"",((Tabla1[[#This Row],[fin]]-Tabla1[[#This Row],[inicio]])/1000)),"")</f>
        <v>1.353</v>
      </c>
      <c r="I588" s="66"/>
      <c r="J588" s="76">
        <v>2.1</v>
      </c>
      <c r="K588" s="66" t="str">
        <f>IF(_xlfn.XLOOKUP($J588,Catalogo!$B$7:$B$210,Catalogo!$I$7:$I$210,"",0)=0,"",_xlfn.XLOOKUP($J588,Catalogo!$B$7:$B$210,Catalogo!$I$7:$I$210,"",0))</f>
        <v>CIPS</v>
      </c>
      <c r="L588" s="36">
        <f>+_xlfn.XLOOKUP(Tabla1[[#This Row],[Ducto]],'R (s04)'!B:B,'R (s04)'!C:C)</f>
        <v>47.596499999999999</v>
      </c>
      <c r="M58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589" spans="1:14" x14ac:dyDescent="0.25">
      <c r="A589" s="356"/>
      <c r="B589" s="116"/>
      <c r="C589" s="157"/>
      <c r="D589" s="39"/>
      <c r="F589" s="28"/>
      <c r="G589" s="28"/>
      <c r="H589" s="226" t="str">
        <f>IF(Tabla1[[#This Row],[Codigo_actividad]]&lt;&gt;2.5,IF(((Tabla1[[#This Row],[fin]]-Tabla1[[#This Row],[inicio]])/1000)=0,"",((Tabla1[[#This Row],[fin]]-Tabla1[[#This Row],[inicio]])/1000)),"")</f>
        <v/>
      </c>
      <c r="I589" s="66"/>
      <c r="J589" s="76"/>
      <c r="K589" s="66" t="str">
        <f>IF(_xlfn.XLOOKUP($J589,Catalogo!$B$7:$B$21,Catalogo!$I$7:$I$21,"",0)=0,"",_xlfn.XLOOKUP($J589,Catalogo!$B$7:$B$21,Catalogo!$I$7:$I$21,"",0))</f>
        <v/>
      </c>
      <c r="L589" s="36"/>
      <c r="M589" s="263">
        <f>IF(Tabla1[[#This Row],[Avance_km]]&lt;&gt;"",Tabla1[[#This Row],[Avance_km]],Tabla1[[#This Row],[Avance_Med]])*_xlfn.XLOOKUP(Tabla1[[#This Row],[Codigo_actividad]],Catalogo!$B$6:$B$51,Catalogo!$F$6:$F$51,0)</f>
        <v>0</v>
      </c>
      <c r="N589" t="str">
        <f>_xlfn.IFNA(_xlfn.XLOOKUP(Tabla1[[#This Row],[fin]],$P$379:$P$386,$T$379:$T$386),"")</f>
        <v/>
      </c>
    </row>
    <row r="590" spans="1:14" x14ac:dyDescent="0.25">
      <c r="A590" s="356">
        <v>46272</v>
      </c>
      <c r="B590" s="116" t="s">
        <v>12</v>
      </c>
      <c r="C590" s="157" t="s">
        <v>411</v>
      </c>
      <c r="D590" s="39" t="s">
        <v>351</v>
      </c>
      <c r="E590" s="40" t="s">
        <v>28</v>
      </c>
      <c r="F590" s="28">
        <v>10693</v>
      </c>
      <c r="G590" s="28">
        <v>11425</v>
      </c>
      <c r="H59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590" s="66"/>
      <c r="J590" s="76">
        <v>2.1</v>
      </c>
      <c r="K590" s="66" t="str">
        <f>IF(_xlfn.XLOOKUP($J590,Catalogo!$B$7:$B$210,Catalogo!$I$7:$I$210,"",0)=0,"",_xlfn.XLOOKUP($J590,Catalogo!$B$7:$B$210,Catalogo!$I$7:$I$210,"",0))</f>
        <v>CIPS</v>
      </c>
      <c r="L590" s="36">
        <f>+_xlfn.XLOOKUP(Tabla1[[#This Row],[Ducto]],'R (s04)'!B:B,'R (s04)'!C:C)</f>
        <v>47.596499999999999</v>
      </c>
      <c r="M59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591" spans="1:14" x14ac:dyDescent="0.25">
      <c r="A591" s="356">
        <v>46273</v>
      </c>
      <c r="B591" s="116" t="s">
        <v>12</v>
      </c>
      <c r="C591" s="157" t="s">
        <v>411</v>
      </c>
      <c r="D591" s="39" t="s">
        <v>351</v>
      </c>
      <c r="E591" s="40" t="s">
        <v>28</v>
      </c>
      <c r="F591" s="28">
        <v>12133</v>
      </c>
      <c r="G591" s="28">
        <v>14014</v>
      </c>
      <c r="H591" s="226">
        <f>IF(Tabla1[[#This Row],[Codigo_actividad]]&lt;&gt;2.5,IF(((Tabla1[[#This Row],[fin]]-Tabla1[[#This Row],[inicio]])/1000)=0,"",((Tabla1[[#This Row],[fin]]-Tabla1[[#This Row],[inicio]])/1000)),"")</f>
        <v>1.881</v>
      </c>
      <c r="I591" s="66"/>
      <c r="J591" s="76">
        <v>2.1</v>
      </c>
      <c r="K591" s="66" t="str">
        <f>IF(_xlfn.XLOOKUP($J591,Catalogo!$B$7:$B$210,Catalogo!$I$7:$I$210,"",0)=0,"",_xlfn.XLOOKUP($J591,Catalogo!$B$7:$B$210,Catalogo!$I$7:$I$210,"",0))</f>
        <v>CIPS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592" spans="1:14" x14ac:dyDescent="0.25">
      <c r="A592" s="356">
        <v>46274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14014</v>
      </c>
      <c r="G592" s="28">
        <v>14439</v>
      </c>
      <c r="H59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593" spans="1:14" x14ac:dyDescent="0.25">
      <c r="A593" s="356">
        <v>46274</v>
      </c>
      <c r="B593" s="116" t="s">
        <v>12</v>
      </c>
      <c r="C593" s="157" t="s">
        <v>411</v>
      </c>
      <c r="D593" s="39" t="s">
        <v>351</v>
      </c>
      <c r="E593" s="40" t="s">
        <v>28</v>
      </c>
      <c r="F593" s="28">
        <v>11425</v>
      </c>
      <c r="G593" s="28">
        <v>12133</v>
      </c>
      <c r="H59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593" s="66"/>
      <c r="J593" s="76">
        <v>2.1</v>
      </c>
      <c r="K593" s="66" t="str">
        <f>IF(_xlfn.XLOOKUP($J593,Catalogo!$B$7:$B$210,Catalogo!$I$7:$I$210,"",0)=0,"",_xlfn.XLOOKUP($J593,Catalogo!$B$7:$B$210,Catalogo!$I$7:$I$210,"",0))</f>
        <v>CIPS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594" spans="1:14" x14ac:dyDescent="0.25">
      <c r="A594" s="356">
        <v>46275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16914</v>
      </c>
      <c r="G594" s="28">
        <v>18260</v>
      </c>
      <c r="H594" s="226">
        <f>IF(Tabla1[[#This Row],[Codigo_actividad]]&lt;&gt;2.5,IF(((Tabla1[[#This Row],[fin]]-Tabla1[[#This Row],[inicio]])/1000)=0,"",((Tabla1[[#This Row],[fin]]-Tabla1[[#This Row],[inicio]])/1000)),"")</f>
        <v>1.3460000000000001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595" spans="1:14" x14ac:dyDescent="0.25">
      <c r="A595" s="356">
        <v>46276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15132</v>
      </c>
      <c r="G595" s="28">
        <v>15700</v>
      </c>
      <c r="H59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596" spans="1:14" x14ac:dyDescent="0.25">
      <c r="A596" s="356">
        <v>46276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15700</v>
      </c>
      <c r="G596" s="28">
        <v>16914</v>
      </c>
      <c r="H596" s="226">
        <f>IF(Tabla1[[#This Row],[Codigo_actividad]]&lt;&gt;2.5,IF(((Tabla1[[#This Row],[fin]]-Tabla1[[#This Row],[inicio]])/1000)=0,"",((Tabla1[[#This Row],[fin]]-Tabla1[[#This Row],[inicio]])/1000)),"")</f>
        <v>1.214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597" spans="1:14" x14ac:dyDescent="0.25">
      <c r="A597" s="356">
        <v>46277</v>
      </c>
      <c r="B597" s="116" t="s">
        <v>12</v>
      </c>
      <c r="C597" s="157" t="s">
        <v>411</v>
      </c>
      <c r="D597" s="39" t="s">
        <v>351</v>
      </c>
      <c r="E597" s="40" t="s">
        <v>28</v>
      </c>
      <c r="F597" s="28">
        <v>16914</v>
      </c>
      <c r="G597" s="28">
        <v>18260</v>
      </c>
      <c r="H597" s="226">
        <f>IF(Tabla1[[#This Row],[Codigo_actividad]]&lt;&gt;2.5,IF(((Tabla1[[#This Row],[fin]]-Tabla1[[#This Row],[inicio]])/1000)=0,"",((Tabla1[[#This Row],[fin]]-Tabla1[[#This Row],[inicio]])/1000)),"")</f>
        <v>1.3460000000000001</v>
      </c>
      <c r="I597" s="66"/>
      <c r="J597" s="76">
        <v>2.1</v>
      </c>
      <c r="K597" s="66" t="str">
        <f>IF(_xlfn.XLOOKUP($J597,Catalogo!$B$7:$B$210,Catalogo!$I$7:$I$210,"",0)=0,"",_xlfn.XLOOKUP($J597,Catalogo!$B$7:$B$210,Catalogo!$I$7:$I$210,"",0))</f>
        <v>CIPS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598" spans="1:14" x14ac:dyDescent="0.25">
      <c r="A598" s="356"/>
      <c r="B598" s="116"/>
      <c r="C598" s="157"/>
      <c r="D598" s="39"/>
      <c r="F598" s="28"/>
      <c r="G598" s="28"/>
      <c r="H598" s="226" t="str">
        <f>IF(Tabla1[[#This Row],[Codigo_actividad]]&lt;&gt;2.5,IF(((Tabla1[[#This Row],[fin]]-Tabla1[[#This Row],[inicio]])/1000)=0,"",((Tabla1[[#This Row],[fin]]-Tabla1[[#This Row],[inicio]])/1000)),"")</f>
        <v/>
      </c>
      <c r="I598" s="66"/>
      <c r="J598" s="76"/>
      <c r="K598" s="66" t="str">
        <f>IF(_xlfn.XLOOKUP($J598,Catalogo!$B$7:$B$21,Catalogo!$I$7:$I$21,"",0)=0,"",_xlfn.XLOOKUP($J598,Catalogo!$B$7:$B$21,Catalogo!$I$7:$I$21,"",0))</f>
        <v/>
      </c>
      <c r="L598" s="36"/>
      <c r="M598" s="263">
        <f>IF(Tabla1[[#This Row],[Avance_km]]&lt;&gt;"",Tabla1[[#This Row],[Avance_km]],Tabla1[[#This Row],[Avance_Med]])*_xlfn.XLOOKUP(Tabla1[[#This Row],[Codigo_actividad]],Catalogo!$B$6:$B$51,Catalogo!$F$6:$F$51,0)</f>
        <v>0</v>
      </c>
      <c r="N598" t="str">
        <f>_xlfn.IFNA(_xlfn.XLOOKUP(Tabla1[[#This Row],[fin]],$P$379:$P$386,$T$379:$T$386),"")</f>
        <v/>
      </c>
    </row>
    <row r="599" spans="1:14" x14ac:dyDescent="0.25">
      <c r="A599" s="356">
        <v>46279</v>
      </c>
      <c r="B599" s="116" t="s">
        <v>12</v>
      </c>
      <c r="C599" s="157" t="s">
        <v>411</v>
      </c>
      <c r="D599" s="39" t="s">
        <v>351</v>
      </c>
      <c r="E599" s="40" t="s">
        <v>28</v>
      </c>
      <c r="F599" s="28">
        <v>14439</v>
      </c>
      <c r="G599" s="28">
        <v>15132</v>
      </c>
      <c r="H59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599" s="66"/>
      <c r="J599" s="76">
        <v>2.1</v>
      </c>
      <c r="K599" s="66" t="str">
        <f>IF(_xlfn.XLOOKUP($J599,Catalogo!$B$7:$B$210,Catalogo!$I$7:$I$210,"",0)=0,"",_xlfn.XLOOKUP($J599,Catalogo!$B$7:$B$210,Catalogo!$I$7:$I$210,"",0))</f>
        <v>CIPS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00" spans="1:14" x14ac:dyDescent="0.25">
      <c r="A600" s="356">
        <v>46280</v>
      </c>
      <c r="B600" s="116" t="s">
        <v>12</v>
      </c>
      <c r="C600" s="157" t="s">
        <v>411</v>
      </c>
      <c r="D600" s="39" t="s">
        <v>351</v>
      </c>
      <c r="E600" s="40" t="s">
        <v>16</v>
      </c>
      <c r="F600" s="28">
        <v>18260</v>
      </c>
      <c r="G600" s="28">
        <v>22600</v>
      </c>
      <c r="H600" s="226">
        <f>IF(Tabla1[[#This Row],[Codigo_actividad]]&lt;&gt;2.5,IF(((Tabla1[[#This Row],[fin]]-Tabla1[[#This Row],[inicio]])/1000)=0,"",((Tabla1[[#This Row],[fin]]-Tabla1[[#This Row],[inicio]])/1000)),"")</f>
        <v>4.34</v>
      </c>
      <c r="I600" s="66"/>
      <c r="J600" s="76">
        <v>2.6</v>
      </c>
      <c r="K600" s="66" t="str">
        <f>IF(_xlfn.XLOOKUP($J600,Catalogo!$B$7:$B$210,Catalogo!$I$7:$I$210,"",0)=0,"",_xlfn.XLOOKUP($J600,Catalogo!$B$7:$B$210,Catalogo!$I$7:$I$210,"",0))</f>
        <v>Localizacion</v>
      </c>
      <c r="L600" s="36">
        <f>+_xlfn.XLOOKUP(Tabla1[[#This Row],[Ducto]],'R (s04)'!B:B,'R (s04)'!C:C)</f>
        <v>47.596499999999999</v>
      </c>
      <c r="M60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01" spans="1:14" x14ac:dyDescent="0.25">
      <c r="A601" s="356">
        <v>46281</v>
      </c>
      <c r="B601" s="116" t="s">
        <v>30</v>
      </c>
      <c r="C601" s="157" t="s">
        <v>411</v>
      </c>
      <c r="D601" s="39" t="s">
        <v>359</v>
      </c>
      <c r="E601" s="40" t="s">
        <v>31</v>
      </c>
      <c r="F601" s="28"/>
      <c r="G601" s="28"/>
      <c r="H601" s="226"/>
      <c r="I601" s="66">
        <v>2</v>
      </c>
      <c r="J601" s="76">
        <v>2.5</v>
      </c>
      <c r="K601" s="55" t="str">
        <f>IF(_xlfn.XLOOKUP($J601,Catalogo!$B$7:$B$210,Catalogo!$I$7:$I$210,"",0)=0,"",_xlfn.XLOOKUP($J601,Catalogo!$B$7:$B$210,Catalogo!$I$7:$I$210,"",0))</f>
        <v>Resistividades pH BSR BPA</v>
      </c>
      <c r="L601" s="36"/>
      <c r="M601" s="263">
        <f>IF(Tabla1[[#This Row],[Avance_km]]&lt;&gt;"",Tabla1[[#This Row],[Avance_km]],Tabla1[[#This Row],[Avance_Med]])*_xlfn.XLOOKUP(Tabla1[[#This Row],[Codigo_actividad]],Catalogo!$B$6:$B$51,Catalogo!$F$6:$F$51,0)</f>
        <v>9316</v>
      </c>
      <c r="N601" t="str">
        <f>_xlfn.IFNA(_xlfn.XLOOKUP(Tabla1[[#This Row],[fin]],$P$379:$P$386,$T$379:$T$386),"")</f>
        <v/>
      </c>
    </row>
    <row r="602" spans="1:14" x14ac:dyDescent="0.25">
      <c r="A602" s="356">
        <v>46281</v>
      </c>
      <c r="B602" s="116" t="s">
        <v>30</v>
      </c>
      <c r="C602" s="157" t="s">
        <v>411</v>
      </c>
      <c r="D602" s="39" t="s">
        <v>361</v>
      </c>
      <c r="E602" s="40" t="s">
        <v>31</v>
      </c>
      <c r="F602" s="28"/>
      <c r="G602" s="28"/>
      <c r="H602" s="226"/>
      <c r="I602" s="66">
        <v>1</v>
      </c>
      <c r="J602" s="76">
        <v>2.5</v>
      </c>
      <c r="K602" s="55" t="str">
        <f>IF(_xlfn.XLOOKUP($J602,Catalogo!$B$7:$B$210,Catalogo!$I$7:$I$210,"",0)=0,"",_xlfn.XLOOKUP($J602,Catalogo!$B$7:$B$210,Catalogo!$I$7:$I$210,"",0))</f>
        <v>Resistividades pH BSR BPA</v>
      </c>
      <c r="L602" s="36"/>
      <c r="M602" s="263">
        <f>IF(Tabla1[[#This Row],[Avance_km]]&lt;&gt;"",Tabla1[[#This Row],[Avance_km]],Tabla1[[#This Row],[Avance_Med]])*_xlfn.XLOOKUP(Tabla1[[#This Row],[Codigo_actividad]],Catalogo!$B$6:$B$51,Catalogo!$F$6:$F$51,0)</f>
        <v>4658</v>
      </c>
      <c r="N602" t="str">
        <f>_xlfn.IFNA(_xlfn.XLOOKUP(Tabla1[[#This Row],[fin]],$P$379:$P$386,$T$379:$T$386),"")</f>
        <v/>
      </c>
    </row>
    <row r="603" spans="1:14" x14ac:dyDescent="0.25">
      <c r="A603" s="356">
        <v>46281</v>
      </c>
      <c r="B603" s="116" t="s">
        <v>30</v>
      </c>
      <c r="C603" s="157" t="s">
        <v>411</v>
      </c>
      <c r="D603" s="39" t="s">
        <v>360</v>
      </c>
      <c r="E603" s="40" t="s">
        <v>31</v>
      </c>
      <c r="F603" s="28"/>
      <c r="G603" s="28"/>
      <c r="H603" s="226"/>
      <c r="I603" s="66">
        <v>1</v>
      </c>
      <c r="J603" s="76">
        <v>2.5</v>
      </c>
      <c r="K603" s="55" t="str">
        <f>IF(_xlfn.XLOOKUP($J603,Catalogo!$B$7:$B$210,Catalogo!$I$7:$I$210,"",0)=0,"",_xlfn.XLOOKUP($J603,Catalogo!$B$7:$B$210,Catalogo!$I$7:$I$210,"",0))</f>
        <v>Resistividades pH BSR BPA</v>
      </c>
      <c r="L603" s="36"/>
      <c r="M603" s="263">
        <f>IF(Tabla1[[#This Row],[Avance_km]]&lt;&gt;"",Tabla1[[#This Row],[Avance_km]],Tabla1[[#This Row],[Avance_Med]])*_xlfn.XLOOKUP(Tabla1[[#This Row],[Codigo_actividad]],Catalogo!$B$6:$B$51,Catalogo!$F$6:$F$51,0)</f>
        <v>4658</v>
      </c>
      <c r="N603" t="str">
        <f>_xlfn.IFNA(_xlfn.XLOOKUP(Tabla1[[#This Row],[fin]],$P$379:$P$386,$T$379:$T$386),"")</f>
        <v/>
      </c>
    </row>
    <row r="604" spans="1:14" x14ac:dyDescent="0.25">
      <c r="A604" s="356">
        <v>46284</v>
      </c>
      <c r="B604" s="116" t="s">
        <v>30</v>
      </c>
      <c r="C604" s="157" t="s">
        <v>411</v>
      </c>
      <c r="D604" s="39" t="s">
        <v>359</v>
      </c>
      <c r="E604" s="40" t="s">
        <v>31</v>
      </c>
      <c r="F604" s="28"/>
      <c r="G604" s="28"/>
      <c r="H604" s="226"/>
      <c r="I604" s="66">
        <v>1</v>
      </c>
      <c r="J604" s="76">
        <v>2.5</v>
      </c>
      <c r="K604" s="55" t="str">
        <f>IF(_xlfn.XLOOKUP($J604,Catalogo!$B$7:$B$210,Catalogo!$I$7:$I$210,"",0)=0,"",_xlfn.XLOOKUP($J604,Catalogo!$B$7:$B$210,Catalogo!$I$7:$I$210,"",0))</f>
        <v>Resistividades pH BSR BPA</v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4658</v>
      </c>
      <c r="N604" t="str">
        <f>_xlfn.IFNA(_xlfn.XLOOKUP(Tabla1[[#This Row],[fin]],$P$379:$P$386,$T$379:$T$386),"")</f>
        <v/>
      </c>
    </row>
    <row r="605" spans="1:14" x14ac:dyDescent="0.25">
      <c r="A605" s="356"/>
      <c r="B605" s="116"/>
      <c r="C605" s="157"/>
      <c r="D605" s="39"/>
      <c r="F605" s="28"/>
      <c r="G605" s="28"/>
      <c r="H605" s="226" t="str">
        <f>IF(Tabla1[[#This Row],[Codigo_actividad]]&lt;&gt;2.5,IF(((Tabla1[[#This Row],[fin]]-Tabla1[[#This Row],[inicio]])/1000)=0,"",((Tabla1[[#This Row],[fin]]-Tabla1[[#This Row],[inicio]])/1000)),"")</f>
        <v/>
      </c>
      <c r="I605" s="66"/>
      <c r="J605" s="76"/>
      <c r="K605" s="66" t="str">
        <f>IF(_xlfn.XLOOKUP($J605,Catalogo!$B$7:$B$21,Catalogo!$I$7:$I$21,"",0)=0,"",_xlfn.XLOOKUP($J605,Catalogo!$B$7:$B$21,Catalogo!$I$7:$I$21,"",0))</f>
        <v/>
      </c>
      <c r="L605" s="36"/>
      <c r="M605" s="263">
        <f>IF(Tabla1[[#This Row],[Avance_km]]&lt;&gt;"",Tabla1[[#This Row],[Avance_km]],Tabla1[[#This Row],[Avance_Med]])*_xlfn.XLOOKUP(Tabla1[[#This Row],[Codigo_actividad]],Catalogo!$B$6:$B$51,Catalogo!$F$6:$F$51,0)</f>
        <v>0</v>
      </c>
      <c r="N605" t="str">
        <f>_xlfn.IFNA(_xlfn.XLOOKUP(Tabla1[[#This Row],[fin]],$P$379:$P$386,$T$379:$T$386),"")</f>
        <v/>
      </c>
    </row>
    <row r="606" spans="1:14" x14ac:dyDescent="0.25">
      <c r="A606" s="356">
        <v>46286</v>
      </c>
      <c r="B606" s="116" t="s">
        <v>30</v>
      </c>
      <c r="C606" s="157" t="s">
        <v>535</v>
      </c>
      <c r="D606" s="39" t="s">
        <v>377</v>
      </c>
      <c r="E606" s="40" t="s">
        <v>31</v>
      </c>
      <c r="F606" s="28">
        <v>0</v>
      </c>
      <c r="G606" s="28">
        <v>623</v>
      </c>
      <c r="H606" s="226"/>
      <c r="I606" s="66">
        <v>2</v>
      </c>
      <c r="J606" s="76">
        <v>2.5</v>
      </c>
      <c r="K606" s="55" t="str">
        <f>IF(_xlfn.XLOOKUP($J606,Catalogo!$B$7:$B$210,Catalogo!$I$7:$I$210,"",0)=0,"",_xlfn.XLOOKUP($J606,Catalogo!$B$7:$B$210,Catalogo!$I$7:$I$210,"",0))</f>
        <v>Resistividades pH BSR BPA</v>
      </c>
      <c r="L606" s="36"/>
      <c r="M606" s="263">
        <f>IF(Tabla1[[#This Row],[Avance_km]]&lt;&gt;"",Tabla1[[#This Row],[Avance_km]],Tabla1[[#This Row],[Avance_Med]])*_xlfn.XLOOKUP(Tabla1[[#This Row],[Codigo_actividad]],Catalogo!$B$6:$B$51,Catalogo!$F$6:$F$51,0)</f>
        <v>9316</v>
      </c>
      <c r="N606" t="str">
        <f>_xlfn.IFNA(_xlfn.XLOOKUP(Tabla1[[#This Row],[fin]],$P$379:$P$386,$T$379:$T$386),"")</f>
        <v/>
      </c>
    </row>
    <row r="607" spans="1:14" x14ac:dyDescent="0.25">
      <c r="A607" s="356">
        <v>46286</v>
      </c>
      <c r="B607" s="116" t="s">
        <v>30</v>
      </c>
      <c r="C607" s="157" t="s">
        <v>535</v>
      </c>
      <c r="D607" s="39" t="s">
        <v>375</v>
      </c>
      <c r="E607" s="40" t="s">
        <v>31</v>
      </c>
      <c r="F607" s="28">
        <v>0</v>
      </c>
      <c r="G607" s="28"/>
      <c r="H607" s="226"/>
      <c r="I607" s="66">
        <v>1</v>
      </c>
      <c r="J607" s="76">
        <v>2.5</v>
      </c>
      <c r="K607" s="55" t="str">
        <f>IF(_xlfn.XLOOKUP($J607,Catalogo!$B$7:$B$210,Catalogo!$I$7:$I$210,"",0)=0,"",_xlfn.XLOOKUP($J607,Catalogo!$B$7:$B$210,Catalogo!$I$7:$I$210,"",0))</f>
        <v>Resistividades pH BSR BPA</v>
      </c>
      <c r="L607" s="36"/>
      <c r="M607" s="263">
        <f>IF(Tabla1[[#This Row],[Avance_km]]&lt;&gt;"",Tabla1[[#This Row],[Avance_km]],Tabla1[[#This Row],[Avance_Med]])*_xlfn.XLOOKUP(Tabla1[[#This Row],[Codigo_actividad]],Catalogo!$B$6:$B$51,Catalogo!$F$6:$F$51,0)</f>
        <v>4658</v>
      </c>
      <c r="N607" t="str">
        <f>_xlfn.IFNA(_xlfn.XLOOKUP(Tabla1[[#This Row],[fin]],$P$379:$P$386,$T$379:$T$386),"")</f>
        <v/>
      </c>
    </row>
    <row r="608" spans="1:14" x14ac:dyDescent="0.25">
      <c r="A608" s="356">
        <v>46287</v>
      </c>
      <c r="B608" s="116" t="s">
        <v>30</v>
      </c>
      <c r="C608" s="157" t="s">
        <v>535</v>
      </c>
      <c r="D608" s="39" t="s">
        <v>374</v>
      </c>
      <c r="E608" s="40" t="s">
        <v>31</v>
      </c>
      <c r="F608" s="28">
        <v>0</v>
      </c>
      <c r="G608" s="28">
        <v>608</v>
      </c>
      <c r="H608" s="226"/>
      <c r="I608" s="66">
        <v>2</v>
      </c>
      <c r="J608" s="76">
        <v>2.5</v>
      </c>
      <c r="K608" s="55" t="str">
        <f>IF(_xlfn.XLOOKUP($J608,Catalogo!$B$7:$B$210,Catalogo!$I$7:$I$210,"",0)=0,"",_xlfn.XLOOKUP($J608,Catalogo!$B$7:$B$210,Catalogo!$I$7:$I$210,"",0))</f>
        <v>Resistividades pH BSR BPA</v>
      </c>
      <c r="L608" s="36"/>
      <c r="M608" s="263">
        <f>IF(Tabla1[[#This Row],[Avance_km]]&lt;&gt;"",Tabla1[[#This Row],[Avance_km]],Tabla1[[#This Row],[Avance_Med]])*_xlfn.XLOOKUP(Tabla1[[#This Row],[Codigo_actividad]],Catalogo!$B$6:$B$51,Catalogo!$F$6:$F$51,0)</f>
        <v>9316</v>
      </c>
      <c r="N608" t="str">
        <f>_xlfn.IFNA(_xlfn.XLOOKUP(Tabla1[[#This Row],[fin]],$P$379:$P$386,$T$379:$T$386),"")</f>
        <v/>
      </c>
    </row>
    <row r="609" spans="1:14" x14ac:dyDescent="0.25">
      <c r="A609" s="356">
        <v>46287</v>
      </c>
      <c r="B609" s="116" t="s">
        <v>30</v>
      </c>
      <c r="C609" s="157" t="s">
        <v>535</v>
      </c>
      <c r="D609" s="39" t="s">
        <v>373</v>
      </c>
      <c r="E609" s="40" t="s">
        <v>31</v>
      </c>
      <c r="F609" s="28">
        <v>0</v>
      </c>
      <c r="G609" s="28"/>
      <c r="H609" s="226"/>
      <c r="I609" s="66">
        <v>1</v>
      </c>
      <c r="J609" s="76">
        <v>2.5</v>
      </c>
      <c r="K609" s="55" t="str">
        <f>IF(_xlfn.XLOOKUP($J609,Catalogo!$B$7:$B$210,Catalogo!$I$7:$I$210,"",0)=0,"",_xlfn.XLOOKUP($J609,Catalogo!$B$7:$B$210,Catalogo!$I$7:$I$210,"",0))</f>
        <v>Resistividades pH BSR BPA</v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4658</v>
      </c>
      <c r="N609" t="str">
        <f>_xlfn.IFNA(_xlfn.XLOOKUP(Tabla1[[#This Row],[fin]],$P$379:$P$386,$T$379:$T$386),"")</f>
        <v/>
      </c>
    </row>
    <row r="610" spans="1:14" x14ac:dyDescent="0.25">
      <c r="A610" s="356">
        <v>46288</v>
      </c>
      <c r="B610" s="116" t="s">
        <v>30</v>
      </c>
      <c r="C610" s="157" t="s">
        <v>535</v>
      </c>
      <c r="D610" s="39" t="s">
        <v>372</v>
      </c>
      <c r="E610" s="40" t="s">
        <v>31</v>
      </c>
      <c r="F610" s="28">
        <v>0</v>
      </c>
      <c r="G610" s="28"/>
      <c r="H610" s="226"/>
      <c r="I610" s="66">
        <v>1</v>
      </c>
      <c r="J610" s="76">
        <v>2.5</v>
      </c>
      <c r="K610" s="55" t="str">
        <f>IF(_xlfn.XLOOKUP($J610,Catalogo!$B$7:$B$210,Catalogo!$I$7:$I$210,"",0)=0,"",_xlfn.XLOOKUP($J610,Catalogo!$B$7:$B$210,Catalogo!$I$7:$I$210,"",0))</f>
        <v>Resistividades pH BSR BPA</v>
      </c>
      <c r="L610" s="36"/>
      <c r="M610" s="263">
        <f>IF(Tabla1[[#This Row],[Avance_km]]&lt;&gt;"",Tabla1[[#This Row],[Avance_km]],Tabla1[[#This Row],[Avance_Med]])*_xlfn.XLOOKUP(Tabla1[[#This Row],[Codigo_actividad]],Catalogo!$B$6:$B$51,Catalogo!$F$6:$F$51,0)</f>
        <v>4658</v>
      </c>
      <c r="N610" t="str">
        <f>_xlfn.IFNA(_xlfn.XLOOKUP(Tabla1[[#This Row],[fin]],$P$379:$P$386,$T$379:$T$386),"")</f>
        <v/>
      </c>
    </row>
    <row r="611" spans="1:14" x14ac:dyDescent="0.25">
      <c r="A611" s="356">
        <v>46288</v>
      </c>
      <c r="B611" s="116" t="s">
        <v>30</v>
      </c>
      <c r="C611" s="157" t="s">
        <v>535</v>
      </c>
      <c r="D611" s="39" t="s">
        <v>370</v>
      </c>
      <c r="E611" s="40" t="s">
        <v>31</v>
      </c>
      <c r="F611" s="28">
        <v>0</v>
      </c>
      <c r="G611" s="28"/>
      <c r="H611" s="226"/>
      <c r="I611" s="66">
        <v>1</v>
      </c>
      <c r="J611" s="76">
        <v>2.5</v>
      </c>
      <c r="K611" s="55" t="str">
        <f>IF(_xlfn.XLOOKUP($J611,Catalogo!$B$7:$B$210,Catalogo!$I$7:$I$210,"",0)=0,"",_xlfn.XLOOKUP($J611,Catalogo!$B$7:$B$210,Catalogo!$I$7:$I$210,"",0))</f>
        <v>Resistividades pH BSR BPA</v>
      </c>
      <c r="L611" s="36"/>
      <c r="M611" s="263">
        <f>IF(Tabla1[[#This Row],[Avance_km]]&lt;&gt;"",Tabla1[[#This Row],[Avance_km]],Tabla1[[#This Row],[Avance_Med]])*_xlfn.XLOOKUP(Tabla1[[#This Row],[Codigo_actividad]],Catalogo!$B$6:$B$51,Catalogo!$F$6:$F$51,0)</f>
        <v>4658</v>
      </c>
      <c r="N611" t="str">
        <f>_xlfn.IFNA(_xlfn.XLOOKUP(Tabla1[[#This Row],[fin]],$P$379:$P$386,$T$379:$T$386),"")</f>
        <v/>
      </c>
    </row>
    <row r="612" spans="1:14" x14ac:dyDescent="0.25">
      <c r="A612" s="356">
        <v>46289</v>
      </c>
      <c r="B612" s="116" t="s">
        <v>30</v>
      </c>
      <c r="C612" s="157" t="s">
        <v>535</v>
      </c>
      <c r="D612" s="39" t="s">
        <v>368</v>
      </c>
      <c r="E612" s="40" t="s">
        <v>31</v>
      </c>
      <c r="F612" s="28">
        <v>0</v>
      </c>
      <c r="G612" s="28"/>
      <c r="H612" s="226"/>
      <c r="I612" s="66">
        <v>1</v>
      </c>
      <c r="J612" s="76">
        <v>2.5</v>
      </c>
      <c r="K612" s="55" t="str">
        <f>IF(_xlfn.XLOOKUP($J612,Catalogo!$B$7:$B$210,Catalogo!$I$7:$I$210,"",0)=0,"",_xlfn.XLOOKUP($J612,Catalogo!$B$7:$B$210,Catalogo!$I$7:$I$210,"",0))</f>
        <v>Resistividades pH BSR BPA</v>
      </c>
      <c r="L612" s="36"/>
      <c r="M612" s="263">
        <f>IF(Tabla1[[#This Row],[Avance_km]]&lt;&gt;"",Tabla1[[#This Row],[Avance_km]],Tabla1[[#This Row],[Avance_Med]])*_xlfn.XLOOKUP(Tabla1[[#This Row],[Codigo_actividad]],Catalogo!$B$6:$B$51,Catalogo!$F$6:$F$51,0)</f>
        <v>4658</v>
      </c>
      <c r="N612" t="str">
        <f>_xlfn.IFNA(_xlfn.XLOOKUP(Tabla1[[#This Row],[fin]],$P$379:$P$386,$T$379:$T$386),"")</f>
        <v/>
      </c>
    </row>
    <row r="613" spans="1:14" x14ac:dyDescent="0.25">
      <c r="A613" s="356">
        <v>46289</v>
      </c>
      <c r="B613" s="116" t="s">
        <v>30</v>
      </c>
      <c r="C613" s="157" t="s">
        <v>535</v>
      </c>
      <c r="D613" s="39" t="s">
        <v>378</v>
      </c>
      <c r="E613" s="40" t="s">
        <v>31</v>
      </c>
      <c r="F613" s="28">
        <v>0</v>
      </c>
      <c r="G613" s="28"/>
      <c r="H613" s="226"/>
      <c r="I613" s="66">
        <v>1</v>
      </c>
      <c r="J613" s="76">
        <v>2.5</v>
      </c>
      <c r="K613" s="55" t="str">
        <f>IF(_xlfn.XLOOKUP($J613,Catalogo!$B$7:$B$210,Catalogo!$I$7:$I$210,"",0)=0,"",_xlfn.XLOOKUP($J613,Catalogo!$B$7:$B$210,Catalogo!$I$7:$I$210,"",0))</f>
        <v>Resistividades pH BSR BPA</v>
      </c>
      <c r="L613" s="36"/>
      <c r="M613" s="263">
        <f>IF(Tabla1[[#This Row],[Avance_km]]&lt;&gt;"",Tabla1[[#This Row],[Avance_km]],Tabla1[[#This Row],[Avance_Med]])*_xlfn.XLOOKUP(Tabla1[[#This Row],[Codigo_actividad]],Catalogo!$B$6:$B$51,Catalogo!$F$6:$F$51,0)</f>
        <v>4658</v>
      </c>
      <c r="N613" t="str">
        <f>_xlfn.IFNA(_xlfn.XLOOKUP(Tabla1[[#This Row],[fin]],$P$379:$P$386,$T$379:$T$386),"")</f>
        <v/>
      </c>
    </row>
    <row r="614" spans="1:14" x14ac:dyDescent="0.25">
      <c r="A614" s="356">
        <v>46290</v>
      </c>
      <c r="B614" s="116" t="s">
        <v>30</v>
      </c>
      <c r="C614" s="157" t="s">
        <v>535</v>
      </c>
      <c r="D614" s="39" t="s">
        <v>376</v>
      </c>
      <c r="E614" s="40" t="s">
        <v>31</v>
      </c>
      <c r="F614" s="28">
        <v>0</v>
      </c>
      <c r="G614" s="28"/>
      <c r="H614" s="226"/>
      <c r="I614" s="66">
        <v>1</v>
      </c>
      <c r="J614" s="76">
        <v>2.5</v>
      </c>
      <c r="K614" s="55" t="str">
        <f>IF(_xlfn.XLOOKUP($J614,Catalogo!$B$7:$B$210,Catalogo!$I$7:$I$210,"",0)=0,"",_xlfn.XLOOKUP($J614,Catalogo!$B$7:$B$210,Catalogo!$I$7:$I$210,"",0))</f>
        <v>Resistividades pH BSR BPA</v>
      </c>
      <c r="L614" s="36"/>
      <c r="M614" s="263">
        <f>IF(Tabla1[[#This Row],[Avance_km]]&lt;&gt;"",Tabla1[[#This Row],[Avance_km]],Tabla1[[#This Row],[Avance_Med]])*_xlfn.XLOOKUP(Tabla1[[#This Row],[Codigo_actividad]],Catalogo!$B$6:$B$51,Catalogo!$F$6:$F$51,0)</f>
        <v>4658</v>
      </c>
      <c r="N614" t="str">
        <f>_xlfn.IFNA(_xlfn.XLOOKUP(Tabla1[[#This Row],[fin]],$P$379:$P$386,$T$379:$T$386),"")</f>
        <v/>
      </c>
    </row>
    <row r="615" spans="1:14" x14ac:dyDescent="0.25">
      <c r="A615" s="356">
        <v>46290</v>
      </c>
      <c r="B615" s="116" t="s">
        <v>30</v>
      </c>
      <c r="C615" s="157" t="s">
        <v>535</v>
      </c>
      <c r="D615" s="39" t="s">
        <v>371</v>
      </c>
      <c r="E615" s="40" t="s">
        <v>31</v>
      </c>
      <c r="F615" s="28">
        <v>0</v>
      </c>
      <c r="G615" s="28"/>
      <c r="H615" s="226"/>
      <c r="I615" s="66">
        <v>1</v>
      </c>
      <c r="J615" s="76">
        <v>2.5</v>
      </c>
      <c r="K615" s="55" t="str">
        <f>IF(_xlfn.XLOOKUP($J615,Catalogo!$B$7:$B$210,Catalogo!$I$7:$I$210,"",0)=0,"",_xlfn.XLOOKUP($J615,Catalogo!$B$7:$B$210,Catalogo!$I$7:$I$210,"",0))</f>
        <v>Resistividades pH BSR BPA</v>
      </c>
      <c r="L615" s="36"/>
      <c r="M615" s="263">
        <f>IF(Tabla1[[#This Row],[Avance_km]]&lt;&gt;"",Tabla1[[#This Row],[Avance_km]],Tabla1[[#This Row],[Avance_Med]])*_xlfn.XLOOKUP(Tabla1[[#This Row],[Codigo_actividad]],Catalogo!$B$6:$B$51,Catalogo!$F$6:$F$51,0)</f>
        <v>4658</v>
      </c>
      <c r="N615" t="str">
        <f>_xlfn.IFNA(_xlfn.XLOOKUP(Tabla1[[#This Row],[fin]],$P$379:$P$386,$T$379:$T$386),"")</f>
        <v/>
      </c>
    </row>
    <row r="616" spans="1:14" x14ac:dyDescent="0.25">
      <c r="A616" s="356">
        <v>46290</v>
      </c>
      <c r="B616" s="116" t="s">
        <v>30</v>
      </c>
      <c r="C616" s="157" t="s">
        <v>535</v>
      </c>
      <c r="D616" s="39" t="s">
        <v>369</v>
      </c>
      <c r="E616" s="40" t="s">
        <v>31</v>
      </c>
      <c r="F616" s="28">
        <v>0</v>
      </c>
      <c r="G616" s="28"/>
      <c r="H616" s="226"/>
      <c r="I616" s="66">
        <v>1</v>
      </c>
      <c r="J616" s="76">
        <v>2.5</v>
      </c>
      <c r="K616" s="55" t="str">
        <f>IF(_xlfn.XLOOKUP($J616,Catalogo!$B$7:$B$210,Catalogo!$I$7:$I$210,"",0)=0,"",_xlfn.XLOOKUP($J616,Catalogo!$B$7:$B$210,Catalogo!$I$7:$I$210,"",0))</f>
        <v>Resistividades pH BSR BPA</v>
      </c>
      <c r="L616" s="36"/>
      <c r="M616" s="263">
        <f>IF(Tabla1[[#This Row],[Avance_km]]&lt;&gt;"",Tabla1[[#This Row],[Avance_km]],Tabla1[[#This Row],[Avance_Med]])*_xlfn.XLOOKUP(Tabla1[[#This Row],[Codigo_actividad]],Catalogo!$B$6:$B$51,Catalogo!$F$6:$F$51,0)</f>
        <v>4658</v>
      </c>
      <c r="N616" t="str">
        <f>_xlfn.IFNA(_xlfn.XLOOKUP(Tabla1[[#This Row],[fin]],$P$379:$P$386,$T$379:$T$386),"")</f>
        <v/>
      </c>
    </row>
    <row r="617" spans="1:14" x14ac:dyDescent="0.25">
      <c r="A617" s="356">
        <v>46290</v>
      </c>
      <c r="B617" s="116" t="s">
        <v>30</v>
      </c>
      <c r="C617" s="157" t="s">
        <v>535</v>
      </c>
      <c r="D617" s="39" t="s">
        <v>367</v>
      </c>
      <c r="E617" s="40" t="s">
        <v>31</v>
      </c>
      <c r="F617" s="28">
        <v>0</v>
      </c>
      <c r="G617" s="28"/>
      <c r="H617" s="226"/>
      <c r="I617" s="66">
        <v>1</v>
      </c>
      <c r="J617" s="76">
        <v>2.5</v>
      </c>
      <c r="K617" s="55" t="str">
        <f>IF(_xlfn.XLOOKUP($J617,Catalogo!$B$7:$B$210,Catalogo!$I$7:$I$210,"",0)=0,"",_xlfn.XLOOKUP($J617,Catalogo!$B$7:$B$210,Catalogo!$I$7:$I$210,"",0))</f>
        <v>Resistividades pH BSR BPA</v>
      </c>
      <c r="L617" s="36"/>
      <c r="M617" s="263">
        <f>IF(Tabla1[[#This Row],[Avance_km]]&lt;&gt;"",Tabla1[[#This Row],[Avance_km]],Tabla1[[#This Row],[Avance_Med]])*_xlfn.XLOOKUP(Tabla1[[#This Row],[Codigo_actividad]],Catalogo!$B$6:$B$51,Catalogo!$F$6:$F$51,0)</f>
        <v>4658</v>
      </c>
      <c r="N617" t="str">
        <f>_xlfn.IFNA(_xlfn.XLOOKUP(Tabla1[[#This Row],[fin]],$P$379:$P$386,$T$379:$T$386),"")</f>
        <v/>
      </c>
    </row>
    <row r="618" spans="1:14" x14ac:dyDescent="0.25">
      <c r="A618" s="356">
        <v>46291</v>
      </c>
      <c r="B618" s="116" t="s">
        <v>30</v>
      </c>
      <c r="C618" s="157" t="s">
        <v>329</v>
      </c>
      <c r="D618" s="39" t="s">
        <v>478</v>
      </c>
      <c r="E618" s="40" t="s">
        <v>31</v>
      </c>
      <c r="F618" s="28">
        <v>0</v>
      </c>
      <c r="G618" s="28"/>
      <c r="H618" s="226"/>
      <c r="I618" s="66">
        <v>1</v>
      </c>
      <c r="J618" s="76">
        <v>2.5</v>
      </c>
      <c r="K618" s="55" t="str">
        <f>IF(_xlfn.XLOOKUP($J618,Catalogo!$B$7:$B$210,Catalogo!$I$7:$I$210,"",0)=0,"",_xlfn.XLOOKUP($J618,Catalogo!$B$7:$B$210,Catalogo!$I$7:$I$210,"",0))</f>
        <v>Resistividades pH BSR BPA</v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4658</v>
      </c>
      <c r="N618" t="str">
        <f>_xlfn.IFNA(_xlfn.XLOOKUP(Tabla1[[#This Row],[fin]],$P$379:$P$386,$T$379:$T$386),"")</f>
        <v/>
      </c>
    </row>
    <row r="619" spans="1:14" x14ac:dyDescent="0.25">
      <c r="A619" s="356"/>
      <c r="B619" s="116"/>
      <c r="C619" s="157"/>
      <c r="D619" s="39"/>
      <c r="F619" s="28"/>
      <c r="G619" s="28"/>
      <c r="H619" s="226" t="str">
        <f>IF(Tabla1[[#This Row],[Codigo_actividad]]&lt;&gt;2.5,IF(((Tabla1[[#This Row],[fin]]-Tabla1[[#This Row],[inicio]])/1000)=0,"",((Tabla1[[#This Row],[fin]]-Tabla1[[#This Row],[inicio]])/1000)),"")</f>
        <v/>
      </c>
      <c r="I619" s="66"/>
      <c r="J619" s="76"/>
      <c r="K619" s="55" t="str">
        <f>IF(_xlfn.XLOOKUP($J619,Catalogo!$B$7:$B$21,Catalogo!$I$7:$I$21,"",0)=0,"",_xlfn.XLOOKUP($J619,Catalogo!$B$7:$B$21,Catalogo!$I$7:$I$21,"",0))</f>
        <v/>
      </c>
      <c r="L619" s="36"/>
      <c r="M619" s="263">
        <f>IF(Tabla1[[#This Row],[Avance_km]]&lt;&gt;"",Tabla1[[#This Row],[Avance_km]],Tabla1[[#This Row],[Avance_Med]])*_xlfn.XLOOKUP(Tabla1[[#This Row],[Codigo_actividad]],Catalogo!$B$6:$B$51,Catalogo!$F$6:$F$51,0)</f>
        <v>0</v>
      </c>
      <c r="N619" t="str">
        <f>_xlfn.IFNA(_xlfn.XLOOKUP(Tabla1[[#This Row],[fin]],$P$379:$P$386,$T$379:$T$386),"")</f>
        <v/>
      </c>
    </row>
    <row r="620" spans="1:14" x14ac:dyDescent="0.25">
      <c r="A620" s="356">
        <v>46293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22600</v>
      </c>
      <c r="G620" s="28">
        <v>25600</v>
      </c>
      <c r="H620" s="226">
        <f>IF(Tabla1[[#This Row],[Codigo_actividad]]&lt;&gt;2.5,IF(((Tabla1[[#This Row],[fin]]-Tabla1[[#This Row],[inicio]])/1000)=0,"",((Tabla1[[#This Row],[fin]]-Tabla1[[#This Row],[inicio]])/1000)),"")</f>
        <v>3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20" t="str">
        <f>_xlfn.IFNA(_xlfn.XLOOKUP(Tabla1[[#This Row],[fin]],$P$379:$P$386,$T$379:$T$386),"")</f>
        <v/>
      </c>
    </row>
    <row r="621" spans="1:14" x14ac:dyDescent="0.25">
      <c r="A621" s="356">
        <v>46294</v>
      </c>
      <c r="B621" s="116" t="s">
        <v>12</v>
      </c>
      <c r="C621" s="157" t="s">
        <v>411</v>
      </c>
      <c r="D621" s="39" t="s">
        <v>351</v>
      </c>
      <c r="E621" s="40" t="s">
        <v>16</v>
      </c>
      <c r="F621" s="28">
        <v>25600</v>
      </c>
      <c r="G621" s="28">
        <v>30250</v>
      </c>
      <c r="H62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21" s="66"/>
      <c r="J621" s="76">
        <v>2.6</v>
      </c>
      <c r="K621" s="66" t="str">
        <f>IF(_xlfn.XLOOKUP($J621,Catalogo!$B$7:$B$210,Catalogo!$I$7:$I$210,"",0)=0,"",_xlfn.XLOOKUP($J621,Catalogo!$B$7:$B$210,Catalogo!$I$7:$I$210,"",0))</f>
        <v>Localizacion</v>
      </c>
      <c r="L621" s="36">
        <f>+_xlfn.XLOOKUP(Tabla1[[#This Row],[Ducto]],'R (s04)'!B:B,'R (s04)'!C:C)</f>
        <v>47.596499999999999</v>
      </c>
      <c r="M62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21" t="str">
        <f>_xlfn.IFNA(_xlfn.XLOOKUP(Tabla1[[#This Row],[fin]],$P$379:$P$386,$T$379:$T$386),"")</f>
        <v/>
      </c>
    </row>
    <row r="622" spans="1:14" x14ac:dyDescent="0.25">
      <c r="A622" s="356">
        <v>46295</v>
      </c>
      <c r="B622" s="116" t="s">
        <v>12</v>
      </c>
      <c r="C622" s="157" t="s">
        <v>411</v>
      </c>
      <c r="D622" s="39" t="s">
        <v>351</v>
      </c>
      <c r="E622" s="40" t="s">
        <v>16</v>
      </c>
      <c r="F622" s="28">
        <v>30250</v>
      </c>
      <c r="G622" s="28">
        <v>32219</v>
      </c>
      <c r="H62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22" s="66"/>
      <c r="J622" s="76">
        <v>2.6</v>
      </c>
      <c r="K622" s="66" t="str">
        <f>IF(_xlfn.XLOOKUP($J622,Catalogo!$B$7:$B$210,Catalogo!$I$7:$I$210,"",0)=0,"",_xlfn.XLOOKUP($J622,Catalogo!$B$7:$B$210,Catalogo!$I$7:$I$210,"",0))</f>
        <v>Localizacion</v>
      </c>
      <c r="L622" s="36">
        <f>+_xlfn.XLOOKUP(Tabla1[[#This Row],[Ducto]],'R (s04)'!B:B,'R (s04)'!C:C)</f>
        <v>47.596499999999999</v>
      </c>
      <c r="M62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22" t="str">
        <f>_xlfn.IFNA(_xlfn.XLOOKUP(Tabla1[[#This Row],[fin]],$P$379:$P$386,$T$379:$T$386),"")</f>
        <v/>
      </c>
    </row>
    <row r="623" spans="1:14" x14ac:dyDescent="0.25">
      <c r="A623" s="356">
        <v>46296</v>
      </c>
      <c r="B623" s="116" t="s">
        <v>12</v>
      </c>
      <c r="C623" s="157" t="s">
        <v>411</v>
      </c>
      <c r="D623" s="39" t="s">
        <v>351</v>
      </c>
      <c r="E623" s="40" t="s">
        <v>28</v>
      </c>
      <c r="F623" s="28">
        <v>18260</v>
      </c>
      <c r="G623" s="28">
        <v>19823</v>
      </c>
      <c r="H62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23" s="66"/>
      <c r="J623" s="76">
        <v>2.1</v>
      </c>
      <c r="K623" s="66" t="str">
        <f>IF(_xlfn.XLOOKUP($J623,Catalogo!$B$7:$B$210,Catalogo!$I$7:$I$210,"",0)=0,"",_xlfn.XLOOKUP($J623,Catalogo!$B$7:$B$210,Catalogo!$I$7:$I$210,"",0))</f>
        <v>CIPS</v>
      </c>
      <c r="L623" s="36">
        <f>+_xlfn.XLOOKUP(Tabla1[[#This Row],[Ducto]],'R (s04)'!B:B,'R (s04)'!C:C)</f>
        <v>47.596499999999999</v>
      </c>
      <c r="M62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24" spans="1:14" x14ac:dyDescent="0.25">
      <c r="A624" s="356">
        <v>46297</v>
      </c>
      <c r="B624" s="116" t="s">
        <v>12</v>
      </c>
      <c r="C624" s="157" t="s">
        <v>411</v>
      </c>
      <c r="D624" s="39" t="s">
        <v>351</v>
      </c>
      <c r="E624" s="40" t="s">
        <v>28</v>
      </c>
      <c r="F624" s="28">
        <v>19823</v>
      </c>
      <c r="G624" s="28">
        <v>22225</v>
      </c>
      <c r="H62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24" s="66"/>
      <c r="J624" s="76">
        <v>2.1</v>
      </c>
      <c r="K624" s="66" t="str">
        <f>IF(_xlfn.XLOOKUP($J624,Catalogo!$B$7:$B$210,Catalogo!$I$7:$I$210,"",0)=0,"",_xlfn.XLOOKUP($J624,Catalogo!$B$7:$B$210,Catalogo!$I$7:$I$210,"",0))</f>
        <v>CIPS</v>
      </c>
      <c r="L624" s="36">
        <f>+_xlfn.XLOOKUP(Tabla1[[#This Row],[Ducto]],'R (s04)'!B:B,'R (s04)'!C:C)</f>
        <v>47.596499999999999</v>
      </c>
      <c r="M62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55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Row],[fin]],$P$379:$P$386,$T$379:$T$386),"")</f>
        <v/>
      </c>
    </row>
    <row r="626" spans="1:14" x14ac:dyDescent="0.25">
      <c r="A626" s="356">
        <v>46300</v>
      </c>
      <c r="B626" s="116" t="s">
        <v>12</v>
      </c>
      <c r="C626" s="157" t="s">
        <v>411</v>
      </c>
      <c r="D626" s="39" t="s">
        <v>351</v>
      </c>
      <c r="E626" s="40" t="s">
        <v>28</v>
      </c>
      <c r="F626" s="28">
        <v>22225</v>
      </c>
      <c r="G626" s="28">
        <v>23139</v>
      </c>
      <c r="H62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26" s="66"/>
      <c r="J626" s="76">
        <v>2.1</v>
      </c>
      <c r="K626" s="66" t="str">
        <f>IF(_xlfn.XLOOKUP($J626,Catalogo!$B$7:$B$210,Catalogo!$I$7:$I$210,"",0)=0,"",_xlfn.XLOOKUP($J626,Catalogo!$B$7:$B$210,Catalogo!$I$7:$I$210,"",0))</f>
        <v>CIPS</v>
      </c>
      <c r="L626" s="36">
        <f>+_xlfn.XLOOKUP(Tabla1[[#This Row],[Ducto]],'R (s04)'!B:B,'R (s04)'!C:C)</f>
        <v>47.596499999999999</v>
      </c>
      <c r="M62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27" spans="1:14" x14ac:dyDescent="0.25">
      <c r="A627" s="356">
        <v>46301</v>
      </c>
      <c r="B627" s="116" t="s">
        <v>12</v>
      </c>
      <c r="C627" s="157" t="s">
        <v>535</v>
      </c>
      <c r="D627" s="39" t="s">
        <v>377</v>
      </c>
      <c r="E627" s="40" t="s">
        <v>16</v>
      </c>
      <c r="F627" s="28">
        <v>0</v>
      </c>
      <c r="G627" s="28">
        <v>624</v>
      </c>
      <c r="H627" s="226">
        <f>IF(Tabla1[[#This Row],[Codigo_actividad]]&lt;&gt;2.5,IF(((Tabla1[[#This Row],[fin]]-Tabla1[[#This Row],[inicio]])/1000)=0,"",((Tabla1[[#This Row],[fin]]-Tabla1[[#This Row],[inicio]])/1000)),"")</f>
        <v>0.624</v>
      </c>
      <c r="I627" s="66"/>
      <c r="J627" s="76">
        <v>2.6</v>
      </c>
      <c r="K627" s="55" t="str">
        <f>IF(_xlfn.XLOOKUP($J627,Catalogo!$B$7:$B$21,Catalogo!$I$7:$I$21,"",0)=0,"",_xlfn.XLOOKUP($J627,Catalogo!$B$7:$B$21,Catalogo!$I$7:$I$21,"",0))</f>
        <v>Localizacion</v>
      </c>
      <c r="L627" s="36">
        <f>+_xlfn.XLOOKUP(Tabla1[[#This Row],[Ducto]],nombres!D:D,nombres!E:E)/1000</f>
        <v>0.62390000000000001</v>
      </c>
      <c r="M62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27" t="str">
        <f>_xlfn.IFNA(_xlfn.XLOOKUP(Tabla1[[#This Row],[fin]],$P$379:$P$386,$T$379:$T$386),"")</f>
        <v/>
      </c>
    </row>
    <row r="628" spans="1:14" x14ac:dyDescent="0.25">
      <c r="A628" s="356">
        <v>46301</v>
      </c>
      <c r="B628" s="116" t="s">
        <v>12</v>
      </c>
      <c r="C628" s="157" t="s">
        <v>535</v>
      </c>
      <c r="D628" s="39" t="s">
        <v>374</v>
      </c>
      <c r="E628" s="40" t="s">
        <v>16</v>
      </c>
      <c r="F628" s="28">
        <v>0</v>
      </c>
      <c r="G628" s="28">
        <v>608</v>
      </c>
      <c r="H62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28" s="66"/>
      <c r="J628" s="76">
        <v>2.6</v>
      </c>
      <c r="K628" s="55" t="str">
        <f>IF(_xlfn.XLOOKUP($J628,Catalogo!$B$7:$B$21,Catalogo!$I$7:$I$21,"",0)=0,"",_xlfn.XLOOKUP($J628,Catalogo!$B$7:$B$21,Catalogo!$I$7:$I$21,"",0))</f>
        <v>Localizacion</v>
      </c>
      <c r="L628" s="36">
        <f>+_xlfn.XLOOKUP(Tabla1[[#This Row],[Ducto]],nombres!D:D,nombres!E:E)/1000</f>
        <v>0.60799999999999998</v>
      </c>
      <c r="M62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28" t="str">
        <f>_xlfn.IFNA(_xlfn.XLOOKUP(Tabla1[[#This Row],[fin]],$P$379:$P$386,$T$379:$T$386),"")</f>
        <v/>
      </c>
    </row>
    <row r="629" spans="1:14" x14ac:dyDescent="0.25">
      <c r="A629" s="356">
        <v>46301</v>
      </c>
      <c r="B629" s="116" t="s">
        <v>12</v>
      </c>
      <c r="C629" s="157" t="s">
        <v>535</v>
      </c>
      <c r="D629" s="39" t="s">
        <v>367</v>
      </c>
      <c r="E629" s="40" t="s">
        <v>16</v>
      </c>
      <c r="F629" s="28">
        <v>0</v>
      </c>
      <c r="G629" s="28">
        <v>3</v>
      </c>
      <c r="H62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29" s="66"/>
      <c r="J629" s="76">
        <v>2.6</v>
      </c>
      <c r="K629" s="55" t="str">
        <f>IF(_xlfn.XLOOKUP($J629,Catalogo!$B$7:$B$21,Catalogo!$I$7:$I$21,"",0)=0,"",_xlfn.XLOOKUP($J629,Catalogo!$B$7:$B$21,Catalogo!$I$7:$I$21,"",0))</f>
        <v>Localizacion</v>
      </c>
      <c r="L629" s="36">
        <f>+_xlfn.XLOOKUP(Tabla1[[#This Row],[Ducto]],nombres!D:D,nombres!E:E)/1000</f>
        <v>3.0000000000000001E-3</v>
      </c>
      <c r="M62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29" t="str">
        <f>_xlfn.IFNA(_xlfn.XLOOKUP(Tabla1[[#This Row],[fin]],$P$379:$P$386,$T$379:$T$386),"")</f>
        <v/>
      </c>
    </row>
    <row r="630" spans="1:14" x14ac:dyDescent="0.25">
      <c r="A630" s="356">
        <v>46301</v>
      </c>
      <c r="B630" s="116" t="s">
        <v>12</v>
      </c>
      <c r="C630" s="157" t="s">
        <v>535</v>
      </c>
      <c r="D630" s="39" t="s">
        <v>369</v>
      </c>
      <c r="E630" s="40" t="s">
        <v>16</v>
      </c>
      <c r="F630" s="28">
        <v>0</v>
      </c>
      <c r="G630" s="28">
        <v>7</v>
      </c>
      <c r="H63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30" s="66"/>
      <c r="J630" s="76">
        <v>2.6</v>
      </c>
      <c r="K630" s="55" t="str">
        <f>IF(_xlfn.XLOOKUP($J630,Catalogo!$B$7:$B$21,Catalogo!$I$7:$I$21,"",0)=0,"",_xlfn.XLOOKUP($J630,Catalogo!$B$7:$B$21,Catalogo!$I$7:$I$21,"",0))</f>
        <v>Localizacion</v>
      </c>
      <c r="L630" s="36">
        <f>+_xlfn.XLOOKUP(Tabla1[[#This Row],[Ducto]],nombres!D:D,nombres!E:E)/1000</f>
        <v>7.0000000000000001E-3</v>
      </c>
      <c r="M63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30" t="str">
        <f>_xlfn.IFNA(_xlfn.XLOOKUP(Tabla1[[#This Row],[fin]],$P$379:$P$386,$T$379:$T$386),"")</f>
        <v/>
      </c>
    </row>
    <row r="631" spans="1:14" x14ac:dyDescent="0.25">
      <c r="A631" s="356">
        <v>46301</v>
      </c>
      <c r="B631" s="116" t="s">
        <v>12</v>
      </c>
      <c r="C631" s="157" t="s">
        <v>535</v>
      </c>
      <c r="D631" s="39" t="s">
        <v>370</v>
      </c>
      <c r="E631" s="40" t="s">
        <v>16</v>
      </c>
      <c r="F631" s="28">
        <v>0</v>
      </c>
      <c r="G631" s="28">
        <v>16</v>
      </c>
      <c r="H631" s="226">
        <f>IF(Tabla1[[#This Row],[Codigo_actividad]]&lt;&gt;2.5,IF(((Tabla1[[#This Row],[fin]]-Tabla1[[#This Row],[inicio]])/1000)=0,"",((Tabla1[[#This Row],[fin]]-Tabla1[[#This Row],[inicio]])/1000)),"")</f>
        <v>1.6E-2</v>
      </c>
      <c r="I631" s="66"/>
      <c r="J631" s="76">
        <v>2.6</v>
      </c>
      <c r="K631" s="55" t="str">
        <f>IF(_xlfn.XLOOKUP($J631,Catalogo!$B$7:$B$21,Catalogo!$I$7:$I$21,"",0)=0,"",_xlfn.XLOOKUP($J631,Catalogo!$B$7:$B$21,Catalogo!$I$7:$I$21,"",0))</f>
        <v>Localizacion</v>
      </c>
      <c r="L631" s="36">
        <f>+_xlfn.XLOOKUP(Tabla1[[#This Row],[Ducto]],nombres!D:D,nombres!E:E)/1000</f>
        <v>1.55E-2</v>
      </c>
      <c r="M63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31" t="str">
        <f>_xlfn.IFNA(_xlfn.XLOOKUP(Tabla1[[#This Row],[fin]],$P$379:$P$386,$T$379:$T$386),"")</f>
        <v/>
      </c>
    </row>
    <row r="632" spans="1:14" x14ac:dyDescent="0.25">
      <c r="A632" s="356">
        <v>46301</v>
      </c>
      <c r="B632" s="116" t="s">
        <v>12</v>
      </c>
      <c r="C632" s="157" t="s">
        <v>535</v>
      </c>
      <c r="D632" s="39" t="s">
        <v>371</v>
      </c>
      <c r="E632" s="40" t="s">
        <v>16</v>
      </c>
      <c r="F632" s="28">
        <v>0</v>
      </c>
      <c r="G632" s="28">
        <v>17</v>
      </c>
      <c r="H63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32" s="66"/>
      <c r="J632" s="76">
        <v>2.6</v>
      </c>
      <c r="K632" s="55" t="str">
        <f>IF(_xlfn.XLOOKUP($J632,Catalogo!$B$7:$B$21,Catalogo!$I$7:$I$21,"",0)=0,"",_xlfn.XLOOKUP($J632,Catalogo!$B$7:$B$21,Catalogo!$I$7:$I$21,"",0))</f>
        <v>Localizacion</v>
      </c>
      <c r="L632" s="36">
        <f>+_xlfn.XLOOKUP(Tabla1[[#This Row],[Ducto]],nombres!D:D,nombres!E:E)/1000</f>
        <v>1.7000000000000001E-2</v>
      </c>
      <c r="M63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32" t="str">
        <f>_xlfn.IFNA(_xlfn.XLOOKUP(Tabla1[[#This Row],[fin]],$P$379:$P$386,$T$379:$T$386),"")</f>
        <v/>
      </c>
    </row>
    <row r="633" spans="1:14" x14ac:dyDescent="0.25">
      <c r="A633" s="356">
        <v>46302</v>
      </c>
      <c r="B633" s="116" t="s">
        <v>12</v>
      </c>
      <c r="C633" s="157" t="s">
        <v>535</v>
      </c>
      <c r="D633" s="39" t="s">
        <v>375</v>
      </c>
      <c r="E633" s="40" t="s">
        <v>16</v>
      </c>
      <c r="F633" s="28">
        <v>0</v>
      </c>
      <c r="G633" s="28">
        <v>170</v>
      </c>
      <c r="H633" s="226">
        <f>IF(Tabla1[[#This Row],[Codigo_actividad]]&lt;&gt;2.5,IF(((Tabla1[[#This Row],[fin]]-Tabla1[[#This Row],[inicio]])/1000)=0,"",((Tabla1[[#This Row],[fin]]-Tabla1[[#This Row],[inicio]])/1000)),"")</f>
        <v>0.17</v>
      </c>
      <c r="I633" s="66"/>
      <c r="J633" s="76">
        <v>2.6</v>
      </c>
      <c r="K633" s="55" t="str">
        <f>IF(_xlfn.XLOOKUP($J633,Catalogo!$B$7:$B$21,Catalogo!$I$7:$I$21,"",0)=0,"",_xlfn.XLOOKUP($J633,Catalogo!$B$7:$B$21,Catalogo!$I$7:$I$21,"",0))</f>
        <v>Localizacion</v>
      </c>
      <c r="L633" s="36">
        <f>+_xlfn.XLOOKUP(Tabla1[[#This Row],[Ducto]],nombres!D:D,nombres!E:E)/1000</f>
        <v>0.17</v>
      </c>
      <c r="M63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33" t="str">
        <f>_xlfn.IFNA(_xlfn.XLOOKUP(Tabla1[[#This Row],[fin]],$P$379:$P$386,$T$379:$T$386),"")</f>
        <v/>
      </c>
    </row>
    <row r="634" spans="1:14" x14ac:dyDescent="0.25">
      <c r="A634" s="356">
        <v>46302</v>
      </c>
      <c r="B634" s="116" t="s">
        <v>12</v>
      </c>
      <c r="C634" s="157" t="s">
        <v>535</v>
      </c>
      <c r="D634" s="39" t="s">
        <v>378</v>
      </c>
      <c r="E634" s="40" t="s">
        <v>16</v>
      </c>
      <c r="F634" s="28">
        <v>0</v>
      </c>
      <c r="G634" s="28">
        <v>8.5</v>
      </c>
      <c r="H63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34" s="66"/>
      <c r="J634" s="76">
        <v>2.6</v>
      </c>
      <c r="K634" s="55" t="str">
        <f>IF(_xlfn.XLOOKUP($J634,Catalogo!$B$7:$B$21,Catalogo!$I$7:$I$21,"",0)=0,"",_xlfn.XLOOKUP($J634,Catalogo!$B$7:$B$21,Catalogo!$I$7:$I$21,"",0))</f>
        <v>Localizacion</v>
      </c>
      <c r="L634" s="36">
        <f>+_xlfn.XLOOKUP(Tabla1[[#This Row],[Ducto]],nombres!D:D,nombres!E:E)/1000</f>
        <v>8.5000000000000006E-3</v>
      </c>
      <c r="M63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34" t="str">
        <f>_xlfn.IFNA(_xlfn.XLOOKUP(Tabla1[[#This Row],[fin]],$P$379:$P$386,$T$379:$T$386),"")</f>
        <v/>
      </c>
    </row>
    <row r="635" spans="1:14" x14ac:dyDescent="0.25">
      <c r="A635" s="356">
        <v>46302</v>
      </c>
      <c r="B635" s="116" t="s">
        <v>12</v>
      </c>
      <c r="C635" s="157" t="s">
        <v>535</v>
      </c>
      <c r="D635" s="39" t="s">
        <v>376</v>
      </c>
      <c r="E635" s="40" t="s">
        <v>16</v>
      </c>
      <c r="F635" s="28">
        <v>0</v>
      </c>
      <c r="G635" s="28">
        <v>13</v>
      </c>
      <c r="H63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35" s="66"/>
      <c r="J635" s="76">
        <v>2.6</v>
      </c>
      <c r="K635" s="55" t="str">
        <f>IF(_xlfn.XLOOKUP($J635,Catalogo!$B$7:$B$21,Catalogo!$I$7:$I$21,"",0)=0,"",_xlfn.XLOOKUP($J635,Catalogo!$B$7:$B$21,Catalogo!$I$7:$I$21,"",0))</f>
        <v>Localizacion</v>
      </c>
      <c r="L635" s="36">
        <f>+_xlfn.XLOOKUP(Tabla1[[#This Row],[Ducto]],nombres!D:D,nombres!E:E)/1000</f>
        <v>1.2999999999999999E-2</v>
      </c>
      <c r="M63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35" t="str">
        <f>_xlfn.IFNA(_xlfn.XLOOKUP(Tabla1[[#This Row],[fin]],$P$379:$P$386,$T$379:$T$386),"")</f>
        <v/>
      </c>
    </row>
    <row r="636" spans="1:14" x14ac:dyDescent="0.25">
      <c r="A636" s="356">
        <v>46302</v>
      </c>
      <c r="B636" s="116" t="s">
        <v>12</v>
      </c>
      <c r="C636" s="157" t="s">
        <v>535</v>
      </c>
      <c r="D636" s="39" t="s">
        <v>373</v>
      </c>
      <c r="E636" s="40" t="s">
        <v>16</v>
      </c>
      <c r="F636" s="28">
        <v>0</v>
      </c>
      <c r="G636" s="28">
        <v>53</v>
      </c>
      <c r="H63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36" s="66"/>
      <c r="J636" s="76">
        <v>2.6</v>
      </c>
      <c r="K636" s="55" t="str">
        <f>IF(_xlfn.XLOOKUP($J636,Catalogo!$B$7:$B$21,Catalogo!$I$7:$I$21,"",0)=0,"",_xlfn.XLOOKUP($J636,Catalogo!$B$7:$B$21,Catalogo!$I$7:$I$21,"",0))</f>
        <v>Localizacion</v>
      </c>
      <c r="L636" s="36">
        <f>+_xlfn.XLOOKUP(Tabla1[[#This Row],[Ducto]],nombres!D:D,nombres!E:E)/1000</f>
        <v>5.2999999999999999E-2</v>
      </c>
      <c r="M63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36" t="str">
        <f>_xlfn.IFNA(_xlfn.XLOOKUP(Tabla1[[#This Row],[fin]],$P$379:$P$386,$T$379:$T$386),"")</f>
        <v/>
      </c>
    </row>
    <row r="637" spans="1:14" x14ac:dyDescent="0.25">
      <c r="A637" s="356">
        <v>46302</v>
      </c>
      <c r="B637" s="116" t="s">
        <v>12</v>
      </c>
      <c r="C637" s="157" t="s">
        <v>535</v>
      </c>
      <c r="D637" s="39" t="s">
        <v>372</v>
      </c>
      <c r="E637" s="40" t="s">
        <v>16</v>
      </c>
      <c r="F637" s="28">
        <v>0</v>
      </c>
      <c r="G637" s="28">
        <v>8</v>
      </c>
      <c r="H63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37" s="66"/>
      <c r="J637" s="76">
        <v>2.6</v>
      </c>
      <c r="K637" s="55" t="str">
        <f>IF(_xlfn.XLOOKUP($J637,Catalogo!$B$7:$B$21,Catalogo!$I$7:$I$21,"",0)=0,"",_xlfn.XLOOKUP($J637,Catalogo!$B$7:$B$21,Catalogo!$I$7:$I$21,"",0))</f>
        <v>Localizacion</v>
      </c>
      <c r="L637" s="36">
        <f>+_xlfn.XLOOKUP(Tabla1[[#This Row],[Ducto]],nombres!D:D,nombres!E:E)/1000</f>
        <v>8.0000000000000002E-3</v>
      </c>
      <c r="M63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37" t="str">
        <f>_xlfn.IFNA(_xlfn.XLOOKUP(Tabla1[[#This Row],[fin]],$P$379:$P$386,$T$379:$T$386),"")</f>
        <v/>
      </c>
    </row>
    <row r="638" spans="1:14" x14ac:dyDescent="0.25">
      <c r="A638" s="356">
        <v>46303</v>
      </c>
      <c r="B638" s="116" t="s">
        <v>12</v>
      </c>
      <c r="C638" s="157" t="s">
        <v>535</v>
      </c>
      <c r="D638" s="39" t="s">
        <v>377</v>
      </c>
      <c r="E638" s="40" t="s">
        <v>36</v>
      </c>
      <c r="F638" s="28">
        <v>0</v>
      </c>
      <c r="G638" s="28">
        <v>624</v>
      </c>
      <c r="H638" s="226">
        <f>IF(Tabla1[[#This Row],[Codigo_actividad]]&lt;&gt;2.5,IF(((Tabla1[[#This Row],[fin]]-Tabla1[[#This Row],[inicio]])/1000)=0,"",((Tabla1[[#This Row],[fin]]-Tabla1[[#This Row],[inicio]])/1000)),"")</f>
        <v>0.624</v>
      </c>
      <c r="I638" s="66"/>
      <c r="J638" s="76">
        <v>2.2999999999999998</v>
      </c>
      <c r="K638" s="66" t="str">
        <f>IF(_xlfn.XLOOKUP($J638,Catalogo!$B$7:$B$210,Catalogo!$I$7:$I$210,"",0)=0,"",_xlfn.XLOOKUP($J638,Catalogo!$B$7:$B$210,Catalogo!$I$7:$I$210,"",0))</f>
        <v>DCVG</v>
      </c>
      <c r="L638" s="36">
        <f>+_xlfn.XLOOKUP(Tabla1[[#This Row],[Ducto]],nombres!D:D,nombres!E:E)/1000</f>
        <v>0.62390000000000001</v>
      </c>
      <c r="M63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39" spans="1:14" x14ac:dyDescent="0.25">
      <c r="A639" s="356">
        <v>46303</v>
      </c>
      <c r="B639" s="116" t="s">
        <v>12</v>
      </c>
      <c r="C639" s="157" t="s">
        <v>535</v>
      </c>
      <c r="D639" s="39" t="s">
        <v>374</v>
      </c>
      <c r="E639" s="40" t="s">
        <v>36</v>
      </c>
      <c r="F639" s="28">
        <v>0</v>
      </c>
      <c r="G639" s="28">
        <v>608</v>
      </c>
      <c r="H63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39" s="66"/>
      <c r="J639" s="76">
        <v>2.2999999999999998</v>
      </c>
      <c r="K639" s="66" t="str">
        <f>IF(_xlfn.XLOOKUP($J639,Catalogo!$B$7:$B$21,Catalogo!$I$7:$I$21,"",0)=0,"",_xlfn.XLOOKUP($J639,Catalogo!$B$7:$B$21,Catalogo!$I$7:$I$21,"",0))</f>
        <v>DCVG</v>
      </c>
      <c r="L639" s="36">
        <f>+_xlfn.XLOOKUP(Tabla1[[#This Row],[Ducto]],nombres!D:D,nombres!E:E)/1000</f>
        <v>0.60799999999999998</v>
      </c>
      <c r="M63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39" t="str">
        <f>_xlfn.IFNA(_xlfn.XLOOKUP(Tabla1[[#This Row],[fin]],$P$379:$P$386,$T$379:$T$386),"")</f>
        <v/>
      </c>
    </row>
    <row r="640" spans="1:14" x14ac:dyDescent="0.25">
      <c r="A640" s="356">
        <v>46303</v>
      </c>
      <c r="B640" s="116" t="s">
        <v>12</v>
      </c>
      <c r="C640" s="157" t="s">
        <v>535</v>
      </c>
      <c r="D640" s="39" t="s">
        <v>367</v>
      </c>
      <c r="E640" s="40" t="s">
        <v>36</v>
      </c>
      <c r="F640" s="28">
        <v>0</v>
      </c>
      <c r="G640" s="28">
        <v>3</v>
      </c>
      <c r="H64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0" s="66"/>
      <c r="J640" s="76">
        <v>2.2999999999999998</v>
      </c>
      <c r="K640" s="66" t="str">
        <f>IF(_xlfn.XLOOKUP($J640,Catalogo!$B$7:$B$21,Catalogo!$I$7:$I$21,"",0)=0,"",_xlfn.XLOOKUP($J640,Catalogo!$B$7:$B$21,Catalogo!$I$7:$I$21,"",0))</f>
        <v>DCVG</v>
      </c>
      <c r="L640" s="36">
        <f>+_xlfn.XLOOKUP(Tabla1[[#This Row],[Ducto]],nombres!D:D,nombres!E:E)/1000</f>
        <v>3.0000000000000001E-3</v>
      </c>
      <c r="M64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40" t="str">
        <f>_xlfn.IFNA(_xlfn.XLOOKUP(Tabla1[[#This Row],[fin]],$P$379:$P$386,$T$379:$T$386),"")</f>
        <v/>
      </c>
    </row>
    <row r="641" spans="1:14" x14ac:dyDescent="0.25">
      <c r="A641" s="356">
        <v>46303</v>
      </c>
      <c r="B641" s="116" t="s">
        <v>12</v>
      </c>
      <c r="C641" s="157" t="s">
        <v>535</v>
      </c>
      <c r="D641" s="39" t="s">
        <v>369</v>
      </c>
      <c r="E641" s="40" t="s">
        <v>36</v>
      </c>
      <c r="F641" s="28">
        <v>0</v>
      </c>
      <c r="G641" s="28">
        <v>7</v>
      </c>
      <c r="H64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41" s="66"/>
      <c r="J641" s="76">
        <v>2.2999999999999998</v>
      </c>
      <c r="K641" s="66" t="str">
        <f>IF(_xlfn.XLOOKUP($J641,Catalogo!$B$7:$B$21,Catalogo!$I$7:$I$21,"",0)=0,"",_xlfn.XLOOKUP($J641,Catalogo!$B$7:$B$21,Catalogo!$I$7:$I$21,"",0))</f>
        <v>DCVG</v>
      </c>
      <c r="L641" s="36">
        <f>+_xlfn.XLOOKUP(Tabla1[[#This Row],[Ducto]],nombres!D:D,nombres!E:E)/1000</f>
        <v>7.0000000000000001E-3</v>
      </c>
      <c r="M64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41" t="str">
        <f>_xlfn.IFNA(_xlfn.XLOOKUP(Tabla1[[#This Row],[fin]],$P$379:$P$386,$T$379:$T$386),"")</f>
        <v/>
      </c>
    </row>
    <row r="642" spans="1:14" x14ac:dyDescent="0.25">
      <c r="A642" s="356">
        <v>46303</v>
      </c>
      <c r="B642" s="116" t="s">
        <v>12</v>
      </c>
      <c r="C642" s="157" t="s">
        <v>535</v>
      </c>
      <c r="D642" s="39" t="s">
        <v>370</v>
      </c>
      <c r="E642" s="40" t="s">
        <v>36</v>
      </c>
      <c r="F642" s="28">
        <v>0</v>
      </c>
      <c r="G642" s="28">
        <v>16</v>
      </c>
      <c r="H642" s="226">
        <f>IF(Tabla1[[#This Row],[Codigo_actividad]]&lt;&gt;2.5,IF(((Tabla1[[#This Row],[fin]]-Tabla1[[#This Row],[inicio]])/1000)=0,"",((Tabla1[[#This Row],[fin]]-Tabla1[[#This Row],[inicio]])/1000)),"")</f>
        <v>1.6E-2</v>
      </c>
      <c r="I642" s="66"/>
      <c r="J642" s="76">
        <v>2.2999999999999998</v>
      </c>
      <c r="K642" s="66" t="str">
        <f>IF(_xlfn.XLOOKUP($J642,Catalogo!$B$7:$B$21,Catalogo!$I$7:$I$21,"",0)=0,"",_xlfn.XLOOKUP($J642,Catalogo!$B$7:$B$21,Catalogo!$I$7:$I$21,"",0))</f>
        <v>DCVG</v>
      </c>
      <c r="L642" s="36">
        <f>+_xlfn.XLOOKUP(Tabla1[[#This Row],[Ducto]],nombres!D:D,nombres!E:E)/1000</f>
        <v>1.55E-2</v>
      </c>
      <c r="M64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42" t="str">
        <f>_xlfn.IFNA(_xlfn.XLOOKUP(Tabla1[[#This Row],[fin]],$P$379:$P$386,$T$379:$T$386),"")</f>
        <v/>
      </c>
    </row>
    <row r="643" spans="1:14" x14ac:dyDescent="0.25">
      <c r="A643" s="356">
        <v>46303</v>
      </c>
      <c r="B643" s="116" t="s">
        <v>12</v>
      </c>
      <c r="C643" s="157" t="s">
        <v>535</v>
      </c>
      <c r="D643" s="39" t="s">
        <v>371</v>
      </c>
      <c r="E643" s="40" t="s">
        <v>36</v>
      </c>
      <c r="F643" s="28">
        <v>0</v>
      </c>
      <c r="G643" s="28">
        <v>17</v>
      </c>
      <c r="H64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43" s="66"/>
      <c r="J643" s="76">
        <v>2.2999999999999998</v>
      </c>
      <c r="K643" s="66" t="str">
        <f>IF(_xlfn.XLOOKUP($J643,Catalogo!$B$7:$B$21,Catalogo!$I$7:$I$21,"",0)=0,"",_xlfn.XLOOKUP($J643,Catalogo!$B$7:$B$21,Catalogo!$I$7:$I$21,"",0))</f>
        <v>DCVG</v>
      </c>
      <c r="L643" s="36">
        <f>+_xlfn.XLOOKUP(Tabla1[[#This Row],[Ducto]],nombres!D:D,nombres!E:E)/1000</f>
        <v>1.7000000000000001E-2</v>
      </c>
      <c r="M64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43" t="str">
        <f>_xlfn.IFNA(_xlfn.XLOOKUP(Tabla1[[#This Row],[fin]],$P$379:$P$386,$T$379:$T$386),"")</f>
        <v/>
      </c>
    </row>
    <row r="644" spans="1:14" x14ac:dyDescent="0.25">
      <c r="A644" s="356">
        <v>46303</v>
      </c>
      <c r="B644" s="116" t="s">
        <v>12</v>
      </c>
      <c r="C644" s="157" t="s">
        <v>535</v>
      </c>
      <c r="D644" s="39" t="s">
        <v>375</v>
      </c>
      <c r="E644" s="40" t="s">
        <v>36</v>
      </c>
      <c r="F644" s="28">
        <v>0</v>
      </c>
      <c r="G644" s="28">
        <v>170</v>
      </c>
      <c r="H644" s="226">
        <f>IF(Tabla1[[#This Row],[Codigo_actividad]]&lt;&gt;2.5,IF(((Tabla1[[#This Row],[fin]]-Tabla1[[#This Row],[inicio]])/1000)=0,"",((Tabla1[[#This Row],[fin]]-Tabla1[[#This Row],[inicio]])/1000)),"")</f>
        <v>0.17</v>
      </c>
      <c r="I644" s="66"/>
      <c r="J644" s="76">
        <v>2.2999999999999998</v>
      </c>
      <c r="K644" s="66" t="str">
        <f>IF(_xlfn.XLOOKUP($J644,Catalogo!$B$7:$B$21,Catalogo!$I$7:$I$21,"",0)=0,"",_xlfn.XLOOKUP($J644,Catalogo!$B$7:$B$21,Catalogo!$I$7:$I$21,"",0))</f>
        <v>DCVG</v>
      </c>
      <c r="L644" s="36">
        <f>+_xlfn.XLOOKUP(Tabla1[[#This Row],[Ducto]],nombres!D:D,nombres!E:E)/1000</f>
        <v>0.17</v>
      </c>
      <c r="M64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44" t="str">
        <f>_xlfn.IFNA(_xlfn.XLOOKUP(Tabla1[[#This Row],[fin]],$P$379:$P$386,$T$379:$T$386),"")</f>
        <v/>
      </c>
    </row>
    <row r="645" spans="1:14" x14ac:dyDescent="0.25">
      <c r="A645" s="356">
        <v>46303</v>
      </c>
      <c r="B645" s="116" t="s">
        <v>12</v>
      </c>
      <c r="C645" s="157" t="s">
        <v>535</v>
      </c>
      <c r="D645" s="39" t="s">
        <v>378</v>
      </c>
      <c r="E645" s="40" t="s">
        <v>36</v>
      </c>
      <c r="F645" s="28">
        <v>0</v>
      </c>
      <c r="G645" s="28">
        <v>8.5</v>
      </c>
      <c r="H64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45" s="66"/>
      <c r="J645" s="76">
        <v>2.2999999999999998</v>
      </c>
      <c r="K645" s="66" t="str">
        <f>IF(_xlfn.XLOOKUP($J645,Catalogo!$B$7:$B$21,Catalogo!$I$7:$I$21,"",0)=0,"",_xlfn.XLOOKUP($J645,Catalogo!$B$7:$B$21,Catalogo!$I$7:$I$21,"",0))</f>
        <v>DCVG</v>
      </c>
      <c r="L645" s="36">
        <f>+_xlfn.XLOOKUP(Tabla1[[#This Row],[Ducto]],nombres!D:D,nombres!E:E)/1000</f>
        <v>8.5000000000000006E-3</v>
      </c>
      <c r="M64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45" t="str">
        <f>_xlfn.IFNA(_xlfn.XLOOKUP(Tabla1[[#This Row],[fin]],$P$379:$P$386,$T$379:$T$386),"")</f>
        <v/>
      </c>
    </row>
    <row r="646" spans="1:14" x14ac:dyDescent="0.25">
      <c r="A646" s="356">
        <v>46303</v>
      </c>
      <c r="B646" s="116" t="s">
        <v>12</v>
      </c>
      <c r="C646" s="157" t="s">
        <v>535</v>
      </c>
      <c r="D646" s="39" t="s">
        <v>376</v>
      </c>
      <c r="E646" s="40" t="s">
        <v>36</v>
      </c>
      <c r="F646" s="28">
        <v>0</v>
      </c>
      <c r="G646" s="28">
        <v>13</v>
      </c>
      <c r="H64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46" s="66"/>
      <c r="J646" s="76">
        <v>2.2999999999999998</v>
      </c>
      <c r="K646" s="66" t="str">
        <f>IF(_xlfn.XLOOKUP($J646,Catalogo!$B$7:$B$21,Catalogo!$I$7:$I$21,"",0)=0,"",_xlfn.XLOOKUP($J646,Catalogo!$B$7:$B$21,Catalogo!$I$7:$I$21,"",0))</f>
        <v>DCVG</v>
      </c>
      <c r="L646" s="36">
        <f>+_xlfn.XLOOKUP(Tabla1[[#This Row],[Ducto]],nombres!D:D,nombres!E:E)/1000</f>
        <v>1.2999999999999999E-2</v>
      </c>
      <c r="M64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46" t="str">
        <f>_xlfn.IFNA(_xlfn.XLOOKUP(Tabla1[[#This Row],[fin]],$P$379:$P$386,$T$379:$T$386),"")</f>
        <v/>
      </c>
    </row>
    <row r="647" spans="1:14" x14ac:dyDescent="0.25">
      <c r="A647" s="356">
        <v>46303</v>
      </c>
      <c r="B647" s="116" t="s">
        <v>12</v>
      </c>
      <c r="C647" s="157" t="s">
        <v>535</v>
      </c>
      <c r="D647" s="39" t="s">
        <v>373</v>
      </c>
      <c r="E647" s="40" t="s">
        <v>36</v>
      </c>
      <c r="F647" s="28">
        <v>0</v>
      </c>
      <c r="G647" s="28">
        <v>53</v>
      </c>
      <c r="H64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47" s="66"/>
      <c r="J647" s="76">
        <v>2.2999999999999998</v>
      </c>
      <c r="K647" s="66" t="str">
        <f>IF(_xlfn.XLOOKUP($J647,Catalogo!$B$7:$B$21,Catalogo!$I$7:$I$21,"",0)=0,"",_xlfn.XLOOKUP($J647,Catalogo!$B$7:$B$21,Catalogo!$I$7:$I$21,"",0))</f>
        <v>DCVG</v>
      </c>
      <c r="L647" s="36">
        <f>+_xlfn.XLOOKUP(Tabla1[[#This Row],[Ducto]],nombres!D:D,nombres!E:E)/1000</f>
        <v>5.2999999999999999E-2</v>
      </c>
      <c r="M64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47" t="str">
        <f>_xlfn.IFNA(_xlfn.XLOOKUP(Tabla1[[#This Row],[fin]],$P$379:$P$386,$T$379:$T$386),"")</f>
        <v/>
      </c>
    </row>
    <row r="648" spans="1:14" x14ac:dyDescent="0.25">
      <c r="A648" s="356">
        <v>46303</v>
      </c>
      <c r="B648" s="116" t="s">
        <v>12</v>
      </c>
      <c r="C648" s="157" t="s">
        <v>535</v>
      </c>
      <c r="D648" s="39" t="s">
        <v>372</v>
      </c>
      <c r="E648" s="40" t="s">
        <v>36</v>
      </c>
      <c r="F648" s="28">
        <v>0</v>
      </c>
      <c r="G648" s="28">
        <v>8</v>
      </c>
      <c r="H64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48" s="66"/>
      <c r="J648" s="76">
        <v>2.2999999999999998</v>
      </c>
      <c r="K648" s="66" t="str">
        <f>IF(_xlfn.XLOOKUP($J648,Catalogo!$B$7:$B$21,Catalogo!$I$7:$I$21,"",0)=0,"",_xlfn.XLOOKUP($J648,Catalogo!$B$7:$B$21,Catalogo!$I$7:$I$21,"",0))</f>
        <v>DCVG</v>
      </c>
      <c r="L648" s="36">
        <f>+_xlfn.XLOOKUP(Tabla1[[#This Row],[Ducto]],nombres!D:D,nombres!E:E)/1000</f>
        <v>8.0000000000000002E-3</v>
      </c>
      <c r="M64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48" t="str">
        <f>_xlfn.IFNA(_xlfn.XLOOKUP(Tabla1[[#This Row],[fin]],$P$379:$P$386,$T$379:$T$386),"")</f>
        <v/>
      </c>
    </row>
    <row r="649" spans="1:14" x14ac:dyDescent="0.25">
      <c r="A649" s="356">
        <v>46303</v>
      </c>
      <c r="B649" s="116" t="s">
        <v>12</v>
      </c>
      <c r="C649" s="157" t="s">
        <v>535</v>
      </c>
      <c r="D649" s="39" t="s">
        <v>368</v>
      </c>
      <c r="E649" s="40" t="s">
        <v>36</v>
      </c>
      <c r="F649" s="28">
        <v>0</v>
      </c>
      <c r="G649" s="28">
        <v>97</v>
      </c>
      <c r="H64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49" s="66"/>
      <c r="J649" s="76">
        <v>2.2999999999999998</v>
      </c>
      <c r="K649" s="66" t="str">
        <f>IF(_xlfn.XLOOKUP($J649,Catalogo!$B$7:$B$21,Catalogo!$I$7:$I$21,"",0)=0,"",_xlfn.XLOOKUP($J649,Catalogo!$B$7:$B$21,Catalogo!$I$7:$I$21,"",0))</f>
        <v>DCVG</v>
      </c>
      <c r="L649" s="36">
        <f>+_xlfn.XLOOKUP(Tabla1[[#This Row],[Ducto]],nombres!D:D,nombres!E:E)/1000</f>
        <v>9.7000000000000003E-2</v>
      </c>
      <c r="M64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49" t="str">
        <f>_xlfn.IFNA(_xlfn.XLOOKUP(Tabla1[[#This Row],[fin]],$P$379:$P$386,$T$379:$T$386),"")</f>
        <v/>
      </c>
    </row>
    <row r="650" spans="1:14" x14ac:dyDescent="0.25">
      <c r="A650" s="356">
        <v>46303</v>
      </c>
      <c r="B650" s="116" t="s">
        <v>12</v>
      </c>
      <c r="C650" s="157" t="s">
        <v>535</v>
      </c>
      <c r="D650" s="39" t="s">
        <v>368</v>
      </c>
      <c r="E650" s="40" t="s">
        <v>16</v>
      </c>
      <c r="F650" s="28">
        <v>0</v>
      </c>
      <c r="G650" s="28">
        <v>97</v>
      </c>
      <c r="H65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50" s="66"/>
      <c r="J650" s="76">
        <v>2.6</v>
      </c>
      <c r="K650" s="66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9.7000000000000003E-2</v>
      </c>
      <c r="M65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50" t="str">
        <f>_xlfn.IFNA(_xlfn.XLOOKUP(Tabla1[[#This Row],[fin]],$P$379:$P$386,$T$379:$T$386),"")</f>
        <v/>
      </c>
    </row>
    <row r="651" spans="1:14" x14ac:dyDescent="0.25">
      <c r="A651" s="356">
        <v>46304</v>
      </c>
      <c r="B651" s="116" t="s">
        <v>12</v>
      </c>
      <c r="C651" s="157" t="s">
        <v>535</v>
      </c>
      <c r="D651" s="39" t="s">
        <v>377</v>
      </c>
      <c r="E651" s="40" t="s">
        <v>28</v>
      </c>
      <c r="F651" s="28">
        <v>0</v>
      </c>
      <c r="G651" s="28">
        <v>624</v>
      </c>
      <c r="H651" s="226">
        <f>IF(Tabla1[[#This Row],[Codigo_actividad]]&lt;&gt;2.5,IF(((Tabla1[[#This Row],[fin]]-Tabla1[[#This Row],[inicio]])/1000)=0,"",((Tabla1[[#This Row],[fin]]-Tabla1[[#This Row],[inicio]])/1000)),"")</f>
        <v>0.624</v>
      </c>
      <c r="I651" s="66"/>
      <c r="J651" s="76">
        <v>2.1</v>
      </c>
      <c r="K651" s="66" t="str">
        <f>IF(_xlfn.XLOOKUP($J651,Catalogo!$B$7:$B$210,Catalogo!$I$7:$I$210,"",0)=0,"",_xlfn.XLOOKUP($J651,Catalogo!$B$7:$B$210,Catalogo!$I$7:$I$210,"",0))</f>
        <v>CIPS</v>
      </c>
      <c r="L651" s="36">
        <f>+_xlfn.XLOOKUP(Tabla1[[#This Row],[Ducto]],nombres!D:D,nombres!E:E)/1000</f>
        <v>0.62390000000000001</v>
      </c>
      <c r="M65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52" spans="1:14" x14ac:dyDescent="0.25">
      <c r="A652" s="356">
        <v>46304</v>
      </c>
      <c r="B652" s="116" t="s">
        <v>12</v>
      </c>
      <c r="C652" s="157" t="s">
        <v>535</v>
      </c>
      <c r="D652" s="39" t="s">
        <v>367</v>
      </c>
      <c r="E652" s="40" t="s">
        <v>28</v>
      </c>
      <c r="F652" s="28">
        <v>0</v>
      </c>
      <c r="G652" s="28">
        <v>3</v>
      </c>
      <c r="H65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52" s="66"/>
      <c r="J652" s="76">
        <v>2.1</v>
      </c>
      <c r="K652" s="66" t="str">
        <f>IF(_xlfn.XLOOKUP($J652,Catalogo!$B$7:$B$210,Catalogo!$I$7:$I$210,"",0)=0,"",_xlfn.XLOOKUP($J652,Catalogo!$B$7:$B$210,Catalogo!$I$7:$I$210,"",0))</f>
        <v>CIPS</v>
      </c>
      <c r="L652" s="36">
        <f>+_xlfn.XLOOKUP(Tabla1[[#This Row],[Ducto]],nombres!D:D,nombres!E:E)/1000</f>
        <v>3.0000000000000001E-3</v>
      </c>
      <c r="M65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53" spans="1:14" x14ac:dyDescent="0.25">
      <c r="A653" s="356">
        <v>46304</v>
      </c>
      <c r="B653" s="116" t="s">
        <v>12</v>
      </c>
      <c r="C653" s="157" t="s">
        <v>535</v>
      </c>
      <c r="D653" s="39" t="s">
        <v>370</v>
      </c>
      <c r="E653" s="40" t="s">
        <v>28</v>
      </c>
      <c r="F653" s="28">
        <v>0</v>
      </c>
      <c r="G653" s="28">
        <v>16</v>
      </c>
      <c r="H653" s="226">
        <f>IF(Tabla1[[#This Row],[Codigo_actividad]]&lt;&gt;2.5,IF(((Tabla1[[#This Row],[fin]]-Tabla1[[#This Row],[inicio]])/1000)=0,"",((Tabla1[[#This Row],[fin]]-Tabla1[[#This Row],[inicio]])/1000)),"")</f>
        <v>1.6E-2</v>
      </c>
      <c r="I653" s="66"/>
      <c r="J653" s="76">
        <v>2.1</v>
      </c>
      <c r="K653" s="66" t="str">
        <f>IF(_xlfn.XLOOKUP($J653,Catalogo!$B$7:$B$210,Catalogo!$I$7:$I$210,"",0)=0,"",_xlfn.XLOOKUP($J653,Catalogo!$B$7:$B$210,Catalogo!$I$7:$I$210,"",0))</f>
        <v>CIPS</v>
      </c>
      <c r="L653" s="36">
        <f>+_xlfn.XLOOKUP(Tabla1[[#This Row],[Ducto]],nombres!D:D,nombres!E:E)/1000</f>
        <v>1.55E-2</v>
      </c>
      <c r="M65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54" spans="1:14" x14ac:dyDescent="0.25">
      <c r="A654" s="356">
        <v>46304</v>
      </c>
      <c r="B654" s="116" t="s">
        <v>12</v>
      </c>
      <c r="C654" s="157" t="s">
        <v>535</v>
      </c>
      <c r="D654" s="39" t="s">
        <v>371</v>
      </c>
      <c r="E654" s="40" t="s">
        <v>28</v>
      </c>
      <c r="F654" s="28">
        <v>0</v>
      </c>
      <c r="G654" s="28">
        <v>17</v>
      </c>
      <c r="H65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4" s="66"/>
      <c r="J654" s="76">
        <v>2.1</v>
      </c>
      <c r="K654" s="66" t="str">
        <f>IF(_xlfn.XLOOKUP($J654,Catalogo!$B$7:$B$210,Catalogo!$I$7:$I$210,"",0)=0,"",_xlfn.XLOOKUP($J654,Catalogo!$B$7:$B$210,Catalogo!$I$7:$I$210,"",0))</f>
        <v>CIPS</v>
      </c>
      <c r="L654" s="36">
        <f>+_xlfn.XLOOKUP(Tabla1[[#This Row],[Ducto]],nombres!D:D,nombres!E:E)/1000</f>
        <v>1.7000000000000001E-2</v>
      </c>
      <c r="M65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55" spans="1:14" x14ac:dyDescent="0.25">
      <c r="A655" s="356">
        <v>46304</v>
      </c>
      <c r="B655" s="116" t="s">
        <v>12</v>
      </c>
      <c r="C655" s="157" t="s">
        <v>535</v>
      </c>
      <c r="D655" s="39" t="s">
        <v>376</v>
      </c>
      <c r="E655" s="40" t="s">
        <v>28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2.1</v>
      </c>
      <c r="K655" s="66" t="str">
        <f>IF(_xlfn.XLOOKUP($J655,Catalogo!$B$7:$B$210,Catalogo!$I$7:$I$210,"",0)=0,"",_xlfn.XLOOKUP($J655,Catalogo!$B$7:$B$210,Catalogo!$I$7:$I$210,"",0))</f>
        <v>CIPS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56" spans="1:14" x14ac:dyDescent="0.25">
      <c r="A656" s="356">
        <v>46304</v>
      </c>
      <c r="B656" s="116" t="s">
        <v>12</v>
      </c>
      <c r="C656" s="157" t="s">
        <v>535</v>
      </c>
      <c r="D656" s="39" t="s">
        <v>373</v>
      </c>
      <c r="E656" s="40" t="s">
        <v>28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2.1</v>
      </c>
      <c r="K656" s="66" t="str">
        <f>IF(_xlfn.XLOOKUP($J656,Catalogo!$B$7:$B$210,Catalogo!$I$7:$I$210,"",0)=0,"",_xlfn.XLOOKUP($J656,Catalogo!$B$7:$B$210,Catalogo!$I$7:$I$210,"",0))</f>
        <v>CIPS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57" spans="1:14" x14ac:dyDescent="0.25">
      <c r="A657" s="356">
        <v>46304</v>
      </c>
      <c r="B657" s="116" t="s">
        <v>12</v>
      </c>
      <c r="C657" s="157" t="s">
        <v>535</v>
      </c>
      <c r="D657" s="39" t="s">
        <v>372</v>
      </c>
      <c r="E657" s="40" t="s">
        <v>28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2.1</v>
      </c>
      <c r="K657" s="66" t="str">
        <f>IF(_xlfn.XLOOKUP($J657,Catalogo!$B$7:$B$210,Catalogo!$I$7:$I$210,"",0)=0,"",_xlfn.XLOOKUP($J657,Catalogo!$B$7:$B$210,Catalogo!$I$7:$I$210,"",0))</f>
        <v>CIPS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58" spans="1:14" x14ac:dyDescent="0.25">
      <c r="A658" s="356"/>
      <c r="B658" s="116"/>
      <c r="C658" s="157"/>
      <c r="D658" s="39"/>
      <c r="F658" s="28"/>
      <c r="G658" s="28"/>
      <c r="H658" s="226"/>
      <c r="I658" s="66"/>
      <c r="J658" s="76"/>
      <c r="L658" s="36"/>
      <c r="M658" s="263"/>
    </row>
    <row r="659" spans="1:14" x14ac:dyDescent="0.25">
      <c r="A659" s="356">
        <v>46308</v>
      </c>
      <c r="B659" s="116" t="s">
        <v>12</v>
      </c>
      <c r="C659" s="157" t="s">
        <v>535</v>
      </c>
      <c r="D659" s="39" t="s">
        <v>368</v>
      </c>
      <c r="E659" s="40" t="s">
        <v>28</v>
      </c>
      <c r="F659" s="28">
        <v>0</v>
      </c>
      <c r="G659" s="28">
        <v>97</v>
      </c>
      <c r="H65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59" s="66"/>
      <c r="J659" s="76">
        <v>2.1</v>
      </c>
      <c r="K659" s="66" t="str">
        <f>IF(_xlfn.XLOOKUP($J659,Catalogo!$B$7:$B$210,Catalogo!$I$7:$I$210,"",0)=0,"",_xlfn.XLOOKUP($J659,Catalogo!$B$7:$B$210,Catalogo!$I$7:$I$210,"",0))</f>
        <v>CIPS</v>
      </c>
      <c r="L659" s="36">
        <f>+_xlfn.XLOOKUP(Tabla1[[#This Row],[Ducto]],nombres!D:D,nombres!E:E)/1000</f>
        <v>9.7000000000000003E-2</v>
      </c>
      <c r="M65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60" spans="1:14" x14ac:dyDescent="0.25">
      <c r="A660" s="356">
        <v>46308</v>
      </c>
      <c r="B660" s="116" t="s">
        <v>12</v>
      </c>
      <c r="C660" s="157" t="s">
        <v>535</v>
      </c>
      <c r="D660" s="39" t="s">
        <v>374</v>
      </c>
      <c r="E660" s="40" t="s">
        <v>28</v>
      </c>
      <c r="F660" s="28">
        <v>0</v>
      </c>
      <c r="G660" s="28">
        <v>608</v>
      </c>
      <c r="H66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60" s="66"/>
      <c r="J660" s="76">
        <v>2.1</v>
      </c>
      <c r="K660" s="66" t="str">
        <f>IF(_xlfn.XLOOKUP($J660,Catalogo!$B$7:$B$210,Catalogo!$I$7:$I$210,"",0)=0,"",_xlfn.XLOOKUP($J660,Catalogo!$B$7:$B$210,Catalogo!$I$7:$I$210,"",0))</f>
        <v>CIPS</v>
      </c>
      <c r="L660" s="36">
        <f>+_xlfn.XLOOKUP(Tabla1[[#This Row],[Ducto]],nombres!D:D,nombres!E:E)/1000</f>
        <v>0.60799999999999998</v>
      </c>
      <c r="M66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61" spans="1:14" x14ac:dyDescent="0.25">
      <c r="A661" s="356">
        <v>46308</v>
      </c>
      <c r="B661" s="116" t="s">
        <v>12</v>
      </c>
      <c r="C661" s="157" t="s">
        <v>535</v>
      </c>
      <c r="D661" s="39" t="s">
        <v>375</v>
      </c>
      <c r="E661" s="40" t="s">
        <v>28</v>
      </c>
      <c r="F661" s="28">
        <v>0</v>
      </c>
      <c r="G661" s="28">
        <v>170</v>
      </c>
      <c r="H661" s="226">
        <f>IF(Tabla1[[#This Row],[Codigo_actividad]]&lt;&gt;2.5,IF(((Tabla1[[#This Row],[fin]]-Tabla1[[#This Row],[inicio]])/1000)=0,"",((Tabla1[[#This Row],[fin]]-Tabla1[[#This Row],[inicio]])/1000)),"")</f>
        <v>0.17</v>
      </c>
      <c r="I661" s="66"/>
      <c r="J661" s="76">
        <v>2.1</v>
      </c>
      <c r="K661" s="66" t="str">
        <f>IF(_xlfn.XLOOKUP($J661,Catalogo!$B$7:$B$210,Catalogo!$I$7:$I$210,"",0)=0,"",_xlfn.XLOOKUP($J661,Catalogo!$B$7:$B$210,Catalogo!$I$7:$I$210,"",0))</f>
        <v>CIPS</v>
      </c>
      <c r="L661" s="36">
        <f>+_xlfn.XLOOKUP(Tabla1[[#This Row],[Ducto]],nombres!D:D,nombres!E:E)/1000</f>
        <v>0.17</v>
      </c>
      <c r="M66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62" spans="1:14" x14ac:dyDescent="0.25">
      <c r="A662" s="356">
        <v>46308</v>
      </c>
      <c r="B662" s="116" t="s">
        <v>12</v>
      </c>
      <c r="C662" s="157" t="s">
        <v>535</v>
      </c>
      <c r="D662" s="39" t="s">
        <v>378</v>
      </c>
      <c r="E662" s="40" t="s">
        <v>28</v>
      </c>
      <c r="F662" s="28">
        <v>0</v>
      </c>
      <c r="G662" s="28">
        <v>8.5</v>
      </c>
      <c r="H66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2" s="66"/>
      <c r="J662" s="76">
        <v>2.1</v>
      </c>
      <c r="K662" s="66" t="str">
        <f>IF(_xlfn.XLOOKUP($J662,Catalogo!$B$7:$B$210,Catalogo!$I$7:$I$210,"",0)=0,"",_xlfn.XLOOKUP($J662,Catalogo!$B$7:$B$210,Catalogo!$I$7:$I$210,"",0))</f>
        <v>CIPS</v>
      </c>
      <c r="L662" s="36">
        <f>+_xlfn.XLOOKUP(Tabla1[[#This Row],[Ducto]],nombres!D:D,nombres!E:E)/1000</f>
        <v>8.5000000000000006E-3</v>
      </c>
      <c r="M66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63" spans="1:14" x14ac:dyDescent="0.25">
      <c r="A663" s="356"/>
      <c r="B663" s="116"/>
      <c r="C663" s="157"/>
      <c r="D663" s="39"/>
      <c r="F663" s="28"/>
      <c r="G663" s="28"/>
      <c r="H663" s="226" t="str">
        <f>IF(Tabla1[[#This Row],[Codigo_actividad]]&lt;&gt;2.5,IF(((Tabla1[[#This Row],[fin]]-Tabla1[[#This Row],[inicio]])/1000)=0,"",((Tabla1[[#This Row],[fin]]-Tabla1[[#This Row],[inicio]])/1000)),"")</f>
        <v/>
      </c>
      <c r="I663" s="66"/>
      <c r="J663" s="76"/>
      <c r="K663" s="55" t="str">
        <f>IF(_xlfn.XLOOKUP($J663,Catalogo!$B$7:$B$21,Catalogo!$I$7:$I$21,"",0)=0,"",_xlfn.XLOOKUP($J663,Catalogo!$B$7:$B$21,Catalogo!$I$7:$I$21,"",0))</f>
        <v/>
      </c>
      <c r="L663" s="36"/>
      <c r="M663" s="263">
        <f>IF(Tabla1[[#This Row],[Avance_km]]&lt;&gt;"",Tabla1[[#This Row],[Avance_km]],Tabla1[[#This Row],[Avance_Med]])*_xlfn.XLOOKUP(Tabla1[[#This Row],[Codigo_actividad]],Catalogo!$B$6:$B$51,Catalogo!$F$6:$F$51,0)</f>
        <v>0</v>
      </c>
      <c r="N663" t="str">
        <f>_xlfn.IFNA(_xlfn.XLOOKUP(Tabla1[[#This Row],[fin]],$P$379:$P$386,$T$379:$T$386),"")</f>
        <v/>
      </c>
    </row>
    <row r="664" spans="1:14" x14ac:dyDescent="0.25">
      <c r="A664" s="356">
        <v>46309</v>
      </c>
      <c r="B664" s="116" t="s">
        <v>12</v>
      </c>
      <c r="C664" s="157" t="s">
        <v>535</v>
      </c>
      <c r="D664" s="39" t="s">
        <v>369</v>
      </c>
      <c r="E664" s="40" t="s">
        <v>28</v>
      </c>
      <c r="F664" s="28">
        <v>0</v>
      </c>
      <c r="G664" s="28">
        <v>7</v>
      </c>
      <c r="H66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4" s="66"/>
      <c r="J664" s="76">
        <v>2.1</v>
      </c>
      <c r="K664" s="66" t="str">
        <f>IF(_xlfn.XLOOKUP($J664,Catalogo!$B$7:$B$210,Catalogo!$I$7:$I$210,"",0)=0,"",_xlfn.XLOOKUP($J664,Catalogo!$B$7:$B$210,Catalogo!$I$7:$I$210,"",0))</f>
        <v>CIPS</v>
      </c>
      <c r="L664" s="36">
        <f>+_xlfn.XLOOKUP(Tabla1[[#This Row],[Ducto]],nombres!D:D,nombres!E:E)/1000</f>
        <v>7.0000000000000001E-3</v>
      </c>
      <c r="M66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65" spans="1:14" x14ac:dyDescent="0.25">
      <c r="A665" s="356">
        <v>46309</v>
      </c>
      <c r="B665" s="116" t="s">
        <v>12</v>
      </c>
      <c r="C665" s="157" t="s">
        <v>411</v>
      </c>
      <c r="D665" s="39" t="s">
        <v>351</v>
      </c>
      <c r="E665" s="40" t="s">
        <v>28</v>
      </c>
      <c r="F665" s="28">
        <v>23139</v>
      </c>
      <c r="G665" s="28">
        <v>23379</v>
      </c>
      <c r="H665" s="226">
        <f>IF(Tabla1[[#This Row],[Codigo_actividad]]&lt;&gt;2.5,IF(((Tabla1[[#This Row],[fin]]-Tabla1[[#This Row],[inicio]])/1000)=0,"",((Tabla1[[#This Row],[fin]]-Tabla1[[#This Row],[inicio]])/1000)),"")</f>
        <v>0.24</v>
      </c>
      <c r="I665" s="66"/>
      <c r="J665" s="76">
        <v>2.1</v>
      </c>
      <c r="K665" s="66" t="str">
        <f>IF(_xlfn.XLOOKUP($J665,Catalogo!$B$7:$B$210,Catalogo!$I$7:$I$210,"",0)=0,"",_xlfn.XLOOKUP($J665,Catalogo!$B$7:$B$210,Catalogo!$I$7:$I$210,"",0))</f>
        <v>CIPS</v>
      </c>
      <c r="L665" s="36">
        <f>+_xlfn.XLOOKUP(Tabla1[[#This Row],[Ducto]],'R (s04)'!B:B,'R (s04)'!C:C)</f>
        <v>47.596499999999999</v>
      </c>
      <c r="M66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66" spans="1:14" x14ac:dyDescent="0.25">
      <c r="A666" s="356">
        <v>46309</v>
      </c>
      <c r="B666" s="116" t="s">
        <v>12</v>
      </c>
      <c r="C666" s="157" t="s">
        <v>411</v>
      </c>
      <c r="D666" s="39" t="s">
        <v>351</v>
      </c>
      <c r="E666" s="40" t="s">
        <v>28</v>
      </c>
      <c r="F666" s="28">
        <v>24265</v>
      </c>
      <c r="G666" s="28">
        <v>25250</v>
      </c>
      <c r="H66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66" s="66"/>
      <c r="J666" s="76">
        <v>2.1</v>
      </c>
      <c r="K666" s="66" t="str">
        <f>IF(_xlfn.XLOOKUP($J666,Catalogo!$B$7:$B$210,Catalogo!$I$7:$I$210,"",0)=0,"",_xlfn.XLOOKUP($J666,Catalogo!$B$7:$B$210,Catalogo!$I$7:$I$210,"",0))</f>
        <v>CIPS</v>
      </c>
      <c r="L666" s="36">
        <f>+_xlfn.XLOOKUP(Tabla1[[#This Row],[Ducto]],'R (s04)'!B:B,'R (s04)'!C:C)</f>
        <v>47.596499999999999</v>
      </c>
      <c r="M66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67" spans="1:14" x14ac:dyDescent="0.25">
      <c r="A667" s="356">
        <v>46310</v>
      </c>
      <c r="B667" s="116" t="s">
        <v>12</v>
      </c>
      <c r="C667" s="157" t="s">
        <v>411</v>
      </c>
      <c r="D667" s="39" t="s">
        <v>351</v>
      </c>
      <c r="E667" s="40" t="s">
        <v>28</v>
      </c>
      <c r="F667" s="28">
        <v>25250</v>
      </c>
      <c r="G667" s="28">
        <v>27936</v>
      </c>
      <c r="H66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67" s="66"/>
      <c r="J667" s="76">
        <v>2.1</v>
      </c>
      <c r="K667" s="66" t="str">
        <f>IF(_xlfn.XLOOKUP($J667,Catalogo!$B$7:$B$210,Catalogo!$I$7:$I$210,"",0)=0,"",_xlfn.XLOOKUP($J667,Catalogo!$B$7:$B$210,Catalogo!$I$7:$I$210,"",0))</f>
        <v>CIPS</v>
      </c>
      <c r="L667" s="36">
        <f>+_xlfn.XLOOKUP(Tabla1[[#This Row],[Ducto]],'R (s04)'!B:B,'R (s04)'!C:C)</f>
        <v>47.596499999999999</v>
      </c>
      <c r="M66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68" spans="1:14" x14ac:dyDescent="0.25">
      <c r="A668" s="356">
        <v>46311</v>
      </c>
      <c r="B668" s="116" t="s">
        <v>12</v>
      </c>
      <c r="C668" s="157" t="s">
        <v>411</v>
      </c>
      <c r="D668" s="39" t="s">
        <v>351</v>
      </c>
      <c r="E668" s="40" t="s">
        <v>28</v>
      </c>
      <c r="F668" s="28">
        <v>27936</v>
      </c>
      <c r="G668" s="28">
        <v>30728</v>
      </c>
      <c r="H66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68" s="66"/>
      <c r="J668" s="76">
        <v>2.1</v>
      </c>
      <c r="K668" s="66" t="str">
        <f>IF(_xlfn.XLOOKUP($J668,Catalogo!$B$7:$B$210,Catalogo!$I$7:$I$210,"",0)=0,"",_xlfn.XLOOKUP($J668,Catalogo!$B$7:$B$210,Catalogo!$I$7:$I$210,"",0))</f>
        <v>CIPS</v>
      </c>
      <c r="L668" s="36">
        <f>+_xlfn.XLOOKUP(Tabla1[[#This Row],[Ducto]],'R (s04)'!B:B,'R (s04)'!C:C)</f>
        <v>47.596499999999999</v>
      </c>
      <c r="M66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69" spans="1:14" x14ac:dyDescent="0.25">
      <c r="A669" s="356">
        <v>46312</v>
      </c>
      <c r="B669" s="116" t="s">
        <v>12</v>
      </c>
      <c r="C669" s="157" t="s">
        <v>411</v>
      </c>
      <c r="D669" s="39" t="s">
        <v>351</v>
      </c>
      <c r="E669" s="40" t="s">
        <v>28</v>
      </c>
      <c r="F669" s="28">
        <v>23379</v>
      </c>
      <c r="G669" s="28">
        <v>24265</v>
      </c>
      <c r="H66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69" s="66"/>
      <c r="J669" s="76">
        <v>2.1</v>
      </c>
      <c r="K669" s="66" t="str">
        <f>IF(_xlfn.XLOOKUP($J669,Catalogo!$B$7:$B$210,Catalogo!$I$7:$I$210,"",0)=0,"",_xlfn.XLOOKUP($J669,Catalogo!$B$7:$B$210,Catalogo!$I$7:$I$210,"",0))</f>
        <v>CIPS</v>
      </c>
      <c r="L669" s="36">
        <f>+_xlfn.XLOOKUP(Tabla1[[#This Row],[Ducto]],'R (s04)'!B:B,'R (s04)'!C:C)</f>
        <v>47.596499999999999</v>
      </c>
      <c r="M66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70" spans="1:14" x14ac:dyDescent="0.25">
      <c r="A670" s="356">
        <v>46312</v>
      </c>
      <c r="B670" s="116" t="s">
        <v>12</v>
      </c>
      <c r="C670" s="157" t="s">
        <v>411</v>
      </c>
      <c r="D670" s="39" t="s">
        <v>351</v>
      </c>
      <c r="E670" s="40" t="s">
        <v>28</v>
      </c>
      <c r="F670" s="28">
        <v>30728</v>
      </c>
      <c r="G670" s="28">
        <v>31253</v>
      </c>
      <c r="H67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70" s="66"/>
      <c r="J670" s="76">
        <v>2.1</v>
      </c>
      <c r="K670" s="66" t="str">
        <f>IF(_xlfn.XLOOKUP($J670,Catalogo!$B$7:$B$210,Catalogo!$I$7:$I$210,"",0)=0,"",_xlfn.XLOOKUP($J670,Catalogo!$B$7:$B$210,Catalogo!$I$7:$I$210,"",0))</f>
        <v>CIPS</v>
      </c>
      <c r="L670" s="36">
        <f>+_xlfn.XLOOKUP(Tabla1[[#This Row],[Ducto]],'R (s04)'!B:B,'R (s04)'!C:C)</f>
        <v>47.596499999999999</v>
      </c>
      <c r="M67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71" spans="1:14" x14ac:dyDescent="0.25">
      <c r="A671" s="356"/>
      <c r="B671" s="116"/>
      <c r="C671" s="157"/>
      <c r="D671" s="39"/>
      <c r="F671" s="28"/>
      <c r="G671" s="28"/>
      <c r="H671" s="226" t="str">
        <f>IF(Tabla1[[#This Row],[Codigo_actividad]]&lt;&gt;2.5,IF(((Tabla1[[#This Row],[fin]]-Tabla1[[#This Row],[inicio]])/1000)=0,"",((Tabla1[[#This Row],[fin]]-Tabla1[[#This Row],[inicio]])/1000)),"")</f>
        <v/>
      </c>
      <c r="I671" s="66"/>
      <c r="J671" s="76"/>
      <c r="K671" s="55" t="str">
        <f>IF(_xlfn.XLOOKUP($J671,Catalogo!$B$7:$B$21,Catalogo!$I$7:$I$21,"",0)=0,"",_xlfn.XLOOKUP($J671,Catalogo!$B$7:$B$21,Catalogo!$I$7:$I$21,"",0))</f>
        <v/>
      </c>
      <c r="L671" s="36"/>
      <c r="M671" s="263">
        <f>IF(Tabla1[[#This Row],[Avance_km]]&lt;&gt;"",Tabla1[[#This Row],[Avance_km]],Tabla1[[#This Row],[Avance_Med]])*_xlfn.XLOOKUP(Tabla1[[#This Row],[Codigo_actividad]],Catalogo!$B$6:$B$51,Catalogo!$F$6:$F$51,0)</f>
        <v>0</v>
      </c>
      <c r="N671" t="str">
        <f>_xlfn.IFNA(_xlfn.XLOOKUP(Tabla1[[#This Row],[fin]],$P$379:$P$386,$T$379:$T$386),"")</f>
        <v/>
      </c>
    </row>
    <row r="672" spans="1:14" x14ac:dyDescent="0.25">
      <c r="A672" s="356">
        <v>46314</v>
      </c>
      <c r="B672" s="116"/>
      <c r="C672" s="157"/>
      <c r="D672" s="39"/>
      <c r="F672" s="28"/>
      <c r="G672" s="28"/>
      <c r="H672" s="226" t="str">
        <f>IF(Tabla1[[#This Row],[Codigo_actividad]]&lt;&gt;2.5,IF(((Tabla1[[#This Row],[fin]]-Tabla1[[#This Row],[inicio]])/1000)=0,"",((Tabla1[[#This Row],[fin]]-Tabla1[[#This Row],[inicio]])/1000)),"")</f>
        <v/>
      </c>
      <c r="I672" s="66"/>
      <c r="J672" s="76"/>
      <c r="K672" s="55" t="str">
        <f>IF(_xlfn.XLOOKUP($J672,Catalogo!$B$7:$B$21,Catalogo!$I$7:$I$21,"",0)=0,"",_xlfn.XLOOKUP($J672,Catalogo!$B$7:$B$21,Catalogo!$I$7:$I$21,"",0))</f>
        <v/>
      </c>
      <c r="L672" s="36"/>
      <c r="M672" s="263">
        <f>IF(Tabla1[[#This Row],[Avance_km]]&lt;&gt;"",Tabla1[[#This Row],[Avance_km]],Tabla1[[#This Row],[Avance_Med]])*_xlfn.XLOOKUP(Tabla1[[#This Row],[Codigo_actividad]],Catalogo!$B$6:$B$51,Catalogo!$F$6:$F$51,0)</f>
        <v>0</v>
      </c>
      <c r="N672" t="str">
        <f>_xlfn.IFNA(_xlfn.XLOOKUP(Tabla1[[#This Row],[fin]],$P$379:$P$386,$T$379:$T$386),"")</f>
        <v/>
      </c>
    </row>
    <row r="673" spans="1:14" x14ac:dyDescent="0.25">
      <c r="A673" s="356">
        <v>46315</v>
      </c>
      <c r="B673" s="116"/>
      <c r="C673" s="157"/>
      <c r="D673" s="39"/>
      <c r="F673" s="28"/>
      <c r="G673" s="28"/>
      <c r="H673" s="226" t="str">
        <f>IF(Tabla1[[#This Row],[Codigo_actividad]]&lt;&gt;2.5,IF(((Tabla1[[#This Row],[fin]]-Tabla1[[#This Row],[inicio]])/1000)=0,"",((Tabla1[[#This Row],[fin]]-Tabla1[[#This Row],[inicio]])/1000)),"")</f>
        <v/>
      </c>
      <c r="I673" s="66"/>
      <c r="J673" s="76"/>
      <c r="K673" s="55" t="str">
        <f>IF(_xlfn.XLOOKUP($J673,Catalogo!$B$7:$B$21,Catalogo!$I$7:$I$21,"",0)=0,"",_xlfn.XLOOKUP($J673,Catalogo!$B$7:$B$21,Catalogo!$I$7:$I$21,"",0))</f>
        <v/>
      </c>
      <c r="L673" s="36"/>
      <c r="M673" s="263">
        <f>IF(Tabla1[[#This Row],[Avance_km]]&lt;&gt;"",Tabla1[[#This Row],[Avance_km]],Tabla1[[#This Row],[Avance_Med]])*_xlfn.XLOOKUP(Tabla1[[#This Row],[Codigo_actividad]],Catalogo!$B$6:$B$51,Catalogo!$F$6:$F$51,0)</f>
        <v>0</v>
      </c>
      <c r="N673" t="str">
        <f>_xlfn.IFNA(_xlfn.XLOOKUP(Tabla1[[#This Row],[fin]],$P$379:$P$386,$T$379:$T$386),"")</f>
        <v/>
      </c>
    </row>
    <row r="674" spans="1:14" x14ac:dyDescent="0.25">
      <c r="A674" s="356">
        <v>46316</v>
      </c>
      <c r="B674" s="116"/>
      <c r="C674" s="157"/>
      <c r="D674" s="39"/>
      <c r="F674" s="28"/>
      <c r="G674" s="28"/>
      <c r="H674" s="226" t="str">
        <f>IF(Tabla1[[#This Row],[Codigo_actividad]]&lt;&gt;2.5,IF(((Tabla1[[#This Row],[fin]]-Tabla1[[#This Row],[inicio]])/1000)=0,"",((Tabla1[[#This Row],[fin]]-Tabla1[[#This Row],[inicio]])/1000)),"")</f>
        <v/>
      </c>
      <c r="I674" s="66"/>
      <c r="J674" s="76"/>
      <c r="K674" s="55" t="str">
        <f>IF(_xlfn.XLOOKUP($J674,Catalogo!$B$7:$B$21,Catalogo!$I$7:$I$21,"",0)=0,"",_xlfn.XLOOKUP($J674,Catalogo!$B$7:$B$21,Catalogo!$I$7:$I$21,"",0))</f>
        <v/>
      </c>
      <c r="L674" s="36"/>
      <c r="M674" s="263">
        <f>IF(Tabla1[[#This Row],[Avance_km]]&lt;&gt;"",Tabla1[[#This Row],[Avance_km]],Tabla1[[#This Row],[Avance_Med]])*_xlfn.XLOOKUP(Tabla1[[#This Row],[Codigo_actividad]],Catalogo!$B$6:$B$51,Catalogo!$F$6:$F$51,0)</f>
        <v>0</v>
      </c>
      <c r="N674" t="str">
        <f>_xlfn.IFNA(_xlfn.XLOOKUP(Tabla1[[#This Row],[fin]],$P$379:$P$386,$T$379:$T$386),"")</f>
        <v/>
      </c>
    </row>
    <row r="675" spans="1:14" x14ac:dyDescent="0.25">
      <c r="A675" s="356">
        <v>46317</v>
      </c>
      <c r="B675" s="116"/>
      <c r="C675" s="157"/>
      <c r="D675" s="39"/>
      <c r="F675" s="28"/>
      <c r="G675" s="28"/>
      <c r="H675" s="226" t="str">
        <f>IF(Tabla1[[#This Row],[Codigo_actividad]]&lt;&gt;2.5,IF(((Tabla1[[#This Row],[fin]]-Tabla1[[#This Row],[inicio]])/1000)=0,"",((Tabla1[[#This Row],[fin]]-Tabla1[[#This Row],[inicio]])/1000)),"")</f>
        <v/>
      </c>
      <c r="I675" s="66"/>
      <c r="J675" s="76"/>
      <c r="K675" s="55" t="str">
        <f>IF(_xlfn.XLOOKUP($J675,Catalogo!$B$7:$B$21,Catalogo!$I$7:$I$21,"",0)=0,"",_xlfn.XLOOKUP($J675,Catalogo!$B$7:$B$21,Catalogo!$I$7:$I$21,"",0))</f>
        <v/>
      </c>
      <c r="L675" s="36"/>
      <c r="M675" s="263">
        <f>IF(Tabla1[[#This Row],[Avance_km]]&lt;&gt;"",Tabla1[[#This Row],[Avance_km]],Tabla1[[#This Row],[Avance_Med]])*_xlfn.XLOOKUP(Tabla1[[#This Row],[Codigo_actividad]],Catalogo!$B$6:$B$51,Catalogo!$F$6:$F$51,0)</f>
        <v>0</v>
      </c>
      <c r="N675" t="str">
        <f>_xlfn.IFNA(_xlfn.XLOOKUP(Tabla1[[#This Row],[fin]],$P$379:$P$386,$T$379:$T$386),"")</f>
        <v/>
      </c>
    </row>
    <row r="676" spans="1:14" x14ac:dyDescent="0.25">
      <c r="A676" s="356">
        <v>46318</v>
      </c>
      <c r="B676" s="116"/>
      <c r="C676" s="157"/>
      <c r="D676" s="39"/>
      <c r="F676" s="28"/>
      <c r="G676" s="28"/>
      <c r="H676" s="226" t="str">
        <f>IF(Tabla1[[#This Row],[Codigo_actividad]]&lt;&gt;2.5,IF(((Tabla1[[#This Row],[fin]]-Tabla1[[#This Row],[inicio]])/1000)=0,"",((Tabla1[[#This Row],[fin]]-Tabla1[[#This Row],[inicio]])/1000)),"")</f>
        <v/>
      </c>
      <c r="I676" s="66"/>
      <c r="J676" s="76"/>
      <c r="K676" s="55" t="str">
        <f>IF(_xlfn.XLOOKUP($J676,Catalogo!$B$7:$B$21,Catalogo!$I$7:$I$21,"",0)=0,"",_xlfn.XLOOKUP($J676,Catalogo!$B$7:$B$21,Catalogo!$I$7:$I$21,"",0))</f>
        <v/>
      </c>
      <c r="L676" s="36"/>
      <c r="M676" s="263">
        <f>IF(Tabla1[[#This Row],[Avance_km]]&lt;&gt;"",Tabla1[[#This Row],[Avance_km]],Tabla1[[#This Row],[Avance_Med]])*_xlfn.XLOOKUP(Tabla1[[#This Row],[Codigo_actividad]],Catalogo!$B$6:$B$51,Catalogo!$F$6:$F$51,0)</f>
        <v>0</v>
      </c>
      <c r="N676" t="str">
        <f>_xlfn.IFNA(_xlfn.XLOOKUP(Tabla1[[#This Row],[fin]],$P$379:$P$386,$T$379:$T$386),"")</f>
        <v/>
      </c>
    </row>
    <row r="677" spans="1:14" x14ac:dyDescent="0.25">
      <c r="A677" s="356">
        <v>46319</v>
      </c>
      <c r="B677" s="116"/>
      <c r="C677" s="157"/>
      <c r="D677" s="39"/>
      <c r="F677" s="28"/>
      <c r="G677" s="28"/>
      <c r="H677" s="226" t="str">
        <f>IF(Tabla1[[#This Row],[Codigo_actividad]]&lt;&gt;2.5,IF(((Tabla1[[#This Row],[fin]]-Tabla1[[#This Row],[inicio]])/1000)=0,"",((Tabla1[[#This Row],[fin]]-Tabla1[[#This Row],[inicio]])/1000)),"")</f>
        <v/>
      </c>
      <c r="I677" s="66"/>
      <c r="J677" s="76"/>
      <c r="K677" s="55" t="str">
        <f>IF(_xlfn.XLOOKUP($J677,Catalogo!$B$7:$B$21,Catalogo!$I$7:$I$21,"",0)=0,"",_xlfn.XLOOKUP($J677,Catalogo!$B$7:$B$21,Catalogo!$I$7:$I$21,"",0))</f>
        <v/>
      </c>
      <c r="L677" s="36"/>
      <c r="M677" s="263">
        <f>IF(Tabla1[[#This Row],[Avance_km]]&lt;&gt;"",Tabla1[[#This Row],[Avance_km]],Tabla1[[#This Row],[Avance_Med]])*_xlfn.XLOOKUP(Tabla1[[#This Row],[Codigo_actividad]],Catalogo!$B$6:$B$51,Catalogo!$F$6:$F$51,0)</f>
        <v>0</v>
      </c>
      <c r="N677" t="str">
        <f>_xlfn.IFNA(_xlfn.XLOOKUP(Tabla1[[#This Row],[fin]],$P$379:$P$386,$T$379:$T$386),"")</f>
        <v/>
      </c>
    </row>
    <row r="678" spans="1:14" x14ac:dyDescent="0.25">
      <c r="A678" s="356"/>
      <c r="B678" s="116"/>
      <c r="C678" s="157"/>
      <c r="D678" s="39"/>
      <c r="F678" s="28"/>
      <c r="G678" s="28"/>
      <c r="H678" s="226" t="str">
        <f>IF(Tabla1[[#This Row],[Codigo_actividad]]&lt;&gt;2.5,IF(((Tabla1[[#This Row],[fin]]-Tabla1[[#This Row],[inicio]])/1000)=0,"",((Tabla1[[#This Row],[fin]]-Tabla1[[#This Row],[inicio]])/1000)),"")</f>
        <v/>
      </c>
      <c r="I678" s="66"/>
      <c r="J678" s="76"/>
      <c r="K678" s="55" t="str">
        <f>IF(_xlfn.XLOOKUP($J678,Catalogo!$B$7:$B$21,Catalogo!$I$7:$I$21,"",0)=0,"",_xlfn.XLOOKUP($J678,Catalogo!$B$7:$B$21,Catalogo!$I$7:$I$21,"",0))</f>
        <v/>
      </c>
      <c r="L678" s="36"/>
      <c r="M678" s="263">
        <f>IF(Tabla1[[#This Row],[Avance_km]]&lt;&gt;"",Tabla1[[#This Row],[Avance_km]],Tabla1[[#This Row],[Avance_Med]])*_xlfn.XLOOKUP(Tabla1[[#This Row],[Codigo_actividad]],Catalogo!$B$6:$B$51,Catalogo!$F$6:$F$51,0)</f>
        <v>0</v>
      </c>
      <c r="N678" t="str">
        <f>_xlfn.IFNA(_xlfn.XLOOKUP(Tabla1[[#This Row],[fin]],$P$379:$P$386,$T$379:$T$386),"")</f>
        <v/>
      </c>
    </row>
    <row r="679" spans="1:14" x14ac:dyDescent="0.25">
      <c r="A679" s="356"/>
      <c r="B679" s="116"/>
      <c r="C679" s="157"/>
      <c r="D679" s="39"/>
      <c r="F679" s="28"/>
      <c r="G679" s="28"/>
      <c r="H679" s="226" t="str">
        <f>IF(Tabla1[[#This Row],[Codigo_actividad]]&lt;&gt;2.5,IF(((Tabla1[[#This Row],[fin]]-Tabla1[[#This Row],[inicio]])/1000)=0,"",((Tabla1[[#This Row],[fin]]-Tabla1[[#This Row],[inicio]])/1000)),"")</f>
        <v/>
      </c>
      <c r="I679" s="66"/>
      <c r="J679" s="76"/>
      <c r="K679" s="55" t="str">
        <f>IF(_xlfn.XLOOKUP($J679,Catalogo!$B$7:$B$21,Catalogo!$I$7:$I$21,"",0)=0,"",_xlfn.XLOOKUP($J679,Catalogo!$B$7:$B$21,Catalogo!$I$7:$I$21,"",0))</f>
        <v/>
      </c>
      <c r="L679" s="36"/>
      <c r="M679" s="263">
        <f>IF(Tabla1[[#This Row],[Avance_km]]&lt;&gt;"",Tabla1[[#This Row],[Avance_km]],Tabla1[[#This Row],[Avance_Med]])*_xlfn.XLOOKUP(Tabla1[[#This Row],[Codigo_actividad]],Catalogo!$B$6:$B$51,Catalogo!$F$6:$F$51,0)</f>
        <v>0</v>
      </c>
      <c r="N679" t="str">
        <f>_xlfn.IFNA(_xlfn.XLOOKUP(Tabla1[[#This Row],[fin]],$P$379:$P$386,$T$379:$T$386),"")</f>
        <v/>
      </c>
    </row>
    <row r="680" spans="1:14" x14ac:dyDescent="0.25">
      <c r="A680" s="356"/>
      <c r="B680" s="116"/>
      <c r="C680" s="157"/>
      <c r="D680" s="39"/>
      <c r="F680" s="28"/>
      <c r="G680" s="28"/>
      <c r="H680" s="226" t="str">
        <f>IF(Tabla1[[#This Row],[Codigo_actividad]]&lt;&gt;2.5,IF(((Tabla1[[#This Row],[fin]]-Tabla1[[#This Row],[inicio]])/1000)=0,"",((Tabla1[[#This Row],[fin]]-Tabla1[[#This Row],[inicio]])/1000)),"")</f>
        <v/>
      </c>
      <c r="I680" s="66"/>
      <c r="J680" s="76"/>
      <c r="K680" s="55" t="str">
        <f>IF(_xlfn.XLOOKUP($J680,Catalogo!$B$7:$B$21,Catalogo!$I$7:$I$21,"",0)=0,"",_xlfn.XLOOKUP($J680,Catalogo!$B$7:$B$21,Catalogo!$I$7:$I$21,"",0))</f>
        <v/>
      </c>
      <c r="L680" s="36"/>
      <c r="M680" s="263">
        <f>IF(Tabla1[[#This Row],[Avance_km]]&lt;&gt;"",Tabla1[[#This Row],[Avance_km]],Tabla1[[#This Row],[Avance_Med]])*_xlfn.XLOOKUP(Tabla1[[#This Row],[Codigo_actividad]],Catalogo!$B$6:$B$51,Catalogo!$F$6:$F$51,0)</f>
        <v>0</v>
      </c>
      <c r="N680" t="str">
        <f>_xlfn.IFNA(_xlfn.XLOOKUP(Tabla1[[#This Row],[fin]],$P$379:$P$386,$T$379:$T$386),"")</f>
        <v/>
      </c>
    </row>
    <row r="681" spans="1:14" x14ac:dyDescent="0.25">
      <c r="A681" s="356"/>
      <c r="B681" s="116"/>
      <c r="C681" s="157"/>
      <c r="D681" s="39"/>
      <c r="F681" s="28"/>
      <c r="G681" s="28"/>
      <c r="H681" s="226" t="str">
        <f>IF(Tabla1[[#This Row],[Codigo_actividad]]&lt;&gt;2.5,IF(((Tabla1[[#This Row],[fin]]-Tabla1[[#This Row],[inicio]])/1000)=0,"",((Tabla1[[#This Row],[fin]]-Tabla1[[#This Row],[inicio]])/1000)),"")</f>
        <v/>
      </c>
      <c r="I681" s="66"/>
      <c r="J681" s="76"/>
      <c r="K681" s="55" t="str">
        <f>IF(_xlfn.XLOOKUP($J681,Catalogo!$B$7:$B$21,Catalogo!$I$7:$I$21,"",0)=0,"",_xlfn.XLOOKUP($J681,Catalogo!$B$7:$B$21,Catalogo!$I$7:$I$21,"",0))</f>
        <v/>
      </c>
      <c r="L681" s="36"/>
      <c r="M681" s="263">
        <f>IF(Tabla1[[#This Row],[Avance_km]]&lt;&gt;"",Tabla1[[#This Row],[Avance_km]],Tabla1[[#This Row],[Avance_Med]])*_xlfn.XLOOKUP(Tabla1[[#This Row],[Codigo_actividad]],Catalogo!$B$6:$B$51,Catalogo!$F$6:$F$51,0)</f>
        <v>0</v>
      </c>
      <c r="N681" t="str">
        <f>_xlfn.IFNA(_xlfn.XLOOKUP(Tabla1[[#This Row],[fin]],$P$379:$P$386,$T$379:$T$386),"")</f>
        <v/>
      </c>
    </row>
    <row r="682" spans="1:14" x14ac:dyDescent="0.25">
      <c r="A682" s="356"/>
      <c r="B682" s="116"/>
      <c r="C682" s="157"/>
      <c r="D682" s="39"/>
      <c r="F682" s="28"/>
      <c r="G682" s="28"/>
      <c r="H682" s="226" t="str">
        <f>IF(Tabla1[[#This Row],[Codigo_actividad]]&lt;&gt;2.5,IF(((Tabla1[[#This Row],[fin]]-Tabla1[[#This Row],[inicio]])/1000)=0,"",((Tabla1[[#This Row],[fin]]-Tabla1[[#This Row],[inicio]])/1000)),"")</f>
        <v/>
      </c>
      <c r="I682" s="66"/>
      <c r="J682" s="76"/>
      <c r="K682" s="55" t="str">
        <f>IF(_xlfn.XLOOKUP($J682,Catalogo!$B$7:$B$21,Catalogo!$I$7:$I$21,"",0)=0,"",_xlfn.XLOOKUP($J682,Catalogo!$B$7:$B$21,Catalogo!$I$7:$I$21,"",0))</f>
        <v/>
      </c>
      <c r="L682" s="36"/>
      <c r="M682" s="263">
        <f>IF(Tabla1[[#This Row],[Avance_km]]&lt;&gt;"",Tabla1[[#This Row],[Avance_km]],Tabla1[[#This Row],[Avance_Med]])*_xlfn.XLOOKUP(Tabla1[[#This Row],[Codigo_actividad]],Catalogo!$B$6:$B$51,Catalogo!$F$6:$F$51,0)</f>
        <v>0</v>
      </c>
      <c r="N682" t="str">
        <f>_xlfn.IFNA(_xlfn.XLOOKUP(Tabla1[[#This Row],[fin]],$P$379:$P$386,$T$379:$T$386),"")</f>
        <v/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Row],[fin]],$P$379:$P$386,$T$379:$T$386),"")</f>
        <v/>
      </c>
    </row>
    <row r="684" spans="1:14" x14ac:dyDescent="0.25">
      <c r="A684" s="356"/>
      <c r="B684" s="116"/>
      <c r="C684" s="157"/>
      <c r="D684" s="39"/>
      <c r="F684" s="28"/>
      <c r="G684" s="28"/>
      <c r="H684" s="226" t="str">
        <f>IF(Tabla1[[#This Row],[Codigo_actividad]]&lt;&gt;2.5,IF(((Tabla1[[#This Row],[fin]]-Tabla1[[#This Row],[inicio]])/1000)=0,"",((Tabla1[[#This Row],[fin]]-Tabla1[[#This Row],[inicio]])/1000)),"")</f>
        <v/>
      </c>
      <c r="I684" s="66"/>
      <c r="J684" s="76"/>
      <c r="K684" s="55" t="str">
        <f>IF(_xlfn.XLOOKUP($J684,Catalogo!$B$7:$B$21,Catalogo!$I$7:$I$21,"",0)=0,"",_xlfn.XLOOKUP($J684,Catalogo!$B$7:$B$21,Catalogo!$I$7:$I$21,"",0))</f>
        <v/>
      </c>
      <c r="L684" s="36"/>
      <c r="M684" s="263">
        <f>IF(Tabla1[[#This Row],[Avance_km]]&lt;&gt;"",Tabla1[[#This Row],[Avance_km]],Tabla1[[#This Row],[Avance_Med]])*_xlfn.XLOOKUP(Tabla1[[#This Row],[Codigo_actividad]],Catalogo!$B$6:$B$51,Catalogo!$F$6:$F$51,0)</f>
        <v>0</v>
      </c>
      <c r="N684" t="str">
        <f>_xlfn.IFNA(_xlfn.XLOOKUP(Tabla1[[#This Row],[fin]],$P$379:$P$386,$T$379:$T$386),"")</f>
        <v/>
      </c>
    </row>
    <row r="685" spans="1:14" x14ac:dyDescent="0.25">
      <c r="A685" s="356"/>
      <c r="B685" s="116"/>
      <c r="C685" s="157"/>
      <c r="D685" s="39"/>
      <c r="F685" s="28"/>
      <c r="G685" s="28"/>
      <c r="H685" s="226" t="str">
        <f>IF(Tabla1[[#This Row],[Codigo_actividad]]&lt;&gt;2.5,IF(((Tabla1[[#This Row],[fin]]-Tabla1[[#This Row],[inicio]])/1000)=0,"",((Tabla1[[#This Row],[fin]]-Tabla1[[#This Row],[inicio]])/1000)),"")</f>
        <v/>
      </c>
      <c r="I685" s="66"/>
      <c r="J685" s="76"/>
      <c r="K685" s="55" t="str">
        <f>IF(_xlfn.XLOOKUP($J685,Catalogo!$B$7:$B$21,Catalogo!$I$7:$I$21,"",0)=0,"",_xlfn.XLOOKUP($J685,Catalogo!$B$7:$B$21,Catalogo!$I$7:$I$21,"",0))</f>
        <v/>
      </c>
      <c r="L685" s="36"/>
      <c r="M685" s="263">
        <f>IF(Tabla1[[#This Row],[Avance_km]]&lt;&gt;"",Tabla1[[#This Row],[Avance_km]],Tabla1[[#This Row],[Avance_Med]])*_xlfn.XLOOKUP(Tabla1[[#This Row],[Codigo_actividad]],Catalogo!$B$6:$B$51,Catalogo!$F$6:$F$51,0)</f>
        <v>0</v>
      </c>
      <c r="N685" t="str">
        <f>_xlfn.IFNA(_xlfn.XLOOKUP(Tabla1[[#This Row],[fin]],$P$379:$P$386,$T$379:$T$386),"")</f>
        <v/>
      </c>
    </row>
    <row r="686" spans="1:14" x14ac:dyDescent="0.25">
      <c r="A686" s="356"/>
      <c r="B686" s="116"/>
      <c r="C686" s="157"/>
      <c r="D686" s="39"/>
      <c r="F686" s="28"/>
      <c r="G686" s="28"/>
      <c r="H686" s="226" t="str">
        <f>IF(Tabla1[[#This Row],[Codigo_actividad]]&lt;&gt;2.5,IF(((Tabla1[[#This Row],[fin]]-Tabla1[[#This Row],[inicio]])/1000)=0,"",((Tabla1[[#This Row],[fin]]-Tabla1[[#This Row],[inicio]])/1000)),"")</f>
        <v/>
      </c>
      <c r="I686" s="66"/>
      <c r="J686" s="76"/>
      <c r="K686" s="55" t="str">
        <f>IF(_xlfn.XLOOKUP($J686,Catalogo!$B$7:$B$21,Catalogo!$I$7:$I$21,"",0)=0,"",_xlfn.XLOOKUP($J686,Catalogo!$B$7:$B$21,Catalogo!$I$7:$I$21,"",0))</f>
        <v/>
      </c>
      <c r="L686" s="36"/>
      <c r="M686" s="263">
        <f>IF(Tabla1[[#This Row],[Avance_km]]&lt;&gt;"",Tabla1[[#This Row],[Avance_km]],Tabla1[[#This Row],[Avance_Med]])*_xlfn.XLOOKUP(Tabla1[[#This Row],[Codigo_actividad]],Catalogo!$B$6:$B$51,Catalogo!$F$6:$F$51,0)</f>
        <v>0</v>
      </c>
      <c r="N686" t="str">
        <f>_xlfn.IFNA(_xlfn.XLOOKUP(Tabla1[[#This Row],[fin]],$P$379:$P$386,$T$379:$T$386),"")</f>
        <v/>
      </c>
    </row>
    <row r="687" spans="1:14" x14ac:dyDescent="0.25">
      <c r="A687" s="356"/>
      <c r="B687" s="116"/>
      <c r="C687" s="157"/>
      <c r="D687" s="39"/>
      <c r="F687" s="28"/>
      <c r="G687" s="28"/>
      <c r="H687" s="226" t="str">
        <f>IF(Tabla1[[#This Row],[Codigo_actividad]]&lt;&gt;2.5,IF(((Tabla1[[#This Row],[fin]]-Tabla1[[#This Row],[inicio]])/1000)=0,"",((Tabla1[[#This Row],[fin]]-Tabla1[[#This Row],[inicio]])/1000)),"")</f>
        <v/>
      </c>
      <c r="I687" s="66"/>
      <c r="J687" s="76"/>
      <c r="K687" s="55" t="str">
        <f>IF(_xlfn.XLOOKUP($J687,Catalogo!$B$7:$B$21,Catalogo!$I$7:$I$21,"",0)=0,"",_xlfn.XLOOKUP($J687,Catalogo!$B$7:$B$21,Catalogo!$I$7:$I$21,"",0))</f>
        <v/>
      </c>
      <c r="L687" s="36"/>
      <c r="M687" s="263">
        <f>IF(Tabla1[[#This Row],[Avance_km]]&lt;&gt;"",Tabla1[[#This Row],[Avance_km]],Tabla1[[#This Row],[Avance_Med]])*_xlfn.XLOOKUP(Tabla1[[#This Row],[Codigo_actividad]],Catalogo!$B$6:$B$51,Catalogo!$F$6:$F$51,0)</f>
        <v>0</v>
      </c>
      <c r="N687" t="str">
        <f>_xlfn.IFNA(_xlfn.XLOOKUP(Tabla1[[#This Row],[fin]],$P$379:$P$386,$T$379:$T$386),"")</f>
        <v/>
      </c>
    </row>
    <row r="688" spans="1:14" x14ac:dyDescent="0.25">
      <c r="A688" s="356"/>
      <c r="B688" s="116"/>
      <c r="C688" s="157"/>
      <c r="D688" s="39"/>
      <c r="F688" s="28"/>
      <c r="G688" s="28"/>
      <c r="H688" s="226" t="str">
        <f>IF(Tabla1[[#This Row],[Codigo_actividad]]&lt;&gt;2.5,IF(((Tabla1[[#This Row],[fin]]-Tabla1[[#This Row],[inicio]])/1000)=0,"",((Tabla1[[#This Row],[fin]]-Tabla1[[#This Row],[inicio]])/1000)),"")</f>
        <v/>
      </c>
      <c r="I688" s="66"/>
      <c r="J688" s="76"/>
      <c r="K688" s="55" t="str">
        <f>IF(_xlfn.XLOOKUP($J688,Catalogo!$B$7:$B$21,Catalogo!$I$7:$I$21,"",0)=0,"",_xlfn.XLOOKUP($J688,Catalogo!$B$7:$B$21,Catalogo!$I$7:$I$21,"",0))</f>
        <v/>
      </c>
      <c r="L688" s="36"/>
      <c r="M688" s="263">
        <f>IF(Tabla1[[#This Row],[Avance_km]]&lt;&gt;"",Tabla1[[#This Row],[Avance_km]],Tabla1[[#This Row],[Avance_Med]])*_xlfn.XLOOKUP(Tabla1[[#This Row],[Codigo_actividad]],Catalogo!$B$6:$B$51,Catalogo!$F$6:$F$51,0)</f>
        <v>0</v>
      </c>
      <c r="N688" t="str">
        <f>_xlfn.IFNA(_xlfn.XLOOKUP(Tabla1[[#This Row],[fin]],$P$379:$P$386,$T$379:$T$386),"")</f>
        <v/>
      </c>
    </row>
    <row r="689" spans="1:14" x14ac:dyDescent="0.25">
      <c r="A689" s="356"/>
      <c r="B689" s="116"/>
      <c r="C689" s="157"/>
      <c r="D689" s="39"/>
      <c r="F689" s="28"/>
      <c r="G689" s="28"/>
      <c r="H689" s="226" t="str">
        <f>IF(Tabla1[[#This Row],[Codigo_actividad]]&lt;&gt;2.5,IF(((Tabla1[[#This Row],[fin]]-Tabla1[[#This Row],[inicio]])/1000)=0,"",((Tabla1[[#This Row],[fin]]-Tabla1[[#This Row],[inicio]])/1000)),"")</f>
        <v/>
      </c>
      <c r="I689" s="66"/>
      <c r="J689" s="76"/>
      <c r="K689" s="55" t="str">
        <f>IF(_xlfn.XLOOKUP($J689,Catalogo!$B$7:$B$21,Catalogo!$I$7:$I$21,"",0)=0,"",_xlfn.XLOOKUP($J689,Catalogo!$B$7:$B$21,Catalogo!$I$7:$I$21,"",0))</f>
        <v/>
      </c>
      <c r="L689" s="36"/>
      <c r="M689" s="263">
        <f>IF(Tabla1[[#This Row],[Avance_km]]&lt;&gt;"",Tabla1[[#This Row],[Avance_km]],Tabla1[[#This Row],[Avance_Med]])*_xlfn.XLOOKUP(Tabla1[[#This Row],[Codigo_actividad]],Catalogo!$B$6:$B$51,Catalogo!$F$6:$F$51,0)</f>
        <v>0</v>
      </c>
      <c r="N689" t="str">
        <f>_xlfn.IFNA(_xlfn.XLOOKUP(Tabla1[[#This Row],[fin]],$P$379:$P$386,$T$379:$T$386),"")</f>
        <v/>
      </c>
    </row>
    <row r="690" spans="1:14" x14ac:dyDescent="0.25">
      <c r="A690" s="356"/>
      <c r="B690" s="116"/>
      <c r="C690" s="157"/>
      <c r="D690" s="39"/>
      <c r="F690" s="28"/>
      <c r="G690" s="28"/>
      <c r="H690" s="226" t="str">
        <f>IF(Tabla1[[#This Row],[Codigo_actividad]]&lt;&gt;2.5,IF(((Tabla1[[#This Row],[fin]]-Tabla1[[#This Row],[inicio]])/1000)=0,"",((Tabla1[[#This Row],[fin]]-Tabla1[[#This Row],[inicio]])/1000)),"")</f>
        <v/>
      </c>
      <c r="I690" s="66"/>
      <c r="J690" s="76"/>
      <c r="K690" s="55" t="str">
        <f>IF(_xlfn.XLOOKUP($J690,Catalogo!$B$7:$B$21,Catalogo!$I$7:$I$21,"",0)=0,"",_xlfn.XLOOKUP($J690,Catalogo!$B$7:$B$21,Catalogo!$I$7:$I$21,"",0))</f>
        <v/>
      </c>
      <c r="L690" s="36"/>
      <c r="M690" s="263">
        <f>IF(Tabla1[[#This Row],[Avance_km]]&lt;&gt;"",Tabla1[[#This Row],[Avance_km]],Tabla1[[#This Row],[Avance_Med]])*_xlfn.XLOOKUP(Tabla1[[#This Row],[Codigo_actividad]],Catalogo!$B$6:$B$51,Catalogo!$F$6:$F$51,0)</f>
        <v>0</v>
      </c>
      <c r="N690" t="str">
        <f>_xlfn.IFNA(_xlfn.XLOOKUP(Tabla1[[#This Row],[fin]],$P$379:$P$386,$T$379:$T$386),"")</f>
        <v/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Row],[fin]],$P$379:$P$386,$T$379:$T$386),"")</f>
        <v/>
      </c>
    </row>
    <row r="692" spans="1:14" x14ac:dyDescent="0.25">
      <c r="A692" s="356"/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Row],[fin]],$P$379:$P$386,$T$379:$T$386),"")</f>
        <v/>
      </c>
    </row>
    <row r="693" spans="1:14" x14ac:dyDescent="0.25">
      <c r="A693" s="356"/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Row],[fin]],$P$379:$P$386,$T$379:$T$386),"")</f>
        <v/>
      </c>
    </row>
    <row r="694" spans="1:14" x14ac:dyDescent="0.25">
      <c r="A694" s="361"/>
      <c r="B694" s="285"/>
      <c r="C694" s="286"/>
      <c r="D694" s="287"/>
      <c r="E694" s="380"/>
      <c r="F694" s="288"/>
      <c r="G694" s="288"/>
      <c r="H694" s="515" t="str">
        <f>IF(Tabla1[[#This Row],[Codigo_actividad]]&lt;&gt;2.5,IF(((Tabla1[[#This Row],[fin]]-Tabla1[[#This Row],[inicio]])/1000)=0,"",((Tabla1[[#This Row],[fin]]-Tabla1[[#This Row],[inicio]])/1000)),"")</f>
        <v/>
      </c>
      <c r="I694" s="516"/>
      <c r="J694" s="516"/>
      <c r="K694" s="516" t="str">
        <f>IF(_xlfn.XLOOKUP($J694,Catalogo!$B$7:$B$21,Catalogo!$I$7:$I$21,"",0)=0,"",_xlfn.XLOOKUP($J694,Catalogo!$B$7:$B$21,Catalogo!$I$7:$I$21,"",0))</f>
        <v/>
      </c>
      <c r="L694" s="517"/>
      <c r="M694" s="518">
        <f>IF(Tabla1[[#This Row],[Avance_km]]&lt;&gt;"",Tabla1[[#This Row],[Avance_km]],Tabla1[[#This Row],[Avance_Med]])*_xlfn.XLOOKUP(Tabla1[[#This Row],[Codigo_actividad]],Catalogo!$B$6:$B$51,Catalogo!$F$6:$F$51,0)</f>
        <v>0</v>
      </c>
      <c r="N694" s="519" t="str">
        <f>_xlfn.IFNA(_xlfn.XLOOKUP(Tabla1[[#This Row],[fin]],$P$379:$P$386,$T$379:$T$386),"")</f>
        <v/>
      </c>
    </row>
    <row r="695" spans="1:14" x14ac:dyDescent="0.25">
      <c r="A695" s="356"/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66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Row],[fin]],$P$379:$P$386,$T$379:$T$386),"")</f>
        <v/>
      </c>
    </row>
    <row r="696" spans="1:14" x14ac:dyDescent="0.25">
      <c r="A696" s="356">
        <v>46280</v>
      </c>
      <c r="B696" s="116" t="s">
        <v>30</v>
      </c>
      <c r="C696" s="512" t="s">
        <v>13</v>
      </c>
      <c r="D696" s="39" t="s">
        <v>14</v>
      </c>
      <c r="E696" s="40" t="s">
        <v>119</v>
      </c>
      <c r="F696" s="493">
        <v>3901</v>
      </c>
      <c r="G696" s="28" t="s">
        <v>592</v>
      </c>
      <c r="H696" s="226"/>
      <c r="I696" s="501">
        <v>1</v>
      </c>
      <c r="J696" s="76">
        <v>3.2</v>
      </c>
      <c r="K696" s="66" t="str">
        <f>IF(_xlfn.XLOOKUP($J696,Catalogo!$B$7:$B$210,Catalogo!$I$7:$I$210,"",0)=0,"",_xlfn.XLOOKUP($J696,Catalogo!$B$7:$B$210,Catalogo!$I$7:$I$210,"",0))</f>
        <v>DATA EXC</v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697" spans="1:14" x14ac:dyDescent="0.25">
      <c r="A697" s="356">
        <v>46280</v>
      </c>
      <c r="B697" s="116" t="s">
        <v>30</v>
      </c>
      <c r="C697" s="512" t="s">
        <v>13</v>
      </c>
      <c r="D697" s="39" t="s">
        <v>14</v>
      </c>
      <c r="E697" s="40" t="s">
        <v>505</v>
      </c>
      <c r="F697" s="493">
        <v>3901</v>
      </c>
      <c r="G697" s="28" t="s">
        <v>592</v>
      </c>
      <c r="H697" s="226"/>
      <c r="I697" s="501">
        <v>1</v>
      </c>
      <c r="J697" s="76" t="s">
        <v>122</v>
      </c>
      <c r="K697" s="66" t="str">
        <f>IF(_xlfn.XLOOKUP($J697,Catalogo!$B$7:$B$210,Catalogo!$I$7:$I$210,"",0)=0,"",_xlfn.XLOOKUP($J697,Catalogo!$B$7:$B$210,Catalogo!$I$7:$I$210,"",0))</f>
        <v>VT</v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698" spans="1:14" x14ac:dyDescent="0.25">
      <c r="A698" s="356">
        <v>46280</v>
      </c>
      <c r="B698" s="116" t="s">
        <v>30</v>
      </c>
      <c r="C698" s="512" t="s">
        <v>13</v>
      </c>
      <c r="D698" s="39" t="s">
        <v>14</v>
      </c>
      <c r="E698" s="40" t="s">
        <v>125</v>
      </c>
      <c r="F698" s="493">
        <v>3901</v>
      </c>
      <c r="G698" s="28" t="s">
        <v>592</v>
      </c>
      <c r="H698" s="226"/>
      <c r="I698" s="501">
        <v>1</v>
      </c>
      <c r="J698" s="76" t="s">
        <v>124</v>
      </c>
      <c r="K698" s="66" t="str">
        <f>IF(_xlfn.XLOOKUP($J698,Catalogo!$B$7:$B$210,Catalogo!$I$7:$I$210,"",0)=0,"",_xlfn.XLOOKUP($J698,Catalogo!$B$7:$B$210,Catalogo!$I$7:$I$210,"",0))</f>
        <v>SANIDAD Y ESPESORES</v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699" spans="1:14" x14ac:dyDescent="0.25">
      <c r="A699" s="356">
        <v>46280</v>
      </c>
      <c r="B699" s="116" t="s">
        <v>30</v>
      </c>
      <c r="C699" s="512" t="s">
        <v>13</v>
      </c>
      <c r="D699" s="39" t="s">
        <v>14</v>
      </c>
      <c r="E699" s="40" t="s">
        <v>128</v>
      </c>
      <c r="F699" s="493">
        <v>3901</v>
      </c>
      <c r="G699" s="28" t="s">
        <v>592</v>
      </c>
      <c r="H699" s="226"/>
      <c r="I699" s="501">
        <v>1</v>
      </c>
      <c r="J699" s="76" t="s">
        <v>127</v>
      </c>
      <c r="K699" s="66" t="str">
        <f>IF(_xlfn.XLOOKUP($J699,Catalogo!$B$7:$B$210,Catalogo!$I$7:$I$210,"",0)=0,"",_xlfn.XLOOKUP($J699,Catalogo!$B$7:$B$210,Catalogo!$I$7:$I$210,"",0))</f>
        <v>CARACTERIZACION</v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00" spans="1:14" x14ac:dyDescent="0.25">
      <c r="A700" s="356">
        <v>46280</v>
      </c>
      <c r="B700" s="116" t="s">
        <v>30</v>
      </c>
      <c r="C700" s="512" t="s">
        <v>13</v>
      </c>
      <c r="D700" s="39" t="s">
        <v>14</v>
      </c>
      <c r="E700" s="40" t="s">
        <v>132</v>
      </c>
      <c r="F700" s="493">
        <v>3901</v>
      </c>
      <c r="G700" s="28" t="s">
        <v>592</v>
      </c>
      <c r="H700" s="226"/>
      <c r="I700" s="501">
        <v>1</v>
      </c>
      <c r="J700" s="76" t="s">
        <v>131</v>
      </c>
      <c r="K700" s="66" t="str">
        <f>IF(_xlfn.XLOOKUP($J700,Catalogo!$B$7:$B$210,Catalogo!$I$7:$I$210,"",0)=0,"",_xlfn.XLOOKUP($J700,Catalogo!$B$7:$B$210,Catalogo!$I$7:$I$210,"",0))</f>
        <v>UT RECTO</v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01" spans="1:14" x14ac:dyDescent="0.25">
      <c r="A701" s="356">
        <v>46280</v>
      </c>
      <c r="B701" s="116" t="s">
        <v>30</v>
      </c>
      <c r="C701" s="512" t="s">
        <v>13</v>
      </c>
      <c r="D701" s="39" t="s">
        <v>14</v>
      </c>
      <c r="E701" s="40" t="s">
        <v>138</v>
      </c>
      <c r="F701" s="493">
        <v>3901</v>
      </c>
      <c r="G701" s="28" t="s">
        <v>592</v>
      </c>
      <c r="H701" s="226"/>
      <c r="I701" s="501">
        <v>1</v>
      </c>
      <c r="J701" s="76" t="s">
        <v>137</v>
      </c>
      <c r="K701" s="66" t="str">
        <f>IF(_xlfn.XLOOKUP($J701,Catalogo!$B$7:$B$210,Catalogo!$I$7:$I$210,"",0)=0,"",_xlfn.XLOOKUP($J701,Catalogo!$B$7:$B$210,Catalogo!$I$7:$I$210,"",0))</f>
        <v>PH EXC</v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02" spans="1:14" x14ac:dyDescent="0.25">
      <c r="A702" s="356">
        <v>46280</v>
      </c>
      <c r="B702" s="116" t="s">
        <v>30</v>
      </c>
      <c r="C702" s="512" t="s">
        <v>13</v>
      </c>
      <c r="D702" s="39" t="s">
        <v>14</v>
      </c>
      <c r="E702" s="40" t="s">
        <v>140</v>
      </c>
      <c r="F702" s="493">
        <v>3901</v>
      </c>
      <c r="G702" s="28" t="s">
        <v>592</v>
      </c>
      <c r="H702" s="226"/>
      <c r="I702" s="501">
        <v>1</v>
      </c>
      <c r="J702" s="76" t="s">
        <v>139</v>
      </c>
      <c r="K702" s="66" t="str">
        <f>IF(_xlfn.XLOOKUP($J702,Catalogo!$B$7:$B$210,Catalogo!$I$7:$I$210,"",0)=0,"",_xlfn.XLOOKUP($J702,Catalogo!$B$7:$B$210,Catalogo!$I$7:$I$210,"",0))</f>
        <v>BACTERIAS EXC</v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03" spans="1:14" x14ac:dyDescent="0.25">
      <c r="A703" s="356"/>
      <c r="B703" s="116"/>
      <c r="C703" s="512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66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Row],[fin]],$P$379:$P$386,$T$379:$T$386),"")</f>
        <v/>
      </c>
    </row>
    <row r="704" spans="1:14" x14ac:dyDescent="0.25">
      <c r="A704" s="356">
        <v>46259</v>
      </c>
      <c r="B704" s="116" t="s">
        <v>30</v>
      </c>
      <c r="C704" s="512" t="s">
        <v>13</v>
      </c>
      <c r="D704" s="39" t="s">
        <v>14</v>
      </c>
      <c r="E704" s="40" t="s">
        <v>119</v>
      </c>
      <c r="F704" s="493">
        <v>12165.28</v>
      </c>
      <c r="G704" s="28" t="s">
        <v>592</v>
      </c>
      <c r="H704" s="226"/>
      <c r="I704" s="501">
        <v>1</v>
      </c>
      <c r="J704" s="76">
        <v>3.2</v>
      </c>
      <c r="K704" s="66" t="str">
        <f>IF(_xlfn.XLOOKUP($J704,Catalogo!$B$7:$B$210,Catalogo!$I$7:$I$210,"",0)=0,"",_xlfn.XLOOKUP($J704,Catalogo!$B$7:$B$210,Catalogo!$I$7:$I$210,"",0))</f>
        <v>DATA EXC</v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04" t="s">
        <v>534</v>
      </c>
    </row>
    <row r="705" spans="1:14" x14ac:dyDescent="0.25">
      <c r="A705" s="356">
        <v>46259</v>
      </c>
      <c r="B705" s="116" t="s">
        <v>30</v>
      </c>
      <c r="C705" s="512" t="s">
        <v>13</v>
      </c>
      <c r="D705" s="39" t="s">
        <v>14</v>
      </c>
      <c r="E705" s="40" t="s">
        <v>505</v>
      </c>
      <c r="F705" s="493">
        <v>12165.28</v>
      </c>
      <c r="G705" s="28" t="s">
        <v>592</v>
      </c>
      <c r="H705" s="226"/>
      <c r="I705" s="501">
        <v>1</v>
      </c>
      <c r="J705" s="76" t="s">
        <v>122</v>
      </c>
      <c r="K705" s="66" t="str">
        <f>IF(_xlfn.XLOOKUP($J705,Catalogo!$B$7:$B$210,Catalogo!$I$7:$I$210,"",0)=0,"",_xlfn.XLOOKUP($J705,Catalogo!$B$7:$B$210,Catalogo!$I$7:$I$210,"",0))</f>
        <v>VT</v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05" t="s">
        <v>534</v>
      </c>
    </row>
    <row r="706" spans="1:14" x14ac:dyDescent="0.25">
      <c r="A706" s="356">
        <v>46259</v>
      </c>
      <c r="B706" s="116" t="s">
        <v>30</v>
      </c>
      <c r="C706" s="512" t="s">
        <v>13</v>
      </c>
      <c r="D706" s="39" t="s">
        <v>14</v>
      </c>
      <c r="E706" s="40" t="s">
        <v>125</v>
      </c>
      <c r="F706" s="493">
        <v>12165.28</v>
      </c>
      <c r="G706" s="28" t="s">
        <v>592</v>
      </c>
      <c r="H706" s="226"/>
      <c r="I706" s="501">
        <v>1</v>
      </c>
      <c r="J706" s="76" t="s">
        <v>124</v>
      </c>
      <c r="K706" s="66" t="str">
        <f>IF(_xlfn.XLOOKUP($J706,Catalogo!$B$7:$B$210,Catalogo!$I$7:$I$210,"",0)=0,"",_xlfn.XLOOKUP($J706,Catalogo!$B$7:$B$210,Catalogo!$I$7:$I$210,"",0))</f>
        <v>SANIDAD Y ESPESORES</v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06" t="s">
        <v>534</v>
      </c>
    </row>
    <row r="707" spans="1:14" x14ac:dyDescent="0.25">
      <c r="A707" s="356">
        <v>46259</v>
      </c>
      <c r="B707" s="116" t="s">
        <v>30</v>
      </c>
      <c r="C707" s="512" t="s">
        <v>13</v>
      </c>
      <c r="D707" s="39" t="s">
        <v>14</v>
      </c>
      <c r="E707" s="40" t="s">
        <v>128</v>
      </c>
      <c r="F707" s="493">
        <v>12165.28</v>
      </c>
      <c r="G707" s="28" t="s">
        <v>592</v>
      </c>
      <c r="H707" s="226"/>
      <c r="I707" s="501">
        <v>1</v>
      </c>
      <c r="J707" s="76" t="s">
        <v>127</v>
      </c>
      <c r="K707" s="66" t="str">
        <f>IF(_xlfn.XLOOKUP($J707,Catalogo!$B$7:$B$210,Catalogo!$I$7:$I$210,"",0)=0,"",_xlfn.XLOOKUP($J707,Catalogo!$B$7:$B$210,Catalogo!$I$7:$I$210,"",0))</f>
        <v>CARACTERIZACION</v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07" t="s">
        <v>534</v>
      </c>
    </row>
    <row r="708" spans="1:14" x14ac:dyDescent="0.25">
      <c r="A708" s="356">
        <v>46259</v>
      </c>
      <c r="B708" s="116" t="s">
        <v>30</v>
      </c>
      <c r="C708" s="512" t="s">
        <v>13</v>
      </c>
      <c r="D708" s="39" t="s">
        <v>14</v>
      </c>
      <c r="E708" s="40" t="s">
        <v>132</v>
      </c>
      <c r="F708" s="493">
        <v>12165.28</v>
      </c>
      <c r="G708" s="28" t="s">
        <v>592</v>
      </c>
      <c r="H708" s="226"/>
      <c r="I708" s="501">
        <v>1</v>
      </c>
      <c r="J708" s="76" t="s">
        <v>131</v>
      </c>
      <c r="K708" s="66" t="str">
        <f>IF(_xlfn.XLOOKUP($J708,Catalogo!$B$7:$B$210,Catalogo!$I$7:$I$210,"",0)=0,"",_xlfn.XLOOKUP($J708,Catalogo!$B$7:$B$210,Catalogo!$I$7:$I$210,"",0))</f>
        <v>UT RECTO</v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08" t="s">
        <v>534</v>
      </c>
    </row>
    <row r="709" spans="1:14" x14ac:dyDescent="0.25">
      <c r="A709" s="356">
        <v>46259</v>
      </c>
      <c r="B709" s="116" t="s">
        <v>30</v>
      </c>
      <c r="C709" s="512" t="s">
        <v>13</v>
      </c>
      <c r="D709" s="39" t="s">
        <v>14</v>
      </c>
      <c r="E709" s="40" t="s">
        <v>138</v>
      </c>
      <c r="F709" s="493">
        <v>12165.28</v>
      </c>
      <c r="G709" s="28" t="s">
        <v>592</v>
      </c>
      <c r="H709" s="226"/>
      <c r="I709" s="501">
        <v>1</v>
      </c>
      <c r="J709" s="76" t="s">
        <v>137</v>
      </c>
      <c r="K709" s="66" t="str">
        <f>IF(_xlfn.XLOOKUP($J709,Catalogo!$B$7:$B$210,Catalogo!$I$7:$I$210,"",0)=0,"",_xlfn.XLOOKUP($J709,Catalogo!$B$7:$B$210,Catalogo!$I$7:$I$210,"",0))</f>
        <v>PH EXC</v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656</v>
      </c>
      <c r="N709" t="s">
        <v>534</v>
      </c>
    </row>
    <row r="710" spans="1:14" x14ac:dyDescent="0.25">
      <c r="A710" s="356">
        <v>46259</v>
      </c>
      <c r="B710" s="116" t="s">
        <v>30</v>
      </c>
      <c r="C710" s="512" t="s">
        <v>13</v>
      </c>
      <c r="D710" s="39" t="s">
        <v>14</v>
      </c>
      <c r="E710" s="40" t="s">
        <v>140</v>
      </c>
      <c r="F710" s="493">
        <v>12165.28</v>
      </c>
      <c r="G710" s="28" t="s">
        <v>592</v>
      </c>
      <c r="H710" s="226"/>
      <c r="I710" s="501">
        <v>1</v>
      </c>
      <c r="J710" s="76" t="s">
        <v>139</v>
      </c>
      <c r="K710" s="66" t="str">
        <f>IF(_xlfn.XLOOKUP($J710,Catalogo!$B$7:$B$210,Catalogo!$I$7:$I$210,"",0)=0,"",_xlfn.XLOOKUP($J710,Catalogo!$B$7:$B$210,Catalogo!$I$7:$I$210,"",0))</f>
        <v>BACTERIAS EXC</v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4676</v>
      </c>
      <c r="N710" t="s">
        <v>534</v>
      </c>
    </row>
    <row r="711" spans="1:14" x14ac:dyDescent="0.25">
      <c r="A711" s="356"/>
      <c r="C711" s="512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J711" s="76"/>
      <c r="K711" s="66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Row],[fin]],$P$379:$P$386,$T$379:$T$386),"")</f>
        <v/>
      </c>
    </row>
    <row r="712" spans="1:14" x14ac:dyDescent="0.25">
      <c r="A712" s="356">
        <v>46282</v>
      </c>
      <c r="B712" s="116" t="s">
        <v>30</v>
      </c>
      <c r="C712" s="512" t="s">
        <v>13</v>
      </c>
      <c r="D712" s="39" t="s">
        <v>14</v>
      </c>
      <c r="E712" s="40" t="s">
        <v>119</v>
      </c>
      <c r="F712" s="493">
        <v>12168</v>
      </c>
      <c r="G712" s="28" t="s">
        <v>592</v>
      </c>
      <c r="H712" s="226"/>
      <c r="I712" s="501">
        <v>1</v>
      </c>
      <c r="J712" s="76">
        <v>3.2</v>
      </c>
      <c r="K712" s="66" t="str">
        <f>IF(_xlfn.XLOOKUP($J712,Catalogo!$B$7:$B$210,Catalogo!$I$7:$I$210,"",0)=0,"",_xlfn.XLOOKUP($J712,Catalogo!$B$7:$B$210,Catalogo!$I$7:$I$210,"",0))</f>
        <v>DATA EXC</v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12" t="s">
        <v>533</v>
      </c>
    </row>
    <row r="713" spans="1:14" x14ac:dyDescent="0.25">
      <c r="A713" s="356">
        <v>46282</v>
      </c>
      <c r="B713" s="116" t="s">
        <v>30</v>
      </c>
      <c r="C713" s="512" t="s">
        <v>13</v>
      </c>
      <c r="D713" s="39" t="s">
        <v>14</v>
      </c>
      <c r="E713" s="40" t="s">
        <v>505</v>
      </c>
      <c r="F713" s="493">
        <v>12168</v>
      </c>
      <c r="G713" s="28" t="s">
        <v>592</v>
      </c>
      <c r="H713" s="226"/>
      <c r="I713" s="501">
        <v>1</v>
      </c>
      <c r="J713" s="76" t="s">
        <v>122</v>
      </c>
      <c r="K713" s="66" t="str">
        <f>IF(_xlfn.XLOOKUP($J713,Catalogo!$B$7:$B$210,Catalogo!$I$7:$I$210,"",0)=0,"",_xlfn.XLOOKUP($J713,Catalogo!$B$7:$B$210,Catalogo!$I$7:$I$210,"",0))</f>
        <v>VT</v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13" t="s">
        <v>533</v>
      </c>
    </row>
    <row r="714" spans="1:14" x14ac:dyDescent="0.25">
      <c r="A714" s="356">
        <v>46282</v>
      </c>
      <c r="B714" s="116" t="s">
        <v>30</v>
      </c>
      <c r="C714" s="512" t="s">
        <v>13</v>
      </c>
      <c r="D714" s="39" t="s">
        <v>14</v>
      </c>
      <c r="E714" s="40" t="s">
        <v>125</v>
      </c>
      <c r="F714" s="493">
        <v>12168</v>
      </c>
      <c r="G714" s="28" t="s">
        <v>592</v>
      </c>
      <c r="H714" s="226"/>
      <c r="I714" s="501">
        <v>1</v>
      </c>
      <c r="J714" s="76" t="s">
        <v>124</v>
      </c>
      <c r="K714" s="66" t="str">
        <f>IF(_xlfn.XLOOKUP($J714,Catalogo!$B$7:$B$210,Catalogo!$I$7:$I$210,"",0)=0,"",_xlfn.XLOOKUP($J714,Catalogo!$B$7:$B$210,Catalogo!$I$7:$I$210,"",0))</f>
        <v>SANIDAD Y ESPESORES</v>
      </c>
      <c r="L714" s="36"/>
      <c r="M71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14" t="s">
        <v>533</v>
      </c>
    </row>
    <row r="715" spans="1:14" x14ac:dyDescent="0.25">
      <c r="A715" s="356">
        <v>46282</v>
      </c>
      <c r="B715" s="116" t="s">
        <v>30</v>
      </c>
      <c r="C715" s="512" t="s">
        <v>13</v>
      </c>
      <c r="D715" s="39" t="s">
        <v>14</v>
      </c>
      <c r="E715" s="40" t="s">
        <v>128</v>
      </c>
      <c r="F715" s="493">
        <v>12168</v>
      </c>
      <c r="G715" s="28" t="s">
        <v>592</v>
      </c>
      <c r="H715" s="226"/>
      <c r="I715" s="501">
        <v>1</v>
      </c>
      <c r="J715" s="76" t="s">
        <v>127</v>
      </c>
      <c r="K715" s="66" t="str">
        <f>IF(_xlfn.XLOOKUP($J715,Catalogo!$B$7:$B$210,Catalogo!$I$7:$I$210,"",0)=0,"",_xlfn.XLOOKUP($J715,Catalogo!$B$7:$B$210,Catalogo!$I$7:$I$210,"",0))</f>
        <v>CARACTERIZACION</v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15" t="s">
        <v>533</v>
      </c>
    </row>
    <row r="716" spans="1:14" x14ac:dyDescent="0.25">
      <c r="A716" s="356">
        <v>46282</v>
      </c>
      <c r="B716" s="116" t="s">
        <v>30</v>
      </c>
      <c r="C716" s="512" t="s">
        <v>13</v>
      </c>
      <c r="D716" s="39" t="s">
        <v>14</v>
      </c>
      <c r="E716" s="40" t="s">
        <v>132</v>
      </c>
      <c r="F716" s="493">
        <v>12168</v>
      </c>
      <c r="G716" s="28" t="s">
        <v>592</v>
      </c>
      <c r="H716" s="226"/>
      <c r="I716" s="501">
        <v>1</v>
      </c>
      <c r="J716" s="76" t="s">
        <v>131</v>
      </c>
      <c r="K716" s="66" t="str">
        <f>IF(_xlfn.XLOOKUP($J716,Catalogo!$B$7:$B$210,Catalogo!$I$7:$I$210,"",0)=0,"",_xlfn.XLOOKUP($J716,Catalogo!$B$7:$B$210,Catalogo!$I$7:$I$210,"",0))</f>
        <v>UT RECTO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16" t="s">
        <v>533</v>
      </c>
    </row>
    <row r="717" spans="1:14" x14ac:dyDescent="0.25">
      <c r="A717" s="356">
        <v>46282</v>
      </c>
      <c r="B717" s="116" t="s">
        <v>30</v>
      </c>
      <c r="C717" s="512" t="s">
        <v>13</v>
      </c>
      <c r="D717" s="39" t="s">
        <v>14</v>
      </c>
      <c r="E717" s="40" t="s">
        <v>138</v>
      </c>
      <c r="F717" s="493">
        <v>12168</v>
      </c>
      <c r="G717" s="28" t="s">
        <v>592</v>
      </c>
      <c r="H717" s="226"/>
      <c r="I717" s="501">
        <v>1</v>
      </c>
      <c r="J717" s="76" t="s">
        <v>137</v>
      </c>
      <c r="K717" s="66" t="str">
        <f>IF(_xlfn.XLOOKUP($J717,Catalogo!$B$7:$B$210,Catalogo!$I$7:$I$210,"",0)=0,"",_xlfn.XLOOKUP($J717,Catalogo!$B$7:$B$210,Catalogo!$I$7:$I$210,"",0))</f>
        <v>PH EXC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656</v>
      </c>
      <c r="N717" t="s">
        <v>533</v>
      </c>
    </row>
    <row r="718" spans="1:14" x14ac:dyDescent="0.25">
      <c r="A718" s="356">
        <v>46282</v>
      </c>
      <c r="B718" s="116" t="s">
        <v>30</v>
      </c>
      <c r="C718" s="512" t="s">
        <v>13</v>
      </c>
      <c r="D718" s="39" t="s">
        <v>14</v>
      </c>
      <c r="E718" s="40" t="s">
        <v>140</v>
      </c>
      <c r="F718" s="493">
        <v>12168</v>
      </c>
      <c r="G718" s="28" t="s">
        <v>592</v>
      </c>
      <c r="H718" s="226"/>
      <c r="I718" s="501">
        <v>1</v>
      </c>
      <c r="J718" s="76" t="s">
        <v>139</v>
      </c>
      <c r="K718" s="66" t="str">
        <f>IF(_xlfn.XLOOKUP($J718,Catalogo!$B$7:$B$210,Catalogo!$I$7:$I$210,"",0)=0,"",_xlfn.XLOOKUP($J718,Catalogo!$B$7:$B$210,Catalogo!$I$7:$I$210,"",0))</f>
        <v>BACTERIAS EXC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4676</v>
      </c>
      <c r="N718" t="s">
        <v>533</v>
      </c>
    </row>
    <row r="719" spans="1:14" x14ac:dyDescent="0.25">
      <c r="A719" s="356"/>
      <c r="B719" s="116"/>
      <c r="C719" s="512"/>
      <c r="D719" s="39"/>
      <c r="F719" s="28"/>
      <c r="G719" s="28"/>
      <c r="H719" s="226" t="str">
        <f>IF(Tabla1[[#This Row],[Codigo_actividad]]&lt;&gt;2.5,IF(((Tabla1[[#This Row],[fin]]-Tabla1[[#This Row],[inicio]])/1000)=0,"",((Tabla1[[#This Row],[fin]]-Tabla1[[#This Row],[inicio]])/1000)),"")</f>
        <v/>
      </c>
      <c r="I719" s="66"/>
      <c r="J719" s="76"/>
      <c r="K719" s="66" t="str">
        <f>IF(_xlfn.XLOOKUP($J719,Catalogo!$B$7:$B$21,Catalogo!$I$7:$I$21,"",0)=0,"",_xlfn.XLOOKUP($J719,Catalogo!$B$7:$B$21,Catalogo!$I$7:$I$21,"",0))</f>
        <v/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0</v>
      </c>
      <c r="N719" t="str">
        <f>_xlfn.IFNA(_xlfn.XLOOKUP(Tabla1[[#This Row],[fin]],$P$379:$P$386,$T$379:$T$386),"")</f>
        <v/>
      </c>
    </row>
    <row r="720" spans="1:14" x14ac:dyDescent="0.25">
      <c r="A720" s="356">
        <v>46261</v>
      </c>
      <c r="B720" s="116" t="s">
        <v>30</v>
      </c>
      <c r="C720" s="512" t="s">
        <v>13</v>
      </c>
      <c r="D720" s="39" t="s">
        <v>14</v>
      </c>
      <c r="E720" s="40" t="s">
        <v>119</v>
      </c>
      <c r="F720" s="493">
        <v>15734.73</v>
      </c>
      <c r="G720" s="28" t="s">
        <v>592</v>
      </c>
      <c r="H720" s="226"/>
      <c r="I720" s="501">
        <v>1</v>
      </c>
      <c r="J720" s="76">
        <v>3.2</v>
      </c>
      <c r="K720" s="66" t="str">
        <f>IF(_xlfn.XLOOKUP($J720,Catalogo!$B$7:$B$210,Catalogo!$I$7:$I$210,"",0)=0,"",_xlfn.XLOOKUP($J720,Catalogo!$B$7:$B$210,Catalogo!$I$7:$I$210,"",0))</f>
        <v>DATA EXC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0" t="str">
        <f>_xlfn.IFNA(_xlfn.XLOOKUP(Tabla1[[#This Row],[fin]],$P$379:$P$386,$T$379:$T$386),"")</f>
        <v/>
      </c>
    </row>
    <row r="721" spans="1:14" x14ac:dyDescent="0.25">
      <c r="A721" s="356">
        <v>46261</v>
      </c>
      <c r="B721" s="116" t="s">
        <v>30</v>
      </c>
      <c r="C721" s="512" t="s">
        <v>13</v>
      </c>
      <c r="D721" s="39" t="s">
        <v>14</v>
      </c>
      <c r="E721" s="40" t="s">
        <v>505</v>
      </c>
      <c r="F721" s="493">
        <v>15734.73</v>
      </c>
      <c r="G721" s="28" t="s">
        <v>592</v>
      </c>
      <c r="H721" s="226"/>
      <c r="I721" s="501">
        <v>1</v>
      </c>
      <c r="J721" s="76" t="s">
        <v>122</v>
      </c>
      <c r="K721" s="66" t="str">
        <f>IF(_xlfn.XLOOKUP($J721,Catalogo!$B$7:$B$210,Catalogo!$I$7:$I$210,"",0)=0,"",_xlfn.XLOOKUP($J721,Catalogo!$B$7:$B$210,Catalogo!$I$7:$I$210,"",0))</f>
        <v>VT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1" t="str">
        <f>_xlfn.IFNA(_xlfn.XLOOKUP(Tabla1[[#This Row],[fin]],$P$379:$P$386,$T$379:$T$386),"")</f>
        <v/>
      </c>
    </row>
    <row r="722" spans="1:14" x14ac:dyDescent="0.25">
      <c r="A722" s="356">
        <v>46261</v>
      </c>
      <c r="B722" s="116" t="s">
        <v>30</v>
      </c>
      <c r="C722" s="512" t="s">
        <v>13</v>
      </c>
      <c r="D722" s="39" t="s">
        <v>14</v>
      </c>
      <c r="E722" s="40" t="s">
        <v>125</v>
      </c>
      <c r="F722" s="493">
        <v>15734.73</v>
      </c>
      <c r="G722" s="28" t="s">
        <v>592</v>
      </c>
      <c r="H722" s="226"/>
      <c r="I722" s="501">
        <v>1</v>
      </c>
      <c r="J722" s="76" t="s">
        <v>124</v>
      </c>
      <c r="K722" s="66" t="str">
        <f>IF(_xlfn.XLOOKUP($J722,Catalogo!$B$7:$B$210,Catalogo!$I$7:$I$210,"",0)=0,"",_xlfn.XLOOKUP($J722,Catalogo!$B$7:$B$210,Catalogo!$I$7:$I$210,"",0))</f>
        <v>SANIDAD Y ESPESORES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2" t="str">
        <f>_xlfn.IFNA(_xlfn.XLOOKUP(Tabla1[[#This Row],[fin]],$P$379:$P$386,$T$379:$T$386),"")</f>
        <v/>
      </c>
    </row>
    <row r="723" spans="1:14" x14ac:dyDescent="0.25">
      <c r="A723" s="356">
        <v>46261</v>
      </c>
      <c r="B723" s="116" t="s">
        <v>30</v>
      </c>
      <c r="C723" s="512" t="s">
        <v>13</v>
      </c>
      <c r="D723" s="39" t="s">
        <v>14</v>
      </c>
      <c r="E723" s="40" t="s">
        <v>128</v>
      </c>
      <c r="F723" s="493">
        <v>15734.73</v>
      </c>
      <c r="G723" s="28" t="s">
        <v>592</v>
      </c>
      <c r="H723" s="226"/>
      <c r="I723" s="501">
        <v>1</v>
      </c>
      <c r="J723" s="76" t="s">
        <v>127</v>
      </c>
      <c r="K723" s="66" t="str">
        <f>IF(_xlfn.XLOOKUP($J723,Catalogo!$B$7:$B$210,Catalogo!$I$7:$I$210,"",0)=0,"",_xlfn.XLOOKUP($J723,Catalogo!$B$7:$B$210,Catalogo!$I$7:$I$210,"",0))</f>
        <v>CARACTERIZACION</v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3" t="str">
        <f>_xlfn.IFNA(_xlfn.XLOOKUP(Tabla1[[#This Row],[fin]],$P$379:$P$386,$T$379:$T$386),"")</f>
        <v/>
      </c>
    </row>
    <row r="724" spans="1:14" x14ac:dyDescent="0.25">
      <c r="A724" s="356">
        <v>46261</v>
      </c>
      <c r="B724" s="116" t="s">
        <v>30</v>
      </c>
      <c r="C724" s="512" t="s">
        <v>13</v>
      </c>
      <c r="D724" s="39" t="s">
        <v>14</v>
      </c>
      <c r="E724" s="40" t="s">
        <v>132</v>
      </c>
      <c r="F724" s="493">
        <v>15734.73</v>
      </c>
      <c r="G724" s="28" t="s">
        <v>592</v>
      </c>
      <c r="H724" s="226"/>
      <c r="I724" s="501">
        <v>1</v>
      </c>
      <c r="J724" s="76" t="s">
        <v>131</v>
      </c>
      <c r="K724" s="66" t="str">
        <f>IF(_xlfn.XLOOKUP($J724,Catalogo!$B$7:$B$210,Catalogo!$I$7:$I$210,"",0)=0,"",_xlfn.XLOOKUP($J724,Catalogo!$B$7:$B$210,Catalogo!$I$7:$I$210,"",0))</f>
        <v>UT RECTO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4" t="str">
        <f>_xlfn.IFNA(_xlfn.XLOOKUP(Tabla1[[#This Row],[fin]],$P$379:$P$386,$T$379:$T$386),"")</f>
        <v/>
      </c>
    </row>
    <row r="725" spans="1:14" x14ac:dyDescent="0.25">
      <c r="A725" s="356">
        <v>46261</v>
      </c>
      <c r="B725" s="116" t="s">
        <v>30</v>
      </c>
      <c r="C725" s="512" t="s">
        <v>13</v>
      </c>
      <c r="D725" s="39" t="s">
        <v>14</v>
      </c>
      <c r="E725" s="40" t="s">
        <v>138</v>
      </c>
      <c r="F725" s="493">
        <v>15734.73</v>
      </c>
      <c r="G725" s="28" t="s">
        <v>592</v>
      </c>
      <c r="H725" s="226"/>
      <c r="I725" s="501">
        <v>1</v>
      </c>
      <c r="J725" s="76" t="s">
        <v>137</v>
      </c>
      <c r="K725" s="66" t="str">
        <f>IF(_xlfn.XLOOKUP($J725,Catalogo!$B$7:$B$210,Catalogo!$I$7:$I$210,"",0)=0,"",_xlfn.XLOOKUP($J725,Catalogo!$B$7:$B$210,Catalogo!$I$7:$I$210,"",0))</f>
        <v>PH EXC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656</v>
      </c>
      <c r="N725" t="str">
        <f>_xlfn.IFNA(_xlfn.XLOOKUP(Tabla1[[#This Row],[fin]],$P$379:$P$386,$T$379:$T$386),"")</f>
        <v/>
      </c>
    </row>
    <row r="726" spans="1:14" x14ac:dyDescent="0.25">
      <c r="A726" s="356">
        <v>46261</v>
      </c>
      <c r="B726" s="116" t="s">
        <v>30</v>
      </c>
      <c r="C726" s="512" t="s">
        <v>13</v>
      </c>
      <c r="D726" s="39" t="s">
        <v>14</v>
      </c>
      <c r="E726" s="40" t="s">
        <v>140</v>
      </c>
      <c r="F726" s="493">
        <v>15734.73</v>
      </c>
      <c r="G726" s="28" t="s">
        <v>592</v>
      </c>
      <c r="H726" s="226"/>
      <c r="I726" s="501">
        <v>1</v>
      </c>
      <c r="J726" s="76" t="s">
        <v>139</v>
      </c>
      <c r="K726" s="66" t="str">
        <f>IF(_xlfn.XLOOKUP($J726,Catalogo!$B$7:$B$210,Catalogo!$I$7:$I$210,"",0)=0,"",_xlfn.XLOOKUP($J726,Catalogo!$B$7:$B$210,Catalogo!$I$7:$I$210,"",0))</f>
        <v>BACTERIAS EXC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4676</v>
      </c>
      <c r="N726" t="str">
        <f>_xlfn.IFNA(_xlfn.XLOOKUP(Tabla1[[#This Row],[fin]],$P$379:$P$386,$T$379:$T$386),"")</f>
        <v/>
      </c>
    </row>
    <row r="727" spans="1:14" x14ac:dyDescent="0.25">
      <c r="A727" s="356"/>
      <c r="B727" s="116"/>
      <c r="C727" s="512"/>
      <c r="D727" s="39"/>
      <c r="F727" s="28"/>
      <c r="G727" s="28"/>
      <c r="H727" s="226" t="str">
        <f>IF(Tabla1[[#This Row],[Codigo_actividad]]&lt;&gt;2.5,IF(((Tabla1[[#This Row],[fin]]-Tabla1[[#This Row],[inicio]])/1000)=0,"",((Tabla1[[#This Row],[fin]]-Tabla1[[#This Row],[inicio]])/1000)),"")</f>
        <v/>
      </c>
      <c r="I727" s="66"/>
      <c r="J727" s="76"/>
      <c r="K727" s="66" t="str">
        <f>IF(_xlfn.XLOOKUP($J727,Catalogo!$B$7:$B$21,Catalogo!$I$7:$I$21,"",0)=0,"",_xlfn.XLOOKUP($J727,Catalogo!$B$7:$B$21,Catalogo!$I$7:$I$21,"",0))</f>
        <v/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0</v>
      </c>
      <c r="N727" t="str">
        <f>_xlfn.IFNA(_xlfn.XLOOKUP(Tabla1[[#This Row],[fin]],$P$379:$P$386,$T$379:$T$386),"")</f>
        <v/>
      </c>
    </row>
    <row r="728" spans="1:14" x14ac:dyDescent="0.25">
      <c r="A728" s="356">
        <v>46296</v>
      </c>
      <c r="B728" s="116" t="s">
        <v>30</v>
      </c>
      <c r="C728" s="512" t="s">
        <v>13</v>
      </c>
      <c r="D728" s="39" t="s">
        <v>14</v>
      </c>
      <c r="E728" s="40" t="s">
        <v>119</v>
      </c>
      <c r="F728" s="493">
        <v>22765</v>
      </c>
      <c r="G728" s="524" t="s">
        <v>593</v>
      </c>
      <c r="H728" s="226"/>
      <c r="I728" s="501">
        <v>1</v>
      </c>
      <c r="J728" s="76">
        <v>3.2</v>
      </c>
      <c r="K728" s="66" t="str">
        <f>IF(_xlfn.XLOOKUP($J728,Catalogo!$B$7:$B$210,Catalogo!$I$7:$I$210,"",0)=0,"",_xlfn.XLOOKUP($J728,Catalogo!$B$7:$B$210,Catalogo!$I$7:$I$210,"",0))</f>
        <v>DATA EXC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29" spans="1:14" x14ac:dyDescent="0.25">
      <c r="A729" s="356">
        <v>46296</v>
      </c>
      <c r="B729" s="116" t="s">
        <v>30</v>
      </c>
      <c r="C729" s="512" t="s">
        <v>13</v>
      </c>
      <c r="D729" s="39" t="s">
        <v>14</v>
      </c>
      <c r="E729" s="40" t="s">
        <v>505</v>
      </c>
      <c r="F729" s="493">
        <v>22765</v>
      </c>
      <c r="G729" s="524" t="s">
        <v>593</v>
      </c>
      <c r="H729" s="226"/>
      <c r="I729" s="501">
        <v>1</v>
      </c>
      <c r="J729" s="76" t="s">
        <v>122</v>
      </c>
      <c r="K729" s="66" t="str">
        <f>IF(_xlfn.XLOOKUP($J729,Catalogo!$B$7:$B$210,Catalogo!$I$7:$I$210,"",0)=0,"",_xlfn.XLOOKUP($J729,Catalogo!$B$7:$B$210,Catalogo!$I$7:$I$210,"",0))</f>
        <v>VT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30" spans="1:14" x14ac:dyDescent="0.25">
      <c r="A730" s="444">
        <v>46296</v>
      </c>
      <c r="B730" s="445" t="s">
        <v>30</v>
      </c>
      <c r="C730" s="522" t="s">
        <v>13</v>
      </c>
      <c r="D730" s="446" t="s">
        <v>14</v>
      </c>
      <c r="E730" s="443" t="s">
        <v>125</v>
      </c>
      <c r="F730" s="175">
        <v>22765</v>
      </c>
      <c r="G730" s="523" t="s">
        <v>593</v>
      </c>
      <c r="H730" s="447"/>
      <c r="I730" s="284">
        <v>1</v>
      </c>
      <c r="J730" s="284" t="s">
        <v>124</v>
      </c>
      <c r="K730" s="284" t="str">
        <f>IF(_xlfn.XLOOKUP($J730,Catalogo!$B$7:$B$210,Catalogo!$I$7:$I$210,"",0)=0,"",_xlfn.XLOOKUP($J730,Catalogo!$B$7:$B$210,Catalogo!$I$7:$I$210,"",0))</f>
        <v>SANIDAD Y ESPESORES</v>
      </c>
      <c r="L730" s="163"/>
      <c r="M730" s="448">
        <f>IF(Tabla1[[#This Row],[Avance_km]]&lt;&gt;"",Tabla1[[#This Row],[Avance_km]],Tabla1[[#This Row],[Avance_Med]])*_xlfn.XLOOKUP(Tabla1[[#This Row],[Codigo_actividad]],Catalogo!$B$6:$B$51,Catalogo!$F$6:$F$51,0)</f>
        <v>1934.59</v>
      </c>
      <c r="N730" s="213"/>
    </row>
    <row r="731" spans="1:14" x14ac:dyDescent="0.25">
      <c r="A731" s="356">
        <v>46296</v>
      </c>
      <c r="B731" s="116" t="s">
        <v>30</v>
      </c>
      <c r="C731" s="512" t="s">
        <v>13</v>
      </c>
      <c r="D731" s="39" t="s">
        <v>14</v>
      </c>
      <c r="E731" s="40" t="s">
        <v>128</v>
      </c>
      <c r="F731" s="493">
        <v>22765</v>
      </c>
      <c r="G731" s="524" t="s">
        <v>593</v>
      </c>
      <c r="H731" s="226"/>
      <c r="I731" s="501">
        <v>1</v>
      </c>
      <c r="J731" s="76" t="s">
        <v>127</v>
      </c>
      <c r="K731" s="66" t="str">
        <f>IF(_xlfn.XLOOKUP($J731,Catalogo!$B$7:$B$210,Catalogo!$I$7:$I$210,"",0)=0,"",_xlfn.XLOOKUP($J731,Catalogo!$B$7:$B$210,Catalogo!$I$7:$I$210,"",0))</f>
        <v>CARACTERIZACION</v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32" spans="1:14" x14ac:dyDescent="0.25">
      <c r="A732" s="444">
        <v>46296</v>
      </c>
      <c r="B732" s="445" t="s">
        <v>30</v>
      </c>
      <c r="C732" s="522" t="s">
        <v>13</v>
      </c>
      <c r="D732" s="446" t="s">
        <v>14</v>
      </c>
      <c r="E732" s="443" t="s">
        <v>132</v>
      </c>
      <c r="F732" s="175">
        <v>22765</v>
      </c>
      <c r="G732" s="523" t="s">
        <v>593</v>
      </c>
      <c r="H732" s="447"/>
      <c r="I732" s="284">
        <v>1</v>
      </c>
      <c r="J732" s="284" t="s">
        <v>131</v>
      </c>
      <c r="K732" s="284" t="str">
        <f>IF(_xlfn.XLOOKUP($J732,Catalogo!$B$7:$B$210,Catalogo!$I$7:$I$210,"",0)=0,"",_xlfn.XLOOKUP($J732,Catalogo!$B$7:$B$210,Catalogo!$I$7:$I$210,"",0))</f>
        <v>UT RECTO</v>
      </c>
      <c r="L732" s="163"/>
      <c r="M732" s="448">
        <f>IF(Tabla1[[#This Row],[Avance_km]]&lt;&gt;"",Tabla1[[#This Row],[Avance_km]],Tabla1[[#This Row],[Avance_Med]])*_xlfn.XLOOKUP(Tabla1[[#This Row],[Codigo_actividad]],Catalogo!$B$6:$B$51,Catalogo!$F$6:$F$51,0)</f>
        <v>2220.59</v>
      </c>
      <c r="N732" s="213"/>
    </row>
    <row r="733" spans="1:14" x14ac:dyDescent="0.25">
      <c r="A733" s="356">
        <v>46296</v>
      </c>
      <c r="B733" s="116" t="s">
        <v>30</v>
      </c>
      <c r="C733" s="512" t="s">
        <v>13</v>
      </c>
      <c r="D733" s="39" t="s">
        <v>14</v>
      </c>
      <c r="E733" s="40" t="s">
        <v>138</v>
      </c>
      <c r="F733" s="493">
        <v>22765</v>
      </c>
      <c r="G733" s="524" t="s">
        <v>593</v>
      </c>
      <c r="H733" s="226"/>
      <c r="I733" s="501">
        <v>1</v>
      </c>
      <c r="J733" s="76" t="s">
        <v>137</v>
      </c>
      <c r="K733" s="66" t="str">
        <f>IF(_xlfn.XLOOKUP($J733,Catalogo!$B$7:$B$210,Catalogo!$I$7:$I$210,"",0)=0,"",_xlfn.XLOOKUP($J733,Catalogo!$B$7:$B$210,Catalogo!$I$7:$I$210,"",0))</f>
        <v>PH EXC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34" spans="1:14" x14ac:dyDescent="0.25">
      <c r="A734" s="356">
        <v>46296</v>
      </c>
      <c r="B734" s="116" t="s">
        <v>30</v>
      </c>
      <c r="C734" s="512" t="s">
        <v>13</v>
      </c>
      <c r="D734" s="39" t="s">
        <v>14</v>
      </c>
      <c r="E734" s="40" t="s">
        <v>140</v>
      </c>
      <c r="F734" s="493">
        <v>22765</v>
      </c>
      <c r="G734" s="524" t="s">
        <v>593</v>
      </c>
      <c r="H734" s="226"/>
      <c r="I734" s="501">
        <v>1</v>
      </c>
      <c r="J734" s="76" t="s">
        <v>139</v>
      </c>
      <c r="K734" s="66" t="str">
        <f>IF(_xlfn.XLOOKUP($J734,Catalogo!$B$7:$B$210,Catalogo!$I$7:$I$210,"",0)=0,"",_xlfn.XLOOKUP($J734,Catalogo!$B$7:$B$210,Catalogo!$I$7:$I$210,"",0))</f>
        <v>BACTERIAS EXC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35" spans="1:14" x14ac:dyDescent="0.25">
      <c r="A735" s="356"/>
      <c r="B735" s="116"/>
      <c r="C735" s="512"/>
      <c r="D735" s="39"/>
      <c r="F735" s="28"/>
      <c r="G735" s="28"/>
      <c r="H735" s="226" t="str">
        <f>IF(Tabla1[[#This Row],[Codigo_actividad]]&lt;&gt;2.5,IF(((Tabla1[[#This Row],[fin]]-Tabla1[[#This Row],[inicio]])/1000)=0,"",((Tabla1[[#This Row],[fin]]-Tabla1[[#This Row],[inicio]])/1000)),"")</f>
        <v/>
      </c>
      <c r="I735" s="66"/>
      <c r="J735" s="76"/>
      <c r="K735" s="66" t="str">
        <f>IF(_xlfn.XLOOKUP($J735,Catalogo!$B$7:$B$21,Catalogo!$I$7:$I$21,"",0)=0,"",_xlfn.XLOOKUP($J735,Catalogo!$B$7:$B$21,Catalogo!$I$7:$I$21,"",0))</f>
        <v/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0</v>
      </c>
      <c r="N735" t="str">
        <f>_xlfn.IFNA(_xlfn.XLOOKUP(Tabla1[[#This Row],[fin]],$P$379:$P$386,$T$379:$T$386),"")</f>
        <v/>
      </c>
    </row>
    <row r="736" spans="1:14" x14ac:dyDescent="0.25">
      <c r="A736" s="444">
        <v>46315</v>
      </c>
      <c r="B736" s="116" t="s">
        <v>30</v>
      </c>
      <c r="C736" s="512" t="s">
        <v>13</v>
      </c>
      <c r="D736" s="39" t="s">
        <v>14</v>
      </c>
      <c r="E736" s="40" t="s">
        <v>119</v>
      </c>
      <c r="F736" s="204">
        <v>28512</v>
      </c>
      <c r="G736" s="28"/>
      <c r="H736" s="226"/>
      <c r="I736" s="284"/>
      <c r="J736" s="76">
        <v>3.2</v>
      </c>
      <c r="K736" s="66" t="str">
        <f>IF(_xlfn.XLOOKUP($J736,Catalogo!$B$7:$B$210,Catalogo!$I$7:$I$210,"",0)=0,"",_xlfn.XLOOKUP($J736,Catalogo!$B$7:$B$210,Catalogo!$I$7:$I$210,"",0))</f>
        <v>DATA EXC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37" spans="1:14" x14ac:dyDescent="0.25">
      <c r="A737" s="444">
        <v>46315</v>
      </c>
      <c r="B737" s="116" t="s">
        <v>30</v>
      </c>
      <c r="C737" s="512" t="s">
        <v>13</v>
      </c>
      <c r="D737" s="39" t="s">
        <v>14</v>
      </c>
      <c r="E737" s="40" t="s">
        <v>505</v>
      </c>
      <c r="F737" s="204">
        <v>28512</v>
      </c>
      <c r="G737" s="28"/>
      <c r="H737" s="226"/>
      <c r="I737" s="284"/>
      <c r="J737" s="76" t="s">
        <v>122</v>
      </c>
      <c r="K737" s="66" t="str">
        <f>IF(_xlfn.XLOOKUP($J737,Catalogo!$B$7:$B$210,Catalogo!$I$7:$I$210,"",0)=0,"",_xlfn.XLOOKUP($J737,Catalogo!$B$7:$B$210,Catalogo!$I$7:$I$210,"",0))</f>
        <v>VT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38" spans="1:14" x14ac:dyDescent="0.25">
      <c r="A738" s="444">
        <v>46315</v>
      </c>
      <c r="B738" s="116" t="s">
        <v>30</v>
      </c>
      <c r="C738" s="512" t="s">
        <v>13</v>
      </c>
      <c r="D738" s="39" t="s">
        <v>14</v>
      </c>
      <c r="E738" s="40" t="s">
        <v>125</v>
      </c>
      <c r="F738" s="204">
        <v>28512</v>
      </c>
      <c r="G738" s="28"/>
      <c r="H738" s="226"/>
      <c r="I738" s="284"/>
      <c r="J738" s="76" t="s">
        <v>124</v>
      </c>
      <c r="K738" s="66" t="str">
        <f>IF(_xlfn.XLOOKUP($J738,Catalogo!$B$7:$B$210,Catalogo!$I$7:$I$210,"",0)=0,"",_xlfn.XLOOKUP($J738,Catalogo!$B$7:$B$210,Catalogo!$I$7:$I$210,"",0))</f>
        <v>SANIDAD Y ESPESORES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39" spans="1:14" x14ac:dyDescent="0.25">
      <c r="A739" s="444">
        <v>46315</v>
      </c>
      <c r="B739" s="116" t="s">
        <v>30</v>
      </c>
      <c r="C739" s="512" t="s">
        <v>13</v>
      </c>
      <c r="D739" s="39" t="s">
        <v>14</v>
      </c>
      <c r="E739" s="40" t="s">
        <v>128</v>
      </c>
      <c r="F739" s="204">
        <v>28512</v>
      </c>
      <c r="G739" s="28"/>
      <c r="H739" s="226"/>
      <c r="I739" s="284"/>
      <c r="J739" s="76" t="s">
        <v>127</v>
      </c>
      <c r="K739" s="66" t="str">
        <f>IF(_xlfn.XLOOKUP($J739,Catalogo!$B$7:$B$210,Catalogo!$I$7:$I$210,"",0)=0,"",_xlfn.XLOOKUP($J739,Catalogo!$B$7:$B$210,Catalogo!$I$7:$I$210,"",0))</f>
        <v>CARACTERIZACION</v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40" spans="1:14" x14ac:dyDescent="0.25">
      <c r="A740" s="444">
        <v>46315</v>
      </c>
      <c r="B740" s="116" t="s">
        <v>30</v>
      </c>
      <c r="C740" s="512" t="s">
        <v>13</v>
      </c>
      <c r="D740" s="39" t="s">
        <v>14</v>
      </c>
      <c r="E740" s="40" t="s">
        <v>132</v>
      </c>
      <c r="F740" s="204">
        <v>28512</v>
      </c>
      <c r="G740" s="28"/>
      <c r="H740" s="226"/>
      <c r="I740" s="284"/>
      <c r="J740" s="76" t="s">
        <v>131</v>
      </c>
      <c r="K740" s="66" t="str">
        <f>IF(_xlfn.XLOOKUP($J740,Catalogo!$B$7:$B$210,Catalogo!$I$7:$I$210,"",0)=0,"",_xlfn.XLOOKUP($J740,Catalogo!$B$7:$B$210,Catalogo!$I$7:$I$210,"",0))</f>
        <v>UT RECTO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41" spans="1:14" x14ac:dyDescent="0.25">
      <c r="A741" s="444">
        <v>46315</v>
      </c>
      <c r="B741" s="116" t="s">
        <v>30</v>
      </c>
      <c r="C741" s="512" t="s">
        <v>13</v>
      </c>
      <c r="D741" s="39" t="s">
        <v>14</v>
      </c>
      <c r="E741" s="40" t="s">
        <v>138</v>
      </c>
      <c r="F741" s="204">
        <v>28512</v>
      </c>
      <c r="G741" s="28"/>
      <c r="H741" s="226"/>
      <c r="I741" s="284"/>
      <c r="J741" s="76" t="s">
        <v>137</v>
      </c>
      <c r="K741" s="66" t="str">
        <f>IF(_xlfn.XLOOKUP($J741,Catalogo!$B$7:$B$210,Catalogo!$I$7:$I$210,"",0)=0,"",_xlfn.XLOOKUP($J741,Catalogo!$B$7:$B$210,Catalogo!$I$7:$I$210,"",0))</f>
        <v>PH EXC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42" spans="1:14" x14ac:dyDescent="0.25">
      <c r="A742" s="444">
        <v>46315</v>
      </c>
      <c r="B742" s="116" t="s">
        <v>30</v>
      </c>
      <c r="C742" s="512" t="s">
        <v>13</v>
      </c>
      <c r="D742" s="39" t="s">
        <v>14</v>
      </c>
      <c r="E742" s="40" t="s">
        <v>140</v>
      </c>
      <c r="F742" s="204">
        <v>28512</v>
      </c>
      <c r="G742" s="28"/>
      <c r="H742" s="226"/>
      <c r="I742" s="284"/>
      <c r="J742" s="76" t="s">
        <v>139</v>
      </c>
      <c r="K742" s="66" t="str">
        <f>IF(_xlfn.XLOOKUP($J742,Catalogo!$B$7:$B$210,Catalogo!$I$7:$I$210,"",0)=0,"",_xlfn.XLOOKUP($J742,Catalogo!$B$7:$B$210,Catalogo!$I$7:$I$210,"",0))</f>
        <v>BACTERIAS EXC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43" spans="1:14" x14ac:dyDescent="0.25">
      <c r="A743" s="356"/>
      <c r="B743" s="116"/>
      <c r="C743" s="512"/>
      <c r="D743" s="39"/>
      <c r="F743" s="28"/>
      <c r="G743" s="28"/>
      <c r="H743" s="226" t="str">
        <f>IF(Tabla1[[#This Row],[Codigo_actividad]]&lt;&gt;2.5,IF(((Tabla1[[#This Row],[fin]]-Tabla1[[#This Row],[inicio]])/1000)=0,"",((Tabla1[[#This Row],[fin]]-Tabla1[[#This Row],[inicio]])/1000)),"")</f>
        <v/>
      </c>
      <c r="I743" s="66"/>
      <c r="J743" s="76"/>
      <c r="K743" s="66" t="str">
        <f>IF(_xlfn.XLOOKUP($J743,Catalogo!$B$7:$B$21,Catalogo!$I$7:$I$21,"",0)=0,"",_xlfn.XLOOKUP($J743,Catalogo!$B$7:$B$21,Catalogo!$I$7:$I$21,"",0))</f>
        <v/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0</v>
      </c>
      <c r="N743" t="str">
        <f>_xlfn.IFNA(_xlfn.XLOOKUP(Tabla1[[#This Row],[fin]],$P$379:$P$386,$T$379:$T$386),"")</f>
        <v/>
      </c>
    </row>
    <row r="744" spans="1:14" x14ac:dyDescent="0.25">
      <c r="A744" s="356">
        <v>46308</v>
      </c>
      <c r="B744" s="116" t="s">
        <v>30</v>
      </c>
      <c r="C744" s="512" t="s">
        <v>13</v>
      </c>
      <c r="D744" s="39" t="s">
        <v>14</v>
      </c>
      <c r="E744" s="40" t="s">
        <v>119</v>
      </c>
      <c r="F744" s="493">
        <v>28591</v>
      </c>
      <c r="G744" s="28" t="s">
        <v>592</v>
      </c>
      <c r="H744" s="226"/>
      <c r="I744" s="501">
        <v>1</v>
      </c>
      <c r="J744" s="76">
        <v>3.2</v>
      </c>
      <c r="K744" s="66" t="str">
        <f>IF(_xlfn.XLOOKUP($J744,Catalogo!$B$7:$B$210,Catalogo!$I$7:$I$210,"",0)=0,"",_xlfn.XLOOKUP($J744,Catalogo!$B$7:$B$210,Catalogo!$I$7:$I$210,"",0))</f>
        <v>DATA EXC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5" spans="1:14" x14ac:dyDescent="0.25">
      <c r="A745" s="356">
        <v>46308</v>
      </c>
      <c r="B745" s="116" t="s">
        <v>30</v>
      </c>
      <c r="C745" s="512" t="s">
        <v>13</v>
      </c>
      <c r="D745" s="39" t="s">
        <v>14</v>
      </c>
      <c r="E745" s="40" t="s">
        <v>505</v>
      </c>
      <c r="F745" s="493">
        <v>28591</v>
      </c>
      <c r="G745" s="28" t="s">
        <v>592</v>
      </c>
      <c r="H745" s="226"/>
      <c r="I745" s="501">
        <v>1</v>
      </c>
      <c r="J745" s="76" t="s">
        <v>122</v>
      </c>
      <c r="K745" s="66" t="str">
        <f>IF(_xlfn.XLOOKUP($J745,Catalogo!$B$7:$B$210,Catalogo!$I$7:$I$210,"",0)=0,"",_xlfn.XLOOKUP($J745,Catalogo!$B$7:$B$210,Catalogo!$I$7:$I$210,"",0))</f>
        <v>VT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6" spans="1:14" x14ac:dyDescent="0.25">
      <c r="A746" s="356">
        <v>46308</v>
      </c>
      <c r="B746" s="116" t="s">
        <v>30</v>
      </c>
      <c r="C746" s="512" t="s">
        <v>13</v>
      </c>
      <c r="D746" s="39" t="s">
        <v>14</v>
      </c>
      <c r="E746" s="40" t="s">
        <v>125</v>
      </c>
      <c r="F746" s="493">
        <v>28591</v>
      </c>
      <c r="G746" s="28" t="s">
        <v>592</v>
      </c>
      <c r="H746" s="226"/>
      <c r="I746" s="501">
        <v>1</v>
      </c>
      <c r="J746" s="76" t="s">
        <v>124</v>
      </c>
      <c r="K746" s="66" t="str">
        <f>IF(_xlfn.XLOOKUP($J746,Catalogo!$B$7:$B$210,Catalogo!$I$7:$I$210,"",0)=0,"",_xlfn.XLOOKUP($J746,Catalogo!$B$7:$B$210,Catalogo!$I$7:$I$210,"",0))</f>
        <v>SANIDAD Y ESPESORES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47" spans="1:14" x14ac:dyDescent="0.25">
      <c r="A747" s="356">
        <v>46308</v>
      </c>
      <c r="B747" s="116" t="s">
        <v>30</v>
      </c>
      <c r="C747" s="512" t="s">
        <v>13</v>
      </c>
      <c r="D747" s="39" t="s">
        <v>14</v>
      </c>
      <c r="E747" s="40" t="s">
        <v>128</v>
      </c>
      <c r="F747" s="493">
        <v>28591</v>
      </c>
      <c r="G747" s="28" t="s">
        <v>592</v>
      </c>
      <c r="H747" s="226"/>
      <c r="I747" s="501">
        <v>1</v>
      </c>
      <c r="J747" s="76" t="s">
        <v>127</v>
      </c>
      <c r="K747" s="66" t="str">
        <f>IF(_xlfn.XLOOKUP($J747,Catalogo!$B$7:$B$210,Catalogo!$I$7:$I$210,"",0)=0,"",_xlfn.XLOOKUP($J747,Catalogo!$B$7:$B$210,Catalogo!$I$7:$I$210,"",0))</f>
        <v>CARACTERIZACION</v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8" spans="1:14" x14ac:dyDescent="0.25">
      <c r="A748" s="356">
        <v>46308</v>
      </c>
      <c r="B748" s="116" t="s">
        <v>30</v>
      </c>
      <c r="C748" s="512" t="s">
        <v>13</v>
      </c>
      <c r="D748" s="39" t="s">
        <v>14</v>
      </c>
      <c r="E748" s="40" t="s">
        <v>132</v>
      </c>
      <c r="F748" s="493">
        <v>28591</v>
      </c>
      <c r="G748" s="28" t="s">
        <v>592</v>
      </c>
      <c r="H748" s="226"/>
      <c r="I748" s="501">
        <v>1</v>
      </c>
      <c r="J748" s="76" t="s">
        <v>131</v>
      </c>
      <c r="K748" s="66" t="str">
        <f>IF(_xlfn.XLOOKUP($J748,Catalogo!$B$7:$B$210,Catalogo!$I$7:$I$210,"",0)=0,"",_xlfn.XLOOKUP($J748,Catalogo!$B$7:$B$210,Catalogo!$I$7:$I$210,"",0))</f>
        <v>UT RECTO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49" spans="1:14" x14ac:dyDescent="0.25">
      <c r="A749" s="356">
        <v>46308</v>
      </c>
      <c r="B749" s="116" t="s">
        <v>30</v>
      </c>
      <c r="C749" s="512" t="s">
        <v>13</v>
      </c>
      <c r="D749" s="39" t="s">
        <v>14</v>
      </c>
      <c r="E749" s="40" t="s">
        <v>138</v>
      </c>
      <c r="F749" s="493">
        <v>28591</v>
      </c>
      <c r="G749" s="28" t="s">
        <v>592</v>
      </c>
      <c r="H749" s="226"/>
      <c r="I749" s="501">
        <v>1</v>
      </c>
      <c r="J749" s="76" t="s">
        <v>137</v>
      </c>
      <c r="K749" s="66" t="str">
        <f>IF(_xlfn.XLOOKUP($J749,Catalogo!$B$7:$B$210,Catalogo!$I$7:$I$210,"",0)=0,"",_xlfn.XLOOKUP($J749,Catalogo!$B$7:$B$210,Catalogo!$I$7:$I$210,"",0))</f>
        <v>PH EXC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0" spans="1:14" x14ac:dyDescent="0.25">
      <c r="A750" s="356">
        <v>46308</v>
      </c>
      <c r="B750" s="116" t="s">
        <v>30</v>
      </c>
      <c r="C750" s="512" t="s">
        <v>13</v>
      </c>
      <c r="D750" s="39" t="s">
        <v>14</v>
      </c>
      <c r="E750" s="40" t="s">
        <v>140</v>
      </c>
      <c r="F750" s="493">
        <v>28591</v>
      </c>
      <c r="G750" s="28" t="s">
        <v>592</v>
      </c>
      <c r="H750" s="226"/>
      <c r="I750" s="501">
        <v>1</v>
      </c>
      <c r="J750" s="76" t="s">
        <v>139</v>
      </c>
      <c r="K750" s="66" t="str">
        <f>IF(_xlfn.XLOOKUP($J750,Catalogo!$B$7:$B$210,Catalogo!$I$7:$I$210,"",0)=0,"",_xlfn.XLOOKUP($J750,Catalogo!$B$7:$B$210,Catalogo!$I$7:$I$210,"",0))</f>
        <v>BACTERIAS EXC</v>
      </c>
      <c r="L750" s="36"/>
      <c r="M75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1" spans="1:14" x14ac:dyDescent="0.25">
      <c r="A751" s="356"/>
      <c r="B751" s="116"/>
      <c r="C751" s="512"/>
      <c r="D751" s="39"/>
      <c r="F751" s="28"/>
      <c r="G751" s="28"/>
      <c r="H751" s="226" t="str">
        <f>IF(Tabla1[[#This Row],[Codigo_actividad]]&lt;&gt;2.5,IF(((Tabla1[[#This Row],[fin]]-Tabla1[[#This Row],[inicio]])/1000)=0,"",((Tabla1[[#This Row],[fin]]-Tabla1[[#This Row],[inicio]])/1000)),"")</f>
        <v/>
      </c>
      <c r="I751" s="66"/>
      <c r="J751" s="76"/>
      <c r="K751" s="66" t="str">
        <f>IF(_xlfn.XLOOKUP($J751,Catalogo!$B$7:$B$21,Catalogo!$I$7:$I$21,"",0)=0,"",_xlfn.XLOOKUP($J751,Catalogo!$B$7:$B$21,Catalogo!$I$7:$I$21,"",0))</f>
        <v/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0</v>
      </c>
      <c r="N751" t="str">
        <f>_xlfn.IFNA(_xlfn.XLOOKUP(Tabla1[[#This Row],[fin]],$P$379:$P$386,$T$379:$T$386),"")</f>
        <v/>
      </c>
    </row>
    <row r="752" spans="1:14" x14ac:dyDescent="0.25">
      <c r="A752" s="356">
        <v>46307</v>
      </c>
      <c r="B752" s="116" t="s">
        <v>30</v>
      </c>
      <c r="C752" s="512" t="s">
        <v>13</v>
      </c>
      <c r="D752" s="39" t="s">
        <v>50</v>
      </c>
      <c r="E752" s="40" t="s">
        <v>119</v>
      </c>
      <c r="F752" s="493">
        <v>5713.29</v>
      </c>
      <c r="G752" s="28" t="s">
        <v>592</v>
      </c>
      <c r="H752" s="226"/>
      <c r="I752" s="501">
        <v>1</v>
      </c>
      <c r="J752" s="76">
        <v>3.2</v>
      </c>
      <c r="K752" s="66" t="str">
        <f>IF(_xlfn.XLOOKUP($J752,Catalogo!$B$7:$B$210,Catalogo!$I$7:$I$210,"",0)=0,"",_xlfn.XLOOKUP($J752,Catalogo!$B$7:$B$210,Catalogo!$I$7:$I$210,"",0))</f>
        <v>DATA EXC</v>
      </c>
      <c r="L752" s="36"/>
      <c r="M75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53" spans="1:14" x14ac:dyDescent="0.25">
      <c r="A753" s="356">
        <v>46307</v>
      </c>
      <c r="B753" s="116" t="s">
        <v>30</v>
      </c>
      <c r="C753" s="512" t="s">
        <v>13</v>
      </c>
      <c r="D753" s="39" t="s">
        <v>50</v>
      </c>
      <c r="E753" s="40" t="s">
        <v>505</v>
      </c>
      <c r="F753" s="493">
        <v>5713.29</v>
      </c>
      <c r="G753" s="28" t="s">
        <v>592</v>
      </c>
      <c r="H753" s="226"/>
      <c r="I753" s="501">
        <v>1</v>
      </c>
      <c r="J753" s="76" t="s">
        <v>122</v>
      </c>
      <c r="K753" s="66" t="str">
        <f>IF(_xlfn.XLOOKUP($J753,Catalogo!$B$7:$B$210,Catalogo!$I$7:$I$210,"",0)=0,"",_xlfn.XLOOKUP($J753,Catalogo!$B$7:$B$210,Catalogo!$I$7:$I$210,"",0))</f>
        <v>VT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4" spans="1:14" x14ac:dyDescent="0.25">
      <c r="A754" s="356">
        <v>46307</v>
      </c>
      <c r="B754" s="116" t="s">
        <v>30</v>
      </c>
      <c r="C754" s="512" t="s">
        <v>13</v>
      </c>
      <c r="D754" s="39" t="s">
        <v>50</v>
      </c>
      <c r="E754" s="40" t="s">
        <v>125</v>
      </c>
      <c r="F754" s="493">
        <v>5713.29</v>
      </c>
      <c r="G754" s="28" t="s">
        <v>592</v>
      </c>
      <c r="H754" s="226"/>
      <c r="I754" s="501">
        <v>1</v>
      </c>
      <c r="J754" s="76" t="s">
        <v>124</v>
      </c>
      <c r="K754" s="66" t="str">
        <f>IF(_xlfn.XLOOKUP($J754,Catalogo!$B$7:$B$210,Catalogo!$I$7:$I$210,"",0)=0,"",_xlfn.XLOOKUP($J754,Catalogo!$B$7:$B$210,Catalogo!$I$7:$I$210,"",0))</f>
        <v>SANIDAD Y ESPESORES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55" spans="1:14" x14ac:dyDescent="0.25">
      <c r="A755" s="356">
        <v>46307</v>
      </c>
      <c r="B755" s="116" t="s">
        <v>30</v>
      </c>
      <c r="C755" s="512" t="s">
        <v>13</v>
      </c>
      <c r="D755" s="39" t="s">
        <v>50</v>
      </c>
      <c r="E755" s="40" t="s">
        <v>128</v>
      </c>
      <c r="F755" s="493">
        <v>5713.29</v>
      </c>
      <c r="G755" s="28" t="s">
        <v>592</v>
      </c>
      <c r="H755" s="226"/>
      <c r="I755" s="501">
        <v>1</v>
      </c>
      <c r="J755" s="76" t="s">
        <v>127</v>
      </c>
      <c r="K755" s="66" t="str">
        <f>IF(_xlfn.XLOOKUP($J755,Catalogo!$B$7:$B$210,Catalogo!$I$7:$I$210,"",0)=0,"",_xlfn.XLOOKUP($J755,Catalogo!$B$7:$B$210,Catalogo!$I$7:$I$210,"",0))</f>
        <v>CARACTERIZACION</v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6" spans="1:14" x14ac:dyDescent="0.25">
      <c r="A756" s="356">
        <v>46307</v>
      </c>
      <c r="B756" s="116" t="s">
        <v>30</v>
      </c>
      <c r="C756" s="512" t="s">
        <v>13</v>
      </c>
      <c r="D756" s="39" t="s">
        <v>50</v>
      </c>
      <c r="E756" s="40" t="s">
        <v>132</v>
      </c>
      <c r="F756" s="493">
        <v>5713.29</v>
      </c>
      <c r="G756" s="28" t="s">
        <v>592</v>
      </c>
      <c r="H756" s="226"/>
      <c r="I756" s="501">
        <v>1</v>
      </c>
      <c r="J756" s="76" t="s">
        <v>131</v>
      </c>
      <c r="K756" s="66" t="str">
        <f>IF(_xlfn.XLOOKUP($J756,Catalogo!$B$7:$B$210,Catalogo!$I$7:$I$210,"",0)=0,"",_xlfn.XLOOKUP($J756,Catalogo!$B$7:$B$210,Catalogo!$I$7:$I$210,"",0))</f>
        <v>UT RECTO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57" spans="1:14" x14ac:dyDescent="0.25">
      <c r="A757" s="356">
        <v>46307</v>
      </c>
      <c r="B757" s="116" t="s">
        <v>30</v>
      </c>
      <c r="C757" s="512" t="s">
        <v>13</v>
      </c>
      <c r="D757" s="39" t="s">
        <v>50</v>
      </c>
      <c r="E757" s="40" t="s">
        <v>138</v>
      </c>
      <c r="F757" s="493">
        <v>5713.29</v>
      </c>
      <c r="G757" s="28" t="s">
        <v>592</v>
      </c>
      <c r="H757" s="226"/>
      <c r="I757" s="501">
        <v>1</v>
      </c>
      <c r="J757" s="76" t="s">
        <v>137</v>
      </c>
      <c r="K757" s="66" t="str">
        <f>IF(_xlfn.XLOOKUP($J757,Catalogo!$B$7:$B$210,Catalogo!$I$7:$I$210,"",0)=0,"",_xlfn.XLOOKUP($J757,Catalogo!$B$7:$B$210,Catalogo!$I$7:$I$210,"",0))</f>
        <v>PH EXC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8" spans="1:14" x14ac:dyDescent="0.25">
      <c r="A758" s="356">
        <v>46307</v>
      </c>
      <c r="B758" s="116" t="s">
        <v>30</v>
      </c>
      <c r="C758" s="512" t="s">
        <v>13</v>
      </c>
      <c r="D758" s="39" t="s">
        <v>50</v>
      </c>
      <c r="E758" s="40" t="s">
        <v>140</v>
      </c>
      <c r="F758" s="493">
        <v>5713.29</v>
      </c>
      <c r="G758" s="28" t="s">
        <v>592</v>
      </c>
      <c r="H758" s="226"/>
      <c r="I758" s="501">
        <v>1</v>
      </c>
      <c r="J758" s="76" t="s">
        <v>139</v>
      </c>
      <c r="K758" s="66" t="str">
        <f>IF(_xlfn.XLOOKUP($J758,Catalogo!$B$7:$B$210,Catalogo!$I$7:$I$210,"",0)=0,"",_xlfn.XLOOKUP($J758,Catalogo!$B$7:$B$210,Catalogo!$I$7:$I$210,"",0))</f>
        <v>BACTERIAS EXC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9" spans="1:14" x14ac:dyDescent="0.25">
      <c r="A759" s="356"/>
      <c r="B759" s="116"/>
      <c r="C759" s="512"/>
      <c r="D759" s="39"/>
      <c r="F759" s="28"/>
      <c r="G759" s="28"/>
      <c r="H759" s="226" t="str">
        <f>IF(Tabla1[[#This Row],[Codigo_actividad]]&lt;&gt;2.5,IF(((Tabla1[[#This Row],[fin]]-Tabla1[[#This Row],[inicio]])/1000)=0,"",((Tabla1[[#This Row],[fin]]-Tabla1[[#This Row],[inicio]])/1000)),"")</f>
        <v/>
      </c>
      <c r="I759" s="66"/>
      <c r="J759" s="76"/>
      <c r="K759" s="66" t="str">
        <f>IF(_xlfn.XLOOKUP($J759,Catalogo!$B$7:$B$21,Catalogo!$I$7:$I$21,"",0)=0,"",_xlfn.XLOOKUP($J759,Catalogo!$B$7:$B$21,Catalogo!$I$7:$I$21,"",0))</f>
        <v/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  <c r="N759" t="str">
        <f>_xlfn.IFNA(_xlfn.XLOOKUP(Tabla1[[#This Row],[fin]],$P$379:$P$386,$T$379:$T$386),"")</f>
        <v/>
      </c>
    </row>
    <row r="760" spans="1:14" x14ac:dyDescent="0.25">
      <c r="A760" s="356">
        <v>46294</v>
      </c>
      <c r="B760" s="116" t="s">
        <v>30</v>
      </c>
      <c r="C760" s="512" t="s">
        <v>13</v>
      </c>
      <c r="D760" s="39" t="s">
        <v>65</v>
      </c>
      <c r="E760" s="40" t="s">
        <v>119</v>
      </c>
      <c r="F760" s="493">
        <v>9632</v>
      </c>
      <c r="G760" s="28" t="s">
        <v>592</v>
      </c>
      <c r="H760" s="226"/>
      <c r="I760" s="501">
        <v>1</v>
      </c>
      <c r="J760" s="76">
        <v>3.2</v>
      </c>
      <c r="K760" s="66" t="str">
        <f>IF(_xlfn.XLOOKUP($J760,Catalogo!$B$7:$B$210,Catalogo!$I$7:$I$210,"",0)=0,"",_xlfn.XLOOKUP($J760,Catalogo!$B$7:$B$210,Catalogo!$I$7:$I$210,"",0))</f>
        <v>DATA EXC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1" spans="1:14" x14ac:dyDescent="0.25">
      <c r="A761" s="356">
        <v>46294</v>
      </c>
      <c r="B761" s="116" t="s">
        <v>30</v>
      </c>
      <c r="C761" s="512" t="s">
        <v>13</v>
      </c>
      <c r="D761" s="39" t="s">
        <v>65</v>
      </c>
      <c r="E761" s="40" t="s">
        <v>505</v>
      </c>
      <c r="F761" s="493">
        <v>9632</v>
      </c>
      <c r="G761" s="28" t="s">
        <v>592</v>
      </c>
      <c r="H761" s="226"/>
      <c r="I761" s="501">
        <v>1</v>
      </c>
      <c r="J761" s="76" t="s">
        <v>122</v>
      </c>
      <c r="K761" s="66" t="str">
        <f>IF(_xlfn.XLOOKUP($J761,Catalogo!$B$7:$B$210,Catalogo!$I$7:$I$210,"",0)=0,"",_xlfn.XLOOKUP($J761,Catalogo!$B$7:$B$210,Catalogo!$I$7:$I$210,"",0))</f>
        <v>VT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2" spans="1:14" x14ac:dyDescent="0.25">
      <c r="A762" s="356">
        <v>46294</v>
      </c>
      <c r="B762" s="116" t="s">
        <v>30</v>
      </c>
      <c r="C762" s="512" t="s">
        <v>13</v>
      </c>
      <c r="D762" s="39" t="s">
        <v>65</v>
      </c>
      <c r="E762" s="40" t="s">
        <v>125</v>
      </c>
      <c r="F762" s="493">
        <v>9632</v>
      </c>
      <c r="G762" s="28" t="s">
        <v>592</v>
      </c>
      <c r="H762" s="226"/>
      <c r="I762" s="501">
        <v>1</v>
      </c>
      <c r="J762" s="76" t="s">
        <v>124</v>
      </c>
      <c r="K762" s="66" t="str">
        <f>IF(_xlfn.XLOOKUP($J762,Catalogo!$B$7:$B$210,Catalogo!$I$7:$I$210,"",0)=0,"",_xlfn.XLOOKUP($J762,Catalogo!$B$7:$B$210,Catalogo!$I$7:$I$210,"",0))</f>
        <v>SANIDAD Y ESPESORES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3" spans="1:14" x14ac:dyDescent="0.25">
      <c r="A763" s="356">
        <v>46294</v>
      </c>
      <c r="B763" s="116" t="s">
        <v>30</v>
      </c>
      <c r="C763" s="512" t="s">
        <v>13</v>
      </c>
      <c r="D763" s="39" t="s">
        <v>65</v>
      </c>
      <c r="E763" s="40" t="s">
        <v>128</v>
      </c>
      <c r="F763" s="493">
        <v>9632</v>
      </c>
      <c r="G763" s="28" t="s">
        <v>592</v>
      </c>
      <c r="H763" s="226"/>
      <c r="I763" s="501">
        <v>1</v>
      </c>
      <c r="J763" s="76" t="s">
        <v>127</v>
      </c>
      <c r="K763" s="66" t="str">
        <f>IF(_xlfn.XLOOKUP($J763,Catalogo!$B$7:$B$210,Catalogo!$I$7:$I$210,"",0)=0,"",_xlfn.XLOOKUP($J763,Catalogo!$B$7:$B$210,Catalogo!$I$7:$I$210,"",0))</f>
        <v>CARACTERIZACION</v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4" spans="1:14" x14ac:dyDescent="0.25">
      <c r="A764" s="356">
        <v>46294</v>
      </c>
      <c r="B764" s="116" t="s">
        <v>30</v>
      </c>
      <c r="C764" s="512" t="s">
        <v>13</v>
      </c>
      <c r="D764" s="39" t="s">
        <v>65</v>
      </c>
      <c r="E764" s="40" t="s">
        <v>132</v>
      </c>
      <c r="F764" s="493">
        <v>9632</v>
      </c>
      <c r="G764" s="28" t="s">
        <v>592</v>
      </c>
      <c r="H764" s="226"/>
      <c r="I764" s="501">
        <v>1</v>
      </c>
      <c r="J764" s="76" t="s">
        <v>131</v>
      </c>
      <c r="K764" s="66" t="str">
        <f>IF(_xlfn.XLOOKUP($J764,Catalogo!$B$7:$B$210,Catalogo!$I$7:$I$210,"",0)=0,"",_xlfn.XLOOKUP($J764,Catalogo!$B$7:$B$210,Catalogo!$I$7:$I$210,"",0))</f>
        <v>UT RECTO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5" spans="1:14" x14ac:dyDescent="0.25">
      <c r="A765" s="356">
        <v>46294</v>
      </c>
      <c r="B765" s="116" t="s">
        <v>30</v>
      </c>
      <c r="C765" s="512" t="s">
        <v>13</v>
      </c>
      <c r="D765" s="39" t="s">
        <v>65</v>
      </c>
      <c r="E765" s="40" t="s">
        <v>138</v>
      </c>
      <c r="F765" s="493">
        <v>9632</v>
      </c>
      <c r="G765" s="28" t="s">
        <v>592</v>
      </c>
      <c r="H765" s="226"/>
      <c r="I765" s="501">
        <v>1</v>
      </c>
      <c r="J765" s="76" t="s">
        <v>137</v>
      </c>
      <c r="K765" s="66" t="str">
        <f>IF(_xlfn.XLOOKUP($J765,Catalogo!$B$7:$B$210,Catalogo!$I$7:$I$210,"",0)=0,"",_xlfn.XLOOKUP($J765,Catalogo!$B$7:$B$210,Catalogo!$I$7:$I$210,"",0))</f>
        <v>PH EXC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6" spans="1:14" x14ac:dyDescent="0.25">
      <c r="A766" s="356">
        <v>46294</v>
      </c>
      <c r="B766" s="116" t="s">
        <v>30</v>
      </c>
      <c r="C766" s="512" t="s">
        <v>13</v>
      </c>
      <c r="D766" s="39" t="s">
        <v>65</v>
      </c>
      <c r="E766" s="40" t="s">
        <v>140</v>
      </c>
      <c r="F766" s="493">
        <v>9632</v>
      </c>
      <c r="G766" s="28" t="s">
        <v>592</v>
      </c>
      <c r="H766" s="226"/>
      <c r="I766" s="501">
        <v>1</v>
      </c>
      <c r="J766" s="76" t="s">
        <v>139</v>
      </c>
      <c r="K766" s="66" t="str">
        <f>IF(_xlfn.XLOOKUP($J766,Catalogo!$B$7:$B$210,Catalogo!$I$7:$I$210,"",0)=0,"",_xlfn.XLOOKUP($J766,Catalogo!$B$7:$B$210,Catalogo!$I$7:$I$210,"",0))</f>
        <v>BACTERIAS EXC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7" spans="1:14" x14ac:dyDescent="0.25">
      <c r="A767" s="356"/>
      <c r="B767" s="116"/>
      <c r="C767" s="512"/>
      <c r="D767" s="39"/>
      <c r="F767" s="28"/>
      <c r="G767" s="28"/>
      <c r="H767" s="226" t="str">
        <f>IF(Tabla1[[#This Row],[Codigo_actividad]]&lt;&gt;2.5,IF(((Tabla1[[#This Row],[fin]]-Tabla1[[#This Row],[inicio]])/1000)=0,"",((Tabla1[[#This Row],[fin]]-Tabla1[[#This Row],[inicio]])/1000)),"")</f>
        <v/>
      </c>
      <c r="I767" s="66"/>
      <c r="J767" s="76"/>
      <c r="K767" s="66" t="str">
        <f>IF(_xlfn.XLOOKUP($J767,Catalogo!$B$7:$B$21,Catalogo!$I$7:$I$21,"",0)=0,"",_xlfn.XLOOKUP($J767,Catalogo!$B$7:$B$21,Catalogo!$I$7:$I$21,"",0))</f>
        <v/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0</v>
      </c>
      <c r="N767" t="str">
        <f>_xlfn.IFNA(_xlfn.XLOOKUP(Tabla1[[#This Row],[fin]],$P$379:$P$386,$T$379:$T$386),"")</f>
        <v/>
      </c>
    </row>
    <row r="768" spans="1:14" x14ac:dyDescent="0.25">
      <c r="A768" s="356">
        <v>46274</v>
      </c>
      <c r="B768" s="116" t="s">
        <v>30</v>
      </c>
      <c r="C768" s="512" t="s">
        <v>13</v>
      </c>
      <c r="D768" s="39" t="s">
        <v>71</v>
      </c>
      <c r="E768" s="40" t="s">
        <v>119</v>
      </c>
      <c r="F768" s="493">
        <v>7</v>
      </c>
      <c r="G768" s="28" t="s">
        <v>592</v>
      </c>
      <c r="H768" s="226"/>
      <c r="I768" s="501">
        <v>1</v>
      </c>
      <c r="J768" s="76">
        <v>3.2</v>
      </c>
      <c r="K768" s="66" t="str">
        <f>IF(_xlfn.XLOOKUP($J768,Catalogo!$B$7:$B$210,Catalogo!$I$7:$I$210,"",0)=0,"",_xlfn.XLOOKUP($J768,Catalogo!$B$7:$B$210,Catalogo!$I$7:$I$210,"",0))</f>
        <v>DATA EXC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68" t="str">
        <f>_xlfn.IFNA(_xlfn.XLOOKUP(Tabla1[[#This Row],[fin]],$P$379:$P$386,$T$379:$T$386),"")</f>
        <v/>
      </c>
    </row>
    <row r="769" spans="1:14" x14ac:dyDescent="0.25">
      <c r="A769" s="356">
        <v>46274</v>
      </c>
      <c r="B769" s="116" t="s">
        <v>30</v>
      </c>
      <c r="C769" s="512" t="s">
        <v>13</v>
      </c>
      <c r="D769" s="39" t="s">
        <v>71</v>
      </c>
      <c r="E769" s="40" t="s">
        <v>505</v>
      </c>
      <c r="F769" s="493">
        <v>7</v>
      </c>
      <c r="G769" s="28" t="s">
        <v>592</v>
      </c>
      <c r="H769" s="226"/>
      <c r="I769" s="501">
        <v>1</v>
      </c>
      <c r="J769" s="76" t="s">
        <v>122</v>
      </c>
      <c r="K769" s="66" t="str">
        <f>IF(_xlfn.XLOOKUP($J769,Catalogo!$B$7:$B$210,Catalogo!$I$7:$I$210,"",0)=0,"",_xlfn.XLOOKUP($J769,Catalogo!$B$7:$B$210,Catalogo!$I$7:$I$210,"",0))</f>
        <v>VT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69" t="str">
        <f>_xlfn.IFNA(_xlfn.XLOOKUP(Tabla1[[#This Row],[fin]],$P$379:$P$386,$T$379:$T$386),"")</f>
        <v/>
      </c>
    </row>
    <row r="770" spans="1:14" x14ac:dyDescent="0.25">
      <c r="A770" s="356">
        <v>46274</v>
      </c>
      <c r="B770" s="116" t="s">
        <v>30</v>
      </c>
      <c r="C770" s="512" t="s">
        <v>13</v>
      </c>
      <c r="D770" s="39" t="s">
        <v>71</v>
      </c>
      <c r="E770" s="40" t="s">
        <v>125</v>
      </c>
      <c r="F770" s="493">
        <v>7</v>
      </c>
      <c r="G770" s="28" t="s">
        <v>592</v>
      </c>
      <c r="H770" s="226"/>
      <c r="I770" s="501">
        <v>1</v>
      </c>
      <c r="J770" s="76" t="s">
        <v>124</v>
      </c>
      <c r="K770" s="66" t="str">
        <f>IF(_xlfn.XLOOKUP($J770,Catalogo!$B$7:$B$210,Catalogo!$I$7:$I$210,"",0)=0,"",_xlfn.XLOOKUP($J770,Catalogo!$B$7:$B$210,Catalogo!$I$7:$I$210,"",0))</f>
        <v>SANIDAD Y ESPESORES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70" t="str">
        <f>_xlfn.IFNA(_xlfn.XLOOKUP(Tabla1[[#This Row],[fin]],$P$379:$P$386,$T$379:$T$386),"")</f>
        <v/>
      </c>
    </row>
    <row r="771" spans="1:14" x14ac:dyDescent="0.25">
      <c r="A771" s="356">
        <v>46274</v>
      </c>
      <c r="B771" s="116" t="s">
        <v>30</v>
      </c>
      <c r="C771" s="512" t="s">
        <v>13</v>
      </c>
      <c r="D771" s="39" t="s">
        <v>71</v>
      </c>
      <c r="E771" s="40" t="s">
        <v>128</v>
      </c>
      <c r="F771" s="493">
        <v>7</v>
      </c>
      <c r="G771" s="28" t="s">
        <v>592</v>
      </c>
      <c r="H771" s="226"/>
      <c r="I771" s="501">
        <v>1</v>
      </c>
      <c r="J771" s="76" t="s">
        <v>127</v>
      </c>
      <c r="K771" s="66" t="str">
        <f>IF(_xlfn.XLOOKUP($J771,Catalogo!$B$7:$B$210,Catalogo!$I$7:$I$210,"",0)=0,"",_xlfn.XLOOKUP($J771,Catalogo!$B$7:$B$210,Catalogo!$I$7:$I$210,"",0))</f>
        <v>CARACTERIZACION</v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71" t="str">
        <f>_xlfn.IFNA(_xlfn.XLOOKUP(Tabla1[[#This Row],[fin]],$P$379:$P$386,$T$379:$T$386),"")</f>
        <v/>
      </c>
    </row>
    <row r="772" spans="1:14" x14ac:dyDescent="0.25">
      <c r="A772" s="356">
        <v>46274</v>
      </c>
      <c r="B772" s="116" t="s">
        <v>30</v>
      </c>
      <c r="C772" s="512" t="s">
        <v>13</v>
      </c>
      <c r="D772" s="39" t="s">
        <v>71</v>
      </c>
      <c r="E772" s="40" t="s">
        <v>132</v>
      </c>
      <c r="F772" s="493">
        <v>7</v>
      </c>
      <c r="G772" s="28" t="s">
        <v>592</v>
      </c>
      <c r="H772" s="226"/>
      <c r="I772" s="501">
        <v>1</v>
      </c>
      <c r="J772" s="76" t="s">
        <v>131</v>
      </c>
      <c r="K772" s="66" t="str">
        <f>IF(_xlfn.XLOOKUP($J772,Catalogo!$B$7:$B$210,Catalogo!$I$7:$I$210,"",0)=0,"",_xlfn.XLOOKUP($J772,Catalogo!$B$7:$B$210,Catalogo!$I$7:$I$210,"",0))</f>
        <v>UT RECTO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72" t="str">
        <f>_xlfn.IFNA(_xlfn.XLOOKUP(Tabla1[[#This Row],[fin]],$P$379:$P$386,$T$379:$T$386),"")</f>
        <v/>
      </c>
    </row>
    <row r="773" spans="1:14" x14ac:dyDescent="0.25">
      <c r="A773" s="356">
        <v>46274</v>
      </c>
      <c r="B773" s="116" t="s">
        <v>30</v>
      </c>
      <c r="C773" s="512" t="s">
        <v>13</v>
      </c>
      <c r="D773" s="39" t="s">
        <v>71</v>
      </c>
      <c r="E773" s="40" t="s">
        <v>136</v>
      </c>
      <c r="F773" s="493">
        <v>7</v>
      </c>
      <c r="G773" s="28" t="s">
        <v>592</v>
      </c>
      <c r="H773" s="226"/>
      <c r="I773" s="501">
        <v>1</v>
      </c>
      <c r="J773" s="76" t="s">
        <v>135</v>
      </c>
      <c r="K773" s="66" t="str">
        <f>IF(_xlfn.XLOOKUP($J773,Catalogo!$B$7:$B$210,Catalogo!$I$7:$I$210,"",0)=0,"",_xlfn.XLOOKUP($J773,Catalogo!$B$7:$B$210,Catalogo!$I$7:$I$210,"",0))</f>
        <v>LP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73" t="str">
        <f>_xlfn.IFNA(_xlfn.XLOOKUP(Tabla1[[#This Row],[fin]],$P$379:$P$386,$T$379:$T$386),"")</f>
        <v/>
      </c>
    </row>
    <row r="774" spans="1:14" x14ac:dyDescent="0.25">
      <c r="A774" s="356">
        <v>46274</v>
      </c>
      <c r="B774" s="116" t="s">
        <v>30</v>
      </c>
      <c r="C774" s="512" t="s">
        <v>13</v>
      </c>
      <c r="D774" s="39" t="s">
        <v>71</v>
      </c>
      <c r="E774" s="40" t="s">
        <v>138</v>
      </c>
      <c r="F774" s="493">
        <v>7</v>
      </c>
      <c r="G774" s="28" t="s">
        <v>592</v>
      </c>
      <c r="H774" s="226"/>
      <c r="I774" s="501">
        <v>1</v>
      </c>
      <c r="J774" s="76" t="s">
        <v>137</v>
      </c>
      <c r="K774" s="66" t="str">
        <f>IF(_xlfn.XLOOKUP($J774,Catalogo!$B$7:$B$210,Catalogo!$I$7:$I$210,"",0)=0,"",_xlfn.XLOOKUP($J774,Catalogo!$B$7:$B$210,Catalogo!$I$7:$I$210,"",0))</f>
        <v>PH EXC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656</v>
      </c>
      <c r="N774" t="str">
        <f>_xlfn.IFNA(_xlfn.XLOOKUP(Tabla1[[#This Row],[fin]],$P$379:$P$386,$T$379:$T$386),"")</f>
        <v/>
      </c>
    </row>
    <row r="775" spans="1:14" x14ac:dyDescent="0.25">
      <c r="A775" s="356">
        <v>46274</v>
      </c>
      <c r="B775" s="116" t="s">
        <v>30</v>
      </c>
      <c r="C775" s="512" t="s">
        <v>13</v>
      </c>
      <c r="D775" s="39" t="s">
        <v>71</v>
      </c>
      <c r="E775" s="40" t="s">
        <v>140</v>
      </c>
      <c r="F775" s="493">
        <v>7</v>
      </c>
      <c r="G775" s="28" t="s">
        <v>592</v>
      </c>
      <c r="H775" s="226"/>
      <c r="I775" s="501">
        <v>1</v>
      </c>
      <c r="J775" s="76" t="s">
        <v>139</v>
      </c>
      <c r="K775" s="66" t="str">
        <f>IF(_xlfn.XLOOKUP($J775,Catalogo!$B$7:$B$210,Catalogo!$I$7:$I$210,"",0)=0,"",_xlfn.XLOOKUP($J775,Catalogo!$B$7:$B$210,Catalogo!$I$7:$I$210,"",0))</f>
        <v>BACTERIAS EXC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4676</v>
      </c>
      <c r="N775" t="str">
        <f>_xlfn.IFNA(_xlfn.XLOOKUP(Tabla1[[#This Row],[fin]],$P$379:$P$386,$T$379:$T$386),"")</f>
        <v/>
      </c>
    </row>
    <row r="776" spans="1:14" x14ac:dyDescent="0.25">
      <c r="A776" s="356"/>
      <c r="B776" s="116"/>
      <c r="C776" s="512"/>
      <c r="D776" s="39"/>
      <c r="F776" s="28"/>
      <c r="G776" s="28"/>
      <c r="H776" s="226" t="str">
        <f>IF(Tabla1[[#This Row],[Codigo_actividad]]&lt;&gt;2.5,IF(((Tabla1[[#This Row],[fin]]-Tabla1[[#This Row],[inicio]])/1000)=0,"",((Tabla1[[#This Row],[fin]]-Tabla1[[#This Row],[inicio]])/1000)),"")</f>
        <v/>
      </c>
      <c r="I776" s="66"/>
      <c r="J776" s="76"/>
      <c r="K776" s="66" t="str">
        <f>IF(_xlfn.XLOOKUP($J776,Catalogo!$B$7:$B$21,Catalogo!$I$7:$I$21,"",0)=0,"",_xlfn.XLOOKUP($J776,Catalogo!$B$7:$B$21,Catalogo!$I$7:$I$21,"",0))</f>
        <v/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0</v>
      </c>
      <c r="N776" t="str">
        <f>_xlfn.IFNA(_xlfn.XLOOKUP(Tabla1[[#This Row],[fin]],$P$379:$P$386,$T$379:$T$386),"")</f>
        <v/>
      </c>
    </row>
    <row r="777" spans="1:14" x14ac:dyDescent="0.25">
      <c r="A777" s="356">
        <v>46297</v>
      </c>
      <c r="B777" s="116" t="s">
        <v>30</v>
      </c>
      <c r="C777" s="512" t="s">
        <v>13</v>
      </c>
      <c r="D777" s="39" t="s">
        <v>46</v>
      </c>
      <c r="E777" s="40" t="s">
        <v>119</v>
      </c>
      <c r="F777" s="493">
        <v>271</v>
      </c>
      <c r="G777" s="28" t="s">
        <v>592</v>
      </c>
      <c r="H777" s="226"/>
      <c r="I777" s="501">
        <v>1</v>
      </c>
      <c r="J777" s="76">
        <v>3.2</v>
      </c>
      <c r="K777" s="66" t="str">
        <f>IF(_xlfn.XLOOKUP($J777,Catalogo!$B$7:$B$210,Catalogo!$I$7:$I$210,"",0)=0,"",_xlfn.XLOOKUP($J777,Catalogo!$B$7:$B$210,Catalogo!$I$7:$I$210,"",0))</f>
        <v>DATA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77" t="str">
        <f>_xlfn.IFNA(_xlfn.XLOOKUP(Tabla1[[#This Row],[fin]],$P$379:$P$386,$T$379:$T$386),"")</f>
        <v/>
      </c>
    </row>
    <row r="778" spans="1:14" x14ac:dyDescent="0.25">
      <c r="A778" s="356">
        <v>46297</v>
      </c>
      <c r="B778" s="116" t="s">
        <v>30</v>
      </c>
      <c r="C778" s="512" t="s">
        <v>13</v>
      </c>
      <c r="D778" s="39" t="s">
        <v>46</v>
      </c>
      <c r="E778" s="40" t="s">
        <v>505</v>
      </c>
      <c r="F778" s="493">
        <v>271</v>
      </c>
      <c r="G778" s="28" t="s">
        <v>592</v>
      </c>
      <c r="H778" s="226"/>
      <c r="I778" s="501">
        <v>1</v>
      </c>
      <c r="J778" s="76" t="s">
        <v>122</v>
      </c>
      <c r="K778" s="66" t="str">
        <f>IF(_xlfn.XLOOKUP($J778,Catalogo!$B$7:$B$210,Catalogo!$I$7:$I$210,"",0)=0,"",_xlfn.XLOOKUP($J778,Catalogo!$B$7:$B$210,Catalogo!$I$7:$I$210,"",0))</f>
        <v>VT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78" t="str">
        <f>_xlfn.IFNA(_xlfn.XLOOKUP(Tabla1[[#This Row],[fin]],$P$379:$P$386,$T$379:$T$386),"")</f>
        <v/>
      </c>
    </row>
    <row r="779" spans="1:14" x14ac:dyDescent="0.25">
      <c r="A779" s="356">
        <v>46297</v>
      </c>
      <c r="B779" s="116" t="s">
        <v>30</v>
      </c>
      <c r="C779" s="512" t="s">
        <v>13</v>
      </c>
      <c r="D779" s="39" t="s">
        <v>46</v>
      </c>
      <c r="E779" s="40" t="s">
        <v>125</v>
      </c>
      <c r="F779" s="493">
        <v>271</v>
      </c>
      <c r="G779" s="28" t="s">
        <v>592</v>
      </c>
      <c r="H779" s="226"/>
      <c r="I779" s="501">
        <v>1</v>
      </c>
      <c r="J779" s="76" t="s">
        <v>124</v>
      </c>
      <c r="K779" s="66" t="str">
        <f>IF(_xlfn.XLOOKUP($J779,Catalogo!$B$7:$B$210,Catalogo!$I$7:$I$210,"",0)=0,"",_xlfn.XLOOKUP($J779,Catalogo!$B$7:$B$210,Catalogo!$I$7:$I$210,"",0))</f>
        <v>SANIDAD Y ESPESORES</v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79" t="str">
        <f>_xlfn.IFNA(_xlfn.XLOOKUP(Tabla1[[#This Row],[fin]],$P$379:$P$386,$T$379:$T$386),"")</f>
        <v/>
      </c>
    </row>
    <row r="780" spans="1:14" x14ac:dyDescent="0.25">
      <c r="A780" s="356">
        <v>46297</v>
      </c>
      <c r="B780" s="116" t="s">
        <v>30</v>
      </c>
      <c r="C780" s="512" t="s">
        <v>13</v>
      </c>
      <c r="D780" s="39" t="s">
        <v>46</v>
      </c>
      <c r="E780" s="40" t="s">
        <v>128</v>
      </c>
      <c r="F780" s="493">
        <v>271</v>
      </c>
      <c r="G780" s="28" t="s">
        <v>592</v>
      </c>
      <c r="H780" s="226"/>
      <c r="I780" s="501">
        <v>1</v>
      </c>
      <c r="J780" s="76" t="s">
        <v>127</v>
      </c>
      <c r="K780" s="66" t="str">
        <f>IF(_xlfn.XLOOKUP($J780,Catalogo!$B$7:$B$210,Catalogo!$I$7:$I$210,"",0)=0,"",_xlfn.XLOOKUP($J780,Catalogo!$B$7:$B$210,Catalogo!$I$7:$I$210,"",0))</f>
        <v>CARACTERIZACION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80" t="str">
        <f>_xlfn.IFNA(_xlfn.XLOOKUP(Tabla1[[#This Row],[fin]],$P$379:$P$386,$T$379:$T$386),"")</f>
        <v/>
      </c>
    </row>
    <row r="781" spans="1:14" x14ac:dyDescent="0.25">
      <c r="A781" s="356">
        <v>46297</v>
      </c>
      <c r="B781" s="116" t="s">
        <v>30</v>
      </c>
      <c r="C781" s="512" t="s">
        <v>13</v>
      </c>
      <c r="D781" s="39" t="s">
        <v>46</v>
      </c>
      <c r="E781" s="40" t="s">
        <v>132</v>
      </c>
      <c r="F781" s="493">
        <v>271</v>
      </c>
      <c r="G781" s="28" t="s">
        <v>592</v>
      </c>
      <c r="H781" s="226"/>
      <c r="I781" s="501">
        <v>1</v>
      </c>
      <c r="J781" s="76" t="s">
        <v>131</v>
      </c>
      <c r="K781" s="66" t="str">
        <f>IF(_xlfn.XLOOKUP($J781,Catalogo!$B$7:$B$210,Catalogo!$I$7:$I$210,"",0)=0,"",_xlfn.XLOOKUP($J781,Catalogo!$B$7:$B$210,Catalogo!$I$7:$I$210,"",0))</f>
        <v>UT RECTO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81" t="str">
        <f>_xlfn.IFNA(_xlfn.XLOOKUP(Tabla1[[#This Row],[fin]],$P$379:$P$386,$T$379:$T$386),"")</f>
        <v/>
      </c>
    </row>
    <row r="782" spans="1:14" x14ac:dyDescent="0.25">
      <c r="A782" s="356">
        <v>46297</v>
      </c>
      <c r="B782" s="116" t="s">
        <v>30</v>
      </c>
      <c r="C782" s="512" t="s">
        <v>13</v>
      </c>
      <c r="D782" s="39" t="s">
        <v>46</v>
      </c>
      <c r="E782" s="40" t="s">
        <v>138</v>
      </c>
      <c r="F782" s="493">
        <v>271</v>
      </c>
      <c r="G782" s="28" t="s">
        <v>592</v>
      </c>
      <c r="H782" s="226"/>
      <c r="I782" s="501">
        <v>1</v>
      </c>
      <c r="J782" s="76" t="s">
        <v>137</v>
      </c>
      <c r="K782" s="66" t="str">
        <f>IF(_xlfn.XLOOKUP($J782,Catalogo!$B$7:$B$210,Catalogo!$I$7:$I$210,"",0)=0,"",_xlfn.XLOOKUP($J782,Catalogo!$B$7:$B$210,Catalogo!$I$7:$I$210,"",0))</f>
        <v>PH EXC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656</v>
      </c>
      <c r="N782" t="str">
        <f>_xlfn.IFNA(_xlfn.XLOOKUP(Tabla1[[#This Row],[fin]],$P$379:$P$386,$T$379:$T$386),"")</f>
        <v/>
      </c>
    </row>
    <row r="783" spans="1:14" x14ac:dyDescent="0.25">
      <c r="A783" s="356">
        <v>46297</v>
      </c>
      <c r="B783" s="116" t="s">
        <v>30</v>
      </c>
      <c r="C783" s="512" t="s">
        <v>13</v>
      </c>
      <c r="D783" s="39" t="s">
        <v>46</v>
      </c>
      <c r="E783" s="40" t="s">
        <v>140</v>
      </c>
      <c r="F783" s="493">
        <v>271</v>
      </c>
      <c r="G783" s="28" t="s">
        <v>592</v>
      </c>
      <c r="H783" s="226"/>
      <c r="I783" s="501">
        <v>1</v>
      </c>
      <c r="J783" s="76" t="s">
        <v>139</v>
      </c>
      <c r="K783" s="66" t="str">
        <f>IF(_xlfn.XLOOKUP($J783,Catalogo!$B$7:$B$210,Catalogo!$I$7:$I$210,"",0)=0,"",_xlfn.XLOOKUP($J783,Catalogo!$B$7:$B$210,Catalogo!$I$7:$I$210,"",0))</f>
        <v>BACTERIAS EXC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4676</v>
      </c>
      <c r="N783" t="str">
        <f>_xlfn.IFNA(_xlfn.XLOOKUP(Tabla1[[#This Row],[fin]],$P$379:$P$386,$T$379:$T$386),"")</f>
        <v/>
      </c>
    </row>
    <row r="784" spans="1:14" x14ac:dyDescent="0.25">
      <c r="A784" s="356"/>
      <c r="B784" s="116"/>
      <c r="C784" s="512"/>
      <c r="D784" s="39"/>
      <c r="F784" s="28"/>
      <c r="G784" s="28"/>
      <c r="H784" s="226" t="str">
        <f>IF(Tabla1[[#This Row],[Codigo_actividad]]&lt;&gt;2.5,IF(((Tabla1[[#This Row],[fin]]-Tabla1[[#This Row],[inicio]])/1000)=0,"",((Tabla1[[#This Row],[fin]]-Tabla1[[#This Row],[inicio]])/1000)),"")</f>
        <v/>
      </c>
      <c r="I784" s="66"/>
      <c r="J784" s="76"/>
      <c r="K784" s="66" t="str">
        <f>IF(_xlfn.XLOOKUP($J784,Catalogo!$B$7:$B$21,Catalogo!$I$7:$I$21,"",0)=0,"",_xlfn.XLOOKUP($J784,Catalogo!$B$7:$B$21,Catalogo!$I$7:$I$21,"",0))</f>
        <v/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0</v>
      </c>
      <c r="N784" t="str">
        <f>_xlfn.IFNA(_xlfn.XLOOKUP(Tabla1[[#This Row],[fin]],$P$379:$P$386,$T$379:$T$386),"")</f>
        <v/>
      </c>
    </row>
    <row r="785" spans="1:14" x14ac:dyDescent="0.25">
      <c r="A785" s="356">
        <v>46282</v>
      </c>
      <c r="B785" s="116" t="s">
        <v>30</v>
      </c>
      <c r="C785" s="512" t="s">
        <v>13</v>
      </c>
      <c r="D785" s="39" t="s">
        <v>38</v>
      </c>
      <c r="E785" s="40" t="s">
        <v>119</v>
      </c>
      <c r="F785" s="493">
        <v>517</v>
      </c>
      <c r="G785" s="28" t="s">
        <v>592</v>
      </c>
      <c r="H785" s="226"/>
      <c r="I785" s="501">
        <v>1</v>
      </c>
      <c r="J785" s="76">
        <v>3.2</v>
      </c>
      <c r="K785" s="66" t="str">
        <f>IF(_xlfn.XLOOKUP($J785,Catalogo!$B$7:$B$210,Catalogo!$I$7:$I$210,"",0)=0,"",_xlfn.XLOOKUP($J785,Catalogo!$B$7:$B$210,Catalogo!$I$7:$I$210,"",0))</f>
        <v>DATA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6" spans="1:14" x14ac:dyDescent="0.25">
      <c r="A786" s="356">
        <v>46282</v>
      </c>
      <c r="B786" s="116" t="s">
        <v>30</v>
      </c>
      <c r="C786" s="512" t="s">
        <v>13</v>
      </c>
      <c r="D786" s="39" t="s">
        <v>38</v>
      </c>
      <c r="E786" s="40" t="s">
        <v>505</v>
      </c>
      <c r="F786" s="493">
        <v>517</v>
      </c>
      <c r="G786" s="28" t="s">
        <v>592</v>
      </c>
      <c r="H786" s="226"/>
      <c r="I786" s="501">
        <v>1</v>
      </c>
      <c r="J786" s="76" t="s">
        <v>122</v>
      </c>
      <c r="K786" s="66" t="str">
        <f>IF(_xlfn.XLOOKUP($J786,Catalogo!$B$7:$B$210,Catalogo!$I$7:$I$210,"",0)=0,"",_xlfn.XLOOKUP($J786,Catalogo!$B$7:$B$210,Catalogo!$I$7:$I$210,"",0))</f>
        <v>VT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7" spans="1:14" x14ac:dyDescent="0.25">
      <c r="A787" s="356">
        <v>46282</v>
      </c>
      <c r="B787" s="116" t="s">
        <v>30</v>
      </c>
      <c r="C787" s="512" t="s">
        <v>13</v>
      </c>
      <c r="D787" s="39" t="s">
        <v>38</v>
      </c>
      <c r="E787" s="40" t="s">
        <v>125</v>
      </c>
      <c r="F787" s="493">
        <v>517</v>
      </c>
      <c r="G787" s="28" t="s">
        <v>592</v>
      </c>
      <c r="H787" s="226"/>
      <c r="I787" s="501">
        <v>1</v>
      </c>
      <c r="J787" s="76" t="s">
        <v>124</v>
      </c>
      <c r="K787" s="66" t="str">
        <f>IF(_xlfn.XLOOKUP($J787,Catalogo!$B$7:$B$210,Catalogo!$I$7:$I$210,"",0)=0,"",_xlfn.XLOOKUP($J787,Catalogo!$B$7:$B$210,Catalogo!$I$7:$I$210,"",0))</f>
        <v>SANIDAD Y ESPESORES</v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8" spans="1:14" x14ac:dyDescent="0.25">
      <c r="A788" s="356">
        <v>46282</v>
      </c>
      <c r="B788" s="116" t="s">
        <v>30</v>
      </c>
      <c r="C788" s="512" t="s">
        <v>13</v>
      </c>
      <c r="D788" s="39" t="s">
        <v>38</v>
      </c>
      <c r="E788" s="40" t="s">
        <v>128</v>
      </c>
      <c r="F788" s="493">
        <v>517</v>
      </c>
      <c r="G788" s="28" t="s">
        <v>592</v>
      </c>
      <c r="H788" s="226"/>
      <c r="I788" s="501">
        <v>1</v>
      </c>
      <c r="J788" s="76" t="s">
        <v>127</v>
      </c>
      <c r="K788" s="66" t="str">
        <f>IF(_xlfn.XLOOKUP($J788,Catalogo!$B$7:$B$210,Catalogo!$I$7:$I$210,"",0)=0,"",_xlfn.XLOOKUP($J788,Catalogo!$B$7:$B$210,Catalogo!$I$7:$I$210,"",0))</f>
        <v>CARACTERIZACION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9" spans="1:14" x14ac:dyDescent="0.25">
      <c r="A789" s="356">
        <v>46282</v>
      </c>
      <c r="B789" s="116" t="s">
        <v>30</v>
      </c>
      <c r="C789" s="512" t="s">
        <v>13</v>
      </c>
      <c r="D789" s="39" t="s">
        <v>38</v>
      </c>
      <c r="E789" s="40" t="s">
        <v>132</v>
      </c>
      <c r="F789" s="493">
        <v>517</v>
      </c>
      <c r="G789" s="28" t="s">
        <v>592</v>
      </c>
      <c r="H789" s="226"/>
      <c r="I789" s="501">
        <v>1</v>
      </c>
      <c r="J789" s="76" t="s">
        <v>131</v>
      </c>
      <c r="K789" s="66" t="str">
        <f>IF(_xlfn.XLOOKUP($J789,Catalogo!$B$7:$B$210,Catalogo!$I$7:$I$210,"",0)=0,"",_xlfn.XLOOKUP($J789,Catalogo!$B$7:$B$210,Catalogo!$I$7:$I$210,"",0))</f>
        <v>UT RECTO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90" spans="1:14" x14ac:dyDescent="0.25">
      <c r="A790" s="356">
        <v>46282</v>
      </c>
      <c r="B790" s="116" t="s">
        <v>30</v>
      </c>
      <c r="C790" s="512" t="s">
        <v>13</v>
      </c>
      <c r="D790" s="39" t="s">
        <v>38</v>
      </c>
      <c r="E790" s="40" t="s">
        <v>138</v>
      </c>
      <c r="F790" s="493">
        <v>517</v>
      </c>
      <c r="G790" s="28" t="s">
        <v>592</v>
      </c>
      <c r="H790" s="226"/>
      <c r="I790" s="501">
        <v>1</v>
      </c>
      <c r="J790" s="76" t="s">
        <v>137</v>
      </c>
      <c r="K790" s="66" t="str">
        <f>IF(_xlfn.XLOOKUP($J790,Catalogo!$B$7:$B$210,Catalogo!$I$7:$I$210,"",0)=0,"",_xlfn.XLOOKUP($J790,Catalogo!$B$7:$B$210,Catalogo!$I$7:$I$210,"",0))</f>
        <v>PH EXC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91" spans="1:14" x14ac:dyDescent="0.25">
      <c r="A791" s="356">
        <v>46282</v>
      </c>
      <c r="B791" s="116" t="s">
        <v>30</v>
      </c>
      <c r="C791" s="512" t="s">
        <v>13</v>
      </c>
      <c r="D791" s="39" t="s">
        <v>38</v>
      </c>
      <c r="E791" s="40" t="s">
        <v>140</v>
      </c>
      <c r="F791" s="493">
        <v>517</v>
      </c>
      <c r="G791" s="28" t="s">
        <v>592</v>
      </c>
      <c r="H791" s="226"/>
      <c r="I791" s="501">
        <v>1</v>
      </c>
      <c r="J791" s="76" t="s">
        <v>139</v>
      </c>
      <c r="K791" s="66" t="str">
        <f>IF(_xlfn.XLOOKUP($J791,Catalogo!$B$7:$B$210,Catalogo!$I$7:$I$210,"",0)=0,"",_xlfn.XLOOKUP($J791,Catalogo!$B$7:$B$210,Catalogo!$I$7:$I$210,"",0))</f>
        <v>BACTERIAS EXC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92" spans="1:14" x14ac:dyDescent="0.25">
      <c r="A792" s="356"/>
      <c r="B792" s="116"/>
      <c r="C792" s="157"/>
      <c r="D792" s="39"/>
      <c r="F792" s="28"/>
      <c r="G792" s="28"/>
      <c r="H792" s="226" t="str">
        <f>IF(Tabla1[[#This Row],[Codigo_actividad]]&lt;&gt;2.5,IF(((Tabla1[[#This Row],[fin]]-Tabla1[[#This Row],[inicio]])/1000)=0,"",((Tabla1[[#This Row],[fin]]-Tabla1[[#This Row],[inicio]])/1000)),"")</f>
        <v/>
      </c>
      <c r="I792" s="66"/>
      <c r="J792" s="76"/>
      <c r="K792" s="66" t="str">
        <f>IF(_xlfn.XLOOKUP($J792,Catalogo!$B$7:$B$21,Catalogo!$I$7:$I$21,"",0)=0,"",_xlfn.XLOOKUP($J792,Catalogo!$B$7:$B$21,Catalogo!$I$7:$I$21,"",0))</f>
        <v/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0</v>
      </c>
      <c r="N792" t="str">
        <f>_xlfn.IFNA(_xlfn.XLOOKUP(Tabla1[[#This Row],[fin]],$P$379:$P$386,$T$379:$T$386),"")</f>
        <v/>
      </c>
    </row>
    <row r="793" spans="1:14" x14ac:dyDescent="0.25">
      <c r="A793" s="356">
        <v>46269</v>
      </c>
      <c r="B793" s="116" t="s">
        <v>30</v>
      </c>
      <c r="C793" s="513" t="s">
        <v>22</v>
      </c>
      <c r="D793" s="39" t="s">
        <v>35</v>
      </c>
      <c r="E793" s="40" t="s">
        <v>119</v>
      </c>
      <c r="F793" s="493">
        <v>1182</v>
      </c>
      <c r="G793" s="28" t="s">
        <v>592</v>
      </c>
      <c r="H793" s="226"/>
      <c r="I793" s="501">
        <v>1</v>
      </c>
      <c r="J793" s="76">
        <v>3.2</v>
      </c>
      <c r="K793" s="66" t="str">
        <f>IF(_xlfn.XLOOKUP($J793,Catalogo!$B$7:$B$210,Catalogo!$I$7:$I$210,"",0)=0,"",_xlfn.XLOOKUP($J793,Catalogo!$B$7:$B$210,Catalogo!$I$7:$I$210,"",0))</f>
        <v>DATA EXC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3" t="str">
        <f>_xlfn.IFNA(_xlfn.XLOOKUP(Tabla1[[#This Row],[fin]],$P$379:$P$386,$T$379:$T$386),"")</f>
        <v/>
      </c>
    </row>
    <row r="794" spans="1:14" x14ac:dyDescent="0.25">
      <c r="A794" s="356">
        <v>46269</v>
      </c>
      <c r="B794" s="116" t="s">
        <v>30</v>
      </c>
      <c r="C794" s="513" t="s">
        <v>22</v>
      </c>
      <c r="D794" s="39" t="s">
        <v>35</v>
      </c>
      <c r="E794" s="40" t="s">
        <v>505</v>
      </c>
      <c r="F794" s="493">
        <v>1182</v>
      </c>
      <c r="G794" s="28" t="s">
        <v>592</v>
      </c>
      <c r="H794" s="226"/>
      <c r="I794" s="501">
        <v>1</v>
      </c>
      <c r="J794" s="76" t="s">
        <v>122</v>
      </c>
      <c r="K794" s="66" t="str">
        <f>IF(_xlfn.XLOOKUP($J794,Catalogo!$B$7:$B$210,Catalogo!$I$7:$I$210,"",0)=0,"",_xlfn.XLOOKUP($J794,Catalogo!$B$7:$B$210,Catalogo!$I$7:$I$210,"",0))</f>
        <v>VT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4" t="str">
        <f>_xlfn.IFNA(_xlfn.XLOOKUP(Tabla1[[#This Row],[fin]],$P$379:$P$386,$T$379:$T$386),"")</f>
        <v/>
      </c>
    </row>
    <row r="795" spans="1:14" x14ac:dyDescent="0.25">
      <c r="A795" s="356">
        <v>46269</v>
      </c>
      <c r="B795" s="116" t="s">
        <v>30</v>
      </c>
      <c r="C795" s="513" t="s">
        <v>22</v>
      </c>
      <c r="D795" s="39" t="s">
        <v>35</v>
      </c>
      <c r="E795" s="40" t="s">
        <v>125</v>
      </c>
      <c r="F795" s="493">
        <v>1182</v>
      </c>
      <c r="G795" s="28" t="s">
        <v>592</v>
      </c>
      <c r="H795" s="226"/>
      <c r="I795" s="501">
        <v>1</v>
      </c>
      <c r="J795" s="76" t="s">
        <v>124</v>
      </c>
      <c r="K795" s="66" t="str">
        <f>IF(_xlfn.XLOOKUP($J795,Catalogo!$B$7:$B$210,Catalogo!$I$7:$I$210,"",0)=0,"",_xlfn.XLOOKUP($J795,Catalogo!$B$7:$B$210,Catalogo!$I$7:$I$210,"",0))</f>
        <v>SANIDAD Y ESPESORES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5" t="str">
        <f>_xlfn.IFNA(_xlfn.XLOOKUP(Tabla1[[#This Row],[fin]],$P$379:$P$386,$T$379:$T$386),"")</f>
        <v/>
      </c>
    </row>
    <row r="796" spans="1:14" x14ac:dyDescent="0.25">
      <c r="A796" s="356">
        <v>46269</v>
      </c>
      <c r="B796" s="116" t="s">
        <v>30</v>
      </c>
      <c r="C796" s="513" t="s">
        <v>22</v>
      </c>
      <c r="D796" s="39" t="s">
        <v>35</v>
      </c>
      <c r="E796" s="40" t="s">
        <v>128</v>
      </c>
      <c r="F796" s="493">
        <v>1182</v>
      </c>
      <c r="G796" s="28" t="s">
        <v>592</v>
      </c>
      <c r="H796" s="226"/>
      <c r="I796" s="501">
        <v>1</v>
      </c>
      <c r="J796" s="76" t="s">
        <v>127</v>
      </c>
      <c r="K796" s="66" t="str">
        <f>IF(_xlfn.XLOOKUP($J796,Catalogo!$B$7:$B$210,Catalogo!$I$7:$I$210,"",0)=0,"",_xlfn.XLOOKUP($J796,Catalogo!$B$7:$B$210,Catalogo!$I$7:$I$210,"",0))</f>
        <v>CARACTERIZACION</v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6" t="str">
        <f>_xlfn.IFNA(_xlfn.XLOOKUP(Tabla1[[#This Row],[fin]],$P$379:$P$386,$T$379:$T$386),"")</f>
        <v/>
      </c>
    </row>
    <row r="797" spans="1:14" x14ac:dyDescent="0.25">
      <c r="A797" s="356">
        <v>46269</v>
      </c>
      <c r="B797" s="116" t="s">
        <v>30</v>
      </c>
      <c r="C797" s="513" t="s">
        <v>22</v>
      </c>
      <c r="D797" s="39" t="s">
        <v>35</v>
      </c>
      <c r="E797" s="40" t="s">
        <v>130</v>
      </c>
      <c r="F797" s="493">
        <v>1182</v>
      </c>
      <c r="G797" s="28" t="s">
        <v>592</v>
      </c>
      <c r="H797" s="226"/>
      <c r="I797" s="501">
        <v>1</v>
      </c>
      <c r="J797" s="76" t="s">
        <v>129</v>
      </c>
      <c r="K797" s="66" t="str">
        <f>IF(_xlfn.XLOOKUP($J797,Catalogo!$B$7:$B$210,Catalogo!$I$7:$I$210,"",0)=0,"",_xlfn.XLOOKUP($J797,Catalogo!$B$7:$B$210,Catalogo!$I$7:$I$210,"",0))</f>
        <v>UTPA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7" t="str">
        <f>_xlfn.IFNA(_xlfn.XLOOKUP(Tabla1[[#This Row],[fin]],$P$379:$P$386,$T$379:$T$386),"")</f>
        <v/>
      </c>
    </row>
    <row r="798" spans="1:14" x14ac:dyDescent="0.25">
      <c r="A798" s="356">
        <v>46269</v>
      </c>
      <c r="B798" s="116" t="s">
        <v>30</v>
      </c>
      <c r="C798" s="513" t="s">
        <v>22</v>
      </c>
      <c r="D798" s="39" t="s">
        <v>35</v>
      </c>
      <c r="E798" s="40" t="s">
        <v>132</v>
      </c>
      <c r="F798" s="493">
        <v>1182</v>
      </c>
      <c r="G798" s="28" t="s">
        <v>592</v>
      </c>
      <c r="H798" s="226"/>
      <c r="I798" s="501">
        <v>1</v>
      </c>
      <c r="J798" s="76" t="s">
        <v>131</v>
      </c>
      <c r="K798" s="66" t="str">
        <f>IF(_xlfn.XLOOKUP($J798,Catalogo!$B$7:$B$210,Catalogo!$I$7:$I$210,"",0)=0,"",_xlfn.XLOOKUP($J798,Catalogo!$B$7:$B$210,Catalogo!$I$7:$I$210,"",0))</f>
        <v>UT RECTO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8" t="str">
        <f>_xlfn.IFNA(_xlfn.XLOOKUP(Tabla1[[#This Row],[fin]],$P$379:$P$386,$T$379:$T$386),"")</f>
        <v/>
      </c>
    </row>
    <row r="799" spans="1:14" x14ac:dyDescent="0.25">
      <c r="A799" s="356">
        <v>46269</v>
      </c>
      <c r="B799" s="116" t="s">
        <v>30</v>
      </c>
      <c r="C799" s="513" t="s">
        <v>22</v>
      </c>
      <c r="D799" s="39" t="s">
        <v>35</v>
      </c>
      <c r="E799" s="40" t="s">
        <v>134</v>
      </c>
      <c r="F799" s="493">
        <v>1182</v>
      </c>
      <c r="G799" s="28" t="s">
        <v>592</v>
      </c>
      <c r="H799" s="226"/>
      <c r="I799" s="501">
        <v>1</v>
      </c>
      <c r="J799" s="76" t="s">
        <v>133</v>
      </c>
      <c r="K799" s="66" t="str">
        <f>IF(_xlfn.XLOOKUP($J799,Catalogo!$B$7:$B$210,Catalogo!$I$7:$I$210,"",0)=0,"",_xlfn.XLOOKUP($J799,Catalogo!$B$7:$B$210,Catalogo!$I$7:$I$210,"",0))</f>
        <v>MT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9" t="str">
        <f>_xlfn.IFNA(_xlfn.XLOOKUP(Tabla1[[#This Row],[fin]],$P$379:$P$386,$T$379:$T$386),"")</f>
        <v/>
      </c>
    </row>
    <row r="800" spans="1:14" x14ac:dyDescent="0.25">
      <c r="A800" s="356">
        <v>46269</v>
      </c>
      <c r="B800" s="116" t="s">
        <v>30</v>
      </c>
      <c r="C800" s="513" t="s">
        <v>22</v>
      </c>
      <c r="D800" s="39" t="s">
        <v>35</v>
      </c>
      <c r="E800" s="40" t="s">
        <v>136</v>
      </c>
      <c r="F800" s="493">
        <v>1182</v>
      </c>
      <c r="G800" s="28" t="s">
        <v>592</v>
      </c>
      <c r="H800" s="226"/>
      <c r="I800" s="501">
        <v>1</v>
      </c>
      <c r="J800" s="76" t="s">
        <v>135</v>
      </c>
      <c r="K800" s="66" t="str">
        <f>IF(_xlfn.XLOOKUP($J800,Catalogo!$B$7:$B$210,Catalogo!$I$7:$I$210,"",0)=0,"",_xlfn.XLOOKUP($J800,Catalogo!$B$7:$B$210,Catalogo!$I$7:$I$210,"",0))</f>
        <v>LP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00" t="str">
        <f>_xlfn.IFNA(_xlfn.XLOOKUP(Tabla1[[#This Row],[fin]],$P$379:$P$386,$T$379:$T$386),"")</f>
        <v/>
      </c>
    </row>
    <row r="801" spans="1:16" x14ac:dyDescent="0.25">
      <c r="A801" s="356">
        <v>46269</v>
      </c>
      <c r="B801" s="116" t="s">
        <v>30</v>
      </c>
      <c r="C801" s="513" t="s">
        <v>22</v>
      </c>
      <c r="D801" s="39" t="s">
        <v>35</v>
      </c>
      <c r="E801" s="40" t="s">
        <v>138</v>
      </c>
      <c r="F801" s="493">
        <v>1182</v>
      </c>
      <c r="G801" s="28" t="s">
        <v>592</v>
      </c>
      <c r="H801" s="226"/>
      <c r="I801" s="501">
        <v>1</v>
      </c>
      <c r="J801" s="76" t="s">
        <v>137</v>
      </c>
      <c r="K801" s="66" t="str">
        <f>IF(_xlfn.XLOOKUP($J801,Catalogo!$B$7:$B$210,Catalogo!$I$7:$I$210,"",0)=0,"",_xlfn.XLOOKUP($J801,Catalogo!$B$7:$B$210,Catalogo!$I$7:$I$210,"",0))</f>
        <v>PH EXC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656</v>
      </c>
      <c r="N801" t="str">
        <f>_xlfn.IFNA(_xlfn.XLOOKUP(Tabla1[[#This Row],[fin]],$P$379:$P$386,$T$379:$T$386),"")</f>
        <v/>
      </c>
    </row>
    <row r="802" spans="1:16" x14ac:dyDescent="0.25">
      <c r="A802" s="356">
        <v>46269</v>
      </c>
      <c r="B802" s="116" t="s">
        <v>30</v>
      </c>
      <c r="C802" s="513" t="s">
        <v>22</v>
      </c>
      <c r="D802" s="39" t="s">
        <v>35</v>
      </c>
      <c r="E802" s="40" t="s">
        <v>140</v>
      </c>
      <c r="F802" s="493">
        <v>1182</v>
      </c>
      <c r="G802" s="28" t="s">
        <v>592</v>
      </c>
      <c r="H802" s="226"/>
      <c r="I802" s="501">
        <v>1</v>
      </c>
      <c r="J802" s="76" t="s">
        <v>139</v>
      </c>
      <c r="K802" s="66" t="str">
        <f>IF(_xlfn.XLOOKUP($J802,Catalogo!$B$7:$B$210,Catalogo!$I$7:$I$210,"",0)=0,"",_xlfn.XLOOKUP($J802,Catalogo!$B$7:$B$210,Catalogo!$I$7:$I$210,"",0))</f>
        <v>BACTERIAS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4676</v>
      </c>
      <c r="N802" t="str">
        <f>_xlfn.IFNA(_xlfn.XLOOKUP(Tabla1[[#This Row],[fin]],$P$379:$P$386,$T$379:$T$386),"")</f>
        <v/>
      </c>
    </row>
    <row r="803" spans="1:16" x14ac:dyDescent="0.25">
      <c r="A803" s="356"/>
      <c r="B803" s="116"/>
      <c r="C803" s="513"/>
      <c r="D803" s="39"/>
      <c r="F803" s="28"/>
      <c r="G803" s="28"/>
      <c r="H803" s="226" t="str">
        <f>IF(Tabla1[[#This Row],[Codigo_actividad]]&lt;&gt;2.5,IF(((Tabla1[[#This Row],[fin]]-Tabla1[[#This Row],[inicio]])/1000)=0,"",((Tabla1[[#This Row],[fin]]-Tabla1[[#This Row],[inicio]])/1000)),"")</f>
        <v/>
      </c>
      <c r="I803" s="66"/>
      <c r="J803" s="76"/>
      <c r="K803" s="66" t="str">
        <f>IF(_xlfn.XLOOKUP($J803,Catalogo!$B$7:$B$21,Catalogo!$I$7:$I$21,"",0)=0,"",_xlfn.XLOOKUP($J803,Catalogo!$B$7:$B$21,Catalogo!$I$7:$I$21,"",0))</f>
        <v/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0</v>
      </c>
      <c r="N803" t="str">
        <f>_xlfn.IFNA(_xlfn.XLOOKUP(Tabla1[[#This Row],[fin]],$P$379:$P$386,$T$379:$T$386),"")</f>
        <v/>
      </c>
    </row>
    <row r="804" spans="1:16" x14ac:dyDescent="0.25">
      <c r="A804" s="356">
        <v>46272</v>
      </c>
      <c r="B804" s="116" t="s">
        <v>30</v>
      </c>
      <c r="C804" s="513" t="s">
        <v>22</v>
      </c>
      <c r="D804" s="39" t="s">
        <v>74</v>
      </c>
      <c r="E804" s="40" t="s">
        <v>119</v>
      </c>
      <c r="F804" s="493">
        <v>7</v>
      </c>
      <c r="G804" s="28" t="s">
        <v>592</v>
      </c>
      <c r="H804" s="226"/>
      <c r="I804" s="501">
        <v>1</v>
      </c>
      <c r="J804" s="76">
        <v>3.2</v>
      </c>
      <c r="K804" s="66" t="str">
        <f>IF(_xlfn.XLOOKUP($J804,Catalogo!$B$7:$B$210,Catalogo!$I$7:$I$210,"",0)=0,"",_xlfn.XLOOKUP($J804,Catalogo!$B$7:$B$210,Catalogo!$I$7:$I$210,"",0))</f>
        <v>DATA EXC</v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04" t="str">
        <f>_xlfn.IFNA(_xlfn.XLOOKUP(Tabla1[[#This Row],[fin]],$P$379:$P$386,$T$379:$T$386),"")</f>
        <v/>
      </c>
    </row>
    <row r="805" spans="1:16" x14ac:dyDescent="0.25">
      <c r="A805" s="356">
        <v>46272</v>
      </c>
      <c r="B805" s="116" t="s">
        <v>30</v>
      </c>
      <c r="C805" s="513" t="s">
        <v>22</v>
      </c>
      <c r="D805" s="39" t="s">
        <v>74</v>
      </c>
      <c r="E805" s="40" t="s">
        <v>505</v>
      </c>
      <c r="F805" s="493">
        <v>7</v>
      </c>
      <c r="G805" s="28" t="s">
        <v>592</v>
      </c>
      <c r="H805" s="226"/>
      <c r="I805" s="501">
        <v>1</v>
      </c>
      <c r="J805" s="76" t="s">
        <v>122</v>
      </c>
      <c r="K805" s="66" t="str">
        <f>IF(_xlfn.XLOOKUP($J805,Catalogo!$B$7:$B$210,Catalogo!$I$7:$I$210,"",0)=0,"",_xlfn.XLOOKUP($J805,Catalogo!$B$7:$B$210,Catalogo!$I$7:$I$210,"",0))</f>
        <v>VT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05" t="str">
        <f>_xlfn.IFNA(_xlfn.XLOOKUP(Tabla1[[#This Row],[fin]],$P$379:$P$386,$T$379:$T$386),"")</f>
        <v/>
      </c>
    </row>
    <row r="806" spans="1:16" x14ac:dyDescent="0.25">
      <c r="A806" s="356">
        <v>46272</v>
      </c>
      <c r="B806" s="116" t="s">
        <v>30</v>
      </c>
      <c r="C806" s="513" t="s">
        <v>22</v>
      </c>
      <c r="D806" s="39" t="s">
        <v>74</v>
      </c>
      <c r="E806" s="40" t="s">
        <v>125</v>
      </c>
      <c r="F806" s="493">
        <v>7</v>
      </c>
      <c r="G806" s="28" t="s">
        <v>592</v>
      </c>
      <c r="H806" s="226"/>
      <c r="I806" s="501">
        <v>1</v>
      </c>
      <c r="J806" s="76" t="s">
        <v>124</v>
      </c>
      <c r="K806" s="66" t="str">
        <f>IF(_xlfn.XLOOKUP($J806,Catalogo!$B$7:$B$210,Catalogo!$I$7:$I$210,"",0)=0,"",_xlfn.XLOOKUP($J806,Catalogo!$B$7:$B$210,Catalogo!$I$7:$I$210,"",0))</f>
        <v>SANIDAD Y ESPESORES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06" t="str">
        <f>_xlfn.IFNA(_xlfn.XLOOKUP(Tabla1[[#This Row],[fin]],$P$379:$P$386,$T$379:$T$386),"")</f>
        <v/>
      </c>
    </row>
    <row r="807" spans="1:16" x14ac:dyDescent="0.25">
      <c r="A807" s="356">
        <v>46272</v>
      </c>
      <c r="B807" s="116" t="s">
        <v>30</v>
      </c>
      <c r="C807" s="513" t="s">
        <v>22</v>
      </c>
      <c r="D807" s="39" t="s">
        <v>74</v>
      </c>
      <c r="E807" s="40" t="s">
        <v>128</v>
      </c>
      <c r="F807" s="493">
        <v>7</v>
      </c>
      <c r="G807" s="28" t="s">
        <v>592</v>
      </c>
      <c r="H807" s="226"/>
      <c r="I807" s="501">
        <v>1</v>
      </c>
      <c r="J807" s="76" t="s">
        <v>127</v>
      </c>
      <c r="K807" s="66" t="str">
        <f>IF(_xlfn.XLOOKUP($J807,Catalogo!$B$7:$B$210,Catalogo!$I$7:$I$210,"",0)=0,"",_xlfn.XLOOKUP($J807,Catalogo!$B$7:$B$210,Catalogo!$I$7:$I$210,"",0))</f>
        <v>CARACTERIZACION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7" t="str">
        <f>_xlfn.IFNA(_xlfn.XLOOKUP(Tabla1[[#This Row],[fin]],$P$379:$P$386,$T$379:$T$386),"")</f>
        <v/>
      </c>
    </row>
    <row r="808" spans="1:16" x14ac:dyDescent="0.25">
      <c r="A808" s="356">
        <v>46272</v>
      </c>
      <c r="B808" s="116" t="s">
        <v>30</v>
      </c>
      <c r="C808" s="513" t="s">
        <v>22</v>
      </c>
      <c r="D808" s="39" t="s">
        <v>74</v>
      </c>
      <c r="E808" s="40" t="s">
        <v>132</v>
      </c>
      <c r="F808" s="493">
        <v>7</v>
      </c>
      <c r="G808" s="28" t="s">
        <v>592</v>
      </c>
      <c r="H808" s="226"/>
      <c r="I808" s="501">
        <v>1</v>
      </c>
      <c r="J808" s="76" t="s">
        <v>131</v>
      </c>
      <c r="K808" s="66" t="str">
        <f>IF(_xlfn.XLOOKUP($J808,Catalogo!$B$7:$B$210,Catalogo!$I$7:$I$210,"",0)=0,"",_xlfn.XLOOKUP($J808,Catalogo!$B$7:$B$210,Catalogo!$I$7:$I$210,"",0))</f>
        <v>UT RECTO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8" t="str">
        <f>_xlfn.IFNA(_xlfn.XLOOKUP(Tabla1[[#This Row],[fin]],$P$379:$P$386,$T$379:$T$386),"")</f>
        <v/>
      </c>
    </row>
    <row r="809" spans="1:16" x14ac:dyDescent="0.25">
      <c r="A809" s="356">
        <v>46272</v>
      </c>
      <c r="B809" s="116" t="s">
        <v>30</v>
      </c>
      <c r="C809" s="513" t="s">
        <v>22</v>
      </c>
      <c r="D809" s="39" t="s">
        <v>74</v>
      </c>
      <c r="E809" s="40" t="s">
        <v>138</v>
      </c>
      <c r="F809" s="493">
        <v>7</v>
      </c>
      <c r="G809" s="28" t="s">
        <v>592</v>
      </c>
      <c r="H809" s="226"/>
      <c r="I809" s="501">
        <v>1</v>
      </c>
      <c r="J809" s="76" t="s">
        <v>137</v>
      </c>
      <c r="K809" s="66" t="str">
        <f>IF(_xlfn.XLOOKUP($J809,Catalogo!$B$7:$B$210,Catalogo!$I$7:$I$210,"",0)=0,"",_xlfn.XLOOKUP($J809,Catalogo!$B$7:$B$210,Catalogo!$I$7:$I$210,"",0))</f>
        <v>PH EXC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656</v>
      </c>
      <c r="N809" t="str">
        <f>_xlfn.IFNA(_xlfn.XLOOKUP(Tabla1[[#This Row],[fin]],$P$379:$P$386,$T$379:$T$386),"")</f>
        <v/>
      </c>
    </row>
    <row r="810" spans="1:16" x14ac:dyDescent="0.25">
      <c r="A810" s="356">
        <v>46272</v>
      </c>
      <c r="B810" s="116" t="s">
        <v>30</v>
      </c>
      <c r="C810" s="513" t="s">
        <v>22</v>
      </c>
      <c r="D810" s="39" t="s">
        <v>74</v>
      </c>
      <c r="E810" s="40" t="s">
        <v>140</v>
      </c>
      <c r="F810" s="493">
        <v>7</v>
      </c>
      <c r="G810" s="28" t="s">
        <v>592</v>
      </c>
      <c r="H810" s="226"/>
      <c r="I810" s="501">
        <v>1</v>
      </c>
      <c r="J810" s="76" t="s">
        <v>139</v>
      </c>
      <c r="K810" s="66" t="str">
        <f>IF(_xlfn.XLOOKUP($J810,Catalogo!$B$7:$B$210,Catalogo!$I$7:$I$210,"",0)=0,"",_xlfn.XLOOKUP($J810,Catalogo!$B$7:$B$210,Catalogo!$I$7:$I$210,"",0))</f>
        <v>BACTERIAS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4676</v>
      </c>
      <c r="N810" t="str">
        <f>_xlfn.IFNA(_xlfn.XLOOKUP(Tabla1[[#This Row],[fin]],$P$379:$P$386,$T$379:$T$386),"")</f>
        <v/>
      </c>
    </row>
    <row r="811" spans="1:16" x14ac:dyDescent="0.25">
      <c r="A811" s="356"/>
      <c r="B811" s="116"/>
      <c r="C811" s="513"/>
      <c r="D811" s="39"/>
      <c r="F811" s="28"/>
      <c r="G811" s="28"/>
      <c r="H811" s="226" t="str">
        <f>IF(Tabla1[[#This Row],[Codigo_actividad]]&lt;&gt;2.5,IF(((Tabla1[[#This Row],[fin]]-Tabla1[[#This Row],[inicio]])/1000)=0,"",((Tabla1[[#This Row],[fin]]-Tabla1[[#This Row],[inicio]])/1000)),"")</f>
        <v/>
      </c>
      <c r="I811" s="66"/>
      <c r="J811" s="76"/>
      <c r="K811" s="66" t="str">
        <f>IF(_xlfn.XLOOKUP($J811,Catalogo!$B$7:$B$21,Catalogo!$I$7:$I$21,"",0)=0,"",_xlfn.XLOOKUP($J811,Catalogo!$B$7:$B$21,Catalogo!$I$7:$I$21,"",0))</f>
        <v/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0</v>
      </c>
      <c r="N811" t="str">
        <f>_xlfn.IFNA(_xlfn.XLOOKUP(Tabla1[[#This Row],[fin]],$P$379:$P$386,$T$379:$T$386),"")</f>
        <v/>
      </c>
    </row>
    <row r="812" spans="1:16" x14ac:dyDescent="0.25">
      <c r="A812" s="356">
        <v>46272</v>
      </c>
      <c r="B812" s="116" t="s">
        <v>30</v>
      </c>
      <c r="C812" s="513" t="s">
        <v>22</v>
      </c>
      <c r="D812" s="39" t="s">
        <v>74</v>
      </c>
      <c r="E812" s="40" t="s">
        <v>119</v>
      </c>
      <c r="F812" s="493">
        <v>28</v>
      </c>
      <c r="G812" s="28" t="s">
        <v>592</v>
      </c>
      <c r="H812" s="226"/>
      <c r="I812" s="501">
        <v>1</v>
      </c>
      <c r="J812" s="76">
        <v>3.2</v>
      </c>
      <c r="K812" s="66" t="str">
        <f>IF(_xlfn.XLOOKUP($J812,Catalogo!$B$7:$B$210,Catalogo!$I$7:$I$210,"",0)=0,"",_xlfn.XLOOKUP($J812,Catalogo!$B$7:$B$210,Catalogo!$I$7:$I$210,"",0))</f>
        <v>DATA EXC</v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2" t="str">
        <f>_xlfn.IFNA(_xlfn.XLOOKUP(Tabla1[[#This Row],[fin]],$P$379:$P$386,$T$379:$T$386),"")</f>
        <v/>
      </c>
    </row>
    <row r="813" spans="1:16" x14ac:dyDescent="0.25">
      <c r="A813" s="356">
        <v>46272</v>
      </c>
      <c r="B813" s="116" t="s">
        <v>30</v>
      </c>
      <c r="C813" s="513" t="s">
        <v>22</v>
      </c>
      <c r="D813" s="39" t="s">
        <v>74</v>
      </c>
      <c r="E813" s="40" t="s">
        <v>505</v>
      </c>
      <c r="F813" s="493">
        <v>28</v>
      </c>
      <c r="G813" s="28" t="s">
        <v>592</v>
      </c>
      <c r="H813" s="226"/>
      <c r="I813" s="501">
        <v>1</v>
      </c>
      <c r="J813" s="76" t="s">
        <v>122</v>
      </c>
      <c r="K813" s="66" t="str">
        <f>IF(_xlfn.XLOOKUP($J813,Catalogo!$B$7:$B$210,Catalogo!$I$7:$I$210,"",0)=0,"",_xlfn.XLOOKUP($J813,Catalogo!$B$7:$B$210,Catalogo!$I$7:$I$210,"",0))</f>
        <v>VT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3" t="str">
        <f>_xlfn.IFNA(_xlfn.XLOOKUP(Tabla1[[#This Row],[fin]],$P$379:$P$386,$T$379:$T$386),"")</f>
        <v/>
      </c>
    </row>
    <row r="814" spans="1:16" x14ac:dyDescent="0.25">
      <c r="A814" s="356">
        <v>46272</v>
      </c>
      <c r="B814" s="116" t="s">
        <v>30</v>
      </c>
      <c r="C814" s="513" t="s">
        <v>22</v>
      </c>
      <c r="D814" s="39" t="s">
        <v>74</v>
      </c>
      <c r="E814" s="40" t="s">
        <v>125</v>
      </c>
      <c r="F814" s="493">
        <v>28</v>
      </c>
      <c r="G814" s="28" t="s">
        <v>592</v>
      </c>
      <c r="H814" s="226"/>
      <c r="I814" s="501">
        <v>1</v>
      </c>
      <c r="J814" s="76" t="s">
        <v>124</v>
      </c>
      <c r="K814" s="66" t="str">
        <f>IF(_xlfn.XLOOKUP($J814,Catalogo!$B$7:$B$210,Catalogo!$I$7:$I$210,"",0)=0,"",_xlfn.XLOOKUP($J814,Catalogo!$B$7:$B$210,Catalogo!$I$7:$I$210,"",0))</f>
        <v>SANIDAD Y ESPESORES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4" t="str">
        <f>_xlfn.IFNA(_xlfn.XLOOKUP(Tabla1[[#This Row],[fin]],$P$379:$P$386,$T$379:$T$386),"")</f>
        <v/>
      </c>
    </row>
    <row r="815" spans="1:16" x14ac:dyDescent="0.25">
      <c r="A815" s="356">
        <v>46272</v>
      </c>
      <c r="B815" s="116" t="s">
        <v>30</v>
      </c>
      <c r="C815" s="513" t="s">
        <v>22</v>
      </c>
      <c r="D815" s="39" t="s">
        <v>74</v>
      </c>
      <c r="E815" s="40" t="s">
        <v>128</v>
      </c>
      <c r="F815" s="493">
        <v>28</v>
      </c>
      <c r="G815" s="28" t="s">
        <v>592</v>
      </c>
      <c r="H815" s="226"/>
      <c r="I815" s="501">
        <v>1</v>
      </c>
      <c r="J815" s="76" t="s">
        <v>127</v>
      </c>
      <c r="K815" s="66" t="str">
        <f>IF(_xlfn.XLOOKUP($J815,Catalogo!$B$7:$B$210,Catalogo!$I$7:$I$210,"",0)=0,"",_xlfn.XLOOKUP($J815,Catalogo!$B$7:$B$210,Catalogo!$I$7:$I$210,"",0))</f>
        <v>CARACTERIZACION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5" t="str">
        <f>_xlfn.IFNA(_xlfn.XLOOKUP(Tabla1[[#This Row],[fin]],$P$379:$P$386,$T$379:$T$386),"")</f>
        <v/>
      </c>
      <c r="P815" s="229"/>
    </row>
    <row r="816" spans="1:16" x14ac:dyDescent="0.25">
      <c r="A816" s="356">
        <v>46272</v>
      </c>
      <c r="B816" s="116" t="s">
        <v>30</v>
      </c>
      <c r="C816" s="513" t="s">
        <v>22</v>
      </c>
      <c r="D816" s="39" t="s">
        <v>74</v>
      </c>
      <c r="E816" s="40" t="s">
        <v>130</v>
      </c>
      <c r="F816" s="493">
        <v>28</v>
      </c>
      <c r="G816" s="28" t="s">
        <v>592</v>
      </c>
      <c r="H816" s="226"/>
      <c r="I816" s="501">
        <v>1</v>
      </c>
      <c r="J816" s="76" t="s">
        <v>129</v>
      </c>
      <c r="K816" s="66" t="str">
        <f>IF(_xlfn.XLOOKUP($J816,Catalogo!$B$7:$B$210,Catalogo!$I$7:$I$210,"",0)=0,"",_xlfn.XLOOKUP($J816,Catalogo!$B$7:$B$210,Catalogo!$I$7:$I$210,"",0))</f>
        <v>UTPA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6" t="str">
        <f>_xlfn.IFNA(_xlfn.XLOOKUP(Tabla1[[#This Row],[fin]],$P$379:$P$386,$T$379:$T$386),"")</f>
        <v/>
      </c>
    </row>
    <row r="817" spans="1:17" x14ac:dyDescent="0.25">
      <c r="A817" s="356">
        <v>46272</v>
      </c>
      <c r="B817" s="116" t="s">
        <v>30</v>
      </c>
      <c r="C817" s="513" t="s">
        <v>22</v>
      </c>
      <c r="D817" s="39" t="s">
        <v>74</v>
      </c>
      <c r="E817" s="40" t="s">
        <v>132</v>
      </c>
      <c r="F817" s="493">
        <v>28</v>
      </c>
      <c r="G817" s="28" t="s">
        <v>592</v>
      </c>
      <c r="H817" s="226"/>
      <c r="I817" s="501">
        <v>1</v>
      </c>
      <c r="J817" s="76" t="s">
        <v>131</v>
      </c>
      <c r="K817" s="66" t="str">
        <f>IF(_xlfn.XLOOKUP($J817,Catalogo!$B$7:$B$210,Catalogo!$I$7:$I$210,"",0)=0,"",_xlfn.XLOOKUP($J817,Catalogo!$B$7:$B$210,Catalogo!$I$7:$I$210,"",0))</f>
        <v>UT RECTO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Row],[fin]],$P$379:$P$386,$T$379:$T$386),"")</f>
        <v/>
      </c>
    </row>
    <row r="818" spans="1:17" x14ac:dyDescent="0.25">
      <c r="A818" s="356">
        <v>46272</v>
      </c>
      <c r="B818" s="116" t="s">
        <v>30</v>
      </c>
      <c r="C818" s="513" t="s">
        <v>22</v>
      </c>
      <c r="D818" s="39" t="s">
        <v>74</v>
      </c>
      <c r="E818" s="40" t="s">
        <v>134</v>
      </c>
      <c r="F818" s="493">
        <v>28</v>
      </c>
      <c r="G818" s="28" t="s">
        <v>592</v>
      </c>
      <c r="H818" s="226"/>
      <c r="I818" s="501">
        <v>1</v>
      </c>
      <c r="J818" s="76" t="s">
        <v>133</v>
      </c>
      <c r="K818" s="66" t="str">
        <f>IF(_xlfn.XLOOKUP($J818,Catalogo!$B$7:$B$210,Catalogo!$I$7:$I$210,"",0)=0,"",_xlfn.XLOOKUP($J818,Catalogo!$B$7:$B$210,Catalogo!$I$7:$I$210,"",0))</f>
        <v>MT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8" t="str">
        <f>_xlfn.IFNA(_xlfn.XLOOKUP(Tabla1[[#This Row],[fin]],$P$379:$P$386,$T$379:$T$386),"")</f>
        <v/>
      </c>
    </row>
    <row r="819" spans="1:17" x14ac:dyDescent="0.25">
      <c r="A819" s="356">
        <v>46272</v>
      </c>
      <c r="B819" s="116" t="s">
        <v>30</v>
      </c>
      <c r="C819" s="513" t="s">
        <v>22</v>
      </c>
      <c r="D819" s="39" t="s">
        <v>74</v>
      </c>
      <c r="E819" s="40" t="s">
        <v>136</v>
      </c>
      <c r="F819" s="493">
        <v>28</v>
      </c>
      <c r="G819" s="28" t="s">
        <v>592</v>
      </c>
      <c r="H819" s="226"/>
      <c r="I819" s="501">
        <v>1</v>
      </c>
      <c r="J819" s="76" t="s">
        <v>135</v>
      </c>
      <c r="K819" s="66" t="str">
        <f>IF(_xlfn.XLOOKUP($J819,Catalogo!$B$7:$B$210,Catalogo!$I$7:$I$210,"",0)=0,"",_xlfn.XLOOKUP($J819,Catalogo!$B$7:$B$210,Catalogo!$I$7:$I$210,"",0))</f>
        <v>LP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Row],[fin]],$P$379:$P$386,$T$379:$T$386),"")</f>
        <v/>
      </c>
    </row>
    <row r="820" spans="1:17" x14ac:dyDescent="0.25">
      <c r="A820" s="356">
        <v>46272</v>
      </c>
      <c r="B820" s="116" t="s">
        <v>30</v>
      </c>
      <c r="C820" s="513" t="s">
        <v>22</v>
      </c>
      <c r="D820" s="39" t="s">
        <v>74</v>
      </c>
      <c r="E820" s="40" t="s">
        <v>138</v>
      </c>
      <c r="F820" s="493">
        <v>28</v>
      </c>
      <c r="G820" s="28" t="s">
        <v>592</v>
      </c>
      <c r="H820" s="226"/>
      <c r="I820" s="501">
        <v>1</v>
      </c>
      <c r="J820" s="76" t="s">
        <v>137</v>
      </c>
      <c r="K820" s="66" t="str">
        <f>IF(_xlfn.XLOOKUP($J820,Catalogo!$B$7:$B$210,Catalogo!$I$7:$I$210,"",0)=0,"",_xlfn.XLOOKUP($J820,Catalogo!$B$7:$B$210,Catalogo!$I$7:$I$210,"",0))</f>
        <v>PH EXC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656</v>
      </c>
      <c r="N820" t="str">
        <f>_xlfn.IFNA(_xlfn.XLOOKUP(Tabla1[[#This Row],[fin]],$P$379:$P$386,$T$379:$T$386),"")</f>
        <v/>
      </c>
    </row>
    <row r="821" spans="1:17" x14ac:dyDescent="0.25">
      <c r="A821" s="356">
        <v>46272</v>
      </c>
      <c r="B821" s="116" t="s">
        <v>30</v>
      </c>
      <c r="C821" s="513" t="s">
        <v>22</v>
      </c>
      <c r="D821" s="39" t="s">
        <v>74</v>
      </c>
      <c r="E821" s="40" t="s">
        <v>140</v>
      </c>
      <c r="F821" s="493">
        <v>28</v>
      </c>
      <c r="G821" s="28" t="s">
        <v>592</v>
      </c>
      <c r="H821" s="226"/>
      <c r="I821" s="501">
        <v>1</v>
      </c>
      <c r="J821" s="76" t="s">
        <v>139</v>
      </c>
      <c r="K821" s="66" t="str">
        <f>IF(_xlfn.XLOOKUP($J821,Catalogo!$B$7:$B$210,Catalogo!$I$7:$I$210,"",0)=0,"",_xlfn.XLOOKUP($J821,Catalogo!$B$7:$B$210,Catalogo!$I$7:$I$210,"",0))</f>
        <v>BACTERIAS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4676</v>
      </c>
      <c r="N821" t="str">
        <f>_xlfn.IFNA(_xlfn.XLOOKUP(Tabla1[[#This Row],[fin]],$P$379:$P$386,$T$379:$T$386),"")</f>
        <v/>
      </c>
    </row>
    <row r="822" spans="1:17" x14ac:dyDescent="0.25">
      <c r="A822" s="356"/>
      <c r="B822" s="116"/>
      <c r="C822" s="157"/>
      <c r="D822" s="39"/>
      <c r="F822" s="28"/>
      <c r="G822" s="28"/>
      <c r="H822" s="226" t="str">
        <f>IF(Tabla1[[#This Row],[Codigo_actividad]]&lt;&gt;2.5,IF(((Tabla1[[#This Row],[fin]]-Tabla1[[#This Row],[inicio]])/1000)=0,"",((Tabla1[[#This Row],[fin]]-Tabla1[[#This Row],[inicio]])/1000)),"")</f>
        <v/>
      </c>
      <c r="I822" s="66"/>
      <c r="J822" s="76"/>
      <c r="K822" s="66" t="str">
        <f>IF(_xlfn.XLOOKUP($J822,Catalogo!$B$7:$B$21,Catalogo!$I$7:$I$21,"",0)=0,"",_xlfn.XLOOKUP($J822,Catalogo!$B$7:$B$21,Catalogo!$I$7:$I$21,"",0))</f>
        <v/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0</v>
      </c>
      <c r="N822" t="str">
        <f>_xlfn.IFNA(_xlfn.XLOOKUP(Tabla1[[#This Row],[fin]],$P$379:$P$386,$T$379:$T$386),"")</f>
        <v/>
      </c>
    </row>
    <row r="823" spans="1:17" x14ac:dyDescent="0.25">
      <c r="A823" s="361"/>
      <c r="B823" s="285"/>
      <c r="C823" s="286"/>
      <c r="D823" s="287"/>
      <c r="E823" s="380"/>
      <c r="F823" s="288"/>
      <c r="G823" s="288"/>
      <c r="H823" s="515" t="str">
        <f>IF(Tabla1[[#This Row],[Codigo_actividad]]&lt;&gt;2.5,IF(((Tabla1[[#This Row],[fin]]-Tabla1[[#This Row],[inicio]])/1000)=0,"",((Tabla1[[#This Row],[fin]]-Tabla1[[#This Row],[inicio]])/1000)),"")</f>
        <v/>
      </c>
      <c r="I823" s="516"/>
      <c r="J823" s="516"/>
      <c r="K823" s="516" t="str">
        <f>IF(_xlfn.XLOOKUP($J823,Catalogo!$B$7:$B$21,Catalogo!$I$7:$I$21,"",0)=0,"",_xlfn.XLOOKUP($J823,Catalogo!$B$7:$B$21,Catalogo!$I$7:$I$21,"",0))</f>
        <v/>
      </c>
      <c r="L823" s="517"/>
      <c r="M823" s="518">
        <f>IF(Tabla1[[#This Row],[Avance_km]]&lt;&gt;"",Tabla1[[#This Row],[Avance_km]],Tabla1[[#This Row],[Avance_Med]])*_xlfn.XLOOKUP(Tabla1[[#This Row],[Codigo_actividad]],Catalogo!$B$6:$B$51,Catalogo!$F$6:$F$51,0)</f>
        <v>0</v>
      </c>
      <c r="N823" s="519" t="str">
        <f>_xlfn.IFNA(_xlfn.XLOOKUP(Tabla1[[#This Row],[fin]],$P$379:$P$386,$T$379:$T$386),"")</f>
        <v/>
      </c>
    </row>
    <row r="824" spans="1:17" x14ac:dyDescent="0.25">
      <c r="A824" s="356"/>
      <c r="B824" s="116"/>
      <c r="C824" s="157"/>
      <c r="D824" s="39"/>
      <c r="F824" s="28"/>
      <c r="G824" s="28"/>
      <c r="H824" s="226" t="str">
        <f>IF(Tabla1[[#This Row],[Codigo_actividad]]&lt;&gt;2.5,IF(((Tabla1[[#This Row],[fin]]-Tabla1[[#This Row],[inicio]])/1000)=0,"",((Tabla1[[#This Row],[fin]]-Tabla1[[#This Row],[inicio]])/1000)),"")</f>
        <v/>
      </c>
      <c r="I824" s="66"/>
      <c r="J824" s="76"/>
      <c r="K824" s="66" t="str">
        <f>IF(_xlfn.XLOOKUP($J824,Catalogo!$B$7:$B$21,Catalogo!$I$7:$I$21,"",0)=0,"",_xlfn.XLOOKUP($J824,Catalogo!$B$7:$B$21,Catalogo!$I$7:$I$21,"",0))</f>
        <v/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0</v>
      </c>
      <c r="N824" t="str">
        <f>_xlfn.IFNA(_xlfn.XLOOKUP(Tabla1[[#This Row],[fin]],$P$379:$P$386,$T$379:$T$386),"")</f>
        <v/>
      </c>
    </row>
    <row r="825" spans="1:17" x14ac:dyDescent="0.25">
      <c r="A825" s="356">
        <v>46297</v>
      </c>
      <c r="B825" s="116" t="s">
        <v>30</v>
      </c>
      <c r="C825" s="514" t="s">
        <v>411</v>
      </c>
      <c r="D825" s="39" t="s">
        <v>351</v>
      </c>
      <c r="E825" s="40" t="s">
        <v>505</v>
      </c>
      <c r="F825" s="204">
        <v>3564</v>
      </c>
      <c r="G825" s="28"/>
      <c r="H825" s="226"/>
      <c r="I825" s="66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Row],[fin]],$P$379:$P$386,$T$379:$T$386),"")</f>
        <v/>
      </c>
    </row>
    <row r="826" spans="1:17" x14ac:dyDescent="0.25">
      <c r="A826" s="356">
        <v>46297</v>
      </c>
      <c r="B826" s="116" t="s">
        <v>30</v>
      </c>
      <c r="C826" s="514" t="s">
        <v>411</v>
      </c>
      <c r="D826" s="39" t="s">
        <v>351</v>
      </c>
      <c r="E826" s="40" t="s">
        <v>125</v>
      </c>
      <c r="F826" s="493">
        <v>3564</v>
      </c>
      <c r="G826" s="28" t="s">
        <v>592</v>
      </c>
      <c r="H826" s="226"/>
      <c r="I826" s="501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Row],[fin]],$P$379:$P$386,$T$379:$T$386),"")</f>
        <v/>
      </c>
    </row>
    <row r="827" spans="1:17" x14ac:dyDescent="0.25">
      <c r="A827" s="356">
        <v>46297</v>
      </c>
      <c r="B827" s="116" t="s">
        <v>30</v>
      </c>
      <c r="C827" s="514" t="s">
        <v>411</v>
      </c>
      <c r="D827" s="39" t="s">
        <v>351</v>
      </c>
      <c r="E827" s="40" t="s">
        <v>128</v>
      </c>
      <c r="F827" s="204">
        <v>3564</v>
      </c>
      <c r="G827" s="28"/>
      <c r="H827" s="226"/>
      <c r="I827" s="66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Row],[fin]],$P$379:$P$386,$T$379:$T$386),"")</f>
        <v/>
      </c>
    </row>
    <row r="828" spans="1:17" x14ac:dyDescent="0.25">
      <c r="A828" s="356">
        <v>46297</v>
      </c>
      <c r="B828" s="116" t="s">
        <v>30</v>
      </c>
      <c r="C828" s="514" t="s">
        <v>411</v>
      </c>
      <c r="D828" s="39" t="s">
        <v>351</v>
      </c>
      <c r="E828" s="40" t="s">
        <v>132</v>
      </c>
      <c r="F828" s="493">
        <v>3564</v>
      </c>
      <c r="G828" s="28" t="s">
        <v>592</v>
      </c>
      <c r="H828" s="226"/>
      <c r="I828" s="501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Row],[fin]],$P$379:$P$386,$T$379:$T$386),"")</f>
        <v/>
      </c>
    </row>
    <row r="829" spans="1:17" x14ac:dyDescent="0.25">
      <c r="A829" s="356"/>
      <c r="B829" s="116"/>
      <c r="C829" s="157"/>
      <c r="D829" s="39"/>
      <c r="F829" s="28"/>
      <c r="G829" s="28"/>
      <c r="H829" s="226" t="str">
        <f>IF(Tabla1[[#This Row],[Codigo_actividad]]&lt;&gt;2.5,IF(((Tabla1[[#This Row],[fin]]-Tabla1[[#This Row],[inicio]])/1000)=0,"",((Tabla1[[#This Row],[fin]]-Tabla1[[#This Row],[inicio]])/1000)),"")</f>
        <v/>
      </c>
      <c r="I829" s="66"/>
      <c r="J829" s="76"/>
      <c r="K829" s="66" t="str">
        <f>IF(_xlfn.XLOOKUP($J829,Catalogo!$B$7:$B$21,Catalogo!$I$7:$I$21,"",0)=0,"",_xlfn.XLOOKUP($J829,Catalogo!$B$7:$B$21,Catalogo!$I$7:$I$21,"",0))</f>
        <v/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0</v>
      </c>
      <c r="N829" t="str">
        <f>_xlfn.IFNA(_xlfn.XLOOKUP(Tabla1[[#This Row],[fin]],$P$379:$P$386,$T$379:$T$386),"")</f>
        <v/>
      </c>
    </row>
    <row r="830" spans="1:17" x14ac:dyDescent="0.25">
      <c r="A830" s="361"/>
      <c r="B830" s="285"/>
      <c r="C830" s="286"/>
      <c r="D830" s="287"/>
      <c r="E830" s="380"/>
      <c r="F830" s="288"/>
      <c r="G830" s="288"/>
      <c r="H830" s="515" t="str">
        <f>IF(Tabla1[[#This Row],[Codigo_actividad]]&lt;&gt;2.5,IF(((Tabla1[[#This Row],[fin]]-Tabla1[[#This Row],[inicio]])/1000)=0,"",((Tabla1[[#This Row],[fin]]-Tabla1[[#This Row],[inicio]])/1000)),"")</f>
        <v/>
      </c>
      <c r="I830" s="516"/>
      <c r="J830" s="516"/>
      <c r="K830" s="516" t="str">
        <f>IF(_xlfn.XLOOKUP($J830,Catalogo!$B$7:$B$21,Catalogo!$I$7:$I$21,"",0)=0,"",_xlfn.XLOOKUP($J830,Catalogo!$B$7:$B$21,Catalogo!$I$7:$I$21,"",0))</f>
        <v/>
      </c>
      <c r="L830" s="517"/>
      <c r="M830" s="518">
        <f>IF(Tabla1[[#This Row],[Avance_km]]&lt;&gt;"",Tabla1[[#This Row],[Avance_km]],Tabla1[[#This Row],[Avance_Med]])*_xlfn.XLOOKUP(Tabla1[[#This Row],[Codigo_actividad]],Catalogo!$B$6:$B$51,Catalogo!$F$6:$F$51,0)</f>
        <v>0</v>
      </c>
      <c r="N830" s="519" t="str">
        <f>_xlfn.IFNA(_xlfn.XLOOKUP(Tabla1[[#This Row],[fin]],$P$379:$P$386,$T$379:$T$386),"")</f>
        <v/>
      </c>
    </row>
    <row r="831" spans="1:17" x14ac:dyDescent="0.25">
      <c r="A831" s="356"/>
      <c r="C831" s="157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Row],[fin]],$P$379:$P$386,$T$379:$T$386),"")</f>
        <v/>
      </c>
      <c r="P831" s="486">
        <f>+SUM(M832:M845)</f>
        <v>681031.55999999994</v>
      </c>
      <c r="Q831">
        <v>3</v>
      </c>
    </row>
    <row r="832" spans="1:17" x14ac:dyDescent="0.25">
      <c r="A832" s="356">
        <v>46259</v>
      </c>
      <c r="B832" s="116" t="s">
        <v>12</v>
      </c>
      <c r="C832" s="157" t="s">
        <v>411</v>
      </c>
      <c r="D832" s="39" t="s">
        <v>351</v>
      </c>
      <c r="E832" s="40" t="s">
        <v>538</v>
      </c>
      <c r="F832" s="493">
        <v>0</v>
      </c>
      <c r="G832" s="493">
        <v>47584</v>
      </c>
      <c r="H832" s="502">
        <f>(Catalogo!$J$55)*Tabla1[[#This Row],[Observaciones]]</f>
        <v>8.1010741602829377</v>
      </c>
      <c r="J832" s="76">
        <v>2.4</v>
      </c>
      <c r="K832" s="66" t="str">
        <f>IF(_xlfn.XLOOKUP($J832,Catalogo!$B$7:$B$210,Catalogo!$I$7:$I$210,"",0)=0,"",_xlfn.XLOOKUP($J832,Catalogo!$B$7:$B$210,Catalogo!$I$7:$I$210,"",0))</f>
        <v>PCM</v>
      </c>
      <c r="L832" s="562" t="s">
        <v>529</v>
      </c>
      <c r="M832" s="485">
        <f>IF(Tabla1[[#This Row],[Avance_km]]&lt;&gt;"",Tabla1[[#This Row],[Avance_km]],Tabla1[[#This Row],[Avance_Med]])*_xlfn.XLOOKUP(Tabla1[[#This Row],[Codigo_actividad]],Catalogo!$B$6:$B$57,Catalogo!$F$6:$F$57,0)</f>
        <v>110954.58</v>
      </c>
      <c r="N832" s="477">
        <v>58</v>
      </c>
      <c r="P832" s="486" t="e">
        <f>+#REF!-P831</f>
        <v>#REF!</v>
      </c>
    </row>
    <row r="833" spans="1:18" x14ac:dyDescent="0.25">
      <c r="A833" s="356">
        <v>46259</v>
      </c>
      <c r="B833" s="116" t="s">
        <v>29</v>
      </c>
      <c r="C833" s="157" t="s">
        <v>329</v>
      </c>
      <c r="D833" s="39" t="s">
        <v>212</v>
      </c>
      <c r="E833" s="40" t="s">
        <v>538</v>
      </c>
      <c r="F833" s="493">
        <v>0</v>
      </c>
      <c r="G833" s="493">
        <v>16250</v>
      </c>
      <c r="H833" s="502">
        <f>(Catalogo!$J$55)*Tabla1[[#This Row],[Observaciones]]</f>
        <v>2.3744527711174128</v>
      </c>
      <c r="J833" s="76">
        <v>2.4</v>
      </c>
      <c r="K833" s="66" t="str">
        <f>IF(_xlfn.XLOOKUP($J833,Catalogo!$B$7:$B$210,Catalogo!$I$7:$I$210,"",0)=0,"",_xlfn.XLOOKUP($J833,Catalogo!$B$7:$B$210,Catalogo!$I$7:$I$210,"",0))</f>
        <v>PCM</v>
      </c>
      <c r="L833" s="562" t="s">
        <v>529</v>
      </c>
      <c r="M83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33" s="477">
        <v>17</v>
      </c>
    </row>
    <row r="834" spans="1:18" x14ac:dyDescent="0.25">
      <c r="A834" s="356">
        <v>46260</v>
      </c>
      <c r="B834" s="116" t="s">
        <v>12</v>
      </c>
      <c r="C834" s="157" t="s">
        <v>535</v>
      </c>
      <c r="D834" s="39" t="s">
        <v>503</v>
      </c>
      <c r="E834" s="40" t="s">
        <v>538</v>
      </c>
      <c r="F834" s="493">
        <v>0</v>
      </c>
      <c r="G834" s="493">
        <v>16000</v>
      </c>
      <c r="H834" s="502">
        <f>(Catalogo!$J$55)*Tabla1[[#This Row],[Observaciones]]</f>
        <v>1.676084309024056</v>
      </c>
      <c r="J834" s="76">
        <v>2.4</v>
      </c>
      <c r="K834" s="66" t="str">
        <f>IF(_xlfn.XLOOKUP($J834,Catalogo!$B$7:$B$210,Catalogo!$I$7:$I$210,"",0)=0,"",_xlfn.XLOOKUP($J834,Catalogo!$B$7:$B$210,Catalogo!$I$7:$I$210,"",0))</f>
        <v>PCM</v>
      </c>
      <c r="L834" s="562" t="s">
        <v>529</v>
      </c>
      <c r="M83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34" s="477">
        <v>12</v>
      </c>
    </row>
    <row r="835" spans="1:18" x14ac:dyDescent="0.25">
      <c r="A835" s="356">
        <v>46260</v>
      </c>
      <c r="B835" s="116" t="s">
        <v>29</v>
      </c>
      <c r="C835" s="157" t="s">
        <v>329</v>
      </c>
      <c r="D835" s="39" t="s">
        <v>212</v>
      </c>
      <c r="E835" s="40" t="s">
        <v>538</v>
      </c>
      <c r="F835" s="493">
        <v>16250</v>
      </c>
      <c r="G835" s="493">
        <v>27250</v>
      </c>
      <c r="H835" s="502">
        <f>(Catalogo!$J$55)*Tabla1[[#This Row],[Observaciones]]</f>
        <v>3.4918423104667835</v>
      </c>
      <c r="J835" s="76">
        <v>2.4</v>
      </c>
      <c r="K835" s="66" t="str">
        <f>IF(_xlfn.XLOOKUP($J835,Catalogo!$B$7:$B$210,Catalogo!$I$7:$I$210,"",0)=0,"",_xlfn.XLOOKUP($J835,Catalogo!$B$7:$B$210,Catalogo!$I$7:$I$210,"",0))</f>
        <v>PCM</v>
      </c>
      <c r="L835" s="562" t="s">
        <v>529</v>
      </c>
      <c r="M83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35" s="477">
        <v>25</v>
      </c>
    </row>
    <row r="836" spans="1:18" x14ac:dyDescent="0.25">
      <c r="A836" s="356">
        <v>46260</v>
      </c>
      <c r="B836" s="116" t="s">
        <v>29</v>
      </c>
      <c r="C836" s="157" t="s">
        <v>329</v>
      </c>
      <c r="D836" s="39" t="s">
        <v>225</v>
      </c>
      <c r="E836" s="40" t="s">
        <v>538</v>
      </c>
      <c r="F836" s="493">
        <v>0</v>
      </c>
      <c r="G836" s="493">
        <v>5970</v>
      </c>
      <c r="H836" s="502">
        <f>(Catalogo!$J$55)*Tabla1[[#This Row],[Observaciones]]</f>
        <v>1.3967369241867134</v>
      </c>
      <c r="J836" s="76">
        <v>2.4</v>
      </c>
      <c r="K836" s="66" t="str">
        <f>IF(_xlfn.XLOOKUP($J836,Catalogo!$B$7:$B$210,Catalogo!$I$7:$I$210,"",0)=0,"",_xlfn.XLOOKUP($J836,Catalogo!$B$7:$B$210,Catalogo!$I$7:$I$210,"",0))</f>
        <v>PCM</v>
      </c>
      <c r="L836" s="562" t="s">
        <v>529</v>
      </c>
      <c r="M83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36" s="477">
        <v>10</v>
      </c>
    </row>
    <row r="837" spans="1:18" x14ac:dyDescent="0.25">
      <c r="A837" s="356">
        <v>46261</v>
      </c>
      <c r="B837" s="116" t="s">
        <v>12</v>
      </c>
      <c r="C837" s="157" t="s">
        <v>329</v>
      </c>
      <c r="D837" s="39" t="s">
        <v>212</v>
      </c>
      <c r="E837" s="40" t="s">
        <v>538</v>
      </c>
      <c r="F837" s="493" t="s">
        <v>504</v>
      </c>
      <c r="G837" s="493"/>
      <c r="H837" s="502">
        <f>(Catalogo!$J$55)*Tabla1[[#This Row],[Observaciones]]</f>
        <v>4.1902107725601399</v>
      </c>
      <c r="J837" s="76">
        <v>2.4</v>
      </c>
      <c r="K837" s="66" t="str">
        <f>IF(_xlfn.XLOOKUP($J837,Catalogo!$B$7:$B$210,Catalogo!$I$7:$I$210,"",0)=0,"",_xlfn.XLOOKUP($J837,Catalogo!$B$7:$B$210,Catalogo!$I$7:$I$210,"",0))</f>
        <v>PCM</v>
      </c>
      <c r="L837" s="562" t="s">
        <v>529</v>
      </c>
      <c r="M83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37" s="477">
        <v>30</v>
      </c>
    </row>
    <row r="838" spans="1:18" x14ac:dyDescent="0.25">
      <c r="A838" s="356">
        <v>46261</v>
      </c>
      <c r="B838" s="116" t="s">
        <v>29</v>
      </c>
      <c r="C838" s="157" t="s">
        <v>329</v>
      </c>
      <c r="D838" s="39" t="s">
        <v>212</v>
      </c>
      <c r="E838" s="40" t="s">
        <v>538</v>
      </c>
      <c r="F838" s="493">
        <v>22250</v>
      </c>
      <c r="G838" s="493"/>
      <c r="H838" s="502">
        <f>(Catalogo!$J$55)*Tabla1[[#This Row],[Observaciones]]</f>
        <v>0.69836846209335668</v>
      </c>
      <c r="J838" s="76">
        <v>2.4</v>
      </c>
      <c r="K838" s="66" t="str">
        <f>IF(_xlfn.XLOOKUP($J838,Catalogo!$B$7:$B$210,Catalogo!$I$7:$I$210,"",0)=0,"",_xlfn.XLOOKUP($J838,Catalogo!$B$7:$B$210,Catalogo!$I$7:$I$210,"",0))</f>
        <v>PCM</v>
      </c>
      <c r="L838" s="562" t="s">
        <v>529</v>
      </c>
      <c r="M83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38" s="477">
        <v>5</v>
      </c>
      <c r="P838" t="s">
        <v>529</v>
      </c>
      <c r="Q838" t="s">
        <v>530</v>
      </c>
      <c r="R838" t="s">
        <v>531</v>
      </c>
    </row>
    <row r="839" spans="1:18" x14ac:dyDescent="0.25">
      <c r="A839" s="356"/>
      <c r="B839" s="116"/>
      <c r="C839" s="157"/>
      <c r="D839" s="39"/>
      <c r="F839" s="28"/>
      <c r="G839" s="28"/>
      <c r="H839" s="370"/>
      <c r="I839" s="370"/>
      <c r="J839" s="76">
        <v>2.4</v>
      </c>
      <c r="K839" s="76" t="str">
        <f>IF(_xlfn.XLOOKUP($J839,Catalogo!$B$7:$B$21,Catalogo!$I$7:$I$21,"",0)=0,"",_xlfn.XLOOKUP($J839,Catalogo!$B$7:$B$21,Catalogo!$I$7:$I$21,"",0))</f>
        <v>PCM</v>
      </c>
      <c r="L839" s="139"/>
      <c r="M839" s="263"/>
    </row>
    <row r="840" spans="1:18" x14ac:dyDescent="0.25">
      <c r="A840" s="356">
        <v>46269</v>
      </c>
      <c r="B840" s="116" t="s">
        <v>12</v>
      </c>
      <c r="C840" s="157" t="s">
        <v>13</v>
      </c>
      <c r="D840" s="39" t="s">
        <v>13</v>
      </c>
      <c r="E840" s="40" t="s">
        <v>539</v>
      </c>
      <c r="F840" s="493" t="s">
        <v>617</v>
      </c>
      <c r="G840" s="493" t="s">
        <v>617</v>
      </c>
      <c r="H840" s="502">
        <f>(Catalogo!$J$55)*Tabla1[[#This Row],[Observaciones]]</f>
        <v>5.4472740043281824</v>
      </c>
      <c r="J840" s="76">
        <v>2.4</v>
      </c>
      <c r="K840" s="66" t="str">
        <f>IF(_xlfn.XLOOKUP($J840,Catalogo!$B$7:$B$210,Catalogo!$I$7:$I$210,"",0)=0,"",_xlfn.XLOOKUP($J840,Catalogo!$B$7:$B$210,Catalogo!$I$7:$I$210,"",0))</f>
        <v>PCM</v>
      </c>
      <c r="L840" s="562" t="s">
        <v>529</v>
      </c>
      <c r="M84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40" s="477">
        <v>39</v>
      </c>
    </row>
    <row r="841" spans="1:18" x14ac:dyDescent="0.25">
      <c r="A841" s="356">
        <v>46269</v>
      </c>
      <c r="B841" s="116" t="s">
        <v>29</v>
      </c>
      <c r="C841" s="157" t="s">
        <v>22</v>
      </c>
      <c r="D841" s="39" t="s">
        <v>22</v>
      </c>
      <c r="E841" s="40" t="s">
        <v>539</v>
      </c>
      <c r="F841" s="493" t="s">
        <v>617</v>
      </c>
      <c r="G841" s="493" t="s">
        <v>617</v>
      </c>
      <c r="H841" s="502">
        <f>(Catalogo!$J$55)*Tabla1[[#This Row],[Observaciones]]</f>
        <v>7.123358313352238</v>
      </c>
      <c r="J841" s="76">
        <v>2.4</v>
      </c>
      <c r="K841" s="66" t="str">
        <f>IF(_xlfn.XLOOKUP($J841,Catalogo!$B$7:$B$210,Catalogo!$I$7:$I$210,"",0)=0,"",_xlfn.XLOOKUP($J841,Catalogo!$B$7:$B$210,Catalogo!$I$7:$I$210,"",0))</f>
        <v>PCM</v>
      </c>
      <c r="L841" s="562" t="s">
        <v>529</v>
      </c>
      <c r="M84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41" s="477">
        <v>51</v>
      </c>
    </row>
    <row r="842" spans="1:18" x14ac:dyDescent="0.25">
      <c r="A842" s="356">
        <v>46270</v>
      </c>
      <c r="B842" s="116" t="s">
        <v>12</v>
      </c>
      <c r="C842" s="157" t="s">
        <v>13</v>
      </c>
      <c r="D842" s="39" t="s">
        <v>13</v>
      </c>
      <c r="E842" s="40" t="s">
        <v>539</v>
      </c>
      <c r="F842" s="493" t="s">
        <v>617</v>
      </c>
      <c r="G842" s="493" t="s">
        <v>617</v>
      </c>
      <c r="H842" s="502">
        <f>(Catalogo!$J$55)*Tabla1[[#This Row],[Observaciones]]</f>
        <v>3.4918423104667835</v>
      </c>
      <c r="J842" s="76">
        <v>2.4</v>
      </c>
      <c r="K842" s="66" t="str">
        <f>IF(_xlfn.XLOOKUP($J842,Catalogo!$B$7:$B$210,Catalogo!$I$7:$I$210,"",0)=0,"",_xlfn.XLOOKUP($J842,Catalogo!$B$7:$B$210,Catalogo!$I$7:$I$210,"",0))</f>
        <v>PCM</v>
      </c>
      <c r="L842" s="562" t="s">
        <v>529</v>
      </c>
      <c r="M84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42" s="477">
        <v>25</v>
      </c>
    </row>
    <row r="843" spans="1:18" x14ac:dyDescent="0.25">
      <c r="A843" s="356">
        <v>46270</v>
      </c>
      <c r="B843" s="116" t="s">
        <v>29</v>
      </c>
      <c r="C843" s="157" t="s">
        <v>22</v>
      </c>
      <c r="D843" s="39" t="s">
        <v>22</v>
      </c>
      <c r="E843" s="40" t="s">
        <v>539</v>
      </c>
      <c r="F843" s="493" t="s">
        <v>617</v>
      </c>
      <c r="G843" s="493" t="s">
        <v>617</v>
      </c>
      <c r="H843" s="502">
        <f>(Catalogo!$J$55)*Tabla1[[#This Row],[Observaciones]]</f>
        <v>3.4918423104667835</v>
      </c>
      <c r="J843" s="76">
        <v>2.4</v>
      </c>
      <c r="K843" s="66" t="str">
        <f>IF(_xlfn.XLOOKUP($J843,Catalogo!$B$7:$B$210,Catalogo!$I$7:$I$210,"",0)=0,"",_xlfn.XLOOKUP($J843,Catalogo!$B$7:$B$210,Catalogo!$I$7:$I$210,"",0))</f>
        <v>PCM</v>
      </c>
      <c r="L843" s="562" t="s">
        <v>529</v>
      </c>
      <c r="M84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43" s="477">
        <v>25</v>
      </c>
    </row>
    <row r="844" spans="1:18" x14ac:dyDescent="0.25">
      <c r="A844" s="356">
        <v>46282</v>
      </c>
      <c r="B844" s="116" t="s">
        <v>12</v>
      </c>
      <c r="C844" s="157" t="s">
        <v>510</v>
      </c>
      <c r="D844" s="39" t="s">
        <v>510</v>
      </c>
      <c r="E844" s="40" t="s">
        <v>539</v>
      </c>
      <c r="F844" s="493" t="s">
        <v>617</v>
      </c>
      <c r="G844" s="493" t="s">
        <v>617</v>
      </c>
      <c r="H844" s="502">
        <f>(Catalogo!$J$55)*Tabla1[[#This Row],[Observaciones]]</f>
        <v>3.0728212332107692</v>
      </c>
      <c r="J844" s="76">
        <v>2.4</v>
      </c>
      <c r="K844" s="66" t="str">
        <f>IF(_xlfn.XLOOKUP($J844,Catalogo!$B$7:$B$210,Catalogo!$I$7:$I$210,"",0)=0,"",_xlfn.XLOOKUP($J844,Catalogo!$B$7:$B$210,Catalogo!$I$7:$I$210,"",0))</f>
        <v>PCM</v>
      </c>
      <c r="L844" s="562" t="s">
        <v>529</v>
      </c>
      <c r="M84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44" s="477">
        <v>22</v>
      </c>
    </row>
    <row r="845" spans="1:18" x14ac:dyDescent="0.25">
      <c r="A845" s="356">
        <v>46283</v>
      </c>
      <c r="B845" s="116" t="s">
        <v>12</v>
      </c>
      <c r="C845" s="157" t="s">
        <v>510</v>
      </c>
      <c r="D845" s="39" t="s">
        <v>510</v>
      </c>
      <c r="E845" s="40" t="s">
        <v>539</v>
      </c>
      <c r="F845" s="493" t="s">
        <v>617</v>
      </c>
      <c r="G845" s="493" t="s">
        <v>617</v>
      </c>
      <c r="H845" s="502">
        <f>(Catalogo!$J$55)*Tabla1[[#This Row],[Observaciones]]</f>
        <v>5.1679266194908395</v>
      </c>
      <c r="J845" s="76">
        <v>2.4</v>
      </c>
      <c r="K845" s="66" t="str">
        <f>IF(_xlfn.XLOOKUP($J845,Catalogo!$B$7:$B$210,Catalogo!$I$7:$I$210,"",0)=0,"",_xlfn.XLOOKUP($J845,Catalogo!$B$7:$B$210,Catalogo!$I$7:$I$210,"",0))</f>
        <v>PCM</v>
      </c>
      <c r="L845" s="562" t="s">
        <v>529</v>
      </c>
      <c r="M845" s="263">
        <f>IF(Tabla1[[#This Row],[Avance_km]]&lt;&gt;"",Tabla1[[#This Row],[Avance_km]],Tabla1[[#This Row],[Avance_Med]])*_xlfn.XLOOKUP(Tabla1[[#This Row],[Codigo_actividad]],Catalogo!$B$6:$B$57,Catalogo!$F$6:$F$57,0)</f>
        <v>70781.37</v>
      </c>
      <c r="N845" s="477">
        <v>37</v>
      </c>
    </row>
    <row r="846" spans="1:18" x14ac:dyDescent="0.25">
      <c r="A846" s="356"/>
      <c r="B846" s="116"/>
      <c r="C846" s="157"/>
      <c r="D846" s="39"/>
      <c r="F846" s="28"/>
      <c r="G846" s="28"/>
      <c r="H846" s="370" t="str">
        <f>IF(Tabla1[[#This Row],[Codigo_actividad]]&lt;&gt;2.5,IF(((Tabla1[[#This Row],[fin]]-Tabla1[[#This Row],[inicio]])/1000)=0,"",((Tabla1[[#This Row],[fin]]-Tabla1[[#This Row],[inicio]])/1000)),"")</f>
        <v/>
      </c>
      <c r="I846" s="370"/>
      <c r="J846" s="76"/>
      <c r="K846" s="76" t="str">
        <f>IF(_xlfn.XLOOKUP($J846,Catalogo!$B$7:$B$21,Catalogo!$I$7:$I$21,"",0)=0,"",_xlfn.XLOOKUP($J846,Catalogo!$B$7:$B$21,Catalogo!$I$7:$I$21,"",0))</f>
        <v/>
      </c>
      <c r="L846" s="139"/>
      <c r="M846" s="263"/>
      <c r="N846" t="str">
        <f>_xlfn.IFNA(_xlfn.XLOOKUP(Tabla1[[#This Row],[fin]],$P$379:$P$386,$T$379:$T$386),"")</f>
        <v/>
      </c>
    </row>
    <row r="847" spans="1:18" x14ac:dyDescent="0.25">
      <c r="A847" s="356"/>
      <c r="B847" s="201" t="s">
        <v>12</v>
      </c>
      <c r="C847" s="202" t="s">
        <v>13</v>
      </c>
      <c r="D847" s="203" t="s">
        <v>13</v>
      </c>
      <c r="E847" s="376" t="s">
        <v>511</v>
      </c>
      <c r="F847" s="28"/>
      <c r="G847" s="28"/>
      <c r="H847" s="226">
        <f>+(Catalogo!$J$56)*Tabla1[[#This Row],[Observaciones]]</f>
        <v>0</v>
      </c>
      <c r="J847" s="76">
        <v>2.4</v>
      </c>
      <c r="K847" s="66" t="str">
        <f>IF(_xlfn.XLOOKUP($J847,Catalogo!$B$7:$B$210,Catalogo!$I$7:$I$210,"",0)=0,"",_xlfn.XLOOKUP($J847,Catalogo!$B$7:$B$210,Catalogo!$I$7:$I$210,"",0))</f>
        <v>PCM</v>
      </c>
      <c r="L847" s="139" t="s">
        <v>530</v>
      </c>
      <c r="M847" s="263">
        <f>IF(Tabla1[[#This Row],[Avance_km]]&lt;&gt;"",Tabla1[[#This Row],[Avance_km]],Tabla1[[#This Row],[Avance_Med]])*_xlfn.XLOOKUP(Tabla1[[#This Row],[Codigo_actividad]],Catalogo!$B$6:$B$57,Catalogo!$F$6:$F$57,0)</f>
        <v>0</v>
      </c>
      <c r="N847" s="478"/>
    </row>
    <row r="848" spans="1:18" x14ac:dyDescent="0.25">
      <c r="A848" s="356"/>
      <c r="B848" s="201" t="s">
        <v>29</v>
      </c>
      <c r="C848" s="202" t="s">
        <v>22</v>
      </c>
      <c r="D848" s="203" t="s">
        <v>22</v>
      </c>
      <c r="E848" s="376" t="s">
        <v>511</v>
      </c>
      <c r="F848" s="28"/>
      <c r="G848" s="28"/>
      <c r="H848" s="226">
        <f>+(Catalogo!$J$56)*Tabla1[[#This Row],[Observaciones]]</f>
        <v>0</v>
      </c>
      <c r="J848" s="76">
        <v>2.4</v>
      </c>
      <c r="K848" s="66" t="str">
        <f>IF(_xlfn.XLOOKUP($J848,Catalogo!$B$7:$B$210,Catalogo!$I$7:$I$210,"",0)=0,"",_xlfn.XLOOKUP($J848,Catalogo!$B$7:$B$210,Catalogo!$I$7:$I$210,"",0))</f>
        <v>PCM</v>
      </c>
      <c r="L848" s="139" t="s">
        <v>530</v>
      </c>
      <c r="M848" s="263">
        <f>IF(Tabla1[[#This Row],[Avance_km]]&lt;&gt;"",Tabla1[[#This Row],[Avance_km]],Tabla1[[#This Row],[Avance_Med]])*_xlfn.XLOOKUP(Tabla1[[#This Row],[Codigo_actividad]],Catalogo!$B$6:$B$57,Catalogo!$F$6:$F$57,0)</f>
        <v>0</v>
      </c>
      <c r="N848" s="478"/>
    </row>
    <row r="849" spans="1:14" x14ac:dyDescent="0.25">
      <c r="A849" s="356"/>
      <c r="B849" s="201" t="s">
        <v>12</v>
      </c>
      <c r="C849" s="202" t="s">
        <v>13</v>
      </c>
      <c r="D849" s="203" t="s">
        <v>13</v>
      </c>
      <c r="E849" s="376" t="s">
        <v>511</v>
      </c>
      <c r="F849" s="28"/>
      <c r="G849" s="28"/>
      <c r="H849" s="226">
        <f>+(Catalogo!$J$56)*Tabla1[[#This Row],[Observaciones]]</f>
        <v>0</v>
      </c>
      <c r="J849" s="76">
        <v>2.4</v>
      </c>
      <c r="K849" s="66" t="str">
        <f>IF(_xlfn.XLOOKUP($J849,Catalogo!$B$7:$B$210,Catalogo!$I$7:$I$210,"",0)=0,"",_xlfn.XLOOKUP($J849,Catalogo!$B$7:$B$210,Catalogo!$I$7:$I$210,"",0))</f>
        <v>PCM</v>
      </c>
      <c r="L849" s="139" t="s">
        <v>530</v>
      </c>
      <c r="M849" s="263">
        <f>IF(Tabla1[[#This Row],[Avance_km]]&lt;&gt;"",Tabla1[[#This Row],[Avance_km]],Tabla1[[#This Row],[Avance_Med]])*_xlfn.XLOOKUP(Tabla1[[#This Row],[Codigo_actividad]],Catalogo!$B$6:$B$57,Catalogo!$F$6:$F$57,0)</f>
        <v>0</v>
      </c>
      <c r="N849" s="478"/>
    </row>
    <row r="850" spans="1:14" x14ac:dyDescent="0.25">
      <c r="A850" s="356"/>
      <c r="B850" s="201" t="s">
        <v>29</v>
      </c>
      <c r="C850" s="202" t="s">
        <v>22</v>
      </c>
      <c r="D850" s="203" t="s">
        <v>22</v>
      </c>
      <c r="E850" s="376" t="s">
        <v>511</v>
      </c>
      <c r="F850" s="28"/>
      <c r="G850" s="28"/>
      <c r="H850" s="226">
        <f>+(Catalogo!$J$56)*Tabla1[[#This Row],[Observaciones]]</f>
        <v>0</v>
      </c>
      <c r="J850" s="76">
        <v>2.4</v>
      </c>
      <c r="K850" s="66" t="str">
        <f>IF(_xlfn.XLOOKUP($J850,Catalogo!$B$7:$B$210,Catalogo!$I$7:$I$210,"",0)=0,"",_xlfn.XLOOKUP($J850,Catalogo!$B$7:$B$210,Catalogo!$I$7:$I$210,"",0))</f>
        <v>PCM</v>
      </c>
      <c r="L850" s="139" t="s">
        <v>530</v>
      </c>
      <c r="M850" s="263">
        <f>IF(Tabla1[[#This Row],[Avance_km]]&lt;&gt;"",Tabla1[[#This Row],[Avance_km]],Tabla1[[#This Row],[Avance_Med]])*_xlfn.XLOOKUP(Tabla1[[#This Row],[Codigo_actividad]],Catalogo!$B$6:$B$57,Catalogo!$F$6:$F$57,0)</f>
        <v>0</v>
      </c>
      <c r="N850" s="478"/>
    </row>
    <row r="851" spans="1:14" x14ac:dyDescent="0.25">
      <c r="A851" s="356">
        <v>46314</v>
      </c>
      <c r="B851" s="201" t="s">
        <v>12</v>
      </c>
      <c r="C851" s="202" t="s">
        <v>510</v>
      </c>
      <c r="D851" s="203" t="s">
        <v>510</v>
      </c>
      <c r="E851" s="376" t="s">
        <v>511</v>
      </c>
      <c r="F851" s="493" t="s">
        <v>617</v>
      </c>
      <c r="G851" s="493" t="s">
        <v>617</v>
      </c>
      <c r="H851" s="502">
        <f>+(Catalogo!$J$56)*Tabla1[[#This Row],[Observaciones]]</f>
        <v>3.3179812328603089</v>
      </c>
      <c r="J851" s="76">
        <v>2.4</v>
      </c>
      <c r="K851" s="66" t="str">
        <f>IF(_xlfn.XLOOKUP($J851,Catalogo!$B$7:$B$210,Catalogo!$I$7:$I$210,"",0)=0,"",_xlfn.XLOOKUP($J851,Catalogo!$B$7:$B$210,Catalogo!$I$7:$I$210,"",0))</f>
        <v>PCM</v>
      </c>
      <c r="L851" s="139" t="s">
        <v>530</v>
      </c>
      <c r="M85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51" s="477">
        <v>15</v>
      </c>
    </row>
    <row r="852" spans="1:14" x14ac:dyDescent="0.25">
      <c r="A852" s="356"/>
      <c r="B852" s="201" t="s">
        <v>29</v>
      </c>
      <c r="C852" s="202" t="s">
        <v>510</v>
      </c>
      <c r="D852" s="203" t="s">
        <v>510</v>
      </c>
      <c r="E852" s="376" t="s">
        <v>511</v>
      </c>
      <c r="F852" s="28"/>
      <c r="G852" s="28"/>
      <c r="H852" s="226">
        <f>+(Catalogo!$J$56)*Tabla1[[#This Row],[Observaciones]]</f>
        <v>0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139" t="s">
        <v>530</v>
      </c>
      <c r="M852" s="263">
        <f>IF(Tabla1[[#This Row],[Avance_km]]&lt;&gt;"",Tabla1[[#This Row],[Avance_km]],Tabla1[[#This Row],[Avance_Med]])*_xlfn.XLOOKUP(Tabla1[[#This Row],[Codigo_actividad]],Catalogo!$B$6:$B$57,Catalogo!$F$6:$F$57,0)</f>
        <v>0</v>
      </c>
      <c r="N852" s="478"/>
    </row>
    <row r="853" spans="1:14" x14ac:dyDescent="0.25">
      <c r="A853" s="356"/>
      <c r="B853" s="116"/>
      <c r="C853" s="157"/>
      <c r="D853" s="39"/>
      <c r="F853" s="28"/>
      <c r="G853" s="28"/>
      <c r="H853" s="370" t="str">
        <f>IF(Tabla1[[#This Row],[Codigo_actividad]]&lt;&gt;2.5,IF(((Tabla1[[#This Row],[fin]]-Tabla1[[#This Row],[inicio]])/1000)=0,"",((Tabla1[[#This Row],[fin]]-Tabla1[[#This Row],[inicio]])/1000)),"")</f>
        <v/>
      </c>
      <c r="I853"/>
      <c r="J853" s="76"/>
      <c r="K853" s="76" t="str">
        <f>_xlfn.XLOOKUP($J853,Catalogo!$B$67:$B$69,Catalogo!$L$67:$L$69,"",0)</f>
        <v/>
      </c>
      <c r="L853" s="139"/>
      <c r="M853" s="263"/>
      <c r="N853" t="str">
        <f>_xlfn.IFNA(_xlfn.XLOOKUP(Tabla1[[#This Row],[fin]],$P$379:$P$386,$T$379:$T$386),"")</f>
        <v/>
      </c>
    </row>
    <row r="854" spans="1:14" x14ac:dyDescent="0.25">
      <c r="A854" s="356">
        <v>46305</v>
      </c>
      <c r="B854" s="201" t="s">
        <v>12</v>
      </c>
      <c r="C854" s="202" t="s">
        <v>13</v>
      </c>
      <c r="D854" s="203" t="s">
        <v>13</v>
      </c>
      <c r="E854" s="376" t="s">
        <v>512</v>
      </c>
      <c r="F854" s="493" t="s">
        <v>617</v>
      </c>
      <c r="G854" s="493" t="s">
        <v>617</v>
      </c>
      <c r="H854" s="502">
        <f>+(Catalogo!$J$57)*Tabla1[[#This Row],[Observaciones]]</f>
        <v>1.9944247635124281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139" t="s">
        <v>531</v>
      </c>
      <c r="M85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54" s="477">
        <v>15</v>
      </c>
    </row>
    <row r="855" spans="1:14" x14ac:dyDescent="0.25">
      <c r="A855" s="356">
        <v>46305</v>
      </c>
      <c r="B855" s="201" t="s">
        <v>29</v>
      </c>
      <c r="C855" s="202" t="s">
        <v>22</v>
      </c>
      <c r="D855" s="203" t="s">
        <v>22</v>
      </c>
      <c r="E855" s="376" t="s">
        <v>512</v>
      </c>
      <c r="F855" s="493" t="s">
        <v>617</v>
      </c>
      <c r="G855" s="493" t="s">
        <v>617</v>
      </c>
      <c r="H855" s="502">
        <f>+(Catalogo!$J$57)*Tabla1[[#This Row],[Observaciones]]</f>
        <v>3.457002923421542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139" t="s">
        <v>531</v>
      </c>
      <c r="M85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55" s="477">
        <f>41-15</f>
        <v>26</v>
      </c>
    </row>
    <row r="856" spans="1:14" x14ac:dyDescent="0.25">
      <c r="A856" s="356">
        <v>46306</v>
      </c>
      <c r="B856" s="201" t="s">
        <v>12</v>
      </c>
      <c r="C856" s="202" t="s">
        <v>13</v>
      </c>
      <c r="D856" s="203" t="s">
        <v>13</v>
      </c>
      <c r="E856" s="376" t="s">
        <v>512</v>
      </c>
      <c r="F856" s="493" t="s">
        <v>617</v>
      </c>
      <c r="G856" s="493" t="s">
        <v>617</v>
      </c>
      <c r="H856" s="502">
        <f>+(Catalogo!$J$57)*Tabla1[[#This Row],[Observaciones]]</f>
        <v>2.6592330180165709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139" t="s">
        <v>531</v>
      </c>
      <c r="M85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56" s="477">
        <v>20</v>
      </c>
    </row>
    <row r="857" spans="1:14" x14ac:dyDescent="0.25">
      <c r="A857" s="356">
        <v>46306</v>
      </c>
      <c r="B857" s="201" t="s">
        <v>29</v>
      </c>
      <c r="C857" s="202" t="s">
        <v>22</v>
      </c>
      <c r="D857" s="203" t="s">
        <v>22</v>
      </c>
      <c r="E857" s="376" t="s">
        <v>512</v>
      </c>
      <c r="F857" s="493" t="s">
        <v>617</v>
      </c>
      <c r="G857" s="493" t="s">
        <v>617</v>
      </c>
      <c r="H857" s="502">
        <f>+(Catalogo!$J$57)*Tabla1[[#This Row],[Observaciones]]</f>
        <v>4.9195810833306561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139" t="s">
        <v>531</v>
      </c>
      <c r="M85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57" s="477">
        <f>57-20</f>
        <v>37</v>
      </c>
    </row>
    <row r="858" spans="1:14" x14ac:dyDescent="0.25">
      <c r="A858" s="356">
        <v>46305</v>
      </c>
      <c r="B858" s="201" t="s">
        <v>12</v>
      </c>
      <c r="C858" s="202" t="s">
        <v>510</v>
      </c>
      <c r="D858" s="203" t="s">
        <v>510</v>
      </c>
      <c r="E858" s="376" t="s">
        <v>512</v>
      </c>
      <c r="F858" s="493" t="s">
        <v>617</v>
      </c>
      <c r="G858" s="493" t="s">
        <v>617</v>
      </c>
      <c r="H858" s="502">
        <f>+(Catalogo!$J$57)*Tabla1[[#This Row],[Observaciones]]</f>
        <v>3.1910796216198847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139" t="s">
        <v>531</v>
      </c>
      <c r="M85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58" s="477">
        <v>24</v>
      </c>
    </row>
    <row r="859" spans="1:14" x14ac:dyDescent="0.25">
      <c r="A859" s="356">
        <v>46307</v>
      </c>
      <c r="B859" s="201" t="s">
        <v>12</v>
      </c>
      <c r="C859" s="202" t="s">
        <v>13</v>
      </c>
      <c r="D859" s="203" t="s">
        <v>13</v>
      </c>
      <c r="E859" s="376" t="s">
        <v>512</v>
      </c>
      <c r="F859" s="493" t="s">
        <v>617</v>
      </c>
      <c r="G859" s="493" t="s">
        <v>617</v>
      </c>
      <c r="H859" s="502">
        <f>+(Catalogo!$J$57)*Tabla1[[#This Row],[Observaciones]]</f>
        <v>3.8558878761240276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139" t="s">
        <v>531</v>
      </c>
      <c r="M85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59" s="477">
        <f>64-35</f>
        <v>29</v>
      </c>
    </row>
    <row r="860" spans="1:14" x14ac:dyDescent="0.25">
      <c r="A860" s="356">
        <v>46307</v>
      </c>
      <c r="B860" s="201" t="s">
        <v>12</v>
      </c>
      <c r="C860" s="202" t="s">
        <v>22</v>
      </c>
      <c r="D860" s="203" t="s">
        <v>22</v>
      </c>
      <c r="E860" s="376" t="s">
        <v>512</v>
      </c>
      <c r="F860" s="493" t="s">
        <v>617</v>
      </c>
      <c r="G860" s="493" t="s">
        <v>617</v>
      </c>
      <c r="H860" s="502">
        <f>+(Catalogo!$J$57)*Tabla1[[#This Row],[Observaciones]]</f>
        <v>1.728501461710771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139" t="s">
        <v>531</v>
      </c>
      <c r="M86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60" s="477">
        <f>42-29</f>
        <v>13</v>
      </c>
    </row>
    <row r="861" spans="1:14" x14ac:dyDescent="0.25">
      <c r="A861" s="356">
        <v>46307</v>
      </c>
      <c r="B861" s="201" t="s">
        <v>29</v>
      </c>
      <c r="C861" s="202" t="s">
        <v>510</v>
      </c>
      <c r="D861" s="203" t="s">
        <v>510</v>
      </c>
      <c r="E861" s="376" t="s">
        <v>512</v>
      </c>
      <c r="F861" s="493" t="s">
        <v>617</v>
      </c>
      <c r="G861" s="493" t="s">
        <v>617</v>
      </c>
      <c r="H861" s="502">
        <f>+(Catalogo!$J$57)*Tabla1[[#This Row],[Observaciones]]</f>
        <v>4.786619432429827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139" t="s">
        <v>531</v>
      </c>
      <c r="M86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61" s="477">
        <v>36</v>
      </c>
    </row>
    <row r="862" spans="1:14" x14ac:dyDescent="0.25">
      <c r="A862" s="356"/>
      <c r="B862" s="116"/>
      <c r="C862" s="157"/>
      <c r="D862" s="39"/>
      <c r="F862" s="28"/>
      <c r="G862" s="28"/>
      <c r="H862" s="370" t="str">
        <f>IF(Tabla1[[#This Row],[Codigo_actividad]]&lt;&gt;2.5,IF(((Tabla1[[#This Row],[fin]]-Tabla1[[#This Row],[inicio]])/1000)=0,"",((Tabla1[[#This Row],[fin]]-Tabla1[[#This Row],[inicio]])/1000)),"")</f>
        <v/>
      </c>
      <c r="I862"/>
      <c r="J862" s="76"/>
      <c r="K862" s="76" t="str">
        <f>IF(_xlfn.XLOOKUP($J862,Catalogo!$B$7:$B$21,Catalogo!$I$7:$I$21,"",0)=0,"",_xlfn.XLOOKUP($J862,Catalogo!$B$7:$B$21,Catalogo!$I$7:$I$21,"",0))</f>
        <v/>
      </c>
      <c r="L862" s="139"/>
      <c r="M862" s="263"/>
      <c r="N862" t="str">
        <f>_xlfn.IFNA(_xlfn.XLOOKUP(Tabla1[[#This Row],[fin]],$P$379:$P$386,$T$379:$T$386),"")</f>
        <v/>
      </c>
    </row>
    <row r="863" spans="1:14" x14ac:dyDescent="0.25">
      <c r="A863" s="356"/>
      <c r="B863" s="201" t="s">
        <v>12</v>
      </c>
      <c r="C863" s="202" t="s">
        <v>329</v>
      </c>
      <c r="D863" s="203"/>
      <c r="E863" s="376" t="s">
        <v>513</v>
      </c>
      <c r="F863" s="28"/>
      <c r="G863" s="28"/>
      <c r="H863" s="226">
        <f>+(Catalogo!$J$56)*Tabla1[[#This Row],[Observaciones]]</f>
        <v>0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139" t="s">
        <v>530</v>
      </c>
      <c r="M863" s="263">
        <f>IF(Tabla1[[#This Row],[Avance_km]]&lt;&gt;"",Tabla1[[#This Row],[Avance_km]],Tabla1[[#This Row],[Avance_Med]])*_xlfn.XLOOKUP(Tabla1[[#This Row],[Codigo_actividad]],Catalogo!$B$6:$B$57,Catalogo!$F$6:$F$57,0)</f>
        <v>0</v>
      </c>
      <c r="N863" s="478"/>
    </row>
    <row r="864" spans="1:14" x14ac:dyDescent="0.25">
      <c r="A864" s="356"/>
      <c r="B864" s="201" t="s">
        <v>29</v>
      </c>
      <c r="C864" s="202" t="s">
        <v>411</v>
      </c>
      <c r="D864" s="203"/>
      <c r="E864" s="376" t="s">
        <v>513</v>
      </c>
      <c r="F864" s="28"/>
      <c r="G864" s="28"/>
      <c r="H864" s="226">
        <f>+(Catalogo!$J$56)*Tabla1[[#This Row],[Observaciones]]</f>
        <v>0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139" t="s">
        <v>530</v>
      </c>
      <c r="M864" s="263">
        <f>IF(Tabla1[[#This Row],[Avance_km]]&lt;&gt;"",Tabla1[[#This Row],[Avance_km]],Tabla1[[#This Row],[Avance_Med]])*_xlfn.XLOOKUP(Tabla1[[#This Row],[Codigo_actividad]],Catalogo!$B$6:$B$57,Catalogo!$F$6:$F$57,0)</f>
        <v>0</v>
      </c>
      <c r="N864" s="478"/>
    </row>
    <row r="865" spans="1:14" x14ac:dyDescent="0.25">
      <c r="A865" s="356"/>
      <c r="B865" s="201" t="s">
        <v>12</v>
      </c>
      <c r="C865" s="202" t="s">
        <v>329</v>
      </c>
      <c r="D865" s="203"/>
      <c r="E865" s="376" t="s">
        <v>513</v>
      </c>
      <c r="F865" s="28"/>
      <c r="G865" s="28"/>
      <c r="H865" s="226">
        <f>+(Catalogo!$J$56)*Tabla1[[#This Row],[Observaciones]]</f>
        <v>0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139" t="s">
        <v>530</v>
      </c>
      <c r="M865" s="263">
        <f>IF(Tabla1[[#This Row],[Avance_km]]&lt;&gt;"",Tabla1[[#This Row],[Avance_km]],Tabla1[[#This Row],[Avance_Med]])*_xlfn.XLOOKUP(Tabla1[[#This Row],[Codigo_actividad]],Catalogo!$B$6:$B$57,Catalogo!$F$6:$F$57,0)</f>
        <v>0</v>
      </c>
      <c r="N865" s="478"/>
    </row>
    <row r="866" spans="1:14" x14ac:dyDescent="0.25">
      <c r="A866" s="356"/>
      <c r="B866" s="201" t="s">
        <v>29</v>
      </c>
      <c r="C866" s="202" t="s">
        <v>411</v>
      </c>
      <c r="D866" s="203"/>
      <c r="E866" s="376" t="s">
        <v>513</v>
      </c>
      <c r="F866" s="28"/>
      <c r="G866" s="28"/>
      <c r="H866" s="226">
        <f>+(Catalogo!$J$56)*Tabla1[[#This Row],[Observaciones]]</f>
        <v>0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139" t="s">
        <v>530</v>
      </c>
      <c r="M866" s="263">
        <f>IF(Tabla1[[#This Row],[Avance_km]]&lt;&gt;"",Tabla1[[#This Row],[Avance_km]],Tabla1[[#This Row],[Avance_Med]])*_xlfn.XLOOKUP(Tabla1[[#This Row],[Codigo_actividad]],Catalogo!$B$6:$B$57,Catalogo!$F$6:$F$57,0)</f>
        <v>0</v>
      </c>
      <c r="N866" s="478"/>
    </row>
    <row r="867" spans="1:14" x14ac:dyDescent="0.25">
      <c r="A867" s="356"/>
      <c r="B867" s="201" t="s">
        <v>12</v>
      </c>
      <c r="C867" s="202" t="s">
        <v>535</v>
      </c>
      <c r="D867" s="203"/>
      <c r="E867" s="376" t="s">
        <v>513</v>
      </c>
      <c r="F867" s="28"/>
      <c r="G867" s="28"/>
      <c r="H867" s="226">
        <f>+(Catalogo!$J$56)*Tabla1[[#This Row],[Observaciones]]</f>
        <v>0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530</v>
      </c>
      <c r="M867" s="263">
        <f>IF(Tabla1[[#This Row],[Avance_km]]&lt;&gt;"",Tabla1[[#This Row],[Avance_km]],Tabla1[[#This Row],[Avance_Med]])*_xlfn.XLOOKUP(Tabla1[[#This Row],[Codigo_actividad]],Catalogo!$B$6:$B$57,Catalogo!$F$6:$F$57,0)</f>
        <v>0</v>
      </c>
      <c r="N867" s="478"/>
    </row>
    <row r="868" spans="1:14" x14ac:dyDescent="0.25">
      <c r="A868" s="356"/>
      <c r="B868" s="201" t="s">
        <v>29</v>
      </c>
      <c r="C868" s="202" t="s">
        <v>535</v>
      </c>
      <c r="D868" s="203"/>
      <c r="E868" s="376" t="s">
        <v>513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530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78"/>
    </row>
    <row r="869" spans="1:14" x14ac:dyDescent="0.25">
      <c r="A869" s="356"/>
      <c r="B869" s="116"/>
      <c r="C869" s="157"/>
      <c r="D869" s="39"/>
      <c r="F869" s="28"/>
      <c r="G869" s="28"/>
      <c r="H869" s="370" t="str">
        <f>IF(Tabla1[[#This Row],[Codigo_actividad]]&lt;&gt;2.5,IF(((Tabla1[[#This Row],[fin]]-Tabla1[[#This Row],[inicio]])/1000)=0,"",((Tabla1[[#This Row],[fin]]-Tabla1[[#This Row],[inicio]])/1000)),"")</f>
        <v/>
      </c>
      <c r="I869"/>
      <c r="J869" s="76"/>
      <c r="K869" s="76" t="str">
        <f>IF(_xlfn.XLOOKUP($J869,Catalogo!$B$7:$B$21,Catalogo!$I$7:$I$21,"",0)=0,"",_xlfn.XLOOKUP($J869,Catalogo!$B$7:$B$21,Catalogo!$I$7:$I$21,"",0))</f>
        <v/>
      </c>
      <c r="L869" s="139"/>
      <c r="M869" s="263"/>
    </row>
    <row r="870" spans="1:14" x14ac:dyDescent="0.25">
      <c r="A870" s="356"/>
      <c r="B870" s="201" t="s">
        <v>12</v>
      </c>
      <c r="C870" s="202" t="s">
        <v>329</v>
      </c>
      <c r="D870" s="203"/>
      <c r="E870" s="376" t="s">
        <v>514</v>
      </c>
      <c r="F870" s="28"/>
      <c r="G870" s="28"/>
      <c r="H870" s="226">
        <f>+(Catalogo!$J$57)*Tabla1[[#This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531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78"/>
    </row>
    <row r="871" spans="1:14" x14ac:dyDescent="0.25">
      <c r="A871" s="356"/>
      <c r="B871" s="201" t="s">
        <v>29</v>
      </c>
      <c r="C871" s="202" t="s">
        <v>411</v>
      </c>
      <c r="D871" s="203"/>
      <c r="E871" s="376" t="s">
        <v>514</v>
      </c>
      <c r="F871" s="28"/>
      <c r="G871" s="28"/>
      <c r="H871" s="226">
        <f>+(Catalogo!$J$57)*Tabla1[[#This Row],[Observaciones]]</f>
        <v>0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531</v>
      </c>
      <c r="M871" s="263">
        <f>IF(Tabla1[[#This Row],[Avance_km]]&lt;&gt;"",Tabla1[[#This Row],[Avance_km]],Tabla1[[#This Row],[Avance_Med]])*_xlfn.XLOOKUP(Tabla1[[#This Row],[Codigo_actividad]],Catalogo!$B$6:$B$57,Catalogo!$F$6:$F$57,0)</f>
        <v>0</v>
      </c>
      <c r="N871" s="478"/>
    </row>
    <row r="872" spans="1:14" x14ac:dyDescent="0.25">
      <c r="A872" s="356"/>
      <c r="B872" s="201" t="s">
        <v>12</v>
      </c>
      <c r="C872" s="202" t="s">
        <v>329</v>
      </c>
      <c r="D872" s="203"/>
      <c r="E872" s="376" t="s">
        <v>514</v>
      </c>
      <c r="F872" s="28"/>
      <c r="G872" s="28"/>
      <c r="H872" s="226">
        <f>+(Catalogo!$J$57)*Tabla1[[#This Row],[Observaciones]]</f>
        <v>0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531</v>
      </c>
      <c r="M872" s="263">
        <f>IF(Tabla1[[#This Row],[Avance_km]]&lt;&gt;"",Tabla1[[#This Row],[Avance_km]],Tabla1[[#This Row],[Avance_Med]])*_xlfn.XLOOKUP(Tabla1[[#This Row],[Codigo_actividad]],Catalogo!$B$6:$B$57,Catalogo!$F$6:$F$57,0)</f>
        <v>0</v>
      </c>
      <c r="N872" s="478"/>
    </row>
    <row r="873" spans="1:14" x14ac:dyDescent="0.25">
      <c r="A873" s="356"/>
      <c r="B873" s="201" t="s">
        <v>29</v>
      </c>
      <c r="C873" s="202" t="s">
        <v>411</v>
      </c>
      <c r="D873" s="203"/>
      <c r="E873" s="376" t="s">
        <v>514</v>
      </c>
      <c r="F873" s="28"/>
      <c r="G873" s="28"/>
      <c r="H873" s="226">
        <f>+(Catalogo!$J$57)*Tabla1[[#This Row],[Observaciones]]</f>
        <v>0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9" t="s">
        <v>531</v>
      </c>
      <c r="M873" s="263">
        <f>IF(Tabla1[[#This Row],[Avance_km]]&lt;&gt;"",Tabla1[[#This Row],[Avance_km]],Tabla1[[#This Row],[Avance_Med]])*_xlfn.XLOOKUP(Tabla1[[#This Row],[Codigo_actividad]],Catalogo!$B$6:$B$57,Catalogo!$F$6:$F$57,0)</f>
        <v>0</v>
      </c>
      <c r="N873" s="478"/>
    </row>
    <row r="874" spans="1:14" x14ac:dyDescent="0.25">
      <c r="A874" s="356"/>
      <c r="B874" s="201" t="s">
        <v>12</v>
      </c>
      <c r="C874" s="202" t="s">
        <v>535</v>
      </c>
      <c r="D874" s="203"/>
      <c r="E874" s="376" t="s">
        <v>514</v>
      </c>
      <c r="F874" s="28"/>
      <c r="G874" s="28"/>
      <c r="H874" s="226">
        <f>+(Catalogo!$J$57)*Tabla1[[#This Row],[Observaciones]]</f>
        <v>0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531</v>
      </c>
      <c r="M874" s="263">
        <f>IF(Tabla1[[#This Row],[Avance_km]]&lt;&gt;"",Tabla1[[#This Row],[Avance_km]],Tabla1[[#This Row],[Avance_Med]])*_xlfn.XLOOKUP(Tabla1[[#This Row],[Codigo_actividad]],Catalogo!$B$6:$B$57,Catalogo!$F$6:$F$57,0)</f>
        <v>0</v>
      </c>
      <c r="N874" s="478"/>
    </row>
    <row r="875" spans="1:14" x14ac:dyDescent="0.25">
      <c r="A875" s="356"/>
      <c r="B875" s="201" t="s">
        <v>29</v>
      </c>
      <c r="C875" s="202" t="s">
        <v>535</v>
      </c>
      <c r="D875" s="203"/>
      <c r="E875" s="376" t="s">
        <v>514</v>
      </c>
      <c r="F875" s="28"/>
      <c r="G875" s="28"/>
      <c r="H875" s="226">
        <f>+(Catalogo!$J$57)*Tabla1[[#This Row],[Observaciones]]</f>
        <v>0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531</v>
      </c>
      <c r="M875" s="263">
        <f>IF(Tabla1[[#This Row],[Avance_km]]&lt;&gt;"",Tabla1[[#This Row],[Avance_km]],Tabla1[[#This Row],[Avance_Med]])*_xlfn.XLOOKUP(Tabla1[[#This Row],[Codigo_actividad]],Catalogo!$B$6:$B$57,Catalogo!$F$6:$F$57,0)</f>
        <v>0</v>
      </c>
      <c r="N875" s="478"/>
    </row>
    <row r="876" spans="1:14" x14ac:dyDescent="0.25">
      <c r="A876" s="356"/>
      <c r="B876" s="116"/>
      <c r="C876" s="157"/>
      <c r="D876" s="39"/>
      <c r="F876" s="28"/>
      <c r="G876" s="28"/>
      <c r="H876" s="226" t="str">
        <f>IF(Tabla1[[#This Row],[Codigo_actividad]]&lt;&gt;2.5,IF(((Tabla1[[#This Row],[fin]]-Tabla1[[#This Row],[inicio]])/1000)=0,"",((Tabla1[[#This Row],[fin]]-Tabla1[[#This Row],[inicio]])/1000)),"")</f>
        <v/>
      </c>
      <c r="J876" s="76"/>
      <c r="K876" s="66" t="str">
        <f>IF(_xlfn.XLOOKUP($J876,Catalogo!$B$7:$B$21,Catalogo!$I$7:$I$21,"",0)=0,"",_xlfn.XLOOKUP($J876,Catalogo!$B$7:$B$21,Catalogo!$I$7:$I$21,"",0))</f>
        <v/>
      </c>
      <c r="L876" s="36"/>
      <c r="M876" s="263">
        <f>IF(Tabla1[[#This Row],[Avance_km]]&lt;&gt;"",Tabla1[[#This Row],[Avance_km]],Tabla1[[#This Row],[Avance_Med]])*_xlfn.XLOOKUP(Tabla1[[#This Row],[Codigo_actividad]],Catalogo!$B$6:$B$51,Catalogo!$F$6:$F$51,0)</f>
        <v>0</v>
      </c>
      <c r="N876" t="str">
        <f>_xlfn.IFNA(_xlfn.XLOOKUP(Tabla1[[#This Row],[fin]],$P$379:$P$386,$T$379:$T$386),"")</f>
        <v/>
      </c>
    </row>
    <row r="877" spans="1:14" x14ac:dyDescent="0.25">
      <c r="A877" s="361"/>
      <c r="B877" s="285"/>
      <c r="C877" s="286"/>
      <c r="D877" s="287"/>
      <c r="E877" s="380"/>
      <c r="F877" s="288"/>
      <c r="G877" s="288"/>
      <c r="H877" s="515" t="str">
        <f>IF(Tabla1[[#This Row],[Codigo_actividad]]&lt;&gt;2.5,IF(((Tabla1[[#This Row],[fin]]-Tabla1[[#This Row],[inicio]])/1000)=0,"",((Tabla1[[#This Row],[fin]]-Tabla1[[#This Row],[inicio]])/1000)),"")</f>
        <v/>
      </c>
      <c r="I877" s="519"/>
      <c r="J877" s="516"/>
      <c r="K877" s="516" t="str">
        <f>IF(_xlfn.XLOOKUP($J877,Catalogo!$B$7:$B$21,Catalogo!$I$7:$I$21,"",0)=0,"",_xlfn.XLOOKUP($J877,Catalogo!$B$7:$B$21,Catalogo!$I$7:$I$21,"",0))</f>
        <v/>
      </c>
      <c r="L877" s="517"/>
      <c r="M877" s="518">
        <f>IF(Tabla1[[#This Row],[Avance_km]]&lt;&gt;"",Tabla1[[#This Row],[Avance_km]],Tabla1[[#This Row],[Avance_Med]])*_xlfn.XLOOKUP(Tabla1[[#This Row],[Codigo_actividad]],Catalogo!$B$6:$B$51,Catalogo!$F$6:$F$51,0)</f>
        <v>0</v>
      </c>
      <c r="N877" s="519" t="str">
        <f>_xlfn.IFNA(_xlfn.XLOOKUP(Tabla1[[#This Row],[fin]],$P$379:$P$386,$T$379:$T$386),"")</f>
        <v/>
      </c>
    </row>
    <row r="878" spans="1:14" x14ac:dyDescent="0.25">
      <c r="A878" s="356"/>
      <c r="B878" s="116"/>
      <c r="C878" s="157"/>
      <c r="D878" s="39"/>
      <c r="F878" s="28"/>
      <c r="G878" s="28"/>
      <c r="H878" s="226" t="str">
        <f>IF(Tabla1[[#This Row],[Codigo_actividad]]&lt;&gt;2.5,IF(((Tabla1[[#This Row],[fin]]-Tabla1[[#This Row],[inicio]])/1000)=0,"",((Tabla1[[#This Row],[fin]]-Tabla1[[#This Row],[inicio]])/1000)),"")</f>
        <v/>
      </c>
      <c r="J878" s="76"/>
      <c r="K878" s="66" t="str">
        <f>IF(_xlfn.XLOOKUP($J878,Catalogo!$B$7:$B$21,Catalogo!$I$7:$I$21,"",0)=0,"",_xlfn.XLOOKUP($J878,Catalogo!$B$7:$B$21,Catalogo!$I$7:$I$21,"",0))</f>
        <v/>
      </c>
      <c r="L878" s="36"/>
      <c r="M878" s="263">
        <f>IF(Tabla1[[#This Row],[Avance_km]]&lt;&gt;"",Tabla1[[#This Row],[Avance_km]],Tabla1[[#This Row],[Avance_Med]])*_xlfn.XLOOKUP(Tabla1[[#This Row],[Codigo_actividad]],Catalogo!$B$6:$B$51,Catalogo!$F$6:$F$51,0)</f>
        <v>0</v>
      </c>
      <c r="N878" t="str">
        <f>_xlfn.IFNA(_xlfn.XLOOKUP(Tabla1[[#This Row],[fin]],$P$379:$P$386,$T$379:$T$386),"")</f>
        <v/>
      </c>
    </row>
    <row r="879" spans="1:14" x14ac:dyDescent="0.25">
      <c r="A879" s="356">
        <v>46294</v>
      </c>
      <c r="B879" s="116" t="s">
        <v>564</v>
      </c>
      <c r="C879" s="157" t="s">
        <v>13</v>
      </c>
      <c r="D879" s="506" t="s">
        <v>570</v>
      </c>
      <c r="E879" s="40" t="s">
        <v>563</v>
      </c>
      <c r="F879" s="493" t="s">
        <v>171</v>
      </c>
      <c r="G879" s="493" t="s">
        <v>171</v>
      </c>
      <c r="H879" s="502">
        <f>+Catalogo!$J$58*Tabla1[[#This Row],[Observaciones]]</f>
        <v>1.4028035349744601</v>
      </c>
      <c r="I879" s="66"/>
      <c r="J879" s="76">
        <v>2.4</v>
      </c>
      <c r="K879" s="66" t="str">
        <f>IF(_xlfn.XLOOKUP($J879,Catalogo!$B$7:$B$21,Catalogo!$I$7:$I$21,"",0)=0,"",_xlfn.XLOOKUP($J879,Catalogo!$B$7:$B$21,Catalogo!$I$7:$I$21,"",0))</f>
        <v>PCM</v>
      </c>
      <c r="L879" s="36"/>
      <c r="M87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79" s="505">
        <v>1</v>
      </c>
    </row>
    <row r="880" spans="1:14" x14ac:dyDescent="0.25">
      <c r="A880" s="356">
        <v>46294</v>
      </c>
      <c r="B880" s="116" t="s">
        <v>564</v>
      </c>
      <c r="C880" s="157" t="s">
        <v>13</v>
      </c>
      <c r="D880" s="506" t="s">
        <v>42</v>
      </c>
      <c r="E880" s="40" t="s">
        <v>563</v>
      </c>
      <c r="F880" s="493" t="s">
        <v>171</v>
      </c>
      <c r="G880" s="493" t="s">
        <v>171</v>
      </c>
      <c r="H880" s="502">
        <f>+Catalogo!$J$58*Tabla1[[#This Row],[Observaciones]]</f>
        <v>1.4028035349744601</v>
      </c>
      <c r="I880" s="66"/>
      <c r="J880" s="76">
        <v>2.4</v>
      </c>
      <c r="K880" s="66" t="str">
        <f>IF(_xlfn.XLOOKUP($J880,Catalogo!$B$7:$B$21,Catalogo!$I$7:$I$21,"",0)=0,"",_xlfn.XLOOKUP($J880,Catalogo!$B$7:$B$21,Catalogo!$I$7:$I$21,"",0))</f>
        <v>PCM</v>
      </c>
      <c r="L880" s="36"/>
      <c r="M88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80" s="505">
        <v>1</v>
      </c>
    </row>
    <row r="881" spans="1:14" x14ac:dyDescent="0.25">
      <c r="A881" s="356">
        <v>46294</v>
      </c>
      <c r="B881" s="116" t="s">
        <v>564</v>
      </c>
      <c r="C881" s="157" t="s">
        <v>411</v>
      </c>
      <c r="D881" s="506" t="s">
        <v>580</v>
      </c>
      <c r="E881" s="40" t="s">
        <v>563</v>
      </c>
      <c r="F881" s="493" t="s">
        <v>171</v>
      </c>
      <c r="G881" s="493" t="s">
        <v>171</v>
      </c>
      <c r="H881" s="502">
        <f>+Catalogo!$J$58*Tabla1[[#This Row],[Observaciones]]</f>
        <v>1.4028035349744601</v>
      </c>
      <c r="I881" s="66"/>
      <c r="J881" s="76">
        <v>2.4</v>
      </c>
      <c r="K881" s="66" t="str">
        <f>IF(_xlfn.XLOOKUP($J881,Catalogo!$B$7:$B$21,Catalogo!$I$7:$I$21,"",0)=0,"",_xlfn.XLOOKUP($J881,Catalogo!$B$7:$B$21,Catalogo!$I$7:$I$21,"",0))</f>
        <v>PCM</v>
      </c>
      <c r="L881" s="36"/>
      <c r="M88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81" s="505">
        <v>1</v>
      </c>
    </row>
    <row r="882" spans="1:14" x14ac:dyDescent="0.25">
      <c r="A882" s="356">
        <v>46297</v>
      </c>
      <c r="B882" s="116" t="s">
        <v>564</v>
      </c>
      <c r="C882" s="157" t="s">
        <v>329</v>
      </c>
      <c r="D882" s="507" t="s">
        <v>575</v>
      </c>
      <c r="E882" s="40" t="s">
        <v>563</v>
      </c>
      <c r="F882" s="493" t="s">
        <v>171</v>
      </c>
      <c r="G882" s="493" t="s">
        <v>171</v>
      </c>
      <c r="H882" s="502">
        <f>+Catalogo!$J$58*Tabla1[[#This Row],[Observaciones]]</f>
        <v>1.4028035349744601</v>
      </c>
      <c r="I882" s="66"/>
      <c r="J882" s="76">
        <v>2.4</v>
      </c>
      <c r="K882" s="66" t="str">
        <f>IF(_xlfn.XLOOKUP($J882,Catalogo!$B$7:$B$21,Catalogo!$I$7:$I$21,"",0)=0,"",_xlfn.XLOOKUP($J882,Catalogo!$B$7:$B$21,Catalogo!$I$7:$I$21,"",0))</f>
        <v>PCM</v>
      </c>
      <c r="L882" s="36"/>
      <c r="M88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82" s="505">
        <v>1</v>
      </c>
    </row>
    <row r="883" spans="1:14" x14ac:dyDescent="0.25">
      <c r="A883" s="356">
        <v>46296</v>
      </c>
      <c r="B883" s="116" t="s">
        <v>564</v>
      </c>
      <c r="C883" s="157" t="s">
        <v>329</v>
      </c>
      <c r="D883" s="507" t="s">
        <v>578</v>
      </c>
      <c r="E883" s="40" t="s">
        <v>563</v>
      </c>
      <c r="F883" s="493" t="s">
        <v>171</v>
      </c>
      <c r="G883" s="493" t="s">
        <v>171</v>
      </c>
      <c r="H883" s="502">
        <f>+Catalogo!$J$58*Tabla1[[#This Row],[Observaciones]]</f>
        <v>1.4028035349744601</v>
      </c>
      <c r="I883" s="66"/>
      <c r="J883" s="76">
        <v>2.4</v>
      </c>
      <c r="K883" s="66" t="str">
        <f>IF(_xlfn.XLOOKUP($J883,Catalogo!$B$7:$B$21,Catalogo!$I$7:$I$21,"",0)=0,"",_xlfn.XLOOKUP($J883,Catalogo!$B$7:$B$21,Catalogo!$I$7:$I$21,"",0))</f>
        <v>PCM</v>
      </c>
      <c r="L883" s="36"/>
      <c r="M88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83" s="505">
        <v>1</v>
      </c>
    </row>
    <row r="884" spans="1:14" x14ac:dyDescent="0.25">
      <c r="A884" s="356">
        <v>46296</v>
      </c>
      <c r="B884" s="116" t="s">
        <v>564</v>
      </c>
      <c r="C884" s="157" t="s">
        <v>510</v>
      </c>
      <c r="D884" s="507" t="s">
        <v>582</v>
      </c>
      <c r="E884" s="40" t="s">
        <v>563</v>
      </c>
      <c r="F884" s="493" t="s">
        <v>171</v>
      </c>
      <c r="G884" s="493" t="s">
        <v>171</v>
      </c>
      <c r="H884" s="502">
        <f>+Catalogo!$J$58*Tabla1[[#This Row],[Observaciones]]</f>
        <v>1.4028035349744601</v>
      </c>
      <c r="I884" s="66"/>
      <c r="J884" s="76">
        <v>2.4</v>
      </c>
      <c r="K884" s="66" t="str">
        <f>IF(_xlfn.XLOOKUP($J884,Catalogo!$B$7:$B$21,Catalogo!$I$7:$I$21,"",0)=0,"",_xlfn.XLOOKUP($J884,Catalogo!$B$7:$B$21,Catalogo!$I$7:$I$21,"",0))</f>
        <v>PCM</v>
      </c>
      <c r="L884" s="36"/>
      <c r="M88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84" s="505">
        <v>1</v>
      </c>
    </row>
    <row r="885" spans="1:14" x14ac:dyDescent="0.25">
      <c r="A885" s="356">
        <v>46297</v>
      </c>
      <c r="B885" s="116" t="s">
        <v>564</v>
      </c>
      <c r="C885" s="157" t="s">
        <v>510</v>
      </c>
      <c r="D885" s="507" t="s">
        <v>585</v>
      </c>
      <c r="E885" s="40" t="s">
        <v>563</v>
      </c>
      <c r="F885" s="493" t="s">
        <v>171</v>
      </c>
      <c r="G885" s="493" t="s">
        <v>171</v>
      </c>
      <c r="H885" s="502">
        <f>+Catalogo!$J$58*Tabla1[[#This Row],[Observaciones]]</f>
        <v>1.4028035349744601</v>
      </c>
      <c r="I885" s="66"/>
      <c r="J885" s="76">
        <v>2.4</v>
      </c>
      <c r="K885" s="66" t="str">
        <f>IF(_xlfn.XLOOKUP($J885,Catalogo!$B$7:$B$21,Catalogo!$I$7:$I$21,"",0)=0,"",_xlfn.XLOOKUP($J885,Catalogo!$B$7:$B$21,Catalogo!$I$7:$I$21,"",0))</f>
        <v>PCM</v>
      </c>
      <c r="L885" s="36"/>
      <c r="M88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85" s="505">
        <v>1</v>
      </c>
    </row>
    <row r="886" spans="1:14" x14ac:dyDescent="0.25">
      <c r="A886" s="356"/>
      <c r="B886" s="116"/>
      <c r="C886" s="157"/>
      <c r="D886" s="39"/>
      <c r="F886" s="28"/>
      <c r="G886" s="28"/>
      <c r="H886" s="226" t="str">
        <f>IF(Tabla1[[#This Row],[Codigo_actividad]]&lt;&gt;2.5,IF(((Tabla1[[#This Row],[fin]]-Tabla1[[#This Row],[inicio]])/1000)=0,"",((Tabla1[[#This Row],[fin]]-Tabla1[[#This Row],[inicio]])/1000)),"")</f>
        <v/>
      </c>
      <c r="J886" s="76"/>
      <c r="K886" s="66" t="str">
        <f>IF(_xlfn.XLOOKUP($J886,Catalogo!$B$7:$B$21,Catalogo!$I$7:$I$21,"",0)=0,"",_xlfn.XLOOKUP($J886,Catalogo!$B$7:$B$21,Catalogo!$I$7:$I$21,"",0))</f>
        <v/>
      </c>
      <c r="L886" s="36"/>
      <c r="M886" s="263">
        <f>IF(Tabla1[[#This Row],[Avance_km]]&lt;&gt;"",Tabla1[[#This Row],[Avance_km]],Tabla1[[#This Row],[Avance_Med]])*_xlfn.XLOOKUP(Tabla1[[#This Row],[Codigo_actividad]],Catalogo!$B$6:$B$51,Catalogo!$F$6:$F$51,0)</f>
        <v>0</v>
      </c>
      <c r="N886" t="str">
        <f>_xlfn.IFNA(_xlfn.XLOOKUP(Tabla1[[#This Row],[fin]],$P$379:$P$386,$T$379:$T$386),"")</f>
        <v/>
      </c>
    </row>
    <row r="887" spans="1:14" x14ac:dyDescent="0.25">
      <c r="A887" s="361"/>
      <c r="B887" s="285"/>
      <c r="C887" s="286"/>
      <c r="D887" s="287"/>
      <c r="E887" s="380"/>
      <c r="F887" s="288"/>
      <c r="G887" s="288"/>
      <c r="H887" s="515" t="str">
        <f>IF(Tabla1[[#This Row],[Codigo_actividad]]&lt;&gt;2.5,IF(((Tabla1[[#This Row],[fin]]-Tabla1[[#This Row],[inicio]])/1000)=0,"",((Tabla1[[#This Row],[fin]]-Tabla1[[#This Row],[inicio]])/1000)),"")</f>
        <v/>
      </c>
      <c r="I887" s="519"/>
      <c r="J887" s="516"/>
      <c r="K887" s="516" t="str">
        <f>IF(_xlfn.XLOOKUP($J887,Catalogo!$B$7:$B$21,Catalogo!$I$7:$I$21,"",0)=0,"",_xlfn.XLOOKUP($J887,Catalogo!$B$7:$B$21,Catalogo!$I$7:$I$21,"",0))</f>
        <v/>
      </c>
      <c r="L887" s="517"/>
      <c r="M887" s="518">
        <f>IF(Tabla1[[#This Row],[Avance_km]]&lt;&gt;"",Tabla1[[#This Row],[Avance_km]],Tabla1[[#This Row],[Avance_Med]])*_xlfn.XLOOKUP(Tabla1[[#This Row],[Codigo_actividad]],Catalogo!$B$6:$B$51,Catalogo!$F$6:$F$51,0)</f>
        <v>0</v>
      </c>
      <c r="N887" s="519" t="str">
        <f>_xlfn.IFNA(_xlfn.XLOOKUP(Tabla1[[#This Row],[fin]],$P$379:$P$386,$T$379:$T$386),"")</f>
        <v/>
      </c>
    </row>
    <row r="888" spans="1:14" x14ac:dyDescent="0.25">
      <c r="A888" s="356"/>
      <c r="C888" s="157"/>
      <c r="D888" s="39"/>
      <c r="F888" s="28"/>
      <c r="G888" s="28"/>
      <c r="H888" s="226" t="str">
        <f>IF(Tabla1[[#This Row],[Codigo_actividad]]&lt;&gt;2.5,IF(((Tabla1[[#This Row],[fin]]-Tabla1[[#This Row],[inicio]])/1000)=0,"",((Tabla1[[#This Row],[fin]]-Tabla1[[#This Row],[inicio]])/1000)),"")</f>
        <v/>
      </c>
      <c r="J888" s="76"/>
      <c r="K888" s="66" t="str">
        <f>IF(_xlfn.XLOOKUP($J888,Catalogo!$B$7:$B$210,Catalogo!$I$7:$I$210,"",0)=0,"",_xlfn.XLOOKUP($J888,Catalogo!$B$7:$B$210,Catalogo!$I$7:$I$210,"",0))</f>
        <v/>
      </c>
      <c r="L888" s="36"/>
      <c r="M88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889" spans="1:14" x14ac:dyDescent="0.25">
      <c r="A889" s="358">
        <v>46111</v>
      </c>
      <c r="B889" s="264" t="s">
        <v>410</v>
      </c>
      <c r="C889" s="265" t="s">
        <v>13</v>
      </c>
      <c r="D889" s="266" t="s">
        <v>403</v>
      </c>
      <c r="E889" s="377" t="s">
        <v>404</v>
      </c>
      <c r="F889" s="267"/>
      <c r="G889" s="267"/>
      <c r="H889" s="226" t="str">
        <f>IF(Tabla1[[#This Row],[Codigo_actividad]]&lt;&gt;2.5,IF(((Tabla1[[#This Row],[fin]]-Tabla1[[#This Row],[inicio]])/1000)=0,"",((Tabla1[[#This Row],[fin]]-Tabla1[[#This Row],[inicio]])/1000)),"")</f>
        <v/>
      </c>
      <c r="I889" s="66"/>
      <c r="J889" s="76">
        <v>1.1000000000000001</v>
      </c>
      <c r="K889" s="66" t="str">
        <f>IF(_xlfn.XLOOKUP($J889,Catalogo!$B$7:$B$210,Catalogo!$I$7:$I$210,"",0)=0,"",_xlfn.XLOOKUP($J889,Catalogo!$B$7:$B$210,Catalogo!$I$7:$I$210,"",0))</f>
        <v>RECOPILACION</v>
      </c>
      <c r="L889" s="36"/>
      <c r="M88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890" spans="1:14" x14ac:dyDescent="0.25">
      <c r="A890" s="358">
        <v>46111</v>
      </c>
      <c r="B890" s="264" t="s">
        <v>410</v>
      </c>
      <c r="C890" s="265" t="s">
        <v>13</v>
      </c>
      <c r="D890" s="266" t="s">
        <v>403</v>
      </c>
      <c r="E890" s="377" t="s">
        <v>405</v>
      </c>
      <c r="F890" s="267"/>
      <c r="G890" s="267"/>
      <c r="H890" s="226" t="str">
        <f>IF(Tabla1[[#This Row],[Codigo_actividad]]&lt;&gt;2.5,IF(((Tabla1[[#This Row],[fin]]-Tabla1[[#This Row],[inicio]])/1000)=0,"",((Tabla1[[#This Row],[fin]]-Tabla1[[#This Row],[inicio]])/1000)),"")</f>
        <v/>
      </c>
      <c r="I890" s="66"/>
      <c r="J890" s="76">
        <v>1.2</v>
      </c>
      <c r="K890" s="66" t="str">
        <f>IF(_xlfn.XLOOKUP($J890,Catalogo!$B$7:$B$210,Catalogo!$I$7:$I$210,"",0)=0,"",_xlfn.XLOOKUP($J890,Catalogo!$B$7:$B$210,Catalogo!$I$7:$I$210,"",0))</f>
        <v>ANALISIS</v>
      </c>
      <c r="L890" s="36"/>
      <c r="M8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891" spans="1:14" x14ac:dyDescent="0.25">
      <c r="A891" s="358">
        <v>46111</v>
      </c>
      <c r="B891" s="264" t="s">
        <v>410</v>
      </c>
      <c r="C891" s="265" t="s">
        <v>13</v>
      </c>
      <c r="D891" s="266" t="s">
        <v>403</v>
      </c>
      <c r="E891" s="377" t="s">
        <v>406</v>
      </c>
      <c r="F891" s="267"/>
      <c r="G891" s="267"/>
      <c r="H891" s="226" t="str">
        <f>IF(Tabla1[[#This Row],[Codigo_actividad]]&lt;&gt;2.5,IF(((Tabla1[[#This Row],[fin]]-Tabla1[[#This Row],[inicio]])/1000)=0,"",((Tabla1[[#This Row],[fin]]-Tabla1[[#This Row],[inicio]])/1000)),"")</f>
        <v/>
      </c>
      <c r="I891" s="66"/>
      <c r="J891" s="76">
        <v>1.3</v>
      </c>
      <c r="K891" s="66" t="str">
        <f>IF(_xlfn.XLOOKUP($J891,Catalogo!$B$7:$B$210,Catalogo!$I$7:$I$210,"",0)=0,"",_xlfn.XLOOKUP($J891,Catalogo!$B$7:$B$210,Catalogo!$I$7:$I$210,"",0))</f>
        <v>FACTIBILIDAD</v>
      </c>
      <c r="L891" s="36"/>
      <c r="M89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892" spans="1:14" x14ac:dyDescent="0.25">
      <c r="A892" s="358">
        <v>46111</v>
      </c>
      <c r="B892" s="264" t="s">
        <v>410</v>
      </c>
      <c r="C892" s="265" t="s">
        <v>13</v>
      </c>
      <c r="D892" s="266" t="s">
        <v>403</v>
      </c>
      <c r="E892" s="377" t="s">
        <v>407</v>
      </c>
      <c r="F892" s="267"/>
      <c r="G892" s="267"/>
      <c r="H892" s="226" t="str">
        <f>IF(Tabla1[[#This Row],[Codigo_actividad]]&lt;&gt;2.5,IF(((Tabla1[[#This Row],[fin]]-Tabla1[[#This Row],[inicio]])/1000)=0,"",((Tabla1[[#This Row],[fin]]-Tabla1[[#This Row],[inicio]])/1000)),"")</f>
        <v/>
      </c>
      <c r="I892" s="66"/>
      <c r="J892" s="76">
        <v>1.4</v>
      </c>
      <c r="K892" s="66" t="str">
        <f>IF(_xlfn.XLOOKUP($J892,Catalogo!$B$7:$B$210,Catalogo!$I$7:$I$210,"",0)=0,"",_xlfn.XLOOKUP($J892,Catalogo!$B$7:$B$210,Catalogo!$I$7:$I$210,"",0))</f>
        <v>SELECCIÓN HERRAMIENTAS</v>
      </c>
      <c r="L892" s="36"/>
      <c r="M89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893" spans="1:14" x14ac:dyDescent="0.25">
      <c r="A893" s="358">
        <v>46111</v>
      </c>
      <c r="B893" s="264" t="s">
        <v>410</v>
      </c>
      <c r="C893" s="265" t="s">
        <v>13</v>
      </c>
      <c r="D893" s="266" t="s">
        <v>403</v>
      </c>
      <c r="E893" s="377" t="s">
        <v>408</v>
      </c>
      <c r="F893" s="267"/>
      <c r="G893" s="267"/>
      <c r="H893" s="226" t="str">
        <f>IF(Tabla1[[#This Row],[Codigo_actividad]]&lt;&gt;2.5,IF(((Tabla1[[#This Row],[fin]]-Tabla1[[#This Row],[inicio]])/1000)=0,"",((Tabla1[[#This Row],[fin]]-Tabla1[[#This Row],[inicio]])/1000)),"")</f>
        <v/>
      </c>
      <c r="I893" s="66"/>
      <c r="J893" s="76">
        <v>1.5</v>
      </c>
      <c r="K893" s="66" t="str">
        <f>IF(_xlfn.XLOOKUP($J893,Catalogo!$B$7:$B$210,Catalogo!$I$7:$I$210,"",0)=0,"",_xlfn.XLOOKUP($J893,Catalogo!$B$7:$B$210,Catalogo!$I$7:$I$210,"",0))</f>
        <v>REGIONES ECDA</v>
      </c>
      <c r="L893" s="36"/>
      <c r="M8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894" spans="1:14" x14ac:dyDescent="0.25">
      <c r="A894" s="358">
        <v>46111</v>
      </c>
      <c r="B894" s="264" t="s">
        <v>410</v>
      </c>
      <c r="C894" s="265" t="s">
        <v>13</v>
      </c>
      <c r="D894" s="266" t="s">
        <v>403</v>
      </c>
      <c r="E894" s="377" t="s">
        <v>409</v>
      </c>
      <c r="F894" s="267"/>
      <c r="G894" s="267"/>
      <c r="H894" s="226" t="str">
        <f>IF(Tabla1[[#This Row],[Codigo_actividad]]&lt;&gt;2.5,IF(((Tabla1[[#This Row],[fin]]-Tabla1[[#This Row],[inicio]])/1000)=0,"",((Tabla1[[#This Row],[fin]]-Tabla1[[#This Row],[inicio]])/1000)),"")</f>
        <v/>
      </c>
      <c r="I894" s="66"/>
      <c r="J894" s="76">
        <v>1.6</v>
      </c>
      <c r="K894" s="66" t="str">
        <f>IF(_xlfn.XLOOKUP($J894,Catalogo!$B$7:$B$210,Catalogo!$I$7:$I$210,"",0)=0,"",_xlfn.XLOOKUP($J894,Catalogo!$B$7:$B$210,Catalogo!$I$7:$I$210,"",0))</f>
        <v>REPORTE E1</v>
      </c>
      <c r="L894" s="36"/>
      <c r="M89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895" spans="1:14" x14ac:dyDescent="0.25">
      <c r="A895" s="359">
        <v>46111</v>
      </c>
      <c r="B895" s="268" t="s">
        <v>410</v>
      </c>
      <c r="C895" s="269" t="s">
        <v>22</v>
      </c>
      <c r="D895" s="270" t="s">
        <v>403</v>
      </c>
      <c r="E895" s="378" t="s">
        <v>404</v>
      </c>
      <c r="F895" s="271"/>
      <c r="G895" s="271"/>
      <c r="H895" s="226" t="str">
        <f>IF(Tabla1[[#This Row],[Codigo_actividad]]&lt;&gt;2.5,IF(((Tabla1[[#This Row],[fin]]-Tabla1[[#This Row],[inicio]])/1000)=0,"",((Tabla1[[#This Row],[fin]]-Tabla1[[#This Row],[inicio]])/1000)),"")</f>
        <v/>
      </c>
      <c r="I895" s="66">
        <v>17</v>
      </c>
      <c r="J895" s="76">
        <v>1.1000000000000001</v>
      </c>
      <c r="K895" s="66" t="str">
        <f>IF(_xlfn.XLOOKUP($J895,Catalogo!$B$7:$B$210,Catalogo!$I$7:$I$210,"",0)=0,"",_xlfn.XLOOKUP($J895,Catalogo!$B$7:$B$210,Catalogo!$I$7:$I$210,"",0))</f>
        <v>RECOPILACION</v>
      </c>
      <c r="L895" s="36"/>
      <c r="M895" s="263">
        <f>IF(Tabla1[[#This Row],[Avance_km]]&lt;&gt;"",Tabla1[[#This Row],[Avance_km]],Tabla1[[#This Row],[Avance_Med]])*_xlfn.XLOOKUP(Tabla1[[#This Row],[Codigo_actividad]],Catalogo!$B$6:$B$51,Catalogo!$F$6:$F$51,0)</f>
        <v>43057.77</v>
      </c>
      <c r="N895">
        <v>17</v>
      </c>
    </row>
    <row r="896" spans="1:14" x14ac:dyDescent="0.25">
      <c r="A896" s="359">
        <v>46111</v>
      </c>
      <c r="B896" s="268" t="s">
        <v>410</v>
      </c>
      <c r="C896" s="269" t="s">
        <v>22</v>
      </c>
      <c r="D896" s="270" t="s">
        <v>403</v>
      </c>
      <c r="E896" s="378" t="s">
        <v>405</v>
      </c>
      <c r="F896" s="271"/>
      <c r="G896" s="271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I896" s="66">
        <v>17</v>
      </c>
      <c r="J896" s="76">
        <v>1.2</v>
      </c>
      <c r="K896" s="66" t="str">
        <f>IF(_xlfn.XLOOKUP($J896,Catalogo!$B$7:$B$210,Catalogo!$I$7:$I$210,"",0)=0,"",_xlfn.XLOOKUP($J896,Catalogo!$B$7:$B$210,Catalogo!$I$7:$I$210,"",0))</f>
        <v>ANALISIS</v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55250.170000000006</v>
      </c>
      <c r="N896">
        <v>17</v>
      </c>
    </row>
    <row r="897" spans="1:14" x14ac:dyDescent="0.25">
      <c r="A897" s="359">
        <v>46111</v>
      </c>
      <c r="B897" s="268" t="s">
        <v>410</v>
      </c>
      <c r="C897" s="269" t="s">
        <v>22</v>
      </c>
      <c r="D897" s="270" t="s">
        <v>403</v>
      </c>
      <c r="E897" s="378" t="s">
        <v>406</v>
      </c>
      <c r="F897" s="271"/>
      <c r="G897" s="271"/>
      <c r="H897" s="226" t="str">
        <f>IF(Tabla1[[#This Row],[Codigo_actividad]]&lt;&gt;2.5,IF(((Tabla1[[#This Row],[fin]]-Tabla1[[#This Row],[inicio]])/1000)=0,"",((Tabla1[[#This Row],[fin]]-Tabla1[[#This Row],[inicio]])/1000)),"")</f>
        <v/>
      </c>
      <c r="I897" s="66">
        <v>17</v>
      </c>
      <c r="J897" s="76">
        <v>1.3</v>
      </c>
      <c r="K897" s="66" t="str">
        <f>IF(_xlfn.XLOOKUP($J897,Catalogo!$B$7:$B$210,Catalogo!$I$7:$I$210,"",0)=0,"",_xlfn.XLOOKUP($J897,Catalogo!$B$7:$B$210,Catalogo!$I$7:$I$210,"",0))</f>
        <v>FACTIBILIDAD</v>
      </c>
      <c r="L897" s="36"/>
      <c r="M897" s="263">
        <f>IF(Tabla1[[#This Row],[Avance_km]]&lt;&gt;"",Tabla1[[#This Row],[Avance_km]],Tabla1[[#This Row],[Avance_Med]])*_xlfn.XLOOKUP(Tabla1[[#This Row],[Codigo_actividad]],Catalogo!$B$6:$B$51,Catalogo!$F$6:$F$51,0)</f>
        <v>16750.440000000002</v>
      </c>
      <c r="N897">
        <v>17</v>
      </c>
    </row>
    <row r="898" spans="1:14" x14ac:dyDescent="0.25">
      <c r="A898" s="359">
        <v>46111</v>
      </c>
      <c r="B898" s="268" t="s">
        <v>410</v>
      </c>
      <c r="C898" s="269" t="s">
        <v>22</v>
      </c>
      <c r="D898" s="270" t="s">
        <v>403</v>
      </c>
      <c r="E898" s="378" t="s">
        <v>407</v>
      </c>
      <c r="F898" s="271"/>
      <c r="G898" s="271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I898" s="66">
        <v>17</v>
      </c>
      <c r="J898" s="76">
        <v>1.4</v>
      </c>
      <c r="K898" s="66" t="str">
        <f>IF(_xlfn.XLOOKUP($J898,Catalogo!$B$7:$B$210,Catalogo!$I$7:$I$210,"",0)=0,"",_xlfn.XLOOKUP($J898,Catalogo!$B$7:$B$210,Catalogo!$I$7:$I$210,"",0))</f>
        <v>SELECCIÓN HERRAMIENTAS</v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18069.64</v>
      </c>
      <c r="N898">
        <v>17</v>
      </c>
    </row>
    <row r="899" spans="1:14" x14ac:dyDescent="0.25">
      <c r="A899" s="359">
        <v>46111</v>
      </c>
      <c r="B899" s="268" t="s">
        <v>410</v>
      </c>
      <c r="C899" s="269" t="s">
        <v>22</v>
      </c>
      <c r="D899" s="270" t="s">
        <v>403</v>
      </c>
      <c r="E899" s="378" t="s">
        <v>408</v>
      </c>
      <c r="F899" s="271"/>
      <c r="G899" s="271"/>
      <c r="H899" s="226" t="str">
        <f>IF(Tabla1[[#This Row],[Codigo_actividad]]&lt;&gt;2.5,IF(((Tabla1[[#This Row],[fin]]-Tabla1[[#This Row],[inicio]])/1000)=0,"",((Tabla1[[#This Row],[fin]]-Tabla1[[#This Row],[inicio]])/1000)),"")</f>
        <v/>
      </c>
      <c r="I899" s="66">
        <v>17</v>
      </c>
      <c r="J899" s="76">
        <v>1.5</v>
      </c>
      <c r="K899" s="66" t="str">
        <f>IF(_xlfn.XLOOKUP($J899,Catalogo!$B$7:$B$210,Catalogo!$I$7:$I$210,"",0)=0,"",_xlfn.XLOOKUP($J899,Catalogo!$B$7:$B$210,Catalogo!$I$7:$I$210,"",0))</f>
        <v>REGIONES ECDA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22733.25</v>
      </c>
      <c r="N899">
        <v>17</v>
      </c>
    </row>
    <row r="900" spans="1:14" x14ac:dyDescent="0.25">
      <c r="A900" s="359">
        <v>46111</v>
      </c>
      <c r="B900" s="268" t="s">
        <v>410</v>
      </c>
      <c r="C900" s="269" t="s">
        <v>22</v>
      </c>
      <c r="D900" s="270" t="s">
        <v>403</v>
      </c>
      <c r="E900" s="378" t="s">
        <v>409</v>
      </c>
      <c r="F900" s="271"/>
      <c r="G900" s="271"/>
      <c r="H900" s="226" t="str">
        <f>IF(Tabla1[[#This Row],[Codigo_actividad]]&lt;&gt;2.5,IF(((Tabla1[[#This Row],[fin]]-Tabla1[[#This Row],[inicio]])/1000)=0,"",((Tabla1[[#This Row],[fin]]-Tabla1[[#This Row],[inicio]])/1000)),"")</f>
        <v/>
      </c>
      <c r="I900" s="66">
        <v>17</v>
      </c>
      <c r="J900" s="76">
        <v>1.6</v>
      </c>
      <c r="K900" s="66" t="str">
        <f>IF(_xlfn.XLOOKUP($J900,Catalogo!$B$7:$B$210,Catalogo!$I$7:$I$210,"",0)=0,"",_xlfn.XLOOKUP($J900,Catalogo!$B$7:$B$210,Catalogo!$I$7:$I$210,"",0))</f>
        <v>REPORTE E1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26880.57</v>
      </c>
      <c r="N900">
        <v>17</v>
      </c>
    </row>
    <row r="901" spans="1:14" x14ac:dyDescent="0.25">
      <c r="A901" s="360">
        <v>46111</v>
      </c>
      <c r="B901" s="272" t="s">
        <v>410</v>
      </c>
      <c r="C901" s="273" t="s">
        <v>329</v>
      </c>
      <c r="D901" s="274" t="s">
        <v>403</v>
      </c>
      <c r="E901" s="379" t="s">
        <v>404</v>
      </c>
      <c r="F901" s="275"/>
      <c r="G901" s="275"/>
      <c r="H901" s="226" t="str">
        <f>IF(Tabla1[[#This Row],[Codigo_actividad]]&lt;&gt;2.5,IF(((Tabla1[[#This Row],[fin]]-Tabla1[[#This Row],[inicio]])/1000)=0,"",((Tabla1[[#This Row],[fin]]-Tabla1[[#This Row],[inicio]])/1000)),"")</f>
        <v/>
      </c>
      <c r="I901" s="66">
        <v>40</v>
      </c>
      <c r="J901" s="76">
        <v>1.1000000000000001</v>
      </c>
      <c r="K901" s="66" t="str">
        <f>IF(_xlfn.XLOOKUP($J901,Catalogo!$B$7:$B$210,Catalogo!$I$7:$I$210,"",0)=0,"",_xlfn.XLOOKUP($J901,Catalogo!$B$7:$B$210,Catalogo!$I$7:$I$210,"",0))</f>
        <v>RECOPILACION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101312.4</v>
      </c>
      <c r="N901">
        <v>40</v>
      </c>
    </row>
    <row r="902" spans="1:14" x14ac:dyDescent="0.25">
      <c r="A902" s="360">
        <v>46111</v>
      </c>
      <c r="B902" s="272" t="s">
        <v>410</v>
      </c>
      <c r="C902" s="273" t="s">
        <v>329</v>
      </c>
      <c r="D902" s="274" t="s">
        <v>403</v>
      </c>
      <c r="E902" s="379" t="s">
        <v>405</v>
      </c>
      <c r="F902" s="275"/>
      <c r="G902" s="275"/>
      <c r="H902" s="226" t="str">
        <f>IF(Tabla1[[#This Row],[Codigo_actividad]]&lt;&gt;2.5,IF(((Tabla1[[#This Row],[fin]]-Tabla1[[#This Row],[inicio]])/1000)=0,"",((Tabla1[[#This Row],[fin]]-Tabla1[[#This Row],[inicio]])/1000)),"")</f>
        <v/>
      </c>
      <c r="I902" s="66">
        <v>40</v>
      </c>
      <c r="J902" s="76">
        <v>1.2</v>
      </c>
      <c r="K902" s="66" t="str">
        <f>IF(_xlfn.XLOOKUP($J902,Catalogo!$B$7:$B$210,Catalogo!$I$7:$I$210,"",0)=0,"",_xlfn.XLOOKUP($J902,Catalogo!$B$7:$B$210,Catalogo!$I$7:$I$210,"",0))</f>
        <v>ANALISIS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130000.40000000001</v>
      </c>
      <c r="N902">
        <v>40</v>
      </c>
    </row>
    <row r="903" spans="1:14" x14ac:dyDescent="0.25">
      <c r="A903" s="360">
        <v>46111</v>
      </c>
      <c r="B903" s="272" t="s">
        <v>410</v>
      </c>
      <c r="C903" s="273" t="s">
        <v>329</v>
      </c>
      <c r="D903" s="274" t="s">
        <v>403</v>
      </c>
      <c r="E903" s="379" t="s">
        <v>406</v>
      </c>
      <c r="F903" s="275"/>
      <c r="G903" s="275"/>
      <c r="H903" s="226" t="str">
        <f>IF(Tabla1[[#This Row],[Codigo_actividad]]&lt;&gt;2.5,IF(((Tabla1[[#This Row],[fin]]-Tabla1[[#This Row],[inicio]])/1000)=0,"",((Tabla1[[#This Row],[fin]]-Tabla1[[#This Row],[inicio]])/1000)),"")</f>
        <v/>
      </c>
      <c r="I903" s="66">
        <v>40</v>
      </c>
      <c r="J903" s="76">
        <v>1.3</v>
      </c>
      <c r="K903" s="66" t="str">
        <f>IF(_xlfn.XLOOKUP($J903,Catalogo!$B$7:$B$210,Catalogo!$I$7:$I$210,"",0)=0,"",_xlfn.XLOOKUP($J903,Catalogo!$B$7:$B$210,Catalogo!$I$7:$I$210,"",0))</f>
        <v>FACTIBILIDAD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39412.800000000003</v>
      </c>
      <c r="N903">
        <v>40</v>
      </c>
    </row>
    <row r="904" spans="1:14" x14ac:dyDescent="0.25">
      <c r="A904" s="360">
        <v>46111</v>
      </c>
      <c r="B904" s="272" t="s">
        <v>410</v>
      </c>
      <c r="C904" s="273" t="s">
        <v>329</v>
      </c>
      <c r="D904" s="274" t="s">
        <v>403</v>
      </c>
      <c r="E904" s="379" t="s">
        <v>407</v>
      </c>
      <c r="F904" s="275"/>
      <c r="G904" s="275"/>
      <c r="H904" s="226" t="str">
        <f>IF(Tabla1[[#This Row],[Codigo_actividad]]&lt;&gt;2.5,IF(((Tabla1[[#This Row],[fin]]-Tabla1[[#This Row],[inicio]])/1000)=0,"",((Tabla1[[#This Row],[fin]]-Tabla1[[#This Row],[inicio]])/1000)),"")</f>
        <v/>
      </c>
      <c r="I904" s="66">
        <v>40</v>
      </c>
      <c r="J904" s="76">
        <v>1.4</v>
      </c>
      <c r="K904" s="66" t="str">
        <f>IF(_xlfn.XLOOKUP($J904,Catalogo!$B$7:$B$210,Catalogo!$I$7:$I$210,"",0)=0,"",_xlfn.XLOOKUP($J904,Catalogo!$B$7:$B$210,Catalogo!$I$7:$I$210,"",0))</f>
        <v>SELECCIÓN HERRAMIENTAS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42516.800000000003</v>
      </c>
      <c r="N904">
        <v>40</v>
      </c>
    </row>
    <row r="905" spans="1:14" x14ac:dyDescent="0.25">
      <c r="A905" s="360">
        <v>46111</v>
      </c>
      <c r="B905" s="272" t="s">
        <v>410</v>
      </c>
      <c r="C905" s="273" t="s">
        <v>329</v>
      </c>
      <c r="D905" s="274" t="s">
        <v>403</v>
      </c>
      <c r="E905" s="379" t="s">
        <v>408</v>
      </c>
      <c r="F905" s="275"/>
      <c r="G905" s="275"/>
      <c r="H905" s="226" t="str">
        <f>IF(Tabla1[[#This Row],[Codigo_actividad]]&lt;&gt;2.5,IF(((Tabla1[[#This Row],[fin]]-Tabla1[[#This Row],[inicio]])/1000)=0,"",((Tabla1[[#This Row],[fin]]-Tabla1[[#This Row],[inicio]])/1000)),"")</f>
        <v/>
      </c>
      <c r="I905" s="66">
        <v>40</v>
      </c>
      <c r="J905" s="76">
        <v>1.5</v>
      </c>
      <c r="K905" s="66" t="str">
        <f>IF(_xlfn.XLOOKUP($J905,Catalogo!$B$7:$B$210,Catalogo!$I$7:$I$210,"",0)=0,"",_xlfn.XLOOKUP($J905,Catalogo!$B$7:$B$210,Catalogo!$I$7:$I$210,"",0))</f>
        <v>REGIONES ECDA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53490</v>
      </c>
      <c r="N905">
        <v>40</v>
      </c>
    </row>
    <row r="906" spans="1:14" x14ac:dyDescent="0.25">
      <c r="A906" s="360">
        <v>46111</v>
      </c>
      <c r="B906" s="272" t="s">
        <v>410</v>
      </c>
      <c r="C906" s="273" t="s">
        <v>329</v>
      </c>
      <c r="D906" s="274" t="s">
        <v>403</v>
      </c>
      <c r="E906" s="379" t="s">
        <v>409</v>
      </c>
      <c r="F906" s="275"/>
      <c r="G906" s="275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I906" s="66">
        <v>40</v>
      </c>
      <c r="J906" s="76">
        <v>1.6</v>
      </c>
      <c r="K906" s="66" t="str">
        <f>IF(_xlfn.XLOOKUP($J906,Catalogo!$B$7:$B$210,Catalogo!$I$7:$I$210,"",0)=0,"",_xlfn.XLOOKUP($J906,Catalogo!$B$7:$B$210,Catalogo!$I$7:$I$210,"",0))</f>
        <v>REPORTE E1</v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63248.4</v>
      </c>
      <c r="N906">
        <v>40</v>
      </c>
    </row>
    <row r="907" spans="1:14" x14ac:dyDescent="0.25">
      <c r="A907" s="361">
        <v>46134</v>
      </c>
      <c r="B907" s="285" t="s">
        <v>410</v>
      </c>
      <c r="C907" s="286" t="s">
        <v>411</v>
      </c>
      <c r="D907" s="287" t="s">
        <v>403</v>
      </c>
      <c r="E907" s="380" t="s">
        <v>404</v>
      </c>
      <c r="F907" s="288"/>
      <c r="G907" s="288"/>
      <c r="H907" s="226" t="str">
        <f>IF(Tabla1[[#This Row],[Codigo_actividad]]&lt;&gt;2.5,IF(((Tabla1[[#This Row],[fin]]-Tabla1[[#This Row],[inicio]])/1000)=0,"",((Tabla1[[#This Row],[fin]]-Tabla1[[#This Row],[inicio]])/1000)),"")</f>
        <v/>
      </c>
      <c r="I907" s="66">
        <v>4</v>
      </c>
      <c r="J907" s="76">
        <v>1.1000000000000001</v>
      </c>
      <c r="K907" s="66" t="str">
        <f>IF(_xlfn.XLOOKUP($J907,Catalogo!$B$7:$B$210,Catalogo!$I$7:$I$210,"",0)=0,"",_xlfn.XLOOKUP($J907,Catalogo!$B$7:$B$210,Catalogo!$I$7:$I$210,"",0))</f>
        <v>RECOPILACION</v>
      </c>
      <c r="L907" s="36"/>
      <c r="M907" s="263">
        <f>IF(Tabla1[[#This Row],[Avance_km]]&lt;&gt;"",Tabla1[[#This Row],[Avance_km]],Tabla1[[#This Row],[Avance_Med]])*_xlfn.XLOOKUP(Tabla1[[#This Row],[Codigo_actividad]],Catalogo!$B$6:$B$51,Catalogo!$F$6:$F$51,0)</f>
        <v>10131.24</v>
      </c>
      <c r="N907">
        <v>4</v>
      </c>
    </row>
    <row r="908" spans="1:14" x14ac:dyDescent="0.25">
      <c r="A908" s="361">
        <v>46134</v>
      </c>
      <c r="B908" s="285" t="s">
        <v>410</v>
      </c>
      <c r="C908" s="286" t="s">
        <v>411</v>
      </c>
      <c r="D908" s="287" t="s">
        <v>403</v>
      </c>
      <c r="E908" s="380" t="s">
        <v>405</v>
      </c>
      <c r="F908" s="288"/>
      <c r="G908" s="28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I908" s="66">
        <v>4</v>
      </c>
      <c r="J908" s="76">
        <v>1.2</v>
      </c>
      <c r="K908" s="66" t="str">
        <f>IF(_xlfn.XLOOKUP($J908,Catalogo!$B$7:$B$210,Catalogo!$I$7:$I$210,"",0)=0,"",_xlfn.XLOOKUP($J908,Catalogo!$B$7:$B$210,Catalogo!$I$7:$I$210,"",0))</f>
        <v>ANALISIS</v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13000.04</v>
      </c>
      <c r="N908">
        <v>4</v>
      </c>
    </row>
    <row r="909" spans="1:14" x14ac:dyDescent="0.25">
      <c r="A909" s="361">
        <v>46134</v>
      </c>
      <c r="B909" s="285" t="s">
        <v>410</v>
      </c>
      <c r="C909" s="286" t="s">
        <v>411</v>
      </c>
      <c r="D909" s="287" t="s">
        <v>403</v>
      </c>
      <c r="E909" s="380" t="s">
        <v>406</v>
      </c>
      <c r="F909" s="288"/>
      <c r="G909" s="288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>
        <v>4</v>
      </c>
      <c r="J909" s="76">
        <v>1.3</v>
      </c>
      <c r="K909" s="66" t="str">
        <f>IF(_xlfn.XLOOKUP($J909,Catalogo!$B$7:$B$210,Catalogo!$I$7:$I$210,"",0)=0,"",_xlfn.XLOOKUP($J909,Catalogo!$B$7:$B$210,Catalogo!$I$7:$I$210,"",0))</f>
        <v>FACTIBILIDAD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3941.28</v>
      </c>
      <c r="N909">
        <v>4</v>
      </c>
    </row>
    <row r="910" spans="1:14" x14ac:dyDescent="0.25">
      <c r="A910" s="361">
        <v>46134</v>
      </c>
      <c r="B910" s="285" t="s">
        <v>410</v>
      </c>
      <c r="C910" s="286" t="s">
        <v>411</v>
      </c>
      <c r="D910" s="287" t="s">
        <v>403</v>
      </c>
      <c r="E910" s="380" t="s">
        <v>407</v>
      </c>
      <c r="F910" s="288"/>
      <c r="G910" s="288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1.4</v>
      </c>
      <c r="K910" s="66" t="str">
        <f>IF(_xlfn.XLOOKUP($J910,Catalogo!$B$7:$B$210,Catalogo!$I$7:$I$210,"",0)=0,"",_xlfn.XLOOKUP($J910,Catalogo!$B$7:$B$210,Catalogo!$I$7:$I$210,"",0))</f>
        <v>SELECCIÓN HERRAMIENTAS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0</v>
      </c>
      <c r="N910">
        <v>4</v>
      </c>
    </row>
    <row r="911" spans="1:14" x14ac:dyDescent="0.25">
      <c r="A911" s="361">
        <v>46134</v>
      </c>
      <c r="B911" s="285" t="s">
        <v>410</v>
      </c>
      <c r="C911" s="286" t="s">
        <v>411</v>
      </c>
      <c r="D911" s="287" t="s">
        <v>403</v>
      </c>
      <c r="E911" s="380" t="s">
        <v>408</v>
      </c>
      <c r="F911" s="288"/>
      <c r="G911" s="288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1.5</v>
      </c>
      <c r="K911" s="66" t="str">
        <f>IF(_xlfn.XLOOKUP($J911,Catalogo!$B$7:$B$210,Catalogo!$I$7:$I$210,"",0)=0,"",_xlfn.XLOOKUP($J911,Catalogo!$B$7:$B$210,Catalogo!$I$7:$I$210,"",0))</f>
        <v>REGIONES ECDA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0</v>
      </c>
      <c r="N911">
        <v>4</v>
      </c>
    </row>
    <row r="912" spans="1:14" x14ac:dyDescent="0.25">
      <c r="A912" s="361">
        <v>46134</v>
      </c>
      <c r="B912" s="285" t="s">
        <v>410</v>
      </c>
      <c r="C912" s="286" t="s">
        <v>411</v>
      </c>
      <c r="D912" s="287" t="s">
        <v>403</v>
      </c>
      <c r="E912" s="380" t="s">
        <v>409</v>
      </c>
      <c r="F912" s="288"/>
      <c r="G912" s="288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1.6</v>
      </c>
      <c r="K912" s="66" t="str">
        <f>IF(_xlfn.XLOOKUP($J912,Catalogo!$B$7:$B$210,Catalogo!$I$7:$I$210,"",0)=0,"",_xlfn.XLOOKUP($J912,Catalogo!$B$7:$B$210,Catalogo!$I$7:$I$210,"",0))</f>
        <v>REPORTE E1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0</v>
      </c>
      <c r="N912">
        <v>4</v>
      </c>
    </row>
    <row r="913" spans="1:14" x14ac:dyDescent="0.25">
      <c r="A913" s="362">
        <v>46135</v>
      </c>
      <c r="B913" s="289" t="s">
        <v>410</v>
      </c>
      <c r="C913" s="290" t="s">
        <v>535</v>
      </c>
      <c r="D913" s="291" t="s">
        <v>403</v>
      </c>
      <c r="E913" s="381" t="s">
        <v>404</v>
      </c>
      <c r="F913" s="292"/>
      <c r="G913" s="292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1.1000000000000001</v>
      </c>
      <c r="K913" s="66" t="str">
        <f>IF(_xlfn.XLOOKUP($J913,Catalogo!$B$7:$B$210,Catalogo!$I$7:$I$210,"",0)=0,"",_xlfn.XLOOKUP($J913,Catalogo!$B$7:$B$210,Catalogo!$I$7:$I$210,"",0))</f>
        <v>RECOPILACION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0</v>
      </c>
      <c r="N913">
        <v>13</v>
      </c>
    </row>
    <row r="914" spans="1:14" x14ac:dyDescent="0.25">
      <c r="A914" s="362">
        <v>46135</v>
      </c>
      <c r="B914" s="289" t="s">
        <v>410</v>
      </c>
      <c r="C914" s="290" t="s">
        <v>535</v>
      </c>
      <c r="D914" s="291" t="s">
        <v>403</v>
      </c>
      <c r="E914" s="381" t="s">
        <v>405</v>
      </c>
      <c r="F914" s="292"/>
      <c r="G914" s="292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1.2</v>
      </c>
      <c r="K914" s="66" t="str">
        <f>IF(_xlfn.XLOOKUP($J914,Catalogo!$B$7:$B$210,Catalogo!$I$7:$I$210,"",0)=0,"",_xlfn.XLOOKUP($J914,Catalogo!$B$7:$B$210,Catalogo!$I$7:$I$210,"",0))</f>
        <v>ANALISIS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0</v>
      </c>
      <c r="N914">
        <v>13</v>
      </c>
    </row>
    <row r="915" spans="1:14" x14ac:dyDescent="0.25">
      <c r="A915" s="362">
        <v>46135</v>
      </c>
      <c r="B915" s="289" t="s">
        <v>410</v>
      </c>
      <c r="C915" s="290" t="s">
        <v>535</v>
      </c>
      <c r="D915" s="291" t="s">
        <v>403</v>
      </c>
      <c r="E915" s="381" t="s">
        <v>406</v>
      </c>
      <c r="F915" s="292"/>
      <c r="G915" s="292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/>
      <c r="J915" s="76">
        <v>1.3</v>
      </c>
      <c r="K915" s="66" t="str">
        <f>IF(_xlfn.XLOOKUP($J915,Catalogo!$B$7:$B$210,Catalogo!$I$7:$I$210,"",0)=0,"",_xlfn.XLOOKUP($J915,Catalogo!$B$7:$B$210,Catalogo!$I$7:$I$210,"",0))</f>
        <v>FACTIBILIDAD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0</v>
      </c>
      <c r="N915">
        <v>13</v>
      </c>
    </row>
    <row r="916" spans="1:14" x14ac:dyDescent="0.25">
      <c r="A916" s="362">
        <v>46135</v>
      </c>
      <c r="B916" s="289" t="s">
        <v>410</v>
      </c>
      <c r="C916" s="290" t="s">
        <v>535</v>
      </c>
      <c r="D916" s="291" t="s">
        <v>403</v>
      </c>
      <c r="E916" s="381" t="s">
        <v>407</v>
      </c>
      <c r="F916" s="292"/>
      <c r="G916" s="292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/>
      <c r="J916" s="76">
        <v>1.4</v>
      </c>
      <c r="K916" s="66" t="str">
        <f>IF(_xlfn.XLOOKUP($J916,Catalogo!$B$7:$B$210,Catalogo!$I$7:$I$210,"",0)=0,"",_xlfn.XLOOKUP($J916,Catalogo!$B$7:$B$210,Catalogo!$I$7:$I$210,"",0))</f>
        <v>SELECCIÓN HERRAMIENTAS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0</v>
      </c>
      <c r="N916">
        <v>13</v>
      </c>
    </row>
    <row r="917" spans="1:14" x14ac:dyDescent="0.25">
      <c r="A917" s="362">
        <v>46135</v>
      </c>
      <c r="B917" s="289" t="s">
        <v>410</v>
      </c>
      <c r="C917" s="290" t="s">
        <v>535</v>
      </c>
      <c r="D917" s="291" t="s">
        <v>403</v>
      </c>
      <c r="E917" s="381" t="s">
        <v>408</v>
      </c>
      <c r="F917" s="292"/>
      <c r="G917" s="292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/>
      <c r="J917" s="76">
        <v>1.5</v>
      </c>
      <c r="K917" s="66" t="str">
        <f>IF(_xlfn.XLOOKUP($J917,Catalogo!$B$7:$B$210,Catalogo!$I$7:$I$210,"",0)=0,"",_xlfn.XLOOKUP($J917,Catalogo!$B$7:$B$210,Catalogo!$I$7:$I$210,"",0))</f>
        <v>REGIONES ECDA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0</v>
      </c>
      <c r="N917">
        <v>13</v>
      </c>
    </row>
    <row r="918" spans="1:14" x14ac:dyDescent="0.25">
      <c r="A918" s="362">
        <v>46135</v>
      </c>
      <c r="B918" s="289" t="s">
        <v>410</v>
      </c>
      <c r="C918" s="290" t="s">
        <v>535</v>
      </c>
      <c r="D918" s="291" t="s">
        <v>403</v>
      </c>
      <c r="E918" s="381" t="s">
        <v>409</v>
      </c>
      <c r="F918" s="292"/>
      <c r="G918" s="292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/>
      <c r="J918" s="76">
        <v>1.6</v>
      </c>
      <c r="K918" s="66" t="str">
        <f>IF(_xlfn.XLOOKUP($J918,Catalogo!$B$7:$B$210,Catalogo!$I$7:$I$210,"",0)=0,"",_xlfn.XLOOKUP($J918,Catalogo!$B$7:$B$210,Catalogo!$I$7:$I$210,"",0))</f>
        <v>REPORTE E1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0</v>
      </c>
      <c r="N918">
        <v>13</v>
      </c>
    </row>
    <row r="919" spans="1:14" x14ac:dyDescent="0.25">
      <c r="A919" s="363">
        <v>46111</v>
      </c>
      <c r="B919" s="276" t="s">
        <v>410</v>
      </c>
      <c r="C919" s="277" t="s">
        <v>265</v>
      </c>
      <c r="D919" s="278" t="s">
        <v>403</v>
      </c>
      <c r="E919" s="382" t="s">
        <v>404</v>
      </c>
      <c r="F919" s="279"/>
      <c r="G919" s="279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/>
      <c r="J919" s="76">
        <v>1.1000000000000001</v>
      </c>
      <c r="K919" s="66" t="str">
        <f>IF(_xlfn.XLOOKUP($J919,Catalogo!$B$7:$B$210,Catalogo!$I$7:$I$210,"",0)=0,"",_xlfn.XLOOKUP($J919,Catalogo!$B$7:$B$210,Catalogo!$I$7:$I$210,"",0))</f>
        <v>RECOPILACION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0</v>
      </c>
      <c r="N919">
        <v>3</v>
      </c>
    </row>
    <row r="920" spans="1:14" x14ac:dyDescent="0.25">
      <c r="A920" s="363">
        <v>46111</v>
      </c>
      <c r="B920" s="276" t="s">
        <v>410</v>
      </c>
      <c r="C920" s="277" t="s">
        <v>265</v>
      </c>
      <c r="D920" s="278" t="s">
        <v>403</v>
      </c>
      <c r="E920" s="382" t="s">
        <v>405</v>
      </c>
      <c r="F920" s="279"/>
      <c r="G920" s="279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/>
      <c r="J920" s="76">
        <v>1.2</v>
      </c>
      <c r="K920" s="66" t="str">
        <f>IF(_xlfn.XLOOKUP($J920,Catalogo!$B$7:$B$210,Catalogo!$I$7:$I$210,"",0)=0,"",_xlfn.XLOOKUP($J920,Catalogo!$B$7:$B$210,Catalogo!$I$7:$I$210,"",0))</f>
        <v>ANALISIS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0</v>
      </c>
      <c r="N920">
        <v>3</v>
      </c>
    </row>
    <row r="921" spans="1:14" x14ac:dyDescent="0.25">
      <c r="A921" s="363">
        <v>46111</v>
      </c>
      <c r="B921" s="276" t="s">
        <v>410</v>
      </c>
      <c r="C921" s="277" t="s">
        <v>265</v>
      </c>
      <c r="D921" s="278" t="s">
        <v>403</v>
      </c>
      <c r="E921" s="382" t="s">
        <v>406</v>
      </c>
      <c r="F921" s="279"/>
      <c r="G921" s="279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/>
      <c r="J921" s="76">
        <v>1.3</v>
      </c>
      <c r="K921" s="66" t="str">
        <f>IF(_xlfn.XLOOKUP($J921,Catalogo!$B$7:$B$210,Catalogo!$I$7:$I$210,"",0)=0,"",_xlfn.XLOOKUP($J921,Catalogo!$B$7:$B$210,Catalogo!$I$7:$I$210,"",0))</f>
        <v>FACTIBILIDAD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0</v>
      </c>
      <c r="N921">
        <v>3</v>
      </c>
    </row>
    <row r="922" spans="1:14" x14ac:dyDescent="0.25">
      <c r="A922" s="363">
        <v>46111</v>
      </c>
      <c r="B922" s="276" t="s">
        <v>410</v>
      </c>
      <c r="C922" s="277" t="s">
        <v>265</v>
      </c>
      <c r="D922" s="278" t="s">
        <v>403</v>
      </c>
      <c r="E922" s="382" t="s">
        <v>407</v>
      </c>
      <c r="F922" s="279"/>
      <c r="G922" s="279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/>
      <c r="J922" s="76">
        <v>1.4</v>
      </c>
      <c r="K922" s="66" t="str">
        <f>IF(_xlfn.XLOOKUP($J922,Catalogo!$B$7:$B$210,Catalogo!$I$7:$I$210,"",0)=0,"",_xlfn.XLOOKUP($J922,Catalogo!$B$7:$B$210,Catalogo!$I$7:$I$210,"",0))</f>
        <v>SELECCIÓN HERRAMIENTAS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0</v>
      </c>
      <c r="N922">
        <v>3</v>
      </c>
    </row>
    <row r="923" spans="1:14" x14ac:dyDescent="0.25">
      <c r="A923" s="363">
        <v>46111</v>
      </c>
      <c r="B923" s="276" t="s">
        <v>410</v>
      </c>
      <c r="C923" s="277" t="s">
        <v>265</v>
      </c>
      <c r="D923" s="278" t="s">
        <v>403</v>
      </c>
      <c r="E923" s="382" t="s">
        <v>408</v>
      </c>
      <c r="F923" s="279"/>
      <c r="G923" s="279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/>
      <c r="J923" s="76">
        <v>1.5</v>
      </c>
      <c r="K923" s="66" t="str">
        <f>IF(_xlfn.XLOOKUP($J923,Catalogo!$B$7:$B$210,Catalogo!$I$7:$I$210,"",0)=0,"",_xlfn.XLOOKUP($J923,Catalogo!$B$7:$B$210,Catalogo!$I$7:$I$210,"",0))</f>
        <v>REGIONES ECDA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0</v>
      </c>
      <c r="N923">
        <v>3</v>
      </c>
    </row>
    <row r="924" spans="1:14" x14ac:dyDescent="0.25">
      <c r="A924" s="363">
        <v>46111</v>
      </c>
      <c r="B924" s="276" t="s">
        <v>410</v>
      </c>
      <c r="C924" s="277" t="s">
        <v>265</v>
      </c>
      <c r="D924" s="278" t="s">
        <v>403</v>
      </c>
      <c r="E924" s="382" t="s">
        <v>409</v>
      </c>
      <c r="F924" s="279"/>
      <c r="G924" s="279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/>
      <c r="J924" s="76">
        <v>1.6</v>
      </c>
      <c r="K924" s="66" t="str">
        <f>IF(_xlfn.XLOOKUP($J924,Catalogo!$B$7:$B$210,Catalogo!$I$7:$I$210,"",0)=0,"",_xlfn.XLOOKUP($J924,Catalogo!$B$7:$B$210,Catalogo!$I$7:$I$210,"",0))</f>
        <v>REPORTE E1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0</v>
      </c>
      <c r="N924">
        <v>3</v>
      </c>
    </row>
    <row r="925" spans="1:14" x14ac:dyDescent="0.25">
      <c r="A925" s="364">
        <v>46111</v>
      </c>
      <c r="B925" s="280" t="s">
        <v>410</v>
      </c>
      <c r="C925" s="281" t="s">
        <v>335</v>
      </c>
      <c r="D925" s="282" t="s">
        <v>403</v>
      </c>
      <c r="E925" s="383" t="s">
        <v>404</v>
      </c>
      <c r="F925" s="283"/>
      <c r="G925" s="283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/>
      <c r="J925" s="76">
        <v>1.1000000000000001</v>
      </c>
      <c r="K925" s="66" t="str">
        <f>IF(_xlfn.XLOOKUP($J925,Catalogo!$B$7:$B$210,Catalogo!$I$7:$I$210,"",0)=0,"",_xlfn.XLOOKUP($J925,Catalogo!$B$7:$B$210,Catalogo!$I$7:$I$210,"",0))</f>
        <v>RECOPILACION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0</v>
      </c>
      <c r="N925">
        <v>2</v>
      </c>
    </row>
    <row r="926" spans="1:14" x14ac:dyDescent="0.25">
      <c r="A926" s="364">
        <v>46111</v>
      </c>
      <c r="B926" s="280" t="s">
        <v>410</v>
      </c>
      <c r="C926" s="281" t="s">
        <v>335</v>
      </c>
      <c r="D926" s="282" t="s">
        <v>403</v>
      </c>
      <c r="E926" s="383" t="s">
        <v>405</v>
      </c>
      <c r="F926" s="283"/>
      <c r="G926" s="283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/>
      <c r="J926" s="76">
        <v>1.2</v>
      </c>
      <c r="K926" s="66" t="str">
        <f>IF(_xlfn.XLOOKUP($J926,Catalogo!$B$7:$B$210,Catalogo!$I$7:$I$210,"",0)=0,"",_xlfn.XLOOKUP($J926,Catalogo!$B$7:$B$210,Catalogo!$I$7:$I$210,"",0))</f>
        <v>ANALISIS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0</v>
      </c>
      <c r="N926">
        <v>2</v>
      </c>
    </row>
    <row r="927" spans="1:14" x14ac:dyDescent="0.25">
      <c r="A927" s="364">
        <v>46111</v>
      </c>
      <c r="B927" s="280" t="s">
        <v>410</v>
      </c>
      <c r="C927" s="281" t="s">
        <v>335</v>
      </c>
      <c r="D927" s="282" t="s">
        <v>403</v>
      </c>
      <c r="E927" s="383" t="s">
        <v>406</v>
      </c>
      <c r="F927" s="283"/>
      <c r="G927" s="283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/>
      <c r="J927" s="76">
        <v>1.3</v>
      </c>
      <c r="K927" s="66" t="str">
        <f>IF(_xlfn.XLOOKUP($J927,Catalogo!$B$7:$B$210,Catalogo!$I$7:$I$210,"",0)=0,"",_xlfn.XLOOKUP($J927,Catalogo!$B$7:$B$210,Catalogo!$I$7:$I$210,"",0))</f>
        <v>FACTIBILIDAD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0</v>
      </c>
      <c r="N927">
        <v>2</v>
      </c>
    </row>
    <row r="928" spans="1:14" x14ac:dyDescent="0.25">
      <c r="A928" s="364">
        <v>46111</v>
      </c>
      <c r="B928" s="280" t="s">
        <v>410</v>
      </c>
      <c r="C928" s="281" t="s">
        <v>335</v>
      </c>
      <c r="D928" s="282" t="s">
        <v>403</v>
      </c>
      <c r="E928" s="383" t="s">
        <v>407</v>
      </c>
      <c r="F928" s="283"/>
      <c r="G928" s="283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/>
      <c r="J928" s="76">
        <v>1.4</v>
      </c>
      <c r="K928" s="66" t="str">
        <f>IF(_xlfn.XLOOKUP($J928,Catalogo!$B$7:$B$210,Catalogo!$I$7:$I$210,"",0)=0,"",_xlfn.XLOOKUP($J928,Catalogo!$B$7:$B$210,Catalogo!$I$7:$I$210,"",0))</f>
        <v>SELECCIÓN HERRAMIENTAS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0</v>
      </c>
      <c r="N928">
        <v>2</v>
      </c>
    </row>
    <row r="929" spans="1:14" x14ac:dyDescent="0.25">
      <c r="A929" s="364">
        <v>46111</v>
      </c>
      <c r="B929" s="280" t="s">
        <v>410</v>
      </c>
      <c r="C929" s="281" t="s">
        <v>335</v>
      </c>
      <c r="D929" s="282" t="s">
        <v>403</v>
      </c>
      <c r="E929" s="383" t="s">
        <v>408</v>
      </c>
      <c r="F929" s="283"/>
      <c r="G929" s="283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/>
      <c r="J929" s="76">
        <v>1.5</v>
      </c>
      <c r="K929" s="66" t="str">
        <f>IF(_xlfn.XLOOKUP($J929,Catalogo!$B$7:$B$210,Catalogo!$I$7:$I$210,"",0)=0,"",_xlfn.XLOOKUP($J929,Catalogo!$B$7:$B$210,Catalogo!$I$7:$I$210,"",0))</f>
        <v>REGIONES ECDA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0</v>
      </c>
      <c r="N929">
        <v>2</v>
      </c>
    </row>
    <row r="930" spans="1:14" x14ac:dyDescent="0.25">
      <c r="A930" s="364">
        <v>46111</v>
      </c>
      <c r="B930" s="280" t="s">
        <v>410</v>
      </c>
      <c r="C930" s="281" t="s">
        <v>335</v>
      </c>
      <c r="D930" s="282" t="s">
        <v>403</v>
      </c>
      <c r="E930" s="383" t="s">
        <v>409</v>
      </c>
      <c r="F930" s="283"/>
      <c r="G930" s="283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/>
      <c r="J930" s="76">
        <v>1.6</v>
      </c>
      <c r="K930" s="66" t="str">
        <f>IF(_xlfn.XLOOKUP($J930,Catalogo!$B$7:$B$210,Catalogo!$I$7:$I$210,"",0)=0,"",_xlfn.XLOOKUP($J930,Catalogo!$B$7:$B$210,Catalogo!$I$7:$I$210,"",0))</f>
        <v>REPORTE E1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0</v>
      </c>
      <c r="N930">
        <v>2</v>
      </c>
    </row>
    <row r="931" spans="1:14" x14ac:dyDescent="0.25">
      <c r="A931" s="356"/>
      <c r="C931" s="157"/>
      <c r="D931" s="39"/>
      <c r="F931" s="28"/>
      <c r="G931" s="2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K931" s="55" t="str">
        <f>IF(_xlfn.XLOOKUP($J931,Catalogo!$B$7:$B$210,Catalogo!$I$7:$I$210,"",0)=0,"",_xlfn.XLOOKUP($J931,Catalogo!$B$7:$B$210,Catalogo!$I$7:$I$210,"",0))</f>
        <v/>
      </c>
      <c r="L931" s="36"/>
      <c r="M93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32" spans="1:14" x14ac:dyDescent="0.25">
      <c r="A932" s="358">
        <v>46111</v>
      </c>
      <c r="B932" s="264" t="s">
        <v>410</v>
      </c>
      <c r="C932" s="265" t="s">
        <v>13</v>
      </c>
      <c r="D932" s="266" t="s">
        <v>403</v>
      </c>
      <c r="E932" s="377" t="s">
        <v>412</v>
      </c>
      <c r="F932" s="267"/>
      <c r="G932" s="267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37</v>
      </c>
      <c r="J932" s="76">
        <v>2.7</v>
      </c>
      <c r="K932" s="66" t="str">
        <f>IF(_xlfn.XLOOKUP($J932,Catalogo!$B$7:$B$210,Catalogo!$I$7:$I$210,"",0)=0,"",_xlfn.XLOOKUP($J932,Catalogo!$B$7:$B$210,Catalogo!$I$7:$I$210,"",0))</f>
        <v>SEVERIDAD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130984.44</v>
      </c>
      <c r="N932">
        <v>37</v>
      </c>
    </row>
    <row r="933" spans="1:14" x14ac:dyDescent="0.25">
      <c r="A933" s="358">
        <v>46111</v>
      </c>
      <c r="B933" s="264" t="s">
        <v>410</v>
      </c>
      <c r="C933" s="265" t="s">
        <v>13</v>
      </c>
      <c r="D933" s="266" t="s">
        <v>403</v>
      </c>
      <c r="E933" s="377" t="s">
        <v>400</v>
      </c>
      <c r="F933" s="267"/>
      <c r="G933" s="267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37</v>
      </c>
      <c r="J933" s="76">
        <v>2.8</v>
      </c>
      <c r="K933" s="66" t="str">
        <f>IF(_xlfn.XLOOKUP($J933,Catalogo!$B$7:$B$210,Catalogo!$I$7:$I$210,"",0)=0,"",_xlfn.XLOOKUP($J933,Catalogo!$B$7:$B$210,Catalogo!$I$7:$I$210,"",0))</f>
        <v>REPORTE E2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97912.36</v>
      </c>
      <c r="N933">
        <v>37</v>
      </c>
    </row>
    <row r="934" spans="1:14" x14ac:dyDescent="0.25">
      <c r="A934" s="359">
        <v>46111</v>
      </c>
      <c r="B934" s="268" t="s">
        <v>410</v>
      </c>
      <c r="C934" s="269" t="s">
        <v>22</v>
      </c>
      <c r="D934" s="270" t="s">
        <v>403</v>
      </c>
      <c r="E934" s="378" t="s">
        <v>412</v>
      </c>
      <c r="F934" s="271"/>
      <c r="G934" s="271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17</v>
      </c>
      <c r="J934" s="76">
        <v>2.7</v>
      </c>
      <c r="K934" s="66" t="str">
        <f>IF(_xlfn.XLOOKUP($J934,Catalogo!$B$7:$B$210,Catalogo!$I$7:$I$210,"",0)=0,"",_xlfn.XLOOKUP($J934,Catalogo!$B$7:$B$210,Catalogo!$I$7:$I$210,"",0))</f>
        <v>SEVERIDAD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60182.04</v>
      </c>
      <c r="N934">
        <v>17</v>
      </c>
    </row>
    <row r="935" spans="1:14" x14ac:dyDescent="0.25">
      <c r="A935" s="359">
        <v>46111</v>
      </c>
      <c r="B935" s="268" t="s">
        <v>410</v>
      </c>
      <c r="C935" s="269" t="s">
        <v>22</v>
      </c>
      <c r="D935" s="270" t="s">
        <v>403</v>
      </c>
      <c r="E935" s="378" t="s">
        <v>400</v>
      </c>
      <c r="F935" s="271"/>
      <c r="G935" s="271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17</v>
      </c>
      <c r="J935" s="76">
        <v>2.8</v>
      </c>
      <c r="K935" s="66" t="str">
        <f>IF(_xlfn.XLOOKUP($J935,Catalogo!$B$7:$B$210,Catalogo!$I$7:$I$210,"",0)=0,"",_xlfn.XLOOKUP($J935,Catalogo!$B$7:$B$210,Catalogo!$I$7:$I$210,"",0))</f>
        <v>REPORTE E2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44986.76</v>
      </c>
      <c r="N935">
        <v>17</v>
      </c>
    </row>
    <row r="936" spans="1:14" x14ac:dyDescent="0.25">
      <c r="A936" s="404">
        <v>46291</v>
      </c>
      <c r="B936" s="272" t="s">
        <v>410</v>
      </c>
      <c r="C936" s="273" t="s">
        <v>329</v>
      </c>
      <c r="D936" s="274" t="s">
        <v>403</v>
      </c>
      <c r="E936" s="379" t="s">
        <v>412</v>
      </c>
      <c r="F936" s="275"/>
      <c r="G936" s="275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34</v>
      </c>
      <c r="J936" s="76">
        <v>2.7</v>
      </c>
      <c r="K936" s="66" t="str">
        <f>IF(_xlfn.XLOOKUP($J936,Catalogo!$B$7:$B$210,Catalogo!$I$7:$I$210,"",0)=0,"",_xlfn.XLOOKUP($J936,Catalogo!$B$7:$B$210,Catalogo!$I$7:$I$210,"",0))</f>
        <v>SEVERIDAD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120364.08</v>
      </c>
      <c r="N936">
        <v>34</v>
      </c>
    </row>
    <row r="937" spans="1:14" x14ac:dyDescent="0.25">
      <c r="A937" s="404">
        <v>46291</v>
      </c>
      <c r="B937" s="272" t="s">
        <v>410</v>
      </c>
      <c r="C937" s="273" t="s">
        <v>329</v>
      </c>
      <c r="D937" s="274" t="s">
        <v>403</v>
      </c>
      <c r="E937" s="379" t="s">
        <v>400</v>
      </c>
      <c r="F937" s="275"/>
      <c r="G937" s="275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34</v>
      </c>
      <c r="J937" s="76">
        <v>2.8</v>
      </c>
      <c r="K937" s="66" t="str">
        <f>IF(_xlfn.XLOOKUP($J937,Catalogo!$B$7:$B$210,Catalogo!$I$7:$I$210,"",0)=0,"",_xlfn.XLOOKUP($J937,Catalogo!$B$7:$B$210,Catalogo!$I$7:$I$210,"",0))</f>
        <v>REPORTE E2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89973.52</v>
      </c>
      <c r="N937">
        <v>34</v>
      </c>
    </row>
    <row r="938" spans="1:14" x14ac:dyDescent="0.25">
      <c r="A938" s="405">
        <v>46311</v>
      </c>
      <c r="B938" s="285" t="s">
        <v>410</v>
      </c>
      <c r="C938" s="286" t="s">
        <v>411</v>
      </c>
      <c r="D938" s="287" t="s">
        <v>403</v>
      </c>
      <c r="E938" s="380" t="s">
        <v>412</v>
      </c>
      <c r="F938" s="288"/>
      <c r="G938" s="288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308">
        <v>4</v>
      </c>
      <c r="J938" s="76">
        <v>2.7</v>
      </c>
      <c r="K938" s="66" t="str">
        <f>IF(_xlfn.XLOOKUP($J938,Catalogo!$B$7:$B$210,Catalogo!$I$7:$I$210,"",0)=0,"",_xlfn.XLOOKUP($J938,Catalogo!$B$7:$B$210,Catalogo!$I$7:$I$210,"",0))</f>
        <v>SEVERIDAD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14160.48</v>
      </c>
      <c r="N938">
        <v>4</v>
      </c>
    </row>
    <row r="939" spans="1:14" x14ac:dyDescent="0.25">
      <c r="A939" s="405">
        <v>46311</v>
      </c>
      <c r="B939" s="285" t="s">
        <v>410</v>
      </c>
      <c r="C939" s="286" t="s">
        <v>411</v>
      </c>
      <c r="D939" s="287" t="s">
        <v>403</v>
      </c>
      <c r="E939" s="380" t="s">
        <v>400</v>
      </c>
      <c r="F939" s="288"/>
      <c r="G939" s="288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308">
        <v>3</v>
      </c>
      <c r="J939" s="76">
        <v>2.8</v>
      </c>
      <c r="K939" s="66" t="str">
        <f>IF(_xlfn.XLOOKUP($J939,Catalogo!$B$7:$B$210,Catalogo!$I$7:$I$210,"",0)=0,"",_xlfn.XLOOKUP($J939,Catalogo!$B$7:$B$210,Catalogo!$I$7:$I$210,"",0))</f>
        <v>REPORTE E2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7938.84</v>
      </c>
      <c r="N939">
        <v>4</v>
      </c>
    </row>
    <row r="940" spans="1:14" x14ac:dyDescent="0.25">
      <c r="A940" s="406"/>
      <c r="B940" s="289" t="s">
        <v>410</v>
      </c>
      <c r="C940" s="290" t="s">
        <v>535</v>
      </c>
      <c r="D940" s="291" t="s">
        <v>403</v>
      </c>
      <c r="E940" s="381" t="s">
        <v>412</v>
      </c>
      <c r="F940" s="292"/>
      <c r="G940" s="292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284"/>
      <c r="J940" s="76">
        <v>2.7</v>
      </c>
      <c r="K940" s="66" t="str">
        <f>IF(_xlfn.XLOOKUP($J940,Catalogo!$B$7:$B$210,Catalogo!$I$7:$I$210,"",0)=0,"",_xlfn.XLOOKUP($J940,Catalogo!$B$7:$B$210,Catalogo!$I$7:$I$210,"",0))</f>
        <v>SEVERIDAD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41" spans="1:14" x14ac:dyDescent="0.25">
      <c r="A941" s="406"/>
      <c r="B941" s="289" t="s">
        <v>410</v>
      </c>
      <c r="C941" s="290" t="s">
        <v>535</v>
      </c>
      <c r="D941" s="291" t="s">
        <v>403</v>
      </c>
      <c r="E941" s="381" t="s">
        <v>400</v>
      </c>
      <c r="F941" s="292"/>
      <c r="G941" s="292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284"/>
      <c r="J941" s="76">
        <v>2.8</v>
      </c>
      <c r="K941" s="66" t="str">
        <f>IF(_xlfn.XLOOKUP($J941,Catalogo!$B$7:$B$210,Catalogo!$I$7:$I$210,"",0)=0,"",_xlfn.XLOOKUP($J941,Catalogo!$B$7:$B$210,Catalogo!$I$7:$I$210,"",0))</f>
        <v>REPORTE E2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42" spans="1:14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2" t="s">
        <v>412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284"/>
      <c r="J942" s="76">
        <v>2.7</v>
      </c>
      <c r="K942" s="66" t="str">
        <f>IF(_xlfn.XLOOKUP($J942,Catalogo!$B$7:$B$210,Catalogo!$I$7:$I$210,"",0)=0,"",_xlfn.XLOOKUP($J942,Catalogo!$B$7:$B$210,Catalogo!$I$7:$I$210,"",0))</f>
        <v>SEVERIDAD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43" spans="1:14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2" t="s">
        <v>400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284"/>
      <c r="J943" s="76">
        <v>2.8</v>
      </c>
      <c r="K943" s="66" t="str">
        <f>IF(_xlfn.XLOOKUP($J943,Catalogo!$B$7:$B$210,Catalogo!$I$7:$I$210,"",0)=0,"",_xlfn.XLOOKUP($J943,Catalogo!$B$7:$B$210,Catalogo!$I$7:$I$210,"",0))</f>
        <v>REPORTE E2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44" spans="1:14" x14ac:dyDescent="0.25">
      <c r="A944" s="364">
        <v>46111</v>
      </c>
      <c r="B944" s="280" t="s">
        <v>410</v>
      </c>
      <c r="C944" s="281" t="s">
        <v>335</v>
      </c>
      <c r="D944" s="282" t="s">
        <v>403</v>
      </c>
      <c r="E944" s="383" t="s">
        <v>412</v>
      </c>
      <c r="F944" s="283"/>
      <c r="G944" s="283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284"/>
      <c r="J944" s="76">
        <v>2.7</v>
      </c>
      <c r="K944" s="66" t="str">
        <f>IF(_xlfn.XLOOKUP($J944,Catalogo!$B$7:$B$210,Catalogo!$I$7:$I$210,"",0)=0,"",_xlfn.XLOOKUP($J944,Catalogo!$B$7:$B$210,Catalogo!$I$7:$I$210,"",0))</f>
        <v>SEVERIDAD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45" spans="1:14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3" t="s">
        <v>400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284"/>
      <c r="J945" s="76">
        <v>2.8</v>
      </c>
      <c r="K945" s="66" t="str">
        <f>IF(_xlfn.XLOOKUP($J945,Catalogo!$B$7:$B$210,Catalogo!$I$7:$I$210,"",0)=0,"",_xlfn.XLOOKUP($J945,Catalogo!$B$7:$B$210,Catalogo!$I$7:$I$210,"",0))</f>
        <v>REPORTE E2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46" spans="1:14" x14ac:dyDescent="0.25">
      <c r="A946" s="356"/>
      <c r="C946" s="157"/>
      <c r="D946" s="39"/>
      <c r="F946" s="28"/>
      <c r="G946" s="28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K946" s="55" t="str">
        <f>IF(_xlfn.XLOOKUP($J946,Catalogo!$B$7:$B$210,Catalogo!$I$7:$I$210,"",0)=0,"",_xlfn.XLOOKUP($J946,Catalogo!$B$7:$B$210,Catalogo!$I$7:$I$210,"",0))</f>
        <v/>
      </c>
      <c r="L946" s="36"/>
      <c r="M94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47" spans="1:14" x14ac:dyDescent="0.25">
      <c r="A947" s="358">
        <v>46111</v>
      </c>
      <c r="B947" s="264" t="s">
        <v>410</v>
      </c>
      <c r="C947" s="265" t="s">
        <v>13</v>
      </c>
      <c r="D947" s="266" t="s">
        <v>403</v>
      </c>
      <c r="E947" s="377" t="s">
        <v>413</v>
      </c>
      <c r="F947" s="267"/>
      <c r="G947" s="267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/>
      <c r="J947" s="76">
        <v>3.1</v>
      </c>
      <c r="K947" s="66" t="str">
        <f>IF(_xlfn.XLOOKUP($J947,Catalogo!$B$7:$B$210,Catalogo!$I$7:$I$210,"",0)=0,"",_xlfn.XLOOKUP($J947,Catalogo!$B$7:$B$210,Catalogo!$I$7:$I$210,"",0))</f>
        <v>PRIORIZACION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0</v>
      </c>
      <c r="N947">
        <v>37</v>
      </c>
    </row>
    <row r="948" spans="1:14" x14ac:dyDescent="0.25">
      <c r="A948" s="359">
        <v>46111</v>
      </c>
      <c r="B948" s="268" t="s">
        <v>410</v>
      </c>
      <c r="C948" s="269" t="s">
        <v>22</v>
      </c>
      <c r="D948" s="270" t="s">
        <v>403</v>
      </c>
      <c r="E948" s="378" t="s">
        <v>413</v>
      </c>
      <c r="F948" s="271"/>
      <c r="G948" s="271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/>
      <c r="J948" s="76">
        <v>3.1</v>
      </c>
      <c r="K948" s="66" t="str">
        <f>IF(_xlfn.XLOOKUP($J948,Catalogo!$B$7:$B$210,Catalogo!$I$7:$I$210,"",0)=0,"",_xlfn.XLOOKUP($J948,Catalogo!$B$7:$B$210,Catalogo!$I$7:$I$210,"",0))</f>
        <v>PRIORIZACION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0</v>
      </c>
      <c r="N948">
        <v>17</v>
      </c>
    </row>
    <row r="949" spans="1:14" x14ac:dyDescent="0.25">
      <c r="A949" s="404">
        <v>46291</v>
      </c>
      <c r="B949" s="272" t="s">
        <v>410</v>
      </c>
      <c r="C949" s="273" t="s">
        <v>329</v>
      </c>
      <c r="D949" s="274" t="s">
        <v>403</v>
      </c>
      <c r="E949" s="379" t="s">
        <v>413</v>
      </c>
      <c r="F949" s="275"/>
      <c r="G949" s="275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/>
      <c r="J949" s="76">
        <v>3.1</v>
      </c>
      <c r="K949" s="66" t="str">
        <f>IF(_xlfn.XLOOKUP($J949,Catalogo!$B$7:$B$210,Catalogo!$I$7:$I$210,"",0)=0,"",_xlfn.XLOOKUP($J949,Catalogo!$B$7:$B$210,Catalogo!$I$7:$I$210,"",0))</f>
        <v>PRIORIZACION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0</v>
      </c>
      <c r="N949">
        <v>34</v>
      </c>
    </row>
    <row r="950" spans="1:14" x14ac:dyDescent="0.25">
      <c r="A950" s="405">
        <v>46311</v>
      </c>
      <c r="B950" s="285" t="s">
        <v>410</v>
      </c>
      <c r="C950" s="286" t="s">
        <v>411</v>
      </c>
      <c r="D950" s="287" t="s">
        <v>403</v>
      </c>
      <c r="E950" s="380" t="s">
        <v>413</v>
      </c>
      <c r="F950" s="288"/>
      <c r="G950" s="288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308"/>
      <c r="J950" s="76">
        <v>3.1</v>
      </c>
      <c r="K950" s="66" t="str">
        <f>IF(_xlfn.XLOOKUP($J950,Catalogo!$B$7:$B$210,Catalogo!$I$7:$I$210,"",0)=0,"",_xlfn.XLOOKUP($J950,Catalogo!$B$7:$B$210,Catalogo!$I$7:$I$210,"",0))</f>
        <v>PRIORIZACION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0</v>
      </c>
      <c r="N950">
        <v>4</v>
      </c>
    </row>
    <row r="951" spans="1:14" x14ac:dyDescent="0.25">
      <c r="A951" s="406"/>
      <c r="B951" s="289" t="s">
        <v>410</v>
      </c>
      <c r="C951" s="290" t="s">
        <v>535</v>
      </c>
      <c r="D951" s="291" t="s">
        <v>403</v>
      </c>
      <c r="E951" s="381" t="s">
        <v>413</v>
      </c>
      <c r="F951" s="292"/>
      <c r="G951" s="292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I951" s="284"/>
      <c r="J951" s="76">
        <v>3.1</v>
      </c>
      <c r="K951" s="66" t="str">
        <f>IF(_xlfn.XLOOKUP($J951,Catalogo!$B$7:$B$210,Catalogo!$I$7:$I$210,"",0)=0,"",_xlfn.XLOOKUP($J951,Catalogo!$B$7:$B$210,Catalogo!$I$7:$I$210,"",0))</f>
        <v>PRIORIZACION</v>
      </c>
      <c r="L951" s="36"/>
      <c r="M9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407"/>
      <c r="B952" s="276" t="s">
        <v>410</v>
      </c>
      <c r="C952" s="277" t="s">
        <v>265</v>
      </c>
      <c r="D952" s="278" t="s">
        <v>403</v>
      </c>
      <c r="E952" s="382" t="s">
        <v>413</v>
      </c>
      <c r="F952" s="279"/>
      <c r="G952" s="279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284"/>
      <c r="J952" s="76">
        <v>3.1</v>
      </c>
      <c r="K952" s="66" t="str">
        <f>IF(_xlfn.XLOOKUP($J952,Catalogo!$B$7:$B$210,Catalogo!$I$7:$I$210,"",0)=0,"",_xlfn.XLOOKUP($J952,Catalogo!$B$7:$B$210,Catalogo!$I$7:$I$210,"",0))</f>
        <v>PRIORIZACION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53" spans="1:14" x14ac:dyDescent="0.25">
      <c r="A953" s="364"/>
      <c r="B953" s="280" t="s">
        <v>410</v>
      </c>
      <c r="C953" s="281" t="s">
        <v>335</v>
      </c>
      <c r="D953" s="282" t="s">
        <v>403</v>
      </c>
      <c r="E953" s="383" t="s">
        <v>413</v>
      </c>
      <c r="F953" s="283"/>
      <c r="G953" s="283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284"/>
      <c r="J953" s="76">
        <v>3.1</v>
      </c>
      <c r="K953" s="66" t="str">
        <f>IF(_xlfn.XLOOKUP($J953,Catalogo!$B$7:$B$210,Catalogo!$I$7:$I$210,"",0)=0,"",_xlfn.XLOOKUP($J953,Catalogo!$B$7:$B$210,Catalogo!$I$7:$I$210,"",0))</f>
        <v>PRIORIZACION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54" spans="1:14" x14ac:dyDescent="0.25">
      <c r="A954" s="356"/>
      <c r="C954" s="157"/>
      <c r="D954" s="39"/>
      <c r="F954" s="28"/>
      <c r="G954" s="28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/>
      <c r="J954" s="76"/>
      <c r="K954" s="55" t="str">
        <f>IF(_xlfn.XLOOKUP($J954,Catalogo!$B$7:$B$210,Catalogo!$I$7:$I$210,"",0)=0,"",_xlfn.XLOOKUP($J954,Catalogo!$B$7:$B$210,Catalogo!$I$7:$I$210,"",0))</f>
        <v/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55" spans="1:14" x14ac:dyDescent="0.25">
      <c r="A955" s="356"/>
      <c r="C955" s="157"/>
      <c r="D955" s="39"/>
      <c r="F955" s="28"/>
      <c r="G955" s="28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/>
      <c r="J955" s="76"/>
      <c r="K955" s="55" t="str">
        <f>IF(_xlfn.XLOOKUP($J955,Catalogo!$B$7:$B$21,Catalogo!$I$7:$I$21,"",0)=0,"",_xlfn.XLOOKUP($J955,Catalogo!$B$7:$B$21,Catalogo!$I$7:$I$21,"",0))</f>
        <v/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0</v>
      </c>
      <c r="N955" t="str">
        <f>_xlfn.IFNA(_xlfn.XLOOKUP(Tabla1[[#This Row],[fin]],$P$379:$P$386,$T$379:$T$386),"")</f>
        <v/>
      </c>
    </row>
    <row r="956" spans="1:14" x14ac:dyDescent="0.25">
      <c r="A956" s="356"/>
      <c r="C956" s="157"/>
      <c r="D956" s="39"/>
      <c r="F956" s="28"/>
      <c r="G956" s="28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/>
      <c r="J956" s="76"/>
      <c r="K956" s="55" t="str">
        <f>IF(_xlfn.XLOOKUP($J956,Catalogo!$B$7:$B$21,Catalogo!$I$7:$I$21,"",0)=0,"",_xlfn.XLOOKUP($J956,Catalogo!$B$7:$B$21,Catalogo!$I$7:$I$21,"",0))</f>
        <v/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0</v>
      </c>
      <c r="N956" t="str">
        <f>_xlfn.IFNA(_xlfn.XLOOKUP(Tabla1[[#This Row],[fin]],$P$379:$P$386,$T$379:$T$386),"")</f>
        <v/>
      </c>
    </row>
    <row r="957" spans="1:14" x14ac:dyDescent="0.25">
      <c r="A957" s="356"/>
      <c r="C957" s="157"/>
      <c r="D957" s="39"/>
      <c r="F957" s="28"/>
      <c r="G957" s="28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/>
      <c r="J957" s="76"/>
      <c r="K957" s="55" t="str">
        <f>IF(_xlfn.XLOOKUP($J957,Catalogo!$B$7:$B$21,Catalogo!$I$7:$I$21,"",0)=0,"",_xlfn.XLOOKUP($J957,Catalogo!$B$7:$B$21,Catalogo!$I$7:$I$21,"",0))</f>
        <v/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0</v>
      </c>
      <c r="N957" t="str">
        <f>_xlfn.IFNA(_xlfn.XLOOKUP(Tabla1[[#This Row],[fin]],$P$379:$P$386,$T$379:$T$386),"")</f>
        <v/>
      </c>
    </row>
    <row r="958" spans="1:14" x14ac:dyDescent="0.25">
      <c r="A958" s="356"/>
      <c r="C958" s="157"/>
      <c r="D958" s="39"/>
      <c r="F958" s="28"/>
      <c r="G958" s="2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66"/>
      <c r="J958" s="76"/>
      <c r="K958" s="55" t="str">
        <f>IF(_xlfn.XLOOKUP($J958,Catalogo!$B$7:$B$21,Catalogo!$I$7:$I$21,"",0)=0,"",_xlfn.XLOOKUP($J958,Catalogo!$B$7:$B$21,Catalogo!$I$7:$I$21,"",0))</f>
        <v/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0</v>
      </c>
      <c r="N958" t="str">
        <f>_xlfn.IFNA(_xlfn.XLOOKUP(Tabla1[[#This Row],[fin]],$P$379:$P$386,$T$379:$T$386),"")</f>
        <v/>
      </c>
    </row>
    <row r="959" spans="1:14" x14ac:dyDescent="0.25">
      <c r="A959" s="356"/>
      <c r="C959" s="157"/>
      <c r="D959" s="39"/>
      <c r="F959" s="28"/>
      <c r="G959" s="2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66"/>
      <c r="J959" s="76"/>
      <c r="K959" s="55" t="str">
        <f>IF(_xlfn.XLOOKUP($J959,Catalogo!$B$7:$B$21,Catalogo!$I$7:$I$21,"",0)=0,"",_xlfn.XLOOKUP($J959,Catalogo!$B$7:$B$21,Catalogo!$I$7:$I$21,"",0))</f>
        <v/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0</v>
      </c>
      <c r="N959" t="str">
        <f>_xlfn.IFNA(_xlfn.XLOOKUP(Tabla1[[#This Row],[fin]],$P$379:$P$386,$T$379:$T$386),"")</f>
        <v/>
      </c>
    </row>
    <row r="960" spans="1:14" x14ac:dyDescent="0.25">
      <c r="A960" s="356"/>
      <c r="C960" s="157"/>
      <c r="D960" s="39"/>
      <c r="F960" s="28"/>
      <c r="G960" s="28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66"/>
      <c r="J960" s="76"/>
      <c r="K960" s="55" t="str">
        <f>IF(_xlfn.XLOOKUP($J960,Catalogo!$B$7:$B$21,Catalogo!$I$7:$I$21,"",0)=0,"",_xlfn.XLOOKUP($J960,Catalogo!$B$7:$B$21,Catalogo!$I$7:$I$21,"",0))</f>
        <v/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  <c r="N960" t="str">
        <f>_xlfn.IFNA(_xlfn.XLOOKUP(Tabla1[[#This Row],[fin]],$P$379:$P$386,$T$379:$T$386),"")</f>
        <v/>
      </c>
    </row>
    <row r="961" spans="1:14" x14ac:dyDescent="0.25">
      <c r="A961" s="356"/>
      <c r="C961" s="157"/>
      <c r="D961" s="39"/>
      <c r="F961" s="28"/>
      <c r="G961" s="28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66"/>
      <c r="J961" s="76"/>
      <c r="K961" s="55" t="str">
        <f>IF(_xlfn.XLOOKUP($J961,Catalogo!$B$7:$B$21,Catalogo!$I$7:$I$21,"",0)=0,"",_xlfn.XLOOKUP($J961,Catalogo!$B$7:$B$21,Catalogo!$I$7:$I$21,"",0))</f>
        <v/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  <c r="N961" t="str">
        <f>_xlfn.IFNA(_xlfn.XLOOKUP(Tabla1[[#This Row],[fin]],$P$379:$P$386,$T$379:$T$386),"")</f>
        <v/>
      </c>
    </row>
    <row r="962" spans="1:14" x14ac:dyDescent="0.25">
      <c r="A962" s="356"/>
      <c r="C962" s="157"/>
      <c r="D962" s="39"/>
      <c r="F962" s="28"/>
      <c r="G962" s="28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66"/>
      <c r="J962" s="76"/>
      <c r="K962" s="55" t="str">
        <f>IF(_xlfn.XLOOKUP($J962,Catalogo!$B$7:$B$21,Catalogo!$I$7:$I$21,"",0)=0,"",_xlfn.XLOOKUP($J962,Catalogo!$B$7:$B$21,Catalogo!$I$7:$I$21,"",0))</f>
        <v/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  <c r="N962" t="str">
        <f>_xlfn.IFNA(_xlfn.XLOOKUP(Tabla1[[#This Row],[fin]],$P$379:$P$386,$T$379:$T$386),"")</f>
        <v/>
      </c>
    </row>
    <row r="963" spans="1:14" x14ac:dyDescent="0.25">
      <c r="A963" s="356"/>
      <c r="C963" s="157"/>
      <c r="D963" s="39"/>
      <c r="F963" s="28"/>
      <c r="G963" s="28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66"/>
      <c r="J963" s="76"/>
      <c r="K963" s="55" t="str">
        <f>IF(_xlfn.XLOOKUP($J963,Catalogo!$B$7:$B$21,Catalogo!$I$7:$I$21,"",0)=0,"",_xlfn.XLOOKUP($J963,Catalogo!$B$7:$B$21,Catalogo!$I$7:$I$21,"",0))</f>
        <v/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  <c r="N963" t="str">
        <f>_xlfn.IFNA(_xlfn.XLOOKUP(Tabla1[[#This Row],[fin]],$P$379:$P$386,$T$379:$T$386),"")</f>
        <v/>
      </c>
    </row>
    <row r="964" spans="1:14" x14ac:dyDescent="0.25">
      <c r="A964" s="356"/>
      <c r="C964" s="157"/>
      <c r="D964" s="39"/>
      <c r="F964" s="28"/>
      <c r="G964" s="28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66"/>
      <c r="J964" s="76"/>
      <c r="K964" s="55" t="str">
        <f>IF(_xlfn.XLOOKUP($J964,Catalogo!$B$7:$B$21,Catalogo!$I$7:$I$21,"",0)=0,"",_xlfn.XLOOKUP($J964,Catalogo!$B$7:$B$21,Catalogo!$I$7:$I$21,"",0))</f>
        <v/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  <c r="N964" t="str">
        <f>_xlfn.IFNA(_xlfn.XLOOKUP(Tabla1[[#This Row],[fin]],$P$379:$P$386,$T$379:$T$386),"")</f>
        <v/>
      </c>
    </row>
    <row r="965" spans="1:14" x14ac:dyDescent="0.25">
      <c r="A965" s="356"/>
      <c r="C965" s="157"/>
      <c r="D965" s="39"/>
      <c r="F965" s="28"/>
      <c r="G965" s="28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66"/>
      <c r="J965" s="76"/>
      <c r="K965" s="55" t="str">
        <f>IF(_xlfn.XLOOKUP($J965,Catalogo!$B$7:$B$21,Catalogo!$I$7:$I$21,"",0)=0,"",_xlfn.XLOOKUP($J965,Catalogo!$B$7:$B$21,Catalogo!$I$7:$I$21,"",0))</f>
        <v/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  <c r="N965" t="str">
        <f>_xlfn.IFNA(_xlfn.XLOOKUP(Tabla1[[#This Row],[fin]],$P$379:$P$386,$T$379:$T$386),"")</f>
        <v/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I966" s="66"/>
      <c r="J966" s="76"/>
      <c r="K966" s="55" t="str">
        <f>IF(_xlfn.XLOOKUP($J966,Catalogo!$B$7:$B$21,Catalogo!$I$7:$I$21,"",0)=0,"",_xlfn.XLOOKUP($J966,Catalogo!$B$7:$B$21,Catalogo!$I$7:$I$21,"",0))</f>
        <v/>
      </c>
      <c r="L966" s="36"/>
      <c r="M966" s="263">
        <f>IF(Tabla1[[#This Row],[Avance_km]]&lt;&gt;"",Tabla1[[#This Row],[Avance_km]],Tabla1[[#This Row],[Avance_Med]])*_xlfn.XLOOKUP(Tabla1[[#This Row],[Codigo_actividad]],Catalogo!$B$6:$B$51,Catalogo!$F$6:$F$51,0)</f>
        <v>0</v>
      </c>
      <c r="N966" t="str">
        <f>_xlfn.IFNA(_xlfn.XLOOKUP(Tabla1[[#This Row],[fin]],$P$379:$P$386,$T$379:$T$386),"")</f>
        <v/>
      </c>
    </row>
    <row r="967" spans="1:14" x14ac:dyDescent="0.25">
      <c r="A967" s="356"/>
      <c r="C967" s="157"/>
      <c r="D967" s="39"/>
      <c r="F967" s="28"/>
      <c r="G967" s="28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/>
      <c r="J967" s="76"/>
      <c r="K967" s="55" t="str">
        <f>IF(_xlfn.XLOOKUP($J967,Catalogo!$B$7:$B$21,Catalogo!$I$7:$I$21,"",0)=0,"",_xlfn.XLOOKUP($J967,Catalogo!$B$7:$B$21,Catalogo!$I$7:$I$21,"",0))</f>
        <v/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0</v>
      </c>
      <c r="N967" t="str">
        <f>_xlfn.IFNA(_xlfn.XLOOKUP(Tabla1[[#This Row],[fin]],$P$379:$P$386,$T$379:$T$386),"")</f>
        <v/>
      </c>
    </row>
    <row r="968" spans="1:14" x14ac:dyDescent="0.25">
      <c r="A968" s="356"/>
      <c r="C968" s="157"/>
      <c r="D968" s="39"/>
      <c r="F968" s="28"/>
      <c r="G968" s="28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/>
      <c r="J968" s="76"/>
      <c r="K968" s="55" t="str">
        <f>IF(_xlfn.XLOOKUP($J968,Catalogo!$B$7:$B$21,Catalogo!$I$7:$I$21,"",0)=0,"",_xlfn.XLOOKUP($J968,Catalogo!$B$7:$B$21,Catalogo!$I$7:$I$21,"",0))</f>
        <v/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0</v>
      </c>
      <c r="N968" t="str">
        <f>_xlfn.IFNA(_xlfn.XLOOKUP(Tabla1[[#This Row],[fin]],$P$379:$P$386,$T$379:$T$386),"")</f>
        <v/>
      </c>
    </row>
    <row r="969" spans="1:14" x14ac:dyDescent="0.25">
      <c r="A969" s="361"/>
      <c r="B969" s="380"/>
      <c r="C969" s="286"/>
      <c r="D969" s="287"/>
      <c r="E969" s="380"/>
      <c r="F969" s="288"/>
      <c r="G969" s="288"/>
      <c r="H969" s="515" t="str">
        <f>IF(Tabla1[[#This Row],[Codigo_actividad]]&lt;&gt;2.5,IF(((Tabla1[[#This Row],[fin]]-Tabla1[[#This Row],[inicio]])/1000)=0,"",((Tabla1[[#This Row],[fin]]-Tabla1[[#This Row],[inicio]])/1000)),"")</f>
        <v/>
      </c>
      <c r="I969" s="516"/>
      <c r="J969" s="516"/>
      <c r="K969" s="519" t="str">
        <f>IF(_xlfn.XLOOKUP($J969,Catalogo!$B$7:$B$21,Catalogo!$I$7:$I$21,"",0)=0,"",_xlfn.XLOOKUP($J969,Catalogo!$B$7:$B$21,Catalogo!$I$7:$I$21,"",0))</f>
        <v/>
      </c>
      <c r="L969" s="517"/>
      <c r="M969" s="518">
        <f>IF(Tabla1[[#This Row],[Avance_km]]&lt;&gt;"",Tabla1[[#This Row],[Avance_km]],Tabla1[[#This Row],[Avance_Med]])*_xlfn.XLOOKUP(Tabla1[[#This Row],[Codigo_actividad]],Catalogo!$B$6:$B$51,Catalogo!$F$6:$F$51,0)</f>
        <v>0</v>
      </c>
      <c r="N969" s="519" t="str">
        <f>_xlfn.IFNA(_xlfn.XLOOKUP(Tabla1[[#This Row],[fin]],$P$379:$P$386,$T$379:$T$386),"")</f>
        <v/>
      </c>
    </row>
    <row r="970" spans="1:14" x14ac:dyDescent="0.25">
      <c r="A970" s="356"/>
      <c r="C970" s="157"/>
      <c r="D970" s="39"/>
      <c r="F970" s="28"/>
      <c r="G970" s="2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66"/>
      <c r="J970" s="76"/>
      <c r="K970" s="55" t="str">
        <f>IF(_xlfn.XLOOKUP($J970,Catalogo!$B$7:$B$210,Catalogo!$I$7:$I$210,"",0)=0,"",_xlfn.XLOOKUP($J970,Catalogo!$B$7:$B$210,Catalogo!$I$7:$I$210,"",0))</f>
        <v/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4" x14ac:dyDescent="0.25">
      <c r="A971" s="356">
        <v>46258</v>
      </c>
      <c r="B971" s="40" t="s">
        <v>496</v>
      </c>
      <c r="C971" s="157" t="s">
        <v>13</v>
      </c>
      <c r="D971" s="39" t="s">
        <v>403</v>
      </c>
      <c r="E971" s="40" t="s">
        <v>434</v>
      </c>
      <c r="F971" s="28"/>
      <c r="G971" s="28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66">
        <v>24</v>
      </c>
      <c r="J971" s="76">
        <v>4.9000000000000004</v>
      </c>
      <c r="K971" s="66" t="str">
        <f>IF(_xlfn.XLOOKUP($J971,Catalogo!$B$7:$B$210,Catalogo!$I$7:$I$210,"",0)=0,"",_xlfn.XLOOKUP($J971,Catalogo!$B$7:$B$210,Catalogo!$I$7:$I$210,"",0))</f>
        <v>COATING 2-4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71" t="str">
        <f>_xlfn.IFNA(_xlfn.XLOOKUP(Tabla1[[#This Row],[fin]],$P$379:$P$386,$T$379:$T$386),"")</f>
        <v/>
      </c>
    </row>
    <row r="972" spans="1:14" x14ac:dyDescent="0.25">
      <c r="A972" s="356">
        <v>46258</v>
      </c>
      <c r="B972" s="40" t="s">
        <v>496</v>
      </c>
      <c r="C972" s="157" t="s">
        <v>22</v>
      </c>
      <c r="D972" s="39" t="s">
        <v>403</v>
      </c>
      <c r="E972" s="40" t="s">
        <v>435</v>
      </c>
      <c r="F972" s="28"/>
      <c r="G972" s="28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66">
        <v>24</v>
      </c>
      <c r="J972" s="437" t="s">
        <v>497</v>
      </c>
      <c r="K972" s="66" t="str">
        <f>IF(_xlfn.XLOOKUP($J972,Catalogo!$B$7:$B$210,Catalogo!$I$7:$I$210,"",0)=0,"",_xlfn.XLOOKUP($J972,Catalogo!$B$7:$B$210,Catalogo!$I$7:$I$210,"",0))</f>
        <v>COATING 6-8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72" t="str">
        <f>_xlfn.IFNA(_xlfn.XLOOKUP(Tabla1[[#This Row],[fin]],$P$379:$P$386,$T$379:$T$386),"")</f>
        <v/>
      </c>
    </row>
    <row r="973" spans="1:14" x14ac:dyDescent="0.25">
      <c r="A973" s="356"/>
      <c r="C973" s="157"/>
      <c r="D973" s="39"/>
      <c r="F973" s="28"/>
      <c r="G973" s="28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66"/>
      <c r="J973" s="76"/>
      <c r="K973" s="55" t="str">
        <f>IF(_xlfn.XLOOKUP($J973,Catalogo!$B$7:$B$210,Catalogo!$I$7:$I$210,"",0)=0,"",_xlfn.XLOOKUP($J973,Catalogo!$B$7:$B$210,Catalogo!$I$7:$I$210,"",0))</f>
        <v/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>
        <f>SUBTOTAL(109,Tabla1[Avance_km])</f>
        <v>602.08927065889452</v>
      </c>
      <c r="L974" s="36"/>
      <c r="M974" s="294">
        <f>+SUBTOTAL(9,Tabla1[EV])</f>
        <v>9999718.6472999882</v>
      </c>
    </row>
  </sheetData>
  <sortState xmlns:xlrd2="http://schemas.microsoft.com/office/spreadsheetml/2017/richdata2" ref="U382:X396">
    <sortCondition ref="W382:W396"/>
  </sortState>
  <phoneticPr fontId="25" type="noConversion"/>
  <conditionalFormatting sqref="M2:M973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424:D433 D435:D443 D538:D562 D445:D456 D477:D487 D490:D500 D564:D569 D411:D422 D571:D579 D833 D458:D475 D502:D536 D712:D830 D581:D710 D835:D887 D403:D409 D396:D401 D386:D394 D378:D384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8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8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Gasoducto 1"  de abasto a la ERM Viborillas</v>
      </c>
    </row>
    <row r="123" spans="2:2" x14ac:dyDescent="0.25">
      <c r="B123" t="str">
        <v>Gasoducto 2" de abasto a la ERM Bachoco</v>
      </c>
    </row>
    <row r="124" spans="2:2" x14ac:dyDescent="0.25">
      <c r="B124" t="str">
        <v xml:space="preserve"> Gasoducto 3" de abasto a la ERM Porcelanite</v>
      </c>
    </row>
    <row r="125" spans="2:2" x14ac:dyDescent="0.25">
      <c r="B125" t="str">
        <v>Gasoducto 2" de abasto a la ERM Italgres</v>
      </c>
    </row>
    <row r="126" spans="2:2" x14ac:dyDescent="0.25">
      <c r="B126" t="str">
        <v>Gasoducto 2" de abasto a la ERM Artigraf</v>
      </c>
    </row>
    <row r="127" spans="2:2" x14ac:dyDescent="0.25">
      <c r="B127" t="str">
        <v>Gasoducto 6" de abasto a la ERM Kimberly</v>
      </c>
    </row>
    <row r="128" spans="2:2" x14ac:dyDescent="0.25">
      <c r="B128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4" t="s">
        <v>84</v>
      </c>
      <c r="E1" s="575"/>
      <c r="F1" s="575"/>
      <c r="G1" s="575"/>
      <c r="H1" s="575"/>
      <c r="I1" s="575"/>
      <c r="J1" s="575"/>
      <c r="K1" s="575"/>
      <c r="L1" s="2"/>
    </row>
    <row r="2" spans="2:15" ht="42.75" customHeight="1" x14ac:dyDescent="0.25">
      <c r="B2" s="2"/>
      <c r="C2" s="2"/>
      <c r="D2" s="575"/>
      <c r="E2" s="575"/>
      <c r="F2" s="575"/>
      <c r="G2" s="575"/>
      <c r="H2" s="575"/>
      <c r="I2" s="575"/>
      <c r="J2" s="575"/>
      <c r="K2" s="575"/>
      <c r="L2" s="2"/>
    </row>
    <row r="3" spans="2:15" x14ac:dyDescent="0.25">
      <c r="B3" s="567" t="s">
        <v>85</v>
      </c>
      <c r="C3" s="567"/>
      <c r="D3" s="567"/>
      <c r="E3" s="567"/>
      <c r="F3" s="567"/>
      <c r="G3" s="567" t="s">
        <v>86</v>
      </c>
      <c r="H3" s="567"/>
      <c r="I3" s="567"/>
      <c r="J3" s="567"/>
      <c r="K3" s="567"/>
      <c r="L3" s="3"/>
    </row>
    <row r="4" spans="2:15" x14ac:dyDescent="0.25">
      <c r="B4" s="576"/>
      <c r="C4" s="576"/>
      <c r="D4" s="576"/>
      <c r="E4" s="576"/>
      <c r="F4" s="576"/>
      <c r="G4" s="577" t="s">
        <v>87</v>
      </c>
      <c r="H4" s="577"/>
      <c r="I4" s="577"/>
      <c r="J4" s="577"/>
      <c r="K4" s="577"/>
      <c r="L4" s="3"/>
    </row>
    <row r="5" spans="2:15" ht="27" x14ac:dyDescent="0.25">
      <c r="B5" s="154" t="s">
        <v>88</v>
      </c>
      <c r="C5" s="567" t="s">
        <v>89</v>
      </c>
      <c r="D5" s="568"/>
      <c r="E5" s="568"/>
      <c r="F5" s="568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0" t="s">
        <v>95</v>
      </c>
      <c r="D6" s="570"/>
      <c r="E6" s="570"/>
      <c r="F6" s="570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6" t="s">
        <v>96</v>
      </c>
      <c r="D7" s="566"/>
      <c r="E7" s="566"/>
      <c r="F7" s="566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66" t="s">
        <v>99</v>
      </c>
      <c r="D8" s="566"/>
      <c r="E8" s="566"/>
      <c r="F8" s="566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66" t="s">
        <v>100</v>
      </c>
      <c r="D9" s="566"/>
      <c r="E9" s="566"/>
      <c r="F9" s="566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3" t="s">
        <v>102</v>
      </c>
      <c r="D10" s="573"/>
      <c r="E10" s="573"/>
      <c r="F10" s="573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66" t="s">
        <v>103</v>
      </c>
      <c r="D11" s="566"/>
      <c r="E11" s="566"/>
      <c r="F11" s="566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66" t="s">
        <v>104</v>
      </c>
      <c r="D12" s="566"/>
      <c r="E12" s="566"/>
      <c r="F12" s="566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0" t="s">
        <v>105</v>
      </c>
      <c r="D13" s="570"/>
      <c r="E13" s="570"/>
      <c r="F13" s="570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6" t="s">
        <v>107</v>
      </c>
      <c r="D14" s="566"/>
      <c r="E14" s="566"/>
      <c r="F14" s="566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66" t="s">
        <v>109</v>
      </c>
      <c r="D15" s="566"/>
      <c r="E15" s="566"/>
      <c r="F15" s="566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66" t="s">
        <v>110</v>
      </c>
      <c r="D16" s="566"/>
      <c r="E16" s="566"/>
      <c r="F16" s="566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2" t="s">
        <v>111</v>
      </c>
      <c r="D17" s="572"/>
      <c r="E17" s="572"/>
      <c r="F17" s="572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66" t="s">
        <v>112</v>
      </c>
      <c r="D18" s="566"/>
      <c r="E18" s="566"/>
      <c r="F18" s="566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66" t="s">
        <v>114</v>
      </c>
      <c r="D19" s="566"/>
      <c r="E19" s="566"/>
      <c r="F19" s="566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66" t="s">
        <v>115</v>
      </c>
      <c r="D20" s="566"/>
      <c r="E20" s="566"/>
      <c r="F20" s="566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66" t="s">
        <v>104</v>
      </c>
      <c r="D21" s="566"/>
      <c r="E21" s="566"/>
      <c r="F21" s="566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0" t="s">
        <v>116</v>
      </c>
      <c r="D22" s="570"/>
      <c r="E22" s="570"/>
      <c r="F22" s="570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6" t="s">
        <v>117</v>
      </c>
      <c r="D23" s="566"/>
      <c r="E23" s="566"/>
      <c r="F23" s="566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66" t="s">
        <v>119</v>
      </c>
      <c r="D24" s="566"/>
      <c r="E24" s="566"/>
      <c r="F24" s="566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1" t="s">
        <v>121</v>
      </c>
      <c r="D25" s="571"/>
      <c r="E25" s="571"/>
      <c r="F25" s="571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66" t="s">
        <v>123</v>
      </c>
      <c r="D26" s="566"/>
      <c r="E26" s="566"/>
      <c r="F26" s="566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66" t="s">
        <v>125</v>
      </c>
      <c r="D27" s="566"/>
      <c r="E27" s="566"/>
      <c r="F27" s="566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66" t="s">
        <v>128</v>
      </c>
      <c r="D28" s="566"/>
      <c r="E28" s="566"/>
      <c r="F28" s="566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66" t="s">
        <v>130</v>
      </c>
      <c r="D29" s="566"/>
      <c r="E29" s="566"/>
      <c r="F29" s="566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66" t="s">
        <v>132</v>
      </c>
      <c r="D30" s="566"/>
      <c r="E30" s="566"/>
      <c r="F30" s="566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66" t="s">
        <v>134</v>
      </c>
      <c r="D31" s="566"/>
      <c r="E31" s="566"/>
      <c r="F31" s="566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66" t="s">
        <v>136</v>
      </c>
      <c r="D32" s="566"/>
      <c r="E32" s="566"/>
      <c r="F32" s="566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66" t="s">
        <v>138</v>
      </c>
      <c r="D33" s="566"/>
      <c r="E33" s="566"/>
      <c r="F33" s="566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66" t="s">
        <v>140</v>
      </c>
      <c r="D34" s="566"/>
      <c r="E34" s="566"/>
      <c r="F34" s="566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66" t="s">
        <v>141</v>
      </c>
      <c r="D35" s="566"/>
      <c r="E35" s="566"/>
      <c r="F35" s="566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0" t="s">
        <v>142</v>
      </c>
      <c r="D36" s="570"/>
      <c r="E36" s="570"/>
      <c r="F36" s="570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6" t="s">
        <v>143</v>
      </c>
      <c r="D37" s="566"/>
      <c r="E37" s="566"/>
      <c r="F37" s="566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66" t="s">
        <v>144</v>
      </c>
      <c r="D38" s="566"/>
      <c r="E38" s="566"/>
      <c r="F38" s="566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66" t="s">
        <v>145</v>
      </c>
      <c r="D39" s="566"/>
      <c r="E39" s="566"/>
      <c r="F39" s="566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66" t="s">
        <v>146</v>
      </c>
      <c r="D40" s="566"/>
      <c r="E40" s="566"/>
      <c r="F40" s="566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66" t="s">
        <v>147</v>
      </c>
      <c r="D41" s="566"/>
      <c r="E41" s="566"/>
      <c r="F41" s="566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66" t="s">
        <v>148</v>
      </c>
      <c r="D42" s="566"/>
      <c r="E42" s="566"/>
      <c r="F42" s="566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66" t="s">
        <v>149</v>
      </c>
      <c r="D43" s="566"/>
      <c r="E43" s="566"/>
      <c r="F43" s="566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66" t="s">
        <v>150</v>
      </c>
      <c r="D44" s="566"/>
      <c r="E44" s="566"/>
      <c r="F44" s="566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66" t="s">
        <v>151</v>
      </c>
      <c r="D45" s="566"/>
      <c r="E45" s="566"/>
      <c r="F45" s="566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66" t="s">
        <v>153</v>
      </c>
      <c r="D46" s="566"/>
      <c r="E46" s="566"/>
      <c r="F46" s="566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66" t="s">
        <v>154</v>
      </c>
      <c r="D47" s="566"/>
      <c r="E47" s="566"/>
      <c r="F47" s="566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66" t="s">
        <v>155</v>
      </c>
      <c r="D48" s="566"/>
      <c r="E48" s="566"/>
      <c r="F48" s="566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0" t="s">
        <v>156</v>
      </c>
      <c r="D49" s="570"/>
      <c r="E49" s="570"/>
      <c r="F49" s="570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66" t="s">
        <v>157</v>
      </c>
      <c r="D50" s="566"/>
      <c r="E50" s="566"/>
      <c r="F50" s="566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66" t="s">
        <v>159</v>
      </c>
      <c r="D51" s="566"/>
      <c r="E51" s="566"/>
      <c r="F51" s="566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69"/>
      <c r="C56" s="569"/>
      <c r="D56" s="569"/>
      <c r="E56" s="569"/>
      <c r="F56" s="569"/>
      <c r="G56" s="569"/>
      <c r="H56" s="569"/>
      <c r="I56" s="569"/>
      <c r="J56" s="569"/>
      <c r="K56" s="569"/>
      <c r="L56" s="3"/>
    </row>
    <row r="57" spans="2:12" ht="20.100000000000001" customHeight="1" x14ac:dyDescent="0.25">
      <c r="B57" s="569"/>
      <c r="C57" s="569"/>
      <c r="D57" s="569"/>
      <c r="E57" s="569"/>
      <c r="F57" s="569"/>
      <c r="G57" s="569"/>
      <c r="H57" s="569"/>
      <c r="I57" s="569"/>
      <c r="J57" s="569"/>
      <c r="K57" s="569"/>
      <c r="L57" s="3"/>
    </row>
    <row r="58" spans="2:12" ht="20.100000000000001" customHeight="1" x14ac:dyDescent="0.25">
      <c r="B58" s="569"/>
      <c r="C58" s="569"/>
      <c r="D58" s="569"/>
      <c r="E58" s="569"/>
      <c r="F58" s="569"/>
      <c r="G58" s="569"/>
      <c r="H58" s="569"/>
      <c r="I58" s="569"/>
      <c r="J58" s="569"/>
      <c r="K58" s="569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69"/>
      <c r="C61" s="569"/>
      <c r="D61" s="569"/>
      <c r="E61" s="569"/>
      <c r="F61" s="569"/>
      <c r="G61" s="569"/>
      <c r="H61" s="569"/>
      <c r="I61" s="569"/>
      <c r="J61" s="569"/>
      <c r="K61" s="569"/>
      <c r="L61" s="3"/>
    </row>
    <row r="62" spans="2:12" ht="20.100000000000001" customHeight="1" x14ac:dyDescent="0.25">
      <c r="B62" s="569"/>
      <c r="C62" s="569"/>
      <c r="D62" s="569"/>
      <c r="E62" s="569"/>
      <c r="F62" s="569"/>
      <c r="G62" s="569"/>
      <c r="H62" s="569"/>
      <c r="I62" s="569"/>
      <c r="J62" s="569"/>
      <c r="K62" s="569"/>
      <c r="L62" s="3"/>
    </row>
    <row r="63" spans="2:12" ht="20.100000000000001" customHeight="1" x14ac:dyDescent="0.25">
      <c r="B63" s="569"/>
      <c r="C63" s="569"/>
      <c r="D63" s="569"/>
      <c r="E63" s="569"/>
      <c r="F63" s="569"/>
      <c r="G63" s="569"/>
      <c r="H63" s="569"/>
      <c r="I63" s="569"/>
      <c r="J63" s="569"/>
      <c r="K63" s="569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7" t="s">
        <v>163</v>
      </c>
      <c r="D66" s="568"/>
      <c r="E66" s="568"/>
      <c r="F66" s="568"/>
    </row>
    <row r="67" spans="2:12" x14ac:dyDescent="0.25">
      <c r="B67" s="5">
        <v>6.1</v>
      </c>
      <c r="C67" s="566" t="s">
        <v>164</v>
      </c>
      <c r="D67" s="566"/>
      <c r="E67" s="566"/>
      <c r="F67" s="566"/>
    </row>
    <row r="68" spans="2:12" x14ac:dyDescent="0.25">
      <c r="B68" s="5">
        <v>6.2</v>
      </c>
      <c r="C68" s="566" t="s">
        <v>165</v>
      </c>
      <c r="D68" s="566"/>
      <c r="E68" s="566"/>
      <c r="F68" s="566"/>
    </row>
    <row r="69" spans="2:12" x14ac:dyDescent="0.25">
      <c r="B69" s="5">
        <v>6.3</v>
      </c>
      <c r="C69" s="566" t="s">
        <v>166</v>
      </c>
      <c r="D69" s="566"/>
      <c r="E69" s="566"/>
      <c r="F69" s="566"/>
    </row>
    <row r="70" spans="2:12" x14ac:dyDescent="0.25">
      <c r="B70" s="5">
        <v>6.4</v>
      </c>
      <c r="C70" s="566" t="s">
        <v>167</v>
      </c>
      <c r="D70" s="566"/>
      <c r="E70" s="566"/>
      <c r="F70" s="566"/>
    </row>
    <row r="71" spans="2:12" x14ac:dyDescent="0.25">
      <c r="B71" s="5">
        <v>6.5</v>
      </c>
      <c r="C71" s="566" t="s">
        <v>168</v>
      </c>
      <c r="D71" s="566"/>
      <c r="E71" s="566"/>
      <c r="F71" s="566"/>
    </row>
    <row r="72" spans="2:12" x14ac:dyDescent="0.25">
      <c r="B72" s="5">
        <v>6.6</v>
      </c>
      <c r="C72" s="566" t="s">
        <v>169</v>
      </c>
      <c r="D72" s="566"/>
      <c r="E72" s="566"/>
      <c r="F72" s="566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78" t="s">
        <v>398</v>
      </c>
      <c r="C3" s="578"/>
      <c r="D3" s="578"/>
      <c r="E3" s="578"/>
      <c r="F3" s="578"/>
      <c r="G3" s="578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57</v>
      </c>
      <c r="C10" s="233">
        <f>+SUMIFS(Tabla1[Avance_Med],Tabla1[Fecha],"&gt;="&amp;$A10,Tabla1[Fecha],"&lt;="&amp;EOMONTH($A10,0),Tabla1[Codigo_actividad],C$2)</f>
        <v>57</v>
      </c>
      <c r="D10" s="233">
        <f>+SUMIFS(Tabla1[Avance_Med],Tabla1[Fecha],"&gt;="&amp;$A10,Tabla1[Fecha],"&lt;="&amp;EOMONTH($A10,0),Tabla1[Codigo_actividad],D$2)</f>
        <v>57</v>
      </c>
      <c r="E10" s="233">
        <f>+SUMIFS(Tabla1[Avance_Med],Tabla1[Fecha],"&gt;="&amp;$A10,Tabla1[Fecha],"&lt;="&amp;EOMONTH($A10,0),Tabla1[Codigo_actividad],E$2)</f>
        <v>57</v>
      </c>
      <c r="F10" s="233">
        <f>+SUMIFS(Tabla1[Avance_Med],Tabla1[Fecha],"&gt;="&amp;$A10,Tabla1[Fecha],"&lt;="&amp;EOMONTH($A10,0),Tabla1[Codigo_actividad],F$2)</f>
        <v>57</v>
      </c>
      <c r="G10" s="233">
        <f>+SUMIFS(Tabla1[Avance_Med],Tabla1[Fecha],"&gt;="&amp;$A10,Tabla1[Fecha],"&lt;="&amp;EOMONTH($A10,0),Tabla1[Codigo_actividad],G$2)</f>
        <v>57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0</v>
      </c>
      <c r="Q10" s="238"/>
      <c r="R10" s="13">
        <f t="shared" si="0"/>
        <v>954914.95200000005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4</v>
      </c>
      <c r="C11" s="233">
        <f>+SUMIFS(Tabla1[Avance_Med],Tabla1[Fecha],"&gt;="&amp;$A11,Tabla1[Fecha],"&lt;="&amp;EOMONTH($A11,0),Tabla1[Codigo_actividad],C$2)</f>
        <v>4</v>
      </c>
      <c r="D11" s="233">
        <f>+SUMIFS(Tabla1[Avance_Med],Tabla1[Fecha],"&gt;="&amp;$A11,Tabla1[Fecha],"&lt;="&amp;EOMONTH($A11,0),Tabla1[Codigo_actividad],D$2)</f>
        <v>4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156637.87576999998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0</v>
      </c>
      <c r="Q16" s="238"/>
      <c r="R16" s="13">
        <f t="shared" si="0"/>
        <v>504473.53460000001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3</v>
      </c>
      <c r="P17" s="233">
        <f>+SUMIFS(Tabla1[Avance_Med],Tabla1[Fecha],"&gt;="&amp;$A17,Tabla1[Fecha],"&lt;="&amp;EOMONTH($A17,0),Tabla1[Codigo_actividad],P$2)</f>
        <v>0</v>
      </c>
      <c r="Q17" s="238"/>
      <c r="R17" s="13">
        <f t="shared" si="0"/>
        <v>260054.33039999998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61</v>
      </c>
      <c r="C20" s="1">
        <f t="shared" ref="C20:O20" si="1">SUM(C4:C19)</f>
        <v>61</v>
      </c>
      <c r="D20" s="1">
        <f t="shared" si="1"/>
        <v>61</v>
      </c>
      <c r="E20" s="1">
        <f t="shared" si="1"/>
        <v>57</v>
      </c>
      <c r="F20" s="1">
        <f t="shared" si="1"/>
        <v>57</v>
      </c>
      <c r="G20" s="1">
        <f t="shared" si="1"/>
        <v>57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91</v>
      </c>
      <c r="P20" s="1"/>
      <c r="Q20" s="239"/>
      <c r="R20" s="13">
        <f>SUM(R4:R19)</f>
        <v>-3043688.1926999991</v>
      </c>
      <c r="S20" s="13">
        <f>+R4-R20</f>
        <v>-8119233.6473000012</v>
      </c>
      <c r="T20" s="253">
        <f>$S$20/$R$4</f>
        <v>0.72733946933198279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3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79" t="s">
        <v>84</v>
      </c>
      <c r="D1" s="579"/>
      <c r="E1" s="579"/>
      <c r="F1" s="579"/>
      <c r="G1" s="579"/>
      <c r="H1" s="579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7" t="s">
        <v>85</v>
      </c>
      <c r="C3" s="567"/>
      <c r="D3" s="567" t="s">
        <v>86</v>
      </c>
      <c r="E3" s="567"/>
      <c r="F3" s="567"/>
      <c r="G3" s="567"/>
      <c r="H3" s="567"/>
    </row>
    <row r="4" spans="1:21" x14ac:dyDescent="0.25">
      <c r="B4" s="576"/>
      <c r="C4" s="576"/>
      <c r="D4" s="577" t="s">
        <v>87</v>
      </c>
      <c r="E4" s="577"/>
      <c r="F4" s="577"/>
      <c r="G4" s="577"/>
      <c r="H4" s="577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4"/>
      <c r="B25" s="412">
        <v>3.3</v>
      </c>
      <c r="C25" s="413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510</v>
      </c>
      <c r="P40" t="s">
        <v>535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1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8">
        <f>+F45*U45</f>
        <v>173864.40000000002</v>
      </c>
      <c r="W45" s="430">
        <v>638.5</v>
      </c>
      <c r="X45" s="428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4" t="s">
        <v>497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8">
        <f>+F46*U46</f>
        <v>167470.32</v>
      </c>
      <c r="W46" s="430">
        <v>1210.95</v>
      </c>
      <c r="X46" s="432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3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29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537</v>
      </c>
      <c r="B55" s="5" t="s">
        <v>560</v>
      </c>
      <c r="C55" s="29" t="s">
        <v>522</v>
      </c>
      <c r="D55" s="6">
        <v>357</v>
      </c>
      <c r="E55" s="6" t="s">
        <v>536</v>
      </c>
      <c r="F55" s="8">
        <v>1913.01</v>
      </c>
      <c r="G55" s="9">
        <f>+D55*F55</f>
        <v>682944.57</v>
      </c>
      <c r="H55" s="10" t="s">
        <v>98</v>
      </c>
      <c r="I55" s="26" t="s">
        <v>529</v>
      </c>
      <c r="J55" s="473">
        <f>F55/$F$17</f>
        <v>0.13967369241867134</v>
      </c>
      <c r="K55" s="26">
        <f>+J55*F17</f>
        <v>1913.01</v>
      </c>
    </row>
    <row r="56" spans="1:11" x14ac:dyDescent="0.25">
      <c r="A56" s="1" t="s">
        <v>537</v>
      </c>
      <c r="B56" s="5" t="s">
        <v>561</v>
      </c>
      <c r="C56" s="29" t="s">
        <v>524</v>
      </c>
      <c r="D56" s="6">
        <v>252</v>
      </c>
      <c r="E56" s="6" t="s">
        <v>536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530</v>
      </c>
      <c r="J56" s="473">
        <f t="shared" ref="J56:J58" si="12">F56/$F$17</f>
        <v>0.22119874885735394</v>
      </c>
    </row>
    <row r="57" spans="1:11" x14ac:dyDescent="0.25">
      <c r="A57" s="1" t="s">
        <v>537</v>
      </c>
      <c r="B57" s="5" t="s">
        <v>562</v>
      </c>
      <c r="C57" s="29" t="s">
        <v>525</v>
      </c>
      <c r="D57" s="6">
        <v>372</v>
      </c>
      <c r="E57" s="6" t="s">
        <v>536</v>
      </c>
      <c r="F57" s="8">
        <v>1821.08</v>
      </c>
      <c r="G57" s="9">
        <f t="shared" si="11"/>
        <v>677441.76</v>
      </c>
      <c r="H57" s="10" t="s">
        <v>98</v>
      </c>
      <c r="I57" t="s">
        <v>531</v>
      </c>
      <c r="J57" s="473">
        <f t="shared" si="12"/>
        <v>0.13296165090082854</v>
      </c>
    </row>
    <row r="58" spans="1:11" x14ac:dyDescent="0.25">
      <c r="B58" s="5"/>
      <c r="C58" s="29" t="s">
        <v>565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563</v>
      </c>
      <c r="J58" s="473">
        <f t="shared" si="12"/>
        <v>1.4028035349744601</v>
      </c>
    </row>
    <row r="65" spans="2:12" ht="15.75" thickBot="1" x14ac:dyDescent="0.3">
      <c r="C65" s="451">
        <v>46258</v>
      </c>
      <c r="E65" s="465">
        <f>+$E$67*$J$67</f>
        <v>55735</v>
      </c>
      <c r="F65" s="465">
        <f>+$F$67*$J$67</f>
        <v>71000</v>
      </c>
      <c r="G65" s="465">
        <f>+$G$68*$J$68+$G$69*$J$69</f>
        <v>215000</v>
      </c>
      <c r="H65" s="465">
        <f>+$H$68*$J$68+$H$69*$J$69</f>
        <v>272740</v>
      </c>
    </row>
    <row r="66" spans="2:12" ht="16.5" thickBot="1" x14ac:dyDescent="0.3">
      <c r="C66" s="453" t="s">
        <v>515</v>
      </c>
      <c r="D66" s="455" t="s">
        <v>516</v>
      </c>
      <c r="E66" s="455" t="s">
        <v>517</v>
      </c>
      <c r="F66" s="455" t="s">
        <v>518</v>
      </c>
      <c r="G66" s="455" t="s">
        <v>519</v>
      </c>
      <c r="H66" s="455" t="s">
        <v>520</v>
      </c>
      <c r="I66" s="455" t="s">
        <v>93</v>
      </c>
      <c r="J66" s="455" t="s">
        <v>521</v>
      </c>
      <c r="K66" s="455" t="s">
        <v>93</v>
      </c>
    </row>
    <row r="67" spans="2:12" ht="16.5" thickBot="1" x14ac:dyDescent="0.3">
      <c r="B67" s="76" t="s">
        <v>526</v>
      </c>
      <c r="C67" s="454" t="s">
        <v>522</v>
      </c>
      <c r="D67" s="456" t="s">
        <v>523</v>
      </c>
      <c r="E67" s="460">
        <v>157</v>
      </c>
      <c r="F67" s="460">
        <v>200</v>
      </c>
      <c r="G67" s="456"/>
      <c r="H67" s="456"/>
      <c r="I67" s="457">
        <v>357</v>
      </c>
      <c r="J67" s="459">
        <v>355</v>
      </c>
      <c r="K67" s="458">
        <f>+J67*I67</f>
        <v>126735</v>
      </c>
      <c r="L67" t="s">
        <v>529</v>
      </c>
    </row>
    <row r="68" spans="2:12" ht="16.5" thickBot="1" x14ac:dyDescent="0.3">
      <c r="B68" s="76" t="s">
        <v>527</v>
      </c>
      <c r="C68" s="454" t="s">
        <v>524</v>
      </c>
      <c r="D68" s="456" t="s">
        <v>523</v>
      </c>
      <c r="E68" s="456"/>
      <c r="F68" s="456"/>
      <c r="G68" s="456">
        <v>104</v>
      </c>
      <c r="H68" s="456">
        <v>148</v>
      </c>
      <c r="I68" s="457">
        <v>252</v>
      </c>
      <c r="J68" s="459">
        <v>1500</v>
      </c>
      <c r="K68" s="458">
        <f t="shared" ref="K68:K69" si="13">+J68*I68</f>
        <v>378000</v>
      </c>
      <c r="L68" t="s">
        <v>530</v>
      </c>
    </row>
    <row r="69" spans="2:12" ht="16.5" thickBot="1" x14ac:dyDescent="0.3">
      <c r="B69" s="76" t="s">
        <v>528</v>
      </c>
      <c r="C69" s="454" t="s">
        <v>525</v>
      </c>
      <c r="D69" s="456" t="s">
        <v>523</v>
      </c>
      <c r="E69" s="456"/>
      <c r="F69" s="456"/>
      <c r="G69" s="460">
        <v>200</v>
      </c>
      <c r="H69" s="456">
        <v>172</v>
      </c>
      <c r="I69" s="457">
        <v>372</v>
      </c>
      <c r="J69" s="459">
        <v>295</v>
      </c>
      <c r="K69" s="458">
        <f t="shared" si="13"/>
        <v>109740</v>
      </c>
      <c r="L69" t="s">
        <v>531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5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1.0205271368749487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398" t="s">
        <v>484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09">
        <f>IFERROR(SUMIFS(Tabla1[Avance_km],Tabla1[Ducto],'R (s03)'!$B7,Tabla1[nombre_actividad],D$1,Tabla1[Sistema],"HUIMILPAN")/$C7,0)</f>
        <v>0</v>
      </c>
      <c r="E7" s="409">
        <f>IFERROR(SUMIFS(Tabla1[Avance_km],Tabla1[Ducto],'R (s03)'!$B7,Tabla1[nombre_actividad],E$1,Tabla1[Sistema],"HUIMILPAN")/$C7,0)</f>
        <v>0</v>
      </c>
      <c r="F7" s="409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7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09">
        <f>IFERROR(SUMIFS(Tabla1[Avance_km],Tabla1[Ducto],'R (s03)'!$B11,Tabla1[nombre_actividad],D$1,Tabla1[Sistema],"HUIMILPAN")/$C11,0)</f>
        <v>0</v>
      </c>
      <c r="E11" s="409">
        <f>IFERROR(SUMIFS(Tabla1[Avance_km],Tabla1[Ducto],'R (s03)'!$B11,Tabla1[nombre_actividad],E$1,Tabla1[Sistema],"HUIMILPAN")/$C11,0)</f>
        <v>0</v>
      </c>
      <c r="F11" s="409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7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6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7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6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09">
        <f>IFERROR(SUMIFS(Tabla1[Avance_km],Tabla1[Ducto],'R (s03)'!$B23,Tabla1[nombre_actividad],D$1,Tabla1[Sistema],"HUIMILPAN")/$C23,0)</f>
        <v>0</v>
      </c>
      <c r="E23" s="409">
        <f>IFERROR(SUMIFS(Tabla1[Avance_km],Tabla1[Ducto],'R (s03)'!$B23,Tabla1[nombre_actividad],E$1,Tabla1[Sistema],"HUIMILPAN")/$C23,0)</f>
        <v>0</v>
      </c>
      <c r="F23" s="409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7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6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18" t="s">
        <v>329</v>
      </c>
      <c r="B32" s="419" t="s">
        <v>246</v>
      </c>
      <c r="C32" s="420">
        <v>0</v>
      </c>
      <c r="D32" s="421">
        <f>IFERROR(SUMIFS(Tabla1[Avance_km],Tabla1[Ducto],'R (s03)'!$B32,Tabla1[nombre_actividad],D$1,Tabla1[Sistema],"HUIMILPAN")/$C32,0)</f>
        <v>0</v>
      </c>
      <c r="E32" s="421">
        <f>IFERROR(SUMIFS(Tabla1[Avance_km],Tabla1[Ducto],'R (s03)'!$B32,Tabla1[nombre_actividad],E$1,Tabla1[Sistema],"HUIMILPAN")/$C32,0)</f>
        <v>0</v>
      </c>
      <c r="F32" s="421">
        <f>IFERROR(SUMIFS(Tabla1[Avance_km],Tabla1[Ducto],'R (s03)'!$B32,Tabla1[nombre_actividad],F$1,Tabla1[Sistema],"HUIMILPAN")/$C32,0)</f>
        <v>0</v>
      </c>
      <c r="G32" s="421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494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508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18" t="s">
        <v>329</v>
      </c>
      <c r="B43" s="418" t="s">
        <v>476</v>
      </c>
      <c r="C43" s="420">
        <v>0</v>
      </c>
      <c r="D43" s="421">
        <f>IFERROR(SUMIFS(Tabla1[Avance_km],Tabla1[Ducto],'R (s03)'!$B43,Tabla1[nombre_actividad],D$1,Tabla1[Sistema],"HUIMILPAN")/$C43,0)</f>
        <v>0</v>
      </c>
      <c r="E43" s="421">
        <f>IFERROR(SUMIFS(Tabla1[Avance_km],Tabla1[Ducto],'R (s03)'!$B43,Tabla1[nombre_actividad],E$1,Tabla1[Sistema],"HUIMILPAN")/$C43,0)</f>
        <v>0</v>
      </c>
      <c r="F43" s="421">
        <f>IFERROR(SUMIFS(Tabla1[Avance_km],Tabla1[Ducto],'R (s03)'!$B43,Tabla1[nombre_actividad],F$1,Tabla1[Sistema],"HUIMILPAN")/$C43,0)</f>
        <v>0</v>
      </c>
      <c r="G43" s="388" t="s">
        <v>480</v>
      </c>
      <c r="H43" s="79"/>
      <c r="I43" s="79"/>
      <c r="J43" s="144"/>
      <c r="K43" s="24" t="s">
        <v>509</v>
      </c>
      <c r="L43"/>
      <c r="M43" s="91" t="s">
        <v>476</v>
      </c>
      <c r="N43" s="26"/>
    </row>
    <row r="44" spans="1:14" s="1" customFormat="1" ht="27" thickBot="1" x14ac:dyDescent="0.35">
      <c r="A44" s="34" t="s">
        <v>329</v>
      </c>
      <c r="B44" s="179" t="s">
        <v>478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8"/>
      <c r="H44" s="79"/>
      <c r="I44" s="79"/>
      <c r="J44" s="144"/>
      <c r="L44"/>
      <c r="M44" s="91" t="s">
        <v>478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4" t="s">
        <v>483</v>
      </c>
      <c r="D49" s="395">
        <f>1000*(SUM(C2:C45)-SUMPRODUCT(C2:C45,D2:D45))</f>
        <v>6.9999999999978968</v>
      </c>
      <c r="E49" s="395">
        <f>1000*(SUM(C2:C45)-SUMPRODUCT(C2:C45,E2:E45))</f>
        <v>562.99999999998818</v>
      </c>
      <c r="F49" s="395">
        <f>1000*(SUM(C2:C45)-SUMPRODUCT(C2:C45,F2:F45))</f>
        <v>-654.00000000000341</v>
      </c>
    </row>
    <row r="50" spans="3:12" x14ac:dyDescent="0.25">
      <c r="K50" s="425" t="s">
        <v>492</v>
      </c>
    </row>
    <row r="51" spans="3:12" x14ac:dyDescent="0.25">
      <c r="J51" s="424">
        <v>46241</v>
      </c>
      <c r="K51" s="1" t="s">
        <v>478</v>
      </c>
      <c r="L51" t="s">
        <v>493</v>
      </c>
    </row>
    <row r="52" spans="3:12" x14ac:dyDescent="0.25">
      <c r="J52" s="424">
        <v>46241</v>
      </c>
      <c r="K52" s="1" t="s">
        <v>225</v>
      </c>
      <c r="L52" t="s">
        <v>495</v>
      </c>
    </row>
    <row r="53" spans="3:12" x14ac:dyDescent="0.25">
      <c r="D53" s="26" t="s">
        <v>28</v>
      </c>
      <c r="E53" s="26"/>
      <c r="J53" s="424"/>
    </row>
    <row r="54" spans="3:12" x14ac:dyDescent="0.25">
      <c r="D54" s="26" t="s">
        <v>212</v>
      </c>
      <c r="E54" s="26"/>
    </row>
    <row r="55" spans="3:12" x14ac:dyDescent="0.25">
      <c r="D55" s="451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1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4"/>
    </row>
    <row r="57" spans="3:12" x14ac:dyDescent="0.25">
      <c r="D57" s="451">
        <v>46163</v>
      </c>
      <c r="E57" s="354">
        <v>4336</v>
      </c>
      <c r="F57" s="354">
        <v>6908</v>
      </c>
      <c r="G57" t="str">
        <f t="shared" si="0"/>
        <v>OK</v>
      </c>
      <c r="J57" s="424"/>
    </row>
    <row r="58" spans="3:12" x14ac:dyDescent="0.25">
      <c r="D58" s="451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1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1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1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1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1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1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1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1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1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1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1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1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1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1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1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1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1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1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1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2" t="s">
        <v>480</v>
      </c>
      <c r="G6" s="422" t="s">
        <v>480</v>
      </c>
      <c r="H6" s="79"/>
      <c r="I6" s="79"/>
      <c r="J6" s="144"/>
      <c r="K6" s="1">
        <f>+E6*C6*1000</f>
        <v>31253</v>
      </c>
    </row>
    <row r="8" spans="1:19" x14ac:dyDescent="0.25">
      <c r="D8" s="76" t="s">
        <v>621</v>
      </c>
      <c r="E8" s="76" t="s">
        <v>621</v>
      </c>
    </row>
    <row r="9" spans="1:19" x14ac:dyDescent="0.25">
      <c r="D9" s="564">
        <f>+C6*(1-D6)</f>
        <v>15.377499999999996</v>
      </c>
      <c r="E9" s="564">
        <f>+C6*(1-E6)</f>
        <v>16.343499999999999</v>
      </c>
    </row>
    <row r="10" spans="1:19" ht="15.75" thickBot="1" x14ac:dyDescent="0.3">
      <c r="E10" s="564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3"/>
      <c r="K11" s="33" t="s">
        <v>2</v>
      </c>
      <c r="L11" s="426" t="s">
        <v>502</v>
      </c>
      <c r="M11" s="450"/>
      <c r="N11" s="580" t="s">
        <v>507</v>
      </c>
      <c r="O11" s="581"/>
      <c r="P11" s="582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5" t="s">
        <v>211</v>
      </c>
      <c r="K12" s="467" t="s">
        <v>506</v>
      </c>
      <c r="L12" s="467" t="s">
        <v>478</v>
      </c>
      <c r="M12" s="468">
        <v>1</v>
      </c>
      <c r="N12" s="494" t="s">
        <v>500</v>
      </c>
      <c r="O12" s="471"/>
      <c r="P12" s="472"/>
      <c r="Q12" s="354">
        <v>0</v>
      </c>
    </row>
    <row r="13" spans="1:19" x14ac:dyDescent="0.25">
      <c r="A13" s="451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1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5" t="s">
        <v>352</v>
      </c>
      <c r="K13" s="467" t="s">
        <v>351</v>
      </c>
      <c r="L13" s="467" t="s">
        <v>359</v>
      </c>
      <c r="M13" s="468">
        <v>3</v>
      </c>
      <c r="N13" s="469" t="s">
        <v>500</v>
      </c>
      <c r="O13" s="467" t="s">
        <v>501</v>
      </c>
      <c r="P13" s="470" t="s">
        <v>499</v>
      </c>
      <c r="Q13" s="354">
        <v>0</v>
      </c>
      <c r="R13" s="354">
        <v>400</v>
      </c>
      <c r="S13" s="354">
        <v>875</v>
      </c>
    </row>
    <row r="14" spans="1:19" x14ac:dyDescent="0.25">
      <c r="A14" s="451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1">
        <v>46254</v>
      </c>
      <c r="F14" s="354">
        <v>2981</v>
      </c>
      <c r="G14" s="354">
        <v>4939</v>
      </c>
      <c r="H14" t="str">
        <f t="shared" si="0"/>
        <v>OK</v>
      </c>
      <c r="J14" s="495" t="s">
        <v>352</v>
      </c>
      <c r="K14" s="467" t="s">
        <v>351</v>
      </c>
      <c r="L14" s="467" t="s">
        <v>360</v>
      </c>
      <c r="M14" s="468">
        <v>1</v>
      </c>
      <c r="N14" s="469" t="s">
        <v>499</v>
      </c>
      <c r="O14" s="471"/>
      <c r="P14" s="472"/>
      <c r="Q14" s="354">
        <v>160</v>
      </c>
      <c r="R14" s="354"/>
      <c r="S14" s="354"/>
    </row>
    <row r="15" spans="1:19" x14ac:dyDescent="0.25">
      <c r="A15" s="451">
        <v>46251</v>
      </c>
      <c r="B15" s="354">
        <v>1920</v>
      </c>
      <c r="C15" s="354">
        <v>4300</v>
      </c>
      <c r="D15" t="str">
        <f t="shared" si="1"/>
        <v>OK</v>
      </c>
      <c r="E15" s="451">
        <v>46255</v>
      </c>
      <c r="F15" s="354">
        <v>4939</v>
      </c>
      <c r="G15" s="354">
        <v>7540</v>
      </c>
      <c r="H15" t="str">
        <f t="shared" si="0"/>
        <v>OK</v>
      </c>
      <c r="J15" s="495" t="s">
        <v>352</v>
      </c>
      <c r="K15" s="467" t="s">
        <v>351</v>
      </c>
      <c r="L15" s="467" t="s">
        <v>361</v>
      </c>
      <c r="M15" s="468">
        <v>1</v>
      </c>
      <c r="N15" s="469" t="s">
        <v>500</v>
      </c>
      <c r="O15" s="471"/>
      <c r="P15" s="472"/>
      <c r="Q15" s="354">
        <v>6</v>
      </c>
      <c r="R15" s="354"/>
      <c r="S15" s="354"/>
    </row>
    <row r="16" spans="1:19" x14ac:dyDescent="0.25">
      <c r="A16" s="451">
        <v>46253</v>
      </c>
      <c r="B16" s="354">
        <v>4300</v>
      </c>
      <c r="C16" s="354">
        <v>5320</v>
      </c>
      <c r="D16" t="str">
        <f t="shared" si="1"/>
        <v>OK</v>
      </c>
      <c r="E16" s="451">
        <v>46267</v>
      </c>
      <c r="F16" s="354">
        <v>7540</v>
      </c>
      <c r="G16" s="354">
        <v>9340</v>
      </c>
      <c r="H16" t="str">
        <f t="shared" si="0"/>
        <v>OK</v>
      </c>
      <c r="J16" s="466" t="s">
        <v>380</v>
      </c>
      <c r="K16" s="467" t="s">
        <v>379</v>
      </c>
      <c r="L16" s="467" t="s">
        <v>367</v>
      </c>
      <c r="M16" s="468">
        <v>1</v>
      </c>
      <c r="N16" s="469" t="s">
        <v>500</v>
      </c>
      <c r="O16" s="471"/>
      <c r="P16" s="472"/>
      <c r="Q16" s="354">
        <v>0</v>
      </c>
      <c r="R16" s="354"/>
      <c r="S16" s="354"/>
    </row>
    <row r="17" spans="1:19" x14ac:dyDescent="0.25">
      <c r="A17" s="451">
        <v>46255</v>
      </c>
      <c r="B17" s="354">
        <v>5320</v>
      </c>
      <c r="C17" s="354">
        <v>5930</v>
      </c>
      <c r="D17" t="str">
        <f t="shared" si="1"/>
        <v>OK</v>
      </c>
      <c r="E17" s="451">
        <v>46268</v>
      </c>
      <c r="F17" s="354">
        <v>9340</v>
      </c>
      <c r="G17" s="354">
        <v>10693</v>
      </c>
      <c r="H17" t="str">
        <f t="shared" si="0"/>
        <v>OK</v>
      </c>
      <c r="J17" s="466" t="s">
        <v>380</v>
      </c>
      <c r="K17" s="467" t="s">
        <v>379</v>
      </c>
      <c r="L17" s="467" t="s">
        <v>368</v>
      </c>
      <c r="M17" s="468">
        <v>1</v>
      </c>
      <c r="N17" s="469" t="s">
        <v>500</v>
      </c>
      <c r="O17" s="471"/>
      <c r="P17" s="472"/>
      <c r="Q17" s="354">
        <v>0</v>
      </c>
      <c r="R17" s="354"/>
      <c r="S17" s="354"/>
    </row>
    <row r="18" spans="1:19" x14ac:dyDescent="0.25">
      <c r="A18" s="451">
        <v>46253</v>
      </c>
      <c r="B18" s="354">
        <v>5930</v>
      </c>
      <c r="C18" s="354">
        <v>7540</v>
      </c>
      <c r="D18" t="str">
        <f t="shared" si="1"/>
        <v>OK</v>
      </c>
      <c r="E18" s="451">
        <v>46272</v>
      </c>
      <c r="F18" s="354">
        <v>10693</v>
      </c>
      <c r="G18" s="354">
        <v>11425</v>
      </c>
      <c r="H18" t="str">
        <f t="shared" si="0"/>
        <v>OK</v>
      </c>
      <c r="J18" s="466" t="s">
        <v>380</v>
      </c>
      <c r="K18" s="467" t="s">
        <v>379</v>
      </c>
      <c r="L18" s="467" t="s">
        <v>369</v>
      </c>
      <c r="M18" s="468">
        <v>1</v>
      </c>
      <c r="N18" s="469" t="s">
        <v>500</v>
      </c>
      <c r="O18" s="471"/>
      <c r="P18" s="472"/>
      <c r="Q18" s="354">
        <v>0</v>
      </c>
      <c r="R18" s="354"/>
      <c r="S18" s="354"/>
    </row>
    <row r="19" spans="1:19" x14ac:dyDescent="0.25">
      <c r="A19" s="451">
        <v>46256</v>
      </c>
      <c r="B19" s="354">
        <v>7540</v>
      </c>
      <c r="C19" s="354">
        <v>8040</v>
      </c>
      <c r="D19" t="str">
        <f t="shared" si="1"/>
        <v>OK</v>
      </c>
      <c r="E19" s="451">
        <v>46274</v>
      </c>
      <c r="F19" s="354">
        <v>11425</v>
      </c>
      <c r="G19" s="354">
        <v>12133</v>
      </c>
      <c r="H19" t="str">
        <f t="shared" si="0"/>
        <v>OK</v>
      </c>
      <c r="J19" s="466" t="s">
        <v>380</v>
      </c>
      <c r="K19" s="467" t="s">
        <v>379</v>
      </c>
      <c r="L19" s="467" t="s">
        <v>370</v>
      </c>
      <c r="M19" s="468">
        <v>1</v>
      </c>
      <c r="N19" s="469" t="s">
        <v>500</v>
      </c>
      <c r="O19" s="471"/>
      <c r="P19" s="472"/>
      <c r="Q19" s="354">
        <v>0</v>
      </c>
      <c r="R19" s="354"/>
      <c r="S19" s="354"/>
    </row>
    <row r="20" spans="1:19" x14ac:dyDescent="0.25">
      <c r="A20" s="451">
        <v>46258</v>
      </c>
      <c r="B20" s="354">
        <v>8040</v>
      </c>
      <c r="C20" s="354">
        <v>8720</v>
      </c>
      <c r="D20" t="str">
        <f t="shared" si="1"/>
        <v>OK</v>
      </c>
      <c r="E20" s="451">
        <v>46273</v>
      </c>
      <c r="F20" s="354">
        <v>12133</v>
      </c>
      <c r="G20" s="354">
        <v>14014</v>
      </c>
      <c r="H20" t="str">
        <f t="shared" si="0"/>
        <v>OK</v>
      </c>
      <c r="J20" s="466" t="s">
        <v>380</v>
      </c>
      <c r="K20" s="467" t="s">
        <v>379</v>
      </c>
      <c r="L20" s="467" t="s">
        <v>371</v>
      </c>
      <c r="M20" s="468">
        <v>1</v>
      </c>
      <c r="N20" s="469" t="s">
        <v>500</v>
      </c>
      <c r="O20" s="471"/>
      <c r="P20" s="472"/>
      <c r="Q20" s="354">
        <v>0</v>
      </c>
      <c r="R20" s="354"/>
      <c r="S20" s="354"/>
    </row>
    <row r="21" spans="1:19" x14ac:dyDescent="0.25">
      <c r="A21" s="451">
        <v>46256</v>
      </c>
      <c r="B21" s="354">
        <v>8720</v>
      </c>
      <c r="C21" s="354">
        <v>9070</v>
      </c>
      <c r="D21" t="str">
        <f t="shared" si="1"/>
        <v>OK</v>
      </c>
      <c r="E21" s="451">
        <v>46274</v>
      </c>
      <c r="F21" s="354">
        <v>14014</v>
      </c>
      <c r="G21" s="354">
        <v>14439</v>
      </c>
      <c r="H21" t="str">
        <f t="shared" si="0"/>
        <v>OK</v>
      </c>
      <c r="J21" s="466" t="s">
        <v>380</v>
      </c>
      <c r="K21" s="467" t="s">
        <v>379</v>
      </c>
      <c r="L21" s="467" t="s">
        <v>372</v>
      </c>
      <c r="M21" s="468">
        <v>1</v>
      </c>
      <c r="N21" s="469" t="s">
        <v>500</v>
      </c>
      <c r="O21" s="471"/>
      <c r="P21" s="472"/>
      <c r="Q21" s="354">
        <v>0</v>
      </c>
      <c r="R21" s="354"/>
      <c r="S21" s="354"/>
    </row>
    <row r="22" spans="1:19" x14ac:dyDescent="0.25">
      <c r="A22" s="451">
        <v>46258</v>
      </c>
      <c r="B22" s="354">
        <v>9070</v>
      </c>
      <c r="C22" s="354">
        <v>10000</v>
      </c>
      <c r="D22" t="str">
        <f t="shared" si="1"/>
        <v>OK</v>
      </c>
      <c r="E22" s="451">
        <v>46279</v>
      </c>
      <c r="F22" s="354">
        <v>14439</v>
      </c>
      <c r="G22" s="354">
        <v>15132</v>
      </c>
      <c r="H22" t="str">
        <f t="shared" si="0"/>
        <v>OK</v>
      </c>
      <c r="J22" s="466" t="s">
        <v>380</v>
      </c>
      <c r="K22" s="467" t="s">
        <v>379</v>
      </c>
      <c r="L22" s="467" t="s">
        <v>373</v>
      </c>
      <c r="M22" s="468">
        <v>1</v>
      </c>
      <c r="N22" s="469" t="s">
        <v>500</v>
      </c>
      <c r="O22" s="471"/>
      <c r="P22" s="472"/>
      <c r="Q22" s="354">
        <v>0</v>
      </c>
      <c r="R22" s="354"/>
      <c r="S22" s="354"/>
    </row>
    <row r="23" spans="1:19" x14ac:dyDescent="0.25">
      <c r="A23" s="451">
        <v>46265</v>
      </c>
      <c r="B23" s="354">
        <v>10000</v>
      </c>
      <c r="C23" s="354">
        <v>10800</v>
      </c>
      <c r="D23" t="str">
        <f t="shared" si="1"/>
        <v>OK</v>
      </c>
      <c r="E23" s="451">
        <v>46276</v>
      </c>
      <c r="F23" s="354">
        <v>15132</v>
      </c>
      <c r="G23" s="354">
        <v>15700</v>
      </c>
      <c r="H23" t="str">
        <f t="shared" si="0"/>
        <v>OK</v>
      </c>
      <c r="J23" s="466" t="s">
        <v>380</v>
      </c>
      <c r="K23" s="467" t="s">
        <v>379</v>
      </c>
      <c r="L23" s="467" t="s">
        <v>374</v>
      </c>
      <c r="M23" s="468">
        <v>2</v>
      </c>
      <c r="N23" s="469" t="s">
        <v>500</v>
      </c>
      <c r="O23" s="467" t="s">
        <v>499</v>
      </c>
      <c r="P23" s="472"/>
      <c r="Q23" s="354">
        <v>0</v>
      </c>
      <c r="R23" s="354">
        <v>608</v>
      </c>
      <c r="S23" s="354"/>
    </row>
    <row r="24" spans="1:19" x14ac:dyDescent="0.25">
      <c r="A24" s="451">
        <v>46262</v>
      </c>
      <c r="B24" s="354">
        <v>10800</v>
      </c>
      <c r="C24" s="354">
        <v>12149</v>
      </c>
      <c r="D24" t="str">
        <f t="shared" si="1"/>
        <v>OK</v>
      </c>
      <c r="E24" s="451">
        <v>46276</v>
      </c>
      <c r="F24" s="354">
        <v>15700</v>
      </c>
      <c r="G24" s="354">
        <v>16914</v>
      </c>
      <c r="H24" t="str">
        <f t="shared" si="0"/>
        <v>OK</v>
      </c>
      <c r="J24" s="466" t="s">
        <v>380</v>
      </c>
      <c r="K24" s="467" t="s">
        <v>379</v>
      </c>
      <c r="L24" s="467" t="s">
        <v>375</v>
      </c>
      <c r="M24" s="468">
        <v>1</v>
      </c>
      <c r="N24" s="469" t="s">
        <v>500</v>
      </c>
      <c r="O24" s="471"/>
      <c r="P24" s="472"/>
      <c r="Q24" s="354">
        <v>0</v>
      </c>
      <c r="R24" s="354"/>
      <c r="S24" s="354"/>
    </row>
    <row r="25" spans="1:19" x14ac:dyDescent="0.25">
      <c r="A25" s="451">
        <v>46266</v>
      </c>
      <c r="B25" s="354">
        <v>12149</v>
      </c>
      <c r="C25" s="354">
        <v>16914</v>
      </c>
      <c r="D25" t="str">
        <f t="shared" si="1"/>
        <v>OK</v>
      </c>
      <c r="E25" s="451">
        <v>46277</v>
      </c>
      <c r="F25" s="354">
        <v>16914</v>
      </c>
      <c r="G25" s="354">
        <v>18260</v>
      </c>
      <c r="H25" t="str">
        <f t="shared" si="0"/>
        <v>OK</v>
      </c>
      <c r="J25" s="466" t="s">
        <v>380</v>
      </c>
      <c r="K25" s="467" t="s">
        <v>379</v>
      </c>
      <c r="L25" s="467" t="s">
        <v>376</v>
      </c>
      <c r="M25" s="468">
        <v>1</v>
      </c>
      <c r="N25" s="469" t="s">
        <v>500</v>
      </c>
      <c r="O25" s="471"/>
      <c r="P25" s="472"/>
      <c r="Q25" s="354">
        <v>0</v>
      </c>
      <c r="R25" s="354"/>
      <c r="S25" s="354"/>
    </row>
    <row r="26" spans="1:19" x14ac:dyDescent="0.25">
      <c r="A26" s="451">
        <v>46275</v>
      </c>
      <c r="B26" s="354">
        <v>16914</v>
      </c>
      <c r="C26" s="354">
        <v>18260</v>
      </c>
      <c r="D26" t="str">
        <f t="shared" si="1"/>
        <v>OK</v>
      </c>
      <c r="E26" s="451">
        <v>46296</v>
      </c>
      <c r="F26" s="354">
        <v>18260</v>
      </c>
      <c r="G26" s="354">
        <v>19823</v>
      </c>
      <c r="H26" t="str">
        <f t="shared" si="0"/>
        <v>OK</v>
      </c>
      <c r="J26" s="466" t="s">
        <v>380</v>
      </c>
      <c r="K26" s="467" t="s">
        <v>379</v>
      </c>
      <c r="L26" s="467" t="s">
        <v>377</v>
      </c>
      <c r="M26" s="468">
        <v>2</v>
      </c>
      <c r="N26" s="469" t="s">
        <v>500</v>
      </c>
      <c r="O26" s="467" t="s">
        <v>499</v>
      </c>
      <c r="P26" s="472"/>
      <c r="Q26" s="354">
        <v>0</v>
      </c>
      <c r="R26" s="354">
        <v>623</v>
      </c>
      <c r="S26" s="354"/>
    </row>
    <row r="27" spans="1:19" ht="15.75" thickBot="1" x14ac:dyDescent="0.3">
      <c r="A27" s="451">
        <v>46280</v>
      </c>
      <c r="B27" s="354">
        <v>18260</v>
      </c>
      <c r="C27" s="354">
        <v>22600</v>
      </c>
      <c r="D27" t="str">
        <f t="shared" si="1"/>
        <v>OK</v>
      </c>
      <c r="E27" s="451">
        <v>46297</v>
      </c>
      <c r="F27" s="354">
        <v>19823</v>
      </c>
      <c r="G27" s="354">
        <v>22225</v>
      </c>
      <c r="H27" t="str">
        <f t="shared" si="0"/>
        <v>OK</v>
      </c>
      <c r="J27" s="466" t="s">
        <v>380</v>
      </c>
      <c r="K27" s="467" t="s">
        <v>379</v>
      </c>
      <c r="L27" s="467" t="s">
        <v>378</v>
      </c>
      <c r="M27" s="468">
        <v>1</v>
      </c>
      <c r="N27" s="490" t="s">
        <v>500</v>
      </c>
      <c r="O27" s="491"/>
      <c r="P27" s="492"/>
      <c r="Q27" s="354">
        <v>0</v>
      </c>
      <c r="R27" s="354"/>
      <c r="S27" s="354"/>
    </row>
    <row r="28" spans="1:19" x14ac:dyDescent="0.25">
      <c r="A28" s="451">
        <v>46293</v>
      </c>
      <c r="B28" s="354">
        <v>22600</v>
      </c>
      <c r="C28" s="354">
        <v>25600</v>
      </c>
      <c r="D28" t="str">
        <f t="shared" si="1"/>
        <v>OK</v>
      </c>
      <c r="E28" s="451">
        <v>46300</v>
      </c>
      <c r="F28" s="354">
        <v>22225</v>
      </c>
      <c r="G28" s="354">
        <v>23139</v>
      </c>
      <c r="H28" t="str">
        <f t="shared" si="0"/>
        <v>OK</v>
      </c>
      <c r="M28" s="427">
        <f>SUM(M12:M27)</f>
        <v>20</v>
      </c>
    </row>
    <row r="29" spans="1:19" x14ac:dyDescent="0.25">
      <c r="A29" s="451">
        <v>46294</v>
      </c>
      <c r="B29" s="354">
        <v>25600</v>
      </c>
      <c r="C29" s="354">
        <v>30250</v>
      </c>
      <c r="D29" t="str">
        <f t="shared" si="1"/>
        <v>OK</v>
      </c>
      <c r="E29" s="451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1">
        <v>46295</v>
      </c>
      <c r="B30" s="354">
        <v>30250</v>
      </c>
      <c r="C30" s="354">
        <v>32219</v>
      </c>
      <c r="D30" t="str">
        <f t="shared" si="1"/>
        <v>OK</v>
      </c>
      <c r="E30" s="451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1">
        <v>46309</v>
      </c>
      <c r="F31" s="354">
        <v>24265</v>
      </c>
      <c r="G31" s="354">
        <v>25250</v>
      </c>
      <c r="H31" t="str">
        <f t="shared" si="0"/>
        <v>OK</v>
      </c>
      <c r="J31" s="451"/>
      <c r="K31" s="354"/>
      <c r="L31" s="354"/>
      <c r="M31"/>
    </row>
    <row r="32" spans="1:19" x14ac:dyDescent="0.25">
      <c r="E32" s="451">
        <v>46310</v>
      </c>
      <c r="F32" s="354">
        <v>25250</v>
      </c>
      <c r="G32" s="354">
        <v>27936</v>
      </c>
      <c r="H32" t="str">
        <f t="shared" si="0"/>
        <v>OK</v>
      </c>
      <c r="J32" s="451"/>
      <c r="K32" s="354"/>
      <c r="L32" s="354"/>
      <c r="M32"/>
    </row>
    <row r="33" spans="4:13" x14ac:dyDescent="0.25">
      <c r="E33" s="451">
        <v>46311</v>
      </c>
      <c r="F33" s="354">
        <v>27936</v>
      </c>
      <c r="G33" s="354">
        <v>30728</v>
      </c>
      <c r="H33" t="str">
        <f t="shared" si="0"/>
        <v>OK</v>
      </c>
      <c r="J33" s="451"/>
      <c r="K33" s="354"/>
      <c r="L33" s="354"/>
      <c r="M33"/>
    </row>
    <row r="34" spans="4:13" x14ac:dyDescent="0.25">
      <c r="E34" s="451">
        <v>46312</v>
      </c>
      <c r="F34" s="354">
        <v>30728</v>
      </c>
      <c r="G34" s="354">
        <v>31253</v>
      </c>
      <c r="H34" t="str">
        <f t="shared" si="0"/>
        <v>OK</v>
      </c>
      <c r="J34" s="451"/>
      <c r="K34" s="354"/>
      <c r="L34" s="354"/>
      <c r="M34"/>
    </row>
    <row r="35" spans="4:13" x14ac:dyDescent="0.25">
      <c r="J35" s="451"/>
      <c r="K35" s="354"/>
      <c r="L35" s="354"/>
      <c r="M35"/>
    </row>
    <row r="36" spans="4:13" x14ac:dyDescent="0.25">
      <c r="J36" s="451"/>
      <c r="K36" s="354"/>
      <c r="L36" s="354"/>
      <c r="M36"/>
    </row>
    <row r="37" spans="4:13" x14ac:dyDescent="0.25">
      <c r="J37" s="451"/>
      <c r="K37" s="354"/>
      <c r="L37" s="354"/>
      <c r="M37"/>
    </row>
    <row r="38" spans="4:13" x14ac:dyDescent="0.25">
      <c r="J38" s="451"/>
      <c r="K38" s="354"/>
      <c r="L38" s="354"/>
      <c r="M38"/>
    </row>
    <row r="39" spans="4:13" x14ac:dyDescent="0.25">
      <c r="J39" s="451"/>
      <c r="K39" s="354"/>
      <c r="L39" s="354"/>
      <c r="M39"/>
    </row>
    <row r="40" spans="4:13" x14ac:dyDescent="0.25">
      <c r="J40" s="451"/>
      <c r="K40" s="354"/>
      <c r="L40" s="354"/>
      <c r="M40"/>
    </row>
    <row r="41" spans="4:13" x14ac:dyDescent="0.25">
      <c r="D41" s="26"/>
      <c r="E41" s="26"/>
      <c r="J41" s="451"/>
      <c r="K41" s="354"/>
      <c r="L41" s="354"/>
      <c r="M41"/>
    </row>
    <row r="42" spans="4:13" x14ac:dyDescent="0.25">
      <c r="D42" s="26"/>
      <c r="E42" s="26"/>
      <c r="J42" s="451"/>
      <c r="K42" s="354"/>
      <c r="L42" s="354"/>
      <c r="M42"/>
    </row>
    <row r="43" spans="4:13" x14ac:dyDescent="0.25">
      <c r="D43" s="451"/>
      <c r="E43" s="354"/>
      <c r="F43" s="354"/>
      <c r="J43" s="451"/>
      <c r="K43" s="354"/>
      <c r="L43" s="354"/>
      <c r="M43"/>
    </row>
    <row r="44" spans="4:13" x14ac:dyDescent="0.25">
      <c r="D44" s="451"/>
      <c r="E44" s="354"/>
      <c r="F44" s="354"/>
      <c r="J44" s="451"/>
      <c r="K44" s="354"/>
      <c r="L44" s="354"/>
      <c r="M44"/>
    </row>
    <row r="45" spans="4:13" x14ac:dyDescent="0.25">
      <c r="D45" s="451"/>
      <c r="E45" s="354"/>
      <c r="F45" s="354"/>
      <c r="J45" s="451"/>
      <c r="K45" s="354"/>
      <c r="L45" s="354"/>
      <c r="M45"/>
    </row>
    <row r="46" spans="4:13" x14ac:dyDescent="0.25">
      <c r="D46" s="451"/>
      <c r="E46" s="354"/>
      <c r="F46" s="354"/>
      <c r="J46" s="451"/>
      <c r="K46" s="354"/>
      <c r="L46" s="354"/>
      <c r="M46"/>
    </row>
    <row r="47" spans="4:13" x14ac:dyDescent="0.25">
      <c r="D47" s="451"/>
      <c r="E47" s="354"/>
      <c r="F47" s="354"/>
      <c r="J47" s="451"/>
      <c r="K47" s="354"/>
      <c r="L47" s="354"/>
      <c r="M47"/>
    </row>
    <row r="48" spans="4:13" x14ac:dyDescent="0.25">
      <c r="D48" s="451"/>
      <c r="E48" s="354"/>
      <c r="F48" s="354"/>
      <c r="J48" s="451"/>
      <c r="K48" s="354"/>
      <c r="L48" s="354"/>
      <c r="M48"/>
    </row>
    <row r="49" spans="4:6" x14ac:dyDescent="0.25">
      <c r="D49" s="451"/>
      <c r="E49" s="354"/>
      <c r="F49" s="354"/>
    </row>
    <row r="50" spans="4:6" x14ac:dyDescent="0.25">
      <c r="D50" s="451"/>
      <c r="E50" s="354"/>
      <c r="F50" s="354"/>
    </row>
    <row r="51" spans="4:6" x14ac:dyDescent="0.25">
      <c r="D51" s="451"/>
      <c r="E51" s="354"/>
      <c r="F51" s="354"/>
    </row>
    <row r="52" spans="4:6" x14ac:dyDescent="0.25">
      <c r="D52" s="451"/>
      <c r="E52" s="354"/>
      <c r="F52" s="354"/>
    </row>
    <row r="53" spans="4:6" x14ac:dyDescent="0.25">
      <c r="D53" s="451"/>
      <c r="E53" s="354"/>
      <c r="F53" s="354"/>
    </row>
    <row r="54" spans="4:6" x14ac:dyDescent="0.25">
      <c r="D54" s="451"/>
      <c r="E54" s="354"/>
      <c r="F54" s="354"/>
    </row>
    <row r="55" spans="4:6" x14ac:dyDescent="0.25">
      <c r="D55" s="451"/>
      <c r="E55" s="354"/>
      <c r="F55" s="354"/>
    </row>
    <row r="56" spans="4:6" x14ac:dyDescent="0.25">
      <c r="D56" s="451"/>
      <c r="E56" s="354"/>
      <c r="F56" s="354"/>
    </row>
    <row r="57" spans="4:6" x14ac:dyDescent="0.25">
      <c r="D57" s="451"/>
      <c r="E57" s="354"/>
      <c r="F57" s="354"/>
    </row>
    <row r="58" spans="4:6" x14ac:dyDescent="0.25">
      <c r="D58" s="451"/>
      <c r="E58" s="354"/>
      <c r="F58" s="354"/>
    </row>
    <row r="59" spans="4:6" x14ac:dyDescent="0.25">
      <c r="D59" s="451"/>
      <c r="E59" s="354"/>
      <c r="F59" s="354"/>
    </row>
    <row r="60" spans="4:6" x14ac:dyDescent="0.25">
      <c r="D60" s="451"/>
      <c r="E60" s="354"/>
      <c r="F60" s="354"/>
    </row>
    <row r="61" spans="4:6" x14ac:dyDescent="0.25">
      <c r="D61" s="451"/>
      <c r="E61" s="354"/>
      <c r="F61" s="354"/>
    </row>
    <row r="62" spans="4:6" x14ac:dyDescent="0.25">
      <c r="D62" s="451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5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5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5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5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5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5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5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5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5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5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5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5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591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09"/>
      <c r="N12" s="557"/>
      <c r="O12" s="509"/>
    </row>
    <row r="13" spans="1:15" x14ac:dyDescent="0.25">
      <c r="L13" s="237" t="s">
        <v>272</v>
      </c>
      <c r="M13" s="509">
        <f>+SUM('R (s07)'!C2:C4)</f>
        <v>1.726</v>
      </c>
      <c r="N13" s="509">
        <v>1.726</v>
      </c>
      <c r="O13" s="509">
        <v>1.726</v>
      </c>
    </row>
    <row r="14" spans="1:15" x14ac:dyDescent="0.25">
      <c r="L14" s="237" t="s">
        <v>273</v>
      </c>
      <c r="M14" s="509">
        <f>+SUM(C2:C3)</f>
        <v>4.3119999999999994</v>
      </c>
      <c r="N14" s="509">
        <v>4.3119999999999994</v>
      </c>
      <c r="O14" s="509">
        <v>4.3119999999999994</v>
      </c>
    </row>
    <row r="15" spans="1:15" x14ac:dyDescent="0.25">
      <c r="M15" s="510">
        <f>+SUM(M12:M14)</f>
        <v>6.0379999999999994</v>
      </c>
      <c r="N15" s="510">
        <f>+SUM(N12:N14)</f>
        <v>6.0379999999999994</v>
      </c>
      <c r="O15" s="510">
        <f>+SUM(O12:O14)</f>
        <v>6.0379999999999994</v>
      </c>
    </row>
    <row r="17" spans="12:14" x14ac:dyDescent="0.25">
      <c r="L17" t="s">
        <v>589</v>
      </c>
    </row>
    <row r="18" spans="12:14" x14ac:dyDescent="0.25">
      <c r="L18" t="s">
        <v>590</v>
      </c>
      <c r="N18" s="511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1"/>
    <col min="13" max="13" width="13.140625" bestFit="1" customWidth="1"/>
  </cols>
  <sheetData>
    <row r="2" spans="1:20" ht="140.25" customHeight="1" x14ac:dyDescent="0.25">
      <c r="B2" s="521" t="s">
        <v>609</v>
      </c>
      <c r="C2" s="521" t="s">
        <v>610</v>
      </c>
      <c r="D2" s="521" t="s">
        <v>611</v>
      </c>
      <c r="E2" s="521" t="s">
        <v>612</v>
      </c>
      <c r="F2" s="521" t="s">
        <v>132</v>
      </c>
      <c r="G2" s="521" t="s">
        <v>613</v>
      </c>
      <c r="H2" s="521" t="s">
        <v>614</v>
      </c>
      <c r="I2" s="521" t="s">
        <v>615</v>
      </c>
      <c r="J2" s="521" t="s">
        <v>616</v>
      </c>
      <c r="L2" s="520"/>
      <c r="M2" s="521" t="s">
        <v>622</v>
      </c>
      <c r="N2" s="520"/>
      <c r="O2" s="520"/>
      <c r="P2" s="520"/>
      <c r="Q2" s="520"/>
      <c r="R2" s="520"/>
      <c r="S2" s="520"/>
      <c r="T2" s="520"/>
    </row>
    <row r="3" spans="1:20" x14ac:dyDescent="0.25">
      <c r="A3" t="s">
        <v>594</v>
      </c>
      <c r="B3" s="33" t="s">
        <v>618</v>
      </c>
      <c r="C3" s="33" t="s">
        <v>618</v>
      </c>
      <c r="D3" s="33" t="s">
        <v>618</v>
      </c>
      <c r="E3" s="33"/>
      <c r="F3" s="33" t="s">
        <v>618</v>
      </c>
      <c r="G3" s="33"/>
      <c r="H3" s="33"/>
      <c r="I3" s="33" t="s">
        <v>618</v>
      </c>
      <c r="J3" s="33" t="s">
        <v>618</v>
      </c>
      <c r="K3" s="451">
        <v>46280</v>
      </c>
      <c r="M3" s="556">
        <f>COUNTA(A3:A17)/NETWORKDAYS(MIN(K3:K17),MAX(K3:K17))</f>
        <v>0.41666666666666669</v>
      </c>
    </row>
    <row r="4" spans="1:20" x14ac:dyDescent="0.25">
      <c r="A4" t="s">
        <v>595</v>
      </c>
      <c r="B4" s="33" t="s">
        <v>618</v>
      </c>
      <c r="C4" s="33" t="s">
        <v>618</v>
      </c>
      <c r="D4" s="33" t="s">
        <v>618</v>
      </c>
      <c r="E4" s="33"/>
      <c r="F4" s="33" t="s">
        <v>618</v>
      </c>
      <c r="G4" s="33"/>
      <c r="H4" s="33"/>
      <c r="I4" s="33" t="s">
        <v>618</v>
      </c>
      <c r="J4" s="33" t="s">
        <v>618</v>
      </c>
      <c r="K4" s="451">
        <v>46259</v>
      </c>
    </row>
    <row r="5" spans="1:20" x14ac:dyDescent="0.25">
      <c r="A5" t="s">
        <v>596</v>
      </c>
      <c r="B5" s="33" t="s">
        <v>618</v>
      </c>
      <c r="C5" s="33" t="s">
        <v>618</v>
      </c>
      <c r="D5" s="33" t="s">
        <v>618</v>
      </c>
      <c r="E5" s="33"/>
      <c r="F5" s="33" t="s">
        <v>618</v>
      </c>
      <c r="G5" s="33"/>
      <c r="H5" s="33"/>
      <c r="I5" s="33" t="s">
        <v>618</v>
      </c>
      <c r="J5" s="33" t="s">
        <v>618</v>
      </c>
      <c r="K5" s="451">
        <v>46282</v>
      </c>
    </row>
    <row r="6" spans="1:20" x14ac:dyDescent="0.25">
      <c r="A6" t="s">
        <v>597</v>
      </c>
      <c r="B6" s="33" t="s">
        <v>618</v>
      </c>
      <c r="C6" s="33" t="s">
        <v>618</v>
      </c>
      <c r="D6" s="33" t="s">
        <v>618</v>
      </c>
      <c r="E6" s="33"/>
      <c r="F6" s="33" t="s">
        <v>618</v>
      </c>
      <c r="G6" s="33"/>
      <c r="H6" s="33"/>
      <c r="I6" s="33" t="s">
        <v>618</v>
      </c>
      <c r="J6" s="33" t="s">
        <v>618</v>
      </c>
      <c r="K6" s="451">
        <v>46261</v>
      </c>
    </row>
    <row r="7" spans="1:20" x14ac:dyDescent="0.25">
      <c r="A7" t="s">
        <v>598</v>
      </c>
      <c r="B7" s="33" t="s">
        <v>618</v>
      </c>
      <c r="C7" s="33" t="s">
        <v>618</v>
      </c>
      <c r="D7" s="33" t="s">
        <v>618</v>
      </c>
      <c r="E7" s="33"/>
      <c r="F7" s="33"/>
      <c r="G7" s="33"/>
      <c r="H7" s="33"/>
      <c r="I7" s="33" t="s">
        <v>618</v>
      </c>
      <c r="J7" s="33" t="s">
        <v>618</v>
      </c>
      <c r="K7" s="451">
        <v>46296</v>
      </c>
    </row>
    <row r="8" spans="1:20" x14ac:dyDescent="0.25">
      <c r="A8" s="138" t="s">
        <v>599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600</v>
      </c>
      <c r="B9" s="33" t="s">
        <v>618</v>
      </c>
      <c r="C9" s="33" t="s">
        <v>618</v>
      </c>
      <c r="D9" s="33" t="s">
        <v>618</v>
      </c>
      <c r="E9" s="33"/>
      <c r="F9" s="33" t="s">
        <v>618</v>
      </c>
      <c r="G9" s="33"/>
      <c r="H9" s="33"/>
      <c r="I9" s="33" t="s">
        <v>618</v>
      </c>
      <c r="J9" s="33" t="s">
        <v>618</v>
      </c>
      <c r="K9" s="451">
        <v>46308</v>
      </c>
    </row>
    <row r="10" spans="1:20" x14ac:dyDescent="0.25">
      <c r="A10" t="s">
        <v>601</v>
      </c>
      <c r="B10" s="33" t="s">
        <v>618</v>
      </c>
      <c r="C10" s="33" t="s">
        <v>618</v>
      </c>
      <c r="D10" s="33" t="s">
        <v>618</v>
      </c>
      <c r="E10" s="33"/>
      <c r="F10" s="33" t="s">
        <v>618</v>
      </c>
      <c r="G10" s="33"/>
      <c r="H10" s="33"/>
      <c r="I10" s="33" t="s">
        <v>618</v>
      </c>
      <c r="J10" s="33" t="s">
        <v>618</v>
      </c>
      <c r="K10" s="451">
        <v>46307</v>
      </c>
    </row>
    <row r="11" spans="1:20" x14ac:dyDescent="0.25">
      <c r="A11" t="s">
        <v>608</v>
      </c>
      <c r="B11" s="33" t="s">
        <v>618</v>
      </c>
      <c r="C11" s="33" t="s">
        <v>618</v>
      </c>
      <c r="D11" s="33" t="s">
        <v>618</v>
      </c>
      <c r="E11" s="33"/>
      <c r="F11" s="33" t="s">
        <v>618</v>
      </c>
      <c r="G11" s="33"/>
      <c r="H11" s="33"/>
      <c r="I11" s="33" t="s">
        <v>618</v>
      </c>
      <c r="J11" s="33" t="s">
        <v>618</v>
      </c>
      <c r="K11" s="451">
        <v>46294</v>
      </c>
    </row>
    <row r="12" spans="1:20" x14ac:dyDescent="0.25">
      <c r="A12" t="s">
        <v>602</v>
      </c>
      <c r="B12" s="33" t="s">
        <v>618</v>
      </c>
      <c r="C12" s="33" t="s">
        <v>618</v>
      </c>
      <c r="D12" s="33" t="s">
        <v>618</v>
      </c>
      <c r="E12" s="33"/>
      <c r="F12" s="33" t="s">
        <v>618</v>
      </c>
      <c r="G12" s="33"/>
      <c r="H12" s="33"/>
      <c r="I12" s="33" t="s">
        <v>618</v>
      </c>
      <c r="J12" s="33" t="s">
        <v>618</v>
      </c>
      <c r="K12" s="451">
        <v>46274</v>
      </c>
    </row>
    <row r="13" spans="1:20" x14ac:dyDescent="0.25">
      <c r="A13" t="s">
        <v>603</v>
      </c>
      <c r="B13" s="33" t="s">
        <v>618</v>
      </c>
      <c r="C13" s="33" t="s">
        <v>618</v>
      </c>
      <c r="D13" s="33" t="s">
        <v>618</v>
      </c>
      <c r="E13" s="33"/>
      <c r="F13" s="33" t="s">
        <v>618</v>
      </c>
      <c r="G13" s="33"/>
      <c r="H13" s="33"/>
      <c r="I13" s="33" t="s">
        <v>618</v>
      </c>
      <c r="J13" s="33" t="s">
        <v>618</v>
      </c>
      <c r="K13" s="451">
        <v>46297</v>
      </c>
    </row>
    <row r="14" spans="1:20" x14ac:dyDescent="0.25">
      <c r="A14" t="s">
        <v>604</v>
      </c>
      <c r="B14" s="33" t="s">
        <v>618</v>
      </c>
      <c r="C14" s="33" t="s">
        <v>618</v>
      </c>
      <c r="D14" s="33" t="s">
        <v>618</v>
      </c>
      <c r="E14" s="33"/>
      <c r="F14" s="33" t="s">
        <v>618</v>
      </c>
      <c r="G14" s="33"/>
      <c r="H14" s="33"/>
      <c r="I14" s="33" t="s">
        <v>618</v>
      </c>
      <c r="J14" s="33" t="s">
        <v>618</v>
      </c>
      <c r="K14" s="451">
        <v>46282</v>
      </c>
    </row>
    <row r="15" spans="1:20" x14ac:dyDescent="0.25">
      <c r="A15" t="s">
        <v>605</v>
      </c>
      <c r="B15" s="33" t="s">
        <v>618</v>
      </c>
      <c r="C15" s="33" t="s">
        <v>618</v>
      </c>
      <c r="D15" s="33" t="s">
        <v>618</v>
      </c>
      <c r="E15" s="33" t="s">
        <v>618</v>
      </c>
      <c r="F15" s="33" t="s">
        <v>618</v>
      </c>
      <c r="G15" s="33" t="s">
        <v>618</v>
      </c>
      <c r="H15" s="33" t="s">
        <v>618</v>
      </c>
      <c r="I15" s="33" t="s">
        <v>618</v>
      </c>
      <c r="J15" s="33" t="s">
        <v>618</v>
      </c>
      <c r="K15" s="451">
        <v>46269</v>
      </c>
    </row>
    <row r="16" spans="1:20" x14ac:dyDescent="0.25">
      <c r="A16" t="s">
        <v>606</v>
      </c>
      <c r="B16" s="33" t="s">
        <v>618</v>
      </c>
      <c r="C16" s="33" t="s">
        <v>618</v>
      </c>
      <c r="D16" s="33" t="s">
        <v>618</v>
      </c>
      <c r="E16" s="33"/>
      <c r="F16" s="33" t="s">
        <v>618</v>
      </c>
      <c r="G16" s="33"/>
      <c r="H16" s="33"/>
      <c r="I16" s="33" t="s">
        <v>618</v>
      </c>
      <c r="J16" s="33" t="s">
        <v>618</v>
      </c>
      <c r="K16" s="451">
        <v>46272</v>
      </c>
    </row>
    <row r="17" spans="1:11" x14ac:dyDescent="0.25">
      <c r="A17" t="s">
        <v>607</v>
      </c>
      <c r="B17" s="33" t="s">
        <v>618</v>
      </c>
      <c r="C17" s="33" t="s">
        <v>618</v>
      </c>
      <c r="D17" s="33" t="s">
        <v>618</v>
      </c>
      <c r="E17" s="33" t="s">
        <v>618</v>
      </c>
      <c r="F17" s="33" t="s">
        <v>618</v>
      </c>
      <c r="G17" s="33" t="s">
        <v>618</v>
      </c>
      <c r="H17" s="33" t="s">
        <v>618</v>
      </c>
      <c r="I17" s="33" t="s">
        <v>618</v>
      </c>
      <c r="J17" s="33" t="s">
        <v>618</v>
      </c>
      <c r="K17" s="451">
        <v>46272</v>
      </c>
    </row>
  </sheetData>
  <conditionalFormatting sqref="B3:J17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535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7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5">
        <v>3.08</v>
      </c>
      <c r="D67" s="386" t="s">
        <v>220</v>
      </c>
      <c r="E67" s="387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5" t="s">
        <v>228</v>
      </c>
      <c r="D74" s="386" t="s">
        <v>229</v>
      </c>
      <c r="E74" s="387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7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5">
        <v>3.14</v>
      </c>
      <c r="D80" s="386" t="s">
        <v>240</v>
      </c>
      <c r="E80" s="387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4" t="s">
        <v>479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7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4" t="s">
        <v>474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4" t="s">
        <v>475</v>
      </c>
      <c r="D97" s="91" t="s">
        <v>476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4" t="s">
        <v>477</v>
      </c>
      <c r="D98" s="91" t="s">
        <v>478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4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08" t="s">
        <v>487</v>
      </c>
      <c r="D105" s="209" t="s">
        <v>351</v>
      </c>
      <c r="E105" s="387">
        <v>47596.5</v>
      </c>
      <c r="H105">
        <f>+'R (s04)'!G28</f>
        <v>23139</v>
      </c>
      <c r="I105" s="205">
        <f>+E105-H105</f>
        <v>24457.5</v>
      </c>
      <c r="K105" s="410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46315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46315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0">
        <f ca="1">+O35/1000</f>
        <v>-36.385499999999972</v>
      </c>
      <c r="R35" s="224">
        <f ca="1">+$Q$35*Catalogo!J19</f>
        <v>-58216.799999999952</v>
      </c>
      <c r="S35" s="115"/>
      <c r="T35"/>
      <c r="U35" s="399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0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399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-4824.5000000000582</v>
      </c>
      <c r="P37" s="74">
        <f ca="1">($L$37+(SUMIFS(Tabla1[Avance_km],Tabla1[nombre_actividad],"DCVG",Tabla1[Avance_km],"&lt;0")))*Catalogo!J16</f>
        <v>1232660.9000000004</v>
      </c>
      <c r="Q37" s="400">
        <f t="shared" ca="1" si="2"/>
        <v>-4.8245000000000582</v>
      </c>
      <c r="R37" s="224">
        <f ca="1">+$Q$37*Catalogo!J16</f>
        <v>-39560.900000000474</v>
      </c>
      <c r="S37"/>
      <c r="T37"/>
      <c r="U37" s="399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-370196.59999999951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89.4537706588943</v>
      </c>
      <c r="M40" s="61" t="s">
        <v>175</v>
      </c>
      <c r="N40" s="74">
        <f ca="1">+$L$40*Catalogo!F17</f>
        <v>1225183.8900000008</v>
      </c>
      <c r="P40" s="74">
        <f ca="1">+$L$40*Catalogo!J17</f>
        <v>606496.56506730337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8138119.8172999993</v>
      </c>
      <c r="P41" s="215">
        <f ca="1">SUM(P35:P40)</f>
        <v>3537493.165067303</v>
      </c>
      <c r="Q41" s="140"/>
      <c r="R41" s="176" t="str">
        <f ca="1">"Ejecutdo SPIN al "&amp;TEXT(TODAY(),"mmm-aaaa")</f>
        <v>Ejecutdo SPIN al oct-2026</v>
      </c>
      <c r="S41" s="245">
        <f ca="1">+P41</f>
        <v>3537493.165067303</v>
      </c>
      <c r="T41" s="247">
        <f ca="1">+P41+R38-1500000</f>
        <v>1667296.5650673034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4600626.6522326963</v>
      </c>
      <c r="P43"/>
      <c r="Q43"/>
      <c r="R43" s="176" t="str">
        <f ca="1">"Por Pagar a "&amp;TEXT(TODAY(),"mmm-aaaa")</f>
        <v>Por Pagar a oct-2026</v>
      </c>
      <c r="S43" s="245">
        <f ca="1">+S41+S42</f>
        <v>2037493.165067303</v>
      </c>
      <c r="T43"/>
      <c r="U43"/>
      <c r="V43" s="390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0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-370196.59999999951</v>
      </c>
      <c r="V45" s="390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49.723834501047001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49.723834501047001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49.723834501047001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49.723834501047001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49.723834501047001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49.723834501047001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49.723834501047001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49.723834501047001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49.723834501047001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49.723834501047001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49.723834501047001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53.932245105970381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53.932245105970381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56.737852175919301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59.54345924586822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59.54345924586822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59.54345924586822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59.54345924586822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59.54345924586822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59.54345924586822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59.54345924586822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59.54345924586822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68.185966554422095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75.764780655769343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86.13578942603398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86.13578942603398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86.13578942603398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86.13578942603398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86.13578942603398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86.13578942603398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86.13578942603398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89.4537706588943</v>
      </c>
    </row>
    <row r="354" spans="1:9" x14ac:dyDescent="0.25">
      <c r="A354" s="62">
        <f t="shared" si="12"/>
        <v>46315</v>
      </c>
      <c r="B354" s="33">
        <f t="shared" ca="1" si="11"/>
        <v>200</v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89.4537706588943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 t="e">
        <f ca="1">IF(TODAY()&gt;=$A355,SUMIFS(Tabla1[Avance_km],Tabla1[Fecha],"&lt;="&amp;Grafico!$A355,Tabla1[nombre_actividad],Grafico!D$1),NA())</f>
        <v>#N/A</v>
      </c>
      <c r="E355" s="63" t="e">
        <f ca="1">IF(TODAY()&gt;=$A355,SUMIFS(Tabla1[Avance_km],Tabla1[Fecha],"&lt;="&amp;Grafico!$A355,Tabla1[nombre_actividad],Grafico!E$1),NA())</f>
        <v>#N/A</v>
      </c>
      <c r="F355" s="112" t="e">
        <f ca="1">IF(TODAY()&gt;=$A355,SUMIFS(Tabla1[Avance_km],Tabla1[Fecha],"&lt;="&amp;Grafico!$A355,Tabla1[nombre_actividad],Grafico!F$1,Tabla1[Avance_km],"&gt;0"),NA())</f>
        <v>#N/A</v>
      </c>
      <c r="G355" s="67" t="e">
        <f ca="1">IF(TODAY()&gt;=$A355,SUMIFS(Tabla1[Avance_Med],Tabla1[Fecha],"&lt;="&amp;Grafico!$A355,Tabla1[nombre_actividad],Grafico!G$1),NA())</f>
        <v>#N/A</v>
      </c>
      <c r="H355" s="63" t="e">
        <f ca="1">IF(TODAY()&gt;=$A355,SUMIFS(Tabla1[Avance_km],Tabla1[Fecha],"&lt;="&amp;Grafico!$A355,Tabla1[nombre_actividad],Grafico!H$1),NA())</f>
        <v>#N/A</v>
      </c>
      <c r="I355" s="63" t="e">
        <f ca="1">IF(TODAY()&gt;=$A355,SUMIFS(Tabla1[Avance_km],Tabla1[Fecha],"&lt;="&amp;Grafico!$A355,Tabla1[nombre_actividad],Grafico!I$1),NA())</f>
        <v>#N/A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46315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46315</v>
      </c>
      <c r="K3" s="476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540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540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540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541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540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0.44726885329447152</v>
      </c>
      <c r="L40" s="61" t="s">
        <v>540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0.24861917250523502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0.24861917250523502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0.24861917250523502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0.24861917250523502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0.24861917250523502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0.24861917250523502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0.24861917250523502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0.24861917250523502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0.24861917250523502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0.24861917250523502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0.24861917250523502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0.26966122552985189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0.26966122552985189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0.28368926087959651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0.29771729622934112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0.29771729622934112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0.29771729622934112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0.29771729622934112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0.29771729622934112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0.29771729622934112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0.29771729622934112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0.29771729622934112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0.34092983277211047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0.37882390327884674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0.43067894713016991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0.43067894713016991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0.43067894713016991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0.43067894713016991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0.43067894713016991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0.43067894713016991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0.43067894713016991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0.44726885329447152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0.44726885329447152</v>
      </c>
    </row>
    <row r="355" spans="1:8" x14ac:dyDescent="0.25">
      <c r="A355" s="62">
        <f t="shared" si="5"/>
        <v>46316</v>
      </c>
      <c r="B355" s="33"/>
      <c r="C355" s="69" t="e">
        <f ca="1">IF(TODAY()&gt;=$A355,SUMIFS(Tabla1[Avance_km],Tabla1[Fecha],"&lt;="&amp;'Grafico %'!$A355,Tabla1[nombre_actividad],'Grafico %'!C$1)/(200),NA())</f>
        <v>#N/A</v>
      </c>
      <c r="D355" s="70" t="e">
        <f ca="1">IF(TODAY()&gt;=$A355,SUMIFS(Tabla1[Avance_km],Tabla1[Fecha],"&lt;="&amp;'Grafico %'!$A355,Tabla1[nombre_actividad],'Grafico %'!D$1)/(200),NA())</f>
        <v>#N/A</v>
      </c>
      <c r="E355" s="70" t="e">
        <f ca="1">IF(TODAY()&gt;=$A355,SUMIFS(Tabla1[Avance_km],Tabla1[Fecha],"&lt;="&amp;'Grafico %'!$A355,Tabla1[nombre_actividad],'Grafico %'!E$1,Tabla1[Avance_km],"&gt;0")/(200),NA())</f>
        <v>#N/A</v>
      </c>
      <c r="F355" s="68" t="e">
        <f ca="1">IF(TODAY()&gt;=$A355,SUMIFS(Tabla1[Avance_Med],Tabla1[Fecha],"&lt;="&amp;'Grafico %'!$A355,Tabla1[nombre_actividad],'Grafico %'!F$1)/500,NA())</f>
        <v>#N/A</v>
      </c>
      <c r="G355" s="70" t="e">
        <f ca="1">IF(TODAY()&gt;=$A355,SUMIFS(Tabla1[Avance_km],Tabla1[Fecha],"&lt;="&amp;'Grafico %'!$A355,Tabla1[nombre_actividad],'Grafico %'!G$1)/(200),NA())</f>
        <v>#N/A</v>
      </c>
      <c r="H355" s="70" t="e">
        <f ca="1">IF(TODAY()&gt;=$A355,SUMIFS(Tabla1[Avance_km],Tabla1[Fecha],"&lt;="&amp;'Grafico %'!$A355,Tabla1[nombre_actividad],'Grafico %'!H$1)/(200),NA())</f>
        <v>#N/A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="85" zoomScaleNormal="85" workbookViewId="0">
      <selection activeCell="AC35" sqref="AC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46315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46315</v>
      </c>
      <c r="AE4" s="346">
        <f ca="1">100*AC35/12000000</f>
        <v>83.3309887274999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5">
        <f ca="1">+_xlfn.XLOOKUP(TODAY(),A:A,J:J)</f>
        <v>9999718.6472999882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89.4537706588943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79" t="s">
        <v>542</v>
      </c>
      <c r="M46" t="s">
        <v>559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544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0" t="s">
        <v>557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0" t="s">
        <v>558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545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0" t="s">
        <v>547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0" t="s">
        <v>548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0" t="s">
        <v>549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0" t="s">
        <v>550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0" t="s">
        <v>551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0" t="s">
        <v>552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0" t="s">
        <v>553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0" t="s">
        <v>554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0" t="s">
        <v>555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0" t="s">
        <v>556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0" t="s">
        <v>557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0" t="s">
        <v>558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546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543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5733305.6407600017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5736917.5127600022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5740077.9007600024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5746272.2612400027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5748529.6812400026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5750511.6960000023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5750511.6960000023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5750511.6960000023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5752769.1160000023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5757283.9560000021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5763491.8610000024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5770264.1210000021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5773085.8960000025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5773085.8960000025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5775794.8000000026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5780986.8660000023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5785181.1523600025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5785759.051880003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5785759.051880003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5785759.051880003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5785759.051880003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5785759.051880003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5785759.051880003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5812831.6118800035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5826549.9094400033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5850800.9315100033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5855897.8483900037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5855897.8483900037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5871690.1573400041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5887035.1305000037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5887035.1305000037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5893555.3885300038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5912817.938760004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5912817.938760004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5912817.938760004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5935089.8388500037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5950434.8120100033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5974780.7234900035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6004521.7757100035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6040633.974030003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6046096.8929200033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6046096.8929200033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6062770.3178200033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6073099.7078800034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6091413.3640100034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6105090.9946800033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6140087.5927800033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6168055.8284400031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6168055.8284400031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6182573.9081700034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6199843.780790003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6212762.2961800033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6250111.3627000032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6287184.5224300036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6313206.8891500039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6313206.8891500039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6325519.8715900034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6329854.117990003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6331196.1253600027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6331938.8165400028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6333945.6629200028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6334990.8483800031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6334990.8483800031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6363917.4971000031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6392858.6672300035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6402936.5257700039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6424166.8271900034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6429137.6660300028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6456437.9168300023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6456437.9168300023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6476506.5054500019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6496705.7867600024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6511619.2748300014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6524732.1080600014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6537394.7775800014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6537394.7775800014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6537394.7775800014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6544176.2760500014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6554312.220230001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6560687.1192200007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6577706.2117400002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6583179.4512499999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6583414.3548699999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6583414.3548699999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6590616.9742299998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6603265.1223400002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6603265.1223400002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6624671.5684900004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6626241.8218900012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6628142.5695300009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6628142.5695300009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6638191.3852500012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6642410.5150000006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6654898.927600001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6657923.8704000004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6664025.6766600003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6667344.0840600003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6667344.0840600003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6680599.6543000005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6699826.0011400003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6700450.4217699999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6725441.7683800003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6759567.0818800004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6770022.4970800001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6794708.89408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6801969.5990800001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6817943.1500800001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6828108.1370799998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6830339.7214700002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6834366.6406699978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6835818.7816699976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6835818.7816699976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6840507.4430099977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6840507.4430099977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6847366.5917899981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6848600.1541199973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6871170.2780699972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6901331.2466399968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6901331.2466399968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6932536.3068999965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6952002.1915799966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6960813.3510799967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6984129.0346799968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7013517.6405199971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7028157.7209199974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7028157.7209199974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7044424.4769199975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7047393.1598899979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7047929.5105699981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7092663.089569998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7146844.9426799985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7146844.9426799985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7182741.8681999985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7182741.8681999985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7182741.8681999985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7182741.8681999985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7217606.9485599985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7217788.9553199988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7219696.4752199985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7222123.2017199984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7227495.8613199983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7270784.1845299983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7276721.1991299987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7305154.119909999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7344301.3335199989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7346220.140519999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7346220.140519999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7691189.3067199998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7855464.4067199994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7945375.8767199991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8033130.5767199984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8036175.8362999987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8036175.8362999987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8036175.8362999987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8037981.7722999984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8048738.3785999985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8074876.9165999983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8094524.3843299979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8293896.4043299966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8389546.9043299966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8389546.9043299966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8448177.0464499947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8475491.8186599948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8514834.5161899943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8517873.0035099946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8543750.1561299954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8563295.9739899952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8563295.9739899952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8573359.311119996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8603955.8639199957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8622587.8639199957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8706272.7839199938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8777054.1539199948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49.723834501047001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8781712.1539199948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49.723834501047001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8781712.1539199948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49.723834501047001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8795686.1539199948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49.723834501047001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8809660.1539199948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49.723834501047001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8818976.1539199948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49.723834501047001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8828292.1539199948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49.723834501047001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8846924.153919993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49.723834501047001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9061919.7539199926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49.723834501047001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9061919.7539199926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49.723834501047001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9068692.0139199924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49.723834501047001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9157627.9369199928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53.932245105970381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9162072.796899993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53.932245105970381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9243995.4907299932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56.737852175919301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9345983.00754999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59.54345924586822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9345983.00754999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59.54345924586822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9345983.00754999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59.54345924586822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9359255.5762899891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59.54345924586822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9362133.7867899891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59.54345924586822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9362703.7853399888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59.54345924586822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9384943.8760149907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59.54345924586822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9395602.5909549911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59.54345924586822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9513972.7909549922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68.185966554422095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9617774.3509549908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75.764780655769343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9780617.9409549925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86.13578942603398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9814246.9566899929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86.13578942603398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9832137.3338099923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86.13578942603398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9871141.8410699926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86.13578942603398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9933784.9377899934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86.13578942603398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9954274.6472999919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86.13578942603398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9954274.6472999919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86.13578942603398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9999718.6472999882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89.4537706588943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9999718.6472999882</v>
      </c>
      <c r="L355"/>
    </row>
    <row r="356" spans="1:12" x14ac:dyDescent="0.25">
      <c r="A356" s="62">
        <f t="shared" si="7"/>
        <v>46316</v>
      </c>
      <c r="B356" s="62"/>
      <c r="C356" s="112" t="e">
        <f ca="1">IF(TODAY()&gt;=$A356,SUMIFS(Tabla1[Avance_km],Tabla1[Fecha],"&lt;="&amp;EV!$A356,Tabla1[nombre_actividad],EV!C$1),NA())</f>
        <v>#N/A</v>
      </c>
      <c r="D356" s="112" t="e">
        <f ca="1">IF(TODAY()&gt;=$A356,SUMIFS(Tabla1[Avance_km],Tabla1[Fecha],"&lt;="&amp;EV!$A356,Tabla1[nombre_actividad],EV!D$1),NA())</f>
        <v>#N/A</v>
      </c>
      <c r="E356" s="112" t="e">
        <f ca="1">IF(TODAY()&gt;=$A356,SUMIFS(Tabla1[Avance_km],Tabla1[Fecha],"&lt;="&amp;EV!$A356,Tabla1[nombre_actividad],EV!E$1,Tabla1[Avance_km],"&gt;0"),NA())</f>
        <v>#N/A</v>
      </c>
      <c r="F356" s="67" t="e">
        <f ca="1">IF(TODAY()&gt;=$A356,SUMIFS(Tabla1[Avance_Med],Tabla1[Fecha],"&lt;="&amp;EV!$A356,Tabla1[nombre_actividad],EV!F$1),NA())</f>
        <v>#N/A</v>
      </c>
      <c r="G356" s="67"/>
      <c r="H356" s="112" t="e">
        <f ca="1">IF(TODAY()&gt;=$A356,SUMIFS(Tabla1[Avance_km],Tabla1[Fecha],"&lt;="&amp;EV!$A356-1,Tabla1[nombre_actividad],EV!H$1),NA())</f>
        <v>#N/A</v>
      </c>
      <c r="I356" s="230" t="e">
        <f ca="1">+C356*Catalogo!$F$19+EV!D356*Catalogo!$F$14+EV!E356*Catalogo!$F$16+EV!F356*Catalogo!$F$18</f>
        <v>#N/A</v>
      </c>
      <c r="J356" s="230" t="e">
        <f ca="1">IF(TODAY()&gt;=$A356,SUMIFS(Tabla1[EV],Tabla1[Fecha],"&lt;="&amp;A356,Tabla1[EV],"&gt;0"),NA())</f>
        <v>#N/A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2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1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38">
        <v>14521.41</v>
      </c>
      <c r="I3" s="324">
        <v>13555.63</v>
      </c>
      <c r="J3" s="440">
        <v>13555.63</v>
      </c>
      <c r="K3" s="263">
        <v>13696.28</v>
      </c>
      <c r="L3" s="263">
        <v>4658</v>
      </c>
      <c r="M3" s="440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9">
        <v>2.1</v>
      </c>
      <c r="I4" s="308">
        <v>2.2000000000000002</v>
      </c>
      <c r="J4" s="439">
        <v>2.2999999999999998</v>
      </c>
      <c r="K4" s="76">
        <v>2.4</v>
      </c>
      <c r="L4" s="76">
        <v>2.5</v>
      </c>
      <c r="M4" s="439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497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144370.16999999998</v>
      </c>
      <c r="C10" s="316">
        <f>+SUMIFS(Tabla1[Avance_Med],Tabla1[Fecha],"&gt;="&amp;$A10,Tabla1[Fecha],"&lt;="&amp;EOMONTH($A10,0),Tabla1[Codigo_actividad],C$4)*C$3</f>
        <v>185250.57</v>
      </c>
      <c r="D10" s="316">
        <f>+SUMIFS(Tabla1[Avance_Med],Tabla1[Fecha],"&gt;="&amp;$A10,Tabla1[Fecha],"&lt;="&amp;EOMONTH($A10,0),Tabla1[Codigo_actividad],D$4)*D$3</f>
        <v>56163.240000000005</v>
      </c>
      <c r="E10" s="316">
        <f>+SUMIFS(Tabla1[Avance_Med],Tabla1[Fecha],"&gt;="&amp;$A10,Tabla1[Fecha],"&lt;="&amp;EOMONTH($A10,0),Tabla1[Codigo_actividad],E$4)*E$3</f>
        <v>60586.44</v>
      </c>
      <c r="F10" s="316">
        <f>+SUMIFS(Tabla1[Avance_Med],Tabla1[Fecha],"&gt;="&amp;$A10,Tabla1[Fecha],"&lt;="&amp;EOMONTH($A10,0),Tabla1[Codigo_actividad],F$4)*F$3</f>
        <v>76223.25</v>
      </c>
      <c r="G10" s="316">
        <f>+SUMIFS(Tabla1[Avance_Med],Tabla1[Fecha],"&gt;="&amp;$A10,Tabla1[Fecha],"&lt;="&amp;EOMONTH($A10,0),Tabla1[Codigo_actividad],G$4)*G$3</f>
        <v>90128.97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0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954914.95200000005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10131.24</v>
      </c>
      <c r="C11" s="316">
        <f>+SUMIFS(Tabla1[Avance_Med],Tabla1[Fecha],"&gt;="&amp;$A11,Tabla1[Fecha],"&lt;="&amp;EOMONTH($A11,0),Tabla1[Codigo_actividad],C$4)*C$3</f>
        <v>13000.04</v>
      </c>
      <c r="D11" s="316">
        <f>+SUMIFS(Tabla1[Avance_Med],Tabla1[Fecha],"&gt;="&amp;$A11,Tabla1[Fecha],"&lt;="&amp;EOMONTH($A11,0),Tabla1[Codigo_actividad],D$4)*D$3</f>
        <v>3941.28</v>
      </c>
      <c r="E11" s="316">
        <f>+SUMIFS(Tabla1[Avance_Med],Tabla1[Fecha],"&gt;="&amp;$A11,Tabla1[Fecha],"&lt;="&amp;EOMONTH($A11,0),Tabla1[Codigo_actividad],E$4)*E$3</f>
        <v>0</v>
      </c>
      <c r="F11" s="316">
        <f>+SUMIFS(Tabla1[Avance_Med],Tabla1[Fecha],"&gt;="&amp;$A11,Tabla1[Fecha],"&lt;="&amp;EOMONTH($A11,0),Tabla1[Codigo_actividad],F$4)*F$3</f>
        <v>0</v>
      </c>
      <c r="G11" s="316">
        <f>+SUMIFS(Tabla1[Avance_Med],Tabla1[Fecha],"&gt;="&amp;$A11,Tabla1[Fecha],"&lt;="&amp;EOMONTH($A11,0),Tabla1[Codigo_actividad],G$4)*G$3</f>
        <v>0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156637.87576999998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89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438328.56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0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1124091.0245999999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486512.76000000007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7938.84</v>
      </c>
      <c r="P17" s="316">
        <f>+SUMIFS(Tabla1[Avance_Med],Tabla1[Fecha],"&gt;="&amp;$A17,Tabla1[Fecha],"&lt;="&amp;EOMONTH($A17,0),Tabla1[Codigo_actividad],P$4)*P$3</f>
        <v>0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837645.85039999976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-1163203.1926999991</v>
      </c>
      <c r="AQ20" s="416">
        <f>+AO20/AO5</f>
        <v>0.10420239515893619</v>
      </c>
      <c r="AT20"/>
      <c r="AU20"/>
      <c r="AV20"/>
      <c r="AW20"/>
      <c r="AX20"/>
    </row>
    <row r="21" spans="1:52" x14ac:dyDescent="0.25">
      <c r="A21"/>
      <c r="B21" s="312">
        <f>SUM(B6:B19)</f>
        <v>154501.40999999997</v>
      </c>
      <c r="C21" s="312">
        <f t="shared" ref="C21:AM21" si="2">SUM(C6:C19)</f>
        <v>198250.61000000002</v>
      </c>
      <c r="D21" s="312">
        <f t="shared" si="2"/>
        <v>60104.520000000004</v>
      </c>
      <c r="E21" s="312">
        <f t="shared" si="2"/>
        <v>60586.44</v>
      </c>
      <c r="F21" s="312">
        <f t="shared" si="2"/>
        <v>76223.25</v>
      </c>
      <c r="G21" s="312">
        <f t="shared" si="2"/>
        <v>90128.97</v>
      </c>
      <c r="H21" s="441">
        <f>SUM(H6:H19)</f>
        <v>2620032.6599550005</v>
      </c>
      <c r="I21" s="313">
        <f t="shared" si="2"/>
        <v>0</v>
      </c>
      <c r="J21" s="441">
        <f t="shared" si="2"/>
        <v>2037743.3019349999</v>
      </c>
      <c r="K21" s="312">
        <f t="shared" si="2"/>
        <v>1225183.8899999999</v>
      </c>
      <c r="L21" s="312">
        <f t="shared" si="2"/>
        <v>1844568</v>
      </c>
      <c r="M21" s="441">
        <f t="shared" si="2"/>
        <v>410591.96541</v>
      </c>
      <c r="N21" s="312">
        <f t="shared" si="2"/>
        <v>325691.03999999998</v>
      </c>
      <c r="O21" s="312">
        <f t="shared" si="2"/>
        <v>240811.48</v>
      </c>
      <c r="P21" s="312">
        <f t="shared" si="2"/>
        <v>0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5">
        <f>+IF(SUM(AO6:AO19)=SUM(B21:AM21),SUM(AO6:AO19))</f>
        <v>9999718.6472999994</v>
      </c>
      <c r="AQ21" s="417">
        <f>-AO21/AO5</f>
        <v>0.89579760484106363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5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7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8">
        <f>+B22-B23</f>
        <v>0</v>
      </c>
      <c r="C24" s="488"/>
      <c r="D24" s="488"/>
      <c r="E24" s="488"/>
      <c r="F24" s="488"/>
      <c r="G24" s="488"/>
      <c r="H24"/>
      <c r="I24"/>
      <c r="J24"/>
      <c r="K24" s="488"/>
      <c r="L24" s="488"/>
      <c r="M24" s="488"/>
      <c r="N24" s="488"/>
      <c r="O24" s="488"/>
      <c r="P24" s="488"/>
      <c r="Q24" s="488"/>
      <c r="R24" s="488"/>
      <c r="S24" s="488"/>
      <c r="T24" s="488"/>
      <c r="U24" s="488"/>
      <c r="V24" s="488"/>
      <c r="W24" s="488"/>
      <c r="X24" s="488"/>
      <c r="Y24" s="488"/>
      <c r="Z24" s="488"/>
      <c r="AA24" s="488"/>
      <c r="AB24" s="488"/>
      <c r="AC24" s="488"/>
      <c r="AD24" s="488"/>
      <c r="AE24" s="488"/>
      <c r="AF24" s="488"/>
      <c r="AG24" s="488"/>
      <c r="AH24" s="488"/>
      <c r="AI24" s="488"/>
      <c r="AJ24" s="488"/>
      <c r="AK24" s="488"/>
      <c r="AL24"/>
      <c r="AM24"/>
      <c r="AN24"/>
      <c r="AO24" s="483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3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954914.95200000016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156637.87576999998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4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1124091.0246000008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837645.85040000023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482</v>
      </c>
      <c r="B38" s="314">
        <f>SUM(B26:B37)</f>
        <v>9999718.6473000012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6" t="s">
        <v>497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1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1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1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1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57</v>
      </c>
      <c r="C9" s="233">
        <f>+SUMIFS(Tabla1[Avance_Med],Tabla1[Fecha],"&gt;="&amp;$A9,Tabla1[Fecha],"&lt;="&amp;EOMONTH($A9,0),Tabla1[Codigo_actividad],C$4)*C$3</f>
        <v>57</v>
      </c>
      <c r="D9" s="233">
        <f>+SUMIFS(Tabla1[Avance_Med],Tabla1[Fecha],"&gt;="&amp;$A9,Tabla1[Fecha],"&lt;="&amp;EOMONTH($A9,0),Tabla1[Codigo_actividad],D$4)*D$3</f>
        <v>57</v>
      </c>
      <c r="E9" s="233">
        <f>+SUMIFS(Tabla1[Avance_Med],Tabla1[Fecha],"&gt;="&amp;$A9,Tabla1[Fecha],"&lt;="&amp;EOMONTH($A9,0),Tabla1[Codigo_actividad],E$4)*E$3</f>
        <v>57</v>
      </c>
      <c r="F9" s="233">
        <f>+SUMIFS(Tabla1[Avance_Med],Tabla1[Fecha],"&gt;="&amp;$A9,Tabla1[Fecha],"&lt;="&amp;EOMONTH($A9,0),Tabla1[Codigo_actividad],F$4)*F$3</f>
        <v>57</v>
      </c>
      <c r="G9" s="233">
        <f>+SUMIFS(Tabla1[Avance_Med],Tabla1[Fecha],"&gt;="&amp;$A9,Tabla1[Fecha],"&lt;="&amp;EOMONTH($A9,0),Tabla1[Codigo_actividad],G$4)*G$3</f>
        <v>57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1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0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4</v>
      </c>
      <c r="C10" s="233">
        <f>+SUMIFS(Tabla1[Avance_Med],Tabla1[Fecha],"&gt;="&amp;$A10,Tabla1[Fecha],"&lt;="&amp;EOMONTH($A10,0),Tabla1[Codigo_actividad],C$4)*C$3</f>
        <v>4</v>
      </c>
      <c r="D10" s="233">
        <f>+SUMIFS(Tabla1[Avance_Med],Tabla1[Fecha],"&gt;="&amp;$A10,Tabla1[Fecha],"&lt;="&amp;EOMONTH($A10,0),Tabla1[Codigo_actividad],D$4)*D$3</f>
        <v>4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1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1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1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1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1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1">
        <f>ROUND(SUMIFS(Tabla1[Avance_km],Tabla1[Fecha],"&gt;="&amp;$A15,Tabla1[Fecha],"&lt;="&amp;EOMONTH($A15,0),Tabla1[Codigo_actividad],K$4,Tabla1[Avance_km],"&gt;0"),3)*K$3</f>
        <v>32.003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0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1">
        <f>ROUND(SUMIFS(Tabla1[Avance_km],Tabla1[Fecha],"&gt;="&amp;$A16,Tabla1[Fecha],"&lt;="&amp;EOMONTH($A16,0),Tabla1[Codigo_actividad],K$4,Tabla1[Avance_km],"&gt;0"),3)*K$3</f>
        <v>35.521999999999998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3</v>
      </c>
      <c r="P16" s="233">
        <f>+SUMIFS(Tabla1[Avance_Med],Tabla1[Fecha],"&gt;="&amp;$A16,Tabla1[Fecha],"&lt;="&amp;EOMONTH($A16,0),Tabla1[Codigo_actividad],P$4)*P$3</f>
        <v>0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1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1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61</v>
      </c>
      <c r="C19" s="306">
        <f t="shared" ref="C19:AM19" si="0">SUM(C5:C18)</f>
        <v>61</v>
      </c>
      <c r="D19" s="306">
        <f t="shared" si="0"/>
        <v>61</v>
      </c>
      <c r="E19" s="306">
        <f t="shared" si="0"/>
        <v>57</v>
      </c>
      <c r="F19" s="306">
        <f t="shared" si="0"/>
        <v>57</v>
      </c>
      <c r="G19" s="306">
        <f t="shared" si="0"/>
        <v>57</v>
      </c>
      <c r="H19" s="306">
        <f t="shared" si="0"/>
        <v>180.42550000000003</v>
      </c>
      <c r="I19" s="306">
        <f t="shared" si="0"/>
        <v>0</v>
      </c>
      <c r="J19" s="475">
        <f t="shared" si="0"/>
        <v>150.32450000000003</v>
      </c>
      <c r="K19" s="482">
        <f t="shared" si="0"/>
        <v>89.454000000000008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91</v>
      </c>
      <c r="P19" s="306">
        <f t="shared" si="0"/>
        <v>0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0.580952380952381</v>
      </c>
      <c r="C22" s="330">
        <f t="shared" ref="C22:P22" si="1">+C19/C21</f>
        <v>0.580952380952381</v>
      </c>
      <c r="D22" s="330">
        <f t="shared" si="1"/>
        <v>0.580952380952381</v>
      </c>
      <c r="E22" s="330">
        <f t="shared" si="1"/>
        <v>0.54285714285714282</v>
      </c>
      <c r="F22" s="330">
        <f t="shared" si="1"/>
        <v>0.54285714285714282</v>
      </c>
      <c r="G22" s="330">
        <f t="shared" si="1"/>
        <v>0.54285714285714282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0.44727000000000006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0.8666666666666667</v>
      </c>
      <c r="P22" s="341">
        <f t="shared" si="1"/>
        <v>0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3" t="s">
        <v>398</v>
      </c>
      <c r="C25" s="583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08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3" t="s">
        <v>447</v>
      </c>
      <c r="C26" s="583"/>
      <c r="D26" s="351">
        <f>+AVERAGE(H22:O22)*100</f>
        <v>79.218637755102051</v>
      </c>
      <c r="E26" s="336" t="str">
        <f>REPT("█",ROUND(D26/5,0))&amp;REPT("░",20-ROUND(D26/5,0))&amp;" "&amp;ROUND(D26,0)&amp;"%"</f>
        <v>████████████████░░░░ 79%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3" t="s">
        <v>448</v>
      </c>
      <c r="C27" s="583"/>
      <c r="D27" s="351">
        <f>+AVERAGE(P22:AA22)*100</f>
        <v>12.386363636363635</v>
      </c>
      <c r="E27" s="350" t="str">
        <f>REPT("█",ROUND(D27/5,0))&amp;REPT("░",20-ROUND(D27/5,0))&amp;" "&amp;ROUND(D27,0)&amp;"%"</f>
        <v>██░░░░░░░░░░░░░░░░░░ 12%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3" t="s">
        <v>449</v>
      </c>
      <c r="C28" s="583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587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79.218637755102051</v>
      </c>
      <c r="D4" s="336" t="str">
        <f>REPT("█",ROUND(C4/5,0))&amp;REPT("░",20-ROUND(C4/5,0))&amp;" "&amp;ROUND(C4,0)&amp;"%"</f>
        <v>████████████████░░░░ 79%</v>
      </c>
    </row>
    <row r="5" spans="2:4" ht="26.25" x14ac:dyDescent="0.35">
      <c r="B5" s="334" t="s">
        <v>448</v>
      </c>
      <c r="C5" s="348">
        <f>+AVERAGE('EV (3)'!P22:AA22)*100</f>
        <v>12.386363636363635</v>
      </c>
      <c r="D5" s="337" t="str">
        <f t="shared" ref="D5:D6" si="0">REPT("█",ROUND(C5/5,0))&amp;REPT("░",20-ROUND(C5/5,0))&amp;" "&amp;ROUND(C5,0)&amp;"%"</f>
        <v>██░░░░░░░░░░░░░░░░░░ 12%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O44" sqref="O44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8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7" customFormat="1" ht="14.25" customHeight="1" x14ac:dyDescent="0.25">
      <c r="A1" s="526"/>
      <c r="B1" s="526"/>
      <c r="C1" s="526"/>
      <c r="D1" s="526"/>
      <c r="E1" s="526"/>
      <c r="F1" s="526" t="s">
        <v>13</v>
      </c>
      <c r="G1" s="526" t="s">
        <v>22</v>
      </c>
      <c r="H1" s="526" t="s">
        <v>329</v>
      </c>
      <c r="I1" s="526" t="s">
        <v>411</v>
      </c>
      <c r="J1" s="526" t="s">
        <v>510</v>
      </c>
      <c r="K1" s="526" t="s">
        <v>535</v>
      </c>
      <c r="L1" s="526" t="s">
        <v>265</v>
      </c>
      <c r="M1" s="527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619</v>
      </c>
      <c r="K2" s="1" t="s">
        <v>380</v>
      </c>
      <c r="L2" s="1" t="s">
        <v>272</v>
      </c>
      <c r="M2" s="1" t="s">
        <v>273</v>
      </c>
    </row>
    <row r="3" spans="1:18" x14ac:dyDescent="0.25">
      <c r="A3" s="544">
        <v>1.1000000000000001</v>
      </c>
      <c r="B3" s="532" t="s">
        <v>276</v>
      </c>
      <c r="C3" s="542">
        <f>+_xlfn.XLOOKUP(A3,Catalogo!$B:$B,Catalogo!D:D)</f>
        <v>105</v>
      </c>
      <c r="D3" s="560">
        <f>_xlfn.XLOOKUP(A3,Catalogo!B6:B69,Catalogo!F6:F69)</f>
        <v>2532.81</v>
      </c>
      <c r="E3" s="542" t="s">
        <v>97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38">
        <f>IF(SUM(F3:M3)=0,"",SUM(F3:M3))</f>
        <v>61</v>
      </c>
      <c r="O3" s="536">
        <f>IF(N3&lt;&gt;"",_xlfn.XLOOKUP(A3,Catalogo!B6:B69,Catalogo!F6:F69)*N3,"")</f>
        <v>154501.41</v>
      </c>
      <c r="P3" s="553">
        <f>IFERROR($N3/$C3,"")</f>
        <v>0.580952380952381</v>
      </c>
      <c r="Q3" s="554">
        <f>IFERROR(1-P3,"")</f>
        <v>0.419047619047619</v>
      </c>
      <c r="R3" s="555"/>
    </row>
    <row r="4" spans="1:18" x14ac:dyDescent="0.25">
      <c r="A4" s="544">
        <v>1.2</v>
      </c>
      <c r="B4" s="532" t="s">
        <v>278</v>
      </c>
      <c r="C4" s="542">
        <f>+_xlfn.XLOOKUP(A4,Catalogo!$B:$B,Catalogo!D:D)</f>
        <v>105</v>
      </c>
      <c r="D4" s="560">
        <f>_xlfn.XLOOKUP(A4,Catalogo!B7:B70,Catalogo!F7:F70)</f>
        <v>3250.01</v>
      </c>
      <c r="E4" s="542" t="s">
        <v>97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38">
        <f t="shared" ref="N4:N40" si="0">IF(SUM(F4:M4)=0,"",SUM(F4:M4))</f>
        <v>61</v>
      </c>
      <c r="O4" s="536">
        <f>IF(N4&lt;&gt;"",_xlfn.XLOOKUP(A4,Catalogo!B7:B70,Catalogo!F7:F70)*N4,"")</f>
        <v>198250.61000000002</v>
      </c>
      <c r="P4" s="553">
        <f t="shared" ref="P4:P40" si="1">IFERROR($N4/$C4,"")</f>
        <v>0.580952380952381</v>
      </c>
      <c r="Q4" s="554">
        <f t="shared" ref="Q4:Q40" si="2">IFERROR(1-P4,"")</f>
        <v>0.419047619047619</v>
      </c>
      <c r="R4" s="555"/>
    </row>
    <row r="5" spans="1:18" x14ac:dyDescent="0.25">
      <c r="A5" s="544">
        <v>1.3</v>
      </c>
      <c r="B5" s="532" t="s">
        <v>280</v>
      </c>
      <c r="C5" s="542">
        <f>+_xlfn.XLOOKUP(A5,Catalogo!$B:$B,Catalogo!D:D)</f>
        <v>105</v>
      </c>
      <c r="D5" s="560">
        <f>_xlfn.XLOOKUP(A5,Catalogo!B8:B71,Catalogo!F8:F71)</f>
        <v>985.32</v>
      </c>
      <c r="E5" s="542" t="s">
        <v>97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38">
        <f t="shared" si="0"/>
        <v>61</v>
      </c>
      <c r="O5" s="536">
        <f>IF(N5&lt;&gt;"",_xlfn.XLOOKUP(A5,Catalogo!B8:B71,Catalogo!F8:F71)*N5,"")</f>
        <v>60104.520000000004</v>
      </c>
      <c r="P5" s="553">
        <f t="shared" si="1"/>
        <v>0.580952380952381</v>
      </c>
      <c r="Q5" s="554">
        <f t="shared" si="2"/>
        <v>0.419047619047619</v>
      </c>
      <c r="R5" s="555"/>
    </row>
    <row r="6" spans="1:18" x14ac:dyDescent="0.25">
      <c r="A6" s="544">
        <v>1.4</v>
      </c>
      <c r="B6" s="532" t="s">
        <v>282</v>
      </c>
      <c r="C6" s="542">
        <f>+_xlfn.XLOOKUP(A6,Catalogo!$B:$B,Catalogo!D:D)</f>
        <v>105</v>
      </c>
      <c r="D6" s="560">
        <f>_xlfn.XLOOKUP(A6,Catalogo!B9:B72,Catalogo!F9:F72)</f>
        <v>1062.92</v>
      </c>
      <c r="E6" s="542" t="s">
        <v>97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38">
        <f t="shared" si="0"/>
        <v>57</v>
      </c>
      <c r="O6" s="536">
        <f>IF(N6&lt;&gt;"",_xlfn.XLOOKUP(A6,Catalogo!B9:B72,Catalogo!F9:F72)*N6,"")</f>
        <v>60586.44</v>
      </c>
      <c r="P6" s="553">
        <f t="shared" si="1"/>
        <v>0.54285714285714282</v>
      </c>
      <c r="Q6" s="554">
        <f t="shared" si="2"/>
        <v>0.45714285714285718</v>
      </c>
      <c r="R6" s="555"/>
    </row>
    <row r="7" spans="1:18" x14ac:dyDescent="0.25">
      <c r="A7" s="544">
        <v>1.5</v>
      </c>
      <c r="B7" s="532" t="s">
        <v>284</v>
      </c>
      <c r="C7" s="542">
        <f>+_xlfn.XLOOKUP(A7,Catalogo!$B:$B,Catalogo!D:D)</f>
        <v>105</v>
      </c>
      <c r="D7" s="560">
        <f>_xlfn.XLOOKUP(A7,Catalogo!B10:B73,Catalogo!F10:F73)</f>
        <v>1337.25</v>
      </c>
      <c r="E7" s="542" t="s">
        <v>97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38">
        <f t="shared" si="0"/>
        <v>57</v>
      </c>
      <c r="O7" s="536">
        <f>IF(N7&lt;&gt;"",_xlfn.XLOOKUP(A7,Catalogo!B10:B73,Catalogo!F10:F73)*N7,"")</f>
        <v>76223.25</v>
      </c>
      <c r="P7" s="553">
        <f t="shared" si="1"/>
        <v>0.54285714285714282</v>
      </c>
      <c r="Q7" s="554">
        <f t="shared" si="2"/>
        <v>0.45714285714285718</v>
      </c>
      <c r="R7" s="555"/>
    </row>
    <row r="8" spans="1:18" x14ac:dyDescent="0.25">
      <c r="A8" s="544">
        <v>1.6</v>
      </c>
      <c r="B8" s="532" t="s">
        <v>286</v>
      </c>
      <c r="C8" s="542">
        <f>+_xlfn.XLOOKUP(A8,Catalogo!$B:$B,Catalogo!D:D)</f>
        <v>105</v>
      </c>
      <c r="D8" s="560">
        <f>_xlfn.XLOOKUP(A8,Catalogo!B11:B74,Catalogo!F11:F74)</f>
        <v>1581.21</v>
      </c>
      <c r="E8" s="542" t="s">
        <v>97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38">
        <f t="shared" si="0"/>
        <v>57</v>
      </c>
      <c r="O8" s="536">
        <f>IF(N8&lt;&gt;"",_xlfn.XLOOKUP(A8,Catalogo!B11:B74,Catalogo!F11:F74)*N8,"")</f>
        <v>90128.97</v>
      </c>
      <c r="P8" s="553">
        <f t="shared" si="1"/>
        <v>0.54285714285714282</v>
      </c>
      <c r="Q8" s="554">
        <f t="shared" si="2"/>
        <v>0.45714285714285718</v>
      </c>
      <c r="R8" s="555"/>
    </row>
    <row r="9" spans="1:18" x14ac:dyDescent="0.25">
      <c r="A9" s="545">
        <v>2.1</v>
      </c>
      <c r="B9" s="533" t="s">
        <v>79</v>
      </c>
      <c r="C9" s="542">
        <f>+_xlfn.XLOOKUP(A9,Catalogo!$B:$B,Catalogo!D:D)</f>
        <v>200</v>
      </c>
      <c r="D9" s="560">
        <f>_xlfn.XLOOKUP(A9,Catalogo!B12:B75,Catalogo!F12:F75)</f>
        <v>14521.41</v>
      </c>
      <c r="E9" s="542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9">
        <f t="shared" si="0"/>
        <v>180.42550000000003</v>
      </c>
      <c r="O9" s="536">
        <f>IF(N9&lt;&gt;"",_xlfn.XLOOKUP(A9,Catalogo!B12:B75,Catalogo!F12:F75)*N9,"")</f>
        <v>2620032.6599550005</v>
      </c>
      <c r="P9" s="553">
        <f t="shared" si="1"/>
        <v>0.90212750000000019</v>
      </c>
      <c r="Q9" s="554">
        <f t="shared" si="2"/>
        <v>9.7872499999999807E-2</v>
      </c>
      <c r="R9" s="563">
        <f>+Q9*C9</f>
        <v>19.574499999999961</v>
      </c>
    </row>
    <row r="10" spans="1:18" x14ac:dyDescent="0.25">
      <c r="A10" s="545">
        <v>2.2000000000000002</v>
      </c>
      <c r="B10" s="533" t="s">
        <v>82</v>
      </c>
      <c r="C10" s="542">
        <f>+_xlfn.XLOOKUP(A10,Catalogo!$B:$B,Catalogo!D:D)</f>
        <v>200</v>
      </c>
      <c r="D10" s="560">
        <f>_xlfn.XLOOKUP(A10,Catalogo!B13:B76,Catalogo!F13:F76)</f>
        <v>13555.63</v>
      </c>
      <c r="E10" s="542" t="s">
        <v>108</v>
      </c>
      <c r="F10" s="142">
        <f>+SUMIFS(Tabla1[Avance_km],Tabla1[nombre_actividad],'EV (4)'!$B10,Tabla1[Sistema],'EV (4)'!F$1)</f>
        <v>0</v>
      </c>
      <c r="G10" s="531">
        <f>+SUMIFS(Tabla1[Avance_km],Tabla1[nombre_actividad],'EV (4)'!$B10,Tabla1[Sistema],'EV (4)'!G$1)</f>
        <v>0</v>
      </c>
      <c r="H10" s="531">
        <f>+SUMIFS(Tabla1[Avance_km],Tabla1[nombre_actividad],'EV (4)'!$B10,Tabla1[Sistema],'EV (4)'!H$1)</f>
        <v>0</v>
      </c>
      <c r="I10" s="531">
        <f>+SUMIFS(Tabla1[Avance_km],Tabla1[nombre_actividad],'EV (4)'!$B10,Tabla1[Sistema],'EV (4)'!I$1)</f>
        <v>0</v>
      </c>
      <c r="J10" s="531">
        <f>+SUMIFS(Tabla1[Avance_km],Tabla1[nombre_actividad],'EV (4)'!$B10,Tabla1[Sistema],'EV (4)'!J$1)</f>
        <v>0</v>
      </c>
      <c r="K10" s="531">
        <f>+SUMIFS(Tabla1[Avance_km],Tabla1[nombre_actividad],'EV (4)'!$B10,Tabla1[Sistema],'EV (4)'!K$1)</f>
        <v>0</v>
      </c>
      <c r="L10" s="531">
        <f>+SUMIFS(Tabla1[Avance_km],Tabla1[nombre_actividad],'EV (4)'!$B10,Tabla1[Sistema],'EV (4)'!L$1)</f>
        <v>0</v>
      </c>
      <c r="M10" s="531">
        <f>+SUMIFS(Tabla1[Avance_km],Tabla1[nombre_actividad],'EV (4)'!$B10,Tabla1[Sistema],'EV (4)'!M$1)</f>
        <v>0</v>
      </c>
      <c r="N10" s="538" t="str">
        <f t="shared" si="0"/>
        <v/>
      </c>
      <c r="O10" s="536" t="str">
        <f>IF(N10&lt;&gt;"",_xlfn.XLOOKUP(A10,Catalogo!B13:B76,Catalogo!F13:F76)*N10,"")</f>
        <v/>
      </c>
      <c r="P10" s="553" t="str">
        <f t="shared" si="1"/>
        <v/>
      </c>
      <c r="Q10" s="554" t="str">
        <f t="shared" si="2"/>
        <v/>
      </c>
      <c r="R10" s="555"/>
    </row>
    <row r="11" spans="1:18" x14ac:dyDescent="0.25">
      <c r="A11" s="545">
        <v>2.2999999999999998</v>
      </c>
      <c r="B11" s="533" t="s">
        <v>80</v>
      </c>
      <c r="C11" s="542">
        <f>+_xlfn.XLOOKUP(A11,Catalogo!$B:$B,Catalogo!D:D)</f>
        <v>200</v>
      </c>
      <c r="D11" s="560">
        <f>_xlfn.XLOOKUP(A11,Catalogo!B14:B77,Catalogo!F14:F77)</f>
        <v>13555.63</v>
      </c>
      <c r="E11" s="542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9">
        <f t="shared" si="0"/>
        <v>150.32450000000006</v>
      </c>
      <c r="O11" s="536">
        <f>IF(N11&lt;&gt;"",_xlfn.XLOOKUP(A11,Catalogo!B14:B77,Catalogo!F14:F77)*N11,"")</f>
        <v>2037743.3019350006</v>
      </c>
      <c r="P11" s="553">
        <f t="shared" si="1"/>
        <v>0.7516225000000003</v>
      </c>
      <c r="Q11" s="554">
        <f t="shared" si="2"/>
        <v>0.2483774999999997</v>
      </c>
      <c r="R11" s="563">
        <f>+Q11*C11</f>
        <v>49.675499999999943</v>
      </c>
    </row>
    <row r="12" spans="1:18" x14ac:dyDescent="0.25">
      <c r="A12" s="545">
        <v>2.4</v>
      </c>
      <c r="B12" s="533" t="s">
        <v>83</v>
      </c>
      <c r="C12" s="542">
        <f>+_xlfn.XLOOKUP(A12,Catalogo!$B:$B,Catalogo!D:D)</f>
        <v>200</v>
      </c>
      <c r="D12" s="560">
        <f>_xlfn.XLOOKUP(A12,Catalogo!B15:B78,Catalogo!F15:F78)</f>
        <v>13696.28</v>
      </c>
      <c r="E12" s="542" t="s">
        <v>108</v>
      </c>
      <c r="F12" s="529">
        <f>+SUMIFS(Tabla1[Avance_km],Tabla1[nombre_actividad],'EV (4)'!$B12,Tabla1[Sistema],'EV (4)'!F$1)</f>
        <v>20.254269042396913</v>
      </c>
      <c r="G12" s="530">
        <f>+SUMIFS(Tabla1[Avance_km],Tabla1[nombre_actividad],'EV (4)'!$B12,Tabla1[Sistema],'EV (4)'!G$1)</f>
        <v>20.720286092281988</v>
      </c>
      <c r="H12" s="530">
        <f>+SUMIFS(Tabla1[Avance_km],Tabla1[nombre_actividad],'EV (4)'!$B12,Tabla1[Sistema],'EV (4)'!H$1)</f>
        <v>14.957218310373324</v>
      </c>
      <c r="I12" s="530">
        <f>+SUMIFS(Tabla1[Avance_km],Tabla1[nombre_actividad],'EV (4)'!$B12,Tabla1[Sistema],'EV (4)'!I$1)</f>
        <v>9.5038776952573976</v>
      </c>
      <c r="J12" s="530">
        <f>+SUMIFS(Tabla1[Avance_km],Tabla1[nombre_actividad],'EV (4)'!$B12,Tabla1[Sistema],'EV (4)'!J$1)</f>
        <v>22.342035209560549</v>
      </c>
      <c r="K12" s="530">
        <f>+SUMIFS(Tabla1[Avance_km],Tabla1[nombre_actividad],'EV (4)'!$B12,Tabla1[Sistema],'EV (4)'!K$1)</f>
        <v>1.676084309024056</v>
      </c>
      <c r="L12" s="531">
        <f>+SUMIFS(Tabla1[Avance_km],Tabla1[nombre_actividad],'EV (4)'!$B12,Tabla1[Sistema],'EV (4)'!L$1)</f>
        <v>0</v>
      </c>
      <c r="M12" s="531">
        <f>+SUMIFS(Tabla1[Avance_km],Tabla1[nombre_actividad],'EV (4)'!$B12,Tabla1[Sistema],'EV (4)'!M$1)</f>
        <v>0</v>
      </c>
      <c r="N12" s="539">
        <f t="shared" si="0"/>
        <v>89.453770658894243</v>
      </c>
      <c r="O12" s="536">
        <f>IF(N12&lt;&gt;"",_xlfn.XLOOKUP(A12,Catalogo!B15:B78,Catalogo!F15:F78)*N12,"")</f>
        <v>1225183.8900000001</v>
      </c>
      <c r="P12" s="553">
        <f t="shared" si="1"/>
        <v>0.44726885329447119</v>
      </c>
      <c r="Q12" s="554">
        <f t="shared" si="2"/>
        <v>0.55273114670552881</v>
      </c>
      <c r="R12" s="563"/>
    </row>
    <row r="13" spans="1:18" x14ac:dyDescent="0.25">
      <c r="A13" s="546">
        <v>2.5</v>
      </c>
      <c r="B13" s="533" t="s">
        <v>81</v>
      </c>
      <c r="C13" s="542">
        <f>+_xlfn.XLOOKUP(A13,Catalogo!$B:$B,Catalogo!D:D)</f>
        <v>500</v>
      </c>
      <c r="D13" s="560">
        <f>_xlfn.XLOOKUP(A13,Catalogo!B16:B79,Catalogo!F16:F79)</f>
        <v>4658</v>
      </c>
      <c r="E13" s="542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38">
        <f t="shared" si="0"/>
        <v>396</v>
      </c>
      <c r="O13" s="536">
        <f>IF(N13&lt;&gt;"",_xlfn.XLOOKUP(A13,Catalogo!B16:B79,Catalogo!F16:F79)*N13,"")</f>
        <v>1844568</v>
      </c>
      <c r="P13" s="553">
        <f t="shared" si="1"/>
        <v>0.79200000000000004</v>
      </c>
      <c r="Q13" s="554">
        <f t="shared" si="2"/>
        <v>0.20799999999999996</v>
      </c>
      <c r="R13" s="555"/>
    </row>
    <row r="14" spans="1:18" x14ac:dyDescent="0.25">
      <c r="A14" s="545">
        <v>2.6</v>
      </c>
      <c r="B14" s="533" t="s">
        <v>78</v>
      </c>
      <c r="C14" s="542">
        <f>+_xlfn.XLOOKUP(A14,Catalogo!$B:$B,Catalogo!D:D)</f>
        <v>200</v>
      </c>
      <c r="D14" s="560">
        <f>_xlfn.XLOOKUP(A14,Catalogo!B17:B80,Catalogo!F17:F80)</f>
        <v>2257.42</v>
      </c>
      <c r="E14" s="542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9">
        <f t="shared" si="0"/>
        <v>181.88550000000004</v>
      </c>
      <c r="O14" s="536">
        <f>IF(N14&lt;&gt;"",_xlfn.XLOOKUP(A14,Catalogo!B17:B80,Catalogo!F17:F80)*N14,"")</f>
        <v>410591.96541000012</v>
      </c>
      <c r="P14" s="553">
        <f t="shared" si="1"/>
        <v>0.90942750000000017</v>
      </c>
      <c r="Q14" s="554">
        <f t="shared" si="2"/>
        <v>9.0572499999999834E-2</v>
      </c>
      <c r="R14" s="563">
        <f>+Q14*C14</f>
        <v>18.114499999999968</v>
      </c>
    </row>
    <row r="15" spans="1:18" x14ac:dyDescent="0.25">
      <c r="A15" s="545">
        <v>2.7</v>
      </c>
      <c r="B15" s="533" t="s">
        <v>294</v>
      </c>
      <c r="C15" s="542">
        <f>+_xlfn.XLOOKUP(A15,Catalogo!$B:$B,Catalogo!D:D)</f>
        <v>105</v>
      </c>
      <c r="D15" s="560">
        <f>_xlfn.XLOOKUP(A15,Catalogo!B18:B81,Catalogo!F18:F81)</f>
        <v>3540.12</v>
      </c>
      <c r="E15" s="542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8">
        <f>+SUMIFS(Tabla1[Avance_Med],Tabla1[nombre_actividad],'EV (4)'!$B15,Tabla1[Sistema],'EV (4)'!L$1)</f>
        <v>0</v>
      </c>
      <c r="M15" s="528">
        <f>+SUMIFS(Tabla1[Avance_Med],Tabla1[nombre_actividad],'EV (4)'!$B15,Tabla1[Sistema],'EV (4)'!M$1)</f>
        <v>0</v>
      </c>
      <c r="N15" s="538">
        <f t="shared" si="0"/>
        <v>92</v>
      </c>
      <c r="O15" s="536">
        <f>IF(N15&lt;&gt;"",_xlfn.XLOOKUP(A15,Catalogo!B18:B81,Catalogo!F18:F81)*N15,"")</f>
        <v>325691.03999999998</v>
      </c>
      <c r="P15" s="553">
        <f t="shared" si="1"/>
        <v>0.87619047619047619</v>
      </c>
      <c r="Q15" s="554">
        <f t="shared" si="2"/>
        <v>0.12380952380952381</v>
      </c>
      <c r="R15" s="555"/>
    </row>
    <row r="16" spans="1:18" x14ac:dyDescent="0.25">
      <c r="A16" s="545">
        <v>2.8</v>
      </c>
      <c r="B16" s="533" t="s">
        <v>296</v>
      </c>
      <c r="C16" s="542">
        <f>+_xlfn.XLOOKUP(A16,Catalogo!$B:$B,Catalogo!D:D)</f>
        <v>105</v>
      </c>
      <c r="D16" s="560">
        <f>_xlfn.XLOOKUP(A16,Catalogo!B19:B82,Catalogo!F19:F82)</f>
        <v>2646.28</v>
      </c>
      <c r="E16" s="542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3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8">
        <f>+SUMIFS(Tabla1[Avance_Med],Tabla1[nombre_actividad],'EV (4)'!$B16,Tabla1[Sistema],'EV (4)'!L$1)</f>
        <v>0</v>
      </c>
      <c r="M16" s="528">
        <f>+SUMIFS(Tabla1[Avance_Med],Tabla1[nombre_actividad],'EV (4)'!$B16,Tabla1[Sistema],'EV (4)'!M$1)</f>
        <v>0</v>
      </c>
      <c r="N16" s="538">
        <f t="shared" si="0"/>
        <v>91</v>
      </c>
      <c r="O16" s="536">
        <f>IF(N16&lt;&gt;"",_xlfn.XLOOKUP(A16,Catalogo!B19:B82,Catalogo!F19:F82)*N16,"")</f>
        <v>240811.48</v>
      </c>
      <c r="P16" s="553">
        <f t="shared" si="1"/>
        <v>0.8666666666666667</v>
      </c>
      <c r="Q16" s="554">
        <f t="shared" si="2"/>
        <v>0.1333333333333333</v>
      </c>
      <c r="R16" s="555"/>
    </row>
    <row r="17" spans="1:18" x14ac:dyDescent="0.25">
      <c r="A17" s="547">
        <v>3.1</v>
      </c>
      <c r="B17" s="534" t="s">
        <v>298</v>
      </c>
      <c r="C17" s="542">
        <f>+_xlfn.XLOOKUP(A17,Catalogo!$B:$B,Catalogo!D:D)</f>
        <v>105</v>
      </c>
      <c r="D17" s="560">
        <f>_xlfn.XLOOKUP(A17,Catalogo!B20:B83,Catalogo!F20:F83)</f>
        <v>1970.65</v>
      </c>
      <c r="E17" s="542" t="s">
        <v>118</v>
      </c>
      <c r="F17" s="118">
        <f>+SUMIFS(Tabla1[Avance_Med],Tabla1[nombre_actividad],'EV (4)'!$B17,Tabla1[Sistema],'EV (4)'!F$1)</f>
        <v>0</v>
      </c>
      <c r="G17" s="33">
        <f>+SUMIFS(Tabla1[Avance_Med],Tabla1[nombre_actividad],'EV (4)'!$B17,Tabla1[Sistema],'EV (4)'!G$1)</f>
        <v>0</v>
      </c>
      <c r="H17" s="33">
        <f>+SUMIFS(Tabla1[Avance_Med],Tabla1[nombre_actividad],'EV (4)'!$B17,Tabla1[Sistema],'EV (4)'!H$1)</f>
        <v>0</v>
      </c>
      <c r="I17" s="33">
        <f>+SUMIFS(Tabla1[Avance_Med],Tabla1[nombre_actividad],'EV (4)'!$B17,Tabla1[Sistema],'EV (4)'!I$1)</f>
        <v>0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8">
        <f>+SUMIFS(Tabla1[Avance_Med],Tabla1[nombre_actividad],'EV (4)'!$B17,Tabla1[Sistema],'EV (4)'!L$1)</f>
        <v>0</v>
      </c>
      <c r="M17" s="528">
        <f>+SUMIFS(Tabla1[Avance_Med],Tabla1[nombre_actividad],'EV (4)'!$B17,Tabla1[Sistema],'EV (4)'!M$1)</f>
        <v>0</v>
      </c>
      <c r="N17" s="538" t="str">
        <f t="shared" si="0"/>
        <v/>
      </c>
      <c r="O17" s="536" t="str">
        <f>IF(N17&lt;&gt;"",_xlfn.XLOOKUP(A17,Catalogo!B20:B83,Catalogo!F20:F83)*N17,"")</f>
        <v/>
      </c>
      <c r="P17" s="553" t="str">
        <f t="shared" si="1"/>
        <v/>
      </c>
      <c r="Q17" s="554" t="str">
        <f t="shared" si="2"/>
        <v/>
      </c>
      <c r="R17" s="555"/>
    </row>
    <row r="18" spans="1:18" x14ac:dyDescent="0.25">
      <c r="A18" s="547">
        <v>3.2</v>
      </c>
      <c r="B18" s="534" t="s">
        <v>415</v>
      </c>
      <c r="C18" s="542">
        <f>+_xlfn.XLOOKUP(A18,Catalogo!$B:$B,Catalogo!D:D)</f>
        <v>55</v>
      </c>
      <c r="D18" s="560">
        <f>_xlfn.XLOOKUP(A18,Catalogo!B21:B84,Catalogo!F21:F84)</f>
        <v>7585.99</v>
      </c>
      <c r="E18" s="542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8">
        <f t="shared" si="0"/>
        <v>14</v>
      </c>
      <c r="O18" s="536">
        <f>IF(N18&lt;&gt;"",_xlfn.XLOOKUP(A18,Catalogo!B21:B84,Catalogo!F21:F84)*N18,"")</f>
        <v>106203.86</v>
      </c>
      <c r="P18" s="553">
        <f t="shared" si="1"/>
        <v>0.25454545454545452</v>
      </c>
      <c r="Q18" s="554">
        <f t="shared" si="2"/>
        <v>0.74545454545454548</v>
      </c>
      <c r="R18" s="555"/>
    </row>
    <row r="19" spans="1:18" x14ac:dyDescent="0.25">
      <c r="A19" s="547" t="s">
        <v>122</v>
      </c>
      <c r="B19" s="534" t="s">
        <v>416</v>
      </c>
      <c r="C19" s="542">
        <f>+_xlfn.XLOOKUP(A19,Catalogo!$B:$B,Catalogo!D:D)</f>
        <v>55</v>
      </c>
      <c r="D19" s="560">
        <f>_xlfn.XLOOKUP(A19,Catalogo!B22:B85,Catalogo!F22:F85)</f>
        <v>1765.59</v>
      </c>
      <c r="E19" s="542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8">
        <f t="shared" si="0"/>
        <v>15</v>
      </c>
      <c r="O19" s="536">
        <f>IF(N19&lt;&gt;"",_xlfn.XLOOKUP(A19,Catalogo!B22:B85,Catalogo!F22:F85)*N19,"")</f>
        <v>26483.85</v>
      </c>
      <c r="P19" s="553">
        <f t="shared" si="1"/>
        <v>0.27272727272727271</v>
      </c>
      <c r="Q19" s="554">
        <f t="shared" si="2"/>
        <v>0.72727272727272729</v>
      </c>
      <c r="R19" s="555"/>
    </row>
    <row r="20" spans="1:18" x14ac:dyDescent="0.25">
      <c r="A20" s="547" t="s">
        <v>124</v>
      </c>
      <c r="B20" s="534" t="s">
        <v>423</v>
      </c>
      <c r="C20" s="543">
        <f>+_xlfn.XLOOKUP(A20,Catalogo!$B:$B,Catalogo!D:D)</f>
        <v>100</v>
      </c>
      <c r="D20" s="561">
        <f>_xlfn.XLOOKUP(A20,Catalogo!B23:B86,Catalogo!F23:F86)</f>
        <v>1934.59</v>
      </c>
      <c r="E20" s="543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8">
        <f t="shared" si="0"/>
        <v>15</v>
      </c>
      <c r="O20" s="536">
        <f>IF(N20&lt;&gt;"",_xlfn.XLOOKUP(A20,Catalogo!B23:B86,Catalogo!F23:F86)*N20,"")</f>
        <v>29018.85</v>
      </c>
      <c r="P20" s="553">
        <f t="shared" si="1"/>
        <v>0.15</v>
      </c>
      <c r="Q20" s="554">
        <f t="shared" si="2"/>
        <v>0.85</v>
      </c>
      <c r="R20" s="555"/>
    </row>
    <row r="21" spans="1:18" x14ac:dyDescent="0.25">
      <c r="A21" s="547" t="s">
        <v>127</v>
      </c>
      <c r="B21" s="534" t="s">
        <v>417</v>
      </c>
      <c r="C21" s="543">
        <f>+_xlfn.XLOOKUP(A21,Catalogo!$B:$B,Catalogo!D:D)</f>
        <v>100</v>
      </c>
      <c r="D21" s="561">
        <f>_xlfn.XLOOKUP(A21,Catalogo!B24:B87,Catalogo!F24:F87)</f>
        <v>1960.59</v>
      </c>
      <c r="E21" s="543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8">
        <f t="shared" si="0"/>
        <v>15</v>
      </c>
      <c r="O21" s="536">
        <f>IF(N21&lt;&gt;"",_xlfn.XLOOKUP(A21,Catalogo!B24:B87,Catalogo!F24:F87)*N21,"")</f>
        <v>29408.85</v>
      </c>
      <c r="P21" s="553">
        <f t="shared" si="1"/>
        <v>0.15</v>
      </c>
      <c r="Q21" s="554">
        <f t="shared" si="2"/>
        <v>0.85</v>
      </c>
      <c r="R21" s="555"/>
    </row>
    <row r="22" spans="1:18" x14ac:dyDescent="0.25">
      <c r="A22" s="547" t="s">
        <v>129</v>
      </c>
      <c r="B22" s="534" t="s">
        <v>424</v>
      </c>
      <c r="C22" s="543">
        <f>+_xlfn.XLOOKUP(A22,Catalogo!$B:$B,Catalogo!D:D)</f>
        <v>170</v>
      </c>
      <c r="D22" s="561">
        <f>_xlfn.XLOOKUP(A22,Catalogo!B25:B88,Catalogo!F25:F88)</f>
        <v>2220.59</v>
      </c>
      <c r="E22" s="543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8">
        <f t="shared" si="0"/>
        <v>2</v>
      </c>
      <c r="O22" s="536">
        <f>IF(N22&lt;&gt;"",_xlfn.XLOOKUP(A22,Catalogo!B25:B88,Catalogo!F25:F88)*N22,"")</f>
        <v>4441.18</v>
      </c>
      <c r="P22" s="553">
        <f t="shared" si="1"/>
        <v>1.1764705882352941E-2</v>
      </c>
      <c r="Q22" s="554">
        <f t="shared" si="2"/>
        <v>0.9882352941176471</v>
      </c>
      <c r="R22" s="555"/>
    </row>
    <row r="23" spans="1:18" x14ac:dyDescent="0.25">
      <c r="A23" s="547" t="s">
        <v>131</v>
      </c>
      <c r="B23" s="534" t="s">
        <v>422</v>
      </c>
      <c r="C23" s="543">
        <f>+_xlfn.XLOOKUP(A23,Catalogo!$B:$B,Catalogo!D:D)</f>
        <v>170</v>
      </c>
      <c r="D23" s="561">
        <f>_xlfn.XLOOKUP(A23,Catalogo!B26:B89,Catalogo!F26:F89)</f>
        <v>2220.59</v>
      </c>
      <c r="E23" s="543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8">
        <f t="shared" si="0"/>
        <v>15</v>
      </c>
      <c r="O23" s="536">
        <f>IF(N23&lt;&gt;"",_xlfn.XLOOKUP(A23,Catalogo!B26:B89,Catalogo!F26:F89)*N23,"")</f>
        <v>33308.850000000006</v>
      </c>
      <c r="P23" s="553">
        <f t="shared" si="1"/>
        <v>8.8235294117647065E-2</v>
      </c>
      <c r="Q23" s="554">
        <f t="shared" si="2"/>
        <v>0.91176470588235292</v>
      </c>
      <c r="R23" s="555"/>
    </row>
    <row r="24" spans="1:18" x14ac:dyDescent="0.25">
      <c r="A24" s="547" t="s">
        <v>133</v>
      </c>
      <c r="B24" s="534" t="s">
        <v>418</v>
      </c>
      <c r="C24" s="543">
        <f>+_xlfn.XLOOKUP(A24,Catalogo!$B:$B,Catalogo!D:D)</f>
        <v>100</v>
      </c>
      <c r="D24" s="561">
        <f>_xlfn.XLOOKUP(A24,Catalogo!B27:B90,Catalogo!F27:F90)</f>
        <v>2090.59</v>
      </c>
      <c r="E24" s="543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8">
        <f t="shared" si="0"/>
        <v>2</v>
      </c>
      <c r="O24" s="536">
        <f>IF(N24&lt;&gt;"",_xlfn.XLOOKUP(A24,Catalogo!B27:B90,Catalogo!F27:F90)*N24,"")</f>
        <v>4181.18</v>
      </c>
      <c r="P24" s="553">
        <f t="shared" si="1"/>
        <v>0.02</v>
      </c>
      <c r="Q24" s="554">
        <f t="shared" si="2"/>
        <v>0.98</v>
      </c>
      <c r="R24" s="555"/>
    </row>
    <row r="25" spans="1:18" x14ac:dyDescent="0.25">
      <c r="A25" s="547" t="s">
        <v>135</v>
      </c>
      <c r="B25" s="534" t="s">
        <v>425</v>
      </c>
      <c r="C25" s="543">
        <f>+_xlfn.XLOOKUP(A25,Catalogo!$B:$B,Catalogo!D:D)</f>
        <v>100</v>
      </c>
      <c r="D25" s="561">
        <f>_xlfn.XLOOKUP(A25,Catalogo!B28:B91,Catalogo!F28:F91)</f>
        <v>2090.59</v>
      </c>
      <c r="E25" s="543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8">
        <f t="shared" si="0"/>
        <v>3</v>
      </c>
      <c r="O25" s="536">
        <f>IF(N25&lt;&gt;"",_xlfn.XLOOKUP(A25,Catalogo!B28:B91,Catalogo!F28:F91)*N25,"")</f>
        <v>6271.77</v>
      </c>
      <c r="P25" s="553">
        <f t="shared" si="1"/>
        <v>0.03</v>
      </c>
      <c r="Q25" s="554">
        <f t="shared" si="2"/>
        <v>0.97</v>
      </c>
      <c r="R25" s="555"/>
    </row>
    <row r="26" spans="1:18" x14ac:dyDescent="0.25">
      <c r="A26" s="547" t="s">
        <v>137</v>
      </c>
      <c r="B26" s="534" t="s">
        <v>420</v>
      </c>
      <c r="C26" s="543">
        <f>+_xlfn.XLOOKUP(A26,Catalogo!$B:$B,Catalogo!D:D)</f>
        <v>55</v>
      </c>
      <c r="D26" s="561">
        <f>_xlfn.XLOOKUP(A26,Catalogo!B29:B92,Catalogo!F29:F92)</f>
        <v>656</v>
      </c>
      <c r="E26" s="543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8">
        <f t="shared" si="0"/>
        <v>14</v>
      </c>
      <c r="O26" s="536">
        <f>IF(N26&lt;&gt;"",_xlfn.XLOOKUP(A26,Catalogo!B29:B92,Catalogo!F29:F92)*N26,"")</f>
        <v>9184</v>
      </c>
      <c r="P26" s="553">
        <f t="shared" si="1"/>
        <v>0.25454545454545452</v>
      </c>
      <c r="Q26" s="554">
        <f t="shared" si="2"/>
        <v>0.74545454545454548</v>
      </c>
      <c r="R26" s="555"/>
    </row>
    <row r="27" spans="1:18" x14ac:dyDescent="0.25">
      <c r="A27" s="547" t="s">
        <v>139</v>
      </c>
      <c r="B27" s="534" t="s">
        <v>419</v>
      </c>
      <c r="C27" s="543">
        <f>+_xlfn.XLOOKUP(A27,Catalogo!$B:$B,Catalogo!D:D)</f>
        <v>55</v>
      </c>
      <c r="D27" s="561">
        <f>_xlfn.XLOOKUP(A27,Catalogo!B30:B93,Catalogo!F30:F93)</f>
        <v>4676</v>
      </c>
      <c r="E27" s="543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8">
        <f t="shared" si="0"/>
        <v>14</v>
      </c>
      <c r="O27" s="536">
        <f>IF(N27&lt;&gt;"",_xlfn.XLOOKUP(A27,Catalogo!B30:B93,Catalogo!F30:F93)*N27,"")</f>
        <v>65464</v>
      </c>
      <c r="P27" s="553">
        <f t="shared" si="1"/>
        <v>0.25454545454545452</v>
      </c>
      <c r="Q27" s="554">
        <f t="shared" si="2"/>
        <v>0.74545454545454548</v>
      </c>
      <c r="R27" s="555"/>
    </row>
    <row r="28" spans="1:18" x14ac:dyDescent="0.25">
      <c r="A28" s="547">
        <v>3.4</v>
      </c>
      <c r="B28" s="534" t="s">
        <v>421</v>
      </c>
      <c r="C28" s="543">
        <f>+_xlfn.XLOOKUP(A28,Catalogo!$B:$B,Catalogo!D:D)</f>
        <v>105</v>
      </c>
      <c r="D28" s="561">
        <f>_xlfn.XLOOKUP(A28,Catalogo!B31:B94,Catalogo!F31:F94)</f>
        <v>4124.2700000000004</v>
      </c>
      <c r="E28" s="543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8" t="str">
        <f t="shared" si="0"/>
        <v/>
      </c>
      <c r="O28" s="536" t="str">
        <f>IF(N28&lt;&gt;"",_xlfn.XLOOKUP(A28,Catalogo!B31:B94,Catalogo!F31:F94)*N28,"")</f>
        <v/>
      </c>
      <c r="P28" s="553" t="str">
        <f t="shared" si="1"/>
        <v/>
      </c>
      <c r="Q28" s="554" t="str">
        <f t="shared" si="2"/>
        <v/>
      </c>
      <c r="R28" s="555"/>
    </row>
    <row r="29" spans="1:18" x14ac:dyDescent="0.25">
      <c r="A29" s="548">
        <v>4.0999999999999996</v>
      </c>
      <c r="B29" s="535" t="s">
        <v>426</v>
      </c>
      <c r="C29" s="543">
        <f>+_xlfn.XLOOKUP(A29,Catalogo!$B:$B,Catalogo!D:D)</f>
        <v>105</v>
      </c>
      <c r="D29" s="561">
        <f>_xlfn.XLOOKUP(A29,Catalogo!B32:B95,Catalogo!F32:F95)</f>
        <v>5020.99</v>
      </c>
      <c r="E29" s="543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8" t="str">
        <f t="shared" si="0"/>
        <v/>
      </c>
      <c r="O29" s="536" t="str">
        <f>IF(N29&lt;&gt;"",_xlfn.XLOOKUP(A29,Catalogo!B32:B95,Catalogo!F32:F95)*N29,"")</f>
        <v/>
      </c>
      <c r="P29" s="553" t="str">
        <f t="shared" si="1"/>
        <v/>
      </c>
      <c r="Q29" s="554" t="str">
        <f t="shared" si="2"/>
        <v/>
      </c>
      <c r="R29" s="555"/>
    </row>
    <row r="30" spans="1:18" x14ac:dyDescent="0.25">
      <c r="A30" s="548">
        <v>4.2</v>
      </c>
      <c r="B30" s="535" t="s">
        <v>427</v>
      </c>
      <c r="C30" s="543">
        <f>+_xlfn.XLOOKUP(A30,Catalogo!$B:$B,Catalogo!D:D)</f>
        <v>105</v>
      </c>
      <c r="D30" s="561">
        <f>_xlfn.XLOOKUP(A30,Catalogo!B33:B96,Catalogo!F33:F96)</f>
        <v>3652.99</v>
      </c>
      <c r="E30" s="543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8" t="str">
        <f t="shared" si="0"/>
        <v/>
      </c>
      <c r="O30" s="536" t="str">
        <f>IF(N30&lt;&gt;"",_xlfn.XLOOKUP(A30,Catalogo!B33:B96,Catalogo!F33:F96)*N30,"")</f>
        <v/>
      </c>
      <c r="P30" s="553" t="str">
        <f t="shared" si="1"/>
        <v/>
      </c>
      <c r="Q30" s="554" t="str">
        <f t="shared" si="2"/>
        <v/>
      </c>
      <c r="R30" s="555"/>
    </row>
    <row r="31" spans="1:18" x14ac:dyDescent="0.25">
      <c r="A31" s="548">
        <v>4.3</v>
      </c>
      <c r="B31" s="535" t="s">
        <v>428</v>
      </c>
      <c r="C31" s="543">
        <f>+_xlfn.XLOOKUP(A31,Catalogo!$B:$B,Catalogo!D:D)</f>
        <v>105</v>
      </c>
      <c r="D31" s="561">
        <f>_xlfn.XLOOKUP(A31,Catalogo!B34:B97,Catalogo!F34:F97)</f>
        <v>3201.98</v>
      </c>
      <c r="E31" s="543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8" t="str">
        <f t="shared" si="0"/>
        <v/>
      </c>
      <c r="O31" s="536" t="str">
        <f>IF(N31&lt;&gt;"",_xlfn.XLOOKUP(A31,Catalogo!B34:B97,Catalogo!F34:F97)*N31,"")</f>
        <v/>
      </c>
      <c r="P31" s="553" t="str">
        <f t="shared" si="1"/>
        <v/>
      </c>
      <c r="Q31" s="554" t="str">
        <f t="shared" si="2"/>
        <v/>
      </c>
      <c r="R31" s="555"/>
    </row>
    <row r="32" spans="1:18" x14ac:dyDescent="0.25">
      <c r="A32" s="548">
        <v>4.4000000000000004</v>
      </c>
      <c r="B32" s="535" t="s">
        <v>429</v>
      </c>
      <c r="C32" s="543">
        <f>+_xlfn.XLOOKUP(A32,Catalogo!$B:$B,Catalogo!D:D)</f>
        <v>105</v>
      </c>
      <c r="D32" s="561">
        <f>_xlfn.XLOOKUP(A32,Catalogo!B35:B98,Catalogo!F35:F98)</f>
        <v>6840</v>
      </c>
      <c r="E32" s="543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8" t="str">
        <f t="shared" si="0"/>
        <v/>
      </c>
      <c r="O32" s="536" t="str">
        <f>IF(N32&lt;&gt;"",_xlfn.XLOOKUP(A32,Catalogo!B35:B98,Catalogo!F35:F98)*N32,"")</f>
        <v/>
      </c>
      <c r="P32" s="553" t="str">
        <f t="shared" si="1"/>
        <v/>
      </c>
      <c r="Q32" s="554" t="str">
        <f t="shared" si="2"/>
        <v/>
      </c>
      <c r="R32" s="555"/>
    </row>
    <row r="33" spans="1:18" x14ac:dyDescent="0.25">
      <c r="A33" s="548">
        <v>4.5</v>
      </c>
      <c r="B33" s="535" t="s">
        <v>430</v>
      </c>
      <c r="C33" s="543">
        <f>+_xlfn.XLOOKUP(A33,Catalogo!$B:$B,Catalogo!D:D)</f>
        <v>105</v>
      </c>
      <c r="D33" s="561">
        <f>_xlfn.XLOOKUP(A33,Catalogo!B36:B99,Catalogo!F36:F99)</f>
        <v>2052</v>
      </c>
      <c r="E33" s="543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8" t="str">
        <f t="shared" si="0"/>
        <v/>
      </c>
      <c r="O33" s="536" t="str">
        <f>IF(N33&lt;&gt;"",_xlfn.XLOOKUP(A33,Catalogo!B36:B99,Catalogo!F36:F99)*N33,"")</f>
        <v/>
      </c>
      <c r="P33" s="553" t="str">
        <f t="shared" si="1"/>
        <v/>
      </c>
      <c r="Q33" s="554" t="str">
        <f t="shared" si="2"/>
        <v/>
      </c>
      <c r="R33" s="555"/>
    </row>
    <row r="34" spans="1:18" x14ac:dyDescent="0.25">
      <c r="A34" s="548">
        <v>4.5999999999999996</v>
      </c>
      <c r="B34" s="535" t="s">
        <v>431</v>
      </c>
      <c r="C34" s="543">
        <f>+_xlfn.XLOOKUP(A34,Catalogo!$B:$B,Catalogo!D:D)</f>
        <v>105</v>
      </c>
      <c r="D34" s="561">
        <f>_xlfn.XLOOKUP(A34,Catalogo!B37:B100,Catalogo!F37:F100)</f>
        <v>3420</v>
      </c>
      <c r="E34" s="543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8" t="str">
        <f t="shared" si="0"/>
        <v/>
      </c>
      <c r="O34" s="536" t="str">
        <f>IF(N34&lt;&gt;"",_xlfn.XLOOKUP(A34,Catalogo!B37:B100,Catalogo!F37:F100)*N34,"")</f>
        <v/>
      </c>
      <c r="P34" s="553" t="str">
        <f t="shared" si="1"/>
        <v/>
      </c>
      <c r="Q34" s="554" t="str">
        <f t="shared" si="2"/>
        <v/>
      </c>
      <c r="R34" s="555"/>
    </row>
    <row r="35" spans="1:18" x14ac:dyDescent="0.25">
      <c r="A35" s="548">
        <v>4.7</v>
      </c>
      <c r="B35" s="535" t="s">
        <v>432</v>
      </c>
      <c r="C35" s="543">
        <f>+_xlfn.XLOOKUP(A35,Catalogo!$B:$B,Catalogo!D:D)</f>
        <v>105</v>
      </c>
      <c r="D35" s="561">
        <f>_xlfn.XLOOKUP(A35,Catalogo!B38:B101,Catalogo!F38:F101)</f>
        <v>4212.3599999999997</v>
      </c>
      <c r="E35" s="543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8" t="str">
        <f t="shared" si="0"/>
        <v/>
      </c>
      <c r="O35" s="536" t="str">
        <f>IF(N35&lt;&gt;"",_xlfn.XLOOKUP(A35,Catalogo!B38:B101,Catalogo!F38:F101)*N35,"")</f>
        <v/>
      </c>
      <c r="P35" s="553" t="str">
        <f t="shared" si="1"/>
        <v/>
      </c>
      <c r="Q35" s="554" t="str">
        <f t="shared" si="2"/>
        <v/>
      </c>
      <c r="R35" s="555"/>
    </row>
    <row r="36" spans="1:18" x14ac:dyDescent="0.25">
      <c r="A36" s="548">
        <v>4.8</v>
      </c>
      <c r="B36" s="535" t="s">
        <v>433</v>
      </c>
      <c r="C36" s="543">
        <f>+_xlfn.XLOOKUP(A36,Catalogo!$B:$B,Catalogo!D:D)</f>
        <v>105</v>
      </c>
      <c r="D36" s="561">
        <f>_xlfn.XLOOKUP(A36,Catalogo!B39:B102,Catalogo!F39:F102)</f>
        <v>1368</v>
      </c>
      <c r="E36" s="543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8" t="str">
        <f t="shared" si="0"/>
        <v/>
      </c>
      <c r="O36" s="536" t="str">
        <f>IF(N36&lt;&gt;"",_xlfn.XLOOKUP(A36,Catalogo!B39:B102,Catalogo!F39:F102)*N36,"")</f>
        <v/>
      </c>
      <c r="P36" s="553" t="str">
        <f t="shared" si="1"/>
        <v/>
      </c>
      <c r="Q36" s="554" t="str">
        <f t="shared" si="2"/>
        <v/>
      </c>
      <c r="R36" s="555"/>
    </row>
    <row r="37" spans="1:18" x14ac:dyDescent="0.25">
      <c r="A37" s="548">
        <v>4.9000000000000004</v>
      </c>
      <c r="B37" s="535" t="s">
        <v>434</v>
      </c>
      <c r="C37" s="542">
        <f>+_xlfn.XLOOKUP(A37,Catalogo!$B:$B,Catalogo!D:D)</f>
        <v>100</v>
      </c>
      <c r="D37" s="560">
        <f>_xlfn.XLOOKUP(A37,Catalogo!B40:B103,Catalogo!F40:F103)</f>
        <v>7244.35</v>
      </c>
      <c r="E37" s="542" t="s">
        <v>620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8">
        <f t="shared" si="0"/>
        <v>24</v>
      </c>
      <c r="O37" s="536">
        <f>IF(N37&lt;&gt;"",_xlfn.XLOOKUP(A37,Catalogo!B40:B103,Catalogo!F40:F103)*N37,"")</f>
        <v>173864.40000000002</v>
      </c>
      <c r="P37" s="553">
        <f t="shared" si="1"/>
        <v>0.24</v>
      </c>
      <c r="Q37" s="554">
        <f t="shared" si="2"/>
        <v>0.76</v>
      </c>
      <c r="R37" s="555"/>
    </row>
    <row r="38" spans="1:18" x14ac:dyDescent="0.25">
      <c r="A38" s="549" t="s">
        <v>497</v>
      </c>
      <c r="B38" s="535" t="s">
        <v>435</v>
      </c>
      <c r="C38" s="542">
        <f>+_xlfn.XLOOKUP(A38,Catalogo!$B:$B,Catalogo!D:D)</f>
        <v>500</v>
      </c>
      <c r="D38" s="560">
        <f>_xlfn.XLOOKUP(A38,Catalogo!B41:B104,Catalogo!F41:F104)</f>
        <v>6977.93</v>
      </c>
      <c r="E38" s="542" t="s">
        <v>620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8">
        <f t="shared" si="0"/>
        <v>24</v>
      </c>
      <c r="O38" s="536">
        <f>IF(N38&lt;&gt;"",_xlfn.XLOOKUP(A38,Catalogo!B41:B104,Catalogo!F41:F104)*N38,"")</f>
        <v>167470.32</v>
      </c>
      <c r="P38" s="553">
        <f t="shared" si="1"/>
        <v>4.8000000000000001E-2</v>
      </c>
      <c r="Q38" s="554">
        <f t="shared" si="2"/>
        <v>0.95199999999999996</v>
      </c>
      <c r="R38" s="555"/>
    </row>
    <row r="39" spans="1:18" x14ac:dyDescent="0.25">
      <c r="A39" s="550">
        <v>4.1100000000000003</v>
      </c>
      <c r="B39" s="535" t="s">
        <v>436</v>
      </c>
      <c r="C39" s="542">
        <f>+_xlfn.XLOOKUP(A39,Catalogo!$B:$B,Catalogo!D:D)</f>
        <v>800</v>
      </c>
      <c r="D39" s="560">
        <f>_xlfn.XLOOKUP(A39,Catalogo!B42:B105,Catalogo!F42:F105)</f>
        <v>8275.99</v>
      </c>
      <c r="E39" s="542" t="s">
        <v>620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8" t="str">
        <f t="shared" si="0"/>
        <v/>
      </c>
      <c r="O39" s="536" t="str">
        <f>IF(N39&lt;&gt;"",_xlfn.XLOOKUP(A39,Catalogo!B42:B105,Catalogo!F42:F105)*N39,"")</f>
        <v/>
      </c>
      <c r="P39" s="553" t="str">
        <f t="shared" si="1"/>
        <v/>
      </c>
      <c r="Q39" s="554" t="str">
        <f t="shared" si="2"/>
        <v/>
      </c>
      <c r="R39" s="555"/>
    </row>
    <row r="40" spans="1:18" x14ac:dyDescent="0.25">
      <c r="A40" s="550">
        <v>4.12</v>
      </c>
      <c r="B40" s="535" t="s">
        <v>437</v>
      </c>
      <c r="C40" s="542">
        <f>+_xlfn.XLOOKUP(A40,Catalogo!$B:$B,Catalogo!D:D)</f>
        <v>105</v>
      </c>
      <c r="D40" s="560">
        <f>_xlfn.XLOOKUP(A40,Catalogo!B43:B106,Catalogo!F43:F106)</f>
        <v>4409.2299999999996</v>
      </c>
      <c r="E40" s="542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8" t="str">
        <f t="shared" si="0"/>
        <v/>
      </c>
      <c r="O40" s="536" t="str">
        <f>IF(N40&lt;&gt;"",_xlfn.XLOOKUP(A40,Catalogo!B43:B106,Catalogo!F43:F106)*N40,"")</f>
        <v/>
      </c>
      <c r="P40" s="553" t="str">
        <f t="shared" si="1"/>
        <v/>
      </c>
      <c r="Q40" s="554" t="str">
        <f t="shared" si="2"/>
        <v/>
      </c>
    </row>
    <row r="41" spans="1:18" x14ac:dyDescent="0.25">
      <c r="C41"/>
      <c r="D41"/>
      <c r="E41"/>
      <c r="F41"/>
      <c r="O41" s="537"/>
    </row>
    <row r="42" spans="1:18" ht="18" x14ac:dyDescent="0.25">
      <c r="C42"/>
      <c r="D42"/>
      <c r="E42"/>
      <c r="F42"/>
      <c r="O42" s="540">
        <f>SUM(O3:O41)</f>
        <v>9999718.6472999975</v>
      </c>
      <c r="P42" s="293">
        <f>+'EV (2)'!AN5+'EV (4)'!O42</f>
        <v>-1163203.1927000023</v>
      </c>
      <c r="Q42" s="541">
        <f>-O42/'EV (2)'!AO5</f>
        <v>0.89579760484106352</v>
      </c>
      <c r="R42" s="552">
        <f>1-Q42</f>
        <v>0.10420239515893648</v>
      </c>
    </row>
    <row r="43" spans="1:18" x14ac:dyDescent="0.25">
      <c r="C43"/>
      <c r="D43"/>
      <c r="E43"/>
      <c r="F43"/>
      <c r="O43" s="551" t="str">
        <f ca="1">+IF(O42=EV!AC35,"CHECKED","NO CUADRA")</f>
        <v>NO CUADRA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1" t="s">
        <v>529</v>
      </c>
      <c r="F1" s="299" t="s">
        <v>530</v>
      </c>
      <c r="G1" s="299" t="s">
        <v>531</v>
      </c>
      <c r="H1" s="305" t="s">
        <v>440</v>
      </c>
      <c r="J1" s="411"/>
      <c r="L1" s="299" t="s">
        <v>79</v>
      </c>
      <c r="M1" s="299" t="s">
        <v>80</v>
      </c>
      <c r="N1" s="299" t="s">
        <v>78</v>
      </c>
      <c r="O1" s="461" t="s">
        <v>529</v>
      </c>
      <c r="P1" s="461" t="s">
        <v>530</v>
      </c>
      <c r="Q1" s="299" t="s">
        <v>531</v>
      </c>
      <c r="R1" s="305" t="s">
        <v>440</v>
      </c>
      <c r="U1" s="461" t="s">
        <v>529</v>
      </c>
      <c r="V1" s="461" t="s">
        <v>530</v>
      </c>
      <c r="W1" s="299" t="s">
        <v>531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532</v>
      </c>
      <c r="F2" s="300" t="s">
        <v>532</v>
      </c>
      <c r="G2" s="300" t="s">
        <v>532</v>
      </c>
      <c r="L2" s="300" t="s">
        <v>108</v>
      </c>
      <c r="M2" s="300" t="s">
        <v>108</v>
      </c>
      <c r="N2" s="300" t="s">
        <v>108</v>
      </c>
      <c r="O2" s="300" t="s">
        <v>532</v>
      </c>
      <c r="P2" s="300" t="s">
        <v>532</v>
      </c>
      <c r="Q2" s="300" t="s">
        <v>532</v>
      </c>
      <c r="U2" s="300" t="s">
        <v>532</v>
      </c>
      <c r="V2" s="300" t="s">
        <v>532</v>
      </c>
      <c r="W2" s="300" t="s">
        <v>532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3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3"/>
      <c r="Y6" s="463"/>
      <c r="Z6" s="463"/>
      <c r="AA6" s="463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3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3"/>
      <c r="Y7" s="463"/>
      <c r="Z7" s="463"/>
      <c r="AA7" s="463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3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3"/>
      <c r="Y8" s="463"/>
      <c r="Z8" s="463"/>
      <c r="AA8" s="463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3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3"/>
      <c r="Y9" s="463"/>
      <c r="Z9" s="463"/>
      <c r="AA9" s="463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3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3"/>
      <c r="Y10" s="463"/>
      <c r="Z10" s="463"/>
      <c r="AA10" s="463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48831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83448.600000000006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5.9550000000000001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27.591000000000001</v>
      </c>
      <c r="T11" s="463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3"/>
      <c r="Y11" s="463"/>
      <c r="Z11" s="463"/>
      <c r="AA11" s="463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163229.20000000001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256805.80000000002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19.906000000000002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34.786000000000001</v>
      </c>
      <c r="T12" s="463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3"/>
      <c r="Y12" s="463"/>
      <c r="Z12" s="463"/>
      <c r="AA12" s="463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3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3"/>
      <c r="Y13" s="463"/>
      <c r="Z13" s="463"/>
      <c r="AA13" s="463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3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3"/>
      <c r="Y14" s="463"/>
      <c r="Z14" s="463"/>
      <c r="AA14" s="463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1"/>
      <c r="S15" s="310">
        <f t="shared" si="5"/>
        <v>34.597999999999999</v>
      </c>
      <c r="T15" s="463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3"/>
      <c r="Y15" s="463"/>
      <c r="Z15" s="463"/>
      <c r="AA15" s="463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70645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186373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199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1"/>
      <c r="S16" s="310">
        <f t="shared" si="5"/>
        <v>30.79</v>
      </c>
      <c r="T16" s="463">
        <f t="shared" si="6"/>
        <v>199</v>
      </c>
      <c r="U16" s="316">
        <f>+SUMIFS(Tabla1[Observaciones],Tabla1[Fecha],"&gt;="&amp;$A16,Tabla1[Fecha],"&lt;="&amp;EOMONTH($A16,0),Tabla1[Codigo_actividad],U$4,Tabla1[Actividades],"&lt;&gt;"&amp;"METALOGRAFIAS",Tabla1[Length],U$1)</f>
        <v>199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3"/>
      <c r="Y16" s="463"/>
      <c r="Z16" s="463"/>
      <c r="AA16" s="463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22500</v>
      </c>
      <c r="G17" s="316">
        <f t="shared" si="3"/>
        <v>59000</v>
      </c>
      <c r="H17" s="315"/>
      <c r="I17" s="310">
        <f t="shared" si="4"/>
        <v>211436.59999999998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15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1"/>
      <c r="S17" s="310">
        <f>SUM(L17:N17)</f>
        <v>17.866499999999995</v>
      </c>
      <c r="T17" s="463">
        <f t="shared" si="6"/>
        <v>215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15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3"/>
      <c r="Y17" s="463"/>
      <c r="Z17" s="463"/>
      <c r="AA17" s="463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3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3"/>
      <c r="Y18" s="463"/>
      <c r="Z18" s="463"/>
      <c r="AA18" s="463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3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3"/>
      <c r="Y19" s="463"/>
      <c r="Z19" s="463"/>
      <c r="AA19" s="463"/>
    </row>
    <row r="20" spans="1:65" ht="30" x14ac:dyDescent="0.25">
      <c r="A20" s="402" t="s">
        <v>481</v>
      </c>
      <c r="I20" s="311">
        <f>SUM(I5:I19)</f>
        <v>1638876.6000000006</v>
      </c>
      <c r="K20" s="61" t="s">
        <v>453</v>
      </c>
      <c r="L20" s="403">
        <f>SUM(L6:L19)</f>
        <v>180.42550000000003</v>
      </c>
      <c r="M20" s="403">
        <f>SUM(M6:M19)</f>
        <v>150.32450000000003</v>
      </c>
      <c r="N20" s="403">
        <f>SUM(N6:N19)</f>
        <v>181.88550000000001</v>
      </c>
      <c r="O20" s="474">
        <f>SUM(O6:O19)</f>
        <v>356</v>
      </c>
      <c r="P20" s="462">
        <f t="shared" ref="P20:Q20" si="7">SUM(P6:P19)</f>
        <v>15</v>
      </c>
      <c r="Q20" s="462">
        <f t="shared" si="7"/>
        <v>200</v>
      </c>
      <c r="S20" s="311">
        <f>SUM(S6:S19)</f>
        <v>512.63550000000009</v>
      </c>
      <c r="T20" s="464">
        <f>SUM(T6:T19)</f>
        <v>571</v>
      </c>
      <c r="U20" s="474">
        <f>SUM(U6:U19)</f>
        <v>356</v>
      </c>
      <c r="V20" s="462">
        <f t="shared" ref="V20:W20" si="8">SUM(V6:V19)</f>
        <v>15</v>
      </c>
      <c r="W20" s="462">
        <f t="shared" si="8"/>
        <v>200</v>
      </c>
      <c r="X20" s="464"/>
      <c r="Y20" s="464"/>
      <c r="Z20" s="464"/>
      <c r="AA20" s="464"/>
    </row>
    <row r="21" spans="1:65" x14ac:dyDescent="0.25">
      <c r="A21"/>
      <c r="B21" s="312">
        <f t="shared" ref="B21:G21" si="9">SUM(B6:B19)</f>
        <v>1407318.9</v>
      </c>
      <c r="C21" s="312">
        <f t="shared" si="9"/>
        <v>1232660.8999999999</v>
      </c>
      <c r="D21" s="312">
        <f t="shared" si="9"/>
        <v>291016.8000000001</v>
      </c>
      <c r="E21" s="312">
        <f t="shared" si="9"/>
        <v>126380</v>
      </c>
      <c r="F21" s="312">
        <f t="shared" si="9"/>
        <v>22500</v>
      </c>
      <c r="G21" s="312">
        <f t="shared" si="9"/>
        <v>59000</v>
      </c>
      <c r="H21" s="229"/>
      <c r="I21" s="310">
        <f>+IF(SUM(I6:I19)=SUM(B21:G21),SUM(I6:I19),"Diferencia en los montos")</f>
        <v>3138876.6</v>
      </c>
      <c r="K21"/>
      <c r="R21" s="229"/>
      <c r="S21" s="310">
        <f>+IF(SUM(S6:S19)=SUM(L20:N20),SUM(S6:S19))</f>
        <v>512.63550000000009</v>
      </c>
    </row>
    <row r="22" spans="1:65" x14ac:dyDescent="0.25">
      <c r="A22"/>
      <c r="B22"/>
      <c r="C22"/>
      <c r="L22" s="399"/>
      <c r="M22" s="399"/>
      <c r="N22" s="399"/>
      <c r="O22" s="399"/>
      <c r="P22" s="399"/>
      <c r="Q22" s="399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4"/>
      <c r="M24" s="584"/>
      <c r="N24" s="584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83448.600000000006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256805.80000000002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186373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211436.59999999998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3138876.6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0">
        <v>1500000</v>
      </c>
      <c r="E76" s="410"/>
      <c r="F76" s="410"/>
      <c r="G76" s="410"/>
      <c r="H76"/>
      <c r="I76"/>
      <c r="J76"/>
      <c r="K76"/>
      <c r="L76"/>
    </row>
    <row r="77" spans="1:12" x14ac:dyDescent="0.25">
      <c r="A77"/>
      <c r="B77"/>
      <c r="C77"/>
      <c r="D77" s="410">
        <f>+D76/1.16</f>
        <v>1293103.4482758623</v>
      </c>
      <c r="E77" s="410"/>
      <c r="F77" s="410"/>
      <c r="G77" s="410"/>
      <c r="H77" t="s">
        <v>489</v>
      </c>
      <c r="I77"/>
      <c r="J77"/>
      <c r="K77"/>
      <c r="L77"/>
    </row>
    <row r="78" spans="1:12" x14ac:dyDescent="0.25">
      <c r="A78"/>
      <c r="B78"/>
      <c r="C78"/>
      <c r="D78" s="410">
        <f>+D77*0.16</f>
        <v>206896.55172413797</v>
      </c>
      <c r="E78" s="410"/>
      <c r="F78" s="410"/>
      <c r="G78" s="410"/>
      <c r="H78" t="s">
        <v>488</v>
      </c>
      <c r="I78"/>
      <c r="J78"/>
      <c r="K78"/>
      <c r="L78"/>
    </row>
    <row r="79" spans="1:12" x14ac:dyDescent="0.25">
      <c r="A79"/>
      <c r="B79"/>
      <c r="C79"/>
      <c r="D79" s="410">
        <f>+D77+D78</f>
        <v>1500000.0000000002</v>
      </c>
      <c r="E79" s="410"/>
      <c r="F79" s="410"/>
      <c r="G79" s="410"/>
      <c r="H79" t="s">
        <v>490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1.0205271368749487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6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3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4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6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6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6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6" t="s">
        <v>476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476</v>
      </c>
    </row>
    <row r="44" spans="1:12" x14ac:dyDescent="0.3">
      <c r="A44" s="101" t="s">
        <v>478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478</v>
      </c>
    </row>
    <row r="45" spans="1:12" x14ac:dyDescent="0.3">
      <c r="A45" s="101" t="s">
        <v>353</v>
      </c>
      <c r="B45" s="558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1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2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1"/>
  </cols>
  <sheetData>
    <row r="3" spans="2:6" ht="31.5" customHeight="1" x14ac:dyDescent="0.25">
      <c r="C3" s="496" t="s">
        <v>566</v>
      </c>
      <c r="D3" s="496" t="s">
        <v>567</v>
      </c>
      <c r="E3" s="496" t="s">
        <v>568</v>
      </c>
      <c r="F3" s="496" t="s">
        <v>569</v>
      </c>
    </row>
    <row r="4" spans="2:6" ht="34.5" customHeight="1" x14ac:dyDescent="0.25">
      <c r="B4" s="500">
        <v>46294</v>
      </c>
      <c r="C4" s="497" t="s">
        <v>570</v>
      </c>
      <c r="D4" s="498" t="s">
        <v>571</v>
      </c>
      <c r="E4" s="499" t="s">
        <v>572</v>
      </c>
      <c r="F4" s="559" t="s">
        <v>623</v>
      </c>
    </row>
    <row r="5" spans="2:6" ht="34.5" customHeight="1" x14ac:dyDescent="0.25">
      <c r="B5" s="500">
        <v>46294</v>
      </c>
      <c r="C5" s="497" t="s">
        <v>573</v>
      </c>
      <c r="D5" s="498" t="s">
        <v>574</v>
      </c>
      <c r="E5" s="499" t="s">
        <v>572</v>
      </c>
      <c r="F5" s="559" t="s">
        <v>623</v>
      </c>
    </row>
    <row r="6" spans="2:6" ht="34.5" customHeight="1" x14ac:dyDescent="0.25">
      <c r="B6" s="500">
        <v>46297</v>
      </c>
      <c r="C6" s="497" t="s">
        <v>575</v>
      </c>
      <c r="D6" s="498" t="s">
        <v>576</v>
      </c>
      <c r="E6" s="499" t="s">
        <v>577</v>
      </c>
      <c r="F6" s="559" t="s">
        <v>623</v>
      </c>
    </row>
    <row r="7" spans="2:6" ht="34.5" customHeight="1" x14ac:dyDescent="0.25">
      <c r="B7" s="500">
        <v>46296</v>
      </c>
      <c r="C7" s="497" t="s">
        <v>578</v>
      </c>
      <c r="D7" s="498" t="s">
        <v>579</v>
      </c>
      <c r="E7" s="499" t="s">
        <v>577</v>
      </c>
      <c r="F7" s="559" t="s">
        <v>623</v>
      </c>
    </row>
    <row r="8" spans="2:6" ht="34.5" customHeight="1" x14ac:dyDescent="0.25">
      <c r="B8" s="500">
        <v>46294</v>
      </c>
      <c r="C8" s="497" t="s">
        <v>580</v>
      </c>
      <c r="D8" s="498" t="s">
        <v>581</v>
      </c>
      <c r="E8" s="499" t="s">
        <v>577</v>
      </c>
      <c r="F8" s="559" t="s">
        <v>623</v>
      </c>
    </row>
    <row r="9" spans="2:6" ht="34.5" customHeight="1" x14ac:dyDescent="0.25">
      <c r="B9" s="500">
        <v>46296</v>
      </c>
      <c r="C9" s="497" t="s">
        <v>582</v>
      </c>
      <c r="D9" s="498" t="s">
        <v>583</v>
      </c>
      <c r="E9" s="499" t="s">
        <v>584</v>
      </c>
      <c r="F9" s="559" t="s">
        <v>623</v>
      </c>
    </row>
    <row r="10" spans="2:6" ht="34.5" customHeight="1" x14ac:dyDescent="0.25">
      <c r="B10" s="500">
        <v>46297</v>
      </c>
      <c r="C10" s="497" t="s">
        <v>585</v>
      </c>
      <c r="D10" s="498" t="s">
        <v>586</v>
      </c>
      <c r="E10" s="499" t="s">
        <v>584</v>
      </c>
      <c r="F10" s="559" t="s">
        <v>623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2">
        <v>3.1</v>
      </c>
      <c r="Q2" s="392">
        <v>3.2</v>
      </c>
      <c r="R2" s="392" t="s">
        <v>122</v>
      </c>
      <c r="S2" s="392" t="s">
        <v>124</v>
      </c>
      <c r="T2" s="392" t="s">
        <v>127</v>
      </c>
      <c r="U2" s="392" t="s">
        <v>129</v>
      </c>
      <c r="V2" s="392" t="s">
        <v>131</v>
      </c>
      <c r="W2" s="392" t="s">
        <v>133</v>
      </c>
      <c r="X2" s="392" t="s">
        <v>135</v>
      </c>
      <c r="Y2" s="392" t="s">
        <v>137</v>
      </c>
      <c r="Z2" s="392" t="s">
        <v>139</v>
      </c>
      <c r="AA2" s="392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497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2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2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2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2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2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2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57</v>
      </c>
      <c r="C9" s="233">
        <f>+SUMIFS(Tabla1[Avance_Med],Tabla1[Fecha],"&gt;="&amp;$A9,Tabla1[Fecha],"&lt;="&amp;EOMONTH($A9,0),Tabla1[Codigo_actividad],C$2)</f>
        <v>57</v>
      </c>
      <c r="D9" s="233">
        <f>+SUMIFS(Tabla1[Avance_Med],Tabla1[Fecha],"&gt;="&amp;$A9,Tabla1[Fecha],"&lt;="&amp;EOMONTH($A9,0),Tabla1[Codigo_actividad],D$2)</f>
        <v>57</v>
      </c>
      <c r="E9" s="233">
        <f>+SUMIFS(Tabla1[Avance_Med],Tabla1[Fecha],"&gt;="&amp;$A9,Tabla1[Fecha],"&lt;="&amp;EOMONTH($A9,0),Tabla1[Codigo_actividad],E$2)</f>
        <v>57</v>
      </c>
      <c r="F9" s="233">
        <f>+SUMIFS(Tabla1[Avance_Med],Tabla1[Fecha],"&gt;="&amp;$A9,Tabla1[Fecha],"&lt;="&amp;EOMONTH($A9,0),Tabla1[Codigo_actividad],F$2)</f>
        <v>57</v>
      </c>
      <c r="G9" s="233">
        <f>+SUMIFS(Tabla1[Avance_Med],Tabla1[Fecha],"&gt;="&amp;$A9,Tabla1[Fecha],"&lt;="&amp;EOMONTH($A9,0),Tabla1[Codigo_actividad],G$2)</f>
        <v>57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0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2">
        <f>-[1]Dashboard!D67</f>
        <v>-85730.795280000006</v>
      </c>
      <c r="AP9" s="13">
        <f t="shared" si="0"/>
        <v>954914.95200000005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4</v>
      </c>
      <c r="C10" s="233">
        <f>+SUMIFS(Tabla1[Avance_Med],Tabla1[Fecha],"&gt;="&amp;$A10,Tabla1[Fecha],"&lt;="&amp;EOMONTH($A10,0),Tabla1[Codigo_actividad],C$2)</f>
        <v>4</v>
      </c>
      <c r="D10" s="233">
        <f>+SUMIFS(Tabla1[Avance_Med],Tabla1[Fecha],"&gt;="&amp;$A10,Tabla1[Fecha],"&lt;="&amp;EOMONTH($A10,0),Tabla1[Codigo_actividad],D$2)</f>
        <v>4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2">
        <f>-[1]Dashboard!D68</f>
        <v>-85734.352079999997</v>
      </c>
      <c r="AP10" s="13">
        <f t="shared" si="0"/>
        <v>156637.87576999998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2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2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2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2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32.003475396238976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0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2">
        <f>-[1]Dashboard!D73</f>
        <v>-102830.79528000001</v>
      </c>
      <c r="AP15" s="13">
        <f t="shared" si="0"/>
        <v>942802.09459999995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35.521525552923862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3</v>
      </c>
      <c r="P16" s="233">
        <f>+SUMIFS(Tabla1[Avance_Med],Tabla1[Fecha],"&gt;="&amp;$A16,Tabla1[Fecha],"&lt;="&amp;EOMONTH($A16,0),Tabla1[Codigo_actividad],P$2)</f>
        <v>0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2"/>
      <c r="AP16" s="13">
        <f t="shared" si="0"/>
        <v>746567.09039999999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2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2"/>
      <c r="AP18" s="13">
        <f t="shared" si="0"/>
        <v>0</v>
      </c>
    </row>
    <row r="19" spans="1:44" x14ac:dyDescent="0.25">
      <c r="A19" s="228"/>
      <c r="B19" s="1">
        <f>SUM(B3:B18)</f>
        <v>61</v>
      </c>
      <c r="C19" s="1">
        <f t="shared" ref="C19:O19" si="1">SUM(C3:C18)</f>
        <v>61</v>
      </c>
      <c r="D19" s="1">
        <f t="shared" si="1"/>
        <v>61</v>
      </c>
      <c r="E19" s="1">
        <f t="shared" si="1"/>
        <v>57</v>
      </c>
      <c r="F19" s="1">
        <f t="shared" si="1"/>
        <v>57</v>
      </c>
      <c r="G19" s="1">
        <f t="shared" si="1"/>
        <v>57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89.453770658894229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91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9344417.5373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2">
        <v>3.1</v>
      </c>
      <c r="Q22" s="392">
        <v>3.2</v>
      </c>
      <c r="R22" s="392" t="s">
        <v>122</v>
      </c>
      <c r="S22" s="392" t="s">
        <v>124</v>
      </c>
      <c r="T22" s="392" t="s">
        <v>127</v>
      </c>
      <c r="U22" s="392" t="s">
        <v>129</v>
      </c>
      <c r="V22" s="392" t="s">
        <v>131</v>
      </c>
      <c r="W22" s="392" t="s">
        <v>133</v>
      </c>
      <c r="X22" s="392" t="s">
        <v>135</v>
      </c>
      <c r="Y22" s="392" t="s">
        <v>137</v>
      </c>
      <c r="Z22" s="392" t="s">
        <v>139</v>
      </c>
      <c r="AA22" s="392">
        <v>3.4</v>
      </c>
      <c r="AB22" s="392">
        <v>4.0999999999999996</v>
      </c>
      <c r="AC22" s="392">
        <v>4.2</v>
      </c>
      <c r="AD22" s="392">
        <v>4.3</v>
      </c>
      <c r="AE22" s="392">
        <v>4.4000000000000004</v>
      </c>
      <c r="AF22" s="392">
        <v>4.5</v>
      </c>
      <c r="AG22" s="392">
        <v>4.5999999999999996</v>
      </c>
      <c r="AH22" s="392">
        <v>4.7</v>
      </c>
      <c r="AI22" s="392">
        <v>4.8</v>
      </c>
      <c r="AJ22" s="392">
        <v>4.9000000000000004</v>
      </c>
      <c r="AK22" s="392" t="s">
        <v>497</v>
      </c>
      <c r="AL22" s="392">
        <v>4.1100000000000003</v>
      </c>
      <c r="AM22" s="392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1">
        <f t="shared" si="2"/>
        <v>0</v>
      </c>
      <c r="J23" s="316">
        <f t="shared" si="2"/>
        <v>0</v>
      </c>
      <c r="K23" s="525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49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1">
        <f t="shared" si="4"/>
        <v>0</v>
      </c>
      <c r="J24" s="316">
        <f t="shared" si="4"/>
        <v>0</v>
      </c>
      <c r="K24" s="525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49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1">
        <f t="shared" si="6"/>
        <v>0</v>
      </c>
      <c r="J25" s="316">
        <f t="shared" si="6"/>
        <v>719112.61586999998</v>
      </c>
      <c r="K25" s="525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49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1">
        <f t="shared" si="7"/>
        <v>0</v>
      </c>
      <c r="J26" s="316">
        <f t="shared" si="7"/>
        <v>427598.79271999991</v>
      </c>
      <c r="K26" s="525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49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1">
        <f t="shared" si="9"/>
        <v>0</v>
      </c>
      <c r="J27" s="316">
        <f t="shared" si="9"/>
        <v>207577.36219000004</v>
      </c>
      <c r="K27" s="525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49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1">
        <f t="shared" si="10"/>
        <v>0</v>
      </c>
      <c r="J28" s="316">
        <f t="shared" si="10"/>
        <v>0</v>
      </c>
      <c r="K28" s="525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49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144370.16999999998</v>
      </c>
      <c r="C29" s="316">
        <f t="shared" si="11"/>
        <v>185250.57</v>
      </c>
      <c r="D29" s="316">
        <f t="shared" si="11"/>
        <v>56163.240000000005</v>
      </c>
      <c r="E29" s="316">
        <f t="shared" si="11"/>
        <v>60586.44</v>
      </c>
      <c r="F29" s="316">
        <f t="shared" si="11"/>
        <v>76223.25</v>
      </c>
      <c r="G29" s="316">
        <f t="shared" si="11"/>
        <v>90128.97</v>
      </c>
      <c r="H29" s="316">
        <f t="shared" si="11"/>
        <v>0</v>
      </c>
      <c r="I29" s="391">
        <f t="shared" si="11"/>
        <v>0</v>
      </c>
      <c r="J29" s="316">
        <f t="shared" si="11"/>
        <v>0</v>
      </c>
      <c r="K29" s="525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0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49">
        <f>-[1]Dashboard!D67</f>
        <v>-85730.795280000006</v>
      </c>
      <c r="AO29" s="315"/>
      <c r="AP29" s="13">
        <f t="shared" si="5"/>
        <v>1021970.54904</v>
      </c>
      <c r="AQ29" s="13">
        <f t="shared" si="8"/>
        <v>-308838.50555840088</v>
      </c>
    </row>
    <row r="30" spans="1:44" x14ac:dyDescent="0.25">
      <c r="A30" s="244">
        <v>46113</v>
      </c>
      <c r="B30" s="316">
        <f t="shared" ref="B30:AM30" si="12">+B10*B$1</f>
        <v>10131.24</v>
      </c>
      <c r="C30" s="316">
        <f t="shared" si="12"/>
        <v>13000.04</v>
      </c>
      <c r="D30" s="316">
        <f t="shared" si="12"/>
        <v>3941.28</v>
      </c>
      <c r="E30" s="316">
        <f t="shared" si="12"/>
        <v>0</v>
      </c>
      <c r="F30" s="316">
        <f t="shared" si="12"/>
        <v>0</v>
      </c>
      <c r="G30" s="316">
        <f t="shared" si="12"/>
        <v>0</v>
      </c>
      <c r="H30" s="316">
        <f t="shared" si="12"/>
        <v>0</v>
      </c>
      <c r="I30" s="391">
        <f t="shared" si="12"/>
        <v>0</v>
      </c>
      <c r="J30" s="316">
        <f t="shared" si="12"/>
        <v>80723.77665</v>
      </c>
      <c r="K30" s="525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49">
        <f>-[1]Dashboard!D68</f>
        <v>-85734.352079999997</v>
      </c>
      <c r="AO30" s="315"/>
      <c r="AP30" s="13">
        <f t="shared" si="5"/>
        <v>95965.583813199963</v>
      </c>
      <c r="AQ30" s="13">
        <f t="shared" si="8"/>
        <v>-212872.92174520093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1">
        <f t="shared" si="13"/>
        <v>0</v>
      </c>
      <c r="J31" s="316">
        <f t="shared" si="13"/>
        <v>269838.37078</v>
      </c>
      <c r="K31" s="525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49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213457.85960079904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1">
        <f t="shared" si="14"/>
        <v>0</v>
      </c>
      <c r="J32" s="316">
        <f t="shared" si="14"/>
        <v>0</v>
      </c>
      <c r="K32" s="525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49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467233.87759999902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1">
        <f t="shared" si="15"/>
        <v>0</v>
      </c>
      <c r="J33" s="316">
        <f t="shared" si="15"/>
        <v>142849.22894</v>
      </c>
      <c r="K33" s="525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49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794887.34792319895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1">
        <f t="shared" si="16"/>
        <v>0</v>
      </c>
      <c r="J34" s="316">
        <f t="shared" si="16"/>
        <v>168022.03384999998</v>
      </c>
      <c r="K34" s="525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49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1880434.945507999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1">
        <f t="shared" si="17"/>
        <v>0</v>
      </c>
      <c r="J35" s="316">
        <f t="shared" si="17"/>
        <v>0</v>
      </c>
      <c r="K35" s="525">
        <f t="shared" si="17"/>
        <v>438328.56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0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49">
        <f>-[1]Dashboard!D73</f>
        <v>-102830.79528000001</v>
      </c>
      <c r="AO35" s="315"/>
      <c r="AP35" s="13">
        <f t="shared" si="5"/>
        <v>1201114.7932559999</v>
      </c>
      <c r="AQ35" s="13">
        <f t="shared" si="8"/>
        <v>3081549.7387639992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1">
        <f t="shared" si="18"/>
        <v>0</v>
      </c>
      <c r="J36" s="316">
        <f t="shared" si="18"/>
        <v>22021.120934999992</v>
      </c>
      <c r="K36" s="525">
        <f t="shared" si="18"/>
        <v>486512.76000000007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7938.84</v>
      </c>
      <c r="P36" s="316">
        <f t="shared" si="18"/>
        <v>0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49">
        <f>-[1]Dashboard!D74</f>
        <v>-102830.79528000001</v>
      </c>
      <c r="AO36" s="315"/>
      <c r="AP36" s="13">
        <f t="shared" si="5"/>
        <v>868838.39118399972</v>
      </c>
      <c r="AQ36" s="13">
        <f t="shared" si="8"/>
        <v>3950388.129947999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1">
        <f t="shared" si="19"/>
        <v>0</v>
      </c>
      <c r="J37" s="316">
        <f t="shared" si="19"/>
        <v>0</v>
      </c>
      <c r="K37" s="525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1"/>
      <c r="AO37" s="315"/>
      <c r="AP37" s="13">
        <f t="shared" si="5"/>
        <v>0</v>
      </c>
      <c r="AQ37" s="13">
        <f t="shared" si="8"/>
        <v>3950388.129947999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1">
        <f t="shared" si="20"/>
        <v>0</v>
      </c>
      <c r="J38" s="316">
        <f t="shared" si="20"/>
        <v>0</v>
      </c>
      <c r="K38" s="525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1"/>
      <c r="AO38" s="315"/>
      <c r="AP38" s="13">
        <f t="shared" si="5"/>
        <v>0</v>
      </c>
      <c r="AQ38" s="13">
        <f t="shared" si="8"/>
        <v>3950388.129947999</v>
      </c>
    </row>
    <row r="39" spans="1:47" x14ac:dyDescent="0.25">
      <c r="A39" t="s">
        <v>75</v>
      </c>
      <c r="B39" s="13">
        <f>SUM(B23:B38)</f>
        <v>154501.40999999997</v>
      </c>
      <c r="C39" s="13">
        <f t="shared" ref="C39:AN39" si="21">SUM(C23:C38)</f>
        <v>198250.61000000002</v>
      </c>
      <c r="D39" s="13">
        <f t="shared" si="21"/>
        <v>60104.520000000004</v>
      </c>
      <c r="E39" s="13">
        <f t="shared" si="21"/>
        <v>60586.44</v>
      </c>
      <c r="F39" s="13">
        <f t="shared" si="21"/>
        <v>76223.25</v>
      </c>
      <c r="G39" s="13">
        <f t="shared" si="21"/>
        <v>90128.97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1225183.8899999999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240811.48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3950388.129947999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9344417.5373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10839524.343268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588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2026-10-20T20:30:24Z</dcterms:modified>
  <cp:category/>
  <cp:contentStatus/>
</cp:coreProperties>
</file>