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11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1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8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drawings/drawing13.xml" ContentType="application/vnd.openxmlformats-officedocument.drawing+xml"/>
  <Override PartName="/xl/charts/chartEx19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20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6dd2aa3df5d311/Escritorio/Dash App/Dash_DGJ/data/"/>
    </mc:Choice>
  </mc:AlternateContent>
  <xr:revisionPtr revIDLastSave="2388" documentId="8_{4AADA8ED-8E7D-4B32-A08C-3385DCB314DA}" xr6:coauthVersionLast="47" xr6:coauthVersionMax="47" xr10:uidLastSave="{926DC95D-4069-4215-A062-AD42A48FFF15}"/>
  <bookViews>
    <workbookView xWindow="-120" yWindow="-120" windowWidth="29040" windowHeight="15720" tabRatio="929" activeTab="22" xr2:uid="{09B8BD4C-09CA-42A2-8F9D-A1A018A6AC8F}"/>
  </bookViews>
  <sheets>
    <sheet name="diario" sheetId="1" r:id="rId1"/>
    <sheet name="Resumen" sheetId="4" state="hidden" r:id="rId2"/>
    <sheet name="Catálogo de conceptos" sheetId="2" state="hidden" r:id="rId3"/>
    <sheet name="waterfall ENGIE" sheetId="27" state="hidden" r:id="rId4"/>
    <sheet name="Catalogo" sheetId="5" r:id="rId5"/>
    <sheet name="Conceptos" sheetId="40" r:id="rId6"/>
    <sheet name="R (s01)" sheetId="13" r:id="rId7"/>
    <sheet name="R (s02)" sheetId="14" r:id="rId8"/>
    <sheet name="R (s03)" sheetId="19" r:id="rId9"/>
    <sheet name="R (s04)" sheetId="22" r:id="rId10"/>
    <sheet name="R (s06)" sheetId="26" r:id="rId11"/>
    <sheet name="R (s07)" sheetId="15" r:id="rId12"/>
    <sheet name="R (s08)" sheetId="17" r:id="rId13"/>
    <sheet name="Direct Inspections check" sheetId="37" r:id="rId14"/>
    <sheet name="nombres" sheetId="10" r:id="rId15"/>
    <sheet name="Grafico" sheetId="7" r:id="rId16"/>
    <sheet name="Grafico %" sheetId="8" r:id="rId17"/>
    <sheet name="EV" sheetId="21" r:id="rId18"/>
    <sheet name="EV (2)" sheetId="29" r:id="rId19"/>
    <sheet name="EV (3)" sheetId="30" r:id="rId20"/>
    <sheet name="Por etapa" sheetId="32" state="hidden" r:id="rId21"/>
    <sheet name="EV (4)" sheetId="39" r:id="rId22"/>
    <sheet name="balance" sheetId="41" r:id="rId23"/>
    <sheet name="EV SPIN" sheetId="33" r:id="rId24"/>
    <sheet name="DASH SPIN" sheetId="35" r:id="rId25"/>
    <sheet name="Summary S01" sheetId="11" r:id="rId26"/>
    <sheet name="Summary S02" sheetId="12" r:id="rId27"/>
    <sheet name="Summary S03" sheetId="20" r:id="rId28"/>
    <sheet name="Summary S04" sheetId="23" r:id="rId29"/>
    <sheet name="Summary S06" sheetId="28" r:id="rId30"/>
    <sheet name="Summary S07" sheetId="16" r:id="rId31"/>
    <sheet name="Summary S08" sheetId="18" r:id="rId32"/>
    <sheet name="listado sistemas" sheetId="6" r:id="rId33"/>
    <sheet name="Metalografías" sheetId="36" r:id="rId34"/>
    <sheet name="waterfall" sheetId="25" r:id="rId35"/>
    <sheet name="Hoja1" sheetId="9" state="hidden" r:id="rId36"/>
  </sheets>
  <externalReferences>
    <externalReference r:id="rId37"/>
  </externalReferences>
  <definedNames>
    <definedName name="_xlnm._FilterDatabase" localSheetId="8" hidden="1">'R (s03)'!$A$1:$J$42</definedName>
    <definedName name="_xlnm._FilterDatabase" localSheetId="9" hidden="1">'R (s04)'!$A$1:$J$2</definedName>
    <definedName name="_xlnm._FilterDatabase" localSheetId="10" hidden="1">'R (s06)'!$A$1:$J$2</definedName>
    <definedName name="_xlnm._FilterDatabase" localSheetId="25" hidden="1">'Summary S01'!$A$1:$G$41</definedName>
    <definedName name="_xlnm._FilterDatabase" localSheetId="27" hidden="1">'Summary S03'!$A$1:$G$41</definedName>
    <definedName name="_xlnm._FilterDatabase" localSheetId="28" hidden="1">'Summary S04'!$A$1:$G$2</definedName>
    <definedName name="_xlnm._FilterDatabase" localSheetId="29" hidden="1">'Summary S06'!$A$1:$G$2</definedName>
    <definedName name="_xlchart.v5.0" hidden="1">'waterfall ENGIE'!$A$4:$A$20</definedName>
    <definedName name="_xlchart.v5.1" hidden="1">'waterfall ENGIE'!$R$4:$R$20</definedName>
    <definedName name="_xlchart.v5.10" hidden="1">'EV SPIN'!$L$6:$L$20</definedName>
    <definedName name="_xlchart.v5.11" hidden="1">'EV SPIN'!$K$6:$K$20</definedName>
    <definedName name="_xlchart.v5.12" hidden="1">'EV SPIN'!$M$6:$M$20</definedName>
    <definedName name="_xlchart.v5.13" hidden="1">'EV SPIN'!$K$6:$K$20</definedName>
    <definedName name="_xlchart.v5.14" hidden="1">'EV SPIN'!$N$6:$N$20</definedName>
    <definedName name="_xlchart.v5.15" hidden="1">'EV SPIN'!$K$6:$K$20</definedName>
    <definedName name="_xlchart.v5.16" hidden="1">'EV SPIN'!$O$6:$O$20</definedName>
    <definedName name="_xlchart.v5.17" hidden="1">'EV SPIN'!$K$6:$K$20</definedName>
    <definedName name="_xlchart.v5.18" hidden="1">'EV SPIN'!$P$6:$P$20</definedName>
    <definedName name="_xlchart.v5.19" hidden="1">'EV SPIN'!$K$6:$K$20</definedName>
    <definedName name="_xlchart.v5.2" hidden="1">'EV (2)'!$A$5:$A$20</definedName>
    <definedName name="_xlchart.v5.20" hidden="1">'EV SPIN'!$Q$6:$Q$20</definedName>
    <definedName name="_xlchart.v5.21" hidden="1">'EV SPIN'!$A$5:$A$20</definedName>
    <definedName name="_xlchart.v5.22" hidden="1">'EV SPIN'!$I$5:$I$20</definedName>
    <definedName name="_xlchart.v5.23" hidden="1">'EV SPIN'!$K$6:$K$20</definedName>
    <definedName name="_xlchart.v5.24" hidden="1">'EV SPIN'!$L$6:$L$20</definedName>
    <definedName name="_xlchart.v5.25" hidden="1">'EV SPIN'!$K$6:$K$20</definedName>
    <definedName name="_xlchart.v5.26" hidden="1">'EV SPIN'!$M$6:$M$20</definedName>
    <definedName name="_xlchart.v5.27" hidden="1">'EV SPIN'!$K$6:$K$20</definedName>
    <definedName name="_xlchart.v5.28" hidden="1">'EV SPIN'!$N$6:$N$20</definedName>
    <definedName name="_xlchart.v5.29" hidden="1">'EV SPIN'!$K$6:$K$20</definedName>
    <definedName name="_xlchart.v5.3" hidden="1">'EV (2)'!$AO$5:$AO$20</definedName>
    <definedName name="_xlchart.v5.30" hidden="1">'EV SPIN'!$O$6:$O$20</definedName>
    <definedName name="_xlchart.v5.31" hidden="1">'EV SPIN'!$K$6:$K$20</definedName>
    <definedName name="_xlchart.v5.32" hidden="1">'EV SPIN'!$P$6:$P$20</definedName>
    <definedName name="_xlchart.v5.33" hidden="1">'EV SPIN'!$K$6:$K$20</definedName>
    <definedName name="_xlchart.v5.34" hidden="1">'EV SPIN'!$Q$6:$Q$20</definedName>
    <definedName name="_xlchart.v5.35" hidden="1">'EV SPIN'!$A$5:$A$20</definedName>
    <definedName name="_xlchart.v5.36" hidden="1">'EV SPIN'!$I$5:$I$20</definedName>
    <definedName name="_xlchart.v5.37" hidden="1">waterfall!$A$23:$A$39</definedName>
    <definedName name="_xlchart.v5.38" hidden="1">waterfall!$AP$23:$AP$39</definedName>
    <definedName name="_xlchart.v5.39" hidden="1">waterfall!$A$3:$A$19</definedName>
    <definedName name="_xlchart.v5.4" hidden="1">'waterfall ENGIE'!$U$31</definedName>
    <definedName name="_xlchart.v5.40" hidden="1">waterfall!$AP$3:$AP$19</definedName>
    <definedName name="_xlchart.v5.41" hidden="1">waterfall!$AR$74</definedName>
    <definedName name="_xlchart.v5.5" hidden="1">'EV (2)'!$A$26:$A$38</definedName>
    <definedName name="_xlchart.v5.6" hidden="1">'EV (2)'!$B$26:$B$38</definedName>
    <definedName name="_xlchart.v5.7" hidden="1">'EV SPIN'!$A$26:$A$38</definedName>
    <definedName name="_xlchart.v5.8" hidden="1">'EV SPIN'!$B$26:$B$38</definedName>
    <definedName name="_xlchart.v5.9" hidden="1">'EV SPIN'!$K$6:$K$20</definedName>
    <definedName name="_xlnm.Print_Area" localSheetId="24">'DASH SPIN'!$A$1:$BC$64</definedName>
    <definedName name="_xlnm.Print_Area" localSheetId="16">'Grafico %'!$A$1:$AD$47</definedName>
    <definedName name="BUENAVISTA">nombres!$D$105:$D$109</definedName>
    <definedName name="GIVAUDAN">nombres!$D$100:$D$102</definedName>
    <definedName name="HUIMILPAN">nombres!$D$58:$D$99</definedName>
    <definedName name="LIRA_GALERAS">nombres!$D$2:$D$41</definedName>
    <definedName name="PECO_AGROS">nombres!$D$42:$D$57</definedName>
    <definedName name="PIE_DE_GALLO">nombres!$D$110:$D$121</definedName>
    <definedName name="SAN_GIL">nombres!$D$103:$D$104</definedName>
    <definedName name="SegmentaciónDeDatos_nombre_actividad">#N/A</definedName>
    <definedName name="solver_adj" localSheetId="15" hidden="1">Grafico!$U$43</definedName>
    <definedName name="solver_cvg" localSheetId="15" hidden="1">0.0001</definedName>
    <definedName name="solver_drv" localSheetId="15" hidden="1">1</definedName>
    <definedName name="solver_eng" localSheetId="15" hidden="1">1</definedName>
    <definedName name="solver_est" localSheetId="15" hidden="1">1</definedName>
    <definedName name="solver_itr" localSheetId="15" hidden="1">2147483647</definedName>
    <definedName name="solver_lhs1" localSheetId="15" hidden="1">Grafico!$U$45</definedName>
    <definedName name="solver_lhs2" localSheetId="15" hidden="1">Grafico!$U$45</definedName>
    <definedName name="solver_lhs3" localSheetId="15" hidden="1">Grafico!$U$45</definedName>
    <definedName name="solver_mip" localSheetId="15" hidden="1">2147483647</definedName>
    <definedName name="solver_mni" localSheetId="15" hidden="1">30</definedName>
    <definedName name="solver_mrt" localSheetId="15" hidden="1">0.075</definedName>
    <definedName name="solver_msl" localSheetId="15" hidden="1">2</definedName>
    <definedName name="solver_neg" localSheetId="15" hidden="1">1</definedName>
    <definedName name="solver_nod" localSheetId="15" hidden="1">2147483647</definedName>
    <definedName name="solver_num" localSheetId="15" hidden="1">0</definedName>
    <definedName name="solver_nwt" localSheetId="15" hidden="1">1</definedName>
    <definedName name="solver_opt" localSheetId="15" hidden="1">Grafico!$W$46</definedName>
    <definedName name="solver_pre" localSheetId="15" hidden="1">0.001</definedName>
    <definedName name="solver_rbv" localSheetId="15" hidden="1">1</definedName>
    <definedName name="solver_rel1" localSheetId="15" hidden="1">4</definedName>
    <definedName name="solver_rel2" localSheetId="15" hidden="1">4</definedName>
    <definedName name="solver_rel3" localSheetId="15" hidden="1">4</definedName>
    <definedName name="solver_rhs1" localSheetId="15" hidden="1">"entero"</definedName>
    <definedName name="solver_rhs2" localSheetId="15" hidden="1">"entero"</definedName>
    <definedName name="solver_rhs3" localSheetId="15" hidden="1">"entero"</definedName>
    <definedName name="solver_rlx" localSheetId="15" hidden="1">2</definedName>
    <definedName name="solver_rsd" localSheetId="15" hidden="1">0</definedName>
    <definedName name="solver_scl" localSheetId="15" hidden="1">1</definedName>
    <definedName name="solver_sho" localSheetId="15" hidden="1">2</definedName>
    <definedName name="solver_ssz" localSheetId="15" hidden="1">100</definedName>
    <definedName name="solver_tim" localSheetId="15" hidden="1">2147483647</definedName>
    <definedName name="solver_tol" localSheetId="15" hidden="1">0.01</definedName>
    <definedName name="solver_typ" localSheetId="15" hidden="1">3</definedName>
    <definedName name="solver_val" localSheetId="15" hidden="1">1500000</definedName>
    <definedName name="solver_ver" localSheetId="15" hidden="1">3</definedName>
  </definedNames>
  <calcPr calcId="191028"/>
  <pivotCaches>
    <pivotCache cacheId="0" r:id="rId38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9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1" l="1"/>
  <c r="B4" i="41"/>
  <c r="B5" i="41"/>
  <c r="B6" i="41"/>
  <c r="B7" i="41"/>
  <c r="B8" i="41"/>
  <c r="B9" i="41"/>
  <c r="B10" i="41"/>
  <c r="B11" i="41"/>
  <c r="B12" i="41"/>
  <c r="B13" i="41"/>
  <c r="B2" i="41"/>
  <c r="C13" i="41"/>
  <c r="C12" i="41"/>
  <c r="C11" i="41"/>
  <c r="C10" i="41"/>
  <c r="C9" i="41"/>
  <c r="C8" i="41"/>
  <c r="C7" i="41"/>
  <c r="C6" i="41"/>
  <c r="C5" i="41"/>
  <c r="C4" i="41"/>
  <c r="C3" i="41"/>
  <c r="C2" i="41"/>
  <c r="L692" i="1"/>
  <c r="K692" i="1"/>
  <c r="H692" i="1"/>
  <c r="M692" i="1" s="1"/>
  <c r="H853" i="1"/>
  <c r="M853" i="1" s="1"/>
  <c r="K853" i="1"/>
  <c r="N853" i="1"/>
  <c r="M3" i="37"/>
  <c r="N852" i="1"/>
  <c r="M852" i="1"/>
  <c r="K852" i="1"/>
  <c r="N851" i="1"/>
  <c r="M851" i="1"/>
  <c r="K851" i="1"/>
  <c r="N850" i="1"/>
  <c r="M850" i="1"/>
  <c r="K850" i="1"/>
  <c r="N849" i="1"/>
  <c r="M849" i="1"/>
  <c r="K849" i="1"/>
  <c r="N848" i="1"/>
  <c r="M848" i="1"/>
  <c r="K848" i="1"/>
  <c r="N847" i="1"/>
  <c r="M847" i="1"/>
  <c r="K847" i="1"/>
  <c r="N846" i="1"/>
  <c r="M846" i="1"/>
  <c r="K846" i="1"/>
  <c r="H837" i="1"/>
  <c r="M837" i="1" s="1"/>
  <c r="K837" i="1"/>
  <c r="N837" i="1"/>
  <c r="P871" i="1"/>
  <c r="K876" i="1"/>
  <c r="H876" i="1"/>
  <c r="M876" i="1" s="1"/>
  <c r="K875" i="1"/>
  <c r="H875" i="1"/>
  <c r="M875" i="1" s="1"/>
  <c r="K874" i="1"/>
  <c r="H874" i="1"/>
  <c r="M874" i="1" s="1"/>
  <c r="F39" i="40"/>
  <c r="F38" i="40"/>
  <c r="F18" i="40"/>
  <c r="F19" i="40"/>
  <c r="F20" i="40"/>
  <c r="F21" i="40"/>
  <c r="F22" i="40"/>
  <c r="F23" i="40"/>
  <c r="F24" i="40"/>
  <c r="F25" i="40"/>
  <c r="F26" i="40"/>
  <c r="F27" i="40"/>
  <c r="F28" i="40"/>
  <c r="F29" i="40"/>
  <c r="F30" i="40"/>
  <c r="F31" i="40"/>
  <c r="F32" i="40"/>
  <c r="F33" i="40"/>
  <c r="F34" i="40"/>
  <c r="F35" i="40"/>
  <c r="F36" i="40"/>
  <c r="F37" i="40"/>
  <c r="F3" i="40"/>
  <c r="F4" i="40"/>
  <c r="F5" i="40"/>
  <c r="F6" i="40"/>
  <c r="F7" i="40"/>
  <c r="F8" i="40"/>
  <c r="F9" i="40"/>
  <c r="F10" i="40"/>
  <c r="F11" i="40"/>
  <c r="F12" i="40"/>
  <c r="F13" i="40"/>
  <c r="F14" i="40"/>
  <c r="F15" i="40"/>
  <c r="F16" i="40"/>
  <c r="F17" i="40"/>
  <c r="F2" i="40"/>
  <c r="K988" i="1"/>
  <c r="H988" i="1"/>
  <c r="M988" i="1" s="1"/>
  <c r="K987" i="1"/>
  <c r="H987" i="1"/>
  <c r="M987" i="1" s="1"/>
  <c r="K986" i="1"/>
  <c r="H986" i="1"/>
  <c r="M986" i="1" s="1"/>
  <c r="K985" i="1"/>
  <c r="H985" i="1"/>
  <c r="M985" i="1" s="1"/>
  <c r="K984" i="1"/>
  <c r="H984" i="1"/>
  <c r="M984" i="1" s="1"/>
  <c r="K983" i="1"/>
  <c r="H983" i="1"/>
  <c r="M983" i="1" s="1"/>
  <c r="K982" i="1"/>
  <c r="H982" i="1"/>
  <c r="M982" i="1" s="1"/>
  <c r="H871" i="1"/>
  <c r="M871" i="1" s="1"/>
  <c r="H694" i="1"/>
  <c r="M694" i="1" s="1"/>
  <c r="K694" i="1"/>
  <c r="N694" i="1"/>
  <c r="H695" i="1"/>
  <c r="M695" i="1" s="1"/>
  <c r="K695" i="1"/>
  <c r="N695" i="1"/>
  <c r="H696" i="1"/>
  <c r="M696" i="1" s="1"/>
  <c r="K696" i="1"/>
  <c r="N696" i="1"/>
  <c r="H697" i="1"/>
  <c r="M697" i="1" s="1"/>
  <c r="K697" i="1"/>
  <c r="N697" i="1"/>
  <c r="H698" i="1"/>
  <c r="M698" i="1" s="1"/>
  <c r="K698" i="1"/>
  <c r="N698" i="1"/>
  <c r="H699" i="1"/>
  <c r="M699" i="1" s="1"/>
  <c r="K699" i="1"/>
  <c r="N699" i="1"/>
  <c r="H700" i="1"/>
  <c r="M700" i="1" s="1"/>
  <c r="K700" i="1"/>
  <c r="N700" i="1"/>
  <c r="H701" i="1"/>
  <c r="M701" i="1" s="1"/>
  <c r="K701" i="1"/>
  <c r="N701" i="1"/>
  <c r="H702" i="1"/>
  <c r="M702" i="1" s="1"/>
  <c r="K702" i="1"/>
  <c r="N702" i="1"/>
  <c r="H703" i="1"/>
  <c r="M703" i="1" s="1"/>
  <c r="K703" i="1"/>
  <c r="N703" i="1"/>
  <c r="H704" i="1"/>
  <c r="M704" i="1" s="1"/>
  <c r="K704" i="1"/>
  <c r="N704" i="1"/>
  <c r="H705" i="1"/>
  <c r="M705" i="1" s="1"/>
  <c r="K705" i="1"/>
  <c r="N705" i="1"/>
  <c r="H706" i="1"/>
  <c r="M706" i="1" s="1"/>
  <c r="K706" i="1"/>
  <c r="N706" i="1"/>
  <c r="L690" i="1"/>
  <c r="K690" i="1"/>
  <c r="H690" i="1"/>
  <c r="M690" i="1" s="1"/>
  <c r="L689" i="1"/>
  <c r="K689" i="1"/>
  <c r="H689" i="1"/>
  <c r="M689" i="1" s="1"/>
  <c r="L688" i="1"/>
  <c r="K688" i="1"/>
  <c r="H688" i="1"/>
  <c r="M688" i="1" s="1"/>
  <c r="H691" i="1"/>
  <c r="M691" i="1" s="1"/>
  <c r="K691" i="1"/>
  <c r="N691" i="1"/>
  <c r="L687" i="1"/>
  <c r="K687" i="1"/>
  <c r="H687" i="1"/>
  <c r="M687" i="1" s="1"/>
  <c r="W19" i="33"/>
  <c r="V19" i="33"/>
  <c r="U19" i="33"/>
  <c r="W18" i="33"/>
  <c r="V18" i="33"/>
  <c r="U18" i="33"/>
  <c r="V17" i="33"/>
  <c r="U17" i="33"/>
  <c r="W16" i="33"/>
  <c r="V16" i="33"/>
  <c r="U16" i="33"/>
  <c r="W15" i="33"/>
  <c r="V15" i="33"/>
  <c r="U15" i="33"/>
  <c r="W14" i="33"/>
  <c r="V14" i="33"/>
  <c r="U14" i="33"/>
  <c r="W13" i="33"/>
  <c r="V13" i="33"/>
  <c r="U13" i="33"/>
  <c r="W12" i="33"/>
  <c r="V12" i="33"/>
  <c r="U12" i="33"/>
  <c r="W11" i="33"/>
  <c r="V11" i="33"/>
  <c r="U11" i="33"/>
  <c r="W10" i="33"/>
  <c r="V10" i="33"/>
  <c r="U10" i="33"/>
  <c r="W9" i="33"/>
  <c r="V9" i="33"/>
  <c r="U9" i="33"/>
  <c r="W8" i="33"/>
  <c r="V8" i="33"/>
  <c r="U8" i="33"/>
  <c r="W7" i="33"/>
  <c r="V7" i="33"/>
  <c r="U7" i="33"/>
  <c r="W6" i="33"/>
  <c r="V6" i="33"/>
  <c r="U6" i="33"/>
  <c r="Q19" i="33"/>
  <c r="G19" i="33" s="1"/>
  <c r="Q18" i="33"/>
  <c r="G18" i="33" s="1"/>
  <c r="Q16" i="33"/>
  <c r="G16" i="33" s="1"/>
  <c r="Q15" i="33"/>
  <c r="G15" i="33" s="1"/>
  <c r="Q14" i="33"/>
  <c r="G14" i="33" s="1"/>
  <c r="Q13" i="33"/>
  <c r="G13" i="33" s="1"/>
  <c r="Q12" i="33"/>
  <c r="G12" i="33" s="1"/>
  <c r="Q11" i="33"/>
  <c r="G11" i="33" s="1"/>
  <c r="Q10" i="33"/>
  <c r="G10" i="33" s="1"/>
  <c r="Q9" i="33"/>
  <c r="G9" i="33" s="1"/>
  <c r="Q8" i="33"/>
  <c r="G8" i="33" s="1"/>
  <c r="Q7" i="33"/>
  <c r="G7" i="33" s="1"/>
  <c r="Q6" i="33"/>
  <c r="G6" i="33" s="1"/>
  <c r="P7" i="33"/>
  <c r="F7" i="33" s="1"/>
  <c r="P8" i="33"/>
  <c r="F8" i="33" s="1"/>
  <c r="P9" i="33"/>
  <c r="F9" i="33" s="1"/>
  <c r="P10" i="33"/>
  <c r="F10" i="33" s="1"/>
  <c r="P11" i="33"/>
  <c r="F11" i="33" s="1"/>
  <c r="P12" i="33"/>
  <c r="F12" i="33" s="1"/>
  <c r="P13" i="33"/>
  <c r="F13" i="33" s="1"/>
  <c r="P14" i="33"/>
  <c r="F14" i="33" s="1"/>
  <c r="P15" i="33"/>
  <c r="F15" i="33" s="1"/>
  <c r="P16" i="33"/>
  <c r="F16" i="33" s="1"/>
  <c r="P17" i="33"/>
  <c r="F17" i="33" s="1"/>
  <c r="P18" i="33"/>
  <c r="F18" i="33" s="1"/>
  <c r="P19" i="33"/>
  <c r="F19" i="33" s="1"/>
  <c r="P6" i="33"/>
  <c r="F6" i="33" s="1"/>
  <c r="O7" i="33"/>
  <c r="O8" i="33"/>
  <c r="O9" i="33"/>
  <c r="O10" i="33"/>
  <c r="O11" i="33"/>
  <c r="O12" i="33"/>
  <c r="O13" i="33"/>
  <c r="O14" i="33"/>
  <c r="O15" i="33"/>
  <c r="O16" i="33"/>
  <c r="O17" i="33"/>
  <c r="O18" i="33"/>
  <c r="O19" i="33"/>
  <c r="O6" i="33"/>
  <c r="L686" i="1"/>
  <c r="K686" i="1"/>
  <c r="H686" i="1"/>
  <c r="M686" i="1" s="1"/>
  <c r="L685" i="1"/>
  <c r="K685" i="1"/>
  <c r="H685" i="1"/>
  <c r="M685" i="1" s="1"/>
  <c r="D40" i="39"/>
  <c r="D39" i="39"/>
  <c r="D38" i="39"/>
  <c r="D37" i="39"/>
  <c r="D36" i="39"/>
  <c r="D35" i="39"/>
  <c r="D34" i="39"/>
  <c r="D33" i="39"/>
  <c r="D32" i="39"/>
  <c r="D31" i="39"/>
  <c r="D30" i="39"/>
  <c r="D29" i="39"/>
  <c r="D28" i="39"/>
  <c r="D27" i="39"/>
  <c r="D26" i="39"/>
  <c r="D25" i="39"/>
  <c r="D24" i="39"/>
  <c r="D23" i="39"/>
  <c r="D22" i="39"/>
  <c r="D21" i="39"/>
  <c r="D20" i="39"/>
  <c r="D19" i="39"/>
  <c r="D18" i="39"/>
  <c r="D17" i="39"/>
  <c r="D16" i="39"/>
  <c r="D15" i="39"/>
  <c r="D14" i="39"/>
  <c r="D13" i="39"/>
  <c r="D12" i="39"/>
  <c r="D11" i="39"/>
  <c r="D10" i="39"/>
  <c r="D9" i="39"/>
  <c r="D8" i="39"/>
  <c r="D7" i="39"/>
  <c r="D6" i="39"/>
  <c r="D5" i="39"/>
  <c r="D4" i="39"/>
  <c r="D3" i="39"/>
  <c r="C40" i="39"/>
  <c r="C39" i="39"/>
  <c r="C38" i="39"/>
  <c r="C37" i="39"/>
  <c r="C36" i="39"/>
  <c r="C35" i="39"/>
  <c r="C34" i="39"/>
  <c r="C33" i="39"/>
  <c r="C32" i="39"/>
  <c r="C31" i="39"/>
  <c r="C30" i="39"/>
  <c r="C29" i="39"/>
  <c r="C28" i="39"/>
  <c r="C27" i="39"/>
  <c r="C26" i="39"/>
  <c r="C25" i="39"/>
  <c r="C24" i="39"/>
  <c r="C23" i="39"/>
  <c r="C22" i="39"/>
  <c r="C21" i="39"/>
  <c r="C20" i="39"/>
  <c r="C19" i="39"/>
  <c r="C18" i="39"/>
  <c r="C17" i="39"/>
  <c r="C16" i="39"/>
  <c r="C15" i="39"/>
  <c r="C14" i="39"/>
  <c r="C13" i="39"/>
  <c r="C12" i="39"/>
  <c r="C11" i="39"/>
  <c r="C10" i="39"/>
  <c r="C9" i="39"/>
  <c r="C8" i="39"/>
  <c r="C7" i="39"/>
  <c r="C6" i="39"/>
  <c r="C5" i="39"/>
  <c r="C4" i="39"/>
  <c r="C3" i="39"/>
  <c r="C14" i="41" l="1"/>
  <c r="T6" i="33"/>
  <c r="N887" i="1"/>
  <c r="N886" i="1"/>
  <c r="H886" i="1" s="1"/>
  <c r="M886" i="1" s="1"/>
  <c r="N884" i="1"/>
  <c r="N882" i="1"/>
  <c r="K888" i="1"/>
  <c r="H888" i="1"/>
  <c r="M888" i="1" s="1"/>
  <c r="K887" i="1"/>
  <c r="K886" i="1"/>
  <c r="E44" i="20"/>
  <c r="E43" i="20"/>
  <c r="H43" i="20"/>
  <c r="I43" i="20"/>
  <c r="J43" i="20"/>
  <c r="K43" i="20"/>
  <c r="G17" i="5"/>
  <c r="G15" i="5"/>
  <c r="G12" i="5"/>
  <c r="G11" i="5"/>
  <c r="G10" i="5"/>
  <c r="G9" i="5"/>
  <c r="G8" i="5"/>
  <c r="G7" i="5"/>
  <c r="Q17" i="33" l="1"/>
  <c r="G17" i="33" s="1"/>
  <c r="W17" i="33"/>
  <c r="H887" i="1"/>
  <c r="M887" i="1" s="1"/>
  <c r="AN36" i="25"/>
  <c r="N788" i="1"/>
  <c r="M788" i="1"/>
  <c r="K788" i="1"/>
  <c r="H693" i="1"/>
  <c r="M693" i="1" s="1"/>
  <c r="K693" i="1"/>
  <c r="N693" i="1"/>
  <c r="H707" i="1"/>
  <c r="M707" i="1" s="1"/>
  <c r="K707" i="1"/>
  <c r="N707" i="1"/>
  <c r="H708" i="1"/>
  <c r="M708" i="1" s="1"/>
  <c r="K708" i="1"/>
  <c r="N708" i="1"/>
  <c r="M781" i="1"/>
  <c r="K781" i="1"/>
  <c r="M780" i="1"/>
  <c r="K780" i="1"/>
  <c r="M779" i="1"/>
  <c r="K779" i="1"/>
  <c r="M778" i="1"/>
  <c r="K778" i="1"/>
  <c r="M777" i="1"/>
  <c r="K777" i="1"/>
  <c r="M776" i="1"/>
  <c r="K776" i="1"/>
  <c r="M775" i="1"/>
  <c r="K775" i="1"/>
  <c r="H782" i="1"/>
  <c r="M782" i="1" s="1"/>
  <c r="K782" i="1"/>
  <c r="N782" i="1"/>
  <c r="H914" i="1"/>
  <c r="M914" i="1" s="1"/>
  <c r="K914" i="1"/>
  <c r="N914" i="1"/>
  <c r="H904" i="1"/>
  <c r="M904" i="1" s="1"/>
  <c r="K904" i="1"/>
  <c r="N904" i="1"/>
  <c r="H854" i="1"/>
  <c r="M854" i="1" s="1"/>
  <c r="K854" i="1"/>
  <c r="N854" i="1"/>
  <c r="M773" i="1"/>
  <c r="K773" i="1"/>
  <c r="M772" i="1"/>
  <c r="K772" i="1"/>
  <c r="M771" i="1"/>
  <c r="K771" i="1"/>
  <c r="M770" i="1"/>
  <c r="K770" i="1"/>
  <c r="M769" i="1"/>
  <c r="K769" i="1"/>
  <c r="M768" i="1"/>
  <c r="K768" i="1"/>
  <c r="M767" i="1"/>
  <c r="K767" i="1"/>
  <c r="M765" i="1"/>
  <c r="K765" i="1"/>
  <c r="M764" i="1"/>
  <c r="K764" i="1"/>
  <c r="M763" i="1"/>
  <c r="K763" i="1"/>
  <c r="M762" i="1"/>
  <c r="K762" i="1"/>
  <c r="M761" i="1"/>
  <c r="K761" i="1"/>
  <c r="M760" i="1"/>
  <c r="K760" i="1"/>
  <c r="M759" i="1"/>
  <c r="K759" i="1"/>
  <c r="M757" i="1"/>
  <c r="K757" i="1"/>
  <c r="M756" i="1"/>
  <c r="K756" i="1"/>
  <c r="M755" i="1"/>
  <c r="K755" i="1"/>
  <c r="M754" i="1"/>
  <c r="K754" i="1"/>
  <c r="M753" i="1"/>
  <c r="K753" i="1"/>
  <c r="M752" i="1"/>
  <c r="K752" i="1"/>
  <c r="M751" i="1"/>
  <c r="K751" i="1"/>
  <c r="H758" i="1"/>
  <c r="M758" i="1" s="1"/>
  <c r="K758" i="1"/>
  <c r="N758" i="1"/>
  <c r="H766" i="1"/>
  <c r="M766" i="1" s="1"/>
  <c r="K766" i="1"/>
  <c r="N766" i="1"/>
  <c r="H774" i="1"/>
  <c r="M774" i="1" s="1"/>
  <c r="K774" i="1"/>
  <c r="N774" i="1"/>
  <c r="H807" i="1"/>
  <c r="M807" i="1" s="1"/>
  <c r="K807" i="1"/>
  <c r="N807" i="1"/>
  <c r="M749" i="1"/>
  <c r="K749" i="1"/>
  <c r="M748" i="1"/>
  <c r="K748" i="1"/>
  <c r="M747" i="1"/>
  <c r="K747" i="1"/>
  <c r="M746" i="1"/>
  <c r="K746" i="1"/>
  <c r="M745" i="1"/>
  <c r="K745" i="1"/>
  <c r="M744" i="1"/>
  <c r="K744" i="1"/>
  <c r="M743" i="1"/>
  <c r="K743" i="1"/>
  <c r="H750" i="1"/>
  <c r="M750" i="1" s="1"/>
  <c r="K750" i="1"/>
  <c r="N750" i="1"/>
  <c r="M717" i="1"/>
  <c r="K717" i="1"/>
  <c r="M716" i="1"/>
  <c r="K716" i="1"/>
  <c r="M715" i="1"/>
  <c r="K715" i="1"/>
  <c r="M714" i="1"/>
  <c r="K714" i="1"/>
  <c r="M713" i="1"/>
  <c r="K713" i="1"/>
  <c r="M712" i="1"/>
  <c r="K712" i="1"/>
  <c r="M711" i="1"/>
  <c r="K711" i="1"/>
  <c r="H710" i="1"/>
  <c r="M710" i="1" s="1"/>
  <c r="K710" i="1"/>
  <c r="N710" i="1"/>
  <c r="H734" i="1"/>
  <c r="M734" i="1" s="1"/>
  <c r="K734" i="1"/>
  <c r="N734" i="1"/>
  <c r="H839" i="1"/>
  <c r="M839" i="1" s="1"/>
  <c r="K839" i="1"/>
  <c r="N839" i="1"/>
  <c r="H840" i="1"/>
  <c r="M840" i="1" s="1"/>
  <c r="K840" i="1"/>
  <c r="N840" i="1"/>
  <c r="H845" i="1"/>
  <c r="M845" i="1" s="1"/>
  <c r="K845" i="1"/>
  <c r="N845" i="1"/>
  <c r="H989" i="1"/>
  <c r="M989" i="1" s="1"/>
  <c r="K989" i="1"/>
  <c r="N989" i="1"/>
  <c r="H990" i="1"/>
  <c r="M990" i="1" s="1"/>
  <c r="K990" i="1"/>
  <c r="N990" i="1"/>
  <c r="H991" i="1"/>
  <c r="M991" i="1" s="1"/>
  <c r="K991" i="1"/>
  <c r="N991" i="1"/>
  <c r="L682" i="1" l="1"/>
  <c r="L681" i="1"/>
  <c r="L680" i="1"/>
  <c r="L684" i="1"/>
  <c r="L679" i="1"/>
  <c r="L677" i="1"/>
  <c r="L676" i="1"/>
  <c r="L675" i="1"/>
  <c r="L674" i="1"/>
  <c r="L673" i="1"/>
  <c r="L672" i="1"/>
  <c r="L671" i="1"/>
  <c r="O15" i="17"/>
  <c r="N15" i="17"/>
  <c r="M14" i="17"/>
  <c r="F107" i="10"/>
  <c r="F108" i="10"/>
  <c r="F109" i="10"/>
  <c r="F106" i="10"/>
  <c r="L536" i="1"/>
  <c r="K536" i="1"/>
  <c r="H536" i="1"/>
  <c r="M536" i="1" s="1"/>
  <c r="L538" i="1"/>
  <c r="K538" i="1"/>
  <c r="H538" i="1"/>
  <c r="M538" i="1" s="1"/>
  <c r="K682" i="1" l="1"/>
  <c r="H682" i="1"/>
  <c r="M682" i="1" s="1"/>
  <c r="K681" i="1"/>
  <c r="H681" i="1"/>
  <c r="M681" i="1" s="1"/>
  <c r="K680" i="1"/>
  <c r="H680" i="1"/>
  <c r="M680" i="1" s="1"/>
  <c r="K684" i="1"/>
  <c r="H684" i="1"/>
  <c r="M684" i="1" s="1"/>
  <c r="K679" i="1"/>
  <c r="H679" i="1"/>
  <c r="M679" i="1" s="1"/>
  <c r="K677" i="1"/>
  <c r="H677" i="1"/>
  <c r="M677" i="1" s="1"/>
  <c r="K676" i="1"/>
  <c r="H676" i="1"/>
  <c r="M676" i="1" s="1"/>
  <c r="K675" i="1"/>
  <c r="H675" i="1"/>
  <c r="M675" i="1" s="1"/>
  <c r="K674" i="1"/>
  <c r="H674" i="1"/>
  <c r="M674" i="1" s="1"/>
  <c r="K673" i="1"/>
  <c r="H673" i="1"/>
  <c r="M673" i="1" s="1"/>
  <c r="K672" i="1"/>
  <c r="H672" i="1"/>
  <c r="M672" i="1" s="1"/>
  <c r="K671" i="1"/>
  <c r="H671" i="1"/>
  <c r="M671" i="1" s="1"/>
  <c r="N656" i="1"/>
  <c r="L656" i="1"/>
  <c r="K656" i="1"/>
  <c r="H656" i="1"/>
  <c r="M656" i="1" s="1"/>
  <c r="N670" i="1"/>
  <c r="L670" i="1"/>
  <c r="K670" i="1"/>
  <c r="H670" i="1"/>
  <c r="M670" i="1" s="1"/>
  <c r="N669" i="1"/>
  <c r="L669" i="1"/>
  <c r="K669" i="1"/>
  <c r="H669" i="1"/>
  <c r="M669" i="1" s="1"/>
  <c r="L668" i="1"/>
  <c r="L667" i="1"/>
  <c r="L666" i="1"/>
  <c r="L665" i="1"/>
  <c r="L664" i="1"/>
  <c r="L663" i="1"/>
  <c r="L662" i="1"/>
  <c r="L661" i="1"/>
  <c r="L660" i="1"/>
  <c r="L659" i="1"/>
  <c r="L658" i="1"/>
  <c r="K658" i="1"/>
  <c r="H658" i="1"/>
  <c r="E25" i="30"/>
  <c r="U7" i="5"/>
  <c r="H659" i="1"/>
  <c r="M659" i="1" s="1"/>
  <c r="K659" i="1"/>
  <c r="N659" i="1"/>
  <c r="H660" i="1"/>
  <c r="M660" i="1" s="1"/>
  <c r="K660" i="1"/>
  <c r="N660" i="1"/>
  <c r="H661" i="1"/>
  <c r="M661" i="1" s="1"/>
  <c r="K661" i="1"/>
  <c r="N661" i="1"/>
  <c r="H662" i="1"/>
  <c r="M662" i="1" s="1"/>
  <c r="K662" i="1"/>
  <c r="N662" i="1"/>
  <c r="H663" i="1"/>
  <c r="M663" i="1" s="1"/>
  <c r="K663" i="1"/>
  <c r="N663" i="1"/>
  <c r="H664" i="1"/>
  <c r="M664" i="1" s="1"/>
  <c r="K664" i="1"/>
  <c r="N664" i="1"/>
  <c r="H665" i="1"/>
  <c r="M665" i="1" s="1"/>
  <c r="K665" i="1"/>
  <c r="N665" i="1"/>
  <c r="H666" i="1"/>
  <c r="M666" i="1" s="1"/>
  <c r="K666" i="1"/>
  <c r="N666" i="1"/>
  <c r="H667" i="1"/>
  <c r="M667" i="1" s="1"/>
  <c r="K667" i="1"/>
  <c r="N667" i="1"/>
  <c r="H668" i="1"/>
  <c r="M668" i="1" s="1"/>
  <c r="K668" i="1"/>
  <c r="N668" i="1"/>
  <c r="H683" i="1"/>
  <c r="M683" i="1" s="1"/>
  <c r="K683" i="1"/>
  <c r="N683" i="1"/>
  <c r="L648" i="1"/>
  <c r="L649" i="1"/>
  <c r="L650" i="1"/>
  <c r="L651" i="1"/>
  <c r="L652" i="1"/>
  <c r="L653" i="1"/>
  <c r="L654" i="1"/>
  <c r="L655" i="1"/>
  <c r="L657" i="1"/>
  <c r="L647" i="1"/>
  <c r="L646" i="1"/>
  <c r="N657" i="1"/>
  <c r="K657" i="1"/>
  <c r="H657" i="1"/>
  <c r="M657" i="1" s="1"/>
  <c r="N655" i="1"/>
  <c r="K655" i="1"/>
  <c r="H655" i="1"/>
  <c r="M655" i="1" s="1"/>
  <c r="N654" i="1"/>
  <c r="K654" i="1"/>
  <c r="H654" i="1"/>
  <c r="M654" i="1" s="1"/>
  <c r="N844" i="1"/>
  <c r="M844" i="1"/>
  <c r="K844" i="1"/>
  <c r="N843" i="1"/>
  <c r="M843" i="1"/>
  <c r="K843" i="1"/>
  <c r="N842" i="1"/>
  <c r="M842" i="1"/>
  <c r="K842" i="1"/>
  <c r="N841" i="1"/>
  <c r="M841" i="1"/>
  <c r="K841" i="1"/>
  <c r="N653" i="1"/>
  <c r="K653" i="1"/>
  <c r="H653" i="1"/>
  <c r="M653" i="1" s="1"/>
  <c r="K652" i="1"/>
  <c r="H652" i="1"/>
  <c r="M652" i="1" s="1"/>
  <c r="K651" i="1"/>
  <c r="H651" i="1"/>
  <c r="M651" i="1" s="1"/>
  <c r="K650" i="1"/>
  <c r="H650" i="1"/>
  <c r="M650" i="1" s="1"/>
  <c r="K649" i="1"/>
  <c r="H649" i="1"/>
  <c r="M649" i="1" s="1"/>
  <c r="K648" i="1"/>
  <c r="H648" i="1"/>
  <c r="M648" i="1" s="1"/>
  <c r="B9" i="30"/>
  <c r="K646" i="1"/>
  <c r="H646" i="1"/>
  <c r="M646" i="1" s="1"/>
  <c r="E17" i="33"/>
  <c r="L644" i="1"/>
  <c r="K644" i="1"/>
  <c r="H644" i="1"/>
  <c r="M644" i="1" s="1"/>
  <c r="M658" i="1" l="1"/>
  <c r="N798" i="1"/>
  <c r="M798" i="1"/>
  <c r="K798" i="1"/>
  <c r="N797" i="1"/>
  <c r="M797" i="1"/>
  <c r="K797" i="1"/>
  <c r="N796" i="1"/>
  <c r="M796" i="1"/>
  <c r="K796" i="1"/>
  <c r="N795" i="1"/>
  <c r="M795" i="1"/>
  <c r="K795" i="1"/>
  <c r="N794" i="1"/>
  <c r="M794" i="1"/>
  <c r="K794" i="1"/>
  <c r="N793" i="1"/>
  <c r="M793" i="1"/>
  <c r="K793" i="1"/>
  <c r="N792" i="1"/>
  <c r="M792" i="1"/>
  <c r="K792" i="1"/>
  <c r="H799" i="1"/>
  <c r="M799" i="1" s="1"/>
  <c r="K799" i="1"/>
  <c r="N799" i="1"/>
  <c r="H907" i="1"/>
  <c r="M907" i="1" s="1"/>
  <c r="K909" i="1"/>
  <c r="K910" i="1"/>
  <c r="K911" i="1"/>
  <c r="K912" i="1"/>
  <c r="L643" i="1"/>
  <c r="K643" i="1"/>
  <c r="H643" i="1"/>
  <c r="G58" i="5"/>
  <c r="J58" i="5"/>
  <c r="H908" i="1" s="1"/>
  <c r="M908" i="1" s="1"/>
  <c r="N642" i="1"/>
  <c r="L642" i="1"/>
  <c r="K642" i="1"/>
  <c r="H642" i="1"/>
  <c r="M642" i="1" s="1"/>
  <c r="N641" i="1"/>
  <c r="L641" i="1"/>
  <c r="K641" i="1"/>
  <c r="H641" i="1"/>
  <c r="M641" i="1" s="1"/>
  <c r="L640" i="1"/>
  <c r="K640" i="1"/>
  <c r="H640" i="1"/>
  <c r="M640" i="1" s="1"/>
  <c r="H639" i="1"/>
  <c r="M639" i="1" s="1"/>
  <c r="K639" i="1"/>
  <c r="N639" i="1"/>
  <c r="N640" i="1"/>
  <c r="K906" i="1"/>
  <c r="K907" i="1"/>
  <c r="K908" i="1"/>
  <c r="H645" i="1"/>
  <c r="M645" i="1" s="1"/>
  <c r="K645" i="1"/>
  <c r="N645" i="1"/>
  <c r="H647" i="1"/>
  <c r="K647" i="1"/>
  <c r="N647" i="1"/>
  <c r="N648" i="1"/>
  <c r="N649" i="1"/>
  <c r="N650" i="1"/>
  <c r="N651" i="1"/>
  <c r="N652" i="1"/>
  <c r="M638" i="1"/>
  <c r="K638" i="1"/>
  <c r="N637" i="1"/>
  <c r="M637" i="1"/>
  <c r="K637" i="1"/>
  <c r="N636" i="1"/>
  <c r="M636" i="1"/>
  <c r="K636" i="1"/>
  <c r="M635" i="1"/>
  <c r="K635" i="1"/>
  <c r="E6" i="26" s="1"/>
  <c r="M634" i="1"/>
  <c r="K634" i="1"/>
  <c r="M806" i="1"/>
  <c r="K806" i="1"/>
  <c r="M805" i="1"/>
  <c r="K805" i="1"/>
  <c r="M804" i="1"/>
  <c r="K804" i="1"/>
  <c r="M803" i="1"/>
  <c r="K803" i="1"/>
  <c r="M802" i="1"/>
  <c r="K802" i="1"/>
  <c r="M801" i="1"/>
  <c r="K801" i="1"/>
  <c r="M800" i="1"/>
  <c r="K800" i="1"/>
  <c r="K632" i="1"/>
  <c r="M632" i="1"/>
  <c r="N632" i="1"/>
  <c r="K633" i="1"/>
  <c r="M633" i="1"/>
  <c r="N633" i="1"/>
  <c r="M647" i="1" l="1"/>
  <c r="M643" i="1"/>
  <c r="D6" i="26"/>
  <c r="F6" i="26"/>
  <c r="D13" i="26"/>
  <c r="F13" i="26"/>
  <c r="E13" i="26"/>
  <c r="D11" i="26"/>
  <c r="E11" i="26"/>
  <c r="F11" i="26"/>
  <c r="E3" i="26"/>
  <c r="F3" i="26"/>
  <c r="D3" i="26"/>
  <c r="E4" i="26"/>
  <c r="D4" i="26"/>
  <c r="F4" i="26"/>
  <c r="D2" i="26"/>
  <c r="F2" i="26"/>
  <c r="E2" i="26"/>
  <c r="H906" i="1"/>
  <c r="M906" i="1" s="1"/>
  <c r="H912" i="1"/>
  <c r="M912" i="1" s="1"/>
  <c r="H911" i="1"/>
  <c r="M911" i="1" s="1"/>
  <c r="H910" i="1"/>
  <c r="M910" i="1" s="1"/>
  <c r="H909" i="1"/>
  <c r="M909" i="1" s="1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2" i="7"/>
  <c r="N631" i="1"/>
  <c r="M631" i="1"/>
  <c r="K631" i="1"/>
  <c r="N630" i="1"/>
  <c r="M630" i="1"/>
  <c r="K630" i="1"/>
  <c r="N629" i="1"/>
  <c r="M629" i="1"/>
  <c r="K629" i="1"/>
  <c r="N628" i="1"/>
  <c r="M628" i="1"/>
  <c r="K628" i="1"/>
  <c r="M588" i="1"/>
  <c r="J9" i="29"/>
  <c r="J10" i="29"/>
  <c r="J13" i="29"/>
  <c r="J16" i="29"/>
  <c r="J17" i="29"/>
  <c r="J18" i="29"/>
  <c r="J19" i="29"/>
  <c r="B24" i="29"/>
  <c r="H857" i="1"/>
  <c r="H858" i="1"/>
  <c r="M858" i="1" s="1"/>
  <c r="H859" i="1"/>
  <c r="H860" i="1"/>
  <c r="H861" i="1"/>
  <c r="H862" i="1"/>
  <c r="H864" i="1"/>
  <c r="M864" i="1" s="1"/>
  <c r="H865" i="1"/>
  <c r="J56" i="5"/>
  <c r="H877" i="1" s="1"/>
  <c r="M877" i="1" s="1"/>
  <c r="J57" i="5"/>
  <c r="H901" i="1" s="1"/>
  <c r="M901" i="1" s="1"/>
  <c r="J55" i="5"/>
  <c r="H856" i="1" s="1"/>
  <c r="K19" i="29"/>
  <c r="K18" i="29"/>
  <c r="K14" i="29"/>
  <c r="K13" i="29"/>
  <c r="K12" i="29"/>
  <c r="K11" i="29"/>
  <c r="K10" i="29"/>
  <c r="K9" i="29"/>
  <c r="K8" i="29"/>
  <c r="K7" i="29"/>
  <c r="K6" i="29"/>
  <c r="K18" i="30"/>
  <c r="K17" i="30"/>
  <c r="K13" i="30"/>
  <c r="K12" i="30"/>
  <c r="K11" i="30"/>
  <c r="K10" i="30"/>
  <c r="K9" i="30"/>
  <c r="K8" i="30"/>
  <c r="K7" i="30"/>
  <c r="K6" i="30"/>
  <c r="K5" i="30"/>
  <c r="M39" i="21"/>
  <c r="H360" i="21"/>
  <c r="H361" i="21"/>
  <c r="H362" i="21"/>
  <c r="H363" i="21"/>
  <c r="H364" i="21"/>
  <c r="H365" i="21"/>
  <c r="H366" i="21"/>
  <c r="H367" i="21"/>
  <c r="H368" i="21"/>
  <c r="H369" i="21"/>
  <c r="H370" i="21"/>
  <c r="H371" i="21"/>
  <c r="H372" i="21"/>
  <c r="H373" i="21"/>
  <c r="H374" i="21"/>
  <c r="H375" i="21"/>
  <c r="H376" i="21"/>
  <c r="H377" i="21"/>
  <c r="H378" i="21"/>
  <c r="H379" i="21"/>
  <c r="H380" i="21"/>
  <c r="H381" i="21"/>
  <c r="H382" i="21"/>
  <c r="H383" i="21"/>
  <c r="H384" i="21"/>
  <c r="H385" i="21"/>
  <c r="H386" i="21"/>
  <c r="H387" i="21"/>
  <c r="H388" i="21"/>
  <c r="H389" i="21"/>
  <c r="H390" i="21"/>
  <c r="H391" i="21"/>
  <c r="H392" i="21"/>
  <c r="H393" i="21"/>
  <c r="H394" i="21"/>
  <c r="H395" i="21"/>
  <c r="H396" i="21"/>
  <c r="H397" i="21"/>
  <c r="H398" i="21"/>
  <c r="H399" i="21"/>
  <c r="H400" i="21"/>
  <c r="H401" i="21"/>
  <c r="H402" i="21"/>
  <c r="H403" i="21"/>
  <c r="H404" i="21"/>
  <c r="H405" i="21"/>
  <c r="H406" i="21"/>
  <c r="H407" i="21"/>
  <c r="H408" i="21"/>
  <c r="H409" i="21"/>
  <c r="H410" i="21"/>
  <c r="H411" i="21"/>
  <c r="H412" i="21"/>
  <c r="H413" i="21"/>
  <c r="H414" i="21"/>
  <c r="H415" i="21"/>
  <c r="H416" i="21"/>
  <c r="H417" i="21"/>
  <c r="H418" i="21"/>
  <c r="H419" i="21"/>
  <c r="H420" i="21"/>
  <c r="H421" i="21"/>
  <c r="H422" i="21"/>
  <c r="H423" i="21"/>
  <c r="H424" i="21"/>
  <c r="H425" i="21"/>
  <c r="H426" i="21"/>
  <c r="H427" i="21"/>
  <c r="H428" i="21"/>
  <c r="H429" i="21"/>
  <c r="H430" i="21"/>
  <c r="H431" i="21"/>
  <c r="H432" i="21"/>
  <c r="H433" i="21"/>
  <c r="H434" i="21"/>
  <c r="H435" i="21"/>
  <c r="H436" i="21"/>
  <c r="H437" i="21"/>
  <c r="H438" i="21"/>
  <c r="H439" i="21"/>
  <c r="H440" i="21"/>
  <c r="H441" i="21"/>
  <c r="H442" i="21"/>
  <c r="H443" i="21"/>
  <c r="H444" i="21"/>
  <c r="H445" i="21"/>
  <c r="H446" i="21"/>
  <c r="H447" i="21"/>
  <c r="H448" i="21"/>
  <c r="H449" i="21"/>
  <c r="H450" i="21"/>
  <c r="H451" i="21"/>
  <c r="H452" i="21"/>
  <c r="H453" i="21"/>
  <c r="H454" i="21"/>
  <c r="H455" i="21"/>
  <c r="H456" i="21"/>
  <c r="H457" i="21"/>
  <c r="H458" i="21"/>
  <c r="H459" i="21"/>
  <c r="H460" i="21"/>
  <c r="H461" i="21"/>
  <c r="H462" i="21"/>
  <c r="H463" i="21"/>
  <c r="H464" i="21"/>
  <c r="H465" i="21"/>
  <c r="H466" i="21"/>
  <c r="H467" i="21"/>
  <c r="H468" i="21"/>
  <c r="H469" i="21"/>
  <c r="H470" i="21"/>
  <c r="H471" i="21"/>
  <c r="H472" i="21"/>
  <c r="H473" i="21"/>
  <c r="H474" i="21"/>
  <c r="H475" i="21"/>
  <c r="H476" i="21"/>
  <c r="H477" i="21"/>
  <c r="H478" i="21"/>
  <c r="H479" i="21"/>
  <c r="H480" i="21"/>
  <c r="H481" i="21"/>
  <c r="H482" i="21"/>
  <c r="H483" i="21"/>
  <c r="H484" i="21"/>
  <c r="H485" i="21"/>
  <c r="H486" i="21"/>
  <c r="H487" i="21"/>
  <c r="H488" i="21"/>
  <c r="H489" i="21"/>
  <c r="H490" i="21"/>
  <c r="H491" i="21"/>
  <c r="H492" i="21"/>
  <c r="H493" i="21"/>
  <c r="H494" i="21"/>
  <c r="H495" i="21"/>
  <c r="H496" i="21"/>
  <c r="H497" i="21"/>
  <c r="H498" i="21"/>
  <c r="H499" i="21"/>
  <c r="H500" i="21"/>
  <c r="K885" i="1"/>
  <c r="H885" i="1"/>
  <c r="M885" i="1" s="1"/>
  <c r="K884" i="1"/>
  <c r="H884" i="1"/>
  <c r="M884" i="1" s="1"/>
  <c r="K883" i="1"/>
  <c r="H883" i="1"/>
  <c r="M883" i="1" s="1"/>
  <c r="K882" i="1"/>
  <c r="K881" i="1"/>
  <c r="K902" i="1"/>
  <c r="H902" i="1"/>
  <c r="M902" i="1" s="1"/>
  <c r="K901" i="1"/>
  <c r="K900" i="1"/>
  <c r="H900" i="1"/>
  <c r="M900" i="1" s="1"/>
  <c r="K899" i="1"/>
  <c r="H899" i="1"/>
  <c r="M899" i="1" s="1"/>
  <c r="K898" i="1"/>
  <c r="H898" i="1"/>
  <c r="M898" i="1" s="1"/>
  <c r="H897" i="1"/>
  <c r="M897" i="1" s="1"/>
  <c r="K897" i="1"/>
  <c r="K879" i="1"/>
  <c r="H879" i="1"/>
  <c r="M879" i="1" s="1"/>
  <c r="K878" i="1"/>
  <c r="H878" i="1"/>
  <c r="M878" i="1" s="1"/>
  <c r="K877" i="1"/>
  <c r="K873" i="1"/>
  <c r="K872" i="1"/>
  <c r="H872" i="1"/>
  <c r="M872" i="1" s="1"/>
  <c r="K871" i="1"/>
  <c r="K895" i="1"/>
  <c r="K894" i="1"/>
  <c r="K893" i="1"/>
  <c r="K892" i="1"/>
  <c r="K891" i="1"/>
  <c r="K890" i="1"/>
  <c r="G2" i="8"/>
  <c r="C2" i="8"/>
  <c r="H891" i="1"/>
  <c r="M891" i="1" s="1"/>
  <c r="H892" i="1"/>
  <c r="M892" i="1" s="1"/>
  <c r="H893" i="1"/>
  <c r="H894" i="1"/>
  <c r="H895" i="1"/>
  <c r="H890" i="1"/>
  <c r="M890" i="1" s="1"/>
  <c r="E19" i="33"/>
  <c r="E18" i="33"/>
  <c r="E16" i="33"/>
  <c r="E15" i="33"/>
  <c r="E14" i="33"/>
  <c r="E13" i="33"/>
  <c r="E12" i="33"/>
  <c r="E11" i="33"/>
  <c r="E10" i="33"/>
  <c r="E9" i="33"/>
  <c r="E8" i="33"/>
  <c r="E7" i="33"/>
  <c r="E6" i="33"/>
  <c r="D71" i="5"/>
  <c r="E71" i="5" s="1"/>
  <c r="K869" i="1"/>
  <c r="K868" i="1"/>
  <c r="K867" i="1"/>
  <c r="K866" i="1"/>
  <c r="K865" i="1"/>
  <c r="K864" i="1"/>
  <c r="K857" i="1"/>
  <c r="K858" i="1"/>
  <c r="K859" i="1"/>
  <c r="K860" i="1"/>
  <c r="K861" i="1"/>
  <c r="K862" i="1"/>
  <c r="K856" i="1"/>
  <c r="G56" i="5"/>
  <c r="G57" i="5"/>
  <c r="G55" i="5"/>
  <c r="N627" i="1"/>
  <c r="M627" i="1"/>
  <c r="K627" i="1"/>
  <c r="O25" i="5" l="1"/>
  <c r="F7" i="26"/>
  <c r="E7" i="26"/>
  <c r="D7" i="26"/>
  <c r="F8" i="26"/>
  <c r="E8" i="26"/>
  <c r="D8" i="26"/>
  <c r="D5" i="26"/>
  <c r="E5" i="26"/>
  <c r="F5" i="26"/>
  <c r="F10" i="26"/>
  <c r="E10" i="26"/>
  <c r="D10" i="26"/>
  <c r="D9" i="26"/>
  <c r="E9" i="26"/>
  <c r="F9" i="26"/>
  <c r="H881" i="1"/>
  <c r="H868" i="1"/>
  <c r="M868" i="1" s="1"/>
  <c r="H882" i="1"/>
  <c r="M882" i="1" s="1"/>
  <c r="H867" i="1"/>
  <c r="M867" i="1" s="1"/>
  <c r="H869" i="1"/>
  <c r="M869" i="1" s="1"/>
  <c r="H873" i="1"/>
  <c r="M873" i="1" s="1"/>
  <c r="H866" i="1"/>
  <c r="K55" i="5"/>
  <c r="M865" i="1"/>
  <c r="M861" i="1"/>
  <c r="M859" i="1"/>
  <c r="M857" i="1"/>
  <c r="M862" i="1"/>
  <c r="M860" i="1"/>
  <c r="U20" i="33"/>
  <c r="W20" i="33"/>
  <c r="V20" i="33"/>
  <c r="M866" i="1" l="1"/>
  <c r="M881" i="1"/>
  <c r="J12" i="39"/>
  <c r="K16" i="30"/>
  <c r="K17" i="29"/>
  <c r="K16" i="29"/>
  <c r="M856" i="1"/>
  <c r="K15" i="29"/>
  <c r="K14" i="30"/>
  <c r="K15" i="30"/>
  <c r="G9" i="26"/>
  <c r="G3" i="26"/>
  <c r="G4" i="26"/>
  <c r="G5" i="26"/>
  <c r="G6" i="26"/>
  <c r="G7" i="26"/>
  <c r="G8" i="26"/>
  <c r="G10" i="26"/>
  <c r="G11" i="26"/>
  <c r="G13" i="26"/>
  <c r="G2" i="26"/>
  <c r="N626" i="1"/>
  <c r="M626" i="1"/>
  <c r="K626" i="1"/>
  <c r="M624" i="1"/>
  <c r="K624" i="1"/>
  <c r="M733" i="1"/>
  <c r="K733" i="1"/>
  <c r="M732" i="1"/>
  <c r="K732" i="1"/>
  <c r="M731" i="1"/>
  <c r="K731" i="1"/>
  <c r="M730" i="1"/>
  <c r="K730" i="1"/>
  <c r="M729" i="1"/>
  <c r="K729" i="1"/>
  <c r="M728" i="1"/>
  <c r="K728" i="1"/>
  <c r="M727" i="1"/>
  <c r="K727" i="1"/>
  <c r="H65" i="5"/>
  <c r="G65" i="5"/>
  <c r="F65" i="5"/>
  <c r="E65" i="5"/>
  <c r="M623" i="1"/>
  <c r="K623" i="1"/>
  <c r="M622" i="1"/>
  <c r="K622" i="1"/>
  <c r="M621" i="1"/>
  <c r="K621" i="1"/>
  <c r="L620" i="1"/>
  <c r="K620" i="1"/>
  <c r="H620" i="1"/>
  <c r="M620" i="1" s="1"/>
  <c r="K68" i="5"/>
  <c r="K69" i="5"/>
  <c r="K67" i="5"/>
  <c r="K880" i="1"/>
  <c r="L619" i="1"/>
  <c r="K619" i="1"/>
  <c r="H619" i="1"/>
  <c r="M619" i="1" s="1"/>
  <c r="H618" i="1"/>
  <c r="M618" i="1" s="1"/>
  <c r="K618" i="1"/>
  <c r="N618" i="1"/>
  <c r="N621" i="1"/>
  <c r="N622" i="1"/>
  <c r="N623" i="1"/>
  <c r="N624" i="1"/>
  <c r="H625" i="1"/>
  <c r="M625" i="1" s="1"/>
  <c r="K625" i="1"/>
  <c r="N625" i="1"/>
  <c r="N634" i="1"/>
  <c r="N635" i="1"/>
  <c r="N638" i="1"/>
  <c r="H709" i="1"/>
  <c r="M709" i="1" s="1"/>
  <c r="K709" i="1"/>
  <c r="N709" i="1"/>
  <c r="L617" i="1"/>
  <c r="K617" i="1"/>
  <c r="H617" i="1"/>
  <c r="M617" i="1" s="1"/>
  <c r="L616" i="1"/>
  <c r="K616" i="1"/>
  <c r="H616" i="1"/>
  <c r="M616" i="1" s="1"/>
  <c r="L615" i="1"/>
  <c r="K615" i="1"/>
  <c r="H615" i="1"/>
  <c r="M615" i="1" s="1"/>
  <c r="N880" i="1"/>
  <c r="H880" i="1"/>
  <c r="H903" i="1"/>
  <c r="M903" i="1" s="1"/>
  <c r="K903" i="1"/>
  <c r="N903" i="1"/>
  <c r="H905" i="1"/>
  <c r="M905" i="1" s="1"/>
  <c r="K905" i="1"/>
  <c r="N905" i="1"/>
  <c r="H913" i="1"/>
  <c r="M913" i="1" s="1"/>
  <c r="K913" i="1"/>
  <c r="N913" i="1"/>
  <c r="K889" i="1"/>
  <c r="H889" i="1"/>
  <c r="H896" i="1"/>
  <c r="K896" i="1"/>
  <c r="N889" i="1"/>
  <c r="M895" i="1"/>
  <c r="M894" i="1"/>
  <c r="M893" i="1"/>
  <c r="H870" i="1"/>
  <c r="K870" i="1"/>
  <c r="N870" i="1"/>
  <c r="L614" i="1"/>
  <c r="K614" i="1"/>
  <c r="H614" i="1"/>
  <c r="M614" i="1" s="1"/>
  <c r="H718" i="1"/>
  <c r="M718" i="1" s="1"/>
  <c r="K718" i="1"/>
  <c r="N718" i="1"/>
  <c r="H742" i="1"/>
  <c r="M742" i="1" s="1"/>
  <c r="K742" i="1"/>
  <c r="N742" i="1"/>
  <c r="H838" i="1"/>
  <c r="M838" i="1" s="1"/>
  <c r="K838" i="1"/>
  <c r="N838" i="1"/>
  <c r="H791" i="1"/>
  <c r="M791" i="1" s="1"/>
  <c r="K791" i="1"/>
  <c r="N791" i="1"/>
  <c r="N790" i="1"/>
  <c r="M790" i="1"/>
  <c r="K790" i="1"/>
  <c r="N789" i="1"/>
  <c r="M789" i="1"/>
  <c r="K789" i="1"/>
  <c r="N787" i="1"/>
  <c r="M787" i="1"/>
  <c r="K787" i="1"/>
  <c r="N786" i="1"/>
  <c r="M786" i="1"/>
  <c r="K786" i="1"/>
  <c r="N785" i="1"/>
  <c r="M785" i="1"/>
  <c r="K785" i="1"/>
  <c r="N784" i="1"/>
  <c r="M784" i="1"/>
  <c r="K784" i="1"/>
  <c r="N783" i="1"/>
  <c r="M783" i="1"/>
  <c r="K783" i="1"/>
  <c r="L613" i="1"/>
  <c r="K613" i="1"/>
  <c r="H613" i="1"/>
  <c r="M613" i="1" s="1"/>
  <c r="L612" i="1"/>
  <c r="K612" i="1"/>
  <c r="H612" i="1"/>
  <c r="M612" i="1" s="1"/>
  <c r="K588" i="1"/>
  <c r="L495" i="1"/>
  <c r="K495" i="1"/>
  <c r="H495" i="1"/>
  <c r="M495" i="1" s="1"/>
  <c r="G12" i="26" l="1"/>
  <c r="F12" i="26"/>
  <c r="D12" i="26"/>
  <c r="E12" i="26"/>
  <c r="K21" i="29"/>
  <c r="O20" i="33"/>
  <c r="T12" i="33"/>
  <c r="T10" i="33"/>
  <c r="T9" i="33"/>
  <c r="T11" i="33"/>
  <c r="T8" i="33"/>
  <c r="T18" i="33"/>
  <c r="T17" i="33"/>
  <c r="T19" i="33"/>
  <c r="T16" i="33"/>
  <c r="G21" i="33"/>
  <c r="F21" i="33"/>
  <c r="Q20" i="33"/>
  <c r="T14" i="33"/>
  <c r="T7" i="33"/>
  <c r="P20" i="33"/>
  <c r="T15" i="33"/>
  <c r="E21" i="33"/>
  <c r="T13" i="33"/>
  <c r="L611" i="1"/>
  <c r="K611" i="1"/>
  <c r="H611" i="1"/>
  <c r="M611" i="1" s="1"/>
  <c r="AN24" i="25"/>
  <c r="AN25" i="25"/>
  <c r="AN26" i="25"/>
  <c r="AN27" i="25"/>
  <c r="AN28" i="25"/>
  <c r="AN29" i="25"/>
  <c r="AN30" i="25"/>
  <c r="AN31" i="25"/>
  <c r="AN32" i="25"/>
  <c r="AN33" i="25"/>
  <c r="AN34" i="25"/>
  <c r="AN35" i="25"/>
  <c r="AN23" i="25"/>
  <c r="AN4" i="25"/>
  <c r="AN5" i="25"/>
  <c r="AN6" i="25"/>
  <c r="AN7" i="25"/>
  <c r="AN8" i="25"/>
  <c r="AN9" i="25"/>
  <c r="AN10" i="25"/>
  <c r="AN11" i="25"/>
  <c r="AN12" i="25"/>
  <c r="AN13" i="25"/>
  <c r="AN14" i="25"/>
  <c r="AN15" i="25"/>
  <c r="AN3" i="25"/>
  <c r="N834" i="1"/>
  <c r="M834" i="1"/>
  <c r="K834" i="1"/>
  <c r="N833" i="1"/>
  <c r="M833" i="1"/>
  <c r="K833" i="1"/>
  <c r="N831" i="1"/>
  <c r="M831" i="1"/>
  <c r="K831" i="1"/>
  <c r="N836" i="1"/>
  <c r="M836" i="1"/>
  <c r="K836" i="1"/>
  <c r="N835" i="1"/>
  <c r="M835" i="1"/>
  <c r="K835" i="1"/>
  <c r="N832" i="1"/>
  <c r="M832" i="1"/>
  <c r="K832" i="1"/>
  <c r="N830" i="1"/>
  <c r="M830" i="1"/>
  <c r="K830" i="1"/>
  <c r="N829" i="1"/>
  <c r="M829" i="1"/>
  <c r="K829" i="1"/>
  <c r="N828" i="1"/>
  <c r="M828" i="1"/>
  <c r="K828" i="1"/>
  <c r="N827" i="1"/>
  <c r="M827" i="1"/>
  <c r="K827" i="1"/>
  <c r="N825" i="1"/>
  <c r="M825" i="1"/>
  <c r="K825" i="1"/>
  <c r="N824" i="1"/>
  <c r="M824" i="1"/>
  <c r="K824" i="1"/>
  <c r="N823" i="1"/>
  <c r="M823" i="1"/>
  <c r="K823" i="1"/>
  <c r="N822" i="1"/>
  <c r="M822" i="1"/>
  <c r="K822" i="1"/>
  <c r="N821" i="1"/>
  <c r="M821" i="1"/>
  <c r="K821" i="1"/>
  <c r="N820" i="1"/>
  <c r="M820" i="1"/>
  <c r="K820" i="1"/>
  <c r="N819" i="1"/>
  <c r="M819" i="1"/>
  <c r="K819" i="1"/>
  <c r="H826" i="1"/>
  <c r="M826" i="1" s="1"/>
  <c r="K826" i="1"/>
  <c r="N826" i="1"/>
  <c r="N815" i="1"/>
  <c r="M815" i="1"/>
  <c r="K815" i="1"/>
  <c r="N814" i="1"/>
  <c r="M814" i="1"/>
  <c r="K814" i="1"/>
  <c r="N812" i="1"/>
  <c r="M812" i="1"/>
  <c r="K812" i="1"/>
  <c r="N817" i="1"/>
  <c r="M817" i="1"/>
  <c r="K817" i="1"/>
  <c r="N816" i="1"/>
  <c r="M816" i="1"/>
  <c r="K816" i="1"/>
  <c r="N813" i="1"/>
  <c r="M813" i="1"/>
  <c r="K813" i="1"/>
  <c r="N811" i="1"/>
  <c r="M811" i="1"/>
  <c r="K811" i="1"/>
  <c r="N810" i="1"/>
  <c r="M810" i="1"/>
  <c r="K810" i="1"/>
  <c r="N809" i="1"/>
  <c r="M809" i="1"/>
  <c r="K809" i="1"/>
  <c r="N808" i="1"/>
  <c r="M808" i="1"/>
  <c r="K808" i="1"/>
  <c r="L610" i="1"/>
  <c r="K610" i="1"/>
  <c r="H610" i="1"/>
  <c r="M610" i="1" s="1"/>
  <c r="T20" i="33" l="1"/>
  <c r="H818" i="1"/>
  <c r="M818" i="1" s="1"/>
  <c r="K818" i="1"/>
  <c r="N818" i="1"/>
  <c r="N738" i="1"/>
  <c r="M738" i="1"/>
  <c r="K738" i="1"/>
  <c r="M722" i="1"/>
  <c r="K722" i="1"/>
  <c r="L608" i="1"/>
  <c r="K608" i="1"/>
  <c r="H608" i="1"/>
  <c r="M608" i="1" s="1"/>
  <c r="L607" i="1"/>
  <c r="K607" i="1"/>
  <c r="H607" i="1"/>
  <c r="M607" i="1" l="1"/>
  <c r="L606" i="1"/>
  <c r="K606" i="1"/>
  <c r="H606" i="1"/>
  <c r="L605" i="1"/>
  <c r="K605" i="1"/>
  <c r="H605" i="1"/>
  <c r="M605" i="1" s="1"/>
  <c r="H603" i="1"/>
  <c r="M603" i="1" s="1"/>
  <c r="L603" i="1"/>
  <c r="K603" i="1"/>
  <c r="H604" i="1"/>
  <c r="M604" i="1" s="1"/>
  <c r="K604" i="1"/>
  <c r="N604" i="1"/>
  <c r="H609" i="1"/>
  <c r="M609" i="1" s="1"/>
  <c r="K609" i="1"/>
  <c r="N609" i="1"/>
  <c r="N741" i="1"/>
  <c r="K741" i="1"/>
  <c r="M741" i="1"/>
  <c r="N740" i="1"/>
  <c r="K740" i="1"/>
  <c r="M740" i="1"/>
  <c r="N739" i="1"/>
  <c r="K739" i="1"/>
  <c r="M739" i="1"/>
  <c r="N737" i="1"/>
  <c r="K737" i="1"/>
  <c r="M737" i="1"/>
  <c r="N736" i="1"/>
  <c r="K736" i="1"/>
  <c r="M736" i="1"/>
  <c r="N735" i="1"/>
  <c r="K735" i="1"/>
  <c r="M735" i="1"/>
  <c r="K719" i="1"/>
  <c r="M719" i="1"/>
  <c r="K723" i="1"/>
  <c r="K724" i="1"/>
  <c r="K725" i="1"/>
  <c r="K721" i="1"/>
  <c r="M721" i="1"/>
  <c r="K720" i="1"/>
  <c r="M606" i="1" l="1"/>
  <c r="M720" i="1"/>
  <c r="M723" i="1"/>
  <c r="M724" i="1"/>
  <c r="M725" i="1"/>
  <c r="K863" i="1"/>
  <c r="L602" i="1"/>
  <c r="K602" i="1"/>
  <c r="H602" i="1"/>
  <c r="M602" i="1" s="1"/>
  <c r="L601" i="1"/>
  <c r="K601" i="1"/>
  <c r="H601" i="1"/>
  <c r="M601" i="1" s="1"/>
  <c r="L599" i="1"/>
  <c r="K599" i="1"/>
  <c r="H599" i="1"/>
  <c r="M599" i="1" s="1"/>
  <c r="L598" i="1"/>
  <c r="K598" i="1"/>
  <c r="H598" i="1"/>
  <c r="M598" i="1" s="1"/>
  <c r="H726" i="1"/>
  <c r="M726" i="1" s="1"/>
  <c r="K726" i="1"/>
  <c r="N726" i="1"/>
  <c r="H855" i="1"/>
  <c r="M855" i="1" s="1"/>
  <c r="K855" i="1"/>
  <c r="N855" i="1"/>
  <c r="L597" i="1"/>
  <c r="K597" i="1"/>
  <c r="H597" i="1"/>
  <c r="M597" i="1" s="1"/>
  <c r="L596" i="1"/>
  <c r="K596" i="1"/>
  <c r="H596" i="1"/>
  <c r="M596" i="1" s="1"/>
  <c r="L595" i="1"/>
  <c r="K595" i="1"/>
  <c r="H595" i="1"/>
  <c r="M595" i="1" s="1"/>
  <c r="L594" i="1"/>
  <c r="K594" i="1"/>
  <c r="H594" i="1"/>
  <c r="M594" i="1" s="1"/>
  <c r="L593" i="1"/>
  <c r="K593" i="1"/>
  <c r="H593" i="1"/>
  <c r="M593" i="1" s="1"/>
  <c r="L592" i="1" l="1"/>
  <c r="K592" i="1"/>
  <c r="H592" i="1"/>
  <c r="M592" i="1" s="1"/>
  <c r="L591" i="1"/>
  <c r="K591" i="1"/>
  <c r="H591" i="1"/>
  <c r="M591" i="1" s="1"/>
  <c r="K586" i="1"/>
  <c r="H586" i="1"/>
  <c r="M586" i="1" s="1"/>
  <c r="H600" i="1"/>
  <c r="M600" i="1" s="1"/>
  <c r="K600" i="1"/>
  <c r="N600" i="1"/>
  <c r="L589" i="1"/>
  <c r="L587" i="1"/>
  <c r="K589" i="1"/>
  <c r="H589" i="1"/>
  <c r="M589" i="1" s="1"/>
  <c r="K587" i="1"/>
  <c r="H587" i="1"/>
  <c r="M587" i="1" s="1"/>
  <c r="K585" i="1"/>
  <c r="H585" i="1"/>
  <c r="M585" i="1" s="1"/>
  <c r="L584" i="1"/>
  <c r="K584" i="1"/>
  <c r="H584" i="1"/>
  <c r="M584" i="1" s="1"/>
  <c r="AJ15" i="29"/>
  <c r="AK15" i="29"/>
  <c r="AM18" i="25"/>
  <c r="AM38" i="25" s="1"/>
  <c r="AL18" i="25"/>
  <c r="AL38" i="25" s="1"/>
  <c r="AK18" i="25"/>
  <c r="AK38" i="25" s="1"/>
  <c r="AJ18" i="25"/>
  <c r="AJ38" i="25" s="1"/>
  <c r="AI18" i="25"/>
  <c r="AI38" i="25" s="1"/>
  <c r="AH18" i="25"/>
  <c r="AH38" i="25" s="1"/>
  <c r="AG18" i="25"/>
  <c r="AG38" i="25" s="1"/>
  <c r="AF18" i="25"/>
  <c r="AF38" i="25" s="1"/>
  <c r="AE18" i="25"/>
  <c r="AE38" i="25" s="1"/>
  <c r="AD18" i="25"/>
  <c r="AD38" i="25" s="1"/>
  <c r="AC18" i="25"/>
  <c r="AC38" i="25" s="1"/>
  <c r="AB18" i="25"/>
  <c r="AB38" i="25" s="1"/>
  <c r="AA18" i="25"/>
  <c r="AA38" i="25" s="1"/>
  <c r="Z18" i="25"/>
  <c r="Z38" i="25" s="1"/>
  <c r="Y18" i="25"/>
  <c r="Y38" i="25" s="1"/>
  <c r="X18" i="25"/>
  <c r="X38" i="25" s="1"/>
  <c r="W18" i="25"/>
  <c r="W38" i="25" s="1"/>
  <c r="V18" i="25"/>
  <c r="V38" i="25" s="1"/>
  <c r="U18" i="25"/>
  <c r="U38" i="25" s="1"/>
  <c r="T18" i="25"/>
  <c r="T38" i="25" s="1"/>
  <c r="S18" i="25"/>
  <c r="S38" i="25" s="1"/>
  <c r="R18" i="25"/>
  <c r="R38" i="25" s="1"/>
  <c r="Q18" i="25"/>
  <c r="Q38" i="25" s="1"/>
  <c r="AM17" i="25"/>
  <c r="AM37" i="25" s="1"/>
  <c r="AL17" i="25"/>
  <c r="AL37" i="25" s="1"/>
  <c r="AK17" i="25"/>
  <c r="AK37" i="25" s="1"/>
  <c r="AJ17" i="25"/>
  <c r="AJ37" i="25" s="1"/>
  <c r="AI17" i="25"/>
  <c r="AI37" i="25" s="1"/>
  <c r="AH17" i="25"/>
  <c r="AH37" i="25" s="1"/>
  <c r="AG17" i="25"/>
  <c r="AG37" i="25" s="1"/>
  <c r="AF17" i="25"/>
  <c r="AF37" i="25" s="1"/>
  <c r="AE17" i="25"/>
  <c r="AE37" i="25" s="1"/>
  <c r="AD17" i="25"/>
  <c r="AD37" i="25" s="1"/>
  <c r="AC17" i="25"/>
  <c r="AC37" i="25" s="1"/>
  <c r="AB17" i="25"/>
  <c r="AB37" i="25" s="1"/>
  <c r="AA17" i="25"/>
  <c r="AA37" i="25" s="1"/>
  <c r="Z17" i="25"/>
  <c r="Z37" i="25" s="1"/>
  <c r="Y17" i="25"/>
  <c r="Y37" i="25" s="1"/>
  <c r="X17" i="25"/>
  <c r="X37" i="25" s="1"/>
  <c r="W17" i="25"/>
  <c r="W37" i="25" s="1"/>
  <c r="V17" i="25"/>
  <c r="V37" i="25" s="1"/>
  <c r="U17" i="25"/>
  <c r="U37" i="25" s="1"/>
  <c r="T17" i="25"/>
  <c r="T37" i="25" s="1"/>
  <c r="S17" i="25"/>
  <c r="S37" i="25" s="1"/>
  <c r="R17" i="25"/>
  <c r="R37" i="25" s="1"/>
  <c r="Q17" i="25"/>
  <c r="Q37" i="25" s="1"/>
  <c r="AM16" i="25"/>
  <c r="AM36" i="25" s="1"/>
  <c r="AL16" i="25"/>
  <c r="AL36" i="25" s="1"/>
  <c r="AK16" i="25"/>
  <c r="AK36" i="25" s="1"/>
  <c r="AJ16" i="25"/>
  <c r="AJ36" i="25" s="1"/>
  <c r="AI16" i="25"/>
  <c r="AI36" i="25" s="1"/>
  <c r="AH16" i="25"/>
  <c r="AH36" i="25" s="1"/>
  <c r="AG16" i="25"/>
  <c r="AG36" i="25" s="1"/>
  <c r="AF16" i="25"/>
  <c r="AF36" i="25" s="1"/>
  <c r="AE16" i="25"/>
  <c r="AE36" i="25" s="1"/>
  <c r="AD16" i="25"/>
  <c r="AD36" i="25" s="1"/>
  <c r="AC16" i="25"/>
  <c r="AC36" i="25" s="1"/>
  <c r="AB16" i="25"/>
  <c r="AB36" i="25" s="1"/>
  <c r="AA16" i="25"/>
  <c r="AA36" i="25" s="1"/>
  <c r="Z16" i="25"/>
  <c r="Z36" i="25" s="1"/>
  <c r="Y16" i="25"/>
  <c r="Y36" i="25" s="1"/>
  <c r="X16" i="25"/>
  <c r="X36" i="25" s="1"/>
  <c r="W16" i="25"/>
  <c r="W36" i="25" s="1"/>
  <c r="V16" i="25"/>
  <c r="V36" i="25" s="1"/>
  <c r="U16" i="25"/>
  <c r="U36" i="25" s="1"/>
  <c r="T16" i="25"/>
  <c r="T36" i="25" s="1"/>
  <c r="S16" i="25"/>
  <c r="S36" i="25" s="1"/>
  <c r="R16" i="25"/>
  <c r="R36" i="25" s="1"/>
  <c r="Q16" i="25"/>
  <c r="Q36" i="25" s="1"/>
  <c r="AM15" i="25"/>
  <c r="AM35" i="25" s="1"/>
  <c r="AL15" i="25"/>
  <c r="AL35" i="25" s="1"/>
  <c r="AK15" i="25"/>
  <c r="AK35" i="25" s="1"/>
  <c r="AJ15" i="25"/>
  <c r="AJ35" i="25" s="1"/>
  <c r="AI15" i="25"/>
  <c r="AI35" i="25" s="1"/>
  <c r="AH15" i="25"/>
  <c r="AH35" i="25" s="1"/>
  <c r="AG15" i="25"/>
  <c r="AG35" i="25" s="1"/>
  <c r="AF15" i="25"/>
  <c r="AF35" i="25" s="1"/>
  <c r="AE15" i="25"/>
  <c r="AE35" i="25" s="1"/>
  <c r="AD15" i="25"/>
  <c r="AD35" i="25" s="1"/>
  <c r="AC15" i="25"/>
  <c r="AC35" i="25" s="1"/>
  <c r="AB15" i="25"/>
  <c r="AB35" i="25" s="1"/>
  <c r="AA15" i="25"/>
  <c r="AA35" i="25" s="1"/>
  <c r="Z15" i="25"/>
  <c r="Z35" i="25" s="1"/>
  <c r="Y15" i="25"/>
  <c r="Y35" i="25" s="1"/>
  <c r="X15" i="25"/>
  <c r="X35" i="25" s="1"/>
  <c r="W15" i="25"/>
  <c r="W35" i="25" s="1"/>
  <c r="V15" i="25"/>
  <c r="V35" i="25" s="1"/>
  <c r="U15" i="25"/>
  <c r="U35" i="25" s="1"/>
  <c r="T15" i="25"/>
  <c r="T35" i="25" s="1"/>
  <c r="S15" i="25"/>
  <c r="S35" i="25" s="1"/>
  <c r="R15" i="25"/>
  <c r="R35" i="25" s="1"/>
  <c r="Q15" i="25"/>
  <c r="Q35" i="25" s="1"/>
  <c r="AM14" i="25"/>
  <c r="AM34" i="25" s="1"/>
  <c r="AL14" i="25"/>
  <c r="AL34" i="25" s="1"/>
  <c r="AK14" i="25"/>
  <c r="AK34" i="25" s="1"/>
  <c r="AJ14" i="25"/>
  <c r="AJ34" i="25" s="1"/>
  <c r="AI14" i="25"/>
  <c r="AI34" i="25" s="1"/>
  <c r="AH14" i="25"/>
  <c r="AH34" i="25" s="1"/>
  <c r="AG14" i="25"/>
  <c r="AG34" i="25" s="1"/>
  <c r="AF14" i="25"/>
  <c r="AF34" i="25" s="1"/>
  <c r="AE14" i="25"/>
  <c r="AE34" i="25" s="1"/>
  <c r="AD14" i="25"/>
  <c r="AD34" i="25" s="1"/>
  <c r="AC14" i="25"/>
  <c r="AC34" i="25" s="1"/>
  <c r="AB14" i="25"/>
  <c r="AB34" i="25" s="1"/>
  <c r="AA14" i="25"/>
  <c r="AA34" i="25" s="1"/>
  <c r="Z14" i="25"/>
  <c r="Z34" i="25" s="1"/>
  <c r="Y14" i="25"/>
  <c r="Y34" i="25" s="1"/>
  <c r="X14" i="25"/>
  <c r="X34" i="25" s="1"/>
  <c r="W14" i="25"/>
  <c r="W34" i="25" s="1"/>
  <c r="V14" i="25"/>
  <c r="V34" i="25" s="1"/>
  <c r="U14" i="25"/>
  <c r="U34" i="25" s="1"/>
  <c r="T14" i="25"/>
  <c r="T34" i="25" s="1"/>
  <c r="S14" i="25"/>
  <c r="S34" i="25" s="1"/>
  <c r="R14" i="25"/>
  <c r="R34" i="25" s="1"/>
  <c r="Q14" i="25"/>
  <c r="Q34" i="25" s="1"/>
  <c r="AM13" i="25"/>
  <c r="AM33" i="25" s="1"/>
  <c r="AL13" i="25"/>
  <c r="AL33" i="25" s="1"/>
  <c r="AK13" i="25"/>
  <c r="AK33" i="25" s="1"/>
  <c r="AJ13" i="25"/>
  <c r="AJ33" i="25" s="1"/>
  <c r="AI13" i="25"/>
  <c r="AI33" i="25" s="1"/>
  <c r="AH13" i="25"/>
  <c r="AH33" i="25" s="1"/>
  <c r="AG13" i="25"/>
  <c r="AG33" i="25" s="1"/>
  <c r="AF13" i="25"/>
  <c r="AF33" i="25" s="1"/>
  <c r="AE13" i="25"/>
  <c r="AE33" i="25" s="1"/>
  <c r="AD13" i="25"/>
  <c r="AD33" i="25" s="1"/>
  <c r="AC13" i="25"/>
  <c r="AC33" i="25" s="1"/>
  <c r="AB13" i="25"/>
  <c r="AB33" i="25" s="1"/>
  <c r="AA13" i="25"/>
  <c r="AA33" i="25" s="1"/>
  <c r="Z13" i="25"/>
  <c r="Z33" i="25" s="1"/>
  <c r="Y13" i="25"/>
  <c r="Y33" i="25" s="1"/>
  <c r="X13" i="25"/>
  <c r="X33" i="25" s="1"/>
  <c r="W13" i="25"/>
  <c r="W33" i="25" s="1"/>
  <c r="V13" i="25"/>
  <c r="V33" i="25" s="1"/>
  <c r="U13" i="25"/>
  <c r="U33" i="25" s="1"/>
  <c r="T13" i="25"/>
  <c r="T33" i="25" s="1"/>
  <c r="S13" i="25"/>
  <c r="S33" i="25" s="1"/>
  <c r="R13" i="25"/>
  <c r="R33" i="25" s="1"/>
  <c r="Q13" i="25"/>
  <c r="Q33" i="25" s="1"/>
  <c r="AM12" i="25"/>
  <c r="AM32" i="25" s="1"/>
  <c r="AL12" i="25"/>
  <c r="AL32" i="25" s="1"/>
  <c r="AK12" i="25"/>
  <c r="AK32" i="25" s="1"/>
  <c r="AJ12" i="25"/>
  <c r="AJ32" i="25" s="1"/>
  <c r="AI12" i="25"/>
  <c r="AI32" i="25" s="1"/>
  <c r="AH12" i="25"/>
  <c r="AH32" i="25" s="1"/>
  <c r="AG12" i="25"/>
  <c r="AG32" i="25" s="1"/>
  <c r="AF12" i="25"/>
  <c r="AF32" i="25" s="1"/>
  <c r="AE12" i="25"/>
  <c r="AE32" i="25" s="1"/>
  <c r="AD12" i="25"/>
  <c r="AD32" i="25" s="1"/>
  <c r="AC12" i="25"/>
  <c r="AC32" i="25" s="1"/>
  <c r="AB12" i="25"/>
  <c r="AB32" i="25" s="1"/>
  <c r="AA12" i="25"/>
  <c r="AA32" i="25" s="1"/>
  <c r="Z12" i="25"/>
  <c r="Z32" i="25" s="1"/>
  <c r="Y12" i="25"/>
  <c r="Y32" i="25" s="1"/>
  <c r="X12" i="25"/>
  <c r="X32" i="25" s="1"/>
  <c r="W12" i="25"/>
  <c r="W32" i="25" s="1"/>
  <c r="V12" i="25"/>
  <c r="V32" i="25" s="1"/>
  <c r="U12" i="25"/>
  <c r="U32" i="25" s="1"/>
  <c r="T12" i="25"/>
  <c r="T32" i="25" s="1"/>
  <c r="S12" i="25"/>
  <c r="S32" i="25" s="1"/>
  <c r="R12" i="25"/>
  <c r="R32" i="25" s="1"/>
  <c r="Q12" i="25"/>
  <c r="Q32" i="25" s="1"/>
  <c r="AM11" i="25"/>
  <c r="AM31" i="25" s="1"/>
  <c r="AL11" i="25"/>
  <c r="AL31" i="25" s="1"/>
  <c r="AK11" i="25"/>
  <c r="AK31" i="25" s="1"/>
  <c r="AJ11" i="25"/>
  <c r="AJ31" i="25" s="1"/>
  <c r="AI11" i="25"/>
  <c r="AI31" i="25" s="1"/>
  <c r="AH11" i="25"/>
  <c r="AH31" i="25" s="1"/>
  <c r="AG11" i="25"/>
  <c r="AG31" i="25" s="1"/>
  <c r="AF11" i="25"/>
  <c r="AF31" i="25" s="1"/>
  <c r="AE11" i="25"/>
  <c r="AE31" i="25" s="1"/>
  <c r="AD11" i="25"/>
  <c r="AD31" i="25" s="1"/>
  <c r="AC11" i="25"/>
  <c r="AC31" i="25" s="1"/>
  <c r="AB11" i="25"/>
  <c r="AB31" i="25" s="1"/>
  <c r="AA11" i="25"/>
  <c r="AA31" i="25" s="1"/>
  <c r="Z11" i="25"/>
  <c r="Z31" i="25" s="1"/>
  <c r="Y11" i="25"/>
  <c r="Y31" i="25" s="1"/>
  <c r="X11" i="25"/>
  <c r="X31" i="25" s="1"/>
  <c r="W11" i="25"/>
  <c r="W31" i="25" s="1"/>
  <c r="V11" i="25"/>
  <c r="V31" i="25" s="1"/>
  <c r="U11" i="25"/>
  <c r="U31" i="25" s="1"/>
  <c r="T11" i="25"/>
  <c r="T31" i="25" s="1"/>
  <c r="S11" i="25"/>
  <c r="S31" i="25" s="1"/>
  <c r="R11" i="25"/>
  <c r="R31" i="25" s="1"/>
  <c r="Q11" i="25"/>
  <c r="Q31" i="25" s="1"/>
  <c r="AM10" i="25"/>
  <c r="AM30" i="25" s="1"/>
  <c r="AL10" i="25"/>
  <c r="AL30" i="25" s="1"/>
  <c r="AK10" i="25"/>
  <c r="AK30" i="25" s="1"/>
  <c r="AJ10" i="25"/>
  <c r="AJ30" i="25" s="1"/>
  <c r="AI10" i="25"/>
  <c r="AI30" i="25" s="1"/>
  <c r="AH10" i="25"/>
  <c r="AH30" i="25" s="1"/>
  <c r="AG10" i="25"/>
  <c r="AG30" i="25" s="1"/>
  <c r="AF10" i="25"/>
  <c r="AF30" i="25" s="1"/>
  <c r="AE10" i="25"/>
  <c r="AE30" i="25" s="1"/>
  <c r="AD10" i="25"/>
  <c r="AD30" i="25" s="1"/>
  <c r="AC10" i="25"/>
  <c r="AC30" i="25" s="1"/>
  <c r="AB10" i="25"/>
  <c r="AB30" i="25" s="1"/>
  <c r="AA10" i="25"/>
  <c r="AA30" i="25" s="1"/>
  <c r="Z10" i="25"/>
  <c r="Z30" i="25" s="1"/>
  <c r="Y10" i="25"/>
  <c r="Y30" i="25" s="1"/>
  <c r="X10" i="25"/>
  <c r="X30" i="25" s="1"/>
  <c r="W10" i="25"/>
  <c r="W30" i="25" s="1"/>
  <c r="V10" i="25"/>
  <c r="V30" i="25" s="1"/>
  <c r="U10" i="25"/>
  <c r="U30" i="25" s="1"/>
  <c r="T10" i="25"/>
  <c r="T30" i="25" s="1"/>
  <c r="S10" i="25"/>
  <c r="S30" i="25" s="1"/>
  <c r="R10" i="25"/>
  <c r="R30" i="25" s="1"/>
  <c r="Q10" i="25"/>
  <c r="Q30" i="25" s="1"/>
  <c r="AM9" i="25"/>
  <c r="AM29" i="25" s="1"/>
  <c r="AL9" i="25"/>
  <c r="AL29" i="25" s="1"/>
  <c r="AK9" i="25"/>
  <c r="AK29" i="25" s="1"/>
  <c r="AJ9" i="25"/>
  <c r="AJ29" i="25" s="1"/>
  <c r="AI9" i="25"/>
  <c r="AI29" i="25" s="1"/>
  <c r="AH9" i="25"/>
  <c r="AH29" i="25" s="1"/>
  <c r="AG9" i="25"/>
  <c r="AG29" i="25" s="1"/>
  <c r="AF9" i="25"/>
  <c r="AF29" i="25" s="1"/>
  <c r="AE9" i="25"/>
  <c r="AE29" i="25" s="1"/>
  <c r="AD9" i="25"/>
  <c r="AD29" i="25" s="1"/>
  <c r="AC9" i="25"/>
  <c r="AC29" i="25" s="1"/>
  <c r="AB9" i="25"/>
  <c r="AB29" i="25" s="1"/>
  <c r="AA9" i="25"/>
  <c r="AA29" i="25" s="1"/>
  <c r="Z9" i="25"/>
  <c r="Z29" i="25" s="1"/>
  <c r="Y9" i="25"/>
  <c r="Y29" i="25" s="1"/>
  <c r="X9" i="25"/>
  <c r="X29" i="25" s="1"/>
  <c r="W9" i="25"/>
  <c r="W29" i="25" s="1"/>
  <c r="V9" i="25"/>
  <c r="V29" i="25" s="1"/>
  <c r="U9" i="25"/>
  <c r="U29" i="25" s="1"/>
  <c r="T9" i="25"/>
  <c r="T29" i="25" s="1"/>
  <c r="S9" i="25"/>
  <c r="S29" i="25" s="1"/>
  <c r="R9" i="25"/>
  <c r="R29" i="25" s="1"/>
  <c r="Q9" i="25"/>
  <c r="Q29" i="25" s="1"/>
  <c r="AM8" i="25"/>
  <c r="AM28" i="25" s="1"/>
  <c r="AL8" i="25"/>
  <c r="AL28" i="25" s="1"/>
  <c r="AK8" i="25"/>
  <c r="AK28" i="25" s="1"/>
  <c r="AJ8" i="25"/>
  <c r="AJ28" i="25" s="1"/>
  <c r="AI8" i="25"/>
  <c r="AI28" i="25" s="1"/>
  <c r="AH8" i="25"/>
  <c r="AH28" i="25" s="1"/>
  <c r="AG8" i="25"/>
  <c r="AG28" i="25" s="1"/>
  <c r="AF8" i="25"/>
  <c r="AF28" i="25" s="1"/>
  <c r="AE8" i="25"/>
  <c r="AE28" i="25" s="1"/>
  <c r="AD8" i="25"/>
  <c r="AD28" i="25" s="1"/>
  <c r="AC8" i="25"/>
  <c r="AC28" i="25" s="1"/>
  <c r="AB8" i="25"/>
  <c r="AB28" i="25" s="1"/>
  <c r="AA8" i="25"/>
  <c r="AA28" i="25" s="1"/>
  <c r="Z8" i="25"/>
  <c r="Z28" i="25" s="1"/>
  <c r="Y8" i="25"/>
  <c r="Y28" i="25" s="1"/>
  <c r="X8" i="25"/>
  <c r="X28" i="25" s="1"/>
  <c r="W8" i="25"/>
  <c r="W28" i="25" s="1"/>
  <c r="V8" i="25"/>
  <c r="V28" i="25" s="1"/>
  <c r="U8" i="25"/>
  <c r="U28" i="25" s="1"/>
  <c r="T8" i="25"/>
  <c r="T28" i="25" s="1"/>
  <c r="S8" i="25"/>
  <c r="S28" i="25" s="1"/>
  <c r="R8" i="25"/>
  <c r="R28" i="25" s="1"/>
  <c r="Q8" i="25"/>
  <c r="Q28" i="25" s="1"/>
  <c r="AM7" i="25"/>
  <c r="AM27" i="25" s="1"/>
  <c r="AL7" i="25"/>
  <c r="AL27" i="25" s="1"/>
  <c r="AK7" i="25"/>
  <c r="AK27" i="25" s="1"/>
  <c r="AJ7" i="25"/>
  <c r="AJ27" i="25" s="1"/>
  <c r="AI7" i="25"/>
  <c r="AI27" i="25" s="1"/>
  <c r="AH7" i="25"/>
  <c r="AH27" i="25" s="1"/>
  <c r="AG7" i="25"/>
  <c r="AG27" i="25" s="1"/>
  <c r="AF7" i="25"/>
  <c r="AF27" i="25" s="1"/>
  <c r="AE7" i="25"/>
  <c r="AE27" i="25" s="1"/>
  <c r="AD7" i="25"/>
  <c r="AD27" i="25" s="1"/>
  <c r="AC7" i="25"/>
  <c r="AC27" i="25" s="1"/>
  <c r="AB7" i="25"/>
  <c r="AB27" i="25" s="1"/>
  <c r="AA7" i="25"/>
  <c r="AA27" i="25" s="1"/>
  <c r="Z7" i="25"/>
  <c r="Z27" i="25" s="1"/>
  <c r="Y7" i="25"/>
  <c r="Y27" i="25" s="1"/>
  <c r="X7" i="25"/>
  <c r="X27" i="25" s="1"/>
  <c r="W7" i="25"/>
  <c r="W27" i="25" s="1"/>
  <c r="V7" i="25"/>
  <c r="V27" i="25" s="1"/>
  <c r="U7" i="25"/>
  <c r="U27" i="25" s="1"/>
  <c r="T7" i="25"/>
  <c r="T27" i="25" s="1"/>
  <c r="S7" i="25"/>
  <c r="S27" i="25" s="1"/>
  <c r="R7" i="25"/>
  <c r="R27" i="25" s="1"/>
  <c r="Q7" i="25"/>
  <c r="Q27" i="25" s="1"/>
  <c r="AM6" i="25"/>
  <c r="AM26" i="25" s="1"/>
  <c r="AL6" i="25"/>
  <c r="AL26" i="25" s="1"/>
  <c r="AK6" i="25"/>
  <c r="AK26" i="25" s="1"/>
  <c r="AJ6" i="25"/>
  <c r="AJ26" i="25" s="1"/>
  <c r="AI6" i="25"/>
  <c r="AI26" i="25" s="1"/>
  <c r="AH6" i="25"/>
  <c r="AH26" i="25" s="1"/>
  <c r="AG6" i="25"/>
  <c r="AG26" i="25" s="1"/>
  <c r="AF6" i="25"/>
  <c r="AF26" i="25" s="1"/>
  <c r="AE6" i="25"/>
  <c r="AE26" i="25" s="1"/>
  <c r="AD6" i="25"/>
  <c r="AD26" i="25" s="1"/>
  <c r="AC6" i="25"/>
  <c r="AC26" i="25" s="1"/>
  <c r="AB6" i="25"/>
  <c r="AB26" i="25" s="1"/>
  <c r="AA6" i="25"/>
  <c r="AA26" i="25" s="1"/>
  <c r="Z6" i="25"/>
  <c r="Z26" i="25" s="1"/>
  <c r="Y6" i="25"/>
  <c r="Y26" i="25" s="1"/>
  <c r="X6" i="25"/>
  <c r="X26" i="25" s="1"/>
  <c r="W6" i="25"/>
  <c r="W26" i="25" s="1"/>
  <c r="V6" i="25"/>
  <c r="V26" i="25" s="1"/>
  <c r="U6" i="25"/>
  <c r="U26" i="25" s="1"/>
  <c r="T6" i="25"/>
  <c r="T26" i="25" s="1"/>
  <c r="S6" i="25"/>
  <c r="S26" i="25" s="1"/>
  <c r="R6" i="25"/>
  <c r="R26" i="25" s="1"/>
  <c r="Q6" i="25"/>
  <c r="Q26" i="25" s="1"/>
  <c r="AM5" i="25"/>
  <c r="AM25" i="25" s="1"/>
  <c r="AL5" i="25"/>
  <c r="AL25" i="25" s="1"/>
  <c r="AK5" i="25"/>
  <c r="AK25" i="25" s="1"/>
  <c r="AJ5" i="25"/>
  <c r="AJ25" i="25" s="1"/>
  <c r="AI5" i="25"/>
  <c r="AI25" i="25" s="1"/>
  <c r="AH5" i="25"/>
  <c r="AH25" i="25" s="1"/>
  <c r="AG5" i="25"/>
  <c r="AG25" i="25" s="1"/>
  <c r="AF5" i="25"/>
  <c r="AF25" i="25" s="1"/>
  <c r="AE5" i="25"/>
  <c r="AE25" i="25" s="1"/>
  <c r="AD5" i="25"/>
  <c r="AD25" i="25" s="1"/>
  <c r="AC5" i="25"/>
  <c r="AC25" i="25" s="1"/>
  <c r="AB5" i="25"/>
  <c r="AB25" i="25" s="1"/>
  <c r="AA5" i="25"/>
  <c r="AA25" i="25" s="1"/>
  <c r="Z5" i="25"/>
  <c r="Z25" i="25" s="1"/>
  <c r="Y5" i="25"/>
  <c r="Y25" i="25" s="1"/>
  <c r="X5" i="25"/>
  <c r="X25" i="25" s="1"/>
  <c r="W5" i="25"/>
  <c r="W25" i="25" s="1"/>
  <c r="V5" i="25"/>
  <c r="V25" i="25" s="1"/>
  <c r="U5" i="25"/>
  <c r="U25" i="25" s="1"/>
  <c r="T5" i="25"/>
  <c r="T25" i="25" s="1"/>
  <c r="S5" i="25"/>
  <c r="S25" i="25" s="1"/>
  <c r="R5" i="25"/>
  <c r="R25" i="25" s="1"/>
  <c r="Q5" i="25"/>
  <c r="Q25" i="25" s="1"/>
  <c r="AM4" i="25"/>
  <c r="AM24" i="25" s="1"/>
  <c r="AL4" i="25"/>
  <c r="AL24" i="25" s="1"/>
  <c r="AK4" i="25"/>
  <c r="AK24" i="25" s="1"/>
  <c r="AJ4" i="25"/>
  <c r="AJ24" i="25" s="1"/>
  <c r="AI4" i="25"/>
  <c r="AI24" i="25" s="1"/>
  <c r="AH4" i="25"/>
  <c r="AH24" i="25" s="1"/>
  <c r="AG4" i="25"/>
  <c r="AG24" i="25" s="1"/>
  <c r="AF4" i="25"/>
  <c r="AF24" i="25" s="1"/>
  <c r="AE4" i="25"/>
  <c r="AE24" i="25" s="1"/>
  <c r="AD4" i="25"/>
  <c r="AD24" i="25" s="1"/>
  <c r="AC4" i="25"/>
  <c r="AC24" i="25" s="1"/>
  <c r="AB4" i="25"/>
  <c r="AB24" i="25" s="1"/>
  <c r="AA4" i="25"/>
  <c r="AA24" i="25" s="1"/>
  <c r="Z4" i="25"/>
  <c r="Z24" i="25" s="1"/>
  <c r="Y4" i="25"/>
  <c r="Y24" i="25" s="1"/>
  <c r="X4" i="25"/>
  <c r="X24" i="25" s="1"/>
  <c r="W4" i="25"/>
  <c r="W24" i="25" s="1"/>
  <c r="V4" i="25"/>
  <c r="V24" i="25" s="1"/>
  <c r="U4" i="25"/>
  <c r="U24" i="25" s="1"/>
  <c r="T4" i="25"/>
  <c r="T24" i="25" s="1"/>
  <c r="S4" i="25"/>
  <c r="S24" i="25" s="1"/>
  <c r="R4" i="25"/>
  <c r="R24" i="25" s="1"/>
  <c r="Q4" i="25"/>
  <c r="Q24" i="25" s="1"/>
  <c r="AM3" i="25"/>
  <c r="AM23" i="25" s="1"/>
  <c r="AL3" i="25"/>
  <c r="AL23" i="25" s="1"/>
  <c r="AK3" i="25"/>
  <c r="AK23" i="25" s="1"/>
  <c r="AJ3" i="25"/>
  <c r="AJ23" i="25" s="1"/>
  <c r="AI3" i="25"/>
  <c r="AI23" i="25" s="1"/>
  <c r="AH3" i="25"/>
  <c r="AH23" i="25" s="1"/>
  <c r="AG3" i="25"/>
  <c r="AG23" i="25" s="1"/>
  <c r="AF3" i="25"/>
  <c r="AF23" i="25" s="1"/>
  <c r="AE3" i="25"/>
  <c r="AE23" i="25" s="1"/>
  <c r="AD3" i="25"/>
  <c r="AD23" i="25" s="1"/>
  <c r="AC3" i="25"/>
  <c r="AC23" i="25" s="1"/>
  <c r="AB3" i="25"/>
  <c r="AB23" i="25" s="1"/>
  <c r="AA3" i="25"/>
  <c r="AA23" i="25" s="1"/>
  <c r="Z3" i="25"/>
  <c r="Z23" i="25" s="1"/>
  <c r="Y3" i="25"/>
  <c r="Y23" i="25" s="1"/>
  <c r="X3" i="25"/>
  <c r="X23" i="25" s="1"/>
  <c r="W3" i="25"/>
  <c r="W23" i="25" s="1"/>
  <c r="V3" i="25"/>
  <c r="V23" i="25" s="1"/>
  <c r="U3" i="25"/>
  <c r="U23" i="25" s="1"/>
  <c r="T3" i="25"/>
  <c r="T23" i="25" s="1"/>
  <c r="S3" i="25"/>
  <c r="S23" i="25" s="1"/>
  <c r="R3" i="25"/>
  <c r="R23" i="25" s="1"/>
  <c r="Q3" i="25"/>
  <c r="Q23" i="25" s="1"/>
  <c r="AB14" i="30"/>
  <c r="AK18" i="30"/>
  <c r="AJ18" i="30"/>
  <c r="AK17" i="30"/>
  <c r="AJ17" i="30"/>
  <c r="AK16" i="30"/>
  <c r="AJ16" i="30"/>
  <c r="AK15" i="30"/>
  <c r="AJ15" i="30"/>
  <c r="AK14" i="30"/>
  <c r="AJ14" i="30"/>
  <c r="AK13" i="30"/>
  <c r="AJ13" i="30"/>
  <c r="AK12" i="30"/>
  <c r="AJ12" i="30"/>
  <c r="AK11" i="30"/>
  <c r="AJ11" i="30"/>
  <c r="AK10" i="30"/>
  <c r="AJ10" i="30"/>
  <c r="AK9" i="30"/>
  <c r="AJ9" i="30"/>
  <c r="AK8" i="30"/>
  <c r="AJ8" i="30"/>
  <c r="AK7" i="30"/>
  <c r="AJ7" i="30"/>
  <c r="AK6" i="30"/>
  <c r="AJ6" i="30"/>
  <c r="AK5" i="30"/>
  <c r="AJ5" i="30"/>
  <c r="AK19" i="29"/>
  <c r="AK18" i="29"/>
  <c r="AK17" i="29"/>
  <c r="AK16" i="29"/>
  <c r="AK14" i="29"/>
  <c r="AK13" i="29"/>
  <c r="AK12" i="29"/>
  <c r="AK11" i="29"/>
  <c r="AK10" i="29"/>
  <c r="AK9" i="29"/>
  <c r="AK8" i="29"/>
  <c r="AK7" i="29"/>
  <c r="AK6" i="29"/>
  <c r="AJ19" i="29"/>
  <c r="AJ18" i="29"/>
  <c r="AJ17" i="29"/>
  <c r="AJ16" i="29"/>
  <c r="AJ13" i="29"/>
  <c r="AJ12" i="29"/>
  <c r="AJ11" i="29"/>
  <c r="AJ10" i="29"/>
  <c r="AJ9" i="29"/>
  <c r="AJ8" i="29"/>
  <c r="AJ7" i="29"/>
  <c r="AJ6" i="29"/>
  <c r="AJ14" i="29"/>
  <c r="AB15" i="29"/>
  <c r="K994" i="1"/>
  <c r="K993" i="1"/>
  <c r="H993" i="1"/>
  <c r="M993" i="1" s="1"/>
  <c r="N993" i="1"/>
  <c r="H994" i="1"/>
  <c r="M994" i="1" s="1"/>
  <c r="N994" i="1"/>
  <c r="X46" i="5"/>
  <c r="X45" i="5"/>
  <c r="X48" i="5" s="1"/>
  <c r="A13" i="22" l="1" a="1"/>
  <c r="D22" i="22" s="1"/>
  <c r="E13" i="22" a="1"/>
  <c r="H35" i="22" s="1"/>
  <c r="D6" i="22"/>
  <c r="D9" i="22" s="1"/>
  <c r="Y48" i="5"/>
  <c r="Z48" i="5" s="1"/>
  <c r="D23" i="22" l="1"/>
  <c r="D24" i="22"/>
  <c r="D25" i="22"/>
  <c r="D26" i="22"/>
  <c r="D27" i="22"/>
  <c r="D28" i="22"/>
  <c r="D29" i="22"/>
  <c r="D30" i="22"/>
  <c r="D13" i="22"/>
  <c r="D14" i="22"/>
  <c r="D15" i="22"/>
  <c r="D16" i="22"/>
  <c r="D17" i="22"/>
  <c r="D18" i="22"/>
  <c r="D19" i="22"/>
  <c r="D20" i="22"/>
  <c r="D21" i="22"/>
  <c r="H31" i="22"/>
  <c r="H32" i="22"/>
  <c r="H33" i="22"/>
  <c r="H34" i="22"/>
  <c r="H105" i="10"/>
  <c r="I105" i="10" s="1"/>
  <c r="K105" i="10" s="1"/>
  <c r="H30" i="22"/>
  <c r="H29" i="22"/>
  <c r="H26" i="22"/>
  <c r="H27" i="22"/>
  <c r="H28" i="22"/>
  <c r="H23" i="22"/>
  <c r="H24" i="22"/>
  <c r="H25" i="22"/>
  <c r="H13" i="22"/>
  <c r="H14" i="22"/>
  <c r="H15" i="22"/>
  <c r="H16" i="22"/>
  <c r="H17" i="22"/>
  <c r="H18" i="22"/>
  <c r="H19" i="22"/>
  <c r="H20" i="22"/>
  <c r="H21" i="22"/>
  <c r="H22" i="22"/>
  <c r="V46" i="5"/>
  <c r="V45" i="5"/>
  <c r="L350" i="1"/>
  <c r="L491" i="1"/>
  <c r="L531" i="1"/>
  <c r="K531" i="1"/>
  <c r="H531" i="1"/>
  <c r="M531" i="1" s="1"/>
  <c r="L435" i="1"/>
  <c r="K435" i="1"/>
  <c r="H435" i="1"/>
  <c r="M435" i="1" s="1"/>
  <c r="L582" i="1"/>
  <c r="K582" i="1"/>
  <c r="H582" i="1"/>
  <c r="M582" i="1" s="1"/>
  <c r="L581" i="1"/>
  <c r="K581" i="1"/>
  <c r="H581" i="1"/>
  <c r="M581" i="1" s="1"/>
  <c r="M28" i="22"/>
  <c r="E6" i="22" l="1"/>
  <c r="E9" i="22" s="1"/>
  <c r="L580" i="1"/>
  <c r="K580" i="1"/>
  <c r="H580" i="1"/>
  <c r="M580" i="1" s="1"/>
  <c r="L579" i="1"/>
  <c r="K579" i="1"/>
  <c r="H579" i="1"/>
  <c r="M579" i="1" s="1"/>
  <c r="L578" i="1"/>
  <c r="K578" i="1"/>
  <c r="H578" i="1"/>
  <c r="L577" i="1"/>
  <c r="K577" i="1"/>
  <c r="H577" i="1"/>
  <c r="L576" i="1"/>
  <c r="K576" i="1"/>
  <c r="H576" i="1"/>
  <c r="M576" i="1" s="1"/>
  <c r="L575" i="1"/>
  <c r="L574" i="1"/>
  <c r="K575" i="1"/>
  <c r="H575" i="1"/>
  <c r="M575" i="1" s="1"/>
  <c r="K574" i="1"/>
  <c r="H574" i="1"/>
  <c r="M574" i="1" s="1"/>
  <c r="H583" i="1"/>
  <c r="M583" i="1" s="1"/>
  <c r="K583" i="1"/>
  <c r="N583" i="1"/>
  <c r="H590" i="1"/>
  <c r="M590" i="1" s="1"/>
  <c r="K590" i="1"/>
  <c r="N590" i="1"/>
  <c r="L573" i="1"/>
  <c r="K573" i="1"/>
  <c r="H573" i="1"/>
  <c r="M573" i="1" s="1"/>
  <c r="L572" i="1"/>
  <c r="K572" i="1"/>
  <c r="H572" i="1"/>
  <c r="M572" i="1" s="1"/>
  <c r="L570" i="1"/>
  <c r="K570" i="1"/>
  <c r="H570" i="1"/>
  <c r="L569" i="1"/>
  <c r="K569" i="1"/>
  <c r="H569" i="1"/>
  <c r="M569" i="1" s="1"/>
  <c r="L568" i="1"/>
  <c r="K568" i="1"/>
  <c r="H568" i="1"/>
  <c r="M568" i="1" s="1"/>
  <c r="L567" i="1"/>
  <c r="K567" i="1"/>
  <c r="H567" i="1"/>
  <c r="M567" i="1" s="1"/>
  <c r="K566" i="1"/>
  <c r="H566" i="1"/>
  <c r="M566" i="1" s="1"/>
  <c r="L565" i="1"/>
  <c r="K565" i="1"/>
  <c r="H565" i="1"/>
  <c r="M565" i="1" s="1"/>
  <c r="L564" i="1"/>
  <c r="K564" i="1"/>
  <c r="H564" i="1"/>
  <c r="M564" i="1" s="1"/>
  <c r="L563" i="1"/>
  <c r="K563" i="1"/>
  <c r="H563" i="1"/>
  <c r="M563" i="1" s="1"/>
  <c r="K562" i="1"/>
  <c r="H562" i="1"/>
  <c r="M562" i="1" s="1"/>
  <c r="K561" i="1"/>
  <c r="H561" i="1"/>
  <c r="M561" i="1" s="1"/>
  <c r="H559" i="1"/>
  <c r="M559" i="1" s="1"/>
  <c r="K559" i="1"/>
  <c r="L559" i="1"/>
  <c r="H560" i="1"/>
  <c r="M560" i="1" s="1"/>
  <c r="K560" i="1"/>
  <c r="H571" i="1"/>
  <c r="M571" i="1" s="1"/>
  <c r="K571" i="1"/>
  <c r="N571" i="1"/>
  <c r="K558" i="1"/>
  <c r="H558" i="1"/>
  <c r="M558" i="1" s="1"/>
  <c r="L556" i="1"/>
  <c r="K556" i="1"/>
  <c r="H556" i="1"/>
  <c r="M556" i="1" s="1"/>
  <c r="K555" i="1"/>
  <c r="H555" i="1"/>
  <c r="M555" i="1" s="1"/>
  <c r="L554" i="1"/>
  <c r="K554" i="1"/>
  <c r="H554" i="1"/>
  <c r="M554" i="1" s="1"/>
  <c r="K553" i="1"/>
  <c r="H553" i="1"/>
  <c r="M553" i="1" s="1"/>
  <c r="L552" i="1"/>
  <c r="K552" i="1"/>
  <c r="H552" i="1"/>
  <c r="M552" i="1" s="1"/>
  <c r="D77" i="33"/>
  <c r="D78" i="33" s="1"/>
  <c r="D79" i="33" s="1"/>
  <c r="L544" i="1"/>
  <c r="K544" i="1"/>
  <c r="H544" i="1"/>
  <c r="M544" i="1" s="1"/>
  <c r="L551" i="1"/>
  <c r="K551" i="1"/>
  <c r="H551" i="1"/>
  <c r="M551" i="1" s="1"/>
  <c r="L550" i="1"/>
  <c r="K550" i="1"/>
  <c r="H550" i="1"/>
  <c r="M550" i="1" s="1"/>
  <c r="H557" i="1"/>
  <c r="M557" i="1" s="1"/>
  <c r="K557" i="1"/>
  <c r="N557" i="1"/>
  <c r="L549" i="1"/>
  <c r="K549" i="1"/>
  <c r="H549" i="1"/>
  <c r="M549" i="1" s="1"/>
  <c r="L548" i="1"/>
  <c r="K548" i="1"/>
  <c r="H548" i="1"/>
  <c r="M548" i="1" s="1"/>
  <c r="L547" i="1"/>
  <c r="K547" i="1"/>
  <c r="H547" i="1"/>
  <c r="M547" i="1" s="1"/>
  <c r="L546" i="1"/>
  <c r="K546" i="1"/>
  <c r="H546" i="1"/>
  <c r="M546" i="1" s="1"/>
  <c r="L545" i="1"/>
  <c r="K545" i="1"/>
  <c r="H545" i="1"/>
  <c r="M545" i="1" s="1"/>
  <c r="R579" i="1"/>
  <c r="L542" i="1"/>
  <c r="L543" i="1"/>
  <c r="K543" i="1"/>
  <c r="H543" i="1"/>
  <c r="M543" i="1" s="1"/>
  <c r="K542" i="1"/>
  <c r="H542" i="1"/>
  <c r="L541" i="1"/>
  <c r="K541" i="1"/>
  <c r="H541" i="1"/>
  <c r="M541" i="1" s="1"/>
  <c r="L539" i="1"/>
  <c r="K539" i="1"/>
  <c r="H539" i="1"/>
  <c r="M539" i="1" s="1"/>
  <c r="L535" i="1"/>
  <c r="L537" i="1"/>
  <c r="K537" i="1"/>
  <c r="H537" i="1"/>
  <c r="M537" i="1" s="1"/>
  <c r="K535" i="1"/>
  <c r="H535" i="1"/>
  <c r="M535" i="1" s="1"/>
  <c r="K534" i="1"/>
  <c r="H534" i="1"/>
  <c r="M534" i="1" s="1"/>
  <c r="K533" i="1"/>
  <c r="H533" i="1"/>
  <c r="M533" i="1" s="1"/>
  <c r="K532" i="1"/>
  <c r="H532" i="1"/>
  <c r="M532" i="1" s="1"/>
  <c r="M540" i="1"/>
  <c r="K530" i="1"/>
  <c r="H530" i="1"/>
  <c r="M530" i="1" s="1"/>
  <c r="L529" i="1"/>
  <c r="K529" i="1"/>
  <c r="H529" i="1"/>
  <c r="M529" i="1" s="1"/>
  <c r="K528" i="1"/>
  <c r="H528" i="1"/>
  <c r="M528" i="1" s="1"/>
  <c r="K527" i="1"/>
  <c r="H527" i="1"/>
  <c r="M527" i="1" s="1"/>
  <c r="K526" i="1"/>
  <c r="H526" i="1"/>
  <c r="M526" i="1" s="1"/>
  <c r="K525" i="1"/>
  <c r="H525" i="1"/>
  <c r="M525" i="1" s="1"/>
  <c r="L524" i="1"/>
  <c r="K524" i="1"/>
  <c r="H524" i="1"/>
  <c r="M524" i="1" s="1"/>
  <c r="J32" i="13"/>
  <c r="J16" i="13"/>
  <c r="J3" i="26"/>
  <c r="J4" i="26"/>
  <c r="J5" i="26"/>
  <c r="J6" i="26"/>
  <c r="J7" i="26"/>
  <c r="J8" i="26"/>
  <c r="J9" i="26"/>
  <c r="J10" i="26"/>
  <c r="J11" i="26"/>
  <c r="J12" i="26"/>
  <c r="J13" i="26"/>
  <c r="J2" i="26"/>
  <c r="L523" i="1"/>
  <c r="K523" i="1"/>
  <c r="H523" i="1"/>
  <c r="M523" i="1" s="1"/>
  <c r="L494" i="1"/>
  <c r="K494" i="1"/>
  <c r="H494" i="1"/>
  <c r="M494" i="1" s="1"/>
  <c r="L476" i="1"/>
  <c r="K476" i="1"/>
  <c r="H476" i="1"/>
  <c r="M476" i="1" s="1"/>
  <c r="K522" i="1"/>
  <c r="H522" i="1"/>
  <c r="M522" i="1" s="1"/>
  <c r="L520" i="1"/>
  <c r="K520" i="1"/>
  <c r="H520" i="1"/>
  <c r="M520" i="1" s="1"/>
  <c r="L519" i="1"/>
  <c r="K519" i="1"/>
  <c r="H519" i="1"/>
  <c r="M519" i="1" s="1"/>
  <c r="L518" i="1"/>
  <c r="K518" i="1"/>
  <c r="H518" i="1"/>
  <c r="M518" i="1" s="1"/>
  <c r="L517" i="1"/>
  <c r="K517" i="1"/>
  <c r="H517" i="1"/>
  <c r="M517" i="1" s="1"/>
  <c r="H515" i="1"/>
  <c r="M515" i="1" s="1"/>
  <c r="K515" i="1"/>
  <c r="L515" i="1"/>
  <c r="H516" i="1"/>
  <c r="M516" i="1" s="1"/>
  <c r="K516" i="1"/>
  <c r="L516" i="1"/>
  <c r="L514" i="1"/>
  <c r="K514" i="1"/>
  <c r="H514" i="1"/>
  <c r="M514" i="1" s="1"/>
  <c r="H513" i="1"/>
  <c r="M513" i="1" s="1"/>
  <c r="K513" i="1"/>
  <c r="K512" i="1"/>
  <c r="H512" i="1"/>
  <c r="M512" i="1" s="1"/>
  <c r="K511" i="1"/>
  <c r="H511" i="1"/>
  <c r="M511" i="1" s="1"/>
  <c r="K510" i="1"/>
  <c r="H510" i="1"/>
  <c r="M510" i="1" s="1"/>
  <c r="L507" i="1"/>
  <c r="K507" i="1"/>
  <c r="H507" i="1"/>
  <c r="M507" i="1" s="1"/>
  <c r="L506" i="1"/>
  <c r="K506" i="1"/>
  <c r="H506" i="1"/>
  <c r="M506" i="1" s="1"/>
  <c r="L505" i="1"/>
  <c r="K505" i="1"/>
  <c r="H505" i="1"/>
  <c r="M505" i="1" s="1"/>
  <c r="K504" i="1"/>
  <c r="H504" i="1"/>
  <c r="M504" i="1" s="1"/>
  <c r="R41" i="7"/>
  <c r="R43" i="7"/>
  <c r="R45" i="7"/>
  <c r="L503" i="1"/>
  <c r="K503" i="1"/>
  <c r="H503" i="1"/>
  <c r="L502" i="1"/>
  <c r="K502" i="1"/>
  <c r="H502" i="1"/>
  <c r="M502" i="1" s="1"/>
  <c r="L501" i="1"/>
  <c r="K501" i="1"/>
  <c r="H501" i="1"/>
  <c r="M501" i="1" s="1"/>
  <c r="L500" i="1"/>
  <c r="K500" i="1"/>
  <c r="H500" i="1"/>
  <c r="L499" i="1"/>
  <c r="K499" i="1"/>
  <c r="H499" i="1"/>
  <c r="M499" i="1" s="1"/>
  <c r="K498" i="1"/>
  <c r="H498" i="1"/>
  <c r="M498" i="1" s="1"/>
  <c r="K497" i="1"/>
  <c r="H497" i="1"/>
  <c r="M497" i="1" s="1"/>
  <c r="L493" i="1"/>
  <c r="K493" i="1"/>
  <c r="H493" i="1"/>
  <c r="M493" i="1" s="1"/>
  <c r="H508" i="1"/>
  <c r="M508" i="1" s="1"/>
  <c r="H509" i="1"/>
  <c r="M509" i="1" s="1"/>
  <c r="K508" i="1"/>
  <c r="K509" i="1"/>
  <c r="N499" i="1"/>
  <c r="N508" i="1"/>
  <c r="N509" i="1"/>
  <c r="H521" i="1"/>
  <c r="M521" i="1" s="1"/>
  <c r="K521" i="1"/>
  <c r="N521" i="1"/>
  <c r="H491" i="1"/>
  <c r="M491" i="1" s="1"/>
  <c r="K491" i="1"/>
  <c r="H492" i="1"/>
  <c r="M492" i="1" s="1"/>
  <c r="K492" i="1"/>
  <c r="L492" i="1"/>
  <c r="L490" i="1"/>
  <c r="K490" i="1"/>
  <c r="H490" i="1"/>
  <c r="M490" i="1" s="1"/>
  <c r="K489" i="1"/>
  <c r="H489" i="1"/>
  <c r="M489" i="1" s="1"/>
  <c r="L488" i="1"/>
  <c r="K488" i="1"/>
  <c r="H488" i="1"/>
  <c r="M488" i="1" s="1"/>
  <c r="L487" i="1"/>
  <c r="K487" i="1"/>
  <c r="H487" i="1"/>
  <c r="M487" i="1" s="1"/>
  <c r="K486" i="1"/>
  <c r="H486" i="1"/>
  <c r="M486" i="1" s="1"/>
  <c r="K485" i="1"/>
  <c r="H485" i="1"/>
  <c r="M485" i="1" s="1"/>
  <c r="L469" i="1"/>
  <c r="K469" i="1"/>
  <c r="H469" i="1"/>
  <c r="M469" i="1" s="1"/>
  <c r="L484" i="1"/>
  <c r="K484" i="1"/>
  <c r="H484" i="1"/>
  <c r="M484" i="1" s="1"/>
  <c r="L441" i="1"/>
  <c r="K441" i="1"/>
  <c r="H441" i="1"/>
  <c r="M441" i="1" s="1"/>
  <c r="L440" i="1"/>
  <c r="K440" i="1"/>
  <c r="H440" i="1"/>
  <c r="M440" i="1" s="1"/>
  <c r="K483" i="1"/>
  <c r="H483" i="1"/>
  <c r="M483" i="1" s="1"/>
  <c r="K482" i="1"/>
  <c r="H482" i="1"/>
  <c r="M482" i="1" s="1"/>
  <c r="K481" i="1"/>
  <c r="H481" i="1"/>
  <c r="M481" i="1" s="1"/>
  <c r="I44" i="20" l="1"/>
  <c r="J44" i="20"/>
  <c r="K44" i="20"/>
  <c r="H44" i="20"/>
  <c r="M500" i="1"/>
  <c r="M577" i="1"/>
  <c r="M578" i="1"/>
  <c r="M503" i="1"/>
  <c r="G4" i="22"/>
  <c r="G5" i="22"/>
  <c r="J15" i="29"/>
  <c r="M542" i="1"/>
  <c r="J14" i="29"/>
  <c r="M570" i="1"/>
  <c r="K6" i="22"/>
  <c r="G12" i="6" s="1"/>
  <c r="J5" i="22"/>
  <c r="D44" i="19"/>
  <c r="B44" i="20" s="1"/>
  <c r="J4" i="22"/>
  <c r="F44" i="19"/>
  <c r="D44" i="20" s="1"/>
  <c r="J2" i="21"/>
  <c r="E44" i="19"/>
  <c r="C44" i="20" s="1"/>
  <c r="L479" i="1"/>
  <c r="L478" i="1"/>
  <c r="K480" i="1"/>
  <c r="H480" i="1"/>
  <c r="M480" i="1" s="1"/>
  <c r="K479" i="1"/>
  <c r="H479" i="1"/>
  <c r="M479" i="1" s="1"/>
  <c r="K478" i="1"/>
  <c r="H478" i="1"/>
  <c r="M478" i="1" s="1"/>
  <c r="K475" i="1" l="1"/>
  <c r="H475" i="1"/>
  <c r="M475" i="1" s="1"/>
  <c r="L474" i="1"/>
  <c r="L471" i="1"/>
  <c r="K474" i="1"/>
  <c r="H474" i="1"/>
  <c r="M474" i="1" s="1"/>
  <c r="K473" i="1"/>
  <c r="H473" i="1"/>
  <c r="M473" i="1" s="1"/>
  <c r="L472" i="1"/>
  <c r="K472" i="1"/>
  <c r="H472" i="1"/>
  <c r="M472" i="1" s="1"/>
  <c r="K471" i="1"/>
  <c r="H471" i="1"/>
  <c r="M471" i="1" s="1"/>
  <c r="H13" i="25"/>
  <c r="H33" i="25" s="1"/>
  <c r="H14" i="25"/>
  <c r="H34" i="25" s="1"/>
  <c r="K470" i="1"/>
  <c r="H470" i="1"/>
  <c r="M470" i="1" s="1"/>
  <c r="L468" i="1"/>
  <c r="K468" i="1"/>
  <c r="H468" i="1"/>
  <c r="M468" i="1" s="1"/>
  <c r="L467" i="1"/>
  <c r="K467" i="1"/>
  <c r="H467" i="1"/>
  <c r="M467" i="1" s="1"/>
  <c r="J6" i="23"/>
  <c r="J5" i="23"/>
  <c r="J12" i="30"/>
  <c r="J29" i="20"/>
  <c r="J24" i="20"/>
  <c r="J20" i="20"/>
  <c r="J13" i="20"/>
  <c r="L466" i="1"/>
  <c r="K466" i="1"/>
  <c r="H466" i="1"/>
  <c r="M466" i="1" s="1"/>
  <c r="L465" i="1"/>
  <c r="K465" i="1"/>
  <c r="H465" i="1"/>
  <c r="M465" i="1" s="1"/>
  <c r="J18" i="30"/>
  <c r="J17" i="30"/>
  <c r="J16" i="30"/>
  <c r="J15" i="30"/>
  <c r="J14" i="30"/>
  <c r="J13" i="30"/>
  <c r="J9" i="30"/>
  <c r="J8" i="30"/>
  <c r="J19" i="27"/>
  <c r="J18" i="27"/>
  <c r="J5" i="27"/>
  <c r="J18" i="25"/>
  <c r="J38" i="25" s="1"/>
  <c r="J17" i="25"/>
  <c r="J37" i="25" s="1"/>
  <c r="J16" i="25"/>
  <c r="J36" i="25" s="1"/>
  <c r="J15" i="25"/>
  <c r="J35" i="25" s="1"/>
  <c r="J14" i="25"/>
  <c r="J34" i="25" s="1"/>
  <c r="J13" i="25"/>
  <c r="J33" i="25" s="1"/>
  <c r="J12" i="25"/>
  <c r="J9" i="25"/>
  <c r="J8" i="25"/>
  <c r="J4" i="25"/>
  <c r="J3" i="25"/>
  <c r="B3" i="25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H15" i="25"/>
  <c r="H35" i="25" s="1"/>
  <c r="H16" i="25"/>
  <c r="H36" i="25" s="1"/>
  <c r="H17" i="25"/>
  <c r="H37" i="25" s="1"/>
  <c r="H18" i="25"/>
  <c r="H38" i="25" s="1"/>
  <c r="P18" i="25"/>
  <c r="P38" i="25" s="1"/>
  <c r="O18" i="25"/>
  <c r="O38" i="25" s="1"/>
  <c r="N18" i="25"/>
  <c r="N38" i="25" s="1"/>
  <c r="M18" i="25"/>
  <c r="M38" i="25" s="1"/>
  <c r="L18" i="25"/>
  <c r="L38" i="25" s="1"/>
  <c r="K18" i="25"/>
  <c r="K38" i="25" s="1"/>
  <c r="I18" i="25"/>
  <c r="I38" i="25" s="1"/>
  <c r="G18" i="25"/>
  <c r="G38" i="25" s="1"/>
  <c r="F18" i="25"/>
  <c r="F38" i="25" s="1"/>
  <c r="E18" i="25"/>
  <c r="E38" i="25" s="1"/>
  <c r="D18" i="25"/>
  <c r="D38" i="25" s="1"/>
  <c r="C18" i="25"/>
  <c r="C38" i="25" s="1"/>
  <c r="B18" i="25"/>
  <c r="B38" i="25" s="1"/>
  <c r="P17" i="25"/>
  <c r="P37" i="25" s="1"/>
  <c r="O17" i="25"/>
  <c r="O37" i="25" s="1"/>
  <c r="N17" i="25"/>
  <c r="N37" i="25" s="1"/>
  <c r="M17" i="25"/>
  <c r="M37" i="25" s="1"/>
  <c r="L17" i="25"/>
  <c r="L37" i="25" s="1"/>
  <c r="K17" i="25"/>
  <c r="K37" i="25" s="1"/>
  <c r="I17" i="25"/>
  <c r="I37" i="25" s="1"/>
  <c r="G17" i="25"/>
  <c r="G37" i="25" s="1"/>
  <c r="F17" i="25"/>
  <c r="F37" i="25" s="1"/>
  <c r="E17" i="25"/>
  <c r="E37" i="25" s="1"/>
  <c r="D17" i="25"/>
  <c r="D37" i="25" s="1"/>
  <c r="C17" i="25"/>
  <c r="C37" i="25" s="1"/>
  <c r="B17" i="25"/>
  <c r="B37" i="25" s="1"/>
  <c r="P16" i="25"/>
  <c r="P36" i="25" s="1"/>
  <c r="O16" i="25"/>
  <c r="O36" i="25" s="1"/>
  <c r="N16" i="25"/>
  <c r="N36" i="25" s="1"/>
  <c r="M16" i="25"/>
  <c r="M36" i="25" s="1"/>
  <c r="L16" i="25"/>
  <c r="L36" i="25" s="1"/>
  <c r="K16" i="25"/>
  <c r="K36" i="25" s="1"/>
  <c r="I16" i="25"/>
  <c r="I36" i="25" s="1"/>
  <c r="G16" i="25"/>
  <c r="G36" i="25" s="1"/>
  <c r="F16" i="25"/>
  <c r="F36" i="25" s="1"/>
  <c r="E16" i="25"/>
  <c r="E36" i="25" s="1"/>
  <c r="D16" i="25"/>
  <c r="D36" i="25" s="1"/>
  <c r="C16" i="25"/>
  <c r="C36" i="25" s="1"/>
  <c r="B16" i="25"/>
  <c r="B36" i="25" s="1"/>
  <c r="P15" i="25"/>
  <c r="P35" i="25" s="1"/>
  <c r="O15" i="25"/>
  <c r="O35" i="25" s="1"/>
  <c r="N15" i="25"/>
  <c r="N35" i="25" s="1"/>
  <c r="M15" i="25"/>
  <c r="M35" i="25" s="1"/>
  <c r="L15" i="25"/>
  <c r="L35" i="25" s="1"/>
  <c r="K15" i="25"/>
  <c r="K35" i="25" s="1"/>
  <c r="I15" i="25"/>
  <c r="I35" i="25" s="1"/>
  <c r="G15" i="25"/>
  <c r="G35" i="25" s="1"/>
  <c r="F15" i="25"/>
  <c r="F35" i="25" s="1"/>
  <c r="E15" i="25"/>
  <c r="E35" i="25" s="1"/>
  <c r="D15" i="25"/>
  <c r="D35" i="25" s="1"/>
  <c r="C15" i="25"/>
  <c r="C35" i="25" s="1"/>
  <c r="B15" i="25"/>
  <c r="B35" i="25" s="1"/>
  <c r="P14" i="25"/>
  <c r="P34" i="25" s="1"/>
  <c r="O14" i="25"/>
  <c r="O34" i="25" s="1"/>
  <c r="N14" i="25"/>
  <c r="N34" i="25" s="1"/>
  <c r="M14" i="25"/>
  <c r="M34" i="25" s="1"/>
  <c r="L14" i="25"/>
  <c r="L34" i="25" s="1"/>
  <c r="K14" i="25"/>
  <c r="K34" i="25" s="1"/>
  <c r="I14" i="25"/>
  <c r="I34" i="25" s="1"/>
  <c r="G14" i="25"/>
  <c r="G34" i="25" s="1"/>
  <c r="F14" i="25"/>
  <c r="F34" i="25" s="1"/>
  <c r="E14" i="25"/>
  <c r="E34" i="25" s="1"/>
  <c r="D14" i="25"/>
  <c r="D34" i="25" s="1"/>
  <c r="C14" i="25"/>
  <c r="C34" i="25" s="1"/>
  <c r="B14" i="25"/>
  <c r="B34" i="25" s="1"/>
  <c r="P13" i="25"/>
  <c r="P33" i="25" s="1"/>
  <c r="O13" i="25"/>
  <c r="O33" i="25" s="1"/>
  <c r="N13" i="25"/>
  <c r="N33" i="25" s="1"/>
  <c r="M13" i="25"/>
  <c r="M33" i="25" s="1"/>
  <c r="L13" i="25"/>
  <c r="L33" i="25" s="1"/>
  <c r="K13" i="25"/>
  <c r="K33" i="25" s="1"/>
  <c r="I13" i="25"/>
  <c r="I33" i="25" s="1"/>
  <c r="G13" i="25"/>
  <c r="G33" i="25" s="1"/>
  <c r="F13" i="25"/>
  <c r="F33" i="25" s="1"/>
  <c r="E13" i="25"/>
  <c r="E33" i="25" s="1"/>
  <c r="D13" i="25"/>
  <c r="D33" i="25" s="1"/>
  <c r="C13" i="25"/>
  <c r="C33" i="25" s="1"/>
  <c r="B13" i="25"/>
  <c r="B33" i="25" s="1"/>
  <c r="AP38" i="25" l="1"/>
  <c r="AP37" i="25"/>
  <c r="AP33" i="25"/>
  <c r="AP35" i="25"/>
  <c r="AP34" i="25"/>
  <c r="AP36" i="25"/>
  <c r="L463" i="1"/>
  <c r="K463" i="1"/>
  <c r="H463" i="1"/>
  <c r="M463" i="1" s="1"/>
  <c r="K462" i="1"/>
  <c r="H462" i="1"/>
  <c r="M462" i="1" s="1"/>
  <c r="L461" i="1"/>
  <c r="K461" i="1"/>
  <c r="H461" i="1"/>
  <c r="M461" i="1" s="1"/>
  <c r="L460" i="1"/>
  <c r="K460" i="1"/>
  <c r="H460" i="1"/>
  <c r="M460" i="1" s="1"/>
  <c r="L459" i="1"/>
  <c r="K459" i="1"/>
  <c r="H459" i="1"/>
  <c r="M459" i="1" s="1"/>
  <c r="L458" i="1"/>
  <c r="K458" i="1"/>
  <c r="H458" i="1"/>
  <c r="M458" i="1" s="1"/>
  <c r="H456" i="1"/>
  <c r="M456" i="1" s="1"/>
  <c r="L457" i="1"/>
  <c r="K457" i="1"/>
  <c r="H457" i="1"/>
  <c r="M457" i="1" s="1"/>
  <c r="L456" i="1"/>
  <c r="K456" i="1"/>
  <c r="L455" i="1"/>
  <c r="K455" i="1"/>
  <c r="H455" i="1"/>
  <c r="M455" i="1" s="1"/>
  <c r="L453" i="1"/>
  <c r="K453" i="1"/>
  <c r="H453" i="1"/>
  <c r="M453" i="1" s="1"/>
  <c r="L452" i="1"/>
  <c r="K452" i="1"/>
  <c r="H452" i="1"/>
  <c r="M452" i="1" s="1"/>
  <c r="L451" i="1"/>
  <c r="K451" i="1"/>
  <c r="H451" i="1"/>
  <c r="M451" i="1" s="1"/>
  <c r="L450" i="1"/>
  <c r="K450" i="1"/>
  <c r="H450" i="1"/>
  <c r="L449" i="1"/>
  <c r="K449" i="1"/>
  <c r="H449" i="1"/>
  <c r="M449" i="1" s="1"/>
  <c r="L448" i="1"/>
  <c r="K448" i="1"/>
  <c r="H448" i="1"/>
  <c r="M448" i="1" s="1"/>
  <c r="L447" i="1"/>
  <c r="K447" i="1"/>
  <c r="H447" i="1"/>
  <c r="M447" i="1" s="1"/>
  <c r="H446" i="1"/>
  <c r="M446" i="1" s="1"/>
  <c r="L446" i="1"/>
  <c r="K446" i="1"/>
  <c r="L445" i="1"/>
  <c r="K445" i="1"/>
  <c r="H445" i="1"/>
  <c r="M445" i="1" s="1"/>
  <c r="L444" i="1"/>
  <c r="K444" i="1"/>
  <c r="H444" i="1"/>
  <c r="L442" i="1"/>
  <c r="K442" i="1"/>
  <c r="H442" i="1"/>
  <c r="M442" i="1" s="1"/>
  <c r="L439" i="1"/>
  <c r="K439" i="1"/>
  <c r="H439" i="1"/>
  <c r="M439" i="1" s="1"/>
  <c r="L438" i="1"/>
  <c r="K438" i="1"/>
  <c r="F43" i="19" s="1"/>
  <c r="D43" i="20" s="1"/>
  <c r="H438" i="1"/>
  <c r="M438" i="1" s="1"/>
  <c r="L437" i="1"/>
  <c r="K437" i="1"/>
  <c r="H437" i="1"/>
  <c r="M437" i="1" s="1"/>
  <c r="L436" i="1"/>
  <c r="K436" i="1"/>
  <c r="H436" i="1"/>
  <c r="M436" i="1" s="1"/>
  <c r="M450" i="1" l="1"/>
  <c r="M444" i="1"/>
  <c r="E43" i="19"/>
  <c r="C43" i="20" s="1"/>
  <c r="D43" i="19"/>
  <c r="B43" i="20" s="1"/>
  <c r="K434" i="1"/>
  <c r="H434" i="1"/>
  <c r="M434" i="1" s="1"/>
  <c r="F5" i="22"/>
  <c r="E5" i="22"/>
  <c r="D5" i="22"/>
  <c r="F4" i="22"/>
  <c r="E4" i="22"/>
  <c r="D4" i="22"/>
  <c r="J33" i="20" l="1"/>
  <c r="L433" i="1"/>
  <c r="K433" i="1"/>
  <c r="H433" i="1"/>
  <c r="M433" i="1" s="1"/>
  <c r="K432" i="1"/>
  <c r="H432" i="1"/>
  <c r="M432" i="1" s="1"/>
  <c r="K431" i="1" l="1"/>
  <c r="H431" i="1"/>
  <c r="M431" i="1" l="1"/>
  <c r="L429" i="1"/>
  <c r="K429" i="1"/>
  <c r="H429" i="1"/>
  <c r="M429" i="1" s="1"/>
  <c r="L428" i="1"/>
  <c r="K428" i="1"/>
  <c r="H428" i="1"/>
  <c r="M428" i="1" s="1"/>
  <c r="H12" i="25"/>
  <c r="H32" i="25" s="1"/>
  <c r="A3" i="21"/>
  <c r="C2" i="21"/>
  <c r="I2" i="21" s="1"/>
  <c r="H427" i="1"/>
  <c r="AD3" i="21"/>
  <c r="AD4" i="21"/>
  <c r="L427" i="1"/>
  <c r="K427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7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L426" i="1"/>
  <c r="K426" i="1"/>
  <c r="H426" i="1"/>
  <c r="M426" i="1" s="1"/>
  <c r="L422" i="1"/>
  <c r="K422" i="1"/>
  <c r="H422" i="1"/>
  <c r="M422" i="1" s="1"/>
  <c r="L421" i="1"/>
  <c r="K421" i="1"/>
  <c r="H421" i="1"/>
  <c r="M421" i="1" s="1"/>
  <c r="L392" i="1"/>
  <c r="K392" i="1"/>
  <c r="H392" i="1"/>
  <c r="M392" i="1" s="1"/>
  <c r="L391" i="1"/>
  <c r="K391" i="1"/>
  <c r="H391" i="1"/>
  <c r="M391" i="1" s="1"/>
  <c r="L390" i="1"/>
  <c r="K390" i="1"/>
  <c r="H390" i="1"/>
  <c r="M390" i="1" s="1"/>
  <c r="L389" i="1"/>
  <c r="K389" i="1"/>
  <c r="H389" i="1"/>
  <c r="M389" i="1" s="1"/>
  <c r="L388" i="1"/>
  <c r="K388" i="1"/>
  <c r="H388" i="1"/>
  <c r="M388" i="1" s="1"/>
  <c r="L385" i="1"/>
  <c r="K385" i="1"/>
  <c r="H385" i="1"/>
  <c r="M385" i="1" s="1"/>
  <c r="L384" i="1"/>
  <c r="K384" i="1"/>
  <c r="H384" i="1"/>
  <c r="M384" i="1" s="1"/>
  <c r="L383" i="1"/>
  <c r="K383" i="1"/>
  <c r="H383" i="1"/>
  <c r="M383" i="1" s="1"/>
  <c r="L382" i="1"/>
  <c r="K382" i="1"/>
  <c r="H382" i="1"/>
  <c r="M382" i="1" s="1"/>
  <c r="L413" i="1"/>
  <c r="K413" i="1"/>
  <c r="H413" i="1"/>
  <c r="M413" i="1" s="1"/>
  <c r="L409" i="1"/>
  <c r="K409" i="1"/>
  <c r="H409" i="1"/>
  <c r="M409" i="1" s="1"/>
  <c r="L396" i="1"/>
  <c r="K396" i="1"/>
  <c r="H396" i="1"/>
  <c r="M396" i="1" s="1"/>
  <c r="L395" i="1"/>
  <c r="K395" i="1"/>
  <c r="H395" i="1"/>
  <c r="M395" i="1" s="1"/>
  <c r="L394" i="1"/>
  <c r="K394" i="1"/>
  <c r="H394" i="1"/>
  <c r="M394" i="1" s="1"/>
  <c r="L400" i="1"/>
  <c r="K400" i="1"/>
  <c r="H400" i="1"/>
  <c r="M400" i="1" s="1"/>
  <c r="L402" i="1"/>
  <c r="K402" i="1"/>
  <c r="H402" i="1"/>
  <c r="M402" i="1" s="1"/>
  <c r="L406" i="1"/>
  <c r="K406" i="1"/>
  <c r="H406" i="1"/>
  <c r="M406" i="1" s="1"/>
  <c r="H403" i="1"/>
  <c r="M403" i="1" s="1"/>
  <c r="K403" i="1"/>
  <c r="K404" i="1"/>
  <c r="M404" i="1"/>
  <c r="L378" i="1"/>
  <c r="K378" i="1"/>
  <c r="H378" i="1"/>
  <c r="L425" i="1"/>
  <c r="K425" i="1"/>
  <c r="H425" i="1"/>
  <c r="M425" i="1" s="1"/>
  <c r="L424" i="1"/>
  <c r="K424" i="1"/>
  <c r="H424" i="1"/>
  <c r="M424" i="1" s="1"/>
  <c r="L423" i="1"/>
  <c r="K423" i="1"/>
  <c r="H423" i="1"/>
  <c r="M423" i="1" s="1"/>
  <c r="H420" i="1"/>
  <c r="M420" i="1" s="1"/>
  <c r="L420" i="1"/>
  <c r="K420" i="1"/>
  <c r="L418" i="1"/>
  <c r="K418" i="1"/>
  <c r="H418" i="1"/>
  <c r="M418" i="1" s="1"/>
  <c r="L417" i="1"/>
  <c r="K417" i="1"/>
  <c r="H417" i="1"/>
  <c r="L416" i="1"/>
  <c r="K416" i="1"/>
  <c r="H416" i="1"/>
  <c r="M416" i="1" s="1"/>
  <c r="L415" i="1"/>
  <c r="K415" i="1"/>
  <c r="H415" i="1"/>
  <c r="M415" i="1" s="1"/>
  <c r="L18" i="33"/>
  <c r="N9" i="33"/>
  <c r="N12" i="33"/>
  <c r="N13" i="33"/>
  <c r="N14" i="33"/>
  <c r="N15" i="33"/>
  <c r="N16" i="33"/>
  <c r="N17" i="33"/>
  <c r="N18" i="33"/>
  <c r="N19" i="33"/>
  <c r="M9" i="33"/>
  <c r="M10" i="33"/>
  <c r="M13" i="33"/>
  <c r="M14" i="33"/>
  <c r="M15" i="33"/>
  <c r="M16" i="33"/>
  <c r="M17" i="33"/>
  <c r="M18" i="33"/>
  <c r="M19" i="33"/>
  <c r="L9" i="33"/>
  <c r="L10" i="33"/>
  <c r="L11" i="33"/>
  <c r="L13" i="33"/>
  <c r="L17" i="33"/>
  <c r="L19" i="33"/>
  <c r="L414" i="1"/>
  <c r="K414" i="1"/>
  <c r="H414" i="1"/>
  <c r="D19" i="33"/>
  <c r="C19" i="33"/>
  <c r="B19" i="33"/>
  <c r="D18" i="33"/>
  <c r="C18" i="33"/>
  <c r="B18" i="33"/>
  <c r="D17" i="33"/>
  <c r="C17" i="33"/>
  <c r="B17" i="33"/>
  <c r="D16" i="33"/>
  <c r="C16" i="33"/>
  <c r="D15" i="33"/>
  <c r="C15" i="33"/>
  <c r="D14" i="33"/>
  <c r="C14" i="33"/>
  <c r="D13" i="33"/>
  <c r="C13" i="33"/>
  <c r="B13" i="33"/>
  <c r="D12" i="33"/>
  <c r="B11" i="33"/>
  <c r="C10" i="33"/>
  <c r="B10" i="33"/>
  <c r="D9" i="33"/>
  <c r="C9" i="33"/>
  <c r="B9" i="33"/>
  <c r="I5" i="33"/>
  <c r="L412" i="1"/>
  <c r="K412" i="1"/>
  <c r="H412" i="1"/>
  <c r="M412" i="1" s="1"/>
  <c r="L410" i="1"/>
  <c r="K410" i="1"/>
  <c r="H410" i="1"/>
  <c r="M410" i="1" s="1"/>
  <c r="L408" i="1"/>
  <c r="K408" i="1"/>
  <c r="H408" i="1"/>
  <c r="M408" i="1" s="1"/>
  <c r="L407" i="1"/>
  <c r="K407" i="1"/>
  <c r="H407" i="1"/>
  <c r="M407" i="1" s="1"/>
  <c r="L405" i="1"/>
  <c r="K405" i="1"/>
  <c r="H405" i="1"/>
  <c r="M405" i="1" s="1"/>
  <c r="L401" i="1"/>
  <c r="K401" i="1"/>
  <c r="H401" i="1"/>
  <c r="M401" i="1" s="1"/>
  <c r="L399" i="1"/>
  <c r="K399" i="1"/>
  <c r="H399" i="1"/>
  <c r="M399" i="1" s="1"/>
  <c r="L398" i="1"/>
  <c r="K398" i="1"/>
  <c r="H398" i="1"/>
  <c r="M398" i="1" s="1"/>
  <c r="L393" i="1"/>
  <c r="K393" i="1"/>
  <c r="H393" i="1"/>
  <c r="H387" i="1"/>
  <c r="L387" i="1"/>
  <c r="K387" i="1"/>
  <c r="G6" i="6"/>
  <c r="G5" i="6"/>
  <c r="D3" i="32"/>
  <c r="C21" i="30"/>
  <c r="D21" i="30"/>
  <c r="E21" i="30"/>
  <c r="F21" i="30"/>
  <c r="G21" i="30"/>
  <c r="I21" i="30"/>
  <c r="K21" i="30"/>
  <c r="L21" i="30"/>
  <c r="N21" i="30"/>
  <c r="O21" i="30"/>
  <c r="P21" i="30"/>
  <c r="Q21" i="30"/>
  <c r="R21" i="30"/>
  <c r="S21" i="30"/>
  <c r="T21" i="30"/>
  <c r="U21" i="30"/>
  <c r="V21" i="30"/>
  <c r="W21" i="30"/>
  <c r="X21" i="30"/>
  <c r="Y21" i="30"/>
  <c r="Z21" i="30"/>
  <c r="AA21" i="30"/>
  <c r="AB21" i="30"/>
  <c r="AC21" i="30"/>
  <c r="AD21" i="30"/>
  <c r="AE21" i="30"/>
  <c r="AF21" i="30"/>
  <c r="AG21" i="30"/>
  <c r="AH21" i="30"/>
  <c r="AI21" i="30"/>
  <c r="AJ21" i="30"/>
  <c r="AK21" i="30"/>
  <c r="AL21" i="30"/>
  <c r="AM21" i="30"/>
  <c r="B21" i="30"/>
  <c r="F15" i="28"/>
  <c r="L386" i="1"/>
  <c r="K386" i="1"/>
  <c r="H386" i="1"/>
  <c r="L381" i="1"/>
  <c r="K381" i="1"/>
  <c r="H381" i="1"/>
  <c r="M381" i="1" s="1"/>
  <c r="L380" i="1"/>
  <c r="K380" i="1"/>
  <c r="H380" i="1"/>
  <c r="M380" i="1" s="1"/>
  <c r="L379" i="1"/>
  <c r="K379" i="1"/>
  <c r="H379" i="1"/>
  <c r="M379" i="1" s="1"/>
  <c r="R7" i="5"/>
  <c r="P19" i="27"/>
  <c r="O19" i="27"/>
  <c r="N19" i="27"/>
  <c r="P18" i="27"/>
  <c r="O18" i="27"/>
  <c r="N18" i="27"/>
  <c r="P17" i="27"/>
  <c r="O17" i="27"/>
  <c r="N17" i="27"/>
  <c r="P16" i="27"/>
  <c r="O16" i="27"/>
  <c r="N16" i="27"/>
  <c r="P15" i="27"/>
  <c r="O15" i="27"/>
  <c r="N15" i="27"/>
  <c r="P14" i="27"/>
  <c r="O14" i="27"/>
  <c r="N14" i="27"/>
  <c r="P13" i="27"/>
  <c r="O13" i="27"/>
  <c r="N13" i="27"/>
  <c r="P12" i="27"/>
  <c r="O12" i="27"/>
  <c r="N12" i="27"/>
  <c r="P11" i="27"/>
  <c r="O11" i="27"/>
  <c r="N11" i="27"/>
  <c r="P10" i="27"/>
  <c r="O10" i="27"/>
  <c r="N10" i="27"/>
  <c r="P9" i="27"/>
  <c r="O9" i="27"/>
  <c r="N9" i="27"/>
  <c r="P8" i="27"/>
  <c r="O8" i="27"/>
  <c r="N8" i="27"/>
  <c r="P7" i="27"/>
  <c r="O7" i="27"/>
  <c r="N7" i="27"/>
  <c r="P6" i="27"/>
  <c r="O6" i="27"/>
  <c r="N6" i="27"/>
  <c r="P5" i="27"/>
  <c r="O5" i="27"/>
  <c r="N5" i="27"/>
  <c r="L19" i="27"/>
  <c r="L18" i="27"/>
  <c r="L17" i="27"/>
  <c r="L16" i="27"/>
  <c r="L15" i="27"/>
  <c r="L14" i="27"/>
  <c r="L13" i="27"/>
  <c r="L12" i="27"/>
  <c r="L11" i="27"/>
  <c r="L10" i="27"/>
  <c r="L9" i="27"/>
  <c r="L8" i="27"/>
  <c r="L7" i="27"/>
  <c r="L6" i="27"/>
  <c r="L5" i="27"/>
  <c r="G19" i="27"/>
  <c r="F19" i="27"/>
  <c r="E19" i="27"/>
  <c r="D19" i="27"/>
  <c r="C19" i="27"/>
  <c r="B19" i="27"/>
  <c r="G18" i="27"/>
  <c r="F18" i="27"/>
  <c r="E18" i="27"/>
  <c r="D18" i="27"/>
  <c r="C18" i="27"/>
  <c r="B18" i="27"/>
  <c r="G17" i="27"/>
  <c r="F17" i="27"/>
  <c r="E17" i="27"/>
  <c r="D17" i="27"/>
  <c r="C17" i="27"/>
  <c r="B17" i="27"/>
  <c r="G16" i="27"/>
  <c r="F16" i="27"/>
  <c r="E16" i="27"/>
  <c r="D16" i="27"/>
  <c r="C16" i="27"/>
  <c r="B16" i="27"/>
  <c r="G15" i="27"/>
  <c r="F15" i="27"/>
  <c r="E15" i="27"/>
  <c r="D15" i="27"/>
  <c r="C15" i="27"/>
  <c r="B15" i="27"/>
  <c r="G14" i="27"/>
  <c r="F14" i="27"/>
  <c r="E14" i="27"/>
  <c r="D14" i="27"/>
  <c r="C14" i="27"/>
  <c r="B14" i="27"/>
  <c r="G13" i="27"/>
  <c r="F13" i="27"/>
  <c r="E13" i="27"/>
  <c r="D13" i="27"/>
  <c r="C13" i="27"/>
  <c r="B13" i="27"/>
  <c r="G12" i="27"/>
  <c r="F12" i="27"/>
  <c r="E12" i="27"/>
  <c r="D12" i="27"/>
  <c r="C12" i="27"/>
  <c r="B12" i="27"/>
  <c r="G11" i="27"/>
  <c r="F11" i="27"/>
  <c r="E11" i="27"/>
  <c r="D11" i="27"/>
  <c r="C11" i="27"/>
  <c r="B11" i="27"/>
  <c r="G10" i="27"/>
  <c r="F10" i="27"/>
  <c r="E10" i="27"/>
  <c r="D10" i="27"/>
  <c r="C10" i="27"/>
  <c r="B10" i="27"/>
  <c r="G9" i="27"/>
  <c r="F9" i="27"/>
  <c r="E9" i="27"/>
  <c r="D9" i="27"/>
  <c r="C9" i="27"/>
  <c r="B9" i="27"/>
  <c r="G8" i="27"/>
  <c r="F8" i="27"/>
  <c r="E8" i="27"/>
  <c r="D8" i="27"/>
  <c r="C8" i="27"/>
  <c r="B8" i="27"/>
  <c r="G7" i="27"/>
  <c r="F7" i="27"/>
  <c r="E7" i="27"/>
  <c r="D7" i="27"/>
  <c r="C7" i="27"/>
  <c r="B7" i="27"/>
  <c r="G6" i="27"/>
  <c r="F6" i="27"/>
  <c r="E6" i="27"/>
  <c r="D6" i="27"/>
  <c r="C6" i="27"/>
  <c r="B6" i="27"/>
  <c r="G5" i="27"/>
  <c r="F5" i="27"/>
  <c r="E5" i="27"/>
  <c r="D5" i="27"/>
  <c r="C5" i="27"/>
  <c r="B5" i="27"/>
  <c r="P12" i="25"/>
  <c r="P32" i="25" s="1"/>
  <c r="P11" i="25"/>
  <c r="P31" i="25" s="1"/>
  <c r="P10" i="25"/>
  <c r="P30" i="25" s="1"/>
  <c r="P9" i="25"/>
  <c r="P29" i="25" s="1"/>
  <c r="P8" i="25"/>
  <c r="P28" i="25" s="1"/>
  <c r="P7" i="25"/>
  <c r="P27" i="25" s="1"/>
  <c r="P6" i="25"/>
  <c r="P26" i="25" s="1"/>
  <c r="P5" i="25"/>
  <c r="P25" i="25" s="1"/>
  <c r="P4" i="25"/>
  <c r="P24" i="25" s="1"/>
  <c r="P3" i="25"/>
  <c r="P23" i="25" s="1"/>
  <c r="O12" i="25"/>
  <c r="O32" i="25" s="1"/>
  <c r="N12" i="25"/>
  <c r="N32" i="25" s="1"/>
  <c r="O11" i="25"/>
  <c r="O31" i="25" s="1"/>
  <c r="N11" i="25"/>
  <c r="N31" i="25" s="1"/>
  <c r="O10" i="25"/>
  <c r="O30" i="25" s="1"/>
  <c r="N10" i="25"/>
  <c r="N30" i="25" s="1"/>
  <c r="O9" i="25"/>
  <c r="O29" i="25" s="1"/>
  <c r="N9" i="25"/>
  <c r="N29" i="25" s="1"/>
  <c r="O8" i="25"/>
  <c r="O28" i="25" s="1"/>
  <c r="N8" i="25"/>
  <c r="N28" i="25" s="1"/>
  <c r="O7" i="25"/>
  <c r="O27" i="25" s="1"/>
  <c r="N7" i="25"/>
  <c r="N27" i="25" s="1"/>
  <c r="O6" i="25"/>
  <c r="O26" i="25" s="1"/>
  <c r="N6" i="25"/>
  <c r="N26" i="25" s="1"/>
  <c r="O5" i="25"/>
  <c r="O25" i="25" s="1"/>
  <c r="N5" i="25"/>
  <c r="N25" i="25" s="1"/>
  <c r="O4" i="25"/>
  <c r="O24" i="25" s="1"/>
  <c r="N4" i="25"/>
  <c r="N24" i="25" s="1"/>
  <c r="O3" i="25"/>
  <c r="O23" i="25" s="1"/>
  <c r="N3" i="25"/>
  <c r="N23" i="25" s="1"/>
  <c r="M12" i="25"/>
  <c r="M32" i="25" s="1"/>
  <c r="M11" i="25"/>
  <c r="M31" i="25" s="1"/>
  <c r="M8" i="25"/>
  <c r="M28" i="25" s="1"/>
  <c r="M4" i="25"/>
  <c r="M24" i="25" s="1"/>
  <c r="M3" i="25"/>
  <c r="M23" i="25" s="1"/>
  <c r="L12" i="25"/>
  <c r="L32" i="25" s="1"/>
  <c r="L11" i="25"/>
  <c r="L31" i="25" s="1"/>
  <c r="L10" i="25"/>
  <c r="L30" i="25" s="1"/>
  <c r="L9" i="25"/>
  <c r="L29" i="25" s="1"/>
  <c r="L8" i="25"/>
  <c r="L28" i="25" s="1"/>
  <c r="L7" i="25"/>
  <c r="L27" i="25" s="1"/>
  <c r="L6" i="25"/>
  <c r="L5" i="25"/>
  <c r="L25" i="25" s="1"/>
  <c r="L4" i="25"/>
  <c r="L24" i="25" s="1"/>
  <c r="L3" i="25"/>
  <c r="L23" i="25" s="1"/>
  <c r="K12" i="25"/>
  <c r="K32" i="25" s="1"/>
  <c r="J32" i="25"/>
  <c r="I12" i="25"/>
  <c r="I32" i="25" s="1"/>
  <c r="K11" i="25"/>
  <c r="K31" i="25" s="1"/>
  <c r="I11" i="25"/>
  <c r="I31" i="25" s="1"/>
  <c r="K10" i="25"/>
  <c r="K30" i="25" s="1"/>
  <c r="I10" i="25"/>
  <c r="I30" i="25" s="1"/>
  <c r="K9" i="25"/>
  <c r="K29" i="25" s="1"/>
  <c r="J29" i="25"/>
  <c r="I9" i="25"/>
  <c r="I29" i="25" s="1"/>
  <c r="K8" i="25"/>
  <c r="K28" i="25" s="1"/>
  <c r="J28" i="25"/>
  <c r="I8" i="25"/>
  <c r="I28" i="25" s="1"/>
  <c r="K7" i="25"/>
  <c r="K27" i="25" s="1"/>
  <c r="I7" i="25"/>
  <c r="I27" i="25" s="1"/>
  <c r="K6" i="25"/>
  <c r="K26" i="25" s="1"/>
  <c r="I6" i="25"/>
  <c r="I26" i="25" s="1"/>
  <c r="K5" i="25"/>
  <c r="K25" i="25" s="1"/>
  <c r="I5" i="25"/>
  <c r="I25" i="25" s="1"/>
  <c r="K4" i="25"/>
  <c r="K24" i="25" s="1"/>
  <c r="J24" i="25"/>
  <c r="I4" i="25"/>
  <c r="I24" i="25" s="1"/>
  <c r="K3" i="25"/>
  <c r="K23" i="25" s="1"/>
  <c r="J23" i="25"/>
  <c r="I3" i="25"/>
  <c r="I23" i="25" s="1"/>
  <c r="H4" i="25"/>
  <c r="H24" i="25" s="1"/>
  <c r="H8" i="25"/>
  <c r="H28" i="25" s="1"/>
  <c r="H9" i="25"/>
  <c r="H29" i="25" s="1"/>
  <c r="H10" i="25"/>
  <c r="H30" i="25" s="1"/>
  <c r="H3" i="25"/>
  <c r="G12" i="25"/>
  <c r="G32" i="25" s="1"/>
  <c r="F12" i="25"/>
  <c r="F32" i="25" s="1"/>
  <c r="E12" i="25"/>
  <c r="E32" i="25" s="1"/>
  <c r="D12" i="25"/>
  <c r="D32" i="25" s="1"/>
  <c r="C12" i="25"/>
  <c r="C32" i="25" s="1"/>
  <c r="B12" i="25"/>
  <c r="B32" i="25" s="1"/>
  <c r="G11" i="25"/>
  <c r="G31" i="25" s="1"/>
  <c r="F11" i="25"/>
  <c r="F31" i="25" s="1"/>
  <c r="E11" i="25"/>
  <c r="E31" i="25" s="1"/>
  <c r="D11" i="25"/>
  <c r="D31" i="25" s="1"/>
  <c r="C11" i="25"/>
  <c r="C31" i="25" s="1"/>
  <c r="B11" i="25"/>
  <c r="B31" i="25" s="1"/>
  <c r="G10" i="25"/>
  <c r="G30" i="25" s="1"/>
  <c r="F10" i="25"/>
  <c r="F30" i="25" s="1"/>
  <c r="E10" i="25"/>
  <c r="E30" i="25" s="1"/>
  <c r="D10" i="25"/>
  <c r="D30" i="25" s="1"/>
  <c r="C10" i="25"/>
  <c r="C30" i="25" s="1"/>
  <c r="B10" i="25"/>
  <c r="B30" i="25" s="1"/>
  <c r="G9" i="25"/>
  <c r="G29" i="25" s="1"/>
  <c r="F9" i="25"/>
  <c r="F29" i="25" s="1"/>
  <c r="E9" i="25"/>
  <c r="E29" i="25" s="1"/>
  <c r="D9" i="25"/>
  <c r="D29" i="25" s="1"/>
  <c r="C9" i="25"/>
  <c r="C29" i="25" s="1"/>
  <c r="B9" i="25"/>
  <c r="B29" i="25" s="1"/>
  <c r="G8" i="25"/>
  <c r="G28" i="25" s="1"/>
  <c r="F8" i="25"/>
  <c r="F28" i="25" s="1"/>
  <c r="E8" i="25"/>
  <c r="E28" i="25" s="1"/>
  <c r="D8" i="25"/>
  <c r="D28" i="25" s="1"/>
  <c r="C8" i="25"/>
  <c r="C28" i="25" s="1"/>
  <c r="B8" i="25"/>
  <c r="B28" i="25" s="1"/>
  <c r="G7" i="25"/>
  <c r="G27" i="25" s="1"/>
  <c r="F7" i="25"/>
  <c r="F27" i="25" s="1"/>
  <c r="E7" i="25"/>
  <c r="E27" i="25" s="1"/>
  <c r="D7" i="25"/>
  <c r="D27" i="25" s="1"/>
  <c r="C7" i="25"/>
  <c r="C27" i="25" s="1"/>
  <c r="B7" i="25"/>
  <c r="B27" i="25" s="1"/>
  <c r="G6" i="25"/>
  <c r="G26" i="25" s="1"/>
  <c r="F6" i="25"/>
  <c r="F26" i="25" s="1"/>
  <c r="E6" i="25"/>
  <c r="E26" i="25" s="1"/>
  <c r="D6" i="25"/>
  <c r="D26" i="25" s="1"/>
  <c r="C6" i="25"/>
  <c r="C26" i="25" s="1"/>
  <c r="B6" i="25"/>
  <c r="B26" i="25" s="1"/>
  <c r="G5" i="25"/>
  <c r="G25" i="25" s="1"/>
  <c r="F5" i="25"/>
  <c r="F25" i="25" s="1"/>
  <c r="E5" i="25"/>
  <c r="E25" i="25" s="1"/>
  <c r="D5" i="25"/>
  <c r="D25" i="25" s="1"/>
  <c r="C5" i="25"/>
  <c r="C25" i="25" s="1"/>
  <c r="B5" i="25"/>
  <c r="B25" i="25" s="1"/>
  <c r="G4" i="25"/>
  <c r="G24" i="25" s="1"/>
  <c r="F4" i="25"/>
  <c r="F24" i="25" s="1"/>
  <c r="E4" i="25"/>
  <c r="E24" i="25" s="1"/>
  <c r="D4" i="25"/>
  <c r="D24" i="25" s="1"/>
  <c r="C4" i="25"/>
  <c r="C24" i="25" s="1"/>
  <c r="B4" i="25"/>
  <c r="B24" i="25" s="1"/>
  <c r="G3" i="25"/>
  <c r="G23" i="25" s="1"/>
  <c r="F3" i="25"/>
  <c r="F23" i="25" s="1"/>
  <c r="E3" i="25"/>
  <c r="E23" i="25" s="1"/>
  <c r="D3" i="25"/>
  <c r="D23" i="25" s="1"/>
  <c r="C3" i="25"/>
  <c r="C23" i="25" s="1"/>
  <c r="B23" i="25"/>
  <c r="B5" i="30"/>
  <c r="K19" i="30"/>
  <c r="K22" i="30" s="1"/>
  <c r="I19" i="30"/>
  <c r="AM18" i="30"/>
  <c r="AL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H18" i="30"/>
  <c r="G18" i="30"/>
  <c r="F18" i="30"/>
  <c r="E18" i="30"/>
  <c r="D18" i="30"/>
  <c r="C18" i="30"/>
  <c r="AM17" i="30"/>
  <c r="AL17" i="30"/>
  <c r="AI17" i="30"/>
  <c r="AH17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H17" i="30"/>
  <c r="G17" i="30"/>
  <c r="F17" i="30"/>
  <c r="E17" i="30"/>
  <c r="D17" i="30"/>
  <c r="C17" i="30"/>
  <c r="AM16" i="30"/>
  <c r="AL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H16" i="30"/>
  <c r="G16" i="30"/>
  <c r="F16" i="30"/>
  <c r="E16" i="30"/>
  <c r="D16" i="30"/>
  <c r="C16" i="30"/>
  <c r="AM15" i="30"/>
  <c r="AL15" i="30"/>
  <c r="AI15" i="30"/>
  <c r="AH15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G15" i="30"/>
  <c r="F15" i="30"/>
  <c r="E15" i="30"/>
  <c r="D15" i="30"/>
  <c r="C15" i="30"/>
  <c r="AM14" i="30"/>
  <c r="AL14" i="30"/>
  <c r="AI14" i="30"/>
  <c r="AH14" i="30"/>
  <c r="AG14" i="30"/>
  <c r="AF14" i="30"/>
  <c r="AE14" i="30"/>
  <c r="AD14" i="30"/>
  <c r="AC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G14" i="30"/>
  <c r="F14" i="30"/>
  <c r="E14" i="30"/>
  <c r="D14" i="30"/>
  <c r="C14" i="30"/>
  <c r="AM13" i="30"/>
  <c r="AL13" i="30"/>
  <c r="AI13" i="30"/>
  <c r="AH13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G13" i="30"/>
  <c r="F13" i="30"/>
  <c r="E13" i="30"/>
  <c r="D13" i="30"/>
  <c r="C13" i="30"/>
  <c r="AM12" i="30"/>
  <c r="AL12" i="30"/>
  <c r="AI12" i="30"/>
  <c r="AH12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H12" i="30"/>
  <c r="G12" i="30"/>
  <c r="F12" i="30"/>
  <c r="E12" i="30"/>
  <c r="D12" i="30"/>
  <c r="C12" i="30"/>
  <c r="AM11" i="30"/>
  <c r="AL11" i="30"/>
  <c r="AI11" i="30"/>
  <c r="AH11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G11" i="30"/>
  <c r="F11" i="30"/>
  <c r="E11" i="30"/>
  <c r="D11" i="30"/>
  <c r="C11" i="30"/>
  <c r="AM10" i="30"/>
  <c r="AL10" i="30"/>
  <c r="AI10" i="30"/>
  <c r="AH10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L10" i="30"/>
  <c r="H10" i="30"/>
  <c r="G10" i="30"/>
  <c r="F10" i="30"/>
  <c r="E10" i="30"/>
  <c r="D10" i="30"/>
  <c r="C10" i="30"/>
  <c r="B10" i="30"/>
  <c r="AM9" i="30"/>
  <c r="AL9" i="30"/>
  <c r="AI9" i="30"/>
  <c r="AH9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L9" i="30"/>
  <c r="H9" i="30"/>
  <c r="G9" i="30"/>
  <c r="F9" i="30"/>
  <c r="E9" i="30"/>
  <c r="D9" i="30"/>
  <c r="C9" i="30"/>
  <c r="AM8" i="30"/>
  <c r="AL8" i="30"/>
  <c r="AI8" i="30"/>
  <c r="AH8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H8" i="30"/>
  <c r="G8" i="30"/>
  <c r="F8" i="30"/>
  <c r="E8" i="30"/>
  <c r="D8" i="30"/>
  <c r="C8" i="30"/>
  <c r="B8" i="30"/>
  <c r="AM7" i="30"/>
  <c r="AL7" i="30"/>
  <c r="AI7" i="30"/>
  <c r="AH7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L7" i="30"/>
  <c r="G7" i="30"/>
  <c r="F7" i="30"/>
  <c r="E7" i="30"/>
  <c r="D7" i="30"/>
  <c r="C7" i="30"/>
  <c r="B7" i="30"/>
  <c r="AM6" i="30"/>
  <c r="AL6" i="30"/>
  <c r="AI6" i="30"/>
  <c r="AH6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L6" i="30"/>
  <c r="G6" i="30"/>
  <c r="F6" i="30"/>
  <c r="E6" i="30"/>
  <c r="D6" i="30"/>
  <c r="C6" i="30"/>
  <c r="B6" i="30"/>
  <c r="AM5" i="30"/>
  <c r="AL5" i="30"/>
  <c r="AI5" i="30"/>
  <c r="AH5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L5" i="30"/>
  <c r="G5" i="30"/>
  <c r="F5" i="30"/>
  <c r="E5" i="30"/>
  <c r="D5" i="30"/>
  <c r="C5" i="30"/>
  <c r="AO5" i="29"/>
  <c r="B10" i="29"/>
  <c r="I21" i="29"/>
  <c r="AL19" i="29"/>
  <c r="AL18" i="29"/>
  <c r="AL17" i="29"/>
  <c r="AL16" i="29"/>
  <c r="AL15" i="29"/>
  <c r="AL14" i="29"/>
  <c r="AL13" i="29"/>
  <c r="AL12" i="29"/>
  <c r="AL11" i="29"/>
  <c r="AL10" i="29"/>
  <c r="AL9" i="29"/>
  <c r="AL8" i="29"/>
  <c r="AL7" i="29"/>
  <c r="AL6" i="29"/>
  <c r="AM7" i="29"/>
  <c r="AM8" i="29"/>
  <c r="AM9" i="29"/>
  <c r="AM10" i="29"/>
  <c r="AM11" i="29"/>
  <c r="AM12" i="29"/>
  <c r="AM13" i="29"/>
  <c r="AM14" i="29"/>
  <c r="AM15" i="29"/>
  <c r="AM16" i="29"/>
  <c r="AM17" i="29"/>
  <c r="AM18" i="29"/>
  <c r="AM19" i="29"/>
  <c r="AM6" i="29"/>
  <c r="AI19" i="29"/>
  <c r="AH19" i="29"/>
  <c r="AG19" i="29"/>
  <c r="AF19" i="29"/>
  <c r="AE19" i="29"/>
  <c r="AD19" i="29"/>
  <c r="AC19" i="29"/>
  <c r="AB19" i="29"/>
  <c r="AI18" i="29"/>
  <c r="AH18" i="29"/>
  <c r="AG18" i="29"/>
  <c r="AF18" i="29"/>
  <c r="AE18" i="29"/>
  <c r="AD18" i="29"/>
  <c r="AC18" i="29"/>
  <c r="AB18" i="29"/>
  <c r="AI17" i="29"/>
  <c r="AH17" i="29"/>
  <c r="AG17" i="29"/>
  <c r="AF17" i="29"/>
  <c r="AE17" i="29"/>
  <c r="AD17" i="29"/>
  <c r="AC17" i="29"/>
  <c r="AB17" i="29"/>
  <c r="AI16" i="29"/>
  <c r="AH16" i="29"/>
  <c r="AG16" i="29"/>
  <c r="AF16" i="29"/>
  <c r="AE16" i="29"/>
  <c r="AD16" i="29"/>
  <c r="AC16" i="29"/>
  <c r="AB16" i="29"/>
  <c r="AI15" i="29"/>
  <c r="AH15" i="29"/>
  <c r="AG15" i="29"/>
  <c r="AF15" i="29"/>
  <c r="AE15" i="29"/>
  <c r="AD15" i="29"/>
  <c r="AC15" i="29"/>
  <c r="AI14" i="29"/>
  <c r="AH14" i="29"/>
  <c r="AG14" i="29"/>
  <c r="AF14" i="29"/>
  <c r="AE14" i="29"/>
  <c r="AD14" i="29"/>
  <c r="AC14" i="29"/>
  <c r="AB14" i="29"/>
  <c r="AI13" i="29"/>
  <c r="AH13" i="29"/>
  <c r="AG13" i="29"/>
  <c r="AF13" i="29"/>
  <c r="AE13" i="29"/>
  <c r="AD13" i="29"/>
  <c r="AC13" i="29"/>
  <c r="AB13" i="29"/>
  <c r="AI12" i="29"/>
  <c r="AH12" i="29"/>
  <c r="AG12" i="29"/>
  <c r="AF12" i="29"/>
  <c r="AE12" i="29"/>
  <c r="AD12" i="29"/>
  <c r="AC12" i="29"/>
  <c r="AB12" i="29"/>
  <c r="AI11" i="29"/>
  <c r="AH11" i="29"/>
  <c r="AG11" i="29"/>
  <c r="AF11" i="29"/>
  <c r="AE11" i="29"/>
  <c r="AD11" i="29"/>
  <c r="AC11" i="29"/>
  <c r="AB11" i="29"/>
  <c r="AI10" i="29"/>
  <c r="AH10" i="29"/>
  <c r="AG10" i="29"/>
  <c r="AF10" i="29"/>
  <c r="AE10" i="29"/>
  <c r="AD10" i="29"/>
  <c r="AC10" i="29"/>
  <c r="AB10" i="29"/>
  <c r="AI9" i="29"/>
  <c r="AH9" i="29"/>
  <c r="AG9" i="29"/>
  <c r="AF9" i="29"/>
  <c r="AE9" i="29"/>
  <c r="AD9" i="29"/>
  <c r="AC9" i="29"/>
  <c r="AB9" i="29"/>
  <c r="AI8" i="29"/>
  <c r="AH8" i="29"/>
  <c r="AG8" i="29"/>
  <c r="AF8" i="29"/>
  <c r="AE8" i="29"/>
  <c r="AD8" i="29"/>
  <c r="AC8" i="29"/>
  <c r="AB8" i="29"/>
  <c r="AI7" i="29"/>
  <c r="AH7" i="29"/>
  <c r="AG7" i="29"/>
  <c r="AF7" i="29"/>
  <c r="AE7" i="29"/>
  <c r="AD7" i="29"/>
  <c r="AC7" i="29"/>
  <c r="AB7" i="29"/>
  <c r="AI6" i="29"/>
  <c r="AH6" i="29"/>
  <c r="AG6" i="29"/>
  <c r="AF6" i="29"/>
  <c r="AE6" i="29"/>
  <c r="AD6" i="29"/>
  <c r="AC6" i="29"/>
  <c r="AB6" i="29"/>
  <c r="Q7" i="29"/>
  <c r="Q8" i="29"/>
  <c r="Q9" i="29"/>
  <c r="Q10" i="29"/>
  <c r="Q11" i="29"/>
  <c r="Q12" i="29"/>
  <c r="Q13" i="29"/>
  <c r="Q14" i="29"/>
  <c r="Q15" i="29"/>
  <c r="Q16" i="29"/>
  <c r="Q17" i="29"/>
  <c r="Q18" i="29"/>
  <c r="Q19" i="29"/>
  <c r="R7" i="29"/>
  <c r="S7" i="29"/>
  <c r="T7" i="29"/>
  <c r="U7" i="29"/>
  <c r="V7" i="29"/>
  <c r="W7" i="29"/>
  <c r="X7" i="29"/>
  <c r="Y7" i="29"/>
  <c r="Z7" i="29"/>
  <c r="AA7" i="29"/>
  <c r="R8" i="29"/>
  <c r="S8" i="29"/>
  <c r="T8" i="29"/>
  <c r="U8" i="29"/>
  <c r="V8" i="29"/>
  <c r="W8" i="29"/>
  <c r="X8" i="29"/>
  <c r="Y8" i="29"/>
  <c r="Z8" i="29"/>
  <c r="AA8" i="29"/>
  <c r="R9" i="29"/>
  <c r="S9" i="29"/>
  <c r="T9" i="29"/>
  <c r="U9" i="29"/>
  <c r="V9" i="29"/>
  <c r="W9" i="29"/>
  <c r="X9" i="29"/>
  <c r="Y9" i="29"/>
  <c r="Z9" i="29"/>
  <c r="AA9" i="29"/>
  <c r="R10" i="29"/>
  <c r="S10" i="29"/>
  <c r="T10" i="29"/>
  <c r="U10" i="29"/>
  <c r="V10" i="29"/>
  <c r="W10" i="29"/>
  <c r="X10" i="29"/>
  <c r="Y10" i="29"/>
  <c r="Z10" i="29"/>
  <c r="AA10" i="29"/>
  <c r="R11" i="29"/>
  <c r="S11" i="29"/>
  <c r="T11" i="29"/>
  <c r="U11" i="29"/>
  <c r="V11" i="29"/>
  <c r="W11" i="29"/>
  <c r="X11" i="29"/>
  <c r="Y11" i="29"/>
  <c r="Z11" i="29"/>
  <c r="AA11" i="29"/>
  <c r="R12" i="29"/>
  <c r="S12" i="29"/>
  <c r="T12" i="29"/>
  <c r="U12" i="29"/>
  <c r="V12" i="29"/>
  <c r="W12" i="29"/>
  <c r="X12" i="29"/>
  <c r="Y12" i="29"/>
  <c r="Z12" i="29"/>
  <c r="AA12" i="29"/>
  <c r="R13" i="29"/>
  <c r="S13" i="29"/>
  <c r="T13" i="29"/>
  <c r="U13" i="29"/>
  <c r="V13" i="29"/>
  <c r="W13" i="29"/>
  <c r="X13" i="29"/>
  <c r="Y13" i="29"/>
  <c r="Z13" i="29"/>
  <c r="AA13" i="29"/>
  <c r="R14" i="29"/>
  <c r="S14" i="29"/>
  <c r="T14" i="29"/>
  <c r="U14" i="29"/>
  <c r="V14" i="29"/>
  <c r="W14" i="29"/>
  <c r="X14" i="29"/>
  <c r="Y14" i="29"/>
  <c r="Z14" i="29"/>
  <c r="AA14" i="29"/>
  <c r="R15" i="29"/>
  <c r="S15" i="29"/>
  <c r="T15" i="29"/>
  <c r="U15" i="29"/>
  <c r="V15" i="29"/>
  <c r="W15" i="29"/>
  <c r="X15" i="29"/>
  <c r="Y15" i="29"/>
  <c r="Z15" i="29"/>
  <c r="AA15" i="29"/>
  <c r="R16" i="29"/>
  <c r="S16" i="29"/>
  <c r="T16" i="29"/>
  <c r="U16" i="29"/>
  <c r="V16" i="29"/>
  <c r="W16" i="29"/>
  <c r="X16" i="29"/>
  <c r="Y16" i="29"/>
  <c r="Z16" i="29"/>
  <c r="AA16" i="29"/>
  <c r="R17" i="29"/>
  <c r="S17" i="29"/>
  <c r="T17" i="29"/>
  <c r="U17" i="29"/>
  <c r="V17" i="29"/>
  <c r="W17" i="29"/>
  <c r="X17" i="29"/>
  <c r="Y17" i="29"/>
  <c r="Z17" i="29"/>
  <c r="AA17" i="29"/>
  <c r="R18" i="29"/>
  <c r="S18" i="29"/>
  <c r="T18" i="29"/>
  <c r="U18" i="29"/>
  <c r="V18" i="29"/>
  <c r="W18" i="29"/>
  <c r="X18" i="29"/>
  <c r="Y18" i="29"/>
  <c r="Z18" i="29"/>
  <c r="AA18" i="29"/>
  <c r="R19" i="29"/>
  <c r="S19" i="29"/>
  <c r="T19" i="29"/>
  <c r="U19" i="29"/>
  <c r="V19" i="29"/>
  <c r="W19" i="29"/>
  <c r="X19" i="29"/>
  <c r="Y19" i="29"/>
  <c r="Z19" i="29"/>
  <c r="AA19" i="29"/>
  <c r="AA6" i="29"/>
  <c r="Z6" i="29"/>
  <c r="Y6" i="29"/>
  <c r="X6" i="29"/>
  <c r="W6" i="29"/>
  <c r="V6" i="29"/>
  <c r="U6" i="29"/>
  <c r="T6" i="29"/>
  <c r="S6" i="29"/>
  <c r="R6" i="29"/>
  <c r="Q6" i="29"/>
  <c r="L13" i="29"/>
  <c r="M13" i="29"/>
  <c r="N13" i="29"/>
  <c r="O13" i="29"/>
  <c r="P13" i="29"/>
  <c r="L14" i="29"/>
  <c r="M14" i="29"/>
  <c r="N14" i="29"/>
  <c r="O14" i="29"/>
  <c r="P14" i="29"/>
  <c r="L15" i="29"/>
  <c r="M15" i="29"/>
  <c r="N15" i="29"/>
  <c r="O15" i="29"/>
  <c r="P15" i="29"/>
  <c r="L16" i="29"/>
  <c r="M16" i="29"/>
  <c r="N16" i="29"/>
  <c r="O16" i="29"/>
  <c r="P16" i="29"/>
  <c r="L17" i="29"/>
  <c r="M17" i="29"/>
  <c r="N17" i="29"/>
  <c r="O17" i="29"/>
  <c r="P17" i="29"/>
  <c r="L18" i="29"/>
  <c r="M18" i="29"/>
  <c r="N18" i="29"/>
  <c r="O18" i="29"/>
  <c r="P18" i="29"/>
  <c r="L19" i="29"/>
  <c r="M19" i="29"/>
  <c r="N19" i="29"/>
  <c r="O19" i="29"/>
  <c r="P19" i="29"/>
  <c r="D13" i="29"/>
  <c r="E13" i="29"/>
  <c r="F13" i="29"/>
  <c r="G13" i="29"/>
  <c r="H13" i="29"/>
  <c r="D14" i="29"/>
  <c r="E14" i="29"/>
  <c r="F14" i="29"/>
  <c r="G14" i="29"/>
  <c r="D15" i="29"/>
  <c r="E15" i="29"/>
  <c r="F15" i="29"/>
  <c r="G15" i="29"/>
  <c r="D16" i="29"/>
  <c r="E16" i="29"/>
  <c r="F16" i="29"/>
  <c r="G16" i="29"/>
  <c r="D17" i="29"/>
  <c r="E17" i="29"/>
  <c r="F17" i="29"/>
  <c r="G17" i="29"/>
  <c r="H17" i="29"/>
  <c r="D18" i="29"/>
  <c r="E18" i="29"/>
  <c r="F18" i="29"/>
  <c r="G18" i="29"/>
  <c r="H18" i="29"/>
  <c r="D19" i="29"/>
  <c r="E19" i="29"/>
  <c r="F19" i="29"/>
  <c r="G19" i="29"/>
  <c r="H19" i="29"/>
  <c r="C13" i="29"/>
  <c r="C14" i="29"/>
  <c r="C15" i="29"/>
  <c r="C16" i="29"/>
  <c r="C17" i="29"/>
  <c r="C18" i="29"/>
  <c r="C19" i="29"/>
  <c r="B6" i="29"/>
  <c r="C6" i="29"/>
  <c r="D6" i="29"/>
  <c r="E6" i="29"/>
  <c r="F6" i="29"/>
  <c r="G6" i="29"/>
  <c r="L6" i="29"/>
  <c r="N6" i="29"/>
  <c r="O6" i="29"/>
  <c r="P6" i="29"/>
  <c r="B7" i="29"/>
  <c r="C7" i="29"/>
  <c r="D7" i="29"/>
  <c r="E7" i="29"/>
  <c r="F7" i="29"/>
  <c r="G7" i="29"/>
  <c r="L7" i="29"/>
  <c r="N7" i="29"/>
  <c r="O7" i="29"/>
  <c r="P7" i="29"/>
  <c r="B8" i="29"/>
  <c r="C8" i="29"/>
  <c r="D8" i="29"/>
  <c r="E8" i="29"/>
  <c r="F8" i="29"/>
  <c r="G8" i="29"/>
  <c r="L8" i="29"/>
  <c r="N8" i="29"/>
  <c r="O8" i="29"/>
  <c r="P8" i="29"/>
  <c r="B9" i="29"/>
  <c r="C9" i="29"/>
  <c r="D9" i="29"/>
  <c r="E9" i="29"/>
  <c r="F9" i="29"/>
  <c r="G9" i="29"/>
  <c r="H9" i="29"/>
  <c r="L9" i="29"/>
  <c r="M9" i="29"/>
  <c r="N9" i="29"/>
  <c r="O9" i="29"/>
  <c r="P9" i="29"/>
  <c r="C10" i="29"/>
  <c r="D10" i="29"/>
  <c r="E10" i="29"/>
  <c r="F10" i="29"/>
  <c r="G10" i="29"/>
  <c r="H10" i="29"/>
  <c r="L10" i="29"/>
  <c r="N10" i="29"/>
  <c r="O10" i="29"/>
  <c r="P10" i="29"/>
  <c r="B11" i="29"/>
  <c r="C11" i="29"/>
  <c r="D11" i="29"/>
  <c r="E11" i="29"/>
  <c r="F11" i="29"/>
  <c r="G11" i="29"/>
  <c r="H11" i="29"/>
  <c r="L11" i="29"/>
  <c r="N11" i="29"/>
  <c r="O11" i="29"/>
  <c r="P11" i="29"/>
  <c r="C12" i="29"/>
  <c r="D12" i="29"/>
  <c r="E12" i="29"/>
  <c r="F12" i="29"/>
  <c r="G12" i="29"/>
  <c r="L12" i="29"/>
  <c r="M12" i="29"/>
  <c r="N12" i="29"/>
  <c r="O12" i="29"/>
  <c r="P12" i="29"/>
  <c r="H19" i="27"/>
  <c r="M19" i="27"/>
  <c r="G15" i="28"/>
  <c r="H376" i="1"/>
  <c r="M376" i="1" s="1"/>
  <c r="H377" i="1"/>
  <c r="M377" i="1" s="1"/>
  <c r="K377" i="1"/>
  <c r="L376" i="1"/>
  <c r="K376" i="1"/>
  <c r="H397" i="1"/>
  <c r="M397" i="1" s="1"/>
  <c r="K397" i="1"/>
  <c r="H411" i="1"/>
  <c r="M411" i="1" s="1"/>
  <c r="K411" i="1"/>
  <c r="H419" i="1"/>
  <c r="M419" i="1" s="1"/>
  <c r="K419" i="1"/>
  <c r="H430" i="1"/>
  <c r="M430" i="1" s="1"/>
  <c r="K430" i="1"/>
  <c r="H443" i="1"/>
  <c r="M443" i="1" s="1"/>
  <c r="K443" i="1"/>
  <c r="H454" i="1"/>
  <c r="M454" i="1" s="1"/>
  <c r="K454" i="1"/>
  <c r="H464" i="1"/>
  <c r="M464" i="1" s="1"/>
  <c r="K464" i="1"/>
  <c r="H477" i="1"/>
  <c r="M477" i="1" s="1"/>
  <c r="K477" i="1"/>
  <c r="H496" i="1"/>
  <c r="M496" i="1" s="1"/>
  <c r="K496" i="1"/>
  <c r="K975" i="1"/>
  <c r="K976" i="1"/>
  <c r="K977" i="1"/>
  <c r="K978" i="1"/>
  <c r="K979" i="1"/>
  <c r="K980" i="1"/>
  <c r="K995" i="1"/>
  <c r="K992" i="1"/>
  <c r="K981" i="1"/>
  <c r="K974" i="1"/>
  <c r="K973" i="1"/>
  <c r="K972" i="1"/>
  <c r="K971" i="1"/>
  <c r="K970" i="1"/>
  <c r="K969" i="1"/>
  <c r="K968" i="1"/>
  <c r="K967" i="1"/>
  <c r="K966" i="1"/>
  <c r="K965" i="1"/>
  <c r="H17" i="27" s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J15" i="27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J37" i="19" s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J31" i="19" s="1"/>
  <c r="K333" i="1"/>
  <c r="K332" i="1"/>
  <c r="K331" i="1"/>
  <c r="K330" i="1"/>
  <c r="K329" i="1"/>
  <c r="K328" i="1"/>
  <c r="K327" i="1"/>
  <c r="K326" i="1"/>
  <c r="K325" i="1"/>
  <c r="K324" i="1"/>
  <c r="K323" i="1"/>
  <c r="J42" i="19" s="1"/>
  <c r="K322" i="1"/>
  <c r="K321" i="1"/>
  <c r="K320" i="1"/>
  <c r="F28" i="19" s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I6" i="20" s="1"/>
  <c r="K305" i="1"/>
  <c r="K304" i="1"/>
  <c r="K303" i="1"/>
  <c r="K302" i="1"/>
  <c r="K301" i="1"/>
  <c r="K300" i="1"/>
  <c r="K299" i="1"/>
  <c r="K298" i="1"/>
  <c r="K297" i="1"/>
  <c r="J5" i="19" s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J3" i="17" s="1"/>
  <c r="K251" i="1"/>
  <c r="K250" i="1"/>
  <c r="K249" i="1"/>
  <c r="K248" i="1"/>
  <c r="K247" i="1"/>
  <c r="J4" i="15" s="1"/>
  <c r="K246" i="1"/>
  <c r="J3" i="15" s="1"/>
  <c r="K245" i="1"/>
  <c r="K244" i="1"/>
  <c r="K243" i="1"/>
  <c r="K242" i="1"/>
  <c r="K241" i="1"/>
  <c r="K240" i="1"/>
  <c r="K239" i="1"/>
  <c r="K238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H980" i="1"/>
  <c r="M980" i="1" s="1"/>
  <c r="H979" i="1"/>
  <c r="M979" i="1" s="1"/>
  <c r="H978" i="1"/>
  <c r="M978" i="1" s="1"/>
  <c r="H977" i="1"/>
  <c r="M977" i="1" s="1"/>
  <c r="H976" i="1"/>
  <c r="M976" i="1" s="1"/>
  <c r="H975" i="1"/>
  <c r="M975" i="1" s="1"/>
  <c r="H974" i="1"/>
  <c r="M974" i="1" s="1"/>
  <c r="H972" i="1"/>
  <c r="M972" i="1" s="1"/>
  <c r="H971" i="1"/>
  <c r="M971" i="1" s="1"/>
  <c r="H970" i="1"/>
  <c r="M970" i="1" s="1"/>
  <c r="H969" i="1"/>
  <c r="M969" i="1" s="1"/>
  <c r="H968" i="1"/>
  <c r="M968" i="1" s="1"/>
  <c r="H967" i="1"/>
  <c r="M967" i="1" s="1"/>
  <c r="H966" i="1"/>
  <c r="M966" i="1" s="1"/>
  <c r="H965" i="1"/>
  <c r="M965" i="1" s="1"/>
  <c r="H964" i="1"/>
  <c r="M964" i="1" s="1"/>
  <c r="H963" i="1"/>
  <c r="M963" i="1" s="1"/>
  <c r="H962" i="1"/>
  <c r="M962" i="1" s="1"/>
  <c r="H961" i="1"/>
  <c r="M961" i="1" s="1"/>
  <c r="H960" i="1"/>
  <c r="M960" i="1" s="1"/>
  <c r="H959" i="1"/>
  <c r="M959" i="1" s="1"/>
  <c r="H973" i="1"/>
  <c r="M973" i="1" s="1"/>
  <c r="H945" i="1"/>
  <c r="M945" i="1" s="1"/>
  <c r="H944" i="1"/>
  <c r="M944" i="1" s="1"/>
  <c r="H943" i="1"/>
  <c r="M943" i="1" s="1"/>
  <c r="H942" i="1"/>
  <c r="M942" i="1" s="1"/>
  <c r="H941" i="1"/>
  <c r="M941" i="1" s="1"/>
  <c r="H940" i="1"/>
  <c r="M940" i="1" s="1"/>
  <c r="H939" i="1"/>
  <c r="M939" i="1" s="1"/>
  <c r="H938" i="1"/>
  <c r="M938" i="1" s="1"/>
  <c r="H937" i="1"/>
  <c r="M937" i="1" s="1"/>
  <c r="H936" i="1"/>
  <c r="M936" i="1" s="1"/>
  <c r="H935" i="1"/>
  <c r="M935" i="1" s="1"/>
  <c r="H934" i="1"/>
  <c r="M934" i="1" s="1"/>
  <c r="H957" i="1"/>
  <c r="M957" i="1" s="1"/>
  <c r="H956" i="1"/>
  <c r="M956" i="1" s="1"/>
  <c r="H955" i="1"/>
  <c r="M955" i="1" s="1"/>
  <c r="H954" i="1"/>
  <c r="M954" i="1" s="1"/>
  <c r="H953" i="1"/>
  <c r="M953" i="1" s="1"/>
  <c r="H952" i="1"/>
  <c r="M952" i="1" s="1"/>
  <c r="H958" i="1"/>
  <c r="M958" i="1" s="1"/>
  <c r="H981" i="1"/>
  <c r="M981" i="1" s="1"/>
  <c r="H992" i="1"/>
  <c r="M992" i="1" s="1"/>
  <c r="H995" i="1"/>
  <c r="M995" i="1" s="1"/>
  <c r="L291" i="1"/>
  <c r="L289" i="1"/>
  <c r="L286" i="1"/>
  <c r="L292" i="1"/>
  <c r="L288" i="1"/>
  <c r="L284" i="1"/>
  <c r="L281" i="1"/>
  <c r="L287" i="1"/>
  <c r="L283" i="1"/>
  <c r="L280" i="1"/>
  <c r="L270" i="1"/>
  <c r="L269" i="1"/>
  <c r="L278" i="1"/>
  <c r="L267" i="1"/>
  <c r="L273" i="1"/>
  <c r="H951" i="1"/>
  <c r="M951" i="1" s="1"/>
  <c r="H950" i="1"/>
  <c r="M950" i="1" s="1"/>
  <c r="H949" i="1"/>
  <c r="M949" i="1" s="1"/>
  <c r="H948" i="1"/>
  <c r="M948" i="1" s="1"/>
  <c r="H947" i="1"/>
  <c r="M947" i="1" s="1"/>
  <c r="H946" i="1"/>
  <c r="M946" i="1" s="1"/>
  <c r="H933" i="1"/>
  <c r="M933" i="1" s="1"/>
  <c r="H932" i="1"/>
  <c r="M932" i="1" s="1"/>
  <c r="H931" i="1"/>
  <c r="M931" i="1" s="1"/>
  <c r="H930" i="1"/>
  <c r="M930" i="1" s="1"/>
  <c r="H929" i="1"/>
  <c r="M929" i="1" s="1"/>
  <c r="H928" i="1"/>
  <c r="M928" i="1" s="1"/>
  <c r="H927" i="1"/>
  <c r="M927" i="1" s="1"/>
  <c r="H926" i="1"/>
  <c r="M926" i="1" s="1"/>
  <c r="H925" i="1"/>
  <c r="M925" i="1" s="1"/>
  <c r="H924" i="1"/>
  <c r="M924" i="1" s="1"/>
  <c r="H923" i="1"/>
  <c r="M923" i="1" s="1"/>
  <c r="H922" i="1"/>
  <c r="M922" i="1" s="1"/>
  <c r="H917" i="1"/>
  <c r="M917" i="1" s="1"/>
  <c r="H918" i="1"/>
  <c r="M918" i="1" s="1"/>
  <c r="H919" i="1"/>
  <c r="M919" i="1" s="1"/>
  <c r="H920" i="1"/>
  <c r="M920" i="1" s="1"/>
  <c r="H921" i="1"/>
  <c r="M921" i="1" s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4" i="1"/>
  <c r="M325" i="1"/>
  <c r="M327" i="1"/>
  <c r="M328" i="1"/>
  <c r="M329" i="1"/>
  <c r="M330" i="1"/>
  <c r="M331" i="1"/>
  <c r="M332" i="1"/>
  <c r="M334" i="1"/>
  <c r="M335" i="1"/>
  <c r="M336" i="1"/>
  <c r="M337" i="1"/>
  <c r="M338" i="1"/>
  <c r="M339" i="1"/>
  <c r="M340" i="1"/>
  <c r="M342" i="1"/>
  <c r="M343" i="1"/>
  <c r="M345" i="1"/>
  <c r="M346" i="1"/>
  <c r="M348" i="1"/>
  <c r="M350" i="1"/>
  <c r="M351" i="1"/>
  <c r="M352" i="1"/>
  <c r="M354" i="1"/>
  <c r="M355" i="1"/>
  <c r="H375" i="1"/>
  <c r="M375" i="1" s="1"/>
  <c r="H374" i="1"/>
  <c r="M374" i="1" s="1"/>
  <c r="H373" i="1"/>
  <c r="M373" i="1" s="1"/>
  <c r="H372" i="1"/>
  <c r="M372" i="1" s="1"/>
  <c r="H371" i="1"/>
  <c r="M371" i="1" s="1"/>
  <c r="H370" i="1"/>
  <c r="M370" i="1" s="1"/>
  <c r="H369" i="1"/>
  <c r="H368" i="1"/>
  <c r="M368" i="1" s="1"/>
  <c r="G8" i="23"/>
  <c r="F8" i="23"/>
  <c r="H2" i="28"/>
  <c r="H6" i="28"/>
  <c r="I6" i="28"/>
  <c r="J6" i="28"/>
  <c r="K6" i="28"/>
  <c r="H7" i="28"/>
  <c r="I7" i="28"/>
  <c r="J7" i="28"/>
  <c r="K7" i="28"/>
  <c r="H8" i="28"/>
  <c r="I8" i="28"/>
  <c r="J8" i="28"/>
  <c r="K8" i="28"/>
  <c r="H9" i="28"/>
  <c r="I9" i="28"/>
  <c r="J9" i="28"/>
  <c r="K9" i="28"/>
  <c r="H10" i="28"/>
  <c r="I10" i="28"/>
  <c r="J10" i="28"/>
  <c r="K10" i="28"/>
  <c r="H11" i="28"/>
  <c r="I11" i="28"/>
  <c r="J11" i="28"/>
  <c r="K11" i="28"/>
  <c r="H12" i="28"/>
  <c r="I12" i="28"/>
  <c r="J12" i="28"/>
  <c r="K12" i="28"/>
  <c r="H13" i="28"/>
  <c r="I13" i="28"/>
  <c r="J13" i="28"/>
  <c r="K13" i="28"/>
  <c r="K5" i="28"/>
  <c r="J5" i="28"/>
  <c r="I5" i="28"/>
  <c r="H5" i="28"/>
  <c r="K4" i="28"/>
  <c r="J4" i="28"/>
  <c r="I4" i="28"/>
  <c r="H4" i="28"/>
  <c r="K3" i="28"/>
  <c r="J3" i="28"/>
  <c r="I3" i="28"/>
  <c r="H3" i="28"/>
  <c r="K2" i="28"/>
  <c r="J2" i="28"/>
  <c r="I2" i="28"/>
  <c r="L1" i="28"/>
  <c r="K20" i="27"/>
  <c r="I20" i="27"/>
  <c r="M18" i="27"/>
  <c r="H18" i="27"/>
  <c r="M5" i="27"/>
  <c r="H5" i="27"/>
  <c r="H367" i="1"/>
  <c r="M367" i="1" s="1"/>
  <c r="R23" i="5"/>
  <c r="G23" i="5" s="1"/>
  <c r="G22" i="5" s="1"/>
  <c r="C6" i="28"/>
  <c r="D6" i="28"/>
  <c r="E6" i="28"/>
  <c r="C7" i="28"/>
  <c r="D7" i="28"/>
  <c r="E7" i="28"/>
  <c r="C8" i="28"/>
  <c r="D8" i="28"/>
  <c r="E8" i="28"/>
  <c r="C9" i="28"/>
  <c r="D9" i="28"/>
  <c r="E9" i="28"/>
  <c r="C10" i="28"/>
  <c r="D10" i="28"/>
  <c r="E10" i="28"/>
  <c r="C11" i="28"/>
  <c r="D11" i="28"/>
  <c r="E11" i="28"/>
  <c r="C12" i="28"/>
  <c r="D12" i="28"/>
  <c r="E12" i="28"/>
  <c r="C13" i="28"/>
  <c r="D13" i="28"/>
  <c r="E13" i="28"/>
  <c r="C3" i="28"/>
  <c r="D3" i="28"/>
  <c r="E3" i="28"/>
  <c r="C4" i="28"/>
  <c r="D4" i="28"/>
  <c r="E4" i="28"/>
  <c r="C5" i="28"/>
  <c r="D5" i="28"/>
  <c r="E5" i="28"/>
  <c r="E2" i="28"/>
  <c r="D2" i="28"/>
  <c r="C2" i="28"/>
  <c r="B6" i="28"/>
  <c r="B7" i="28"/>
  <c r="B8" i="28"/>
  <c r="B9" i="28"/>
  <c r="B10" i="28"/>
  <c r="B11" i="28"/>
  <c r="B12" i="28"/>
  <c r="B13" i="28"/>
  <c r="B3" i="28"/>
  <c r="B4" i="28"/>
  <c r="B5" i="28"/>
  <c r="B2" i="28"/>
  <c r="I2" i="26"/>
  <c r="H2" i="26"/>
  <c r="H5" i="23"/>
  <c r="I5" i="23"/>
  <c r="K5" i="23"/>
  <c r="H6" i="23"/>
  <c r="I6" i="23"/>
  <c r="K6" i="23"/>
  <c r="B5" i="23"/>
  <c r="C5" i="23"/>
  <c r="D5" i="23"/>
  <c r="E5" i="23"/>
  <c r="B6" i="23"/>
  <c r="C6" i="23"/>
  <c r="D6" i="23"/>
  <c r="E6" i="23"/>
  <c r="H366" i="1"/>
  <c r="M366" i="1" s="1"/>
  <c r="H365" i="1"/>
  <c r="M365" i="1" s="1"/>
  <c r="H364" i="1"/>
  <c r="M364" i="1" s="1"/>
  <c r="H363" i="1"/>
  <c r="M363" i="1" s="1"/>
  <c r="B35" i="29"/>
  <c r="H915" i="1"/>
  <c r="M915" i="1" s="1"/>
  <c r="H916" i="1"/>
  <c r="M916" i="1" s="1"/>
  <c r="H362" i="1"/>
  <c r="H361" i="1"/>
  <c r="M361" i="1" s="1"/>
  <c r="L1" i="18"/>
  <c r="L1" i="12"/>
  <c r="C23" i="6"/>
  <c r="L230" i="1"/>
  <c r="H230" i="1"/>
  <c r="M230" i="1" s="1"/>
  <c r="H112" i="1"/>
  <c r="M112" i="1" s="1"/>
  <c r="H42" i="1"/>
  <c r="M42" i="1" s="1"/>
  <c r="F14" i="12"/>
  <c r="H76" i="1"/>
  <c r="H222" i="1"/>
  <c r="M222" i="1" s="1"/>
  <c r="H32" i="1"/>
  <c r="M32" i="1" s="1"/>
  <c r="C14" i="14"/>
  <c r="H273" i="1"/>
  <c r="M273" i="1" s="1"/>
  <c r="H272" i="1"/>
  <c r="M272" i="1" s="1"/>
  <c r="H271" i="1"/>
  <c r="M271" i="1" s="1"/>
  <c r="H359" i="21" l="1"/>
  <c r="K22" i="39"/>
  <c r="K24" i="39"/>
  <c r="H358" i="21"/>
  <c r="H357" i="21"/>
  <c r="H355" i="21"/>
  <c r="H356" i="21"/>
  <c r="M17" i="27"/>
  <c r="J17" i="27"/>
  <c r="B37" i="29"/>
  <c r="S17" i="33"/>
  <c r="H354" i="21"/>
  <c r="H353" i="21"/>
  <c r="H352" i="21"/>
  <c r="H351" i="21"/>
  <c r="O26" i="5"/>
  <c r="J3" i="39"/>
  <c r="J6" i="39"/>
  <c r="J40" i="39"/>
  <c r="J30" i="39"/>
  <c r="J20" i="39"/>
  <c r="J35" i="39"/>
  <c r="J25" i="39"/>
  <c r="J38" i="39"/>
  <c r="J33" i="39"/>
  <c r="J28" i="39"/>
  <c r="J23" i="39"/>
  <c r="J18" i="39"/>
  <c r="J14" i="39"/>
  <c r="J9" i="39"/>
  <c r="J8" i="39"/>
  <c r="J11" i="39"/>
  <c r="J5" i="39"/>
  <c r="J7" i="39"/>
  <c r="J4" i="39"/>
  <c r="J10" i="39"/>
  <c r="H350" i="21"/>
  <c r="Q25" i="5"/>
  <c r="Q34" i="5"/>
  <c r="Q26" i="5"/>
  <c r="L34" i="5"/>
  <c r="L31" i="5"/>
  <c r="P34" i="5"/>
  <c r="P24" i="5"/>
  <c r="M26" i="5"/>
  <c r="N33" i="5"/>
  <c r="N32" i="5"/>
  <c r="Q30" i="5"/>
  <c r="O33" i="5"/>
  <c r="M34" i="5"/>
  <c r="Q31" i="5"/>
  <c r="O34" i="5"/>
  <c r="M24" i="5"/>
  <c r="Q32" i="5"/>
  <c r="O24" i="5"/>
  <c r="L26" i="5"/>
  <c r="Q33" i="5"/>
  <c r="N25" i="5"/>
  <c r="Q24" i="5"/>
  <c r="N26" i="5"/>
  <c r="L28" i="5"/>
  <c r="P25" i="5"/>
  <c r="N27" i="5"/>
  <c r="L29" i="5"/>
  <c r="P26" i="5"/>
  <c r="N28" i="5"/>
  <c r="L30" i="5"/>
  <c r="P27" i="5"/>
  <c r="N29" i="5"/>
  <c r="L32" i="5"/>
  <c r="P28" i="5"/>
  <c r="N30" i="5"/>
  <c r="L33" i="5"/>
  <c r="P30" i="5"/>
  <c r="N34" i="5"/>
  <c r="L24" i="5"/>
  <c r="K24" i="5"/>
  <c r="M25" i="5"/>
  <c r="K33" i="5"/>
  <c r="P31" i="5"/>
  <c r="O28" i="5"/>
  <c r="M30" i="5"/>
  <c r="Q27" i="5"/>
  <c r="M31" i="5"/>
  <c r="O31" i="5"/>
  <c r="L27" i="5"/>
  <c r="P33" i="5"/>
  <c r="K32" i="5"/>
  <c r="N24" i="5"/>
  <c r="M28" i="5"/>
  <c r="K31" i="5"/>
  <c r="O29" i="5"/>
  <c r="K29" i="5"/>
  <c r="O30" i="5"/>
  <c r="K28" i="5"/>
  <c r="Q28" i="5"/>
  <c r="Q29" i="5"/>
  <c r="P32" i="5"/>
  <c r="K27" i="5"/>
  <c r="O32" i="5"/>
  <c r="M33" i="5"/>
  <c r="K26" i="5"/>
  <c r="M27" i="5"/>
  <c r="M32" i="5"/>
  <c r="K30" i="5"/>
  <c r="O27" i="5"/>
  <c r="M29" i="5"/>
  <c r="P29" i="5"/>
  <c r="N31" i="5"/>
  <c r="K34" i="5"/>
  <c r="H349" i="21"/>
  <c r="K15" i="28"/>
  <c r="O14" i="5"/>
  <c r="J15" i="28"/>
  <c r="H15" i="28"/>
  <c r="I15" i="28"/>
  <c r="H348" i="21"/>
  <c r="H11" i="39"/>
  <c r="K12" i="39"/>
  <c r="J45" i="19"/>
  <c r="I45" i="20"/>
  <c r="G40" i="39"/>
  <c r="K37" i="39"/>
  <c r="G35" i="39"/>
  <c r="K32" i="39"/>
  <c r="G30" i="39"/>
  <c r="K27" i="39"/>
  <c r="G25" i="39"/>
  <c r="F20" i="39"/>
  <c r="J17" i="39"/>
  <c r="F40" i="39"/>
  <c r="J37" i="39"/>
  <c r="F35" i="39"/>
  <c r="J32" i="39"/>
  <c r="F30" i="39"/>
  <c r="J27" i="39"/>
  <c r="F25" i="39"/>
  <c r="J22" i="39"/>
  <c r="M19" i="39"/>
  <c r="I17" i="39"/>
  <c r="M24" i="39"/>
  <c r="I22" i="39"/>
  <c r="L19" i="39"/>
  <c r="H17" i="39"/>
  <c r="L39" i="39"/>
  <c r="H37" i="39"/>
  <c r="L34" i="39"/>
  <c r="H32" i="39"/>
  <c r="L29" i="39"/>
  <c r="H27" i="39"/>
  <c r="L24" i="39"/>
  <c r="H22" i="39"/>
  <c r="K19" i="39"/>
  <c r="G17" i="39"/>
  <c r="K39" i="39"/>
  <c r="G37" i="39"/>
  <c r="K34" i="39"/>
  <c r="G32" i="39"/>
  <c r="K29" i="39"/>
  <c r="G27" i="39"/>
  <c r="G22" i="39"/>
  <c r="J19" i="39"/>
  <c r="J39" i="39"/>
  <c r="F37" i="39"/>
  <c r="J34" i="39"/>
  <c r="F32" i="39"/>
  <c r="J29" i="39"/>
  <c r="F27" i="39"/>
  <c r="J24" i="39"/>
  <c r="M21" i="39"/>
  <c r="I19" i="39"/>
  <c r="I39" i="39"/>
  <c r="M36" i="39"/>
  <c r="I34" i="39"/>
  <c r="M31" i="39"/>
  <c r="I29" i="39"/>
  <c r="M26" i="39"/>
  <c r="I24" i="39"/>
  <c r="L21" i="39"/>
  <c r="H19" i="39"/>
  <c r="H39" i="39"/>
  <c r="L36" i="39"/>
  <c r="H34" i="39"/>
  <c r="L31" i="39"/>
  <c r="H29" i="39"/>
  <c r="L26" i="39"/>
  <c r="H24" i="39"/>
  <c r="K21" i="39"/>
  <c r="G19" i="39"/>
  <c r="G39" i="39"/>
  <c r="K36" i="39"/>
  <c r="G34" i="39"/>
  <c r="K31" i="39"/>
  <c r="G29" i="39"/>
  <c r="K26" i="39"/>
  <c r="G24" i="39"/>
  <c r="J21" i="39"/>
  <c r="F19" i="39"/>
  <c r="F39" i="39"/>
  <c r="J36" i="39"/>
  <c r="F34" i="39"/>
  <c r="J31" i="39"/>
  <c r="F29" i="39"/>
  <c r="J26" i="39"/>
  <c r="M39" i="39"/>
  <c r="I37" i="39"/>
  <c r="M34" i="39"/>
  <c r="I32" i="39"/>
  <c r="M29" i="39"/>
  <c r="F22" i="39"/>
  <c r="F36" i="39"/>
  <c r="F31" i="39"/>
  <c r="F26" i="39"/>
  <c r="F21" i="39"/>
  <c r="F28" i="39"/>
  <c r="F24" i="39"/>
  <c r="F38" i="39"/>
  <c r="F18" i="39"/>
  <c r="F33" i="39"/>
  <c r="F23" i="39"/>
  <c r="L35" i="39"/>
  <c r="L33" i="39"/>
  <c r="L40" i="39"/>
  <c r="L30" i="39"/>
  <c r="L25" i="39"/>
  <c r="L20" i="39"/>
  <c r="L38" i="39"/>
  <c r="L28" i="39"/>
  <c r="L32" i="39"/>
  <c r="L23" i="39"/>
  <c r="L18" i="39"/>
  <c r="L27" i="39"/>
  <c r="L22" i="39"/>
  <c r="L17" i="39"/>
  <c r="L37" i="39"/>
  <c r="M20" i="39"/>
  <c r="M38" i="39"/>
  <c r="M28" i="39"/>
  <c r="M23" i="39"/>
  <c r="M32" i="39"/>
  <c r="M22" i="39"/>
  <c r="M40" i="39"/>
  <c r="M35" i="39"/>
  <c r="M30" i="39"/>
  <c r="M25" i="39"/>
  <c r="M33" i="39"/>
  <c r="M27" i="39"/>
  <c r="M18" i="39"/>
  <c r="M37" i="39"/>
  <c r="M17" i="39"/>
  <c r="K35" i="39"/>
  <c r="K30" i="39"/>
  <c r="K20" i="39"/>
  <c r="K40" i="39"/>
  <c r="K25" i="39"/>
  <c r="K17" i="39"/>
  <c r="K33" i="39"/>
  <c r="K23" i="39"/>
  <c r="K38" i="39"/>
  <c r="K28" i="39"/>
  <c r="K18" i="39"/>
  <c r="G21" i="39"/>
  <c r="G18" i="39"/>
  <c r="G20" i="39"/>
  <c r="G26" i="39"/>
  <c r="G38" i="39"/>
  <c r="G33" i="39"/>
  <c r="G31" i="39"/>
  <c r="G28" i="39"/>
  <c r="G23" i="39"/>
  <c r="G36" i="39"/>
  <c r="H35" i="39"/>
  <c r="H25" i="39"/>
  <c r="H20" i="39"/>
  <c r="H31" i="39"/>
  <c r="H40" i="39"/>
  <c r="H30" i="39"/>
  <c r="H18" i="39"/>
  <c r="H26" i="39"/>
  <c r="H38" i="39"/>
  <c r="H28" i="39"/>
  <c r="H23" i="39"/>
  <c r="H36" i="39"/>
  <c r="H21" i="39"/>
  <c r="H33" i="39"/>
  <c r="I27" i="39"/>
  <c r="I40" i="39"/>
  <c r="I25" i="39"/>
  <c r="I18" i="39"/>
  <c r="I26" i="39"/>
  <c r="I35" i="39"/>
  <c r="I30" i="39"/>
  <c r="I20" i="39"/>
  <c r="I31" i="39"/>
  <c r="I21" i="39"/>
  <c r="I33" i="39"/>
  <c r="I28" i="39"/>
  <c r="I23" i="39"/>
  <c r="I36" i="39"/>
  <c r="I38" i="39"/>
  <c r="J16" i="39"/>
  <c r="I16" i="39"/>
  <c r="H16" i="39"/>
  <c r="L15" i="39"/>
  <c r="F16" i="39"/>
  <c r="K15" i="39"/>
  <c r="J15" i="39"/>
  <c r="J13" i="39"/>
  <c r="F17" i="39"/>
  <c r="M16" i="39"/>
  <c r="G13" i="39"/>
  <c r="F13" i="39"/>
  <c r="G16" i="39"/>
  <c r="M15" i="39"/>
  <c r="I15" i="39"/>
  <c r="K13" i="39"/>
  <c r="I13" i="39"/>
  <c r="H13" i="39"/>
  <c r="L16" i="39"/>
  <c r="K16" i="39"/>
  <c r="H15" i="39"/>
  <c r="G15" i="39"/>
  <c r="F15" i="39"/>
  <c r="M13" i="39"/>
  <c r="L13" i="39"/>
  <c r="G2" i="22"/>
  <c r="K3" i="23"/>
  <c r="H3" i="23"/>
  <c r="J3" i="23"/>
  <c r="I3" i="23"/>
  <c r="K8" i="39"/>
  <c r="K4" i="39"/>
  <c r="K5" i="39"/>
  <c r="K10" i="39"/>
  <c r="K3" i="39"/>
  <c r="K9" i="39"/>
  <c r="K6" i="39"/>
  <c r="K14" i="39"/>
  <c r="K11" i="39"/>
  <c r="J3" i="22"/>
  <c r="I12" i="39"/>
  <c r="I8" i="39"/>
  <c r="I11" i="39"/>
  <c r="I5" i="39"/>
  <c r="I10" i="39"/>
  <c r="I7" i="39"/>
  <c r="I4" i="39"/>
  <c r="I6" i="39"/>
  <c r="O19" i="5"/>
  <c r="G5" i="39"/>
  <c r="G10" i="39"/>
  <c r="G8" i="39"/>
  <c r="G4" i="39"/>
  <c r="G7" i="39"/>
  <c r="G12" i="39"/>
  <c r="J2" i="17"/>
  <c r="M12" i="39"/>
  <c r="M7" i="39"/>
  <c r="M3" i="39"/>
  <c r="M9" i="39"/>
  <c r="M6" i="39"/>
  <c r="M14" i="39"/>
  <c r="J2" i="15"/>
  <c r="L12" i="39"/>
  <c r="L5" i="39"/>
  <c r="L6" i="39"/>
  <c r="L3" i="39"/>
  <c r="L14" i="39"/>
  <c r="L9" i="39"/>
  <c r="H5" i="39"/>
  <c r="H4" i="39"/>
  <c r="H8" i="39"/>
  <c r="H10" i="39"/>
  <c r="H7" i="39"/>
  <c r="H12" i="39"/>
  <c r="O16" i="5"/>
  <c r="H6" i="39"/>
  <c r="I3" i="39"/>
  <c r="F12" i="39"/>
  <c r="F7" i="39"/>
  <c r="M8" i="39"/>
  <c r="G6" i="39"/>
  <c r="H3" i="39"/>
  <c r="I14" i="39"/>
  <c r="M11" i="39"/>
  <c r="I9" i="39"/>
  <c r="F4" i="39"/>
  <c r="L8" i="39"/>
  <c r="M5" i="39"/>
  <c r="G3" i="39"/>
  <c r="L11" i="39"/>
  <c r="H9" i="39"/>
  <c r="F5" i="39"/>
  <c r="F6" i="39"/>
  <c r="F8" i="39"/>
  <c r="F3" i="39"/>
  <c r="F10" i="39"/>
  <c r="L7" i="39"/>
  <c r="M4" i="39"/>
  <c r="M10" i="39"/>
  <c r="K7" i="39"/>
  <c r="L4" i="39"/>
  <c r="L10" i="39"/>
  <c r="H345" i="21"/>
  <c r="H346" i="21"/>
  <c r="H347" i="21"/>
  <c r="H344" i="21"/>
  <c r="H343" i="21"/>
  <c r="M16" i="27"/>
  <c r="B36" i="29"/>
  <c r="H342" i="21"/>
  <c r="J16" i="27"/>
  <c r="O18" i="5"/>
  <c r="H339" i="21"/>
  <c r="H340" i="21"/>
  <c r="H341" i="21"/>
  <c r="H337" i="21"/>
  <c r="H338" i="21"/>
  <c r="H333" i="21"/>
  <c r="H334" i="21"/>
  <c r="H335" i="21"/>
  <c r="H336" i="21"/>
  <c r="H332" i="21"/>
  <c r="H331" i="21"/>
  <c r="H330" i="21"/>
  <c r="H329" i="21"/>
  <c r="H328" i="21"/>
  <c r="J12" i="29"/>
  <c r="J11" i="29"/>
  <c r="H300" i="21"/>
  <c r="H301" i="21"/>
  <c r="H308" i="21"/>
  <c r="H309" i="21"/>
  <c r="H327" i="21"/>
  <c r="H302" i="21"/>
  <c r="H311" i="21"/>
  <c r="H303" i="21"/>
  <c r="H299" i="21"/>
  <c r="H310" i="21"/>
  <c r="H319" i="21"/>
  <c r="H313" i="21"/>
  <c r="H318" i="21"/>
  <c r="H326" i="21"/>
  <c r="H306" i="21"/>
  <c r="H321" i="21"/>
  <c r="H305" i="21"/>
  <c r="H324" i="21"/>
  <c r="H315" i="21"/>
  <c r="H322" i="21"/>
  <c r="H316" i="21"/>
  <c r="H320" i="21"/>
  <c r="H317" i="21"/>
  <c r="H307" i="21"/>
  <c r="H304" i="21"/>
  <c r="H325" i="21"/>
  <c r="H314" i="21"/>
  <c r="H312" i="21"/>
  <c r="H323" i="21"/>
  <c r="AO9" i="29"/>
  <c r="AO13" i="29"/>
  <c r="I9" i="33"/>
  <c r="B29" i="33" s="1"/>
  <c r="I18" i="33"/>
  <c r="I13" i="33"/>
  <c r="B33" i="33" s="1"/>
  <c r="I17" i="33"/>
  <c r="B37" i="33" s="1"/>
  <c r="S9" i="33"/>
  <c r="S18" i="33"/>
  <c r="I19" i="33"/>
  <c r="S19" i="33"/>
  <c r="S13" i="33"/>
  <c r="C3" i="21"/>
  <c r="J3" i="21"/>
  <c r="M15" i="27"/>
  <c r="J11" i="14"/>
  <c r="J11" i="13"/>
  <c r="J26" i="13"/>
  <c r="J13" i="13"/>
  <c r="J5" i="13"/>
  <c r="J40" i="13"/>
  <c r="J18" i="19"/>
  <c r="J6" i="13"/>
  <c r="J29" i="13"/>
  <c r="J25" i="13"/>
  <c r="J26" i="19"/>
  <c r="J9" i="13"/>
  <c r="J7" i="13"/>
  <c r="J3" i="20"/>
  <c r="J3" i="19"/>
  <c r="J15" i="13"/>
  <c r="J14" i="20"/>
  <c r="J14" i="19"/>
  <c r="J19" i="13"/>
  <c r="J38" i="20"/>
  <c r="J38" i="19"/>
  <c r="J14" i="14"/>
  <c r="J7" i="14"/>
  <c r="J3" i="13"/>
  <c r="J20" i="13"/>
  <c r="J28" i="20"/>
  <c r="J28" i="19"/>
  <c r="J36" i="20"/>
  <c r="J36" i="19"/>
  <c r="J15" i="20"/>
  <c r="J15" i="19"/>
  <c r="J16" i="20"/>
  <c r="J16" i="19"/>
  <c r="J22" i="13"/>
  <c r="J12" i="20"/>
  <c r="J12" i="19"/>
  <c r="J14" i="13"/>
  <c r="J22" i="20"/>
  <c r="J22" i="19"/>
  <c r="J23" i="20"/>
  <c r="J23" i="19"/>
  <c r="J11" i="20"/>
  <c r="J11" i="19"/>
  <c r="J8" i="13"/>
  <c r="J8" i="14"/>
  <c r="J32" i="20"/>
  <c r="J32" i="19"/>
  <c r="J34" i="20"/>
  <c r="J34" i="19"/>
  <c r="J41" i="13"/>
  <c r="J17" i="14"/>
  <c r="J9" i="14"/>
  <c r="J2" i="14"/>
  <c r="J31" i="13"/>
  <c r="J39" i="20"/>
  <c r="J39" i="19"/>
  <c r="J7" i="20"/>
  <c r="J7" i="19"/>
  <c r="J16" i="14"/>
  <c r="J10" i="20"/>
  <c r="J10" i="19"/>
  <c r="J25" i="20"/>
  <c r="J25" i="19"/>
  <c r="J19" i="20"/>
  <c r="J19" i="19"/>
  <c r="J27" i="20"/>
  <c r="J27" i="19"/>
  <c r="J8" i="19"/>
  <c r="J35" i="20"/>
  <c r="J35" i="19"/>
  <c r="J40" i="20"/>
  <c r="J40" i="19"/>
  <c r="J2" i="23"/>
  <c r="J2" i="22"/>
  <c r="J6" i="20"/>
  <c r="J6" i="19"/>
  <c r="J21" i="20"/>
  <c r="J21" i="19"/>
  <c r="J28" i="13"/>
  <c r="J17" i="20"/>
  <c r="J17" i="19"/>
  <c r="J30" i="20"/>
  <c r="J30" i="19"/>
  <c r="J37" i="13"/>
  <c r="J15" i="14"/>
  <c r="J2" i="19"/>
  <c r="J4" i="20"/>
  <c r="J4" i="19"/>
  <c r="J24" i="13"/>
  <c r="J41" i="20"/>
  <c r="J41" i="19"/>
  <c r="J38" i="13"/>
  <c r="J17" i="13"/>
  <c r="J9" i="20"/>
  <c r="J9" i="19"/>
  <c r="J14" i="27"/>
  <c r="B34" i="29"/>
  <c r="J42" i="20"/>
  <c r="D42" i="19"/>
  <c r="M14" i="27"/>
  <c r="AO19" i="29"/>
  <c r="AO18" i="29"/>
  <c r="B33" i="29"/>
  <c r="AO17" i="29"/>
  <c r="J31" i="20"/>
  <c r="E31" i="19"/>
  <c r="J37" i="20"/>
  <c r="E37" i="19"/>
  <c r="J26" i="20"/>
  <c r="J18" i="20"/>
  <c r="E3" i="22"/>
  <c r="J4" i="23"/>
  <c r="J11" i="30"/>
  <c r="J2" i="20"/>
  <c r="J8" i="20"/>
  <c r="D45" i="19"/>
  <c r="J45" i="20"/>
  <c r="E5" i="19"/>
  <c r="J5" i="20"/>
  <c r="J13" i="27"/>
  <c r="J11" i="27"/>
  <c r="J12" i="27"/>
  <c r="F23" i="7"/>
  <c r="F22" i="7"/>
  <c r="F21" i="7"/>
  <c r="J9" i="27"/>
  <c r="J11" i="25"/>
  <c r="J31" i="25" s="1"/>
  <c r="M378" i="1"/>
  <c r="J10" i="30"/>
  <c r="J10" i="25"/>
  <c r="J30" i="25" s="1"/>
  <c r="F2" i="19"/>
  <c r="E2" i="19"/>
  <c r="J10" i="27"/>
  <c r="I39" i="25"/>
  <c r="K39" i="25"/>
  <c r="H23" i="25"/>
  <c r="L26" i="25"/>
  <c r="M13" i="27"/>
  <c r="H13" i="27"/>
  <c r="F2" i="22"/>
  <c r="D3" i="23" s="1"/>
  <c r="E2" i="22"/>
  <c r="C3" i="23" s="1"/>
  <c r="D2" i="22"/>
  <c r="B3" i="23" s="1"/>
  <c r="F3" i="22"/>
  <c r="D3" i="22"/>
  <c r="R399" i="1"/>
  <c r="L16" i="33"/>
  <c r="S16" i="33" s="1"/>
  <c r="B16" i="33"/>
  <c r="H15" i="30"/>
  <c r="H16" i="29"/>
  <c r="AO16" i="29" s="1"/>
  <c r="H16" i="27"/>
  <c r="L15" i="33"/>
  <c r="S15" i="33" s="1"/>
  <c r="B15" i="33"/>
  <c r="H15" i="27"/>
  <c r="H14" i="30"/>
  <c r="H15" i="29"/>
  <c r="AO15" i="29" s="1"/>
  <c r="L14" i="33"/>
  <c r="S14" i="33" s="1"/>
  <c r="B14" i="33"/>
  <c r="H14" i="29"/>
  <c r="AO14" i="29" s="1"/>
  <c r="H13" i="30"/>
  <c r="H14" i="27"/>
  <c r="M427" i="1"/>
  <c r="L12" i="33"/>
  <c r="B12" i="33"/>
  <c r="M417" i="1"/>
  <c r="H11" i="30"/>
  <c r="H12" i="29"/>
  <c r="H11" i="25"/>
  <c r="H31" i="25" s="1"/>
  <c r="H12" i="27"/>
  <c r="M12" i="27"/>
  <c r="M393" i="1"/>
  <c r="C12" i="33"/>
  <c r="C11" i="33"/>
  <c r="M11" i="33"/>
  <c r="N11" i="33"/>
  <c r="D11" i="33"/>
  <c r="M414" i="1"/>
  <c r="M12" i="33"/>
  <c r="M387" i="1"/>
  <c r="M76" i="1"/>
  <c r="M386" i="1"/>
  <c r="I19" i="25"/>
  <c r="M362" i="1"/>
  <c r="M10" i="25"/>
  <c r="M30" i="25" s="1"/>
  <c r="X21" i="29"/>
  <c r="W21" i="29"/>
  <c r="V21" i="29"/>
  <c r="U21" i="29"/>
  <c r="T21" i="29"/>
  <c r="K19" i="25"/>
  <c r="M10" i="30"/>
  <c r="M11" i="29"/>
  <c r="AM21" i="29"/>
  <c r="N21" i="29"/>
  <c r="AE21" i="29"/>
  <c r="AD21" i="29"/>
  <c r="AC21" i="29"/>
  <c r="P21" i="29"/>
  <c r="F21" i="29"/>
  <c r="O21" i="29"/>
  <c r="G21" i="29"/>
  <c r="O19" i="30"/>
  <c r="O22" i="30" s="1"/>
  <c r="AJ19" i="30"/>
  <c r="AJ22" i="30" s="1"/>
  <c r="AI19" i="30"/>
  <c r="AI22" i="30" s="1"/>
  <c r="P19" i="30"/>
  <c r="P22" i="30" s="1"/>
  <c r="G19" i="30"/>
  <c r="G22" i="30" s="1"/>
  <c r="T19" i="30"/>
  <c r="T22" i="30" s="1"/>
  <c r="AK19" i="30"/>
  <c r="AK22" i="30" s="1"/>
  <c r="W19" i="30"/>
  <c r="W22" i="30" s="1"/>
  <c r="AL19" i="30"/>
  <c r="AL22" i="30" s="1"/>
  <c r="AC19" i="30"/>
  <c r="AC22" i="30" s="1"/>
  <c r="U19" i="30"/>
  <c r="U22" i="30" s="1"/>
  <c r="Y19" i="30"/>
  <c r="Y22" i="30" s="1"/>
  <c r="AD19" i="30"/>
  <c r="AD22" i="30" s="1"/>
  <c r="V19" i="30"/>
  <c r="V22" i="30" s="1"/>
  <c r="C19" i="30"/>
  <c r="C22" i="30" s="1"/>
  <c r="Z19" i="30"/>
  <c r="Z22" i="30" s="1"/>
  <c r="AM19" i="30"/>
  <c r="AM22" i="30" s="1"/>
  <c r="AB19" i="30"/>
  <c r="AB22" i="30" s="1"/>
  <c r="AE19" i="30"/>
  <c r="AE22" i="30" s="1"/>
  <c r="AA19" i="30"/>
  <c r="AA22" i="30" s="1"/>
  <c r="R19" i="30"/>
  <c r="R22" i="30" s="1"/>
  <c r="E19" i="30"/>
  <c r="E22" i="30" s="1"/>
  <c r="L19" i="30"/>
  <c r="L22" i="30" s="1"/>
  <c r="AF19" i="30"/>
  <c r="AF22" i="30" s="1"/>
  <c r="B19" i="30"/>
  <c r="B22" i="30" s="1"/>
  <c r="X19" i="30"/>
  <c r="X22" i="30" s="1"/>
  <c r="AG19" i="30"/>
  <c r="AG22" i="30" s="1"/>
  <c r="N19" i="30"/>
  <c r="N22" i="30" s="1"/>
  <c r="AH19" i="30"/>
  <c r="AH22" i="30" s="1"/>
  <c r="D19" i="30"/>
  <c r="D22" i="30" s="1"/>
  <c r="S19" i="30"/>
  <c r="S22" i="30" s="1"/>
  <c r="Q19" i="30"/>
  <c r="Q22" i="30" s="1"/>
  <c r="F19" i="30"/>
  <c r="F22" i="30" s="1"/>
  <c r="Y21" i="29"/>
  <c r="L21" i="29"/>
  <c r="AF21" i="29"/>
  <c r="D21" i="29"/>
  <c r="Q21" i="29"/>
  <c r="AJ21" i="29"/>
  <c r="E21" i="29"/>
  <c r="C21" i="29"/>
  <c r="R21" i="29"/>
  <c r="AA21" i="29"/>
  <c r="AI21" i="29"/>
  <c r="AK21" i="29"/>
  <c r="AG21" i="29"/>
  <c r="AH21" i="29"/>
  <c r="S21" i="29"/>
  <c r="Z21" i="29"/>
  <c r="AB21" i="29"/>
  <c r="AL21" i="29"/>
  <c r="B21" i="29"/>
  <c r="R5" i="27"/>
  <c r="K23" i="11"/>
  <c r="R4" i="27"/>
  <c r="R18" i="27"/>
  <c r="R19" i="27"/>
  <c r="M11" i="27"/>
  <c r="M369" i="1"/>
  <c r="K13" i="12"/>
  <c r="H11" i="27"/>
  <c r="D23" i="13"/>
  <c r="C30" i="13"/>
  <c r="R12" i="5"/>
  <c r="S12" i="5"/>
  <c r="S11" i="5"/>
  <c r="R11" i="5"/>
  <c r="S10" i="5"/>
  <c r="R10" i="5"/>
  <c r="S9" i="5"/>
  <c r="R9" i="5"/>
  <c r="S8" i="5"/>
  <c r="R8" i="5"/>
  <c r="H304" i="1"/>
  <c r="M304" i="1" s="1"/>
  <c r="H303" i="1"/>
  <c r="M303" i="1" s="1"/>
  <c r="H358" i="1"/>
  <c r="M358" i="1" s="1"/>
  <c r="R17" i="27" l="1"/>
  <c r="N25" i="39"/>
  <c r="N12" i="39"/>
  <c r="P12" i="39" s="1"/>
  <c r="Q12" i="39" s="1"/>
  <c r="N10" i="39"/>
  <c r="N6" i="39"/>
  <c r="N28" i="39"/>
  <c r="N30" i="39"/>
  <c r="N5" i="39"/>
  <c r="N24" i="39"/>
  <c r="N8" i="39"/>
  <c r="N38" i="39"/>
  <c r="N22" i="39"/>
  <c r="N40" i="39"/>
  <c r="N26" i="39"/>
  <c r="N4" i="39"/>
  <c r="N17" i="39"/>
  <c r="N27" i="39"/>
  <c r="N20" i="39"/>
  <c r="N16" i="39"/>
  <c r="N21" i="39"/>
  <c r="N35" i="39"/>
  <c r="N32" i="39"/>
  <c r="N37" i="39"/>
  <c r="N15" i="39"/>
  <c r="N29" i="39"/>
  <c r="N7" i="39"/>
  <c r="N36" i="39"/>
  <c r="N34" i="39"/>
  <c r="N13" i="39"/>
  <c r="N31" i="39"/>
  <c r="N23" i="39"/>
  <c r="N33" i="39"/>
  <c r="N39" i="39"/>
  <c r="N3" i="39"/>
  <c r="N18" i="39"/>
  <c r="N19" i="39"/>
  <c r="E2" i="23"/>
  <c r="E3" i="23"/>
  <c r="N16" i="5"/>
  <c r="M16" i="5"/>
  <c r="AP23" i="25"/>
  <c r="AQ23" i="25" s="1"/>
  <c r="D27" i="30"/>
  <c r="E27" i="30" s="1"/>
  <c r="R16" i="27"/>
  <c r="D55" i="19" a="1"/>
  <c r="G59" i="19" s="1"/>
  <c r="M40" i="21"/>
  <c r="AO12" i="29"/>
  <c r="AO11" i="29"/>
  <c r="S12" i="33"/>
  <c r="S11" i="33"/>
  <c r="I11" i="33"/>
  <c r="B31" i="33" s="1"/>
  <c r="I14" i="33"/>
  <c r="B34" i="33" s="1"/>
  <c r="I15" i="33"/>
  <c r="B35" i="33" s="1"/>
  <c r="I16" i="33"/>
  <c r="B36" i="33" s="1"/>
  <c r="I12" i="33"/>
  <c r="B32" i="33" s="1"/>
  <c r="R15" i="27"/>
  <c r="R14" i="27"/>
  <c r="B32" i="29"/>
  <c r="B31" i="29"/>
  <c r="R13" i="27"/>
  <c r="R12" i="27"/>
  <c r="D28" i="30"/>
  <c r="E28" i="30" s="1"/>
  <c r="C5" i="32"/>
  <c r="D5" i="32" s="1"/>
  <c r="C6" i="32"/>
  <c r="D6" i="32" s="1"/>
  <c r="R11" i="27"/>
  <c r="T12" i="5"/>
  <c r="G20" i="27"/>
  <c r="F20" i="27"/>
  <c r="E20" i="27"/>
  <c r="D20" i="27"/>
  <c r="C20" i="27"/>
  <c r="K4" i="23"/>
  <c r="C4" i="23"/>
  <c r="H4" i="23"/>
  <c r="I4" i="23"/>
  <c r="D4" i="23"/>
  <c r="G3" i="22"/>
  <c r="E4" i="23" s="1"/>
  <c r="B4" i="23"/>
  <c r="T9" i="5"/>
  <c r="T10" i="5"/>
  <c r="T11" i="5"/>
  <c r="T8" i="5"/>
  <c r="G27" i="19"/>
  <c r="K2" i="23"/>
  <c r="I2" i="23"/>
  <c r="H2" i="23"/>
  <c r="L1" i="23"/>
  <c r="B2" i="23"/>
  <c r="O20" i="39" l="1"/>
  <c r="P20" i="39"/>
  <c r="Q20" i="39" s="1"/>
  <c r="O27" i="39"/>
  <c r="P27" i="39"/>
  <c r="Q27" i="39" s="1"/>
  <c r="O19" i="39"/>
  <c r="P19" i="39"/>
  <c r="Q19" i="39" s="1"/>
  <c r="O17" i="39"/>
  <c r="P17" i="39"/>
  <c r="Q17" i="39" s="1"/>
  <c r="O18" i="39"/>
  <c r="P18" i="39"/>
  <c r="Q18" i="39" s="1"/>
  <c r="O4" i="39"/>
  <c r="P4" i="39"/>
  <c r="Q4" i="39" s="1"/>
  <c r="O39" i="39"/>
  <c r="P39" i="39"/>
  <c r="Q39" i="39" s="1"/>
  <c r="O40" i="39"/>
  <c r="P40" i="39"/>
  <c r="Q40" i="39" s="1"/>
  <c r="O22" i="39"/>
  <c r="P22" i="39"/>
  <c r="Q22" i="39" s="1"/>
  <c r="O23" i="39"/>
  <c r="P23" i="39"/>
  <c r="Q23" i="39" s="1"/>
  <c r="O38" i="39"/>
  <c r="P38" i="39"/>
  <c r="Q38" i="39" s="1"/>
  <c r="O31" i="39"/>
  <c r="P31" i="39"/>
  <c r="Q31" i="39" s="1"/>
  <c r="O8" i="39"/>
  <c r="P8" i="39"/>
  <c r="Q8" i="39" s="1"/>
  <c r="O13" i="39"/>
  <c r="P13" i="39"/>
  <c r="Q13" i="39" s="1"/>
  <c r="O24" i="39"/>
  <c r="P24" i="39"/>
  <c r="Q24" i="39" s="1"/>
  <c r="O34" i="39"/>
  <c r="P34" i="39"/>
  <c r="Q34" i="39" s="1"/>
  <c r="O5" i="39"/>
  <c r="P5" i="39"/>
  <c r="Q5" i="39" s="1"/>
  <c r="O36" i="39"/>
  <c r="P36" i="39"/>
  <c r="Q36" i="39" s="1"/>
  <c r="O30" i="39"/>
  <c r="P30" i="39"/>
  <c r="Q30" i="39" s="1"/>
  <c r="O7" i="39"/>
  <c r="P7" i="39"/>
  <c r="Q7" i="39" s="1"/>
  <c r="O28" i="39"/>
  <c r="P28" i="39"/>
  <c r="Q28" i="39" s="1"/>
  <c r="O29" i="39"/>
  <c r="P29" i="39"/>
  <c r="Q29" i="39" s="1"/>
  <c r="O6" i="39"/>
  <c r="P6" i="39"/>
  <c r="Q6" i="39" s="1"/>
  <c r="O3" i="39"/>
  <c r="P3" i="39"/>
  <c r="Q3" i="39" s="1"/>
  <c r="O26" i="39"/>
  <c r="P26" i="39"/>
  <c r="Q26" i="39" s="1"/>
  <c r="O33" i="39"/>
  <c r="P33" i="39"/>
  <c r="Q33" i="39" s="1"/>
  <c r="O35" i="39"/>
  <c r="P35" i="39"/>
  <c r="Q35" i="39" s="1"/>
  <c r="O21" i="39"/>
  <c r="P21" i="39"/>
  <c r="Q21" i="39" s="1"/>
  <c r="O16" i="39"/>
  <c r="P16" i="39"/>
  <c r="Q16" i="39" s="1"/>
  <c r="O15" i="39"/>
  <c r="P15" i="39"/>
  <c r="Q15" i="39" s="1"/>
  <c r="O10" i="39"/>
  <c r="P10" i="39"/>
  <c r="Q10" i="39" s="1"/>
  <c r="O37" i="39"/>
  <c r="P37" i="39"/>
  <c r="Q37" i="39" s="1"/>
  <c r="O32" i="39"/>
  <c r="P32" i="39"/>
  <c r="Q32" i="39" s="1"/>
  <c r="O25" i="39"/>
  <c r="P25" i="39"/>
  <c r="Q25" i="39" s="1"/>
  <c r="O12" i="39"/>
  <c r="N18" i="5"/>
  <c r="G70" i="19"/>
  <c r="G63" i="19"/>
  <c r="G69" i="19"/>
  <c r="G55" i="19"/>
  <c r="G56" i="19"/>
  <c r="G68" i="19"/>
  <c r="G61" i="19"/>
  <c r="G62" i="19"/>
  <c r="G65" i="19"/>
  <c r="G75" i="19"/>
  <c r="G77" i="19"/>
  <c r="G72" i="19"/>
  <c r="G71" i="19"/>
  <c r="G57" i="19"/>
  <c r="G67" i="19"/>
  <c r="G60" i="19"/>
  <c r="G76" i="19"/>
  <c r="G66" i="19"/>
  <c r="G74" i="19"/>
  <c r="G64" i="19"/>
  <c r="G58" i="19"/>
  <c r="G73" i="19"/>
  <c r="J8" i="23"/>
  <c r="I8" i="23"/>
  <c r="N14" i="5"/>
  <c r="H8" i="23"/>
  <c r="N19" i="5"/>
  <c r="F45" i="19"/>
  <c r="E45" i="19"/>
  <c r="K8" i="23"/>
  <c r="O49" i="7" s="1"/>
  <c r="H45" i="20"/>
  <c r="K45" i="20"/>
  <c r="G45" i="19"/>
  <c r="E45" i="20" s="1"/>
  <c r="H2" i="22"/>
  <c r="I2" i="22"/>
  <c r="C2" i="23"/>
  <c r="D2" i="23"/>
  <c r="H356" i="1" l="1"/>
  <c r="M356" i="1" s="1"/>
  <c r="B29" i="29" s="1"/>
  <c r="H357" i="1"/>
  <c r="M357" i="1" s="1"/>
  <c r="H359" i="1"/>
  <c r="M359" i="1" s="1"/>
  <c r="H360" i="1"/>
  <c r="H14" i="39" l="1"/>
  <c r="N10" i="33"/>
  <c r="S10" i="33" s="1"/>
  <c r="D10" i="33"/>
  <c r="M9" i="30"/>
  <c r="M10" i="29"/>
  <c r="AO10" i="29" s="1"/>
  <c r="M9" i="25"/>
  <c r="M29" i="25" s="1"/>
  <c r="M360" i="1"/>
  <c r="B30" i="29" s="1"/>
  <c r="D2" i="19"/>
  <c r="M10" i="27"/>
  <c r="H10" i="27"/>
  <c r="G25" i="19"/>
  <c r="F25" i="19"/>
  <c r="E25" i="19"/>
  <c r="D25" i="19"/>
  <c r="G16" i="19"/>
  <c r="G15" i="19"/>
  <c r="G9" i="19"/>
  <c r="L339" i="1"/>
  <c r="L498" i="1" s="1"/>
  <c r="L336" i="1"/>
  <c r="L335" i="1"/>
  <c r="L334" i="1"/>
  <c r="L328" i="1"/>
  <c r="L329" i="1"/>
  <c r="L330" i="1"/>
  <c r="L331" i="1"/>
  <c r="G36" i="19"/>
  <c r="H344" i="1"/>
  <c r="M344" i="1" s="1"/>
  <c r="H347" i="1"/>
  <c r="M347" i="1" s="1"/>
  <c r="H349" i="1"/>
  <c r="M349" i="1" s="1"/>
  <c r="H353" i="1"/>
  <c r="M353" i="1" s="1"/>
  <c r="G41" i="19"/>
  <c r="G38" i="19"/>
  <c r="G35" i="19"/>
  <c r="G34" i="19"/>
  <c r="G32" i="19"/>
  <c r="G31" i="19"/>
  <c r="G19" i="19"/>
  <c r="G23" i="19"/>
  <c r="G22" i="19"/>
  <c r="G21" i="19"/>
  <c r="H333" i="1"/>
  <c r="M333" i="1" s="1"/>
  <c r="H341" i="1"/>
  <c r="M341" i="1" s="1"/>
  <c r="G26" i="19"/>
  <c r="H321" i="1"/>
  <c r="M321" i="1" s="1"/>
  <c r="H322" i="1"/>
  <c r="M322" i="1" s="1"/>
  <c r="H323" i="1"/>
  <c r="M323" i="1" s="1"/>
  <c r="H326" i="1"/>
  <c r="M326" i="1" s="1"/>
  <c r="G40" i="19"/>
  <c r="G14" i="19"/>
  <c r="G11" i="19"/>
  <c r="G7" i="19"/>
  <c r="E7" i="20" s="1"/>
  <c r="C40" i="19"/>
  <c r="H302" i="1"/>
  <c r="M302" i="1" s="1"/>
  <c r="L1" i="20"/>
  <c r="I10" i="33" l="1"/>
  <c r="B30" i="33" s="1"/>
  <c r="L497" i="1"/>
  <c r="H9" i="27"/>
  <c r="M9" i="27"/>
  <c r="D41" i="19"/>
  <c r="F41" i="19"/>
  <c r="E41" i="19"/>
  <c r="D40" i="19"/>
  <c r="F40" i="19"/>
  <c r="E40" i="19"/>
  <c r="F42" i="19"/>
  <c r="K31" i="11"/>
  <c r="E30" i="13"/>
  <c r="C31" i="11" s="1"/>
  <c r="D30" i="13"/>
  <c r="B31" i="11" s="1"/>
  <c r="F30" i="13"/>
  <c r="D31" i="11" s="1"/>
  <c r="G18" i="19"/>
  <c r="G28" i="19"/>
  <c r="G8" i="19"/>
  <c r="G17" i="19"/>
  <c r="G6" i="19"/>
  <c r="G42" i="19"/>
  <c r="A4" i="21"/>
  <c r="I3" i="21"/>
  <c r="L510" i="1"/>
  <c r="C9" i="19"/>
  <c r="C11" i="19"/>
  <c r="L485" i="1"/>
  <c r="L486" i="1"/>
  <c r="L489" i="1"/>
  <c r="L513" i="1"/>
  <c r="L534" i="1"/>
  <c r="C26" i="19"/>
  <c r="L566" i="1" s="1"/>
  <c r="C27" i="19"/>
  <c r="L562" i="1" s="1"/>
  <c r="C34" i="19"/>
  <c r="C36" i="19"/>
  <c r="L558" i="1" s="1"/>
  <c r="C38" i="19"/>
  <c r="L553" i="1" s="1"/>
  <c r="C39" i="19"/>
  <c r="H301" i="1"/>
  <c r="M301" i="1" s="1"/>
  <c r="H299" i="1"/>
  <c r="M299" i="1" s="1"/>
  <c r="G4" i="19"/>
  <c r="H298" i="1"/>
  <c r="M298" i="1" s="1"/>
  <c r="G5" i="19"/>
  <c r="H297" i="1"/>
  <c r="M297" i="1" s="1"/>
  <c r="H300" i="1"/>
  <c r="M300" i="1" s="1"/>
  <c r="H291" i="1"/>
  <c r="M291" i="1" s="1"/>
  <c r="H289" i="1"/>
  <c r="M289" i="1" s="1"/>
  <c r="N53" i="7"/>
  <c r="H286" i="1"/>
  <c r="M286" i="1" s="1"/>
  <c r="L586" i="1" l="1"/>
  <c r="L585" i="1"/>
  <c r="L560" i="1"/>
  <c r="L561" i="1"/>
  <c r="L555" i="1"/>
  <c r="L532" i="1"/>
  <c r="L527" i="1"/>
  <c r="L530" i="1"/>
  <c r="L525" i="1"/>
  <c r="L528" i="1"/>
  <c r="L522" i="1"/>
  <c r="L511" i="1"/>
  <c r="L512" i="1"/>
  <c r="D38" i="19"/>
  <c r="L480" i="1"/>
  <c r="L481" i="1"/>
  <c r="L483" i="1"/>
  <c r="L482" i="1"/>
  <c r="L434" i="1"/>
  <c r="L431" i="1"/>
  <c r="L432" i="1"/>
  <c r="R9" i="27"/>
  <c r="A5" i="21"/>
  <c r="L374" i="1"/>
  <c r="L375" i="1"/>
  <c r="L372" i="1"/>
  <c r="L373" i="1"/>
  <c r="L370" i="1"/>
  <c r="L371" i="1"/>
  <c r="L369" i="1"/>
  <c r="L367" i="1"/>
  <c r="L368" i="1"/>
  <c r="D3" i="19"/>
  <c r="F3" i="19"/>
  <c r="D4" i="19"/>
  <c r="E4" i="19"/>
  <c r="F4" i="19"/>
  <c r="D5" i="19"/>
  <c r="F5" i="19"/>
  <c r="D6" i="19"/>
  <c r="F6" i="19"/>
  <c r="E6" i="19"/>
  <c r="D7" i="19"/>
  <c r="E7" i="19"/>
  <c r="F7" i="19"/>
  <c r="D8" i="19"/>
  <c r="E8" i="19"/>
  <c r="F8" i="19"/>
  <c r="D9" i="19"/>
  <c r="F9" i="19"/>
  <c r="E9" i="19"/>
  <c r="F10" i="19"/>
  <c r="E10" i="19"/>
  <c r="D11" i="19"/>
  <c r="E11" i="19"/>
  <c r="F11" i="19"/>
  <c r="D12" i="19"/>
  <c r="E12" i="19"/>
  <c r="F12" i="19"/>
  <c r="D13" i="19"/>
  <c r="E13" i="19"/>
  <c r="F13" i="19"/>
  <c r="D14" i="19"/>
  <c r="E14" i="19"/>
  <c r="F14" i="19"/>
  <c r="D15" i="19"/>
  <c r="E15" i="19"/>
  <c r="F15" i="19"/>
  <c r="D16" i="19"/>
  <c r="F16" i="19"/>
  <c r="E16" i="19"/>
  <c r="D17" i="19"/>
  <c r="E17" i="19"/>
  <c r="F17" i="19"/>
  <c r="F18" i="19"/>
  <c r="E18" i="19"/>
  <c r="D19" i="19"/>
  <c r="F19" i="19"/>
  <c r="E19" i="19"/>
  <c r="D20" i="19"/>
  <c r="E20" i="19"/>
  <c r="F20" i="19"/>
  <c r="D21" i="19"/>
  <c r="E21" i="19"/>
  <c r="F21" i="19"/>
  <c r="D22" i="19"/>
  <c r="E22" i="19"/>
  <c r="F22" i="19"/>
  <c r="D23" i="19"/>
  <c r="E23" i="19"/>
  <c r="F23" i="19"/>
  <c r="D26" i="19"/>
  <c r="E26" i="19"/>
  <c r="F26" i="19"/>
  <c r="D27" i="19"/>
  <c r="F27" i="19"/>
  <c r="E27" i="19"/>
  <c r="D28" i="19"/>
  <c r="E28" i="19"/>
  <c r="D30" i="19"/>
  <c r="F30" i="19"/>
  <c r="D31" i="19"/>
  <c r="F31" i="19"/>
  <c r="D32" i="19"/>
  <c r="E32" i="19"/>
  <c r="F32" i="19"/>
  <c r="D34" i="19"/>
  <c r="E34" i="19"/>
  <c r="F34" i="19"/>
  <c r="E35" i="19"/>
  <c r="F35" i="19"/>
  <c r="D36" i="19"/>
  <c r="E36" i="19"/>
  <c r="F36" i="19"/>
  <c r="D37" i="19"/>
  <c r="F37" i="19"/>
  <c r="E38" i="19"/>
  <c r="F38" i="19"/>
  <c r="D39" i="19"/>
  <c r="E39" i="19"/>
  <c r="F39" i="19"/>
  <c r="L366" i="1"/>
  <c r="L363" i="1"/>
  <c r="L364" i="1"/>
  <c r="L362" i="1"/>
  <c r="L361" i="1"/>
  <c r="G10" i="19"/>
  <c r="D10" i="19"/>
  <c r="H18" i="19"/>
  <c r="D18" i="19"/>
  <c r="L360" i="1"/>
  <c r="G3" i="19"/>
  <c r="A6" i="21" l="1"/>
  <c r="H292" i="1"/>
  <c r="M292" i="1" s="1"/>
  <c r="H288" i="1"/>
  <c r="M288" i="1" s="1"/>
  <c r="H284" i="1"/>
  <c r="M284" i="1" s="1"/>
  <c r="H281" i="1"/>
  <c r="M281" i="1" s="1"/>
  <c r="H294" i="1"/>
  <c r="M294" i="1" s="1"/>
  <c r="H296" i="1"/>
  <c r="M296" i="1" s="1"/>
  <c r="H290" i="1"/>
  <c r="M290" i="1" s="1"/>
  <c r="H293" i="1"/>
  <c r="M293" i="1" s="1"/>
  <c r="H295" i="1"/>
  <c r="M295" i="1" s="1"/>
  <c r="H287" i="1"/>
  <c r="M287" i="1" s="1"/>
  <c r="H283" i="1"/>
  <c r="M283" i="1" s="1"/>
  <c r="H280" i="1"/>
  <c r="M280" i="1" s="1"/>
  <c r="H277" i="1"/>
  <c r="M277" i="1" s="1"/>
  <c r="H276" i="1"/>
  <c r="M276" i="1" s="1"/>
  <c r="L274" i="1"/>
  <c r="H274" i="1"/>
  <c r="M274" i="1" s="1"/>
  <c r="H270" i="1"/>
  <c r="M270" i="1" s="1"/>
  <c r="H269" i="1"/>
  <c r="M269" i="1" s="1"/>
  <c r="H268" i="1"/>
  <c r="M268" i="1" s="1"/>
  <c r="H275" i="1"/>
  <c r="M275" i="1" s="1"/>
  <c r="H278" i="1"/>
  <c r="M278" i="1" s="1"/>
  <c r="L266" i="1"/>
  <c r="H266" i="1"/>
  <c r="M266" i="1" s="1"/>
  <c r="A7" i="21" l="1"/>
  <c r="A8" i="21"/>
  <c r="G8" i="14"/>
  <c r="E8" i="12" s="1"/>
  <c r="L264" i="1"/>
  <c r="H264" i="1"/>
  <c r="M264" i="1" s="1"/>
  <c r="L263" i="1"/>
  <c r="H263" i="1"/>
  <c r="M263" i="1" s="1"/>
  <c r="L261" i="1"/>
  <c r="L260" i="1"/>
  <c r="H267" i="1"/>
  <c r="M267" i="1" s="1"/>
  <c r="H279" i="1"/>
  <c r="M279" i="1" s="1"/>
  <c r="H282" i="1"/>
  <c r="M282" i="1" s="1"/>
  <c r="H285" i="1"/>
  <c r="M285" i="1" s="1"/>
  <c r="H262" i="1"/>
  <c r="M262" i="1" s="1"/>
  <c r="K3" i="20"/>
  <c r="K4" i="20"/>
  <c r="K5" i="20"/>
  <c r="K6" i="20"/>
  <c r="K7" i="20"/>
  <c r="K8" i="20"/>
  <c r="K9" i="20"/>
  <c r="K10" i="20"/>
  <c r="K11" i="20"/>
  <c r="K12" i="20"/>
  <c r="K14" i="20"/>
  <c r="K15" i="20"/>
  <c r="K16" i="20"/>
  <c r="K17" i="20"/>
  <c r="K18" i="20"/>
  <c r="K19" i="20"/>
  <c r="K20" i="20"/>
  <c r="K21" i="20"/>
  <c r="K22" i="20"/>
  <c r="K23" i="20"/>
  <c r="K25" i="20"/>
  <c r="K26" i="20"/>
  <c r="K27" i="20"/>
  <c r="K28" i="20"/>
  <c r="K30" i="20"/>
  <c r="K31" i="20"/>
  <c r="K32" i="20"/>
  <c r="K34" i="20"/>
  <c r="K35" i="20"/>
  <c r="K36" i="20"/>
  <c r="K37" i="20"/>
  <c r="K38" i="20"/>
  <c r="K39" i="20"/>
  <c r="K40" i="20"/>
  <c r="K41" i="20"/>
  <c r="K42" i="20"/>
  <c r="G48" i="20"/>
  <c r="F48" i="20"/>
  <c r="G4" i="6" s="1"/>
  <c r="H42" i="20"/>
  <c r="I42" i="20"/>
  <c r="H16" i="20"/>
  <c r="I16" i="20"/>
  <c r="H17" i="20"/>
  <c r="I17" i="20"/>
  <c r="H18" i="20"/>
  <c r="I18" i="20"/>
  <c r="H19" i="20"/>
  <c r="I19" i="20"/>
  <c r="H20" i="20"/>
  <c r="I20" i="20"/>
  <c r="H21" i="20"/>
  <c r="I21" i="20"/>
  <c r="H22" i="20"/>
  <c r="I22" i="20"/>
  <c r="H23" i="20"/>
  <c r="I23" i="20"/>
  <c r="H24" i="20"/>
  <c r="I24" i="20"/>
  <c r="H25" i="20"/>
  <c r="I25" i="20"/>
  <c r="H26" i="20"/>
  <c r="I26" i="20"/>
  <c r="H27" i="20"/>
  <c r="I27" i="20"/>
  <c r="H28" i="20"/>
  <c r="I28" i="20"/>
  <c r="H29" i="20"/>
  <c r="I29" i="20"/>
  <c r="H30" i="20"/>
  <c r="I30" i="20"/>
  <c r="H31" i="20"/>
  <c r="I31" i="20"/>
  <c r="H32" i="20"/>
  <c r="I32" i="20"/>
  <c r="I41" i="20"/>
  <c r="H41" i="20"/>
  <c r="I40" i="20"/>
  <c r="H40" i="20"/>
  <c r="I39" i="20"/>
  <c r="H39" i="20"/>
  <c r="I38" i="20"/>
  <c r="H38" i="20"/>
  <c r="I37" i="20"/>
  <c r="H37" i="20"/>
  <c r="I36" i="20"/>
  <c r="H36" i="20"/>
  <c r="I35" i="20"/>
  <c r="H35" i="20"/>
  <c r="I34" i="20"/>
  <c r="H34" i="20"/>
  <c r="I33" i="20"/>
  <c r="H33" i="20"/>
  <c r="I15" i="20"/>
  <c r="H15" i="20"/>
  <c r="I14" i="20"/>
  <c r="H14" i="20"/>
  <c r="I13" i="20"/>
  <c r="H13" i="20"/>
  <c r="I12" i="20"/>
  <c r="H12" i="20"/>
  <c r="I11" i="20"/>
  <c r="H11" i="20"/>
  <c r="I10" i="20"/>
  <c r="H10" i="20"/>
  <c r="I9" i="20"/>
  <c r="H9" i="20"/>
  <c r="I8" i="20"/>
  <c r="H8" i="20"/>
  <c r="I7" i="20"/>
  <c r="H7" i="20"/>
  <c r="H6" i="20"/>
  <c r="I5" i="20"/>
  <c r="H5" i="20"/>
  <c r="I4" i="20"/>
  <c r="H4" i="20"/>
  <c r="I3" i="20"/>
  <c r="H3" i="20"/>
  <c r="H23" i="19"/>
  <c r="H25" i="19"/>
  <c r="G30" i="19"/>
  <c r="I35" i="19"/>
  <c r="I37" i="19"/>
  <c r="D41" i="20"/>
  <c r="B42" i="20"/>
  <c r="I13" i="19"/>
  <c r="I12" i="19"/>
  <c r="H10" i="19"/>
  <c r="I7" i="19"/>
  <c r="C6" i="20"/>
  <c r="D3" i="20"/>
  <c r="E22" i="20" l="1"/>
  <c r="B9" i="20"/>
  <c r="C14" i="20"/>
  <c r="C11" i="20"/>
  <c r="A9" i="21"/>
  <c r="B23" i="20"/>
  <c r="D19" i="20"/>
  <c r="G39" i="19"/>
  <c r="E42" i="20" s="1"/>
  <c r="I39" i="19"/>
  <c r="H39" i="19"/>
  <c r="H37" i="19"/>
  <c r="H30" i="19"/>
  <c r="E17" i="20"/>
  <c r="I22" i="19"/>
  <c r="H20" i="19"/>
  <c r="G20" i="19"/>
  <c r="E20" i="20" s="1"/>
  <c r="H22" i="19"/>
  <c r="I21" i="19"/>
  <c r="E18" i="20"/>
  <c r="E19" i="20"/>
  <c r="D42" i="20"/>
  <c r="I19" i="19"/>
  <c r="C42" i="20"/>
  <c r="H19" i="19"/>
  <c r="I15" i="19"/>
  <c r="H21" i="19"/>
  <c r="I20" i="19"/>
  <c r="I16" i="19"/>
  <c r="D40" i="20"/>
  <c r="C41" i="20"/>
  <c r="B41" i="20"/>
  <c r="C40" i="20"/>
  <c r="G37" i="19"/>
  <c r="E40" i="20" s="1"/>
  <c r="H16" i="19"/>
  <c r="B40" i="20"/>
  <c r="E41" i="20"/>
  <c r="I38" i="19"/>
  <c r="B21" i="20"/>
  <c r="H38" i="19"/>
  <c r="I17" i="19"/>
  <c r="I18" i="19"/>
  <c r="B20" i="20"/>
  <c r="H17" i="19"/>
  <c r="B28" i="20"/>
  <c r="I32" i="19"/>
  <c r="B27" i="20"/>
  <c r="I31" i="19"/>
  <c r="H32" i="19"/>
  <c r="H31" i="19"/>
  <c r="D26" i="20"/>
  <c r="I30" i="19"/>
  <c r="I36" i="19"/>
  <c r="B39" i="20"/>
  <c r="H36" i="19"/>
  <c r="B34" i="20"/>
  <c r="I26" i="19"/>
  <c r="E6" i="20"/>
  <c r="E30" i="20"/>
  <c r="I25" i="19"/>
  <c r="E10" i="20"/>
  <c r="E32" i="20"/>
  <c r="H15" i="19"/>
  <c r="H34" i="19"/>
  <c r="E35" i="20"/>
  <c r="E3" i="20"/>
  <c r="I27" i="19"/>
  <c r="H27" i="19"/>
  <c r="E31" i="20"/>
  <c r="H35" i="19"/>
  <c r="I34" i="19"/>
  <c r="I23" i="19"/>
  <c r="I28" i="19"/>
  <c r="H28" i="19"/>
  <c r="D38" i="20"/>
  <c r="H26" i="19"/>
  <c r="E33" i="20"/>
  <c r="G12" i="19"/>
  <c r="I11" i="19"/>
  <c r="D6" i="20"/>
  <c r="H11" i="19"/>
  <c r="I8" i="19"/>
  <c r="I3" i="19"/>
  <c r="H6" i="19"/>
  <c r="I6" i="19"/>
  <c r="H8" i="19"/>
  <c r="H3" i="19"/>
  <c r="H14" i="19"/>
  <c r="H9" i="19"/>
  <c r="I14" i="19"/>
  <c r="H7" i="19"/>
  <c r="I9" i="19"/>
  <c r="D15" i="20"/>
  <c r="H12" i="19"/>
  <c r="D10" i="20"/>
  <c r="B3" i="20"/>
  <c r="I10" i="19"/>
  <c r="D16" i="20"/>
  <c r="C3" i="20"/>
  <c r="B6" i="20"/>
  <c r="H13" i="19"/>
  <c r="D21" i="20" l="1"/>
  <c r="D28" i="20"/>
  <c r="C37" i="20"/>
  <c r="D35" i="20"/>
  <c r="B17" i="20"/>
  <c r="B15" i="20"/>
  <c r="E16" i="20"/>
  <c r="D32" i="20"/>
  <c r="B13" i="20"/>
  <c r="C27" i="20"/>
  <c r="C25" i="20"/>
  <c r="C21" i="20"/>
  <c r="C23" i="20"/>
  <c r="D25" i="20"/>
  <c r="B35" i="20"/>
  <c r="B22" i="20"/>
  <c r="C35" i="20"/>
  <c r="C39" i="20"/>
  <c r="D30" i="20"/>
  <c r="C32" i="20"/>
  <c r="D17" i="20"/>
  <c r="C26" i="20"/>
  <c r="C19" i="20"/>
  <c r="C31" i="20"/>
  <c r="C15" i="20"/>
  <c r="D34" i="20"/>
  <c r="B26" i="20"/>
  <c r="E37" i="20"/>
  <c r="B30" i="20"/>
  <c r="D36" i="20"/>
  <c r="E15" i="20"/>
  <c r="C10" i="20"/>
  <c r="E36" i="20"/>
  <c r="E26" i="20"/>
  <c r="E14" i="20"/>
  <c r="E11" i="20"/>
  <c r="C20" i="20"/>
  <c r="C36" i="20"/>
  <c r="C12" i="20"/>
  <c r="C9" i="20"/>
  <c r="D23" i="20"/>
  <c r="C38" i="20"/>
  <c r="B32" i="20"/>
  <c r="D20" i="20"/>
  <c r="C22" i="20"/>
  <c r="B10" i="20"/>
  <c r="C8" i="20"/>
  <c r="C7" i="20"/>
  <c r="E12" i="20"/>
  <c r="E9" i="20"/>
  <c r="E29" i="20"/>
  <c r="E28" i="20"/>
  <c r="D22" i="20"/>
  <c r="E25" i="20"/>
  <c r="B38" i="20"/>
  <c r="D14" i="20"/>
  <c r="D11" i="20"/>
  <c r="D37" i="20"/>
  <c r="B19" i="20"/>
  <c r="E8" i="20"/>
  <c r="D27" i="20"/>
  <c r="D13" i="20"/>
  <c r="B36" i="20"/>
  <c r="B12" i="20"/>
  <c r="B25" i="20"/>
  <c r="B18" i="20"/>
  <c r="E38" i="20"/>
  <c r="B8" i="20"/>
  <c r="B7" i="20"/>
  <c r="E39" i="20"/>
  <c r="C28" i="20"/>
  <c r="B14" i="20"/>
  <c r="B11" i="20"/>
  <c r="C16" i="20"/>
  <c r="D12" i="20"/>
  <c r="D9" i="20"/>
  <c r="D8" i="20"/>
  <c r="D7" i="20"/>
  <c r="E13" i="20"/>
  <c r="E34" i="20"/>
  <c r="E27" i="20"/>
  <c r="C13" i="20"/>
  <c r="C34" i="20"/>
  <c r="C30" i="20"/>
  <c r="D39" i="20"/>
  <c r="E21" i="20"/>
  <c r="B31" i="20"/>
  <c r="C17" i="20"/>
  <c r="D31" i="20"/>
  <c r="B16" i="20"/>
  <c r="C18" i="20"/>
  <c r="E23" i="20"/>
  <c r="D18" i="20"/>
  <c r="B37" i="20"/>
  <c r="A10" i="21"/>
  <c r="L256" i="1"/>
  <c r="L255" i="1"/>
  <c r="H255" i="1"/>
  <c r="M255" i="1" s="1"/>
  <c r="H256" i="1"/>
  <c r="M256" i="1" s="1"/>
  <c r="H258" i="1"/>
  <c r="H259" i="1"/>
  <c r="M259" i="1" s="1"/>
  <c r="H260" i="1"/>
  <c r="M260" i="1" s="1"/>
  <c r="H261" i="1"/>
  <c r="M261" i="1" s="1"/>
  <c r="H265" i="1"/>
  <c r="M265" i="1" s="1"/>
  <c r="E4" i="9"/>
  <c r="G5" i="18"/>
  <c r="F3" i="18"/>
  <c r="F2" i="18"/>
  <c r="L250" i="1"/>
  <c r="L249" i="1"/>
  <c r="M258" i="1" l="1"/>
  <c r="F5" i="18"/>
  <c r="G8" i="6" s="1"/>
  <c r="C2" i="20"/>
  <c r="D2" i="20"/>
  <c r="B2" i="20"/>
  <c r="G2" i="19"/>
  <c r="E2" i="20" s="1"/>
  <c r="A11" i="21"/>
  <c r="K2" i="20"/>
  <c r="H2" i="20"/>
  <c r="M19" i="5" s="1"/>
  <c r="J48" i="20"/>
  <c r="I2" i="20"/>
  <c r="M14" i="5" s="1"/>
  <c r="I2" i="19"/>
  <c r="H2" i="19"/>
  <c r="H252" i="1"/>
  <c r="M252" i="1" s="1"/>
  <c r="H251" i="1"/>
  <c r="H250" i="1"/>
  <c r="M250" i="1" s="1"/>
  <c r="H249" i="1"/>
  <c r="M249" i="1" s="1"/>
  <c r="F3" i="16"/>
  <c r="H247" i="1"/>
  <c r="M247" i="1" s="1"/>
  <c r="H245" i="1"/>
  <c r="G6" i="16"/>
  <c r="F4" i="16"/>
  <c r="F2" i="16"/>
  <c r="L1" i="16"/>
  <c r="M251" i="1" l="1"/>
  <c r="M245" i="1"/>
  <c r="F6" i="16"/>
  <c r="G7" i="6" s="1"/>
  <c r="H48" i="20"/>
  <c r="I48" i="20"/>
  <c r="G2" i="17"/>
  <c r="E2" i="18" s="1"/>
  <c r="K4" i="16"/>
  <c r="A12" i="21"/>
  <c r="K48" i="20"/>
  <c r="M18" i="5"/>
  <c r="K2" i="16"/>
  <c r="D2" i="17"/>
  <c r="B2" i="18" s="1"/>
  <c r="I2" i="18"/>
  <c r="H2" i="18"/>
  <c r="K2" i="18"/>
  <c r="J2" i="18"/>
  <c r="D3" i="17"/>
  <c r="B3" i="18" s="1"/>
  <c r="K3" i="18"/>
  <c r="J3" i="18"/>
  <c r="I3" i="18"/>
  <c r="H3" i="18"/>
  <c r="H2" i="17"/>
  <c r="E2" i="17"/>
  <c r="C2" i="18" s="1"/>
  <c r="J4" i="16"/>
  <c r="G3" i="17"/>
  <c r="E3" i="18" s="1"/>
  <c r="F3" i="17"/>
  <c r="D3" i="18" s="1"/>
  <c r="H3" i="17"/>
  <c r="I3" i="17"/>
  <c r="F2" i="17"/>
  <c r="D2" i="18" s="1"/>
  <c r="I2" i="17"/>
  <c r="E3" i="17"/>
  <c r="C3" i="18" s="1"/>
  <c r="G2" i="15"/>
  <c r="E2" i="16" s="1"/>
  <c r="G4" i="15"/>
  <c r="H2" i="16"/>
  <c r="I2" i="16"/>
  <c r="J2" i="16"/>
  <c r="H4" i="16"/>
  <c r="I4" i="16"/>
  <c r="C4" i="15"/>
  <c r="I4" i="15" s="1"/>
  <c r="C3" i="15"/>
  <c r="D2" i="15"/>
  <c r="B2" i="16" s="1"/>
  <c r="L244" i="1"/>
  <c r="L243" i="1"/>
  <c r="H248" i="1"/>
  <c r="M248" i="1" s="1"/>
  <c r="H253" i="1"/>
  <c r="M253" i="1" s="1"/>
  <c r="H254" i="1"/>
  <c r="M254" i="1" s="1"/>
  <c r="H257" i="1"/>
  <c r="M257" i="1" s="1"/>
  <c r="H241" i="1"/>
  <c r="M241" i="1" s="1"/>
  <c r="H240" i="1"/>
  <c r="M240" i="1" s="1"/>
  <c r="H239" i="1"/>
  <c r="M239" i="1" s="1"/>
  <c r="L241" i="1"/>
  <c r="L240" i="1"/>
  <c r="L239" i="1"/>
  <c r="L238" i="1"/>
  <c r="L236" i="1"/>
  <c r="L235" i="1"/>
  <c r="G235" i="1" s="1"/>
  <c r="L234" i="1"/>
  <c r="G234" i="1" s="1"/>
  <c r="L233" i="1"/>
  <c r="G233" i="1" s="1"/>
  <c r="L232" i="1"/>
  <c r="G232" i="1" s="1"/>
  <c r="H231" i="1"/>
  <c r="M231" i="1" s="1"/>
  <c r="H236" i="1"/>
  <c r="L229" i="1"/>
  <c r="H229" i="1"/>
  <c r="M229" i="1" s="1"/>
  <c r="H227" i="1"/>
  <c r="M227" i="1" s="1"/>
  <c r="H225" i="1"/>
  <c r="M225" i="1" s="1"/>
  <c r="H224" i="1"/>
  <c r="M224" i="1" s="1"/>
  <c r="L221" i="1"/>
  <c r="H221" i="1"/>
  <c r="M221" i="1" s="1"/>
  <c r="H149" i="1"/>
  <c r="M149" i="1" s="1"/>
  <c r="H150" i="1"/>
  <c r="M150" i="1" s="1"/>
  <c r="H223" i="1"/>
  <c r="M223" i="1" s="1"/>
  <c r="L219" i="1"/>
  <c r="H219" i="1"/>
  <c r="M219" i="1" s="1"/>
  <c r="H218" i="1"/>
  <c r="M218" i="1" s="1"/>
  <c r="L228" i="1"/>
  <c r="H228" i="1"/>
  <c r="M228" i="1" s="1"/>
  <c r="L226" i="1"/>
  <c r="H226" i="1"/>
  <c r="M226" i="1" s="1"/>
  <c r="L225" i="1"/>
  <c r="L224" i="1"/>
  <c r="L220" i="1"/>
  <c r="H220" i="1" s="1"/>
  <c r="M220" i="1" s="1"/>
  <c r="L217" i="1"/>
  <c r="H217" i="1"/>
  <c r="M217" i="1" s="1"/>
  <c r="H243" i="1"/>
  <c r="H244" i="1"/>
  <c r="M244" i="1" s="1"/>
  <c r="H246" i="1"/>
  <c r="M246" i="1" s="1"/>
  <c r="H215" i="1"/>
  <c r="M215" i="1" s="1"/>
  <c r="G214" i="1"/>
  <c r="G213" i="1"/>
  <c r="G212" i="1"/>
  <c r="G211" i="1"/>
  <c r="G210" i="1"/>
  <c r="G209" i="1"/>
  <c r="G208" i="1"/>
  <c r="G207" i="1"/>
  <c r="G206" i="1"/>
  <c r="G205" i="1"/>
  <c r="H216" i="1"/>
  <c r="M216" i="1" s="1"/>
  <c r="M13" i="17" l="1"/>
  <c r="M15" i="17" s="1"/>
  <c r="J8" i="29"/>
  <c r="J7" i="30"/>
  <c r="J7" i="25"/>
  <c r="J27" i="25" s="1"/>
  <c r="J8" i="27"/>
  <c r="H235" i="1"/>
  <c r="M235" i="1" s="1"/>
  <c r="H234" i="1"/>
  <c r="M234" i="1" s="1"/>
  <c r="H233" i="1"/>
  <c r="M233" i="1" s="1"/>
  <c r="H232" i="1"/>
  <c r="H214" i="1"/>
  <c r="M214" i="1" s="1"/>
  <c r="H213" i="1"/>
  <c r="M213" i="1" s="1"/>
  <c r="H212" i="1"/>
  <c r="M212" i="1" s="1"/>
  <c r="H211" i="1"/>
  <c r="M211" i="1" s="1"/>
  <c r="H210" i="1"/>
  <c r="M210" i="1" s="1"/>
  <c r="H209" i="1"/>
  <c r="M209" i="1" s="1"/>
  <c r="H208" i="1"/>
  <c r="M208" i="1" s="1"/>
  <c r="H207" i="1"/>
  <c r="M207" i="1" s="1"/>
  <c r="H206" i="1"/>
  <c r="M206" i="1" s="1"/>
  <c r="H205" i="1"/>
  <c r="M205" i="1" s="1"/>
  <c r="N8" i="33"/>
  <c r="D8" i="33"/>
  <c r="M8" i="33"/>
  <c r="C8" i="33"/>
  <c r="M236" i="1"/>
  <c r="M7" i="25"/>
  <c r="M27" i="25" s="1"/>
  <c r="M7" i="30"/>
  <c r="M8" i="29"/>
  <c r="M243" i="1"/>
  <c r="M8" i="27"/>
  <c r="G3" i="15"/>
  <c r="O48" i="7"/>
  <c r="A13" i="21"/>
  <c r="Q14" i="5"/>
  <c r="Q16" i="5"/>
  <c r="Q18" i="5"/>
  <c r="Q19" i="5"/>
  <c r="J5" i="18"/>
  <c r="K5" i="18"/>
  <c r="H5" i="18"/>
  <c r="I5" i="18"/>
  <c r="F3" i="15"/>
  <c r="D3" i="16" s="1"/>
  <c r="K3" i="16"/>
  <c r="K6" i="16" s="1"/>
  <c r="J3" i="16"/>
  <c r="J6" i="16" s="1"/>
  <c r="I3" i="16"/>
  <c r="I6" i="16" s="1"/>
  <c r="H3" i="16"/>
  <c r="H6" i="16" s="1"/>
  <c r="I3" i="15"/>
  <c r="H3" i="15"/>
  <c r="D4" i="15"/>
  <c r="B4" i="16" s="1"/>
  <c r="E4" i="15"/>
  <c r="C4" i="16" s="1"/>
  <c r="F2" i="15"/>
  <c r="D2" i="16" s="1"/>
  <c r="H2" i="15"/>
  <c r="D3" i="15"/>
  <c r="B3" i="16" s="1"/>
  <c r="E2" i="15"/>
  <c r="C2" i="16" s="1"/>
  <c r="F4" i="15"/>
  <c r="D4" i="16" s="1"/>
  <c r="I2" i="15"/>
  <c r="E3" i="15"/>
  <c r="C3" i="16" s="1"/>
  <c r="H4" i="15"/>
  <c r="H203" i="1"/>
  <c r="M203" i="1" s="1"/>
  <c r="H202" i="1"/>
  <c r="M202" i="1" s="1"/>
  <c r="H199" i="1"/>
  <c r="M199" i="1" s="1"/>
  <c r="H201" i="1"/>
  <c r="M201" i="1" s="1"/>
  <c r="H200" i="1"/>
  <c r="M200" i="1" s="1"/>
  <c r="H190" i="1"/>
  <c r="M190" i="1" s="1"/>
  <c r="G191" i="1"/>
  <c r="H189" i="1"/>
  <c r="M189" i="1" s="1"/>
  <c r="H55" i="1"/>
  <c r="M55" i="1" s="1"/>
  <c r="B31" i="9"/>
  <c r="B34" i="9" s="1"/>
  <c r="B37" i="9" s="1"/>
  <c r="B40" i="9" s="1"/>
  <c r="B43" i="9" s="1"/>
  <c r="B46" i="9" s="1"/>
  <c r="B49" i="9" s="1"/>
  <c r="B52" i="9" s="1"/>
  <c r="B55" i="9" s="1"/>
  <c r="B30" i="9"/>
  <c r="B33" i="9" s="1"/>
  <c r="B36" i="9" s="1"/>
  <c r="B39" i="9" s="1"/>
  <c r="B42" i="9" s="1"/>
  <c r="B45" i="9" s="1"/>
  <c r="B48" i="9" s="1"/>
  <c r="B51" i="9" s="1"/>
  <c r="B54" i="9" s="1"/>
  <c r="J55" i="9"/>
  <c r="J54" i="9"/>
  <c r="J52" i="9"/>
  <c r="J51" i="9"/>
  <c r="J49" i="9"/>
  <c r="J48" i="9"/>
  <c r="J46" i="9"/>
  <c r="J45" i="9"/>
  <c r="J43" i="9"/>
  <c r="J42" i="9"/>
  <c r="J40" i="9"/>
  <c r="J39" i="9"/>
  <c r="J37" i="9"/>
  <c r="J36" i="9"/>
  <c r="J34" i="9"/>
  <c r="J33" i="9"/>
  <c r="J31" i="9"/>
  <c r="J30" i="9"/>
  <c r="H204" i="1"/>
  <c r="M204" i="1" s="1"/>
  <c r="C18" i="14"/>
  <c r="C17" i="14"/>
  <c r="C16" i="14"/>
  <c r="C15" i="14"/>
  <c r="C13" i="14"/>
  <c r="C12" i="14"/>
  <c r="C11" i="14"/>
  <c r="C10" i="14"/>
  <c r="C9" i="14"/>
  <c r="C8" i="14"/>
  <c r="C7" i="14"/>
  <c r="C6" i="14"/>
  <c r="C5" i="14"/>
  <c r="C4" i="14"/>
  <c r="C3" i="14"/>
  <c r="C2" i="14"/>
  <c r="C9" i="13"/>
  <c r="M232" i="1" l="1"/>
  <c r="A14" i="21"/>
  <c r="E8" i="14"/>
  <c r="C8" i="12" s="1"/>
  <c r="F8" i="14"/>
  <c r="D8" i="12" s="1"/>
  <c r="D8" i="14"/>
  <c r="B8" i="12" s="1"/>
  <c r="P18" i="5"/>
  <c r="P16" i="5"/>
  <c r="P19" i="5"/>
  <c r="P14" i="5"/>
  <c r="C21" i="13"/>
  <c r="C41" i="13"/>
  <c r="C6" i="13"/>
  <c r="C31" i="13"/>
  <c r="C26" i="13"/>
  <c r="C27" i="13"/>
  <c r="C38" i="13"/>
  <c r="C4" i="13"/>
  <c r="C11" i="13"/>
  <c r="C8" i="13"/>
  <c r="C3" i="13"/>
  <c r="C13" i="13"/>
  <c r="C36" i="13"/>
  <c r="C17" i="13"/>
  <c r="C32" i="13"/>
  <c r="C7" i="13"/>
  <c r="C14" i="13"/>
  <c r="C19" i="13"/>
  <c r="C34" i="13"/>
  <c r="C40" i="13"/>
  <c r="C29" i="13"/>
  <c r="C37" i="13"/>
  <c r="C22" i="13"/>
  <c r="C5" i="13"/>
  <c r="C33" i="13"/>
  <c r="C10" i="13"/>
  <c r="C25" i="13"/>
  <c r="C18" i="13"/>
  <c r="C15" i="13"/>
  <c r="C28" i="13"/>
  <c r="C39" i="13"/>
  <c r="C12" i="13"/>
  <c r="C20" i="13"/>
  <c r="C16" i="13"/>
  <c r="C35" i="13"/>
  <c r="H188" i="1"/>
  <c r="M188" i="1" s="1"/>
  <c r="H187" i="1"/>
  <c r="M187" i="1" s="1"/>
  <c r="H186" i="1"/>
  <c r="M186" i="1" s="1"/>
  <c r="A15" i="21" l="1"/>
  <c r="H191" i="1"/>
  <c r="M191" i="1" s="1"/>
  <c r="C2" i="13"/>
  <c r="L1" i="11"/>
  <c r="H238" i="1"/>
  <c r="H237" i="1"/>
  <c r="M237" i="1" s="1"/>
  <c r="H185" i="1"/>
  <c r="M185" i="1" s="1"/>
  <c r="L8" i="33" l="1"/>
  <c r="S8" i="33" s="1"/>
  <c r="B8" i="33"/>
  <c r="M238" i="1"/>
  <c r="B28" i="29" s="1"/>
  <c r="H7" i="25"/>
  <c r="H27" i="25" s="1"/>
  <c r="H8" i="29"/>
  <c r="AO8" i="29" s="1"/>
  <c r="H7" i="30"/>
  <c r="H8" i="27"/>
  <c r="R8" i="27" s="1"/>
  <c r="G6" i="5"/>
  <c r="A16" i="21"/>
  <c r="H192" i="1"/>
  <c r="M192" i="1" s="1"/>
  <c r="H183" i="1"/>
  <c r="M183" i="1" s="1"/>
  <c r="H182" i="1"/>
  <c r="M182" i="1" s="1"/>
  <c r="H181" i="1"/>
  <c r="M181" i="1" s="1"/>
  <c r="H180" i="1"/>
  <c r="M180" i="1" s="1"/>
  <c r="H179" i="1"/>
  <c r="M179" i="1" s="1"/>
  <c r="H178" i="1"/>
  <c r="M178" i="1" s="1"/>
  <c r="H177" i="1"/>
  <c r="M177" i="1" s="1"/>
  <c r="H176" i="1"/>
  <c r="M176" i="1" s="1"/>
  <c r="H175" i="1"/>
  <c r="M175" i="1" s="1"/>
  <c r="H184" i="1"/>
  <c r="M184" i="1" s="1"/>
  <c r="S19" i="5"/>
  <c r="S16" i="5"/>
  <c r="H173" i="1"/>
  <c r="M173" i="1" s="1"/>
  <c r="H172" i="1"/>
  <c r="M172" i="1" s="1"/>
  <c r="H171" i="1"/>
  <c r="M171" i="1" s="1"/>
  <c r="G165" i="1"/>
  <c r="G166" i="1"/>
  <c r="G167" i="1"/>
  <c r="G168" i="1"/>
  <c r="G169" i="1"/>
  <c r="R21" i="5"/>
  <c r="G21" i="5" s="1"/>
  <c r="R20" i="5"/>
  <c r="G20" i="5" s="1"/>
  <c r="S21" i="5"/>
  <c r="S20" i="5"/>
  <c r="S18" i="5"/>
  <c r="S7" i="5"/>
  <c r="T7" i="5" s="1"/>
  <c r="S14" i="5"/>
  <c r="I8" i="33" l="1"/>
  <c r="B28" i="33" s="1"/>
  <c r="O20" i="27"/>
  <c r="B20" i="27"/>
  <c r="T20" i="5"/>
  <c r="A17" i="21"/>
  <c r="H193" i="1"/>
  <c r="M193" i="1" s="1"/>
  <c r="T21" i="5"/>
  <c r="R10" i="27" l="1"/>
  <c r="N20" i="27"/>
  <c r="O39" i="25"/>
  <c r="O19" i="25"/>
  <c r="N19" i="25"/>
  <c r="A18" i="21"/>
  <c r="H194" i="1"/>
  <c r="M194" i="1" s="1"/>
  <c r="H170" i="1"/>
  <c r="M170" i="1" s="1"/>
  <c r="H169" i="1"/>
  <c r="M169" i="1" s="1"/>
  <c r="H168" i="1"/>
  <c r="M168" i="1" s="1"/>
  <c r="H167" i="1"/>
  <c r="M167" i="1" s="1"/>
  <c r="H166" i="1"/>
  <c r="M166" i="1" s="1"/>
  <c r="H165" i="1"/>
  <c r="M165" i="1" s="1"/>
  <c r="K16" i="11"/>
  <c r="J16" i="11"/>
  <c r="J23" i="11"/>
  <c r="J31" i="11"/>
  <c r="I16" i="11"/>
  <c r="I23" i="11"/>
  <c r="I31" i="11"/>
  <c r="H16" i="11"/>
  <c r="H23" i="11"/>
  <c r="H31" i="11"/>
  <c r="N39" i="25" l="1"/>
  <c r="A19" i="21"/>
  <c r="G28" i="13"/>
  <c r="E28" i="11" s="1"/>
  <c r="D28" i="13"/>
  <c r="B28" i="11" s="1"/>
  <c r="E28" i="13"/>
  <c r="C28" i="11" s="1"/>
  <c r="F28" i="13"/>
  <c r="D28" i="11" s="1"/>
  <c r="H195" i="1"/>
  <c r="M195" i="1" s="1"/>
  <c r="F161" i="1"/>
  <c r="A20" i="21" l="1"/>
  <c r="H196" i="1"/>
  <c r="M196" i="1" s="1"/>
  <c r="H160" i="1"/>
  <c r="M160" i="1" s="1"/>
  <c r="H151" i="1"/>
  <c r="M151" i="1" s="1"/>
  <c r="H152" i="1"/>
  <c r="M152" i="1" s="1"/>
  <c r="H153" i="1"/>
  <c r="M153" i="1" s="1"/>
  <c r="H154" i="1"/>
  <c r="M154" i="1" s="1"/>
  <c r="H155" i="1"/>
  <c r="M155" i="1" s="1"/>
  <c r="H156" i="1"/>
  <c r="M156" i="1" s="1"/>
  <c r="H157" i="1"/>
  <c r="M157" i="1" s="1"/>
  <c r="H158" i="1"/>
  <c r="M158" i="1" s="1"/>
  <c r="H159" i="1"/>
  <c r="M159" i="1" s="1"/>
  <c r="H161" i="1"/>
  <c r="M161" i="1" s="1"/>
  <c r="H162" i="1"/>
  <c r="M162" i="1" s="1"/>
  <c r="H163" i="1"/>
  <c r="H91" i="1"/>
  <c r="M91" i="1" s="1"/>
  <c r="H92" i="1"/>
  <c r="M92" i="1" s="1"/>
  <c r="H103" i="1"/>
  <c r="M103" i="1" s="1"/>
  <c r="H144" i="1"/>
  <c r="M144" i="1" s="1"/>
  <c r="H145" i="1"/>
  <c r="M145" i="1" s="1"/>
  <c r="H146" i="1"/>
  <c r="M146" i="1" s="1"/>
  <c r="H147" i="1"/>
  <c r="M147" i="1" s="1"/>
  <c r="H148" i="1"/>
  <c r="M148" i="1" s="1"/>
  <c r="H143" i="1"/>
  <c r="M143" i="1" s="1"/>
  <c r="H128" i="1"/>
  <c r="M128" i="1" s="1"/>
  <c r="H136" i="1"/>
  <c r="M136" i="1" s="1"/>
  <c r="H124" i="1"/>
  <c r="M124" i="1" s="1"/>
  <c r="H126" i="1"/>
  <c r="M126" i="1" s="1"/>
  <c r="H127" i="1"/>
  <c r="M127" i="1" s="1"/>
  <c r="H129" i="1"/>
  <c r="M129" i="1" s="1"/>
  <c r="H130" i="1"/>
  <c r="M130" i="1" s="1"/>
  <c r="H131" i="1"/>
  <c r="M131" i="1" s="1"/>
  <c r="H132" i="1"/>
  <c r="M132" i="1" s="1"/>
  <c r="H133" i="1"/>
  <c r="M133" i="1" s="1"/>
  <c r="H134" i="1"/>
  <c r="M134" i="1" s="1"/>
  <c r="H135" i="1"/>
  <c r="M135" i="1" s="1"/>
  <c r="H140" i="1"/>
  <c r="M140" i="1" s="1"/>
  <c r="G20" i="12"/>
  <c r="G43" i="11"/>
  <c r="H164" i="1"/>
  <c r="M164" i="1" s="1"/>
  <c r="H174" i="1"/>
  <c r="M174" i="1" s="1"/>
  <c r="H242" i="1"/>
  <c r="M242" i="1" s="1"/>
  <c r="L137" i="1"/>
  <c r="G9" i="39" l="1"/>
  <c r="M163" i="1"/>
  <c r="L294" i="1"/>
  <c r="L296" i="1"/>
  <c r="L300" i="1"/>
  <c r="L301" i="1"/>
  <c r="A21" i="21"/>
  <c r="F15" i="9"/>
  <c r="C24" i="13"/>
  <c r="H198" i="1"/>
  <c r="M198" i="1" s="1"/>
  <c r="H197" i="1"/>
  <c r="D33" i="13"/>
  <c r="B32" i="11" s="1"/>
  <c r="F33" i="13"/>
  <c r="D32" i="11" s="1"/>
  <c r="E33" i="13"/>
  <c r="C32" i="11" s="1"/>
  <c r="G26" i="13"/>
  <c r="E26" i="11" s="1"/>
  <c r="E26" i="13"/>
  <c r="C26" i="11" s="1"/>
  <c r="F26" i="13"/>
  <c r="D26" i="11" s="1"/>
  <c r="D26" i="13"/>
  <c r="B26" i="11" s="1"/>
  <c r="D36" i="13"/>
  <c r="B35" i="11" s="1"/>
  <c r="F36" i="13"/>
  <c r="D35" i="11" s="1"/>
  <c r="E36" i="13"/>
  <c r="C35" i="11" s="1"/>
  <c r="I8" i="14"/>
  <c r="H8" i="14"/>
  <c r="F3" i="14"/>
  <c r="D3" i="12" s="1"/>
  <c r="E3" i="14"/>
  <c r="C3" i="12" s="1"/>
  <c r="D3" i="14"/>
  <c r="B3" i="12" s="1"/>
  <c r="I3" i="14"/>
  <c r="H3" i="14"/>
  <c r="D4" i="14"/>
  <c r="B4" i="12" s="1"/>
  <c r="H4" i="14"/>
  <c r="I4" i="14"/>
  <c r="F4" i="14"/>
  <c r="D4" i="12" s="1"/>
  <c r="E4" i="14"/>
  <c r="C4" i="12" s="1"/>
  <c r="B39" i="11"/>
  <c r="D39" i="11"/>
  <c r="C39" i="11"/>
  <c r="G7" i="13"/>
  <c r="E7" i="11" s="1"/>
  <c r="I7" i="13"/>
  <c r="F7" i="13"/>
  <c r="D7" i="11" s="1"/>
  <c r="H7" i="13"/>
  <c r="D7" i="13"/>
  <c r="B7" i="11" s="1"/>
  <c r="E7" i="13"/>
  <c r="C7" i="11" s="1"/>
  <c r="E34" i="13"/>
  <c r="C33" i="11" s="1"/>
  <c r="D34" i="13"/>
  <c r="B33" i="11" s="1"/>
  <c r="F34" i="13"/>
  <c r="D33" i="11" s="1"/>
  <c r="G14" i="13"/>
  <c r="E14" i="11" s="1"/>
  <c r="H14" i="13"/>
  <c r="I14" i="13"/>
  <c r="E14" i="13"/>
  <c r="C14" i="11" s="1"/>
  <c r="F14" i="13"/>
  <c r="D14" i="11" s="1"/>
  <c r="D14" i="13"/>
  <c r="B14" i="11" s="1"/>
  <c r="F27" i="13"/>
  <c r="D27" i="11" s="1"/>
  <c r="E27" i="13"/>
  <c r="C27" i="11" s="1"/>
  <c r="D27" i="13"/>
  <c r="B27" i="11" s="1"/>
  <c r="D39" i="13"/>
  <c r="B38" i="11" s="1"/>
  <c r="F39" i="13"/>
  <c r="D38" i="11" s="1"/>
  <c r="E39" i="13"/>
  <c r="C38" i="11" s="1"/>
  <c r="I7" i="11"/>
  <c r="J7" i="11"/>
  <c r="K7" i="11"/>
  <c r="H7" i="11"/>
  <c r="I33" i="11"/>
  <c r="K33" i="11"/>
  <c r="H33" i="11"/>
  <c r="J33" i="11"/>
  <c r="I32" i="11"/>
  <c r="K32" i="11"/>
  <c r="H32" i="11"/>
  <c r="J32" i="11"/>
  <c r="I8" i="12"/>
  <c r="J8" i="12"/>
  <c r="H8" i="12"/>
  <c r="K8" i="12"/>
  <c r="H27" i="11"/>
  <c r="J27" i="11"/>
  <c r="I27" i="11"/>
  <c r="K27" i="11"/>
  <c r="J38" i="11"/>
  <c r="I38" i="11"/>
  <c r="K38" i="11"/>
  <c r="H38" i="11"/>
  <c r="J4" i="12"/>
  <c r="K4" i="12"/>
  <c r="H4" i="12"/>
  <c r="I4" i="12"/>
  <c r="H3" i="12"/>
  <c r="I3" i="12"/>
  <c r="J3" i="12"/>
  <c r="K3" i="12"/>
  <c r="I39" i="11"/>
  <c r="J39" i="11"/>
  <c r="K39" i="11"/>
  <c r="H39" i="11"/>
  <c r="J26" i="11"/>
  <c r="H26" i="11"/>
  <c r="K26" i="11"/>
  <c r="I26" i="11"/>
  <c r="J35" i="11"/>
  <c r="H35" i="11"/>
  <c r="I35" i="11"/>
  <c r="K35" i="11"/>
  <c r="J28" i="11"/>
  <c r="H28" i="11"/>
  <c r="I28" i="11"/>
  <c r="K28" i="11"/>
  <c r="H14" i="11"/>
  <c r="J14" i="11"/>
  <c r="K14" i="11"/>
  <c r="I14" i="11"/>
  <c r="F14" i="9"/>
  <c r="H118" i="1"/>
  <c r="M118" i="1" s="1"/>
  <c r="H89" i="1"/>
  <c r="M89" i="1" s="1"/>
  <c r="H139" i="1"/>
  <c r="M139" i="1" s="1"/>
  <c r="H138" i="1"/>
  <c r="M138" i="1" s="1"/>
  <c r="H117" i="1"/>
  <c r="M117" i="1" s="1"/>
  <c r="B7" i="33" l="1"/>
  <c r="L7" i="33"/>
  <c r="M197" i="1"/>
  <c r="H6" i="25"/>
  <c r="H7" i="29"/>
  <c r="H6" i="30"/>
  <c r="A22" i="21"/>
  <c r="I10" i="14"/>
  <c r="F10" i="14"/>
  <c r="D10" i="12" s="1"/>
  <c r="H10" i="14"/>
  <c r="D10" i="14"/>
  <c r="B10" i="12" s="1"/>
  <c r="E10" i="14"/>
  <c r="C10" i="12" s="1"/>
  <c r="G31" i="13"/>
  <c r="E30" i="11" s="1"/>
  <c r="E31" i="13"/>
  <c r="C30" i="11" s="1"/>
  <c r="D31" i="13"/>
  <c r="B30" i="11" s="1"/>
  <c r="F31" i="13"/>
  <c r="D30" i="11" s="1"/>
  <c r="I30" i="11"/>
  <c r="H30" i="11"/>
  <c r="J30" i="11"/>
  <c r="K30" i="11"/>
  <c r="H10" i="12"/>
  <c r="J10" i="12"/>
  <c r="I10" i="12"/>
  <c r="K10" i="12"/>
  <c r="F19" i="9"/>
  <c r="F18" i="9"/>
  <c r="H108" i="1"/>
  <c r="M108" i="1" s="1"/>
  <c r="H109" i="1"/>
  <c r="M109" i="1" s="1"/>
  <c r="F3" i="12"/>
  <c r="F4" i="12"/>
  <c r="F5" i="12"/>
  <c r="F6" i="12"/>
  <c r="F7" i="12"/>
  <c r="F8" i="12"/>
  <c r="F9" i="12"/>
  <c r="F10" i="12"/>
  <c r="F11" i="12"/>
  <c r="F12" i="12"/>
  <c r="F13" i="12"/>
  <c r="F15" i="12"/>
  <c r="F16" i="12"/>
  <c r="F17" i="12"/>
  <c r="F18" i="12"/>
  <c r="F2" i="12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2" i="11"/>
  <c r="H141" i="1"/>
  <c r="M141" i="1" s="1"/>
  <c r="H142" i="1"/>
  <c r="M142" i="1" s="1"/>
  <c r="H125" i="1"/>
  <c r="M125" i="1" s="1"/>
  <c r="H137" i="1"/>
  <c r="M137" i="1" s="1"/>
  <c r="H116" i="1"/>
  <c r="M116" i="1" s="1"/>
  <c r="H115" i="1"/>
  <c r="M115" i="1" s="1"/>
  <c r="H114" i="1"/>
  <c r="M114" i="1" s="1"/>
  <c r="H113" i="1"/>
  <c r="M113" i="1" s="1"/>
  <c r="H111" i="1"/>
  <c r="M111" i="1" s="1"/>
  <c r="H110" i="1"/>
  <c r="M110" i="1" s="1"/>
  <c r="H107" i="1"/>
  <c r="M107" i="1" s="1"/>
  <c r="H106" i="1"/>
  <c r="M106" i="1" s="1"/>
  <c r="H105" i="1"/>
  <c r="M105" i="1" s="1"/>
  <c r="H104" i="1"/>
  <c r="M104" i="1" s="1"/>
  <c r="H119" i="1"/>
  <c r="M119" i="1" s="1"/>
  <c r="H120" i="1"/>
  <c r="M120" i="1" s="1"/>
  <c r="H101" i="1"/>
  <c r="M101" i="1" s="1"/>
  <c r="H99" i="1"/>
  <c r="M99" i="1" s="1"/>
  <c r="H96" i="1"/>
  <c r="M96" i="1" s="1"/>
  <c r="H85" i="1"/>
  <c r="M85" i="1" s="1"/>
  <c r="H83" i="1"/>
  <c r="M83" i="1" s="1"/>
  <c r="H81" i="1"/>
  <c r="M81" i="1" s="1"/>
  <c r="H79" i="1"/>
  <c r="M79" i="1" s="1"/>
  <c r="H33" i="1"/>
  <c r="M33" i="1" s="1"/>
  <c r="H37" i="1"/>
  <c r="M37" i="1" s="1"/>
  <c r="H36" i="1"/>
  <c r="M36" i="1" s="1"/>
  <c r="H95" i="1"/>
  <c r="M95" i="1" s="1"/>
  <c r="H97" i="1"/>
  <c r="M97" i="1" s="1"/>
  <c r="H98" i="1"/>
  <c r="M98" i="1" s="1"/>
  <c r="H100" i="1"/>
  <c r="M100" i="1" s="1"/>
  <c r="H90" i="1"/>
  <c r="M90" i="1" s="1"/>
  <c r="H93" i="1"/>
  <c r="M93" i="1" s="1"/>
  <c r="H94" i="1"/>
  <c r="M94" i="1" s="1"/>
  <c r="H80" i="1"/>
  <c r="M80" i="1" s="1"/>
  <c r="H82" i="1"/>
  <c r="M82" i="1" s="1"/>
  <c r="H84" i="1"/>
  <c r="M84" i="1" s="1"/>
  <c r="H86" i="1"/>
  <c r="M86" i="1" s="1"/>
  <c r="H87" i="1"/>
  <c r="M87" i="1" s="1"/>
  <c r="H88" i="1"/>
  <c r="M88" i="1" s="1"/>
  <c r="H26" i="25" l="1"/>
  <c r="A23" i="21"/>
  <c r="H12" i="13"/>
  <c r="I12" i="13"/>
  <c r="D12" i="13"/>
  <c r="B12" i="11" s="1"/>
  <c r="F12" i="13"/>
  <c r="D12" i="11" s="1"/>
  <c r="E12" i="13"/>
  <c r="C12" i="11" s="1"/>
  <c r="D6" i="14"/>
  <c r="B6" i="12" s="1"/>
  <c r="F6" i="14"/>
  <c r="D6" i="12" s="1"/>
  <c r="E6" i="14"/>
  <c r="C6" i="12" s="1"/>
  <c r="H6" i="14"/>
  <c r="I6" i="14"/>
  <c r="G15" i="13"/>
  <c r="E15" i="11" s="1"/>
  <c r="I15" i="13"/>
  <c r="D15" i="13"/>
  <c r="B15" i="11" s="1"/>
  <c r="H15" i="13"/>
  <c r="F15" i="13"/>
  <c r="D15" i="11" s="1"/>
  <c r="E15" i="13"/>
  <c r="C15" i="11" s="1"/>
  <c r="D24" i="13"/>
  <c r="B24" i="11" s="1"/>
  <c r="G24" i="13"/>
  <c r="E24" i="11" s="1"/>
  <c r="F24" i="13"/>
  <c r="D24" i="11" s="1"/>
  <c r="E24" i="13"/>
  <c r="C24" i="11" s="1"/>
  <c r="G25" i="13"/>
  <c r="E25" i="11" s="1"/>
  <c r="D25" i="13"/>
  <c r="B25" i="11" s="1"/>
  <c r="F25" i="13"/>
  <c r="D25" i="11" s="1"/>
  <c r="E25" i="13"/>
  <c r="C25" i="11" s="1"/>
  <c r="G5" i="13"/>
  <c r="E5" i="11" s="1"/>
  <c r="H5" i="13"/>
  <c r="D5" i="13"/>
  <c r="B5" i="11" s="1"/>
  <c r="E5" i="13"/>
  <c r="C5" i="11" s="1"/>
  <c r="I5" i="13"/>
  <c r="F5" i="13"/>
  <c r="D5" i="11" s="1"/>
  <c r="H4" i="13"/>
  <c r="D4" i="13"/>
  <c r="B4" i="11" s="1"/>
  <c r="F4" i="13"/>
  <c r="D4" i="11" s="1"/>
  <c r="I4" i="13"/>
  <c r="E4" i="13"/>
  <c r="C4" i="11" s="1"/>
  <c r="G22" i="13"/>
  <c r="E22" i="11" s="1"/>
  <c r="D22" i="13"/>
  <c r="B22" i="11" s="1"/>
  <c r="E22" i="13"/>
  <c r="C22" i="11" s="1"/>
  <c r="F22" i="13"/>
  <c r="D22" i="11" s="1"/>
  <c r="E5" i="14"/>
  <c r="C5" i="12" s="1"/>
  <c r="F5" i="14"/>
  <c r="D5" i="12" s="1"/>
  <c r="D5" i="14"/>
  <c r="B5" i="12" s="1"/>
  <c r="H5" i="14"/>
  <c r="I5" i="14"/>
  <c r="G11" i="13"/>
  <c r="E11" i="11" s="1"/>
  <c r="F11" i="13"/>
  <c r="D11" i="11" s="1"/>
  <c r="E11" i="13"/>
  <c r="C11" i="11" s="1"/>
  <c r="H11" i="13"/>
  <c r="I11" i="13"/>
  <c r="D11" i="13"/>
  <c r="B11" i="11" s="1"/>
  <c r="F21" i="13"/>
  <c r="D21" i="11" s="1"/>
  <c r="E21" i="13"/>
  <c r="C21" i="11" s="1"/>
  <c r="D21" i="13"/>
  <c r="B21" i="11" s="1"/>
  <c r="G20" i="13"/>
  <c r="E20" i="11" s="1"/>
  <c r="E20" i="13"/>
  <c r="C20" i="11" s="1"/>
  <c r="F20" i="13"/>
  <c r="D20" i="11" s="1"/>
  <c r="D20" i="13"/>
  <c r="B20" i="11" s="1"/>
  <c r="G13" i="13"/>
  <c r="E13" i="11" s="1"/>
  <c r="E13" i="13"/>
  <c r="C13" i="11" s="1"/>
  <c r="H13" i="13"/>
  <c r="I13" i="13"/>
  <c r="F13" i="13"/>
  <c r="D13" i="11" s="1"/>
  <c r="D13" i="13"/>
  <c r="B13" i="11" s="1"/>
  <c r="G6" i="13"/>
  <c r="E6" i="11" s="1"/>
  <c r="H6" i="13"/>
  <c r="I6" i="13"/>
  <c r="D6" i="13"/>
  <c r="B6" i="11" s="1"/>
  <c r="E6" i="13"/>
  <c r="C6" i="11" s="1"/>
  <c r="F6" i="13"/>
  <c r="D6" i="11" s="1"/>
  <c r="D41" i="13"/>
  <c r="B41" i="11" s="1"/>
  <c r="E41" i="13"/>
  <c r="C41" i="11" s="1"/>
  <c r="G41" i="13"/>
  <c r="E41" i="11" s="1"/>
  <c r="F41" i="13"/>
  <c r="D41" i="11" s="1"/>
  <c r="J6" i="11"/>
  <c r="K6" i="11"/>
  <c r="H6" i="11"/>
  <c r="I6" i="11"/>
  <c r="H41" i="11"/>
  <c r="I41" i="11"/>
  <c r="J41" i="11"/>
  <c r="K41" i="11"/>
  <c r="H5" i="11"/>
  <c r="J5" i="11"/>
  <c r="I5" i="11"/>
  <c r="K5" i="11"/>
  <c r="J6" i="12"/>
  <c r="K6" i="12"/>
  <c r="H6" i="12"/>
  <c r="I6" i="12"/>
  <c r="K11" i="11"/>
  <c r="H11" i="11"/>
  <c r="J11" i="11"/>
  <c r="I11" i="11"/>
  <c r="H13" i="11"/>
  <c r="K13" i="11"/>
  <c r="I13" i="11"/>
  <c r="J13" i="11"/>
  <c r="H21" i="11"/>
  <c r="I21" i="11"/>
  <c r="J21" i="11"/>
  <c r="K21" i="11"/>
  <c r="I20" i="11"/>
  <c r="J20" i="11"/>
  <c r="K20" i="11"/>
  <c r="H20" i="11"/>
  <c r="H12" i="11"/>
  <c r="I12" i="11"/>
  <c r="J12" i="11"/>
  <c r="K12" i="11"/>
  <c r="I4" i="11"/>
  <c r="H4" i="11"/>
  <c r="J4" i="11"/>
  <c r="K4" i="11"/>
  <c r="H22" i="11"/>
  <c r="I22" i="11"/>
  <c r="J22" i="11"/>
  <c r="K22" i="11"/>
  <c r="H5" i="12"/>
  <c r="J5" i="12"/>
  <c r="I5" i="12"/>
  <c r="K5" i="12"/>
  <c r="I15" i="11"/>
  <c r="K15" i="11"/>
  <c r="H15" i="11"/>
  <c r="J15" i="11"/>
  <c r="I24" i="11"/>
  <c r="H24" i="11"/>
  <c r="J24" i="11"/>
  <c r="K24" i="11"/>
  <c r="H25" i="11"/>
  <c r="I25" i="11"/>
  <c r="J25" i="11"/>
  <c r="K25" i="11"/>
  <c r="H68" i="1"/>
  <c r="N7" i="33" l="1"/>
  <c r="D7" i="33"/>
  <c r="M68" i="1"/>
  <c r="M6" i="30"/>
  <c r="M7" i="29"/>
  <c r="M6" i="25"/>
  <c r="A24" i="21"/>
  <c r="E24" i="21" s="1"/>
  <c r="H67" i="1"/>
  <c r="M67" i="1" s="1"/>
  <c r="M26" i="25" l="1"/>
  <c r="A25" i="21"/>
  <c r="G16" i="14"/>
  <c r="E16" i="12" s="1"/>
  <c r="F16" i="14"/>
  <c r="D16" i="12" s="1"/>
  <c r="I16" i="14"/>
  <c r="D16" i="14"/>
  <c r="B16" i="12" s="1"/>
  <c r="H16" i="14"/>
  <c r="E16" i="14"/>
  <c r="C16" i="12" s="1"/>
  <c r="I16" i="12"/>
  <c r="K16" i="12"/>
  <c r="J16" i="12"/>
  <c r="H16" i="12"/>
  <c r="H74" i="1"/>
  <c r="M74" i="1" s="1"/>
  <c r="H70" i="1"/>
  <c r="M70" i="1" s="1"/>
  <c r="A26" i="21" l="1"/>
  <c r="I11" i="14"/>
  <c r="G11" i="14"/>
  <c r="E11" i="12" s="1"/>
  <c r="F11" i="14"/>
  <c r="D11" i="12" s="1"/>
  <c r="D11" i="14"/>
  <c r="B11" i="12" s="1"/>
  <c r="E11" i="14"/>
  <c r="C11" i="12" s="1"/>
  <c r="H11" i="14"/>
  <c r="F9" i="14"/>
  <c r="D9" i="12" s="1"/>
  <c r="E9" i="14"/>
  <c r="C9" i="12" s="1"/>
  <c r="G9" i="14"/>
  <c r="E9" i="12" s="1"/>
  <c r="I9" i="14"/>
  <c r="H9" i="14"/>
  <c r="D9" i="14"/>
  <c r="B9" i="12" s="1"/>
  <c r="J11" i="12"/>
  <c r="H11" i="12"/>
  <c r="I11" i="12"/>
  <c r="K11" i="12"/>
  <c r="I9" i="12"/>
  <c r="K9" i="12"/>
  <c r="H9" i="12"/>
  <c r="J9" i="12"/>
  <c r="H69" i="1"/>
  <c r="M69" i="1" s="1"/>
  <c r="H72" i="1"/>
  <c r="M72" i="1" s="1"/>
  <c r="H73" i="1"/>
  <c r="M73" i="1" s="1"/>
  <c r="H66" i="1"/>
  <c r="M66" i="1" s="1"/>
  <c r="H64" i="1"/>
  <c r="M64" i="1" s="1"/>
  <c r="A27" i="21" l="1"/>
  <c r="H12" i="14"/>
  <c r="D12" i="14"/>
  <c r="B12" i="12" s="1"/>
  <c r="E12" i="14"/>
  <c r="C12" i="12" s="1"/>
  <c r="F12" i="14"/>
  <c r="D12" i="12" s="1"/>
  <c r="I12" i="14"/>
  <c r="I12" i="12"/>
  <c r="J12" i="12"/>
  <c r="K12" i="12"/>
  <c r="H12" i="12"/>
  <c r="H75" i="1"/>
  <c r="M75" i="1" s="1"/>
  <c r="H65" i="1"/>
  <c r="H71" i="1"/>
  <c r="M71" i="1" s="1"/>
  <c r="M65" i="1" l="1"/>
  <c r="A28" i="21"/>
  <c r="H63" i="1"/>
  <c r="M63" i="1" s="1"/>
  <c r="H62" i="1"/>
  <c r="M62" i="1" s="1"/>
  <c r="H61" i="1"/>
  <c r="M61" i="1" s="1"/>
  <c r="H58" i="1"/>
  <c r="M58" i="1" s="1"/>
  <c r="H59" i="1"/>
  <c r="M59" i="1" s="1"/>
  <c r="H57" i="1"/>
  <c r="C26" i="6"/>
  <c r="H53" i="1"/>
  <c r="M53" i="1" s="1"/>
  <c r="H54" i="1"/>
  <c r="H52" i="1"/>
  <c r="M52" i="1" s="1"/>
  <c r="H77" i="1"/>
  <c r="M77" i="1" s="1"/>
  <c r="H78" i="1"/>
  <c r="M78" i="1" s="1"/>
  <c r="H102" i="1"/>
  <c r="M102" i="1" s="1"/>
  <c r="H60" i="1"/>
  <c r="M60" i="1" s="1"/>
  <c r="M54" i="1" l="1"/>
  <c r="M57" i="1"/>
  <c r="G11" i="39"/>
  <c r="A29" i="21"/>
  <c r="G29" i="13"/>
  <c r="E29" i="11" s="1"/>
  <c r="E29" i="13"/>
  <c r="C29" i="11" s="1"/>
  <c r="G3" i="13"/>
  <c r="E3" i="11" s="1"/>
  <c r="D3" i="13"/>
  <c r="B3" i="11" s="1"/>
  <c r="F3" i="13"/>
  <c r="D3" i="11" s="1"/>
  <c r="H3" i="13"/>
  <c r="E3" i="13"/>
  <c r="C3" i="11" s="1"/>
  <c r="I3" i="13"/>
  <c r="D29" i="13"/>
  <c r="B29" i="11" s="1"/>
  <c r="F29" i="13"/>
  <c r="D29" i="11" s="1"/>
  <c r="I29" i="11"/>
  <c r="K29" i="11"/>
  <c r="J29" i="11"/>
  <c r="H29" i="11"/>
  <c r="H3" i="11"/>
  <c r="I3" i="11"/>
  <c r="J3" i="11"/>
  <c r="K3" i="11"/>
  <c r="A30" i="21" l="1"/>
  <c r="H49" i="1"/>
  <c r="M49" i="1" s="1"/>
  <c r="H50" i="1"/>
  <c r="M50" i="1" s="1"/>
  <c r="H51" i="1"/>
  <c r="M51" i="1" s="1"/>
  <c r="H56" i="1"/>
  <c r="M56" i="1" s="1"/>
  <c r="H45" i="1"/>
  <c r="M45" i="1" s="1"/>
  <c r="H46" i="1"/>
  <c r="M46" i="1" s="1"/>
  <c r="H47" i="1"/>
  <c r="M47" i="1" s="1"/>
  <c r="H43" i="1"/>
  <c r="M43" i="1" s="1"/>
  <c r="B2" i="4" a="1"/>
  <c r="H39" i="1"/>
  <c r="M39" i="1" s="1"/>
  <c r="H41" i="1"/>
  <c r="M41" i="1" s="1"/>
  <c r="H44" i="1"/>
  <c r="M44" i="1" s="1"/>
  <c r="D26" i="6"/>
  <c r="D23" i="6"/>
  <c r="P855" i="1" l="1"/>
  <c r="P856" i="1" s="1"/>
  <c r="C59" i="4"/>
  <c r="C61" i="4"/>
  <c r="C53" i="4"/>
  <c r="F53" i="4" s="1"/>
  <c r="C54" i="4"/>
  <c r="F54" i="4" s="1"/>
  <c r="C60" i="4"/>
  <c r="D60" i="4" s="1"/>
  <c r="C51" i="4"/>
  <c r="F51" i="4" s="1"/>
  <c r="C52" i="4"/>
  <c r="C55" i="4"/>
  <c r="D55" i="4" s="1"/>
  <c r="C62" i="4"/>
  <c r="F62" i="4" s="1"/>
  <c r="A31" i="21"/>
  <c r="G62" i="4"/>
  <c r="G61" i="4"/>
  <c r="J29" i="4"/>
  <c r="G56" i="4"/>
  <c r="G58" i="4"/>
  <c r="A54" i="4"/>
  <c r="G60" i="4"/>
  <c r="G59" i="4"/>
  <c r="G57" i="4"/>
  <c r="G55" i="4"/>
  <c r="G54" i="4"/>
  <c r="A60" i="4"/>
  <c r="A59" i="4"/>
  <c r="A58" i="4"/>
  <c r="A57" i="4"/>
  <c r="A55" i="4"/>
  <c r="A56" i="4"/>
  <c r="J47" i="4"/>
  <c r="G49" i="4"/>
  <c r="J54" i="4"/>
  <c r="G48" i="4"/>
  <c r="J55" i="4"/>
  <c r="J11" i="4"/>
  <c r="J14" i="4"/>
  <c r="G30" i="4"/>
  <c r="G31" i="4"/>
  <c r="J35" i="4"/>
  <c r="J33" i="4"/>
  <c r="J34" i="4"/>
  <c r="G44" i="4"/>
  <c r="J56" i="4"/>
  <c r="J57" i="4"/>
  <c r="J58" i="4"/>
  <c r="J8" i="4"/>
  <c r="J59" i="4"/>
  <c r="J9" i="4"/>
  <c r="J60" i="4"/>
  <c r="J10" i="4"/>
  <c r="J12" i="4"/>
  <c r="J13" i="4"/>
  <c r="G29" i="4"/>
  <c r="J15" i="4"/>
  <c r="J16" i="4"/>
  <c r="G46" i="4"/>
  <c r="J43" i="4"/>
  <c r="J49" i="4"/>
  <c r="J46" i="4"/>
  <c r="J41" i="4"/>
  <c r="J52" i="4"/>
  <c r="J53" i="4"/>
  <c r="J50" i="4"/>
  <c r="J51" i="4"/>
  <c r="J25" i="4"/>
  <c r="J42" i="4"/>
  <c r="J45" i="4"/>
  <c r="J22" i="4"/>
  <c r="J24" i="4"/>
  <c r="J26" i="4"/>
  <c r="J21" i="4"/>
  <c r="J31" i="4"/>
  <c r="J48" i="4"/>
  <c r="J28" i="4"/>
  <c r="J32" i="4"/>
  <c r="J44" i="4"/>
  <c r="J23" i="4"/>
  <c r="J27" i="4"/>
  <c r="J30" i="4"/>
  <c r="A53" i="4"/>
  <c r="A52" i="4"/>
  <c r="J17" i="4"/>
  <c r="D38" i="13"/>
  <c r="B37" i="11" s="1"/>
  <c r="F38" i="13"/>
  <c r="D37" i="11" s="1"/>
  <c r="E38" i="13"/>
  <c r="C37" i="11" s="1"/>
  <c r="G38" i="13"/>
  <c r="E37" i="11" s="1"/>
  <c r="J19" i="4"/>
  <c r="D40" i="13"/>
  <c r="B40" i="11" s="1"/>
  <c r="E40" i="13"/>
  <c r="C40" i="11" s="1"/>
  <c r="F40" i="13"/>
  <c r="D40" i="11" s="1"/>
  <c r="G40" i="13"/>
  <c r="E40" i="11" s="1"/>
  <c r="G13" i="4"/>
  <c r="G15" i="4"/>
  <c r="G41" i="4"/>
  <c r="G27" i="4"/>
  <c r="J37" i="11"/>
  <c r="K37" i="11"/>
  <c r="H37" i="11"/>
  <c r="I37" i="11"/>
  <c r="I40" i="11"/>
  <c r="K40" i="11"/>
  <c r="J40" i="11"/>
  <c r="H40" i="11"/>
  <c r="G19" i="4"/>
  <c r="G25" i="4"/>
  <c r="G24" i="4"/>
  <c r="G23" i="4"/>
  <c r="G22" i="4"/>
  <c r="G20" i="4"/>
  <c r="A51" i="4"/>
  <c r="A50" i="4"/>
  <c r="C50" i="4"/>
  <c r="D50" i="4" s="1"/>
  <c r="C49" i="4"/>
  <c r="E49" i="4" s="1"/>
  <c r="A49" i="4"/>
  <c r="C48" i="4"/>
  <c r="A48" i="4"/>
  <c r="A47" i="4"/>
  <c r="C47" i="4"/>
  <c r="F47" i="4" s="1"/>
  <c r="A43" i="4"/>
  <c r="C46" i="4"/>
  <c r="E46" i="4" s="1"/>
  <c r="A44" i="4"/>
  <c r="C45" i="4"/>
  <c r="G45" i="4" s="1"/>
  <c r="A45" i="4"/>
  <c r="C44" i="4"/>
  <c r="E44" i="4" s="1"/>
  <c r="A46" i="4"/>
  <c r="C43" i="4"/>
  <c r="A41" i="4"/>
  <c r="A42" i="4"/>
  <c r="A40" i="4"/>
  <c r="C40" i="4"/>
  <c r="C41" i="4"/>
  <c r="D41" i="4" s="1"/>
  <c r="C42" i="4"/>
  <c r="A39" i="4"/>
  <c r="C39" i="4"/>
  <c r="A38" i="4"/>
  <c r="C38" i="4"/>
  <c r="A37" i="4"/>
  <c r="C37" i="4"/>
  <c r="A3" i="4"/>
  <c r="A23" i="4"/>
  <c r="A4" i="4"/>
  <c r="A24" i="4"/>
  <c r="A5" i="4"/>
  <c r="A25" i="4"/>
  <c r="A6" i="4"/>
  <c r="A26" i="4"/>
  <c r="A21" i="4"/>
  <c r="A22" i="4"/>
  <c r="A7" i="4"/>
  <c r="A27" i="4"/>
  <c r="A8" i="4"/>
  <c r="A28" i="4"/>
  <c r="A15" i="4"/>
  <c r="A16" i="4"/>
  <c r="A36" i="4"/>
  <c r="A19" i="4"/>
  <c r="A20" i="4"/>
  <c r="A14" i="4"/>
  <c r="A18" i="4"/>
  <c r="A9" i="4"/>
  <c r="A29" i="4"/>
  <c r="A11" i="4"/>
  <c r="A31" i="4"/>
  <c r="A34" i="4"/>
  <c r="A35" i="4"/>
  <c r="A17" i="4"/>
  <c r="A10" i="4"/>
  <c r="A30" i="4"/>
  <c r="A12" i="4"/>
  <c r="A32" i="4"/>
  <c r="A13" i="4"/>
  <c r="A33" i="4"/>
  <c r="C36" i="4"/>
  <c r="C35" i="4"/>
  <c r="D35" i="4" s="1"/>
  <c r="C34" i="4"/>
  <c r="D34" i="4" s="1"/>
  <c r="C33" i="4"/>
  <c r="D33" i="4" s="1"/>
  <c r="C32" i="4"/>
  <c r="F32" i="4" s="1"/>
  <c r="C31" i="4"/>
  <c r="D31" i="4" s="1"/>
  <c r="C30" i="4"/>
  <c r="F30" i="4" s="1"/>
  <c r="C29" i="4"/>
  <c r="C21" i="4"/>
  <c r="D21" i="4" s="1"/>
  <c r="C28" i="4"/>
  <c r="D28" i="4" s="1"/>
  <c r="C23" i="4"/>
  <c r="C22" i="4"/>
  <c r="F22" i="4" s="1"/>
  <c r="C26" i="4"/>
  <c r="E26" i="4" s="1"/>
  <c r="C27" i="4"/>
  <c r="D27" i="4" s="1"/>
  <c r="C24" i="4"/>
  <c r="D24" i="4" s="1"/>
  <c r="C25" i="4"/>
  <c r="C20" i="4"/>
  <c r="C8" i="4"/>
  <c r="C9" i="4"/>
  <c r="C16" i="4"/>
  <c r="C19" i="4"/>
  <c r="C10" i="4"/>
  <c r="C13" i="4"/>
  <c r="D13" i="4" s="1"/>
  <c r="C14" i="4"/>
  <c r="F14" i="4" s="1"/>
  <c r="C17" i="4"/>
  <c r="C11" i="4"/>
  <c r="C12" i="4"/>
  <c r="C15" i="4"/>
  <c r="D15" i="4" s="1"/>
  <c r="C18" i="4"/>
  <c r="G18" i="4" s="1"/>
  <c r="C3" i="4"/>
  <c r="C4" i="4"/>
  <c r="C5" i="4"/>
  <c r="C6" i="4"/>
  <c r="C7" i="4"/>
  <c r="H38" i="1"/>
  <c r="M38" i="1" s="1"/>
  <c r="H35" i="1"/>
  <c r="M35" i="1" s="1"/>
  <c r="G40" i="4"/>
  <c r="H7" i="27" l="1"/>
  <c r="M7" i="27"/>
  <c r="G36" i="4"/>
  <c r="E40" i="4"/>
  <c r="J20" i="4"/>
  <c r="I14" i="12"/>
  <c r="J14" i="12"/>
  <c r="K14" i="12"/>
  <c r="F17" i="4"/>
  <c r="G14" i="14"/>
  <c r="E14" i="12" s="1"/>
  <c r="E14" i="14"/>
  <c r="C14" i="12" s="1"/>
  <c r="F14" i="14"/>
  <c r="D14" i="12" s="1"/>
  <c r="J18" i="4"/>
  <c r="F30" i="21"/>
  <c r="D17" i="21"/>
  <c r="F19" i="21"/>
  <c r="F20" i="21"/>
  <c r="F21" i="21"/>
  <c r="F22" i="21"/>
  <c r="F23" i="21"/>
  <c r="F24" i="21"/>
  <c r="F25" i="21"/>
  <c r="F26" i="21"/>
  <c r="F27" i="21"/>
  <c r="F28" i="21"/>
  <c r="F29" i="21"/>
  <c r="F31" i="21"/>
  <c r="A32" i="21"/>
  <c r="D62" i="4"/>
  <c r="E62" i="4"/>
  <c r="E61" i="4"/>
  <c r="F61" i="4"/>
  <c r="E60" i="4"/>
  <c r="F60" i="4"/>
  <c r="J2" i="4"/>
  <c r="E59" i="4"/>
  <c r="D59" i="4"/>
  <c r="F59" i="4"/>
  <c r="E55" i="4"/>
  <c r="F55" i="4"/>
  <c r="G12" i="4"/>
  <c r="G2" i="14"/>
  <c r="E2" i="12" s="1"/>
  <c r="G2" i="13"/>
  <c r="E2" i="11" s="1"/>
  <c r="G2" i="4"/>
  <c r="E18" i="14"/>
  <c r="C18" i="12" s="1"/>
  <c r="F18" i="14"/>
  <c r="D18" i="12" s="1"/>
  <c r="J5" i="4"/>
  <c r="H10" i="13"/>
  <c r="I10" i="13"/>
  <c r="E10" i="13"/>
  <c r="C10" i="11" s="1"/>
  <c r="F10" i="13"/>
  <c r="D10" i="11" s="1"/>
  <c r="J40" i="4"/>
  <c r="D35" i="13"/>
  <c r="B34" i="11" s="1"/>
  <c r="E35" i="13"/>
  <c r="C34" i="11" s="1"/>
  <c r="D18" i="13"/>
  <c r="B18" i="11" s="1"/>
  <c r="E18" i="13"/>
  <c r="C18" i="11" s="1"/>
  <c r="J36" i="4"/>
  <c r="G17" i="13"/>
  <c r="E17" i="11" s="1"/>
  <c r="E17" i="13"/>
  <c r="C17" i="11" s="1"/>
  <c r="D17" i="13"/>
  <c r="B17" i="11" s="1"/>
  <c r="H2" i="14"/>
  <c r="F2" i="14"/>
  <c r="D2" i="12" s="1"/>
  <c r="I2" i="14"/>
  <c r="E2" i="14"/>
  <c r="C2" i="12" s="1"/>
  <c r="F13" i="14"/>
  <c r="D13" i="12" s="1"/>
  <c r="E13" i="14"/>
  <c r="C13" i="12" s="1"/>
  <c r="H13" i="14"/>
  <c r="I13" i="14"/>
  <c r="I15" i="14"/>
  <c r="H15" i="14"/>
  <c r="G15" i="14"/>
  <c r="E15" i="12" s="1"/>
  <c r="E15" i="14"/>
  <c r="C15" i="12" s="1"/>
  <c r="F15" i="14"/>
  <c r="D15" i="12" s="1"/>
  <c r="G7" i="4"/>
  <c r="J7" i="4"/>
  <c r="G37" i="13"/>
  <c r="E36" i="11" s="1"/>
  <c r="E37" i="13"/>
  <c r="C36" i="11" s="1"/>
  <c r="F37" i="13"/>
  <c r="D36" i="11" s="1"/>
  <c r="H2" i="13"/>
  <c r="I2" i="13"/>
  <c r="G6" i="4"/>
  <c r="G19" i="13"/>
  <c r="E19" i="11" s="1"/>
  <c r="J6" i="4"/>
  <c r="E19" i="13"/>
  <c r="C19" i="11" s="1"/>
  <c r="F19" i="13"/>
  <c r="D19" i="11" s="1"/>
  <c r="F9" i="13"/>
  <c r="D9" i="11" s="1"/>
  <c r="E9" i="13"/>
  <c r="C9" i="11" s="1"/>
  <c r="J4" i="4"/>
  <c r="G9" i="13"/>
  <c r="E9" i="11" s="1"/>
  <c r="H9" i="13"/>
  <c r="I9" i="13"/>
  <c r="G16" i="4"/>
  <c r="G7" i="14"/>
  <c r="E7" i="12" s="1"/>
  <c r="I7" i="14"/>
  <c r="F7" i="14"/>
  <c r="D7" i="12" s="1"/>
  <c r="D7" i="14"/>
  <c r="B7" i="12" s="1"/>
  <c r="H7" i="14"/>
  <c r="E7" i="14"/>
  <c r="C7" i="12" s="1"/>
  <c r="G17" i="14"/>
  <c r="E17" i="12" s="1"/>
  <c r="F17" i="14"/>
  <c r="D17" i="12" s="1"/>
  <c r="E17" i="14"/>
  <c r="C17" i="12" s="1"/>
  <c r="J3" i="4"/>
  <c r="H8" i="13"/>
  <c r="F8" i="13"/>
  <c r="D8" i="11" s="1"/>
  <c r="E8" i="13"/>
  <c r="C8" i="11" s="1"/>
  <c r="G8" i="13"/>
  <c r="E8" i="11" s="1"/>
  <c r="I8" i="13"/>
  <c r="A2" i="4"/>
  <c r="K17" i="11"/>
  <c r="I17" i="11"/>
  <c r="H17" i="11"/>
  <c r="K2" i="12"/>
  <c r="J2" i="12"/>
  <c r="I2" i="12"/>
  <c r="I13" i="12"/>
  <c r="J13" i="12"/>
  <c r="H7" i="12"/>
  <c r="I7" i="12"/>
  <c r="J7" i="12"/>
  <c r="K7" i="12"/>
  <c r="J8" i="11"/>
  <c r="I8" i="11"/>
  <c r="K8" i="11"/>
  <c r="I18" i="12"/>
  <c r="K18" i="12"/>
  <c r="J18" i="12"/>
  <c r="K17" i="12"/>
  <c r="I17" i="12"/>
  <c r="J17" i="12"/>
  <c r="J15" i="12"/>
  <c r="I15" i="12"/>
  <c r="K15" i="12"/>
  <c r="K36" i="11"/>
  <c r="J36" i="11"/>
  <c r="I36" i="11"/>
  <c r="K2" i="11"/>
  <c r="I19" i="11"/>
  <c r="K19" i="11"/>
  <c r="J19" i="11"/>
  <c r="K18" i="11"/>
  <c r="H18" i="11"/>
  <c r="I18" i="11"/>
  <c r="K10" i="11"/>
  <c r="I10" i="11"/>
  <c r="J10" i="11"/>
  <c r="I9" i="11"/>
  <c r="J9" i="11"/>
  <c r="K9" i="11"/>
  <c r="I34" i="11"/>
  <c r="K34" i="11"/>
  <c r="H34" i="11"/>
  <c r="D39" i="4"/>
  <c r="D36" i="4"/>
  <c r="E36" i="4"/>
  <c r="F5" i="4"/>
  <c r="E4" i="4"/>
  <c r="D38" i="4"/>
  <c r="G11" i="4"/>
  <c r="F10" i="4"/>
  <c r="E8" i="4"/>
  <c r="F49" i="4"/>
  <c r="G17" i="4"/>
  <c r="E32" i="4"/>
  <c r="E5" i="4"/>
  <c r="F9" i="4"/>
  <c r="E30" i="4"/>
  <c r="E14" i="4"/>
  <c r="E23" i="4"/>
  <c r="F3" i="4"/>
  <c r="F33" i="4"/>
  <c r="E39" i="4"/>
  <c r="E19" i="4"/>
  <c r="F16" i="4"/>
  <c r="F23" i="4"/>
  <c r="E52" i="4"/>
  <c r="E7" i="4"/>
  <c r="E6" i="4"/>
  <c r="E51" i="4"/>
  <c r="F4" i="4"/>
  <c r="F41" i="4"/>
  <c r="F52" i="4"/>
  <c r="E20" i="4"/>
  <c r="G4" i="4"/>
  <c r="E11" i="4"/>
  <c r="F46" i="4"/>
  <c r="F20" i="4"/>
  <c r="E35" i="4"/>
  <c r="F19" i="4"/>
  <c r="E16" i="4"/>
  <c r="F25" i="4"/>
  <c r="F44" i="4"/>
  <c r="E18" i="4"/>
  <c r="E34" i="4"/>
  <c r="E12" i="4"/>
  <c r="E54" i="4"/>
  <c r="E10" i="4"/>
  <c r="E33" i="4"/>
  <c r="E25" i="4"/>
  <c r="E17" i="4"/>
  <c r="F8" i="4"/>
  <c r="F45" i="4"/>
  <c r="E3" i="4"/>
  <c r="F31" i="4"/>
  <c r="E29" i="4"/>
  <c r="F11" i="4"/>
  <c r="E28" i="4"/>
  <c r="F7" i="4"/>
  <c r="F21" i="4"/>
  <c r="F13" i="4"/>
  <c r="E53" i="4"/>
  <c r="G3" i="4"/>
  <c r="F18" i="4"/>
  <c r="E42" i="4"/>
  <c r="E48" i="4"/>
  <c r="E9" i="4"/>
  <c r="E15" i="4"/>
  <c r="G9" i="4"/>
  <c r="E22" i="4"/>
  <c r="F6" i="4"/>
  <c r="F42" i="4"/>
  <c r="F24" i="4"/>
  <c r="E27" i="4"/>
  <c r="G26" i="4"/>
  <c r="F35" i="4"/>
  <c r="E47" i="4"/>
  <c r="F15" i="4"/>
  <c r="E37" i="4"/>
  <c r="E24" i="4"/>
  <c r="F48" i="4"/>
  <c r="E31" i="4"/>
  <c r="E41" i="4"/>
  <c r="F12" i="4"/>
  <c r="E50" i="4"/>
  <c r="E21" i="4"/>
  <c r="G8" i="4"/>
  <c r="E45" i="4"/>
  <c r="F29" i="4"/>
  <c r="F50" i="4"/>
  <c r="E13" i="4"/>
  <c r="F28" i="4"/>
  <c r="F27" i="4"/>
  <c r="F34" i="4"/>
  <c r="E43" i="4"/>
  <c r="E38" i="4"/>
  <c r="D42" i="4"/>
  <c r="D53" i="4"/>
  <c r="D19" i="4"/>
  <c r="D37" i="4"/>
  <c r="D46" i="4"/>
  <c r="D32" i="4"/>
  <c r="D30" i="4"/>
  <c r="D16" i="4"/>
  <c r="D49" i="4"/>
  <c r="D29" i="4"/>
  <c r="D48" i="4"/>
  <c r="D47" i="4"/>
  <c r="D51" i="4"/>
  <c r="D17" i="4"/>
  <c r="D52" i="4"/>
  <c r="D22" i="4"/>
  <c r="D26" i="4"/>
  <c r="D40" i="4"/>
  <c r="D18" i="4"/>
  <c r="D14" i="4"/>
  <c r="D43" i="4"/>
  <c r="D20" i="4"/>
  <c r="D45" i="4"/>
  <c r="D44" i="4"/>
  <c r="D23" i="4"/>
  <c r="C2" i="4"/>
  <c r="I15" i="4"/>
  <c r="H15" i="4"/>
  <c r="J3" i="8"/>
  <c r="A3" i="8"/>
  <c r="G3" i="8" s="1"/>
  <c r="J2" i="8"/>
  <c r="H34" i="1"/>
  <c r="M34" i="1" s="1"/>
  <c r="H31" i="1"/>
  <c r="M31" i="1" s="1"/>
  <c r="H30" i="1"/>
  <c r="M30" i="1" s="1"/>
  <c r="K3" i="7"/>
  <c r="K2" i="7"/>
  <c r="A3" i="7"/>
  <c r="H29" i="1"/>
  <c r="M29" i="1" s="1"/>
  <c r="H28" i="1"/>
  <c r="M28" i="1" s="1"/>
  <c r="H27" i="1"/>
  <c r="M27" i="1" s="1"/>
  <c r="H24" i="1"/>
  <c r="M24" i="1" s="1"/>
  <c r="H3" i="1"/>
  <c r="M3" i="1" s="1"/>
  <c r="H4" i="1"/>
  <c r="M4" i="1" s="1"/>
  <c r="H5" i="1"/>
  <c r="M5" i="1" s="1"/>
  <c r="H6" i="1"/>
  <c r="M6" i="1" s="1"/>
  <c r="H7" i="1"/>
  <c r="M7" i="1" s="1"/>
  <c r="H8" i="1"/>
  <c r="M8" i="1" s="1"/>
  <c r="H9" i="1"/>
  <c r="M9" i="1" s="1"/>
  <c r="H10" i="1"/>
  <c r="H11" i="1"/>
  <c r="D54" i="4" s="1"/>
  <c r="H12" i="1"/>
  <c r="H13" i="1"/>
  <c r="H14" i="1"/>
  <c r="H15" i="1"/>
  <c r="H16" i="1"/>
  <c r="H17" i="1"/>
  <c r="H18" i="1"/>
  <c r="H19" i="1"/>
  <c r="H20" i="1"/>
  <c r="H21" i="1"/>
  <c r="H22" i="1"/>
  <c r="H23" i="1"/>
  <c r="H25" i="1"/>
  <c r="M25" i="1" s="1"/>
  <c r="H26" i="1"/>
  <c r="H2" i="1"/>
  <c r="H40" i="1"/>
  <c r="H48" i="1"/>
  <c r="M48" i="1" s="1"/>
  <c r="H121" i="1"/>
  <c r="H122" i="1"/>
  <c r="M122" i="1" s="1"/>
  <c r="H123" i="1"/>
  <c r="F43" i="4" s="1"/>
  <c r="C30" i="6"/>
  <c r="F358" i="7" l="1"/>
  <c r="F357" i="7"/>
  <c r="F356" i="7"/>
  <c r="F355" i="7"/>
  <c r="F354" i="7"/>
  <c r="F350" i="7"/>
  <c r="F351" i="7"/>
  <c r="F352" i="7"/>
  <c r="F353" i="7"/>
  <c r="M21" i="1"/>
  <c r="D25" i="4"/>
  <c r="M23" i="1"/>
  <c r="D61" i="4"/>
  <c r="M20" i="1"/>
  <c r="M19" i="1"/>
  <c r="F349" i="7"/>
  <c r="F348" i="7"/>
  <c r="F347" i="7"/>
  <c r="G14" i="39"/>
  <c r="M26" i="1"/>
  <c r="F9" i="39"/>
  <c r="N9" i="39" s="1"/>
  <c r="P9" i="39" s="1"/>
  <c r="Q9" i="39" s="1"/>
  <c r="R9" i="39" s="1"/>
  <c r="F11" i="39"/>
  <c r="N11" i="39" s="1"/>
  <c r="P11" i="39" s="1"/>
  <c r="Q11" i="39" s="1"/>
  <c r="R11" i="39" s="1"/>
  <c r="F26" i="4"/>
  <c r="F14" i="39"/>
  <c r="F344" i="7"/>
  <c r="F345" i="7"/>
  <c r="F346" i="7"/>
  <c r="F343" i="7"/>
  <c r="F342" i="7"/>
  <c r="F341" i="7"/>
  <c r="F340" i="7"/>
  <c r="F338" i="7"/>
  <c r="F339" i="7"/>
  <c r="M2" i="1"/>
  <c r="F336" i="7"/>
  <c r="F337" i="7"/>
  <c r="F335" i="7"/>
  <c r="F332" i="7"/>
  <c r="F333" i="7"/>
  <c r="F334" i="7"/>
  <c r="F331" i="7"/>
  <c r="F330" i="7"/>
  <c r="F329" i="7"/>
  <c r="F328" i="7"/>
  <c r="F327" i="7"/>
  <c r="J6" i="29"/>
  <c r="J7" i="29"/>
  <c r="AO7" i="29" s="1"/>
  <c r="F326" i="7"/>
  <c r="D6" i="33"/>
  <c r="D21" i="33" s="1"/>
  <c r="C3" i="8"/>
  <c r="F323" i="7"/>
  <c r="F324" i="7"/>
  <c r="F325" i="7"/>
  <c r="F322" i="7"/>
  <c r="F321" i="7"/>
  <c r="F320" i="7"/>
  <c r="F319" i="7"/>
  <c r="F315" i="7"/>
  <c r="F316" i="7"/>
  <c r="F318" i="7"/>
  <c r="F317" i="7"/>
  <c r="F313" i="7"/>
  <c r="F314" i="7"/>
  <c r="F312" i="7"/>
  <c r="F311" i="7"/>
  <c r="F309" i="7"/>
  <c r="F310" i="7"/>
  <c r="F308" i="7"/>
  <c r="F304" i="7"/>
  <c r="F305" i="7"/>
  <c r="F306" i="7"/>
  <c r="F307" i="7"/>
  <c r="F302" i="7"/>
  <c r="F303" i="7"/>
  <c r="F301" i="7"/>
  <c r="F298" i="7"/>
  <c r="F300" i="7"/>
  <c r="F299" i="7"/>
  <c r="F297" i="7"/>
  <c r="F296" i="7"/>
  <c r="F295" i="7"/>
  <c r="F293" i="7"/>
  <c r="F294" i="7"/>
  <c r="F292" i="7"/>
  <c r="F291" i="7"/>
  <c r="F286" i="7"/>
  <c r="F287" i="7"/>
  <c r="F288" i="7"/>
  <c r="F290" i="7"/>
  <c r="F289" i="7"/>
  <c r="F285" i="7"/>
  <c r="F284" i="7"/>
  <c r="F282" i="7"/>
  <c r="F281" i="7"/>
  <c r="F283" i="7"/>
  <c r="F280" i="7"/>
  <c r="F279" i="7"/>
  <c r="F278" i="7"/>
  <c r="F273" i="7"/>
  <c r="F274" i="7"/>
  <c r="F275" i="7"/>
  <c r="F276" i="7"/>
  <c r="F277" i="7"/>
  <c r="F272" i="7"/>
  <c r="F271" i="7"/>
  <c r="F270" i="7"/>
  <c r="F269" i="7"/>
  <c r="F266" i="7"/>
  <c r="F267" i="7"/>
  <c r="F268" i="7"/>
  <c r="F265" i="7"/>
  <c r="F263" i="7"/>
  <c r="F264" i="7"/>
  <c r="F261" i="7"/>
  <c r="F262" i="7"/>
  <c r="F259" i="7"/>
  <c r="F260" i="7"/>
  <c r="F258" i="7"/>
  <c r="F257" i="7"/>
  <c r="F256" i="7"/>
  <c r="F255" i="7"/>
  <c r="F253" i="7"/>
  <c r="F254" i="7"/>
  <c r="F252" i="7"/>
  <c r="F251" i="7"/>
  <c r="F250" i="7"/>
  <c r="F249" i="7"/>
  <c r="F247" i="7"/>
  <c r="F248" i="7"/>
  <c r="F245" i="7"/>
  <c r="F246" i="7"/>
  <c r="F244" i="7"/>
  <c r="F243" i="7"/>
  <c r="F242" i="7"/>
  <c r="F240" i="7"/>
  <c r="F241" i="7"/>
  <c r="F239" i="7"/>
  <c r="H996" i="1"/>
  <c r="F238" i="7"/>
  <c r="F237" i="7"/>
  <c r="F236" i="7"/>
  <c r="F235" i="7"/>
  <c r="F234" i="7"/>
  <c r="F233" i="7"/>
  <c r="F232" i="7"/>
  <c r="F231" i="7"/>
  <c r="F230" i="7"/>
  <c r="F229" i="7"/>
  <c r="E17" i="7"/>
  <c r="F225" i="7"/>
  <c r="F226" i="7"/>
  <c r="F227" i="7"/>
  <c r="F228" i="7"/>
  <c r="D3" i="7"/>
  <c r="J6" i="25"/>
  <c r="J6" i="30"/>
  <c r="J7" i="27"/>
  <c r="R7" i="27" s="1"/>
  <c r="J5" i="25"/>
  <c r="J25" i="25" s="1"/>
  <c r="J5" i="30"/>
  <c r="F118" i="7"/>
  <c r="F99" i="7"/>
  <c r="F201" i="7"/>
  <c r="F65" i="7"/>
  <c r="F200" i="7"/>
  <c r="F143" i="7"/>
  <c r="F82" i="7"/>
  <c r="F87" i="7"/>
  <c r="F33" i="7"/>
  <c r="F149" i="7"/>
  <c r="F152" i="7"/>
  <c r="F172" i="7"/>
  <c r="F85" i="7"/>
  <c r="F24" i="7"/>
  <c r="F137" i="7"/>
  <c r="F210" i="7"/>
  <c r="F124" i="7"/>
  <c r="F112" i="7"/>
  <c r="F181" i="7"/>
  <c r="F76" i="7"/>
  <c r="F41" i="7"/>
  <c r="F138" i="7"/>
  <c r="F119" i="7"/>
  <c r="F165" i="7"/>
  <c r="F220" i="7"/>
  <c r="F203" i="7"/>
  <c r="F102" i="7"/>
  <c r="F107" i="7"/>
  <c r="F53" i="7"/>
  <c r="F209" i="7"/>
  <c r="F170" i="7"/>
  <c r="F103" i="7"/>
  <c r="F106" i="7"/>
  <c r="E28" i="21"/>
  <c r="F193" i="7"/>
  <c r="F48" i="7"/>
  <c r="F150" i="7"/>
  <c r="F61" i="7"/>
  <c r="F68" i="7"/>
  <c r="F89" i="7"/>
  <c r="F84" i="7"/>
  <c r="F196" i="7"/>
  <c r="F108" i="7"/>
  <c r="F44" i="7"/>
  <c r="F155" i="7"/>
  <c r="F114" i="7"/>
  <c r="F55" i="7"/>
  <c r="F186" i="7"/>
  <c r="F176" i="7"/>
  <c r="F151" i="7"/>
  <c r="F158" i="7"/>
  <c r="F139" i="7"/>
  <c r="E26" i="21"/>
  <c r="F122" i="7"/>
  <c r="F127" i="7"/>
  <c r="F73" i="7"/>
  <c r="F95" i="7"/>
  <c r="F212" i="7"/>
  <c r="F70" i="7"/>
  <c r="F56" i="7"/>
  <c r="F136" i="7"/>
  <c r="F111" i="7"/>
  <c r="F52" i="7"/>
  <c r="F202" i="7"/>
  <c r="F69" i="7"/>
  <c r="E31" i="21"/>
  <c r="F214" i="7"/>
  <c r="F131" i="7"/>
  <c r="F90" i="7"/>
  <c r="F177" i="7"/>
  <c r="E25" i="21"/>
  <c r="F54" i="7"/>
  <c r="F40" i="7"/>
  <c r="F74" i="7"/>
  <c r="F60" i="7"/>
  <c r="F94" i="7"/>
  <c r="F141" i="7"/>
  <c r="F100" i="7"/>
  <c r="F129" i="7"/>
  <c r="F178" i="7"/>
  <c r="F159" i="7"/>
  <c r="F83" i="7"/>
  <c r="F142" i="7"/>
  <c r="F147" i="7"/>
  <c r="F93" i="7"/>
  <c r="F32" i="7"/>
  <c r="F30" i="7"/>
  <c r="F130" i="7"/>
  <c r="F182" i="7"/>
  <c r="F187" i="7"/>
  <c r="F205" i="7"/>
  <c r="F153" i="7"/>
  <c r="F116" i="7"/>
  <c r="F97" i="7"/>
  <c r="F163" i="7"/>
  <c r="F117" i="7"/>
  <c r="F206" i="7"/>
  <c r="F223" i="7"/>
  <c r="F145" i="7"/>
  <c r="F216" i="7"/>
  <c r="F36" i="7"/>
  <c r="E30" i="21"/>
  <c r="F184" i="7"/>
  <c r="J6" i="27"/>
  <c r="F80" i="7"/>
  <c r="F148" i="7"/>
  <c r="F185" i="7"/>
  <c r="F168" i="7"/>
  <c r="F38" i="7"/>
  <c r="F37" i="7"/>
  <c r="F198" i="7"/>
  <c r="F179" i="7"/>
  <c r="F183" i="7"/>
  <c r="F162" i="7"/>
  <c r="F25" i="7"/>
  <c r="F167" i="7"/>
  <c r="F113" i="7"/>
  <c r="F49" i="7"/>
  <c r="F31" i="7"/>
  <c r="F75" i="7"/>
  <c r="F192" i="7"/>
  <c r="F46" i="7"/>
  <c r="F105" i="7"/>
  <c r="F133" i="7"/>
  <c r="F171" i="7"/>
  <c r="F207" i="7"/>
  <c r="F72" i="7"/>
  <c r="F222" i="7"/>
  <c r="F190" i="7"/>
  <c r="F104" i="7"/>
  <c r="F195" i="7"/>
  <c r="F224" i="7"/>
  <c r="F135" i="7"/>
  <c r="F146" i="7"/>
  <c r="F57" i="7"/>
  <c r="F218" i="7"/>
  <c r="F199" i="7"/>
  <c r="E29" i="21"/>
  <c r="F43" i="7"/>
  <c r="F215" i="7"/>
  <c r="F91" i="7"/>
  <c r="F28" i="7"/>
  <c r="F156" i="7"/>
  <c r="F92" i="7"/>
  <c r="F71" i="7"/>
  <c r="F123" i="7"/>
  <c r="F88" i="7"/>
  <c r="F35" i="7"/>
  <c r="F217" i="7"/>
  <c r="F101" i="7"/>
  <c r="F66" i="7"/>
  <c r="F50" i="7"/>
  <c r="F26" i="7"/>
  <c r="F77" i="7"/>
  <c r="F219" i="7"/>
  <c r="F86" i="7"/>
  <c r="F166" i="7"/>
  <c r="F175" i="7"/>
  <c r="F173" i="7"/>
  <c r="F213" i="7"/>
  <c r="F34" i="7"/>
  <c r="F197" i="7"/>
  <c r="F126" i="7"/>
  <c r="F109" i="7"/>
  <c r="F157" i="7"/>
  <c r="F164" i="7"/>
  <c r="F128" i="7"/>
  <c r="F134" i="7"/>
  <c r="F161" i="7"/>
  <c r="E32" i="21"/>
  <c r="F169" i="7"/>
  <c r="F96" i="7"/>
  <c r="F64" i="7"/>
  <c r="F144" i="7"/>
  <c r="F115" i="7"/>
  <c r="F45" i="7"/>
  <c r="F58" i="7"/>
  <c r="F39" i="7"/>
  <c r="F63" i="7"/>
  <c r="F125" i="7"/>
  <c r="F110" i="7"/>
  <c r="F27" i="7"/>
  <c r="F211" i="7"/>
  <c r="F174" i="7"/>
  <c r="F191" i="7"/>
  <c r="F59" i="7"/>
  <c r="F79" i="7"/>
  <c r="F154" i="7"/>
  <c r="E27" i="21"/>
  <c r="F194" i="7"/>
  <c r="F42" i="7"/>
  <c r="F51" i="7"/>
  <c r="F47" i="7"/>
  <c r="F67" i="7"/>
  <c r="F221" i="7"/>
  <c r="F204" i="7"/>
  <c r="F78" i="7"/>
  <c r="F120" i="7"/>
  <c r="F62" i="7"/>
  <c r="F98" i="7"/>
  <c r="F140" i="7"/>
  <c r="F29" i="7"/>
  <c r="F132" i="7"/>
  <c r="F160" i="7"/>
  <c r="F188" i="7"/>
  <c r="F189" i="7"/>
  <c r="F180" i="7"/>
  <c r="F208" i="7"/>
  <c r="F81" i="7"/>
  <c r="F121" i="7"/>
  <c r="L6" i="33"/>
  <c r="L20" i="33" s="1"/>
  <c r="B6" i="33"/>
  <c r="N6" i="33"/>
  <c r="M6" i="33"/>
  <c r="C6" i="33"/>
  <c r="C7" i="33"/>
  <c r="M7" i="33"/>
  <c r="S7" i="33" s="1"/>
  <c r="H5" i="25"/>
  <c r="H5" i="30"/>
  <c r="H19" i="30" s="1"/>
  <c r="H22" i="30" s="1"/>
  <c r="H6" i="29"/>
  <c r="M5" i="30"/>
  <c r="M19" i="30" s="1"/>
  <c r="M22" i="30" s="1"/>
  <c r="M5" i="25"/>
  <c r="M6" i="29"/>
  <c r="M21" i="29" s="1"/>
  <c r="M121" i="1"/>
  <c r="M22" i="1"/>
  <c r="M40" i="1"/>
  <c r="H8" i="11"/>
  <c r="M10" i="1"/>
  <c r="D4" i="4"/>
  <c r="M11" i="1"/>
  <c r="H10" i="11"/>
  <c r="M12" i="1"/>
  <c r="H19" i="11"/>
  <c r="M13" i="1"/>
  <c r="H36" i="11"/>
  <c r="M14" i="1"/>
  <c r="H15" i="12"/>
  <c r="M15" i="1"/>
  <c r="H17" i="12"/>
  <c r="M16" i="1"/>
  <c r="H18" i="12"/>
  <c r="M17" i="1"/>
  <c r="H13" i="12"/>
  <c r="M18" i="1"/>
  <c r="M123" i="1"/>
  <c r="L20" i="27"/>
  <c r="F18" i="13"/>
  <c r="D18" i="11" s="1"/>
  <c r="M6" i="27"/>
  <c r="M20" i="27" s="1"/>
  <c r="H6" i="27"/>
  <c r="L39" i="25"/>
  <c r="F36" i="4"/>
  <c r="L19" i="25"/>
  <c r="F35" i="13"/>
  <c r="D34" i="11" s="1"/>
  <c r="F40" i="4"/>
  <c r="H14" i="12"/>
  <c r="D14" i="14"/>
  <c r="B14" i="12" s="1"/>
  <c r="J37" i="4"/>
  <c r="J38" i="4"/>
  <c r="J39" i="4"/>
  <c r="D25" i="21"/>
  <c r="D30" i="21"/>
  <c r="C11" i="21"/>
  <c r="I11" i="21" s="1"/>
  <c r="D21" i="21"/>
  <c r="C15" i="21"/>
  <c r="I15" i="21" s="1"/>
  <c r="C29" i="21"/>
  <c r="C21" i="21"/>
  <c r="C14" i="21"/>
  <c r="I14" i="21" s="1"/>
  <c r="C9" i="21"/>
  <c r="I9" i="21" s="1"/>
  <c r="D29" i="21"/>
  <c r="C13" i="21"/>
  <c r="I13" i="21" s="1"/>
  <c r="C25" i="21"/>
  <c r="C20" i="21"/>
  <c r="C8" i="21"/>
  <c r="I8" i="21" s="1"/>
  <c r="C10" i="21"/>
  <c r="I10" i="21" s="1"/>
  <c r="D20" i="21"/>
  <c r="C12" i="21"/>
  <c r="I12" i="21" s="1"/>
  <c r="C4" i="21"/>
  <c r="I4" i="21" s="1"/>
  <c r="D28" i="21"/>
  <c r="C7" i="21"/>
  <c r="I7" i="21" s="1"/>
  <c r="D24" i="21"/>
  <c r="C19" i="21"/>
  <c r="C28" i="21"/>
  <c r="D19" i="21"/>
  <c r="C6" i="21"/>
  <c r="I6" i="21" s="1"/>
  <c r="C24" i="21"/>
  <c r="C30" i="21"/>
  <c r="C27" i="21"/>
  <c r="D23" i="21"/>
  <c r="C18" i="21"/>
  <c r="D27" i="21"/>
  <c r="C23" i="21"/>
  <c r="D18" i="21"/>
  <c r="C5" i="21"/>
  <c r="I5" i="21" s="1"/>
  <c r="D31" i="21"/>
  <c r="C31" i="21"/>
  <c r="C17" i="21"/>
  <c r="I17" i="21" s="1"/>
  <c r="C22" i="21"/>
  <c r="D26" i="21"/>
  <c r="D22" i="21"/>
  <c r="C26" i="21"/>
  <c r="C16" i="21"/>
  <c r="I16" i="21" s="1"/>
  <c r="D32" i="21"/>
  <c r="C32" i="21"/>
  <c r="A33" i="21"/>
  <c r="E33" i="21" s="1"/>
  <c r="F32" i="21"/>
  <c r="L18" i="5"/>
  <c r="L16" i="5"/>
  <c r="L14" i="5"/>
  <c r="E4" i="16"/>
  <c r="E3" i="16"/>
  <c r="D2" i="13"/>
  <c r="B2" i="11" s="1"/>
  <c r="F2" i="13"/>
  <c r="D2" i="11" s="1"/>
  <c r="D2" i="14"/>
  <c r="B2" i="12" s="1"/>
  <c r="D2" i="4"/>
  <c r="D13" i="14"/>
  <c r="B13" i="12" s="1"/>
  <c r="E2" i="13"/>
  <c r="C2" i="11" s="1"/>
  <c r="D15" i="14"/>
  <c r="B15" i="12" s="1"/>
  <c r="D37" i="13"/>
  <c r="B36" i="11" s="1"/>
  <c r="F17" i="13"/>
  <c r="D17" i="11" s="1"/>
  <c r="D10" i="13"/>
  <c r="B10" i="11" s="1"/>
  <c r="D17" i="14"/>
  <c r="B17" i="12" s="1"/>
  <c r="D18" i="14"/>
  <c r="B18" i="12" s="1"/>
  <c r="D8" i="13"/>
  <c r="B8" i="11" s="1"/>
  <c r="D9" i="13"/>
  <c r="B9" i="11" s="1"/>
  <c r="D19" i="13"/>
  <c r="B19" i="11" s="1"/>
  <c r="F37" i="4"/>
  <c r="F38" i="4"/>
  <c r="J2" i="11"/>
  <c r="H2" i="11"/>
  <c r="I2" i="11"/>
  <c r="H2" i="12"/>
  <c r="K43" i="11"/>
  <c r="I20" i="12"/>
  <c r="J20" i="12"/>
  <c r="K20" i="12"/>
  <c r="K18" i="5"/>
  <c r="J34" i="11"/>
  <c r="H9" i="11"/>
  <c r="J18" i="11"/>
  <c r="J17" i="11"/>
  <c r="F39" i="4"/>
  <c r="E2" i="4"/>
  <c r="F2" i="4"/>
  <c r="D12" i="4"/>
  <c r="D6" i="4"/>
  <c r="D5" i="4"/>
  <c r="D10" i="4"/>
  <c r="D9" i="4"/>
  <c r="D8" i="4"/>
  <c r="D11" i="4"/>
  <c r="D3" i="4"/>
  <c r="D7" i="4"/>
  <c r="A4" i="8"/>
  <c r="G4" i="8" s="1"/>
  <c r="A4" i="7"/>
  <c r="D4" i="7" s="1"/>
  <c r="I6" i="33" l="1"/>
  <c r="O11" i="39"/>
  <c r="O9" i="39"/>
  <c r="N14" i="39"/>
  <c r="P14" i="39" s="1"/>
  <c r="Q14" i="39" s="1"/>
  <c r="R14" i="39" s="1"/>
  <c r="C4" i="8"/>
  <c r="AO6" i="29"/>
  <c r="M20" i="33"/>
  <c r="N20" i="33"/>
  <c r="I7" i="33"/>
  <c r="B27" i="33" s="1"/>
  <c r="S6" i="33"/>
  <c r="H21" i="29"/>
  <c r="J15" i="21"/>
  <c r="J21" i="21"/>
  <c r="J23" i="21"/>
  <c r="J32" i="21"/>
  <c r="J16" i="21"/>
  <c r="J19" i="21"/>
  <c r="J27" i="21"/>
  <c r="J28" i="21"/>
  <c r="J29" i="21"/>
  <c r="J10" i="21"/>
  <c r="J31" i="21"/>
  <c r="J17" i="21"/>
  <c r="J33" i="21"/>
  <c r="J18" i="21"/>
  <c r="J20" i="21"/>
  <c r="J22" i="21"/>
  <c r="J11" i="21"/>
  <c r="J12" i="21"/>
  <c r="J13" i="21"/>
  <c r="J4" i="21"/>
  <c r="J24" i="21"/>
  <c r="J5" i="21"/>
  <c r="J25" i="21"/>
  <c r="J6" i="21"/>
  <c r="J26" i="21"/>
  <c r="J7" i="21"/>
  <c r="J8" i="21"/>
  <c r="J9" i="21"/>
  <c r="J30" i="21"/>
  <c r="J14" i="21"/>
  <c r="B27" i="29"/>
  <c r="B26" i="29"/>
  <c r="H25" i="25"/>
  <c r="H19" i="25"/>
  <c r="H20" i="25" s="1"/>
  <c r="J26" i="25"/>
  <c r="M19" i="25"/>
  <c r="M25" i="25"/>
  <c r="M39" i="25" s="1"/>
  <c r="C21" i="33"/>
  <c r="B21" i="33"/>
  <c r="J19" i="30"/>
  <c r="J22" i="30" s="1"/>
  <c r="D26" i="30" s="1"/>
  <c r="E26" i="30" s="1"/>
  <c r="J21" i="29"/>
  <c r="H20" i="27"/>
  <c r="R6" i="27"/>
  <c r="M996" i="1"/>
  <c r="J19" i="25"/>
  <c r="J20" i="25" s="1"/>
  <c r="J20" i="27"/>
  <c r="L19" i="5"/>
  <c r="I30" i="21"/>
  <c r="I24" i="21"/>
  <c r="I22" i="21"/>
  <c r="I21" i="21"/>
  <c r="I20" i="21"/>
  <c r="I23" i="21"/>
  <c r="I31" i="21"/>
  <c r="I18" i="21"/>
  <c r="I25" i="21"/>
  <c r="I27" i="21"/>
  <c r="I26" i="21"/>
  <c r="I28" i="21"/>
  <c r="I29" i="21"/>
  <c r="I19" i="21"/>
  <c r="O47" i="7"/>
  <c r="O46" i="7"/>
  <c r="I32" i="21"/>
  <c r="A34" i="21"/>
  <c r="E34" i="21" s="1"/>
  <c r="D33" i="21"/>
  <c r="C33" i="21"/>
  <c r="F33" i="21"/>
  <c r="K19" i="5"/>
  <c r="H20" i="12"/>
  <c r="G3" i="6" s="1"/>
  <c r="I43" i="11"/>
  <c r="K14" i="5"/>
  <c r="K16" i="5"/>
  <c r="R16" i="5" s="1"/>
  <c r="G16" i="5" s="1"/>
  <c r="H43" i="11"/>
  <c r="G2" i="6" s="1"/>
  <c r="J43" i="11"/>
  <c r="R18" i="5"/>
  <c r="G18" i="5" s="1"/>
  <c r="A5" i="8"/>
  <c r="A5" i="7"/>
  <c r="S20" i="33" l="1"/>
  <c r="S21" i="33"/>
  <c r="I21" i="33"/>
  <c r="O14" i="39"/>
  <c r="O42" i="39" s="1"/>
  <c r="Q42" i="39" s="1"/>
  <c r="R42" i="39" s="1"/>
  <c r="G5" i="8"/>
  <c r="C5" i="8"/>
  <c r="AO21" i="29"/>
  <c r="I20" i="33"/>
  <c r="J34" i="21"/>
  <c r="G9" i="6"/>
  <c r="B38" i="29"/>
  <c r="J39" i="25"/>
  <c r="B26" i="33"/>
  <c r="B38" i="33" s="1"/>
  <c r="C4" i="32"/>
  <c r="D4" i="32" s="1"/>
  <c r="D5" i="7"/>
  <c r="R20" i="27"/>
  <c r="T16" i="5"/>
  <c r="T18" i="5"/>
  <c r="R19" i="5"/>
  <c r="G19" i="5" s="1"/>
  <c r="O53" i="7"/>
  <c r="I33" i="21"/>
  <c r="D34" i="21"/>
  <c r="A35" i="21"/>
  <c r="F34" i="21"/>
  <c r="C34" i="21"/>
  <c r="R14" i="5"/>
  <c r="G14" i="5" s="1"/>
  <c r="D2" i="7"/>
  <c r="A6" i="8"/>
  <c r="H2" i="7"/>
  <c r="A6" i="7"/>
  <c r="D6" i="7" s="1"/>
  <c r="J51" i="2"/>
  <c r="J50" i="2"/>
  <c r="J48" i="2"/>
  <c r="J47" i="2"/>
  <c r="J46" i="2"/>
  <c r="J45" i="2"/>
  <c r="J44" i="2"/>
  <c r="J43" i="2"/>
  <c r="J42" i="2"/>
  <c r="J41" i="2"/>
  <c r="J40" i="2"/>
  <c r="J39" i="2"/>
  <c r="J38" i="2"/>
  <c r="J37" i="2"/>
  <c r="J49" i="2" s="1"/>
  <c r="J35" i="2"/>
  <c r="J34" i="2"/>
  <c r="J33" i="2"/>
  <c r="J32" i="2"/>
  <c r="J31" i="2"/>
  <c r="J30" i="2"/>
  <c r="J36" i="2" s="1"/>
  <c r="J29" i="2"/>
  <c r="J28" i="2"/>
  <c r="J27" i="2"/>
  <c r="J26" i="2"/>
  <c r="J25" i="2"/>
  <c r="J24" i="2"/>
  <c r="J23" i="2"/>
  <c r="J21" i="2"/>
  <c r="J20" i="2"/>
  <c r="J19" i="2"/>
  <c r="J18" i="2"/>
  <c r="J17" i="2"/>
  <c r="J16" i="2"/>
  <c r="J15" i="2"/>
  <c r="J14" i="2"/>
  <c r="J22" i="2" s="1"/>
  <c r="J12" i="2"/>
  <c r="J11" i="2"/>
  <c r="J10" i="2"/>
  <c r="J13" i="2" s="1"/>
  <c r="J9" i="2"/>
  <c r="J8" i="2"/>
  <c r="J7" i="2"/>
  <c r="P42" i="39" l="1"/>
  <c r="G13" i="5"/>
  <c r="G6" i="8"/>
  <c r="C6" i="8"/>
  <c r="AQ21" i="29"/>
  <c r="E35" i="21"/>
  <c r="J35" i="21"/>
  <c r="S20" i="27"/>
  <c r="T20" i="27" s="1"/>
  <c r="T19" i="5"/>
  <c r="T14" i="5"/>
  <c r="I34" i="21"/>
  <c r="C35" i="21"/>
  <c r="F35" i="21"/>
  <c r="D35" i="21"/>
  <c r="A36" i="21"/>
  <c r="A7" i="8"/>
  <c r="H3" i="7"/>
  <c r="H4" i="7"/>
  <c r="H5" i="7"/>
  <c r="H6" i="7"/>
  <c r="A7" i="7"/>
  <c r="J52" i="2"/>
  <c r="G7" i="8" l="1"/>
  <c r="C7" i="8"/>
  <c r="E36" i="21"/>
  <c r="J36" i="21"/>
  <c r="D7" i="7"/>
  <c r="G52" i="5"/>
  <c r="I35" i="21"/>
  <c r="A37" i="21"/>
  <c r="D36" i="21"/>
  <c r="C36" i="21"/>
  <c r="F36" i="21"/>
  <c r="I14" i="4"/>
  <c r="H14" i="4"/>
  <c r="I13" i="4"/>
  <c r="H13" i="4"/>
  <c r="H7" i="7"/>
  <c r="A8" i="8"/>
  <c r="A8" i="7"/>
  <c r="H10" i="4"/>
  <c r="H11" i="4"/>
  <c r="H12" i="4"/>
  <c r="I12" i="4"/>
  <c r="I10" i="4"/>
  <c r="I11" i="4"/>
  <c r="H8" i="4"/>
  <c r="I8" i="4"/>
  <c r="I9" i="4"/>
  <c r="H9" i="4"/>
  <c r="H6" i="4"/>
  <c r="I6" i="4"/>
  <c r="H7" i="4"/>
  <c r="I7" i="4"/>
  <c r="I5" i="4"/>
  <c r="H5" i="4"/>
  <c r="G8" i="8" l="1"/>
  <c r="C8" i="8"/>
  <c r="E37" i="21"/>
  <c r="J37" i="21"/>
  <c r="D8" i="7"/>
  <c r="I36" i="21"/>
  <c r="D37" i="21"/>
  <c r="C37" i="21"/>
  <c r="F37" i="21"/>
  <c r="A38" i="21"/>
  <c r="I4" i="4"/>
  <c r="H4" i="4"/>
  <c r="H8" i="7"/>
  <c r="A9" i="8"/>
  <c r="A9" i="7"/>
  <c r="H3" i="4"/>
  <c r="I3" i="4"/>
  <c r="H2" i="4"/>
  <c r="G9" i="8" l="1"/>
  <c r="C9" i="8"/>
  <c r="E38" i="21"/>
  <c r="J38" i="21"/>
  <c r="D9" i="7"/>
  <c r="I37" i="21"/>
  <c r="A39" i="21"/>
  <c r="F38" i="21"/>
  <c r="D38" i="21"/>
  <c r="C38" i="21"/>
  <c r="I2" i="4"/>
  <c r="H9" i="7"/>
  <c r="A10" i="8"/>
  <c r="A10" i="7"/>
  <c r="G10" i="8" l="1"/>
  <c r="C10" i="8"/>
  <c r="E39" i="21"/>
  <c r="J39" i="21"/>
  <c r="D10" i="7"/>
  <c r="I38" i="21"/>
  <c r="C39" i="21"/>
  <c r="D39" i="21"/>
  <c r="F39" i="21"/>
  <c r="A40" i="21"/>
  <c r="H10" i="7"/>
  <c r="A11" i="8"/>
  <c r="A11" i="7"/>
  <c r="D11" i="7" s="1"/>
  <c r="G11" i="8" l="1"/>
  <c r="C11" i="8"/>
  <c r="E40" i="21"/>
  <c r="J40" i="21"/>
  <c r="I39" i="21"/>
  <c r="A41" i="21"/>
  <c r="D40" i="21"/>
  <c r="F40" i="21"/>
  <c r="C40" i="21"/>
  <c r="H11" i="7"/>
  <c r="A12" i="8"/>
  <c r="A12" i="7"/>
  <c r="D12" i="7" s="1"/>
  <c r="G12" i="8" l="1"/>
  <c r="C12" i="8"/>
  <c r="E41" i="21"/>
  <c r="J41" i="21"/>
  <c r="I40" i="21"/>
  <c r="C41" i="21"/>
  <c r="A42" i="21"/>
  <c r="F41" i="21"/>
  <c r="D41" i="21"/>
  <c r="H12" i="7"/>
  <c r="A13" i="8"/>
  <c r="A13" i="7"/>
  <c r="D13" i="7" s="1"/>
  <c r="G13" i="8" l="1"/>
  <c r="C13" i="8"/>
  <c r="E42" i="21"/>
  <c r="J42" i="21"/>
  <c r="I41" i="21"/>
  <c r="A43" i="21"/>
  <c r="D42" i="21"/>
  <c r="F42" i="21"/>
  <c r="C42" i="21"/>
  <c r="H13" i="7"/>
  <c r="A14" i="8"/>
  <c r="A14" i="7"/>
  <c r="D14" i="7" s="1"/>
  <c r="G14" i="8" l="1"/>
  <c r="C14" i="8"/>
  <c r="E43" i="21"/>
  <c r="J43" i="21"/>
  <c r="I42" i="21"/>
  <c r="D43" i="21"/>
  <c r="C43" i="21"/>
  <c r="F43" i="21"/>
  <c r="A44" i="21"/>
  <c r="H14" i="7"/>
  <c r="A15" i="8"/>
  <c r="A15" i="7"/>
  <c r="D15" i="7" s="1"/>
  <c r="G15" i="8" l="1"/>
  <c r="C15" i="8"/>
  <c r="E44" i="21"/>
  <c r="J44" i="21"/>
  <c r="I43" i="21"/>
  <c r="A45" i="21"/>
  <c r="F44" i="21"/>
  <c r="D44" i="21"/>
  <c r="C44" i="21"/>
  <c r="H15" i="7"/>
  <c r="A16" i="8"/>
  <c r="A16" i="7"/>
  <c r="D16" i="7" s="1"/>
  <c r="G16" i="8" l="1"/>
  <c r="D16" i="8"/>
  <c r="C16" i="8"/>
  <c r="E45" i="21"/>
  <c r="J45" i="21"/>
  <c r="I44" i="21"/>
  <c r="A46" i="21"/>
  <c r="D45" i="21"/>
  <c r="C45" i="21"/>
  <c r="F45" i="21"/>
  <c r="H16" i="7"/>
  <c r="E16" i="7"/>
  <c r="A17" i="8"/>
  <c r="A17" i="7"/>
  <c r="D17" i="7" s="1"/>
  <c r="G17" i="8" l="1"/>
  <c r="C17" i="8"/>
  <c r="D17" i="8"/>
  <c r="E46" i="21"/>
  <c r="J46" i="21"/>
  <c r="I45" i="21"/>
  <c r="A47" i="21"/>
  <c r="C46" i="21"/>
  <c r="F46" i="21"/>
  <c r="D46" i="21"/>
  <c r="H17" i="7"/>
  <c r="A18" i="8"/>
  <c r="A18" i="7"/>
  <c r="G18" i="8" l="1"/>
  <c r="F18" i="8"/>
  <c r="C18" i="8"/>
  <c r="D18" i="8"/>
  <c r="E47" i="21"/>
  <c r="J47" i="21"/>
  <c r="E18" i="7"/>
  <c r="D18" i="7"/>
  <c r="I46" i="21"/>
  <c r="A48" i="21"/>
  <c r="F47" i="21"/>
  <c r="D47" i="21"/>
  <c r="C47" i="21"/>
  <c r="H18" i="7"/>
  <c r="G18" i="7"/>
  <c r="A19" i="8"/>
  <c r="A19" i="7"/>
  <c r="G19" i="8" l="1"/>
  <c r="F19" i="8"/>
  <c r="D19" i="8"/>
  <c r="C19" i="8"/>
  <c r="E48" i="21"/>
  <c r="J48" i="21"/>
  <c r="E19" i="7"/>
  <c r="D19" i="7"/>
  <c r="I47" i="21"/>
  <c r="F48" i="21"/>
  <c r="D48" i="21"/>
  <c r="C48" i="21"/>
  <c r="A49" i="21"/>
  <c r="A20" i="7"/>
  <c r="G19" i="7"/>
  <c r="H19" i="7"/>
  <c r="A20" i="8"/>
  <c r="G20" i="8" l="1"/>
  <c r="F20" i="8"/>
  <c r="C20" i="8"/>
  <c r="D20" i="8"/>
  <c r="E49" i="21"/>
  <c r="J49" i="21"/>
  <c r="A21" i="7"/>
  <c r="E20" i="7"/>
  <c r="D20" i="7"/>
  <c r="I48" i="21"/>
  <c r="A50" i="21"/>
  <c r="F49" i="21"/>
  <c r="D49" i="21"/>
  <c r="C49" i="21"/>
  <c r="G20" i="7"/>
  <c r="H20" i="7"/>
  <c r="A21" i="8"/>
  <c r="G21" i="8" l="1"/>
  <c r="F21" i="8"/>
  <c r="D21" i="8"/>
  <c r="C21" i="8"/>
  <c r="E50" i="21"/>
  <c r="J50" i="21"/>
  <c r="E21" i="7"/>
  <c r="D21" i="7"/>
  <c r="G21" i="7"/>
  <c r="H21" i="7"/>
  <c r="A22" i="7"/>
  <c r="I49" i="21"/>
  <c r="F50" i="21"/>
  <c r="A51" i="21"/>
  <c r="C50" i="21"/>
  <c r="D50" i="21"/>
  <c r="A22" i="8"/>
  <c r="G22" i="8" l="1"/>
  <c r="F22" i="8"/>
  <c r="C22" i="8"/>
  <c r="D22" i="8"/>
  <c r="E51" i="21"/>
  <c r="J51" i="21"/>
  <c r="E22" i="7"/>
  <c r="D22" i="7"/>
  <c r="H22" i="7"/>
  <c r="G22" i="7"/>
  <c r="A23" i="7"/>
  <c r="I50" i="21"/>
  <c r="D51" i="21"/>
  <c r="C51" i="21"/>
  <c r="A52" i="21"/>
  <c r="F51" i="21"/>
  <c r="A23" i="8"/>
  <c r="E23" i="8" l="1"/>
  <c r="G23" i="8"/>
  <c r="F23" i="8"/>
  <c r="D23" i="8"/>
  <c r="C23" i="8"/>
  <c r="E52" i="21"/>
  <c r="J52" i="21"/>
  <c r="D23" i="7"/>
  <c r="E23" i="7"/>
  <c r="H23" i="7"/>
  <c r="G23" i="7"/>
  <c r="A24" i="7"/>
  <c r="H24" i="7" s="1"/>
  <c r="I51" i="21"/>
  <c r="A53" i="21"/>
  <c r="C52" i="21"/>
  <c r="F52" i="21"/>
  <c r="D52" i="21"/>
  <c r="A24" i="8"/>
  <c r="G24" i="8" l="1"/>
  <c r="F24" i="8"/>
  <c r="C24" i="8"/>
  <c r="E24" i="8"/>
  <c r="D24" i="8"/>
  <c r="E53" i="21"/>
  <c r="J53" i="21"/>
  <c r="D24" i="7"/>
  <c r="E24" i="7"/>
  <c r="G24" i="7"/>
  <c r="A25" i="7"/>
  <c r="I52" i="21"/>
  <c r="D53" i="21"/>
  <c r="F53" i="21"/>
  <c r="A54" i="21"/>
  <c r="C53" i="21"/>
  <c r="A25" i="8"/>
  <c r="G25" i="8" l="1"/>
  <c r="F25" i="8"/>
  <c r="D25" i="8"/>
  <c r="E25" i="8"/>
  <c r="C25" i="8"/>
  <c r="E54" i="21"/>
  <c r="J54" i="21"/>
  <c r="E25" i="7"/>
  <c r="D25" i="7"/>
  <c r="G25" i="7"/>
  <c r="H25" i="7"/>
  <c r="A26" i="7"/>
  <c r="I53" i="21"/>
  <c r="F54" i="21"/>
  <c r="D54" i="21"/>
  <c r="C54" i="21"/>
  <c r="A55" i="21"/>
  <c r="A26" i="8"/>
  <c r="F26" i="8" l="1"/>
  <c r="G26" i="8"/>
  <c r="C26" i="8"/>
  <c r="E26" i="8"/>
  <c r="D26" i="8"/>
  <c r="E55" i="21"/>
  <c r="J55" i="21"/>
  <c r="D26" i="7"/>
  <c r="E26" i="7"/>
  <c r="H26" i="7"/>
  <c r="G26" i="7"/>
  <c r="A27" i="7"/>
  <c r="I54" i="21"/>
  <c r="A56" i="21"/>
  <c r="F55" i="21"/>
  <c r="D55" i="21"/>
  <c r="C55" i="21"/>
  <c r="A27" i="8"/>
  <c r="G27" i="8" l="1"/>
  <c r="F27" i="8"/>
  <c r="D27" i="8"/>
  <c r="E27" i="8"/>
  <c r="C27" i="8"/>
  <c r="E56" i="21"/>
  <c r="J56" i="21"/>
  <c r="E27" i="7"/>
  <c r="D27" i="7"/>
  <c r="H27" i="7"/>
  <c r="G27" i="7"/>
  <c r="A28" i="7"/>
  <c r="I55" i="21"/>
  <c r="C56" i="21"/>
  <c r="F56" i="21"/>
  <c r="D56" i="21"/>
  <c r="A57" i="21"/>
  <c r="A28" i="8"/>
  <c r="F28" i="8" l="1"/>
  <c r="G28" i="8"/>
  <c r="E28" i="8"/>
  <c r="C28" i="8"/>
  <c r="D28" i="8"/>
  <c r="E57" i="21"/>
  <c r="J57" i="21"/>
  <c r="E28" i="7"/>
  <c r="D28" i="7"/>
  <c r="H28" i="7"/>
  <c r="G28" i="7"/>
  <c r="A29" i="7"/>
  <c r="I56" i="21"/>
  <c r="C57" i="21"/>
  <c r="A58" i="21"/>
  <c r="F57" i="21"/>
  <c r="D57" i="21"/>
  <c r="A29" i="8"/>
  <c r="G29" i="8" l="1"/>
  <c r="F29" i="8"/>
  <c r="C29" i="8"/>
  <c r="E29" i="8"/>
  <c r="D29" i="8"/>
  <c r="E58" i="21"/>
  <c r="J58" i="21"/>
  <c r="D29" i="7"/>
  <c r="E29" i="7"/>
  <c r="G29" i="7"/>
  <c r="H29" i="7"/>
  <c r="A30" i="7"/>
  <c r="I57" i="21"/>
  <c r="A59" i="21"/>
  <c r="D58" i="21"/>
  <c r="F58" i="21"/>
  <c r="C58" i="21"/>
  <c r="A30" i="8"/>
  <c r="F30" i="8" l="1"/>
  <c r="G30" i="8"/>
  <c r="E30" i="8"/>
  <c r="C30" i="8"/>
  <c r="D30" i="8"/>
  <c r="E59" i="21"/>
  <c r="J59" i="21"/>
  <c r="D30" i="7"/>
  <c r="E30" i="7"/>
  <c r="G30" i="7"/>
  <c r="H30" i="7"/>
  <c r="A31" i="7"/>
  <c r="I58" i="21"/>
  <c r="F59" i="21"/>
  <c r="C59" i="21"/>
  <c r="D59" i="21"/>
  <c r="A60" i="21"/>
  <c r="A31" i="8"/>
  <c r="F31" i="8" l="1"/>
  <c r="G31" i="8"/>
  <c r="C31" i="8"/>
  <c r="E31" i="8"/>
  <c r="D31" i="8"/>
  <c r="E60" i="21"/>
  <c r="J60" i="21"/>
  <c r="E31" i="7"/>
  <c r="D31" i="7"/>
  <c r="H31" i="7"/>
  <c r="G31" i="7"/>
  <c r="A32" i="7"/>
  <c r="I59" i="21"/>
  <c r="A61" i="21"/>
  <c r="C60" i="21"/>
  <c r="D60" i="21"/>
  <c r="F60" i="21"/>
  <c r="A32" i="8"/>
  <c r="F32" i="8" l="1"/>
  <c r="G32" i="8"/>
  <c r="C32" i="8"/>
  <c r="D32" i="8"/>
  <c r="E32" i="8"/>
  <c r="E61" i="21"/>
  <c r="J61" i="21"/>
  <c r="E32" i="7"/>
  <c r="D32" i="7"/>
  <c r="G32" i="7"/>
  <c r="H32" i="7"/>
  <c r="A33" i="7"/>
  <c r="I60" i="21"/>
  <c r="F61" i="21"/>
  <c r="A62" i="21"/>
  <c r="D61" i="21"/>
  <c r="C61" i="21"/>
  <c r="A33" i="8"/>
  <c r="G33" i="8" l="1"/>
  <c r="F33" i="8"/>
  <c r="C33" i="8"/>
  <c r="E33" i="8"/>
  <c r="D33" i="8"/>
  <c r="E62" i="21"/>
  <c r="J62" i="21"/>
  <c r="G33" i="7"/>
  <c r="H33" i="7"/>
  <c r="A34" i="7"/>
  <c r="D33" i="7"/>
  <c r="E33" i="7"/>
  <c r="I61" i="21"/>
  <c r="D62" i="21"/>
  <c r="C62" i="21"/>
  <c r="F62" i="21"/>
  <c r="A63" i="21"/>
  <c r="A34" i="8"/>
  <c r="G34" i="8" l="1"/>
  <c r="F34" i="8"/>
  <c r="E34" i="8"/>
  <c r="C34" i="8"/>
  <c r="D34" i="8"/>
  <c r="E63" i="21"/>
  <c r="J63" i="21"/>
  <c r="D34" i="7"/>
  <c r="E34" i="7"/>
  <c r="G34" i="7"/>
  <c r="H34" i="7"/>
  <c r="A35" i="7"/>
  <c r="D35" i="7"/>
  <c r="E35" i="7"/>
  <c r="I62" i="21"/>
  <c r="A64" i="21"/>
  <c r="D63" i="21"/>
  <c r="C63" i="21"/>
  <c r="F63" i="21"/>
  <c r="A35" i="8"/>
  <c r="G35" i="7"/>
  <c r="G35" i="8" l="1"/>
  <c r="F35" i="8"/>
  <c r="E35" i="8"/>
  <c r="C35" i="8"/>
  <c r="D35" i="8"/>
  <c r="E64" i="21"/>
  <c r="J64" i="21"/>
  <c r="H35" i="7"/>
  <c r="A36" i="7"/>
  <c r="E36" i="7"/>
  <c r="D36" i="7"/>
  <c r="I63" i="21"/>
  <c r="F64" i="21"/>
  <c r="A65" i="21"/>
  <c r="C64" i="21"/>
  <c r="D64" i="21"/>
  <c r="A36" i="8"/>
  <c r="F36" i="8" l="1"/>
  <c r="G36" i="8"/>
  <c r="E36" i="8"/>
  <c r="C36" i="8"/>
  <c r="D36" i="8"/>
  <c r="E65" i="21"/>
  <c r="J65" i="21"/>
  <c r="G36" i="7"/>
  <c r="H36" i="7"/>
  <c r="A37" i="7"/>
  <c r="E37" i="7"/>
  <c r="D37" i="7"/>
  <c r="I64" i="21"/>
  <c r="D65" i="21"/>
  <c r="C65" i="21"/>
  <c r="F65" i="21"/>
  <c r="A66" i="21"/>
  <c r="A37" i="8"/>
  <c r="G37" i="7"/>
  <c r="H37" i="7"/>
  <c r="A38" i="7"/>
  <c r="F37" i="8" l="1"/>
  <c r="G37" i="8"/>
  <c r="D37" i="8"/>
  <c r="E37" i="8"/>
  <c r="C37" i="8"/>
  <c r="E66" i="21"/>
  <c r="J66" i="21"/>
  <c r="E38" i="7"/>
  <c r="D38" i="7"/>
  <c r="I65" i="21"/>
  <c r="A67" i="21"/>
  <c r="F66" i="21"/>
  <c r="D66" i="21"/>
  <c r="C66" i="21"/>
  <c r="A38" i="8"/>
  <c r="G38" i="7"/>
  <c r="H38" i="7"/>
  <c r="A39" i="7"/>
  <c r="F38" i="8" l="1"/>
  <c r="G38" i="8"/>
  <c r="D38" i="8"/>
  <c r="C38" i="8"/>
  <c r="E38" i="8"/>
  <c r="E67" i="21"/>
  <c r="J67" i="21"/>
  <c r="E39" i="7"/>
  <c r="D39" i="7"/>
  <c r="I66" i="21"/>
  <c r="D67" i="21"/>
  <c r="A68" i="21"/>
  <c r="F67" i="21"/>
  <c r="C67" i="21"/>
  <c r="A39" i="8"/>
  <c r="H39" i="7"/>
  <c r="G39" i="7"/>
  <c r="A40" i="7"/>
  <c r="G39" i="8" l="1"/>
  <c r="F39" i="8"/>
  <c r="C39" i="8"/>
  <c r="E39" i="8"/>
  <c r="D39" i="8"/>
  <c r="E68" i="21"/>
  <c r="J68" i="21"/>
  <c r="E40" i="7"/>
  <c r="D40" i="7"/>
  <c r="I67" i="21"/>
  <c r="C68" i="21"/>
  <c r="A69" i="21"/>
  <c r="F68" i="21"/>
  <c r="D68" i="21"/>
  <c r="A40" i="8"/>
  <c r="H40" i="7"/>
  <c r="G40" i="7"/>
  <c r="A41" i="7"/>
  <c r="F40" i="8" l="1"/>
  <c r="G40" i="8"/>
  <c r="D40" i="8"/>
  <c r="E40" i="8"/>
  <c r="C40" i="8"/>
  <c r="E69" i="21"/>
  <c r="J69" i="21"/>
  <c r="D41" i="7"/>
  <c r="E41" i="7"/>
  <c r="I68" i="21"/>
  <c r="A70" i="21"/>
  <c r="F69" i="21"/>
  <c r="D69" i="21"/>
  <c r="C69" i="21"/>
  <c r="A41" i="8"/>
  <c r="G41" i="7"/>
  <c r="H41" i="7"/>
  <c r="A42" i="7"/>
  <c r="G41" i="8" l="1"/>
  <c r="F41" i="8"/>
  <c r="D41" i="8"/>
  <c r="E41" i="8"/>
  <c r="C41" i="8"/>
  <c r="E70" i="21"/>
  <c r="J70" i="21"/>
  <c r="D42" i="7"/>
  <c r="E42" i="7"/>
  <c r="I69" i="21"/>
  <c r="A71" i="21"/>
  <c r="D70" i="21"/>
  <c r="C70" i="21"/>
  <c r="F70" i="21"/>
  <c r="A42" i="8"/>
  <c r="H42" i="7"/>
  <c r="G42" i="7"/>
  <c r="A43" i="7"/>
  <c r="F42" i="8" l="1"/>
  <c r="G42" i="8"/>
  <c r="E42" i="8"/>
  <c r="D42" i="8"/>
  <c r="C42" i="8"/>
  <c r="E71" i="21"/>
  <c r="J71" i="21"/>
  <c r="E43" i="7"/>
  <c r="D43" i="7"/>
  <c r="I70" i="21"/>
  <c r="A72" i="21"/>
  <c r="F71" i="21"/>
  <c r="D71" i="21"/>
  <c r="C71" i="21"/>
  <c r="A43" i="8"/>
  <c r="H43" i="7"/>
  <c r="G43" i="7"/>
  <c r="A44" i="7"/>
  <c r="F43" i="8" l="1"/>
  <c r="G43" i="8"/>
  <c r="C43" i="8"/>
  <c r="D43" i="8"/>
  <c r="E43" i="8"/>
  <c r="E72" i="21"/>
  <c r="J72" i="21"/>
  <c r="D44" i="7"/>
  <c r="E44" i="7"/>
  <c r="I71" i="21"/>
  <c r="A73" i="21"/>
  <c r="F72" i="21"/>
  <c r="C72" i="21"/>
  <c r="D72" i="21"/>
  <c r="A44" i="8"/>
  <c r="H44" i="7"/>
  <c r="G44" i="7"/>
  <c r="A45" i="7"/>
  <c r="G44" i="8" l="1"/>
  <c r="F44" i="8"/>
  <c r="E44" i="8"/>
  <c r="D44" i="8"/>
  <c r="C44" i="8"/>
  <c r="E73" i="21"/>
  <c r="J73" i="21"/>
  <c r="E45" i="7"/>
  <c r="D45" i="7"/>
  <c r="I72" i="21"/>
  <c r="C73" i="21"/>
  <c r="F73" i="21"/>
  <c r="D73" i="21"/>
  <c r="A74" i="21"/>
  <c r="A45" i="8"/>
  <c r="H45" i="7"/>
  <c r="G45" i="7"/>
  <c r="A46" i="7"/>
  <c r="G45" i="8" l="1"/>
  <c r="F45" i="8"/>
  <c r="D45" i="8"/>
  <c r="C45" i="8"/>
  <c r="E45" i="8"/>
  <c r="E74" i="21"/>
  <c r="J74" i="21"/>
  <c r="D46" i="7"/>
  <c r="E46" i="7"/>
  <c r="I73" i="21"/>
  <c r="A75" i="21"/>
  <c r="F74" i="21"/>
  <c r="D74" i="21"/>
  <c r="C74" i="21"/>
  <c r="A46" i="8"/>
  <c r="H46" i="7"/>
  <c r="G46" i="7"/>
  <c r="A47" i="7"/>
  <c r="F46" i="8" l="1"/>
  <c r="G46" i="8"/>
  <c r="C46" i="8"/>
  <c r="D46" i="8"/>
  <c r="E46" i="8"/>
  <c r="E75" i="21"/>
  <c r="J75" i="21"/>
  <c r="D47" i="7"/>
  <c r="E47" i="7"/>
  <c r="I74" i="21"/>
  <c r="A76" i="21"/>
  <c r="F75" i="21"/>
  <c r="C75" i="21"/>
  <c r="D75" i="21"/>
  <c r="A47" i="8"/>
  <c r="H47" i="7"/>
  <c r="G47" i="7"/>
  <c r="A48" i="7"/>
  <c r="G47" i="8" l="1"/>
  <c r="F47" i="8"/>
  <c r="E47" i="8"/>
  <c r="D47" i="8"/>
  <c r="C47" i="8"/>
  <c r="E76" i="21"/>
  <c r="J76" i="21"/>
  <c r="E48" i="7"/>
  <c r="D48" i="7"/>
  <c r="I75" i="21"/>
  <c r="F76" i="21"/>
  <c r="D76" i="21"/>
  <c r="C76" i="21"/>
  <c r="A77" i="21"/>
  <c r="A48" i="8"/>
  <c r="G48" i="7"/>
  <c r="H48" i="7"/>
  <c r="A49" i="7"/>
  <c r="F48" i="8" l="1"/>
  <c r="G48" i="8"/>
  <c r="D48" i="8"/>
  <c r="E48" i="8"/>
  <c r="C48" i="8"/>
  <c r="E77" i="21"/>
  <c r="J77" i="21"/>
  <c r="E49" i="7"/>
  <c r="D49" i="7"/>
  <c r="I76" i="21"/>
  <c r="F77" i="21"/>
  <c r="C77" i="21"/>
  <c r="D77" i="21"/>
  <c r="A78" i="21"/>
  <c r="A49" i="8"/>
  <c r="H49" i="7"/>
  <c r="G49" i="7"/>
  <c r="A50" i="7"/>
  <c r="F49" i="8" l="1"/>
  <c r="G49" i="8"/>
  <c r="D49" i="8"/>
  <c r="C49" i="8"/>
  <c r="E49" i="8"/>
  <c r="E78" i="21"/>
  <c r="J78" i="21"/>
  <c r="E50" i="7"/>
  <c r="D50" i="7"/>
  <c r="I77" i="21"/>
  <c r="A79" i="21"/>
  <c r="D78" i="21"/>
  <c r="F78" i="21"/>
  <c r="C78" i="21"/>
  <c r="A50" i="8"/>
  <c r="G50" i="7"/>
  <c r="H50" i="7"/>
  <c r="A51" i="7"/>
  <c r="F50" i="8" l="1"/>
  <c r="G50" i="8"/>
  <c r="E50" i="8"/>
  <c r="D50" i="8"/>
  <c r="C50" i="8"/>
  <c r="E79" i="21"/>
  <c r="J79" i="21"/>
  <c r="E51" i="7"/>
  <c r="D51" i="7"/>
  <c r="I78" i="21"/>
  <c r="F79" i="21"/>
  <c r="C79" i="21"/>
  <c r="D79" i="21"/>
  <c r="A80" i="21"/>
  <c r="A51" i="8"/>
  <c r="H51" i="7"/>
  <c r="G51" i="7"/>
  <c r="A52" i="7"/>
  <c r="F51" i="8" l="1"/>
  <c r="G51" i="8"/>
  <c r="E51" i="8"/>
  <c r="D51" i="8"/>
  <c r="C51" i="8"/>
  <c r="E80" i="21"/>
  <c r="J80" i="21"/>
  <c r="D52" i="7"/>
  <c r="E52" i="7"/>
  <c r="I79" i="21"/>
  <c r="F80" i="21"/>
  <c r="D80" i="21"/>
  <c r="C80" i="21"/>
  <c r="A81" i="21"/>
  <c r="A52" i="8"/>
  <c r="G52" i="7"/>
  <c r="H52" i="7"/>
  <c r="A53" i="7"/>
  <c r="F52" i="8" l="1"/>
  <c r="G52" i="8"/>
  <c r="E52" i="8"/>
  <c r="C52" i="8"/>
  <c r="D52" i="8"/>
  <c r="E81" i="21"/>
  <c r="J81" i="21"/>
  <c r="D53" i="7"/>
  <c r="E53" i="7"/>
  <c r="I80" i="21"/>
  <c r="F81" i="21"/>
  <c r="A82" i="21"/>
  <c r="D81" i="21"/>
  <c r="C81" i="21"/>
  <c r="A53" i="8"/>
  <c r="G53" i="7"/>
  <c r="H53" i="7"/>
  <c r="A54" i="7"/>
  <c r="G53" i="8" l="1"/>
  <c r="F53" i="8"/>
  <c r="C53" i="8"/>
  <c r="E53" i="8"/>
  <c r="D53" i="8"/>
  <c r="E82" i="21"/>
  <c r="J82" i="21"/>
  <c r="D54" i="7"/>
  <c r="E54" i="7"/>
  <c r="I81" i="21"/>
  <c r="D82" i="21"/>
  <c r="C82" i="21"/>
  <c r="A83" i="21"/>
  <c r="F82" i="21"/>
  <c r="A54" i="8"/>
  <c r="G54" i="7"/>
  <c r="H54" i="7"/>
  <c r="A55" i="7"/>
  <c r="F54" i="8" l="1"/>
  <c r="G54" i="8"/>
  <c r="C54" i="8"/>
  <c r="D54" i="8"/>
  <c r="E54" i="8"/>
  <c r="E83" i="21"/>
  <c r="J83" i="21"/>
  <c r="A56" i="7"/>
  <c r="E55" i="7"/>
  <c r="D55" i="7"/>
  <c r="I82" i="21"/>
  <c r="A84" i="21"/>
  <c r="D83" i="21"/>
  <c r="C83" i="21"/>
  <c r="F83" i="21"/>
  <c r="A55" i="8"/>
  <c r="G55" i="7"/>
  <c r="H55" i="7"/>
  <c r="G55" i="8" l="1"/>
  <c r="F55" i="8"/>
  <c r="D55" i="8"/>
  <c r="E55" i="8"/>
  <c r="C55" i="8"/>
  <c r="E84" i="21"/>
  <c r="J84" i="21"/>
  <c r="A57" i="7"/>
  <c r="G56" i="7"/>
  <c r="H56" i="7"/>
  <c r="E57" i="7"/>
  <c r="E56" i="7"/>
  <c r="D56" i="7"/>
  <c r="A56" i="8"/>
  <c r="I83" i="21"/>
  <c r="F84" i="21"/>
  <c r="A85" i="21"/>
  <c r="C84" i="21"/>
  <c r="D84" i="21"/>
  <c r="F56" i="8" l="1"/>
  <c r="G56" i="8"/>
  <c r="E56" i="8"/>
  <c r="C56" i="8"/>
  <c r="D56" i="8"/>
  <c r="E85" i="21"/>
  <c r="J85" i="21"/>
  <c r="D57" i="7"/>
  <c r="A58" i="7"/>
  <c r="G57" i="7"/>
  <c r="H57" i="7"/>
  <c r="D58" i="7"/>
  <c r="A57" i="8"/>
  <c r="I84" i="21"/>
  <c r="D85" i="21"/>
  <c r="C85" i="21"/>
  <c r="A86" i="21"/>
  <c r="F85" i="21"/>
  <c r="F57" i="8" l="1"/>
  <c r="G57" i="8"/>
  <c r="C57" i="8"/>
  <c r="E57" i="8"/>
  <c r="D57" i="8"/>
  <c r="E86" i="21"/>
  <c r="J86" i="21"/>
  <c r="E58" i="7"/>
  <c r="A59" i="7"/>
  <c r="G58" i="7"/>
  <c r="H58" i="7"/>
  <c r="A58" i="8"/>
  <c r="I85" i="21"/>
  <c r="A87" i="21"/>
  <c r="F86" i="21"/>
  <c r="D86" i="21"/>
  <c r="C86" i="21"/>
  <c r="G58" i="8" l="1"/>
  <c r="F58" i="8"/>
  <c r="C58" i="8"/>
  <c r="E58" i="8"/>
  <c r="D58" i="8"/>
  <c r="E87" i="21"/>
  <c r="J87" i="21"/>
  <c r="D59" i="7"/>
  <c r="E59" i="7"/>
  <c r="A60" i="7"/>
  <c r="G59" i="7"/>
  <c r="H59" i="7"/>
  <c r="E60" i="7"/>
  <c r="D60" i="7"/>
  <c r="A59" i="8"/>
  <c r="I86" i="21"/>
  <c r="D87" i="21"/>
  <c r="A88" i="21"/>
  <c r="F87" i="21"/>
  <c r="C87" i="21"/>
  <c r="C5" i="20"/>
  <c r="G59" i="8" l="1"/>
  <c r="F59" i="8"/>
  <c r="E59" i="8"/>
  <c r="C59" i="8"/>
  <c r="D59" i="8"/>
  <c r="E88" i="21"/>
  <c r="J88" i="21"/>
  <c r="A61" i="7"/>
  <c r="G60" i="7"/>
  <c r="H60" i="7"/>
  <c r="E61" i="7"/>
  <c r="D61" i="7"/>
  <c r="A62" i="7"/>
  <c r="H61" i="7"/>
  <c r="G61" i="7"/>
  <c r="A60" i="8"/>
  <c r="I87" i="21"/>
  <c r="C88" i="21"/>
  <c r="D88" i="21"/>
  <c r="F88" i="21"/>
  <c r="A89" i="21"/>
  <c r="H5" i="19"/>
  <c r="B5" i="20"/>
  <c r="D5" i="20"/>
  <c r="I5" i="19"/>
  <c r="E5" i="20"/>
  <c r="D4" i="20"/>
  <c r="F60" i="8" l="1"/>
  <c r="G60" i="8"/>
  <c r="C60" i="8"/>
  <c r="D60" i="8"/>
  <c r="E60" i="8"/>
  <c r="E89" i="21"/>
  <c r="J89" i="21"/>
  <c r="D62" i="7"/>
  <c r="E62" i="7"/>
  <c r="A63" i="7"/>
  <c r="H62" i="7"/>
  <c r="G62" i="7"/>
  <c r="A61" i="8"/>
  <c r="I88" i="21"/>
  <c r="A90" i="21"/>
  <c r="F89" i="21"/>
  <c r="D89" i="21"/>
  <c r="C89" i="21"/>
  <c r="C4" i="20"/>
  <c r="I4" i="19"/>
  <c r="H4" i="19"/>
  <c r="B4" i="20"/>
  <c r="E4" i="20"/>
  <c r="G61" i="8" l="1"/>
  <c r="F61" i="8"/>
  <c r="C61" i="8"/>
  <c r="E61" i="8"/>
  <c r="D61" i="8"/>
  <c r="E90" i="21"/>
  <c r="J90" i="21"/>
  <c r="E63" i="7"/>
  <c r="D63" i="7"/>
  <c r="A64" i="7"/>
  <c r="G63" i="7"/>
  <c r="H63" i="7"/>
  <c r="A62" i="8"/>
  <c r="I89" i="21"/>
  <c r="A91" i="21"/>
  <c r="C90" i="21"/>
  <c r="F90" i="21"/>
  <c r="D90" i="21"/>
  <c r="F62" i="8" l="1"/>
  <c r="G62" i="8"/>
  <c r="D62" i="8"/>
  <c r="E62" i="8"/>
  <c r="C62" i="8"/>
  <c r="E91" i="21"/>
  <c r="J91" i="21"/>
  <c r="D64" i="7"/>
  <c r="E64" i="7"/>
  <c r="A65" i="7"/>
  <c r="H64" i="7"/>
  <c r="G64" i="7"/>
  <c r="A63" i="8"/>
  <c r="I90" i="21"/>
  <c r="D91" i="21"/>
  <c r="C91" i="21"/>
  <c r="A92" i="21"/>
  <c r="F91" i="21"/>
  <c r="G63" i="8" l="1"/>
  <c r="F63" i="8"/>
  <c r="D63" i="8"/>
  <c r="C63" i="8"/>
  <c r="E63" i="8"/>
  <c r="E92" i="21"/>
  <c r="J92" i="21"/>
  <c r="D65" i="7"/>
  <c r="E65" i="7"/>
  <c r="A66" i="7"/>
  <c r="H65" i="7"/>
  <c r="G65" i="7"/>
  <c r="A64" i="8"/>
  <c r="I91" i="21"/>
  <c r="A93" i="21"/>
  <c r="F92" i="21"/>
  <c r="C92" i="21"/>
  <c r="D92" i="21"/>
  <c r="G64" i="8" l="1"/>
  <c r="F64" i="8"/>
  <c r="D64" i="8"/>
  <c r="E64" i="8"/>
  <c r="C64" i="8"/>
  <c r="E93" i="21"/>
  <c r="J93" i="21"/>
  <c r="A94" i="21"/>
  <c r="E66" i="7"/>
  <c r="D66" i="7"/>
  <c r="A67" i="7"/>
  <c r="H66" i="7"/>
  <c r="G66" i="7"/>
  <c r="A65" i="8"/>
  <c r="I92" i="21"/>
  <c r="C93" i="21"/>
  <c r="F93" i="21"/>
  <c r="D93" i="21"/>
  <c r="G65" i="8" l="1"/>
  <c r="F65" i="8"/>
  <c r="D65" i="8"/>
  <c r="E65" i="8"/>
  <c r="C65" i="8"/>
  <c r="E94" i="21"/>
  <c r="J94" i="21"/>
  <c r="D94" i="21"/>
  <c r="F94" i="21"/>
  <c r="C94" i="21"/>
  <c r="A95" i="21"/>
  <c r="E67" i="7"/>
  <c r="D67" i="7"/>
  <c r="A68" i="7"/>
  <c r="H67" i="7"/>
  <c r="G67" i="7"/>
  <c r="A66" i="8"/>
  <c r="I93" i="21"/>
  <c r="G66" i="8" l="1"/>
  <c r="F66" i="8"/>
  <c r="E66" i="8"/>
  <c r="D66" i="8"/>
  <c r="C66" i="8"/>
  <c r="E95" i="21"/>
  <c r="J95" i="21"/>
  <c r="I94" i="21"/>
  <c r="C95" i="21"/>
  <c r="F95" i="21"/>
  <c r="D95" i="21"/>
  <c r="A96" i="21"/>
  <c r="E68" i="7"/>
  <c r="D68" i="7"/>
  <c r="A69" i="7"/>
  <c r="G68" i="7"/>
  <c r="H68" i="7"/>
  <c r="A67" i="8"/>
  <c r="F67" i="8" l="1"/>
  <c r="G67" i="8"/>
  <c r="E67" i="8"/>
  <c r="D67" i="8"/>
  <c r="C67" i="8"/>
  <c r="D96" i="21"/>
  <c r="E96" i="21"/>
  <c r="J96" i="21"/>
  <c r="I95" i="21"/>
  <c r="A97" i="21"/>
  <c r="F96" i="21"/>
  <c r="C96" i="21"/>
  <c r="D69" i="7"/>
  <c r="E69" i="7"/>
  <c r="A70" i="7"/>
  <c r="G69" i="7"/>
  <c r="H69" i="7"/>
  <c r="A68" i="8"/>
  <c r="G68" i="8" l="1"/>
  <c r="F68" i="8"/>
  <c r="C68" i="8"/>
  <c r="E68" i="8"/>
  <c r="D68" i="8"/>
  <c r="E97" i="21"/>
  <c r="J97" i="21"/>
  <c r="F97" i="21"/>
  <c r="D97" i="21"/>
  <c r="C97" i="21"/>
  <c r="A98" i="21"/>
  <c r="I96" i="21"/>
  <c r="E70" i="7"/>
  <c r="D70" i="7"/>
  <c r="A71" i="7"/>
  <c r="H70" i="7"/>
  <c r="G70" i="7"/>
  <c r="A69" i="8"/>
  <c r="G69" i="8" l="1"/>
  <c r="F69" i="8"/>
  <c r="C69" i="8"/>
  <c r="D69" i="8"/>
  <c r="E69" i="8"/>
  <c r="E98" i="21"/>
  <c r="J98" i="21"/>
  <c r="I97" i="21"/>
  <c r="D98" i="21"/>
  <c r="F98" i="21"/>
  <c r="C98" i="21"/>
  <c r="A99" i="21"/>
  <c r="D71" i="7"/>
  <c r="E71" i="7"/>
  <c r="A72" i="7"/>
  <c r="G71" i="7"/>
  <c r="H71" i="7"/>
  <c r="A70" i="8"/>
  <c r="G70" i="8" l="1"/>
  <c r="F70" i="8"/>
  <c r="E70" i="8"/>
  <c r="C70" i="8"/>
  <c r="D70" i="8"/>
  <c r="E99" i="21"/>
  <c r="J99" i="21"/>
  <c r="F99" i="21"/>
  <c r="D99" i="21"/>
  <c r="C99" i="21"/>
  <c r="A100" i="21"/>
  <c r="I98" i="21"/>
  <c r="E72" i="7"/>
  <c r="D72" i="7"/>
  <c r="A73" i="7"/>
  <c r="H72" i="7"/>
  <c r="G72" i="7"/>
  <c r="A71" i="8"/>
  <c r="F71" i="8" l="1"/>
  <c r="G71" i="8"/>
  <c r="E71" i="8"/>
  <c r="D71" i="8"/>
  <c r="C71" i="8"/>
  <c r="E100" i="21"/>
  <c r="J100" i="21"/>
  <c r="I99" i="21"/>
  <c r="D100" i="21"/>
  <c r="F100" i="21"/>
  <c r="C100" i="21"/>
  <c r="A101" i="21"/>
  <c r="E73" i="7"/>
  <c r="D73" i="7"/>
  <c r="A74" i="7"/>
  <c r="H73" i="7"/>
  <c r="G73" i="7"/>
  <c r="A72" i="8"/>
  <c r="F72" i="8" l="1"/>
  <c r="G72" i="8"/>
  <c r="E72" i="8"/>
  <c r="C72" i="8"/>
  <c r="D72" i="8"/>
  <c r="E101" i="21"/>
  <c r="J101" i="21"/>
  <c r="I100" i="21"/>
  <c r="A102" i="21"/>
  <c r="F101" i="21"/>
  <c r="D101" i="21"/>
  <c r="C101" i="21"/>
  <c r="D74" i="7"/>
  <c r="E74" i="7"/>
  <c r="A75" i="7"/>
  <c r="G74" i="7"/>
  <c r="H74" i="7"/>
  <c r="A73" i="8"/>
  <c r="G73" i="8" l="1"/>
  <c r="F73" i="8"/>
  <c r="C73" i="8"/>
  <c r="E73" i="8"/>
  <c r="D73" i="8"/>
  <c r="E102" i="21"/>
  <c r="J102" i="21"/>
  <c r="I101" i="21"/>
  <c r="F102" i="21"/>
  <c r="D102" i="21"/>
  <c r="C102" i="21"/>
  <c r="A103" i="21"/>
  <c r="D75" i="7"/>
  <c r="E75" i="7"/>
  <c r="A76" i="7"/>
  <c r="H75" i="7"/>
  <c r="G75" i="7"/>
  <c r="A74" i="8"/>
  <c r="F74" i="8" l="1"/>
  <c r="G74" i="8"/>
  <c r="D74" i="8"/>
  <c r="C74" i="8"/>
  <c r="E74" i="8"/>
  <c r="E103" i="21"/>
  <c r="J103" i="21"/>
  <c r="I102" i="21"/>
  <c r="D103" i="21"/>
  <c r="A104" i="21"/>
  <c r="F103" i="21"/>
  <c r="C103" i="21"/>
  <c r="A105" i="21"/>
  <c r="D76" i="7"/>
  <c r="E76" i="7"/>
  <c r="A77" i="7"/>
  <c r="H76" i="7"/>
  <c r="G76" i="7"/>
  <c r="A75" i="8"/>
  <c r="F75" i="8" l="1"/>
  <c r="G75" i="8"/>
  <c r="C75" i="8"/>
  <c r="E75" i="8"/>
  <c r="D75" i="8"/>
  <c r="E105" i="21"/>
  <c r="J105" i="21"/>
  <c r="E104" i="21"/>
  <c r="J104" i="21"/>
  <c r="I103" i="21"/>
  <c r="F104" i="21"/>
  <c r="D104" i="21"/>
  <c r="C104" i="21"/>
  <c r="F105" i="21"/>
  <c r="D105" i="21"/>
  <c r="C105" i="21"/>
  <c r="A106" i="21"/>
  <c r="D77" i="7"/>
  <c r="E77" i="7"/>
  <c r="A78" i="7"/>
  <c r="H77" i="7"/>
  <c r="G77" i="7"/>
  <c r="A76" i="8"/>
  <c r="F76" i="8" l="1"/>
  <c r="G76" i="8"/>
  <c r="D76" i="8"/>
  <c r="C76" i="8"/>
  <c r="E76" i="8"/>
  <c r="E106" i="21"/>
  <c r="J106" i="21"/>
  <c r="I104" i="21"/>
  <c r="F106" i="21"/>
  <c r="D106" i="21"/>
  <c r="C106" i="21"/>
  <c r="A107" i="21"/>
  <c r="I105" i="21"/>
  <c r="E78" i="7"/>
  <c r="D78" i="7"/>
  <c r="A79" i="7"/>
  <c r="G78" i="7"/>
  <c r="H78" i="7"/>
  <c r="A77" i="8"/>
  <c r="F77" i="8" l="1"/>
  <c r="G77" i="8"/>
  <c r="C77" i="8"/>
  <c r="E77" i="8"/>
  <c r="D77" i="8"/>
  <c r="E107" i="21"/>
  <c r="J107" i="21"/>
  <c r="I106" i="21"/>
  <c r="F107" i="21"/>
  <c r="D107" i="21"/>
  <c r="C107" i="21"/>
  <c r="A108" i="21"/>
  <c r="D79" i="7"/>
  <c r="E79" i="7"/>
  <c r="A80" i="7"/>
  <c r="G79" i="7"/>
  <c r="H79" i="7"/>
  <c r="A78" i="8"/>
  <c r="F78" i="8" l="1"/>
  <c r="G78" i="8"/>
  <c r="D78" i="8"/>
  <c r="E78" i="8"/>
  <c r="C78" i="8"/>
  <c r="E108" i="21"/>
  <c r="J108" i="21"/>
  <c r="I107" i="21"/>
  <c r="F108" i="21"/>
  <c r="D108" i="21"/>
  <c r="C108" i="21"/>
  <c r="A109" i="21"/>
  <c r="E80" i="7"/>
  <c r="D80" i="7"/>
  <c r="A81" i="7"/>
  <c r="G80" i="7"/>
  <c r="H80" i="7"/>
  <c r="A79" i="8"/>
  <c r="F79" i="8" l="1"/>
  <c r="G79" i="8"/>
  <c r="D79" i="8"/>
  <c r="E79" i="8"/>
  <c r="C79" i="8"/>
  <c r="E109" i="21"/>
  <c r="J109" i="21"/>
  <c r="F109" i="21"/>
  <c r="D109" i="21"/>
  <c r="C109" i="21"/>
  <c r="A110" i="21"/>
  <c r="I108" i="21"/>
  <c r="E81" i="7"/>
  <c r="D81" i="7"/>
  <c r="A82" i="7"/>
  <c r="G81" i="7"/>
  <c r="H81" i="7"/>
  <c r="A80" i="8"/>
  <c r="F80" i="8" l="1"/>
  <c r="G80" i="8"/>
  <c r="E80" i="8"/>
  <c r="D80" i="8"/>
  <c r="C80" i="8"/>
  <c r="E110" i="21"/>
  <c r="J110" i="21"/>
  <c r="A111" i="21"/>
  <c r="F110" i="21"/>
  <c r="D110" i="21"/>
  <c r="C110" i="21"/>
  <c r="I109" i="21"/>
  <c r="E82" i="7"/>
  <c r="D82" i="7"/>
  <c r="A83" i="7"/>
  <c r="G82" i="7"/>
  <c r="H82" i="7"/>
  <c r="A81" i="8"/>
  <c r="G81" i="8" l="1"/>
  <c r="F81" i="8"/>
  <c r="C81" i="8"/>
  <c r="E81" i="8"/>
  <c r="D81" i="8"/>
  <c r="E111" i="21"/>
  <c r="J111" i="21"/>
  <c r="F111" i="21"/>
  <c r="D111" i="21"/>
  <c r="C111" i="21"/>
  <c r="A112" i="21"/>
  <c r="I110" i="21"/>
  <c r="D83" i="7"/>
  <c r="E83" i="7"/>
  <c r="A84" i="7"/>
  <c r="G83" i="7"/>
  <c r="H83" i="7"/>
  <c r="A82" i="8"/>
  <c r="F82" i="8" l="1"/>
  <c r="G82" i="8"/>
  <c r="E82" i="8"/>
  <c r="C82" i="8"/>
  <c r="D82" i="8"/>
  <c r="E112" i="21"/>
  <c r="J112" i="21"/>
  <c r="F112" i="21"/>
  <c r="D112" i="21"/>
  <c r="C112" i="21"/>
  <c r="A113" i="21"/>
  <c r="I111" i="21"/>
  <c r="D84" i="7"/>
  <c r="E84" i="7"/>
  <c r="A85" i="7"/>
  <c r="G84" i="7"/>
  <c r="H84" i="7"/>
  <c r="A83" i="8"/>
  <c r="F83" i="8" l="1"/>
  <c r="G83" i="8"/>
  <c r="D83" i="8"/>
  <c r="E83" i="8"/>
  <c r="C83" i="8"/>
  <c r="E113" i="21"/>
  <c r="J113" i="21"/>
  <c r="I112" i="21"/>
  <c r="A114" i="21"/>
  <c r="F113" i="21"/>
  <c r="D113" i="21"/>
  <c r="C113" i="21"/>
  <c r="E85" i="7"/>
  <c r="D85" i="7"/>
  <c r="A86" i="7"/>
  <c r="G85" i="7"/>
  <c r="H85" i="7"/>
  <c r="A84" i="8"/>
  <c r="F84" i="8" l="1"/>
  <c r="G84" i="8"/>
  <c r="E84" i="8"/>
  <c r="C84" i="8"/>
  <c r="D84" i="8"/>
  <c r="E114" i="21"/>
  <c r="J114" i="21"/>
  <c r="A115" i="21"/>
  <c r="F114" i="21"/>
  <c r="D114" i="21"/>
  <c r="C114" i="21"/>
  <c r="I113" i="21"/>
  <c r="D86" i="7"/>
  <c r="E86" i="7"/>
  <c r="A87" i="7"/>
  <c r="G86" i="7"/>
  <c r="H86" i="7"/>
  <c r="A85" i="8"/>
  <c r="G85" i="8" l="1"/>
  <c r="F85" i="8"/>
  <c r="C85" i="8"/>
  <c r="D85" i="8"/>
  <c r="E85" i="8"/>
  <c r="E115" i="21"/>
  <c r="J115" i="21"/>
  <c r="I114" i="21"/>
  <c r="F115" i="21"/>
  <c r="D115" i="21"/>
  <c r="C115" i="21"/>
  <c r="A116" i="21"/>
  <c r="D87" i="7"/>
  <c r="E87" i="7"/>
  <c r="A88" i="7"/>
  <c r="H87" i="7"/>
  <c r="G87" i="7"/>
  <c r="A86" i="8"/>
  <c r="G86" i="8" l="1"/>
  <c r="F86" i="8"/>
  <c r="E86" i="8"/>
  <c r="C86" i="8"/>
  <c r="D86" i="8"/>
  <c r="E116" i="21"/>
  <c r="J116" i="21"/>
  <c r="A117" i="21"/>
  <c r="F116" i="21"/>
  <c r="D116" i="21"/>
  <c r="C116" i="21"/>
  <c r="I115" i="21"/>
  <c r="D88" i="7"/>
  <c r="E88" i="7"/>
  <c r="A89" i="7"/>
  <c r="G88" i="7"/>
  <c r="H88" i="7"/>
  <c r="A87" i="8"/>
  <c r="G87" i="8" l="1"/>
  <c r="F87" i="8"/>
  <c r="E87" i="8"/>
  <c r="C87" i="8"/>
  <c r="D87" i="8"/>
  <c r="E117" i="21"/>
  <c r="J117" i="21"/>
  <c r="I116" i="21"/>
  <c r="F117" i="21"/>
  <c r="D117" i="21"/>
  <c r="C117" i="21"/>
  <c r="A118" i="21"/>
  <c r="D89" i="7"/>
  <c r="E89" i="7"/>
  <c r="A90" i="7"/>
  <c r="G89" i="7"/>
  <c r="H89" i="7"/>
  <c r="A88" i="8"/>
  <c r="G88" i="8" l="1"/>
  <c r="F88" i="8"/>
  <c r="D88" i="8"/>
  <c r="E88" i="8"/>
  <c r="C88" i="8"/>
  <c r="E118" i="21"/>
  <c r="J118" i="21"/>
  <c r="A119" i="21"/>
  <c r="F118" i="21"/>
  <c r="D118" i="21"/>
  <c r="C118" i="21"/>
  <c r="I117" i="21"/>
  <c r="E90" i="7"/>
  <c r="D90" i="7"/>
  <c r="A91" i="7"/>
  <c r="G90" i="7"/>
  <c r="H90" i="7"/>
  <c r="A89" i="8"/>
  <c r="G89" i="8" l="1"/>
  <c r="F89" i="8"/>
  <c r="E89" i="8"/>
  <c r="D89" i="8"/>
  <c r="C89" i="8"/>
  <c r="E119" i="21"/>
  <c r="J119" i="21"/>
  <c r="A120" i="21"/>
  <c r="F119" i="21"/>
  <c r="D119" i="21"/>
  <c r="C119" i="21"/>
  <c r="I118" i="21"/>
  <c r="E91" i="7"/>
  <c r="D91" i="7"/>
  <c r="A92" i="7"/>
  <c r="G91" i="7"/>
  <c r="H91" i="7"/>
  <c r="A90" i="8"/>
  <c r="F90" i="8" l="1"/>
  <c r="G90" i="8"/>
  <c r="D90" i="8"/>
  <c r="E90" i="8"/>
  <c r="C90" i="8"/>
  <c r="E120" i="21"/>
  <c r="J120" i="21"/>
  <c r="F120" i="21"/>
  <c r="D120" i="21"/>
  <c r="C120" i="21"/>
  <c r="A121" i="21"/>
  <c r="I119" i="21"/>
  <c r="E92" i="7"/>
  <c r="D92" i="7"/>
  <c r="A93" i="7"/>
  <c r="H92" i="7"/>
  <c r="G92" i="7"/>
  <c r="A91" i="8"/>
  <c r="F91" i="8" l="1"/>
  <c r="G91" i="8"/>
  <c r="D91" i="8"/>
  <c r="E91" i="8"/>
  <c r="C91" i="8"/>
  <c r="E121" i="21"/>
  <c r="J121" i="21"/>
  <c r="A122" i="21"/>
  <c r="F121" i="21"/>
  <c r="D121" i="21"/>
  <c r="C121" i="21"/>
  <c r="I120" i="21"/>
  <c r="E93" i="7"/>
  <c r="D93" i="7"/>
  <c r="A94" i="7"/>
  <c r="G93" i="7"/>
  <c r="H93" i="7"/>
  <c r="A92" i="8"/>
  <c r="F92" i="8" l="1"/>
  <c r="G92" i="8"/>
  <c r="E92" i="8"/>
  <c r="C92" i="8"/>
  <c r="D92" i="8"/>
  <c r="E122" i="21"/>
  <c r="J122" i="21"/>
  <c r="F122" i="21"/>
  <c r="D122" i="21"/>
  <c r="C122" i="21"/>
  <c r="A123" i="21"/>
  <c r="I121" i="21"/>
  <c r="E94" i="7"/>
  <c r="D94" i="7"/>
  <c r="A95" i="7"/>
  <c r="H94" i="7"/>
  <c r="G94" i="7"/>
  <c r="A93" i="8"/>
  <c r="G93" i="8" l="1"/>
  <c r="F93" i="8"/>
  <c r="D93" i="8"/>
  <c r="E93" i="8"/>
  <c r="C93" i="8"/>
  <c r="E123" i="21"/>
  <c r="J123" i="21"/>
  <c r="I122" i="21"/>
  <c r="A124" i="21"/>
  <c r="F123" i="21"/>
  <c r="D123" i="21"/>
  <c r="C123" i="21"/>
  <c r="A94" i="8"/>
  <c r="E95" i="7"/>
  <c r="D95" i="7"/>
  <c r="A96" i="7"/>
  <c r="G95" i="7"/>
  <c r="H95" i="7"/>
  <c r="F94" i="8" l="1"/>
  <c r="G94" i="8"/>
  <c r="E94" i="8"/>
  <c r="D94" i="8"/>
  <c r="C94" i="8"/>
  <c r="E124" i="21"/>
  <c r="J124" i="21"/>
  <c r="F124" i="21"/>
  <c r="D124" i="21"/>
  <c r="C124" i="21"/>
  <c r="A125" i="21"/>
  <c r="I123" i="21"/>
  <c r="A95" i="8"/>
  <c r="D96" i="7"/>
  <c r="E96" i="7"/>
  <c r="A97" i="7"/>
  <c r="H96" i="7"/>
  <c r="G96" i="7"/>
  <c r="G95" i="8" l="1"/>
  <c r="F95" i="8"/>
  <c r="C95" i="8"/>
  <c r="D95" i="8"/>
  <c r="E95" i="8"/>
  <c r="E125" i="21"/>
  <c r="J125" i="21"/>
  <c r="F125" i="21"/>
  <c r="D125" i="21"/>
  <c r="C125" i="21"/>
  <c r="A126" i="21"/>
  <c r="I124" i="21"/>
  <c r="A96" i="8"/>
  <c r="D97" i="7"/>
  <c r="E97" i="7"/>
  <c r="A98" i="7"/>
  <c r="G97" i="7"/>
  <c r="H97" i="7"/>
  <c r="F96" i="8" l="1"/>
  <c r="G96" i="8"/>
  <c r="C96" i="8"/>
  <c r="E96" i="8"/>
  <c r="D96" i="8"/>
  <c r="E126" i="21"/>
  <c r="J126" i="21"/>
  <c r="A127" i="21"/>
  <c r="F126" i="21"/>
  <c r="D126" i="21"/>
  <c r="C126" i="21"/>
  <c r="I125" i="21"/>
  <c r="A97" i="8"/>
  <c r="D98" i="7"/>
  <c r="E98" i="7"/>
  <c r="A99" i="7"/>
  <c r="G98" i="7"/>
  <c r="H98" i="7"/>
  <c r="G97" i="8" l="1"/>
  <c r="F97" i="8"/>
  <c r="C97" i="8"/>
  <c r="E97" i="8"/>
  <c r="D97" i="8"/>
  <c r="E127" i="21"/>
  <c r="J127" i="21"/>
  <c r="I126" i="21"/>
  <c r="F127" i="21"/>
  <c r="D127" i="21"/>
  <c r="C127" i="21"/>
  <c r="A128" i="21"/>
  <c r="A98" i="8"/>
  <c r="D99" i="7"/>
  <c r="E99" i="7"/>
  <c r="A100" i="7"/>
  <c r="G99" i="7"/>
  <c r="H99" i="7"/>
  <c r="G98" i="8" l="1"/>
  <c r="F98" i="8"/>
  <c r="E98" i="8"/>
  <c r="C98" i="8"/>
  <c r="D98" i="8"/>
  <c r="E128" i="21"/>
  <c r="J128" i="21"/>
  <c r="F128" i="21"/>
  <c r="D128" i="21"/>
  <c r="C128" i="21"/>
  <c r="A129" i="21"/>
  <c r="I127" i="21"/>
  <c r="A99" i="8"/>
  <c r="E100" i="7"/>
  <c r="D100" i="7"/>
  <c r="A101" i="7"/>
  <c r="G100" i="7"/>
  <c r="H100" i="7"/>
  <c r="F99" i="8" l="1"/>
  <c r="G99" i="8"/>
  <c r="C99" i="8"/>
  <c r="E99" i="8"/>
  <c r="D99" i="8"/>
  <c r="E129" i="21"/>
  <c r="J129" i="21"/>
  <c r="I128" i="21"/>
  <c r="A130" i="21"/>
  <c r="F129" i="21"/>
  <c r="D129" i="21"/>
  <c r="C129" i="21"/>
  <c r="A100" i="8"/>
  <c r="D101" i="7"/>
  <c r="E101" i="7"/>
  <c r="A102" i="7"/>
  <c r="G101" i="7"/>
  <c r="H101" i="7"/>
  <c r="F100" i="8" l="1"/>
  <c r="G100" i="8"/>
  <c r="D100" i="8"/>
  <c r="C100" i="8"/>
  <c r="E100" i="8"/>
  <c r="E130" i="21"/>
  <c r="J130" i="21"/>
  <c r="A131" i="21"/>
  <c r="F130" i="21"/>
  <c r="D130" i="21"/>
  <c r="C130" i="21"/>
  <c r="I129" i="21"/>
  <c r="A101" i="8"/>
  <c r="E102" i="7"/>
  <c r="D102" i="7"/>
  <c r="A103" i="7"/>
  <c r="G102" i="7"/>
  <c r="H102" i="7"/>
  <c r="F101" i="8" l="1"/>
  <c r="G101" i="8"/>
  <c r="D101" i="8"/>
  <c r="E101" i="8"/>
  <c r="C101" i="8"/>
  <c r="E131" i="21"/>
  <c r="J131" i="21"/>
  <c r="F131" i="21"/>
  <c r="D131" i="21"/>
  <c r="C131" i="21"/>
  <c r="A132" i="21"/>
  <c r="I130" i="21"/>
  <c r="A102" i="8"/>
  <c r="D103" i="7"/>
  <c r="E103" i="7"/>
  <c r="A104" i="7"/>
  <c r="G103" i="7"/>
  <c r="H103" i="7"/>
  <c r="G102" i="8" l="1"/>
  <c r="F102" i="8"/>
  <c r="E102" i="8"/>
  <c r="D102" i="8"/>
  <c r="C102" i="8"/>
  <c r="E132" i="21"/>
  <c r="J132" i="21"/>
  <c r="F132" i="21"/>
  <c r="D132" i="21"/>
  <c r="C132" i="21"/>
  <c r="A133" i="21"/>
  <c r="I131" i="21"/>
  <c r="A103" i="8"/>
  <c r="D104" i="7"/>
  <c r="E104" i="7"/>
  <c r="A105" i="7"/>
  <c r="H104" i="7"/>
  <c r="G104" i="7"/>
  <c r="G103" i="8" l="1"/>
  <c r="F103" i="8"/>
  <c r="D103" i="8"/>
  <c r="C103" i="8"/>
  <c r="E103" i="8"/>
  <c r="E133" i="21"/>
  <c r="J133" i="21"/>
  <c r="I132" i="21"/>
  <c r="A134" i="21"/>
  <c r="F133" i="21"/>
  <c r="D133" i="21"/>
  <c r="C133" i="21"/>
  <c r="A104" i="8"/>
  <c r="E105" i="7"/>
  <c r="D105" i="7"/>
  <c r="A106" i="7"/>
  <c r="G105" i="7"/>
  <c r="H105" i="7"/>
  <c r="F104" i="8" l="1"/>
  <c r="G104" i="8"/>
  <c r="C104" i="8"/>
  <c r="D104" i="8"/>
  <c r="E104" i="8"/>
  <c r="E134" i="21"/>
  <c r="J134" i="21"/>
  <c r="F134" i="21"/>
  <c r="D134" i="21"/>
  <c r="C134" i="21"/>
  <c r="A135" i="21"/>
  <c r="I133" i="21"/>
  <c r="A105" i="8"/>
  <c r="D106" i="7"/>
  <c r="E106" i="7"/>
  <c r="A107" i="7"/>
  <c r="G106" i="7"/>
  <c r="H106" i="7"/>
  <c r="F105" i="8" l="1"/>
  <c r="G105" i="8"/>
  <c r="C105" i="8"/>
  <c r="D105" i="8"/>
  <c r="E105" i="8"/>
  <c r="E135" i="21"/>
  <c r="J135" i="21"/>
  <c r="F135" i="21"/>
  <c r="D135" i="21"/>
  <c r="C135" i="21"/>
  <c r="A136" i="21"/>
  <c r="I134" i="21"/>
  <c r="A106" i="8"/>
  <c r="E107" i="7"/>
  <c r="D107" i="7"/>
  <c r="A108" i="7"/>
  <c r="H107" i="7"/>
  <c r="G107" i="7"/>
  <c r="G106" i="8" l="1"/>
  <c r="F106" i="8"/>
  <c r="C106" i="8"/>
  <c r="D106" i="8"/>
  <c r="E106" i="8"/>
  <c r="E136" i="21"/>
  <c r="J136" i="21"/>
  <c r="A137" i="21"/>
  <c r="F136" i="21"/>
  <c r="D136" i="21"/>
  <c r="C136" i="21"/>
  <c r="I135" i="21"/>
  <c r="A107" i="8"/>
  <c r="E108" i="7"/>
  <c r="D108" i="7"/>
  <c r="A109" i="7"/>
  <c r="H108" i="7"/>
  <c r="G108" i="7"/>
  <c r="F107" i="8" l="1"/>
  <c r="G107" i="8"/>
  <c r="C107" i="8"/>
  <c r="D107" i="8"/>
  <c r="E107" i="8"/>
  <c r="E137" i="21"/>
  <c r="J137" i="21"/>
  <c r="I136" i="21"/>
  <c r="F137" i="21"/>
  <c r="D137" i="21"/>
  <c r="C137" i="21"/>
  <c r="A138" i="21"/>
  <c r="A108" i="8"/>
  <c r="E109" i="7"/>
  <c r="D109" i="7"/>
  <c r="A110" i="7"/>
  <c r="G109" i="7"/>
  <c r="H109" i="7"/>
  <c r="G108" i="8" l="1"/>
  <c r="F108" i="8"/>
  <c r="E108" i="8"/>
  <c r="D108" i="8"/>
  <c r="C108" i="8"/>
  <c r="E138" i="21"/>
  <c r="J138" i="21"/>
  <c r="I137" i="21"/>
  <c r="A139" i="21"/>
  <c r="F138" i="21"/>
  <c r="D138" i="21"/>
  <c r="C138" i="21"/>
  <c r="A109" i="8"/>
  <c r="E110" i="7"/>
  <c r="D110" i="7"/>
  <c r="A111" i="7"/>
  <c r="G110" i="7"/>
  <c r="H110" i="7"/>
  <c r="F109" i="8" l="1"/>
  <c r="G109" i="8"/>
  <c r="D109" i="8"/>
  <c r="C109" i="8"/>
  <c r="E109" i="8"/>
  <c r="E139" i="21"/>
  <c r="J139" i="21"/>
  <c r="A140" i="21"/>
  <c r="F139" i="21"/>
  <c r="D139" i="21"/>
  <c r="C139" i="21"/>
  <c r="I138" i="21"/>
  <c r="A110" i="8"/>
  <c r="E111" i="7"/>
  <c r="D111" i="7"/>
  <c r="A112" i="7"/>
  <c r="G111" i="7"/>
  <c r="H111" i="7"/>
  <c r="F110" i="8" l="1"/>
  <c r="G110" i="8"/>
  <c r="D110" i="8"/>
  <c r="C110" i="8"/>
  <c r="E110" i="8"/>
  <c r="E140" i="21"/>
  <c r="J140" i="21"/>
  <c r="F140" i="21"/>
  <c r="D140" i="21"/>
  <c r="C140" i="21"/>
  <c r="A141" i="21"/>
  <c r="I139" i="21"/>
  <c r="A111" i="8"/>
  <c r="D112" i="7"/>
  <c r="E112" i="7"/>
  <c r="A113" i="7"/>
  <c r="G112" i="7"/>
  <c r="H112" i="7"/>
  <c r="G111" i="8" l="1"/>
  <c r="F111" i="8"/>
  <c r="C111" i="8"/>
  <c r="E111" i="8"/>
  <c r="D111" i="8"/>
  <c r="E141" i="21"/>
  <c r="J141" i="21"/>
  <c r="F141" i="21"/>
  <c r="D141" i="21"/>
  <c r="C141" i="21"/>
  <c r="A142" i="21"/>
  <c r="I140" i="21"/>
  <c r="A112" i="8"/>
  <c r="E113" i="7"/>
  <c r="D113" i="7"/>
  <c r="A114" i="7"/>
  <c r="H113" i="7"/>
  <c r="G113" i="7"/>
  <c r="F112" i="8" l="1"/>
  <c r="G112" i="8"/>
  <c r="C112" i="8"/>
  <c r="D112" i="8"/>
  <c r="E112" i="8"/>
  <c r="E142" i="21"/>
  <c r="J142" i="21"/>
  <c r="A143" i="21"/>
  <c r="F142" i="21"/>
  <c r="D142" i="21"/>
  <c r="C142" i="21"/>
  <c r="I141" i="21"/>
  <c r="A113" i="8"/>
  <c r="E114" i="7"/>
  <c r="D114" i="7"/>
  <c r="A115" i="7"/>
  <c r="G114" i="7"/>
  <c r="H114" i="7"/>
  <c r="G113" i="8" l="1"/>
  <c r="F113" i="8"/>
  <c r="C113" i="8"/>
  <c r="E113" i="8"/>
  <c r="D113" i="8"/>
  <c r="E143" i="21"/>
  <c r="J143" i="21"/>
  <c r="I142" i="21"/>
  <c r="F143" i="21"/>
  <c r="D143" i="21"/>
  <c r="C143" i="21"/>
  <c r="A144" i="21"/>
  <c r="A114" i="8"/>
  <c r="D115" i="7"/>
  <c r="E115" i="7"/>
  <c r="A116" i="7"/>
  <c r="H115" i="7"/>
  <c r="G115" i="7"/>
  <c r="F114" i="8" l="1"/>
  <c r="G114" i="8"/>
  <c r="E114" i="8"/>
  <c r="C114" i="8"/>
  <c r="D114" i="8"/>
  <c r="E144" i="21"/>
  <c r="J144" i="21"/>
  <c r="I143" i="21"/>
  <c r="F144" i="21"/>
  <c r="D144" i="21"/>
  <c r="C144" i="21"/>
  <c r="A145" i="21"/>
  <c r="A115" i="8"/>
  <c r="D116" i="7"/>
  <c r="E116" i="7"/>
  <c r="A117" i="7"/>
  <c r="G116" i="7"/>
  <c r="H116" i="7"/>
  <c r="G115" i="8" l="1"/>
  <c r="F115" i="8"/>
  <c r="E115" i="8"/>
  <c r="C115" i="8"/>
  <c r="D115" i="8"/>
  <c r="E145" i="21"/>
  <c r="J145" i="21"/>
  <c r="F145" i="21"/>
  <c r="D145" i="21"/>
  <c r="C145" i="21"/>
  <c r="A146" i="21"/>
  <c r="I144" i="21"/>
  <c r="A116" i="8"/>
  <c r="E117" i="7"/>
  <c r="D117" i="7"/>
  <c r="A118" i="7"/>
  <c r="G117" i="7"/>
  <c r="H117" i="7"/>
  <c r="F116" i="8" l="1"/>
  <c r="G116" i="8"/>
  <c r="C116" i="8"/>
  <c r="D116" i="8"/>
  <c r="E116" i="8"/>
  <c r="E146" i="21"/>
  <c r="J146" i="21"/>
  <c r="I145" i="21"/>
  <c r="A147" i="21"/>
  <c r="F146" i="21"/>
  <c r="D146" i="21"/>
  <c r="C146" i="21"/>
  <c r="A117" i="8"/>
  <c r="E118" i="7"/>
  <c r="D118" i="7"/>
  <c r="A119" i="7"/>
  <c r="G118" i="7"/>
  <c r="H118" i="7"/>
  <c r="G117" i="8" l="1"/>
  <c r="F117" i="8"/>
  <c r="E117" i="8"/>
  <c r="D117" i="8"/>
  <c r="C117" i="8"/>
  <c r="E147" i="21"/>
  <c r="J147" i="21"/>
  <c r="F147" i="21"/>
  <c r="D147" i="21"/>
  <c r="C147" i="21"/>
  <c r="A148" i="21"/>
  <c r="I146" i="21"/>
  <c r="A118" i="8"/>
  <c r="E119" i="7"/>
  <c r="D119" i="7"/>
  <c r="A120" i="7"/>
  <c r="G119" i="7"/>
  <c r="H119" i="7"/>
  <c r="G118" i="8" l="1"/>
  <c r="F118" i="8"/>
  <c r="C118" i="8"/>
  <c r="D118" i="8"/>
  <c r="E118" i="8"/>
  <c r="E148" i="21"/>
  <c r="J148" i="21"/>
  <c r="A149" i="21"/>
  <c r="F148" i="21"/>
  <c r="D148" i="21"/>
  <c r="C148" i="21"/>
  <c r="I147" i="21"/>
  <c r="A119" i="8"/>
  <c r="E120" i="7"/>
  <c r="D120" i="7"/>
  <c r="A121" i="7"/>
  <c r="G120" i="7"/>
  <c r="H120" i="7"/>
  <c r="G119" i="8" l="1"/>
  <c r="F119" i="8"/>
  <c r="D119" i="8"/>
  <c r="E119" i="8"/>
  <c r="C119" i="8"/>
  <c r="E149" i="21"/>
  <c r="J149" i="21"/>
  <c r="F149" i="21"/>
  <c r="D149" i="21"/>
  <c r="C149" i="21"/>
  <c r="A150" i="21"/>
  <c r="I148" i="21"/>
  <c r="A120" i="8"/>
  <c r="E121" i="7"/>
  <c r="D121" i="7"/>
  <c r="A122" i="7"/>
  <c r="H121" i="7"/>
  <c r="G121" i="7"/>
  <c r="F120" i="8" l="1"/>
  <c r="G120" i="8"/>
  <c r="C120" i="8"/>
  <c r="E120" i="8"/>
  <c r="D120" i="8"/>
  <c r="E150" i="21"/>
  <c r="J150" i="21"/>
  <c r="A151" i="21"/>
  <c r="F150" i="21"/>
  <c r="D150" i="21"/>
  <c r="C150" i="21"/>
  <c r="I149" i="21"/>
  <c r="A121" i="8"/>
  <c r="D122" i="7"/>
  <c r="E122" i="7"/>
  <c r="A123" i="7"/>
  <c r="H122" i="7"/>
  <c r="G122" i="7"/>
  <c r="F121" i="8" l="1"/>
  <c r="G121" i="8"/>
  <c r="E121" i="8"/>
  <c r="C121" i="8"/>
  <c r="D121" i="8"/>
  <c r="E151" i="21"/>
  <c r="J151" i="21"/>
  <c r="F151" i="21"/>
  <c r="D151" i="21"/>
  <c r="C151" i="21"/>
  <c r="A152" i="21"/>
  <c r="I150" i="21"/>
  <c r="A122" i="8"/>
  <c r="E123" i="7"/>
  <c r="D123" i="7"/>
  <c r="A124" i="7"/>
  <c r="H123" i="7"/>
  <c r="G123" i="7"/>
  <c r="F122" i="8" l="1"/>
  <c r="G122" i="8"/>
  <c r="C122" i="8"/>
  <c r="E122" i="8"/>
  <c r="D122" i="8"/>
  <c r="E152" i="21"/>
  <c r="J152" i="21"/>
  <c r="I151" i="21"/>
  <c r="A153" i="21"/>
  <c r="F152" i="21"/>
  <c r="D152" i="21"/>
  <c r="C152" i="21"/>
  <c r="A123" i="8"/>
  <c r="E124" i="7"/>
  <c r="D124" i="7"/>
  <c r="A125" i="7"/>
  <c r="A126" i="7" s="1"/>
  <c r="H124" i="7"/>
  <c r="G124" i="7"/>
  <c r="G123" i="8" l="1"/>
  <c r="F123" i="8"/>
  <c r="E123" i="8"/>
  <c r="C123" i="8"/>
  <c r="D123" i="8"/>
  <c r="E153" i="21"/>
  <c r="J153" i="21"/>
  <c r="A124" i="8"/>
  <c r="A127" i="7"/>
  <c r="H126" i="7"/>
  <c r="G126" i="7"/>
  <c r="D126" i="7"/>
  <c r="E126" i="7"/>
  <c r="I152" i="21"/>
  <c r="F153" i="21"/>
  <c r="D153" i="21"/>
  <c r="C153" i="21"/>
  <c r="A154" i="21"/>
  <c r="D125" i="7"/>
  <c r="E125" i="7"/>
  <c r="G125" i="7"/>
  <c r="H125" i="7"/>
  <c r="F124" i="8" l="1"/>
  <c r="G124" i="8"/>
  <c r="D124" i="8"/>
  <c r="E124" i="8"/>
  <c r="C124" i="8"/>
  <c r="E154" i="21"/>
  <c r="J154" i="21"/>
  <c r="A125" i="8"/>
  <c r="E127" i="7"/>
  <c r="H127" i="7"/>
  <c r="D127" i="7"/>
  <c r="G127" i="7"/>
  <c r="A128" i="7"/>
  <c r="A155" i="21"/>
  <c r="F154" i="21"/>
  <c r="D154" i="21"/>
  <c r="C154" i="21"/>
  <c r="I153" i="21"/>
  <c r="F125" i="8" l="1"/>
  <c r="G125" i="8"/>
  <c r="D125" i="8"/>
  <c r="E125" i="8"/>
  <c r="C125" i="8"/>
  <c r="E155" i="21"/>
  <c r="J155" i="21"/>
  <c r="A126" i="8"/>
  <c r="D128" i="7"/>
  <c r="E128" i="7"/>
  <c r="H128" i="7"/>
  <c r="G128" i="7"/>
  <c r="A129" i="7"/>
  <c r="F155" i="21"/>
  <c r="D155" i="21"/>
  <c r="C155" i="21"/>
  <c r="A156" i="21"/>
  <c r="I154" i="21"/>
  <c r="G126" i="8" l="1"/>
  <c r="F126" i="8"/>
  <c r="D126" i="8"/>
  <c r="E126" i="8"/>
  <c r="C126" i="8"/>
  <c r="E156" i="21"/>
  <c r="J156" i="21"/>
  <c r="A127" i="8"/>
  <c r="E129" i="7"/>
  <c r="H129" i="7"/>
  <c r="D129" i="7"/>
  <c r="G129" i="7"/>
  <c r="A130" i="7"/>
  <c r="F156" i="21"/>
  <c r="D156" i="21"/>
  <c r="C156" i="21"/>
  <c r="A157" i="21"/>
  <c r="I155" i="21"/>
  <c r="C56" i="4"/>
  <c r="C57" i="4"/>
  <c r="D57" i="4" s="1"/>
  <c r="F127" i="8" l="1"/>
  <c r="G127" i="8"/>
  <c r="C127" i="8"/>
  <c r="E127" i="8"/>
  <c r="D127" i="8"/>
  <c r="E157" i="21"/>
  <c r="J157" i="21"/>
  <c r="A128" i="8"/>
  <c r="E130" i="7"/>
  <c r="G130" i="7"/>
  <c r="H130" i="7"/>
  <c r="D130" i="7"/>
  <c r="A131" i="7"/>
  <c r="F157" i="21"/>
  <c r="D157" i="21"/>
  <c r="C157" i="21"/>
  <c r="A158" i="21"/>
  <c r="I156" i="21"/>
  <c r="E56" i="4"/>
  <c r="D56" i="4"/>
  <c r="F56" i="4"/>
  <c r="E57" i="4"/>
  <c r="F57" i="4"/>
  <c r="E23" i="13"/>
  <c r="C23" i="11" s="1"/>
  <c r="B23" i="11"/>
  <c r="F23" i="13"/>
  <c r="D23" i="11" s="1"/>
  <c r="C58" i="4"/>
  <c r="E58" i="4" s="1"/>
  <c r="F23" i="11"/>
  <c r="F43" i="11" s="1"/>
  <c r="G128" i="8" l="1"/>
  <c r="F128" i="8"/>
  <c r="E128" i="8"/>
  <c r="C128" i="8"/>
  <c r="D128" i="8"/>
  <c r="E158" i="21"/>
  <c r="J158" i="21"/>
  <c r="A129" i="8"/>
  <c r="D131" i="7"/>
  <c r="G131" i="7"/>
  <c r="H131" i="7"/>
  <c r="E131" i="7"/>
  <c r="A132" i="7"/>
  <c r="A159" i="21"/>
  <c r="F158" i="21"/>
  <c r="D158" i="21"/>
  <c r="C158" i="21"/>
  <c r="I157" i="21"/>
  <c r="D58" i="4"/>
  <c r="F58" i="4"/>
  <c r="F129" i="8" l="1"/>
  <c r="G129" i="8"/>
  <c r="D129" i="8"/>
  <c r="E129" i="8"/>
  <c r="C129" i="8"/>
  <c r="E159" i="21"/>
  <c r="J159" i="21"/>
  <c r="A130" i="8"/>
  <c r="G132" i="7"/>
  <c r="D132" i="7"/>
  <c r="H132" i="7"/>
  <c r="E132" i="7"/>
  <c r="A133" i="7"/>
  <c r="F159" i="21"/>
  <c r="D159" i="21"/>
  <c r="C159" i="21"/>
  <c r="A160" i="21"/>
  <c r="I158" i="21"/>
  <c r="G130" i="8" l="1"/>
  <c r="F130" i="8"/>
  <c r="C130" i="8"/>
  <c r="E130" i="8"/>
  <c r="D130" i="8"/>
  <c r="E160" i="21"/>
  <c r="J160" i="21"/>
  <c r="A131" i="8"/>
  <c r="G133" i="7"/>
  <c r="H133" i="7"/>
  <c r="D133" i="7"/>
  <c r="E133" i="7"/>
  <c r="A134" i="7"/>
  <c r="A161" i="21"/>
  <c r="F160" i="21"/>
  <c r="D160" i="21"/>
  <c r="C160" i="21"/>
  <c r="I159" i="21"/>
  <c r="G131" i="8" l="1"/>
  <c r="F131" i="8"/>
  <c r="E131" i="8"/>
  <c r="D131" i="8"/>
  <c r="C131" i="8"/>
  <c r="E161" i="21"/>
  <c r="J161" i="21"/>
  <c r="A132" i="8"/>
  <c r="D134" i="7"/>
  <c r="E134" i="7"/>
  <c r="G134" i="7"/>
  <c r="H134" i="7"/>
  <c r="A135" i="7"/>
  <c r="I160" i="21"/>
  <c r="F161" i="21"/>
  <c r="D161" i="21"/>
  <c r="C161" i="21"/>
  <c r="A162" i="21"/>
  <c r="F132" i="8" l="1"/>
  <c r="G132" i="8"/>
  <c r="E132" i="8"/>
  <c r="D132" i="8"/>
  <c r="C132" i="8"/>
  <c r="E162" i="21"/>
  <c r="J162" i="21"/>
  <c r="A133" i="8"/>
  <c r="D135" i="7"/>
  <c r="G135" i="7"/>
  <c r="H135" i="7"/>
  <c r="E135" i="7"/>
  <c r="A136" i="7"/>
  <c r="I161" i="21"/>
  <c r="F162" i="21"/>
  <c r="D162" i="21"/>
  <c r="C162" i="21"/>
  <c r="A163" i="21"/>
  <c r="G133" i="8" l="1"/>
  <c r="F133" i="8"/>
  <c r="D133" i="8"/>
  <c r="E133" i="8"/>
  <c r="C133" i="8"/>
  <c r="E163" i="21"/>
  <c r="J163" i="21"/>
  <c r="A134" i="8"/>
  <c r="E136" i="7"/>
  <c r="D136" i="7"/>
  <c r="G136" i="7"/>
  <c r="H136" i="7"/>
  <c r="A137" i="7"/>
  <c r="I162" i="21"/>
  <c r="A164" i="21"/>
  <c r="F163" i="21"/>
  <c r="D163" i="21"/>
  <c r="C163" i="21"/>
  <c r="G134" i="8" l="1"/>
  <c r="F134" i="8"/>
  <c r="E134" i="8"/>
  <c r="C134" i="8"/>
  <c r="D134" i="8"/>
  <c r="E164" i="21"/>
  <c r="J164" i="21"/>
  <c r="A135" i="8"/>
  <c r="D137" i="7"/>
  <c r="H137" i="7"/>
  <c r="G137" i="7"/>
  <c r="E137" i="7"/>
  <c r="A138" i="7"/>
  <c r="I163" i="21"/>
  <c r="F164" i="21"/>
  <c r="D164" i="21"/>
  <c r="C164" i="21"/>
  <c r="A165" i="21"/>
  <c r="F135" i="8" l="1"/>
  <c r="G135" i="8"/>
  <c r="C135" i="8"/>
  <c r="D135" i="8"/>
  <c r="E135" i="8"/>
  <c r="E165" i="21"/>
  <c r="J165" i="21"/>
  <c r="A136" i="8"/>
  <c r="H138" i="7"/>
  <c r="E138" i="7"/>
  <c r="D138" i="7"/>
  <c r="G138" i="7"/>
  <c r="A139" i="7"/>
  <c r="A166" i="21"/>
  <c r="F165" i="21"/>
  <c r="D165" i="21"/>
  <c r="C165" i="21"/>
  <c r="I164" i="21"/>
  <c r="G136" i="8" l="1"/>
  <c r="F136" i="8"/>
  <c r="E136" i="8"/>
  <c r="C136" i="8"/>
  <c r="D136" i="8"/>
  <c r="E166" i="21"/>
  <c r="J166" i="21"/>
  <c r="A137" i="8"/>
  <c r="H139" i="7"/>
  <c r="D139" i="7"/>
  <c r="E139" i="7"/>
  <c r="G139" i="7"/>
  <c r="A140" i="7"/>
  <c r="F166" i="21"/>
  <c r="D166" i="21"/>
  <c r="C166" i="21"/>
  <c r="A167" i="21"/>
  <c r="I165" i="21"/>
  <c r="G137" i="8" l="1"/>
  <c r="F137" i="8"/>
  <c r="D137" i="8"/>
  <c r="C137" i="8"/>
  <c r="E137" i="8"/>
  <c r="E167" i="21"/>
  <c r="J167" i="21"/>
  <c r="A138" i="8"/>
  <c r="D140" i="7"/>
  <c r="H140" i="7"/>
  <c r="G140" i="7"/>
  <c r="E140" i="7"/>
  <c r="A141" i="7"/>
  <c r="I166" i="21"/>
  <c r="A168" i="21"/>
  <c r="F167" i="21"/>
  <c r="D167" i="21"/>
  <c r="C167" i="21"/>
  <c r="F138" i="8" l="1"/>
  <c r="G138" i="8"/>
  <c r="C138" i="8"/>
  <c r="E138" i="8"/>
  <c r="D138" i="8"/>
  <c r="E168" i="21"/>
  <c r="J168" i="21"/>
  <c r="A139" i="8"/>
  <c r="D141" i="7"/>
  <c r="E141" i="7"/>
  <c r="H141" i="7"/>
  <c r="G141" i="7"/>
  <c r="A142" i="7"/>
  <c r="I167" i="21"/>
  <c r="F168" i="21"/>
  <c r="D168" i="21"/>
  <c r="C168" i="21"/>
  <c r="A169" i="21"/>
  <c r="G139" i="8" l="1"/>
  <c r="F139" i="8"/>
  <c r="C139" i="8"/>
  <c r="D139" i="8"/>
  <c r="E139" i="8"/>
  <c r="E169" i="21"/>
  <c r="J169" i="21"/>
  <c r="A140" i="8"/>
  <c r="E142" i="7"/>
  <c r="G142" i="7"/>
  <c r="D142" i="7"/>
  <c r="H142" i="7"/>
  <c r="A143" i="7"/>
  <c r="I168" i="21"/>
  <c r="F169" i="21"/>
  <c r="D169" i="21"/>
  <c r="C169" i="21"/>
  <c r="A170" i="21"/>
  <c r="G140" i="8" l="1"/>
  <c r="F140" i="8"/>
  <c r="E140" i="8"/>
  <c r="C140" i="8"/>
  <c r="D140" i="8"/>
  <c r="E170" i="21"/>
  <c r="J170" i="21"/>
  <c r="A141" i="8"/>
  <c r="G143" i="7"/>
  <c r="H143" i="7"/>
  <c r="D143" i="7"/>
  <c r="E143" i="7"/>
  <c r="A144" i="7"/>
  <c r="I169" i="21"/>
  <c r="A171" i="21"/>
  <c r="F170" i="21"/>
  <c r="D170" i="21"/>
  <c r="C170" i="21"/>
  <c r="G141" i="8" l="1"/>
  <c r="F141" i="8"/>
  <c r="E141" i="8"/>
  <c r="D141" i="8"/>
  <c r="C141" i="8"/>
  <c r="E171" i="21"/>
  <c r="J171" i="21"/>
  <c r="A142" i="8"/>
  <c r="E144" i="7"/>
  <c r="D144" i="7"/>
  <c r="H144" i="7"/>
  <c r="G144" i="7"/>
  <c r="A145" i="7"/>
  <c r="I170" i="21"/>
  <c r="F171" i="21"/>
  <c r="D171" i="21"/>
  <c r="C171" i="21"/>
  <c r="A172" i="21"/>
  <c r="F142" i="8" l="1"/>
  <c r="G142" i="8"/>
  <c r="E142" i="8"/>
  <c r="C142" i="8"/>
  <c r="D142" i="8"/>
  <c r="E172" i="21"/>
  <c r="J172" i="21"/>
  <c r="A143" i="8"/>
  <c r="H145" i="7"/>
  <c r="E145" i="7"/>
  <c r="G145" i="7"/>
  <c r="D145" i="7"/>
  <c r="A146" i="7"/>
  <c r="I171" i="21"/>
  <c r="F172" i="21"/>
  <c r="D172" i="21"/>
  <c r="C172" i="21"/>
  <c r="A173" i="21"/>
  <c r="F143" i="8" l="1"/>
  <c r="G143" i="8"/>
  <c r="D143" i="8"/>
  <c r="C143" i="8"/>
  <c r="E143" i="8"/>
  <c r="E173" i="21"/>
  <c r="J173" i="21"/>
  <c r="A144" i="8"/>
  <c r="G146" i="7"/>
  <c r="E146" i="7"/>
  <c r="H146" i="7"/>
  <c r="D146" i="7"/>
  <c r="A147" i="7"/>
  <c r="I172" i="21"/>
  <c r="F173" i="21"/>
  <c r="D173" i="21"/>
  <c r="C173" i="21"/>
  <c r="A174" i="21"/>
  <c r="G144" i="8" l="1"/>
  <c r="F144" i="8"/>
  <c r="D144" i="8"/>
  <c r="E144" i="8"/>
  <c r="C144" i="8"/>
  <c r="E174" i="21"/>
  <c r="J174" i="21"/>
  <c r="A145" i="8"/>
  <c r="H147" i="7"/>
  <c r="E147" i="7"/>
  <c r="G147" i="7"/>
  <c r="D147" i="7"/>
  <c r="A148" i="7"/>
  <c r="I173" i="21"/>
  <c r="A175" i="21"/>
  <c r="F174" i="21"/>
  <c r="D174" i="21"/>
  <c r="C174" i="21"/>
  <c r="G145" i="8" l="1"/>
  <c r="F145" i="8"/>
  <c r="C145" i="8"/>
  <c r="E145" i="8"/>
  <c r="D145" i="8"/>
  <c r="E175" i="21"/>
  <c r="J175" i="21"/>
  <c r="A146" i="8"/>
  <c r="H148" i="7"/>
  <c r="D148" i="7"/>
  <c r="E148" i="7"/>
  <c r="G148" i="7"/>
  <c r="A149" i="7"/>
  <c r="I174" i="21"/>
  <c r="F175" i="21"/>
  <c r="D175" i="21"/>
  <c r="C175" i="21"/>
  <c r="A176" i="21"/>
  <c r="G146" i="8" l="1"/>
  <c r="F146" i="8"/>
  <c r="C146" i="8"/>
  <c r="D146" i="8"/>
  <c r="E146" i="8"/>
  <c r="E176" i="21"/>
  <c r="J176" i="21"/>
  <c r="A147" i="8"/>
  <c r="D149" i="7"/>
  <c r="H149" i="7"/>
  <c r="E149" i="7"/>
  <c r="G149" i="7"/>
  <c r="A150" i="7"/>
  <c r="I175" i="21"/>
  <c r="A177" i="21"/>
  <c r="F176" i="21"/>
  <c r="D176" i="21"/>
  <c r="C176" i="21"/>
  <c r="F147" i="8" l="1"/>
  <c r="G147" i="8"/>
  <c r="C147" i="8"/>
  <c r="E147" i="8"/>
  <c r="D147" i="8"/>
  <c r="E177" i="21"/>
  <c r="J177" i="21"/>
  <c r="A148" i="8"/>
  <c r="H150" i="7"/>
  <c r="G150" i="7"/>
  <c r="E150" i="7"/>
  <c r="D150" i="7"/>
  <c r="A151" i="7"/>
  <c r="I176" i="21"/>
  <c r="A178" i="21"/>
  <c r="F177" i="21"/>
  <c r="D177" i="21"/>
  <c r="C177" i="21"/>
  <c r="G148" i="8" l="1"/>
  <c r="F148" i="8"/>
  <c r="C148" i="8"/>
  <c r="D148" i="8"/>
  <c r="E148" i="8"/>
  <c r="E178" i="21"/>
  <c r="J178" i="21"/>
  <c r="A149" i="8"/>
  <c r="G151" i="7"/>
  <c r="E151" i="7"/>
  <c r="D151" i="7"/>
  <c r="H151" i="7"/>
  <c r="A152" i="7"/>
  <c r="F178" i="21"/>
  <c r="D178" i="21"/>
  <c r="C178" i="21"/>
  <c r="A179" i="21"/>
  <c r="I177" i="21"/>
  <c r="F149" i="8" l="1"/>
  <c r="G149" i="8"/>
  <c r="C149" i="8"/>
  <c r="E149" i="8"/>
  <c r="D149" i="8"/>
  <c r="E179" i="21"/>
  <c r="J179" i="21"/>
  <c r="A150" i="8"/>
  <c r="G152" i="7"/>
  <c r="H152" i="7"/>
  <c r="E152" i="7"/>
  <c r="D152" i="7"/>
  <c r="A153" i="7"/>
  <c r="I178" i="21"/>
  <c r="A180" i="21"/>
  <c r="F179" i="21"/>
  <c r="D179" i="21"/>
  <c r="C179" i="21"/>
  <c r="F150" i="8" l="1"/>
  <c r="G150" i="8"/>
  <c r="D150" i="8"/>
  <c r="E150" i="8"/>
  <c r="C150" i="8"/>
  <c r="E180" i="21"/>
  <c r="J180" i="21"/>
  <c r="A151" i="8"/>
  <c r="D153" i="7"/>
  <c r="E153" i="7"/>
  <c r="H153" i="7"/>
  <c r="G153" i="7"/>
  <c r="A154" i="7"/>
  <c r="F180" i="21"/>
  <c r="D180" i="21"/>
  <c r="C180" i="21"/>
  <c r="A181" i="21"/>
  <c r="I179" i="21"/>
  <c r="F151" i="8" l="1"/>
  <c r="G151" i="8"/>
  <c r="E151" i="8"/>
  <c r="C151" i="8"/>
  <c r="D151" i="8"/>
  <c r="E181" i="21"/>
  <c r="J181" i="21"/>
  <c r="A152" i="8"/>
  <c r="G154" i="7"/>
  <c r="D154" i="7"/>
  <c r="E154" i="7"/>
  <c r="H154" i="7"/>
  <c r="A155" i="7"/>
  <c r="F181" i="21"/>
  <c r="D181" i="21"/>
  <c r="C181" i="21"/>
  <c r="A182" i="21"/>
  <c r="I180" i="21"/>
  <c r="F152" i="8" l="1"/>
  <c r="G152" i="8"/>
  <c r="D152" i="8"/>
  <c r="E152" i="8"/>
  <c r="C152" i="8"/>
  <c r="E182" i="21"/>
  <c r="J182" i="21"/>
  <c r="A153" i="8"/>
  <c r="H155" i="7"/>
  <c r="G155" i="7"/>
  <c r="D155" i="7"/>
  <c r="E155" i="7"/>
  <c r="A156" i="7"/>
  <c r="A183" i="21"/>
  <c r="F182" i="21"/>
  <c r="D182" i="21"/>
  <c r="C182" i="21"/>
  <c r="I181" i="21"/>
  <c r="F153" i="8" l="1"/>
  <c r="G153" i="8"/>
  <c r="E153" i="8"/>
  <c r="D153" i="8"/>
  <c r="C153" i="8"/>
  <c r="E183" i="21"/>
  <c r="J183" i="21"/>
  <c r="A154" i="8"/>
  <c r="H156" i="7"/>
  <c r="G156" i="7"/>
  <c r="D156" i="7"/>
  <c r="E156" i="7"/>
  <c r="A157" i="7"/>
  <c r="I182" i="21"/>
  <c r="F183" i="21"/>
  <c r="D183" i="21"/>
  <c r="C183" i="21"/>
  <c r="A184" i="21"/>
  <c r="G154" i="8" l="1"/>
  <c r="F154" i="8"/>
  <c r="E154" i="8"/>
  <c r="C154" i="8"/>
  <c r="D154" i="8"/>
  <c r="E184" i="21"/>
  <c r="J184" i="21"/>
  <c r="A155" i="8"/>
  <c r="H157" i="7"/>
  <c r="E157" i="7"/>
  <c r="D157" i="7"/>
  <c r="G157" i="7"/>
  <c r="A158" i="7"/>
  <c r="I183" i="21"/>
  <c r="F184" i="21"/>
  <c r="D184" i="21"/>
  <c r="C184" i="21"/>
  <c r="A185" i="21"/>
  <c r="G155" i="8" l="1"/>
  <c r="F155" i="8"/>
  <c r="E155" i="8"/>
  <c r="D155" i="8"/>
  <c r="C155" i="8"/>
  <c r="E185" i="21"/>
  <c r="J185" i="21"/>
  <c r="A156" i="8"/>
  <c r="H158" i="7"/>
  <c r="G158" i="7"/>
  <c r="D158" i="7"/>
  <c r="E158" i="7"/>
  <c r="A159" i="7"/>
  <c r="I184" i="21"/>
  <c r="D185" i="21"/>
  <c r="A186" i="21"/>
  <c r="F185" i="21"/>
  <c r="C185" i="21"/>
  <c r="G156" i="8" l="1"/>
  <c r="F156" i="8"/>
  <c r="C156" i="8"/>
  <c r="D156" i="8"/>
  <c r="E156" i="8"/>
  <c r="E186" i="21"/>
  <c r="J186" i="21"/>
  <c r="A157" i="8"/>
  <c r="D159" i="7"/>
  <c r="H159" i="7"/>
  <c r="E159" i="7"/>
  <c r="G159" i="7"/>
  <c r="A160" i="7"/>
  <c r="I185" i="21"/>
  <c r="C186" i="21"/>
  <c r="F186" i="21"/>
  <c r="D186" i="21"/>
  <c r="A187" i="21"/>
  <c r="F157" i="8" l="1"/>
  <c r="G157" i="8"/>
  <c r="E157" i="8"/>
  <c r="C157" i="8"/>
  <c r="D157" i="8"/>
  <c r="E187" i="21"/>
  <c r="J187" i="21"/>
  <c r="A158" i="8"/>
  <c r="G160" i="7"/>
  <c r="H160" i="7"/>
  <c r="D160" i="7"/>
  <c r="E160" i="7"/>
  <c r="A161" i="7"/>
  <c r="F187" i="21"/>
  <c r="D187" i="21"/>
  <c r="A188" i="21"/>
  <c r="C187" i="21"/>
  <c r="I186" i="21"/>
  <c r="G158" i="8" l="1"/>
  <c r="F158" i="8"/>
  <c r="E158" i="8"/>
  <c r="C158" i="8"/>
  <c r="D158" i="8"/>
  <c r="E188" i="21"/>
  <c r="J188" i="21"/>
  <c r="A159" i="8"/>
  <c r="H161" i="7"/>
  <c r="G161" i="7"/>
  <c r="E161" i="7"/>
  <c r="D161" i="7"/>
  <c r="A162" i="7"/>
  <c r="I187" i="21"/>
  <c r="F188" i="21"/>
  <c r="D188" i="21"/>
  <c r="C188" i="21"/>
  <c r="A189" i="21"/>
  <c r="G159" i="8" l="1"/>
  <c r="F159" i="8"/>
  <c r="D159" i="8"/>
  <c r="E159" i="8"/>
  <c r="C159" i="8"/>
  <c r="E189" i="21"/>
  <c r="J189" i="21"/>
  <c r="A160" i="8"/>
  <c r="G162" i="7"/>
  <c r="H162" i="7"/>
  <c r="D162" i="7"/>
  <c r="E162" i="7"/>
  <c r="A163" i="7"/>
  <c r="I188" i="21"/>
  <c r="C189" i="21"/>
  <c r="A190" i="21"/>
  <c r="F189" i="21"/>
  <c r="D189" i="21"/>
  <c r="F160" i="8" l="1"/>
  <c r="G160" i="8"/>
  <c r="E160" i="8"/>
  <c r="C160" i="8"/>
  <c r="D160" i="8"/>
  <c r="E190" i="21"/>
  <c r="J190" i="21"/>
  <c r="A161" i="8"/>
  <c r="G163" i="7"/>
  <c r="E163" i="7"/>
  <c r="D163" i="7"/>
  <c r="H163" i="7"/>
  <c r="A164" i="7"/>
  <c r="I189" i="21"/>
  <c r="C190" i="21"/>
  <c r="A191" i="21"/>
  <c r="F190" i="21"/>
  <c r="D190" i="21"/>
  <c r="F161" i="8" l="1"/>
  <c r="G161" i="8"/>
  <c r="D161" i="8"/>
  <c r="E161" i="8"/>
  <c r="C161" i="8"/>
  <c r="E191" i="21"/>
  <c r="J191" i="21"/>
  <c r="A162" i="8"/>
  <c r="H164" i="7"/>
  <c r="D164" i="7"/>
  <c r="E164" i="7"/>
  <c r="G164" i="7"/>
  <c r="A165" i="7"/>
  <c r="I190" i="21"/>
  <c r="D191" i="21"/>
  <c r="F191" i="21"/>
  <c r="C191" i="21"/>
  <c r="A192" i="21"/>
  <c r="F162" i="8" l="1"/>
  <c r="G162" i="8"/>
  <c r="E162" i="8"/>
  <c r="D162" i="8"/>
  <c r="C162" i="8"/>
  <c r="E192" i="21"/>
  <c r="J192" i="21"/>
  <c r="A163" i="8"/>
  <c r="H165" i="7"/>
  <c r="G165" i="7"/>
  <c r="E165" i="7"/>
  <c r="D165" i="7"/>
  <c r="A166" i="7"/>
  <c r="F192" i="21"/>
  <c r="A193" i="21"/>
  <c r="D192" i="21"/>
  <c r="C192" i="21"/>
  <c r="I191" i="21"/>
  <c r="F163" i="8" l="1"/>
  <c r="G163" i="8"/>
  <c r="D163" i="8"/>
  <c r="C163" i="8"/>
  <c r="E163" i="8"/>
  <c r="E193" i="21"/>
  <c r="J193" i="21"/>
  <c r="A164" i="8"/>
  <c r="D166" i="7"/>
  <c r="G166" i="7"/>
  <c r="H166" i="7"/>
  <c r="E166" i="7"/>
  <c r="A167" i="7"/>
  <c r="C193" i="21"/>
  <c r="D193" i="21"/>
  <c r="F193" i="21"/>
  <c r="A194" i="21"/>
  <c r="I192" i="21"/>
  <c r="G164" i="8" l="1"/>
  <c r="F164" i="8"/>
  <c r="E164" i="8"/>
  <c r="D164" i="8"/>
  <c r="C164" i="8"/>
  <c r="E194" i="21"/>
  <c r="J194" i="21"/>
  <c r="A165" i="8"/>
  <c r="H167" i="7"/>
  <c r="G167" i="7"/>
  <c r="E167" i="7"/>
  <c r="D167" i="7"/>
  <c r="A168" i="7"/>
  <c r="I193" i="21"/>
  <c r="C194" i="21"/>
  <c r="A195" i="21"/>
  <c r="F194" i="21"/>
  <c r="D194" i="21"/>
  <c r="G165" i="8" l="1"/>
  <c r="F165" i="8"/>
  <c r="C165" i="8"/>
  <c r="E165" i="8"/>
  <c r="D165" i="8"/>
  <c r="E195" i="21"/>
  <c r="J195" i="21"/>
  <c r="A166" i="8"/>
  <c r="H168" i="7"/>
  <c r="G168" i="7"/>
  <c r="D168" i="7"/>
  <c r="E168" i="7"/>
  <c r="A169" i="7"/>
  <c r="I194" i="21"/>
  <c r="D195" i="21"/>
  <c r="C195" i="21"/>
  <c r="A196" i="21"/>
  <c r="F195" i="21"/>
  <c r="G166" i="8" l="1"/>
  <c r="F166" i="8"/>
  <c r="D166" i="8"/>
  <c r="E166" i="8"/>
  <c r="C166" i="8"/>
  <c r="E196" i="21"/>
  <c r="J196" i="21"/>
  <c r="A167" i="8"/>
  <c r="H169" i="7"/>
  <c r="D169" i="7"/>
  <c r="E169" i="7"/>
  <c r="G169" i="7"/>
  <c r="A170" i="7"/>
  <c r="F196" i="21"/>
  <c r="C196" i="21"/>
  <c r="A197" i="21"/>
  <c r="D196" i="21"/>
  <c r="I195" i="21"/>
  <c r="F167" i="8" l="1"/>
  <c r="G167" i="8"/>
  <c r="C167" i="8"/>
  <c r="E167" i="8"/>
  <c r="D167" i="8"/>
  <c r="E197" i="21"/>
  <c r="J197" i="21"/>
  <c r="A168" i="8"/>
  <c r="H170" i="7"/>
  <c r="D170" i="7"/>
  <c r="G170" i="7"/>
  <c r="E170" i="7"/>
  <c r="A171" i="7"/>
  <c r="C197" i="21"/>
  <c r="F197" i="21"/>
  <c r="D197" i="21"/>
  <c r="A198" i="21"/>
  <c r="I196" i="21"/>
  <c r="F168" i="8" l="1"/>
  <c r="G168" i="8"/>
  <c r="D168" i="8"/>
  <c r="E168" i="8"/>
  <c r="C168" i="8"/>
  <c r="E198" i="21"/>
  <c r="J198" i="21"/>
  <c r="I197" i="21"/>
  <c r="A169" i="8"/>
  <c r="E171" i="7"/>
  <c r="D171" i="7"/>
  <c r="H171" i="7"/>
  <c r="G171" i="7"/>
  <c r="A172" i="7"/>
  <c r="C198" i="21"/>
  <c r="F198" i="21"/>
  <c r="A199" i="21"/>
  <c r="D198" i="21"/>
  <c r="F169" i="8" l="1"/>
  <c r="G169" i="8"/>
  <c r="D169" i="8"/>
  <c r="C169" i="8"/>
  <c r="E169" i="8"/>
  <c r="E199" i="21"/>
  <c r="J199" i="21"/>
  <c r="A170" i="8"/>
  <c r="D172" i="7"/>
  <c r="E172" i="7"/>
  <c r="G172" i="7"/>
  <c r="H172" i="7"/>
  <c r="A173" i="7"/>
  <c r="C199" i="21"/>
  <c r="F199" i="21"/>
  <c r="D199" i="21"/>
  <c r="A200" i="21"/>
  <c r="I198" i="21"/>
  <c r="G170" i="8" l="1"/>
  <c r="F170" i="8"/>
  <c r="D170" i="8"/>
  <c r="C170" i="8"/>
  <c r="E170" i="8"/>
  <c r="E200" i="21"/>
  <c r="J200" i="21"/>
  <c r="A171" i="8"/>
  <c r="H173" i="7"/>
  <c r="D173" i="7"/>
  <c r="G173" i="7"/>
  <c r="E173" i="7"/>
  <c r="A174" i="7"/>
  <c r="C200" i="21"/>
  <c r="A201" i="21"/>
  <c r="F200" i="21"/>
  <c r="D200" i="21"/>
  <c r="I199" i="21"/>
  <c r="F171" i="8" l="1"/>
  <c r="G171" i="8"/>
  <c r="C171" i="8"/>
  <c r="E171" i="8"/>
  <c r="D171" i="8"/>
  <c r="E201" i="21"/>
  <c r="J201" i="21"/>
  <c r="A202" i="21"/>
  <c r="A172" i="8"/>
  <c r="E174" i="7"/>
  <c r="D174" i="7"/>
  <c r="H174" i="7"/>
  <c r="G174" i="7"/>
  <c r="A175" i="7"/>
  <c r="I200" i="21"/>
  <c r="F201" i="21"/>
  <c r="C201" i="21"/>
  <c r="D201" i="21"/>
  <c r="G172" i="8" l="1"/>
  <c r="F172" i="8"/>
  <c r="E172" i="8"/>
  <c r="C172" i="8"/>
  <c r="D172" i="8"/>
  <c r="E202" i="21"/>
  <c r="J202" i="21"/>
  <c r="F202" i="21"/>
  <c r="D202" i="21"/>
  <c r="C202" i="21"/>
  <c r="A203" i="21"/>
  <c r="A173" i="8"/>
  <c r="G175" i="7"/>
  <c r="E175" i="7"/>
  <c r="D175" i="7"/>
  <c r="H175" i="7"/>
  <c r="A176" i="7"/>
  <c r="I201" i="21"/>
  <c r="F173" i="8" l="1"/>
  <c r="G173" i="8"/>
  <c r="D173" i="8"/>
  <c r="E173" i="8"/>
  <c r="C173" i="8"/>
  <c r="E203" i="21"/>
  <c r="J203" i="21"/>
  <c r="I202" i="21"/>
  <c r="D203" i="21"/>
  <c r="A204" i="21"/>
  <c r="F203" i="21"/>
  <c r="C203" i="21"/>
  <c r="A174" i="8"/>
  <c r="G176" i="7"/>
  <c r="H176" i="7"/>
  <c r="E176" i="7"/>
  <c r="D176" i="7"/>
  <c r="A177" i="7"/>
  <c r="G174" i="8" l="1"/>
  <c r="F174" i="8"/>
  <c r="D174" i="8"/>
  <c r="C174" i="8"/>
  <c r="E174" i="8"/>
  <c r="E204" i="21"/>
  <c r="J204" i="21"/>
  <c r="I203" i="21"/>
  <c r="F204" i="21"/>
  <c r="D204" i="21"/>
  <c r="C204" i="21"/>
  <c r="A205" i="21"/>
  <c r="A175" i="8"/>
  <c r="H177" i="7"/>
  <c r="D177" i="7"/>
  <c r="E177" i="7"/>
  <c r="G177" i="7"/>
  <c r="A178" i="7"/>
  <c r="C39" i="25"/>
  <c r="D39" i="25"/>
  <c r="E39" i="25"/>
  <c r="F39" i="25"/>
  <c r="G39" i="25"/>
  <c r="AP12" i="25"/>
  <c r="AP14" i="25"/>
  <c r="AP15" i="25"/>
  <c r="AP11" i="25"/>
  <c r="AP16" i="25"/>
  <c r="AP18" i="25"/>
  <c r="AP4" i="25"/>
  <c r="AP17" i="25"/>
  <c r="AP10" i="25"/>
  <c r="AP8" i="25"/>
  <c r="AP7" i="25"/>
  <c r="AP9" i="25"/>
  <c r="AP6" i="25"/>
  <c r="AP5" i="25"/>
  <c r="D19" i="25"/>
  <c r="E19" i="25"/>
  <c r="F19" i="25"/>
  <c r="G19" i="25"/>
  <c r="C19" i="25"/>
  <c r="B19" i="25"/>
  <c r="AP3" i="25"/>
  <c r="G175" i="8" l="1"/>
  <c r="F175" i="8"/>
  <c r="E175" i="8"/>
  <c r="C175" i="8"/>
  <c r="D175" i="8"/>
  <c r="E205" i="21"/>
  <c r="J205" i="21"/>
  <c r="I204" i="21"/>
  <c r="F205" i="21"/>
  <c r="D205" i="21"/>
  <c r="C205" i="21"/>
  <c r="A206" i="21"/>
  <c r="A176" i="8"/>
  <c r="E178" i="7"/>
  <c r="H178" i="7"/>
  <c r="D178" i="7"/>
  <c r="G178" i="7"/>
  <c r="A179" i="7"/>
  <c r="B39" i="25"/>
  <c r="G176" i="8" l="1"/>
  <c r="F176" i="8"/>
  <c r="D176" i="8"/>
  <c r="E176" i="8"/>
  <c r="C176" i="8"/>
  <c r="E206" i="21"/>
  <c r="J206" i="21"/>
  <c r="F206" i="21"/>
  <c r="D206" i="21"/>
  <c r="C206" i="21"/>
  <c r="A207" i="21"/>
  <c r="I205" i="21"/>
  <c r="A177" i="8"/>
  <c r="D179" i="7"/>
  <c r="H179" i="7"/>
  <c r="G179" i="7"/>
  <c r="E179" i="7"/>
  <c r="A180" i="7"/>
  <c r="F177" i="8" l="1"/>
  <c r="G177" i="8"/>
  <c r="C177" i="8"/>
  <c r="E177" i="8"/>
  <c r="D177" i="8"/>
  <c r="E207" i="21"/>
  <c r="J207" i="21"/>
  <c r="I206" i="21"/>
  <c r="C207" i="21"/>
  <c r="A208" i="21"/>
  <c r="F207" i="21"/>
  <c r="D207" i="21"/>
  <c r="A178" i="8"/>
  <c r="H180" i="7"/>
  <c r="D180" i="7"/>
  <c r="E180" i="7"/>
  <c r="G180" i="7"/>
  <c r="A181" i="7"/>
  <c r="G178" i="8" l="1"/>
  <c r="F178" i="8"/>
  <c r="D178" i="8"/>
  <c r="E178" i="8"/>
  <c r="C178" i="8"/>
  <c r="E208" i="21"/>
  <c r="J208" i="21"/>
  <c r="I207" i="21"/>
  <c r="C208" i="21"/>
  <c r="F208" i="21"/>
  <c r="D208" i="21"/>
  <c r="A209" i="21"/>
  <c r="A179" i="8"/>
  <c r="E181" i="7"/>
  <c r="H181" i="7"/>
  <c r="G181" i="7"/>
  <c r="D181" i="7"/>
  <c r="A182" i="7"/>
  <c r="G179" i="8" l="1"/>
  <c r="F179" i="8"/>
  <c r="C179" i="8"/>
  <c r="E179" i="8"/>
  <c r="D179" i="8"/>
  <c r="E209" i="21"/>
  <c r="J209" i="21"/>
  <c r="I208" i="21"/>
  <c r="D209" i="21"/>
  <c r="F209" i="21"/>
  <c r="C209" i="21"/>
  <c r="A210" i="21"/>
  <c r="A180" i="8"/>
  <c r="G182" i="7"/>
  <c r="H182" i="7"/>
  <c r="D182" i="7"/>
  <c r="E182" i="7"/>
  <c r="A183" i="7"/>
  <c r="F180" i="8" l="1"/>
  <c r="G180" i="8"/>
  <c r="C180" i="8"/>
  <c r="D180" i="8"/>
  <c r="E180" i="8"/>
  <c r="E210" i="21"/>
  <c r="J210" i="21"/>
  <c r="F210" i="21"/>
  <c r="D210" i="21"/>
  <c r="C210" i="21"/>
  <c r="A211" i="21"/>
  <c r="I209" i="21"/>
  <c r="A181" i="8"/>
  <c r="H183" i="7"/>
  <c r="D183" i="7"/>
  <c r="G183" i="7"/>
  <c r="E183" i="7"/>
  <c r="A184" i="7"/>
  <c r="F181" i="8" l="1"/>
  <c r="G181" i="8"/>
  <c r="D181" i="8"/>
  <c r="C181" i="8"/>
  <c r="E181" i="8"/>
  <c r="E211" i="21"/>
  <c r="J211" i="21"/>
  <c r="I210" i="21"/>
  <c r="F211" i="21"/>
  <c r="D211" i="21"/>
  <c r="C211" i="21"/>
  <c r="A212" i="21"/>
  <c r="A182" i="8"/>
  <c r="D184" i="7"/>
  <c r="G184" i="7"/>
  <c r="H184" i="7"/>
  <c r="E184" i="7"/>
  <c r="A185" i="7"/>
  <c r="G182" i="8" l="1"/>
  <c r="F182" i="8"/>
  <c r="C182" i="8"/>
  <c r="E182" i="8"/>
  <c r="D182" i="8"/>
  <c r="E212" i="21"/>
  <c r="J212" i="21"/>
  <c r="F212" i="21"/>
  <c r="D212" i="21"/>
  <c r="C212" i="21"/>
  <c r="A213" i="21"/>
  <c r="I211" i="21"/>
  <c r="A183" i="8"/>
  <c r="E185" i="7"/>
  <c r="H185" i="7"/>
  <c r="G185" i="7"/>
  <c r="D185" i="7"/>
  <c r="A186" i="7"/>
  <c r="F183" i="8" l="1"/>
  <c r="G183" i="8"/>
  <c r="E183" i="8"/>
  <c r="D183" i="8"/>
  <c r="C183" i="8"/>
  <c r="E213" i="21"/>
  <c r="J213" i="21"/>
  <c r="F213" i="21"/>
  <c r="D213" i="21"/>
  <c r="C213" i="21"/>
  <c r="A214" i="21"/>
  <c r="I212" i="21"/>
  <c r="A184" i="8"/>
  <c r="H186" i="7"/>
  <c r="D186" i="7"/>
  <c r="G186" i="7"/>
  <c r="E186" i="7"/>
  <c r="A187" i="7"/>
  <c r="F184" i="8" l="1"/>
  <c r="G184" i="8"/>
  <c r="C184" i="8"/>
  <c r="E184" i="8"/>
  <c r="D184" i="8"/>
  <c r="E214" i="21"/>
  <c r="J214" i="21"/>
  <c r="F214" i="21"/>
  <c r="D214" i="21"/>
  <c r="C214" i="21"/>
  <c r="A215" i="21"/>
  <c r="I213" i="21"/>
  <c r="A185" i="8"/>
  <c r="E187" i="7"/>
  <c r="H187" i="7"/>
  <c r="G187" i="7"/>
  <c r="D187" i="7"/>
  <c r="A188" i="7"/>
  <c r="G185" i="8" l="1"/>
  <c r="F185" i="8"/>
  <c r="C185" i="8"/>
  <c r="D185" i="8"/>
  <c r="E185" i="8"/>
  <c r="E215" i="21"/>
  <c r="J215" i="21"/>
  <c r="F215" i="21"/>
  <c r="D215" i="21"/>
  <c r="C215" i="21"/>
  <c r="A216" i="21"/>
  <c r="I214" i="21"/>
  <c r="A186" i="8"/>
  <c r="H188" i="7"/>
  <c r="G188" i="7"/>
  <c r="E188" i="7"/>
  <c r="D188" i="7"/>
  <c r="A189" i="7"/>
  <c r="G186" i="8" l="1"/>
  <c r="F186" i="8"/>
  <c r="C186" i="8"/>
  <c r="E186" i="8"/>
  <c r="D186" i="8"/>
  <c r="E216" i="21"/>
  <c r="J216" i="21"/>
  <c r="F216" i="21"/>
  <c r="D216" i="21"/>
  <c r="C216" i="21"/>
  <c r="A217" i="21"/>
  <c r="I215" i="21"/>
  <c r="A187" i="8"/>
  <c r="D189" i="7"/>
  <c r="E189" i="7"/>
  <c r="H189" i="7"/>
  <c r="G189" i="7"/>
  <c r="A190" i="7"/>
  <c r="G187" i="8" l="1"/>
  <c r="F187" i="8"/>
  <c r="C187" i="8"/>
  <c r="D187" i="8"/>
  <c r="E187" i="8"/>
  <c r="E217" i="21"/>
  <c r="J217" i="21"/>
  <c r="F217" i="21"/>
  <c r="D217" i="21"/>
  <c r="C217" i="21"/>
  <c r="A218" i="21"/>
  <c r="I216" i="21"/>
  <c r="A188" i="8"/>
  <c r="E190" i="7"/>
  <c r="H190" i="7"/>
  <c r="D190" i="7"/>
  <c r="G190" i="7"/>
  <c r="A191" i="7"/>
  <c r="F188" i="8" l="1"/>
  <c r="G188" i="8"/>
  <c r="C188" i="8"/>
  <c r="E188" i="8"/>
  <c r="D188" i="8"/>
  <c r="E218" i="21"/>
  <c r="J218" i="21"/>
  <c r="F218" i="21"/>
  <c r="D218" i="21"/>
  <c r="C218" i="21"/>
  <c r="A219" i="21"/>
  <c r="I217" i="21"/>
  <c r="A189" i="8"/>
  <c r="D191" i="7"/>
  <c r="H191" i="7"/>
  <c r="G191" i="7"/>
  <c r="E191" i="7"/>
  <c r="A192" i="7"/>
  <c r="F189" i="8" l="1"/>
  <c r="G189" i="8"/>
  <c r="C189" i="8"/>
  <c r="E189" i="8"/>
  <c r="D189" i="8"/>
  <c r="E219" i="21"/>
  <c r="J219" i="21"/>
  <c r="F219" i="21"/>
  <c r="D219" i="21"/>
  <c r="C219" i="21"/>
  <c r="A220" i="21"/>
  <c r="I218" i="21"/>
  <c r="A190" i="8"/>
  <c r="E192" i="7"/>
  <c r="H192" i="7"/>
  <c r="G192" i="7"/>
  <c r="D192" i="7"/>
  <c r="A193" i="7"/>
  <c r="F190" i="8" l="1"/>
  <c r="G190" i="8"/>
  <c r="C190" i="8"/>
  <c r="E190" i="8"/>
  <c r="D190" i="8"/>
  <c r="E220" i="21"/>
  <c r="J220" i="21"/>
  <c r="F220" i="21"/>
  <c r="D220" i="21"/>
  <c r="C220" i="21"/>
  <c r="A221" i="21"/>
  <c r="I219" i="21"/>
  <c r="A191" i="8"/>
  <c r="G193" i="7"/>
  <c r="E193" i="7"/>
  <c r="H193" i="7"/>
  <c r="D193" i="7"/>
  <c r="A194" i="7"/>
  <c r="F191" i="8" l="1"/>
  <c r="G191" i="8"/>
  <c r="E191" i="8"/>
  <c r="D191" i="8"/>
  <c r="C191" i="8"/>
  <c r="E221" i="21"/>
  <c r="J221" i="21"/>
  <c r="I220" i="21"/>
  <c r="F221" i="21"/>
  <c r="D221" i="21"/>
  <c r="C221" i="21"/>
  <c r="A222" i="21"/>
  <c r="A192" i="8"/>
  <c r="H194" i="7"/>
  <c r="E194" i="7"/>
  <c r="G194" i="7"/>
  <c r="D194" i="7"/>
  <c r="A195" i="7"/>
  <c r="F192" i="8" l="1"/>
  <c r="G192" i="8"/>
  <c r="C192" i="8"/>
  <c r="D192" i="8"/>
  <c r="E192" i="8"/>
  <c r="E222" i="21"/>
  <c r="J222" i="21"/>
  <c r="F222" i="21"/>
  <c r="D222" i="21"/>
  <c r="C222" i="21"/>
  <c r="A223" i="21"/>
  <c r="I221" i="21"/>
  <c r="A193" i="8"/>
  <c r="E195" i="7"/>
  <c r="H195" i="7"/>
  <c r="G195" i="7"/>
  <c r="D195" i="7"/>
  <c r="A196" i="7"/>
  <c r="F193" i="8" l="1"/>
  <c r="G193" i="8"/>
  <c r="C193" i="8"/>
  <c r="D193" i="8"/>
  <c r="E193" i="8"/>
  <c r="E223" i="21"/>
  <c r="J223" i="21"/>
  <c r="I222" i="21"/>
  <c r="F223" i="21"/>
  <c r="D223" i="21"/>
  <c r="C223" i="21"/>
  <c r="A224" i="21"/>
  <c r="A194" i="8"/>
  <c r="G196" i="7"/>
  <c r="E196" i="7"/>
  <c r="H196" i="7"/>
  <c r="D196" i="7"/>
  <c r="A197" i="7"/>
  <c r="G194" i="8" l="1"/>
  <c r="F194" i="8"/>
  <c r="E194" i="8"/>
  <c r="C194" i="8"/>
  <c r="D194" i="8"/>
  <c r="E224" i="21"/>
  <c r="J224" i="21"/>
  <c r="F224" i="21"/>
  <c r="D224" i="21"/>
  <c r="C224" i="21"/>
  <c r="A225" i="21"/>
  <c r="I223" i="21"/>
  <c r="A195" i="8"/>
  <c r="D197" i="7"/>
  <c r="G197" i="7"/>
  <c r="E197" i="7"/>
  <c r="H197" i="7"/>
  <c r="A198" i="7"/>
  <c r="G195" i="8" l="1"/>
  <c r="F195" i="8"/>
  <c r="D195" i="8"/>
  <c r="C195" i="8"/>
  <c r="E195" i="8"/>
  <c r="E225" i="21"/>
  <c r="J225" i="21"/>
  <c r="I224" i="21"/>
  <c r="F225" i="21"/>
  <c r="D225" i="21"/>
  <c r="C225" i="21"/>
  <c r="A226" i="21"/>
  <c r="A196" i="8"/>
  <c r="G198" i="7"/>
  <c r="D198" i="7"/>
  <c r="E198" i="7"/>
  <c r="H198" i="7"/>
  <c r="A199" i="7"/>
  <c r="G196" i="8" l="1"/>
  <c r="F196" i="8"/>
  <c r="C196" i="8"/>
  <c r="E196" i="8"/>
  <c r="D196" i="8"/>
  <c r="E226" i="21"/>
  <c r="J226" i="21"/>
  <c r="F226" i="21"/>
  <c r="D226" i="21"/>
  <c r="C226" i="21"/>
  <c r="A227" i="21"/>
  <c r="I225" i="21"/>
  <c r="A197" i="8"/>
  <c r="H199" i="7"/>
  <c r="E199" i="7"/>
  <c r="D199" i="7"/>
  <c r="G199" i="7"/>
  <c r="A200" i="7"/>
  <c r="F197" i="8" l="1"/>
  <c r="G197" i="8"/>
  <c r="C197" i="8"/>
  <c r="D197" i="8"/>
  <c r="E197" i="8"/>
  <c r="E227" i="21"/>
  <c r="J227" i="21"/>
  <c r="F227" i="21"/>
  <c r="D227" i="21"/>
  <c r="C227" i="21"/>
  <c r="A228" i="21"/>
  <c r="I226" i="21"/>
  <c r="A198" i="8"/>
  <c r="E200" i="7"/>
  <c r="H200" i="7"/>
  <c r="G200" i="7"/>
  <c r="D200" i="7"/>
  <c r="A201" i="7"/>
  <c r="F198" i="8" l="1"/>
  <c r="G198" i="8"/>
  <c r="E198" i="8"/>
  <c r="D198" i="8"/>
  <c r="C198" i="8"/>
  <c r="E228" i="21"/>
  <c r="J228" i="21"/>
  <c r="F228" i="21"/>
  <c r="D228" i="21"/>
  <c r="C228" i="21"/>
  <c r="A229" i="21"/>
  <c r="I227" i="21"/>
  <c r="A199" i="8"/>
  <c r="D201" i="7"/>
  <c r="H201" i="7"/>
  <c r="E201" i="7"/>
  <c r="G201" i="7"/>
  <c r="A202" i="7"/>
  <c r="F199" i="8" l="1"/>
  <c r="G199" i="8"/>
  <c r="D199" i="8"/>
  <c r="C199" i="8"/>
  <c r="E199" i="8"/>
  <c r="E229" i="21"/>
  <c r="J229" i="21"/>
  <c r="F229" i="21"/>
  <c r="D229" i="21"/>
  <c r="C229" i="21"/>
  <c r="A230" i="21"/>
  <c r="I228" i="21"/>
  <c r="A200" i="8"/>
  <c r="E202" i="7"/>
  <c r="H202" i="7"/>
  <c r="G202" i="7"/>
  <c r="D202" i="7"/>
  <c r="A203" i="7"/>
  <c r="F200" i="8" l="1"/>
  <c r="G200" i="8"/>
  <c r="C200" i="8"/>
  <c r="D200" i="8"/>
  <c r="E200" i="8"/>
  <c r="E230" i="21"/>
  <c r="J230" i="21"/>
  <c r="F230" i="21"/>
  <c r="D230" i="21"/>
  <c r="C230" i="21"/>
  <c r="A231" i="21"/>
  <c r="I229" i="21"/>
  <c r="A201" i="8"/>
  <c r="E203" i="7"/>
  <c r="G203" i="7"/>
  <c r="H203" i="7"/>
  <c r="D203" i="7"/>
  <c r="A204" i="7"/>
  <c r="G201" i="8" l="1"/>
  <c r="F201" i="8"/>
  <c r="D201" i="8"/>
  <c r="E201" i="8"/>
  <c r="C201" i="8"/>
  <c r="E231" i="21"/>
  <c r="J231" i="21"/>
  <c r="I230" i="21"/>
  <c r="F231" i="21"/>
  <c r="D231" i="21"/>
  <c r="C231" i="21"/>
  <c r="A232" i="21"/>
  <c r="A202" i="8"/>
  <c r="E204" i="7"/>
  <c r="H204" i="7"/>
  <c r="G204" i="7"/>
  <c r="D204" i="7"/>
  <c r="A205" i="7"/>
  <c r="F202" i="8" l="1"/>
  <c r="G202" i="8"/>
  <c r="D202" i="8"/>
  <c r="C202" i="8"/>
  <c r="E202" i="8"/>
  <c r="E232" i="21"/>
  <c r="J232" i="21"/>
  <c r="F232" i="21"/>
  <c r="D232" i="21"/>
  <c r="C232" i="21"/>
  <c r="A233" i="21"/>
  <c r="I231" i="21"/>
  <c r="A203" i="8"/>
  <c r="E205" i="7"/>
  <c r="H205" i="7"/>
  <c r="D205" i="7"/>
  <c r="G205" i="7"/>
  <c r="A206" i="7"/>
  <c r="G203" i="8" l="1"/>
  <c r="F203" i="8"/>
  <c r="E203" i="8"/>
  <c r="D203" i="8"/>
  <c r="C203" i="8"/>
  <c r="E233" i="21"/>
  <c r="J233" i="21"/>
  <c r="F233" i="21"/>
  <c r="D233" i="21"/>
  <c r="C233" i="21"/>
  <c r="A234" i="21"/>
  <c r="I232" i="21"/>
  <c r="A204" i="8"/>
  <c r="D206" i="7"/>
  <c r="G206" i="7"/>
  <c r="H206" i="7"/>
  <c r="E206" i="7"/>
  <c r="A207" i="7"/>
  <c r="G204" i="8" l="1"/>
  <c r="F204" i="8"/>
  <c r="C204" i="8"/>
  <c r="D204" i="8"/>
  <c r="E204" i="8"/>
  <c r="E234" i="21"/>
  <c r="J234" i="21"/>
  <c r="F234" i="21"/>
  <c r="D234" i="21"/>
  <c r="C234" i="21"/>
  <c r="A235" i="21"/>
  <c r="I233" i="21"/>
  <c r="A205" i="8"/>
  <c r="D207" i="7"/>
  <c r="H207" i="7"/>
  <c r="E207" i="7"/>
  <c r="G207" i="7"/>
  <c r="A208" i="7"/>
  <c r="G205" i="8" l="1"/>
  <c r="F205" i="8"/>
  <c r="C205" i="8"/>
  <c r="D205" i="8"/>
  <c r="E205" i="8"/>
  <c r="E235" i="21"/>
  <c r="J235" i="21"/>
  <c r="F235" i="21"/>
  <c r="D235" i="21"/>
  <c r="C235" i="21"/>
  <c r="A236" i="21"/>
  <c r="I234" i="21"/>
  <c r="A206" i="8"/>
  <c r="H208" i="7"/>
  <c r="G208" i="7"/>
  <c r="E208" i="7"/>
  <c r="D208" i="7"/>
  <c r="A209" i="7"/>
  <c r="G206" i="8" l="1"/>
  <c r="F206" i="8"/>
  <c r="C206" i="8"/>
  <c r="E206" i="8"/>
  <c r="D206" i="8"/>
  <c r="E236" i="21"/>
  <c r="J236" i="21"/>
  <c r="I235" i="21"/>
  <c r="F236" i="21"/>
  <c r="D236" i="21"/>
  <c r="C236" i="21"/>
  <c r="A237" i="21"/>
  <c r="A207" i="8"/>
  <c r="D209" i="7"/>
  <c r="G209" i="7"/>
  <c r="H209" i="7"/>
  <c r="E209" i="7"/>
  <c r="A210" i="7"/>
  <c r="G207" i="8" l="1"/>
  <c r="F207" i="8"/>
  <c r="D207" i="8"/>
  <c r="C207" i="8"/>
  <c r="E207" i="8"/>
  <c r="E237" i="21"/>
  <c r="J237" i="21"/>
  <c r="I236" i="21"/>
  <c r="F237" i="21"/>
  <c r="D237" i="21"/>
  <c r="C237" i="21"/>
  <c r="A238" i="21"/>
  <c r="A208" i="8"/>
  <c r="G210" i="7"/>
  <c r="D210" i="7"/>
  <c r="H210" i="7"/>
  <c r="E210" i="7"/>
  <c r="A211" i="7"/>
  <c r="G208" i="8" l="1"/>
  <c r="F208" i="8"/>
  <c r="E208" i="8"/>
  <c r="D208" i="8"/>
  <c r="C208" i="8"/>
  <c r="E238" i="21"/>
  <c r="J238" i="21"/>
  <c r="I237" i="21"/>
  <c r="F238" i="21"/>
  <c r="D238" i="21"/>
  <c r="C238" i="21"/>
  <c r="A239" i="21"/>
  <c r="A209" i="8"/>
  <c r="G211" i="7"/>
  <c r="E211" i="7"/>
  <c r="H211" i="7"/>
  <c r="D211" i="7"/>
  <c r="A212" i="7"/>
  <c r="F209" i="8" l="1"/>
  <c r="G209" i="8"/>
  <c r="C209" i="8"/>
  <c r="E209" i="8"/>
  <c r="D209" i="8"/>
  <c r="E239" i="21"/>
  <c r="J239" i="21"/>
  <c r="I238" i="21"/>
  <c r="F239" i="21"/>
  <c r="D239" i="21"/>
  <c r="C239" i="21"/>
  <c r="A240" i="21"/>
  <c r="A210" i="8"/>
  <c r="H212" i="7"/>
  <c r="D212" i="7"/>
  <c r="G212" i="7"/>
  <c r="E212" i="7"/>
  <c r="A213" i="7"/>
  <c r="F210" i="8" l="1"/>
  <c r="G210" i="8"/>
  <c r="E210" i="8"/>
  <c r="C210" i="8"/>
  <c r="D210" i="8"/>
  <c r="E240" i="21"/>
  <c r="J240" i="21"/>
  <c r="F240" i="21"/>
  <c r="D240" i="21"/>
  <c r="C240" i="21"/>
  <c r="A241" i="21"/>
  <c r="I239" i="21"/>
  <c r="A211" i="8"/>
  <c r="G213" i="7"/>
  <c r="E213" i="7"/>
  <c r="D213" i="7"/>
  <c r="H213" i="7"/>
  <c r="A214" i="7"/>
  <c r="G211" i="8" l="1"/>
  <c r="F211" i="8"/>
  <c r="E211" i="8"/>
  <c r="D211" i="8"/>
  <c r="C211" i="8"/>
  <c r="E241" i="21"/>
  <c r="J241" i="21"/>
  <c r="F241" i="21"/>
  <c r="D241" i="21"/>
  <c r="C241" i="21"/>
  <c r="A242" i="21"/>
  <c r="I240" i="21"/>
  <c r="A212" i="8"/>
  <c r="G214" i="7"/>
  <c r="E214" i="7"/>
  <c r="H214" i="7"/>
  <c r="D214" i="7"/>
  <c r="A215" i="7"/>
  <c r="F212" i="8" l="1"/>
  <c r="G212" i="8"/>
  <c r="E212" i="8"/>
  <c r="C212" i="8"/>
  <c r="D212" i="8"/>
  <c r="E242" i="21"/>
  <c r="J242" i="21"/>
  <c r="I241" i="21"/>
  <c r="F242" i="21"/>
  <c r="D242" i="21"/>
  <c r="C242" i="21"/>
  <c r="A243" i="21"/>
  <c r="A213" i="8"/>
  <c r="G215" i="7"/>
  <c r="D215" i="7"/>
  <c r="E215" i="7"/>
  <c r="H215" i="7"/>
  <c r="A216" i="7"/>
  <c r="F213" i="8" l="1"/>
  <c r="G213" i="8"/>
  <c r="C213" i="8"/>
  <c r="E213" i="8"/>
  <c r="D213" i="8"/>
  <c r="E243" i="21"/>
  <c r="J243" i="21"/>
  <c r="F243" i="21"/>
  <c r="D243" i="21"/>
  <c r="C243" i="21"/>
  <c r="A244" i="21"/>
  <c r="I242" i="21"/>
  <c r="A214" i="8"/>
  <c r="E216" i="7"/>
  <c r="D216" i="7"/>
  <c r="G216" i="7"/>
  <c r="H216" i="7"/>
  <c r="A217" i="7"/>
  <c r="G214" i="8" l="1"/>
  <c r="F214" i="8"/>
  <c r="D214" i="8"/>
  <c r="C214" i="8"/>
  <c r="E214" i="8"/>
  <c r="E244" i="21"/>
  <c r="J244" i="21"/>
  <c r="F244" i="21"/>
  <c r="D244" i="21"/>
  <c r="C244" i="21"/>
  <c r="A245" i="21"/>
  <c r="I243" i="21"/>
  <c r="A215" i="8"/>
  <c r="G217" i="7"/>
  <c r="H217" i="7"/>
  <c r="E217" i="7"/>
  <c r="D217" i="7"/>
  <c r="A218" i="7"/>
  <c r="G215" i="8" l="1"/>
  <c r="F215" i="8"/>
  <c r="E215" i="8"/>
  <c r="D215" i="8"/>
  <c r="C215" i="8"/>
  <c r="E245" i="21"/>
  <c r="J245" i="21"/>
  <c r="I244" i="21"/>
  <c r="F245" i="21"/>
  <c r="D245" i="21"/>
  <c r="C245" i="21"/>
  <c r="A246" i="21"/>
  <c r="A216" i="8"/>
  <c r="D218" i="7"/>
  <c r="H218" i="7"/>
  <c r="G218" i="7"/>
  <c r="E218" i="7"/>
  <c r="A219" i="7"/>
  <c r="G216" i="8" l="1"/>
  <c r="F216" i="8"/>
  <c r="E216" i="8"/>
  <c r="C216" i="8"/>
  <c r="D216" i="8"/>
  <c r="E246" i="21"/>
  <c r="J246" i="21"/>
  <c r="I245" i="21"/>
  <c r="F246" i="21"/>
  <c r="D246" i="21"/>
  <c r="C246" i="21"/>
  <c r="A247" i="21"/>
  <c r="A217" i="8"/>
  <c r="H219" i="7"/>
  <c r="G219" i="7"/>
  <c r="E219" i="7"/>
  <c r="D219" i="7"/>
  <c r="A220" i="7"/>
  <c r="F217" i="8" l="1"/>
  <c r="G217" i="8"/>
  <c r="E217" i="8"/>
  <c r="C217" i="8"/>
  <c r="D217" i="8"/>
  <c r="E247" i="21"/>
  <c r="J247" i="21"/>
  <c r="I246" i="21"/>
  <c r="F247" i="21"/>
  <c r="D247" i="21"/>
  <c r="C247" i="21"/>
  <c r="A248" i="21"/>
  <c r="A218" i="8"/>
  <c r="D220" i="7"/>
  <c r="H220" i="7"/>
  <c r="E220" i="7"/>
  <c r="G220" i="7"/>
  <c r="A221" i="7"/>
  <c r="F218" i="8" l="1"/>
  <c r="G218" i="8"/>
  <c r="E218" i="8"/>
  <c r="C218" i="8"/>
  <c r="D218" i="8"/>
  <c r="E248" i="21"/>
  <c r="J248" i="21"/>
  <c r="F248" i="21"/>
  <c r="D248" i="21"/>
  <c r="C248" i="21"/>
  <c r="A249" i="21"/>
  <c r="I247" i="21"/>
  <c r="A219" i="8"/>
  <c r="G221" i="7"/>
  <c r="D221" i="7"/>
  <c r="H221" i="7"/>
  <c r="E221" i="7"/>
  <c r="A222" i="7"/>
  <c r="G219" i="8" l="1"/>
  <c r="F219" i="8"/>
  <c r="C219" i="8"/>
  <c r="D219" i="8"/>
  <c r="E219" i="8"/>
  <c r="E249" i="21"/>
  <c r="J249" i="21"/>
  <c r="F249" i="21"/>
  <c r="D249" i="21"/>
  <c r="C249" i="21"/>
  <c r="A250" i="21"/>
  <c r="I248" i="21"/>
  <c r="A220" i="8"/>
  <c r="H222" i="7"/>
  <c r="D222" i="7"/>
  <c r="G222" i="7"/>
  <c r="E222" i="7"/>
  <c r="A223" i="7"/>
  <c r="G220" i="8" l="1"/>
  <c r="F220" i="8"/>
  <c r="E220" i="8"/>
  <c r="C220" i="8"/>
  <c r="D220" i="8"/>
  <c r="E250" i="21"/>
  <c r="J250" i="21"/>
  <c r="F250" i="21"/>
  <c r="D250" i="21"/>
  <c r="C250" i="21"/>
  <c r="A251" i="21"/>
  <c r="I249" i="21"/>
  <c r="A221" i="8"/>
  <c r="G223" i="7"/>
  <c r="D223" i="7"/>
  <c r="E223" i="7"/>
  <c r="H223" i="7"/>
  <c r="A224" i="7"/>
  <c r="F221" i="8" l="1"/>
  <c r="G221" i="8"/>
  <c r="E221" i="8"/>
  <c r="D221" i="8"/>
  <c r="C221" i="8"/>
  <c r="E251" i="21"/>
  <c r="J251" i="21"/>
  <c r="F251" i="21"/>
  <c r="D251" i="21"/>
  <c r="C251" i="21"/>
  <c r="A252" i="21"/>
  <c r="I250" i="21"/>
  <c r="A222" i="8"/>
  <c r="D224" i="7"/>
  <c r="E224" i="7"/>
  <c r="L37" i="7"/>
  <c r="P37" i="7" s="1"/>
  <c r="H224" i="7"/>
  <c r="G224" i="7"/>
  <c r="A225" i="7"/>
  <c r="G222" i="8" l="1"/>
  <c r="F222" i="8"/>
  <c r="D222" i="8"/>
  <c r="E222" i="8"/>
  <c r="C222" i="8"/>
  <c r="E252" i="21"/>
  <c r="J252" i="21"/>
  <c r="O37" i="7"/>
  <c r="Q37" i="7" s="1"/>
  <c r="R37" i="7" s="1"/>
  <c r="N37" i="7"/>
  <c r="F252" i="21"/>
  <c r="D252" i="21"/>
  <c r="C252" i="21"/>
  <c r="A253" i="21"/>
  <c r="I251" i="21"/>
  <c r="A223" i="8"/>
  <c r="H225" i="7"/>
  <c r="G225" i="7"/>
  <c r="D225" i="7"/>
  <c r="E225" i="7"/>
  <c r="A226" i="7"/>
  <c r="F223" i="8" l="1"/>
  <c r="G223" i="8"/>
  <c r="E223" i="8"/>
  <c r="C223" i="8"/>
  <c r="D223" i="8"/>
  <c r="E253" i="21"/>
  <c r="J253" i="21"/>
  <c r="F253" i="21"/>
  <c r="D253" i="21"/>
  <c r="C253" i="21"/>
  <c r="A254" i="21"/>
  <c r="I252" i="21"/>
  <c r="A224" i="8"/>
  <c r="D226" i="7"/>
  <c r="H226" i="7"/>
  <c r="E226" i="7"/>
  <c r="G226" i="7"/>
  <c r="A227" i="7"/>
  <c r="G224" i="8" l="1"/>
  <c r="F224" i="8"/>
  <c r="C224" i="8"/>
  <c r="E224" i="8"/>
  <c r="D224" i="8"/>
  <c r="E254" i="21"/>
  <c r="J254" i="21"/>
  <c r="F254" i="21"/>
  <c r="D254" i="21"/>
  <c r="C254" i="21"/>
  <c r="A255" i="21"/>
  <c r="I253" i="21"/>
  <c r="A225" i="8"/>
  <c r="G227" i="7"/>
  <c r="E227" i="7"/>
  <c r="H227" i="7"/>
  <c r="D227" i="7"/>
  <c r="A228" i="7"/>
  <c r="F225" i="8" l="1"/>
  <c r="G225" i="8"/>
  <c r="D225" i="8"/>
  <c r="C225" i="8"/>
  <c r="E225" i="8"/>
  <c r="E255" i="21"/>
  <c r="J255" i="21"/>
  <c r="I254" i="21"/>
  <c r="F255" i="21"/>
  <c r="D255" i="21"/>
  <c r="C255" i="21"/>
  <c r="A256" i="21"/>
  <c r="A226" i="8"/>
  <c r="D228" i="7"/>
  <c r="E228" i="7"/>
  <c r="H228" i="7"/>
  <c r="G228" i="7"/>
  <c r="A229" i="7"/>
  <c r="G226" i="8" l="1"/>
  <c r="F226" i="8"/>
  <c r="C226" i="8"/>
  <c r="E226" i="8"/>
  <c r="D226" i="8"/>
  <c r="E256" i="21"/>
  <c r="J256" i="21"/>
  <c r="F256" i="21"/>
  <c r="D256" i="21"/>
  <c r="C256" i="21"/>
  <c r="A257" i="21"/>
  <c r="I255" i="21"/>
  <c r="A227" i="8"/>
  <c r="D229" i="7"/>
  <c r="H229" i="7"/>
  <c r="E229" i="7"/>
  <c r="G229" i="7"/>
  <c r="A230" i="7"/>
  <c r="F227" i="8" l="1"/>
  <c r="G227" i="8"/>
  <c r="D227" i="8"/>
  <c r="C227" i="8"/>
  <c r="E227" i="8"/>
  <c r="E257" i="21"/>
  <c r="J257" i="21"/>
  <c r="I256" i="21"/>
  <c r="F257" i="21"/>
  <c r="D257" i="21"/>
  <c r="C257" i="21"/>
  <c r="A258" i="21"/>
  <c r="A228" i="8"/>
  <c r="E230" i="7"/>
  <c r="H230" i="7"/>
  <c r="D230" i="7"/>
  <c r="G230" i="7"/>
  <c r="A231" i="7"/>
  <c r="G228" i="8" l="1"/>
  <c r="F228" i="8"/>
  <c r="E228" i="8"/>
  <c r="D228" i="8"/>
  <c r="C228" i="8"/>
  <c r="E258" i="21"/>
  <c r="J258" i="21"/>
  <c r="F258" i="21"/>
  <c r="D258" i="21"/>
  <c r="C258" i="21"/>
  <c r="A259" i="21"/>
  <c r="I257" i="21"/>
  <c r="A229" i="8"/>
  <c r="G231" i="7"/>
  <c r="H231" i="7"/>
  <c r="E231" i="7"/>
  <c r="D231" i="7"/>
  <c r="A232" i="7"/>
  <c r="F229" i="8" l="1"/>
  <c r="G229" i="8"/>
  <c r="C229" i="8"/>
  <c r="E229" i="8"/>
  <c r="D229" i="8"/>
  <c r="E259" i="21"/>
  <c r="J259" i="21"/>
  <c r="I258" i="21"/>
  <c r="F259" i="21"/>
  <c r="D259" i="21"/>
  <c r="C259" i="21"/>
  <c r="A260" i="21"/>
  <c r="A230" i="8"/>
  <c r="G232" i="7"/>
  <c r="E232" i="7"/>
  <c r="D232" i="7"/>
  <c r="H232" i="7"/>
  <c r="A233" i="7"/>
  <c r="G230" i="8" l="1"/>
  <c r="F230" i="8"/>
  <c r="E230" i="8"/>
  <c r="C230" i="8"/>
  <c r="D230" i="8"/>
  <c r="E260" i="21"/>
  <c r="J260" i="21"/>
  <c r="F260" i="21"/>
  <c r="D260" i="21"/>
  <c r="C260" i="21"/>
  <c r="A261" i="21"/>
  <c r="I259" i="21"/>
  <c r="A231" i="8"/>
  <c r="D233" i="7"/>
  <c r="E233" i="7"/>
  <c r="H233" i="7"/>
  <c r="G233" i="7"/>
  <c r="A234" i="7"/>
  <c r="G231" i="8" l="1"/>
  <c r="F231" i="8"/>
  <c r="D231" i="8"/>
  <c r="C231" i="8"/>
  <c r="E231" i="8"/>
  <c r="E261" i="21"/>
  <c r="J261" i="21"/>
  <c r="I260" i="21"/>
  <c r="A262" i="21"/>
  <c r="F261" i="21"/>
  <c r="D261" i="21"/>
  <c r="C261" i="21"/>
  <c r="A232" i="8"/>
  <c r="E234" i="7"/>
  <c r="G234" i="7"/>
  <c r="D234" i="7"/>
  <c r="H234" i="7"/>
  <c r="A235" i="7"/>
  <c r="G232" i="8" l="1"/>
  <c r="F232" i="8"/>
  <c r="D232" i="8"/>
  <c r="E232" i="8"/>
  <c r="C232" i="8"/>
  <c r="E262" i="21"/>
  <c r="J262" i="21"/>
  <c r="F262" i="21"/>
  <c r="D262" i="21"/>
  <c r="C262" i="21"/>
  <c r="A263" i="21"/>
  <c r="I261" i="21"/>
  <c r="A233" i="8"/>
  <c r="G235" i="7"/>
  <c r="D235" i="7"/>
  <c r="H235" i="7"/>
  <c r="E235" i="7"/>
  <c r="A236" i="7"/>
  <c r="G233" i="8" l="1"/>
  <c r="F233" i="8"/>
  <c r="C233" i="8"/>
  <c r="E233" i="8"/>
  <c r="D233" i="8"/>
  <c r="E263" i="21"/>
  <c r="J263" i="21"/>
  <c r="I262" i="21"/>
  <c r="D263" i="21"/>
  <c r="C263" i="21"/>
  <c r="F263" i="21"/>
  <c r="A264" i="21"/>
  <c r="A234" i="8"/>
  <c r="D236" i="7"/>
  <c r="H236" i="7"/>
  <c r="G236" i="7"/>
  <c r="E236" i="7"/>
  <c r="A237" i="7"/>
  <c r="G234" i="8" l="1"/>
  <c r="F234" i="8"/>
  <c r="E234" i="8"/>
  <c r="C234" i="8"/>
  <c r="D234" i="8"/>
  <c r="E264" i="21"/>
  <c r="J264" i="21"/>
  <c r="F264" i="21"/>
  <c r="D264" i="21"/>
  <c r="C264" i="21"/>
  <c r="A265" i="21"/>
  <c r="I263" i="21"/>
  <c r="A235" i="8"/>
  <c r="G237" i="7"/>
  <c r="D237" i="7"/>
  <c r="E237" i="7"/>
  <c r="H237" i="7"/>
  <c r="A238" i="7"/>
  <c r="F235" i="8" l="1"/>
  <c r="G235" i="8"/>
  <c r="D235" i="8"/>
  <c r="E235" i="8"/>
  <c r="C235" i="8"/>
  <c r="E265" i="21"/>
  <c r="J265" i="21"/>
  <c r="I264" i="21"/>
  <c r="F265" i="21"/>
  <c r="D265" i="21"/>
  <c r="C265" i="21"/>
  <c r="A266" i="21"/>
  <c r="A236" i="8"/>
  <c r="D238" i="7"/>
  <c r="G238" i="7"/>
  <c r="E238" i="7"/>
  <c r="H238" i="7"/>
  <c r="A239" i="7"/>
  <c r="G236" i="8" l="1"/>
  <c r="F236" i="8"/>
  <c r="C236" i="8"/>
  <c r="E236" i="8"/>
  <c r="D236" i="8"/>
  <c r="E266" i="21"/>
  <c r="J266" i="21"/>
  <c r="F266" i="21"/>
  <c r="D266" i="21"/>
  <c r="C266" i="21"/>
  <c r="A267" i="21"/>
  <c r="I265" i="21"/>
  <c r="A237" i="8"/>
  <c r="G239" i="7"/>
  <c r="E239" i="7"/>
  <c r="H239" i="7"/>
  <c r="D239" i="7"/>
  <c r="A240" i="7"/>
  <c r="F237" i="8" l="1"/>
  <c r="G237" i="8"/>
  <c r="C237" i="8"/>
  <c r="D237" i="8"/>
  <c r="E237" i="8"/>
  <c r="E267" i="21"/>
  <c r="J267" i="21"/>
  <c r="F267" i="21"/>
  <c r="D267" i="21"/>
  <c r="C267" i="21"/>
  <c r="A268" i="21"/>
  <c r="I266" i="21"/>
  <c r="A238" i="8"/>
  <c r="H240" i="7"/>
  <c r="E240" i="7"/>
  <c r="G240" i="7"/>
  <c r="D240" i="7"/>
  <c r="A241" i="7"/>
  <c r="F238" i="8" l="1"/>
  <c r="G238" i="8"/>
  <c r="C238" i="8"/>
  <c r="D238" i="8"/>
  <c r="E238" i="8"/>
  <c r="E268" i="21"/>
  <c r="J268" i="21"/>
  <c r="I267" i="21"/>
  <c r="F268" i="21"/>
  <c r="D268" i="21"/>
  <c r="C268" i="21"/>
  <c r="A269" i="21"/>
  <c r="A239" i="8"/>
  <c r="E241" i="7"/>
  <c r="H241" i="7"/>
  <c r="D241" i="7"/>
  <c r="G241" i="7"/>
  <c r="A242" i="7"/>
  <c r="F239" i="8" l="1"/>
  <c r="G239" i="8"/>
  <c r="E239" i="8"/>
  <c r="D239" i="8"/>
  <c r="C239" i="8"/>
  <c r="E269" i="21"/>
  <c r="J269" i="21"/>
  <c r="I268" i="21"/>
  <c r="F269" i="21"/>
  <c r="D269" i="21"/>
  <c r="C269" i="21"/>
  <c r="A270" i="21"/>
  <c r="A240" i="8"/>
  <c r="E242" i="7"/>
  <c r="D242" i="7"/>
  <c r="H242" i="7"/>
  <c r="G242" i="7"/>
  <c r="A243" i="7"/>
  <c r="G240" i="8" l="1"/>
  <c r="F240" i="8"/>
  <c r="E240" i="8"/>
  <c r="C240" i="8"/>
  <c r="D240" i="8"/>
  <c r="E270" i="21"/>
  <c r="J270" i="21"/>
  <c r="F270" i="21"/>
  <c r="D270" i="21"/>
  <c r="C270" i="21"/>
  <c r="A271" i="21"/>
  <c r="I269" i="21"/>
  <c r="A241" i="8"/>
  <c r="G243" i="7"/>
  <c r="D243" i="7"/>
  <c r="H243" i="7"/>
  <c r="E243" i="7"/>
  <c r="A244" i="7"/>
  <c r="F241" i="8" l="1"/>
  <c r="G241" i="8"/>
  <c r="E241" i="8"/>
  <c r="D241" i="8"/>
  <c r="C241" i="8"/>
  <c r="E271" i="21"/>
  <c r="J271" i="21"/>
  <c r="D271" i="21"/>
  <c r="C271" i="21"/>
  <c r="F271" i="21"/>
  <c r="A272" i="21"/>
  <c r="I270" i="21"/>
  <c r="A242" i="8"/>
  <c r="D244" i="7"/>
  <c r="E244" i="7"/>
  <c r="H244" i="7"/>
  <c r="G244" i="7"/>
  <c r="A245" i="7"/>
  <c r="F242" i="8" l="1"/>
  <c r="G242" i="8"/>
  <c r="E242" i="8"/>
  <c r="D242" i="8"/>
  <c r="C242" i="8"/>
  <c r="E272" i="21"/>
  <c r="J272" i="21"/>
  <c r="I271" i="21"/>
  <c r="F272" i="21"/>
  <c r="D272" i="21"/>
  <c r="C272" i="21"/>
  <c r="A273" i="21"/>
  <c r="A243" i="8"/>
  <c r="E245" i="7"/>
  <c r="G245" i="7"/>
  <c r="H245" i="7"/>
  <c r="D245" i="7"/>
  <c r="A246" i="7"/>
  <c r="F243" i="8" l="1"/>
  <c r="G243" i="8"/>
  <c r="E243" i="8"/>
  <c r="C243" i="8"/>
  <c r="D243" i="8"/>
  <c r="E273" i="21"/>
  <c r="J273" i="21"/>
  <c r="F273" i="21"/>
  <c r="C273" i="21"/>
  <c r="D273" i="21"/>
  <c r="A274" i="21"/>
  <c r="I272" i="21"/>
  <c r="A244" i="8"/>
  <c r="G246" i="7"/>
  <c r="E246" i="7"/>
  <c r="H246" i="7"/>
  <c r="D246" i="7"/>
  <c r="A247" i="7"/>
  <c r="G244" i="8" l="1"/>
  <c r="F244" i="8"/>
  <c r="D244" i="8"/>
  <c r="C244" i="8"/>
  <c r="E244" i="8"/>
  <c r="E274" i="21"/>
  <c r="J274" i="21"/>
  <c r="F274" i="21"/>
  <c r="D274" i="21"/>
  <c r="C274" i="21"/>
  <c r="A275" i="21"/>
  <c r="I273" i="21"/>
  <c r="A245" i="8"/>
  <c r="H247" i="7"/>
  <c r="E247" i="7"/>
  <c r="G247" i="7"/>
  <c r="D247" i="7"/>
  <c r="A248" i="7"/>
  <c r="F245" i="8" l="1"/>
  <c r="G245" i="8"/>
  <c r="C245" i="8"/>
  <c r="E245" i="8"/>
  <c r="D245" i="8"/>
  <c r="E275" i="21"/>
  <c r="J275" i="21"/>
  <c r="F275" i="21"/>
  <c r="D275" i="21"/>
  <c r="C275" i="21"/>
  <c r="A276" i="21"/>
  <c r="I274" i="21"/>
  <c r="A246" i="8"/>
  <c r="E248" i="7"/>
  <c r="H248" i="7"/>
  <c r="G248" i="7"/>
  <c r="D248" i="7"/>
  <c r="A249" i="7"/>
  <c r="G246" i="8" l="1"/>
  <c r="F246" i="8"/>
  <c r="E246" i="8"/>
  <c r="C246" i="8"/>
  <c r="D246" i="8"/>
  <c r="E276" i="21"/>
  <c r="J276" i="21"/>
  <c r="F276" i="21"/>
  <c r="D276" i="21"/>
  <c r="C276" i="21"/>
  <c r="A277" i="21"/>
  <c r="I275" i="21"/>
  <c r="A247" i="8"/>
  <c r="G249" i="7"/>
  <c r="D249" i="7"/>
  <c r="E249" i="7"/>
  <c r="H249" i="7"/>
  <c r="A250" i="7"/>
  <c r="F247" i="8" l="1"/>
  <c r="G247" i="8"/>
  <c r="D247" i="8"/>
  <c r="C247" i="8"/>
  <c r="E247" i="8"/>
  <c r="E277" i="21"/>
  <c r="J277" i="21"/>
  <c r="D277" i="21"/>
  <c r="C277" i="21"/>
  <c r="F277" i="21"/>
  <c r="A278" i="21"/>
  <c r="I276" i="21"/>
  <c r="A248" i="8"/>
  <c r="G250" i="7"/>
  <c r="H250" i="7"/>
  <c r="E250" i="7"/>
  <c r="D250" i="7"/>
  <c r="A251" i="7"/>
  <c r="G248" i="8" l="1"/>
  <c r="F248" i="8"/>
  <c r="D248" i="8"/>
  <c r="C248" i="8"/>
  <c r="E248" i="8"/>
  <c r="E278" i="21"/>
  <c r="J278" i="21"/>
  <c r="I277" i="21"/>
  <c r="D278" i="21"/>
  <c r="F278" i="21"/>
  <c r="C278" i="21"/>
  <c r="A279" i="21"/>
  <c r="A249" i="8"/>
  <c r="E251" i="7"/>
  <c r="G251" i="7"/>
  <c r="D251" i="7"/>
  <c r="H251" i="7"/>
  <c r="A252" i="7"/>
  <c r="G249" i="8" l="1"/>
  <c r="F249" i="8"/>
  <c r="C249" i="8"/>
  <c r="D249" i="8"/>
  <c r="E249" i="8"/>
  <c r="E279" i="21"/>
  <c r="J279" i="21"/>
  <c r="I278" i="21"/>
  <c r="F279" i="21"/>
  <c r="D279" i="21"/>
  <c r="C279" i="21"/>
  <c r="A280" i="21"/>
  <c r="A250" i="8"/>
  <c r="G252" i="7"/>
  <c r="D252" i="7"/>
  <c r="E252" i="7"/>
  <c r="H252" i="7"/>
  <c r="A253" i="7"/>
  <c r="G250" i="8" l="1"/>
  <c r="F250" i="8"/>
  <c r="C250" i="8"/>
  <c r="E250" i="8"/>
  <c r="D250" i="8"/>
  <c r="E280" i="21"/>
  <c r="J280" i="21"/>
  <c r="I279" i="21"/>
  <c r="F280" i="21"/>
  <c r="D280" i="21"/>
  <c r="C280" i="21"/>
  <c r="A281" i="21"/>
  <c r="A251" i="8"/>
  <c r="E253" i="7"/>
  <c r="D253" i="7"/>
  <c r="H253" i="7"/>
  <c r="G253" i="7"/>
  <c r="A254" i="7"/>
  <c r="G251" i="8" l="1"/>
  <c r="F251" i="8"/>
  <c r="C251" i="8"/>
  <c r="D251" i="8"/>
  <c r="E251" i="8"/>
  <c r="E281" i="21"/>
  <c r="J281" i="21"/>
  <c r="F281" i="21"/>
  <c r="D281" i="21"/>
  <c r="C281" i="21"/>
  <c r="A282" i="21"/>
  <c r="I280" i="21"/>
  <c r="A252" i="8"/>
  <c r="E254" i="7"/>
  <c r="G254" i="7"/>
  <c r="H254" i="7"/>
  <c r="D254" i="7"/>
  <c r="A255" i="7"/>
  <c r="G252" i="8" l="1"/>
  <c r="F252" i="8"/>
  <c r="E252" i="8"/>
  <c r="D252" i="8"/>
  <c r="C252" i="8"/>
  <c r="E282" i="21"/>
  <c r="J282" i="21"/>
  <c r="I281" i="21"/>
  <c r="C282" i="21"/>
  <c r="F282" i="21"/>
  <c r="D282" i="21"/>
  <c r="A283" i="21"/>
  <c r="A253" i="8"/>
  <c r="D255" i="7"/>
  <c r="G255" i="7"/>
  <c r="E255" i="7"/>
  <c r="H255" i="7"/>
  <c r="A256" i="7"/>
  <c r="F253" i="8" l="1"/>
  <c r="G253" i="8"/>
  <c r="D253" i="8"/>
  <c r="C253" i="8"/>
  <c r="E253" i="8"/>
  <c r="E283" i="21"/>
  <c r="J283" i="21"/>
  <c r="I282" i="21"/>
  <c r="F283" i="21"/>
  <c r="D283" i="21"/>
  <c r="C283" i="21"/>
  <c r="A284" i="21"/>
  <c r="A254" i="8"/>
  <c r="G256" i="7"/>
  <c r="D256" i="7"/>
  <c r="H256" i="7"/>
  <c r="E256" i="7"/>
  <c r="A257" i="7"/>
  <c r="G254" i="8" l="1"/>
  <c r="F254" i="8"/>
  <c r="E254" i="8"/>
  <c r="D254" i="8"/>
  <c r="C254" i="8"/>
  <c r="E284" i="21"/>
  <c r="J284" i="21"/>
  <c r="F284" i="21"/>
  <c r="C284" i="21"/>
  <c r="D284" i="21"/>
  <c r="A285" i="21"/>
  <c r="I283" i="21"/>
  <c r="A255" i="8"/>
  <c r="H257" i="7"/>
  <c r="D257" i="7"/>
  <c r="G257" i="7"/>
  <c r="E257" i="7"/>
  <c r="A258" i="7"/>
  <c r="F255" i="8" l="1"/>
  <c r="G255" i="8"/>
  <c r="E255" i="8"/>
  <c r="C255" i="8"/>
  <c r="D255" i="8"/>
  <c r="E285" i="21"/>
  <c r="J285" i="21"/>
  <c r="C285" i="21"/>
  <c r="F285" i="21"/>
  <c r="D285" i="21"/>
  <c r="A286" i="21"/>
  <c r="I284" i="21"/>
  <c r="A256" i="8"/>
  <c r="E258" i="7"/>
  <c r="D258" i="7"/>
  <c r="H258" i="7"/>
  <c r="G258" i="7"/>
  <c r="A259" i="7"/>
  <c r="G256" i="8" l="1"/>
  <c r="F256" i="8"/>
  <c r="E256" i="8"/>
  <c r="D256" i="8"/>
  <c r="C256" i="8"/>
  <c r="E286" i="21"/>
  <c r="J286" i="21"/>
  <c r="I285" i="21"/>
  <c r="C286" i="21"/>
  <c r="F286" i="21"/>
  <c r="D286" i="21"/>
  <c r="A287" i="21"/>
  <c r="A257" i="8"/>
  <c r="G259" i="7"/>
  <c r="E259" i="7"/>
  <c r="D259" i="7"/>
  <c r="H259" i="7"/>
  <c r="A260" i="7"/>
  <c r="G257" i="8" l="1"/>
  <c r="F257" i="8"/>
  <c r="C257" i="8"/>
  <c r="D257" i="8"/>
  <c r="E257" i="8"/>
  <c r="E287" i="21"/>
  <c r="J287" i="21"/>
  <c r="F287" i="21"/>
  <c r="D287" i="21"/>
  <c r="C287" i="21"/>
  <c r="A288" i="21"/>
  <c r="I286" i="21"/>
  <c r="A258" i="8"/>
  <c r="G260" i="7"/>
  <c r="H260" i="7"/>
  <c r="E260" i="7"/>
  <c r="D260" i="7"/>
  <c r="A261" i="7"/>
  <c r="G258" i="8" l="1"/>
  <c r="F258" i="8"/>
  <c r="E258" i="8"/>
  <c r="C258" i="8"/>
  <c r="D258" i="8"/>
  <c r="E288" i="21"/>
  <c r="J288" i="21"/>
  <c r="I287" i="21"/>
  <c r="F288" i="21"/>
  <c r="D288" i="21"/>
  <c r="C288" i="21"/>
  <c r="A289" i="21"/>
  <c r="A259" i="8"/>
  <c r="G261" i="7"/>
  <c r="E261" i="7"/>
  <c r="D261" i="7"/>
  <c r="H261" i="7"/>
  <c r="A262" i="7"/>
  <c r="G259" i="8" l="1"/>
  <c r="F259" i="8"/>
  <c r="D259" i="8"/>
  <c r="E259" i="8"/>
  <c r="C259" i="8"/>
  <c r="E289" i="21"/>
  <c r="J289" i="21"/>
  <c r="I288" i="21"/>
  <c r="F289" i="21"/>
  <c r="C289" i="21"/>
  <c r="D289" i="21"/>
  <c r="A290" i="21"/>
  <c r="A260" i="8"/>
  <c r="H262" i="7"/>
  <c r="E262" i="7"/>
  <c r="G262" i="7"/>
  <c r="D262" i="7"/>
  <c r="A263" i="7"/>
  <c r="G260" i="8" l="1"/>
  <c r="F260" i="8"/>
  <c r="D260" i="8"/>
  <c r="C260" i="8"/>
  <c r="E260" i="8"/>
  <c r="E290" i="21"/>
  <c r="J290" i="21"/>
  <c r="I289" i="21"/>
  <c r="C290" i="21"/>
  <c r="F290" i="21"/>
  <c r="D290" i="21"/>
  <c r="A291" i="21"/>
  <c r="A261" i="8"/>
  <c r="H263" i="7"/>
  <c r="D263" i="7"/>
  <c r="E263" i="7"/>
  <c r="G263" i="7"/>
  <c r="A264" i="7"/>
  <c r="F261" i="8" l="1"/>
  <c r="G261" i="8"/>
  <c r="C261" i="8"/>
  <c r="E261" i="8"/>
  <c r="D261" i="8"/>
  <c r="E291" i="21"/>
  <c r="J291" i="21"/>
  <c r="I290" i="21"/>
  <c r="F291" i="21"/>
  <c r="D291" i="21"/>
  <c r="C291" i="21"/>
  <c r="A292" i="21"/>
  <c r="A262" i="8"/>
  <c r="G264" i="7"/>
  <c r="H264" i="7"/>
  <c r="D264" i="7"/>
  <c r="E264" i="7"/>
  <c r="A265" i="7"/>
  <c r="G262" i="8" l="1"/>
  <c r="F262" i="8"/>
  <c r="D262" i="8"/>
  <c r="C262" i="8"/>
  <c r="E262" i="8"/>
  <c r="E292" i="21"/>
  <c r="J292" i="21"/>
  <c r="I291" i="21"/>
  <c r="D292" i="21"/>
  <c r="F292" i="21"/>
  <c r="C292" i="21"/>
  <c r="A293" i="21"/>
  <c r="A263" i="8"/>
  <c r="H265" i="7"/>
  <c r="E265" i="7"/>
  <c r="G265" i="7"/>
  <c r="D265" i="7"/>
  <c r="A266" i="7"/>
  <c r="F263" i="8" l="1"/>
  <c r="G263" i="8"/>
  <c r="D263" i="8"/>
  <c r="C263" i="8"/>
  <c r="E263" i="8"/>
  <c r="E293" i="21"/>
  <c r="J293" i="21"/>
  <c r="I292" i="21"/>
  <c r="C293" i="21"/>
  <c r="F293" i="21"/>
  <c r="D293" i="21"/>
  <c r="A294" i="21"/>
  <c r="A264" i="8"/>
  <c r="E266" i="7"/>
  <c r="H266" i="7"/>
  <c r="G266" i="7"/>
  <c r="D266" i="7"/>
  <c r="A267" i="7"/>
  <c r="F264" i="8" l="1"/>
  <c r="G264" i="8"/>
  <c r="C264" i="8"/>
  <c r="E264" i="8"/>
  <c r="D264" i="8"/>
  <c r="J294" i="21"/>
  <c r="E294" i="21"/>
  <c r="C294" i="21"/>
  <c r="F294" i="21"/>
  <c r="D294" i="21"/>
  <c r="A295" i="21"/>
  <c r="I293" i="21"/>
  <c r="A265" i="8"/>
  <c r="D267" i="7"/>
  <c r="G267" i="7"/>
  <c r="E267" i="7"/>
  <c r="H267" i="7"/>
  <c r="A268" i="7"/>
  <c r="F265" i="8" l="1"/>
  <c r="G265" i="8"/>
  <c r="E265" i="8"/>
  <c r="C265" i="8"/>
  <c r="D265" i="8"/>
  <c r="J295" i="21"/>
  <c r="E295" i="21"/>
  <c r="D295" i="21"/>
  <c r="F295" i="21"/>
  <c r="C295" i="21"/>
  <c r="A296" i="21"/>
  <c r="I294" i="21"/>
  <c r="A266" i="8"/>
  <c r="H268" i="7"/>
  <c r="G268" i="7"/>
  <c r="D268" i="7"/>
  <c r="E268" i="7"/>
  <c r="A269" i="7"/>
  <c r="F266" i="8" l="1"/>
  <c r="G266" i="8"/>
  <c r="E266" i="8"/>
  <c r="C266" i="8"/>
  <c r="D266" i="8"/>
  <c r="J296" i="21"/>
  <c r="E296" i="21"/>
  <c r="F296" i="21"/>
  <c r="D296" i="21"/>
  <c r="C296" i="21"/>
  <c r="A297" i="21"/>
  <c r="I295" i="21"/>
  <c r="A267" i="8"/>
  <c r="H269" i="7"/>
  <c r="E269" i="7"/>
  <c r="G269" i="7"/>
  <c r="D269" i="7"/>
  <c r="A270" i="7"/>
  <c r="F267" i="8" l="1"/>
  <c r="G267" i="8"/>
  <c r="E267" i="8"/>
  <c r="D267" i="8"/>
  <c r="C267" i="8"/>
  <c r="J297" i="21"/>
  <c r="E297" i="21"/>
  <c r="F297" i="21"/>
  <c r="D297" i="21"/>
  <c r="C297" i="21"/>
  <c r="A298" i="21"/>
  <c r="I296" i="21"/>
  <c r="A268" i="8"/>
  <c r="H270" i="7"/>
  <c r="E270" i="7"/>
  <c r="G270" i="7"/>
  <c r="D270" i="7"/>
  <c r="A271" i="7"/>
  <c r="G268" i="8" l="1"/>
  <c r="F268" i="8"/>
  <c r="E268" i="8"/>
  <c r="D268" i="8"/>
  <c r="C268" i="8"/>
  <c r="J298" i="21"/>
  <c r="E298" i="21"/>
  <c r="I297" i="21"/>
  <c r="C298" i="21"/>
  <c r="F298" i="21"/>
  <c r="D298" i="21"/>
  <c r="A299" i="21"/>
  <c r="A269" i="8"/>
  <c r="G271" i="7"/>
  <c r="D271" i="7"/>
  <c r="H271" i="7"/>
  <c r="E271" i="7"/>
  <c r="A272" i="7"/>
  <c r="G269" i="8" l="1"/>
  <c r="F269" i="8"/>
  <c r="C269" i="8"/>
  <c r="D269" i="8"/>
  <c r="E269" i="8"/>
  <c r="J299" i="21"/>
  <c r="E299" i="21"/>
  <c r="I298" i="21"/>
  <c r="F299" i="21"/>
  <c r="D299" i="21"/>
  <c r="C299" i="21"/>
  <c r="A300" i="21"/>
  <c r="A270" i="8"/>
  <c r="H272" i="7"/>
  <c r="D272" i="7"/>
  <c r="G272" i="7"/>
  <c r="E272" i="7"/>
  <c r="A273" i="7"/>
  <c r="G270" i="8" l="1"/>
  <c r="F270" i="8"/>
  <c r="D270" i="8"/>
  <c r="E270" i="8"/>
  <c r="C270" i="8"/>
  <c r="J300" i="21"/>
  <c r="E300" i="21"/>
  <c r="I299" i="21"/>
  <c r="F300" i="21"/>
  <c r="D300" i="21"/>
  <c r="C300" i="21"/>
  <c r="A301" i="21"/>
  <c r="A271" i="8"/>
  <c r="E273" i="7"/>
  <c r="G273" i="7"/>
  <c r="D273" i="7"/>
  <c r="H273" i="7"/>
  <c r="A274" i="7"/>
  <c r="G271" i="8" l="1"/>
  <c r="F271" i="8"/>
  <c r="E271" i="8"/>
  <c r="D271" i="8"/>
  <c r="C271" i="8"/>
  <c r="A302" i="21"/>
  <c r="J301" i="21"/>
  <c r="E301" i="21"/>
  <c r="F301" i="21"/>
  <c r="D301" i="21"/>
  <c r="C301" i="21"/>
  <c r="I300" i="21"/>
  <c r="A272" i="8"/>
  <c r="D274" i="7"/>
  <c r="H274" i="7"/>
  <c r="E274" i="7"/>
  <c r="G274" i="7"/>
  <c r="A275" i="7"/>
  <c r="G272" i="8" l="1"/>
  <c r="F272" i="8"/>
  <c r="D272" i="8"/>
  <c r="C272" i="8"/>
  <c r="E272" i="8"/>
  <c r="A303" i="21"/>
  <c r="C302" i="21"/>
  <c r="D302" i="21"/>
  <c r="E302" i="21"/>
  <c r="F302" i="21"/>
  <c r="J302" i="21"/>
  <c r="I301" i="21"/>
  <c r="A273" i="8"/>
  <c r="H275" i="7"/>
  <c r="G275" i="7"/>
  <c r="D275" i="7"/>
  <c r="E275" i="7"/>
  <c r="A276" i="7"/>
  <c r="G273" i="8" l="1"/>
  <c r="F273" i="8"/>
  <c r="D273" i="8"/>
  <c r="E273" i="8"/>
  <c r="C273" i="8"/>
  <c r="I302" i="21"/>
  <c r="F303" i="21"/>
  <c r="J303" i="21"/>
  <c r="A304" i="21"/>
  <c r="C303" i="21"/>
  <c r="D303" i="21"/>
  <c r="E303" i="21"/>
  <c r="A274" i="8"/>
  <c r="D276" i="7"/>
  <c r="G276" i="7"/>
  <c r="H276" i="7"/>
  <c r="E276" i="7"/>
  <c r="A277" i="7"/>
  <c r="G274" i="8" l="1"/>
  <c r="F274" i="8"/>
  <c r="D274" i="8"/>
  <c r="E274" i="8"/>
  <c r="C274" i="8"/>
  <c r="I303" i="21"/>
  <c r="C304" i="21"/>
  <c r="D304" i="21"/>
  <c r="E304" i="21"/>
  <c r="F304" i="21"/>
  <c r="J304" i="21"/>
  <c r="A305" i="21"/>
  <c r="A275" i="8"/>
  <c r="E277" i="7"/>
  <c r="D277" i="7"/>
  <c r="G277" i="7"/>
  <c r="H277" i="7"/>
  <c r="A278" i="7"/>
  <c r="G275" i="8" l="1"/>
  <c r="F275" i="8"/>
  <c r="C275" i="8"/>
  <c r="E275" i="8"/>
  <c r="D275" i="8"/>
  <c r="I304" i="21"/>
  <c r="C305" i="21"/>
  <c r="D305" i="21"/>
  <c r="E305" i="21"/>
  <c r="F305" i="21"/>
  <c r="J305" i="21"/>
  <c r="A306" i="21"/>
  <c r="A276" i="8"/>
  <c r="H278" i="7"/>
  <c r="D278" i="7"/>
  <c r="G278" i="7"/>
  <c r="E278" i="7"/>
  <c r="A279" i="7"/>
  <c r="G276" i="8" l="1"/>
  <c r="F276" i="8"/>
  <c r="E276" i="8"/>
  <c r="C276" i="8"/>
  <c r="D276" i="8"/>
  <c r="C306" i="21"/>
  <c r="D306" i="21"/>
  <c r="A307" i="21"/>
  <c r="E306" i="21"/>
  <c r="F306" i="21"/>
  <c r="J306" i="21"/>
  <c r="I305" i="21"/>
  <c r="A277" i="8"/>
  <c r="G279" i="7"/>
  <c r="E279" i="7"/>
  <c r="H279" i="7"/>
  <c r="D279" i="7"/>
  <c r="A280" i="7"/>
  <c r="G277" i="8" l="1"/>
  <c r="F277" i="8"/>
  <c r="C277" i="8"/>
  <c r="D277" i="8"/>
  <c r="E277" i="8"/>
  <c r="F307" i="21"/>
  <c r="J307" i="21"/>
  <c r="A308" i="21"/>
  <c r="C307" i="21"/>
  <c r="D307" i="21"/>
  <c r="E307" i="21"/>
  <c r="I306" i="21"/>
  <c r="A278" i="8"/>
  <c r="G280" i="7"/>
  <c r="H280" i="7"/>
  <c r="E280" i="7"/>
  <c r="D280" i="7"/>
  <c r="A281" i="7"/>
  <c r="F278" i="8" l="1"/>
  <c r="G278" i="8"/>
  <c r="C278" i="8"/>
  <c r="D278" i="8"/>
  <c r="E278" i="8"/>
  <c r="I307" i="21"/>
  <c r="A309" i="21"/>
  <c r="C308" i="21"/>
  <c r="D308" i="21"/>
  <c r="E308" i="21"/>
  <c r="F308" i="21"/>
  <c r="J308" i="21"/>
  <c r="A279" i="8"/>
  <c r="E281" i="7"/>
  <c r="D281" i="7"/>
  <c r="H281" i="7"/>
  <c r="G281" i="7"/>
  <c r="A282" i="7"/>
  <c r="G279" i="8" l="1"/>
  <c r="F279" i="8"/>
  <c r="D279" i="8"/>
  <c r="C279" i="8"/>
  <c r="E279" i="8"/>
  <c r="A310" i="21"/>
  <c r="C309" i="21"/>
  <c r="D309" i="21"/>
  <c r="E309" i="21"/>
  <c r="F309" i="21"/>
  <c r="J309" i="21"/>
  <c r="I308" i="21"/>
  <c r="A280" i="8"/>
  <c r="H282" i="7"/>
  <c r="G282" i="7"/>
  <c r="D282" i="7"/>
  <c r="E282" i="7"/>
  <c r="A283" i="7"/>
  <c r="G280" i="8" l="1"/>
  <c r="F280" i="8"/>
  <c r="E280" i="8"/>
  <c r="D280" i="8"/>
  <c r="C280" i="8"/>
  <c r="I309" i="21"/>
  <c r="A311" i="21"/>
  <c r="C310" i="21"/>
  <c r="D310" i="21"/>
  <c r="E310" i="21"/>
  <c r="F310" i="21"/>
  <c r="J310" i="21"/>
  <c r="A281" i="8"/>
  <c r="G283" i="7"/>
  <c r="D283" i="7"/>
  <c r="H283" i="7"/>
  <c r="E283" i="7"/>
  <c r="A284" i="7"/>
  <c r="F281" i="8" l="1"/>
  <c r="G281" i="8"/>
  <c r="C281" i="8"/>
  <c r="E281" i="8"/>
  <c r="D281" i="8"/>
  <c r="A312" i="21"/>
  <c r="F311" i="21"/>
  <c r="J311" i="21"/>
  <c r="D311" i="21"/>
  <c r="E311" i="21"/>
  <c r="C311" i="21"/>
  <c r="I310" i="21"/>
  <c r="A282" i="8"/>
  <c r="G284" i="7"/>
  <c r="E284" i="7"/>
  <c r="H284" i="7"/>
  <c r="D284" i="7"/>
  <c r="A285" i="7"/>
  <c r="G282" i="8" l="1"/>
  <c r="F282" i="8"/>
  <c r="D282" i="8"/>
  <c r="E282" i="8"/>
  <c r="C282" i="8"/>
  <c r="I311" i="21"/>
  <c r="A313" i="21"/>
  <c r="C312" i="21"/>
  <c r="D312" i="21"/>
  <c r="E312" i="21"/>
  <c r="F312" i="21"/>
  <c r="J312" i="21"/>
  <c r="A283" i="8"/>
  <c r="H285" i="7"/>
  <c r="D285" i="7"/>
  <c r="G285" i="7"/>
  <c r="E285" i="7"/>
  <c r="A286" i="7"/>
  <c r="G283" i="8" l="1"/>
  <c r="F283" i="8"/>
  <c r="C283" i="8"/>
  <c r="D283" i="8"/>
  <c r="E283" i="8"/>
  <c r="I312" i="21"/>
  <c r="A314" i="21"/>
  <c r="C313" i="21"/>
  <c r="D313" i="21"/>
  <c r="E313" i="21"/>
  <c r="F313" i="21"/>
  <c r="J313" i="21"/>
  <c r="A284" i="8"/>
  <c r="G286" i="7"/>
  <c r="D286" i="7"/>
  <c r="H286" i="7"/>
  <c r="E286" i="7"/>
  <c r="A287" i="7"/>
  <c r="G284" i="8" l="1"/>
  <c r="F284" i="8"/>
  <c r="C284" i="8"/>
  <c r="D284" i="8"/>
  <c r="E284" i="8"/>
  <c r="A315" i="21"/>
  <c r="C314" i="21"/>
  <c r="D314" i="21"/>
  <c r="E314" i="21"/>
  <c r="F314" i="21"/>
  <c r="J314" i="21"/>
  <c r="I313" i="21"/>
  <c r="A285" i="8"/>
  <c r="E287" i="7"/>
  <c r="D287" i="7"/>
  <c r="H287" i="7"/>
  <c r="G287" i="7"/>
  <c r="A288" i="7"/>
  <c r="F285" i="8" l="1"/>
  <c r="G285" i="8"/>
  <c r="E285" i="8"/>
  <c r="C285" i="8"/>
  <c r="D285" i="8"/>
  <c r="I314" i="21"/>
  <c r="A316" i="21"/>
  <c r="F315" i="21"/>
  <c r="J315" i="21"/>
  <c r="C315" i="21"/>
  <c r="D315" i="21"/>
  <c r="E315" i="21"/>
  <c r="A286" i="8"/>
  <c r="H288" i="7"/>
  <c r="E288" i="7"/>
  <c r="G288" i="7"/>
  <c r="D288" i="7"/>
  <c r="A289" i="7"/>
  <c r="F286" i="8" l="1"/>
  <c r="G286" i="8"/>
  <c r="E286" i="8"/>
  <c r="C286" i="8"/>
  <c r="D286" i="8"/>
  <c r="I315" i="21"/>
  <c r="A317" i="21"/>
  <c r="C316" i="21"/>
  <c r="D316" i="21"/>
  <c r="E316" i="21"/>
  <c r="F316" i="21"/>
  <c r="J316" i="21"/>
  <c r="A287" i="8"/>
  <c r="E289" i="7"/>
  <c r="H289" i="7"/>
  <c r="D289" i="7"/>
  <c r="G289" i="7"/>
  <c r="A290" i="7"/>
  <c r="F287" i="8" l="1"/>
  <c r="G287" i="8"/>
  <c r="C287" i="8"/>
  <c r="D287" i="8"/>
  <c r="E287" i="8"/>
  <c r="I316" i="21"/>
  <c r="A318" i="21"/>
  <c r="C317" i="21"/>
  <c r="D317" i="21"/>
  <c r="E317" i="21"/>
  <c r="F317" i="21"/>
  <c r="J317" i="21"/>
  <c r="A288" i="8"/>
  <c r="E290" i="7"/>
  <c r="G290" i="7"/>
  <c r="D290" i="7"/>
  <c r="H290" i="7"/>
  <c r="A291" i="7"/>
  <c r="G288" i="8" l="1"/>
  <c r="F288" i="8"/>
  <c r="E288" i="8"/>
  <c r="C288" i="8"/>
  <c r="D288" i="8"/>
  <c r="A319" i="21"/>
  <c r="C318" i="21"/>
  <c r="D318" i="21"/>
  <c r="E318" i="21"/>
  <c r="F318" i="21"/>
  <c r="J318" i="21"/>
  <c r="I317" i="21"/>
  <c r="A289" i="8"/>
  <c r="H291" i="7"/>
  <c r="G291" i="7"/>
  <c r="E291" i="7"/>
  <c r="D291" i="7"/>
  <c r="A292" i="7"/>
  <c r="G289" i="8" l="1"/>
  <c r="F289" i="8"/>
  <c r="E289" i="8"/>
  <c r="C289" i="8"/>
  <c r="D289" i="8"/>
  <c r="I318" i="21"/>
  <c r="F319" i="21"/>
  <c r="J319" i="21"/>
  <c r="A320" i="21"/>
  <c r="C319" i="21"/>
  <c r="D319" i="21"/>
  <c r="E319" i="21"/>
  <c r="A290" i="8"/>
  <c r="G292" i="7"/>
  <c r="D292" i="7"/>
  <c r="H292" i="7"/>
  <c r="E292" i="7"/>
  <c r="A293" i="7"/>
  <c r="G290" i="8" l="1"/>
  <c r="F290" i="8"/>
  <c r="D290" i="8"/>
  <c r="E290" i="8"/>
  <c r="C290" i="8"/>
  <c r="I319" i="21"/>
  <c r="A321" i="21"/>
  <c r="C320" i="21"/>
  <c r="D320" i="21"/>
  <c r="E320" i="21"/>
  <c r="F320" i="21"/>
  <c r="J320" i="21"/>
  <c r="A291" i="8"/>
  <c r="E293" i="7"/>
  <c r="H293" i="7"/>
  <c r="D293" i="7"/>
  <c r="G293" i="7"/>
  <c r="A294" i="7"/>
  <c r="G291" i="8" l="1"/>
  <c r="F291" i="8"/>
  <c r="C291" i="8"/>
  <c r="D291" i="8"/>
  <c r="E291" i="8"/>
  <c r="A322" i="21"/>
  <c r="F321" i="21"/>
  <c r="E321" i="21"/>
  <c r="C321" i="21"/>
  <c r="D321" i="21"/>
  <c r="J321" i="21"/>
  <c r="I320" i="21"/>
  <c r="A292" i="8"/>
  <c r="G294" i="7"/>
  <c r="E294" i="7"/>
  <c r="H294" i="7"/>
  <c r="D294" i="7"/>
  <c r="A295" i="7"/>
  <c r="G292" i="8" l="1"/>
  <c r="F292" i="8"/>
  <c r="C292" i="8"/>
  <c r="D292" i="8"/>
  <c r="E292" i="8"/>
  <c r="A323" i="21"/>
  <c r="F322" i="21"/>
  <c r="D322" i="21"/>
  <c r="C322" i="21"/>
  <c r="E322" i="21"/>
  <c r="J322" i="21"/>
  <c r="I321" i="21"/>
  <c r="A293" i="8"/>
  <c r="D295" i="7"/>
  <c r="H295" i="7"/>
  <c r="E295" i="7"/>
  <c r="G295" i="7"/>
  <c r="A296" i="7"/>
  <c r="F293" i="8" l="1"/>
  <c r="G293" i="8"/>
  <c r="D293" i="8"/>
  <c r="C293" i="8"/>
  <c r="E293" i="8"/>
  <c r="I322" i="21"/>
  <c r="A324" i="21"/>
  <c r="F323" i="21"/>
  <c r="E323" i="21"/>
  <c r="C323" i="21"/>
  <c r="D323" i="21"/>
  <c r="J323" i="21"/>
  <c r="A294" i="8"/>
  <c r="D296" i="7"/>
  <c r="E296" i="7"/>
  <c r="H296" i="7"/>
  <c r="G296" i="7"/>
  <c r="A297" i="7"/>
  <c r="G294" i="8" l="1"/>
  <c r="F294" i="8"/>
  <c r="D294" i="8"/>
  <c r="E294" i="8"/>
  <c r="C294" i="8"/>
  <c r="I323" i="21"/>
  <c r="A325" i="21"/>
  <c r="F324" i="21"/>
  <c r="C324" i="21"/>
  <c r="E324" i="21"/>
  <c r="D324" i="21"/>
  <c r="J324" i="21"/>
  <c r="A295" i="8"/>
  <c r="E297" i="7"/>
  <c r="H297" i="7"/>
  <c r="G297" i="7"/>
  <c r="I297" i="7"/>
  <c r="D297" i="7"/>
  <c r="A298" i="7"/>
  <c r="G295" i="8" l="1"/>
  <c r="F295" i="8"/>
  <c r="E295" i="8"/>
  <c r="C295" i="8"/>
  <c r="D295" i="8"/>
  <c r="I324" i="21"/>
  <c r="A326" i="21"/>
  <c r="F325" i="21"/>
  <c r="C325" i="21"/>
  <c r="D325" i="21"/>
  <c r="E325" i="21"/>
  <c r="J325" i="21"/>
  <c r="A296" i="8"/>
  <c r="D298" i="7"/>
  <c r="G298" i="7"/>
  <c r="H298" i="7"/>
  <c r="E298" i="7"/>
  <c r="I298" i="7"/>
  <c r="A299" i="7"/>
  <c r="G296" i="8" l="1"/>
  <c r="F296" i="8"/>
  <c r="C296" i="8"/>
  <c r="E296" i="8"/>
  <c r="D296" i="8"/>
  <c r="I325" i="21"/>
  <c r="A327" i="21"/>
  <c r="F326" i="21"/>
  <c r="C326" i="21"/>
  <c r="E326" i="21"/>
  <c r="D326" i="21"/>
  <c r="J326" i="21"/>
  <c r="A297" i="8"/>
  <c r="I299" i="7"/>
  <c r="H299" i="7"/>
  <c r="G299" i="7"/>
  <c r="D299" i="7"/>
  <c r="E299" i="7"/>
  <c r="A300" i="7"/>
  <c r="G297" i="8" l="1"/>
  <c r="F297" i="8"/>
  <c r="E297" i="8"/>
  <c r="C297" i="8"/>
  <c r="D297" i="8"/>
  <c r="I326" i="21"/>
  <c r="A328" i="21"/>
  <c r="F327" i="21"/>
  <c r="J327" i="21"/>
  <c r="C327" i="21"/>
  <c r="D327" i="21"/>
  <c r="E327" i="21"/>
  <c r="A298" i="8"/>
  <c r="E300" i="7"/>
  <c r="G300" i="7"/>
  <c r="I300" i="7"/>
  <c r="H300" i="7"/>
  <c r="D300" i="7"/>
  <c r="A301" i="7"/>
  <c r="H298" i="8" l="1"/>
  <c r="G298" i="8"/>
  <c r="F298" i="8"/>
  <c r="C298" i="8"/>
  <c r="D298" i="8"/>
  <c r="E298" i="8"/>
  <c r="I327" i="21"/>
  <c r="A329" i="21"/>
  <c r="D328" i="21"/>
  <c r="F328" i="21"/>
  <c r="C328" i="21"/>
  <c r="J328" i="21"/>
  <c r="E328" i="21"/>
  <c r="A299" i="8"/>
  <c r="H301" i="7"/>
  <c r="E301" i="7"/>
  <c r="G301" i="7"/>
  <c r="I301" i="7"/>
  <c r="D301" i="7"/>
  <c r="A302" i="7"/>
  <c r="F299" i="8" l="1"/>
  <c r="G299" i="8"/>
  <c r="H299" i="8"/>
  <c r="C299" i="8"/>
  <c r="E299" i="8"/>
  <c r="D299" i="8"/>
  <c r="AO20" i="29"/>
  <c r="AQ20" i="29" s="1"/>
  <c r="I328" i="21"/>
  <c r="A330" i="21"/>
  <c r="E329" i="21"/>
  <c r="F329" i="21"/>
  <c r="J329" i="21"/>
  <c r="C329" i="21"/>
  <c r="D329" i="21"/>
  <c r="A300" i="8"/>
  <c r="D302" i="7"/>
  <c r="I302" i="7"/>
  <c r="H302" i="7"/>
  <c r="E302" i="7"/>
  <c r="G302" i="7"/>
  <c r="A303" i="7"/>
  <c r="G300" i="8" l="1"/>
  <c r="H300" i="8"/>
  <c r="F300" i="8"/>
  <c r="E300" i="8"/>
  <c r="C300" i="8"/>
  <c r="D300" i="8"/>
  <c r="I329" i="21"/>
  <c r="A331" i="21"/>
  <c r="C330" i="21"/>
  <c r="D330" i="21"/>
  <c r="E330" i="21"/>
  <c r="F330" i="21"/>
  <c r="J330" i="21"/>
  <c r="A301" i="8"/>
  <c r="G303" i="7"/>
  <c r="I303" i="7"/>
  <c r="H303" i="7"/>
  <c r="D303" i="7"/>
  <c r="E303" i="7"/>
  <c r="A304" i="7"/>
  <c r="F301" i="8" l="1"/>
  <c r="H301" i="8"/>
  <c r="G301" i="8"/>
  <c r="C301" i="8"/>
  <c r="D301" i="8"/>
  <c r="E301" i="8"/>
  <c r="A332" i="21"/>
  <c r="F331" i="21"/>
  <c r="J331" i="21"/>
  <c r="E331" i="21"/>
  <c r="C331" i="21"/>
  <c r="D331" i="21"/>
  <c r="I330" i="21"/>
  <c r="A302" i="8"/>
  <c r="D304" i="7"/>
  <c r="H304" i="7"/>
  <c r="I304" i="7"/>
  <c r="G304" i="7"/>
  <c r="E304" i="7"/>
  <c r="A305" i="7"/>
  <c r="H302" i="8" l="1"/>
  <c r="F302" i="8"/>
  <c r="G302" i="8"/>
  <c r="C302" i="8"/>
  <c r="E302" i="8"/>
  <c r="D302" i="8"/>
  <c r="I331" i="21"/>
  <c r="A333" i="21"/>
  <c r="D332" i="21"/>
  <c r="F332" i="21"/>
  <c r="C332" i="21"/>
  <c r="E332" i="21"/>
  <c r="J332" i="21"/>
  <c r="A303" i="8"/>
  <c r="G305" i="7"/>
  <c r="I305" i="7"/>
  <c r="D305" i="7"/>
  <c r="H305" i="7"/>
  <c r="E305" i="7"/>
  <c r="A306" i="7"/>
  <c r="G303" i="8" l="1"/>
  <c r="F303" i="8"/>
  <c r="H303" i="8"/>
  <c r="E303" i="8"/>
  <c r="D303" i="8"/>
  <c r="C303" i="8"/>
  <c r="I332" i="21"/>
  <c r="A334" i="21"/>
  <c r="F333" i="21"/>
  <c r="J333" i="21"/>
  <c r="C333" i="21"/>
  <c r="D333" i="21"/>
  <c r="E333" i="21"/>
  <c r="A304" i="8"/>
  <c r="E306" i="7"/>
  <c r="H306" i="7"/>
  <c r="G306" i="7"/>
  <c r="I306" i="7"/>
  <c r="D306" i="7"/>
  <c r="A307" i="7"/>
  <c r="G304" i="8" l="1"/>
  <c r="H304" i="8"/>
  <c r="F304" i="8"/>
  <c r="E304" i="8"/>
  <c r="D304" i="8"/>
  <c r="C304" i="8"/>
  <c r="I333" i="21"/>
  <c r="A335" i="21"/>
  <c r="D334" i="21"/>
  <c r="F334" i="21"/>
  <c r="E334" i="21"/>
  <c r="J334" i="21"/>
  <c r="C334" i="21"/>
  <c r="A305" i="8"/>
  <c r="G307" i="7"/>
  <c r="H307" i="7"/>
  <c r="D307" i="7"/>
  <c r="E307" i="7"/>
  <c r="I307" i="7"/>
  <c r="A308" i="7"/>
  <c r="G305" i="8" l="1"/>
  <c r="F305" i="8"/>
  <c r="H305" i="8"/>
  <c r="C305" i="8"/>
  <c r="D305" i="8"/>
  <c r="E305" i="8"/>
  <c r="I334" i="21"/>
  <c r="F335" i="21"/>
  <c r="J335" i="21"/>
  <c r="E335" i="21"/>
  <c r="C335" i="21"/>
  <c r="D335" i="21"/>
  <c r="A336" i="21"/>
  <c r="A306" i="8"/>
  <c r="I308" i="7"/>
  <c r="E308" i="7"/>
  <c r="H308" i="7"/>
  <c r="D308" i="7"/>
  <c r="G308" i="7"/>
  <c r="A309" i="7"/>
  <c r="G306" i="8" l="1"/>
  <c r="H306" i="8"/>
  <c r="F306" i="8"/>
  <c r="E306" i="8"/>
  <c r="D306" i="8"/>
  <c r="C306" i="8"/>
  <c r="A337" i="21"/>
  <c r="C336" i="21"/>
  <c r="D336" i="21"/>
  <c r="J336" i="21"/>
  <c r="E336" i="21"/>
  <c r="F336" i="21"/>
  <c r="I335" i="21"/>
  <c r="A307" i="8"/>
  <c r="G309" i="7"/>
  <c r="I309" i="7"/>
  <c r="H309" i="7"/>
  <c r="D309" i="7"/>
  <c r="E309" i="7"/>
  <c r="A310" i="7"/>
  <c r="F307" i="8" l="1"/>
  <c r="G307" i="8"/>
  <c r="H307" i="8"/>
  <c r="C307" i="8"/>
  <c r="E307" i="8"/>
  <c r="D307" i="8"/>
  <c r="I336" i="21"/>
  <c r="F337" i="21"/>
  <c r="J337" i="21"/>
  <c r="A338" i="21"/>
  <c r="C337" i="21"/>
  <c r="D337" i="21"/>
  <c r="E337" i="21"/>
  <c r="A308" i="8"/>
  <c r="D310" i="7"/>
  <c r="H310" i="7"/>
  <c r="I310" i="7"/>
  <c r="G310" i="7"/>
  <c r="E310" i="7"/>
  <c r="A311" i="7"/>
  <c r="G308" i="8" l="1"/>
  <c r="H308" i="8"/>
  <c r="F308" i="8"/>
  <c r="C308" i="8"/>
  <c r="E308" i="8"/>
  <c r="D308" i="8"/>
  <c r="I337" i="21"/>
  <c r="D338" i="21"/>
  <c r="E338" i="21"/>
  <c r="F338" i="21"/>
  <c r="A339" i="21"/>
  <c r="C338" i="21"/>
  <c r="J338" i="21"/>
  <c r="A309" i="8"/>
  <c r="H311" i="7"/>
  <c r="D311" i="7"/>
  <c r="E311" i="7"/>
  <c r="G311" i="7"/>
  <c r="I311" i="7"/>
  <c r="A312" i="7"/>
  <c r="F309" i="8" l="1"/>
  <c r="H309" i="8"/>
  <c r="G309" i="8"/>
  <c r="D309" i="8"/>
  <c r="E309" i="8"/>
  <c r="C309" i="8"/>
  <c r="I338" i="21"/>
  <c r="J339" i="21"/>
  <c r="C339" i="21"/>
  <c r="D339" i="21"/>
  <c r="E339" i="21"/>
  <c r="F339" i="21"/>
  <c r="A340" i="21"/>
  <c r="A310" i="8"/>
  <c r="G312" i="7"/>
  <c r="I312" i="7"/>
  <c r="E312" i="7"/>
  <c r="H312" i="7"/>
  <c r="D312" i="7"/>
  <c r="A313" i="7"/>
  <c r="G310" i="8" l="1"/>
  <c r="H310" i="8"/>
  <c r="F310" i="8"/>
  <c r="C310" i="8"/>
  <c r="D310" i="8"/>
  <c r="E310" i="8"/>
  <c r="I339" i="21"/>
  <c r="C340" i="21"/>
  <c r="D340" i="21"/>
  <c r="E340" i="21"/>
  <c r="F340" i="21"/>
  <c r="J340" i="21"/>
  <c r="A341" i="21"/>
  <c r="A311" i="8"/>
  <c r="D313" i="7"/>
  <c r="H313" i="7"/>
  <c r="I313" i="7"/>
  <c r="E313" i="7"/>
  <c r="G313" i="7"/>
  <c r="A314" i="7"/>
  <c r="F311" i="8" l="1"/>
  <c r="H311" i="8"/>
  <c r="G311" i="8"/>
  <c r="D311" i="8"/>
  <c r="E311" i="8"/>
  <c r="C311" i="8"/>
  <c r="F341" i="21"/>
  <c r="J341" i="21"/>
  <c r="C341" i="21"/>
  <c r="D341" i="21"/>
  <c r="E341" i="21"/>
  <c r="A342" i="21"/>
  <c r="I340" i="21"/>
  <c r="A312" i="8"/>
  <c r="G314" i="7"/>
  <c r="I314" i="7"/>
  <c r="H314" i="7"/>
  <c r="D314" i="7"/>
  <c r="E314" i="7"/>
  <c r="A315" i="7"/>
  <c r="G312" i="8" l="1"/>
  <c r="F312" i="8"/>
  <c r="H312" i="8"/>
  <c r="E312" i="8"/>
  <c r="C312" i="8"/>
  <c r="D312" i="8"/>
  <c r="D342" i="21"/>
  <c r="E342" i="21"/>
  <c r="F342" i="21"/>
  <c r="C342" i="21"/>
  <c r="J342" i="21"/>
  <c r="A343" i="21"/>
  <c r="I341" i="21"/>
  <c r="A313" i="8"/>
  <c r="D315" i="7"/>
  <c r="I315" i="7"/>
  <c r="G315" i="7"/>
  <c r="E315" i="7"/>
  <c r="H315" i="7"/>
  <c r="A316" i="7"/>
  <c r="F313" i="8" l="1"/>
  <c r="H313" i="8"/>
  <c r="G313" i="8"/>
  <c r="C313" i="8"/>
  <c r="E313" i="8"/>
  <c r="D313" i="8"/>
  <c r="I342" i="21"/>
  <c r="A344" i="21"/>
  <c r="F343" i="21"/>
  <c r="J343" i="21"/>
  <c r="C343" i="21"/>
  <c r="D343" i="21"/>
  <c r="E343" i="21"/>
  <c r="A314" i="8"/>
  <c r="D316" i="7"/>
  <c r="H316" i="7"/>
  <c r="E316" i="7"/>
  <c r="I316" i="7"/>
  <c r="G316" i="7"/>
  <c r="A317" i="7"/>
  <c r="F314" i="8" l="1"/>
  <c r="H314" i="8"/>
  <c r="G314" i="8"/>
  <c r="C314" i="8"/>
  <c r="E314" i="8"/>
  <c r="D314" i="8"/>
  <c r="I343" i="21"/>
  <c r="A345" i="21"/>
  <c r="C344" i="21"/>
  <c r="J344" i="21"/>
  <c r="D344" i="21"/>
  <c r="E344" i="21"/>
  <c r="F344" i="21"/>
  <c r="A315" i="8"/>
  <c r="E317" i="7"/>
  <c r="G317" i="7"/>
  <c r="D317" i="7"/>
  <c r="H317" i="7"/>
  <c r="I317" i="7"/>
  <c r="A318" i="7"/>
  <c r="F315" i="8" l="1"/>
  <c r="G315" i="8"/>
  <c r="H315" i="8"/>
  <c r="C315" i="8"/>
  <c r="D315" i="8"/>
  <c r="E315" i="8"/>
  <c r="A346" i="21"/>
  <c r="F345" i="21"/>
  <c r="J345" i="21"/>
  <c r="C345" i="21"/>
  <c r="E345" i="21"/>
  <c r="D345" i="21"/>
  <c r="I344" i="21"/>
  <c r="A316" i="8"/>
  <c r="G318" i="7"/>
  <c r="I318" i="7"/>
  <c r="E318" i="7"/>
  <c r="H318" i="7"/>
  <c r="D318" i="7"/>
  <c r="A319" i="7"/>
  <c r="H316" i="8" l="1"/>
  <c r="G316" i="8"/>
  <c r="F316" i="8"/>
  <c r="C316" i="8"/>
  <c r="D316" i="8"/>
  <c r="E316" i="8"/>
  <c r="I345" i="21"/>
  <c r="A347" i="21"/>
  <c r="D346" i="21"/>
  <c r="E346" i="21"/>
  <c r="F346" i="21"/>
  <c r="J346" i="21"/>
  <c r="C346" i="21"/>
  <c r="A317" i="8"/>
  <c r="I319" i="7"/>
  <c r="H319" i="7"/>
  <c r="D319" i="7"/>
  <c r="E319" i="7"/>
  <c r="G319" i="7"/>
  <c r="A320" i="7"/>
  <c r="G317" i="8" l="1"/>
  <c r="F317" i="8"/>
  <c r="H317" i="8"/>
  <c r="D317" i="8"/>
  <c r="C317" i="8"/>
  <c r="E317" i="8"/>
  <c r="I346" i="21"/>
  <c r="A348" i="21"/>
  <c r="J347" i="21"/>
  <c r="C347" i="21"/>
  <c r="D347" i="21"/>
  <c r="E347" i="21"/>
  <c r="F347" i="21"/>
  <c r="A318" i="8"/>
  <c r="D320" i="7"/>
  <c r="I320" i="7"/>
  <c r="E320" i="7"/>
  <c r="H320" i="7"/>
  <c r="G320" i="7"/>
  <c r="A321" i="7"/>
  <c r="H318" i="8" l="1"/>
  <c r="F318" i="8"/>
  <c r="G318" i="8"/>
  <c r="D318" i="8"/>
  <c r="C318" i="8"/>
  <c r="E318" i="8"/>
  <c r="I347" i="21"/>
  <c r="A349" i="21"/>
  <c r="F348" i="21"/>
  <c r="J348" i="21"/>
  <c r="C348" i="21"/>
  <c r="D348" i="21"/>
  <c r="E348" i="21"/>
  <c r="A319" i="8"/>
  <c r="E321" i="7"/>
  <c r="D321" i="7"/>
  <c r="G321" i="7"/>
  <c r="H321" i="7"/>
  <c r="I321" i="7"/>
  <c r="A322" i="7"/>
  <c r="G319" i="8" l="1"/>
  <c r="H319" i="8"/>
  <c r="F319" i="8"/>
  <c r="E319" i="8"/>
  <c r="C319" i="8"/>
  <c r="D319" i="8"/>
  <c r="A350" i="21"/>
  <c r="F349" i="21"/>
  <c r="J349" i="21"/>
  <c r="C349" i="21"/>
  <c r="D349" i="21"/>
  <c r="E349" i="21"/>
  <c r="I348" i="21"/>
  <c r="A320" i="8"/>
  <c r="G322" i="7"/>
  <c r="H322" i="7"/>
  <c r="E322" i="7"/>
  <c r="I322" i="7"/>
  <c r="D322" i="7"/>
  <c r="A323" i="7"/>
  <c r="G320" i="8" l="1"/>
  <c r="H320" i="8"/>
  <c r="F320" i="8"/>
  <c r="C320" i="8"/>
  <c r="D320" i="8"/>
  <c r="E320" i="8"/>
  <c r="I349" i="21"/>
  <c r="A351" i="21"/>
  <c r="D350" i="21"/>
  <c r="E350" i="21"/>
  <c r="F350" i="21"/>
  <c r="C350" i="21"/>
  <c r="J350" i="21"/>
  <c r="A321" i="8"/>
  <c r="H323" i="7"/>
  <c r="E323" i="7"/>
  <c r="I323" i="7"/>
  <c r="D323" i="7"/>
  <c r="G323" i="7"/>
  <c r="A324" i="7"/>
  <c r="H321" i="8" l="1"/>
  <c r="G321" i="8"/>
  <c r="F321" i="8"/>
  <c r="C321" i="8"/>
  <c r="D321" i="8"/>
  <c r="E321" i="8"/>
  <c r="I350" i="21"/>
  <c r="A352" i="21"/>
  <c r="C351" i="21"/>
  <c r="D351" i="21"/>
  <c r="E351" i="21"/>
  <c r="F351" i="21"/>
  <c r="J351" i="21"/>
  <c r="A322" i="8"/>
  <c r="E324" i="7"/>
  <c r="I324" i="7"/>
  <c r="D324" i="7"/>
  <c r="G324" i="7"/>
  <c r="H324" i="7"/>
  <c r="A325" i="7"/>
  <c r="H322" i="8" l="1"/>
  <c r="G322" i="8"/>
  <c r="F322" i="8"/>
  <c r="E322" i="8"/>
  <c r="D322" i="8"/>
  <c r="C322" i="8"/>
  <c r="A353" i="21"/>
  <c r="D352" i="21"/>
  <c r="J352" i="21"/>
  <c r="C352" i="21"/>
  <c r="E352" i="21"/>
  <c r="F352" i="21"/>
  <c r="I351" i="21"/>
  <c r="A323" i="8"/>
  <c r="I325" i="7"/>
  <c r="G325" i="7"/>
  <c r="D325" i="7"/>
  <c r="E325" i="7"/>
  <c r="H325" i="7"/>
  <c r="A326" i="7"/>
  <c r="H323" i="8" l="1"/>
  <c r="F323" i="8"/>
  <c r="G323" i="8"/>
  <c r="C323" i="8"/>
  <c r="D323" i="8"/>
  <c r="E323" i="8"/>
  <c r="I352" i="21"/>
  <c r="A354" i="21"/>
  <c r="F353" i="21"/>
  <c r="J353" i="21"/>
  <c r="C353" i="21"/>
  <c r="D353" i="21"/>
  <c r="E353" i="21"/>
  <c r="A324" i="8"/>
  <c r="I326" i="7"/>
  <c r="E326" i="7"/>
  <c r="H326" i="7"/>
  <c r="G326" i="7"/>
  <c r="D326" i="7"/>
  <c r="A327" i="7"/>
  <c r="F324" i="8" l="1"/>
  <c r="G324" i="8"/>
  <c r="H324" i="8"/>
  <c r="E324" i="8"/>
  <c r="C324" i="8"/>
  <c r="D324" i="8"/>
  <c r="I353" i="21"/>
  <c r="A355" i="21"/>
  <c r="D354" i="21"/>
  <c r="E354" i="21"/>
  <c r="F354" i="21"/>
  <c r="C354" i="21"/>
  <c r="J354" i="21"/>
  <c r="A325" i="8"/>
  <c r="E327" i="7"/>
  <c r="H327" i="7"/>
  <c r="I327" i="7"/>
  <c r="D327" i="7"/>
  <c r="G327" i="7"/>
  <c r="A328" i="7"/>
  <c r="G325" i="8" l="1"/>
  <c r="F325" i="8"/>
  <c r="H325" i="8"/>
  <c r="E325" i="8"/>
  <c r="C325" i="8"/>
  <c r="D325" i="8"/>
  <c r="I354" i="21"/>
  <c r="A356" i="21"/>
  <c r="C355" i="21"/>
  <c r="J355" i="21"/>
  <c r="D355" i="21"/>
  <c r="E355" i="21"/>
  <c r="F355" i="21"/>
  <c r="A326" i="8"/>
  <c r="G328" i="7"/>
  <c r="D328" i="7"/>
  <c r="H328" i="7"/>
  <c r="E328" i="7"/>
  <c r="I328" i="7"/>
  <c r="A329" i="7"/>
  <c r="H326" i="8" l="1"/>
  <c r="G326" i="8"/>
  <c r="F326" i="8"/>
  <c r="E326" i="8"/>
  <c r="D326" i="8"/>
  <c r="C326" i="8"/>
  <c r="I355" i="21"/>
  <c r="A357" i="21"/>
  <c r="C356" i="21"/>
  <c r="D356" i="21"/>
  <c r="E356" i="21"/>
  <c r="F356" i="21"/>
  <c r="J356" i="21"/>
  <c r="A327" i="8"/>
  <c r="I329" i="7"/>
  <c r="E329" i="7"/>
  <c r="G329" i="7"/>
  <c r="D329" i="7"/>
  <c r="H329" i="7"/>
  <c r="A330" i="7"/>
  <c r="F327" i="8" l="1"/>
  <c r="H327" i="8"/>
  <c r="G327" i="8"/>
  <c r="D327" i="8"/>
  <c r="C327" i="8"/>
  <c r="E327" i="8"/>
  <c r="A358" i="21"/>
  <c r="F357" i="21"/>
  <c r="J357" i="21"/>
  <c r="C357" i="21"/>
  <c r="D357" i="21"/>
  <c r="E357" i="21"/>
  <c r="I356" i="21"/>
  <c r="A328" i="8"/>
  <c r="D330" i="7"/>
  <c r="H330" i="7"/>
  <c r="E330" i="7"/>
  <c r="G330" i="7"/>
  <c r="I330" i="7"/>
  <c r="A331" i="7"/>
  <c r="F328" i="8" l="1"/>
  <c r="G328" i="8"/>
  <c r="H328" i="8"/>
  <c r="E328" i="8"/>
  <c r="D328" i="8"/>
  <c r="C328" i="8"/>
  <c r="I357" i="21"/>
  <c r="A359" i="21"/>
  <c r="D358" i="21"/>
  <c r="E358" i="21"/>
  <c r="F358" i="21"/>
  <c r="C358" i="21"/>
  <c r="J358" i="21"/>
  <c r="A329" i="8"/>
  <c r="I331" i="7"/>
  <c r="D331" i="7"/>
  <c r="G331" i="7"/>
  <c r="E331" i="7"/>
  <c r="H331" i="7"/>
  <c r="A332" i="7"/>
  <c r="F329" i="8" l="1"/>
  <c r="G329" i="8"/>
  <c r="H329" i="8"/>
  <c r="E329" i="8"/>
  <c r="D329" i="8"/>
  <c r="C329" i="8"/>
  <c r="I358" i="21"/>
  <c r="A360" i="21"/>
  <c r="F359" i="21"/>
  <c r="J359" i="21"/>
  <c r="C359" i="21"/>
  <c r="D359" i="21"/>
  <c r="E359" i="21"/>
  <c r="A330" i="8"/>
  <c r="E332" i="7"/>
  <c r="I332" i="7"/>
  <c r="H332" i="7"/>
  <c r="D332" i="7"/>
  <c r="G332" i="7"/>
  <c r="A333" i="7"/>
  <c r="G330" i="8" l="1"/>
  <c r="F330" i="8"/>
  <c r="H330" i="8"/>
  <c r="C330" i="8"/>
  <c r="D330" i="8"/>
  <c r="E330" i="8"/>
  <c r="I359" i="21"/>
  <c r="A361" i="21"/>
  <c r="C360" i="21"/>
  <c r="J360" i="21"/>
  <c r="D360" i="21"/>
  <c r="E360" i="21"/>
  <c r="F360" i="21"/>
  <c r="A331" i="8"/>
  <c r="I333" i="7"/>
  <c r="E333" i="7"/>
  <c r="H333" i="7"/>
  <c r="G333" i="7"/>
  <c r="D333" i="7"/>
  <c r="A334" i="7"/>
  <c r="G331" i="8" l="1"/>
  <c r="H331" i="8"/>
  <c r="F331" i="8"/>
  <c r="E331" i="8"/>
  <c r="D331" i="8"/>
  <c r="C331" i="8"/>
  <c r="A362" i="21"/>
  <c r="F361" i="21"/>
  <c r="M38" i="21" s="1"/>
  <c r="J361" i="21"/>
  <c r="AC35" i="21" s="1"/>
  <c r="C361" i="21"/>
  <c r="M35" i="21" s="1"/>
  <c r="E361" i="21"/>
  <c r="M37" i="21" s="1"/>
  <c r="D361" i="21"/>
  <c r="M36" i="21" s="1"/>
  <c r="I360" i="21"/>
  <c r="A332" i="8"/>
  <c r="G334" i="7"/>
  <c r="H334" i="7"/>
  <c r="D334" i="7"/>
  <c r="I334" i="7"/>
  <c r="E334" i="7"/>
  <c r="A335" i="7"/>
  <c r="O38" i="21" l="1"/>
  <c r="P38" i="21"/>
  <c r="AE4" i="21"/>
  <c r="O43" i="39"/>
  <c r="P35" i="21"/>
  <c r="Q35" i="21"/>
  <c r="O35" i="21"/>
  <c r="P37" i="21"/>
  <c r="O37" i="21"/>
  <c r="Q37" i="21"/>
  <c r="P36" i="21"/>
  <c r="Q36" i="21"/>
  <c r="O36" i="21"/>
  <c r="H332" i="8"/>
  <c r="F332" i="8"/>
  <c r="G332" i="8"/>
  <c r="D332" i="8"/>
  <c r="C332" i="8"/>
  <c r="E332" i="8"/>
  <c r="I361" i="21"/>
  <c r="A363" i="21"/>
  <c r="D362" i="21"/>
  <c r="E362" i="21"/>
  <c r="F362" i="21"/>
  <c r="C362" i="21"/>
  <c r="J362" i="21"/>
  <c r="A333" i="8"/>
  <c r="E335" i="7"/>
  <c r="H335" i="7"/>
  <c r="I335" i="7"/>
  <c r="D335" i="7"/>
  <c r="G335" i="7"/>
  <c r="A336" i="7"/>
  <c r="Q41" i="21" l="1"/>
  <c r="O41" i="21"/>
  <c r="F333" i="8"/>
  <c r="G333" i="8"/>
  <c r="H333" i="8"/>
  <c r="E333" i="8"/>
  <c r="C333" i="8"/>
  <c r="D333" i="8"/>
  <c r="I362" i="21"/>
  <c r="A364" i="21"/>
  <c r="D363" i="21"/>
  <c r="C363" i="21"/>
  <c r="E363" i="21"/>
  <c r="F363" i="21"/>
  <c r="J363" i="21"/>
  <c r="A334" i="8"/>
  <c r="I336" i="7"/>
  <c r="D336" i="7"/>
  <c r="G336" i="7"/>
  <c r="E336" i="7"/>
  <c r="H336" i="7"/>
  <c r="A337" i="7"/>
  <c r="O43" i="21" l="1"/>
  <c r="F334" i="8"/>
  <c r="H334" i="8"/>
  <c r="G334" i="8"/>
  <c r="C334" i="8"/>
  <c r="D334" i="8"/>
  <c r="E334" i="8"/>
  <c r="I363" i="21"/>
  <c r="A365" i="21"/>
  <c r="F364" i="21"/>
  <c r="J364" i="21"/>
  <c r="E364" i="21"/>
  <c r="D364" i="21"/>
  <c r="C364" i="21"/>
  <c r="A335" i="8"/>
  <c r="G337" i="7"/>
  <c r="D337" i="7"/>
  <c r="I337" i="7"/>
  <c r="H337" i="7"/>
  <c r="E337" i="7"/>
  <c r="A338" i="7"/>
  <c r="G335" i="8" l="1"/>
  <c r="F335" i="8"/>
  <c r="H335" i="8"/>
  <c r="D335" i="8"/>
  <c r="E335" i="8"/>
  <c r="C335" i="8"/>
  <c r="I364" i="21"/>
  <c r="A366" i="21"/>
  <c r="F365" i="21"/>
  <c r="J365" i="21"/>
  <c r="C365" i="21"/>
  <c r="D365" i="21"/>
  <c r="E365" i="21"/>
  <c r="A336" i="8"/>
  <c r="H338" i="7"/>
  <c r="D338" i="7"/>
  <c r="E338" i="7"/>
  <c r="G338" i="7"/>
  <c r="I338" i="7"/>
  <c r="A339" i="7"/>
  <c r="G336" i="8" l="1"/>
  <c r="H336" i="8"/>
  <c r="F336" i="8"/>
  <c r="D336" i="8"/>
  <c r="E336" i="8"/>
  <c r="C336" i="8"/>
  <c r="I365" i="21"/>
  <c r="A367" i="21"/>
  <c r="D366" i="21"/>
  <c r="E366" i="21"/>
  <c r="F366" i="21"/>
  <c r="J366" i="21"/>
  <c r="C366" i="21"/>
  <c r="A337" i="8"/>
  <c r="G339" i="7"/>
  <c r="H339" i="7"/>
  <c r="D339" i="7"/>
  <c r="E339" i="7"/>
  <c r="I339" i="7"/>
  <c r="A340" i="7"/>
  <c r="F337" i="8" l="1"/>
  <c r="G337" i="8"/>
  <c r="H337" i="8"/>
  <c r="E337" i="8"/>
  <c r="D337" i="8"/>
  <c r="C337" i="8"/>
  <c r="I366" i="21"/>
  <c r="A368" i="21"/>
  <c r="C367" i="21"/>
  <c r="D367" i="21"/>
  <c r="E367" i="21"/>
  <c r="F367" i="21"/>
  <c r="J367" i="21"/>
  <c r="A338" i="8"/>
  <c r="E340" i="7"/>
  <c r="G340" i="7"/>
  <c r="H340" i="7"/>
  <c r="I340" i="7"/>
  <c r="D340" i="7"/>
  <c r="A341" i="7"/>
  <c r="H338" i="8" l="1"/>
  <c r="F338" i="8"/>
  <c r="G338" i="8"/>
  <c r="E338" i="8"/>
  <c r="C338" i="8"/>
  <c r="D338" i="8"/>
  <c r="I367" i="21"/>
  <c r="A369" i="21"/>
  <c r="C368" i="21"/>
  <c r="D368" i="21"/>
  <c r="E368" i="21"/>
  <c r="F368" i="21"/>
  <c r="J368" i="21"/>
  <c r="A339" i="8"/>
  <c r="E341" i="7"/>
  <c r="D341" i="7"/>
  <c r="G341" i="7"/>
  <c r="H341" i="7"/>
  <c r="I341" i="7"/>
  <c r="A342" i="7"/>
  <c r="F339" i="8" l="1"/>
  <c r="G339" i="8"/>
  <c r="H339" i="8"/>
  <c r="E339" i="8"/>
  <c r="C339" i="8"/>
  <c r="D339" i="8"/>
  <c r="A370" i="21"/>
  <c r="F369" i="21"/>
  <c r="J369" i="21"/>
  <c r="C369" i="21"/>
  <c r="D369" i="21"/>
  <c r="E369" i="21"/>
  <c r="I368" i="21"/>
  <c r="A340" i="8"/>
  <c r="D342" i="7"/>
  <c r="G342" i="7"/>
  <c r="H342" i="7"/>
  <c r="E342" i="7"/>
  <c r="I342" i="7"/>
  <c r="A343" i="7"/>
  <c r="F340" i="8" l="1"/>
  <c r="G340" i="8"/>
  <c r="H340" i="8"/>
  <c r="E340" i="8"/>
  <c r="C340" i="8"/>
  <c r="D340" i="8"/>
  <c r="I369" i="21"/>
  <c r="A371" i="21"/>
  <c r="D370" i="21"/>
  <c r="E370" i="21"/>
  <c r="F370" i="21"/>
  <c r="C370" i="21"/>
  <c r="J370" i="21"/>
  <c r="A341" i="8"/>
  <c r="I343" i="7"/>
  <c r="G343" i="7"/>
  <c r="E343" i="7"/>
  <c r="H343" i="7"/>
  <c r="D343" i="7"/>
  <c r="A344" i="7"/>
  <c r="H341" i="8" l="1"/>
  <c r="F341" i="8"/>
  <c r="G341" i="8"/>
  <c r="E341" i="8"/>
  <c r="C341" i="8"/>
  <c r="D341" i="8"/>
  <c r="I370" i="21"/>
  <c r="A372" i="21"/>
  <c r="C371" i="21"/>
  <c r="J371" i="21"/>
  <c r="D371" i="21"/>
  <c r="E371" i="21"/>
  <c r="F371" i="21"/>
  <c r="A342" i="8"/>
  <c r="E344" i="7"/>
  <c r="D344" i="7"/>
  <c r="G344" i="7"/>
  <c r="H344" i="7"/>
  <c r="I344" i="7"/>
  <c r="A345" i="7"/>
  <c r="G342" i="8" l="1"/>
  <c r="C342" i="8"/>
  <c r="F342" i="8"/>
  <c r="H342" i="8"/>
  <c r="E342" i="8"/>
  <c r="D342" i="8"/>
  <c r="I371" i="21"/>
  <c r="A373" i="21"/>
  <c r="C372" i="21"/>
  <c r="D372" i="21"/>
  <c r="F372" i="21"/>
  <c r="E372" i="21"/>
  <c r="J372" i="21"/>
  <c r="A343" i="8"/>
  <c r="D345" i="7"/>
  <c r="H345" i="7"/>
  <c r="E345" i="7"/>
  <c r="I345" i="7"/>
  <c r="G345" i="7"/>
  <c r="A346" i="7"/>
  <c r="D343" i="8" l="1"/>
  <c r="G343" i="8"/>
  <c r="C343" i="8"/>
  <c r="F343" i="8"/>
  <c r="E343" i="8"/>
  <c r="H343" i="8"/>
  <c r="A374" i="21"/>
  <c r="F373" i="21"/>
  <c r="J373" i="21"/>
  <c r="D373" i="21"/>
  <c r="E373" i="21"/>
  <c r="C373" i="21"/>
  <c r="I372" i="21"/>
  <c r="A344" i="8"/>
  <c r="D346" i="7"/>
  <c r="I346" i="7"/>
  <c r="G346" i="7"/>
  <c r="H346" i="7"/>
  <c r="E346" i="7"/>
  <c r="A347" i="7"/>
  <c r="H344" i="8" l="1"/>
  <c r="D344" i="8"/>
  <c r="G344" i="8"/>
  <c r="C344" i="8"/>
  <c r="F344" i="8"/>
  <c r="E344" i="8"/>
  <c r="I373" i="21"/>
  <c r="A375" i="21"/>
  <c r="D374" i="21"/>
  <c r="E374" i="21"/>
  <c r="F374" i="21"/>
  <c r="J374" i="21"/>
  <c r="C374" i="21"/>
  <c r="A345" i="8"/>
  <c r="E347" i="7"/>
  <c r="D347" i="7"/>
  <c r="I347" i="7"/>
  <c r="G347" i="7"/>
  <c r="H347" i="7"/>
  <c r="A348" i="7"/>
  <c r="H345" i="8" l="1"/>
  <c r="D345" i="8"/>
  <c r="G345" i="8"/>
  <c r="C345" i="8"/>
  <c r="F345" i="8"/>
  <c r="E345" i="8"/>
  <c r="I374" i="21"/>
  <c r="A376" i="21"/>
  <c r="F375" i="21"/>
  <c r="J375" i="21"/>
  <c r="C375" i="21"/>
  <c r="D375" i="21"/>
  <c r="E375" i="21"/>
  <c r="A346" i="8"/>
  <c r="D348" i="7"/>
  <c r="E348" i="7"/>
  <c r="I348" i="7"/>
  <c r="H348" i="7"/>
  <c r="G348" i="7"/>
  <c r="A349" i="7"/>
  <c r="H346" i="8" l="1"/>
  <c r="D346" i="8"/>
  <c r="G346" i="8"/>
  <c r="C346" i="8"/>
  <c r="F346" i="8"/>
  <c r="E346" i="8"/>
  <c r="I375" i="21"/>
  <c r="A377" i="21"/>
  <c r="C376" i="21"/>
  <c r="D376" i="21"/>
  <c r="E376" i="21"/>
  <c r="F376" i="21"/>
  <c r="J376" i="21"/>
  <c r="A347" i="8"/>
  <c r="E349" i="7"/>
  <c r="I349" i="7"/>
  <c r="H349" i="7"/>
  <c r="D349" i="7"/>
  <c r="G349" i="7"/>
  <c r="A350" i="7"/>
  <c r="H347" i="8" l="1"/>
  <c r="D347" i="8"/>
  <c r="G347" i="8"/>
  <c r="C347" i="8"/>
  <c r="F347" i="8"/>
  <c r="E347" i="8"/>
  <c r="A378" i="21"/>
  <c r="F377" i="21"/>
  <c r="J377" i="21"/>
  <c r="C377" i="21"/>
  <c r="D377" i="21"/>
  <c r="E377" i="21"/>
  <c r="I376" i="21"/>
  <c r="A348" i="8"/>
  <c r="E350" i="7"/>
  <c r="I350" i="7"/>
  <c r="G350" i="7"/>
  <c r="D350" i="7"/>
  <c r="H350" i="7"/>
  <c r="A351" i="7"/>
  <c r="E348" i="8" l="1"/>
  <c r="H348" i="8"/>
  <c r="D348" i="8"/>
  <c r="C348" i="8"/>
  <c r="G348" i="8"/>
  <c r="F348" i="8"/>
  <c r="I377" i="21"/>
  <c r="A379" i="21"/>
  <c r="D378" i="21"/>
  <c r="E378" i="21"/>
  <c r="F378" i="21"/>
  <c r="C378" i="21"/>
  <c r="J378" i="21"/>
  <c r="A349" i="8"/>
  <c r="H351" i="7"/>
  <c r="I351" i="7"/>
  <c r="D351" i="7"/>
  <c r="G351" i="7"/>
  <c r="E351" i="7"/>
  <c r="A352" i="7"/>
  <c r="E349" i="8" l="1"/>
  <c r="G349" i="8"/>
  <c r="D349" i="8"/>
  <c r="H349" i="8"/>
  <c r="C349" i="8"/>
  <c r="F349" i="8"/>
  <c r="I378" i="21"/>
  <c r="A380" i="21"/>
  <c r="D379" i="21"/>
  <c r="J379" i="21"/>
  <c r="C379" i="21"/>
  <c r="E379" i="21"/>
  <c r="F379" i="21"/>
  <c r="A350" i="8"/>
  <c r="E352" i="7"/>
  <c r="H352" i="7"/>
  <c r="D352" i="7"/>
  <c r="G352" i="7"/>
  <c r="I352" i="7"/>
  <c r="A353" i="7"/>
  <c r="E350" i="8" l="1"/>
  <c r="G350" i="8"/>
  <c r="H350" i="8"/>
  <c r="D350" i="8"/>
  <c r="C350" i="8"/>
  <c r="F350" i="8"/>
  <c r="I379" i="21"/>
  <c r="A381" i="21"/>
  <c r="F380" i="21"/>
  <c r="J380" i="21"/>
  <c r="C380" i="21"/>
  <c r="D380" i="21"/>
  <c r="E380" i="21"/>
  <c r="A351" i="8"/>
  <c r="G353" i="7"/>
  <c r="D353" i="7"/>
  <c r="I353" i="7"/>
  <c r="E353" i="7"/>
  <c r="H353" i="7"/>
  <c r="A354" i="7"/>
  <c r="E351" i="8" l="1"/>
  <c r="H351" i="8"/>
  <c r="D351" i="8"/>
  <c r="C351" i="8"/>
  <c r="G351" i="8"/>
  <c r="F351" i="8"/>
  <c r="I380" i="21"/>
  <c r="A382" i="21"/>
  <c r="F381" i="21"/>
  <c r="J381" i="21"/>
  <c r="C381" i="21"/>
  <c r="D381" i="21"/>
  <c r="E381" i="21"/>
  <c r="A352" i="8"/>
  <c r="H354" i="7"/>
  <c r="E354" i="7"/>
  <c r="D354" i="7"/>
  <c r="G354" i="7"/>
  <c r="I354" i="7"/>
  <c r="A355" i="7"/>
  <c r="E352" i="8" l="1"/>
  <c r="H352" i="8"/>
  <c r="D352" i="8"/>
  <c r="G352" i="8"/>
  <c r="C352" i="8"/>
  <c r="F352" i="8"/>
  <c r="I381" i="21"/>
  <c r="A383" i="21"/>
  <c r="D382" i="21"/>
  <c r="E382" i="21"/>
  <c r="F382" i="21"/>
  <c r="J382" i="21"/>
  <c r="C382" i="21"/>
  <c r="A353" i="8"/>
  <c r="I355" i="7"/>
  <c r="D355" i="7"/>
  <c r="G355" i="7"/>
  <c r="H355" i="7"/>
  <c r="E355" i="7"/>
  <c r="A356" i="7"/>
  <c r="F353" i="8" l="1"/>
  <c r="E353" i="8"/>
  <c r="D353" i="8"/>
  <c r="H353" i="8"/>
  <c r="G353" i="8"/>
  <c r="C353" i="8"/>
  <c r="I382" i="21"/>
  <c r="A384" i="21"/>
  <c r="C383" i="21"/>
  <c r="F383" i="21"/>
  <c r="D383" i="21"/>
  <c r="E383" i="21"/>
  <c r="J383" i="21"/>
  <c r="A354" i="8"/>
  <c r="G356" i="7"/>
  <c r="D356" i="7"/>
  <c r="I356" i="7"/>
  <c r="E356" i="7"/>
  <c r="H356" i="7"/>
  <c r="A357" i="7"/>
  <c r="F354" i="8" l="1"/>
  <c r="E354" i="8"/>
  <c r="H354" i="8"/>
  <c r="G354" i="8"/>
  <c r="D354" i="8"/>
  <c r="C354" i="8"/>
  <c r="I383" i="21"/>
  <c r="A385" i="21"/>
  <c r="C384" i="21"/>
  <c r="D384" i="21"/>
  <c r="E384" i="21"/>
  <c r="F384" i="21"/>
  <c r="J384" i="21"/>
  <c r="A355" i="8"/>
  <c r="G357" i="7"/>
  <c r="E357" i="7"/>
  <c r="D357" i="7"/>
  <c r="H357" i="7"/>
  <c r="I357" i="7"/>
  <c r="A358" i="7"/>
  <c r="F355" i="8" l="1"/>
  <c r="E355" i="8"/>
  <c r="H355" i="8"/>
  <c r="G355" i="8"/>
  <c r="D355" i="8"/>
  <c r="C355" i="8"/>
  <c r="I384" i="21"/>
  <c r="A386" i="21"/>
  <c r="F385" i="21"/>
  <c r="J385" i="21"/>
  <c r="C385" i="21"/>
  <c r="D385" i="21"/>
  <c r="E385" i="21"/>
  <c r="A356" i="8"/>
  <c r="G358" i="7"/>
  <c r="D358" i="7"/>
  <c r="E358" i="7"/>
  <c r="I358" i="7"/>
  <c r="H358" i="7"/>
  <c r="A359" i="7"/>
  <c r="F356" i="8" l="1"/>
  <c r="E356" i="8"/>
  <c r="H356" i="8"/>
  <c r="D356" i="8"/>
  <c r="C356" i="8"/>
  <c r="G356" i="8"/>
  <c r="I385" i="21"/>
  <c r="A387" i="21"/>
  <c r="D386" i="21"/>
  <c r="E386" i="21"/>
  <c r="F386" i="21"/>
  <c r="C386" i="21"/>
  <c r="J386" i="21"/>
  <c r="A357" i="8"/>
  <c r="H359" i="7"/>
  <c r="D359" i="7"/>
  <c r="I359" i="7"/>
  <c r="E359" i="7"/>
  <c r="G359" i="7"/>
  <c r="A360" i="7"/>
  <c r="F357" i="8" l="1"/>
  <c r="E357" i="8"/>
  <c r="H357" i="8"/>
  <c r="D357" i="8"/>
  <c r="C357" i="8"/>
  <c r="G357" i="8"/>
  <c r="I386" i="21"/>
  <c r="A388" i="21"/>
  <c r="C387" i="21"/>
  <c r="J387" i="21"/>
  <c r="D387" i="21"/>
  <c r="E387" i="21"/>
  <c r="F387" i="21"/>
  <c r="A358" i="8"/>
  <c r="G360" i="7"/>
  <c r="L38" i="7" s="1"/>
  <c r="D360" i="7"/>
  <c r="E360" i="7"/>
  <c r="I360" i="7"/>
  <c r="L40" i="7" s="1"/>
  <c r="H360" i="7"/>
  <c r="L39" i="7" s="1"/>
  <c r="A361" i="7"/>
  <c r="J47" i="8" l="1"/>
  <c r="N38" i="7"/>
  <c r="O38" i="7"/>
  <c r="N40" i="7"/>
  <c r="P40" i="7"/>
  <c r="N39" i="7"/>
  <c r="P39" i="7"/>
  <c r="C358" i="8"/>
  <c r="F358" i="8"/>
  <c r="E358" i="8"/>
  <c r="H358" i="8"/>
  <c r="D358" i="8"/>
  <c r="G358" i="8"/>
  <c r="I387" i="21"/>
  <c r="A389" i="21"/>
  <c r="C388" i="21"/>
  <c r="D388" i="21"/>
  <c r="E388" i="21"/>
  <c r="F388" i="21"/>
  <c r="J388" i="21"/>
  <c r="A359" i="8"/>
  <c r="H361" i="7"/>
  <c r="D361" i="7"/>
  <c r="G361" i="7"/>
  <c r="E361" i="7"/>
  <c r="I361" i="7"/>
  <c r="A362" i="7"/>
  <c r="G359" i="8" l="1"/>
  <c r="C359" i="8"/>
  <c r="F359" i="8"/>
  <c r="D359" i="8"/>
  <c r="H359" i="8"/>
  <c r="E359" i="8"/>
  <c r="I388" i="21"/>
  <c r="A390" i="21"/>
  <c r="F389" i="21"/>
  <c r="J389" i="21"/>
  <c r="C389" i="21"/>
  <c r="D389" i="21"/>
  <c r="E389" i="21"/>
  <c r="A360" i="8"/>
  <c r="D362" i="7"/>
  <c r="I362" i="7"/>
  <c r="G362" i="7"/>
  <c r="H362" i="7"/>
  <c r="E362" i="7"/>
  <c r="A363" i="7"/>
  <c r="G360" i="8" l="1"/>
  <c r="C360" i="8"/>
  <c r="F360" i="8"/>
  <c r="H360" i="8"/>
  <c r="E360" i="8"/>
  <c r="D360" i="8"/>
  <c r="A391" i="21"/>
  <c r="D390" i="21"/>
  <c r="E390" i="21"/>
  <c r="F390" i="21"/>
  <c r="C390" i="21"/>
  <c r="J390" i="21"/>
  <c r="I389" i="21"/>
  <c r="A361" i="8"/>
  <c r="I363" i="7"/>
  <c r="D363" i="7"/>
  <c r="H363" i="7"/>
  <c r="G363" i="7"/>
  <c r="E363" i="7"/>
  <c r="A364" i="7"/>
  <c r="G361" i="8" l="1"/>
  <c r="C361" i="8"/>
  <c r="F361" i="8"/>
  <c r="E361" i="8"/>
  <c r="H361" i="8"/>
  <c r="D361" i="8"/>
  <c r="I390" i="21"/>
  <c r="A392" i="21"/>
  <c r="F391" i="21"/>
  <c r="J391" i="21"/>
  <c r="E391" i="21"/>
  <c r="C391" i="21"/>
  <c r="D391" i="21"/>
  <c r="A362" i="8"/>
  <c r="G364" i="7"/>
  <c r="H364" i="7"/>
  <c r="E364" i="7"/>
  <c r="I364" i="7"/>
  <c r="D364" i="7"/>
  <c r="A365" i="7"/>
  <c r="G362" i="8" l="1"/>
  <c r="C362" i="8"/>
  <c r="F362" i="8"/>
  <c r="E362" i="8"/>
  <c r="D362" i="8"/>
  <c r="H362" i="8"/>
  <c r="I391" i="21"/>
  <c r="A393" i="21"/>
  <c r="C392" i="21"/>
  <c r="D392" i="21"/>
  <c r="J392" i="21"/>
  <c r="E392" i="21"/>
  <c r="F392" i="21"/>
  <c r="A363" i="8"/>
  <c r="D365" i="7"/>
  <c r="I365" i="7"/>
  <c r="G365" i="7"/>
  <c r="E365" i="7"/>
  <c r="H365" i="7"/>
  <c r="A366" i="7"/>
  <c r="D363" i="8" l="1"/>
  <c r="G363" i="8"/>
  <c r="F363" i="8"/>
  <c r="C363" i="8"/>
  <c r="E363" i="8"/>
  <c r="H363" i="8"/>
  <c r="A394" i="21"/>
  <c r="F393" i="21"/>
  <c r="J393" i="21"/>
  <c r="C393" i="21"/>
  <c r="D393" i="21"/>
  <c r="E393" i="21"/>
  <c r="I392" i="21"/>
  <c r="A364" i="8"/>
  <c r="I366" i="7"/>
  <c r="D366" i="7"/>
  <c r="G366" i="7"/>
  <c r="E366" i="7"/>
  <c r="H366" i="7"/>
  <c r="A367" i="7"/>
  <c r="H364" i="8" l="1"/>
  <c r="D364" i="8"/>
  <c r="G364" i="8"/>
  <c r="C364" i="8"/>
  <c r="E364" i="8"/>
  <c r="F364" i="8"/>
  <c r="I393" i="21"/>
  <c r="A395" i="21"/>
  <c r="D394" i="21"/>
  <c r="E394" i="21"/>
  <c r="F394" i="21"/>
  <c r="C394" i="21"/>
  <c r="J394" i="21"/>
  <c r="A365" i="8"/>
  <c r="E367" i="7"/>
  <c r="I367" i="7"/>
  <c r="G367" i="7"/>
  <c r="D367" i="7"/>
  <c r="H367" i="7"/>
  <c r="A368" i="7"/>
  <c r="H365" i="8" l="1"/>
  <c r="D365" i="8"/>
  <c r="G365" i="8"/>
  <c r="C365" i="8"/>
  <c r="F365" i="8"/>
  <c r="E365" i="8"/>
  <c r="I394" i="21"/>
  <c r="A396" i="21"/>
  <c r="C395" i="21"/>
  <c r="D395" i="21"/>
  <c r="E395" i="21"/>
  <c r="F395" i="21"/>
  <c r="J395" i="21"/>
  <c r="A366" i="8"/>
  <c r="G368" i="7"/>
  <c r="E368" i="7"/>
  <c r="I368" i="7"/>
  <c r="D368" i="7"/>
  <c r="H368" i="7"/>
  <c r="A369" i="7"/>
  <c r="D366" i="8" l="1"/>
  <c r="H366" i="8"/>
  <c r="G366" i="8"/>
  <c r="C366" i="8"/>
  <c r="F366" i="8"/>
  <c r="E366" i="8"/>
  <c r="I395" i="21"/>
  <c r="A397" i="21"/>
  <c r="F396" i="21"/>
  <c r="J396" i="21"/>
  <c r="D396" i="21"/>
  <c r="C396" i="21"/>
  <c r="E396" i="21"/>
  <c r="A367" i="8"/>
  <c r="H369" i="7"/>
  <c r="E369" i="7"/>
  <c r="D369" i="7"/>
  <c r="G369" i="7"/>
  <c r="I369" i="7"/>
  <c r="A370" i="7"/>
  <c r="H367" i="8" l="1"/>
  <c r="D367" i="8"/>
  <c r="C367" i="8"/>
  <c r="G367" i="8"/>
  <c r="E367" i="8"/>
  <c r="F367" i="8"/>
  <c r="I396" i="21"/>
  <c r="A398" i="21"/>
  <c r="F397" i="21"/>
  <c r="J397" i="21"/>
  <c r="C397" i="21"/>
  <c r="D397" i="21"/>
  <c r="E397" i="21"/>
  <c r="A368" i="8"/>
  <c r="H370" i="7"/>
  <c r="G370" i="7"/>
  <c r="E370" i="7"/>
  <c r="D370" i="7"/>
  <c r="I370" i="7"/>
  <c r="A371" i="7"/>
  <c r="E368" i="8" l="1"/>
  <c r="H368" i="8"/>
  <c r="D368" i="8"/>
  <c r="C368" i="8"/>
  <c r="G368" i="8"/>
  <c r="F368" i="8"/>
  <c r="I397" i="21"/>
  <c r="A399" i="21"/>
  <c r="D398" i="21"/>
  <c r="E398" i="21"/>
  <c r="F398" i="21"/>
  <c r="J398" i="21"/>
  <c r="C398" i="21"/>
  <c r="A369" i="8"/>
  <c r="H371" i="7"/>
  <c r="G371" i="7"/>
  <c r="I371" i="7"/>
  <c r="D371" i="7"/>
  <c r="E371" i="7"/>
  <c r="A372" i="7"/>
  <c r="E369" i="8" l="1"/>
  <c r="H369" i="8"/>
  <c r="D369" i="8"/>
  <c r="G369" i="8"/>
  <c r="F369" i="8"/>
  <c r="C369" i="8"/>
  <c r="I398" i="21"/>
  <c r="A400" i="21"/>
  <c r="C399" i="21"/>
  <c r="D399" i="21"/>
  <c r="E399" i="21"/>
  <c r="F399" i="21"/>
  <c r="J399" i="21"/>
  <c r="A370" i="8"/>
  <c r="H372" i="7"/>
  <c r="E372" i="7"/>
  <c r="D372" i="7"/>
  <c r="G372" i="7"/>
  <c r="I372" i="7"/>
  <c r="A373" i="7"/>
  <c r="E370" i="8" l="1"/>
  <c r="G370" i="8"/>
  <c r="H370" i="8"/>
  <c r="D370" i="8"/>
  <c r="C370" i="8"/>
  <c r="F370" i="8"/>
  <c r="I399" i="21"/>
  <c r="A401" i="21"/>
  <c r="J400" i="21"/>
  <c r="E400" i="21"/>
  <c r="F400" i="21"/>
  <c r="D400" i="21"/>
  <c r="C400" i="21"/>
  <c r="A371" i="8"/>
  <c r="H373" i="7"/>
  <c r="E373" i="7"/>
  <c r="G373" i="7"/>
  <c r="I373" i="7"/>
  <c r="D373" i="7"/>
  <c r="A374" i="7"/>
  <c r="E371" i="8" l="1"/>
  <c r="H371" i="8"/>
  <c r="D371" i="8"/>
  <c r="G371" i="8"/>
  <c r="F371" i="8"/>
  <c r="C371" i="8"/>
  <c r="I400" i="21"/>
  <c r="A402" i="21"/>
  <c r="F401" i="21"/>
  <c r="J401" i="21"/>
  <c r="C401" i="21"/>
  <c r="D401" i="21"/>
  <c r="E401" i="21"/>
  <c r="A372" i="8"/>
  <c r="H374" i="7"/>
  <c r="D374" i="7"/>
  <c r="E374" i="7"/>
  <c r="I374" i="7"/>
  <c r="G374" i="7"/>
  <c r="A375" i="7"/>
  <c r="E372" i="8" l="1"/>
  <c r="H372" i="8"/>
  <c r="D372" i="8"/>
  <c r="G372" i="8"/>
  <c r="F372" i="8"/>
  <c r="C372" i="8"/>
  <c r="I401" i="21"/>
  <c r="A403" i="21"/>
  <c r="D402" i="21"/>
  <c r="E402" i="21"/>
  <c r="F402" i="21"/>
  <c r="C402" i="21"/>
  <c r="J402" i="21"/>
  <c r="A373" i="8"/>
  <c r="E375" i="7"/>
  <c r="I375" i="7"/>
  <c r="H375" i="7"/>
  <c r="G375" i="7"/>
  <c r="D375" i="7"/>
  <c r="A376" i="7"/>
  <c r="F373" i="8" l="1"/>
  <c r="D373" i="8"/>
  <c r="E373" i="8"/>
  <c r="H373" i="8"/>
  <c r="G373" i="8"/>
  <c r="C373" i="8"/>
  <c r="I402" i="21"/>
  <c r="A404" i="21"/>
  <c r="C403" i="21"/>
  <c r="D403" i="21"/>
  <c r="E403" i="21"/>
  <c r="F403" i="21"/>
  <c r="J403" i="21"/>
  <c r="A374" i="8"/>
  <c r="D376" i="7"/>
  <c r="H376" i="7"/>
  <c r="G376" i="7"/>
  <c r="I376" i="7"/>
  <c r="E376" i="7"/>
  <c r="A377" i="7"/>
  <c r="F374" i="8" l="1"/>
  <c r="E374" i="8"/>
  <c r="H374" i="8"/>
  <c r="C374" i="8"/>
  <c r="G374" i="8"/>
  <c r="D374" i="8"/>
  <c r="I403" i="21"/>
  <c r="A405" i="21"/>
  <c r="C404" i="21"/>
  <c r="J404" i="21"/>
  <c r="D404" i="21"/>
  <c r="E404" i="21"/>
  <c r="F404" i="21"/>
  <c r="A375" i="8"/>
  <c r="E377" i="7"/>
  <c r="H377" i="7"/>
  <c r="D377" i="7"/>
  <c r="I377" i="7"/>
  <c r="G377" i="7"/>
  <c r="A378" i="7"/>
  <c r="F375" i="8" l="1"/>
  <c r="H375" i="8"/>
  <c r="E375" i="8"/>
  <c r="G375" i="8"/>
  <c r="D375" i="8"/>
  <c r="C375" i="8"/>
  <c r="I404" i="21"/>
  <c r="A406" i="21"/>
  <c r="F405" i="21"/>
  <c r="J405" i="21"/>
  <c r="D405" i="21"/>
  <c r="E405" i="21"/>
  <c r="C405" i="21"/>
  <c r="A376" i="8"/>
  <c r="G378" i="7"/>
  <c r="E378" i="7"/>
  <c r="H378" i="7"/>
  <c r="I378" i="7"/>
  <c r="D378" i="7"/>
  <c r="A379" i="7"/>
  <c r="F376" i="8" l="1"/>
  <c r="E376" i="8"/>
  <c r="G376" i="8"/>
  <c r="C376" i="8"/>
  <c r="H376" i="8"/>
  <c r="D376" i="8"/>
  <c r="I405" i="21"/>
  <c r="A407" i="21"/>
  <c r="D406" i="21"/>
  <c r="E406" i="21"/>
  <c r="F406" i="21"/>
  <c r="C406" i="21"/>
  <c r="J406" i="21"/>
  <c r="A377" i="8"/>
  <c r="D379" i="7"/>
  <c r="E379" i="7"/>
  <c r="I379" i="7"/>
  <c r="H379" i="7"/>
  <c r="G379" i="7"/>
  <c r="A380" i="7"/>
  <c r="F377" i="8" l="1"/>
  <c r="E377" i="8"/>
  <c r="D377" i="8"/>
  <c r="C377" i="8"/>
  <c r="G377" i="8"/>
  <c r="H377" i="8"/>
  <c r="I406" i="21"/>
  <c r="A408" i="21"/>
  <c r="F407" i="21"/>
  <c r="J407" i="21"/>
  <c r="C407" i="21"/>
  <c r="D407" i="21"/>
  <c r="E407" i="21"/>
  <c r="A378" i="8"/>
  <c r="G380" i="7"/>
  <c r="E380" i="7"/>
  <c r="D380" i="7"/>
  <c r="H380" i="7"/>
  <c r="I380" i="7"/>
  <c r="A381" i="7"/>
  <c r="C378" i="8" l="1"/>
  <c r="F378" i="8"/>
  <c r="E378" i="8"/>
  <c r="G378" i="8"/>
  <c r="H378" i="8"/>
  <c r="D378" i="8"/>
  <c r="I407" i="21"/>
  <c r="A409" i="21"/>
  <c r="C408" i="21"/>
  <c r="D408" i="21"/>
  <c r="J408" i="21"/>
  <c r="E408" i="21"/>
  <c r="F408" i="21"/>
  <c r="A379" i="8"/>
  <c r="H381" i="7"/>
  <c r="E381" i="7"/>
  <c r="D381" i="7"/>
  <c r="I381" i="7"/>
  <c r="G381" i="7"/>
  <c r="A382" i="7"/>
  <c r="G379" i="8" l="1"/>
  <c r="C379" i="8"/>
  <c r="F379" i="8"/>
  <c r="D379" i="8"/>
  <c r="E379" i="8"/>
  <c r="H379" i="8"/>
  <c r="A410" i="21"/>
  <c r="F409" i="21"/>
  <c r="J409" i="21"/>
  <c r="C409" i="21"/>
  <c r="D409" i="21"/>
  <c r="E409" i="21"/>
  <c r="I408" i="21"/>
  <c r="A380" i="8"/>
  <c r="G382" i="7"/>
  <c r="D382" i="7"/>
  <c r="H382" i="7"/>
  <c r="E382" i="7"/>
  <c r="I382" i="7"/>
  <c r="A383" i="7"/>
  <c r="G380" i="8" l="1"/>
  <c r="C380" i="8"/>
  <c r="F380" i="8"/>
  <c r="E380" i="8"/>
  <c r="H380" i="8"/>
  <c r="D380" i="8"/>
  <c r="I409" i="21"/>
  <c r="A411" i="21"/>
  <c r="D410" i="21"/>
  <c r="E410" i="21"/>
  <c r="F410" i="21"/>
  <c r="C410" i="21"/>
  <c r="J410" i="21"/>
  <c r="A381" i="8"/>
  <c r="I383" i="7"/>
  <c r="D383" i="7"/>
  <c r="G383" i="7"/>
  <c r="H383" i="7"/>
  <c r="E383" i="7"/>
  <c r="A384" i="7"/>
  <c r="G381" i="8" l="1"/>
  <c r="C381" i="8"/>
  <c r="F381" i="8"/>
  <c r="D381" i="8"/>
  <c r="H381" i="8"/>
  <c r="E381" i="8"/>
  <c r="I410" i="21"/>
  <c r="A412" i="21"/>
  <c r="C411" i="21"/>
  <c r="D411" i="21"/>
  <c r="E411" i="21"/>
  <c r="F411" i="21"/>
  <c r="J411" i="21"/>
  <c r="A382" i="8"/>
  <c r="I384" i="7"/>
  <c r="H384" i="7"/>
  <c r="G384" i="7"/>
  <c r="D384" i="7"/>
  <c r="E384" i="7"/>
  <c r="A385" i="7"/>
  <c r="G382" i="8" l="1"/>
  <c r="C382" i="8"/>
  <c r="F382" i="8"/>
  <c r="E382" i="8"/>
  <c r="D382" i="8"/>
  <c r="H382" i="8"/>
  <c r="I411" i="21"/>
  <c r="A413" i="21"/>
  <c r="F412" i="21"/>
  <c r="J412" i="21"/>
  <c r="C412" i="21"/>
  <c r="D412" i="21"/>
  <c r="E412" i="21"/>
  <c r="A383" i="8"/>
  <c r="G385" i="7"/>
  <c r="D385" i="7"/>
  <c r="H385" i="7"/>
  <c r="I385" i="7"/>
  <c r="E385" i="7"/>
  <c r="A386" i="7"/>
  <c r="D383" i="8" l="1"/>
  <c r="F383" i="8"/>
  <c r="G383" i="8"/>
  <c r="C383" i="8"/>
  <c r="E383" i="8"/>
  <c r="H383" i="8"/>
  <c r="I412" i="21"/>
  <c r="A414" i="21"/>
  <c r="F413" i="21"/>
  <c r="J413" i="21"/>
  <c r="C413" i="21"/>
  <c r="D413" i="21"/>
  <c r="E413" i="21"/>
  <c r="A384" i="8"/>
  <c r="E386" i="7"/>
  <c r="H386" i="7"/>
  <c r="G386" i="7"/>
  <c r="I386" i="7"/>
  <c r="D386" i="7"/>
  <c r="A387" i="7"/>
  <c r="H384" i="8" l="1"/>
  <c r="D384" i="8"/>
  <c r="C384" i="8"/>
  <c r="G384" i="8"/>
  <c r="F384" i="8"/>
  <c r="E384" i="8"/>
  <c r="I413" i="21"/>
  <c r="A415" i="21"/>
  <c r="D414" i="21"/>
  <c r="E414" i="21"/>
  <c r="F414" i="21"/>
  <c r="J414" i="21"/>
  <c r="C414" i="21"/>
  <c r="A385" i="8"/>
  <c r="I387" i="7"/>
  <c r="E387" i="7"/>
  <c r="G387" i="7"/>
  <c r="H387" i="7"/>
  <c r="D387" i="7"/>
  <c r="A388" i="7"/>
  <c r="H385" i="8" l="1"/>
  <c r="D385" i="8"/>
  <c r="G385" i="8"/>
  <c r="C385" i="8"/>
  <c r="F385" i="8"/>
  <c r="E385" i="8"/>
  <c r="I414" i="21"/>
  <c r="A416" i="21"/>
  <c r="C415" i="21"/>
  <c r="E415" i="21"/>
  <c r="D415" i="21"/>
  <c r="F415" i="21"/>
  <c r="J415" i="21"/>
  <c r="A386" i="8"/>
  <c r="H388" i="7"/>
  <c r="D388" i="7"/>
  <c r="G388" i="7"/>
  <c r="E388" i="7"/>
  <c r="I388" i="7"/>
  <c r="A389" i="7"/>
  <c r="H386" i="8" l="1"/>
  <c r="D386" i="8"/>
  <c r="G386" i="8"/>
  <c r="C386" i="8"/>
  <c r="F386" i="8"/>
  <c r="E386" i="8"/>
  <c r="I415" i="21"/>
  <c r="A417" i="21"/>
  <c r="C416" i="21"/>
  <c r="D416" i="21"/>
  <c r="E416" i="21"/>
  <c r="F416" i="21"/>
  <c r="J416" i="21"/>
  <c r="A387" i="8"/>
  <c r="H389" i="7"/>
  <c r="E389" i="7"/>
  <c r="G389" i="7"/>
  <c r="D389" i="7"/>
  <c r="I389" i="7"/>
  <c r="A390" i="7"/>
  <c r="H387" i="8" l="1"/>
  <c r="D387" i="8"/>
  <c r="C387" i="8"/>
  <c r="G387" i="8"/>
  <c r="E387" i="8"/>
  <c r="F387" i="8"/>
  <c r="A418" i="21"/>
  <c r="F417" i="21"/>
  <c r="J417" i="21"/>
  <c r="D417" i="21"/>
  <c r="E417" i="21"/>
  <c r="C417" i="21"/>
  <c r="I416" i="21"/>
  <c r="A388" i="8"/>
  <c r="I390" i="7"/>
  <c r="G390" i="7"/>
  <c r="H390" i="7"/>
  <c r="E390" i="7"/>
  <c r="D390" i="7"/>
  <c r="A391" i="7"/>
  <c r="E388" i="8" l="1"/>
  <c r="C388" i="8"/>
  <c r="H388" i="8"/>
  <c r="D388" i="8"/>
  <c r="G388" i="8"/>
  <c r="F388" i="8"/>
  <c r="I417" i="21"/>
  <c r="A419" i="21"/>
  <c r="D418" i="21"/>
  <c r="E418" i="21"/>
  <c r="F418" i="21"/>
  <c r="C418" i="21"/>
  <c r="J418" i="21"/>
  <c r="A389" i="8"/>
  <c r="H391" i="7"/>
  <c r="I391" i="7"/>
  <c r="E391" i="7"/>
  <c r="G391" i="7"/>
  <c r="D391" i="7"/>
  <c r="A392" i="7"/>
  <c r="G389" i="8" l="1"/>
  <c r="E389" i="8"/>
  <c r="H389" i="8"/>
  <c r="D389" i="8"/>
  <c r="C389" i="8"/>
  <c r="F389" i="8"/>
  <c r="I418" i="21"/>
  <c r="A420" i="21"/>
  <c r="D419" i="21"/>
  <c r="C419" i="21"/>
  <c r="E419" i="21"/>
  <c r="F419" i="21"/>
  <c r="J419" i="21"/>
  <c r="A390" i="8"/>
  <c r="G392" i="7"/>
  <c r="D392" i="7"/>
  <c r="I392" i="7"/>
  <c r="H392" i="7"/>
  <c r="E392" i="7"/>
  <c r="A393" i="7"/>
  <c r="E390" i="8" l="1"/>
  <c r="H390" i="8"/>
  <c r="G390" i="8"/>
  <c r="D390" i="8"/>
  <c r="F390" i="8"/>
  <c r="C390" i="8"/>
  <c r="I419" i="21"/>
  <c r="A421" i="21"/>
  <c r="C420" i="21"/>
  <c r="D420" i="21"/>
  <c r="E420" i="21"/>
  <c r="F420" i="21"/>
  <c r="J420" i="21"/>
  <c r="A391" i="8"/>
  <c r="I393" i="7"/>
  <c r="G393" i="7"/>
  <c r="D393" i="7"/>
  <c r="E393" i="7"/>
  <c r="H393" i="7"/>
  <c r="A394" i="7"/>
  <c r="E391" i="8" l="1"/>
  <c r="H391" i="8"/>
  <c r="D391" i="8"/>
  <c r="C391" i="8"/>
  <c r="F391" i="8"/>
  <c r="G391" i="8"/>
  <c r="A422" i="21"/>
  <c r="F421" i="21"/>
  <c r="J421" i="21"/>
  <c r="C421" i="21"/>
  <c r="D421" i="21"/>
  <c r="E421" i="21"/>
  <c r="I420" i="21"/>
  <c r="A392" i="8"/>
  <c r="E394" i="7"/>
  <c r="I394" i="7"/>
  <c r="G394" i="7"/>
  <c r="H394" i="7"/>
  <c r="D394" i="7"/>
  <c r="A395" i="7"/>
  <c r="E392" i="8" l="1"/>
  <c r="D392" i="8"/>
  <c r="H392" i="8"/>
  <c r="C392" i="8"/>
  <c r="F392" i="8"/>
  <c r="G392" i="8"/>
  <c r="I421" i="21"/>
  <c r="A423" i="21"/>
  <c r="D422" i="21"/>
  <c r="E422" i="21"/>
  <c r="F422" i="21"/>
  <c r="C422" i="21"/>
  <c r="J422" i="21"/>
  <c r="A393" i="8"/>
  <c r="D395" i="7"/>
  <c r="H395" i="7"/>
  <c r="I395" i="7"/>
  <c r="E395" i="7"/>
  <c r="G395" i="7"/>
  <c r="A396" i="7"/>
  <c r="F393" i="8" l="1"/>
  <c r="D393" i="8"/>
  <c r="E393" i="8"/>
  <c r="H393" i="8"/>
  <c r="C393" i="8"/>
  <c r="G393" i="8"/>
  <c r="I422" i="21"/>
  <c r="A424" i="21"/>
  <c r="F423" i="21"/>
  <c r="J423" i="21"/>
  <c r="D423" i="21"/>
  <c r="C423" i="21"/>
  <c r="E423" i="21"/>
  <c r="A394" i="8"/>
  <c r="E396" i="7"/>
  <c r="I396" i="7"/>
  <c r="G396" i="7"/>
  <c r="H396" i="7"/>
  <c r="D396" i="7"/>
  <c r="A397" i="7"/>
  <c r="F394" i="8" l="1"/>
  <c r="E394" i="8"/>
  <c r="H394" i="8"/>
  <c r="D394" i="8"/>
  <c r="C394" i="8"/>
  <c r="G394" i="8"/>
  <c r="I423" i="21"/>
  <c r="A425" i="21"/>
  <c r="C424" i="21"/>
  <c r="D424" i="21"/>
  <c r="J424" i="21"/>
  <c r="E424" i="21"/>
  <c r="F424" i="21"/>
  <c r="A395" i="8"/>
  <c r="E397" i="7"/>
  <c r="G397" i="7"/>
  <c r="D397" i="7"/>
  <c r="H397" i="7"/>
  <c r="I397" i="7"/>
  <c r="A398" i="7"/>
  <c r="F395" i="8" l="1"/>
  <c r="H395" i="8"/>
  <c r="E395" i="8"/>
  <c r="D395" i="8"/>
  <c r="C395" i="8"/>
  <c r="G395" i="8"/>
  <c r="A426" i="21"/>
  <c r="F425" i="21"/>
  <c r="J425" i="21"/>
  <c r="C425" i="21"/>
  <c r="D425" i="21"/>
  <c r="E425" i="21"/>
  <c r="I424" i="21"/>
  <c r="A396" i="8"/>
  <c r="G398" i="7"/>
  <c r="D398" i="7"/>
  <c r="H398" i="7"/>
  <c r="E398" i="7"/>
  <c r="I398" i="7"/>
  <c r="A399" i="7"/>
  <c r="F396" i="8" l="1"/>
  <c r="E396" i="8"/>
  <c r="H396" i="8"/>
  <c r="C396" i="8"/>
  <c r="D396" i="8"/>
  <c r="G396" i="8"/>
  <c r="I425" i="21"/>
  <c r="A427" i="21"/>
  <c r="D426" i="21"/>
  <c r="E426" i="21"/>
  <c r="F426" i="21"/>
  <c r="C426" i="21"/>
  <c r="J426" i="21"/>
  <c r="A397" i="8"/>
  <c r="I399" i="7"/>
  <c r="E399" i="7"/>
  <c r="D399" i="7"/>
  <c r="H399" i="7"/>
  <c r="G399" i="7"/>
  <c r="A400" i="7"/>
  <c r="F397" i="8" l="1"/>
  <c r="E397" i="8"/>
  <c r="D397" i="8"/>
  <c r="C397" i="8"/>
  <c r="G397" i="8"/>
  <c r="H397" i="8"/>
  <c r="I426" i="21"/>
  <c r="A428" i="21"/>
  <c r="J427" i="21"/>
  <c r="D427" i="21"/>
  <c r="E427" i="21"/>
  <c r="F427" i="21"/>
  <c r="C427" i="21"/>
  <c r="A398" i="8"/>
  <c r="I400" i="7"/>
  <c r="G400" i="7"/>
  <c r="E400" i="7"/>
  <c r="H400" i="7"/>
  <c r="D400" i="7"/>
  <c r="A401" i="7"/>
  <c r="C398" i="8" l="1"/>
  <c r="E398" i="8"/>
  <c r="F398" i="8"/>
  <c r="H398" i="8"/>
  <c r="D398" i="8"/>
  <c r="G398" i="8"/>
  <c r="I427" i="21"/>
  <c r="A429" i="21"/>
  <c r="F428" i="21"/>
  <c r="J428" i="21"/>
  <c r="C428" i="21"/>
  <c r="D428" i="21"/>
  <c r="E428" i="21"/>
  <c r="A399" i="8"/>
  <c r="D401" i="7"/>
  <c r="E401" i="7"/>
  <c r="H401" i="7"/>
  <c r="I401" i="7"/>
  <c r="G401" i="7"/>
  <c r="A402" i="7"/>
  <c r="G399" i="8" l="1"/>
  <c r="C399" i="8"/>
  <c r="F399" i="8"/>
  <c r="E399" i="8"/>
  <c r="D399" i="8"/>
  <c r="H399" i="8"/>
  <c r="I428" i="21"/>
  <c r="A430" i="21"/>
  <c r="F429" i="21"/>
  <c r="J429" i="21"/>
  <c r="C429" i="21"/>
  <c r="D429" i="21"/>
  <c r="E429" i="21"/>
  <c r="A400" i="8"/>
  <c r="H402" i="7"/>
  <c r="I402" i="7"/>
  <c r="G402" i="7"/>
  <c r="D402" i="7"/>
  <c r="E402" i="7"/>
  <c r="A403" i="7"/>
  <c r="G400" i="8" l="1"/>
  <c r="C400" i="8"/>
  <c r="F400" i="8"/>
  <c r="H400" i="8"/>
  <c r="D400" i="8"/>
  <c r="E400" i="8"/>
  <c r="A431" i="21"/>
  <c r="D430" i="21"/>
  <c r="E430" i="21"/>
  <c r="F430" i="21"/>
  <c r="J430" i="21"/>
  <c r="C430" i="21"/>
  <c r="I429" i="21"/>
  <c r="A401" i="8"/>
  <c r="H403" i="7"/>
  <c r="I403" i="7"/>
  <c r="E403" i="7"/>
  <c r="G403" i="7"/>
  <c r="D403" i="7"/>
  <c r="A404" i="7"/>
  <c r="G401" i="8" l="1"/>
  <c r="C401" i="8"/>
  <c r="F401" i="8"/>
  <c r="H401" i="8"/>
  <c r="E401" i="8"/>
  <c r="D401" i="8"/>
  <c r="I430" i="21"/>
  <c r="A432" i="21"/>
  <c r="J431" i="21"/>
  <c r="C431" i="21"/>
  <c r="D431" i="21"/>
  <c r="E431" i="21"/>
  <c r="F431" i="21"/>
  <c r="A402" i="8"/>
  <c r="H404" i="7"/>
  <c r="D404" i="7"/>
  <c r="E404" i="7"/>
  <c r="G404" i="7"/>
  <c r="I404" i="7"/>
  <c r="A405" i="7"/>
  <c r="G402" i="8" l="1"/>
  <c r="C402" i="8"/>
  <c r="F402" i="8"/>
  <c r="H402" i="8"/>
  <c r="D402" i="8"/>
  <c r="E402" i="8"/>
  <c r="I431" i="21"/>
  <c r="A433" i="21"/>
  <c r="C432" i="21"/>
  <c r="F432" i="21"/>
  <c r="D432" i="21"/>
  <c r="E432" i="21"/>
  <c r="J432" i="21"/>
  <c r="A403" i="8"/>
  <c r="I405" i="7"/>
  <c r="D405" i="7"/>
  <c r="H405" i="7"/>
  <c r="E405" i="7"/>
  <c r="G405" i="7"/>
  <c r="A406" i="7"/>
  <c r="D403" i="8" l="1"/>
  <c r="F403" i="8"/>
  <c r="G403" i="8"/>
  <c r="C403" i="8"/>
  <c r="H403" i="8"/>
  <c r="E403" i="8"/>
  <c r="A434" i="21"/>
  <c r="F433" i="21"/>
  <c r="J433" i="21"/>
  <c r="C433" i="21"/>
  <c r="D433" i="21"/>
  <c r="E433" i="21"/>
  <c r="I432" i="21"/>
  <c r="A404" i="8"/>
  <c r="E406" i="7"/>
  <c r="H406" i="7"/>
  <c r="I406" i="7"/>
  <c r="D406" i="7"/>
  <c r="G406" i="7"/>
  <c r="A407" i="7"/>
  <c r="H404" i="8" l="1"/>
  <c r="D404" i="8"/>
  <c r="G404" i="8"/>
  <c r="C404" i="8"/>
  <c r="F404" i="8"/>
  <c r="E404" i="8"/>
  <c r="I433" i="21"/>
  <c r="A435" i="21"/>
  <c r="D434" i="21"/>
  <c r="E434" i="21"/>
  <c r="F434" i="21"/>
  <c r="C434" i="21"/>
  <c r="J434" i="21"/>
  <c r="A405" i="8"/>
  <c r="G407" i="7"/>
  <c r="I407" i="7"/>
  <c r="D407" i="7"/>
  <c r="E407" i="7"/>
  <c r="H407" i="7"/>
  <c r="A408" i="7"/>
  <c r="H405" i="8" l="1"/>
  <c r="D405" i="8"/>
  <c r="G405" i="8"/>
  <c r="C405" i="8"/>
  <c r="E405" i="8"/>
  <c r="F405" i="8"/>
  <c r="I434" i="21"/>
  <c r="A436" i="21"/>
  <c r="C435" i="21"/>
  <c r="D435" i="21"/>
  <c r="E435" i="21"/>
  <c r="F435" i="21"/>
  <c r="J435" i="21"/>
  <c r="A406" i="8"/>
  <c r="H408" i="7"/>
  <c r="D408" i="7"/>
  <c r="G408" i="7"/>
  <c r="I408" i="7"/>
  <c r="E408" i="7"/>
  <c r="A409" i="7"/>
  <c r="H406" i="8" l="1"/>
  <c r="D406" i="8"/>
  <c r="G406" i="8"/>
  <c r="C406" i="8"/>
  <c r="F406" i="8"/>
  <c r="E406" i="8"/>
  <c r="A437" i="21"/>
  <c r="C436" i="21"/>
  <c r="J436" i="21"/>
  <c r="D436" i="21"/>
  <c r="E436" i="21"/>
  <c r="F436" i="21"/>
  <c r="I435" i="21"/>
  <c r="A407" i="8"/>
  <c r="D409" i="7"/>
  <c r="G409" i="7"/>
  <c r="E409" i="7"/>
  <c r="H409" i="7"/>
  <c r="I409" i="7"/>
  <c r="A410" i="7"/>
  <c r="H407" i="8" l="1"/>
  <c r="D407" i="8"/>
  <c r="G407" i="8"/>
  <c r="C407" i="8"/>
  <c r="E407" i="8"/>
  <c r="F407" i="8"/>
  <c r="I436" i="21"/>
  <c r="A438" i="21"/>
  <c r="F437" i="21"/>
  <c r="J437" i="21"/>
  <c r="C437" i="21"/>
  <c r="D437" i="21"/>
  <c r="E437" i="21"/>
  <c r="A408" i="8"/>
  <c r="H410" i="7"/>
  <c r="D410" i="7"/>
  <c r="E410" i="7"/>
  <c r="I410" i="7"/>
  <c r="G410" i="7"/>
  <c r="A411" i="7"/>
  <c r="E408" i="8" l="1"/>
  <c r="H408" i="8"/>
  <c r="D408" i="8"/>
  <c r="G408" i="8"/>
  <c r="C408" i="8"/>
  <c r="F408" i="8"/>
  <c r="A439" i="21"/>
  <c r="D438" i="21"/>
  <c r="E438" i="21"/>
  <c r="F438" i="21"/>
  <c r="C438" i="21"/>
  <c r="J438" i="21"/>
  <c r="I437" i="21"/>
  <c r="A409" i="8"/>
  <c r="G411" i="7"/>
  <c r="I411" i="7"/>
  <c r="H411" i="7"/>
  <c r="E411" i="7"/>
  <c r="D411" i="7"/>
  <c r="A412" i="7"/>
  <c r="E409" i="8" l="1"/>
  <c r="H409" i="8"/>
  <c r="D409" i="8"/>
  <c r="G409" i="8"/>
  <c r="F409" i="8"/>
  <c r="C409" i="8"/>
  <c r="I438" i="21"/>
  <c r="A440" i="21"/>
  <c r="F439" i="21"/>
  <c r="J439" i="21"/>
  <c r="C439" i="21"/>
  <c r="D439" i="21"/>
  <c r="E439" i="21"/>
  <c r="A410" i="8"/>
  <c r="H412" i="7"/>
  <c r="G412" i="7"/>
  <c r="I412" i="7"/>
  <c r="E412" i="7"/>
  <c r="D412" i="7"/>
  <c r="A413" i="7"/>
  <c r="E410" i="8" l="1"/>
  <c r="H410" i="8"/>
  <c r="D410" i="8"/>
  <c r="G410" i="8"/>
  <c r="C410" i="8"/>
  <c r="F410" i="8"/>
  <c r="I439" i="21"/>
  <c r="A441" i="21"/>
  <c r="D440" i="21"/>
  <c r="C440" i="21"/>
  <c r="J440" i="21"/>
  <c r="E440" i="21"/>
  <c r="F440" i="21"/>
  <c r="A411" i="8"/>
  <c r="G413" i="7"/>
  <c r="D413" i="7"/>
  <c r="E413" i="7"/>
  <c r="I413" i="7"/>
  <c r="H413" i="7"/>
  <c r="A414" i="7"/>
  <c r="E411" i="8" l="1"/>
  <c r="H411" i="8"/>
  <c r="D411" i="8"/>
  <c r="C411" i="8"/>
  <c r="G411" i="8"/>
  <c r="F411" i="8"/>
  <c r="I440" i="21"/>
  <c r="A442" i="21"/>
  <c r="F441" i="21"/>
  <c r="J441" i="21"/>
  <c r="C441" i="21"/>
  <c r="E441" i="21"/>
  <c r="D441" i="21"/>
  <c r="A412" i="8"/>
  <c r="D414" i="7"/>
  <c r="E414" i="7"/>
  <c r="H414" i="7"/>
  <c r="G414" i="7"/>
  <c r="I414" i="7"/>
  <c r="A415" i="7"/>
  <c r="E412" i="8" l="1"/>
  <c r="D412" i="8"/>
  <c r="H412" i="8"/>
  <c r="F412" i="8"/>
  <c r="C412" i="8"/>
  <c r="G412" i="8"/>
  <c r="A443" i="21"/>
  <c r="D442" i="21"/>
  <c r="E442" i="21"/>
  <c r="F442" i="21"/>
  <c r="J442" i="21"/>
  <c r="C442" i="21"/>
  <c r="I441" i="21"/>
  <c r="A413" i="8"/>
  <c r="E415" i="7"/>
  <c r="H415" i="7"/>
  <c r="I415" i="7"/>
  <c r="G415" i="7"/>
  <c r="D415" i="7"/>
  <c r="A416" i="7"/>
  <c r="F413" i="8" l="1"/>
  <c r="D413" i="8"/>
  <c r="E413" i="8"/>
  <c r="H413" i="8"/>
  <c r="C413" i="8"/>
  <c r="G413" i="8"/>
  <c r="I442" i="21"/>
  <c r="A444" i="21"/>
  <c r="J443" i="21"/>
  <c r="C443" i="21"/>
  <c r="D443" i="21"/>
  <c r="E443" i="21"/>
  <c r="F443" i="21"/>
  <c r="A414" i="8"/>
  <c r="G416" i="7"/>
  <c r="I416" i="7"/>
  <c r="D416" i="7"/>
  <c r="H416" i="7"/>
  <c r="E416" i="7"/>
  <c r="A417" i="7"/>
  <c r="H414" i="8" l="1"/>
  <c r="F414" i="8"/>
  <c r="E414" i="8"/>
  <c r="C414" i="8"/>
  <c r="D414" i="8"/>
  <c r="G414" i="8"/>
  <c r="I443" i="21"/>
  <c r="A445" i="21"/>
  <c r="F444" i="21"/>
  <c r="J444" i="21"/>
  <c r="E444" i="21"/>
  <c r="C444" i="21"/>
  <c r="D444" i="21"/>
  <c r="A415" i="8"/>
  <c r="G417" i="7"/>
  <c r="D417" i="7"/>
  <c r="H417" i="7"/>
  <c r="E417" i="7"/>
  <c r="I417" i="7"/>
  <c r="A418" i="7"/>
  <c r="F415" i="8" l="1"/>
  <c r="E415" i="8"/>
  <c r="H415" i="8"/>
  <c r="G415" i="8"/>
  <c r="C415" i="8"/>
  <c r="D415" i="8"/>
  <c r="A446" i="21"/>
  <c r="F445" i="21"/>
  <c r="J445" i="21"/>
  <c r="C445" i="21"/>
  <c r="D445" i="21"/>
  <c r="E445" i="21"/>
  <c r="I444" i="21"/>
  <c r="A416" i="8"/>
  <c r="H418" i="7"/>
  <c r="E418" i="7"/>
  <c r="I418" i="7"/>
  <c r="G418" i="7"/>
  <c r="D418" i="7"/>
  <c r="A419" i="7"/>
  <c r="F416" i="8" l="1"/>
  <c r="E416" i="8"/>
  <c r="G416" i="8"/>
  <c r="C416" i="8"/>
  <c r="D416" i="8"/>
  <c r="H416" i="8"/>
  <c r="I445" i="21"/>
  <c r="A447" i="21"/>
  <c r="D446" i="21"/>
  <c r="E446" i="21"/>
  <c r="F446" i="21"/>
  <c r="J446" i="21"/>
  <c r="C446" i="21"/>
  <c r="A417" i="8"/>
  <c r="E419" i="7"/>
  <c r="D419" i="7"/>
  <c r="H419" i="7"/>
  <c r="I419" i="7"/>
  <c r="G419" i="7"/>
  <c r="A420" i="7"/>
  <c r="F417" i="8" l="1"/>
  <c r="E417" i="8"/>
  <c r="G417" i="8"/>
  <c r="H417" i="8"/>
  <c r="C417" i="8"/>
  <c r="D417" i="8"/>
  <c r="I446" i="21"/>
  <c r="A448" i="21"/>
  <c r="C447" i="21"/>
  <c r="D447" i="21"/>
  <c r="E447" i="21"/>
  <c r="F447" i="21"/>
  <c r="J447" i="21"/>
  <c r="A418" i="8"/>
  <c r="I420" i="7"/>
  <c r="E420" i="7"/>
  <c r="D420" i="7"/>
  <c r="G420" i="7"/>
  <c r="H420" i="7"/>
  <c r="A421" i="7"/>
  <c r="C418" i="8" l="1"/>
  <c r="F418" i="8"/>
  <c r="E418" i="8"/>
  <c r="D418" i="8"/>
  <c r="G418" i="8"/>
  <c r="H418" i="8"/>
  <c r="I447" i="21"/>
  <c r="A449" i="21"/>
  <c r="J448" i="21"/>
  <c r="E448" i="21"/>
  <c r="C448" i="21"/>
  <c r="D448" i="21"/>
  <c r="F448" i="21"/>
  <c r="A419" i="8"/>
  <c r="E421" i="7"/>
  <c r="I421" i="7"/>
  <c r="D421" i="7"/>
  <c r="G421" i="7"/>
  <c r="H421" i="7"/>
  <c r="A422" i="7"/>
  <c r="G419" i="8" l="1"/>
  <c r="C419" i="8"/>
  <c r="F419" i="8"/>
  <c r="H419" i="8"/>
  <c r="E419" i="8"/>
  <c r="D419" i="8"/>
  <c r="I448" i="21"/>
  <c r="A450" i="21"/>
  <c r="F449" i="21"/>
  <c r="J449" i="21"/>
  <c r="E449" i="21"/>
  <c r="C449" i="21"/>
  <c r="D449" i="21"/>
  <c r="A420" i="8"/>
  <c r="I422" i="7"/>
  <c r="E422" i="7"/>
  <c r="D422" i="7"/>
  <c r="H422" i="7"/>
  <c r="G422" i="7"/>
  <c r="A423" i="7"/>
  <c r="G420" i="8" l="1"/>
  <c r="C420" i="8"/>
  <c r="F420" i="8"/>
  <c r="E420" i="8"/>
  <c r="H420" i="8"/>
  <c r="D420" i="8"/>
  <c r="I449" i="21"/>
  <c r="A451" i="21"/>
  <c r="D450" i="21"/>
  <c r="E450" i="21"/>
  <c r="F450" i="21"/>
  <c r="C450" i="21"/>
  <c r="J450" i="21"/>
  <c r="A421" i="8"/>
  <c r="G423" i="7"/>
  <c r="E423" i="7"/>
  <c r="I423" i="7"/>
  <c r="D423" i="7"/>
  <c r="H423" i="7"/>
  <c r="A424" i="7"/>
  <c r="G421" i="8" l="1"/>
  <c r="C421" i="8"/>
  <c r="F421" i="8"/>
  <c r="E421" i="8"/>
  <c r="H421" i="8"/>
  <c r="D421" i="8"/>
  <c r="I450" i="21"/>
  <c r="A452" i="21"/>
  <c r="D451" i="21"/>
  <c r="C451" i="21"/>
  <c r="J451" i="21"/>
  <c r="E451" i="21"/>
  <c r="F451" i="21"/>
  <c r="A422" i="8"/>
  <c r="E424" i="7"/>
  <c r="H424" i="7"/>
  <c r="I424" i="7"/>
  <c r="D424" i="7"/>
  <c r="G424" i="7"/>
  <c r="A425" i="7"/>
  <c r="G422" i="8" l="1"/>
  <c r="C422" i="8"/>
  <c r="F422" i="8"/>
  <c r="H422" i="8"/>
  <c r="E422" i="8"/>
  <c r="D422" i="8"/>
  <c r="I451" i="21"/>
  <c r="A453" i="21"/>
  <c r="C452" i="21"/>
  <c r="J452" i="21"/>
  <c r="E452" i="21"/>
  <c r="D452" i="21"/>
  <c r="F452" i="21"/>
  <c r="A423" i="8"/>
  <c r="G425" i="7"/>
  <c r="I425" i="7"/>
  <c r="D425" i="7"/>
  <c r="E425" i="7"/>
  <c r="H425" i="7"/>
  <c r="A426" i="7"/>
  <c r="D423" i="8" l="1"/>
  <c r="G423" i="8"/>
  <c r="C423" i="8"/>
  <c r="F423" i="8"/>
  <c r="H423" i="8"/>
  <c r="E423" i="8"/>
  <c r="A454" i="21"/>
  <c r="F453" i="21"/>
  <c r="J453" i="21"/>
  <c r="C453" i="21"/>
  <c r="D453" i="21"/>
  <c r="E453" i="21"/>
  <c r="I452" i="21"/>
  <c r="A424" i="8"/>
  <c r="L36" i="7"/>
  <c r="G11" i="6" s="1"/>
  <c r="G13" i="6" s="1"/>
  <c r="G15" i="6" s="1"/>
  <c r="L35" i="7"/>
  <c r="D426" i="7"/>
  <c r="G426" i="7"/>
  <c r="E426" i="7"/>
  <c r="H426" i="7"/>
  <c r="I426" i="7"/>
  <c r="H424" i="8" l="1"/>
  <c r="D424" i="8"/>
  <c r="G424" i="8"/>
  <c r="C424" i="8"/>
  <c r="E424" i="8"/>
  <c r="F424" i="8"/>
  <c r="I453" i="21"/>
  <c r="A455" i="21"/>
  <c r="D454" i="21"/>
  <c r="E454" i="21"/>
  <c r="F454" i="21"/>
  <c r="C454" i="21"/>
  <c r="J454" i="21"/>
  <c r="O35" i="7"/>
  <c r="Q35" i="7" s="1"/>
  <c r="R35" i="7" s="1"/>
  <c r="P36" i="7"/>
  <c r="O36" i="7"/>
  <c r="Q36" i="7" s="1"/>
  <c r="R36" i="7" s="1"/>
  <c r="P35" i="7"/>
  <c r="A425" i="8"/>
  <c r="N36" i="7"/>
  <c r="N35" i="7"/>
  <c r="H425" i="8" l="1"/>
  <c r="D425" i="8"/>
  <c r="G425" i="8"/>
  <c r="C425" i="8"/>
  <c r="F425" i="8"/>
  <c r="E425" i="8"/>
  <c r="I454" i="21"/>
  <c r="A456" i="21"/>
  <c r="F455" i="21"/>
  <c r="J455" i="21"/>
  <c r="C455" i="21"/>
  <c r="D455" i="21"/>
  <c r="E455" i="21"/>
  <c r="R38" i="7"/>
  <c r="S45" i="7" s="1"/>
  <c r="A426" i="8"/>
  <c r="N41" i="7"/>
  <c r="P41" i="7"/>
  <c r="S41" i="7" s="1"/>
  <c r="H426" i="8" l="1"/>
  <c r="D426" i="8"/>
  <c r="G426" i="8"/>
  <c r="C426" i="8"/>
  <c r="F426" i="8"/>
  <c r="E426" i="8"/>
  <c r="K36" i="8"/>
  <c r="K35" i="8"/>
  <c r="K37" i="8"/>
  <c r="K39" i="8"/>
  <c r="K38" i="8"/>
  <c r="K40" i="8"/>
  <c r="I455" i="21"/>
  <c r="A457" i="21"/>
  <c r="D456" i="21"/>
  <c r="C456" i="21"/>
  <c r="E456" i="21"/>
  <c r="F456" i="21"/>
  <c r="J456" i="21"/>
  <c r="S43" i="7"/>
  <c r="T41" i="7"/>
  <c r="N43" i="7"/>
  <c r="F7" i="9" l="1"/>
  <c r="W6" i="8"/>
  <c r="W7" i="8"/>
  <c r="F6" i="9"/>
  <c r="G4" i="9"/>
  <c r="X4" i="8"/>
  <c r="X3" i="8"/>
  <c r="G3" i="9"/>
  <c r="H4" i="9"/>
  <c r="H3" i="9"/>
  <c r="W3" i="8"/>
  <c r="W4" i="8"/>
  <c r="F4" i="9"/>
  <c r="F3" i="9"/>
  <c r="K3" i="8"/>
  <c r="I456" i="21"/>
  <c r="A458" i="21"/>
  <c r="F457" i="21"/>
  <c r="J457" i="21"/>
  <c r="C457" i="21"/>
  <c r="D457" i="21"/>
  <c r="E457" i="21"/>
  <c r="H33" i="19"/>
  <c r="I457" i="21" l="1"/>
  <c r="A459" i="21"/>
  <c r="D458" i="21"/>
  <c r="E458" i="21"/>
  <c r="F458" i="21"/>
  <c r="C458" i="21"/>
  <c r="J458" i="21"/>
  <c r="D33" i="19"/>
  <c r="F33" i="19"/>
  <c r="E33" i="19"/>
  <c r="I33" i="19"/>
  <c r="I458" i="21" l="1"/>
  <c r="A460" i="21"/>
  <c r="E459" i="21"/>
  <c r="C459" i="21"/>
  <c r="D459" i="21"/>
  <c r="F459" i="21"/>
  <c r="J459" i="21"/>
  <c r="C33" i="20"/>
  <c r="D33" i="20"/>
  <c r="B33" i="20"/>
  <c r="AP13" i="25"/>
  <c r="AP19" i="25" s="1"/>
  <c r="I459" i="21" l="1"/>
  <c r="A461" i="21"/>
  <c r="F460" i="21"/>
  <c r="J460" i="21"/>
  <c r="D460" i="21"/>
  <c r="C460" i="21"/>
  <c r="E460" i="21"/>
  <c r="H39" i="25"/>
  <c r="O40" i="25" s="1"/>
  <c r="O41" i="25" s="1"/>
  <c r="I460" i="21" l="1"/>
  <c r="A462" i="21"/>
  <c r="F461" i="21"/>
  <c r="J461" i="21"/>
  <c r="C461" i="21"/>
  <c r="D461" i="21"/>
  <c r="E461" i="21"/>
  <c r="F29" i="19"/>
  <c r="D29" i="20" s="1"/>
  <c r="D29" i="19"/>
  <c r="E29" i="19"/>
  <c r="H29" i="19"/>
  <c r="L526" i="1"/>
  <c r="I29" i="19"/>
  <c r="I461" i="21" l="1"/>
  <c r="A463" i="21"/>
  <c r="D462" i="21"/>
  <c r="E462" i="21"/>
  <c r="F462" i="21"/>
  <c r="J462" i="21"/>
  <c r="C462" i="21"/>
  <c r="C29" i="20"/>
  <c r="B29" i="20"/>
  <c r="I462" i="21" l="1"/>
  <c r="A464" i="21"/>
  <c r="C463" i="21"/>
  <c r="F463" i="21"/>
  <c r="J463" i="21"/>
  <c r="D463" i="21"/>
  <c r="E463" i="21"/>
  <c r="G24" i="19"/>
  <c r="E24" i="20" s="1"/>
  <c r="E24" i="19"/>
  <c r="E49" i="19" s="1"/>
  <c r="D24" i="19"/>
  <c r="D49" i="19" s="1"/>
  <c r="F24" i="19"/>
  <c r="D24" i="20" s="1"/>
  <c r="I24" i="19"/>
  <c r="H24" i="19"/>
  <c r="L533" i="1"/>
  <c r="I463" i="21" l="1"/>
  <c r="A465" i="21"/>
  <c r="C464" i="21"/>
  <c r="D464" i="21"/>
  <c r="E464" i="21"/>
  <c r="F464" i="21"/>
  <c r="J464" i="21"/>
  <c r="B24" i="20"/>
  <c r="C24" i="20"/>
  <c r="F49" i="19"/>
  <c r="I464" i="21" l="1"/>
  <c r="A466" i="21"/>
  <c r="F465" i="21"/>
  <c r="J465" i="21"/>
  <c r="C465" i="21"/>
  <c r="E465" i="21"/>
  <c r="D465" i="21"/>
  <c r="AP29" i="25"/>
  <c r="AP27" i="25"/>
  <c r="AP30" i="25"/>
  <c r="AP26" i="25"/>
  <c r="AP25" i="25"/>
  <c r="AP28" i="25"/>
  <c r="AP24" i="25"/>
  <c r="I465" i="21" l="1"/>
  <c r="A467" i="21"/>
  <c r="D466" i="21"/>
  <c r="E466" i="21"/>
  <c r="F466" i="21"/>
  <c r="C466" i="21"/>
  <c r="J466" i="21"/>
  <c r="AP31" i="25"/>
  <c r="AQ24" i="25"/>
  <c r="AQ25" i="25" s="1"/>
  <c r="AQ26" i="25" s="1"/>
  <c r="AQ27" i="25" s="1"/>
  <c r="AQ28" i="25" s="1"/>
  <c r="AQ29" i="25" s="1"/>
  <c r="AQ30" i="25" s="1"/>
  <c r="I466" i="21" l="1"/>
  <c r="A468" i="21"/>
  <c r="C467" i="21"/>
  <c r="D467" i="21"/>
  <c r="J467" i="21"/>
  <c r="E467" i="21"/>
  <c r="F467" i="21"/>
  <c r="AQ31" i="25"/>
  <c r="I467" i="21" l="1"/>
  <c r="A469" i="21"/>
  <c r="C468" i="21"/>
  <c r="D468" i="21"/>
  <c r="E468" i="21"/>
  <c r="F468" i="21"/>
  <c r="J468" i="21"/>
  <c r="AP32" i="25"/>
  <c r="AN39" i="25"/>
  <c r="I468" i="21" l="1"/>
  <c r="A470" i="21"/>
  <c r="F469" i="21"/>
  <c r="J469" i="21"/>
  <c r="E469" i="21"/>
  <c r="C469" i="21"/>
  <c r="D469" i="21"/>
  <c r="AQ32" i="25"/>
  <c r="AQ33" i="25" s="1"/>
  <c r="AQ34" i="25" s="1"/>
  <c r="AQ35" i="25" s="1"/>
  <c r="AQ36" i="25" s="1"/>
  <c r="AQ37" i="25" s="1"/>
  <c r="AQ38" i="25" s="1"/>
  <c r="AP39" i="25"/>
  <c r="I469" i="21" l="1"/>
  <c r="A471" i="21"/>
  <c r="D470" i="21"/>
  <c r="E470" i="21"/>
  <c r="F470" i="21"/>
  <c r="C470" i="21"/>
  <c r="J470" i="21"/>
  <c r="I470" i="21" l="1"/>
  <c r="A472" i="21"/>
  <c r="F471" i="21"/>
  <c r="J471" i="21"/>
  <c r="D471" i="21"/>
  <c r="E471" i="21"/>
  <c r="C471" i="21"/>
  <c r="I471" i="21" l="1"/>
  <c r="A473" i="21"/>
  <c r="C472" i="21"/>
  <c r="D472" i="21"/>
  <c r="E472" i="21"/>
  <c r="F472" i="21"/>
  <c r="J472" i="21"/>
  <c r="I472" i="21" l="1"/>
  <c r="A474" i="21"/>
  <c r="F473" i="21"/>
  <c r="J473" i="21"/>
  <c r="C473" i="21"/>
  <c r="D473" i="21"/>
  <c r="E473" i="21"/>
  <c r="A475" i="21" l="1"/>
  <c r="D474" i="21"/>
  <c r="E474" i="21"/>
  <c r="F474" i="21"/>
  <c r="C474" i="21"/>
  <c r="J474" i="21"/>
  <c r="I473" i="21"/>
  <c r="I474" i="21" l="1"/>
  <c r="A476" i="21"/>
  <c r="E475" i="21"/>
  <c r="C475" i="21"/>
  <c r="D475" i="21"/>
  <c r="F475" i="21"/>
  <c r="J475" i="21"/>
  <c r="I475" i="21" l="1"/>
  <c r="A477" i="21"/>
  <c r="F476" i="21"/>
  <c r="J476" i="21"/>
  <c r="C476" i="21"/>
  <c r="E476" i="21"/>
  <c r="D476" i="21"/>
  <c r="I476" i="21" l="1"/>
  <c r="A478" i="21"/>
  <c r="F477" i="21"/>
  <c r="J477" i="21"/>
  <c r="D477" i="21"/>
  <c r="C477" i="21"/>
  <c r="E477" i="21"/>
  <c r="I477" i="21" l="1"/>
  <c r="A479" i="21"/>
  <c r="D478" i="21"/>
  <c r="E478" i="21"/>
  <c r="F478" i="21"/>
  <c r="J478" i="21"/>
  <c r="C478" i="21"/>
  <c r="I478" i="21" l="1"/>
  <c r="A480" i="21"/>
  <c r="C479" i="21"/>
  <c r="D479" i="21"/>
  <c r="E479" i="21"/>
  <c r="F479" i="21"/>
  <c r="J479" i="21"/>
  <c r="I479" i="21" l="1"/>
  <c r="A481" i="21"/>
  <c r="D480" i="21"/>
  <c r="E480" i="21"/>
  <c r="F480" i="21"/>
  <c r="J480" i="21"/>
  <c r="C480" i="21"/>
  <c r="I480" i="21" l="1"/>
  <c r="A482" i="21"/>
  <c r="F481" i="21"/>
  <c r="J481" i="21"/>
  <c r="C481" i="21"/>
  <c r="D481" i="21"/>
  <c r="E481" i="21"/>
  <c r="I481" i="21" l="1"/>
  <c r="A483" i="21"/>
  <c r="D482" i="21"/>
  <c r="E482" i="21"/>
  <c r="F482" i="21"/>
  <c r="C482" i="21"/>
  <c r="J482" i="21"/>
  <c r="I482" i="21" l="1"/>
  <c r="A484" i="21"/>
  <c r="J483" i="21"/>
  <c r="C483" i="21"/>
  <c r="D483" i="21"/>
  <c r="E483" i="21"/>
  <c r="F483" i="21"/>
  <c r="I483" i="21" l="1"/>
  <c r="A485" i="21"/>
  <c r="C484" i="21"/>
  <c r="E484" i="21"/>
  <c r="F484" i="21"/>
  <c r="D484" i="21"/>
  <c r="J484" i="21"/>
  <c r="A486" i="21" l="1"/>
  <c r="F485" i="21"/>
  <c r="J485" i="21"/>
  <c r="C485" i="21"/>
  <c r="D485" i="21"/>
  <c r="E485" i="21"/>
  <c r="I484" i="21"/>
  <c r="I485" i="21" l="1"/>
  <c r="A487" i="21"/>
  <c r="D486" i="21"/>
  <c r="E486" i="21"/>
  <c r="F486" i="21"/>
  <c r="J486" i="21"/>
  <c r="C486" i="21"/>
  <c r="I486" i="21" l="1"/>
  <c r="A488" i="21"/>
  <c r="F487" i="21"/>
  <c r="J487" i="21"/>
  <c r="E487" i="21"/>
  <c r="C487" i="21"/>
  <c r="D487" i="21"/>
  <c r="I487" i="21" l="1"/>
  <c r="A489" i="21"/>
  <c r="C488" i="21"/>
  <c r="D488" i="21"/>
  <c r="E488" i="21"/>
  <c r="F488" i="21"/>
  <c r="J488" i="21"/>
  <c r="I488" i="21" l="1"/>
  <c r="A490" i="21"/>
  <c r="F489" i="21"/>
  <c r="J489" i="21"/>
  <c r="C489" i="21"/>
  <c r="E489" i="21"/>
  <c r="D489" i="21"/>
  <c r="A491" i="21" l="1"/>
  <c r="D490" i="21"/>
  <c r="E490" i="21"/>
  <c r="F490" i="21"/>
  <c r="C490" i="21"/>
  <c r="J490" i="21"/>
  <c r="I489" i="21"/>
  <c r="I490" i="21" l="1"/>
  <c r="A492" i="21"/>
  <c r="C491" i="21"/>
  <c r="D491" i="21"/>
  <c r="E491" i="21"/>
  <c r="F491" i="21"/>
  <c r="J491" i="21"/>
  <c r="I491" i="21" l="1"/>
  <c r="A493" i="21"/>
  <c r="F492" i="21"/>
  <c r="J492" i="21"/>
  <c r="E492" i="21"/>
  <c r="D492" i="21"/>
  <c r="C492" i="21"/>
  <c r="I492" i="21" l="1"/>
  <c r="A494" i="21"/>
  <c r="F493" i="21"/>
  <c r="J493" i="21"/>
  <c r="C493" i="21"/>
  <c r="D493" i="21"/>
  <c r="E493" i="21"/>
  <c r="I493" i="21" l="1"/>
  <c r="A495" i="21"/>
  <c r="D494" i="21"/>
  <c r="E494" i="21"/>
  <c r="F494" i="21"/>
  <c r="J494" i="21"/>
  <c r="C494" i="21"/>
  <c r="I494" i="21" l="1"/>
  <c r="A496" i="21"/>
  <c r="D495" i="21"/>
  <c r="C495" i="21"/>
  <c r="J495" i="21"/>
  <c r="E495" i="21"/>
  <c r="F495" i="21"/>
  <c r="I495" i="21" l="1"/>
  <c r="A497" i="21"/>
  <c r="J496" i="21"/>
  <c r="C496" i="21"/>
  <c r="D496" i="21"/>
  <c r="E496" i="21"/>
  <c r="F496" i="21"/>
  <c r="I496" i="21" l="1"/>
  <c r="A498" i="21"/>
  <c r="F497" i="21"/>
  <c r="J497" i="21"/>
  <c r="C497" i="21"/>
  <c r="D497" i="21"/>
  <c r="E497" i="21"/>
  <c r="A499" i="21" l="1"/>
  <c r="D498" i="21"/>
  <c r="E498" i="21"/>
  <c r="F498" i="21"/>
  <c r="C498" i="21"/>
  <c r="J498" i="21"/>
  <c r="I497" i="21"/>
  <c r="I498" i="21" l="1"/>
  <c r="A500" i="21"/>
  <c r="D499" i="21"/>
  <c r="C499" i="21"/>
  <c r="J499" i="21"/>
  <c r="E499" i="21"/>
  <c r="F499" i="21"/>
  <c r="I499" i="21" l="1"/>
  <c r="F500" i="21"/>
  <c r="C500" i="21"/>
  <c r="D500" i="21"/>
  <c r="E500" i="21"/>
  <c r="J500" i="21"/>
  <c r="I500" i="2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<sst xmlns="http://schemas.openxmlformats.org/spreadsheetml/2006/main" count="6386" uniqueCount="660">
  <si>
    <t>Fecha</t>
  </si>
  <si>
    <t>Brigada</t>
  </si>
  <si>
    <t>Sistema</t>
  </si>
  <si>
    <t>Ducto</t>
  </si>
  <si>
    <t>Actividades</t>
  </si>
  <si>
    <t>inicio</t>
  </si>
  <si>
    <t>fin</t>
  </si>
  <si>
    <t>Avance_km</t>
  </si>
  <si>
    <t>Avance_Med</t>
  </si>
  <si>
    <t>Codigo_actividad</t>
  </si>
  <si>
    <t>nombre_actividad</t>
  </si>
  <si>
    <t>Length</t>
  </si>
  <si>
    <t>A</t>
  </si>
  <si>
    <t>LIRA_GALERAS</t>
  </si>
  <si>
    <t>AC 8-6-4 in La Lira-Galeras</t>
  </si>
  <si>
    <t>Reunión de arranque y revisión de información oficinas ENGIE Querétaro.
Localización de Tubería con Equipo de RadioDetección.</t>
  </si>
  <si>
    <t>Localización de Tubería con Equipo de RadioDetección.</t>
  </si>
  <si>
    <t>ALESTRA</t>
  </si>
  <si>
    <t>HUAWEI</t>
  </si>
  <si>
    <t>ITASA</t>
  </si>
  <si>
    <t>ED PARQUE INDUSTRIAL FINSA II</t>
  </si>
  <si>
    <t>NUTRIBAQ</t>
  </si>
  <si>
    <t>PECO_AGROS</t>
  </si>
  <si>
    <t>AGROS</t>
  </si>
  <si>
    <t>SUNNY FIELDS</t>
  </si>
  <si>
    <t>BEL GIARDINO</t>
  </si>
  <si>
    <t>ED AGROPARK II (GAS PRIMO)</t>
  </si>
  <si>
    <t>PECO II - GALERAS 10</t>
  </si>
  <si>
    <t>Close Interval Survey CIS</t>
  </si>
  <si>
    <t>B</t>
  </si>
  <si>
    <t>C</t>
  </si>
  <si>
    <t>Resistividades pH BRS BPA</t>
  </si>
  <si>
    <t>LA BONITA</t>
  </si>
  <si>
    <t>ERM FH FIBRAS</t>
  </si>
  <si>
    <t>ERM DESHITEC</t>
  </si>
  <si>
    <t>ED ARKANSAS</t>
  </si>
  <si>
    <t>Direct Current Voltage Gradient DCVG</t>
  </si>
  <si>
    <t>VIBORILLAS</t>
  </si>
  <si>
    <t>ED BOMBARDIER</t>
  </si>
  <si>
    <t>MOLINOS ANAHUAC</t>
  </si>
  <si>
    <t>FRESHLLACA</t>
  </si>
  <si>
    <t>RANCHO HUMUS</t>
  </si>
  <si>
    <t>GPO. PRODUCTIVO LA LIRA</t>
  </si>
  <si>
    <t>ED PARQUE INDUSTRIAL PYME</t>
  </si>
  <si>
    <t>ED EL COLORADO</t>
  </si>
  <si>
    <t>PILGRIMS LOS CUES</t>
  </si>
  <si>
    <t>ED AEROTECH</t>
  </si>
  <si>
    <t>FINSA II</t>
  </si>
  <si>
    <t>STEERINGMEX</t>
  </si>
  <si>
    <t>SYNTEK ASPHALT</t>
  </si>
  <si>
    <t>ATONGO</t>
  </si>
  <si>
    <t>NATGAS EL MARQUES</t>
  </si>
  <si>
    <t>IACNA DE MEXICO</t>
  </si>
  <si>
    <t>KOPPERT</t>
  </si>
  <si>
    <t>POLLOS QUERÉTARO</t>
  </si>
  <si>
    <t>NUTEC LOS OLIVOS</t>
  </si>
  <si>
    <t>ERM LA PERLA</t>
  </si>
  <si>
    <t>ED PARQUE INDUSTRIAL LA BOMBA</t>
  </si>
  <si>
    <t>STERLING BURDS</t>
  </si>
  <si>
    <t>FABRICA DE JABON LA CORONA</t>
  </si>
  <si>
    <t>GRAMOSA ALIMENTOS</t>
  </si>
  <si>
    <t>ED O´DONELL</t>
  </si>
  <si>
    <t>EFFEM</t>
  </si>
  <si>
    <t>PAPSA</t>
  </si>
  <si>
    <t>ERM VIMIFUS</t>
  </si>
  <si>
    <t>GUARDIAN</t>
  </si>
  <si>
    <t>REFUERZO ATONGO</t>
  </si>
  <si>
    <t>INDUSTRIAS KI</t>
  </si>
  <si>
    <t>BG PRIME 1</t>
  </si>
  <si>
    <t>BG PRIME 2</t>
  </si>
  <si>
    <t>ED LA BARCA</t>
  </si>
  <si>
    <t>ERM VIBORILLAS</t>
  </si>
  <si>
    <t>ED VIBORILLAS</t>
  </si>
  <si>
    <t>ED PIA</t>
  </si>
  <si>
    <t>MICROSOFT</t>
  </si>
  <si>
    <t>Total</t>
  </si>
  <si>
    <t>Nombre ducto</t>
  </si>
  <si>
    <t>Len</t>
  </si>
  <si>
    <t>Localizacion</t>
  </si>
  <si>
    <t>CIPS</t>
  </si>
  <si>
    <t>DCVG</t>
  </si>
  <si>
    <t>Resistividades pH BSR BPA</t>
  </si>
  <si>
    <t>ACVG</t>
  </si>
  <si>
    <t>PCM</t>
  </si>
  <si>
    <t>Catálogo de conceptos: Regional DGQ / Evaluación directa por corrosión externa (ECDA) bajo el estándar practico SP0502-2010 (AMPP) en el total de red de distribucion de la regional DGQ  en una longitud de 200 kilometros de red en direferentes diametros (10", 8", 6", 4", 3" y 2").</t>
  </si>
  <si>
    <t>Nombre del Proveedor</t>
  </si>
  <si>
    <t>PROYECTO:</t>
  </si>
  <si>
    <t>ECDA DGQ</t>
  </si>
  <si>
    <t>POSICIÓN</t>
  </si>
  <si>
    <t>DESCRIPCIÓN BREVE</t>
  </si>
  <si>
    <t>CANTIDAD</t>
  </si>
  <si>
    <t>UNIDAD DE MEDIDA (UM)</t>
  </si>
  <si>
    <t>PRECIO UNITARIO</t>
  </si>
  <si>
    <t>TOTAL</t>
  </si>
  <si>
    <t>MONEDA</t>
  </si>
  <si>
    <t>ETAPA 1</t>
  </si>
  <si>
    <t>Recopilación de Información</t>
  </si>
  <si>
    <t>DUCTO</t>
  </si>
  <si>
    <t>MXN</t>
  </si>
  <si>
    <t>Análisis de Información</t>
  </si>
  <si>
    <t>Evaluación de factibilidad de ECDA</t>
  </si>
  <si>
    <t>1,4</t>
  </si>
  <si>
    <t>Selección de técnicas de inspección indirecta</t>
  </si>
  <si>
    <t>Definición de zonas ECDA</t>
  </si>
  <si>
    <t>Reporte final entregable (con resultados, diagnosticos, hallazgos, recomendaciones y conclusiones). Esta partida puede reducir en funcion de la cantidad de ductos principales.</t>
  </si>
  <si>
    <t>ETAPA 2</t>
  </si>
  <si>
    <t xml:space="preserve">Subtotal </t>
  </si>
  <si>
    <t>Estudio de potencial a intervalos cortos (Close Interval Potential Survey-CIPS).</t>
  </si>
  <si>
    <t>KM</t>
  </si>
  <si>
    <t>Estudio Gradiente de Voltaje de Corriente Alterna (ACVG).</t>
  </si>
  <si>
    <t>Estudio Gradiente de Voltaje de Corriente Directa (DCVG).</t>
  </si>
  <si>
    <t>Mapeo de corriente PCM</t>
  </si>
  <si>
    <t>Levantamiento de resistividad pH y bacterias a lo largo de la trayectoria del ducto a cada 500 m Incluye mano de obra, kits y equipo</t>
  </si>
  <si>
    <t>SERVICIOS</t>
  </si>
  <si>
    <t>Localización de Ducto.</t>
  </si>
  <si>
    <t>Definir y clasificar la severidad de indicaciones</t>
  </si>
  <si>
    <t>ETAPA 3</t>
  </si>
  <si>
    <t>Selección y priorización de indicaciones para examinación directa</t>
  </si>
  <si>
    <t>DUCTOS</t>
  </si>
  <si>
    <t>Recopilación de datos en la excavación</t>
  </si>
  <si>
    <t>VERIFICACIONES</t>
  </si>
  <si>
    <t>Evaluacion de la inspeccion en campo mediante ensayos no destructivos:</t>
  </si>
  <si>
    <t>3.3.1</t>
  </si>
  <si>
    <t>Inspeccion visual</t>
  </si>
  <si>
    <t>3.3.2</t>
  </si>
  <si>
    <t>Evaluacion de sanidad y medicion de espesores</t>
  </si>
  <si>
    <t>SERVICIO</t>
  </si>
  <si>
    <t>3.3.3</t>
  </si>
  <si>
    <t>Caracterizacion de tuberia</t>
  </si>
  <si>
    <t>3.3.4</t>
  </si>
  <si>
    <t>Evaluacion de soldadura con haz angular</t>
  </si>
  <si>
    <t>3.3.5</t>
  </si>
  <si>
    <t>Inspección de ultrasonido de haz recto</t>
  </si>
  <si>
    <t>3.3.6</t>
  </si>
  <si>
    <t>Inspección con particulas magneticas</t>
  </si>
  <si>
    <t>3.3.7</t>
  </si>
  <si>
    <t>Inspeccion con liquidos penetrantes</t>
  </si>
  <si>
    <t>3.3.8</t>
  </si>
  <si>
    <t>Medicion de PH de suelo dentro de excavación</t>
  </si>
  <si>
    <t>3.3.9</t>
  </si>
  <si>
    <t>Medicion de corrosion por actividadad microbiologica y levantamiento de bacterias.</t>
  </si>
  <si>
    <t>Reportes finales entregables (con resultados, diagnosticos, hallazgos, recomendaciones y conclusiones).  Esta partida puede reducir en funcion de la cantidad de ductos principales.</t>
  </si>
  <si>
    <t>ETAPA 4</t>
  </si>
  <si>
    <t>Evaluación de esfuerzo remanente de defectos.</t>
  </si>
  <si>
    <t>Análisis de las condiciones encontradas y evaluación del proceso.</t>
  </si>
  <si>
    <t>Cálculo de las tasas de corrosión y vida remanente.</t>
  </si>
  <si>
    <t>Análisis causa – raíz.</t>
  </si>
  <si>
    <t>Definición de intervalos de re-inspección.</t>
  </si>
  <si>
    <t>Evaluación de efectividad del proceso de ECDA.</t>
  </si>
  <si>
    <t>Elaboración del reporte final ECDA.</t>
  </si>
  <si>
    <t>Re-priorización de atención.</t>
  </si>
  <si>
    <t>Suministro y aplicación de recubrimiento viscoelastico anticorrosivo en diametros de 2" a 4" de diametro, incluyendo sus pruebas dielectricas, y de adeherencia.</t>
  </si>
  <si>
    <t>M LINEAL POR DIAMETRO</t>
  </si>
  <si>
    <t>Suministro y aplicación de recubrimiento viscoelastico anticorrosivo en diametros de 6" a 8" de diametro, incluyendo sus pruebas dielectricas y de adeherencia.</t>
  </si>
  <si>
    <t>Suministro y aplicación de recubrimiento viscoelastico anticorrosivo en diametros de 10" a 12" de diametro,  incluyendo sus pruebas dielectricas y de adeherencia.</t>
  </si>
  <si>
    <t>Reportes finales entregables (con resultados, diagnosticos, hallazgos, recomendaciones y conclusiones).</t>
  </si>
  <si>
    <t>Acompañamiento de seguridad</t>
  </si>
  <si>
    <t>Acompañamiento de seguridad en las actividades en campo, ETAPA 2</t>
  </si>
  <si>
    <t>Servicio</t>
  </si>
  <si>
    <t>Acompañamiento de seguridad en las actividades en campo, ETAPA 3</t>
  </si>
  <si>
    <t xml:space="preserve">Total </t>
  </si>
  <si>
    <t>Condiciones comerciales</t>
  </si>
  <si>
    <t>Observaciones</t>
  </si>
  <si>
    <t>LA PROPUESTA TECNICA DEBE CONTENER INFORMACION ADICIONAL</t>
  </si>
  <si>
    <t>Presentar CV empresarial</t>
  </si>
  <si>
    <t>Documentos entregables (Formato de reportes)</t>
  </si>
  <si>
    <t>Procedimientos operativos y su analisis de riesgo de cada actividad operativa.</t>
  </si>
  <si>
    <t>Plan de trabajo</t>
  </si>
  <si>
    <t>Propuesta del personal técnico (Cuadrillas de trabajo)</t>
  </si>
  <si>
    <t>Cumplimiento de Seguridad, salud ocupacional y medio ambiente</t>
  </si>
  <si>
    <t>FUTURO NATGAS EL MARQUES</t>
  </si>
  <si>
    <t>-</t>
  </si>
  <si>
    <t>WIINERS MARK</t>
  </si>
  <si>
    <t>ATONGO SN5 POR ACTUALIZAR</t>
  </si>
  <si>
    <t>fecha</t>
  </si>
  <si>
    <t>kms</t>
  </si>
  <si>
    <t>Mediciones</t>
  </si>
  <si>
    <t>Target al 22dic</t>
  </si>
  <si>
    <t>CPI</t>
  </si>
  <si>
    <t>SPIN</t>
  </si>
  <si>
    <t>S01</t>
  </si>
  <si>
    <t>S02</t>
  </si>
  <si>
    <t>Basados en un total de 145.518 kms</t>
  </si>
  <si>
    <t>Basados en un total de 300 mediciones</t>
  </si>
  <si>
    <t>ID_SIST</t>
  </si>
  <si>
    <t>SISTEMA</t>
  </si>
  <si>
    <t>ID_DUCTO</t>
  </si>
  <si>
    <t>La Lira-Galeras</t>
  </si>
  <si>
    <t>01.06.01</t>
  </si>
  <si>
    <t>01.06.01.01</t>
  </si>
  <si>
    <t>1.11.01</t>
  </si>
  <si>
    <t>1.14.01</t>
  </si>
  <si>
    <t>1.14.02</t>
  </si>
  <si>
    <t>1.14.03</t>
  </si>
  <si>
    <t>1.14.04</t>
  </si>
  <si>
    <t>1.15.01</t>
  </si>
  <si>
    <t>1.15.02</t>
  </si>
  <si>
    <t>1.15.03</t>
  </si>
  <si>
    <t>1.15.04</t>
  </si>
  <si>
    <t>1.15.05</t>
  </si>
  <si>
    <t>1.15.05.01</t>
  </si>
  <si>
    <t>1.15.05.02</t>
  </si>
  <si>
    <t>1.15.05.03</t>
  </si>
  <si>
    <t>1.15.05.04</t>
  </si>
  <si>
    <t>1.19.01</t>
  </si>
  <si>
    <t>1.19.02</t>
  </si>
  <si>
    <t>1.20.01</t>
  </si>
  <si>
    <t>02.05.01</t>
  </si>
  <si>
    <t>2.11.01</t>
  </si>
  <si>
    <t>2.11.02</t>
  </si>
  <si>
    <t>2.11.02.01</t>
  </si>
  <si>
    <t>S03</t>
  </si>
  <si>
    <t>HUIMILPAN - CERRO DEL TAMBOR 10</t>
  </si>
  <si>
    <t>TOM FROG</t>
  </si>
  <si>
    <t>CANDILES</t>
  </si>
  <si>
    <t>BALVANERA</t>
  </si>
  <si>
    <t>NATGAS CELAYA CUOTA</t>
  </si>
  <si>
    <t>AGROGEN</t>
  </si>
  <si>
    <t>TECNOLÓGICO</t>
  </si>
  <si>
    <t>KELLOG´S</t>
  </si>
  <si>
    <t>KELLOG´S COGENERACIÓN</t>
  </si>
  <si>
    <t>EMBOTELLADORA VICTORIA</t>
  </si>
  <si>
    <t>PORCELANITE</t>
  </si>
  <si>
    <t>ITALGRES</t>
  </si>
  <si>
    <t>ED CARRILLO PUERTO</t>
  </si>
  <si>
    <t>ED CASETA GENERAL ALAMOS</t>
  </si>
  <si>
    <t>3.13.01</t>
  </si>
  <si>
    <t>BONAFON</t>
  </si>
  <si>
    <t>3.13.02</t>
  </si>
  <si>
    <t>ED. MOLINOS</t>
  </si>
  <si>
    <t>3.13.03</t>
  </si>
  <si>
    <t>GERBER</t>
  </si>
  <si>
    <t>3.13.04</t>
  </si>
  <si>
    <t>ED TECNOLÓGICO MONTERREY</t>
  </si>
  <si>
    <t>3.13.04.01</t>
  </si>
  <si>
    <t>ED ALAMOS</t>
  </si>
  <si>
    <t>3.13.05</t>
  </si>
  <si>
    <t>NESTLE</t>
  </si>
  <si>
    <t>3.13.06</t>
  </si>
  <si>
    <t>PILGRIM´S</t>
  </si>
  <si>
    <t>MABE 5 FEBRERO</t>
  </si>
  <si>
    <t>VIDRIERA DE QUERÉTARO</t>
  </si>
  <si>
    <t>GERRESHEIMER</t>
  </si>
  <si>
    <t>REXAM</t>
  </si>
  <si>
    <t>NATGAS OBRERA</t>
  </si>
  <si>
    <t>CARDANES</t>
  </si>
  <si>
    <t>MICHELLIN</t>
  </si>
  <si>
    <t>ED BENITO JUAREZ</t>
  </si>
  <si>
    <t>TREMEC</t>
  </si>
  <si>
    <t>FANDELLI</t>
  </si>
  <si>
    <t>NEW HOLLAND</t>
  </si>
  <si>
    <t>MABE COMPONENTES</t>
  </si>
  <si>
    <t>TURBOREACTORES (ITP)</t>
  </si>
  <si>
    <t>ED SATELITE</t>
  </si>
  <si>
    <t>KONTES</t>
  </si>
  <si>
    <t>INDORAMA</t>
  </si>
  <si>
    <t>nombre</t>
  </si>
  <si>
    <t>Spatial Length (m)</t>
  </si>
  <si>
    <t># de Sistema</t>
  </si>
  <si>
    <t>Nombre del Sistema</t>
  </si>
  <si>
    <t>Longitud (m)</t>
  </si>
  <si>
    <t>HUIMILPAN-CERRO DEL TAMBOR</t>
  </si>
  <si>
    <t>CASETA GENERAL-ALAMOS</t>
  </si>
  <si>
    <t>ED  MICROPARQUE</t>
  </si>
  <si>
    <t>NATGAS CORREGIDORA</t>
  </si>
  <si>
    <t>GIVAUDAN</t>
  </si>
  <si>
    <t>SAN GIL</t>
  </si>
  <si>
    <t>LIRA GALERAS</t>
  </si>
  <si>
    <t>Inicio 3 NOV, 8:00 am, Of ENGIE, Ing. Eric Corona</t>
  </si>
  <si>
    <t>BOMBARDIER</t>
  </si>
  <si>
    <t>PECO-AGROS</t>
  </si>
  <si>
    <t>ARKANSAS</t>
  </si>
  <si>
    <t>S07</t>
  </si>
  <si>
    <t>S08</t>
  </si>
  <si>
    <t>Rest en la OC</t>
  </si>
  <si>
    <t>MXN_010</t>
  </si>
  <si>
    <t>RECOPILACION</t>
  </si>
  <si>
    <t>MXN_020</t>
  </si>
  <si>
    <t>ANALISIS</t>
  </si>
  <si>
    <t>MXN_030</t>
  </si>
  <si>
    <t>FACTIBILIDAD</t>
  </si>
  <si>
    <t>MXN_040</t>
  </si>
  <si>
    <t>SELECCIÓN HERRAMIENTAS</t>
  </si>
  <si>
    <t>MXN_050</t>
  </si>
  <si>
    <t>REGIONES ECDA</t>
  </si>
  <si>
    <t>MXN_060</t>
  </si>
  <si>
    <t>REPORTE E1</t>
  </si>
  <si>
    <t>MXN_070</t>
  </si>
  <si>
    <t>MXN_080</t>
  </si>
  <si>
    <t>MXN_090</t>
  </si>
  <si>
    <t>MXN_100</t>
  </si>
  <si>
    <t>MXN_110</t>
  </si>
  <si>
    <t>MXN_120</t>
  </si>
  <si>
    <t>MXN_130</t>
  </si>
  <si>
    <t>SEVERIDAD</t>
  </si>
  <si>
    <t>MXN_140</t>
  </si>
  <si>
    <t>REPORTE E2</t>
  </si>
  <si>
    <t>MXN_150</t>
  </si>
  <si>
    <t>PRIORIZACION</t>
  </si>
  <si>
    <t>MXN_160</t>
  </si>
  <si>
    <t>MXN_170</t>
  </si>
  <si>
    <t>MXN_180</t>
  </si>
  <si>
    <t>MXN_190</t>
  </si>
  <si>
    <t>MXN_200</t>
  </si>
  <si>
    <t>MXN_210</t>
  </si>
  <si>
    <t>MXN_220</t>
  </si>
  <si>
    <t>MXN_230</t>
  </si>
  <si>
    <t>MXN_240</t>
  </si>
  <si>
    <t>MXN_250</t>
  </si>
  <si>
    <t>MXN_260</t>
  </si>
  <si>
    <t>MXN_270</t>
  </si>
  <si>
    <t>MXN_280</t>
  </si>
  <si>
    <t>MXN_290</t>
  </si>
  <si>
    <t>MXN_300</t>
  </si>
  <si>
    <t>MXN_310</t>
  </si>
  <si>
    <t>MXN_320</t>
  </si>
  <si>
    <t>MXN_330</t>
  </si>
  <si>
    <t>MXN_340</t>
  </si>
  <si>
    <t>MXN_350</t>
  </si>
  <si>
    <t>MXN_360</t>
  </si>
  <si>
    <t>MXN_370</t>
  </si>
  <si>
    <t>MXN_380</t>
  </si>
  <si>
    <t>LUNES</t>
  </si>
  <si>
    <t>Flechas</t>
  </si>
  <si>
    <t>LOC</t>
  </si>
  <si>
    <t>CIS</t>
  </si>
  <si>
    <t>Límite</t>
  </si>
  <si>
    <t>Límite S01 y S02</t>
  </si>
  <si>
    <t>Límite % S01 y S02</t>
  </si>
  <si>
    <t>HUIMILPAN</t>
  </si>
  <si>
    <t>7.0</t>
  </si>
  <si>
    <t>7.01</t>
  </si>
  <si>
    <t>7.01.01</t>
  </si>
  <si>
    <t>NOWPACK</t>
  </si>
  <si>
    <t>PUREMIN</t>
  </si>
  <si>
    <t>SAN_GIL</t>
  </si>
  <si>
    <t>FINKA AHUEHUETE</t>
  </si>
  <si>
    <t>8.0</t>
  </si>
  <si>
    <t>8.01</t>
  </si>
  <si>
    <t>ERM NATGAS CELAYA CUOTA</t>
  </si>
  <si>
    <t>ERM AGROGEN</t>
  </si>
  <si>
    <t>ED TECNOLÓGICO</t>
  </si>
  <si>
    <t>NA</t>
  </si>
  <si>
    <t>EV</t>
  </si>
  <si>
    <t>ESTACION ATONGO</t>
  </si>
  <si>
    <t>ref 0+372 Kellog's</t>
  </si>
  <si>
    <t>MICROPARQUE SANTIAGO</t>
  </si>
  <si>
    <t>3.06.01</t>
  </si>
  <si>
    <t>ref GERRESHEIMER</t>
  </si>
  <si>
    <t>ref TREMEC</t>
  </si>
  <si>
    <t>4.02</t>
  </si>
  <si>
    <t>HUIMILPAN - BUENA VISTA 16</t>
  </si>
  <si>
    <t>S04</t>
  </si>
  <si>
    <t>ROCKTENN</t>
  </si>
  <si>
    <t>NO HAY SITIO PARA HACER RESISTIVIDADES</t>
  </si>
  <si>
    <t>Por longitud CIS</t>
  </si>
  <si>
    <t>ver summary</t>
  </si>
  <si>
    <t>PRIME HASRVEST</t>
  </si>
  <si>
    <t>Restante por pagar a SPIN</t>
  </si>
  <si>
    <t>BACHOCO</t>
  </si>
  <si>
    <t>NATGAS ARCÁNGEL</t>
  </si>
  <si>
    <t>VIÑEDOS</t>
  </si>
  <si>
    <t>4.01</t>
  </si>
  <si>
    <t>4.03</t>
  </si>
  <si>
    <t>4.04</t>
  </si>
  <si>
    <t>Gastos</t>
  </si>
  <si>
    <t>Ingresos</t>
  </si>
  <si>
    <t>ED JURICA</t>
  </si>
  <si>
    <t>MABE JURICA</t>
  </si>
  <si>
    <t>ED STAY BRIDGE</t>
  </si>
  <si>
    <t>ENCORE RAMADA ( ED TEXAS)</t>
  </si>
  <si>
    <t>ED ANTEA</t>
  </si>
  <si>
    <t>INMOBILIARIA PETEGA (MOTEL PARAÍSO)</t>
  </si>
  <si>
    <t xml:space="preserve">HOME 2 SUITES </t>
  </si>
  <si>
    <t>ED JURIQUILLA</t>
  </si>
  <si>
    <t>NATGAS LA SOLANA</t>
  </si>
  <si>
    <t>ED RESIDENCIAL JURIQUILLA</t>
  </si>
  <si>
    <t>ERM WELCOAT</t>
  </si>
  <si>
    <t>ED TEXAS</t>
  </si>
  <si>
    <t>CERRO DEL TAMBOR - PIE DE GALLO 16</t>
  </si>
  <si>
    <t>S06</t>
  </si>
  <si>
    <t>6.01</t>
  </si>
  <si>
    <t>6.02</t>
  </si>
  <si>
    <t>6.03</t>
  </si>
  <si>
    <t>6.04</t>
  </si>
  <si>
    <t>6.05</t>
  </si>
  <si>
    <t>6.06</t>
  </si>
  <si>
    <t>6.08</t>
  </si>
  <si>
    <t>6.09</t>
  </si>
  <si>
    <t>6.10</t>
  </si>
  <si>
    <t>6.11</t>
  </si>
  <si>
    <t>6.12</t>
  </si>
  <si>
    <t>6.13</t>
  </si>
  <si>
    <t>Pagos</t>
  </si>
  <si>
    <t>Pago dic2025</t>
  </si>
  <si>
    <t>SUBTOTAL</t>
  </si>
  <si>
    <t>Abono</t>
  </si>
  <si>
    <t>Pago 1</t>
  </si>
  <si>
    <t>Etapa 1</t>
  </si>
  <si>
    <t>Clasif</t>
  </si>
  <si>
    <t>Reporte E2</t>
  </si>
  <si>
    <t>Por ejecutar</t>
  </si>
  <si>
    <t>No hay espacio</t>
  </si>
  <si>
    <t>todos</t>
  </si>
  <si>
    <t>Recopilacion</t>
  </si>
  <si>
    <t>Analisis</t>
  </si>
  <si>
    <t>Factibiidad</t>
  </si>
  <si>
    <t>Selección Herramientas</t>
  </si>
  <si>
    <t>Regiones ECDA</t>
  </si>
  <si>
    <t>Reporte E1</t>
  </si>
  <si>
    <t>G</t>
  </si>
  <si>
    <t>BUENAVISTA</t>
  </si>
  <si>
    <t>Severidad</t>
  </si>
  <si>
    <t>Priorizacion</t>
  </si>
  <si>
    <t>EV_</t>
  </si>
  <si>
    <t>DATA EXC</t>
  </si>
  <si>
    <t>VT</t>
  </si>
  <si>
    <t>CARACTERIZACION</t>
  </si>
  <si>
    <t>MT</t>
  </si>
  <si>
    <t>BACTERIAS EXC</t>
  </si>
  <si>
    <t>PH EXC</t>
  </si>
  <si>
    <t>REPORTE E3</t>
  </si>
  <si>
    <t>UT RECTO</t>
  </si>
  <si>
    <t>SANIDAD Y ESPESORES</t>
  </si>
  <si>
    <t>UTPA</t>
  </si>
  <si>
    <t>LP</t>
  </si>
  <si>
    <t>REMAING STRENG</t>
  </si>
  <si>
    <t>ANLISIS</t>
  </si>
  <si>
    <t>VCORR Y TVR</t>
  </si>
  <si>
    <t>CAUSA RAIZ</t>
  </si>
  <si>
    <t>T REINPECCION</t>
  </si>
  <si>
    <t>EFECTIVIDAD</t>
  </si>
  <si>
    <t>REPORTE ECDA</t>
  </si>
  <si>
    <t>RE-PRIORIZACION</t>
  </si>
  <si>
    <t>COATING 2-4</t>
  </si>
  <si>
    <t>COATING 6-8</t>
  </si>
  <si>
    <t>COATING 10-12</t>
  </si>
  <si>
    <t>REPORTE FINAL</t>
  </si>
  <si>
    <t>ML BY DIAM</t>
  </si>
  <si>
    <t>VERF</t>
  </si>
  <si>
    <t>ABONO</t>
  </si>
  <si>
    <t>PAGO 1</t>
  </si>
  <si>
    <t>POR EJECUTAR</t>
  </si>
  <si>
    <t>sin act</t>
  </si>
  <si>
    <t>Sin Actividad</t>
  </si>
  <si>
    <t>fecha actual</t>
  </si>
  <si>
    <t>Totales</t>
  </si>
  <si>
    <t>Etapa 2</t>
  </si>
  <si>
    <t>Etapa 3</t>
  </si>
  <si>
    <t>Etapa 4</t>
  </si>
  <si>
    <t>Contrato</t>
  </si>
  <si>
    <t>%Avance</t>
  </si>
  <si>
    <t>Nota: 200 km en contrato vs 154 km estimados</t>
  </si>
  <si>
    <t xml:space="preserve"> EJECUTADO</t>
  </si>
  <si>
    <t>Nota: Ductos realizados 116, ductos en contrato 105</t>
  </si>
  <si>
    <t xml:space="preserve">1. Se eliminaron los siguientes sistemas: </t>
  </si>
  <si>
    <t xml:space="preserve">ERM NATGAS </t>
  </si>
  <si>
    <t xml:space="preserve">ERM AGROGEN </t>
  </si>
  <si>
    <t>ERM TECNOLOGICO se sumó a ED TECNOLOGICO, solo quedó ED TECNOLOGICO (se adjunta Excel con tabla de zonas ECDA)</t>
  </si>
  <si>
    <t xml:space="preserve">MABE 5 FEBRERO </t>
  </si>
  <si>
    <t xml:space="preserve">KELLOGS CONGENERACIÓN </t>
  </si>
  <si>
    <t>MAIL</t>
  </si>
  <si>
    <t>KM INICIO</t>
  </si>
  <si>
    <t>KM FINAL</t>
  </si>
  <si>
    <t>TOTAL KM</t>
  </si>
  <si>
    <t>DESCRIPCIÓN</t>
  </si>
  <si>
    <t>ZONA DE CULTIVO DE BROCOLI</t>
  </si>
  <si>
    <t>ZONA DE SEMBRADIO MILPA</t>
  </si>
  <si>
    <t>CRUCE DE CUERPO DE AGUA</t>
  </si>
  <si>
    <t>PROPIEDAD PRIVADA</t>
  </si>
  <si>
    <t>ZONA HABITACIONAL</t>
  </si>
  <si>
    <t>ZONA DE TALLER MECANICO CEA (COMISIÓN DEL AGUA)</t>
  </si>
  <si>
    <t>OFICINAS CEA (COMISIÓN DEL AGUA)</t>
  </si>
  <si>
    <t>CANAL DE AGUAS NEGRAS</t>
  </si>
  <si>
    <t>ZONA DE MATERIAL Y CASETA GEN (PROMOTORA AMBIENTAL)</t>
  </si>
  <si>
    <t>ZONA DE CONTENEDORES GEN (PROMOTORA AMBIENTAL)</t>
  </si>
  <si>
    <t>CANAL DE AGUA PLUVIAL</t>
  </si>
  <si>
    <t>CANAL DE AGUAS NEGRAS ENVALSADORA QUERETARO</t>
  </si>
  <si>
    <t>CANAL DE AGUAS NEGRAS VIDRIERA QUERETARO</t>
  </si>
  <si>
    <t>PRESA DE AGUAS NEGRAS (ITP)</t>
  </si>
  <si>
    <t>SALTO del 18+675 al 18+707 ZONA DE TALLER MECANICO CEA (COMISIÓN DEL AGUA)</t>
  </si>
  <si>
    <t>SALTO del 18+716 al 18+786 OFICINAS CEA (COMISIÓN DEL AGUA)</t>
  </si>
  <si>
    <t>SALTO del 18+911 al 18+942 CANAL DE AGUAS NEGRAS</t>
  </si>
  <si>
    <t>SALTO del 19+422 al 19+445 ZONA HABITACIONAL</t>
  </si>
  <si>
    <t>SALTO del 20+703 al 20+716 ZONA DE MATERIAL Y CASETA GEN (PROMOTORA AMBIENTAL)</t>
  </si>
  <si>
    <t>SALTO del 20+730 al 20+780 ZONA DE CONTENEDORES GEN (PROMOTORA AMBIENTAL)</t>
  </si>
  <si>
    <t>SALTO del 20+826 al 20+835 CANAL DE AGUA PLUVIAL</t>
  </si>
  <si>
    <t>SALTO del 20+984 al 21+023 CANAL DE AGUA PLUVIAL</t>
  </si>
  <si>
    <t>SALTO del 21+127 al 21+184 PROPIEDAD PRIVADA</t>
  </si>
  <si>
    <t>SALTO del 8+105 al 8+113 PROPIEDAD PRIVADA</t>
  </si>
  <si>
    <t>SALTO del 8+522 al 8+563 PROPIEDAD PRIVADA</t>
  </si>
  <si>
    <t>SALTO del 8+572 al 8+654 ZONA HABITACIONAL</t>
  </si>
  <si>
    <t>SALTO del 7+076 al 7+087 CRUCE DE CUERPO DE AGUA</t>
  </si>
  <si>
    <t>SALTO del 4+210 al 4+322 ZONA DE SEMBRADIO MILPA</t>
  </si>
  <si>
    <t>SALTO del 2+950 al 3+463 ZONA DE CULTIVO DE BROCOLI</t>
  </si>
  <si>
    <t>SALTO del 9+915 al 10+176 ZONA HABITACIONAL</t>
  </si>
  <si>
    <t>SALTO del 11+788 al 11+813 ZONA HABITACIONAL</t>
  </si>
  <si>
    <t>SALTO del 21+253 al 21+265 CANAL DE AGUAS NEGRAS ENVALSADORA QUERETARO</t>
  </si>
  <si>
    <t>SALTO del 21+462 al 21+466 CANAL DE AGUAS NEGRAS VIDRIERA QUERETARO</t>
  </si>
  <si>
    <t>SALTO del 24+233 al 24+240 PRESA DE AGUAS NEGRAS (ITP)</t>
  </si>
  <si>
    <t>3.30</t>
  </si>
  <si>
    <t>3.31</t>
  </si>
  <si>
    <t xml:space="preserve">ITP </t>
  </si>
  <si>
    <t>3.32</t>
  </si>
  <si>
    <t>NAT GAS EPIGMENIO GONZALEZ</t>
  </si>
  <si>
    <t>3.20</t>
  </si>
  <si>
    <t>---</t>
  </si>
  <si>
    <t xml:space="preserve"> EJECUTADO
 x pagar</t>
  </si>
  <si>
    <t>$ EJECUTADO</t>
  </si>
  <si>
    <t>falta</t>
  </si>
  <si>
    <t>hay skips en el DCVG</t>
  </si>
  <si>
    <t>faltan 209m</t>
  </si>
  <si>
    <t>PUEDE SER NAT GAS EPIGMENIO GONZALEZ</t>
  </si>
  <si>
    <t>4.0</t>
  </si>
  <si>
    <t>iva</t>
  </si>
  <si>
    <t>sub</t>
  </si>
  <si>
    <t>tot</t>
  </si>
  <si>
    <t>rev km final</t>
  </si>
  <si>
    <t>PENDIENTES</t>
  </si>
  <si>
    <t>LOC FECHA</t>
  </si>
  <si>
    <t>Dice Angel 7-ago que le Dijo Eric que no se haga</t>
  </si>
  <si>
    <t>REV km correcto</t>
  </si>
  <si>
    <t>COAT</t>
  </si>
  <si>
    <t>4_10</t>
  </si>
  <si>
    <t>AGROGEN cis</t>
  </si>
  <si>
    <t>FINAL</t>
  </si>
  <si>
    <t>INICIO</t>
  </si>
  <si>
    <t>EN LA MITAD</t>
  </si>
  <si>
    <t>Resistividades-pH-BSR-BPA __ PENDIENTES</t>
  </si>
  <si>
    <t>CERRO DEL TAMBOR-PIE DE GALLO</t>
  </si>
  <si>
    <t>ramales</t>
  </si>
  <si>
    <t>Inspección Visual</t>
  </si>
  <si>
    <t>HUIMILPAN - CERRO DEL TAMBOR</t>
  </si>
  <si>
    <t>donde</t>
  </si>
  <si>
    <t>PENDIENTE</t>
  </si>
  <si>
    <t>ITP = TURBOTRACTORES (ITP)
3.26 = 3.31</t>
  </si>
  <si>
    <t>SAN JUAN DEL RIO</t>
  </si>
  <si>
    <t>RESISTIVIDADES Y PH OCTUBRE 2026</t>
  </si>
  <si>
    <t>NATURALES OCTUBRE 2026</t>
  </si>
  <si>
    <t>RESISTIVIDADES Y PH NOVIEMBRE 2026</t>
  </si>
  <si>
    <t>NATURALES NOVIEMBRE 2026</t>
  </si>
  <si>
    <t>ACTIVIDAD</t>
  </si>
  <si>
    <t>UNIDAD</t>
  </si>
  <si>
    <t>Agosto</t>
  </si>
  <si>
    <t>Septiembre</t>
  </si>
  <si>
    <t>Octubre</t>
  </si>
  <si>
    <t>Noviembre</t>
  </si>
  <si>
    <t>P/U</t>
  </si>
  <si>
    <t>MONITOREO DE POTENCIALES ON/OFF Y POTENCIALES VCA</t>
  </si>
  <si>
    <t>MEDICION</t>
  </si>
  <si>
    <t>MEDICION DE RESISTIVIDAD DEL SUELO Y PH</t>
  </si>
  <si>
    <t>MONITOREO DE POTENCIAL NATURAL</t>
  </si>
  <si>
    <t>Z.1</t>
  </si>
  <si>
    <t>Z.2</t>
  </si>
  <si>
    <t>Z.3</t>
  </si>
  <si>
    <t>POTENIALES ON OFF AC</t>
  </si>
  <si>
    <t>RESISTIVIDAD PH</t>
  </si>
  <si>
    <t>NATURALES</t>
  </si>
  <si>
    <t>Med</t>
  </si>
  <si>
    <t>Correcto</t>
  </si>
  <si>
    <t>Incorrecto</t>
  </si>
  <si>
    <t>PIE_DE_GALLO</t>
  </si>
  <si>
    <t>Medición</t>
  </si>
  <si>
    <t>P 22.4</t>
  </si>
  <si>
    <t>POTENCIALES EN POSTES AGOSTO 2026 (PARTIDA 2.4 PCM)</t>
  </si>
  <si>
    <t>POTENCIALES EN POSTES SEPTIEMBRE 2026 (PARTIDA 2.4 PCM)</t>
  </si>
  <si>
    <t>de 200 km</t>
  </si>
  <si>
    <t>de 500 Mediciones</t>
  </si>
  <si>
    <t>Etiquetas de fila</t>
  </si>
  <si>
    <t>Total general</t>
  </si>
  <si>
    <t>2025</t>
  </si>
  <si>
    <t>2026</t>
  </si>
  <si>
    <t>2027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</si>
  <si>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</si>
  <si>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</si>
  <si>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</si>
  <si>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</si>
  <si>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</si>
  <si>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</si>
  <si>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</si>
  <si>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</si>
  <si>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</si>
  <si>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</si>
  <si>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</si>
  <si>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</si>
  <si>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Máx. de EV</t>
  </si>
  <si>
    <t>2.4A</t>
  </si>
  <si>
    <t>2.4B</t>
  </si>
  <si>
    <t>2.4C</t>
  </si>
  <si>
    <t>METALOGRAFIAS</t>
  </si>
  <si>
    <t>M</t>
  </si>
  <si>
    <t>METALOGRAFIA</t>
  </si>
  <si>
    <t>Nombre de instalación</t>
  </si>
  <si>
    <t>Coordenadas</t>
  </si>
  <si>
    <t xml:space="preserve">Ubicación </t>
  </si>
  <si>
    <t>Comentarios</t>
  </si>
  <si>
    <t>Gasoducto 1"  de abasto a la ERM Viborillas</t>
  </si>
  <si>
    <t>20.604308 
-100.187117</t>
  </si>
  <si>
    <t>Viborillas, Colón</t>
  </si>
  <si>
    <t xml:space="preserve">Gasoducto 1" de abasto a la ED Viborillas </t>
  </si>
  <si>
    <t>20.604322
-100.187114</t>
  </si>
  <si>
    <t xml:space="preserve"> Gasoducto 3" de abasto a la ERM Porcelanite</t>
  </si>
  <si>
    <t>20.603032
-100.419238</t>
  </si>
  <si>
    <t>Querétaro</t>
  </si>
  <si>
    <t>Gasoducto 2" de abasto a la ERM Italgres</t>
  </si>
  <si>
    <t>20.601361
-100.419095</t>
  </si>
  <si>
    <t>Gasoducto 2" de abasto a la ERM Bachoco</t>
  </si>
  <si>
    <t>20.499936
-100.383580</t>
  </si>
  <si>
    <t>Gasoducto 2" de abasto a la ERM Artigraf</t>
  </si>
  <si>
    <t>20.357712
-99.960870</t>
  </si>
  <si>
    <t xml:space="preserve">San Juan del Río </t>
  </si>
  <si>
    <t>Gasoducto 6" de abasto a la ERM Kimberly</t>
  </si>
  <si>
    <t>20.380323
-99.980297</t>
  </si>
  <si>
    <t>Nota: 200 km en contrato</t>
  </si>
  <si>
    <t xml:space="preserve"> </t>
  </si>
  <si>
    <t>GN 16 HUIMILAPAN-BUENAVISTA</t>
  </si>
  <si>
    <t>FALTA CIS</t>
  </si>
  <si>
    <t>FALTANTES al 9-10-2026</t>
  </si>
  <si>
    <t>reportado</t>
  </si>
  <si>
    <t>1/2 reportado</t>
  </si>
  <si>
    <t>AC 8-6-4 in La Lira-Galeras 3+901</t>
  </si>
  <si>
    <t>AC 8-6-4 in La Lira-Galeras 12+165</t>
  </si>
  <si>
    <t>AC 8-6-4 in La Lira-Galeras 12+168</t>
  </si>
  <si>
    <t>AC 8-6-4 in La Lira-Galeras 15+735</t>
  </si>
  <si>
    <t>AC 8-6-4 in La Lira-Galeras 22+765</t>
  </si>
  <si>
    <t>AC 8-6-4 in La Lira-Galeras 28+512</t>
  </si>
  <si>
    <t>AC 8-6-4 in La Lira-Galeras 28+591</t>
  </si>
  <si>
    <t>ATONGO 5+713</t>
  </si>
  <si>
    <t>ERM VIBORILLAS 0+007</t>
  </si>
  <si>
    <t>ED AEROTECH 0+271</t>
  </si>
  <si>
    <t>ED BOMBARDIER 0+517</t>
  </si>
  <si>
    <t>ED ARKANSAS 1+182</t>
  </si>
  <si>
    <t>MICROSOFT 0+007</t>
  </si>
  <si>
    <t>MICROSOFT 0+029</t>
  </si>
  <si>
    <t>GUARDIAN 9+632.9</t>
  </si>
  <si>
    <t>Inspección visual</t>
  </si>
  <si>
    <t>Evaluación de sanidad y medición de espesores</t>
  </si>
  <si>
    <t>Caracterización de tubería</t>
  </si>
  <si>
    <t>Evaluación de soldadura con haz angular</t>
  </si>
  <si>
    <t>Inspección con partículas magnéticas</t>
  </si>
  <si>
    <t>Inspección con líquidos penetrantes</t>
  </si>
  <si>
    <t>Medición de PH de suelo dentro de excavación</t>
  </si>
  <si>
    <t>Medición de corrosion por actividad microbiológica y levantamiento de bacterias.</t>
  </si>
  <si>
    <t>x</t>
  </si>
  <si>
    <t>X</t>
  </si>
  <si>
    <t>S05</t>
  </si>
  <si>
    <t>M LINEAL</t>
  </si>
  <si>
    <t>faltan</t>
  </si>
  <si>
    <t>PROMEDIO DE EJECUCIÓN DE INSPECCIÓN POR DÍA</t>
  </si>
  <si>
    <t>Observaciones que se atenderan directo en la regional y me entregaran los archivos finales (Marco Trejo by phone 13-10-2026)</t>
  </si>
  <si>
    <t>LIRA_GALERAS_PECO</t>
  </si>
  <si>
    <t>Reporte ETAPA 3</t>
  </si>
  <si>
    <t>nom</t>
  </si>
  <si>
    <t>ETAPA</t>
  </si>
  <si>
    <t>CITY GATE SJR-OMYA</t>
  </si>
  <si>
    <t>4+480</t>
  </si>
  <si>
    <t>measure</t>
  </si>
  <si>
    <t>relative</t>
  </si>
  <si>
    <t>total</t>
  </si>
  <si>
    <t>mes_letter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</si>
</sst>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2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[$$-80A]* #,##0.00_-;\-[$$-80A]* #,##0.00_-;_-[$$-80A]* &quot;-&quot;??_-;_-@_-"/>
    <numFmt numFmtId="165" formatCode="&quot;$&quot;#,##0.00;[Red]&quot;$&quot;#,##0.00"/>
    <numFmt numFmtId="166" formatCode="0.0"/>
    <numFmt numFmtId="167" formatCode="0.000"/>
    <numFmt numFmtId="168" formatCode="0.0%"/>
    <numFmt numFmtId="169" formatCode="0\+000"/>
    <numFmt numFmtId="170" formatCode="###0;###0"/>
    <numFmt numFmtId="171" formatCode="_-&quot;$&quot;* #,##0_-;\-&quot;$&quot;* #,##0_-;_-&quot;$&quot;* &quot;-&quot;??_-;_-@_-"/>
    <numFmt numFmtId="172" formatCode="0\+000.00"/>
    <numFmt numFmtId="173" formatCode="\∑\ 0"/>
    <numFmt numFmtId="174" formatCode="\∑\ 0.000"/>
    <numFmt numFmtId="175" formatCode="0.0\ &quot;@90%&quot;"/>
    <numFmt numFmtId="176" formatCode="0.0\ &quot;@70%&quot;"/>
    <numFmt numFmtId="177" formatCode="0\ &quot;@70%&quot;"/>
    <numFmt numFmtId="178" formatCode="\∑\ 0.00"/>
    <numFmt numFmtId="179" formatCode="&quot;$&quot;#,##0.00"/>
    <numFmt numFmtId="180" formatCode="mmm\-yyyy"/>
    <numFmt numFmtId="181" formatCode="#,##0.00_ ;[Red]\-#,##0.00\ "/>
    <numFmt numFmtId="182" formatCode="#,##0.0000"/>
    <numFmt numFmtId="183" formatCode="\+#,##0;\-#,##0"/>
    <numFmt numFmtId="184" formatCode="\∑\ 0.000\ &quot;km&quot;"/>
    <numFmt numFmtId="185" formatCode="dddd\,\ dd\ mmmm"/>
    <numFmt numFmtId="186" formatCode="0.000%"/>
    <numFmt numFmtId="187" formatCode="_-* #,##0.000_-;\-* #,##0.000_-;_-* &quot;-&quot;??_-;_-@_-"/>
    <numFmt numFmtId="188" formatCode="&quot;$&quot;#,##0"/>
    <numFmt numFmtId="189" formatCode="\∑\ 0\ &quot;km&quot;"/>
    <numFmt numFmtId="190" formatCode="#,##0_ ;[Red]\-#,##0\ "/>
    <numFmt numFmtId="191" formatCode="0.000000"/>
    <numFmt numFmtId="192" formatCode="\∑\ 0.00\ &quot;km&quot;"/>
    <numFmt numFmtId="193" formatCode="#,##0.000"/>
    <numFmt numFmtId="194" formatCode="#,##0.0000_ ;[Red]\-#,##0.0000\ "/>
    <numFmt numFmtId="195" formatCode="&quot;$&quot;#,##0.000"/>
    <numFmt numFmtId="196" formatCode="0.0000"/>
    <numFmt numFmtId="197" formatCode="0.0000000"/>
    <numFmt numFmtId="198" formatCode="#,##0.00000"/>
    <numFmt numFmtId="199" formatCode="0.0\ &quot;km&quot;"/>
    <numFmt numFmtId="200" formatCode="0.000\ &quot;km&quot;"/>
    <numFmt numFmtId="201" formatCode="0.00\ &quot;Insp/día&quot;"/>
  </numFmts>
  <fonts count="7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b/>
      <u/>
      <sz val="12"/>
      <color rgb="FF00B6F6"/>
      <name val="Aptos Narrow"/>
      <family val="2"/>
      <scheme val="minor"/>
    </font>
    <font>
      <b/>
      <u/>
      <sz val="12"/>
      <color rgb="FF00B0F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name val="Aptos Narrow"/>
      <family val="2"/>
      <scheme val="minor"/>
    </font>
    <font>
      <b/>
      <i/>
      <sz val="10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indexed="8"/>
      <name val="Century Gothic"/>
      <family val="2"/>
    </font>
    <font>
      <sz val="11"/>
      <color theme="1"/>
      <name val="Century Gothic"/>
      <family val="2"/>
    </font>
    <font>
      <b/>
      <sz val="9"/>
      <color indexed="8"/>
      <name val="Century Gothic"/>
      <family val="2"/>
    </font>
    <font>
      <sz val="9"/>
      <color indexed="8"/>
      <name val="Century Gothic"/>
      <family val="2"/>
    </font>
    <font>
      <b/>
      <sz val="11"/>
      <color theme="1"/>
      <name val="Century Gothic"/>
      <family val="2"/>
    </font>
    <font>
      <b/>
      <sz val="9"/>
      <color rgb="FF7030A0"/>
      <name val="Century Gothic"/>
      <family val="2"/>
    </font>
    <font>
      <b/>
      <u/>
      <sz val="10"/>
      <color rgb="FF00B6F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Grandview"/>
      <family val="2"/>
    </font>
    <font>
      <u/>
      <sz val="11"/>
      <color theme="1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rgb="FF996633"/>
      <name val="Aptos Narrow"/>
      <family val="2"/>
      <scheme val="minor"/>
    </font>
    <font>
      <b/>
      <sz val="9"/>
      <color theme="5"/>
      <name val="Century Gothic"/>
      <family val="2"/>
    </font>
    <font>
      <sz val="11"/>
      <color theme="6" tint="0.39997558519241921"/>
      <name val="Aptos Narrow"/>
      <family val="2"/>
      <scheme val="minor"/>
    </font>
    <font>
      <b/>
      <sz val="9"/>
      <color theme="9" tint="0.39997558519241921"/>
      <name val="Century Gothic"/>
      <family val="2"/>
    </font>
    <font>
      <b/>
      <sz val="9"/>
      <color rgb="FFCC9900"/>
      <name val="Century Gothic"/>
      <family val="2"/>
    </font>
    <font>
      <b/>
      <sz val="9"/>
      <color theme="7"/>
      <name val="Century Gothic"/>
      <family val="2"/>
    </font>
    <font>
      <sz val="11"/>
      <color theme="7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trike/>
      <sz val="11"/>
      <color theme="1"/>
      <name val="Century Gothic"/>
      <family val="2"/>
    </font>
    <font>
      <strike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Century Gothic"/>
      <family val="2"/>
    </font>
    <font>
      <sz val="20"/>
      <color theme="6" tint="0.39997558519241921"/>
      <name val="Century Gothic"/>
      <family val="2"/>
    </font>
    <font>
      <sz val="20"/>
      <color theme="5"/>
      <name val="Century Gothic"/>
      <family val="2"/>
    </font>
    <font>
      <sz val="20"/>
      <color theme="8"/>
      <name val="Century Gothic"/>
      <family val="2"/>
    </font>
    <font>
      <sz val="20"/>
      <color theme="3" tint="0.499984740745262"/>
      <name val="Century Gothic"/>
      <family val="2"/>
    </font>
    <font>
      <sz val="8"/>
      <color theme="1"/>
      <name val="Century Gothic"/>
      <family val="2"/>
    </font>
    <font>
      <sz val="11"/>
      <color theme="0"/>
      <name val="Aptos Narrow"/>
      <family val="2"/>
      <scheme val="minor"/>
    </font>
    <font>
      <sz val="20"/>
      <color theme="4" tint="0.39997558519241921"/>
      <name val="Century Gothic"/>
      <family val="2"/>
    </font>
    <font>
      <sz val="20"/>
      <color rgb="FF7030A0"/>
      <name val="Century Gothic"/>
      <family val="2"/>
    </font>
    <font>
      <sz val="14"/>
      <color theme="1"/>
      <name val="Aptos Narrow"/>
      <family val="2"/>
      <scheme val="minor"/>
    </font>
    <font>
      <sz val="11"/>
      <color rgb="FF1F497D"/>
      <name val="Calibri"/>
      <family val="2"/>
    </font>
    <font>
      <strike/>
      <sz val="11"/>
      <color rgb="FFFF0000"/>
      <name val="Century Gothic"/>
      <family val="2"/>
    </font>
    <font>
      <sz val="18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b/>
      <strike/>
      <sz val="11"/>
      <color rgb="FFFF0000"/>
      <name val="Aptos Narrow"/>
      <family val="2"/>
      <scheme val="minor"/>
    </font>
    <font>
      <strike/>
      <sz val="20"/>
      <color rgb="FFFF00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2"/>
      <color rgb="FF000000"/>
      <name val="Abadi"/>
      <family val="2"/>
    </font>
    <font>
      <sz val="12"/>
      <color rgb="FF000000"/>
      <name val="Abadi"/>
      <family val="2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0"/>
      <color theme="1"/>
      <name val="Century Gothic"/>
      <family val="2"/>
    </font>
    <font>
      <b/>
      <sz val="14"/>
      <color theme="1"/>
      <name val="Century Gothic"/>
      <family val="2"/>
    </font>
    <font>
      <sz val="8"/>
      <color rgb="FF00B0F0"/>
      <name val="Aptos Narrow"/>
      <family val="2"/>
      <scheme val="minor"/>
    </font>
    <font>
      <u val="double"/>
      <sz val="11"/>
      <color rgb="FF00B050"/>
      <name val="Aptos Narrow"/>
      <family val="2"/>
      <scheme val="minor"/>
    </font>
    <font>
      <b/>
      <sz val="9"/>
      <color rgb="FF0070C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7CE"/>
      </patternFill>
    </fill>
    <fill>
      <patternFill patternType="solid">
        <fgColor rgb="FF83CCE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62" fillId="26" borderId="0" applyNumberFormat="0" applyBorder="0" applyAlignment="0" applyProtection="0"/>
  </cellStyleXfs>
  <cellXfs count="598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2" applyFont="1" applyFill="1"/>
    <xf numFmtId="0" fontId="7" fillId="2" borderId="0" xfId="2" applyFont="1" applyFill="1"/>
    <xf numFmtId="2" fontId="6" fillId="3" borderId="1" xfId="2" applyNumberFormat="1" applyFont="1" applyFill="1" applyBorder="1" applyAlignment="1" applyProtection="1">
      <alignment horizontal="center" vertical="center" wrapText="1"/>
      <protection hidden="1"/>
    </xf>
    <xf numFmtId="0" fontId="3" fillId="2" borderId="1" xfId="2" applyFont="1" applyFill="1" applyBorder="1" applyAlignment="1" applyProtection="1">
      <alignment horizontal="center" vertical="center"/>
      <protection hidden="1"/>
    </xf>
    <xf numFmtId="3" fontId="3" fillId="2" borderId="1" xfId="2" applyNumberFormat="1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164" fontId="3" fillId="4" borderId="1" xfId="4" applyNumberFormat="1" applyFont="1" applyFill="1" applyBorder="1" applyAlignment="1" applyProtection="1">
      <alignment horizontal="center" vertical="center"/>
      <protection locked="0" hidden="1"/>
    </xf>
    <xf numFmtId="164" fontId="3" fillId="2" borderId="1" xfId="4" applyNumberFormat="1" applyFont="1" applyFill="1" applyBorder="1" applyAlignment="1" applyProtection="1">
      <alignment horizontal="center" vertical="center"/>
      <protection hidden="1"/>
    </xf>
    <xf numFmtId="165" fontId="3" fillId="2" borderId="1" xfId="5" applyNumberFormat="1" applyFont="1" applyFill="1" applyBorder="1" applyAlignment="1" applyProtection="1">
      <alignment horizontal="center" vertical="center"/>
    </xf>
    <xf numFmtId="2" fontId="9" fillId="3" borderId="1" xfId="2" applyNumberFormat="1" applyFont="1" applyFill="1" applyBorder="1" applyAlignment="1" applyProtection="1">
      <alignment horizontal="right" vertical="center" wrapText="1"/>
      <protection hidden="1"/>
    </xf>
    <xf numFmtId="44" fontId="6" fillId="3" borderId="1" xfId="1" applyFont="1" applyFill="1" applyBorder="1" applyAlignment="1" applyProtection="1">
      <alignment horizontal="center" vertical="center" wrapText="1"/>
      <protection hidden="1"/>
    </xf>
    <xf numFmtId="8" fontId="0" fillId="0" borderId="0" xfId="0" applyNumberFormat="1"/>
    <xf numFmtId="166" fontId="3" fillId="2" borderId="1" xfId="2" applyNumberFormat="1" applyFont="1" applyFill="1" applyBorder="1" applyAlignment="1" applyProtection="1">
      <alignment horizontal="center" vertical="center"/>
      <protection hidden="1"/>
    </xf>
    <xf numFmtId="44" fontId="0" fillId="0" borderId="0" xfId="1" applyFont="1" applyProtection="1"/>
    <xf numFmtId="0" fontId="3" fillId="2" borderId="1" xfId="2" applyFont="1" applyFill="1" applyBorder="1" applyAlignment="1">
      <alignment horizontal="center" vertical="center" wrapText="1"/>
    </xf>
    <xf numFmtId="2" fontId="3" fillId="2" borderId="1" xfId="2" applyNumberFormat="1" applyFont="1" applyFill="1" applyBorder="1" applyAlignment="1" applyProtection="1">
      <alignment horizontal="center" vertical="center"/>
      <protection hidden="1"/>
    </xf>
    <xf numFmtId="0" fontId="11" fillId="0" borderId="0" xfId="0" applyFont="1" applyAlignment="1">
      <alignment horizontal="right"/>
    </xf>
    <xf numFmtId="164" fontId="12" fillId="0" borderId="0" xfId="0" applyNumberFormat="1" applyFont="1"/>
    <xf numFmtId="165" fontId="3" fillId="2" borderId="0" xfId="5" applyNumberFormat="1" applyFont="1" applyFill="1" applyBorder="1" applyAlignment="1" applyProtection="1">
      <alignment horizontal="center" vertical="center"/>
    </xf>
    <xf numFmtId="0" fontId="13" fillId="0" borderId="0" xfId="0" applyFont="1"/>
    <xf numFmtId="0" fontId="0" fillId="0" borderId="0" xfId="0" applyAlignment="1">
      <alignment horizontal="left" vertical="center" wrapText="1"/>
    </xf>
    <xf numFmtId="0" fontId="7" fillId="0" borderId="0" xfId="2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/>
    </xf>
    <xf numFmtId="167" fontId="0" fillId="0" borderId="0" xfId="0" applyNumberFormat="1"/>
    <xf numFmtId="169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 wrapText="1"/>
    </xf>
    <xf numFmtId="0" fontId="3" fillId="2" borderId="1" xfId="2" applyFont="1" applyFill="1" applyBorder="1" applyAlignment="1">
      <alignment vertical="center" wrapText="1"/>
    </xf>
    <xf numFmtId="0" fontId="6" fillId="3" borderId="1" xfId="2" applyFont="1" applyFill="1" applyBorder="1" applyAlignment="1" applyProtection="1">
      <alignment vertical="center" wrapText="1"/>
      <protection hidden="1"/>
    </xf>
    <xf numFmtId="0" fontId="3" fillId="2" borderId="1" xfId="2" applyFont="1" applyFill="1" applyBorder="1" applyAlignment="1">
      <alignment wrapText="1"/>
    </xf>
    <xf numFmtId="0" fontId="5" fillId="0" borderId="0" xfId="3" applyFont="1" applyAlignment="1" applyProtection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7" fontId="0" fillId="0" borderId="0" xfId="0" applyNumberFormat="1" applyAlignment="1">
      <alignment horizontal="center" vertical="top"/>
    </xf>
    <xf numFmtId="167" fontId="0" fillId="0" borderId="0" xfId="0" applyNumberFormat="1" applyAlignment="1">
      <alignment horizontal="center" vertical="center" wrapText="1"/>
    </xf>
    <xf numFmtId="169" fontId="0" fillId="0" borderId="0" xfId="0" applyNumberFormat="1" applyAlignment="1">
      <alignment horizontal="center" vertical="top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/>
    <xf numFmtId="0" fontId="0" fillId="0" borderId="0" xfId="0" applyAlignment="1">
      <alignment horizontal="center" vertical="top" wrapText="1"/>
    </xf>
    <xf numFmtId="0" fontId="15" fillId="0" borderId="1" xfId="7" applyFont="1" applyBorder="1" applyAlignment="1">
      <alignment horizontal="center" vertical="center"/>
    </xf>
    <xf numFmtId="0" fontId="15" fillId="5" borderId="1" xfId="7" applyFont="1" applyFill="1" applyBorder="1" applyAlignment="1">
      <alignment horizontal="center" vertical="center"/>
    </xf>
    <xf numFmtId="0" fontId="16" fillId="0" borderId="0" xfId="7" applyFont="1" applyAlignment="1">
      <alignment horizontal="center" vertical="center"/>
    </xf>
    <xf numFmtId="170" fontId="17" fillId="0" borderId="1" xfId="7" quotePrefix="1" applyNumberFormat="1" applyFont="1" applyBorder="1" applyAlignment="1">
      <alignment horizontal="center" vertical="center"/>
    </xf>
    <xf numFmtId="169" fontId="18" fillId="0" borderId="1" xfId="7" applyNumberFormat="1" applyFont="1" applyBorder="1" applyAlignment="1">
      <alignment horizontal="center" vertical="center"/>
    </xf>
    <xf numFmtId="169" fontId="17" fillId="5" borderId="1" xfId="7" applyNumberFormat="1" applyFont="1" applyFill="1" applyBorder="1" applyAlignment="1">
      <alignment horizontal="center" vertical="center"/>
    </xf>
    <xf numFmtId="0" fontId="16" fillId="0" borderId="0" xfId="7" applyFont="1"/>
    <xf numFmtId="169" fontId="16" fillId="0" borderId="0" xfId="7" applyNumberFormat="1" applyFont="1"/>
    <xf numFmtId="169" fontId="19" fillId="0" borderId="0" xfId="7" applyNumberFormat="1" applyFont="1" applyAlignment="1">
      <alignment horizontal="center" vertical="center"/>
    </xf>
    <xf numFmtId="0" fontId="16" fillId="5" borderId="0" xfId="7" applyFont="1" applyFill="1"/>
    <xf numFmtId="0" fontId="0" fillId="6" borderId="0" xfId="0" applyFill="1" applyAlignment="1">
      <alignment horizontal="center" vertical="top" wrapText="1"/>
    </xf>
    <xf numFmtId="167" fontId="0" fillId="6" borderId="0" xfId="0" applyNumberFormat="1" applyFill="1" applyAlignment="1">
      <alignment horizontal="center" vertical="center"/>
    </xf>
    <xf numFmtId="167" fontId="0" fillId="6" borderId="0" xfId="0" applyNumberFormat="1" applyFill="1"/>
    <xf numFmtId="0" fontId="0" fillId="6" borderId="0" xfId="0" applyFill="1"/>
    <xf numFmtId="0" fontId="0" fillId="6" borderId="0" xfId="0" applyFill="1" applyAlignment="1">
      <alignment horizontal="center" vertical="top"/>
    </xf>
    <xf numFmtId="0" fontId="0" fillId="6" borderId="0" xfId="0" applyFill="1" applyAlignment="1">
      <alignment horizontal="center" vertical="center"/>
    </xf>
    <xf numFmtId="0" fontId="20" fillId="0" borderId="1" xfId="7" applyFont="1" applyBorder="1" applyAlignment="1">
      <alignment horizontal="left" vertical="center"/>
    </xf>
    <xf numFmtId="169" fontId="16" fillId="0" borderId="0" xfId="7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1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" fontId="0" fillId="0" borderId="0" xfId="0" applyNumberForma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68" fontId="0" fillId="0" borderId="1" xfId="6" applyNumberFormat="1" applyFont="1" applyBorder="1" applyAlignment="1">
      <alignment horizontal="center" vertical="center"/>
    </xf>
    <xf numFmtId="10" fontId="0" fillId="0" borderId="1" xfId="6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3" fillId="5" borderId="1" xfId="2" applyFont="1" applyFill="1" applyBorder="1" applyAlignment="1">
      <alignment vertical="center" wrapText="1"/>
    </xf>
    <xf numFmtId="0" fontId="3" fillId="5" borderId="1" xfId="2" applyFont="1" applyFill="1" applyBorder="1" applyAlignment="1">
      <alignment horizontal="center" vertical="center"/>
    </xf>
    <xf numFmtId="171" fontId="0" fillId="0" borderId="0" xfId="0" applyNumberFormat="1" applyAlignment="1">
      <alignment vertical="center"/>
    </xf>
    <xf numFmtId="171" fontId="22" fillId="0" borderId="2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vertical="center"/>
    </xf>
    <xf numFmtId="169" fontId="16" fillId="5" borderId="0" xfId="7" applyNumberFormat="1" applyFont="1" applyFill="1"/>
    <xf numFmtId="168" fontId="23" fillId="0" borderId="1" xfId="6" applyNumberFormat="1" applyFont="1" applyBorder="1" applyAlignment="1">
      <alignment horizontal="center" vertical="center"/>
    </xf>
    <xf numFmtId="0" fontId="3" fillId="8" borderId="1" xfId="2" applyFont="1" applyFill="1" applyBorder="1" applyAlignment="1">
      <alignment vertical="center" wrapText="1"/>
    </xf>
    <xf numFmtId="0" fontId="3" fillId="8" borderId="1" xfId="2" applyFont="1" applyFill="1" applyBorder="1" applyAlignment="1">
      <alignment horizontal="center" vertical="center"/>
    </xf>
    <xf numFmtId="6" fontId="0" fillId="0" borderId="0" xfId="0" applyNumberFormat="1"/>
    <xf numFmtId="0" fontId="16" fillId="9" borderId="0" xfId="0" applyFont="1" applyFill="1" applyAlignment="1">
      <alignment horizontal="center"/>
    </xf>
    <xf numFmtId="0" fontId="24" fillId="9" borderId="3" xfId="0" applyFont="1" applyFill="1" applyBorder="1"/>
    <xf numFmtId="0" fontId="16" fillId="10" borderId="0" xfId="0" applyFont="1" applyFill="1" applyAlignment="1">
      <alignment horizontal="center"/>
    </xf>
    <xf numFmtId="0" fontId="24" fillId="10" borderId="3" xfId="0" applyFont="1" applyFill="1" applyBorder="1"/>
    <xf numFmtId="0" fontId="16" fillId="10" borderId="4" xfId="0" applyFont="1" applyFill="1" applyBorder="1"/>
    <xf numFmtId="0" fontId="16" fillId="11" borderId="0" xfId="0" applyFont="1" applyFill="1" applyAlignment="1">
      <alignment horizontal="center"/>
    </xf>
    <xf numFmtId="0" fontId="24" fillId="11" borderId="3" xfId="0" applyFont="1" applyFill="1" applyBorder="1"/>
    <xf numFmtId="0" fontId="16" fillId="11" borderId="4" xfId="0" applyFont="1" applyFill="1" applyBorder="1"/>
    <xf numFmtId="0" fontId="19" fillId="9" borderId="4" xfId="0" applyFont="1" applyFill="1" applyBorder="1" applyAlignment="1">
      <alignment horizontal="left"/>
    </xf>
    <xf numFmtId="0" fontId="16" fillId="9" borderId="4" xfId="0" applyFont="1" applyFill="1" applyBorder="1" applyAlignment="1">
      <alignment horizontal="left"/>
    </xf>
    <xf numFmtId="0" fontId="16" fillId="10" borderId="4" xfId="0" applyFont="1" applyFill="1" applyBorder="1" applyAlignment="1">
      <alignment horizontal="left"/>
    </xf>
    <xf numFmtId="0" fontId="16" fillId="11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vertical="center"/>
    </xf>
    <xf numFmtId="0" fontId="15" fillId="0" borderId="1" xfId="0" applyFont="1" applyBorder="1" applyAlignment="1">
      <alignment horizontal="right" vertical="center"/>
    </xf>
    <xf numFmtId="0" fontId="19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 indent="3"/>
    </xf>
    <xf numFmtId="0" fontId="16" fillId="0" borderId="1" xfId="0" applyFont="1" applyBorder="1" applyAlignment="1">
      <alignment horizontal="left" indent="6"/>
    </xf>
    <xf numFmtId="0" fontId="16" fillId="0" borderId="1" xfId="0" applyFont="1" applyBorder="1" applyAlignment="1">
      <alignment horizontal="left" indent="9"/>
    </xf>
    <xf numFmtId="0" fontId="16" fillId="0" borderId="0" xfId="0" applyFont="1"/>
    <xf numFmtId="9" fontId="0" fillId="0" borderId="1" xfId="6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9" fontId="0" fillId="0" borderId="0" xfId="8" applyNumberFormat="1" applyFont="1"/>
    <xf numFmtId="172" fontId="15" fillId="5" borderId="1" xfId="7" applyNumberFormat="1" applyFont="1" applyFill="1" applyBorder="1" applyAlignment="1">
      <alignment horizontal="center" vertical="center"/>
    </xf>
    <xf numFmtId="172" fontId="0" fillId="0" borderId="0" xfId="0" applyNumberFormat="1"/>
    <xf numFmtId="167" fontId="0" fillId="0" borderId="0" xfId="0" applyNumberFormat="1" applyAlignment="1">
      <alignment vertical="center"/>
    </xf>
    <xf numFmtId="172" fontId="26" fillId="0" borderId="0" xfId="0" applyNumberFormat="1" applyFont="1"/>
    <xf numFmtId="167" fontId="0" fillId="0" borderId="1" xfId="0" applyNumberFormat="1" applyBorder="1" applyAlignment="1">
      <alignment horizontal="center" vertical="center"/>
    </xf>
    <xf numFmtId="1" fontId="0" fillId="0" borderId="0" xfId="0" applyNumberFormat="1"/>
    <xf numFmtId="1" fontId="26" fillId="0" borderId="0" xfId="0" applyNumberFormat="1" applyFont="1" applyAlignment="1">
      <alignment vertical="center"/>
    </xf>
    <xf numFmtId="2" fontId="0" fillId="0" borderId="0" xfId="0" applyNumberFormat="1"/>
    <xf numFmtId="0" fontId="14" fillId="0" borderId="0" xfId="0" applyFont="1" applyAlignment="1">
      <alignment horizontal="center"/>
    </xf>
    <xf numFmtId="167" fontId="0" fillId="0" borderId="1" xfId="0" applyNumberFormat="1" applyBorder="1"/>
    <xf numFmtId="0" fontId="0" fillId="0" borderId="1" xfId="0" applyBorder="1" applyAlignment="1">
      <alignment horizontal="center"/>
    </xf>
    <xf numFmtId="43" fontId="0" fillId="0" borderId="0" xfId="8" applyFont="1"/>
    <xf numFmtId="173" fontId="27" fillId="0" borderId="0" xfId="0" applyNumberFormat="1" applyFont="1" applyAlignment="1">
      <alignment vertical="center"/>
    </xf>
    <xf numFmtId="174" fontId="27" fillId="0" borderId="0" xfId="0" applyNumberFormat="1" applyFont="1" applyAlignment="1">
      <alignment vertical="center"/>
    </xf>
    <xf numFmtId="9" fontId="0" fillId="0" borderId="0" xfId="0" applyNumberFormat="1"/>
    <xf numFmtId="175" fontId="0" fillId="0" borderId="0" xfId="0" applyNumberFormat="1"/>
    <xf numFmtId="177" fontId="0" fillId="0" borderId="0" xfId="0" applyNumberFormat="1"/>
    <xf numFmtId="177" fontId="0" fillId="0" borderId="0" xfId="0" applyNumberForma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8" fontId="27" fillId="0" borderId="0" xfId="0" applyNumberFormat="1" applyFont="1" applyAlignment="1">
      <alignment horizontal="center" vertical="center"/>
    </xf>
    <xf numFmtId="173" fontId="27" fillId="0" borderId="0" xfId="0" applyNumberFormat="1" applyFont="1" applyAlignment="1">
      <alignment horizontal="center" vertical="center"/>
    </xf>
    <xf numFmtId="0" fontId="3" fillId="5" borderId="1" xfId="2" applyFont="1" applyFill="1" applyBorder="1" applyAlignment="1" applyProtection="1">
      <alignment horizontal="center" vertical="center"/>
      <protection hidden="1"/>
    </xf>
    <xf numFmtId="164" fontId="3" fillId="5" borderId="1" xfId="4" applyNumberFormat="1" applyFont="1" applyFill="1" applyBorder="1" applyAlignment="1" applyProtection="1">
      <alignment horizontal="center" vertical="center"/>
      <protection locked="0" hidden="1"/>
    </xf>
    <xf numFmtId="164" fontId="3" fillId="5" borderId="1" xfId="4" applyNumberFormat="1" applyFont="1" applyFill="1" applyBorder="1" applyAlignment="1" applyProtection="1">
      <alignment horizontal="center" vertical="center"/>
      <protection hidden="1"/>
    </xf>
    <xf numFmtId="165" fontId="3" fillId="5" borderId="1" xfId="5" applyNumberFormat="1" applyFont="1" applyFill="1" applyBorder="1" applyAlignment="1" applyProtection="1">
      <alignment horizontal="center" vertical="center"/>
    </xf>
    <xf numFmtId="164" fontId="0" fillId="5" borderId="0" xfId="0" applyNumberFormat="1" applyFill="1"/>
    <xf numFmtId="0" fontId="0" fillId="5" borderId="0" xfId="0" applyFill="1"/>
    <xf numFmtId="167" fontId="0" fillId="0" borderId="0" xfId="0" applyNumberFormat="1" applyAlignment="1">
      <alignment horizontal="center" vertical="center" shrinkToFit="1"/>
    </xf>
    <xf numFmtId="44" fontId="0" fillId="0" borderId="0" xfId="0" applyNumberFormat="1"/>
    <xf numFmtId="168" fontId="23" fillId="5" borderId="1" xfId="6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0" xfId="8" applyNumberFormat="1" applyFont="1" applyAlignment="1">
      <alignment horizontal="center" vertical="center"/>
    </xf>
    <xf numFmtId="0" fontId="0" fillId="0" borderId="0" xfId="8" applyNumberFormat="1" applyFont="1" applyAlignment="1">
      <alignment horizontal="left" vertical="center"/>
    </xf>
    <xf numFmtId="0" fontId="0" fillId="0" borderId="0" xfId="8" applyNumberFormat="1" applyFont="1"/>
    <xf numFmtId="0" fontId="0" fillId="7" borderId="1" xfId="0" applyFill="1" applyBorder="1" applyAlignment="1">
      <alignment horizontal="left" vertical="center"/>
    </xf>
    <xf numFmtId="167" fontId="0" fillId="7" borderId="1" xfId="0" applyNumberFormat="1" applyFill="1" applyBorder="1" applyAlignment="1">
      <alignment horizontal="center" vertical="center"/>
    </xf>
    <xf numFmtId="168" fontId="23" fillId="7" borderId="1" xfId="6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9" fillId="7" borderId="1" xfId="0" applyFont="1" applyFill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0" fontId="31" fillId="0" borderId="1" xfId="7" applyFont="1" applyBorder="1" applyAlignment="1">
      <alignment horizontal="left" vertical="center"/>
    </xf>
    <xf numFmtId="173" fontId="0" fillId="0" borderId="0" xfId="0" applyNumberFormat="1"/>
    <xf numFmtId="0" fontId="6" fillId="3" borderId="1" xfId="2" applyFont="1" applyFill="1" applyBorder="1" applyAlignment="1" applyProtection="1">
      <alignment horizontal="center" vertical="center" wrapText="1"/>
      <protection hidden="1"/>
    </xf>
    <xf numFmtId="168" fontId="0" fillId="0" borderId="0" xfId="6" applyNumberFormat="1" applyFont="1" applyAlignment="1">
      <alignment vertical="center"/>
    </xf>
    <xf numFmtId="0" fontId="0" fillId="0" borderId="0" xfId="0" applyAlignment="1">
      <alignment horizontal="center" vertical="top" shrinkToFit="1"/>
    </xf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shrinkToFit="1"/>
    </xf>
    <xf numFmtId="0" fontId="16" fillId="12" borderId="0" xfId="0" applyFont="1" applyFill="1" applyAlignment="1">
      <alignment horizontal="center"/>
    </xf>
    <xf numFmtId="0" fontId="24" fillId="12" borderId="3" xfId="0" applyFont="1" applyFill="1" applyBorder="1"/>
    <xf numFmtId="0" fontId="16" fillId="12" borderId="4" xfId="0" applyFont="1" applyFill="1" applyBorder="1" applyAlignment="1">
      <alignment horizontal="left"/>
    </xf>
    <xf numFmtId="0" fontId="16" fillId="12" borderId="4" xfId="0" applyFont="1" applyFill="1" applyBorder="1"/>
    <xf numFmtId="167" fontId="0" fillId="7" borderId="0" xfId="0" applyNumberFormat="1" applyFill="1" applyAlignment="1">
      <alignment horizontal="center" vertical="center" wrapText="1"/>
    </xf>
    <xf numFmtId="0" fontId="32" fillId="0" borderId="1" xfId="0" applyFont="1" applyBorder="1" applyAlignment="1">
      <alignment horizontal="left" vertical="center"/>
    </xf>
    <xf numFmtId="0" fontId="24" fillId="9" borderId="5" xfId="0" applyFont="1" applyFill="1" applyBorder="1"/>
    <xf numFmtId="168" fontId="23" fillId="0" borderId="1" xfId="6" applyNumberFormat="1" applyFont="1" applyFill="1" applyBorder="1" applyAlignment="1">
      <alignment horizontal="center" vertical="center"/>
    </xf>
    <xf numFmtId="0" fontId="33" fillId="0" borderId="1" xfId="7" applyFont="1" applyBorder="1" applyAlignment="1">
      <alignment horizontal="left" vertical="center"/>
    </xf>
    <xf numFmtId="0" fontId="34" fillId="0" borderId="1" xfId="7" applyFont="1" applyBorder="1" applyAlignment="1">
      <alignment horizontal="left" vertical="center"/>
    </xf>
    <xf numFmtId="0" fontId="35" fillId="0" borderId="1" xfId="7" applyFont="1" applyBorder="1" applyAlignment="1">
      <alignment horizontal="left" vertical="center"/>
    </xf>
    <xf numFmtId="0" fontId="16" fillId="13" borderId="0" xfId="0" applyFont="1" applyFill="1" applyAlignment="1">
      <alignment horizontal="center"/>
    </xf>
    <xf numFmtId="0" fontId="24" fillId="13" borderId="3" xfId="0" applyFont="1" applyFill="1" applyBorder="1"/>
    <xf numFmtId="0" fontId="16" fillId="13" borderId="4" xfId="0" applyFont="1" applyFill="1" applyBorder="1" applyAlignment="1">
      <alignment horizontal="left"/>
    </xf>
    <xf numFmtId="0" fontId="16" fillId="13" borderId="4" xfId="0" applyFont="1" applyFill="1" applyBorder="1"/>
    <xf numFmtId="0" fontId="36" fillId="0" borderId="1" xfId="0" applyFont="1" applyBorder="1" applyAlignment="1">
      <alignment horizontal="left" vertical="center"/>
    </xf>
    <xf numFmtId="169" fontId="0" fillId="7" borderId="0" xfId="0" applyNumberFormat="1" applyFill="1" applyAlignment="1">
      <alignment horizontal="center" vertical="center" wrapText="1"/>
    </xf>
    <xf numFmtId="0" fontId="0" fillId="0" borderId="1" xfId="0" applyBorder="1" applyAlignment="1">
      <alignment vertical="center"/>
    </xf>
    <xf numFmtId="16" fontId="0" fillId="0" borderId="1" xfId="0" applyNumberFormat="1" applyBorder="1" applyAlignment="1">
      <alignment vertical="center"/>
    </xf>
    <xf numFmtId="168" fontId="0" fillId="0" borderId="1" xfId="0" applyNumberFormat="1" applyBorder="1" applyAlignment="1">
      <alignment vertical="center"/>
    </xf>
    <xf numFmtId="0" fontId="37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/>
    </xf>
    <xf numFmtId="0" fontId="16" fillId="0" borderId="0" xfId="0" applyFont="1" applyAlignment="1">
      <alignment horizontal="left" indent="3"/>
    </xf>
    <xf numFmtId="172" fontId="15" fillId="5" borderId="1" xfId="7" applyNumberFormat="1" applyFont="1" applyFill="1" applyBorder="1" applyAlignment="1">
      <alignment horizontal="center" vertical="center" wrapText="1"/>
    </xf>
    <xf numFmtId="169" fontId="18" fillId="14" borderId="1" xfId="7" applyNumberFormat="1" applyFont="1" applyFill="1" applyBorder="1" applyAlignment="1">
      <alignment horizontal="center" vertical="center"/>
    </xf>
    <xf numFmtId="0" fontId="28" fillId="15" borderId="0" xfId="0" applyFont="1" applyFill="1" applyAlignment="1">
      <alignment horizontal="center" vertical="center"/>
    </xf>
    <xf numFmtId="0" fontId="0" fillId="16" borderId="1" xfId="0" applyFill="1" applyBorder="1" applyAlignment="1">
      <alignment horizontal="left" vertical="center"/>
    </xf>
    <xf numFmtId="0" fontId="29" fillId="16" borderId="1" xfId="0" applyFont="1" applyFill="1" applyBorder="1" applyAlignment="1">
      <alignment horizontal="left" vertical="center"/>
    </xf>
    <xf numFmtId="167" fontId="0" fillId="16" borderId="1" xfId="0" applyNumberFormat="1" applyFill="1" applyBorder="1" applyAlignment="1">
      <alignment horizontal="center" vertical="center"/>
    </xf>
    <xf numFmtId="168" fontId="23" fillId="16" borderId="1" xfId="6" applyNumberFormat="1" applyFont="1" applyFill="1" applyBorder="1" applyAlignment="1">
      <alignment horizontal="center" vertical="center"/>
    </xf>
    <xf numFmtId="169" fontId="0" fillId="0" borderId="0" xfId="8" applyNumberFormat="1" applyFont="1" applyFill="1"/>
    <xf numFmtId="9" fontId="0" fillId="5" borderId="1" xfId="0" applyNumberFormat="1" applyFill="1" applyBorder="1" applyAlignment="1">
      <alignment horizontal="center"/>
    </xf>
    <xf numFmtId="0" fontId="38" fillId="7" borderId="1" xfId="0" applyFont="1" applyFill="1" applyBorder="1" applyAlignment="1">
      <alignment horizontal="left" indent="6"/>
    </xf>
    <xf numFmtId="9" fontId="39" fillId="7" borderId="1" xfId="6" applyFont="1" applyFill="1" applyBorder="1" applyAlignment="1">
      <alignment horizontal="center"/>
    </xf>
    <xf numFmtId="9" fontId="39" fillId="7" borderId="1" xfId="0" applyNumberFormat="1" applyFont="1" applyFill="1" applyBorder="1" applyAlignment="1">
      <alignment horizontal="center"/>
    </xf>
    <xf numFmtId="169" fontId="39" fillId="0" borderId="0" xfId="8" applyNumberFormat="1" applyFont="1"/>
    <xf numFmtId="172" fontId="39" fillId="0" borderId="0" xfId="0" applyNumberFormat="1" applyFont="1"/>
    <xf numFmtId="167" fontId="39" fillId="7" borderId="1" xfId="0" applyNumberFormat="1" applyFont="1" applyFill="1" applyBorder="1"/>
    <xf numFmtId="0" fontId="39" fillId="7" borderId="1" xfId="0" applyFont="1" applyFill="1" applyBorder="1" applyAlignment="1">
      <alignment horizontal="center"/>
    </xf>
    <xf numFmtId="0" fontId="39" fillId="0" borderId="0" xfId="0" applyFont="1"/>
    <xf numFmtId="0" fontId="40" fillId="0" borderId="0" xfId="0" applyFont="1" applyAlignment="1">
      <alignment vertical="center"/>
    </xf>
    <xf numFmtId="168" fontId="41" fillId="5" borderId="1" xfId="6" applyNumberFormat="1" applyFont="1" applyFill="1" applyBorder="1" applyAlignment="1">
      <alignment horizontal="center" vertical="center"/>
    </xf>
    <xf numFmtId="0" fontId="14" fillId="17" borderId="0" xfId="0" applyFont="1" applyFill="1" applyAlignment="1">
      <alignment horizontal="center"/>
    </xf>
    <xf numFmtId="0" fontId="14" fillId="17" borderId="0" xfId="0" applyFont="1" applyFill="1" applyAlignment="1">
      <alignment horizontal="center" vertical="center" shrinkToFit="1"/>
    </xf>
    <xf numFmtId="0" fontId="14" fillId="17" borderId="0" xfId="0" applyFont="1" applyFill="1" applyAlignment="1">
      <alignment horizontal="left" vertical="center"/>
    </xf>
    <xf numFmtId="169" fontId="0" fillId="17" borderId="0" xfId="0" applyNumberFormat="1" applyFill="1" applyAlignment="1">
      <alignment horizontal="center" vertical="center" wrapText="1"/>
    </xf>
    <xf numFmtId="166" fontId="0" fillId="0" borderId="0" xfId="0" applyNumberFormat="1"/>
    <xf numFmtId="0" fontId="16" fillId="18" borderId="0" xfId="0" applyFont="1" applyFill="1" applyAlignment="1">
      <alignment horizontal="center"/>
    </xf>
    <xf numFmtId="0" fontId="24" fillId="18" borderId="3" xfId="0" applyFont="1" applyFill="1" applyBorder="1"/>
    <xf numFmtId="0" fontId="16" fillId="18" borderId="4" xfId="0" applyFont="1" applyFill="1" applyBorder="1" applyAlignment="1">
      <alignment horizontal="left"/>
    </xf>
    <xf numFmtId="0" fontId="16" fillId="18" borderId="4" xfId="0" applyFont="1" applyFill="1" applyBorder="1"/>
    <xf numFmtId="164" fontId="0" fillId="0" borderId="0" xfId="0" applyNumberFormat="1"/>
    <xf numFmtId="0" fontId="37" fillId="7" borderId="1" xfId="0" applyFont="1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15" borderId="0" xfId="0" applyFill="1" applyAlignment="1">
      <alignment vertical="center"/>
    </xf>
    <xf numFmtId="171" fontId="22" fillId="0" borderId="2" xfId="0" applyNumberFormat="1" applyFont="1" applyBorder="1" applyAlignment="1">
      <alignment vertical="center" shrinkToFit="1"/>
    </xf>
    <xf numFmtId="4" fontId="0" fillId="0" borderId="0" xfId="0" applyNumberFormat="1" applyAlignment="1">
      <alignment vertical="center"/>
    </xf>
    <xf numFmtId="175" fontId="0" fillId="0" borderId="0" xfId="0" applyNumberFormat="1" applyAlignment="1">
      <alignment vertical="center"/>
    </xf>
    <xf numFmtId="2" fontId="6" fillId="3" borderId="6" xfId="2" applyNumberFormat="1" applyFont="1" applyFill="1" applyBorder="1" applyAlignment="1" applyProtection="1">
      <alignment horizontal="center" vertical="center" wrapText="1"/>
      <protection hidden="1"/>
    </xf>
    <xf numFmtId="2" fontId="6" fillId="3" borderId="7" xfId="2" applyNumberFormat="1" applyFont="1" applyFill="1" applyBorder="1" applyAlignment="1" applyProtection="1">
      <alignment horizontal="center" vertical="center" wrapText="1"/>
      <protection hidden="1"/>
    </xf>
    <xf numFmtId="2" fontId="6" fillId="3" borderId="8" xfId="2" applyNumberFormat="1" applyFont="1" applyFill="1" applyBorder="1" applyAlignment="1" applyProtection="1">
      <alignment horizontal="center" vertical="center" wrapText="1"/>
      <protection hidden="1"/>
    </xf>
    <xf numFmtId="168" fontId="23" fillId="0" borderId="0" xfId="6" applyNumberFormat="1" applyFont="1" applyBorder="1" applyAlignment="1">
      <alignment horizontal="center" vertical="center"/>
    </xf>
    <xf numFmtId="0" fontId="0" fillId="15" borderId="1" xfId="0" applyFill="1" applyBorder="1" applyAlignment="1">
      <alignment horizontal="left" vertical="center"/>
    </xf>
    <xf numFmtId="168" fontId="0" fillId="15" borderId="1" xfId="6" applyNumberFormat="1" applyFont="1" applyFill="1" applyBorder="1" applyAlignment="1">
      <alignment horizontal="center" vertical="center"/>
    </xf>
    <xf numFmtId="8" fontId="14" fillId="0" borderId="0" xfId="0" applyNumberFormat="1" applyFont="1"/>
    <xf numFmtId="8" fontId="42" fillId="0" borderId="0" xfId="0" applyNumberFormat="1" applyFont="1"/>
    <xf numFmtId="167" fontId="0" fillId="6" borderId="0" xfId="0" applyNumberFormat="1" applyFill="1" applyAlignment="1">
      <alignment horizontal="center"/>
    </xf>
    <xf numFmtId="2" fontId="0" fillId="0" borderId="0" xfId="0" applyNumberFormat="1" applyAlignment="1">
      <alignment horizontal="center" vertical="center"/>
    </xf>
    <xf numFmtId="17" fontId="0" fillId="0" borderId="0" xfId="0" applyNumberFormat="1"/>
    <xf numFmtId="179" fontId="0" fillId="0" borderId="0" xfId="0" applyNumberFormat="1"/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 applyAlignment="1">
      <alignment vertical="center"/>
    </xf>
    <xf numFmtId="0" fontId="0" fillId="0" borderId="0" xfId="0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0" fillId="0" borderId="0" xfId="0" applyAlignment="1">
      <alignment textRotation="90"/>
    </xf>
    <xf numFmtId="164" fontId="3" fillId="4" borderId="1" xfId="4" applyNumberFormat="1" applyFont="1" applyFill="1" applyBorder="1" applyAlignment="1" applyProtection="1">
      <alignment horizontal="center" vertical="center" textRotation="90"/>
      <protection locked="0" hidden="1"/>
    </xf>
    <xf numFmtId="164" fontId="3" fillId="5" borderId="1" xfId="4" applyNumberFormat="1" applyFont="1" applyFill="1" applyBorder="1" applyAlignment="1" applyProtection="1">
      <alignment horizontal="center" vertical="center" textRotation="90"/>
      <protection locked="0" hidden="1"/>
    </xf>
    <xf numFmtId="0" fontId="0" fillId="0" borderId="1" xfId="0" applyBorder="1"/>
    <xf numFmtId="8" fontId="0" fillId="0" borderId="1" xfId="1" applyNumberFormat="1" applyFont="1" applyBorder="1"/>
    <xf numFmtId="8" fontId="0" fillId="0" borderId="0" xfId="1" applyNumberFormat="1" applyFont="1" applyBorder="1"/>
    <xf numFmtId="0" fontId="16" fillId="19" borderId="0" xfId="0" applyFont="1" applyFill="1" applyAlignment="1">
      <alignment horizontal="center"/>
    </xf>
    <xf numFmtId="0" fontId="24" fillId="19" borderId="3" xfId="0" applyFont="1" applyFill="1" applyBorder="1"/>
    <xf numFmtId="0" fontId="16" fillId="19" borderId="4" xfId="0" applyFont="1" applyFill="1" applyBorder="1" applyAlignment="1">
      <alignment horizontal="left"/>
    </xf>
    <xf numFmtId="0" fontId="16" fillId="19" borderId="4" xfId="0" applyFont="1" applyFill="1" applyBorder="1"/>
    <xf numFmtId="180" fontId="0" fillId="0" borderId="0" xfId="0" applyNumberFormat="1"/>
    <xf numFmtId="165" fontId="0" fillId="0" borderId="1" xfId="0" applyNumberFormat="1" applyBorder="1"/>
    <xf numFmtId="8" fontId="0" fillId="0" borderId="1" xfId="0" applyNumberFormat="1" applyBorder="1" applyAlignment="1">
      <alignment vertical="center"/>
    </xf>
    <xf numFmtId="8" fontId="43" fillId="0" borderId="0" xfId="0" applyNumberFormat="1" applyFont="1" applyAlignment="1">
      <alignment vertical="center"/>
    </xf>
    <xf numFmtId="164" fontId="12" fillId="0" borderId="0" xfId="0" applyNumberFormat="1" applyFont="1" applyAlignment="1">
      <alignment shrinkToFit="1"/>
    </xf>
    <xf numFmtId="167" fontId="0" fillId="15" borderId="0" xfId="0" applyNumberFormat="1" applyFill="1" applyAlignment="1">
      <alignment horizontal="center" vertical="center" shrinkToFit="1"/>
    </xf>
    <xf numFmtId="0" fontId="0" fillId="15" borderId="0" xfId="0" applyFill="1" applyAlignment="1">
      <alignment horizontal="center" vertical="center" shrinkToFit="1"/>
    </xf>
    <xf numFmtId="0" fontId="0" fillId="0" borderId="0" xfId="0" applyAlignment="1">
      <alignment horizontal="left" vertical="top" textRotation="90"/>
    </xf>
    <xf numFmtId="0" fontId="0" fillId="0" borderId="1" xfId="0" applyBorder="1" applyAlignment="1">
      <alignment horizontal="center" vertical="center" shrinkToFit="1"/>
    </xf>
    <xf numFmtId="168" fontId="44" fillId="0" borderId="0" xfId="6" applyNumberFormat="1" applyFont="1"/>
    <xf numFmtId="167" fontId="0" fillId="0" borderId="0" xfId="0" applyNumberFormat="1" applyAlignment="1">
      <alignment horizontal="center" vertical="center"/>
    </xf>
    <xf numFmtId="0" fontId="16" fillId="16" borderId="1" xfId="0" applyFont="1" applyFill="1" applyBorder="1" applyAlignment="1">
      <alignment horizontal="left" indent="6"/>
    </xf>
    <xf numFmtId="9" fontId="0" fillId="16" borderId="1" xfId="6" applyFont="1" applyFill="1" applyBorder="1" applyAlignment="1">
      <alignment horizontal="center"/>
    </xf>
    <xf numFmtId="9" fontId="0" fillId="16" borderId="1" xfId="0" applyNumberFormat="1" applyFill="1" applyBorder="1" applyAlignment="1">
      <alignment horizontal="center"/>
    </xf>
    <xf numFmtId="169" fontId="0" fillId="16" borderId="0" xfId="8" applyNumberFormat="1" applyFont="1" applyFill="1"/>
    <xf numFmtId="172" fontId="0" fillId="16" borderId="0" xfId="0" applyNumberFormat="1" applyFill="1"/>
    <xf numFmtId="167" fontId="0" fillId="16" borderId="1" xfId="0" applyNumberFormat="1" applyFill="1" applyBorder="1"/>
    <xf numFmtId="0" fontId="0" fillId="16" borderId="1" xfId="0" applyFill="1" applyBorder="1" applyAlignment="1">
      <alignment horizontal="center"/>
    </xf>
    <xf numFmtId="179" fontId="0" fillId="0" borderId="0" xfId="0" applyNumberFormat="1" applyAlignment="1">
      <alignment horizontal="center" vertical="top"/>
    </xf>
    <xf numFmtId="179" fontId="0" fillId="0" borderId="0" xfId="0" applyNumberFormat="1" applyAlignment="1">
      <alignment horizontal="center" vertical="center"/>
    </xf>
    <xf numFmtId="0" fontId="14" fillId="20" borderId="0" xfId="0" applyFont="1" applyFill="1" applyAlignment="1">
      <alignment horizontal="center"/>
    </xf>
    <xf numFmtId="0" fontId="14" fillId="20" borderId="0" xfId="0" applyFont="1" applyFill="1" applyAlignment="1">
      <alignment horizontal="center" vertical="center" shrinkToFit="1"/>
    </xf>
    <xf numFmtId="0" fontId="14" fillId="20" borderId="0" xfId="0" applyFont="1" applyFill="1" applyAlignment="1">
      <alignment horizontal="left" vertical="center"/>
    </xf>
    <xf numFmtId="169" fontId="0" fillId="20" borderId="0" xfId="0" applyNumberFormat="1" applyFill="1" applyAlignment="1">
      <alignment horizontal="center" vertical="center" wrapText="1"/>
    </xf>
    <xf numFmtId="0" fontId="14" fillId="21" borderId="0" xfId="0" applyFont="1" applyFill="1" applyAlignment="1">
      <alignment horizontal="center"/>
    </xf>
    <xf numFmtId="0" fontId="14" fillId="21" borderId="0" xfId="0" applyFont="1" applyFill="1" applyAlignment="1">
      <alignment horizontal="center" vertical="center" shrinkToFit="1"/>
    </xf>
    <xf numFmtId="0" fontId="14" fillId="21" borderId="0" xfId="0" applyFont="1" applyFill="1" applyAlignment="1">
      <alignment horizontal="left" vertical="center"/>
    </xf>
    <xf numFmtId="169" fontId="0" fillId="21" borderId="0" xfId="0" applyNumberFormat="1" applyFill="1" applyAlignment="1">
      <alignment horizontal="center" vertical="center" wrapText="1"/>
    </xf>
    <xf numFmtId="0" fontId="14" fillId="18" borderId="0" xfId="0" applyFont="1" applyFill="1" applyAlignment="1">
      <alignment horizontal="center"/>
    </xf>
    <xf numFmtId="0" fontId="14" fillId="18" borderId="0" xfId="0" applyFont="1" applyFill="1" applyAlignment="1">
      <alignment horizontal="center" vertical="center" shrinkToFit="1"/>
    </xf>
    <xf numFmtId="0" fontId="14" fillId="18" borderId="0" xfId="0" applyFont="1" applyFill="1" applyAlignment="1">
      <alignment horizontal="left" vertical="center"/>
    </xf>
    <xf numFmtId="169" fontId="0" fillId="18" borderId="0" xfId="0" applyNumberFormat="1" applyFill="1" applyAlignment="1">
      <alignment horizontal="center" vertical="center" wrapText="1"/>
    </xf>
    <xf numFmtId="0" fontId="14" fillId="8" borderId="0" xfId="0" applyFont="1" applyFill="1" applyAlignment="1">
      <alignment horizontal="center"/>
    </xf>
    <xf numFmtId="0" fontId="14" fillId="8" borderId="0" xfId="0" applyFont="1" applyFill="1" applyAlignment="1">
      <alignment horizontal="center" vertical="center" shrinkToFit="1"/>
    </xf>
    <xf numFmtId="0" fontId="14" fillId="8" borderId="0" xfId="0" applyFont="1" applyFill="1" applyAlignment="1">
      <alignment horizontal="left" vertical="center"/>
    </xf>
    <xf numFmtId="169" fontId="0" fillId="8" borderId="0" xfId="0" applyNumberFormat="1" applyFill="1" applyAlignment="1">
      <alignment horizontal="center" vertical="center" wrapText="1"/>
    </xf>
    <xf numFmtId="0" fontId="14" fillId="22" borderId="0" xfId="0" applyFont="1" applyFill="1" applyAlignment="1">
      <alignment horizontal="center"/>
    </xf>
    <xf numFmtId="0" fontId="14" fillId="22" borderId="0" xfId="0" applyFont="1" applyFill="1" applyAlignment="1">
      <alignment horizontal="center" vertical="center" shrinkToFit="1"/>
    </xf>
    <xf numFmtId="0" fontId="14" fillId="22" borderId="0" xfId="0" applyFont="1" applyFill="1" applyAlignment="1">
      <alignment horizontal="left" vertical="center"/>
    </xf>
    <xf numFmtId="169" fontId="0" fillId="22" borderId="0" xfId="0" applyNumberFormat="1" applyFill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14" fillId="23" borderId="0" xfId="0" applyFont="1" applyFill="1" applyAlignment="1">
      <alignment horizontal="center"/>
    </xf>
    <xf numFmtId="0" fontId="14" fillId="23" borderId="0" xfId="0" applyFont="1" applyFill="1" applyAlignment="1">
      <alignment horizontal="center" vertical="center" shrinkToFit="1"/>
    </xf>
    <xf numFmtId="0" fontId="14" fillId="23" borderId="0" xfId="0" applyFont="1" applyFill="1" applyAlignment="1">
      <alignment horizontal="left" vertical="center"/>
    </xf>
    <xf numFmtId="169" fontId="0" fillId="23" borderId="0" xfId="0" applyNumberFormat="1" applyFill="1" applyAlignment="1">
      <alignment horizontal="center" vertical="center" wrapText="1"/>
    </xf>
    <xf numFmtId="0" fontId="14" fillId="24" borderId="0" xfId="0" applyFont="1" applyFill="1" applyAlignment="1">
      <alignment horizontal="center"/>
    </xf>
    <xf numFmtId="0" fontId="14" fillId="24" borderId="0" xfId="0" applyFont="1" applyFill="1" applyAlignment="1">
      <alignment horizontal="center" vertical="center" shrinkToFit="1"/>
    </xf>
    <xf numFmtId="0" fontId="14" fillId="24" borderId="0" xfId="0" applyFont="1" applyFill="1" applyAlignment="1">
      <alignment horizontal="left" vertical="center"/>
    </xf>
    <xf numFmtId="169" fontId="0" fillId="24" borderId="0" xfId="0" applyNumberFormat="1" applyFill="1" applyAlignment="1">
      <alignment horizontal="center" vertical="center" wrapText="1"/>
    </xf>
    <xf numFmtId="8" fontId="0" fillId="0" borderId="0" xfId="0" applyNumberFormat="1" applyAlignment="1">
      <alignment vertical="center"/>
    </xf>
    <xf numFmtId="179" fontId="0" fillId="0" borderId="0" xfId="0" applyNumberFormat="1" applyAlignment="1">
      <alignment horizontal="center"/>
    </xf>
    <xf numFmtId="0" fontId="43" fillId="0" borderId="0" xfId="0" applyFont="1"/>
    <xf numFmtId="0" fontId="0" fillId="0" borderId="0" xfId="0" applyAlignment="1">
      <alignment horizontal="center" textRotation="90"/>
    </xf>
    <xf numFmtId="0" fontId="0" fillId="25" borderId="1" xfId="0" applyFill="1" applyBorder="1" applyAlignment="1">
      <alignment horizontal="center" textRotation="90"/>
    </xf>
    <xf numFmtId="0" fontId="0" fillId="25" borderId="1" xfId="0" applyFill="1" applyBorder="1" applyAlignment="1">
      <alignment horizontal="center"/>
    </xf>
    <xf numFmtId="0" fontId="0" fillId="17" borderId="1" xfId="0" applyFill="1" applyBorder="1" applyAlignment="1">
      <alignment horizontal="center" textRotation="90"/>
    </xf>
    <xf numFmtId="0" fontId="0" fillId="17" borderId="1" xfId="0" applyFill="1" applyBorder="1" applyAlignment="1">
      <alignment horizontal="center"/>
    </xf>
    <xf numFmtId="0" fontId="0" fillId="12" borderId="1" xfId="0" applyFill="1" applyBorder="1" applyAlignment="1">
      <alignment horizontal="center" textRotation="90"/>
    </xf>
    <xf numFmtId="0" fontId="0" fillId="12" borderId="1" xfId="0" applyFill="1" applyBorder="1" applyAlignment="1">
      <alignment horizontal="center"/>
    </xf>
    <xf numFmtId="0" fontId="0" fillId="18" borderId="1" xfId="0" applyFill="1" applyBorder="1" applyAlignment="1">
      <alignment horizontal="center" textRotation="90"/>
    </xf>
    <xf numFmtId="0" fontId="0" fillId="18" borderId="1" xfId="0" applyFill="1" applyBorder="1" applyAlignment="1">
      <alignment horizontal="center"/>
    </xf>
    <xf numFmtId="0" fontId="0" fillId="8" borderId="1" xfId="0" applyFill="1" applyBorder="1" applyAlignment="1">
      <alignment horizontal="center" textRotation="90"/>
    </xf>
    <xf numFmtId="0" fontId="22" fillId="5" borderId="1" xfId="0" applyFont="1" applyFill="1" applyBorder="1" applyAlignment="1">
      <alignment horizontal="center" shrinkToFit="1"/>
    </xf>
    <xf numFmtId="0" fontId="0" fillId="1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181" fontId="0" fillId="0" borderId="1" xfId="0" applyNumberFormat="1" applyBorder="1" applyAlignment="1">
      <alignment horizontal="center" shrinkToFit="1"/>
    </xf>
    <xf numFmtId="181" fontId="0" fillId="0" borderId="0" xfId="1" applyNumberFormat="1" applyFont="1" applyBorder="1"/>
    <xf numFmtId="181" fontId="0" fillId="0" borderId="0" xfId="0" applyNumberFormat="1" applyAlignment="1">
      <alignment vertical="center"/>
    </xf>
    <xf numFmtId="181" fontId="22" fillId="0" borderId="1" xfId="0" applyNumberFormat="1" applyFont="1" applyBorder="1" applyAlignment="1">
      <alignment horizontal="center" shrinkToFit="1"/>
    </xf>
    <xf numFmtId="181" fontId="22" fillId="5" borderId="1" xfId="0" applyNumberFormat="1" applyFont="1" applyFill="1" applyBorder="1" applyAlignment="1">
      <alignment horizontal="center" shrinkToFit="1"/>
    </xf>
    <xf numFmtId="181" fontId="22" fillId="0" borderId="0" xfId="0" applyNumberFormat="1" applyFont="1" applyAlignment="1">
      <alignment horizontal="center"/>
    </xf>
    <xf numFmtId="4" fontId="0" fillId="0" borderId="1" xfId="1" applyNumberFormat="1" applyFont="1" applyBorder="1"/>
    <xf numFmtId="4" fontId="0" fillId="0" borderId="1" xfId="0" applyNumberFormat="1" applyBorder="1" applyAlignment="1">
      <alignment horizontal="center" shrinkToFit="1"/>
    </xf>
    <xf numFmtId="0" fontId="0" fillId="0" borderId="9" xfId="0" applyBorder="1" applyAlignment="1">
      <alignment horizontal="center" vertical="center"/>
    </xf>
    <xf numFmtId="0" fontId="0" fillId="20" borderId="10" xfId="0" applyFill="1" applyBorder="1" applyAlignment="1">
      <alignment horizontal="center" vertical="center"/>
    </xf>
    <xf numFmtId="0" fontId="3" fillId="2" borderId="9" xfId="2" applyFont="1" applyFill="1" applyBorder="1" applyAlignment="1" applyProtection="1">
      <alignment horizontal="center" vertical="center"/>
      <protection hidden="1"/>
    </xf>
    <xf numFmtId="0" fontId="3" fillId="5" borderId="9" xfId="2" applyFont="1" applyFill="1" applyBorder="1" applyAlignment="1" applyProtection="1">
      <alignment horizontal="center" vertical="center"/>
      <protection hidden="1"/>
    </xf>
    <xf numFmtId="166" fontId="3" fillId="2" borderId="9" xfId="2" applyNumberFormat="1" applyFont="1" applyFill="1" applyBorder="1" applyAlignment="1" applyProtection="1">
      <alignment horizontal="center" vertical="center"/>
      <protection hidden="1"/>
    </xf>
    <xf numFmtId="0" fontId="0" fillId="20" borderId="10" xfId="0" applyFill="1" applyBorder="1" applyAlignment="1">
      <alignment horizontal="center" vertical="center" shrinkToFit="1"/>
    </xf>
    <xf numFmtId="181" fontId="0" fillId="0" borderId="0" xfId="0" applyNumberFormat="1"/>
    <xf numFmtId="179" fontId="0" fillId="5" borderId="0" xfId="0" applyNumberFormat="1" applyFill="1" applyAlignment="1">
      <alignment horizontal="center" vertical="center"/>
    </xf>
    <xf numFmtId="165" fontId="0" fillId="0" borderId="0" xfId="0" applyNumberFormat="1" applyAlignment="1">
      <alignment vertical="center"/>
    </xf>
    <xf numFmtId="179" fontId="3" fillId="4" borderId="1" xfId="4" applyNumberFormat="1" applyFont="1" applyFill="1" applyBorder="1" applyAlignment="1" applyProtection="1">
      <alignment horizontal="center" vertical="center" textRotation="90"/>
      <protection locked="0" hidden="1"/>
    </xf>
    <xf numFmtId="179" fontId="3" fillId="5" borderId="1" xfId="4" applyNumberFormat="1" applyFont="1" applyFill="1" applyBorder="1" applyAlignment="1" applyProtection="1">
      <alignment horizontal="center" vertical="center" textRotation="90"/>
      <protection locked="0" hidden="1"/>
    </xf>
    <xf numFmtId="11" fontId="0" fillId="0" borderId="1" xfId="0" applyNumberFormat="1" applyBorder="1" applyAlignment="1">
      <alignment horizontal="center" vertical="center"/>
    </xf>
    <xf numFmtId="4" fontId="0" fillId="0" borderId="0" xfId="0" applyNumberFormat="1"/>
    <xf numFmtId="9" fontId="0" fillId="25" borderId="0" xfId="6" applyFont="1" applyFill="1" applyAlignment="1">
      <alignment horizontal="center"/>
    </xf>
    <xf numFmtId="9" fontId="0" fillId="12" borderId="0" xfId="6" applyFont="1" applyFill="1" applyAlignment="1">
      <alignment horizontal="center"/>
    </xf>
    <xf numFmtId="9" fontId="0" fillId="18" borderId="0" xfId="0" applyNumberFormat="1" applyFill="1" applyAlignment="1">
      <alignment horizontal="center"/>
    </xf>
    <xf numFmtId="0" fontId="0" fillId="0" borderId="0" xfId="0" applyAlignment="1">
      <alignment vertical="center" shrinkToFit="1"/>
    </xf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 applyAlignment="1">
      <alignment horizontal="left" vertical="center"/>
    </xf>
    <xf numFmtId="168" fontId="0" fillId="17" borderId="0" xfId="6" applyNumberFormat="1" applyFont="1" applyFill="1" applyAlignment="1">
      <alignment horizontal="center"/>
    </xf>
    <xf numFmtId="168" fontId="0" fillId="12" borderId="0" xfId="6" applyNumberFormat="1" applyFont="1" applyFill="1" applyAlignment="1">
      <alignment horizontal="center"/>
    </xf>
    <xf numFmtId="168" fontId="0" fillId="0" borderId="0" xfId="6" applyNumberFormat="1" applyFont="1" applyFill="1" applyAlignment="1">
      <alignment horizontal="center"/>
    </xf>
    <xf numFmtId="0" fontId="16" fillId="0" borderId="1" xfId="7" applyFont="1" applyBorder="1"/>
    <xf numFmtId="182" fontId="16" fillId="0" borderId="1" xfId="7" applyNumberFormat="1" applyFont="1" applyBorder="1"/>
    <xf numFmtId="167" fontId="0" fillId="0" borderId="1" xfId="0" applyNumberFormat="1" applyBorder="1" applyAlignment="1">
      <alignment horizontal="center" shrinkToFit="1"/>
    </xf>
    <xf numFmtId="43" fontId="0" fillId="0" borderId="0" xfId="8" applyFont="1" applyAlignment="1">
      <alignment vertical="center"/>
    </xf>
    <xf numFmtId="2" fontId="50" fillId="0" borderId="0" xfId="8" applyNumberFormat="1" applyFont="1" applyAlignment="1">
      <alignment horizontal="center" vertical="center"/>
    </xf>
    <xf numFmtId="2" fontId="50" fillId="0" borderId="0" xfId="0" applyNumberFormat="1" applyFont="1" applyAlignment="1">
      <alignment horizontal="center" vertical="center"/>
    </xf>
    <xf numFmtId="0" fontId="52" fillId="0" borderId="0" xfId="0" applyFont="1"/>
    <xf numFmtId="0" fontId="53" fillId="0" borderId="0" xfId="0" applyFont="1"/>
    <xf numFmtId="166" fontId="51" fillId="0" borderId="0" xfId="8" applyNumberFormat="1" applyFont="1" applyAlignment="1">
      <alignment vertical="center"/>
    </xf>
    <xf numFmtId="0" fontId="16" fillId="0" borderId="0" xfId="0" applyFont="1" applyAlignment="1">
      <alignment horizontal="left" vertical="center"/>
    </xf>
    <xf numFmtId="183" fontId="54" fillId="0" borderId="0" xfId="0" applyNumberFormat="1" applyFont="1" applyAlignment="1">
      <alignment vertical="center"/>
    </xf>
    <xf numFmtId="169" fontId="0" fillId="0" borderId="0" xfId="0" applyNumberFormat="1"/>
    <xf numFmtId="185" fontId="0" fillId="0" borderId="0" xfId="0" applyNumberFormat="1" applyAlignment="1">
      <alignment horizontal="center" vertical="top"/>
    </xf>
    <xf numFmtId="185" fontId="0" fillId="0" borderId="0" xfId="0" applyNumberFormat="1" applyAlignment="1">
      <alignment horizontal="left" vertical="center"/>
    </xf>
    <xf numFmtId="185" fontId="0" fillId="17" borderId="0" xfId="0" applyNumberFormat="1" applyFill="1" applyAlignment="1">
      <alignment horizontal="left" vertical="center"/>
    </xf>
    <xf numFmtId="185" fontId="0" fillId="20" borderId="0" xfId="0" applyNumberFormat="1" applyFill="1" applyAlignment="1">
      <alignment horizontal="left" vertical="center"/>
    </xf>
    <xf numFmtId="185" fontId="0" fillId="21" borderId="0" xfId="0" applyNumberFormat="1" applyFill="1" applyAlignment="1">
      <alignment horizontal="left" vertical="center"/>
    </xf>
    <xf numFmtId="185" fontId="0" fillId="18" borderId="0" xfId="0" applyNumberFormat="1" applyFill="1" applyAlignment="1">
      <alignment horizontal="left" vertical="center"/>
    </xf>
    <xf numFmtId="185" fontId="0" fillId="23" borderId="0" xfId="0" applyNumberFormat="1" applyFill="1" applyAlignment="1">
      <alignment horizontal="left" vertical="center"/>
    </xf>
    <xf numFmtId="185" fontId="0" fillId="24" borderId="0" xfId="0" applyNumberFormat="1" applyFill="1" applyAlignment="1">
      <alignment horizontal="left" vertical="center"/>
    </xf>
    <xf numFmtId="185" fontId="0" fillId="8" borderId="0" xfId="0" applyNumberFormat="1" applyFill="1" applyAlignment="1">
      <alignment horizontal="left" vertical="center"/>
    </xf>
    <xf numFmtId="185" fontId="0" fillId="22" borderId="0" xfId="0" applyNumberFormat="1" applyFill="1" applyAlignment="1">
      <alignment horizontal="left" vertical="center"/>
    </xf>
    <xf numFmtId="185" fontId="0" fillId="0" borderId="0" xfId="0" applyNumberFormat="1"/>
    <xf numFmtId="0" fontId="55" fillId="0" borderId="0" xfId="0" applyFont="1" applyAlignment="1">
      <alignment horizontal="left" vertical="center"/>
    </xf>
    <xf numFmtId="14" fontId="55" fillId="0" borderId="0" xfId="0" applyNumberFormat="1" applyFont="1" applyAlignment="1">
      <alignment horizontal="left" vertical="center"/>
    </xf>
    <xf numFmtId="0" fontId="55" fillId="0" borderId="0" xfId="0" applyFont="1" applyAlignment="1">
      <alignment horizontal="left" vertical="center" indent="2"/>
    </xf>
    <xf numFmtId="169" fontId="0" fillId="16" borderId="0" xfId="0" applyNumberFormat="1" applyFill="1" applyAlignment="1">
      <alignment horizontal="center" vertical="center" wrapText="1"/>
    </xf>
    <xf numFmtId="167" fontId="0" fillId="16" borderId="0" xfId="0" applyNumberFormat="1" applyFill="1" applyAlignment="1">
      <alignment horizontal="center"/>
    </xf>
    <xf numFmtId="0" fontId="22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7" fontId="22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22" fillId="0" borderId="0" xfId="0" applyNumberFormat="1" applyFont="1" applyAlignment="1">
      <alignment horizontal="center"/>
    </xf>
    <xf numFmtId="0" fontId="22" fillId="0" borderId="0" xfId="0" applyFont="1"/>
    <xf numFmtId="0" fontId="14" fillId="17" borderId="0" xfId="0" applyFont="1" applyFill="1"/>
    <xf numFmtId="0" fontId="14" fillId="20" borderId="0" xfId="0" applyFont="1" applyFill="1"/>
    <xf numFmtId="0" fontId="14" fillId="21" borderId="0" xfId="0" applyFont="1" applyFill="1"/>
    <xf numFmtId="0" fontId="14" fillId="18" borderId="0" xfId="0" applyFont="1" applyFill="1"/>
    <xf numFmtId="0" fontId="14" fillId="23" borderId="0" xfId="0" applyFont="1" applyFill="1"/>
    <xf numFmtId="0" fontId="14" fillId="24" borderId="0" xfId="0" applyFont="1" applyFill="1"/>
    <xf numFmtId="0" fontId="14" fillId="8" borderId="0" xfId="0" applyFont="1" applyFill="1"/>
    <xf numFmtId="0" fontId="14" fillId="22" borderId="0" xfId="0" applyFont="1" applyFill="1"/>
    <xf numFmtId="0" fontId="16" fillId="11" borderId="4" xfId="0" quotePrefix="1" applyFont="1" applyFill="1" applyBorder="1" applyAlignment="1">
      <alignment horizontal="left"/>
    </xf>
    <xf numFmtId="0" fontId="56" fillId="11" borderId="4" xfId="0" applyFont="1" applyFill="1" applyBorder="1" applyAlignment="1">
      <alignment horizontal="left"/>
    </xf>
    <xf numFmtId="0" fontId="56" fillId="11" borderId="4" xfId="0" applyFont="1" applyFill="1" applyBorder="1"/>
    <xf numFmtId="166" fontId="0" fillId="7" borderId="0" xfId="0" applyNumberFormat="1" applyFill="1"/>
    <xf numFmtId="168" fontId="41" fillId="5" borderId="1" xfId="6" quotePrefix="1" applyNumberFormat="1" applyFont="1" applyFill="1" applyBorder="1" applyAlignment="1">
      <alignment horizontal="center" vertical="center"/>
    </xf>
    <xf numFmtId="169" fontId="0" fillId="0" borderId="11" xfId="0" applyNumberFormat="1" applyBorder="1" applyAlignment="1">
      <alignment horizontal="center" vertical="center" wrapText="1"/>
    </xf>
    <xf numFmtId="6" fontId="0" fillId="0" borderId="0" xfId="0" applyNumberFormat="1" applyAlignment="1">
      <alignment vertical="center"/>
    </xf>
    <xf numFmtId="4" fontId="0" fillId="0" borderId="1" xfId="1" applyNumberFormat="1" applyFont="1" applyFill="1" applyBorder="1"/>
    <xf numFmtId="0" fontId="3" fillId="2" borderId="0" xfId="2" applyFont="1" applyFill="1" applyAlignment="1" applyProtection="1">
      <alignment horizontal="center" vertical="center"/>
      <protection hidden="1"/>
    </xf>
    <xf numFmtId="186" fontId="0" fillId="0" borderId="0" xfId="6" applyNumberFormat="1" applyFont="1"/>
    <xf numFmtId="167" fontId="57" fillId="0" borderId="0" xfId="0" applyNumberFormat="1" applyFont="1"/>
    <xf numFmtId="169" fontId="57" fillId="0" borderId="0" xfId="0" applyNumberFormat="1" applyFont="1"/>
    <xf numFmtId="0" fontId="16" fillId="16" borderId="1" xfId="0" applyFont="1" applyFill="1" applyBorder="1" applyAlignment="1">
      <alignment horizontal="left" indent="3"/>
    </xf>
    <xf numFmtId="0" fontId="10" fillId="16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7" fontId="26" fillId="0" borderId="0" xfId="0" applyNumberFormat="1" applyFont="1" applyAlignment="1">
      <alignment vertical="center"/>
    </xf>
    <xf numFmtId="187" fontId="0" fillId="0" borderId="0" xfId="8" applyNumberFormat="1" applyFont="1"/>
    <xf numFmtId="182" fontId="16" fillId="0" borderId="0" xfId="7" applyNumberFormat="1" applyFont="1"/>
    <xf numFmtId="0" fontId="0" fillId="0" borderId="0" xfId="0" applyAlignment="1">
      <alignment vertical="center" wrapText="1"/>
    </xf>
    <xf numFmtId="184" fontId="42" fillId="0" borderId="1" xfId="0" applyNumberFormat="1" applyFont="1" applyBorder="1" applyAlignment="1">
      <alignment horizontal="center" vertical="center"/>
    </xf>
    <xf numFmtId="185" fontId="7" fillId="18" borderId="0" xfId="0" applyNumberFormat="1" applyFont="1" applyFill="1" applyAlignment="1">
      <alignment horizontal="left" vertical="center"/>
    </xf>
    <xf numFmtId="185" fontId="7" fillId="23" borderId="0" xfId="0" applyNumberFormat="1" applyFont="1" applyFill="1" applyAlignment="1">
      <alignment horizontal="left" vertical="center"/>
    </xf>
    <xf numFmtId="185" fontId="7" fillId="24" borderId="0" xfId="0" applyNumberFormat="1" applyFont="1" applyFill="1" applyAlignment="1">
      <alignment horizontal="left" vertical="center"/>
    </xf>
    <xf numFmtId="185" fontId="7" fillId="8" borderId="0" xfId="0" applyNumberFormat="1" applyFont="1" applyFill="1" applyAlignment="1">
      <alignment horizontal="left" vertical="center"/>
    </xf>
    <xf numFmtId="0" fontId="16" fillId="18" borderId="4" xfId="0" quotePrefix="1" applyFont="1" applyFill="1" applyBorder="1" applyAlignment="1">
      <alignment horizontal="left"/>
    </xf>
    <xf numFmtId="168" fontId="23" fillId="20" borderId="1" xfId="6" applyNumberFormat="1" applyFont="1" applyFill="1" applyBorder="1" applyAlignment="1">
      <alignment horizontal="center" vertical="center"/>
    </xf>
    <xf numFmtId="44" fontId="0" fillId="0" borderId="0" xfId="1" applyFont="1"/>
    <xf numFmtId="179" fontId="0" fillId="0" borderId="0" xfId="0" applyNumberFormat="1" applyAlignment="1">
      <alignment horizontal="center" textRotation="90"/>
    </xf>
    <xf numFmtId="0" fontId="8" fillId="5" borderId="1" xfId="2" applyFont="1" applyFill="1" applyBorder="1" applyAlignment="1" applyProtection="1">
      <alignment horizontal="center" vertical="center"/>
      <protection hidden="1"/>
    </xf>
    <xf numFmtId="0" fontId="10" fillId="5" borderId="1" xfId="2" applyFont="1" applyFill="1" applyBorder="1" applyAlignment="1">
      <alignment vertical="center" wrapText="1"/>
    </xf>
    <xf numFmtId="0" fontId="0" fillId="5" borderId="0" xfId="0" applyFill="1" applyAlignment="1">
      <alignment horizontal="center" vertical="center"/>
    </xf>
    <xf numFmtId="181" fontId="58" fillId="0" borderId="0" xfId="1" applyNumberFormat="1" applyFont="1" applyBorder="1"/>
    <xf numFmtId="168" fontId="26" fillId="0" borderId="0" xfId="6" applyNumberFormat="1" applyFont="1"/>
    <xf numFmtId="168" fontId="58" fillId="0" borderId="0" xfId="6" applyNumberFormat="1" applyFont="1"/>
    <xf numFmtId="0" fontId="59" fillId="0" borderId="1" xfId="0" applyFont="1" applyBorder="1" applyAlignment="1">
      <alignment horizontal="left" vertical="center"/>
    </xf>
    <xf numFmtId="0" fontId="60" fillId="0" borderId="1" xfId="0" applyFont="1" applyBorder="1" applyAlignment="1">
      <alignment horizontal="left" vertical="center"/>
    </xf>
    <xf numFmtId="167" fontId="59" fillId="0" borderId="1" xfId="0" applyNumberFormat="1" applyFont="1" applyBorder="1" applyAlignment="1">
      <alignment horizontal="center" vertical="center"/>
    </xf>
    <xf numFmtId="168" fontId="61" fillId="0" borderId="1" xfId="6" applyNumberFormat="1" applyFont="1" applyBorder="1" applyAlignment="1">
      <alignment horizontal="center" vertical="center"/>
    </xf>
    <xf numFmtId="168" fontId="23" fillId="0" borderId="1" xfId="6" quotePrefix="1" applyNumberFormat="1" applyFont="1" applyBorder="1" applyAlignment="1">
      <alignment horizontal="center" vertical="center"/>
    </xf>
    <xf numFmtId="0" fontId="0" fillId="0" borderId="1" xfId="8" applyNumberFormat="1" applyFont="1" applyBorder="1"/>
    <xf numFmtId="16" fontId="0" fillId="0" borderId="0" xfId="8" applyNumberFormat="1" applyFont="1"/>
    <xf numFmtId="0" fontId="62" fillId="26" borderId="0" xfId="9" applyAlignment="1">
      <alignment horizontal="center" vertical="center"/>
    </xf>
    <xf numFmtId="0" fontId="62" fillId="26" borderId="1" xfId="9" applyBorder="1" applyAlignment="1">
      <alignment horizontal="left" vertical="center"/>
    </xf>
    <xf numFmtId="0" fontId="40" fillId="0" borderId="0" xfId="0" applyFont="1" applyAlignment="1">
      <alignment horizontal="center"/>
    </xf>
    <xf numFmtId="179" fontId="0" fillId="0" borderId="0" xfId="1" applyNumberFormat="1" applyFont="1" applyAlignment="1">
      <alignment horizontal="center" vertical="center" shrinkToFit="1"/>
    </xf>
    <xf numFmtId="179" fontId="22" fillId="0" borderId="1" xfId="0" applyNumberFormat="1" applyFont="1" applyBorder="1" applyAlignment="1">
      <alignment vertical="center"/>
    </xf>
    <xf numFmtId="179" fontId="63" fillId="0" borderId="0" xfId="1" applyNumberFormat="1" applyFont="1" applyAlignment="1">
      <alignment horizontal="center" vertical="center" shrinkToFit="1"/>
    </xf>
    <xf numFmtId="2" fontId="63" fillId="0" borderId="0" xfId="1" applyNumberFormat="1" applyFont="1" applyAlignment="1">
      <alignment horizontal="right" vertical="center" shrinkToFit="1"/>
    </xf>
    <xf numFmtId="179" fontId="0" fillId="0" borderId="0" xfId="1" applyNumberFormat="1" applyFont="1" applyBorder="1" applyAlignment="1">
      <alignment horizontal="center" vertical="center" shrinkToFit="1"/>
    </xf>
    <xf numFmtId="179" fontId="64" fillId="0" borderId="12" xfId="1" applyNumberFormat="1" applyFont="1" applyBorder="1" applyAlignment="1">
      <alignment horizontal="center" vertical="center" shrinkToFit="1"/>
    </xf>
    <xf numFmtId="2" fontId="3" fillId="2" borderId="1" xfId="2" quotePrefix="1" applyNumberFormat="1" applyFont="1" applyFill="1" applyBorder="1" applyAlignment="1" applyProtection="1">
      <alignment horizontal="center" vertical="center"/>
      <protection hidden="1"/>
    </xf>
    <xf numFmtId="188" fontId="0" fillId="0" borderId="0" xfId="0" applyNumberFormat="1"/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center"/>
    </xf>
    <xf numFmtId="179" fontId="0" fillId="18" borderId="0" xfId="0" applyNumberFormat="1" applyFill="1" applyAlignment="1">
      <alignment horizontal="center"/>
    </xf>
    <xf numFmtId="0" fontId="0" fillId="18" borderId="0" xfId="0" applyFill="1" applyAlignment="1">
      <alignment horizontal="center"/>
    </xf>
    <xf numFmtId="179" fontId="0" fillId="18" borderId="0" xfId="0" applyNumberFormat="1" applyFill="1" applyAlignment="1">
      <alignment horizontal="center" vertical="center"/>
    </xf>
    <xf numFmtId="181" fontId="22" fillId="18" borderId="1" xfId="0" applyNumberFormat="1" applyFont="1" applyFill="1" applyBorder="1" applyAlignment="1">
      <alignment horizontal="center" shrinkToFit="1"/>
    </xf>
    <xf numFmtId="8" fontId="0" fillId="0" borderId="1" xfId="1" quotePrefix="1" applyNumberFormat="1" applyFont="1" applyBorder="1"/>
    <xf numFmtId="0" fontId="14" fillId="7" borderId="0" xfId="0" applyFont="1" applyFill="1"/>
    <xf numFmtId="185" fontId="0" fillId="7" borderId="0" xfId="0" applyNumberFormat="1" applyFill="1" applyAlignment="1">
      <alignment horizontal="left" vertical="center"/>
    </xf>
    <xf numFmtId="0" fontId="14" fillId="7" borderId="0" xfId="0" applyFont="1" applyFill="1" applyAlignment="1">
      <alignment horizontal="center"/>
    </xf>
    <xf numFmtId="0" fontId="14" fillId="7" borderId="0" xfId="0" applyFont="1" applyFill="1" applyAlignment="1">
      <alignment horizontal="left" vertical="center"/>
    </xf>
    <xf numFmtId="167" fontId="0" fillId="7" borderId="0" xfId="0" applyNumberFormat="1" applyFill="1" applyAlignment="1">
      <alignment horizontal="center"/>
    </xf>
    <xf numFmtId="179" fontId="0" fillId="7" borderId="0" xfId="0" applyNumberFormat="1" applyFill="1" applyAlignment="1">
      <alignment horizontal="center" vertical="center"/>
    </xf>
    <xf numFmtId="4" fontId="0" fillId="0" borderId="1" xfId="1" quotePrefix="1" applyNumberFormat="1" applyFont="1" applyFill="1" applyBorder="1"/>
    <xf numFmtId="0" fontId="0" fillId="0" borderId="6" xfId="0" applyBorder="1" applyAlignment="1">
      <alignment horizontal="center" vertical="center"/>
    </xf>
    <xf numFmtId="14" fontId="0" fillId="0" borderId="0" xfId="0" applyNumberFormat="1"/>
    <xf numFmtId="168" fontId="16" fillId="0" borderId="0" xfId="6" applyNumberFormat="1" applyFont="1"/>
    <xf numFmtId="0" fontId="65" fillId="27" borderId="23" xfId="0" applyFont="1" applyFill="1" applyBorder="1" applyAlignment="1">
      <alignment horizontal="center" vertical="center"/>
    </xf>
    <xf numFmtId="0" fontId="66" fillId="0" borderId="25" xfId="0" applyFont="1" applyBorder="1" applyAlignment="1">
      <alignment vertical="center" wrapText="1"/>
    </xf>
    <xf numFmtId="0" fontId="65" fillId="27" borderId="24" xfId="0" applyFont="1" applyFill="1" applyBorder="1" applyAlignment="1">
      <alignment horizontal="center" vertical="center" shrinkToFit="1"/>
    </xf>
    <xf numFmtId="0" fontId="66" fillId="0" borderId="22" xfId="0" applyFont="1" applyBorder="1" applyAlignment="1">
      <alignment horizontal="center" vertical="center" shrinkToFit="1"/>
    </xf>
    <xf numFmtId="0" fontId="65" fillId="0" borderId="22" xfId="0" applyFont="1" applyBorder="1" applyAlignment="1">
      <alignment horizontal="center" vertical="center" shrinkToFit="1"/>
    </xf>
    <xf numFmtId="0" fontId="66" fillId="0" borderId="22" xfId="0" applyFont="1" applyBorder="1" applyAlignment="1">
      <alignment vertical="center" shrinkToFit="1"/>
    </xf>
    <xf numFmtId="188" fontId="66" fillId="0" borderId="22" xfId="0" applyNumberFormat="1" applyFont="1" applyBorder="1" applyAlignment="1">
      <alignment vertical="center" shrinkToFit="1"/>
    </xf>
    <xf numFmtId="0" fontId="66" fillId="15" borderId="22" xfId="0" applyFont="1" applyFill="1" applyBorder="1" applyAlignment="1">
      <alignment horizontal="center" vertical="center" shrinkToFit="1"/>
    </xf>
    <xf numFmtId="0" fontId="0" fillId="17" borderId="1" xfId="0" applyFill="1" applyBorder="1" applyAlignment="1">
      <alignment horizontal="center" textRotation="90" wrapText="1"/>
    </xf>
    <xf numFmtId="189" fontId="42" fillId="0" borderId="1" xfId="0" applyNumberFormat="1" applyFont="1" applyBorder="1" applyAlignment="1">
      <alignment horizontal="center" vertical="center"/>
    </xf>
    <xf numFmtId="190" fontId="0" fillId="0" borderId="0" xfId="1" applyNumberFormat="1" applyFont="1" applyBorder="1" applyAlignment="1">
      <alignment horizontal="left"/>
    </xf>
    <xf numFmtId="190" fontId="0" fillId="0" borderId="0" xfId="0" applyNumberFormat="1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0" fontId="0" fillId="14" borderId="1" xfId="8" applyNumberFormat="1" applyFont="1" applyFill="1" applyBorder="1" applyAlignment="1">
      <alignment horizontal="center"/>
    </xf>
    <xf numFmtId="0" fontId="0" fillId="14" borderId="1" xfId="0" applyFill="1" applyBorder="1"/>
    <xf numFmtId="0" fontId="0" fillId="14" borderId="6" xfId="0" applyFill="1" applyBorder="1" applyAlignment="1">
      <alignment horizontal="center"/>
    </xf>
    <xf numFmtId="0" fontId="0" fillId="14" borderId="18" xfId="0" applyFill="1" applyBorder="1"/>
    <xf numFmtId="0" fontId="0" fillId="14" borderId="19" xfId="0" applyFill="1" applyBorder="1"/>
    <xf numFmtId="0" fontId="0" fillId="14" borderId="0" xfId="0" applyFill="1"/>
    <xf numFmtId="0" fontId="0" fillId="14" borderId="17" xfId="0" applyFill="1" applyBorder="1"/>
    <xf numFmtId="191" fontId="0" fillId="0" borderId="0" xfId="0" applyNumberFormat="1"/>
    <xf numFmtId="192" fontId="42" fillId="0" borderId="1" xfId="0" applyNumberFormat="1" applyFont="1" applyBorder="1" applyAlignment="1">
      <alignment horizontal="center" vertical="center"/>
    </xf>
    <xf numFmtId="167" fontId="22" fillId="5" borderId="1" xfId="0" applyNumberFormat="1" applyFont="1" applyFill="1" applyBorder="1" applyAlignment="1">
      <alignment horizontal="center" shrinkToFit="1"/>
    </xf>
    <xf numFmtId="10" fontId="0" fillId="0" borderId="0" xfId="0" applyNumberFormat="1" applyAlignment="1">
      <alignment vertical="center"/>
    </xf>
    <xf numFmtId="0" fontId="0" fillId="20" borderId="0" xfId="0" applyFill="1"/>
    <xf numFmtId="0" fontId="0" fillId="17" borderId="0" xfId="0" applyFill="1"/>
    <xf numFmtId="0" fontId="0" fillId="0" borderId="0" xfId="0" pivotButton="1"/>
    <xf numFmtId="0" fontId="0" fillId="0" borderId="0" xfId="0" applyAlignment="1">
      <alignment horizontal="left" indent="1"/>
    </xf>
    <xf numFmtId="193" fontId="0" fillId="0" borderId="1" xfId="0" applyNumberFormat="1" applyBorder="1" applyAlignment="1">
      <alignment horizontal="center" shrinkToFit="1"/>
    </xf>
    <xf numFmtId="193" fontId="22" fillId="5" borderId="1" xfId="0" applyNumberFormat="1" applyFont="1" applyFill="1" applyBorder="1" applyAlignment="1">
      <alignment horizontal="center" shrinkToFit="1"/>
    </xf>
    <xf numFmtId="181" fontId="7" fillId="0" borderId="0" xfId="1" applyNumberFormat="1" applyFont="1" applyBorder="1"/>
    <xf numFmtId="194" fontId="0" fillId="0" borderId="0" xfId="0" applyNumberFormat="1"/>
    <xf numFmtId="195" fontId="0" fillId="0" borderId="0" xfId="0" applyNumberFormat="1" applyAlignment="1">
      <alignment horizontal="center" vertical="center"/>
    </xf>
    <xf numFmtId="195" fontId="0" fillId="0" borderId="0" xfId="0" applyNumberFormat="1"/>
    <xf numFmtId="196" fontId="0" fillId="0" borderId="0" xfId="0" applyNumberFormat="1"/>
    <xf numFmtId="197" fontId="0" fillId="0" borderId="0" xfId="0" applyNumberFormat="1" applyAlignment="1">
      <alignment horizontal="center"/>
    </xf>
    <xf numFmtId="198" fontId="0" fillId="0" borderId="1" xfId="0" applyNumberFormat="1" applyBorder="1" applyAlignment="1">
      <alignment horizontal="center" shrinkToFit="1"/>
    </xf>
    <xf numFmtId="0" fontId="0" fillId="14" borderId="20" xfId="0" applyFill="1" applyBorder="1"/>
    <xf numFmtId="0" fontId="0" fillId="14" borderId="21" xfId="0" applyFill="1" applyBorder="1"/>
    <xf numFmtId="0" fontId="0" fillId="14" borderId="22" xfId="0" applyFill="1" applyBorder="1"/>
    <xf numFmtId="169" fontId="0" fillId="12" borderId="0" xfId="0" applyNumberFormat="1" applyFill="1" applyAlignment="1">
      <alignment horizontal="center" vertical="center" wrapText="1"/>
    </xf>
    <xf numFmtId="0" fontId="0" fillId="14" borderId="16" xfId="0" applyFill="1" applyBorder="1"/>
    <xf numFmtId="0" fontId="0" fillId="15" borderId="1" xfId="8" applyNumberFormat="1" applyFont="1" applyFill="1" applyBorder="1" applyAlignment="1">
      <alignment horizontal="center"/>
    </xf>
    <xf numFmtId="0" fontId="67" fillId="3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vertical="center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12" borderId="0" xfId="0" applyFill="1" applyAlignment="1">
      <alignment horizontal="center"/>
    </xf>
    <xf numFmtId="167" fontId="0" fillId="12" borderId="0" xfId="0" applyNumberFormat="1" applyFill="1" applyAlignment="1">
      <alignment horizontal="center"/>
    </xf>
    <xf numFmtId="0" fontId="16" fillId="16" borderId="1" xfId="0" applyFont="1" applyFill="1" applyBorder="1" applyAlignment="1">
      <alignment horizontal="left" indent="9"/>
    </xf>
    <xf numFmtId="9" fontId="0" fillId="20" borderId="1" xfId="0" applyNumberFormat="1" applyFill="1" applyBorder="1" applyAlignment="1">
      <alignment horizontal="center"/>
    </xf>
    <xf numFmtId="0" fontId="0" fillId="12" borderId="0" xfId="0" applyFill="1"/>
    <xf numFmtId="0" fontId="14" fillId="12" borderId="0" xfId="0" applyFont="1" applyFill="1"/>
    <xf numFmtId="0" fontId="14" fillId="12" borderId="0" xfId="0" applyFont="1" applyFill="1" applyAlignment="1">
      <alignment horizontal="left" vertical="center"/>
    </xf>
    <xf numFmtId="9" fontId="0" fillId="0" borderId="0" xfId="6" applyFont="1" applyAlignment="1">
      <alignment horizontal="center" vertical="center"/>
    </xf>
    <xf numFmtId="199" fontId="0" fillId="0" borderId="1" xfId="0" applyNumberFormat="1" applyBorder="1" applyAlignment="1">
      <alignment horizontal="center" vertical="center"/>
    </xf>
    <xf numFmtId="199" fontId="0" fillId="0" borderId="0" xfId="0" applyNumberFormat="1" applyAlignment="1">
      <alignment horizontal="center"/>
    </xf>
    <xf numFmtId="199" fontId="14" fillId="0" borderId="1" xfId="0" applyNumberFormat="1" applyFont="1" applyBorder="1" applyAlignment="1">
      <alignment horizontal="center" vertical="center"/>
    </xf>
    <xf numFmtId="0" fontId="14" fillId="28" borderId="0" xfId="0" applyFont="1" applyFill="1" applyAlignment="1">
      <alignment horizontal="center" vertical="center" shrinkToFit="1"/>
    </xf>
    <xf numFmtId="0" fontId="14" fillId="29" borderId="0" xfId="0" applyFont="1" applyFill="1" applyAlignment="1">
      <alignment horizontal="center" vertical="center" shrinkToFit="1"/>
    </xf>
    <xf numFmtId="0" fontId="14" fillId="3" borderId="0" xfId="0" applyFont="1" applyFill="1" applyAlignment="1">
      <alignment horizontal="center" vertical="center" shrinkToFit="1"/>
    </xf>
    <xf numFmtId="167" fontId="0" fillId="23" borderId="0" xfId="0" applyNumberFormat="1" applyFill="1" applyAlignment="1">
      <alignment horizontal="center"/>
    </xf>
    <xf numFmtId="0" fontId="0" fillId="23" borderId="0" xfId="0" applyFill="1" applyAlignment="1">
      <alignment horizontal="center"/>
    </xf>
    <xf numFmtId="167" fontId="0" fillId="23" borderId="0" xfId="0" applyNumberFormat="1" applyFill="1" applyAlignment="1">
      <alignment horizontal="center" vertical="center" wrapText="1"/>
    </xf>
    <xf numFmtId="179" fontId="0" fillId="23" borderId="0" xfId="0" applyNumberFormat="1" applyFill="1" applyAlignment="1">
      <alignment horizontal="center" vertical="center"/>
    </xf>
    <xf numFmtId="0" fontId="0" fillId="23" borderId="0" xfId="0" applyFill="1"/>
    <xf numFmtId="0" fontId="68" fillId="0" borderId="0" xfId="0" applyFont="1" applyAlignment="1">
      <alignment vertical="center" textRotation="90" wrapText="1"/>
    </xf>
    <xf numFmtId="0" fontId="0" fillId="0" borderId="1" xfId="0" applyBorder="1" applyAlignment="1">
      <alignment horizontal="center" textRotation="90" wrapText="1"/>
    </xf>
    <xf numFmtId="0" fontId="14" fillId="7" borderId="0" xfId="0" applyFont="1" applyFill="1" applyAlignment="1">
      <alignment horizontal="center" vertical="center" shrinkToFit="1"/>
    </xf>
    <xf numFmtId="169" fontId="0" fillId="7" borderId="0" xfId="0" applyNumberFormat="1" applyFill="1" applyAlignment="1">
      <alignment horizontal="center" vertical="center" shrinkToFit="1"/>
    </xf>
    <xf numFmtId="169" fontId="0" fillId="20" borderId="0" xfId="0" applyNumberFormat="1" applyFill="1" applyAlignment="1">
      <alignment horizontal="center" vertical="center" shrinkToFit="1"/>
    </xf>
    <xf numFmtId="4" fontId="0" fillId="0" borderId="1" xfId="1" applyNumberFormat="1" applyFont="1" applyFill="1" applyBorder="1" applyAlignment="1">
      <alignment horizontal="center" vertical="center"/>
    </xf>
    <xf numFmtId="0" fontId="51" fillId="0" borderId="0" xfId="0" applyFont="1" applyAlignment="1">
      <alignment textRotation="90"/>
    </xf>
    <xf numFmtId="0" fontId="51" fillId="0" borderId="0" xfId="0" applyFont="1" applyAlignment="1">
      <alignment vertical="center" textRotation="90"/>
    </xf>
    <xf numFmtId="0" fontId="0" fillId="7" borderId="1" xfId="0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/>
    </xf>
    <xf numFmtId="167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7" borderId="1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0" fillId="18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179" fontId="69" fillId="0" borderId="0" xfId="0" applyNumberFormat="1" applyFont="1" applyAlignment="1">
      <alignment vertical="center"/>
    </xf>
    <xf numFmtId="0" fontId="69" fillId="0" borderId="0" xfId="0" applyFont="1" applyAlignment="1">
      <alignment vertical="center"/>
    </xf>
    <xf numFmtId="1" fontId="19" fillId="0" borderId="0" xfId="0" applyNumberFormat="1" applyFont="1" applyAlignment="1">
      <alignment vertical="center"/>
    </xf>
    <xf numFmtId="167" fontId="19" fillId="0" borderId="0" xfId="0" applyNumberFormat="1" applyFont="1" applyAlignment="1">
      <alignment vertical="center"/>
    </xf>
    <xf numFmtId="179" fontId="70" fillId="0" borderId="0" xfId="0" applyNumberFormat="1" applyFont="1" applyAlignment="1">
      <alignment vertical="center"/>
    </xf>
    <xf numFmtId="168" fontId="58" fillId="0" borderId="0" xfId="6" applyNumberFormat="1" applyFont="1" applyAlignment="1">
      <alignment vertical="center"/>
    </xf>
    <xf numFmtId="0" fontId="71" fillId="0" borderId="1" xfId="2" applyFont="1" applyBorder="1" applyAlignment="1">
      <alignment horizontal="center" vertical="center" shrinkToFit="1"/>
    </xf>
    <xf numFmtId="0" fontId="71" fillId="0" borderId="1" xfId="2" applyFont="1" applyBorder="1" applyAlignment="1" applyProtection="1">
      <alignment horizontal="center" vertical="center" shrinkToFit="1"/>
      <protection hidden="1"/>
    </xf>
    <xf numFmtId="0" fontId="3" fillId="17" borderId="1" xfId="2" applyFont="1" applyFill="1" applyBorder="1" applyAlignment="1" applyProtection="1">
      <alignment horizontal="center" vertical="center"/>
      <protection hidden="1"/>
    </xf>
    <xf numFmtId="0" fontId="3" fillId="12" borderId="1" xfId="2" applyFont="1" applyFill="1" applyBorder="1" applyAlignment="1" applyProtection="1">
      <alignment horizontal="center" vertical="center"/>
      <protection hidden="1"/>
    </xf>
    <xf numFmtId="166" fontId="3" fillId="12" borderId="1" xfId="2" applyNumberFormat="1" applyFont="1" applyFill="1" applyBorder="1" applyAlignment="1" applyProtection="1">
      <alignment horizontal="center" vertical="center"/>
      <protection hidden="1"/>
    </xf>
    <xf numFmtId="0" fontId="3" fillId="18" borderId="1" xfId="2" applyFont="1" applyFill="1" applyBorder="1" applyAlignment="1" applyProtection="1">
      <alignment horizontal="center" vertical="center"/>
      <protection hidden="1"/>
    </xf>
    <xf numFmtId="0" fontId="3" fillId="8" borderId="1" xfId="2" applyFont="1" applyFill="1" applyBorder="1" applyAlignment="1" applyProtection="1">
      <alignment horizontal="center" vertical="center"/>
      <protection hidden="1"/>
    </xf>
    <xf numFmtId="2" fontId="3" fillId="8" borderId="1" xfId="2" quotePrefix="1" applyNumberFormat="1" applyFont="1" applyFill="1" applyBorder="1" applyAlignment="1" applyProtection="1">
      <alignment horizontal="center" vertical="center"/>
      <protection hidden="1"/>
    </xf>
    <xf numFmtId="2" fontId="3" fillId="8" borderId="1" xfId="2" applyNumberFormat="1" applyFont="1" applyFill="1" applyBorder="1" applyAlignment="1" applyProtection="1">
      <alignment horizontal="center" vertical="center"/>
      <protection hidden="1"/>
    </xf>
    <xf numFmtId="0" fontId="72" fillId="0" borderId="0" xfId="0" applyFont="1" applyAlignment="1">
      <alignment horizontal="right" vertical="center"/>
    </xf>
    <xf numFmtId="168" fontId="26" fillId="0" borderId="0" xfId="0" applyNumberFormat="1" applyFont="1" applyAlignment="1">
      <alignment vertical="center"/>
    </xf>
    <xf numFmtId="9" fontId="0" fillId="0" borderId="0" xfId="6" applyFont="1" applyAlignment="1">
      <alignment vertical="center"/>
    </xf>
    <xf numFmtId="9" fontId="26" fillId="0" borderId="0" xfId="6" applyFont="1" applyAlignment="1">
      <alignment vertical="center"/>
    </xf>
    <xf numFmtId="0" fontId="26" fillId="0" borderId="0" xfId="0" applyFont="1" applyAlignment="1">
      <alignment vertical="center"/>
    </xf>
    <xf numFmtId="201" fontId="0" fillId="0" borderId="0" xfId="0" applyNumberFormat="1" applyAlignment="1">
      <alignment horizontal="center"/>
    </xf>
    <xf numFmtId="200" fontId="0" fillId="0" borderId="1" xfId="0" applyNumberFormat="1" applyBorder="1" applyAlignment="1">
      <alignment horizontal="center" vertical="center" shrinkToFit="1"/>
    </xf>
    <xf numFmtId="9" fontId="0" fillId="0" borderId="1" xfId="6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 wrapText="1"/>
    </xf>
    <xf numFmtId="179" fontId="71" fillId="0" borderId="1" xfId="2" applyNumberFormat="1" applyFont="1" applyBorder="1" applyAlignment="1">
      <alignment horizontal="center" vertical="center" shrinkToFit="1"/>
    </xf>
    <xf numFmtId="179" fontId="71" fillId="0" borderId="1" xfId="2" applyNumberFormat="1" applyFont="1" applyBorder="1" applyAlignment="1" applyProtection="1">
      <alignment horizontal="center" vertical="center" shrinkToFit="1"/>
      <protection hidden="1"/>
    </xf>
    <xf numFmtId="167" fontId="0" fillId="0" borderId="0" xfId="0" applyNumberFormat="1" applyAlignment="1">
      <alignment horizontal="left" vertical="center" shrinkToFit="1"/>
    </xf>
    <xf numFmtId="200" fontId="26" fillId="0" borderId="0" xfId="0" applyNumberFormat="1" applyFont="1" applyAlignment="1">
      <alignment vertical="center"/>
    </xf>
    <xf numFmtId="200" fontId="26" fillId="0" borderId="0" xfId="0" applyNumberFormat="1" applyFont="1" applyAlignment="1">
      <alignment horizontal="center" vertical="center"/>
    </xf>
    <xf numFmtId="0" fontId="73" fillId="0" borderId="1" xfId="0" applyFont="1" applyBorder="1" applyAlignment="1">
      <alignment vertical="center" wrapText="1"/>
    </xf>
    <xf numFmtId="0" fontId="24" fillId="9" borderId="26" xfId="0" applyFont="1" applyFill="1" applyBorder="1"/>
    <xf numFmtId="0" fontId="24" fillId="0" borderId="1" xfId="0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3" fillId="2" borderId="1" xfId="2" applyFont="1" applyFill="1" applyBorder="1" applyAlignment="1">
      <alignment horizontal="center" vertical="center" shrinkToFit="1"/>
    </xf>
    <xf numFmtId="0" fontId="3" fillId="2" borderId="1" xfId="2" applyFont="1" applyFill="1" applyBorder="1" applyAlignment="1">
      <alignment vertical="center"/>
    </xf>
    <xf numFmtId="0" fontId="3" fillId="2" borderId="1" xfId="2" applyFont="1" applyFill="1" applyBorder="1"/>
    <xf numFmtId="0" fontId="3" fillId="5" borderId="1" xfId="2" applyFont="1" applyFill="1" applyBorder="1" applyAlignment="1">
      <alignment vertical="center"/>
    </xf>
    <xf numFmtId="165" fontId="3" fillId="2" borderId="1" xfId="5" applyNumberFormat="1" applyFont="1" applyFill="1" applyBorder="1" applyAlignment="1" applyProtection="1">
      <alignment horizontal="left" vertical="center"/>
    </xf>
    <xf numFmtId="165" fontId="3" fillId="5" borderId="1" xfId="5" applyNumberFormat="1" applyFont="1" applyFill="1" applyBorder="1" applyAlignment="1" applyProtection="1">
      <alignment horizontal="left" vertical="center"/>
    </xf>
    <xf numFmtId="0" fontId="14" fillId="19" borderId="0" xfId="0" applyFont="1" applyFill="1" applyAlignment="1">
      <alignment horizontal="center" vertical="center" shrinkToFit="1"/>
    </xf>
    <xf numFmtId="14" fontId="0" fillId="0" borderId="1" xfId="0" applyNumberFormat="1" applyBorder="1"/>
    <xf numFmtId="17" fontId="0" fillId="0" borderId="1" xfId="0" quotePrefix="1" applyNumberFormat="1" applyBorder="1"/>
    <xf numFmtId="181" fontId="22" fillId="0" borderId="1" xfId="0" applyNumberFormat="1" applyFont="1" applyBorder="1" applyAlignment="1">
      <alignment horizontal="center"/>
    </xf>
    <xf numFmtId="0" fontId="3" fillId="2" borderId="1" xfId="2" applyFont="1" applyFill="1" applyBorder="1" applyAlignment="1">
      <alignment horizontal="left" vertical="center" wrapText="1" shrinkToFit="1"/>
    </xf>
    <xf numFmtId="0" fontId="6" fillId="3" borderId="1" xfId="2" applyFont="1" applyFill="1" applyBorder="1" applyAlignment="1" applyProtection="1">
      <alignment horizontal="center" vertical="center" wrapText="1"/>
      <protection hidden="1"/>
    </xf>
    <xf numFmtId="0" fontId="6" fillId="3" borderId="1" xfId="2" quotePrefix="1" applyFont="1" applyFill="1" applyBorder="1" applyAlignment="1" applyProtection="1">
      <alignment horizontal="center" vertical="center" wrapText="1"/>
      <protection hidden="1"/>
    </xf>
    <xf numFmtId="0" fontId="0" fillId="4" borderId="1" xfId="0" applyFill="1" applyBorder="1" applyAlignment="1" applyProtection="1">
      <alignment horizontal="left" vertical="center" wrapText="1"/>
      <protection locked="0"/>
    </xf>
    <xf numFmtId="0" fontId="6" fillId="3" borderId="1" xfId="2" applyFont="1" applyFill="1" applyBorder="1" applyAlignment="1" applyProtection="1">
      <alignment horizontal="left" vertical="center" wrapText="1"/>
      <protection hidden="1"/>
    </xf>
    <xf numFmtId="0" fontId="10" fillId="2" borderId="1" xfId="2" applyFont="1" applyFill="1" applyBorder="1" applyAlignment="1">
      <alignment horizontal="left" vertical="center" wrapText="1" shrinkToFit="1"/>
    </xf>
    <xf numFmtId="0" fontId="3" fillId="2" borderId="1" xfId="2" applyFont="1" applyFill="1" applyBorder="1" applyAlignment="1">
      <alignment horizontal="left" vertical="center" shrinkToFit="1"/>
    </xf>
    <xf numFmtId="0" fontId="3" fillId="2" borderId="1" xfId="2" applyFont="1" applyFill="1" applyBorder="1" applyAlignment="1">
      <alignment horizontal="left" wrapText="1" shrinkToFit="1"/>
    </xf>
    <xf numFmtId="0" fontId="4" fillId="0" borderId="0" xfId="3" applyFont="1" applyAlignment="1" applyProtection="1">
      <alignment horizontal="center" vertical="center" wrapText="1"/>
    </xf>
    <xf numFmtId="0" fontId="5" fillId="0" borderId="0" xfId="3" applyFont="1" applyAlignment="1" applyProtection="1">
      <alignment horizontal="center" vertical="center" wrapText="1"/>
    </xf>
    <xf numFmtId="0" fontId="8" fillId="4" borderId="1" xfId="2" applyFont="1" applyFill="1" applyBorder="1" applyAlignment="1" applyProtection="1">
      <alignment horizontal="center" vertical="center" wrapText="1"/>
      <protection locked="0"/>
    </xf>
    <xf numFmtId="0" fontId="8" fillId="2" borderId="1" xfId="2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1" fillId="0" borderId="0" xfId="3" applyFont="1" applyAlignment="1" applyProtection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45" fillId="0" borderId="0" xfId="0" applyFont="1" applyAlignment="1">
      <alignment horizontal="center"/>
    </xf>
    <xf numFmtId="179" fontId="0" fillId="0" borderId="0" xfId="0" applyNumberFormat="1" applyAlignment="1">
      <alignment horizontal="center" vertical="center"/>
    </xf>
  </cellXfs>
  <cellStyles count="10">
    <cellStyle name="Incorrecto" xfId="9" builtinId="27"/>
    <cellStyle name="Millares" xfId="8" builtinId="3"/>
    <cellStyle name="Millares 2" xfId="5" xr:uid="{D1FD2654-6D35-452C-9C61-A19C247DDB10}"/>
    <cellStyle name="Moneda" xfId="1" builtinId="4"/>
    <cellStyle name="Moneda 2" xfId="4" xr:uid="{726AAC63-F60D-4F0A-9324-1180FD52CC77}"/>
    <cellStyle name="Normal" xfId="0" builtinId="0"/>
    <cellStyle name="Normal 2" xfId="3" xr:uid="{D75D5335-2574-4E11-8FC9-7B50FA2E47D0}"/>
    <cellStyle name="Normal 2 2" xfId="7" xr:uid="{CBBED00B-4859-4070-9306-FC16960BD768}"/>
    <cellStyle name="Normal 3" xfId="2" xr:uid="{A798753E-3B87-4BAF-BE7A-97F8E312FE20}"/>
    <cellStyle name="Porcentaje" xfId="6" builtinId="5"/>
  </cellStyles>
  <dxfs count="67">
    <dxf>
      <font>
        <color auto="1"/>
      </font>
      <fill>
        <patternFill>
          <bgColor theme="7" tint="0.59996337778862885"/>
        </patternFill>
      </fill>
    </dxf>
    <dxf>
      <font>
        <color theme="7" tint="0.59996337778862885"/>
      </font>
      <fill>
        <patternFill>
          <bgColor theme="7" tint="0.59996337778862885"/>
        </patternFill>
      </fill>
    </dxf>
    <dxf>
      <font>
        <color theme="0"/>
      </font>
    </dxf>
    <dxf>
      <font>
        <color auto="1"/>
      </font>
      <fill>
        <patternFill>
          <bgColor theme="7" tint="0.59996337778862885"/>
        </patternFill>
      </fill>
    </dxf>
    <dxf>
      <font>
        <color theme="7" tint="0.59996337778862885"/>
      </font>
      <fill>
        <patternFill>
          <bgColor theme="7" tint="0.59996337778862885"/>
        </patternFill>
      </fill>
    </dxf>
    <dxf>
      <font>
        <color theme="0"/>
      </font>
    </dxf>
    <dxf>
      <font>
        <color theme="0"/>
      </font>
    </dxf>
    <dxf>
      <font>
        <color theme="7" tint="0.59996337778862885"/>
      </font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0"/>
      </font>
    </dxf>
    <dxf>
      <font>
        <color auto="1"/>
      </font>
      <fill>
        <patternFill>
          <bgColor theme="7" tint="0.59996337778862885"/>
        </patternFill>
      </fill>
    </dxf>
    <dxf>
      <font>
        <color theme="0"/>
      </font>
    </dxf>
    <dxf>
      <font>
        <color auto="1"/>
      </font>
      <fill>
        <patternFill>
          <bgColor theme="7" tint="0.59996337778862885"/>
        </patternFill>
      </fill>
    </dxf>
    <dxf>
      <font>
        <color theme="0"/>
      </font>
    </dxf>
    <dxf>
      <font>
        <color rgb="FFFF000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7" tint="0.59996337778862885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0"/>
      </font>
    </dxf>
    <dxf>
      <font>
        <color auto="1"/>
      </font>
      <fill>
        <patternFill>
          <bgColor theme="7" tint="0.5999633777886288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numFmt numFmtId="179" formatCode="&quot;$&quot;#,##0.00"/>
    </dxf>
    <dxf>
      <numFmt numFmtId="0" formatCode="General"/>
    </dxf>
    <dxf>
      <numFmt numFmtId="179" formatCode="&quot;$&quot;#,##0.00"/>
      <alignment horizontal="center" vertical="bottom" textRotation="0" wrapText="0" indent="0" justifyLastLine="0" shrinkToFit="0" readingOrder="0"/>
    </dxf>
    <dxf>
      <numFmt numFmtId="179" formatCode="&quot;$&quot;#,##0.00"/>
      <alignment horizontal="center" textRotation="0" wrapText="0" indent="0" justifyLastLine="0" shrinkToFit="0" readingOrder="0"/>
    </dxf>
    <dxf>
      <numFmt numFmtId="167" formatCode="0.000"/>
      <alignment horizontal="center" vertical="center" textRotation="0" wrapText="1" indent="0" justifyLastLine="0" shrinkToFit="0" readingOrder="0"/>
    </dxf>
    <dxf>
      <numFmt numFmtId="167" formatCode="0.00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167" formatCode="0.0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167" formatCode="0.0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numFmt numFmtId="167" formatCode="0.000"/>
      <fill>
        <patternFill patternType="solid">
          <fgColor indexed="64"/>
          <bgColor theme="0" tint="-0.14999847407452621"/>
        </patternFill>
      </fill>
    </dxf>
    <dxf>
      <numFmt numFmtId="169" formatCode="0\+000"/>
      <alignment horizontal="center" vertical="center" textRotation="0" wrapText="1" indent="0" justifyLastLine="0" shrinkToFit="0" readingOrder="0"/>
    </dxf>
    <dxf>
      <numFmt numFmtId="169" formatCode="0\+000"/>
      <alignment horizontal="center" vertical="center" textRotation="0" wrapText="1" indent="0" justifyLastLine="0" shrinkToFit="0" readingOrder="0"/>
    </dxf>
    <dxf>
      <numFmt numFmtId="169" formatCode="0\+000"/>
      <alignment horizontal="center" vertical="center" textRotation="0" wrapText="1" indent="0" justifyLastLine="0" shrinkToFit="0" readingOrder="0"/>
    </dxf>
    <dxf>
      <numFmt numFmtId="169" formatCode="0\+0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numFmt numFmtId="185" formatCode="dddd\,\ dd\ mmmm"/>
      <alignment horizontal="left" vertical="center" textRotation="0" wrapText="0" indent="0" justifyLastLine="0" shrinkToFit="0" readingOrder="0"/>
    </dxf>
    <dxf>
      <numFmt numFmtId="185" formatCode="dddd\,\ dd\ mmmm"/>
      <alignment horizontal="left" vertical="center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F87A1D96-4B5D-4DDD-B198-75BEE731F861}"/>
  </tableStyles>
  <colors>
    <mruColors>
      <color rgb="FFFF00FF"/>
      <color rgb="FF996633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07/relationships/slicerCache" Target="slicerCaches/slicerCach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theme" Target="theme/theme1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1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Avance por Actividad  - Etapa</a:t>
            </a:r>
            <a:r>
              <a:rPr lang="en-US" baseline="0"/>
              <a:t> 2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1698319623280461E-2"/>
          <c:y val="7.7570272910454208E-2"/>
          <c:w val="0.88777195105921747"/>
          <c:h val="0.79460657511904553"/>
        </c:manualLayout>
      </c:layout>
      <c:barChart>
        <c:barDir val="col"/>
        <c:grouping val="clustered"/>
        <c:varyColors val="0"/>
        <c:ser>
          <c:idx val="0"/>
          <c:order val="5"/>
          <c:tx>
            <c:v>Fecha Actual</c:v>
          </c:tx>
          <c:spPr>
            <a:solidFill>
              <a:srgbClr val="00B050"/>
            </a:solidFill>
            <a:ln>
              <a:noFill/>
              <a:prstDash val="sysDash"/>
            </a:ln>
          </c:spPr>
          <c:invertIfNegative val="0"/>
          <c:dPt>
            <c:idx val="17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37B-43AD-AE0D-4B4323FDEFB6}"/>
              </c:ext>
            </c:extLst>
          </c:dPt>
          <c:cat>
            <c:numRef>
              <c:f>Grafico!$A$2:$A$426</c:f>
              <c:numCache>
                <c:formatCode>d\-mmm</c:formatCode>
                <c:ptCount val="425"/>
                <c:pt idx="0">
                  <c:v>45963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45969</c:v>
                </c:pt>
                <c:pt idx="7">
                  <c:v>45970</c:v>
                </c:pt>
                <c:pt idx="8">
                  <c:v>45971</c:v>
                </c:pt>
                <c:pt idx="9">
                  <c:v>45972</c:v>
                </c:pt>
                <c:pt idx="10">
                  <c:v>45973</c:v>
                </c:pt>
                <c:pt idx="11">
                  <c:v>45974</c:v>
                </c:pt>
                <c:pt idx="12">
                  <c:v>45975</c:v>
                </c:pt>
                <c:pt idx="13">
                  <c:v>45976</c:v>
                </c:pt>
                <c:pt idx="14">
                  <c:v>45977</c:v>
                </c:pt>
                <c:pt idx="15">
                  <c:v>45978</c:v>
                </c:pt>
                <c:pt idx="16">
                  <c:v>45979</c:v>
                </c:pt>
                <c:pt idx="17">
                  <c:v>45980</c:v>
                </c:pt>
                <c:pt idx="18">
                  <c:v>45981</c:v>
                </c:pt>
                <c:pt idx="19">
                  <c:v>45982</c:v>
                </c:pt>
                <c:pt idx="20">
                  <c:v>45983</c:v>
                </c:pt>
                <c:pt idx="21">
                  <c:v>45984</c:v>
                </c:pt>
                <c:pt idx="22">
                  <c:v>45985</c:v>
                </c:pt>
                <c:pt idx="23">
                  <c:v>45986</c:v>
                </c:pt>
                <c:pt idx="24">
                  <c:v>45987</c:v>
                </c:pt>
                <c:pt idx="25">
                  <c:v>45988</c:v>
                </c:pt>
                <c:pt idx="26">
                  <c:v>45989</c:v>
                </c:pt>
                <c:pt idx="27">
                  <c:v>45990</c:v>
                </c:pt>
                <c:pt idx="28">
                  <c:v>45991</c:v>
                </c:pt>
                <c:pt idx="29">
                  <c:v>45992</c:v>
                </c:pt>
                <c:pt idx="30">
                  <c:v>45993</c:v>
                </c:pt>
                <c:pt idx="31">
                  <c:v>45994</c:v>
                </c:pt>
                <c:pt idx="32">
                  <c:v>45995</c:v>
                </c:pt>
                <c:pt idx="33">
                  <c:v>45996</c:v>
                </c:pt>
                <c:pt idx="34">
                  <c:v>45997</c:v>
                </c:pt>
                <c:pt idx="35">
                  <c:v>45998</c:v>
                </c:pt>
                <c:pt idx="36">
                  <c:v>45999</c:v>
                </c:pt>
                <c:pt idx="37">
                  <c:v>46000</c:v>
                </c:pt>
                <c:pt idx="38">
                  <c:v>46001</c:v>
                </c:pt>
                <c:pt idx="39">
                  <c:v>46002</c:v>
                </c:pt>
                <c:pt idx="40">
                  <c:v>46003</c:v>
                </c:pt>
                <c:pt idx="41">
                  <c:v>46004</c:v>
                </c:pt>
                <c:pt idx="42">
                  <c:v>46005</c:v>
                </c:pt>
                <c:pt idx="43">
                  <c:v>46006</c:v>
                </c:pt>
                <c:pt idx="44">
                  <c:v>46007</c:v>
                </c:pt>
                <c:pt idx="45">
                  <c:v>46008</c:v>
                </c:pt>
                <c:pt idx="46">
                  <c:v>46009</c:v>
                </c:pt>
                <c:pt idx="47">
                  <c:v>46010</c:v>
                </c:pt>
                <c:pt idx="48">
                  <c:v>46011</c:v>
                </c:pt>
                <c:pt idx="49">
                  <c:v>46012</c:v>
                </c:pt>
                <c:pt idx="50">
                  <c:v>46013</c:v>
                </c:pt>
                <c:pt idx="51">
                  <c:v>46014</c:v>
                </c:pt>
                <c:pt idx="52">
                  <c:v>46015</c:v>
                </c:pt>
                <c:pt idx="53">
                  <c:v>46016</c:v>
                </c:pt>
                <c:pt idx="54">
                  <c:v>46017</c:v>
                </c:pt>
                <c:pt idx="55">
                  <c:v>46018</c:v>
                </c:pt>
                <c:pt idx="56">
                  <c:v>46019</c:v>
                </c:pt>
                <c:pt idx="57">
                  <c:v>46020</c:v>
                </c:pt>
                <c:pt idx="58">
                  <c:v>46021</c:v>
                </c:pt>
                <c:pt idx="59">
                  <c:v>46022</c:v>
                </c:pt>
                <c:pt idx="60">
                  <c:v>46023</c:v>
                </c:pt>
                <c:pt idx="61">
                  <c:v>46024</c:v>
                </c:pt>
                <c:pt idx="62">
                  <c:v>46025</c:v>
                </c:pt>
                <c:pt idx="63">
                  <c:v>46026</c:v>
                </c:pt>
                <c:pt idx="64">
                  <c:v>46027</c:v>
                </c:pt>
                <c:pt idx="65">
                  <c:v>46028</c:v>
                </c:pt>
                <c:pt idx="66">
                  <c:v>46029</c:v>
                </c:pt>
                <c:pt idx="67">
                  <c:v>46030</c:v>
                </c:pt>
                <c:pt idx="68">
                  <c:v>46031</c:v>
                </c:pt>
                <c:pt idx="69">
                  <c:v>46032</c:v>
                </c:pt>
                <c:pt idx="70">
                  <c:v>46033</c:v>
                </c:pt>
                <c:pt idx="71">
                  <c:v>46034</c:v>
                </c:pt>
                <c:pt idx="72">
                  <c:v>46035</c:v>
                </c:pt>
                <c:pt idx="73">
                  <c:v>46036</c:v>
                </c:pt>
                <c:pt idx="74">
                  <c:v>46037</c:v>
                </c:pt>
                <c:pt idx="75">
                  <c:v>46038</c:v>
                </c:pt>
                <c:pt idx="76">
                  <c:v>46039</c:v>
                </c:pt>
                <c:pt idx="77">
                  <c:v>46040</c:v>
                </c:pt>
                <c:pt idx="78">
                  <c:v>46041</c:v>
                </c:pt>
                <c:pt idx="79">
                  <c:v>46042</c:v>
                </c:pt>
                <c:pt idx="80">
                  <c:v>46043</c:v>
                </c:pt>
                <c:pt idx="81">
                  <c:v>46044</c:v>
                </c:pt>
                <c:pt idx="82">
                  <c:v>46045</c:v>
                </c:pt>
                <c:pt idx="83">
                  <c:v>46046</c:v>
                </c:pt>
                <c:pt idx="84">
                  <c:v>46047</c:v>
                </c:pt>
                <c:pt idx="85">
                  <c:v>46048</c:v>
                </c:pt>
                <c:pt idx="86">
                  <c:v>46049</c:v>
                </c:pt>
                <c:pt idx="87">
                  <c:v>46050</c:v>
                </c:pt>
                <c:pt idx="88">
                  <c:v>46051</c:v>
                </c:pt>
                <c:pt idx="89">
                  <c:v>46052</c:v>
                </c:pt>
                <c:pt idx="90">
                  <c:v>46053</c:v>
                </c:pt>
                <c:pt idx="91">
                  <c:v>46054</c:v>
                </c:pt>
                <c:pt idx="92">
                  <c:v>46055</c:v>
                </c:pt>
                <c:pt idx="93">
                  <c:v>46056</c:v>
                </c:pt>
                <c:pt idx="94">
                  <c:v>46057</c:v>
                </c:pt>
                <c:pt idx="95">
                  <c:v>46058</c:v>
                </c:pt>
                <c:pt idx="96">
                  <c:v>46059</c:v>
                </c:pt>
                <c:pt idx="97">
                  <c:v>46060</c:v>
                </c:pt>
                <c:pt idx="98">
                  <c:v>46061</c:v>
                </c:pt>
                <c:pt idx="99">
                  <c:v>46062</c:v>
                </c:pt>
                <c:pt idx="100">
                  <c:v>46063</c:v>
                </c:pt>
                <c:pt idx="101">
                  <c:v>46064</c:v>
                </c:pt>
                <c:pt idx="102">
                  <c:v>46065</c:v>
                </c:pt>
                <c:pt idx="103">
                  <c:v>46066</c:v>
                </c:pt>
                <c:pt idx="104">
                  <c:v>46067</c:v>
                </c:pt>
                <c:pt idx="105">
                  <c:v>46068</c:v>
                </c:pt>
                <c:pt idx="106">
                  <c:v>46069</c:v>
                </c:pt>
                <c:pt idx="107">
                  <c:v>46070</c:v>
                </c:pt>
                <c:pt idx="108">
                  <c:v>46071</c:v>
                </c:pt>
                <c:pt idx="109">
                  <c:v>46072</c:v>
                </c:pt>
                <c:pt idx="110">
                  <c:v>46073</c:v>
                </c:pt>
                <c:pt idx="111">
                  <c:v>46074</c:v>
                </c:pt>
                <c:pt idx="112">
                  <c:v>46075</c:v>
                </c:pt>
                <c:pt idx="113">
                  <c:v>46076</c:v>
                </c:pt>
                <c:pt idx="114">
                  <c:v>46077</c:v>
                </c:pt>
                <c:pt idx="115">
                  <c:v>46078</c:v>
                </c:pt>
                <c:pt idx="116">
                  <c:v>46079</c:v>
                </c:pt>
                <c:pt idx="117">
                  <c:v>46080</c:v>
                </c:pt>
                <c:pt idx="118">
                  <c:v>46081</c:v>
                </c:pt>
                <c:pt idx="119">
                  <c:v>46082</c:v>
                </c:pt>
                <c:pt idx="120">
                  <c:v>46083</c:v>
                </c:pt>
                <c:pt idx="121">
                  <c:v>46084</c:v>
                </c:pt>
                <c:pt idx="122">
                  <c:v>46085</c:v>
                </c:pt>
                <c:pt idx="123">
                  <c:v>46086</c:v>
                </c:pt>
                <c:pt idx="124">
                  <c:v>46087</c:v>
                </c:pt>
                <c:pt idx="125">
                  <c:v>46088</c:v>
                </c:pt>
                <c:pt idx="126">
                  <c:v>46089</c:v>
                </c:pt>
                <c:pt idx="127">
                  <c:v>46090</c:v>
                </c:pt>
                <c:pt idx="128">
                  <c:v>46091</c:v>
                </c:pt>
                <c:pt idx="129">
                  <c:v>46092</c:v>
                </c:pt>
                <c:pt idx="130">
                  <c:v>46093</c:v>
                </c:pt>
                <c:pt idx="131">
                  <c:v>46094</c:v>
                </c:pt>
                <c:pt idx="132">
                  <c:v>46095</c:v>
                </c:pt>
                <c:pt idx="133">
                  <c:v>46096</c:v>
                </c:pt>
                <c:pt idx="134">
                  <c:v>46097</c:v>
                </c:pt>
                <c:pt idx="135">
                  <c:v>46098</c:v>
                </c:pt>
                <c:pt idx="136">
                  <c:v>46099</c:v>
                </c:pt>
                <c:pt idx="137">
                  <c:v>46100</c:v>
                </c:pt>
                <c:pt idx="138">
                  <c:v>46101</c:v>
                </c:pt>
                <c:pt idx="139">
                  <c:v>46102</c:v>
                </c:pt>
                <c:pt idx="140">
                  <c:v>46103</c:v>
                </c:pt>
                <c:pt idx="141">
                  <c:v>46104</c:v>
                </c:pt>
                <c:pt idx="142">
                  <c:v>46105</c:v>
                </c:pt>
                <c:pt idx="143">
                  <c:v>46106</c:v>
                </c:pt>
                <c:pt idx="144">
                  <c:v>46107</c:v>
                </c:pt>
                <c:pt idx="145">
                  <c:v>46108</c:v>
                </c:pt>
                <c:pt idx="146">
                  <c:v>46109</c:v>
                </c:pt>
                <c:pt idx="147">
                  <c:v>46110</c:v>
                </c:pt>
                <c:pt idx="148">
                  <c:v>46111</c:v>
                </c:pt>
                <c:pt idx="149">
                  <c:v>46112</c:v>
                </c:pt>
                <c:pt idx="150">
                  <c:v>46113</c:v>
                </c:pt>
                <c:pt idx="151">
                  <c:v>46114</c:v>
                </c:pt>
                <c:pt idx="152">
                  <c:v>46115</c:v>
                </c:pt>
                <c:pt idx="153">
                  <c:v>46116</c:v>
                </c:pt>
                <c:pt idx="154">
                  <c:v>46117</c:v>
                </c:pt>
                <c:pt idx="155">
                  <c:v>46118</c:v>
                </c:pt>
                <c:pt idx="156">
                  <c:v>46119</c:v>
                </c:pt>
                <c:pt idx="157">
                  <c:v>46120</c:v>
                </c:pt>
                <c:pt idx="158">
                  <c:v>46121</c:v>
                </c:pt>
                <c:pt idx="159">
                  <c:v>46122</c:v>
                </c:pt>
                <c:pt idx="160">
                  <c:v>46123</c:v>
                </c:pt>
                <c:pt idx="161">
                  <c:v>46124</c:v>
                </c:pt>
                <c:pt idx="162">
                  <c:v>46125</c:v>
                </c:pt>
                <c:pt idx="163">
                  <c:v>46126</c:v>
                </c:pt>
                <c:pt idx="164">
                  <c:v>46127</c:v>
                </c:pt>
                <c:pt idx="165">
                  <c:v>46128</c:v>
                </c:pt>
                <c:pt idx="166">
                  <c:v>46129</c:v>
                </c:pt>
                <c:pt idx="167">
                  <c:v>46130</c:v>
                </c:pt>
                <c:pt idx="168">
                  <c:v>46131</c:v>
                </c:pt>
                <c:pt idx="169">
                  <c:v>46132</c:v>
                </c:pt>
                <c:pt idx="170">
                  <c:v>46133</c:v>
                </c:pt>
                <c:pt idx="171">
                  <c:v>46134</c:v>
                </c:pt>
                <c:pt idx="172">
                  <c:v>46135</c:v>
                </c:pt>
                <c:pt idx="173">
                  <c:v>46136</c:v>
                </c:pt>
                <c:pt idx="174">
                  <c:v>46137</c:v>
                </c:pt>
                <c:pt idx="175">
                  <c:v>46138</c:v>
                </c:pt>
                <c:pt idx="176">
                  <c:v>46139</c:v>
                </c:pt>
                <c:pt idx="177">
                  <c:v>46140</c:v>
                </c:pt>
                <c:pt idx="178">
                  <c:v>46141</c:v>
                </c:pt>
                <c:pt idx="179">
                  <c:v>46142</c:v>
                </c:pt>
                <c:pt idx="180">
                  <c:v>46143</c:v>
                </c:pt>
                <c:pt idx="181">
                  <c:v>46144</c:v>
                </c:pt>
                <c:pt idx="182">
                  <c:v>46145</c:v>
                </c:pt>
                <c:pt idx="183">
                  <c:v>46146</c:v>
                </c:pt>
                <c:pt idx="184">
                  <c:v>46147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46158</c:v>
                </c:pt>
                <c:pt idx="196">
                  <c:v>46159</c:v>
                </c:pt>
                <c:pt idx="197">
                  <c:v>46160</c:v>
                </c:pt>
                <c:pt idx="198">
                  <c:v>46161</c:v>
                </c:pt>
                <c:pt idx="199">
                  <c:v>46162</c:v>
                </c:pt>
                <c:pt idx="200">
                  <c:v>46163</c:v>
                </c:pt>
                <c:pt idx="201">
                  <c:v>46164</c:v>
                </c:pt>
                <c:pt idx="202">
                  <c:v>46165</c:v>
                </c:pt>
                <c:pt idx="203">
                  <c:v>46166</c:v>
                </c:pt>
                <c:pt idx="204">
                  <c:v>46167</c:v>
                </c:pt>
                <c:pt idx="205">
                  <c:v>46168</c:v>
                </c:pt>
                <c:pt idx="206">
                  <c:v>46169</c:v>
                </c:pt>
                <c:pt idx="207">
                  <c:v>46170</c:v>
                </c:pt>
                <c:pt idx="208">
                  <c:v>46171</c:v>
                </c:pt>
                <c:pt idx="209">
                  <c:v>46172</c:v>
                </c:pt>
                <c:pt idx="210">
                  <c:v>46173</c:v>
                </c:pt>
                <c:pt idx="211">
                  <c:v>46174</c:v>
                </c:pt>
                <c:pt idx="212">
                  <c:v>46175</c:v>
                </c:pt>
                <c:pt idx="213">
                  <c:v>46176</c:v>
                </c:pt>
                <c:pt idx="214">
                  <c:v>46177</c:v>
                </c:pt>
                <c:pt idx="215">
                  <c:v>46178</c:v>
                </c:pt>
                <c:pt idx="216">
                  <c:v>46179</c:v>
                </c:pt>
                <c:pt idx="217">
                  <c:v>46180</c:v>
                </c:pt>
                <c:pt idx="218">
                  <c:v>46181</c:v>
                </c:pt>
                <c:pt idx="219">
                  <c:v>46182</c:v>
                </c:pt>
                <c:pt idx="220">
                  <c:v>46183</c:v>
                </c:pt>
                <c:pt idx="221">
                  <c:v>46184</c:v>
                </c:pt>
                <c:pt idx="222">
                  <c:v>46185</c:v>
                </c:pt>
                <c:pt idx="223">
                  <c:v>46186</c:v>
                </c:pt>
                <c:pt idx="224">
                  <c:v>46187</c:v>
                </c:pt>
                <c:pt idx="225">
                  <c:v>46188</c:v>
                </c:pt>
                <c:pt idx="226">
                  <c:v>46189</c:v>
                </c:pt>
                <c:pt idx="227">
                  <c:v>46190</c:v>
                </c:pt>
                <c:pt idx="228">
                  <c:v>46191</c:v>
                </c:pt>
                <c:pt idx="229">
                  <c:v>46192</c:v>
                </c:pt>
                <c:pt idx="230">
                  <c:v>46193</c:v>
                </c:pt>
                <c:pt idx="231">
                  <c:v>46194</c:v>
                </c:pt>
                <c:pt idx="232">
                  <c:v>46195</c:v>
                </c:pt>
                <c:pt idx="233">
                  <c:v>46196</c:v>
                </c:pt>
                <c:pt idx="234">
                  <c:v>46197</c:v>
                </c:pt>
                <c:pt idx="235">
                  <c:v>46198</c:v>
                </c:pt>
                <c:pt idx="236">
                  <c:v>46199</c:v>
                </c:pt>
                <c:pt idx="237">
                  <c:v>46200</c:v>
                </c:pt>
                <c:pt idx="238">
                  <c:v>46201</c:v>
                </c:pt>
                <c:pt idx="239">
                  <c:v>46202</c:v>
                </c:pt>
                <c:pt idx="240">
                  <c:v>46203</c:v>
                </c:pt>
                <c:pt idx="241">
                  <c:v>46204</c:v>
                </c:pt>
                <c:pt idx="242">
                  <c:v>46205</c:v>
                </c:pt>
                <c:pt idx="243">
                  <c:v>46206</c:v>
                </c:pt>
                <c:pt idx="244">
                  <c:v>46207</c:v>
                </c:pt>
                <c:pt idx="245">
                  <c:v>46208</c:v>
                </c:pt>
                <c:pt idx="246">
                  <c:v>46209</c:v>
                </c:pt>
                <c:pt idx="247">
                  <c:v>46210</c:v>
                </c:pt>
                <c:pt idx="248">
                  <c:v>46211</c:v>
                </c:pt>
                <c:pt idx="249">
                  <c:v>46212</c:v>
                </c:pt>
                <c:pt idx="250">
                  <c:v>46213</c:v>
                </c:pt>
                <c:pt idx="251">
                  <c:v>46214</c:v>
                </c:pt>
                <c:pt idx="252">
                  <c:v>46215</c:v>
                </c:pt>
                <c:pt idx="253">
                  <c:v>46216</c:v>
                </c:pt>
                <c:pt idx="254">
                  <c:v>46217</c:v>
                </c:pt>
                <c:pt idx="255">
                  <c:v>46218</c:v>
                </c:pt>
                <c:pt idx="256">
                  <c:v>46219</c:v>
                </c:pt>
                <c:pt idx="257">
                  <c:v>46220</c:v>
                </c:pt>
                <c:pt idx="258">
                  <c:v>46221</c:v>
                </c:pt>
                <c:pt idx="259">
                  <c:v>46222</c:v>
                </c:pt>
                <c:pt idx="260">
                  <c:v>46223</c:v>
                </c:pt>
                <c:pt idx="261">
                  <c:v>46224</c:v>
                </c:pt>
                <c:pt idx="262">
                  <c:v>46225</c:v>
                </c:pt>
                <c:pt idx="263">
                  <c:v>46226</c:v>
                </c:pt>
                <c:pt idx="264">
                  <c:v>46227</c:v>
                </c:pt>
                <c:pt idx="265">
                  <c:v>46228</c:v>
                </c:pt>
                <c:pt idx="266">
                  <c:v>46229</c:v>
                </c:pt>
                <c:pt idx="267">
                  <c:v>46230</c:v>
                </c:pt>
                <c:pt idx="268">
                  <c:v>46231</c:v>
                </c:pt>
                <c:pt idx="269">
                  <c:v>46232</c:v>
                </c:pt>
                <c:pt idx="270">
                  <c:v>46233</c:v>
                </c:pt>
                <c:pt idx="271">
                  <c:v>46234</c:v>
                </c:pt>
                <c:pt idx="272">
                  <c:v>46235</c:v>
                </c:pt>
                <c:pt idx="273">
                  <c:v>46236</c:v>
                </c:pt>
                <c:pt idx="274">
                  <c:v>46237</c:v>
                </c:pt>
                <c:pt idx="275">
                  <c:v>46238</c:v>
                </c:pt>
                <c:pt idx="276">
                  <c:v>46239</c:v>
                </c:pt>
                <c:pt idx="277">
                  <c:v>46240</c:v>
                </c:pt>
                <c:pt idx="278">
                  <c:v>46241</c:v>
                </c:pt>
                <c:pt idx="279">
                  <c:v>46242</c:v>
                </c:pt>
                <c:pt idx="280">
                  <c:v>46243</c:v>
                </c:pt>
                <c:pt idx="281">
                  <c:v>46244</c:v>
                </c:pt>
                <c:pt idx="282">
                  <c:v>46245</c:v>
                </c:pt>
                <c:pt idx="283">
                  <c:v>46246</c:v>
                </c:pt>
                <c:pt idx="284">
                  <c:v>46247</c:v>
                </c:pt>
                <c:pt idx="285">
                  <c:v>46248</c:v>
                </c:pt>
                <c:pt idx="286">
                  <c:v>46249</c:v>
                </c:pt>
                <c:pt idx="287">
                  <c:v>46250</c:v>
                </c:pt>
                <c:pt idx="288">
                  <c:v>46251</c:v>
                </c:pt>
                <c:pt idx="289">
                  <c:v>46252</c:v>
                </c:pt>
                <c:pt idx="290">
                  <c:v>46253</c:v>
                </c:pt>
                <c:pt idx="291">
                  <c:v>46254</c:v>
                </c:pt>
                <c:pt idx="292">
                  <c:v>46255</c:v>
                </c:pt>
                <c:pt idx="293">
                  <c:v>46256</c:v>
                </c:pt>
                <c:pt idx="294">
                  <c:v>46257</c:v>
                </c:pt>
                <c:pt idx="295">
                  <c:v>46258</c:v>
                </c:pt>
                <c:pt idx="296">
                  <c:v>46259</c:v>
                </c:pt>
                <c:pt idx="297">
                  <c:v>46260</c:v>
                </c:pt>
                <c:pt idx="298">
                  <c:v>46261</c:v>
                </c:pt>
                <c:pt idx="299">
                  <c:v>46262</c:v>
                </c:pt>
                <c:pt idx="300">
                  <c:v>46263</c:v>
                </c:pt>
                <c:pt idx="301">
                  <c:v>46264</c:v>
                </c:pt>
                <c:pt idx="302">
                  <c:v>46265</c:v>
                </c:pt>
                <c:pt idx="303">
                  <c:v>46266</c:v>
                </c:pt>
                <c:pt idx="304">
                  <c:v>46267</c:v>
                </c:pt>
                <c:pt idx="305">
                  <c:v>46268</c:v>
                </c:pt>
                <c:pt idx="306">
                  <c:v>46269</c:v>
                </c:pt>
                <c:pt idx="307">
                  <c:v>46270</c:v>
                </c:pt>
                <c:pt idx="308">
                  <c:v>46271</c:v>
                </c:pt>
                <c:pt idx="309">
                  <c:v>46272</c:v>
                </c:pt>
                <c:pt idx="310">
                  <c:v>46273</c:v>
                </c:pt>
                <c:pt idx="311">
                  <c:v>46274</c:v>
                </c:pt>
                <c:pt idx="312">
                  <c:v>46275</c:v>
                </c:pt>
                <c:pt idx="313">
                  <c:v>46276</c:v>
                </c:pt>
                <c:pt idx="314">
                  <c:v>46277</c:v>
                </c:pt>
                <c:pt idx="315">
                  <c:v>46278</c:v>
                </c:pt>
                <c:pt idx="316">
                  <c:v>46279</c:v>
                </c:pt>
                <c:pt idx="317">
                  <c:v>46280</c:v>
                </c:pt>
                <c:pt idx="318">
                  <c:v>46281</c:v>
                </c:pt>
                <c:pt idx="319">
                  <c:v>46282</c:v>
                </c:pt>
                <c:pt idx="320">
                  <c:v>46283</c:v>
                </c:pt>
                <c:pt idx="321">
                  <c:v>46284</c:v>
                </c:pt>
                <c:pt idx="322">
                  <c:v>46285</c:v>
                </c:pt>
                <c:pt idx="323">
                  <c:v>46286</c:v>
                </c:pt>
                <c:pt idx="324">
                  <c:v>46287</c:v>
                </c:pt>
                <c:pt idx="325">
                  <c:v>46288</c:v>
                </c:pt>
                <c:pt idx="326">
                  <c:v>46289</c:v>
                </c:pt>
                <c:pt idx="327">
                  <c:v>46290</c:v>
                </c:pt>
                <c:pt idx="328">
                  <c:v>46291</c:v>
                </c:pt>
                <c:pt idx="329">
                  <c:v>46292</c:v>
                </c:pt>
                <c:pt idx="330">
                  <c:v>46293</c:v>
                </c:pt>
                <c:pt idx="331">
                  <c:v>46294</c:v>
                </c:pt>
                <c:pt idx="332">
                  <c:v>46295</c:v>
                </c:pt>
                <c:pt idx="333">
                  <c:v>46296</c:v>
                </c:pt>
                <c:pt idx="334">
                  <c:v>46297</c:v>
                </c:pt>
                <c:pt idx="335">
                  <c:v>46298</c:v>
                </c:pt>
                <c:pt idx="336">
                  <c:v>46299</c:v>
                </c:pt>
                <c:pt idx="337">
                  <c:v>46300</c:v>
                </c:pt>
                <c:pt idx="338">
                  <c:v>46301</c:v>
                </c:pt>
                <c:pt idx="339">
                  <c:v>46302</c:v>
                </c:pt>
                <c:pt idx="340">
                  <c:v>46303</c:v>
                </c:pt>
                <c:pt idx="341">
                  <c:v>46304</c:v>
                </c:pt>
                <c:pt idx="342">
                  <c:v>46305</c:v>
                </c:pt>
                <c:pt idx="343">
                  <c:v>46306</c:v>
                </c:pt>
                <c:pt idx="344">
                  <c:v>46307</c:v>
                </c:pt>
                <c:pt idx="345">
                  <c:v>46308</c:v>
                </c:pt>
                <c:pt idx="346">
                  <c:v>46309</c:v>
                </c:pt>
                <c:pt idx="347">
                  <c:v>46310</c:v>
                </c:pt>
                <c:pt idx="348">
                  <c:v>46311</c:v>
                </c:pt>
                <c:pt idx="349">
                  <c:v>46312</c:v>
                </c:pt>
                <c:pt idx="350">
                  <c:v>46313</c:v>
                </c:pt>
                <c:pt idx="351">
                  <c:v>46314</c:v>
                </c:pt>
                <c:pt idx="352">
                  <c:v>46315</c:v>
                </c:pt>
                <c:pt idx="353">
                  <c:v>46316</c:v>
                </c:pt>
                <c:pt idx="354">
                  <c:v>46317</c:v>
                </c:pt>
                <c:pt idx="355">
                  <c:v>46318</c:v>
                </c:pt>
                <c:pt idx="356">
                  <c:v>46319</c:v>
                </c:pt>
                <c:pt idx="357">
                  <c:v>46320</c:v>
                </c:pt>
                <c:pt idx="358">
                  <c:v>46321</c:v>
                </c:pt>
                <c:pt idx="359">
                  <c:v>46322</c:v>
                </c:pt>
                <c:pt idx="360">
                  <c:v>46323</c:v>
                </c:pt>
                <c:pt idx="361">
                  <c:v>46324</c:v>
                </c:pt>
                <c:pt idx="362">
                  <c:v>46325</c:v>
                </c:pt>
                <c:pt idx="363">
                  <c:v>46326</c:v>
                </c:pt>
                <c:pt idx="364">
                  <c:v>46327</c:v>
                </c:pt>
                <c:pt idx="365">
                  <c:v>46328</c:v>
                </c:pt>
                <c:pt idx="366">
                  <c:v>46329</c:v>
                </c:pt>
                <c:pt idx="367">
                  <c:v>46330</c:v>
                </c:pt>
                <c:pt idx="368">
                  <c:v>46331</c:v>
                </c:pt>
                <c:pt idx="369">
                  <c:v>46332</c:v>
                </c:pt>
                <c:pt idx="370">
                  <c:v>46333</c:v>
                </c:pt>
                <c:pt idx="371">
                  <c:v>46334</c:v>
                </c:pt>
                <c:pt idx="372">
                  <c:v>46335</c:v>
                </c:pt>
                <c:pt idx="373">
                  <c:v>46336</c:v>
                </c:pt>
                <c:pt idx="374">
                  <c:v>46337</c:v>
                </c:pt>
                <c:pt idx="375">
                  <c:v>46338</c:v>
                </c:pt>
                <c:pt idx="376">
                  <c:v>46339</c:v>
                </c:pt>
                <c:pt idx="377">
                  <c:v>46340</c:v>
                </c:pt>
                <c:pt idx="378">
                  <c:v>46341</c:v>
                </c:pt>
                <c:pt idx="379">
                  <c:v>46342</c:v>
                </c:pt>
                <c:pt idx="380">
                  <c:v>46343</c:v>
                </c:pt>
                <c:pt idx="381">
                  <c:v>46344</c:v>
                </c:pt>
                <c:pt idx="382">
                  <c:v>46345</c:v>
                </c:pt>
                <c:pt idx="383">
                  <c:v>46346</c:v>
                </c:pt>
                <c:pt idx="384">
                  <c:v>46347</c:v>
                </c:pt>
                <c:pt idx="385">
                  <c:v>46348</c:v>
                </c:pt>
                <c:pt idx="386">
                  <c:v>46349</c:v>
                </c:pt>
                <c:pt idx="387">
                  <c:v>46350</c:v>
                </c:pt>
                <c:pt idx="388">
                  <c:v>46351</c:v>
                </c:pt>
                <c:pt idx="389">
                  <c:v>46352</c:v>
                </c:pt>
                <c:pt idx="390">
                  <c:v>46353</c:v>
                </c:pt>
                <c:pt idx="391">
                  <c:v>46354</c:v>
                </c:pt>
                <c:pt idx="392">
                  <c:v>46355</c:v>
                </c:pt>
                <c:pt idx="393">
                  <c:v>46356</c:v>
                </c:pt>
                <c:pt idx="394">
                  <c:v>46357</c:v>
                </c:pt>
                <c:pt idx="395">
                  <c:v>46358</c:v>
                </c:pt>
                <c:pt idx="396">
                  <c:v>46359</c:v>
                </c:pt>
                <c:pt idx="397">
                  <c:v>46360</c:v>
                </c:pt>
                <c:pt idx="398">
                  <c:v>46361</c:v>
                </c:pt>
                <c:pt idx="399">
                  <c:v>46362</c:v>
                </c:pt>
                <c:pt idx="400">
                  <c:v>46363</c:v>
                </c:pt>
                <c:pt idx="401">
                  <c:v>46364</c:v>
                </c:pt>
                <c:pt idx="402">
                  <c:v>46365</c:v>
                </c:pt>
                <c:pt idx="403">
                  <c:v>46366</c:v>
                </c:pt>
                <c:pt idx="404">
                  <c:v>46367</c:v>
                </c:pt>
                <c:pt idx="405">
                  <c:v>46368</c:v>
                </c:pt>
                <c:pt idx="406">
                  <c:v>46369</c:v>
                </c:pt>
                <c:pt idx="407">
                  <c:v>46370</c:v>
                </c:pt>
                <c:pt idx="408">
                  <c:v>46371</c:v>
                </c:pt>
                <c:pt idx="409">
                  <c:v>46372</c:v>
                </c:pt>
                <c:pt idx="410">
                  <c:v>46373</c:v>
                </c:pt>
                <c:pt idx="411">
                  <c:v>46374</c:v>
                </c:pt>
                <c:pt idx="412">
                  <c:v>46375</c:v>
                </c:pt>
                <c:pt idx="413">
                  <c:v>46376</c:v>
                </c:pt>
                <c:pt idx="414">
                  <c:v>46377</c:v>
                </c:pt>
                <c:pt idx="415">
                  <c:v>46378</c:v>
                </c:pt>
                <c:pt idx="416">
                  <c:v>46379</c:v>
                </c:pt>
                <c:pt idx="417">
                  <c:v>46380</c:v>
                </c:pt>
                <c:pt idx="418">
                  <c:v>46381</c:v>
                </c:pt>
                <c:pt idx="419">
                  <c:v>46382</c:v>
                </c:pt>
                <c:pt idx="420">
                  <c:v>46383</c:v>
                </c:pt>
                <c:pt idx="421">
                  <c:v>46384</c:v>
                </c:pt>
                <c:pt idx="422">
                  <c:v>46385</c:v>
                </c:pt>
                <c:pt idx="423">
                  <c:v>46386</c:v>
                </c:pt>
                <c:pt idx="424">
                  <c:v>46387</c:v>
                </c:pt>
              </c:numCache>
            </c:numRef>
          </c:cat>
          <c:val>
            <c:numRef>
              <c:f>Grafico!$B$2:$B$426</c:f>
              <c:numCache>
                <c:formatCode>General</c:formatCode>
                <c:ptCount val="4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200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801-41B8-A1FA-3499B8919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588885264"/>
        <c:axId val="588885744"/>
      </c:barChart>
      <c:barChart>
        <c:barDir val="col"/>
        <c:grouping val="stacked"/>
        <c:varyColors val="0"/>
        <c:ser>
          <c:idx val="10"/>
          <c:order val="10"/>
          <c:tx>
            <c:v>Sin Actividad</c:v>
          </c:tx>
          <c:spPr>
            <a:solidFill>
              <a:schemeClr val="bg1">
                <a:lumMod val="85000"/>
              </a:schemeClr>
            </a:solidFill>
          </c:spPr>
          <c:invertIfNegative val="0"/>
          <c:cat>
            <c:numRef>
              <c:f>Grafico!$A$2:$A$426</c:f>
              <c:numCache>
                <c:formatCode>d\-mmm</c:formatCode>
                <c:ptCount val="425"/>
                <c:pt idx="0">
                  <c:v>45963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45969</c:v>
                </c:pt>
                <c:pt idx="7">
                  <c:v>45970</c:v>
                </c:pt>
                <c:pt idx="8">
                  <c:v>45971</c:v>
                </c:pt>
                <c:pt idx="9">
                  <c:v>45972</c:v>
                </c:pt>
                <c:pt idx="10">
                  <c:v>45973</c:v>
                </c:pt>
                <c:pt idx="11">
                  <c:v>45974</c:v>
                </c:pt>
                <c:pt idx="12">
                  <c:v>45975</c:v>
                </c:pt>
                <c:pt idx="13">
                  <c:v>45976</c:v>
                </c:pt>
                <c:pt idx="14">
                  <c:v>45977</c:v>
                </c:pt>
                <c:pt idx="15">
                  <c:v>45978</c:v>
                </c:pt>
                <c:pt idx="16">
                  <c:v>45979</c:v>
                </c:pt>
                <c:pt idx="17">
                  <c:v>45980</c:v>
                </c:pt>
                <c:pt idx="18">
                  <c:v>45981</c:v>
                </c:pt>
                <c:pt idx="19">
                  <c:v>45982</c:v>
                </c:pt>
                <c:pt idx="20">
                  <c:v>45983</c:v>
                </c:pt>
                <c:pt idx="21">
                  <c:v>45984</c:v>
                </c:pt>
                <c:pt idx="22">
                  <c:v>45985</c:v>
                </c:pt>
                <c:pt idx="23">
                  <c:v>45986</c:v>
                </c:pt>
                <c:pt idx="24">
                  <c:v>45987</c:v>
                </c:pt>
                <c:pt idx="25">
                  <c:v>45988</c:v>
                </c:pt>
                <c:pt idx="26">
                  <c:v>45989</c:v>
                </c:pt>
                <c:pt idx="27">
                  <c:v>45990</c:v>
                </c:pt>
                <c:pt idx="28">
                  <c:v>45991</c:v>
                </c:pt>
                <c:pt idx="29">
                  <c:v>45992</c:v>
                </c:pt>
                <c:pt idx="30">
                  <c:v>45993</c:v>
                </c:pt>
                <c:pt idx="31">
                  <c:v>45994</c:v>
                </c:pt>
                <c:pt idx="32">
                  <c:v>45995</c:v>
                </c:pt>
                <c:pt idx="33">
                  <c:v>45996</c:v>
                </c:pt>
                <c:pt idx="34">
                  <c:v>45997</c:v>
                </c:pt>
                <c:pt idx="35">
                  <c:v>45998</c:v>
                </c:pt>
                <c:pt idx="36">
                  <c:v>45999</c:v>
                </c:pt>
                <c:pt idx="37">
                  <c:v>46000</c:v>
                </c:pt>
                <c:pt idx="38">
                  <c:v>46001</c:v>
                </c:pt>
                <c:pt idx="39">
                  <c:v>46002</c:v>
                </c:pt>
                <c:pt idx="40">
                  <c:v>46003</c:v>
                </c:pt>
                <c:pt idx="41">
                  <c:v>46004</c:v>
                </c:pt>
                <c:pt idx="42">
                  <c:v>46005</c:v>
                </c:pt>
                <c:pt idx="43">
                  <c:v>46006</c:v>
                </c:pt>
                <c:pt idx="44">
                  <c:v>46007</c:v>
                </c:pt>
                <c:pt idx="45">
                  <c:v>46008</c:v>
                </c:pt>
                <c:pt idx="46">
                  <c:v>46009</c:v>
                </c:pt>
                <c:pt idx="47">
                  <c:v>46010</c:v>
                </c:pt>
                <c:pt idx="48">
                  <c:v>46011</c:v>
                </c:pt>
                <c:pt idx="49">
                  <c:v>46012</c:v>
                </c:pt>
                <c:pt idx="50">
                  <c:v>46013</c:v>
                </c:pt>
                <c:pt idx="51">
                  <c:v>46014</c:v>
                </c:pt>
                <c:pt idx="52">
                  <c:v>46015</c:v>
                </c:pt>
                <c:pt idx="53">
                  <c:v>46016</c:v>
                </c:pt>
                <c:pt idx="54">
                  <c:v>46017</c:v>
                </c:pt>
                <c:pt idx="55">
                  <c:v>46018</c:v>
                </c:pt>
                <c:pt idx="56">
                  <c:v>46019</c:v>
                </c:pt>
                <c:pt idx="57">
                  <c:v>46020</c:v>
                </c:pt>
                <c:pt idx="58">
                  <c:v>46021</c:v>
                </c:pt>
                <c:pt idx="59">
                  <c:v>46022</c:v>
                </c:pt>
                <c:pt idx="60">
                  <c:v>46023</c:v>
                </c:pt>
                <c:pt idx="61">
                  <c:v>46024</c:v>
                </c:pt>
                <c:pt idx="62">
                  <c:v>46025</c:v>
                </c:pt>
                <c:pt idx="63">
                  <c:v>46026</c:v>
                </c:pt>
                <c:pt idx="64">
                  <c:v>46027</c:v>
                </c:pt>
                <c:pt idx="65">
                  <c:v>46028</c:v>
                </c:pt>
                <c:pt idx="66">
                  <c:v>46029</c:v>
                </c:pt>
                <c:pt idx="67">
                  <c:v>46030</c:v>
                </c:pt>
                <c:pt idx="68">
                  <c:v>46031</c:v>
                </c:pt>
                <c:pt idx="69">
                  <c:v>46032</c:v>
                </c:pt>
                <c:pt idx="70">
                  <c:v>46033</c:v>
                </c:pt>
                <c:pt idx="71">
                  <c:v>46034</c:v>
                </c:pt>
                <c:pt idx="72">
                  <c:v>46035</c:v>
                </c:pt>
                <c:pt idx="73">
                  <c:v>46036</c:v>
                </c:pt>
                <c:pt idx="74">
                  <c:v>46037</c:v>
                </c:pt>
                <c:pt idx="75">
                  <c:v>46038</c:v>
                </c:pt>
                <c:pt idx="76">
                  <c:v>46039</c:v>
                </c:pt>
                <c:pt idx="77">
                  <c:v>46040</c:v>
                </c:pt>
                <c:pt idx="78">
                  <c:v>46041</c:v>
                </c:pt>
                <c:pt idx="79">
                  <c:v>46042</c:v>
                </c:pt>
                <c:pt idx="80">
                  <c:v>46043</c:v>
                </c:pt>
                <c:pt idx="81">
                  <c:v>46044</c:v>
                </c:pt>
                <c:pt idx="82">
                  <c:v>46045</c:v>
                </c:pt>
                <c:pt idx="83">
                  <c:v>46046</c:v>
                </c:pt>
                <c:pt idx="84">
                  <c:v>46047</c:v>
                </c:pt>
                <c:pt idx="85">
                  <c:v>46048</c:v>
                </c:pt>
                <c:pt idx="86">
                  <c:v>46049</c:v>
                </c:pt>
                <c:pt idx="87">
                  <c:v>46050</c:v>
                </c:pt>
                <c:pt idx="88">
                  <c:v>46051</c:v>
                </c:pt>
                <c:pt idx="89">
                  <c:v>46052</c:v>
                </c:pt>
                <c:pt idx="90">
                  <c:v>46053</c:v>
                </c:pt>
                <c:pt idx="91">
                  <c:v>46054</c:v>
                </c:pt>
                <c:pt idx="92">
                  <c:v>46055</c:v>
                </c:pt>
                <c:pt idx="93">
                  <c:v>46056</c:v>
                </c:pt>
                <c:pt idx="94">
                  <c:v>46057</c:v>
                </c:pt>
                <c:pt idx="95">
                  <c:v>46058</c:v>
                </c:pt>
                <c:pt idx="96">
                  <c:v>46059</c:v>
                </c:pt>
                <c:pt idx="97">
                  <c:v>46060</c:v>
                </c:pt>
                <c:pt idx="98">
                  <c:v>46061</c:v>
                </c:pt>
                <c:pt idx="99">
                  <c:v>46062</c:v>
                </c:pt>
                <c:pt idx="100">
                  <c:v>46063</c:v>
                </c:pt>
                <c:pt idx="101">
                  <c:v>46064</c:v>
                </c:pt>
                <c:pt idx="102">
                  <c:v>46065</c:v>
                </c:pt>
                <c:pt idx="103">
                  <c:v>46066</c:v>
                </c:pt>
                <c:pt idx="104">
                  <c:v>46067</c:v>
                </c:pt>
                <c:pt idx="105">
                  <c:v>46068</c:v>
                </c:pt>
                <c:pt idx="106">
                  <c:v>46069</c:v>
                </c:pt>
                <c:pt idx="107">
                  <c:v>46070</c:v>
                </c:pt>
                <c:pt idx="108">
                  <c:v>46071</c:v>
                </c:pt>
                <c:pt idx="109">
                  <c:v>46072</c:v>
                </c:pt>
                <c:pt idx="110">
                  <c:v>46073</c:v>
                </c:pt>
                <c:pt idx="111">
                  <c:v>46074</c:v>
                </c:pt>
                <c:pt idx="112">
                  <c:v>46075</c:v>
                </c:pt>
                <c:pt idx="113">
                  <c:v>46076</c:v>
                </c:pt>
                <c:pt idx="114">
                  <c:v>46077</c:v>
                </c:pt>
                <c:pt idx="115">
                  <c:v>46078</c:v>
                </c:pt>
                <c:pt idx="116">
                  <c:v>46079</c:v>
                </c:pt>
                <c:pt idx="117">
                  <c:v>46080</c:v>
                </c:pt>
                <c:pt idx="118">
                  <c:v>46081</c:v>
                </c:pt>
                <c:pt idx="119">
                  <c:v>46082</c:v>
                </c:pt>
                <c:pt idx="120">
                  <c:v>46083</c:v>
                </c:pt>
                <c:pt idx="121">
                  <c:v>46084</c:v>
                </c:pt>
                <c:pt idx="122">
                  <c:v>46085</c:v>
                </c:pt>
                <c:pt idx="123">
                  <c:v>46086</c:v>
                </c:pt>
                <c:pt idx="124">
                  <c:v>46087</c:v>
                </c:pt>
                <c:pt idx="125">
                  <c:v>46088</c:v>
                </c:pt>
                <c:pt idx="126">
                  <c:v>46089</c:v>
                </c:pt>
                <c:pt idx="127">
                  <c:v>46090</c:v>
                </c:pt>
                <c:pt idx="128">
                  <c:v>46091</c:v>
                </c:pt>
                <c:pt idx="129">
                  <c:v>46092</c:v>
                </c:pt>
                <c:pt idx="130">
                  <c:v>46093</c:v>
                </c:pt>
                <c:pt idx="131">
                  <c:v>46094</c:v>
                </c:pt>
                <c:pt idx="132">
                  <c:v>46095</c:v>
                </c:pt>
                <c:pt idx="133">
                  <c:v>46096</c:v>
                </c:pt>
                <c:pt idx="134">
                  <c:v>46097</c:v>
                </c:pt>
                <c:pt idx="135">
                  <c:v>46098</c:v>
                </c:pt>
                <c:pt idx="136">
                  <c:v>46099</c:v>
                </c:pt>
                <c:pt idx="137">
                  <c:v>46100</c:v>
                </c:pt>
                <c:pt idx="138">
                  <c:v>46101</c:v>
                </c:pt>
                <c:pt idx="139">
                  <c:v>46102</c:v>
                </c:pt>
                <c:pt idx="140">
                  <c:v>46103</c:v>
                </c:pt>
                <c:pt idx="141">
                  <c:v>46104</c:v>
                </c:pt>
                <c:pt idx="142">
                  <c:v>46105</c:v>
                </c:pt>
                <c:pt idx="143">
                  <c:v>46106</c:v>
                </c:pt>
                <c:pt idx="144">
                  <c:v>46107</c:v>
                </c:pt>
                <c:pt idx="145">
                  <c:v>46108</c:v>
                </c:pt>
                <c:pt idx="146">
                  <c:v>46109</c:v>
                </c:pt>
                <c:pt idx="147">
                  <c:v>46110</c:v>
                </c:pt>
                <c:pt idx="148">
                  <c:v>46111</c:v>
                </c:pt>
                <c:pt idx="149">
                  <c:v>46112</c:v>
                </c:pt>
                <c:pt idx="150">
                  <c:v>46113</c:v>
                </c:pt>
                <c:pt idx="151">
                  <c:v>46114</c:v>
                </c:pt>
                <c:pt idx="152">
                  <c:v>46115</c:v>
                </c:pt>
                <c:pt idx="153">
                  <c:v>46116</c:v>
                </c:pt>
                <c:pt idx="154">
                  <c:v>46117</c:v>
                </c:pt>
                <c:pt idx="155">
                  <c:v>46118</c:v>
                </c:pt>
                <c:pt idx="156">
                  <c:v>46119</c:v>
                </c:pt>
                <c:pt idx="157">
                  <c:v>46120</c:v>
                </c:pt>
                <c:pt idx="158">
                  <c:v>46121</c:v>
                </c:pt>
                <c:pt idx="159">
                  <c:v>46122</c:v>
                </c:pt>
                <c:pt idx="160">
                  <c:v>46123</c:v>
                </c:pt>
                <c:pt idx="161">
                  <c:v>46124</c:v>
                </c:pt>
                <c:pt idx="162">
                  <c:v>46125</c:v>
                </c:pt>
                <c:pt idx="163">
                  <c:v>46126</c:v>
                </c:pt>
                <c:pt idx="164">
                  <c:v>46127</c:v>
                </c:pt>
                <c:pt idx="165">
                  <c:v>46128</c:v>
                </c:pt>
                <c:pt idx="166">
                  <c:v>46129</c:v>
                </c:pt>
                <c:pt idx="167">
                  <c:v>46130</c:v>
                </c:pt>
                <c:pt idx="168">
                  <c:v>46131</c:v>
                </c:pt>
                <c:pt idx="169">
                  <c:v>46132</c:v>
                </c:pt>
                <c:pt idx="170">
                  <c:v>46133</c:v>
                </c:pt>
                <c:pt idx="171">
                  <c:v>46134</c:v>
                </c:pt>
                <c:pt idx="172">
                  <c:v>46135</c:v>
                </c:pt>
                <c:pt idx="173">
                  <c:v>46136</c:v>
                </c:pt>
                <c:pt idx="174">
                  <c:v>46137</c:v>
                </c:pt>
                <c:pt idx="175">
                  <c:v>46138</c:v>
                </c:pt>
                <c:pt idx="176">
                  <c:v>46139</c:v>
                </c:pt>
                <c:pt idx="177">
                  <c:v>46140</c:v>
                </c:pt>
                <c:pt idx="178">
                  <c:v>46141</c:v>
                </c:pt>
                <c:pt idx="179">
                  <c:v>46142</c:v>
                </c:pt>
                <c:pt idx="180">
                  <c:v>46143</c:v>
                </c:pt>
                <c:pt idx="181">
                  <c:v>46144</c:v>
                </c:pt>
                <c:pt idx="182">
                  <c:v>46145</c:v>
                </c:pt>
                <c:pt idx="183">
                  <c:v>46146</c:v>
                </c:pt>
                <c:pt idx="184">
                  <c:v>46147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46158</c:v>
                </c:pt>
                <c:pt idx="196">
                  <c:v>46159</c:v>
                </c:pt>
                <c:pt idx="197">
                  <c:v>46160</c:v>
                </c:pt>
                <c:pt idx="198">
                  <c:v>46161</c:v>
                </c:pt>
                <c:pt idx="199">
                  <c:v>46162</c:v>
                </c:pt>
                <c:pt idx="200">
                  <c:v>46163</c:v>
                </c:pt>
                <c:pt idx="201">
                  <c:v>46164</c:v>
                </c:pt>
                <c:pt idx="202">
                  <c:v>46165</c:v>
                </c:pt>
                <c:pt idx="203">
                  <c:v>46166</c:v>
                </c:pt>
                <c:pt idx="204">
                  <c:v>46167</c:v>
                </c:pt>
                <c:pt idx="205">
                  <c:v>46168</c:v>
                </c:pt>
                <c:pt idx="206">
                  <c:v>46169</c:v>
                </c:pt>
                <c:pt idx="207">
                  <c:v>46170</c:v>
                </c:pt>
                <c:pt idx="208">
                  <c:v>46171</c:v>
                </c:pt>
                <c:pt idx="209">
                  <c:v>46172</c:v>
                </c:pt>
                <c:pt idx="210">
                  <c:v>46173</c:v>
                </c:pt>
                <c:pt idx="211">
                  <c:v>46174</c:v>
                </c:pt>
                <c:pt idx="212">
                  <c:v>46175</c:v>
                </c:pt>
                <c:pt idx="213">
                  <c:v>46176</c:v>
                </c:pt>
                <c:pt idx="214">
                  <c:v>46177</c:v>
                </c:pt>
                <c:pt idx="215">
                  <c:v>46178</c:v>
                </c:pt>
                <c:pt idx="216">
                  <c:v>46179</c:v>
                </c:pt>
                <c:pt idx="217">
                  <c:v>46180</c:v>
                </c:pt>
                <c:pt idx="218">
                  <c:v>46181</c:v>
                </c:pt>
                <c:pt idx="219">
                  <c:v>46182</c:v>
                </c:pt>
                <c:pt idx="220">
                  <c:v>46183</c:v>
                </c:pt>
                <c:pt idx="221">
                  <c:v>46184</c:v>
                </c:pt>
                <c:pt idx="222">
                  <c:v>46185</c:v>
                </c:pt>
                <c:pt idx="223">
                  <c:v>46186</c:v>
                </c:pt>
                <c:pt idx="224">
                  <c:v>46187</c:v>
                </c:pt>
                <c:pt idx="225">
                  <c:v>46188</c:v>
                </c:pt>
                <c:pt idx="226">
                  <c:v>46189</c:v>
                </c:pt>
                <c:pt idx="227">
                  <c:v>46190</c:v>
                </c:pt>
                <c:pt idx="228">
                  <c:v>46191</c:v>
                </c:pt>
                <c:pt idx="229">
                  <c:v>46192</c:v>
                </c:pt>
                <c:pt idx="230">
                  <c:v>46193</c:v>
                </c:pt>
                <c:pt idx="231">
                  <c:v>46194</c:v>
                </c:pt>
                <c:pt idx="232">
                  <c:v>46195</c:v>
                </c:pt>
                <c:pt idx="233">
                  <c:v>46196</c:v>
                </c:pt>
                <c:pt idx="234">
                  <c:v>46197</c:v>
                </c:pt>
                <c:pt idx="235">
                  <c:v>46198</c:v>
                </c:pt>
                <c:pt idx="236">
                  <c:v>46199</c:v>
                </c:pt>
                <c:pt idx="237">
                  <c:v>46200</c:v>
                </c:pt>
                <c:pt idx="238">
                  <c:v>46201</c:v>
                </c:pt>
                <c:pt idx="239">
                  <c:v>46202</c:v>
                </c:pt>
                <c:pt idx="240">
                  <c:v>46203</c:v>
                </c:pt>
                <c:pt idx="241">
                  <c:v>46204</c:v>
                </c:pt>
                <c:pt idx="242">
                  <c:v>46205</c:v>
                </c:pt>
                <c:pt idx="243">
                  <c:v>46206</c:v>
                </c:pt>
                <c:pt idx="244">
                  <c:v>46207</c:v>
                </c:pt>
                <c:pt idx="245">
                  <c:v>46208</c:v>
                </c:pt>
                <c:pt idx="246">
                  <c:v>46209</c:v>
                </c:pt>
                <c:pt idx="247">
                  <c:v>46210</c:v>
                </c:pt>
                <c:pt idx="248">
                  <c:v>46211</c:v>
                </c:pt>
                <c:pt idx="249">
                  <c:v>46212</c:v>
                </c:pt>
                <c:pt idx="250">
                  <c:v>46213</c:v>
                </c:pt>
                <c:pt idx="251">
                  <c:v>46214</c:v>
                </c:pt>
                <c:pt idx="252">
                  <c:v>46215</c:v>
                </c:pt>
                <c:pt idx="253">
                  <c:v>46216</c:v>
                </c:pt>
                <c:pt idx="254">
                  <c:v>46217</c:v>
                </c:pt>
                <c:pt idx="255">
                  <c:v>46218</c:v>
                </c:pt>
                <c:pt idx="256">
                  <c:v>46219</c:v>
                </c:pt>
                <c:pt idx="257">
                  <c:v>46220</c:v>
                </c:pt>
                <c:pt idx="258">
                  <c:v>46221</c:v>
                </c:pt>
                <c:pt idx="259">
                  <c:v>46222</c:v>
                </c:pt>
                <c:pt idx="260">
                  <c:v>46223</c:v>
                </c:pt>
                <c:pt idx="261">
                  <c:v>46224</c:v>
                </c:pt>
                <c:pt idx="262">
                  <c:v>46225</c:v>
                </c:pt>
                <c:pt idx="263">
                  <c:v>46226</c:v>
                </c:pt>
                <c:pt idx="264">
                  <c:v>46227</c:v>
                </c:pt>
                <c:pt idx="265">
                  <c:v>46228</c:v>
                </c:pt>
                <c:pt idx="266">
                  <c:v>46229</c:v>
                </c:pt>
                <c:pt idx="267">
                  <c:v>46230</c:v>
                </c:pt>
                <c:pt idx="268">
                  <c:v>46231</c:v>
                </c:pt>
                <c:pt idx="269">
                  <c:v>46232</c:v>
                </c:pt>
                <c:pt idx="270">
                  <c:v>46233</c:v>
                </c:pt>
                <c:pt idx="271">
                  <c:v>46234</c:v>
                </c:pt>
                <c:pt idx="272">
                  <c:v>46235</c:v>
                </c:pt>
                <c:pt idx="273">
                  <c:v>46236</c:v>
                </c:pt>
                <c:pt idx="274">
                  <c:v>46237</c:v>
                </c:pt>
                <c:pt idx="275">
                  <c:v>46238</c:v>
                </c:pt>
                <c:pt idx="276">
                  <c:v>46239</c:v>
                </c:pt>
                <c:pt idx="277">
                  <c:v>46240</c:v>
                </c:pt>
                <c:pt idx="278">
                  <c:v>46241</c:v>
                </c:pt>
                <c:pt idx="279">
                  <c:v>46242</c:v>
                </c:pt>
                <c:pt idx="280">
                  <c:v>46243</c:v>
                </c:pt>
                <c:pt idx="281">
                  <c:v>46244</c:v>
                </c:pt>
                <c:pt idx="282">
                  <c:v>46245</c:v>
                </c:pt>
                <c:pt idx="283">
                  <c:v>46246</c:v>
                </c:pt>
                <c:pt idx="284">
                  <c:v>46247</c:v>
                </c:pt>
                <c:pt idx="285">
                  <c:v>46248</c:v>
                </c:pt>
                <c:pt idx="286">
                  <c:v>46249</c:v>
                </c:pt>
                <c:pt idx="287">
                  <c:v>46250</c:v>
                </c:pt>
                <c:pt idx="288">
                  <c:v>46251</c:v>
                </c:pt>
                <c:pt idx="289">
                  <c:v>46252</c:v>
                </c:pt>
                <c:pt idx="290">
                  <c:v>46253</c:v>
                </c:pt>
                <c:pt idx="291">
                  <c:v>46254</c:v>
                </c:pt>
                <c:pt idx="292">
                  <c:v>46255</c:v>
                </c:pt>
                <c:pt idx="293">
                  <c:v>46256</c:v>
                </c:pt>
                <c:pt idx="294">
                  <c:v>46257</c:v>
                </c:pt>
                <c:pt idx="295">
                  <c:v>46258</c:v>
                </c:pt>
                <c:pt idx="296">
                  <c:v>46259</c:v>
                </c:pt>
                <c:pt idx="297">
                  <c:v>46260</c:v>
                </c:pt>
                <c:pt idx="298">
                  <c:v>46261</c:v>
                </c:pt>
                <c:pt idx="299">
                  <c:v>46262</c:v>
                </c:pt>
                <c:pt idx="300">
                  <c:v>46263</c:v>
                </c:pt>
                <c:pt idx="301">
                  <c:v>46264</c:v>
                </c:pt>
                <c:pt idx="302">
                  <c:v>46265</c:v>
                </c:pt>
                <c:pt idx="303">
                  <c:v>46266</c:v>
                </c:pt>
                <c:pt idx="304">
                  <c:v>46267</c:v>
                </c:pt>
                <c:pt idx="305">
                  <c:v>46268</c:v>
                </c:pt>
                <c:pt idx="306">
                  <c:v>46269</c:v>
                </c:pt>
                <c:pt idx="307">
                  <c:v>46270</c:v>
                </c:pt>
                <c:pt idx="308">
                  <c:v>46271</c:v>
                </c:pt>
                <c:pt idx="309">
                  <c:v>46272</c:v>
                </c:pt>
                <c:pt idx="310">
                  <c:v>46273</c:v>
                </c:pt>
                <c:pt idx="311">
                  <c:v>46274</c:v>
                </c:pt>
                <c:pt idx="312">
                  <c:v>46275</c:v>
                </c:pt>
                <c:pt idx="313">
                  <c:v>46276</c:v>
                </c:pt>
                <c:pt idx="314">
                  <c:v>46277</c:v>
                </c:pt>
                <c:pt idx="315">
                  <c:v>46278</c:v>
                </c:pt>
                <c:pt idx="316">
                  <c:v>46279</c:v>
                </c:pt>
                <c:pt idx="317">
                  <c:v>46280</c:v>
                </c:pt>
                <c:pt idx="318">
                  <c:v>46281</c:v>
                </c:pt>
                <c:pt idx="319">
                  <c:v>46282</c:v>
                </c:pt>
                <c:pt idx="320">
                  <c:v>46283</c:v>
                </c:pt>
                <c:pt idx="321">
                  <c:v>46284</c:v>
                </c:pt>
                <c:pt idx="322">
                  <c:v>46285</c:v>
                </c:pt>
                <c:pt idx="323">
                  <c:v>46286</c:v>
                </c:pt>
                <c:pt idx="324">
                  <c:v>46287</c:v>
                </c:pt>
                <c:pt idx="325">
                  <c:v>46288</c:v>
                </c:pt>
                <c:pt idx="326">
                  <c:v>46289</c:v>
                </c:pt>
                <c:pt idx="327">
                  <c:v>46290</c:v>
                </c:pt>
                <c:pt idx="328">
                  <c:v>46291</c:v>
                </c:pt>
                <c:pt idx="329">
                  <c:v>46292</c:v>
                </c:pt>
                <c:pt idx="330">
                  <c:v>46293</c:v>
                </c:pt>
                <c:pt idx="331">
                  <c:v>46294</c:v>
                </c:pt>
                <c:pt idx="332">
                  <c:v>46295</c:v>
                </c:pt>
                <c:pt idx="333">
                  <c:v>46296</c:v>
                </c:pt>
                <c:pt idx="334">
                  <c:v>46297</c:v>
                </c:pt>
                <c:pt idx="335">
                  <c:v>46298</c:v>
                </c:pt>
                <c:pt idx="336">
                  <c:v>46299</c:v>
                </c:pt>
                <c:pt idx="337">
                  <c:v>46300</c:v>
                </c:pt>
                <c:pt idx="338">
                  <c:v>46301</c:v>
                </c:pt>
                <c:pt idx="339">
                  <c:v>46302</c:v>
                </c:pt>
                <c:pt idx="340">
                  <c:v>46303</c:v>
                </c:pt>
                <c:pt idx="341">
                  <c:v>46304</c:v>
                </c:pt>
                <c:pt idx="342">
                  <c:v>46305</c:v>
                </c:pt>
                <c:pt idx="343">
                  <c:v>46306</c:v>
                </c:pt>
                <c:pt idx="344">
                  <c:v>46307</c:v>
                </c:pt>
                <c:pt idx="345">
                  <c:v>46308</c:v>
                </c:pt>
                <c:pt idx="346">
                  <c:v>46309</c:v>
                </c:pt>
                <c:pt idx="347">
                  <c:v>46310</c:v>
                </c:pt>
                <c:pt idx="348">
                  <c:v>46311</c:v>
                </c:pt>
                <c:pt idx="349">
                  <c:v>46312</c:v>
                </c:pt>
                <c:pt idx="350">
                  <c:v>46313</c:v>
                </c:pt>
                <c:pt idx="351">
                  <c:v>46314</c:v>
                </c:pt>
                <c:pt idx="352">
                  <c:v>46315</c:v>
                </c:pt>
                <c:pt idx="353">
                  <c:v>46316</c:v>
                </c:pt>
                <c:pt idx="354">
                  <c:v>46317</c:v>
                </c:pt>
                <c:pt idx="355">
                  <c:v>46318</c:v>
                </c:pt>
                <c:pt idx="356">
                  <c:v>46319</c:v>
                </c:pt>
                <c:pt idx="357">
                  <c:v>46320</c:v>
                </c:pt>
                <c:pt idx="358">
                  <c:v>46321</c:v>
                </c:pt>
                <c:pt idx="359">
                  <c:v>46322</c:v>
                </c:pt>
                <c:pt idx="360">
                  <c:v>46323</c:v>
                </c:pt>
                <c:pt idx="361">
                  <c:v>46324</c:v>
                </c:pt>
                <c:pt idx="362">
                  <c:v>46325</c:v>
                </c:pt>
                <c:pt idx="363">
                  <c:v>46326</c:v>
                </c:pt>
                <c:pt idx="364">
                  <c:v>46327</c:v>
                </c:pt>
                <c:pt idx="365">
                  <c:v>46328</c:v>
                </c:pt>
                <c:pt idx="366">
                  <c:v>46329</c:v>
                </c:pt>
                <c:pt idx="367">
                  <c:v>46330</c:v>
                </c:pt>
                <c:pt idx="368">
                  <c:v>46331</c:v>
                </c:pt>
                <c:pt idx="369">
                  <c:v>46332</c:v>
                </c:pt>
                <c:pt idx="370">
                  <c:v>46333</c:v>
                </c:pt>
                <c:pt idx="371">
                  <c:v>46334</c:v>
                </c:pt>
                <c:pt idx="372">
                  <c:v>46335</c:v>
                </c:pt>
                <c:pt idx="373">
                  <c:v>46336</c:v>
                </c:pt>
                <c:pt idx="374">
                  <c:v>46337</c:v>
                </c:pt>
                <c:pt idx="375">
                  <c:v>46338</c:v>
                </c:pt>
                <c:pt idx="376">
                  <c:v>46339</c:v>
                </c:pt>
                <c:pt idx="377">
                  <c:v>46340</c:v>
                </c:pt>
                <c:pt idx="378">
                  <c:v>46341</c:v>
                </c:pt>
                <c:pt idx="379">
                  <c:v>46342</c:v>
                </c:pt>
                <c:pt idx="380">
                  <c:v>46343</c:v>
                </c:pt>
                <c:pt idx="381">
                  <c:v>46344</c:v>
                </c:pt>
                <c:pt idx="382">
                  <c:v>46345</c:v>
                </c:pt>
                <c:pt idx="383">
                  <c:v>46346</c:v>
                </c:pt>
                <c:pt idx="384">
                  <c:v>46347</c:v>
                </c:pt>
                <c:pt idx="385">
                  <c:v>46348</c:v>
                </c:pt>
                <c:pt idx="386">
                  <c:v>46349</c:v>
                </c:pt>
                <c:pt idx="387">
                  <c:v>46350</c:v>
                </c:pt>
                <c:pt idx="388">
                  <c:v>46351</c:v>
                </c:pt>
                <c:pt idx="389">
                  <c:v>46352</c:v>
                </c:pt>
                <c:pt idx="390">
                  <c:v>46353</c:v>
                </c:pt>
                <c:pt idx="391">
                  <c:v>46354</c:v>
                </c:pt>
                <c:pt idx="392">
                  <c:v>46355</c:v>
                </c:pt>
                <c:pt idx="393">
                  <c:v>46356</c:v>
                </c:pt>
                <c:pt idx="394">
                  <c:v>46357</c:v>
                </c:pt>
                <c:pt idx="395">
                  <c:v>46358</c:v>
                </c:pt>
                <c:pt idx="396">
                  <c:v>46359</c:v>
                </c:pt>
                <c:pt idx="397">
                  <c:v>46360</c:v>
                </c:pt>
                <c:pt idx="398">
                  <c:v>46361</c:v>
                </c:pt>
                <c:pt idx="399">
                  <c:v>46362</c:v>
                </c:pt>
                <c:pt idx="400">
                  <c:v>46363</c:v>
                </c:pt>
                <c:pt idx="401">
                  <c:v>46364</c:v>
                </c:pt>
                <c:pt idx="402">
                  <c:v>46365</c:v>
                </c:pt>
                <c:pt idx="403">
                  <c:v>46366</c:v>
                </c:pt>
                <c:pt idx="404">
                  <c:v>46367</c:v>
                </c:pt>
                <c:pt idx="405">
                  <c:v>46368</c:v>
                </c:pt>
                <c:pt idx="406">
                  <c:v>46369</c:v>
                </c:pt>
                <c:pt idx="407">
                  <c:v>46370</c:v>
                </c:pt>
                <c:pt idx="408">
                  <c:v>46371</c:v>
                </c:pt>
                <c:pt idx="409">
                  <c:v>46372</c:v>
                </c:pt>
                <c:pt idx="410">
                  <c:v>46373</c:v>
                </c:pt>
                <c:pt idx="411">
                  <c:v>46374</c:v>
                </c:pt>
                <c:pt idx="412">
                  <c:v>46375</c:v>
                </c:pt>
                <c:pt idx="413">
                  <c:v>46376</c:v>
                </c:pt>
                <c:pt idx="414">
                  <c:v>46377</c:v>
                </c:pt>
                <c:pt idx="415">
                  <c:v>46378</c:v>
                </c:pt>
                <c:pt idx="416">
                  <c:v>46379</c:v>
                </c:pt>
                <c:pt idx="417">
                  <c:v>46380</c:v>
                </c:pt>
                <c:pt idx="418">
                  <c:v>46381</c:v>
                </c:pt>
                <c:pt idx="419">
                  <c:v>46382</c:v>
                </c:pt>
                <c:pt idx="420">
                  <c:v>46383</c:v>
                </c:pt>
                <c:pt idx="421">
                  <c:v>46384</c:v>
                </c:pt>
                <c:pt idx="422">
                  <c:v>46385</c:v>
                </c:pt>
                <c:pt idx="423">
                  <c:v>46386</c:v>
                </c:pt>
                <c:pt idx="424">
                  <c:v>46387</c:v>
                </c:pt>
              </c:numCache>
            </c:numRef>
          </c:cat>
          <c:val>
            <c:numRef>
              <c:f>Grafico!$C$2:$C$426</c:f>
              <c:numCache>
                <c:formatCode>General</c:formatCode>
                <c:ptCount val="425"/>
                <c:pt idx="51">
                  <c:v>500</c:v>
                </c:pt>
                <c:pt idx="52">
                  <c:v>500</c:v>
                </c:pt>
                <c:pt idx="53">
                  <c:v>500</c:v>
                </c:pt>
                <c:pt idx="54">
                  <c:v>500</c:v>
                </c:pt>
                <c:pt idx="55">
                  <c:v>500</c:v>
                </c:pt>
                <c:pt idx="56">
                  <c:v>500</c:v>
                </c:pt>
                <c:pt idx="57">
                  <c:v>500</c:v>
                </c:pt>
                <c:pt idx="58">
                  <c:v>500</c:v>
                </c:pt>
                <c:pt idx="59">
                  <c:v>500</c:v>
                </c:pt>
                <c:pt idx="60">
                  <c:v>500</c:v>
                </c:pt>
                <c:pt idx="61">
                  <c:v>500</c:v>
                </c:pt>
                <c:pt idx="62">
                  <c:v>500</c:v>
                </c:pt>
                <c:pt idx="63">
                  <c:v>500</c:v>
                </c:pt>
                <c:pt idx="103">
                  <c:v>500</c:v>
                </c:pt>
                <c:pt idx="104">
                  <c:v>500</c:v>
                </c:pt>
                <c:pt idx="105">
                  <c:v>500</c:v>
                </c:pt>
                <c:pt idx="106">
                  <c:v>500</c:v>
                </c:pt>
                <c:pt idx="107">
                  <c:v>500</c:v>
                </c:pt>
                <c:pt idx="108">
                  <c:v>500</c:v>
                </c:pt>
                <c:pt idx="109">
                  <c:v>500</c:v>
                </c:pt>
                <c:pt idx="110">
                  <c:v>500</c:v>
                </c:pt>
                <c:pt idx="111">
                  <c:v>500</c:v>
                </c:pt>
                <c:pt idx="112">
                  <c:v>500</c:v>
                </c:pt>
                <c:pt idx="113">
                  <c:v>500</c:v>
                </c:pt>
                <c:pt idx="114">
                  <c:v>500</c:v>
                </c:pt>
                <c:pt idx="115">
                  <c:v>500</c:v>
                </c:pt>
                <c:pt idx="116">
                  <c:v>500</c:v>
                </c:pt>
                <c:pt idx="117">
                  <c:v>500</c:v>
                </c:pt>
                <c:pt idx="118">
                  <c:v>500</c:v>
                </c:pt>
                <c:pt idx="119">
                  <c:v>500</c:v>
                </c:pt>
                <c:pt idx="120">
                  <c:v>500</c:v>
                </c:pt>
                <c:pt idx="121">
                  <c:v>500</c:v>
                </c:pt>
                <c:pt idx="122">
                  <c:v>500</c:v>
                </c:pt>
                <c:pt idx="123">
                  <c:v>500</c:v>
                </c:pt>
                <c:pt idx="124">
                  <c:v>500</c:v>
                </c:pt>
                <c:pt idx="125">
                  <c:v>500</c:v>
                </c:pt>
                <c:pt idx="126">
                  <c:v>500</c:v>
                </c:pt>
                <c:pt idx="127">
                  <c:v>500</c:v>
                </c:pt>
                <c:pt idx="128">
                  <c:v>500</c:v>
                </c:pt>
                <c:pt idx="129">
                  <c:v>500</c:v>
                </c:pt>
                <c:pt idx="130">
                  <c:v>500</c:v>
                </c:pt>
                <c:pt idx="131">
                  <c:v>500</c:v>
                </c:pt>
                <c:pt idx="132">
                  <c:v>500</c:v>
                </c:pt>
                <c:pt idx="133">
                  <c:v>500</c:v>
                </c:pt>
                <c:pt idx="134">
                  <c:v>500</c:v>
                </c:pt>
                <c:pt idx="135">
                  <c:v>500</c:v>
                </c:pt>
                <c:pt idx="136">
                  <c:v>500</c:v>
                </c:pt>
                <c:pt idx="137">
                  <c:v>500</c:v>
                </c:pt>
                <c:pt idx="138">
                  <c:v>500</c:v>
                </c:pt>
                <c:pt idx="139">
                  <c:v>500</c:v>
                </c:pt>
                <c:pt idx="140">
                  <c:v>500</c:v>
                </c:pt>
                <c:pt idx="141">
                  <c:v>500</c:v>
                </c:pt>
                <c:pt idx="142">
                  <c:v>500</c:v>
                </c:pt>
                <c:pt idx="143">
                  <c:v>500</c:v>
                </c:pt>
                <c:pt idx="144">
                  <c:v>500</c:v>
                </c:pt>
                <c:pt idx="145">
                  <c:v>500</c:v>
                </c:pt>
                <c:pt idx="146">
                  <c:v>500</c:v>
                </c:pt>
                <c:pt idx="147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7B-43AD-AE0D-4B4323FDE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13488496"/>
        <c:axId val="513483696"/>
      </c:barChart>
      <c:lineChart>
        <c:grouping val="standard"/>
        <c:varyColors val="0"/>
        <c:ser>
          <c:idx val="4"/>
          <c:order val="0"/>
          <c:tx>
            <c:strRef>
              <c:f>Grafico!$D$1</c:f>
              <c:strCache>
                <c:ptCount val="1"/>
                <c:pt idx="0">
                  <c:v>Localizacion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Grafico!$A$2:$A$426</c:f>
              <c:numCache>
                <c:formatCode>d\-mmm</c:formatCode>
                <c:ptCount val="425"/>
                <c:pt idx="0">
                  <c:v>45963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45969</c:v>
                </c:pt>
                <c:pt idx="7">
                  <c:v>45970</c:v>
                </c:pt>
                <c:pt idx="8">
                  <c:v>45971</c:v>
                </c:pt>
                <c:pt idx="9">
                  <c:v>45972</c:v>
                </c:pt>
                <c:pt idx="10">
                  <c:v>45973</c:v>
                </c:pt>
                <c:pt idx="11">
                  <c:v>45974</c:v>
                </c:pt>
                <c:pt idx="12">
                  <c:v>45975</c:v>
                </c:pt>
                <c:pt idx="13">
                  <c:v>45976</c:v>
                </c:pt>
                <c:pt idx="14">
                  <c:v>45977</c:v>
                </c:pt>
                <c:pt idx="15">
                  <c:v>45978</c:v>
                </c:pt>
                <c:pt idx="16">
                  <c:v>45979</c:v>
                </c:pt>
                <c:pt idx="17">
                  <c:v>45980</c:v>
                </c:pt>
                <c:pt idx="18">
                  <c:v>45981</c:v>
                </c:pt>
                <c:pt idx="19">
                  <c:v>45982</c:v>
                </c:pt>
                <c:pt idx="20">
                  <c:v>45983</c:v>
                </c:pt>
                <c:pt idx="21">
                  <c:v>45984</c:v>
                </c:pt>
                <c:pt idx="22">
                  <c:v>45985</c:v>
                </c:pt>
                <c:pt idx="23">
                  <c:v>45986</c:v>
                </c:pt>
                <c:pt idx="24">
                  <c:v>45987</c:v>
                </c:pt>
                <c:pt idx="25">
                  <c:v>45988</c:v>
                </c:pt>
                <c:pt idx="26">
                  <c:v>45989</c:v>
                </c:pt>
                <c:pt idx="27">
                  <c:v>45990</c:v>
                </c:pt>
                <c:pt idx="28">
                  <c:v>45991</c:v>
                </c:pt>
                <c:pt idx="29">
                  <c:v>45992</c:v>
                </c:pt>
                <c:pt idx="30">
                  <c:v>45993</c:v>
                </c:pt>
                <c:pt idx="31">
                  <c:v>45994</c:v>
                </c:pt>
                <c:pt idx="32">
                  <c:v>45995</c:v>
                </c:pt>
                <c:pt idx="33">
                  <c:v>45996</c:v>
                </c:pt>
                <c:pt idx="34">
                  <c:v>45997</c:v>
                </c:pt>
                <c:pt idx="35">
                  <c:v>45998</c:v>
                </c:pt>
                <c:pt idx="36">
                  <c:v>45999</c:v>
                </c:pt>
                <c:pt idx="37">
                  <c:v>46000</c:v>
                </c:pt>
                <c:pt idx="38">
                  <c:v>46001</c:v>
                </c:pt>
                <c:pt idx="39">
                  <c:v>46002</c:v>
                </c:pt>
                <c:pt idx="40">
                  <c:v>46003</c:v>
                </c:pt>
                <c:pt idx="41">
                  <c:v>46004</c:v>
                </c:pt>
                <c:pt idx="42">
                  <c:v>46005</c:v>
                </c:pt>
                <c:pt idx="43">
                  <c:v>46006</c:v>
                </c:pt>
                <c:pt idx="44">
                  <c:v>46007</c:v>
                </c:pt>
                <c:pt idx="45">
                  <c:v>46008</c:v>
                </c:pt>
                <c:pt idx="46">
                  <c:v>46009</c:v>
                </c:pt>
                <c:pt idx="47">
                  <c:v>46010</c:v>
                </c:pt>
                <c:pt idx="48">
                  <c:v>46011</c:v>
                </c:pt>
                <c:pt idx="49">
                  <c:v>46012</c:v>
                </c:pt>
                <c:pt idx="50">
                  <c:v>46013</c:v>
                </c:pt>
                <c:pt idx="51">
                  <c:v>46014</c:v>
                </c:pt>
                <c:pt idx="52">
                  <c:v>46015</c:v>
                </c:pt>
                <c:pt idx="53">
                  <c:v>46016</c:v>
                </c:pt>
                <c:pt idx="54">
                  <c:v>46017</c:v>
                </c:pt>
                <c:pt idx="55">
                  <c:v>46018</c:v>
                </c:pt>
                <c:pt idx="56">
                  <c:v>46019</c:v>
                </c:pt>
                <c:pt idx="57">
                  <c:v>46020</c:v>
                </c:pt>
                <c:pt idx="58">
                  <c:v>46021</c:v>
                </c:pt>
                <c:pt idx="59">
                  <c:v>46022</c:v>
                </c:pt>
                <c:pt idx="60">
                  <c:v>46023</c:v>
                </c:pt>
                <c:pt idx="61">
                  <c:v>46024</c:v>
                </c:pt>
                <c:pt idx="62">
                  <c:v>46025</c:v>
                </c:pt>
                <c:pt idx="63">
                  <c:v>46026</c:v>
                </c:pt>
                <c:pt idx="64">
                  <c:v>46027</c:v>
                </c:pt>
                <c:pt idx="65">
                  <c:v>46028</c:v>
                </c:pt>
                <c:pt idx="66">
                  <c:v>46029</c:v>
                </c:pt>
                <c:pt idx="67">
                  <c:v>46030</c:v>
                </c:pt>
                <c:pt idx="68">
                  <c:v>46031</c:v>
                </c:pt>
                <c:pt idx="69">
                  <c:v>46032</c:v>
                </c:pt>
                <c:pt idx="70">
                  <c:v>46033</c:v>
                </c:pt>
                <c:pt idx="71">
                  <c:v>46034</c:v>
                </c:pt>
                <c:pt idx="72">
                  <c:v>46035</c:v>
                </c:pt>
                <c:pt idx="73">
                  <c:v>46036</c:v>
                </c:pt>
                <c:pt idx="74">
                  <c:v>46037</c:v>
                </c:pt>
                <c:pt idx="75">
                  <c:v>46038</c:v>
                </c:pt>
                <c:pt idx="76">
                  <c:v>46039</c:v>
                </c:pt>
                <c:pt idx="77">
                  <c:v>46040</c:v>
                </c:pt>
                <c:pt idx="78">
                  <c:v>46041</c:v>
                </c:pt>
                <c:pt idx="79">
                  <c:v>46042</c:v>
                </c:pt>
                <c:pt idx="80">
                  <c:v>46043</c:v>
                </c:pt>
                <c:pt idx="81">
                  <c:v>46044</c:v>
                </c:pt>
                <c:pt idx="82">
                  <c:v>46045</c:v>
                </c:pt>
                <c:pt idx="83">
                  <c:v>46046</c:v>
                </c:pt>
                <c:pt idx="84">
                  <c:v>46047</c:v>
                </c:pt>
                <c:pt idx="85">
                  <c:v>46048</c:v>
                </c:pt>
                <c:pt idx="86">
                  <c:v>46049</c:v>
                </c:pt>
                <c:pt idx="87">
                  <c:v>46050</c:v>
                </c:pt>
                <c:pt idx="88">
                  <c:v>46051</c:v>
                </c:pt>
                <c:pt idx="89">
                  <c:v>46052</c:v>
                </c:pt>
                <c:pt idx="90">
                  <c:v>46053</c:v>
                </c:pt>
                <c:pt idx="91">
                  <c:v>46054</c:v>
                </c:pt>
                <c:pt idx="92">
                  <c:v>46055</c:v>
                </c:pt>
                <c:pt idx="93">
                  <c:v>46056</c:v>
                </c:pt>
                <c:pt idx="94">
                  <c:v>46057</c:v>
                </c:pt>
                <c:pt idx="95">
                  <c:v>46058</c:v>
                </c:pt>
                <c:pt idx="96">
                  <c:v>46059</c:v>
                </c:pt>
                <c:pt idx="97">
                  <c:v>46060</c:v>
                </c:pt>
                <c:pt idx="98">
                  <c:v>46061</c:v>
                </c:pt>
                <c:pt idx="99">
                  <c:v>46062</c:v>
                </c:pt>
                <c:pt idx="100">
                  <c:v>46063</c:v>
                </c:pt>
                <c:pt idx="101">
                  <c:v>46064</c:v>
                </c:pt>
                <c:pt idx="102">
                  <c:v>46065</c:v>
                </c:pt>
                <c:pt idx="103">
                  <c:v>46066</c:v>
                </c:pt>
                <c:pt idx="104">
                  <c:v>46067</c:v>
                </c:pt>
                <c:pt idx="105">
                  <c:v>46068</c:v>
                </c:pt>
                <c:pt idx="106">
                  <c:v>46069</c:v>
                </c:pt>
                <c:pt idx="107">
                  <c:v>46070</c:v>
                </c:pt>
                <c:pt idx="108">
                  <c:v>46071</c:v>
                </c:pt>
                <c:pt idx="109">
                  <c:v>46072</c:v>
                </c:pt>
                <c:pt idx="110">
                  <c:v>46073</c:v>
                </c:pt>
                <c:pt idx="111">
                  <c:v>46074</c:v>
                </c:pt>
                <c:pt idx="112">
                  <c:v>46075</c:v>
                </c:pt>
                <c:pt idx="113">
                  <c:v>46076</c:v>
                </c:pt>
                <c:pt idx="114">
                  <c:v>46077</c:v>
                </c:pt>
                <c:pt idx="115">
                  <c:v>46078</c:v>
                </c:pt>
                <c:pt idx="116">
                  <c:v>46079</c:v>
                </c:pt>
                <c:pt idx="117">
                  <c:v>46080</c:v>
                </c:pt>
                <c:pt idx="118">
                  <c:v>46081</c:v>
                </c:pt>
                <c:pt idx="119">
                  <c:v>46082</c:v>
                </c:pt>
                <c:pt idx="120">
                  <c:v>46083</c:v>
                </c:pt>
                <c:pt idx="121">
                  <c:v>46084</c:v>
                </c:pt>
                <c:pt idx="122">
                  <c:v>46085</c:v>
                </c:pt>
                <c:pt idx="123">
                  <c:v>46086</c:v>
                </c:pt>
                <c:pt idx="124">
                  <c:v>46087</c:v>
                </c:pt>
                <c:pt idx="125">
                  <c:v>46088</c:v>
                </c:pt>
                <c:pt idx="126">
                  <c:v>46089</c:v>
                </c:pt>
                <c:pt idx="127">
                  <c:v>46090</c:v>
                </c:pt>
                <c:pt idx="128">
                  <c:v>46091</c:v>
                </c:pt>
                <c:pt idx="129">
                  <c:v>46092</c:v>
                </c:pt>
                <c:pt idx="130">
                  <c:v>46093</c:v>
                </c:pt>
                <c:pt idx="131">
                  <c:v>46094</c:v>
                </c:pt>
                <c:pt idx="132">
                  <c:v>46095</c:v>
                </c:pt>
                <c:pt idx="133">
                  <c:v>46096</c:v>
                </c:pt>
                <c:pt idx="134">
                  <c:v>46097</c:v>
                </c:pt>
                <c:pt idx="135">
                  <c:v>46098</c:v>
                </c:pt>
                <c:pt idx="136">
                  <c:v>46099</c:v>
                </c:pt>
                <c:pt idx="137">
                  <c:v>46100</c:v>
                </c:pt>
                <c:pt idx="138">
                  <c:v>46101</c:v>
                </c:pt>
                <c:pt idx="139">
                  <c:v>46102</c:v>
                </c:pt>
                <c:pt idx="140">
                  <c:v>46103</c:v>
                </c:pt>
                <c:pt idx="141">
                  <c:v>46104</c:v>
                </c:pt>
                <c:pt idx="142">
                  <c:v>46105</c:v>
                </c:pt>
                <c:pt idx="143">
                  <c:v>46106</c:v>
                </c:pt>
                <c:pt idx="144">
                  <c:v>46107</c:v>
                </c:pt>
                <c:pt idx="145">
                  <c:v>46108</c:v>
                </c:pt>
                <c:pt idx="146">
                  <c:v>46109</c:v>
                </c:pt>
                <c:pt idx="147">
                  <c:v>46110</c:v>
                </c:pt>
                <c:pt idx="148">
                  <c:v>46111</c:v>
                </c:pt>
                <c:pt idx="149">
                  <c:v>46112</c:v>
                </c:pt>
                <c:pt idx="150">
                  <c:v>46113</c:v>
                </c:pt>
                <c:pt idx="151">
                  <c:v>46114</c:v>
                </c:pt>
                <c:pt idx="152">
                  <c:v>46115</c:v>
                </c:pt>
                <c:pt idx="153">
                  <c:v>46116</c:v>
                </c:pt>
                <c:pt idx="154">
                  <c:v>46117</c:v>
                </c:pt>
                <c:pt idx="155">
                  <c:v>46118</c:v>
                </c:pt>
                <c:pt idx="156">
                  <c:v>46119</c:v>
                </c:pt>
                <c:pt idx="157">
                  <c:v>46120</c:v>
                </c:pt>
                <c:pt idx="158">
                  <c:v>46121</c:v>
                </c:pt>
                <c:pt idx="159">
                  <c:v>46122</c:v>
                </c:pt>
                <c:pt idx="160">
                  <c:v>46123</c:v>
                </c:pt>
                <c:pt idx="161">
                  <c:v>46124</c:v>
                </c:pt>
                <c:pt idx="162">
                  <c:v>46125</c:v>
                </c:pt>
                <c:pt idx="163">
                  <c:v>46126</c:v>
                </c:pt>
                <c:pt idx="164">
                  <c:v>46127</c:v>
                </c:pt>
                <c:pt idx="165">
                  <c:v>46128</c:v>
                </c:pt>
                <c:pt idx="166">
                  <c:v>46129</c:v>
                </c:pt>
                <c:pt idx="167">
                  <c:v>46130</c:v>
                </c:pt>
                <c:pt idx="168">
                  <c:v>46131</c:v>
                </c:pt>
                <c:pt idx="169">
                  <c:v>46132</c:v>
                </c:pt>
                <c:pt idx="170">
                  <c:v>46133</c:v>
                </c:pt>
                <c:pt idx="171">
                  <c:v>46134</c:v>
                </c:pt>
                <c:pt idx="172">
                  <c:v>46135</c:v>
                </c:pt>
                <c:pt idx="173">
                  <c:v>46136</c:v>
                </c:pt>
                <c:pt idx="174">
                  <c:v>46137</c:v>
                </c:pt>
                <c:pt idx="175">
                  <c:v>46138</c:v>
                </c:pt>
                <c:pt idx="176">
                  <c:v>46139</c:v>
                </c:pt>
                <c:pt idx="177">
                  <c:v>46140</c:v>
                </c:pt>
                <c:pt idx="178">
                  <c:v>46141</c:v>
                </c:pt>
                <c:pt idx="179">
                  <c:v>46142</c:v>
                </c:pt>
                <c:pt idx="180">
                  <c:v>46143</c:v>
                </c:pt>
                <c:pt idx="181">
                  <c:v>46144</c:v>
                </c:pt>
                <c:pt idx="182">
                  <c:v>46145</c:v>
                </c:pt>
                <c:pt idx="183">
                  <c:v>46146</c:v>
                </c:pt>
                <c:pt idx="184">
                  <c:v>46147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46158</c:v>
                </c:pt>
                <c:pt idx="196">
                  <c:v>46159</c:v>
                </c:pt>
                <c:pt idx="197">
                  <c:v>46160</c:v>
                </c:pt>
                <c:pt idx="198">
                  <c:v>46161</c:v>
                </c:pt>
                <c:pt idx="199">
                  <c:v>46162</c:v>
                </c:pt>
                <c:pt idx="200">
                  <c:v>46163</c:v>
                </c:pt>
                <c:pt idx="201">
                  <c:v>46164</c:v>
                </c:pt>
                <c:pt idx="202">
                  <c:v>46165</c:v>
                </c:pt>
                <c:pt idx="203">
                  <c:v>46166</c:v>
                </c:pt>
                <c:pt idx="204">
                  <c:v>46167</c:v>
                </c:pt>
                <c:pt idx="205">
                  <c:v>46168</c:v>
                </c:pt>
                <c:pt idx="206">
                  <c:v>46169</c:v>
                </c:pt>
                <c:pt idx="207">
                  <c:v>46170</c:v>
                </c:pt>
                <c:pt idx="208">
                  <c:v>46171</c:v>
                </c:pt>
                <c:pt idx="209">
                  <c:v>46172</c:v>
                </c:pt>
                <c:pt idx="210">
                  <c:v>46173</c:v>
                </c:pt>
                <c:pt idx="211">
                  <c:v>46174</c:v>
                </c:pt>
                <c:pt idx="212">
                  <c:v>46175</c:v>
                </c:pt>
                <c:pt idx="213">
                  <c:v>46176</c:v>
                </c:pt>
                <c:pt idx="214">
                  <c:v>46177</c:v>
                </c:pt>
                <c:pt idx="215">
                  <c:v>46178</c:v>
                </c:pt>
                <c:pt idx="216">
                  <c:v>46179</c:v>
                </c:pt>
                <c:pt idx="217">
                  <c:v>46180</c:v>
                </c:pt>
                <c:pt idx="218">
                  <c:v>46181</c:v>
                </c:pt>
                <c:pt idx="219">
                  <c:v>46182</c:v>
                </c:pt>
                <c:pt idx="220">
                  <c:v>46183</c:v>
                </c:pt>
                <c:pt idx="221">
                  <c:v>46184</c:v>
                </c:pt>
                <c:pt idx="222">
                  <c:v>46185</c:v>
                </c:pt>
                <c:pt idx="223">
                  <c:v>46186</c:v>
                </c:pt>
                <c:pt idx="224">
                  <c:v>46187</c:v>
                </c:pt>
                <c:pt idx="225">
                  <c:v>46188</c:v>
                </c:pt>
                <c:pt idx="226">
                  <c:v>46189</c:v>
                </c:pt>
                <c:pt idx="227">
                  <c:v>46190</c:v>
                </c:pt>
                <c:pt idx="228">
                  <c:v>46191</c:v>
                </c:pt>
                <c:pt idx="229">
                  <c:v>46192</c:v>
                </c:pt>
                <c:pt idx="230">
                  <c:v>46193</c:v>
                </c:pt>
                <c:pt idx="231">
                  <c:v>46194</c:v>
                </c:pt>
                <c:pt idx="232">
                  <c:v>46195</c:v>
                </c:pt>
                <c:pt idx="233">
                  <c:v>46196</c:v>
                </c:pt>
                <c:pt idx="234">
                  <c:v>46197</c:v>
                </c:pt>
                <c:pt idx="235">
                  <c:v>46198</c:v>
                </c:pt>
                <c:pt idx="236">
                  <c:v>46199</c:v>
                </c:pt>
                <c:pt idx="237">
                  <c:v>46200</c:v>
                </c:pt>
                <c:pt idx="238">
                  <c:v>46201</c:v>
                </c:pt>
                <c:pt idx="239">
                  <c:v>46202</c:v>
                </c:pt>
                <c:pt idx="240">
                  <c:v>46203</c:v>
                </c:pt>
                <c:pt idx="241">
                  <c:v>46204</c:v>
                </c:pt>
                <c:pt idx="242">
                  <c:v>46205</c:v>
                </c:pt>
                <c:pt idx="243">
                  <c:v>46206</c:v>
                </c:pt>
                <c:pt idx="244">
                  <c:v>46207</c:v>
                </c:pt>
                <c:pt idx="245">
                  <c:v>46208</c:v>
                </c:pt>
                <c:pt idx="246">
                  <c:v>46209</c:v>
                </c:pt>
                <c:pt idx="247">
                  <c:v>46210</c:v>
                </c:pt>
                <c:pt idx="248">
                  <c:v>46211</c:v>
                </c:pt>
                <c:pt idx="249">
                  <c:v>46212</c:v>
                </c:pt>
                <c:pt idx="250">
                  <c:v>46213</c:v>
                </c:pt>
                <c:pt idx="251">
                  <c:v>46214</c:v>
                </c:pt>
                <c:pt idx="252">
                  <c:v>46215</c:v>
                </c:pt>
                <c:pt idx="253">
                  <c:v>46216</c:v>
                </c:pt>
                <c:pt idx="254">
                  <c:v>46217</c:v>
                </c:pt>
                <c:pt idx="255">
                  <c:v>46218</c:v>
                </c:pt>
                <c:pt idx="256">
                  <c:v>46219</c:v>
                </c:pt>
                <c:pt idx="257">
                  <c:v>46220</c:v>
                </c:pt>
                <c:pt idx="258">
                  <c:v>46221</c:v>
                </c:pt>
                <c:pt idx="259">
                  <c:v>46222</c:v>
                </c:pt>
                <c:pt idx="260">
                  <c:v>46223</c:v>
                </c:pt>
                <c:pt idx="261">
                  <c:v>46224</c:v>
                </c:pt>
                <c:pt idx="262">
                  <c:v>46225</c:v>
                </c:pt>
                <c:pt idx="263">
                  <c:v>46226</c:v>
                </c:pt>
                <c:pt idx="264">
                  <c:v>46227</c:v>
                </c:pt>
                <c:pt idx="265">
                  <c:v>46228</c:v>
                </c:pt>
                <c:pt idx="266">
                  <c:v>46229</c:v>
                </c:pt>
                <c:pt idx="267">
                  <c:v>46230</c:v>
                </c:pt>
                <c:pt idx="268">
                  <c:v>46231</c:v>
                </c:pt>
                <c:pt idx="269">
                  <c:v>46232</c:v>
                </c:pt>
                <c:pt idx="270">
                  <c:v>46233</c:v>
                </c:pt>
                <c:pt idx="271">
                  <c:v>46234</c:v>
                </c:pt>
                <c:pt idx="272">
                  <c:v>46235</c:v>
                </c:pt>
                <c:pt idx="273">
                  <c:v>46236</c:v>
                </c:pt>
                <c:pt idx="274">
                  <c:v>46237</c:v>
                </c:pt>
                <c:pt idx="275">
                  <c:v>46238</c:v>
                </c:pt>
                <c:pt idx="276">
                  <c:v>46239</c:v>
                </c:pt>
                <c:pt idx="277">
                  <c:v>46240</c:v>
                </c:pt>
                <c:pt idx="278">
                  <c:v>46241</c:v>
                </c:pt>
                <c:pt idx="279">
                  <c:v>46242</c:v>
                </c:pt>
                <c:pt idx="280">
                  <c:v>46243</c:v>
                </c:pt>
                <c:pt idx="281">
                  <c:v>46244</c:v>
                </c:pt>
                <c:pt idx="282">
                  <c:v>46245</c:v>
                </c:pt>
                <c:pt idx="283">
                  <c:v>46246</c:v>
                </c:pt>
                <c:pt idx="284">
                  <c:v>46247</c:v>
                </c:pt>
                <c:pt idx="285">
                  <c:v>46248</c:v>
                </c:pt>
                <c:pt idx="286">
                  <c:v>46249</c:v>
                </c:pt>
                <c:pt idx="287">
                  <c:v>46250</c:v>
                </c:pt>
                <c:pt idx="288">
                  <c:v>46251</c:v>
                </c:pt>
                <c:pt idx="289">
                  <c:v>46252</c:v>
                </c:pt>
                <c:pt idx="290">
                  <c:v>46253</c:v>
                </c:pt>
                <c:pt idx="291">
                  <c:v>46254</c:v>
                </c:pt>
                <c:pt idx="292">
                  <c:v>46255</c:v>
                </c:pt>
                <c:pt idx="293">
                  <c:v>46256</c:v>
                </c:pt>
                <c:pt idx="294">
                  <c:v>46257</c:v>
                </c:pt>
                <c:pt idx="295">
                  <c:v>46258</c:v>
                </c:pt>
                <c:pt idx="296">
                  <c:v>46259</c:v>
                </c:pt>
                <c:pt idx="297">
                  <c:v>46260</c:v>
                </c:pt>
                <c:pt idx="298">
                  <c:v>46261</c:v>
                </c:pt>
                <c:pt idx="299">
                  <c:v>46262</c:v>
                </c:pt>
                <c:pt idx="300">
                  <c:v>46263</c:v>
                </c:pt>
                <c:pt idx="301">
                  <c:v>46264</c:v>
                </c:pt>
                <c:pt idx="302">
                  <c:v>46265</c:v>
                </c:pt>
                <c:pt idx="303">
                  <c:v>46266</c:v>
                </c:pt>
                <c:pt idx="304">
                  <c:v>46267</c:v>
                </c:pt>
                <c:pt idx="305">
                  <c:v>46268</c:v>
                </c:pt>
                <c:pt idx="306">
                  <c:v>46269</c:v>
                </c:pt>
                <c:pt idx="307">
                  <c:v>46270</c:v>
                </c:pt>
                <c:pt idx="308">
                  <c:v>46271</c:v>
                </c:pt>
                <c:pt idx="309">
                  <c:v>46272</c:v>
                </c:pt>
                <c:pt idx="310">
                  <c:v>46273</c:v>
                </c:pt>
                <c:pt idx="311">
                  <c:v>46274</c:v>
                </c:pt>
                <c:pt idx="312">
                  <c:v>46275</c:v>
                </c:pt>
                <c:pt idx="313">
                  <c:v>46276</c:v>
                </c:pt>
                <c:pt idx="314">
                  <c:v>46277</c:v>
                </c:pt>
                <c:pt idx="315">
                  <c:v>46278</c:v>
                </c:pt>
                <c:pt idx="316">
                  <c:v>46279</c:v>
                </c:pt>
                <c:pt idx="317">
                  <c:v>46280</c:v>
                </c:pt>
                <c:pt idx="318">
                  <c:v>46281</c:v>
                </c:pt>
                <c:pt idx="319">
                  <c:v>46282</c:v>
                </c:pt>
                <c:pt idx="320">
                  <c:v>46283</c:v>
                </c:pt>
                <c:pt idx="321">
                  <c:v>46284</c:v>
                </c:pt>
                <c:pt idx="322">
                  <c:v>46285</c:v>
                </c:pt>
                <c:pt idx="323">
                  <c:v>46286</c:v>
                </c:pt>
                <c:pt idx="324">
                  <c:v>46287</c:v>
                </c:pt>
                <c:pt idx="325">
                  <c:v>46288</c:v>
                </c:pt>
                <c:pt idx="326">
                  <c:v>46289</c:v>
                </c:pt>
                <c:pt idx="327">
                  <c:v>46290</c:v>
                </c:pt>
                <c:pt idx="328">
                  <c:v>46291</c:v>
                </c:pt>
                <c:pt idx="329">
                  <c:v>46292</c:v>
                </c:pt>
                <c:pt idx="330">
                  <c:v>46293</c:v>
                </c:pt>
                <c:pt idx="331">
                  <c:v>46294</c:v>
                </c:pt>
                <c:pt idx="332">
                  <c:v>46295</c:v>
                </c:pt>
                <c:pt idx="333">
                  <c:v>46296</c:v>
                </c:pt>
                <c:pt idx="334">
                  <c:v>46297</c:v>
                </c:pt>
                <c:pt idx="335">
                  <c:v>46298</c:v>
                </c:pt>
                <c:pt idx="336">
                  <c:v>46299</c:v>
                </c:pt>
                <c:pt idx="337">
                  <c:v>46300</c:v>
                </c:pt>
                <c:pt idx="338">
                  <c:v>46301</c:v>
                </c:pt>
                <c:pt idx="339">
                  <c:v>46302</c:v>
                </c:pt>
                <c:pt idx="340">
                  <c:v>46303</c:v>
                </c:pt>
                <c:pt idx="341">
                  <c:v>46304</c:v>
                </c:pt>
                <c:pt idx="342">
                  <c:v>46305</c:v>
                </c:pt>
                <c:pt idx="343">
                  <c:v>46306</c:v>
                </c:pt>
                <c:pt idx="344">
                  <c:v>46307</c:v>
                </c:pt>
                <c:pt idx="345">
                  <c:v>46308</c:v>
                </c:pt>
                <c:pt idx="346">
                  <c:v>46309</c:v>
                </c:pt>
                <c:pt idx="347">
                  <c:v>46310</c:v>
                </c:pt>
                <c:pt idx="348">
                  <c:v>46311</c:v>
                </c:pt>
                <c:pt idx="349">
                  <c:v>46312</c:v>
                </c:pt>
                <c:pt idx="350">
                  <c:v>46313</c:v>
                </c:pt>
                <c:pt idx="351">
                  <c:v>46314</c:v>
                </c:pt>
                <c:pt idx="352">
                  <c:v>46315</c:v>
                </c:pt>
                <c:pt idx="353">
                  <c:v>46316</c:v>
                </c:pt>
                <c:pt idx="354">
                  <c:v>46317</c:v>
                </c:pt>
                <c:pt idx="355">
                  <c:v>46318</c:v>
                </c:pt>
                <c:pt idx="356">
                  <c:v>46319</c:v>
                </c:pt>
                <c:pt idx="357">
                  <c:v>46320</c:v>
                </c:pt>
                <c:pt idx="358">
                  <c:v>46321</c:v>
                </c:pt>
                <c:pt idx="359">
                  <c:v>46322</c:v>
                </c:pt>
                <c:pt idx="360">
                  <c:v>46323</c:v>
                </c:pt>
                <c:pt idx="361">
                  <c:v>46324</c:v>
                </c:pt>
                <c:pt idx="362">
                  <c:v>46325</c:v>
                </c:pt>
                <c:pt idx="363">
                  <c:v>46326</c:v>
                </c:pt>
                <c:pt idx="364">
                  <c:v>46327</c:v>
                </c:pt>
                <c:pt idx="365">
                  <c:v>46328</c:v>
                </c:pt>
                <c:pt idx="366">
                  <c:v>46329</c:v>
                </c:pt>
                <c:pt idx="367">
                  <c:v>46330</c:v>
                </c:pt>
                <c:pt idx="368">
                  <c:v>46331</c:v>
                </c:pt>
                <c:pt idx="369">
                  <c:v>46332</c:v>
                </c:pt>
                <c:pt idx="370">
                  <c:v>46333</c:v>
                </c:pt>
                <c:pt idx="371">
                  <c:v>46334</c:v>
                </c:pt>
                <c:pt idx="372">
                  <c:v>46335</c:v>
                </c:pt>
                <c:pt idx="373">
                  <c:v>46336</c:v>
                </c:pt>
                <c:pt idx="374">
                  <c:v>46337</c:v>
                </c:pt>
                <c:pt idx="375">
                  <c:v>46338</c:v>
                </c:pt>
                <c:pt idx="376">
                  <c:v>46339</c:v>
                </c:pt>
                <c:pt idx="377">
                  <c:v>46340</c:v>
                </c:pt>
                <c:pt idx="378">
                  <c:v>46341</c:v>
                </c:pt>
                <c:pt idx="379">
                  <c:v>46342</c:v>
                </c:pt>
                <c:pt idx="380">
                  <c:v>46343</c:v>
                </c:pt>
                <c:pt idx="381">
                  <c:v>46344</c:v>
                </c:pt>
                <c:pt idx="382">
                  <c:v>46345</c:v>
                </c:pt>
                <c:pt idx="383">
                  <c:v>46346</c:v>
                </c:pt>
                <c:pt idx="384">
                  <c:v>46347</c:v>
                </c:pt>
                <c:pt idx="385">
                  <c:v>46348</c:v>
                </c:pt>
                <c:pt idx="386">
                  <c:v>46349</c:v>
                </c:pt>
                <c:pt idx="387">
                  <c:v>46350</c:v>
                </c:pt>
                <c:pt idx="388">
                  <c:v>46351</c:v>
                </c:pt>
                <c:pt idx="389">
                  <c:v>46352</c:v>
                </c:pt>
                <c:pt idx="390">
                  <c:v>46353</c:v>
                </c:pt>
                <c:pt idx="391">
                  <c:v>46354</c:v>
                </c:pt>
                <c:pt idx="392">
                  <c:v>46355</c:v>
                </c:pt>
                <c:pt idx="393">
                  <c:v>46356</c:v>
                </c:pt>
                <c:pt idx="394">
                  <c:v>46357</c:v>
                </c:pt>
                <c:pt idx="395">
                  <c:v>46358</c:v>
                </c:pt>
                <c:pt idx="396">
                  <c:v>46359</c:v>
                </c:pt>
                <c:pt idx="397">
                  <c:v>46360</c:v>
                </c:pt>
                <c:pt idx="398">
                  <c:v>46361</c:v>
                </c:pt>
                <c:pt idx="399">
                  <c:v>46362</c:v>
                </c:pt>
                <c:pt idx="400">
                  <c:v>46363</c:v>
                </c:pt>
                <c:pt idx="401">
                  <c:v>46364</c:v>
                </c:pt>
                <c:pt idx="402">
                  <c:v>46365</c:v>
                </c:pt>
                <c:pt idx="403">
                  <c:v>46366</c:v>
                </c:pt>
                <c:pt idx="404">
                  <c:v>46367</c:v>
                </c:pt>
                <c:pt idx="405">
                  <c:v>46368</c:v>
                </c:pt>
                <c:pt idx="406">
                  <c:v>46369</c:v>
                </c:pt>
                <c:pt idx="407">
                  <c:v>46370</c:v>
                </c:pt>
                <c:pt idx="408">
                  <c:v>46371</c:v>
                </c:pt>
                <c:pt idx="409">
                  <c:v>46372</c:v>
                </c:pt>
                <c:pt idx="410">
                  <c:v>46373</c:v>
                </c:pt>
                <c:pt idx="411">
                  <c:v>46374</c:v>
                </c:pt>
                <c:pt idx="412">
                  <c:v>46375</c:v>
                </c:pt>
                <c:pt idx="413">
                  <c:v>46376</c:v>
                </c:pt>
                <c:pt idx="414">
                  <c:v>46377</c:v>
                </c:pt>
                <c:pt idx="415">
                  <c:v>46378</c:v>
                </c:pt>
                <c:pt idx="416">
                  <c:v>46379</c:v>
                </c:pt>
                <c:pt idx="417">
                  <c:v>46380</c:v>
                </c:pt>
                <c:pt idx="418">
                  <c:v>46381</c:v>
                </c:pt>
                <c:pt idx="419">
                  <c:v>46382</c:v>
                </c:pt>
                <c:pt idx="420">
                  <c:v>46383</c:v>
                </c:pt>
                <c:pt idx="421">
                  <c:v>46384</c:v>
                </c:pt>
                <c:pt idx="422">
                  <c:v>46385</c:v>
                </c:pt>
                <c:pt idx="423">
                  <c:v>46386</c:v>
                </c:pt>
                <c:pt idx="424">
                  <c:v>46387</c:v>
                </c:pt>
              </c:numCache>
            </c:numRef>
          </c:cat>
          <c:val>
            <c:numRef>
              <c:f>Grafico!$D$2:$D$426</c:f>
              <c:numCache>
                <c:formatCode>0.00</c:formatCode>
                <c:ptCount val="425"/>
                <c:pt idx="0">
                  <c:v>0</c:v>
                </c:pt>
                <c:pt idx="1">
                  <c:v>1.1000000000000001</c:v>
                </c:pt>
                <c:pt idx="2">
                  <c:v>4</c:v>
                </c:pt>
                <c:pt idx="3">
                  <c:v>8</c:v>
                </c:pt>
                <c:pt idx="4">
                  <c:v>13.5</c:v>
                </c:pt>
                <c:pt idx="5">
                  <c:v>17.5</c:v>
                </c:pt>
                <c:pt idx="6">
                  <c:v>20.5</c:v>
                </c:pt>
                <c:pt idx="7">
                  <c:v>20.5</c:v>
                </c:pt>
                <c:pt idx="8">
                  <c:v>26</c:v>
                </c:pt>
                <c:pt idx="9">
                  <c:v>31.54</c:v>
                </c:pt>
                <c:pt idx="10">
                  <c:v>35.786999999999999</c:v>
                </c:pt>
                <c:pt idx="11">
                  <c:v>41.429000000000002</c:v>
                </c:pt>
                <c:pt idx="12">
                  <c:v>47.429000000000002</c:v>
                </c:pt>
                <c:pt idx="13">
                  <c:v>52.429000000000002</c:v>
                </c:pt>
                <c:pt idx="14">
                  <c:v>56.429000000000002</c:v>
                </c:pt>
                <c:pt idx="15">
                  <c:v>56.429000000000002</c:v>
                </c:pt>
                <c:pt idx="16">
                  <c:v>56.429000000000002</c:v>
                </c:pt>
                <c:pt idx="17">
                  <c:v>59.728999999999999</c:v>
                </c:pt>
                <c:pt idx="18">
                  <c:v>66.429000000000002</c:v>
                </c:pt>
                <c:pt idx="19">
                  <c:v>67.317000000000007</c:v>
                </c:pt>
                <c:pt idx="20">
                  <c:v>68.672000000000011</c:v>
                </c:pt>
                <c:pt idx="21">
                  <c:v>68.672000000000011</c:v>
                </c:pt>
                <c:pt idx="22">
                  <c:v>72.02200000000002</c:v>
                </c:pt>
                <c:pt idx="23">
                  <c:v>72.02200000000002</c:v>
                </c:pt>
                <c:pt idx="24">
                  <c:v>72.02200000000002</c:v>
                </c:pt>
                <c:pt idx="25">
                  <c:v>72.02200000000002</c:v>
                </c:pt>
                <c:pt idx="26">
                  <c:v>72.02200000000002</c:v>
                </c:pt>
                <c:pt idx="27">
                  <c:v>72.02200000000002</c:v>
                </c:pt>
                <c:pt idx="28">
                  <c:v>72.02200000000002</c:v>
                </c:pt>
                <c:pt idx="29">
                  <c:v>72.042000000000016</c:v>
                </c:pt>
                <c:pt idx="30">
                  <c:v>72.535000000000011</c:v>
                </c:pt>
                <c:pt idx="31">
                  <c:v>73.64400000000002</c:v>
                </c:pt>
                <c:pt idx="32">
                  <c:v>77.136000000000038</c:v>
                </c:pt>
                <c:pt idx="33">
                  <c:v>83.786000000000044</c:v>
                </c:pt>
                <c:pt idx="34">
                  <c:v>83.799000000000035</c:v>
                </c:pt>
                <c:pt idx="35">
                  <c:v>83.799000000000035</c:v>
                </c:pt>
                <c:pt idx="36">
                  <c:v>84.593000000000032</c:v>
                </c:pt>
                <c:pt idx="37">
                  <c:v>84.593000000000032</c:v>
                </c:pt>
                <c:pt idx="38">
                  <c:v>84.593000000000032</c:v>
                </c:pt>
                <c:pt idx="39">
                  <c:v>84.593000000000032</c:v>
                </c:pt>
                <c:pt idx="40">
                  <c:v>84.593000000000032</c:v>
                </c:pt>
                <c:pt idx="41">
                  <c:v>84.593000000000032</c:v>
                </c:pt>
                <c:pt idx="42">
                  <c:v>84.593000000000032</c:v>
                </c:pt>
                <c:pt idx="43">
                  <c:v>84.593000000000032</c:v>
                </c:pt>
                <c:pt idx="44">
                  <c:v>84.593000000000032</c:v>
                </c:pt>
                <c:pt idx="45">
                  <c:v>88.205000000000027</c:v>
                </c:pt>
                <c:pt idx="46">
                  <c:v>93.205000000000027</c:v>
                </c:pt>
                <c:pt idx="47">
                  <c:v>93.205000000000027</c:v>
                </c:pt>
                <c:pt idx="48">
                  <c:v>93.205000000000027</c:v>
                </c:pt>
                <c:pt idx="49">
                  <c:v>93.205000000000027</c:v>
                </c:pt>
                <c:pt idx="50">
                  <c:v>93.205000000000027</c:v>
                </c:pt>
                <c:pt idx="51">
                  <c:v>93.205000000000027</c:v>
                </c:pt>
                <c:pt idx="52">
                  <c:v>93.205000000000027</c:v>
                </c:pt>
                <c:pt idx="53">
                  <c:v>93.205000000000027</c:v>
                </c:pt>
                <c:pt idx="54">
                  <c:v>93.205000000000027</c:v>
                </c:pt>
                <c:pt idx="55">
                  <c:v>93.205000000000027</c:v>
                </c:pt>
                <c:pt idx="56">
                  <c:v>93.205000000000027</c:v>
                </c:pt>
                <c:pt idx="57">
                  <c:v>93.205000000000027</c:v>
                </c:pt>
                <c:pt idx="58">
                  <c:v>93.205000000000027</c:v>
                </c:pt>
                <c:pt idx="59">
                  <c:v>93.205000000000027</c:v>
                </c:pt>
                <c:pt idx="60">
                  <c:v>93.205000000000027</c:v>
                </c:pt>
                <c:pt idx="61">
                  <c:v>93.205000000000027</c:v>
                </c:pt>
                <c:pt idx="62">
                  <c:v>93.205000000000027</c:v>
                </c:pt>
                <c:pt idx="63">
                  <c:v>93.205000000000027</c:v>
                </c:pt>
                <c:pt idx="64">
                  <c:v>95.355000000000032</c:v>
                </c:pt>
                <c:pt idx="65">
                  <c:v>99.53900000000003</c:v>
                </c:pt>
                <c:pt idx="66">
                  <c:v>99.53900000000003</c:v>
                </c:pt>
                <c:pt idx="67">
                  <c:v>99.53900000000003</c:v>
                </c:pt>
                <c:pt idx="68">
                  <c:v>99.826000000000036</c:v>
                </c:pt>
                <c:pt idx="69">
                  <c:v>99.826000000000036</c:v>
                </c:pt>
                <c:pt idx="70">
                  <c:v>99.826000000000036</c:v>
                </c:pt>
                <c:pt idx="71">
                  <c:v>99.826000000000036</c:v>
                </c:pt>
                <c:pt idx="72">
                  <c:v>99.869000000000042</c:v>
                </c:pt>
                <c:pt idx="73">
                  <c:v>99.869000000000042</c:v>
                </c:pt>
                <c:pt idx="74">
                  <c:v>99.869000000000042</c:v>
                </c:pt>
                <c:pt idx="75">
                  <c:v>99.869000000000042</c:v>
                </c:pt>
                <c:pt idx="76">
                  <c:v>99.869000000000042</c:v>
                </c:pt>
                <c:pt idx="77">
                  <c:v>99.869000000000042</c:v>
                </c:pt>
                <c:pt idx="78">
                  <c:v>99.869000000000042</c:v>
                </c:pt>
                <c:pt idx="79">
                  <c:v>99.906000000000049</c:v>
                </c:pt>
                <c:pt idx="80">
                  <c:v>99.906000000000049</c:v>
                </c:pt>
                <c:pt idx="81">
                  <c:v>99.906000000000049</c:v>
                </c:pt>
                <c:pt idx="82">
                  <c:v>99.906000000000049</c:v>
                </c:pt>
                <c:pt idx="83">
                  <c:v>99.906000000000049</c:v>
                </c:pt>
                <c:pt idx="84">
                  <c:v>99.906000000000049</c:v>
                </c:pt>
                <c:pt idx="85">
                  <c:v>99.906000000000049</c:v>
                </c:pt>
                <c:pt idx="86">
                  <c:v>99.906000000000049</c:v>
                </c:pt>
                <c:pt idx="87">
                  <c:v>99.906000000000049</c:v>
                </c:pt>
                <c:pt idx="88">
                  <c:v>99.906000000000049</c:v>
                </c:pt>
                <c:pt idx="89">
                  <c:v>99.906000000000049</c:v>
                </c:pt>
                <c:pt idx="90">
                  <c:v>99.906000000000049</c:v>
                </c:pt>
                <c:pt idx="91">
                  <c:v>99.906000000000049</c:v>
                </c:pt>
                <c:pt idx="92">
                  <c:v>99.906000000000049</c:v>
                </c:pt>
                <c:pt idx="93">
                  <c:v>99.906000000000049</c:v>
                </c:pt>
                <c:pt idx="94">
                  <c:v>99.906000000000049</c:v>
                </c:pt>
                <c:pt idx="95">
                  <c:v>99.906000000000049</c:v>
                </c:pt>
                <c:pt idx="96">
                  <c:v>99.906000000000049</c:v>
                </c:pt>
                <c:pt idx="97">
                  <c:v>99.906000000000049</c:v>
                </c:pt>
                <c:pt idx="98">
                  <c:v>99.906000000000049</c:v>
                </c:pt>
                <c:pt idx="99">
                  <c:v>99.906000000000049</c:v>
                </c:pt>
                <c:pt idx="100">
                  <c:v>99.906000000000049</c:v>
                </c:pt>
                <c:pt idx="101">
                  <c:v>99.906000000000049</c:v>
                </c:pt>
                <c:pt idx="102">
                  <c:v>99.906000000000049</c:v>
                </c:pt>
                <c:pt idx="103">
                  <c:v>99.906000000000049</c:v>
                </c:pt>
                <c:pt idx="104">
                  <c:v>99.906000000000049</c:v>
                </c:pt>
                <c:pt idx="105">
                  <c:v>99.906000000000049</c:v>
                </c:pt>
                <c:pt idx="106">
                  <c:v>99.906000000000049</c:v>
                </c:pt>
                <c:pt idx="107">
                  <c:v>99.906000000000049</c:v>
                </c:pt>
                <c:pt idx="108">
                  <c:v>99.906000000000049</c:v>
                </c:pt>
                <c:pt idx="109">
                  <c:v>99.906000000000049</c:v>
                </c:pt>
                <c:pt idx="110">
                  <c:v>99.906000000000049</c:v>
                </c:pt>
                <c:pt idx="111">
                  <c:v>99.906000000000049</c:v>
                </c:pt>
                <c:pt idx="112">
                  <c:v>99.906000000000049</c:v>
                </c:pt>
                <c:pt idx="113">
                  <c:v>99.906000000000049</c:v>
                </c:pt>
                <c:pt idx="114">
                  <c:v>99.906000000000049</c:v>
                </c:pt>
                <c:pt idx="115">
                  <c:v>99.906000000000049</c:v>
                </c:pt>
                <c:pt idx="116">
                  <c:v>99.906000000000049</c:v>
                </c:pt>
                <c:pt idx="117">
                  <c:v>99.906000000000049</c:v>
                </c:pt>
                <c:pt idx="118">
                  <c:v>99.906000000000049</c:v>
                </c:pt>
                <c:pt idx="119">
                  <c:v>99.906000000000049</c:v>
                </c:pt>
                <c:pt idx="120">
                  <c:v>99.906000000000049</c:v>
                </c:pt>
                <c:pt idx="121">
                  <c:v>99.906000000000049</c:v>
                </c:pt>
                <c:pt idx="122">
                  <c:v>99.906000000000049</c:v>
                </c:pt>
                <c:pt idx="123">
                  <c:v>99.906000000000049</c:v>
                </c:pt>
                <c:pt idx="124">
                  <c:v>99.906000000000049</c:v>
                </c:pt>
                <c:pt idx="125">
                  <c:v>99.906000000000049</c:v>
                </c:pt>
                <c:pt idx="126">
                  <c:v>99.906000000000049</c:v>
                </c:pt>
                <c:pt idx="127">
                  <c:v>99.906000000000049</c:v>
                </c:pt>
                <c:pt idx="128">
                  <c:v>99.906000000000049</c:v>
                </c:pt>
                <c:pt idx="129">
                  <c:v>99.906000000000049</c:v>
                </c:pt>
                <c:pt idx="130">
                  <c:v>99.906000000000049</c:v>
                </c:pt>
                <c:pt idx="131">
                  <c:v>99.906000000000049</c:v>
                </c:pt>
                <c:pt idx="132">
                  <c:v>99.906000000000049</c:v>
                </c:pt>
                <c:pt idx="133">
                  <c:v>99.906000000000049</c:v>
                </c:pt>
                <c:pt idx="134">
                  <c:v>99.906000000000049</c:v>
                </c:pt>
                <c:pt idx="135">
                  <c:v>99.906000000000049</c:v>
                </c:pt>
                <c:pt idx="136">
                  <c:v>99.906000000000049</c:v>
                </c:pt>
                <c:pt idx="137">
                  <c:v>99.906000000000049</c:v>
                </c:pt>
                <c:pt idx="138">
                  <c:v>99.906000000000049</c:v>
                </c:pt>
                <c:pt idx="139">
                  <c:v>99.906000000000049</c:v>
                </c:pt>
                <c:pt idx="140">
                  <c:v>99.906000000000049</c:v>
                </c:pt>
                <c:pt idx="141">
                  <c:v>99.906000000000049</c:v>
                </c:pt>
                <c:pt idx="142">
                  <c:v>99.906000000000049</c:v>
                </c:pt>
                <c:pt idx="143">
                  <c:v>99.906000000000049</c:v>
                </c:pt>
                <c:pt idx="144">
                  <c:v>99.906000000000049</c:v>
                </c:pt>
                <c:pt idx="145">
                  <c:v>99.906000000000049</c:v>
                </c:pt>
                <c:pt idx="146">
                  <c:v>99.906000000000049</c:v>
                </c:pt>
                <c:pt idx="147">
                  <c:v>99.906000000000049</c:v>
                </c:pt>
                <c:pt idx="148">
                  <c:v>101.90600000000005</c:v>
                </c:pt>
                <c:pt idx="149">
                  <c:v>103.50600000000004</c:v>
                </c:pt>
                <c:pt idx="150">
                  <c:v>104.90600000000005</c:v>
                </c:pt>
                <c:pt idx="151">
                  <c:v>107.65000000000005</c:v>
                </c:pt>
                <c:pt idx="152">
                  <c:v>108.65000000000005</c:v>
                </c:pt>
                <c:pt idx="153">
                  <c:v>109.52800000000005</c:v>
                </c:pt>
                <c:pt idx="154">
                  <c:v>109.52800000000005</c:v>
                </c:pt>
                <c:pt idx="155">
                  <c:v>109.52800000000005</c:v>
                </c:pt>
                <c:pt idx="156">
                  <c:v>110.52800000000005</c:v>
                </c:pt>
                <c:pt idx="157">
                  <c:v>112.52800000000005</c:v>
                </c:pt>
                <c:pt idx="158">
                  <c:v>115.27800000000005</c:v>
                </c:pt>
                <c:pt idx="159">
                  <c:v>118.27800000000005</c:v>
                </c:pt>
                <c:pt idx="160">
                  <c:v>119.52800000000005</c:v>
                </c:pt>
                <c:pt idx="161">
                  <c:v>119.52800000000005</c:v>
                </c:pt>
                <c:pt idx="162">
                  <c:v>120.72800000000005</c:v>
                </c:pt>
                <c:pt idx="163">
                  <c:v>123.02800000000005</c:v>
                </c:pt>
                <c:pt idx="164">
                  <c:v>124.88600000000005</c:v>
                </c:pt>
                <c:pt idx="165">
                  <c:v>125.14200000000005</c:v>
                </c:pt>
                <c:pt idx="166">
                  <c:v>125.14200000000005</c:v>
                </c:pt>
                <c:pt idx="167">
                  <c:v>125.14200000000005</c:v>
                </c:pt>
                <c:pt idx="168">
                  <c:v>125.14200000000005</c:v>
                </c:pt>
                <c:pt idx="169">
                  <c:v>125.14200000000005</c:v>
                </c:pt>
                <c:pt idx="170">
                  <c:v>125.14200000000005</c:v>
                </c:pt>
                <c:pt idx="171">
                  <c:v>125.14200000000005</c:v>
                </c:pt>
                <c:pt idx="172">
                  <c:v>125.14200000000005</c:v>
                </c:pt>
                <c:pt idx="173">
                  <c:v>125.14200000000005</c:v>
                </c:pt>
                <c:pt idx="174">
                  <c:v>125.14200000000005</c:v>
                </c:pt>
                <c:pt idx="175">
                  <c:v>125.14200000000005</c:v>
                </c:pt>
                <c:pt idx="176">
                  <c:v>125.14200000000005</c:v>
                </c:pt>
                <c:pt idx="177">
                  <c:v>125.14200000000005</c:v>
                </c:pt>
                <c:pt idx="178">
                  <c:v>125.14200000000005</c:v>
                </c:pt>
                <c:pt idx="179">
                  <c:v>125.14200000000005</c:v>
                </c:pt>
                <c:pt idx="180">
                  <c:v>125.14200000000005</c:v>
                </c:pt>
                <c:pt idx="181">
                  <c:v>125.14200000000005</c:v>
                </c:pt>
                <c:pt idx="182">
                  <c:v>125.14200000000005</c:v>
                </c:pt>
                <c:pt idx="183">
                  <c:v>125.14200000000005</c:v>
                </c:pt>
                <c:pt idx="184">
                  <c:v>125.14200000000005</c:v>
                </c:pt>
                <c:pt idx="185">
                  <c:v>125.14200000000005</c:v>
                </c:pt>
                <c:pt idx="186">
                  <c:v>125.14200000000005</c:v>
                </c:pt>
                <c:pt idx="187">
                  <c:v>125.14200000000005</c:v>
                </c:pt>
                <c:pt idx="188">
                  <c:v>125.14200000000005</c:v>
                </c:pt>
                <c:pt idx="189">
                  <c:v>125.14200000000005</c:v>
                </c:pt>
                <c:pt idx="190">
                  <c:v>125.14200000000005</c:v>
                </c:pt>
                <c:pt idx="191">
                  <c:v>125.14200000000005</c:v>
                </c:pt>
                <c:pt idx="192">
                  <c:v>125.14200000000005</c:v>
                </c:pt>
                <c:pt idx="193">
                  <c:v>125.14200000000005</c:v>
                </c:pt>
                <c:pt idx="194">
                  <c:v>125.14200000000005</c:v>
                </c:pt>
                <c:pt idx="195">
                  <c:v>125.14200000000005</c:v>
                </c:pt>
                <c:pt idx="196">
                  <c:v>125.14200000000005</c:v>
                </c:pt>
                <c:pt idx="197">
                  <c:v>125.14200000000005</c:v>
                </c:pt>
                <c:pt idx="198">
                  <c:v>125.14200000000005</c:v>
                </c:pt>
                <c:pt idx="199">
                  <c:v>125.14200000000005</c:v>
                </c:pt>
                <c:pt idx="200">
                  <c:v>125.14200000000005</c:v>
                </c:pt>
                <c:pt idx="201">
                  <c:v>125.14200000000005</c:v>
                </c:pt>
                <c:pt idx="202">
                  <c:v>125.14200000000005</c:v>
                </c:pt>
                <c:pt idx="203">
                  <c:v>125.14200000000005</c:v>
                </c:pt>
                <c:pt idx="204">
                  <c:v>125.16800000000005</c:v>
                </c:pt>
                <c:pt idx="205">
                  <c:v>127.08800000000005</c:v>
                </c:pt>
                <c:pt idx="206">
                  <c:v>127.08800000000005</c:v>
                </c:pt>
                <c:pt idx="207">
                  <c:v>127.41700000000004</c:v>
                </c:pt>
                <c:pt idx="208">
                  <c:v>128.30600000000004</c:v>
                </c:pt>
                <c:pt idx="209">
                  <c:v>128.76900000000003</c:v>
                </c:pt>
                <c:pt idx="210">
                  <c:v>128.76900000000003</c:v>
                </c:pt>
                <c:pt idx="211">
                  <c:v>128.76900000000003</c:v>
                </c:pt>
                <c:pt idx="212">
                  <c:v>128.76900000000003</c:v>
                </c:pt>
                <c:pt idx="213">
                  <c:v>128.76900000000003</c:v>
                </c:pt>
                <c:pt idx="214">
                  <c:v>128.76900000000003</c:v>
                </c:pt>
                <c:pt idx="215">
                  <c:v>130.97100000000006</c:v>
                </c:pt>
                <c:pt idx="216">
                  <c:v>130.97100000000006</c:v>
                </c:pt>
                <c:pt idx="217">
                  <c:v>130.97100000000006</c:v>
                </c:pt>
                <c:pt idx="218">
                  <c:v>130.97100000000006</c:v>
                </c:pt>
                <c:pt idx="219">
                  <c:v>130.97100000000006</c:v>
                </c:pt>
                <c:pt idx="220">
                  <c:v>130.97100000000006</c:v>
                </c:pt>
                <c:pt idx="221">
                  <c:v>130.97100000000006</c:v>
                </c:pt>
                <c:pt idx="222">
                  <c:v>130.97100000000006</c:v>
                </c:pt>
                <c:pt idx="223">
                  <c:v>130.97100000000006</c:v>
                </c:pt>
                <c:pt idx="224">
                  <c:v>130.97100000000006</c:v>
                </c:pt>
                <c:pt idx="225">
                  <c:v>130.97100000000006</c:v>
                </c:pt>
                <c:pt idx="226">
                  <c:v>130.97100000000006</c:v>
                </c:pt>
                <c:pt idx="227">
                  <c:v>130.97100000000006</c:v>
                </c:pt>
                <c:pt idx="228">
                  <c:v>130.97100000000006</c:v>
                </c:pt>
                <c:pt idx="229">
                  <c:v>132.54000000000008</c:v>
                </c:pt>
                <c:pt idx="230">
                  <c:v>132.55400000000009</c:v>
                </c:pt>
                <c:pt idx="231">
                  <c:v>132.55400000000009</c:v>
                </c:pt>
                <c:pt idx="232">
                  <c:v>132.55400000000009</c:v>
                </c:pt>
                <c:pt idx="233">
                  <c:v>132.55400000000009</c:v>
                </c:pt>
                <c:pt idx="234">
                  <c:v>132.55400000000009</c:v>
                </c:pt>
                <c:pt idx="235">
                  <c:v>132.58700000000007</c:v>
                </c:pt>
                <c:pt idx="236">
                  <c:v>133.24400000000006</c:v>
                </c:pt>
                <c:pt idx="237">
                  <c:v>134.08600000000004</c:v>
                </c:pt>
                <c:pt idx="238">
                  <c:v>134.08600000000004</c:v>
                </c:pt>
                <c:pt idx="239">
                  <c:v>134.08600000000004</c:v>
                </c:pt>
                <c:pt idx="240">
                  <c:v>134.18600000000004</c:v>
                </c:pt>
                <c:pt idx="241">
                  <c:v>134.18600000000004</c:v>
                </c:pt>
                <c:pt idx="242">
                  <c:v>135.52600000000004</c:v>
                </c:pt>
                <c:pt idx="243">
                  <c:v>138.22900000000001</c:v>
                </c:pt>
                <c:pt idx="244">
                  <c:v>139.69900000000001</c:v>
                </c:pt>
                <c:pt idx="245">
                  <c:v>139.69900000000001</c:v>
                </c:pt>
                <c:pt idx="246">
                  <c:v>145.57100000000003</c:v>
                </c:pt>
                <c:pt idx="247">
                  <c:v>145.57100000000003</c:v>
                </c:pt>
                <c:pt idx="248">
                  <c:v>145.57100000000003</c:v>
                </c:pt>
                <c:pt idx="249">
                  <c:v>145.57100000000003</c:v>
                </c:pt>
                <c:pt idx="250">
                  <c:v>145.57100000000003</c:v>
                </c:pt>
                <c:pt idx="251">
                  <c:v>145.57100000000003</c:v>
                </c:pt>
                <c:pt idx="252">
                  <c:v>145.57100000000003</c:v>
                </c:pt>
                <c:pt idx="253">
                  <c:v>145.57100000000003</c:v>
                </c:pt>
                <c:pt idx="254">
                  <c:v>145.57100000000003</c:v>
                </c:pt>
                <c:pt idx="255">
                  <c:v>145.57100000000003</c:v>
                </c:pt>
                <c:pt idx="256">
                  <c:v>145.70400000000001</c:v>
                </c:pt>
                <c:pt idx="257">
                  <c:v>145.94399999999999</c:v>
                </c:pt>
                <c:pt idx="258">
                  <c:v>145.94399999999999</c:v>
                </c:pt>
                <c:pt idx="259">
                  <c:v>145.94399999999999</c:v>
                </c:pt>
                <c:pt idx="260">
                  <c:v>148.02099999999999</c:v>
                </c:pt>
                <c:pt idx="261">
                  <c:v>148.02099999999999</c:v>
                </c:pt>
                <c:pt idx="262">
                  <c:v>148.02099999999999</c:v>
                </c:pt>
                <c:pt idx="263">
                  <c:v>148.02099999999999</c:v>
                </c:pt>
                <c:pt idx="264">
                  <c:v>148.02099999999999</c:v>
                </c:pt>
                <c:pt idx="265">
                  <c:v>148.02099999999999</c:v>
                </c:pt>
                <c:pt idx="266">
                  <c:v>148.02099999999999</c:v>
                </c:pt>
                <c:pt idx="267">
                  <c:v>148.02099999999999</c:v>
                </c:pt>
                <c:pt idx="268">
                  <c:v>148.02099999999999</c:v>
                </c:pt>
                <c:pt idx="269">
                  <c:v>148.02099999999999</c:v>
                </c:pt>
                <c:pt idx="270">
                  <c:v>148.02099999999999</c:v>
                </c:pt>
                <c:pt idx="271">
                  <c:v>148.02099999999999</c:v>
                </c:pt>
                <c:pt idx="272">
                  <c:v>148.02099999999999</c:v>
                </c:pt>
                <c:pt idx="273">
                  <c:v>148.02099999999999</c:v>
                </c:pt>
                <c:pt idx="274">
                  <c:v>148.02099999999999</c:v>
                </c:pt>
                <c:pt idx="275">
                  <c:v>148.02099999999999</c:v>
                </c:pt>
                <c:pt idx="276">
                  <c:v>148.03599999999997</c:v>
                </c:pt>
                <c:pt idx="277">
                  <c:v>148.03599999999997</c:v>
                </c:pt>
                <c:pt idx="278">
                  <c:v>148.03599999999997</c:v>
                </c:pt>
                <c:pt idx="279">
                  <c:v>148.03599999999997</c:v>
                </c:pt>
                <c:pt idx="280">
                  <c:v>148.03599999999997</c:v>
                </c:pt>
                <c:pt idx="281">
                  <c:v>148.03599999999997</c:v>
                </c:pt>
                <c:pt idx="282">
                  <c:v>148.03599999999997</c:v>
                </c:pt>
                <c:pt idx="283">
                  <c:v>148.03599999999997</c:v>
                </c:pt>
                <c:pt idx="284">
                  <c:v>148.03599999999997</c:v>
                </c:pt>
                <c:pt idx="285">
                  <c:v>148.04199999999997</c:v>
                </c:pt>
                <c:pt idx="286">
                  <c:v>148.88699999999997</c:v>
                </c:pt>
                <c:pt idx="287">
                  <c:v>149.96199999999996</c:v>
                </c:pt>
                <c:pt idx="288">
                  <c:v>152.34199999999996</c:v>
                </c:pt>
                <c:pt idx="289">
                  <c:v>152.34199999999996</c:v>
                </c:pt>
                <c:pt idx="290">
                  <c:v>154.97199999999998</c:v>
                </c:pt>
                <c:pt idx="291">
                  <c:v>154.97199999999998</c:v>
                </c:pt>
                <c:pt idx="292">
                  <c:v>155.58199999999999</c:v>
                </c:pt>
                <c:pt idx="293">
                  <c:v>156.43199999999999</c:v>
                </c:pt>
                <c:pt idx="294">
                  <c:v>156.43199999999999</c:v>
                </c:pt>
                <c:pt idx="295">
                  <c:v>158.042</c:v>
                </c:pt>
                <c:pt idx="296">
                  <c:v>158.042</c:v>
                </c:pt>
                <c:pt idx="297">
                  <c:v>158.042</c:v>
                </c:pt>
                <c:pt idx="298">
                  <c:v>158.042</c:v>
                </c:pt>
                <c:pt idx="299">
                  <c:v>159.39099999999999</c:v>
                </c:pt>
                <c:pt idx="300">
                  <c:v>159.39099999999999</c:v>
                </c:pt>
                <c:pt idx="301">
                  <c:v>159.39099999999999</c:v>
                </c:pt>
                <c:pt idx="302">
                  <c:v>160.191</c:v>
                </c:pt>
                <c:pt idx="303">
                  <c:v>164.95599999999999</c:v>
                </c:pt>
                <c:pt idx="304">
                  <c:v>164.95599999999999</c:v>
                </c:pt>
                <c:pt idx="305">
                  <c:v>164.95599999999999</c:v>
                </c:pt>
                <c:pt idx="306">
                  <c:v>164.95599999999999</c:v>
                </c:pt>
                <c:pt idx="307">
                  <c:v>164.95599999999999</c:v>
                </c:pt>
                <c:pt idx="308">
                  <c:v>164.95599999999999</c:v>
                </c:pt>
                <c:pt idx="309">
                  <c:v>164.95599999999999</c:v>
                </c:pt>
                <c:pt idx="310">
                  <c:v>164.95599999999999</c:v>
                </c:pt>
                <c:pt idx="311">
                  <c:v>164.95599999999999</c:v>
                </c:pt>
                <c:pt idx="312">
                  <c:v>166.30199999999999</c:v>
                </c:pt>
                <c:pt idx="313">
                  <c:v>166.30199999999999</c:v>
                </c:pt>
                <c:pt idx="314">
                  <c:v>166.30199999999999</c:v>
                </c:pt>
                <c:pt idx="315">
                  <c:v>166.30199999999999</c:v>
                </c:pt>
                <c:pt idx="316">
                  <c:v>166.30199999999999</c:v>
                </c:pt>
                <c:pt idx="317">
                  <c:v>170.642</c:v>
                </c:pt>
                <c:pt idx="318">
                  <c:v>170.642</c:v>
                </c:pt>
                <c:pt idx="319">
                  <c:v>170.642</c:v>
                </c:pt>
                <c:pt idx="320">
                  <c:v>170.642</c:v>
                </c:pt>
                <c:pt idx="321">
                  <c:v>170.642</c:v>
                </c:pt>
                <c:pt idx="322">
                  <c:v>170.642</c:v>
                </c:pt>
                <c:pt idx="323">
                  <c:v>170.642</c:v>
                </c:pt>
                <c:pt idx="324">
                  <c:v>170.642</c:v>
                </c:pt>
                <c:pt idx="325">
                  <c:v>170.642</c:v>
                </c:pt>
                <c:pt idx="326">
                  <c:v>170.642</c:v>
                </c:pt>
                <c:pt idx="327">
                  <c:v>170.642</c:v>
                </c:pt>
                <c:pt idx="328">
                  <c:v>170.642</c:v>
                </c:pt>
                <c:pt idx="329">
                  <c:v>170.642</c:v>
                </c:pt>
                <c:pt idx="330">
                  <c:v>173.642</c:v>
                </c:pt>
                <c:pt idx="331">
                  <c:v>178.292</c:v>
                </c:pt>
                <c:pt idx="332">
                  <c:v>180.261</c:v>
                </c:pt>
                <c:pt idx="333">
                  <c:v>180.261</c:v>
                </c:pt>
                <c:pt idx="334">
                  <c:v>180.261</c:v>
                </c:pt>
                <c:pt idx="335">
                  <c:v>180.261</c:v>
                </c:pt>
                <c:pt idx="336">
                  <c:v>180.261</c:v>
                </c:pt>
                <c:pt idx="337">
                  <c:v>180.261</c:v>
                </c:pt>
                <c:pt idx="338">
                  <c:v>181.53599999999997</c:v>
                </c:pt>
                <c:pt idx="339">
                  <c:v>181.78849999999997</c:v>
                </c:pt>
                <c:pt idx="340">
                  <c:v>181.88549999999998</c:v>
                </c:pt>
                <c:pt idx="341">
                  <c:v>181.88549999999998</c:v>
                </c:pt>
                <c:pt idx="342">
                  <c:v>181.88549999999998</c:v>
                </c:pt>
                <c:pt idx="343">
                  <c:v>181.88549999999998</c:v>
                </c:pt>
                <c:pt idx="344">
                  <c:v>181.88549999999998</c:v>
                </c:pt>
                <c:pt idx="345">
                  <c:v>181.88549999999998</c:v>
                </c:pt>
                <c:pt idx="346">
                  <c:v>181.88549999999998</c:v>
                </c:pt>
                <c:pt idx="347">
                  <c:v>181.88549999999998</c:v>
                </c:pt>
                <c:pt idx="348">
                  <c:v>181.88549999999998</c:v>
                </c:pt>
                <c:pt idx="349">
                  <c:v>181.88549999999998</c:v>
                </c:pt>
                <c:pt idx="350">
                  <c:v>181.88549999999998</c:v>
                </c:pt>
                <c:pt idx="351">
                  <c:v>181.88549999999998</c:v>
                </c:pt>
                <c:pt idx="352">
                  <c:v>181.88549999999998</c:v>
                </c:pt>
                <c:pt idx="353">
                  <c:v>181.88549999999998</c:v>
                </c:pt>
                <c:pt idx="354">
                  <c:v>181.88549999999998</c:v>
                </c:pt>
                <c:pt idx="355">
                  <c:v>181.88549999999998</c:v>
                </c:pt>
                <c:pt idx="356">
                  <c:v>181.88549999999998</c:v>
                </c:pt>
                <c:pt idx="357">
                  <c:v>181.88549999999998</c:v>
                </c:pt>
                <c:pt idx="358">
                  <c:v>181.88549999999998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801-41B8-A1FA-3499B89194F0}"/>
            </c:ext>
          </c:extLst>
        </c:ser>
        <c:ser>
          <c:idx val="5"/>
          <c:order val="1"/>
          <c:tx>
            <c:strRef>
              <c:f>Grafico!$E$1</c:f>
              <c:strCache>
                <c:ptCount val="1"/>
                <c:pt idx="0">
                  <c:v>CIPS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Grafico!$A$2:$A$426</c:f>
              <c:numCache>
                <c:formatCode>d\-mmm</c:formatCode>
                <c:ptCount val="425"/>
                <c:pt idx="0">
                  <c:v>45963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45969</c:v>
                </c:pt>
                <c:pt idx="7">
                  <c:v>45970</c:v>
                </c:pt>
                <c:pt idx="8">
                  <c:v>45971</c:v>
                </c:pt>
                <c:pt idx="9">
                  <c:v>45972</c:v>
                </c:pt>
                <c:pt idx="10">
                  <c:v>45973</c:v>
                </c:pt>
                <c:pt idx="11">
                  <c:v>45974</c:v>
                </c:pt>
                <c:pt idx="12">
                  <c:v>45975</c:v>
                </c:pt>
                <c:pt idx="13">
                  <c:v>45976</c:v>
                </c:pt>
                <c:pt idx="14">
                  <c:v>45977</c:v>
                </c:pt>
                <c:pt idx="15">
                  <c:v>45978</c:v>
                </c:pt>
                <c:pt idx="16">
                  <c:v>45979</c:v>
                </c:pt>
                <c:pt idx="17">
                  <c:v>45980</c:v>
                </c:pt>
                <c:pt idx="18">
                  <c:v>45981</c:v>
                </c:pt>
                <c:pt idx="19">
                  <c:v>45982</c:v>
                </c:pt>
                <c:pt idx="20">
                  <c:v>45983</c:v>
                </c:pt>
                <c:pt idx="21">
                  <c:v>45984</c:v>
                </c:pt>
                <c:pt idx="22">
                  <c:v>45985</c:v>
                </c:pt>
                <c:pt idx="23">
                  <c:v>45986</c:v>
                </c:pt>
                <c:pt idx="24">
                  <c:v>45987</c:v>
                </c:pt>
                <c:pt idx="25">
                  <c:v>45988</c:v>
                </c:pt>
                <c:pt idx="26">
                  <c:v>45989</c:v>
                </c:pt>
                <c:pt idx="27">
                  <c:v>45990</c:v>
                </c:pt>
                <c:pt idx="28">
                  <c:v>45991</c:v>
                </c:pt>
                <c:pt idx="29">
                  <c:v>45992</c:v>
                </c:pt>
                <c:pt idx="30">
                  <c:v>45993</c:v>
                </c:pt>
                <c:pt idx="31">
                  <c:v>45994</c:v>
                </c:pt>
                <c:pt idx="32">
                  <c:v>45995</c:v>
                </c:pt>
                <c:pt idx="33">
                  <c:v>45996</c:v>
                </c:pt>
                <c:pt idx="34">
                  <c:v>45997</c:v>
                </c:pt>
                <c:pt idx="35">
                  <c:v>45998</c:v>
                </c:pt>
                <c:pt idx="36">
                  <c:v>45999</c:v>
                </c:pt>
                <c:pt idx="37">
                  <c:v>46000</c:v>
                </c:pt>
                <c:pt idx="38">
                  <c:v>46001</c:v>
                </c:pt>
                <c:pt idx="39">
                  <c:v>46002</c:v>
                </c:pt>
                <c:pt idx="40">
                  <c:v>46003</c:v>
                </c:pt>
                <c:pt idx="41">
                  <c:v>46004</c:v>
                </c:pt>
                <c:pt idx="42">
                  <c:v>46005</c:v>
                </c:pt>
                <c:pt idx="43">
                  <c:v>46006</c:v>
                </c:pt>
                <c:pt idx="44">
                  <c:v>46007</c:v>
                </c:pt>
                <c:pt idx="45">
                  <c:v>46008</c:v>
                </c:pt>
                <c:pt idx="46">
                  <c:v>46009</c:v>
                </c:pt>
                <c:pt idx="47">
                  <c:v>46010</c:v>
                </c:pt>
                <c:pt idx="48">
                  <c:v>46011</c:v>
                </c:pt>
                <c:pt idx="49">
                  <c:v>46012</c:v>
                </c:pt>
                <c:pt idx="50">
                  <c:v>46013</c:v>
                </c:pt>
                <c:pt idx="51">
                  <c:v>46014</c:v>
                </c:pt>
                <c:pt idx="52">
                  <c:v>46015</c:v>
                </c:pt>
                <c:pt idx="53">
                  <c:v>46016</c:v>
                </c:pt>
                <c:pt idx="54">
                  <c:v>46017</c:v>
                </c:pt>
                <c:pt idx="55">
                  <c:v>46018</c:v>
                </c:pt>
                <c:pt idx="56">
                  <c:v>46019</c:v>
                </c:pt>
                <c:pt idx="57">
                  <c:v>46020</c:v>
                </c:pt>
                <c:pt idx="58">
                  <c:v>46021</c:v>
                </c:pt>
                <c:pt idx="59">
                  <c:v>46022</c:v>
                </c:pt>
                <c:pt idx="60">
                  <c:v>46023</c:v>
                </c:pt>
                <c:pt idx="61">
                  <c:v>46024</c:v>
                </c:pt>
                <c:pt idx="62">
                  <c:v>46025</c:v>
                </c:pt>
                <c:pt idx="63">
                  <c:v>46026</c:v>
                </c:pt>
                <c:pt idx="64">
                  <c:v>46027</c:v>
                </c:pt>
                <c:pt idx="65">
                  <c:v>46028</c:v>
                </c:pt>
                <c:pt idx="66">
                  <c:v>46029</c:v>
                </c:pt>
                <c:pt idx="67">
                  <c:v>46030</c:v>
                </c:pt>
                <c:pt idx="68">
                  <c:v>46031</c:v>
                </c:pt>
                <c:pt idx="69">
                  <c:v>46032</c:v>
                </c:pt>
                <c:pt idx="70">
                  <c:v>46033</c:v>
                </c:pt>
                <c:pt idx="71">
                  <c:v>46034</c:v>
                </c:pt>
                <c:pt idx="72">
                  <c:v>46035</c:v>
                </c:pt>
                <c:pt idx="73">
                  <c:v>46036</c:v>
                </c:pt>
                <c:pt idx="74">
                  <c:v>46037</c:v>
                </c:pt>
                <c:pt idx="75">
                  <c:v>46038</c:v>
                </c:pt>
                <c:pt idx="76">
                  <c:v>46039</c:v>
                </c:pt>
                <c:pt idx="77">
                  <c:v>46040</c:v>
                </c:pt>
                <c:pt idx="78">
                  <c:v>46041</c:v>
                </c:pt>
                <c:pt idx="79">
                  <c:v>46042</c:v>
                </c:pt>
                <c:pt idx="80">
                  <c:v>46043</c:v>
                </c:pt>
                <c:pt idx="81">
                  <c:v>46044</c:v>
                </c:pt>
                <c:pt idx="82">
                  <c:v>46045</c:v>
                </c:pt>
                <c:pt idx="83">
                  <c:v>46046</c:v>
                </c:pt>
                <c:pt idx="84">
                  <c:v>46047</c:v>
                </c:pt>
                <c:pt idx="85">
                  <c:v>46048</c:v>
                </c:pt>
                <c:pt idx="86">
                  <c:v>46049</c:v>
                </c:pt>
                <c:pt idx="87">
                  <c:v>46050</c:v>
                </c:pt>
                <c:pt idx="88">
                  <c:v>46051</c:v>
                </c:pt>
                <c:pt idx="89">
                  <c:v>46052</c:v>
                </c:pt>
                <c:pt idx="90">
                  <c:v>46053</c:v>
                </c:pt>
                <c:pt idx="91">
                  <c:v>46054</c:v>
                </c:pt>
                <c:pt idx="92">
                  <c:v>46055</c:v>
                </c:pt>
                <c:pt idx="93">
                  <c:v>46056</c:v>
                </c:pt>
                <c:pt idx="94">
                  <c:v>46057</c:v>
                </c:pt>
                <c:pt idx="95">
                  <c:v>46058</c:v>
                </c:pt>
                <c:pt idx="96">
                  <c:v>46059</c:v>
                </c:pt>
                <c:pt idx="97">
                  <c:v>46060</c:v>
                </c:pt>
                <c:pt idx="98">
                  <c:v>46061</c:v>
                </c:pt>
                <c:pt idx="99">
                  <c:v>46062</c:v>
                </c:pt>
                <c:pt idx="100">
                  <c:v>46063</c:v>
                </c:pt>
                <c:pt idx="101">
                  <c:v>46064</c:v>
                </c:pt>
                <c:pt idx="102">
                  <c:v>46065</c:v>
                </c:pt>
                <c:pt idx="103">
                  <c:v>46066</c:v>
                </c:pt>
                <c:pt idx="104">
                  <c:v>46067</c:v>
                </c:pt>
                <c:pt idx="105">
                  <c:v>46068</c:v>
                </c:pt>
                <c:pt idx="106">
                  <c:v>46069</c:v>
                </c:pt>
                <c:pt idx="107">
                  <c:v>46070</c:v>
                </c:pt>
                <c:pt idx="108">
                  <c:v>46071</c:v>
                </c:pt>
                <c:pt idx="109">
                  <c:v>46072</c:v>
                </c:pt>
                <c:pt idx="110">
                  <c:v>46073</c:v>
                </c:pt>
                <c:pt idx="111">
                  <c:v>46074</c:v>
                </c:pt>
                <c:pt idx="112">
                  <c:v>46075</c:v>
                </c:pt>
                <c:pt idx="113">
                  <c:v>46076</c:v>
                </c:pt>
                <c:pt idx="114">
                  <c:v>46077</c:v>
                </c:pt>
                <c:pt idx="115">
                  <c:v>46078</c:v>
                </c:pt>
                <c:pt idx="116">
                  <c:v>46079</c:v>
                </c:pt>
                <c:pt idx="117">
                  <c:v>46080</c:v>
                </c:pt>
                <c:pt idx="118">
                  <c:v>46081</c:v>
                </c:pt>
                <c:pt idx="119">
                  <c:v>46082</c:v>
                </c:pt>
                <c:pt idx="120">
                  <c:v>46083</c:v>
                </c:pt>
                <c:pt idx="121">
                  <c:v>46084</c:v>
                </c:pt>
                <c:pt idx="122">
                  <c:v>46085</c:v>
                </c:pt>
                <c:pt idx="123">
                  <c:v>46086</c:v>
                </c:pt>
                <c:pt idx="124">
                  <c:v>46087</c:v>
                </c:pt>
                <c:pt idx="125">
                  <c:v>46088</c:v>
                </c:pt>
                <c:pt idx="126">
                  <c:v>46089</c:v>
                </c:pt>
                <c:pt idx="127">
                  <c:v>46090</c:v>
                </c:pt>
                <c:pt idx="128">
                  <c:v>46091</c:v>
                </c:pt>
                <c:pt idx="129">
                  <c:v>46092</c:v>
                </c:pt>
                <c:pt idx="130">
                  <c:v>46093</c:v>
                </c:pt>
                <c:pt idx="131">
                  <c:v>46094</c:v>
                </c:pt>
                <c:pt idx="132">
                  <c:v>46095</c:v>
                </c:pt>
                <c:pt idx="133">
                  <c:v>46096</c:v>
                </c:pt>
                <c:pt idx="134">
                  <c:v>46097</c:v>
                </c:pt>
                <c:pt idx="135">
                  <c:v>46098</c:v>
                </c:pt>
                <c:pt idx="136">
                  <c:v>46099</c:v>
                </c:pt>
                <c:pt idx="137">
                  <c:v>46100</c:v>
                </c:pt>
                <c:pt idx="138">
                  <c:v>46101</c:v>
                </c:pt>
                <c:pt idx="139">
                  <c:v>46102</c:v>
                </c:pt>
                <c:pt idx="140">
                  <c:v>46103</c:v>
                </c:pt>
                <c:pt idx="141">
                  <c:v>46104</c:v>
                </c:pt>
                <c:pt idx="142">
                  <c:v>46105</c:v>
                </c:pt>
                <c:pt idx="143">
                  <c:v>46106</c:v>
                </c:pt>
                <c:pt idx="144">
                  <c:v>46107</c:v>
                </c:pt>
                <c:pt idx="145">
                  <c:v>46108</c:v>
                </c:pt>
                <c:pt idx="146">
                  <c:v>46109</c:v>
                </c:pt>
                <c:pt idx="147">
                  <c:v>46110</c:v>
                </c:pt>
                <c:pt idx="148">
                  <c:v>46111</c:v>
                </c:pt>
                <c:pt idx="149">
                  <c:v>46112</c:v>
                </c:pt>
                <c:pt idx="150">
                  <c:v>46113</c:v>
                </c:pt>
                <c:pt idx="151">
                  <c:v>46114</c:v>
                </c:pt>
                <c:pt idx="152">
                  <c:v>46115</c:v>
                </c:pt>
                <c:pt idx="153">
                  <c:v>46116</c:v>
                </c:pt>
                <c:pt idx="154">
                  <c:v>46117</c:v>
                </c:pt>
                <c:pt idx="155">
                  <c:v>46118</c:v>
                </c:pt>
                <c:pt idx="156">
                  <c:v>46119</c:v>
                </c:pt>
                <c:pt idx="157">
                  <c:v>46120</c:v>
                </c:pt>
                <c:pt idx="158">
                  <c:v>46121</c:v>
                </c:pt>
                <c:pt idx="159">
                  <c:v>46122</c:v>
                </c:pt>
                <c:pt idx="160">
                  <c:v>46123</c:v>
                </c:pt>
                <c:pt idx="161">
                  <c:v>46124</c:v>
                </c:pt>
                <c:pt idx="162">
                  <c:v>46125</c:v>
                </c:pt>
                <c:pt idx="163">
                  <c:v>46126</c:v>
                </c:pt>
                <c:pt idx="164">
                  <c:v>46127</c:v>
                </c:pt>
                <c:pt idx="165">
                  <c:v>46128</c:v>
                </c:pt>
                <c:pt idx="166">
                  <c:v>46129</c:v>
                </c:pt>
                <c:pt idx="167">
                  <c:v>46130</c:v>
                </c:pt>
                <c:pt idx="168">
                  <c:v>46131</c:v>
                </c:pt>
                <c:pt idx="169">
                  <c:v>46132</c:v>
                </c:pt>
                <c:pt idx="170">
                  <c:v>46133</c:v>
                </c:pt>
                <c:pt idx="171">
                  <c:v>46134</c:v>
                </c:pt>
                <c:pt idx="172">
                  <c:v>46135</c:v>
                </c:pt>
                <c:pt idx="173">
                  <c:v>46136</c:v>
                </c:pt>
                <c:pt idx="174">
                  <c:v>46137</c:v>
                </c:pt>
                <c:pt idx="175">
                  <c:v>46138</c:v>
                </c:pt>
                <c:pt idx="176">
                  <c:v>46139</c:v>
                </c:pt>
                <c:pt idx="177">
                  <c:v>46140</c:v>
                </c:pt>
                <c:pt idx="178">
                  <c:v>46141</c:v>
                </c:pt>
                <c:pt idx="179">
                  <c:v>46142</c:v>
                </c:pt>
                <c:pt idx="180">
                  <c:v>46143</c:v>
                </c:pt>
                <c:pt idx="181">
                  <c:v>46144</c:v>
                </c:pt>
                <c:pt idx="182">
                  <c:v>46145</c:v>
                </c:pt>
                <c:pt idx="183">
                  <c:v>46146</c:v>
                </c:pt>
                <c:pt idx="184">
                  <c:v>46147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46158</c:v>
                </c:pt>
                <c:pt idx="196">
                  <c:v>46159</c:v>
                </c:pt>
                <c:pt idx="197">
                  <c:v>46160</c:v>
                </c:pt>
                <c:pt idx="198">
                  <c:v>46161</c:v>
                </c:pt>
                <c:pt idx="199">
                  <c:v>46162</c:v>
                </c:pt>
                <c:pt idx="200">
                  <c:v>46163</c:v>
                </c:pt>
                <c:pt idx="201">
                  <c:v>46164</c:v>
                </c:pt>
                <c:pt idx="202">
                  <c:v>46165</c:v>
                </c:pt>
                <c:pt idx="203">
                  <c:v>46166</c:v>
                </c:pt>
                <c:pt idx="204">
                  <c:v>46167</c:v>
                </c:pt>
                <c:pt idx="205">
                  <c:v>46168</c:v>
                </c:pt>
                <c:pt idx="206">
                  <c:v>46169</c:v>
                </c:pt>
                <c:pt idx="207">
                  <c:v>46170</c:v>
                </c:pt>
                <c:pt idx="208">
                  <c:v>46171</c:v>
                </c:pt>
                <c:pt idx="209">
                  <c:v>46172</c:v>
                </c:pt>
                <c:pt idx="210">
                  <c:v>46173</c:v>
                </c:pt>
                <c:pt idx="211">
                  <c:v>46174</c:v>
                </c:pt>
                <c:pt idx="212">
                  <c:v>46175</c:v>
                </c:pt>
                <c:pt idx="213">
                  <c:v>46176</c:v>
                </c:pt>
                <c:pt idx="214">
                  <c:v>46177</c:v>
                </c:pt>
                <c:pt idx="215">
                  <c:v>46178</c:v>
                </c:pt>
                <c:pt idx="216">
                  <c:v>46179</c:v>
                </c:pt>
                <c:pt idx="217">
                  <c:v>46180</c:v>
                </c:pt>
                <c:pt idx="218">
                  <c:v>46181</c:v>
                </c:pt>
                <c:pt idx="219">
                  <c:v>46182</c:v>
                </c:pt>
                <c:pt idx="220">
                  <c:v>46183</c:v>
                </c:pt>
                <c:pt idx="221">
                  <c:v>46184</c:v>
                </c:pt>
                <c:pt idx="222">
                  <c:v>46185</c:v>
                </c:pt>
                <c:pt idx="223">
                  <c:v>46186</c:v>
                </c:pt>
                <c:pt idx="224">
                  <c:v>46187</c:v>
                </c:pt>
                <c:pt idx="225">
                  <c:v>46188</c:v>
                </c:pt>
                <c:pt idx="226">
                  <c:v>46189</c:v>
                </c:pt>
                <c:pt idx="227">
                  <c:v>46190</c:v>
                </c:pt>
                <c:pt idx="228">
                  <c:v>46191</c:v>
                </c:pt>
                <c:pt idx="229">
                  <c:v>46192</c:v>
                </c:pt>
                <c:pt idx="230">
                  <c:v>46193</c:v>
                </c:pt>
                <c:pt idx="231">
                  <c:v>46194</c:v>
                </c:pt>
                <c:pt idx="232">
                  <c:v>46195</c:v>
                </c:pt>
                <c:pt idx="233">
                  <c:v>46196</c:v>
                </c:pt>
                <c:pt idx="234">
                  <c:v>46197</c:v>
                </c:pt>
                <c:pt idx="235">
                  <c:v>46198</c:v>
                </c:pt>
                <c:pt idx="236">
                  <c:v>46199</c:v>
                </c:pt>
                <c:pt idx="237">
                  <c:v>46200</c:v>
                </c:pt>
                <c:pt idx="238">
                  <c:v>46201</c:v>
                </c:pt>
                <c:pt idx="239">
                  <c:v>46202</c:v>
                </c:pt>
                <c:pt idx="240">
                  <c:v>46203</c:v>
                </c:pt>
                <c:pt idx="241">
                  <c:v>46204</c:v>
                </c:pt>
                <c:pt idx="242">
                  <c:v>46205</c:v>
                </c:pt>
                <c:pt idx="243">
                  <c:v>46206</c:v>
                </c:pt>
                <c:pt idx="244">
                  <c:v>46207</c:v>
                </c:pt>
                <c:pt idx="245">
                  <c:v>46208</c:v>
                </c:pt>
                <c:pt idx="246">
                  <c:v>46209</c:v>
                </c:pt>
                <c:pt idx="247">
                  <c:v>46210</c:v>
                </c:pt>
                <c:pt idx="248">
                  <c:v>46211</c:v>
                </c:pt>
                <c:pt idx="249">
                  <c:v>46212</c:v>
                </c:pt>
                <c:pt idx="250">
                  <c:v>46213</c:v>
                </c:pt>
                <c:pt idx="251">
                  <c:v>46214</c:v>
                </c:pt>
                <c:pt idx="252">
                  <c:v>46215</c:v>
                </c:pt>
                <c:pt idx="253">
                  <c:v>46216</c:v>
                </c:pt>
                <c:pt idx="254">
                  <c:v>46217</c:v>
                </c:pt>
                <c:pt idx="255">
                  <c:v>46218</c:v>
                </c:pt>
                <c:pt idx="256">
                  <c:v>46219</c:v>
                </c:pt>
                <c:pt idx="257">
                  <c:v>46220</c:v>
                </c:pt>
                <c:pt idx="258">
                  <c:v>46221</c:v>
                </c:pt>
                <c:pt idx="259">
                  <c:v>46222</c:v>
                </c:pt>
                <c:pt idx="260">
                  <c:v>46223</c:v>
                </c:pt>
                <c:pt idx="261">
                  <c:v>46224</c:v>
                </c:pt>
                <c:pt idx="262">
                  <c:v>46225</c:v>
                </c:pt>
                <c:pt idx="263">
                  <c:v>46226</c:v>
                </c:pt>
                <c:pt idx="264">
                  <c:v>46227</c:v>
                </c:pt>
                <c:pt idx="265">
                  <c:v>46228</c:v>
                </c:pt>
                <c:pt idx="266">
                  <c:v>46229</c:v>
                </c:pt>
                <c:pt idx="267">
                  <c:v>46230</c:v>
                </c:pt>
                <c:pt idx="268">
                  <c:v>46231</c:v>
                </c:pt>
                <c:pt idx="269">
                  <c:v>46232</c:v>
                </c:pt>
                <c:pt idx="270">
                  <c:v>46233</c:v>
                </c:pt>
                <c:pt idx="271">
                  <c:v>46234</c:v>
                </c:pt>
                <c:pt idx="272">
                  <c:v>46235</c:v>
                </c:pt>
                <c:pt idx="273">
                  <c:v>46236</c:v>
                </c:pt>
                <c:pt idx="274">
                  <c:v>46237</c:v>
                </c:pt>
                <c:pt idx="275">
                  <c:v>46238</c:v>
                </c:pt>
                <c:pt idx="276">
                  <c:v>46239</c:v>
                </c:pt>
                <c:pt idx="277">
                  <c:v>46240</c:v>
                </c:pt>
                <c:pt idx="278">
                  <c:v>46241</c:v>
                </c:pt>
                <c:pt idx="279">
                  <c:v>46242</c:v>
                </c:pt>
                <c:pt idx="280">
                  <c:v>46243</c:v>
                </c:pt>
                <c:pt idx="281">
                  <c:v>46244</c:v>
                </c:pt>
                <c:pt idx="282">
                  <c:v>46245</c:v>
                </c:pt>
                <c:pt idx="283">
                  <c:v>46246</c:v>
                </c:pt>
                <c:pt idx="284">
                  <c:v>46247</c:v>
                </c:pt>
                <c:pt idx="285">
                  <c:v>46248</c:v>
                </c:pt>
                <c:pt idx="286">
                  <c:v>46249</c:v>
                </c:pt>
                <c:pt idx="287">
                  <c:v>46250</c:v>
                </c:pt>
                <c:pt idx="288">
                  <c:v>46251</c:v>
                </c:pt>
                <c:pt idx="289">
                  <c:v>46252</c:v>
                </c:pt>
                <c:pt idx="290">
                  <c:v>46253</c:v>
                </c:pt>
                <c:pt idx="291">
                  <c:v>46254</c:v>
                </c:pt>
                <c:pt idx="292">
                  <c:v>46255</c:v>
                </c:pt>
                <c:pt idx="293">
                  <c:v>46256</c:v>
                </c:pt>
                <c:pt idx="294">
                  <c:v>46257</c:v>
                </c:pt>
                <c:pt idx="295">
                  <c:v>46258</c:v>
                </c:pt>
                <c:pt idx="296">
                  <c:v>46259</c:v>
                </c:pt>
                <c:pt idx="297">
                  <c:v>46260</c:v>
                </c:pt>
                <c:pt idx="298">
                  <c:v>46261</c:v>
                </c:pt>
                <c:pt idx="299">
                  <c:v>46262</c:v>
                </c:pt>
                <c:pt idx="300">
                  <c:v>46263</c:v>
                </c:pt>
                <c:pt idx="301">
                  <c:v>46264</c:v>
                </c:pt>
                <c:pt idx="302">
                  <c:v>46265</c:v>
                </c:pt>
                <c:pt idx="303">
                  <c:v>46266</c:v>
                </c:pt>
                <c:pt idx="304">
                  <c:v>46267</c:v>
                </c:pt>
                <c:pt idx="305">
                  <c:v>46268</c:v>
                </c:pt>
                <c:pt idx="306">
                  <c:v>46269</c:v>
                </c:pt>
                <c:pt idx="307">
                  <c:v>46270</c:v>
                </c:pt>
                <c:pt idx="308">
                  <c:v>46271</c:v>
                </c:pt>
                <c:pt idx="309">
                  <c:v>46272</c:v>
                </c:pt>
                <c:pt idx="310">
                  <c:v>46273</c:v>
                </c:pt>
                <c:pt idx="311">
                  <c:v>46274</c:v>
                </c:pt>
                <c:pt idx="312">
                  <c:v>46275</c:v>
                </c:pt>
                <c:pt idx="313">
                  <c:v>46276</c:v>
                </c:pt>
                <c:pt idx="314">
                  <c:v>46277</c:v>
                </c:pt>
                <c:pt idx="315">
                  <c:v>46278</c:v>
                </c:pt>
                <c:pt idx="316">
                  <c:v>46279</c:v>
                </c:pt>
                <c:pt idx="317">
                  <c:v>46280</c:v>
                </c:pt>
                <c:pt idx="318">
                  <c:v>46281</c:v>
                </c:pt>
                <c:pt idx="319">
                  <c:v>46282</c:v>
                </c:pt>
                <c:pt idx="320">
                  <c:v>46283</c:v>
                </c:pt>
                <c:pt idx="321">
                  <c:v>46284</c:v>
                </c:pt>
                <c:pt idx="322">
                  <c:v>46285</c:v>
                </c:pt>
                <c:pt idx="323">
                  <c:v>46286</c:v>
                </c:pt>
                <c:pt idx="324">
                  <c:v>46287</c:v>
                </c:pt>
                <c:pt idx="325">
                  <c:v>46288</c:v>
                </c:pt>
                <c:pt idx="326">
                  <c:v>46289</c:v>
                </c:pt>
                <c:pt idx="327">
                  <c:v>46290</c:v>
                </c:pt>
                <c:pt idx="328">
                  <c:v>46291</c:v>
                </c:pt>
                <c:pt idx="329">
                  <c:v>46292</c:v>
                </c:pt>
                <c:pt idx="330">
                  <c:v>46293</c:v>
                </c:pt>
                <c:pt idx="331">
                  <c:v>46294</c:v>
                </c:pt>
                <c:pt idx="332">
                  <c:v>46295</c:v>
                </c:pt>
                <c:pt idx="333">
                  <c:v>46296</c:v>
                </c:pt>
                <c:pt idx="334">
                  <c:v>46297</c:v>
                </c:pt>
                <c:pt idx="335">
                  <c:v>46298</c:v>
                </c:pt>
                <c:pt idx="336">
                  <c:v>46299</c:v>
                </c:pt>
                <c:pt idx="337">
                  <c:v>46300</c:v>
                </c:pt>
                <c:pt idx="338">
                  <c:v>46301</c:v>
                </c:pt>
                <c:pt idx="339">
                  <c:v>46302</c:v>
                </c:pt>
                <c:pt idx="340">
                  <c:v>46303</c:v>
                </c:pt>
                <c:pt idx="341">
                  <c:v>46304</c:v>
                </c:pt>
                <c:pt idx="342">
                  <c:v>46305</c:v>
                </c:pt>
                <c:pt idx="343">
                  <c:v>46306</c:v>
                </c:pt>
                <c:pt idx="344">
                  <c:v>46307</c:v>
                </c:pt>
                <c:pt idx="345">
                  <c:v>46308</c:v>
                </c:pt>
                <c:pt idx="346">
                  <c:v>46309</c:v>
                </c:pt>
                <c:pt idx="347">
                  <c:v>46310</c:v>
                </c:pt>
                <c:pt idx="348">
                  <c:v>46311</c:v>
                </c:pt>
                <c:pt idx="349">
                  <c:v>46312</c:v>
                </c:pt>
                <c:pt idx="350">
                  <c:v>46313</c:v>
                </c:pt>
                <c:pt idx="351">
                  <c:v>46314</c:v>
                </c:pt>
                <c:pt idx="352">
                  <c:v>46315</c:v>
                </c:pt>
                <c:pt idx="353">
                  <c:v>46316</c:v>
                </c:pt>
                <c:pt idx="354">
                  <c:v>46317</c:v>
                </c:pt>
                <c:pt idx="355">
                  <c:v>46318</c:v>
                </c:pt>
                <c:pt idx="356">
                  <c:v>46319</c:v>
                </c:pt>
                <c:pt idx="357">
                  <c:v>46320</c:v>
                </c:pt>
                <c:pt idx="358">
                  <c:v>46321</c:v>
                </c:pt>
                <c:pt idx="359">
                  <c:v>46322</c:v>
                </c:pt>
                <c:pt idx="360">
                  <c:v>46323</c:v>
                </c:pt>
                <c:pt idx="361">
                  <c:v>46324</c:v>
                </c:pt>
                <c:pt idx="362">
                  <c:v>46325</c:v>
                </c:pt>
                <c:pt idx="363">
                  <c:v>46326</c:v>
                </c:pt>
                <c:pt idx="364">
                  <c:v>46327</c:v>
                </c:pt>
                <c:pt idx="365">
                  <c:v>46328</c:v>
                </c:pt>
                <c:pt idx="366">
                  <c:v>46329</c:v>
                </c:pt>
                <c:pt idx="367">
                  <c:v>46330</c:v>
                </c:pt>
                <c:pt idx="368">
                  <c:v>46331</c:v>
                </c:pt>
                <c:pt idx="369">
                  <c:v>46332</c:v>
                </c:pt>
                <c:pt idx="370">
                  <c:v>46333</c:v>
                </c:pt>
                <c:pt idx="371">
                  <c:v>46334</c:v>
                </c:pt>
                <c:pt idx="372">
                  <c:v>46335</c:v>
                </c:pt>
                <c:pt idx="373">
                  <c:v>46336</c:v>
                </c:pt>
                <c:pt idx="374">
                  <c:v>46337</c:v>
                </c:pt>
                <c:pt idx="375">
                  <c:v>46338</c:v>
                </c:pt>
                <c:pt idx="376">
                  <c:v>46339</c:v>
                </c:pt>
                <c:pt idx="377">
                  <c:v>46340</c:v>
                </c:pt>
                <c:pt idx="378">
                  <c:v>46341</c:v>
                </c:pt>
                <c:pt idx="379">
                  <c:v>46342</c:v>
                </c:pt>
                <c:pt idx="380">
                  <c:v>46343</c:v>
                </c:pt>
                <c:pt idx="381">
                  <c:v>46344</c:v>
                </c:pt>
                <c:pt idx="382">
                  <c:v>46345</c:v>
                </c:pt>
                <c:pt idx="383">
                  <c:v>46346</c:v>
                </c:pt>
                <c:pt idx="384">
                  <c:v>46347</c:v>
                </c:pt>
                <c:pt idx="385">
                  <c:v>46348</c:v>
                </c:pt>
                <c:pt idx="386">
                  <c:v>46349</c:v>
                </c:pt>
                <c:pt idx="387">
                  <c:v>46350</c:v>
                </c:pt>
                <c:pt idx="388">
                  <c:v>46351</c:v>
                </c:pt>
                <c:pt idx="389">
                  <c:v>46352</c:v>
                </c:pt>
                <c:pt idx="390">
                  <c:v>46353</c:v>
                </c:pt>
                <c:pt idx="391">
                  <c:v>46354</c:v>
                </c:pt>
                <c:pt idx="392">
                  <c:v>46355</c:v>
                </c:pt>
                <c:pt idx="393">
                  <c:v>46356</c:v>
                </c:pt>
                <c:pt idx="394">
                  <c:v>46357</c:v>
                </c:pt>
                <c:pt idx="395">
                  <c:v>46358</c:v>
                </c:pt>
                <c:pt idx="396">
                  <c:v>46359</c:v>
                </c:pt>
                <c:pt idx="397">
                  <c:v>46360</c:v>
                </c:pt>
                <c:pt idx="398">
                  <c:v>46361</c:v>
                </c:pt>
                <c:pt idx="399">
                  <c:v>46362</c:v>
                </c:pt>
                <c:pt idx="400">
                  <c:v>46363</c:v>
                </c:pt>
                <c:pt idx="401">
                  <c:v>46364</c:v>
                </c:pt>
                <c:pt idx="402">
                  <c:v>46365</c:v>
                </c:pt>
                <c:pt idx="403">
                  <c:v>46366</c:v>
                </c:pt>
                <c:pt idx="404">
                  <c:v>46367</c:v>
                </c:pt>
                <c:pt idx="405">
                  <c:v>46368</c:v>
                </c:pt>
                <c:pt idx="406">
                  <c:v>46369</c:v>
                </c:pt>
                <c:pt idx="407">
                  <c:v>46370</c:v>
                </c:pt>
                <c:pt idx="408">
                  <c:v>46371</c:v>
                </c:pt>
                <c:pt idx="409">
                  <c:v>46372</c:v>
                </c:pt>
                <c:pt idx="410">
                  <c:v>46373</c:v>
                </c:pt>
                <c:pt idx="411">
                  <c:v>46374</c:v>
                </c:pt>
                <c:pt idx="412">
                  <c:v>46375</c:v>
                </c:pt>
                <c:pt idx="413">
                  <c:v>46376</c:v>
                </c:pt>
                <c:pt idx="414">
                  <c:v>46377</c:v>
                </c:pt>
                <c:pt idx="415">
                  <c:v>46378</c:v>
                </c:pt>
                <c:pt idx="416">
                  <c:v>46379</c:v>
                </c:pt>
                <c:pt idx="417">
                  <c:v>46380</c:v>
                </c:pt>
                <c:pt idx="418">
                  <c:v>46381</c:v>
                </c:pt>
                <c:pt idx="419">
                  <c:v>46382</c:v>
                </c:pt>
                <c:pt idx="420">
                  <c:v>46383</c:v>
                </c:pt>
                <c:pt idx="421">
                  <c:v>46384</c:v>
                </c:pt>
                <c:pt idx="422">
                  <c:v>46385</c:v>
                </c:pt>
                <c:pt idx="423">
                  <c:v>46386</c:v>
                </c:pt>
                <c:pt idx="424">
                  <c:v>46387</c:v>
                </c:pt>
              </c:numCache>
            </c:numRef>
          </c:cat>
          <c:val>
            <c:numRef>
              <c:f>Grafico!$E$2:$E$426</c:f>
              <c:numCache>
                <c:formatCode>0.00</c:formatCode>
                <c:ptCount val="425"/>
                <c:pt idx="14">
                  <c:v>0</c:v>
                </c:pt>
                <c:pt idx="15">
                  <c:v>5</c:v>
                </c:pt>
                <c:pt idx="16">
                  <c:v>9</c:v>
                </c:pt>
                <c:pt idx="17">
                  <c:v>15</c:v>
                </c:pt>
                <c:pt idx="18">
                  <c:v>18.5</c:v>
                </c:pt>
                <c:pt idx="19">
                  <c:v>24.009</c:v>
                </c:pt>
                <c:pt idx="20">
                  <c:v>28.509</c:v>
                </c:pt>
                <c:pt idx="21">
                  <c:v>31.548999999999999</c:v>
                </c:pt>
                <c:pt idx="22">
                  <c:v>31.548999999999999</c:v>
                </c:pt>
                <c:pt idx="23">
                  <c:v>31.548999999999999</c:v>
                </c:pt>
                <c:pt idx="24">
                  <c:v>31.548999999999999</c:v>
                </c:pt>
                <c:pt idx="25">
                  <c:v>31.548999999999999</c:v>
                </c:pt>
                <c:pt idx="26">
                  <c:v>31.548999999999999</c:v>
                </c:pt>
                <c:pt idx="27">
                  <c:v>31.548999999999999</c:v>
                </c:pt>
                <c:pt idx="28">
                  <c:v>31.548999999999999</c:v>
                </c:pt>
                <c:pt idx="29">
                  <c:v>31.548999999999999</c:v>
                </c:pt>
                <c:pt idx="30">
                  <c:v>31.548999999999999</c:v>
                </c:pt>
                <c:pt idx="31">
                  <c:v>31.548999999999999</c:v>
                </c:pt>
                <c:pt idx="32">
                  <c:v>31.548999999999999</c:v>
                </c:pt>
                <c:pt idx="33">
                  <c:v>31.548999999999999</c:v>
                </c:pt>
                <c:pt idx="34">
                  <c:v>31.548999999999999</c:v>
                </c:pt>
                <c:pt idx="35">
                  <c:v>31.548999999999999</c:v>
                </c:pt>
                <c:pt idx="36">
                  <c:v>31.548999999999999</c:v>
                </c:pt>
                <c:pt idx="37">
                  <c:v>35.848999999999997</c:v>
                </c:pt>
                <c:pt idx="38">
                  <c:v>40.148999999999994</c:v>
                </c:pt>
                <c:pt idx="39">
                  <c:v>44.848999999999997</c:v>
                </c:pt>
                <c:pt idx="40">
                  <c:v>49.573999999999998</c:v>
                </c:pt>
                <c:pt idx="41">
                  <c:v>51.923000000000002</c:v>
                </c:pt>
                <c:pt idx="42">
                  <c:v>51.923000000000002</c:v>
                </c:pt>
                <c:pt idx="43">
                  <c:v>51.923000000000002</c:v>
                </c:pt>
                <c:pt idx="44">
                  <c:v>52.207999999999998</c:v>
                </c:pt>
                <c:pt idx="45">
                  <c:v>52.572000000000003</c:v>
                </c:pt>
                <c:pt idx="46">
                  <c:v>52.572000000000003</c:v>
                </c:pt>
                <c:pt idx="47">
                  <c:v>58.344000000000001</c:v>
                </c:pt>
                <c:pt idx="48">
                  <c:v>60.515999999999998</c:v>
                </c:pt>
                <c:pt idx="49">
                  <c:v>60.515999999999998</c:v>
                </c:pt>
                <c:pt idx="50">
                  <c:v>63.065999999999995</c:v>
                </c:pt>
                <c:pt idx="51">
                  <c:v>63.065999999999995</c:v>
                </c:pt>
                <c:pt idx="52">
                  <c:v>63.065999999999995</c:v>
                </c:pt>
                <c:pt idx="53">
                  <c:v>63.065999999999995</c:v>
                </c:pt>
                <c:pt idx="54">
                  <c:v>63.065999999999995</c:v>
                </c:pt>
                <c:pt idx="55">
                  <c:v>63.065999999999995</c:v>
                </c:pt>
                <c:pt idx="56">
                  <c:v>63.065999999999995</c:v>
                </c:pt>
                <c:pt idx="57">
                  <c:v>63.065999999999995</c:v>
                </c:pt>
                <c:pt idx="58">
                  <c:v>63.065999999999995</c:v>
                </c:pt>
                <c:pt idx="59">
                  <c:v>63.065999999999995</c:v>
                </c:pt>
                <c:pt idx="60">
                  <c:v>63.065999999999995</c:v>
                </c:pt>
                <c:pt idx="61">
                  <c:v>63.065999999999995</c:v>
                </c:pt>
                <c:pt idx="62">
                  <c:v>63.065999999999995</c:v>
                </c:pt>
                <c:pt idx="63">
                  <c:v>63.065999999999995</c:v>
                </c:pt>
                <c:pt idx="64">
                  <c:v>63.506</c:v>
                </c:pt>
                <c:pt idx="65">
                  <c:v>68.281999999999996</c:v>
                </c:pt>
                <c:pt idx="66">
                  <c:v>68.281999999999996</c:v>
                </c:pt>
                <c:pt idx="67">
                  <c:v>68.281999999999996</c:v>
                </c:pt>
                <c:pt idx="68">
                  <c:v>70.242999999999995</c:v>
                </c:pt>
                <c:pt idx="69">
                  <c:v>71.438999999999993</c:v>
                </c:pt>
                <c:pt idx="70">
                  <c:v>72.580999999999989</c:v>
                </c:pt>
                <c:pt idx="71">
                  <c:v>76.180999999999983</c:v>
                </c:pt>
                <c:pt idx="72">
                  <c:v>76.23599999999999</c:v>
                </c:pt>
                <c:pt idx="73">
                  <c:v>80.73599999999999</c:v>
                </c:pt>
                <c:pt idx="74">
                  <c:v>82.785999999999987</c:v>
                </c:pt>
                <c:pt idx="75">
                  <c:v>87.57</c:v>
                </c:pt>
                <c:pt idx="76">
                  <c:v>89.424999999999997</c:v>
                </c:pt>
                <c:pt idx="77">
                  <c:v>93.064999999999998</c:v>
                </c:pt>
                <c:pt idx="78">
                  <c:v>98.064999999999998</c:v>
                </c:pt>
                <c:pt idx="79">
                  <c:v>99.906000000000006</c:v>
                </c:pt>
                <c:pt idx="80">
                  <c:v>99.906000000000006</c:v>
                </c:pt>
                <c:pt idx="81">
                  <c:v>99.906000000000006</c:v>
                </c:pt>
                <c:pt idx="82">
                  <c:v>99.906000000000006</c:v>
                </c:pt>
                <c:pt idx="83">
                  <c:v>99.906000000000006</c:v>
                </c:pt>
                <c:pt idx="84">
                  <c:v>99.906000000000006</c:v>
                </c:pt>
                <c:pt idx="85">
                  <c:v>99.906000000000006</c:v>
                </c:pt>
                <c:pt idx="86">
                  <c:v>99.906000000000006</c:v>
                </c:pt>
                <c:pt idx="87">
                  <c:v>99.906000000000006</c:v>
                </c:pt>
                <c:pt idx="88">
                  <c:v>99.906000000000006</c:v>
                </c:pt>
                <c:pt idx="89">
                  <c:v>99.906000000000006</c:v>
                </c:pt>
                <c:pt idx="90">
                  <c:v>99.906000000000006</c:v>
                </c:pt>
                <c:pt idx="91">
                  <c:v>99.906000000000006</c:v>
                </c:pt>
                <c:pt idx="92">
                  <c:v>99.906000000000006</c:v>
                </c:pt>
                <c:pt idx="93">
                  <c:v>99.906000000000006</c:v>
                </c:pt>
                <c:pt idx="94">
                  <c:v>99.906000000000006</c:v>
                </c:pt>
                <c:pt idx="95">
                  <c:v>99.906000000000006</c:v>
                </c:pt>
                <c:pt idx="96">
                  <c:v>99.906000000000006</c:v>
                </c:pt>
                <c:pt idx="97">
                  <c:v>99.906000000000006</c:v>
                </c:pt>
                <c:pt idx="98">
                  <c:v>99.906000000000006</c:v>
                </c:pt>
                <c:pt idx="99">
                  <c:v>99.906000000000006</c:v>
                </c:pt>
                <c:pt idx="100">
                  <c:v>99.906000000000006</c:v>
                </c:pt>
                <c:pt idx="101">
                  <c:v>99.906000000000006</c:v>
                </c:pt>
                <c:pt idx="102">
                  <c:v>99.906000000000006</c:v>
                </c:pt>
                <c:pt idx="103">
                  <c:v>99.906000000000006</c:v>
                </c:pt>
                <c:pt idx="104">
                  <c:v>99.906000000000006</c:v>
                </c:pt>
                <c:pt idx="105">
                  <c:v>99.906000000000006</c:v>
                </c:pt>
                <c:pt idx="106">
                  <c:v>99.906000000000006</c:v>
                </c:pt>
                <c:pt idx="107">
                  <c:v>99.906000000000006</c:v>
                </c:pt>
                <c:pt idx="108">
                  <c:v>99.906000000000006</c:v>
                </c:pt>
                <c:pt idx="109">
                  <c:v>99.906000000000006</c:v>
                </c:pt>
                <c:pt idx="110">
                  <c:v>99.906000000000006</c:v>
                </c:pt>
                <c:pt idx="111">
                  <c:v>99.906000000000006</c:v>
                </c:pt>
                <c:pt idx="112">
                  <c:v>99.906000000000006</c:v>
                </c:pt>
                <c:pt idx="113">
                  <c:v>99.906000000000006</c:v>
                </c:pt>
                <c:pt idx="114">
                  <c:v>99.906000000000006</c:v>
                </c:pt>
                <c:pt idx="115">
                  <c:v>99.906000000000006</c:v>
                </c:pt>
                <c:pt idx="116">
                  <c:v>99.906000000000006</c:v>
                </c:pt>
                <c:pt idx="117">
                  <c:v>99.906000000000006</c:v>
                </c:pt>
                <c:pt idx="118">
                  <c:v>99.906000000000006</c:v>
                </c:pt>
                <c:pt idx="119">
                  <c:v>99.906000000000006</c:v>
                </c:pt>
                <c:pt idx="120">
                  <c:v>99.906000000000006</c:v>
                </c:pt>
                <c:pt idx="121">
                  <c:v>99.906000000000006</c:v>
                </c:pt>
                <c:pt idx="122">
                  <c:v>99.906000000000006</c:v>
                </c:pt>
                <c:pt idx="123">
                  <c:v>99.906000000000006</c:v>
                </c:pt>
                <c:pt idx="124">
                  <c:v>99.906000000000006</c:v>
                </c:pt>
                <c:pt idx="125">
                  <c:v>99.906000000000006</c:v>
                </c:pt>
                <c:pt idx="126">
                  <c:v>99.906000000000006</c:v>
                </c:pt>
                <c:pt idx="127">
                  <c:v>99.906000000000006</c:v>
                </c:pt>
                <c:pt idx="128">
                  <c:v>99.906000000000006</c:v>
                </c:pt>
                <c:pt idx="129">
                  <c:v>99.906000000000006</c:v>
                </c:pt>
                <c:pt idx="130">
                  <c:v>99.906000000000006</c:v>
                </c:pt>
                <c:pt idx="131">
                  <c:v>99.906000000000006</c:v>
                </c:pt>
                <c:pt idx="132">
                  <c:v>99.906000000000006</c:v>
                </c:pt>
                <c:pt idx="133">
                  <c:v>99.906000000000006</c:v>
                </c:pt>
                <c:pt idx="134">
                  <c:v>99.906000000000006</c:v>
                </c:pt>
                <c:pt idx="135">
                  <c:v>99.906000000000006</c:v>
                </c:pt>
                <c:pt idx="136">
                  <c:v>99.906000000000006</c:v>
                </c:pt>
                <c:pt idx="137">
                  <c:v>99.906000000000006</c:v>
                </c:pt>
                <c:pt idx="138">
                  <c:v>99.906000000000006</c:v>
                </c:pt>
                <c:pt idx="139">
                  <c:v>99.906000000000006</c:v>
                </c:pt>
                <c:pt idx="140">
                  <c:v>99.906000000000006</c:v>
                </c:pt>
                <c:pt idx="141">
                  <c:v>99.906000000000006</c:v>
                </c:pt>
                <c:pt idx="142">
                  <c:v>99.906000000000006</c:v>
                </c:pt>
                <c:pt idx="143">
                  <c:v>99.906000000000006</c:v>
                </c:pt>
                <c:pt idx="144">
                  <c:v>99.906000000000006</c:v>
                </c:pt>
                <c:pt idx="145">
                  <c:v>99.906000000000006</c:v>
                </c:pt>
                <c:pt idx="146">
                  <c:v>99.906000000000006</c:v>
                </c:pt>
                <c:pt idx="147">
                  <c:v>99.906000000000006</c:v>
                </c:pt>
                <c:pt idx="148">
                  <c:v>99.906000000000006</c:v>
                </c:pt>
                <c:pt idx="149">
                  <c:v>99.906000000000006</c:v>
                </c:pt>
                <c:pt idx="150">
                  <c:v>99.906000000000006</c:v>
                </c:pt>
                <c:pt idx="151">
                  <c:v>99.906000000000006</c:v>
                </c:pt>
                <c:pt idx="152">
                  <c:v>99.906000000000006</c:v>
                </c:pt>
                <c:pt idx="153">
                  <c:v>99.906000000000006</c:v>
                </c:pt>
                <c:pt idx="154">
                  <c:v>99.906000000000006</c:v>
                </c:pt>
                <c:pt idx="155">
                  <c:v>99.906000000000006</c:v>
                </c:pt>
                <c:pt idx="156">
                  <c:v>99.906000000000006</c:v>
                </c:pt>
                <c:pt idx="157">
                  <c:v>99.906000000000006</c:v>
                </c:pt>
                <c:pt idx="158">
                  <c:v>99.906000000000006</c:v>
                </c:pt>
                <c:pt idx="159">
                  <c:v>99.906000000000006</c:v>
                </c:pt>
                <c:pt idx="160">
                  <c:v>99.906000000000006</c:v>
                </c:pt>
                <c:pt idx="161">
                  <c:v>99.906000000000006</c:v>
                </c:pt>
                <c:pt idx="162">
                  <c:v>99.906000000000006</c:v>
                </c:pt>
                <c:pt idx="163">
                  <c:v>99.906000000000006</c:v>
                </c:pt>
                <c:pt idx="164">
                  <c:v>99.906000000000006</c:v>
                </c:pt>
                <c:pt idx="165">
                  <c:v>99.906000000000006</c:v>
                </c:pt>
                <c:pt idx="166">
                  <c:v>99.906000000000006</c:v>
                </c:pt>
                <c:pt idx="167">
                  <c:v>99.906000000000006</c:v>
                </c:pt>
                <c:pt idx="168">
                  <c:v>99.906000000000006</c:v>
                </c:pt>
                <c:pt idx="169">
                  <c:v>99.906000000000006</c:v>
                </c:pt>
                <c:pt idx="170">
                  <c:v>99.906000000000006</c:v>
                </c:pt>
                <c:pt idx="171">
                  <c:v>99.906000000000006</c:v>
                </c:pt>
                <c:pt idx="172">
                  <c:v>99.906000000000006</c:v>
                </c:pt>
                <c:pt idx="173">
                  <c:v>99.906000000000006</c:v>
                </c:pt>
                <c:pt idx="174">
                  <c:v>99.906000000000006</c:v>
                </c:pt>
                <c:pt idx="175">
                  <c:v>99.906000000000006</c:v>
                </c:pt>
                <c:pt idx="176">
                  <c:v>99.906000000000006</c:v>
                </c:pt>
                <c:pt idx="177">
                  <c:v>99.906000000000006</c:v>
                </c:pt>
                <c:pt idx="178">
                  <c:v>99.906000000000006</c:v>
                </c:pt>
                <c:pt idx="179">
                  <c:v>99.906000000000006</c:v>
                </c:pt>
                <c:pt idx="180">
                  <c:v>99.906000000000006</c:v>
                </c:pt>
                <c:pt idx="181">
                  <c:v>99.906000000000006</c:v>
                </c:pt>
                <c:pt idx="182">
                  <c:v>99.906000000000006</c:v>
                </c:pt>
                <c:pt idx="183">
                  <c:v>99.906000000000006</c:v>
                </c:pt>
                <c:pt idx="184">
                  <c:v>99.906000000000006</c:v>
                </c:pt>
                <c:pt idx="185">
                  <c:v>99.906000000000006</c:v>
                </c:pt>
                <c:pt idx="186">
                  <c:v>99.906000000000006</c:v>
                </c:pt>
                <c:pt idx="187">
                  <c:v>99.906000000000006</c:v>
                </c:pt>
                <c:pt idx="188">
                  <c:v>99.906000000000006</c:v>
                </c:pt>
                <c:pt idx="189">
                  <c:v>99.906000000000006</c:v>
                </c:pt>
                <c:pt idx="190">
                  <c:v>99.906000000000006</c:v>
                </c:pt>
                <c:pt idx="191">
                  <c:v>99.906000000000006</c:v>
                </c:pt>
                <c:pt idx="192">
                  <c:v>99.906000000000006</c:v>
                </c:pt>
                <c:pt idx="193">
                  <c:v>99.906000000000006</c:v>
                </c:pt>
                <c:pt idx="194">
                  <c:v>102.316</c:v>
                </c:pt>
                <c:pt idx="195">
                  <c:v>104.242</c:v>
                </c:pt>
                <c:pt idx="196">
                  <c:v>104.242</c:v>
                </c:pt>
                <c:pt idx="197">
                  <c:v>104.242</c:v>
                </c:pt>
                <c:pt idx="198">
                  <c:v>104.242</c:v>
                </c:pt>
                <c:pt idx="199">
                  <c:v>104.242</c:v>
                </c:pt>
                <c:pt idx="200">
                  <c:v>106.81400000000001</c:v>
                </c:pt>
                <c:pt idx="201">
                  <c:v>109.367</c:v>
                </c:pt>
                <c:pt idx="202">
                  <c:v>111.15900000000001</c:v>
                </c:pt>
                <c:pt idx="203">
                  <c:v>111.15900000000001</c:v>
                </c:pt>
                <c:pt idx="204">
                  <c:v>111.15900000000001</c:v>
                </c:pt>
                <c:pt idx="205">
                  <c:v>111.15900000000001</c:v>
                </c:pt>
                <c:pt idx="206">
                  <c:v>111.15900000000001</c:v>
                </c:pt>
                <c:pt idx="207">
                  <c:v>111.15900000000001</c:v>
                </c:pt>
                <c:pt idx="208">
                  <c:v>111.15900000000001</c:v>
                </c:pt>
                <c:pt idx="209">
                  <c:v>111.15900000000001</c:v>
                </c:pt>
                <c:pt idx="210">
                  <c:v>111.15900000000001</c:v>
                </c:pt>
                <c:pt idx="211">
                  <c:v>113.15100000000001</c:v>
                </c:pt>
                <c:pt idx="212">
                  <c:v>115.14400000000001</c:v>
                </c:pt>
                <c:pt idx="213">
                  <c:v>115.83800000000001</c:v>
                </c:pt>
                <c:pt idx="214">
                  <c:v>117.30000000000001</c:v>
                </c:pt>
                <c:pt idx="215">
                  <c:v>117.30000000000001</c:v>
                </c:pt>
                <c:pt idx="216">
                  <c:v>119.18</c:v>
                </c:pt>
                <c:pt idx="217">
                  <c:v>119.18</c:v>
                </c:pt>
                <c:pt idx="218">
                  <c:v>120.56200000000001</c:v>
                </c:pt>
                <c:pt idx="219">
                  <c:v>121.95300000000002</c:v>
                </c:pt>
                <c:pt idx="220">
                  <c:v>122.98</c:v>
                </c:pt>
                <c:pt idx="221">
                  <c:v>123.88300000000001</c:v>
                </c:pt>
                <c:pt idx="222">
                  <c:v>124.75500000000001</c:v>
                </c:pt>
                <c:pt idx="223">
                  <c:v>124.75500000000001</c:v>
                </c:pt>
                <c:pt idx="224">
                  <c:v>124.75500000000001</c:v>
                </c:pt>
                <c:pt idx="225">
                  <c:v>125.22200000000001</c:v>
                </c:pt>
                <c:pt idx="226">
                  <c:v>125.92</c:v>
                </c:pt>
                <c:pt idx="227">
                  <c:v>126.35899999999999</c:v>
                </c:pt>
                <c:pt idx="228">
                  <c:v>127.53099999999999</c:v>
                </c:pt>
                <c:pt idx="229">
                  <c:v>127.664</c:v>
                </c:pt>
                <c:pt idx="230">
                  <c:v>127.678</c:v>
                </c:pt>
                <c:pt idx="231">
                  <c:v>127.678</c:v>
                </c:pt>
                <c:pt idx="232">
                  <c:v>128.17399999999998</c:v>
                </c:pt>
                <c:pt idx="233">
                  <c:v>129.04499999999999</c:v>
                </c:pt>
                <c:pt idx="234">
                  <c:v>129.04499999999999</c:v>
                </c:pt>
                <c:pt idx="235">
                  <c:v>130.51399999999998</c:v>
                </c:pt>
                <c:pt idx="236">
                  <c:v>130.51999999999998</c:v>
                </c:pt>
                <c:pt idx="237">
                  <c:v>130.51999999999998</c:v>
                </c:pt>
                <c:pt idx="238">
                  <c:v>130.51999999999998</c:v>
                </c:pt>
                <c:pt idx="239">
                  <c:v>131.21199999999999</c:v>
                </c:pt>
                <c:pt idx="240">
                  <c:v>131.48699999999999</c:v>
                </c:pt>
                <c:pt idx="241">
                  <c:v>132.34699999999998</c:v>
                </c:pt>
                <c:pt idx="242">
                  <c:v>132.34699999999998</c:v>
                </c:pt>
                <c:pt idx="243">
                  <c:v>132.34699999999998</c:v>
                </c:pt>
                <c:pt idx="244">
                  <c:v>132.34699999999998</c:v>
                </c:pt>
                <c:pt idx="245">
                  <c:v>132.34699999999998</c:v>
                </c:pt>
                <c:pt idx="246">
                  <c:v>132.34699999999998</c:v>
                </c:pt>
                <c:pt idx="247">
                  <c:v>133.67099999999999</c:v>
                </c:pt>
                <c:pt idx="248">
                  <c:v>133.71399999999997</c:v>
                </c:pt>
                <c:pt idx="249">
                  <c:v>135.43499999999995</c:v>
                </c:pt>
                <c:pt idx="250">
                  <c:v>137.78499999999994</c:v>
                </c:pt>
                <c:pt idx="251">
                  <c:v>138.50499999999994</c:v>
                </c:pt>
                <c:pt idx="252">
                  <c:v>140.20499999999993</c:v>
                </c:pt>
                <c:pt idx="253">
                  <c:v>140.70499999999993</c:v>
                </c:pt>
                <c:pt idx="254">
                  <c:v>141.80499999999992</c:v>
                </c:pt>
                <c:pt idx="255">
                  <c:v>142.50499999999991</c:v>
                </c:pt>
                <c:pt idx="256">
                  <c:v>142.63799999999989</c:v>
                </c:pt>
                <c:pt idx="257">
                  <c:v>142.87799999999987</c:v>
                </c:pt>
                <c:pt idx="258">
                  <c:v>142.97799999999987</c:v>
                </c:pt>
                <c:pt idx="259">
                  <c:v>142.97799999999987</c:v>
                </c:pt>
                <c:pt idx="260">
                  <c:v>142.97799999999987</c:v>
                </c:pt>
                <c:pt idx="261">
                  <c:v>142.97799999999987</c:v>
                </c:pt>
                <c:pt idx="262">
                  <c:v>142.97799999999987</c:v>
                </c:pt>
                <c:pt idx="263">
                  <c:v>142.97799999999987</c:v>
                </c:pt>
                <c:pt idx="264">
                  <c:v>142.97799999999987</c:v>
                </c:pt>
                <c:pt idx="265">
                  <c:v>145.05499999999986</c:v>
                </c:pt>
                <c:pt idx="266">
                  <c:v>145.05499999999986</c:v>
                </c:pt>
                <c:pt idx="267">
                  <c:v>145.05499999999986</c:v>
                </c:pt>
                <c:pt idx="268">
                  <c:v>145.05499999999986</c:v>
                </c:pt>
                <c:pt idx="269">
                  <c:v>145.05499999999986</c:v>
                </c:pt>
                <c:pt idx="270">
                  <c:v>145.05499999999986</c:v>
                </c:pt>
                <c:pt idx="271">
                  <c:v>145.05499999999986</c:v>
                </c:pt>
                <c:pt idx="272">
                  <c:v>145.05499999999986</c:v>
                </c:pt>
                <c:pt idx="273">
                  <c:v>145.05499999999986</c:v>
                </c:pt>
                <c:pt idx="274">
                  <c:v>145.05499999999986</c:v>
                </c:pt>
                <c:pt idx="275">
                  <c:v>145.05499999999986</c:v>
                </c:pt>
                <c:pt idx="276">
                  <c:v>145.06999999999985</c:v>
                </c:pt>
                <c:pt idx="277">
                  <c:v>145.06999999999985</c:v>
                </c:pt>
                <c:pt idx="278">
                  <c:v>145.06999999999985</c:v>
                </c:pt>
                <c:pt idx="279">
                  <c:v>145.06999999999985</c:v>
                </c:pt>
                <c:pt idx="280">
                  <c:v>147.54199999999986</c:v>
                </c:pt>
                <c:pt idx="281">
                  <c:v>147.54199999999986</c:v>
                </c:pt>
                <c:pt idx="282">
                  <c:v>147.54199999999986</c:v>
                </c:pt>
                <c:pt idx="283">
                  <c:v>147.54199999999986</c:v>
                </c:pt>
                <c:pt idx="284">
                  <c:v>147.54199999999986</c:v>
                </c:pt>
                <c:pt idx="285">
                  <c:v>147.54799999999986</c:v>
                </c:pt>
                <c:pt idx="286">
                  <c:v>147.54799999999986</c:v>
                </c:pt>
                <c:pt idx="287">
                  <c:v>147.54799999999986</c:v>
                </c:pt>
                <c:pt idx="288">
                  <c:v>147.54799999999986</c:v>
                </c:pt>
                <c:pt idx="289">
                  <c:v>150.52899999999985</c:v>
                </c:pt>
                <c:pt idx="290">
                  <c:v>150.52899999999985</c:v>
                </c:pt>
                <c:pt idx="291">
                  <c:v>152.48699999999985</c:v>
                </c:pt>
                <c:pt idx="292">
                  <c:v>155.08799999999985</c:v>
                </c:pt>
                <c:pt idx="293">
                  <c:v>155.08799999999985</c:v>
                </c:pt>
                <c:pt idx="294">
                  <c:v>155.08799999999985</c:v>
                </c:pt>
                <c:pt idx="295">
                  <c:v>155.08799999999985</c:v>
                </c:pt>
                <c:pt idx="296">
                  <c:v>155.08799999999985</c:v>
                </c:pt>
                <c:pt idx="297">
                  <c:v>155.08799999999985</c:v>
                </c:pt>
                <c:pt idx="298">
                  <c:v>155.08799999999985</c:v>
                </c:pt>
                <c:pt idx="299">
                  <c:v>155.08799999999985</c:v>
                </c:pt>
                <c:pt idx="300">
                  <c:v>155.08799999999985</c:v>
                </c:pt>
                <c:pt idx="301">
                  <c:v>155.08799999999985</c:v>
                </c:pt>
                <c:pt idx="302">
                  <c:v>155.08799999999985</c:v>
                </c:pt>
                <c:pt idx="303">
                  <c:v>155.08799999999985</c:v>
                </c:pt>
                <c:pt idx="304">
                  <c:v>156.88799999999986</c:v>
                </c:pt>
                <c:pt idx="305">
                  <c:v>158.24099999999987</c:v>
                </c:pt>
                <c:pt idx="306">
                  <c:v>158.24099999999987</c:v>
                </c:pt>
                <c:pt idx="307">
                  <c:v>158.24099999999987</c:v>
                </c:pt>
                <c:pt idx="308">
                  <c:v>158.24099999999987</c:v>
                </c:pt>
                <c:pt idx="309">
                  <c:v>158.97299999999987</c:v>
                </c:pt>
                <c:pt idx="310">
                  <c:v>160.85399999999987</c:v>
                </c:pt>
                <c:pt idx="311">
                  <c:v>161.98699999999988</c:v>
                </c:pt>
                <c:pt idx="312">
                  <c:v>161.98699999999988</c:v>
                </c:pt>
                <c:pt idx="313">
                  <c:v>163.76899999999989</c:v>
                </c:pt>
                <c:pt idx="314">
                  <c:v>165.1149999999999</c:v>
                </c:pt>
                <c:pt idx="315">
                  <c:v>165.1149999999999</c:v>
                </c:pt>
                <c:pt idx="316">
                  <c:v>165.80799999999991</c:v>
                </c:pt>
                <c:pt idx="317">
                  <c:v>165.80799999999991</c:v>
                </c:pt>
                <c:pt idx="318">
                  <c:v>165.80799999999991</c:v>
                </c:pt>
                <c:pt idx="319">
                  <c:v>165.80799999999991</c:v>
                </c:pt>
                <c:pt idx="320">
                  <c:v>165.80799999999991</c:v>
                </c:pt>
                <c:pt idx="321">
                  <c:v>165.80799999999991</c:v>
                </c:pt>
                <c:pt idx="322">
                  <c:v>165.80799999999991</c:v>
                </c:pt>
                <c:pt idx="323">
                  <c:v>165.80799999999991</c:v>
                </c:pt>
                <c:pt idx="324">
                  <c:v>165.80799999999991</c:v>
                </c:pt>
                <c:pt idx="325">
                  <c:v>165.80799999999991</c:v>
                </c:pt>
                <c:pt idx="326">
                  <c:v>165.80799999999991</c:v>
                </c:pt>
                <c:pt idx="327">
                  <c:v>165.80799999999991</c:v>
                </c:pt>
                <c:pt idx="328">
                  <c:v>165.80799999999991</c:v>
                </c:pt>
                <c:pt idx="329">
                  <c:v>165.80799999999991</c:v>
                </c:pt>
                <c:pt idx="330">
                  <c:v>165.80799999999991</c:v>
                </c:pt>
                <c:pt idx="331">
                  <c:v>165.80799999999991</c:v>
                </c:pt>
                <c:pt idx="332">
                  <c:v>165.80799999999991</c:v>
                </c:pt>
                <c:pt idx="333">
                  <c:v>167.3709999999999</c:v>
                </c:pt>
                <c:pt idx="334">
                  <c:v>169.77299999999988</c:v>
                </c:pt>
                <c:pt idx="335">
                  <c:v>169.77299999999988</c:v>
                </c:pt>
                <c:pt idx="336">
                  <c:v>169.77299999999988</c:v>
                </c:pt>
                <c:pt idx="337">
                  <c:v>170.68699999999987</c:v>
                </c:pt>
                <c:pt idx="338">
                  <c:v>170.68699999999987</c:v>
                </c:pt>
                <c:pt idx="339">
                  <c:v>170.68699999999987</c:v>
                </c:pt>
                <c:pt idx="340">
                  <c:v>170.68699999999987</c:v>
                </c:pt>
                <c:pt idx="341">
                  <c:v>171.42099999999985</c:v>
                </c:pt>
                <c:pt idx="342">
                  <c:v>171.42099999999985</c:v>
                </c:pt>
                <c:pt idx="343">
                  <c:v>171.42099999999985</c:v>
                </c:pt>
                <c:pt idx="344">
                  <c:v>171.42099999999985</c:v>
                </c:pt>
                <c:pt idx="345">
                  <c:v>172.30449999999985</c:v>
                </c:pt>
                <c:pt idx="346">
                  <c:v>173.53649999999988</c:v>
                </c:pt>
                <c:pt idx="347">
                  <c:v>176.22249999999988</c:v>
                </c:pt>
                <c:pt idx="348">
                  <c:v>179.01449999999988</c:v>
                </c:pt>
                <c:pt idx="349">
                  <c:v>180.42549999999989</c:v>
                </c:pt>
                <c:pt idx="350">
                  <c:v>180.42549999999989</c:v>
                </c:pt>
                <c:pt idx="351">
                  <c:v>180.42549999999989</c:v>
                </c:pt>
                <c:pt idx="352">
                  <c:v>180.42549999999989</c:v>
                </c:pt>
                <c:pt idx="353">
                  <c:v>180.42549999999989</c:v>
                </c:pt>
                <c:pt idx="354">
                  <c:v>180.42549999999989</c:v>
                </c:pt>
                <c:pt idx="355">
                  <c:v>180.42549999999989</c:v>
                </c:pt>
                <c:pt idx="356">
                  <c:v>181.92549999999989</c:v>
                </c:pt>
                <c:pt idx="357">
                  <c:v>181.92549999999989</c:v>
                </c:pt>
                <c:pt idx="358">
                  <c:v>181.92549999999989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801-41B8-A1FA-3499B89194F0}"/>
            </c:ext>
          </c:extLst>
        </c:ser>
        <c:ser>
          <c:idx val="6"/>
          <c:order val="2"/>
          <c:tx>
            <c:strRef>
              <c:f>Grafico!$F$1</c:f>
              <c:strCache>
                <c:ptCount val="1"/>
                <c:pt idx="0">
                  <c:v>DCVG</c:v>
                </c:pt>
              </c:strCache>
            </c:strRef>
          </c:tx>
          <c:spPr>
            <a:ln w="19050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Grafico!$A$2:$A$426</c:f>
              <c:numCache>
                <c:formatCode>d\-mmm</c:formatCode>
                <c:ptCount val="425"/>
                <c:pt idx="0">
                  <c:v>45963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45969</c:v>
                </c:pt>
                <c:pt idx="7">
                  <c:v>45970</c:v>
                </c:pt>
                <c:pt idx="8">
                  <c:v>45971</c:v>
                </c:pt>
                <c:pt idx="9">
                  <c:v>45972</c:v>
                </c:pt>
                <c:pt idx="10">
                  <c:v>45973</c:v>
                </c:pt>
                <c:pt idx="11">
                  <c:v>45974</c:v>
                </c:pt>
                <c:pt idx="12">
                  <c:v>45975</c:v>
                </c:pt>
                <c:pt idx="13">
                  <c:v>45976</c:v>
                </c:pt>
                <c:pt idx="14">
                  <c:v>45977</c:v>
                </c:pt>
                <c:pt idx="15">
                  <c:v>45978</c:v>
                </c:pt>
                <c:pt idx="16">
                  <c:v>45979</c:v>
                </c:pt>
                <c:pt idx="17">
                  <c:v>45980</c:v>
                </c:pt>
                <c:pt idx="18">
                  <c:v>45981</c:v>
                </c:pt>
                <c:pt idx="19">
                  <c:v>45982</c:v>
                </c:pt>
                <c:pt idx="20">
                  <c:v>45983</c:v>
                </c:pt>
                <c:pt idx="21">
                  <c:v>45984</c:v>
                </c:pt>
                <c:pt idx="22">
                  <c:v>45985</c:v>
                </c:pt>
                <c:pt idx="23">
                  <c:v>45986</c:v>
                </c:pt>
                <c:pt idx="24">
                  <c:v>45987</c:v>
                </c:pt>
                <c:pt idx="25">
                  <c:v>45988</c:v>
                </c:pt>
                <c:pt idx="26">
                  <c:v>45989</c:v>
                </c:pt>
                <c:pt idx="27">
                  <c:v>45990</c:v>
                </c:pt>
                <c:pt idx="28">
                  <c:v>45991</c:v>
                </c:pt>
                <c:pt idx="29">
                  <c:v>45992</c:v>
                </c:pt>
                <c:pt idx="30">
                  <c:v>45993</c:v>
                </c:pt>
                <c:pt idx="31">
                  <c:v>45994</c:v>
                </c:pt>
                <c:pt idx="32">
                  <c:v>45995</c:v>
                </c:pt>
                <c:pt idx="33">
                  <c:v>45996</c:v>
                </c:pt>
                <c:pt idx="34">
                  <c:v>45997</c:v>
                </c:pt>
                <c:pt idx="35">
                  <c:v>45998</c:v>
                </c:pt>
                <c:pt idx="36">
                  <c:v>45999</c:v>
                </c:pt>
                <c:pt idx="37">
                  <c:v>46000</c:v>
                </c:pt>
                <c:pt idx="38">
                  <c:v>46001</c:v>
                </c:pt>
                <c:pt idx="39">
                  <c:v>46002</c:v>
                </c:pt>
                <c:pt idx="40">
                  <c:v>46003</c:v>
                </c:pt>
                <c:pt idx="41">
                  <c:v>46004</c:v>
                </c:pt>
                <c:pt idx="42">
                  <c:v>46005</c:v>
                </c:pt>
                <c:pt idx="43">
                  <c:v>46006</c:v>
                </c:pt>
                <c:pt idx="44">
                  <c:v>46007</c:v>
                </c:pt>
                <c:pt idx="45">
                  <c:v>46008</c:v>
                </c:pt>
                <c:pt idx="46">
                  <c:v>46009</c:v>
                </c:pt>
                <c:pt idx="47">
                  <c:v>46010</c:v>
                </c:pt>
                <c:pt idx="48">
                  <c:v>46011</c:v>
                </c:pt>
                <c:pt idx="49">
                  <c:v>46012</c:v>
                </c:pt>
                <c:pt idx="50">
                  <c:v>46013</c:v>
                </c:pt>
                <c:pt idx="51">
                  <c:v>46014</c:v>
                </c:pt>
                <c:pt idx="52">
                  <c:v>46015</c:v>
                </c:pt>
                <c:pt idx="53">
                  <c:v>46016</c:v>
                </c:pt>
                <c:pt idx="54">
                  <c:v>46017</c:v>
                </c:pt>
                <c:pt idx="55">
                  <c:v>46018</c:v>
                </c:pt>
                <c:pt idx="56">
                  <c:v>46019</c:v>
                </c:pt>
                <c:pt idx="57">
                  <c:v>46020</c:v>
                </c:pt>
                <c:pt idx="58">
                  <c:v>46021</c:v>
                </c:pt>
                <c:pt idx="59">
                  <c:v>46022</c:v>
                </c:pt>
                <c:pt idx="60">
                  <c:v>46023</c:v>
                </c:pt>
                <c:pt idx="61">
                  <c:v>46024</c:v>
                </c:pt>
                <c:pt idx="62">
                  <c:v>46025</c:v>
                </c:pt>
                <c:pt idx="63">
                  <c:v>46026</c:v>
                </c:pt>
                <c:pt idx="64">
                  <c:v>46027</c:v>
                </c:pt>
                <c:pt idx="65">
                  <c:v>46028</c:v>
                </c:pt>
                <c:pt idx="66">
                  <c:v>46029</c:v>
                </c:pt>
                <c:pt idx="67">
                  <c:v>46030</c:v>
                </c:pt>
                <c:pt idx="68">
                  <c:v>46031</c:v>
                </c:pt>
                <c:pt idx="69">
                  <c:v>46032</c:v>
                </c:pt>
                <c:pt idx="70">
                  <c:v>46033</c:v>
                </c:pt>
                <c:pt idx="71">
                  <c:v>46034</c:v>
                </c:pt>
                <c:pt idx="72">
                  <c:v>46035</c:v>
                </c:pt>
                <c:pt idx="73">
                  <c:v>46036</c:v>
                </c:pt>
                <c:pt idx="74">
                  <c:v>46037</c:v>
                </c:pt>
                <c:pt idx="75">
                  <c:v>46038</c:v>
                </c:pt>
                <c:pt idx="76">
                  <c:v>46039</c:v>
                </c:pt>
                <c:pt idx="77">
                  <c:v>46040</c:v>
                </c:pt>
                <c:pt idx="78">
                  <c:v>46041</c:v>
                </c:pt>
                <c:pt idx="79">
                  <c:v>46042</c:v>
                </c:pt>
                <c:pt idx="80">
                  <c:v>46043</c:v>
                </c:pt>
                <c:pt idx="81">
                  <c:v>46044</c:v>
                </c:pt>
                <c:pt idx="82">
                  <c:v>46045</c:v>
                </c:pt>
                <c:pt idx="83">
                  <c:v>46046</c:v>
                </c:pt>
                <c:pt idx="84">
                  <c:v>46047</c:v>
                </c:pt>
                <c:pt idx="85">
                  <c:v>46048</c:v>
                </c:pt>
                <c:pt idx="86">
                  <c:v>46049</c:v>
                </c:pt>
                <c:pt idx="87">
                  <c:v>46050</c:v>
                </c:pt>
                <c:pt idx="88">
                  <c:v>46051</c:v>
                </c:pt>
                <c:pt idx="89">
                  <c:v>46052</c:v>
                </c:pt>
                <c:pt idx="90">
                  <c:v>46053</c:v>
                </c:pt>
                <c:pt idx="91">
                  <c:v>46054</c:v>
                </c:pt>
                <c:pt idx="92">
                  <c:v>46055</c:v>
                </c:pt>
                <c:pt idx="93">
                  <c:v>46056</c:v>
                </c:pt>
                <c:pt idx="94">
                  <c:v>46057</c:v>
                </c:pt>
                <c:pt idx="95">
                  <c:v>46058</c:v>
                </c:pt>
                <c:pt idx="96">
                  <c:v>46059</c:v>
                </c:pt>
                <c:pt idx="97">
                  <c:v>46060</c:v>
                </c:pt>
                <c:pt idx="98">
                  <c:v>46061</c:v>
                </c:pt>
                <c:pt idx="99">
                  <c:v>46062</c:v>
                </c:pt>
                <c:pt idx="100">
                  <c:v>46063</c:v>
                </c:pt>
                <c:pt idx="101">
                  <c:v>46064</c:v>
                </c:pt>
                <c:pt idx="102">
                  <c:v>46065</c:v>
                </c:pt>
                <c:pt idx="103">
                  <c:v>46066</c:v>
                </c:pt>
                <c:pt idx="104">
                  <c:v>46067</c:v>
                </c:pt>
                <c:pt idx="105">
                  <c:v>46068</c:v>
                </c:pt>
                <c:pt idx="106">
                  <c:v>46069</c:v>
                </c:pt>
                <c:pt idx="107">
                  <c:v>46070</c:v>
                </c:pt>
                <c:pt idx="108">
                  <c:v>46071</c:v>
                </c:pt>
                <c:pt idx="109">
                  <c:v>46072</c:v>
                </c:pt>
                <c:pt idx="110">
                  <c:v>46073</c:v>
                </c:pt>
                <c:pt idx="111">
                  <c:v>46074</c:v>
                </c:pt>
                <c:pt idx="112">
                  <c:v>46075</c:v>
                </c:pt>
                <c:pt idx="113">
                  <c:v>46076</c:v>
                </c:pt>
                <c:pt idx="114">
                  <c:v>46077</c:v>
                </c:pt>
                <c:pt idx="115">
                  <c:v>46078</c:v>
                </c:pt>
                <c:pt idx="116">
                  <c:v>46079</c:v>
                </c:pt>
                <c:pt idx="117">
                  <c:v>46080</c:v>
                </c:pt>
                <c:pt idx="118">
                  <c:v>46081</c:v>
                </c:pt>
                <c:pt idx="119">
                  <c:v>46082</c:v>
                </c:pt>
                <c:pt idx="120">
                  <c:v>46083</c:v>
                </c:pt>
                <c:pt idx="121">
                  <c:v>46084</c:v>
                </c:pt>
                <c:pt idx="122">
                  <c:v>46085</c:v>
                </c:pt>
                <c:pt idx="123">
                  <c:v>46086</c:v>
                </c:pt>
                <c:pt idx="124">
                  <c:v>46087</c:v>
                </c:pt>
                <c:pt idx="125">
                  <c:v>46088</c:v>
                </c:pt>
                <c:pt idx="126">
                  <c:v>46089</c:v>
                </c:pt>
                <c:pt idx="127">
                  <c:v>46090</c:v>
                </c:pt>
                <c:pt idx="128">
                  <c:v>46091</c:v>
                </c:pt>
                <c:pt idx="129">
                  <c:v>46092</c:v>
                </c:pt>
                <c:pt idx="130">
                  <c:v>46093</c:v>
                </c:pt>
                <c:pt idx="131">
                  <c:v>46094</c:v>
                </c:pt>
                <c:pt idx="132">
                  <c:v>46095</c:v>
                </c:pt>
                <c:pt idx="133">
                  <c:v>46096</c:v>
                </c:pt>
                <c:pt idx="134">
                  <c:v>46097</c:v>
                </c:pt>
                <c:pt idx="135">
                  <c:v>46098</c:v>
                </c:pt>
                <c:pt idx="136">
                  <c:v>46099</c:v>
                </c:pt>
                <c:pt idx="137">
                  <c:v>46100</c:v>
                </c:pt>
                <c:pt idx="138">
                  <c:v>46101</c:v>
                </c:pt>
                <c:pt idx="139">
                  <c:v>46102</c:v>
                </c:pt>
                <c:pt idx="140">
                  <c:v>46103</c:v>
                </c:pt>
                <c:pt idx="141">
                  <c:v>46104</c:v>
                </c:pt>
                <c:pt idx="142">
                  <c:v>46105</c:v>
                </c:pt>
                <c:pt idx="143">
                  <c:v>46106</c:v>
                </c:pt>
                <c:pt idx="144">
                  <c:v>46107</c:v>
                </c:pt>
                <c:pt idx="145">
                  <c:v>46108</c:v>
                </c:pt>
                <c:pt idx="146">
                  <c:v>46109</c:v>
                </c:pt>
                <c:pt idx="147">
                  <c:v>46110</c:v>
                </c:pt>
                <c:pt idx="148">
                  <c:v>46111</c:v>
                </c:pt>
                <c:pt idx="149">
                  <c:v>46112</c:v>
                </c:pt>
                <c:pt idx="150">
                  <c:v>46113</c:v>
                </c:pt>
                <c:pt idx="151">
                  <c:v>46114</c:v>
                </c:pt>
                <c:pt idx="152">
                  <c:v>46115</c:v>
                </c:pt>
                <c:pt idx="153">
                  <c:v>46116</c:v>
                </c:pt>
                <c:pt idx="154">
                  <c:v>46117</c:v>
                </c:pt>
                <c:pt idx="155">
                  <c:v>46118</c:v>
                </c:pt>
                <c:pt idx="156">
                  <c:v>46119</c:v>
                </c:pt>
                <c:pt idx="157">
                  <c:v>46120</c:v>
                </c:pt>
                <c:pt idx="158">
                  <c:v>46121</c:v>
                </c:pt>
                <c:pt idx="159">
                  <c:v>46122</c:v>
                </c:pt>
                <c:pt idx="160">
                  <c:v>46123</c:v>
                </c:pt>
                <c:pt idx="161">
                  <c:v>46124</c:v>
                </c:pt>
                <c:pt idx="162">
                  <c:v>46125</c:v>
                </c:pt>
                <c:pt idx="163">
                  <c:v>46126</c:v>
                </c:pt>
                <c:pt idx="164">
                  <c:v>46127</c:v>
                </c:pt>
                <c:pt idx="165">
                  <c:v>46128</c:v>
                </c:pt>
                <c:pt idx="166">
                  <c:v>46129</c:v>
                </c:pt>
                <c:pt idx="167">
                  <c:v>46130</c:v>
                </c:pt>
                <c:pt idx="168">
                  <c:v>46131</c:v>
                </c:pt>
                <c:pt idx="169">
                  <c:v>46132</c:v>
                </c:pt>
                <c:pt idx="170">
                  <c:v>46133</c:v>
                </c:pt>
                <c:pt idx="171">
                  <c:v>46134</c:v>
                </c:pt>
                <c:pt idx="172">
                  <c:v>46135</c:v>
                </c:pt>
                <c:pt idx="173">
                  <c:v>46136</c:v>
                </c:pt>
                <c:pt idx="174">
                  <c:v>46137</c:v>
                </c:pt>
                <c:pt idx="175">
                  <c:v>46138</c:v>
                </c:pt>
                <c:pt idx="176">
                  <c:v>46139</c:v>
                </c:pt>
                <c:pt idx="177">
                  <c:v>46140</c:v>
                </c:pt>
                <c:pt idx="178">
                  <c:v>46141</c:v>
                </c:pt>
                <c:pt idx="179">
                  <c:v>46142</c:v>
                </c:pt>
                <c:pt idx="180">
                  <c:v>46143</c:v>
                </c:pt>
                <c:pt idx="181">
                  <c:v>46144</c:v>
                </c:pt>
                <c:pt idx="182">
                  <c:v>46145</c:v>
                </c:pt>
                <c:pt idx="183">
                  <c:v>46146</c:v>
                </c:pt>
                <c:pt idx="184">
                  <c:v>46147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46158</c:v>
                </c:pt>
                <c:pt idx="196">
                  <c:v>46159</c:v>
                </c:pt>
                <c:pt idx="197">
                  <c:v>46160</c:v>
                </c:pt>
                <c:pt idx="198">
                  <c:v>46161</c:v>
                </c:pt>
                <c:pt idx="199">
                  <c:v>46162</c:v>
                </c:pt>
                <c:pt idx="200">
                  <c:v>46163</c:v>
                </c:pt>
                <c:pt idx="201">
                  <c:v>46164</c:v>
                </c:pt>
                <c:pt idx="202">
                  <c:v>46165</c:v>
                </c:pt>
                <c:pt idx="203">
                  <c:v>46166</c:v>
                </c:pt>
                <c:pt idx="204">
                  <c:v>46167</c:v>
                </c:pt>
                <c:pt idx="205">
                  <c:v>46168</c:v>
                </c:pt>
                <c:pt idx="206">
                  <c:v>46169</c:v>
                </c:pt>
                <c:pt idx="207">
                  <c:v>46170</c:v>
                </c:pt>
                <c:pt idx="208">
                  <c:v>46171</c:v>
                </c:pt>
                <c:pt idx="209">
                  <c:v>46172</c:v>
                </c:pt>
                <c:pt idx="210">
                  <c:v>46173</c:v>
                </c:pt>
                <c:pt idx="211">
                  <c:v>46174</c:v>
                </c:pt>
                <c:pt idx="212">
                  <c:v>46175</c:v>
                </c:pt>
                <c:pt idx="213">
                  <c:v>46176</c:v>
                </c:pt>
                <c:pt idx="214">
                  <c:v>46177</c:v>
                </c:pt>
                <c:pt idx="215">
                  <c:v>46178</c:v>
                </c:pt>
                <c:pt idx="216">
                  <c:v>46179</c:v>
                </c:pt>
                <c:pt idx="217">
                  <c:v>46180</c:v>
                </c:pt>
                <c:pt idx="218">
                  <c:v>46181</c:v>
                </c:pt>
                <c:pt idx="219">
                  <c:v>46182</c:v>
                </c:pt>
                <c:pt idx="220">
                  <c:v>46183</c:v>
                </c:pt>
                <c:pt idx="221">
                  <c:v>46184</c:v>
                </c:pt>
                <c:pt idx="222">
                  <c:v>46185</c:v>
                </c:pt>
                <c:pt idx="223">
                  <c:v>46186</c:v>
                </c:pt>
                <c:pt idx="224">
                  <c:v>46187</c:v>
                </c:pt>
                <c:pt idx="225">
                  <c:v>46188</c:v>
                </c:pt>
                <c:pt idx="226">
                  <c:v>46189</c:v>
                </c:pt>
                <c:pt idx="227">
                  <c:v>46190</c:v>
                </c:pt>
                <c:pt idx="228">
                  <c:v>46191</c:v>
                </c:pt>
                <c:pt idx="229">
                  <c:v>46192</c:v>
                </c:pt>
                <c:pt idx="230">
                  <c:v>46193</c:v>
                </c:pt>
                <c:pt idx="231">
                  <c:v>46194</c:v>
                </c:pt>
                <c:pt idx="232">
                  <c:v>46195</c:v>
                </c:pt>
                <c:pt idx="233">
                  <c:v>46196</c:v>
                </c:pt>
                <c:pt idx="234">
                  <c:v>46197</c:v>
                </c:pt>
                <c:pt idx="235">
                  <c:v>46198</c:v>
                </c:pt>
                <c:pt idx="236">
                  <c:v>46199</c:v>
                </c:pt>
                <c:pt idx="237">
                  <c:v>46200</c:v>
                </c:pt>
                <c:pt idx="238">
                  <c:v>46201</c:v>
                </c:pt>
                <c:pt idx="239">
                  <c:v>46202</c:v>
                </c:pt>
                <c:pt idx="240">
                  <c:v>46203</c:v>
                </c:pt>
                <c:pt idx="241">
                  <c:v>46204</c:v>
                </c:pt>
                <c:pt idx="242">
                  <c:v>46205</c:v>
                </c:pt>
                <c:pt idx="243">
                  <c:v>46206</c:v>
                </c:pt>
                <c:pt idx="244">
                  <c:v>46207</c:v>
                </c:pt>
                <c:pt idx="245">
                  <c:v>46208</c:v>
                </c:pt>
                <c:pt idx="246">
                  <c:v>46209</c:v>
                </c:pt>
                <c:pt idx="247">
                  <c:v>46210</c:v>
                </c:pt>
                <c:pt idx="248">
                  <c:v>46211</c:v>
                </c:pt>
                <c:pt idx="249">
                  <c:v>46212</c:v>
                </c:pt>
                <c:pt idx="250">
                  <c:v>46213</c:v>
                </c:pt>
                <c:pt idx="251">
                  <c:v>46214</c:v>
                </c:pt>
                <c:pt idx="252">
                  <c:v>46215</c:v>
                </c:pt>
                <c:pt idx="253">
                  <c:v>46216</c:v>
                </c:pt>
                <c:pt idx="254">
                  <c:v>46217</c:v>
                </c:pt>
                <c:pt idx="255">
                  <c:v>46218</c:v>
                </c:pt>
                <c:pt idx="256">
                  <c:v>46219</c:v>
                </c:pt>
                <c:pt idx="257">
                  <c:v>46220</c:v>
                </c:pt>
                <c:pt idx="258">
                  <c:v>46221</c:v>
                </c:pt>
                <c:pt idx="259">
                  <c:v>46222</c:v>
                </c:pt>
                <c:pt idx="260">
                  <c:v>46223</c:v>
                </c:pt>
                <c:pt idx="261">
                  <c:v>46224</c:v>
                </c:pt>
                <c:pt idx="262">
                  <c:v>46225</c:v>
                </c:pt>
                <c:pt idx="263">
                  <c:v>46226</c:v>
                </c:pt>
                <c:pt idx="264">
                  <c:v>46227</c:v>
                </c:pt>
                <c:pt idx="265">
                  <c:v>46228</c:v>
                </c:pt>
                <c:pt idx="266">
                  <c:v>46229</c:v>
                </c:pt>
                <c:pt idx="267">
                  <c:v>46230</c:v>
                </c:pt>
                <c:pt idx="268">
                  <c:v>46231</c:v>
                </c:pt>
                <c:pt idx="269">
                  <c:v>46232</c:v>
                </c:pt>
                <c:pt idx="270">
                  <c:v>46233</c:v>
                </c:pt>
                <c:pt idx="271">
                  <c:v>46234</c:v>
                </c:pt>
                <c:pt idx="272">
                  <c:v>46235</c:v>
                </c:pt>
                <c:pt idx="273">
                  <c:v>46236</c:v>
                </c:pt>
                <c:pt idx="274">
                  <c:v>46237</c:v>
                </c:pt>
                <c:pt idx="275">
                  <c:v>46238</c:v>
                </c:pt>
                <c:pt idx="276">
                  <c:v>46239</c:v>
                </c:pt>
                <c:pt idx="277">
                  <c:v>46240</c:v>
                </c:pt>
                <c:pt idx="278">
                  <c:v>46241</c:v>
                </c:pt>
                <c:pt idx="279">
                  <c:v>46242</c:v>
                </c:pt>
                <c:pt idx="280">
                  <c:v>46243</c:v>
                </c:pt>
                <c:pt idx="281">
                  <c:v>46244</c:v>
                </c:pt>
                <c:pt idx="282">
                  <c:v>46245</c:v>
                </c:pt>
                <c:pt idx="283">
                  <c:v>46246</c:v>
                </c:pt>
                <c:pt idx="284">
                  <c:v>46247</c:v>
                </c:pt>
                <c:pt idx="285">
                  <c:v>46248</c:v>
                </c:pt>
                <c:pt idx="286">
                  <c:v>46249</c:v>
                </c:pt>
                <c:pt idx="287">
                  <c:v>46250</c:v>
                </c:pt>
                <c:pt idx="288">
                  <c:v>46251</c:v>
                </c:pt>
                <c:pt idx="289">
                  <c:v>46252</c:v>
                </c:pt>
                <c:pt idx="290">
                  <c:v>46253</c:v>
                </c:pt>
                <c:pt idx="291">
                  <c:v>46254</c:v>
                </c:pt>
                <c:pt idx="292">
                  <c:v>46255</c:v>
                </c:pt>
                <c:pt idx="293">
                  <c:v>46256</c:v>
                </c:pt>
                <c:pt idx="294">
                  <c:v>46257</c:v>
                </c:pt>
                <c:pt idx="295">
                  <c:v>46258</c:v>
                </c:pt>
                <c:pt idx="296">
                  <c:v>46259</c:v>
                </c:pt>
                <c:pt idx="297">
                  <c:v>46260</c:v>
                </c:pt>
                <c:pt idx="298">
                  <c:v>46261</c:v>
                </c:pt>
                <c:pt idx="299">
                  <c:v>46262</c:v>
                </c:pt>
                <c:pt idx="300">
                  <c:v>46263</c:v>
                </c:pt>
                <c:pt idx="301">
                  <c:v>46264</c:v>
                </c:pt>
                <c:pt idx="302">
                  <c:v>46265</c:v>
                </c:pt>
                <c:pt idx="303">
                  <c:v>46266</c:v>
                </c:pt>
                <c:pt idx="304">
                  <c:v>46267</c:v>
                </c:pt>
                <c:pt idx="305">
                  <c:v>46268</c:v>
                </c:pt>
                <c:pt idx="306">
                  <c:v>46269</c:v>
                </c:pt>
                <c:pt idx="307">
                  <c:v>46270</c:v>
                </c:pt>
                <c:pt idx="308">
                  <c:v>46271</c:v>
                </c:pt>
                <c:pt idx="309">
                  <c:v>46272</c:v>
                </c:pt>
                <c:pt idx="310">
                  <c:v>46273</c:v>
                </c:pt>
                <c:pt idx="311">
                  <c:v>46274</c:v>
                </c:pt>
                <c:pt idx="312">
                  <c:v>46275</c:v>
                </c:pt>
                <c:pt idx="313">
                  <c:v>46276</c:v>
                </c:pt>
                <c:pt idx="314">
                  <c:v>46277</c:v>
                </c:pt>
                <c:pt idx="315">
                  <c:v>46278</c:v>
                </c:pt>
                <c:pt idx="316">
                  <c:v>46279</c:v>
                </c:pt>
                <c:pt idx="317">
                  <c:v>46280</c:v>
                </c:pt>
                <c:pt idx="318">
                  <c:v>46281</c:v>
                </c:pt>
                <c:pt idx="319">
                  <c:v>46282</c:v>
                </c:pt>
                <c:pt idx="320">
                  <c:v>46283</c:v>
                </c:pt>
                <c:pt idx="321">
                  <c:v>46284</c:v>
                </c:pt>
                <c:pt idx="322">
                  <c:v>46285</c:v>
                </c:pt>
                <c:pt idx="323">
                  <c:v>46286</c:v>
                </c:pt>
                <c:pt idx="324">
                  <c:v>46287</c:v>
                </c:pt>
                <c:pt idx="325">
                  <c:v>46288</c:v>
                </c:pt>
                <c:pt idx="326">
                  <c:v>46289</c:v>
                </c:pt>
                <c:pt idx="327">
                  <c:v>46290</c:v>
                </c:pt>
                <c:pt idx="328">
                  <c:v>46291</c:v>
                </c:pt>
                <c:pt idx="329">
                  <c:v>46292</c:v>
                </c:pt>
                <c:pt idx="330">
                  <c:v>46293</c:v>
                </c:pt>
                <c:pt idx="331">
                  <c:v>46294</c:v>
                </c:pt>
                <c:pt idx="332">
                  <c:v>46295</c:v>
                </c:pt>
                <c:pt idx="333">
                  <c:v>46296</c:v>
                </c:pt>
                <c:pt idx="334">
                  <c:v>46297</c:v>
                </c:pt>
                <c:pt idx="335">
                  <c:v>46298</c:v>
                </c:pt>
                <c:pt idx="336">
                  <c:v>46299</c:v>
                </c:pt>
                <c:pt idx="337">
                  <c:v>46300</c:v>
                </c:pt>
                <c:pt idx="338">
                  <c:v>46301</c:v>
                </c:pt>
                <c:pt idx="339">
                  <c:v>46302</c:v>
                </c:pt>
                <c:pt idx="340">
                  <c:v>46303</c:v>
                </c:pt>
                <c:pt idx="341">
                  <c:v>46304</c:v>
                </c:pt>
                <c:pt idx="342">
                  <c:v>46305</c:v>
                </c:pt>
                <c:pt idx="343">
                  <c:v>46306</c:v>
                </c:pt>
                <c:pt idx="344">
                  <c:v>46307</c:v>
                </c:pt>
                <c:pt idx="345">
                  <c:v>46308</c:v>
                </c:pt>
                <c:pt idx="346">
                  <c:v>46309</c:v>
                </c:pt>
                <c:pt idx="347">
                  <c:v>46310</c:v>
                </c:pt>
                <c:pt idx="348">
                  <c:v>46311</c:v>
                </c:pt>
                <c:pt idx="349">
                  <c:v>46312</c:v>
                </c:pt>
                <c:pt idx="350">
                  <c:v>46313</c:v>
                </c:pt>
                <c:pt idx="351">
                  <c:v>46314</c:v>
                </c:pt>
                <c:pt idx="352">
                  <c:v>46315</c:v>
                </c:pt>
                <c:pt idx="353">
                  <c:v>46316</c:v>
                </c:pt>
                <c:pt idx="354">
                  <c:v>46317</c:v>
                </c:pt>
                <c:pt idx="355">
                  <c:v>46318</c:v>
                </c:pt>
                <c:pt idx="356">
                  <c:v>46319</c:v>
                </c:pt>
                <c:pt idx="357">
                  <c:v>46320</c:v>
                </c:pt>
                <c:pt idx="358">
                  <c:v>46321</c:v>
                </c:pt>
                <c:pt idx="359">
                  <c:v>46322</c:v>
                </c:pt>
                <c:pt idx="360">
                  <c:v>46323</c:v>
                </c:pt>
                <c:pt idx="361">
                  <c:v>46324</c:v>
                </c:pt>
                <c:pt idx="362">
                  <c:v>46325</c:v>
                </c:pt>
                <c:pt idx="363">
                  <c:v>46326</c:v>
                </c:pt>
                <c:pt idx="364">
                  <c:v>46327</c:v>
                </c:pt>
                <c:pt idx="365">
                  <c:v>46328</c:v>
                </c:pt>
                <c:pt idx="366">
                  <c:v>46329</c:v>
                </c:pt>
                <c:pt idx="367">
                  <c:v>46330</c:v>
                </c:pt>
                <c:pt idx="368">
                  <c:v>46331</c:v>
                </c:pt>
                <c:pt idx="369">
                  <c:v>46332</c:v>
                </c:pt>
                <c:pt idx="370">
                  <c:v>46333</c:v>
                </c:pt>
                <c:pt idx="371">
                  <c:v>46334</c:v>
                </c:pt>
                <c:pt idx="372">
                  <c:v>46335</c:v>
                </c:pt>
                <c:pt idx="373">
                  <c:v>46336</c:v>
                </c:pt>
                <c:pt idx="374">
                  <c:v>46337</c:v>
                </c:pt>
                <c:pt idx="375">
                  <c:v>46338</c:v>
                </c:pt>
                <c:pt idx="376">
                  <c:v>46339</c:v>
                </c:pt>
                <c:pt idx="377">
                  <c:v>46340</c:v>
                </c:pt>
                <c:pt idx="378">
                  <c:v>46341</c:v>
                </c:pt>
                <c:pt idx="379">
                  <c:v>46342</c:v>
                </c:pt>
                <c:pt idx="380">
                  <c:v>46343</c:v>
                </c:pt>
                <c:pt idx="381">
                  <c:v>46344</c:v>
                </c:pt>
                <c:pt idx="382">
                  <c:v>46345</c:v>
                </c:pt>
                <c:pt idx="383">
                  <c:v>46346</c:v>
                </c:pt>
                <c:pt idx="384">
                  <c:v>46347</c:v>
                </c:pt>
                <c:pt idx="385">
                  <c:v>46348</c:v>
                </c:pt>
                <c:pt idx="386">
                  <c:v>46349</c:v>
                </c:pt>
                <c:pt idx="387">
                  <c:v>46350</c:v>
                </c:pt>
                <c:pt idx="388">
                  <c:v>46351</c:v>
                </c:pt>
                <c:pt idx="389">
                  <c:v>46352</c:v>
                </c:pt>
                <c:pt idx="390">
                  <c:v>46353</c:v>
                </c:pt>
                <c:pt idx="391">
                  <c:v>46354</c:v>
                </c:pt>
                <c:pt idx="392">
                  <c:v>46355</c:v>
                </c:pt>
                <c:pt idx="393">
                  <c:v>46356</c:v>
                </c:pt>
                <c:pt idx="394">
                  <c:v>46357</c:v>
                </c:pt>
                <c:pt idx="395">
                  <c:v>46358</c:v>
                </c:pt>
                <c:pt idx="396">
                  <c:v>46359</c:v>
                </c:pt>
                <c:pt idx="397">
                  <c:v>46360</c:v>
                </c:pt>
                <c:pt idx="398">
                  <c:v>46361</c:v>
                </c:pt>
                <c:pt idx="399">
                  <c:v>46362</c:v>
                </c:pt>
                <c:pt idx="400">
                  <c:v>46363</c:v>
                </c:pt>
                <c:pt idx="401">
                  <c:v>46364</c:v>
                </c:pt>
                <c:pt idx="402">
                  <c:v>46365</c:v>
                </c:pt>
                <c:pt idx="403">
                  <c:v>46366</c:v>
                </c:pt>
                <c:pt idx="404">
                  <c:v>46367</c:v>
                </c:pt>
                <c:pt idx="405">
                  <c:v>46368</c:v>
                </c:pt>
                <c:pt idx="406">
                  <c:v>46369</c:v>
                </c:pt>
                <c:pt idx="407">
                  <c:v>46370</c:v>
                </c:pt>
                <c:pt idx="408">
                  <c:v>46371</c:v>
                </c:pt>
                <c:pt idx="409">
                  <c:v>46372</c:v>
                </c:pt>
                <c:pt idx="410">
                  <c:v>46373</c:v>
                </c:pt>
                <c:pt idx="411">
                  <c:v>46374</c:v>
                </c:pt>
                <c:pt idx="412">
                  <c:v>46375</c:v>
                </c:pt>
                <c:pt idx="413">
                  <c:v>46376</c:v>
                </c:pt>
                <c:pt idx="414">
                  <c:v>46377</c:v>
                </c:pt>
                <c:pt idx="415">
                  <c:v>46378</c:v>
                </c:pt>
                <c:pt idx="416">
                  <c:v>46379</c:v>
                </c:pt>
                <c:pt idx="417">
                  <c:v>46380</c:v>
                </c:pt>
                <c:pt idx="418">
                  <c:v>46381</c:v>
                </c:pt>
                <c:pt idx="419">
                  <c:v>46382</c:v>
                </c:pt>
                <c:pt idx="420">
                  <c:v>46383</c:v>
                </c:pt>
                <c:pt idx="421">
                  <c:v>46384</c:v>
                </c:pt>
                <c:pt idx="422">
                  <c:v>46385</c:v>
                </c:pt>
                <c:pt idx="423">
                  <c:v>46386</c:v>
                </c:pt>
                <c:pt idx="424">
                  <c:v>46387</c:v>
                </c:pt>
              </c:numCache>
            </c:numRef>
          </c:cat>
          <c:val>
            <c:numRef>
              <c:f>Grafico!$F$2:$F$426</c:f>
              <c:numCache>
                <c:formatCode>0.00</c:formatCode>
                <c:ptCount val="425"/>
                <c:pt idx="19" formatCode="0.000">
                  <c:v>8.9999999999999993E-3</c:v>
                </c:pt>
                <c:pt idx="20" formatCode="0.000">
                  <c:v>8.9999999999999993E-3</c:v>
                </c:pt>
                <c:pt idx="21" formatCode="0.000">
                  <c:v>8.9999999999999993E-3</c:v>
                </c:pt>
                <c:pt idx="22" formatCode="0.000">
                  <c:v>3.0089999999999999</c:v>
                </c:pt>
                <c:pt idx="23" formatCode="0.000">
                  <c:v>12.009</c:v>
                </c:pt>
                <c:pt idx="24" formatCode="0.000">
                  <c:v>24.009</c:v>
                </c:pt>
                <c:pt idx="25" formatCode="0.000">
                  <c:v>31.548999999999999</c:v>
                </c:pt>
                <c:pt idx="26" formatCode="0.000">
                  <c:v>41.548999999999999</c:v>
                </c:pt>
                <c:pt idx="27" formatCode="0.000">
                  <c:v>53.048999999999999</c:v>
                </c:pt>
                <c:pt idx="28" formatCode="0.000">
                  <c:v>53.048999999999999</c:v>
                </c:pt>
                <c:pt idx="29" formatCode="0.000">
                  <c:v>63.25</c:v>
                </c:pt>
                <c:pt idx="30" formatCode="0.000">
                  <c:v>71.021000000000015</c:v>
                </c:pt>
                <c:pt idx="31" formatCode="0.000">
                  <c:v>73.644000000000034</c:v>
                </c:pt>
                <c:pt idx="32" formatCode="0.000">
                  <c:v>74.136000000000053</c:v>
                </c:pt>
                <c:pt idx="33" formatCode="0.000">
                  <c:v>74.136000000000053</c:v>
                </c:pt>
                <c:pt idx="34" formatCode="0.000">
                  <c:v>74.149000000000044</c:v>
                </c:pt>
                <c:pt idx="35" formatCode="0.000">
                  <c:v>74.149000000000044</c:v>
                </c:pt>
                <c:pt idx="36" formatCode="0.000">
                  <c:v>74.149000000000044</c:v>
                </c:pt>
                <c:pt idx="37" formatCode="0.000">
                  <c:v>74.149000000000044</c:v>
                </c:pt>
                <c:pt idx="38" formatCode="0.000">
                  <c:v>74.149000000000044</c:v>
                </c:pt>
                <c:pt idx="39" formatCode="0.000">
                  <c:v>74.149000000000044</c:v>
                </c:pt>
                <c:pt idx="40" formatCode="0.000">
                  <c:v>74.149000000000044</c:v>
                </c:pt>
                <c:pt idx="41" formatCode="0.000">
                  <c:v>74.149000000000044</c:v>
                </c:pt>
                <c:pt idx="42" formatCode="0.000">
                  <c:v>74.149000000000044</c:v>
                </c:pt>
                <c:pt idx="43" formatCode="0.000">
                  <c:v>84.593000000000046</c:v>
                </c:pt>
                <c:pt idx="44" formatCode="0.000">
                  <c:v>84.593000000000046</c:v>
                </c:pt>
                <c:pt idx="45" formatCode="0.000">
                  <c:v>84.593000000000046</c:v>
                </c:pt>
                <c:pt idx="46" formatCode="0.000">
                  <c:v>84.593000000000046</c:v>
                </c:pt>
                <c:pt idx="47" formatCode="0.000">
                  <c:v>84.593000000000046</c:v>
                </c:pt>
                <c:pt idx="48" formatCode="0.000">
                  <c:v>84.593000000000046</c:v>
                </c:pt>
                <c:pt idx="49" formatCode="0.000">
                  <c:v>84.593000000000046</c:v>
                </c:pt>
                <c:pt idx="50" formatCode="0.000">
                  <c:v>84.593000000000046</c:v>
                </c:pt>
                <c:pt idx="51" formatCode="0.000">
                  <c:v>84.593000000000046</c:v>
                </c:pt>
                <c:pt idx="52" formatCode="0.000">
                  <c:v>84.593000000000046</c:v>
                </c:pt>
                <c:pt idx="53" formatCode="0.000">
                  <c:v>84.593000000000046</c:v>
                </c:pt>
                <c:pt idx="54" formatCode="0.000">
                  <c:v>84.593000000000046</c:v>
                </c:pt>
                <c:pt idx="55" formatCode="0.000">
                  <c:v>84.593000000000046</c:v>
                </c:pt>
                <c:pt idx="56" formatCode="0.000">
                  <c:v>84.593000000000046</c:v>
                </c:pt>
                <c:pt idx="57" formatCode="0.000">
                  <c:v>84.593000000000046</c:v>
                </c:pt>
                <c:pt idx="58" formatCode="0.000">
                  <c:v>84.593000000000046</c:v>
                </c:pt>
                <c:pt idx="59" formatCode="0.000">
                  <c:v>84.593000000000046</c:v>
                </c:pt>
                <c:pt idx="60" formatCode="0.000">
                  <c:v>84.593000000000046</c:v>
                </c:pt>
                <c:pt idx="61" formatCode="0.000">
                  <c:v>84.593000000000046</c:v>
                </c:pt>
                <c:pt idx="62" formatCode="0.000">
                  <c:v>84.593000000000046</c:v>
                </c:pt>
                <c:pt idx="63" formatCode="0.000">
                  <c:v>84.593000000000046</c:v>
                </c:pt>
                <c:pt idx="64" formatCode="0.000">
                  <c:v>84.593000000000046</c:v>
                </c:pt>
                <c:pt idx="65" formatCode="0.000">
                  <c:v>84.593000000000046</c:v>
                </c:pt>
                <c:pt idx="66" formatCode="0.000">
                  <c:v>94.19300000000004</c:v>
                </c:pt>
                <c:pt idx="67" formatCode="0.000">
                  <c:v>99.527000000000044</c:v>
                </c:pt>
                <c:pt idx="68" formatCode="0.000">
                  <c:v>99.527000000000044</c:v>
                </c:pt>
                <c:pt idx="69" formatCode="0.000">
                  <c:v>99.527000000000044</c:v>
                </c:pt>
                <c:pt idx="70" formatCode="0.000">
                  <c:v>99.527000000000044</c:v>
                </c:pt>
                <c:pt idx="71" formatCode="0.000">
                  <c:v>99.527000000000044</c:v>
                </c:pt>
                <c:pt idx="72" formatCode="0.000">
                  <c:v>99.869000000000057</c:v>
                </c:pt>
                <c:pt idx="73" formatCode="0.000">
                  <c:v>99.869000000000057</c:v>
                </c:pt>
                <c:pt idx="74" formatCode="0.000">
                  <c:v>99.869000000000057</c:v>
                </c:pt>
                <c:pt idx="75" formatCode="0.000">
                  <c:v>99.869000000000057</c:v>
                </c:pt>
                <c:pt idx="76" formatCode="0.000">
                  <c:v>99.869000000000057</c:v>
                </c:pt>
                <c:pt idx="77" formatCode="0.000">
                  <c:v>99.869000000000057</c:v>
                </c:pt>
                <c:pt idx="78" formatCode="0.000">
                  <c:v>99.869000000000057</c:v>
                </c:pt>
                <c:pt idx="79" formatCode="0.000">
                  <c:v>99.906000000000063</c:v>
                </c:pt>
                <c:pt idx="80" formatCode="0.000">
                  <c:v>99.906000000000063</c:v>
                </c:pt>
                <c:pt idx="81" formatCode="0.000">
                  <c:v>99.906000000000063</c:v>
                </c:pt>
                <c:pt idx="82" formatCode="0.000">
                  <c:v>99.906000000000063</c:v>
                </c:pt>
                <c:pt idx="83" formatCode="0.000">
                  <c:v>99.906000000000063</c:v>
                </c:pt>
                <c:pt idx="84" formatCode="0.000">
                  <c:v>99.906000000000063</c:v>
                </c:pt>
                <c:pt idx="85" formatCode="0.000">
                  <c:v>99.906000000000063</c:v>
                </c:pt>
                <c:pt idx="86" formatCode="0.000">
                  <c:v>99.906000000000063</c:v>
                </c:pt>
                <c:pt idx="87" formatCode="0.000">
                  <c:v>99.906000000000063</c:v>
                </c:pt>
                <c:pt idx="88" formatCode="0.000">
                  <c:v>99.906000000000063</c:v>
                </c:pt>
                <c:pt idx="89" formatCode="0.000">
                  <c:v>99.906000000000063</c:v>
                </c:pt>
                <c:pt idx="90" formatCode="0.000">
                  <c:v>99.906000000000063</c:v>
                </c:pt>
                <c:pt idx="91" formatCode="0.000">
                  <c:v>99.906000000000063</c:v>
                </c:pt>
                <c:pt idx="92" formatCode="0.000">
                  <c:v>99.906000000000063</c:v>
                </c:pt>
                <c:pt idx="93" formatCode="0.000">
                  <c:v>99.906000000000063</c:v>
                </c:pt>
                <c:pt idx="94" formatCode="0.000">
                  <c:v>99.906000000000063</c:v>
                </c:pt>
                <c:pt idx="95" formatCode="0.000">
                  <c:v>99.906000000000063</c:v>
                </c:pt>
                <c:pt idx="96" formatCode="0.000">
                  <c:v>99.906000000000063</c:v>
                </c:pt>
                <c:pt idx="97" formatCode="0.000">
                  <c:v>99.906000000000063</c:v>
                </c:pt>
                <c:pt idx="98" formatCode="0.000">
                  <c:v>99.906000000000063</c:v>
                </c:pt>
                <c:pt idx="99" formatCode="0.000">
                  <c:v>99.906000000000063</c:v>
                </c:pt>
                <c:pt idx="100" formatCode="0.000">
                  <c:v>99.906000000000063</c:v>
                </c:pt>
                <c:pt idx="101" formatCode="0.000">
                  <c:v>99.906000000000063</c:v>
                </c:pt>
                <c:pt idx="102" formatCode="0.000">
                  <c:v>99.906000000000063</c:v>
                </c:pt>
                <c:pt idx="103" formatCode="0.000">
                  <c:v>99.906000000000063</c:v>
                </c:pt>
                <c:pt idx="104" formatCode="0.000">
                  <c:v>99.906000000000063</c:v>
                </c:pt>
                <c:pt idx="105" formatCode="0.000">
                  <c:v>99.906000000000063</c:v>
                </c:pt>
                <c:pt idx="106" formatCode="0.000">
                  <c:v>99.906000000000063</c:v>
                </c:pt>
                <c:pt idx="107" formatCode="0.000">
                  <c:v>99.906000000000063</c:v>
                </c:pt>
                <c:pt idx="108" formatCode="0.000">
                  <c:v>99.906000000000063</c:v>
                </c:pt>
                <c:pt idx="109" formatCode="0.000">
                  <c:v>99.906000000000063</c:v>
                </c:pt>
                <c:pt idx="110" formatCode="0.000">
                  <c:v>99.906000000000063</c:v>
                </c:pt>
                <c:pt idx="111" formatCode="0.000">
                  <c:v>99.906000000000063</c:v>
                </c:pt>
                <c:pt idx="112" formatCode="0.000">
                  <c:v>99.906000000000063</c:v>
                </c:pt>
                <c:pt idx="113" formatCode="0.000">
                  <c:v>99.906000000000063</c:v>
                </c:pt>
                <c:pt idx="114" formatCode="0.000">
                  <c:v>99.906000000000063</c:v>
                </c:pt>
                <c:pt idx="115" formatCode="0.000">
                  <c:v>99.906000000000063</c:v>
                </c:pt>
                <c:pt idx="116" formatCode="0.000">
                  <c:v>99.906000000000063</c:v>
                </c:pt>
                <c:pt idx="117" formatCode="0.000">
                  <c:v>99.906000000000063</c:v>
                </c:pt>
                <c:pt idx="118" formatCode="0.000">
                  <c:v>99.906000000000063</c:v>
                </c:pt>
                <c:pt idx="119" formatCode="0.000">
                  <c:v>99.906000000000063</c:v>
                </c:pt>
                <c:pt idx="120" formatCode="0.000">
                  <c:v>99.906000000000063</c:v>
                </c:pt>
                <c:pt idx="121" formatCode="0.000">
                  <c:v>99.906000000000063</c:v>
                </c:pt>
                <c:pt idx="122" formatCode="0.000">
                  <c:v>99.906000000000063</c:v>
                </c:pt>
                <c:pt idx="123" formatCode="0.000">
                  <c:v>99.906000000000063</c:v>
                </c:pt>
                <c:pt idx="124" formatCode="0.000">
                  <c:v>99.906000000000063</c:v>
                </c:pt>
                <c:pt idx="125" formatCode="0.000">
                  <c:v>99.906000000000063</c:v>
                </c:pt>
                <c:pt idx="126" formatCode="0.000">
                  <c:v>99.906000000000063</c:v>
                </c:pt>
                <c:pt idx="127" formatCode="0.000">
                  <c:v>99.906000000000063</c:v>
                </c:pt>
                <c:pt idx="128" formatCode="0.000">
                  <c:v>99.906000000000063</c:v>
                </c:pt>
                <c:pt idx="129" formatCode="0.000">
                  <c:v>99.906000000000063</c:v>
                </c:pt>
                <c:pt idx="130" formatCode="0.000">
                  <c:v>99.906000000000063</c:v>
                </c:pt>
                <c:pt idx="131" formatCode="0.000">
                  <c:v>99.906000000000063</c:v>
                </c:pt>
                <c:pt idx="132" formatCode="0.000">
                  <c:v>99.906000000000063</c:v>
                </c:pt>
                <c:pt idx="133" formatCode="0.000">
                  <c:v>99.906000000000063</c:v>
                </c:pt>
                <c:pt idx="134" formatCode="0.000">
                  <c:v>99.906000000000063</c:v>
                </c:pt>
                <c:pt idx="135" formatCode="0.000">
                  <c:v>99.906000000000063</c:v>
                </c:pt>
                <c:pt idx="136" formatCode="0.000">
                  <c:v>99.906000000000063</c:v>
                </c:pt>
                <c:pt idx="137" formatCode="0.000">
                  <c:v>99.906000000000063</c:v>
                </c:pt>
                <c:pt idx="138" formatCode="0.000">
                  <c:v>99.906000000000063</c:v>
                </c:pt>
                <c:pt idx="139" formatCode="0.000">
                  <c:v>99.906000000000063</c:v>
                </c:pt>
                <c:pt idx="140" formatCode="0.000">
                  <c:v>99.906000000000063</c:v>
                </c:pt>
                <c:pt idx="141" formatCode="0.000">
                  <c:v>99.906000000000063</c:v>
                </c:pt>
                <c:pt idx="142" formatCode="0.000">
                  <c:v>99.906000000000063</c:v>
                </c:pt>
                <c:pt idx="143" formatCode="0.000">
                  <c:v>99.906000000000063</c:v>
                </c:pt>
                <c:pt idx="144" formatCode="0.000">
                  <c:v>99.906000000000063</c:v>
                </c:pt>
                <c:pt idx="145" formatCode="0.000">
                  <c:v>99.906000000000063</c:v>
                </c:pt>
                <c:pt idx="146" formatCode="0.000">
                  <c:v>99.906000000000063</c:v>
                </c:pt>
                <c:pt idx="147" formatCode="0.000">
                  <c:v>99.906000000000063</c:v>
                </c:pt>
                <c:pt idx="148" formatCode="0.000">
                  <c:v>99.906000000000063</c:v>
                </c:pt>
                <c:pt idx="149" formatCode="0.000">
                  <c:v>99.906000000000063</c:v>
                </c:pt>
                <c:pt idx="150" formatCode="0.000">
                  <c:v>99.906000000000063</c:v>
                </c:pt>
                <c:pt idx="151" formatCode="0.000">
                  <c:v>99.906000000000063</c:v>
                </c:pt>
                <c:pt idx="152" formatCode="0.000">
                  <c:v>99.906000000000063</c:v>
                </c:pt>
                <c:pt idx="153" formatCode="0.000">
                  <c:v>99.906000000000063</c:v>
                </c:pt>
                <c:pt idx="154" formatCode="0.000">
                  <c:v>99.906000000000063</c:v>
                </c:pt>
                <c:pt idx="155" formatCode="0.000">
                  <c:v>99.906000000000063</c:v>
                </c:pt>
                <c:pt idx="156" formatCode="0.000">
                  <c:v>99.906000000000063</c:v>
                </c:pt>
                <c:pt idx="157" formatCode="0.000">
                  <c:v>99.906000000000063</c:v>
                </c:pt>
                <c:pt idx="158" formatCode="0.000">
                  <c:v>99.906000000000063</c:v>
                </c:pt>
                <c:pt idx="159" formatCode="0.000">
                  <c:v>99.906000000000063</c:v>
                </c:pt>
                <c:pt idx="160" formatCode="0.000">
                  <c:v>99.906000000000063</c:v>
                </c:pt>
                <c:pt idx="161" formatCode="0.000">
                  <c:v>99.906000000000063</c:v>
                </c:pt>
                <c:pt idx="162" formatCode="0.000">
                  <c:v>99.906000000000063</c:v>
                </c:pt>
                <c:pt idx="163" formatCode="0.000">
                  <c:v>99.906000000000063</c:v>
                </c:pt>
                <c:pt idx="164" formatCode="0.000">
                  <c:v>99.906000000000063</c:v>
                </c:pt>
                <c:pt idx="165" formatCode="0.000">
                  <c:v>99.906000000000063</c:v>
                </c:pt>
                <c:pt idx="166" formatCode="0.000">
                  <c:v>99.906000000000063</c:v>
                </c:pt>
                <c:pt idx="167" formatCode="0.000">
                  <c:v>99.906000000000063</c:v>
                </c:pt>
                <c:pt idx="168" formatCode="0.000">
                  <c:v>99.906000000000063</c:v>
                </c:pt>
                <c:pt idx="169" formatCode="0.000">
                  <c:v>99.906000000000063</c:v>
                </c:pt>
                <c:pt idx="170" formatCode="0.000">
                  <c:v>99.906000000000063</c:v>
                </c:pt>
                <c:pt idx="171" formatCode="0.000">
                  <c:v>99.906000000000063</c:v>
                </c:pt>
                <c:pt idx="172" formatCode="0.000">
                  <c:v>100.91800000000006</c:v>
                </c:pt>
                <c:pt idx="173" formatCode="0.000">
                  <c:v>102.70700000000006</c:v>
                </c:pt>
                <c:pt idx="174" formatCode="0.000">
                  <c:v>103.08300000000007</c:v>
                </c:pt>
                <c:pt idx="175" formatCode="0.000">
                  <c:v>103.08300000000007</c:v>
                </c:pt>
                <c:pt idx="176" formatCode="0.000">
                  <c:v>104.24800000000008</c:v>
                </c:pt>
                <c:pt idx="177" formatCode="0.000">
                  <c:v>105.38000000000008</c:v>
                </c:pt>
                <c:pt idx="178" formatCode="0.000">
                  <c:v>105.38000000000008</c:v>
                </c:pt>
                <c:pt idx="179" formatCode="0.000">
                  <c:v>105.86100000000008</c:v>
                </c:pt>
                <c:pt idx="180" formatCode="0.000">
                  <c:v>107.28200000000008</c:v>
                </c:pt>
                <c:pt idx="181" formatCode="0.000">
                  <c:v>107.28200000000008</c:v>
                </c:pt>
                <c:pt idx="182" formatCode="0.000">
                  <c:v>107.28200000000008</c:v>
                </c:pt>
                <c:pt idx="183" formatCode="0.000">
                  <c:v>108.92500000000008</c:v>
                </c:pt>
                <c:pt idx="184" formatCode="0.000">
                  <c:v>110.05700000000009</c:v>
                </c:pt>
                <c:pt idx="185" formatCode="0.000">
                  <c:v>111.85300000000009</c:v>
                </c:pt>
                <c:pt idx="186" formatCode="0.000">
                  <c:v>114.0470000000001</c:v>
                </c:pt>
                <c:pt idx="187" formatCode="0.000">
                  <c:v>116.7110000000001</c:v>
                </c:pt>
                <c:pt idx="188" formatCode="0.000">
                  <c:v>117.1140000000001</c:v>
                </c:pt>
                <c:pt idx="189" formatCode="0.000">
                  <c:v>117.1140000000001</c:v>
                </c:pt>
                <c:pt idx="190" formatCode="0.000">
                  <c:v>118.34400000000011</c:v>
                </c:pt>
                <c:pt idx="191" formatCode="0.000">
                  <c:v>119.10600000000011</c:v>
                </c:pt>
                <c:pt idx="192" formatCode="0.000">
                  <c:v>120.45700000000011</c:v>
                </c:pt>
                <c:pt idx="193" formatCode="0.000">
                  <c:v>121.46600000000011</c:v>
                </c:pt>
                <c:pt idx="194" formatCode="0.000">
                  <c:v>121.46600000000011</c:v>
                </c:pt>
                <c:pt idx="195" formatCode="0.000">
                  <c:v>121.46600000000011</c:v>
                </c:pt>
                <c:pt idx="196" formatCode="0.000">
                  <c:v>121.46600000000011</c:v>
                </c:pt>
                <c:pt idx="197" formatCode="0.000">
                  <c:v>122.53700000000011</c:v>
                </c:pt>
                <c:pt idx="198" formatCode="0.000">
                  <c:v>123.81100000000011</c:v>
                </c:pt>
                <c:pt idx="199" formatCode="0.000">
                  <c:v>124.76400000000011</c:v>
                </c:pt>
                <c:pt idx="200" formatCode="0.000">
                  <c:v>124.76400000000011</c:v>
                </c:pt>
                <c:pt idx="201" formatCode="0.000">
                  <c:v>124.76400000000011</c:v>
                </c:pt>
                <c:pt idx="202" formatCode="0.000">
                  <c:v>124.76400000000011</c:v>
                </c:pt>
                <c:pt idx="203" formatCode="0.000">
                  <c:v>124.76400000000011</c:v>
                </c:pt>
                <c:pt idx="204" formatCode="0.000">
                  <c:v>125.66800000000011</c:v>
                </c:pt>
                <c:pt idx="205" formatCode="0.000">
                  <c:v>125.66800000000011</c:v>
                </c:pt>
                <c:pt idx="206" formatCode="0.000">
                  <c:v>125.76700000000011</c:v>
                </c:pt>
                <c:pt idx="207" formatCode="0.000">
                  <c:v>125.76700000000011</c:v>
                </c:pt>
                <c:pt idx="208" formatCode="0.000">
                  <c:v>125.76700000000011</c:v>
                </c:pt>
                <c:pt idx="209" formatCode="0.000">
                  <c:v>125.76700000000011</c:v>
                </c:pt>
                <c:pt idx="210" formatCode="0.000">
                  <c:v>125.76700000000011</c:v>
                </c:pt>
                <c:pt idx="211" formatCode="0.000">
                  <c:v>125.76700000000011</c:v>
                </c:pt>
                <c:pt idx="212" formatCode="0.000">
                  <c:v>125.76700000000011</c:v>
                </c:pt>
                <c:pt idx="213" formatCode="0.000">
                  <c:v>125.76700000000011</c:v>
                </c:pt>
                <c:pt idx="214" formatCode="0.000">
                  <c:v>125.76700000000011</c:v>
                </c:pt>
                <c:pt idx="215" formatCode="0.000">
                  <c:v>125.76700000000011</c:v>
                </c:pt>
                <c:pt idx="216" formatCode="0.000">
                  <c:v>125.76700000000011</c:v>
                </c:pt>
                <c:pt idx="217" formatCode="0.000">
                  <c:v>125.76700000000011</c:v>
                </c:pt>
                <c:pt idx="218" formatCode="0.000">
                  <c:v>125.76700000000011</c:v>
                </c:pt>
                <c:pt idx="219" formatCode="0.000">
                  <c:v>125.76700000000011</c:v>
                </c:pt>
                <c:pt idx="220" formatCode="0.000">
                  <c:v>125.76700000000011</c:v>
                </c:pt>
                <c:pt idx="221" formatCode="0.000">
                  <c:v>125.76700000000011</c:v>
                </c:pt>
                <c:pt idx="222" formatCode="0.000">
                  <c:v>125.76700000000011</c:v>
                </c:pt>
                <c:pt idx="223" formatCode="0.000">
                  <c:v>125.76700000000011</c:v>
                </c:pt>
                <c:pt idx="224" formatCode="0.000">
                  <c:v>125.76700000000011</c:v>
                </c:pt>
                <c:pt idx="225" formatCode="0.000">
                  <c:v>125.76700000000011</c:v>
                </c:pt>
                <c:pt idx="226" formatCode="0.000">
                  <c:v>125.76700000000011</c:v>
                </c:pt>
                <c:pt idx="227" formatCode="0.000">
                  <c:v>125.76700000000011</c:v>
                </c:pt>
                <c:pt idx="228" formatCode="0.000">
                  <c:v>125.76700000000011</c:v>
                </c:pt>
                <c:pt idx="229" formatCode="0.000">
                  <c:v>125.76700000000011</c:v>
                </c:pt>
                <c:pt idx="230" formatCode="0.000">
                  <c:v>125.76700000000011</c:v>
                </c:pt>
                <c:pt idx="231" formatCode="0.000">
                  <c:v>125.76700000000011</c:v>
                </c:pt>
                <c:pt idx="232" formatCode="0.000">
                  <c:v>125.76700000000011</c:v>
                </c:pt>
                <c:pt idx="233" formatCode="0.000">
                  <c:v>125.76700000000011</c:v>
                </c:pt>
                <c:pt idx="234" formatCode="0.000">
                  <c:v>125.76700000000011</c:v>
                </c:pt>
                <c:pt idx="235" formatCode="0.000">
                  <c:v>125.76700000000011</c:v>
                </c:pt>
                <c:pt idx="236" formatCode="0.000">
                  <c:v>125.76700000000011</c:v>
                </c:pt>
                <c:pt idx="237" formatCode="0.000">
                  <c:v>125.76700000000011</c:v>
                </c:pt>
                <c:pt idx="238" formatCode="0.000">
                  <c:v>125.76700000000011</c:v>
                </c:pt>
                <c:pt idx="239" formatCode="0.000">
                  <c:v>125.76700000000011</c:v>
                </c:pt>
                <c:pt idx="240" formatCode="0.000">
                  <c:v>125.76700000000011</c:v>
                </c:pt>
                <c:pt idx="241" formatCode="0.000">
                  <c:v>125.76700000000011</c:v>
                </c:pt>
                <c:pt idx="242" formatCode="0.000">
                  <c:v>125.76700000000011</c:v>
                </c:pt>
                <c:pt idx="243" formatCode="0.000">
                  <c:v>125.76700000000011</c:v>
                </c:pt>
                <c:pt idx="244" formatCode="0.000">
                  <c:v>125.76700000000011</c:v>
                </c:pt>
                <c:pt idx="245" formatCode="0.000">
                  <c:v>125.76700000000011</c:v>
                </c:pt>
                <c:pt idx="246" formatCode="0.000">
                  <c:v>125.76700000000011</c:v>
                </c:pt>
                <c:pt idx="247" formatCode="0.000">
                  <c:v>125.76700000000011</c:v>
                </c:pt>
                <c:pt idx="248" formatCode="0.000">
                  <c:v>125.76700000000011</c:v>
                </c:pt>
                <c:pt idx="249" formatCode="0.000">
                  <c:v>125.76700000000011</c:v>
                </c:pt>
                <c:pt idx="250" formatCode="0.000">
                  <c:v>125.76700000000011</c:v>
                </c:pt>
                <c:pt idx="251" formatCode="0.000">
                  <c:v>125.76700000000011</c:v>
                </c:pt>
                <c:pt idx="252" formatCode="0.000">
                  <c:v>125.76700000000011</c:v>
                </c:pt>
                <c:pt idx="253" formatCode="0.000">
                  <c:v>125.76700000000011</c:v>
                </c:pt>
                <c:pt idx="254" formatCode="0.000">
                  <c:v>125.76700000000011</c:v>
                </c:pt>
                <c:pt idx="255" formatCode="0.000">
                  <c:v>125.76700000000011</c:v>
                </c:pt>
                <c:pt idx="256" formatCode="0.000">
                  <c:v>125.76700000000011</c:v>
                </c:pt>
                <c:pt idx="257" formatCode="0.000">
                  <c:v>125.76700000000011</c:v>
                </c:pt>
                <c:pt idx="258" formatCode="0.000">
                  <c:v>125.76700000000011</c:v>
                </c:pt>
                <c:pt idx="259" formatCode="0.000">
                  <c:v>125.76700000000011</c:v>
                </c:pt>
                <c:pt idx="260" formatCode="0.000">
                  <c:v>125.76700000000011</c:v>
                </c:pt>
                <c:pt idx="261" formatCode="0.000">
                  <c:v>125.76700000000011</c:v>
                </c:pt>
                <c:pt idx="262" formatCode="0.000">
                  <c:v>126.27300000000012</c:v>
                </c:pt>
                <c:pt idx="263" formatCode="0.000">
                  <c:v>126.36400000000012</c:v>
                </c:pt>
                <c:pt idx="264" formatCode="0.000">
                  <c:v>128.02900000000011</c:v>
                </c:pt>
                <c:pt idx="265" formatCode="0.000">
                  <c:v>128.02900000000011</c:v>
                </c:pt>
                <c:pt idx="266" formatCode="0.000">
                  <c:v>128.02900000000011</c:v>
                </c:pt>
                <c:pt idx="267" formatCode="0.000">
                  <c:v>130.33100000000013</c:v>
                </c:pt>
                <c:pt idx="268" formatCode="0.000">
                  <c:v>131.76700000000014</c:v>
                </c:pt>
                <c:pt idx="269" formatCode="0.000">
                  <c:v>132.41700000000009</c:v>
                </c:pt>
                <c:pt idx="270" formatCode="0.000">
                  <c:v>134.13700000000009</c:v>
                </c:pt>
                <c:pt idx="271" formatCode="0.000">
                  <c:v>136.30500000000009</c:v>
                </c:pt>
                <c:pt idx="272" formatCode="0.000">
                  <c:v>137.3850000000001</c:v>
                </c:pt>
                <c:pt idx="273" formatCode="0.000">
                  <c:v>137.3850000000001</c:v>
                </c:pt>
                <c:pt idx="274" formatCode="0.000">
                  <c:v>138.58500000000009</c:v>
                </c:pt>
                <c:pt idx="275" formatCode="0.000">
                  <c:v>138.80400000000009</c:v>
                </c:pt>
                <c:pt idx="276" formatCode="0.000">
                  <c:v>138.82500000000007</c:v>
                </c:pt>
                <c:pt idx="277" formatCode="0.000">
                  <c:v>142.12500000000009</c:v>
                </c:pt>
                <c:pt idx="278" formatCode="0.000">
                  <c:v>146.12200000000007</c:v>
                </c:pt>
                <c:pt idx="279" formatCode="0.000">
                  <c:v>146.12200000000007</c:v>
                </c:pt>
                <c:pt idx="280" formatCode="0.000">
                  <c:v>146.12200000000007</c:v>
                </c:pt>
                <c:pt idx="281" formatCode="0.000">
                  <c:v>146.12200000000007</c:v>
                </c:pt>
                <c:pt idx="282" formatCode="0.000">
                  <c:v>146.12200000000007</c:v>
                </c:pt>
                <c:pt idx="283" formatCode="0.000">
                  <c:v>146.12200000000007</c:v>
                </c:pt>
                <c:pt idx="284" formatCode="0.000">
                  <c:v>148.69400000000007</c:v>
                </c:pt>
                <c:pt idx="285" formatCode="0.000">
                  <c:v>148.70000000000007</c:v>
                </c:pt>
                <c:pt idx="286" formatCode="0.000">
                  <c:v>148.70000000000007</c:v>
                </c:pt>
                <c:pt idx="287" formatCode="0.000">
                  <c:v>148.70000000000007</c:v>
                </c:pt>
                <c:pt idx="288" formatCode="0.000">
                  <c:v>148.70000000000007</c:v>
                </c:pt>
                <c:pt idx="289" formatCode="0.000">
                  <c:v>148.70000000000007</c:v>
                </c:pt>
                <c:pt idx="290" formatCode="0.000">
                  <c:v>148.70000000000007</c:v>
                </c:pt>
                <c:pt idx="291" formatCode="0.000">
                  <c:v>148.70000000000007</c:v>
                </c:pt>
                <c:pt idx="292" formatCode="0.000">
                  <c:v>148.70000000000007</c:v>
                </c:pt>
                <c:pt idx="293" formatCode="0.000">
                  <c:v>148.70000000000007</c:v>
                </c:pt>
                <c:pt idx="294" formatCode="0.000">
                  <c:v>148.70000000000007</c:v>
                </c:pt>
                <c:pt idx="295" formatCode="0.000">
                  <c:v>148.70000000000007</c:v>
                </c:pt>
                <c:pt idx="296" formatCode="0.000">
                  <c:v>148.70000000000007</c:v>
                </c:pt>
                <c:pt idx="297" formatCode="0.000">
                  <c:v>148.70000000000007</c:v>
                </c:pt>
                <c:pt idx="298" formatCode="0.000">
                  <c:v>148.70000000000007</c:v>
                </c:pt>
                <c:pt idx="299" formatCode="0.000">
                  <c:v>148.70000000000007</c:v>
                </c:pt>
                <c:pt idx="300" formatCode="0.000">
                  <c:v>148.70000000000007</c:v>
                </c:pt>
                <c:pt idx="301" formatCode="0.000">
                  <c:v>148.70000000000007</c:v>
                </c:pt>
                <c:pt idx="302" formatCode="0.000">
                  <c:v>148.70000000000007</c:v>
                </c:pt>
                <c:pt idx="303" formatCode="0.000">
                  <c:v>148.70000000000007</c:v>
                </c:pt>
                <c:pt idx="304" formatCode="0.000">
                  <c:v>148.70000000000007</c:v>
                </c:pt>
                <c:pt idx="305" formatCode="0.000">
                  <c:v>148.70000000000007</c:v>
                </c:pt>
                <c:pt idx="306" formatCode="0.000">
                  <c:v>148.70000000000007</c:v>
                </c:pt>
                <c:pt idx="307" formatCode="0.000">
                  <c:v>148.70000000000007</c:v>
                </c:pt>
                <c:pt idx="308" formatCode="0.000">
                  <c:v>148.70000000000007</c:v>
                </c:pt>
                <c:pt idx="309" formatCode="0.000">
                  <c:v>148.70000000000007</c:v>
                </c:pt>
                <c:pt idx="310" formatCode="0.000">
                  <c:v>148.70000000000007</c:v>
                </c:pt>
                <c:pt idx="311" formatCode="0.000">
                  <c:v>148.70000000000007</c:v>
                </c:pt>
                <c:pt idx="312" formatCode="0.000">
                  <c:v>148.70000000000007</c:v>
                </c:pt>
                <c:pt idx="313" formatCode="0.000">
                  <c:v>148.70000000000007</c:v>
                </c:pt>
                <c:pt idx="314" formatCode="0.000">
                  <c:v>148.70000000000007</c:v>
                </c:pt>
                <c:pt idx="315" formatCode="0.000">
                  <c:v>148.70000000000007</c:v>
                </c:pt>
                <c:pt idx="316" formatCode="0.000">
                  <c:v>148.70000000000007</c:v>
                </c:pt>
                <c:pt idx="317" formatCode="0.000">
                  <c:v>148.70000000000007</c:v>
                </c:pt>
                <c:pt idx="318" formatCode="0.000">
                  <c:v>148.70000000000007</c:v>
                </c:pt>
                <c:pt idx="319" formatCode="0.000">
                  <c:v>148.70000000000007</c:v>
                </c:pt>
                <c:pt idx="320" formatCode="0.000">
                  <c:v>148.70000000000007</c:v>
                </c:pt>
                <c:pt idx="321" formatCode="0.000">
                  <c:v>148.70000000000007</c:v>
                </c:pt>
                <c:pt idx="322" formatCode="0.000">
                  <c:v>148.70000000000007</c:v>
                </c:pt>
                <c:pt idx="323" formatCode="0.000">
                  <c:v>148.70000000000007</c:v>
                </c:pt>
                <c:pt idx="324" formatCode="0.000">
                  <c:v>148.70000000000007</c:v>
                </c:pt>
                <c:pt idx="325" formatCode="0.000">
                  <c:v>148.70000000000007</c:v>
                </c:pt>
                <c:pt idx="326" formatCode="0.000">
                  <c:v>148.70000000000007</c:v>
                </c:pt>
                <c:pt idx="327" formatCode="0.000">
                  <c:v>148.70000000000007</c:v>
                </c:pt>
                <c:pt idx="328" formatCode="0.000">
                  <c:v>148.70000000000007</c:v>
                </c:pt>
                <c:pt idx="329" formatCode="0.000">
                  <c:v>148.70000000000007</c:v>
                </c:pt>
                <c:pt idx="330" formatCode="0.000">
                  <c:v>148.70000000000007</c:v>
                </c:pt>
                <c:pt idx="331" formatCode="0.000">
                  <c:v>148.70000000000007</c:v>
                </c:pt>
                <c:pt idx="332" formatCode="0.000">
                  <c:v>148.70000000000007</c:v>
                </c:pt>
                <c:pt idx="333" formatCode="0.000">
                  <c:v>148.70000000000007</c:v>
                </c:pt>
                <c:pt idx="334" formatCode="0.000">
                  <c:v>148.70000000000007</c:v>
                </c:pt>
                <c:pt idx="335" formatCode="0.000">
                  <c:v>148.70000000000007</c:v>
                </c:pt>
                <c:pt idx="336" formatCode="0.000">
                  <c:v>148.70000000000007</c:v>
                </c:pt>
                <c:pt idx="337" formatCode="0.000">
                  <c:v>148.70000000000007</c:v>
                </c:pt>
                <c:pt idx="338" formatCode="0.000">
                  <c:v>148.70000000000007</c:v>
                </c:pt>
                <c:pt idx="339" formatCode="0.000">
                  <c:v>148.70000000000007</c:v>
                </c:pt>
                <c:pt idx="340" formatCode="0.000">
                  <c:v>150.32450000000006</c:v>
                </c:pt>
                <c:pt idx="341" formatCode="0.000">
                  <c:v>150.32450000000006</c:v>
                </c:pt>
                <c:pt idx="342" formatCode="0.000">
                  <c:v>150.32450000000006</c:v>
                </c:pt>
                <c:pt idx="343" formatCode="0.000">
                  <c:v>150.32450000000006</c:v>
                </c:pt>
                <c:pt idx="344" formatCode="0.000">
                  <c:v>150.32450000000006</c:v>
                </c:pt>
                <c:pt idx="345" formatCode="0.000">
                  <c:v>150.32450000000006</c:v>
                </c:pt>
                <c:pt idx="346" formatCode="0.000">
                  <c:v>150.32450000000006</c:v>
                </c:pt>
                <c:pt idx="347" formatCode="0.000">
                  <c:v>150.32450000000006</c:v>
                </c:pt>
                <c:pt idx="348" formatCode="0.000">
                  <c:v>150.32450000000006</c:v>
                </c:pt>
                <c:pt idx="349" formatCode="0.000">
                  <c:v>150.32450000000006</c:v>
                </c:pt>
                <c:pt idx="350" formatCode="0.000">
                  <c:v>150.32450000000006</c:v>
                </c:pt>
                <c:pt idx="351" formatCode="0.000">
                  <c:v>150.32450000000006</c:v>
                </c:pt>
                <c:pt idx="352" formatCode="0.000">
                  <c:v>150.32450000000006</c:v>
                </c:pt>
                <c:pt idx="353" formatCode="0.000">
                  <c:v>150.32450000000006</c:v>
                </c:pt>
                <c:pt idx="354" formatCode="0.000">
                  <c:v>150.32450000000006</c:v>
                </c:pt>
                <c:pt idx="355" formatCode="0.000">
                  <c:v>150.32450000000006</c:v>
                </c:pt>
                <c:pt idx="356" formatCode="0.000">
                  <c:v>150.32450000000006</c:v>
                </c:pt>
                <c:pt idx="357" formatCode="0.000">
                  <c:v>150.32450000000006</c:v>
                </c:pt>
                <c:pt idx="358" formatCode="0.000">
                  <c:v>150.32450000000006</c:v>
                </c:pt>
                <c:pt idx="359" formatCode="0.000">
                  <c:v>#N/A</c:v>
                </c:pt>
                <c:pt idx="360" formatCode="0.000">
                  <c:v>#N/A</c:v>
                </c:pt>
                <c:pt idx="361" formatCode="0.000">
                  <c:v>#N/A</c:v>
                </c:pt>
                <c:pt idx="362" formatCode="0.000">
                  <c:v>#N/A</c:v>
                </c:pt>
                <c:pt idx="363" formatCode="0.000">
                  <c:v>#N/A</c:v>
                </c:pt>
                <c:pt idx="364" formatCode="0.000">
                  <c:v>#N/A</c:v>
                </c:pt>
                <c:pt idx="365" formatCode="0.000">
                  <c:v>#N/A</c:v>
                </c:pt>
                <c:pt idx="366" formatCode="0.000">
                  <c:v>#N/A</c:v>
                </c:pt>
                <c:pt idx="367" formatCode="0.000">
                  <c:v>#N/A</c:v>
                </c:pt>
                <c:pt idx="368" formatCode="0.000">
                  <c:v>#N/A</c:v>
                </c:pt>
                <c:pt idx="369" formatCode="0.000">
                  <c:v>#N/A</c:v>
                </c:pt>
                <c:pt idx="370" formatCode="0.000">
                  <c:v>#N/A</c:v>
                </c:pt>
                <c:pt idx="371" formatCode="0.000">
                  <c:v>#N/A</c:v>
                </c:pt>
                <c:pt idx="372" formatCode="0.000">
                  <c:v>#N/A</c:v>
                </c:pt>
                <c:pt idx="373" formatCode="0.000">
                  <c:v>#N/A</c:v>
                </c:pt>
                <c:pt idx="374" formatCode="0.000">
                  <c:v>#N/A</c:v>
                </c:pt>
                <c:pt idx="375" formatCode="0.000">
                  <c:v>#N/A</c:v>
                </c:pt>
                <c:pt idx="376" formatCode="0.000">
                  <c:v>#N/A</c:v>
                </c:pt>
                <c:pt idx="377" formatCode="0.000">
                  <c:v>#N/A</c:v>
                </c:pt>
                <c:pt idx="378" formatCode="0.000">
                  <c:v>#N/A</c:v>
                </c:pt>
                <c:pt idx="379" formatCode="0.000">
                  <c:v>#N/A</c:v>
                </c:pt>
                <c:pt idx="380" formatCode="0.000">
                  <c:v>#N/A</c:v>
                </c:pt>
                <c:pt idx="381" formatCode="0.000">
                  <c:v>#N/A</c:v>
                </c:pt>
                <c:pt idx="382" formatCode="0.000">
                  <c:v>#N/A</c:v>
                </c:pt>
                <c:pt idx="383" formatCode="0.000">
                  <c:v>#N/A</c:v>
                </c:pt>
                <c:pt idx="384" formatCode="0.000">
                  <c:v>#N/A</c:v>
                </c:pt>
                <c:pt idx="385" formatCode="0.000">
                  <c:v>#N/A</c:v>
                </c:pt>
                <c:pt idx="386" formatCode="0.000">
                  <c:v>#N/A</c:v>
                </c:pt>
                <c:pt idx="387" formatCode="0.000">
                  <c:v>#N/A</c:v>
                </c:pt>
                <c:pt idx="388" formatCode="0.000">
                  <c:v>#N/A</c:v>
                </c:pt>
                <c:pt idx="389" formatCode="0.000">
                  <c:v>#N/A</c:v>
                </c:pt>
                <c:pt idx="390" formatCode="0.000">
                  <c:v>#N/A</c:v>
                </c:pt>
                <c:pt idx="391" formatCode="0.000">
                  <c:v>#N/A</c:v>
                </c:pt>
                <c:pt idx="392" formatCode="0.000">
                  <c:v>#N/A</c:v>
                </c:pt>
                <c:pt idx="393" formatCode="0.000">
                  <c:v>#N/A</c:v>
                </c:pt>
                <c:pt idx="394" formatCode="0.000">
                  <c:v>#N/A</c:v>
                </c:pt>
                <c:pt idx="395" formatCode="0.000">
                  <c:v>#N/A</c:v>
                </c:pt>
                <c:pt idx="396" formatCode="0.000">
                  <c:v>#N/A</c:v>
                </c:pt>
                <c:pt idx="397" formatCode="0.000">
                  <c:v>#N/A</c:v>
                </c:pt>
                <c:pt idx="398" formatCode="0.000">
                  <c:v>#N/A</c:v>
                </c:pt>
                <c:pt idx="399" formatCode="0.000">
                  <c:v>#N/A</c:v>
                </c:pt>
                <c:pt idx="400" formatCode="0.000">
                  <c:v>#N/A</c:v>
                </c:pt>
                <c:pt idx="401" formatCode="0.000">
                  <c:v>#N/A</c:v>
                </c:pt>
                <c:pt idx="402" formatCode="0.000">
                  <c:v>#N/A</c:v>
                </c:pt>
                <c:pt idx="403" formatCode="0.000">
                  <c:v>#N/A</c:v>
                </c:pt>
                <c:pt idx="404" formatCode="0.000">
                  <c:v>#N/A</c:v>
                </c:pt>
                <c:pt idx="405" formatCode="0.000">
                  <c:v>#N/A</c:v>
                </c:pt>
                <c:pt idx="406" formatCode="0.000">
                  <c:v>#N/A</c:v>
                </c:pt>
                <c:pt idx="407" formatCode="0.000">
                  <c:v>#N/A</c:v>
                </c:pt>
                <c:pt idx="408" formatCode="0.000">
                  <c:v>#N/A</c:v>
                </c:pt>
                <c:pt idx="409" formatCode="0.000">
                  <c:v>#N/A</c:v>
                </c:pt>
                <c:pt idx="410" formatCode="0.000">
                  <c:v>#N/A</c:v>
                </c:pt>
                <c:pt idx="411" formatCode="0.000">
                  <c:v>#N/A</c:v>
                </c:pt>
                <c:pt idx="412" formatCode="0.000">
                  <c:v>#N/A</c:v>
                </c:pt>
                <c:pt idx="413" formatCode="0.000">
                  <c:v>#N/A</c:v>
                </c:pt>
                <c:pt idx="414" formatCode="0.000">
                  <c:v>#N/A</c:v>
                </c:pt>
                <c:pt idx="415" formatCode="0.000">
                  <c:v>#N/A</c:v>
                </c:pt>
                <c:pt idx="416" formatCode="0.000">
                  <c:v>#N/A</c:v>
                </c:pt>
                <c:pt idx="417" formatCode="0.000">
                  <c:v>#N/A</c:v>
                </c:pt>
                <c:pt idx="418" formatCode="0.000">
                  <c:v>#N/A</c:v>
                </c:pt>
                <c:pt idx="419" formatCode="0.000">
                  <c:v>#N/A</c:v>
                </c:pt>
                <c:pt idx="420" formatCode="0.000">
                  <c:v>#N/A</c:v>
                </c:pt>
                <c:pt idx="421" formatCode="0.000">
                  <c:v>#N/A</c:v>
                </c:pt>
                <c:pt idx="422" formatCode="0.000">
                  <c:v>#N/A</c:v>
                </c:pt>
                <c:pt idx="423" formatCode="0.000">
                  <c:v>#N/A</c:v>
                </c:pt>
                <c:pt idx="424" formatCode="0.00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801-41B8-A1FA-3499B8919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8885264"/>
        <c:axId val="588885744"/>
      </c:lineChart>
      <c:lineChart>
        <c:grouping val="standard"/>
        <c:varyColors val="0"/>
        <c:ser>
          <c:idx val="7"/>
          <c:order val="6"/>
          <c:tx>
            <c:strRef>
              <c:f>Grafico!$G$1</c:f>
              <c:strCache>
                <c:ptCount val="1"/>
                <c:pt idx="0">
                  <c:v>Resistividades pH BSR BPA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Grafico!$A$2:$A$426</c:f>
              <c:numCache>
                <c:formatCode>d\-mmm</c:formatCode>
                <c:ptCount val="425"/>
                <c:pt idx="0">
                  <c:v>45963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45969</c:v>
                </c:pt>
                <c:pt idx="7">
                  <c:v>45970</c:v>
                </c:pt>
                <c:pt idx="8">
                  <c:v>45971</c:v>
                </c:pt>
                <c:pt idx="9">
                  <c:v>45972</c:v>
                </c:pt>
                <c:pt idx="10">
                  <c:v>45973</c:v>
                </c:pt>
                <c:pt idx="11">
                  <c:v>45974</c:v>
                </c:pt>
                <c:pt idx="12">
                  <c:v>45975</c:v>
                </c:pt>
                <c:pt idx="13">
                  <c:v>45976</c:v>
                </c:pt>
                <c:pt idx="14">
                  <c:v>45977</c:v>
                </c:pt>
                <c:pt idx="15">
                  <c:v>45978</c:v>
                </c:pt>
                <c:pt idx="16">
                  <c:v>45979</c:v>
                </c:pt>
                <c:pt idx="17">
                  <c:v>45980</c:v>
                </c:pt>
                <c:pt idx="18">
                  <c:v>45981</c:v>
                </c:pt>
                <c:pt idx="19">
                  <c:v>45982</c:v>
                </c:pt>
                <c:pt idx="20">
                  <c:v>45983</c:v>
                </c:pt>
                <c:pt idx="21">
                  <c:v>45984</c:v>
                </c:pt>
                <c:pt idx="22">
                  <c:v>45985</c:v>
                </c:pt>
                <c:pt idx="23">
                  <c:v>45986</c:v>
                </c:pt>
                <c:pt idx="24">
                  <c:v>45987</c:v>
                </c:pt>
                <c:pt idx="25">
                  <c:v>45988</c:v>
                </c:pt>
                <c:pt idx="26">
                  <c:v>45989</c:v>
                </c:pt>
                <c:pt idx="27">
                  <c:v>45990</c:v>
                </c:pt>
                <c:pt idx="28">
                  <c:v>45991</c:v>
                </c:pt>
                <c:pt idx="29">
                  <c:v>45992</c:v>
                </c:pt>
                <c:pt idx="30">
                  <c:v>45993</c:v>
                </c:pt>
                <c:pt idx="31">
                  <c:v>45994</c:v>
                </c:pt>
                <c:pt idx="32">
                  <c:v>45995</c:v>
                </c:pt>
                <c:pt idx="33">
                  <c:v>45996</c:v>
                </c:pt>
                <c:pt idx="34">
                  <c:v>45997</c:v>
                </c:pt>
                <c:pt idx="35">
                  <c:v>45998</c:v>
                </c:pt>
                <c:pt idx="36">
                  <c:v>45999</c:v>
                </c:pt>
                <c:pt idx="37">
                  <c:v>46000</c:v>
                </c:pt>
                <c:pt idx="38">
                  <c:v>46001</c:v>
                </c:pt>
                <c:pt idx="39">
                  <c:v>46002</c:v>
                </c:pt>
                <c:pt idx="40">
                  <c:v>46003</c:v>
                </c:pt>
                <c:pt idx="41">
                  <c:v>46004</c:v>
                </c:pt>
                <c:pt idx="42">
                  <c:v>46005</c:v>
                </c:pt>
                <c:pt idx="43">
                  <c:v>46006</c:v>
                </c:pt>
                <c:pt idx="44">
                  <c:v>46007</c:v>
                </c:pt>
                <c:pt idx="45">
                  <c:v>46008</c:v>
                </c:pt>
                <c:pt idx="46">
                  <c:v>46009</c:v>
                </c:pt>
                <c:pt idx="47">
                  <c:v>46010</c:v>
                </c:pt>
                <c:pt idx="48">
                  <c:v>46011</c:v>
                </c:pt>
                <c:pt idx="49">
                  <c:v>46012</c:v>
                </c:pt>
                <c:pt idx="50">
                  <c:v>46013</c:v>
                </c:pt>
                <c:pt idx="51">
                  <c:v>46014</c:v>
                </c:pt>
                <c:pt idx="52">
                  <c:v>46015</c:v>
                </c:pt>
                <c:pt idx="53">
                  <c:v>46016</c:v>
                </c:pt>
                <c:pt idx="54">
                  <c:v>46017</c:v>
                </c:pt>
                <c:pt idx="55">
                  <c:v>46018</c:v>
                </c:pt>
                <c:pt idx="56">
                  <c:v>46019</c:v>
                </c:pt>
                <c:pt idx="57">
                  <c:v>46020</c:v>
                </c:pt>
                <c:pt idx="58">
                  <c:v>46021</c:v>
                </c:pt>
                <c:pt idx="59">
                  <c:v>46022</c:v>
                </c:pt>
                <c:pt idx="60">
                  <c:v>46023</c:v>
                </c:pt>
                <c:pt idx="61">
                  <c:v>46024</c:v>
                </c:pt>
                <c:pt idx="62">
                  <c:v>46025</c:v>
                </c:pt>
                <c:pt idx="63">
                  <c:v>46026</c:v>
                </c:pt>
                <c:pt idx="64">
                  <c:v>46027</c:v>
                </c:pt>
                <c:pt idx="65">
                  <c:v>46028</c:v>
                </c:pt>
                <c:pt idx="66">
                  <c:v>46029</c:v>
                </c:pt>
                <c:pt idx="67">
                  <c:v>46030</c:v>
                </c:pt>
                <c:pt idx="68">
                  <c:v>46031</c:v>
                </c:pt>
                <c:pt idx="69">
                  <c:v>46032</c:v>
                </c:pt>
                <c:pt idx="70">
                  <c:v>46033</c:v>
                </c:pt>
                <c:pt idx="71">
                  <c:v>46034</c:v>
                </c:pt>
                <c:pt idx="72">
                  <c:v>46035</c:v>
                </c:pt>
                <c:pt idx="73">
                  <c:v>46036</c:v>
                </c:pt>
                <c:pt idx="74">
                  <c:v>46037</c:v>
                </c:pt>
                <c:pt idx="75">
                  <c:v>46038</c:v>
                </c:pt>
                <c:pt idx="76">
                  <c:v>46039</c:v>
                </c:pt>
                <c:pt idx="77">
                  <c:v>46040</c:v>
                </c:pt>
                <c:pt idx="78">
                  <c:v>46041</c:v>
                </c:pt>
                <c:pt idx="79">
                  <c:v>46042</c:v>
                </c:pt>
                <c:pt idx="80">
                  <c:v>46043</c:v>
                </c:pt>
                <c:pt idx="81">
                  <c:v>46044</c:v>
                </c:pt>
                <c:pt idx="82">
                  <c:v>46045</c:v>
                </c:pt>
                <c:pt idx="83">
                  <c:v>46046</c:v>
                </c:pt>
                <c:pt idx="84">
                  <c:v>46047</c:v>
                </c:pt>
                <c:pt idx="85">
                  <c:v>46048</c:v>
                </c:pt>
                <c:pt idx="86">
                  <c:v>46049</c:v>
                </c:pt>
                <c:pt idx="87">
                  <c:v>46050</c:v>
                </c:pt>
                <c:pt idx="88">
                  <c:v>46051</c:v>
                </c:pt>
                <c:pt idx="89">
                  <c:v>46052</c:v>
                </c:pt>
                <c:pt idx="90">
                  <c:v>46053</c:v>
                </c:pt>
                <c:pt idx="91">
                  <c:v>46054</c:v>
                </c:pt>
                <c:pt idx="92">
                  <c:v>46055</c:v>
                </c:pt>
                <c:pt idx="93">
                  <c:v>46056</c:v>
                </c:pt>
                <c:pt idx="94">
                  <c:v>46057</c:v>
                </c:pt>
                <c:pt idx="95">
                  <c:v>46058</c:v>
                </c:pt>
                <c:pt idx="96">
                  <c:v>46059</c:v>
                </c:pt>
                <c:pt idx="97">
                  <c:v>46060</c:v>
                </c:pt>
                <c:pt idx="98">
                  <c:v>46061</c:v>
                </c:pt>
                <c:pt idx="99">
                  <c:v>46062</c:v>
                </c:pt>
                <c:pt idx="100">
                  <c:v>46063</c:v>
                </c:pt>
                <c:pt idx="101">
                  <c:v>46064</c:v>
                </c:pt>
                <c:pt idx="102">
                  <c:v>46065</c:v>
                </c:pt>
                <c:pt idx="103">
                  <c:v>46066</c:v>
                </c:pt>
                <c:pt idx="104">
                  <c:v>46067</c:v>
                </c:pt>
                <c:pt idx="105">
                  <c:v>46068</c:v>
                </c:pt>
                <c:pt idx="106">
                  <c:v>46069</c:v>
                </c:pt>
                <c:pt idx="107">
                  <c:v>46070</c:v>
                </c:pt>
                <c:pt idx="108">
                  <c:v>46071</c:v>
                </c:pt>
                <c:pt idx="109">
                  <c:v>46072</c:v>
                </c:pt>
                <c:pt idx="110">
                  <c:v>46073</c:v>
                </c:pt>
                <c:pt idx="111">
                  <c:v>46074</c:v>
                </c:pt>
                <c:pt idx="112">
                  <c:v>46075</c:v>
                </c:pt>
                <c:pt idx="113">
                  <c:v>46076</c:v>
                </c:pt>
                <c:pt idx="114">
                  <c:v>46077</c:v>
                </c:pt>
                <c:pt idx="115">
                  <c:v>46078</c:v>
                </c:pt>
                <c:pt idx="116">
                  <c:v>46079</c:v>
                </c:pt>
                <c:pt idx="117">
                  <c:v>46080</c:v>
                </c:pt>
                <c:pt idx="118">
                  <c:v>46081</c:v>
                </c:pt>
                <c:pt idx="119">
                  <c:v>46082</c:v>
                </c:pt>
                <c:pt idx="120">
                  <c:v>46083</c:v>
                </c:pt>
                <c:pt idx="121">
                  <c:v>46084</c:v>
                </c:pt>
                <c:pt idx="122">
                  <c:v>46085</c:v>
                </c:pt>
                <c:pt idx="123">
                  <c:v>46086</c:v>
                </c:pt>
                <c:pt idx="124">
                  <c:v>46087</c:v>
                </c:pt>
                <c:pt idx="125">
                  <c:v>46088</c:v>
                </c:pt>
                <c:pt idx="126">
                  <c:v>46089</c:v>
                </c:pt>
                <c:pt idx="127">
                  <c:v>46090</c:v>
                </c:pt>
                <c:pt idx="128">
                  <c:v>46091</c:v>
                </c:pt>
                <c:pt idx="129">
                  <c:v>46092</c:v>
                </c:pt>
                <c:pt idx="130">
                  <c:v>46093</c:v>
                </c:pt>
                <c:pt idx="131">
                  <c:v>46094</c:v>
                </c:pt>
                <c:pt idx="132">
                  <c:v>46095</c:v>
                </c:pt>
                <c:pt idx="133">
                  <c:v>46096</c:v>
                </c:pt>
                <c:pt idx="134">
                  <c:v>46097</c:v>
                </c:pt>
                <c:pt idx="135">
                  <c:v>46098</c:v>
                </c:pt>
                <c:pt idx="136">
                  <c:v>46099</c:v>
                </c:pt>
                <c:pt idx="137">
                  <c:v>46100</c:v>
                </c:pt>
                <c:pt idx="138">
                  <c:v>46101</c:v>
                </c:pt>
                <c:pt idx="139">
                  <c:v>46102</c:v>
                </c:pt>
                <c:pt idx="140">
                  <c:v>46103</c:v>
                </c:pt>
                <c:pt idx="141">
                  <c:v>46104</c:v>
                </c:pt>
                <c:pt idx="142">
                  <c:v>46105</c:v>
                </c:pt>
                <c:pt idx="143">
                  <c:v>46106</c:v>
                </c:pt>
                <c:pt idx="144">
                  <c:v>46107</c:v>
                </c:pt>
                <c:pt idx="145">
                  <c:v>46108</c:v>
                </c:pt>
                <c:pt idx="146">
                  <c:v>46109</c:v>
                </c:pt>
                <c:pt idx="147">
                  <c:v>46110</c:v>
                </c:pt>
                <c:pt idx="148">
                  <c:v>46111</c:v>
                </c:pt>
                <c:pt idx="149">
                  <c:v>46112</c:v>
                </c:pt>
                <c:pt idx="150">
                  <c:v>46113</c:v>
                </c:pt>
                <c:pt idx="151">
                  <c:v>46114</c:v>
                </c:pt>
                <c:pt idx="152">
                  <c:v>46115</c:v>
                </c:pt>
                <c:pt idx="153">
                  <c:v>46116</c:v>
                </c:pt>
                <c:pt idx="154">
                  <c:v>46117</c:v>
                </c:pt>
                <c:pt idx="155">
                  <c:v>46118</c:v>
                </c:pt>
                <c:pt idx="156">
                  <c:v>46119</c:v>
                </c:pt>
                <c:pt idx="157">
                  <c:v>46120</c:v>
                </c:pt>
                <c:pt idx="158">
                  <c:v>46121</c:v>
                </c:pt>
                <c:pt idx="159">
                  <c:v>46122</c:v>
                </c:pt>
                <c:pt idx="160">
                  <c:v>46123</c:v>
                </c:pt>
                <c:pt idx="161">
                  <c:v>46124</c:v>
                </c:pt>
                <c:pt idx="162">
                  <c:v>46125</c:v>
                </c:pt>
                <c:pt idx="163">
                  <c:v>46126</c:v>
                </c:pt>
                <c:pt idx="164">
                  <c:v>46127</c:v>
                </c:pt>
                <c:pt idx="165">
                  <c:v>46128</c:v>
                </c:pt>
                <c:pt idx="166">
                  <c:v>46129</c:v>
                </c:pt>
                <c:pt idx="167">
                  <c:v>46130</c:v>
                </c:pt>
                <c:pt idx="168">
                  <c:v>46131</c:v>
                </c:pt>
                <c:pt idx="169">
                  <c:v>46132</c:v>
                </c:pt>
                <c:pt idx="170">
                  <c:v>46133</c:v>
                </c:pt>
                <c:pt idx="171">
                  <c:v>46134</c:v>
                </c:pt>
                <c:pt idx="172">
                  <c:v>46135</c:v>
                </c:pt>
                <c:pt idx="173">
                  <c:v>46136</c:v>
                </c:pt>
                <c:pt idx="174">
                  <c:v>46137</c:v>
                </c:pt>
                <c:pt idx="175">
                  <c:v>46138</c:v>
                </c:pt>
                <c:pt idx="176">
                  <c:v>46139</c:v>
                </c:pt>
                <c:pt idx="177">
                  <c:v>46140</c:v>
                </c:pt>
                <c:pt idx="178">
                  <c:v>46141</c:v>
                </c:pt>
                <c:pt idx="179">
                  <c:v>46142</c:v>
                </c:pt>
                <c:pt idx="180">
                  <c:v>46143</c:v>
                </c:pt>
                <c:pt idx="181">
                  <c:v>46144</c:v>
                </c:pt>
                <c:pt idx="182">
                  <c:v>46145</c:v>
                </c:pt>
                <c:pt idx="183">
                  <c:v>46146</c:v>
                </c:pt>
                <c:pt idx="184">
                  <c:v>46147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46158</c:v>
                </c:pt>
                <c:pt idx="196">
                  <c:v>46159</c:v>
                </c:pt>
                <c:pt idx="197">
                  <c:v>46160</c:v>
                </c:pt>
                <c:pt idx="198">
                  <c:v>46161</c:v>
                </c:pt>
                <c:pt idx="199">
                  <c:v>46162</c:v>
                </c:pt>
                <c:pt idx="200">
                  <c:v>46163</c:v>
                </c:pt>
                <c:pt idx="201">
                  <c:v>46164</c:v>
                </c:pt>
                <c:pt idx="202">
                  <c:v>46165</c:v>
                </c:pt>
                <c:pt idx="203">
                  <c:v>46166</c:v>
                </c:pt>
                <c:pt idx="204">
                  <c:v>46167</c:v>
                </c:pt>
                <c:pt idx="205">
                  <c:v>46168</c:v>
                </c:pt>
                <c:pt idx="206">
                  <c:v>46169</c:v>
                </c:pt>
                <c:pt idx="207">
                  <c:v>46170</c:v>
                </c:pt>
                <c:pt idx="208">
                  <c:v>46171</c:v>
                </c:pt>
                <c:pt idx="209">
                  <c:v>46172</c:v>
                </c:pt>
                <c:pt idx="210">
                  <c:v>46173</c:v>
                </c:pt>
                <c:pt idx="211">
                  <c:v>46174</c:v>
                </c:pt>
                <c:pt idx="212">
                  <c:v>46175</c:v>
                </c:pt>
                <c:pt idx="213">
                  <c:v>46176</c:v>
                </c:pt>
                <c:pt idx="214">
                  <c:v>46177</c:v>
                </c:pt>
                <c:pt idx="215">
                  <c:v>46178</c:v>
                </c:pt>
                <c:pt idx="216">
                  <c:v>46179</c:v>
                </c:pt>
                <c:pt idx="217">
                  <c:v>46180</c:v>
                </c:pt>
                <c:pt idx="218">
                  <c:v>46181</c:v>
                </c:pt>
                <c:pt idx="219">
                  <c:v>46182</c:v>
                </c:pt>
                <c:pt idx="220">
                  <c:v>46183</c:v>
                </c:pt>
                <c:pt idx="221">
                  <c:v>46184</c:v>
                </c:pt>
                <c:pt idx="222">
                  <c:v>46185</c:v>
                </c:pt>
                <c:pt idx="223">
                  <c:v>46186</c:v>
                </c:pt>
                <c:pt idx="224">
                  <c:v>46187</c:v>
                </c:pt>
                <c:pt idx="225">
                  <c:v>46188</c:v>
                </c:pt>
                <c:pt idx="226">
                  <c:v>46189</c:v>
                </c:pt>
                <c:pt idx="227">
                  <c:v>46190</c:v>
                </c:pt>
                <c:pt idx="228">
                  <c:v>46191</c:v>
                </c:pt>
                <c:pt idx="229">
                  <c:v>46192</c:v>
                </c:pt>
                <c:pt idx="230">
                  <c:v>46193</c:v>
                </c:pt>
                <c:pt idx="231">
                  <c:v>46194</c:v>
                </c:pt>
                <c:pt idx="232">
                  <c:v>46195</c:v>
                </c:pt>
                <c:pt idx="233">
                  <c:v>46196</c:v>
                </c:pt>
                <c:pt idx="234">
                  <c:v>46197</c:v>
                </c:pt>
                <c:pt idx="235">
                  <c:v>46198</c:v>
                </c:pt>
                <c:pt idx="236">
                  <c:v>46199</c:v>
                </c:pt>
                <c:pt idx="237">
                  <c:v>46200</c:v>
                </c:pt>
                <c:pt idx="238">
                  <c:v>46201</c:v>
                </c:pt>
                <c:pt idx="239">
                  <c:v>46202</c:v>
                </c:pt>
                <c:pt idx="240">
                  <c:v>46203</c:v>
                </c:pt>
                <c:pt idx="241">
                  <c:v>46204</c:v>
                </c:pt>
                <c:pt idx="242">
                  <c:v>46205</c:v>
                </c:pt>
                <c:pt idx="243">
                  <c:v>46206</c:v>
                </c:pt>
                <c:pt idx="244">
                  <c:v>46207</c:v>
                </c:pt>
                <c:pt idx="245">
                  <c:v>46208</c:v>
                </c:pt>
                <c:pt idx="246">
                  <c:v>46209</c:v>
                </c:pt>
                <c:pt idx="247">
                  <c:v>46210</c:v>
                </c:pt>
                <c:pt idx="248">
                  <c:v>46211</c:v>
                </c:pt>
                <c:pt idx="249">
                  <c:v>46212</c:v>
                </c:pt>
                <c:pt idx="250">
                  <c:v>46213</c:v>
                </c:pt>
                <c:pt idx="251">
                  <c:v>46214</c:v>
                </c:pt>
                <c:pt idx="252">
                  <c:v>46215</c:v>
                </c:pt>
                <c:pt idx="253">
                  <c:v>46216</c:v>
                </c:pt>
                <c:pt idx="254">
                  <c:v>46217</c:v>
                </c:pt>
                <c:pt idx="255">
                  <c:v>46218</c:v>
                </c:pt>
                <c:pt idx="256">
                  <c:v>46219</c:v>
                </c:pt>
                <c:pt idx="257">
                  <c:v>46220</c:v>
                </c:pt>
                <c:pt idx="258">
                  <c:v>46221</c:v>
                </c:pt>
                <c:pt idx="259">
                  <c:v>46222</c:v>
                </c:pt>
                <c:pt idx="260">
                  <c:v>46223</c:v>
                </c:pt>
                <c:pt idx="261">
                  <c:v>46224</c:v>
                </c:pt>
                <c:pt idx="262">
                  <c:v>46225</c:v>
                </c:pt>
                <c:pt idx="263">
                  <c:v>46226</c:v>
                </c:pt>
                <c:pt idx="264">
                  <c:v>46227</c:v>
                </c:pt>
                <c:pt idx="265">
                  <c:v>46228</c:v>
                </c:pt>
                <c:pt idx="266">
                  <c:v>46229</c:v>
                </c:pt>
                <c:pt idx="267">
                  <c:v>46230</c:v>
                </c:pt>
                <c:pt idx="268">
                  <c:v>46231</c:v>
                </c:pt>
                <c:pt idx="269">
                  <c:v>46232</c:v>
                </c:pt>
                <c:pt idx="270">
                  <c:v>46233</c:v>
                </c:pt>
                <c:pt idx="271">
                  <c:v>46234</c:v>
                </c:pt>
                <c:pt idx="272">
                  <c:v>46235</c:v>
                </c:pt>
                <c:pt idx="273">
                  <c:v>46236</c:v>
                </c:pt>
                <c:pt idx="274">
                  <c:v>46237</c:v>
                </c:pt>
                <c:pt idx="275">
                  <c:v>46238</c:v>
                </c:pt>
                <c:pt idx="276">
                  <c:v>46239</c:v>
                </c:pt>
                <c:pt idx="277">
                  <c:v>46240</c:v>
                </c:pt>
                <c:pt idx="278">
                  <c:v>46241</c:v>
                </c:pt>
                <c:pt idx="279">
                  <c:v>46242</c:v>
                </c:pt>
                <c:pt idx="280">
                  <c:v>46243</c:v>
                </c:pt>
                <c:pt idx="281">
                  <c:v>46244</c:v>
                </c:pt>
                <c:pt idx="282">
                  <c:v>46245</c:v>
                </c:pt>
                <c:pt idx="283">
                  <c:v>46246</c:v>
                </c:pt>
                <c:pt idx="284">
                  <c:v>46247</c:v>
                </c:pt>
                <c:pt idx="285">
                  <c:v>46248</c:v>
                </c:pt>
                <c:pt idx="286">
                  <c:v>46249</c:v>
                </c:pt>
                <c:pt idx="287">
                  <c:v>46250</c:v>
                </c:pt>
                <c:pt idx="288">
                  <c:v>46251</c:v>
                </c:pt>
                <c:pt idx="289">
                  <c:v>46252</c:v>
                </c:pt>
                <c:pt idx="290">
                  <c:v>46253</c:v>
                </c:pt>
                <c:pt idx="291">
                  <c:v>46254</c:v>
                </c:pt>
                <c:pt idx="292">
                  <c:v>46255</c:v>
                </c:pt>
                <c:pt idx="293">
                  <c:v>46256</c:v>
                </c:pt>
                <c:pt idx="294">
                  <c:v>46257</c:v>
                </c:pt>
                <c:pt idx="295">
                  <c:v>46258</c:v>
                </c:pt>
                <c:pt idx="296">
                  <c:v>46259</c:v>
                </c:pt>
                <c:pt idx="297">
                  <c:v>46260</c:v>
                </c:pt>
                <c:pt idx="298">
                  <c:v>46261</c:v>
                </c:pt>
                <c:pt idx="299">
                  <c:v>46262</c:v>
                </c:pt>
                <c:pt idx="300">
                  <c:v>46263</c:v>
                </c:pt>
                <c:pt idx="301">
                  <c:v>46264</c:v>
                </c:pt>
                <c:pt idx="302">
                  <c:v>46265</c:v>
                </c:pt>
                <c:pt idx="303">
                  <c:v>46266</c:v>
                </c:pt>
                <c:pt idx="304">
                  <c:v>46267</c:v>
                </c:pt>
                <c:pt idx="305">
                  <c:v>46268</c:v>
                </c:pt>
                <c:pt idx="306">
                  <c:v>46269</c:v>
                </c:pt>
                <c:pt idx="307">
                  <c:v>46270</c:v>
                </c:pt>
                <c:pt idx="308">
                  <c:v>46271</c:v>
                </c:pt>
                <c:pt idx="309">
                  <c:v>46272</c:v>
                </c:pt>
                <c:pt idx="310">
                  <c:v>46273</c:v>
                </c:pt>
                <c:pt idx="311">
                  <c:v>46274</c:v>
                </c:pt>
                <c:pt idx="312">
                  <c:v>46275</c:v>
                </c:pt>
                <c:pt idx="313">
                  <c:v>46276</c:v>
                </c:pt>
                <c:pt idx="314">
                  <c:v>46277</c:v>
                </c:pt>
                <c:pt idx="315">
                  <c:v>46278</c:v>
                </c:pt>
                <c:pt idx="316">
                  <c:v>46279</c:v>
                </c:pt>
                <c:pt idx="317">
                  <c:v>46280</c:v>
                </c:pt>
                <c:pt idx="318">
                  <c:v>46281</c:v>
                </c:pt>
                <c:pt idx="319">
                  <c:v>46282</c:v>
                </c:pt>
                <c:pt idx="320">
                  <c:v>46283</c:v>
                </c:pt>
                <c:pt idx="321">
                  <c:v>46284</c:v>
                </c:pt>
                <c:pt idx="322">
                  <c:v>46285</c:v>
                </c:pt>
                <c:pt idx="323">
                  <c:v>46286</c:v>
                </c:pt>
                <c:pt idx="324">
                  <c:v>46287</c:v>
                </c:pt>
                <c:pt idx="325">
                  <c:v>46288</c:v>
                </c:pt>
                <c:pt idx="326">
                  <c:v>46289</c:v>
                </c:pt>
                <c:pt idx="327">
                  <c:v>46290</c:v>
                </c:pt>
                <c:pt idx="328">
                  <c:v>46291</c:v>
                </c:pt>
                <c:pt idx="329">
                  <c:v>46292</c:v>
                </c:pt>
                <c:pt idx="330">
                  <c:v>46293</c:v>
                </c:pt>
                <c:pt idx="331">
                  <c:v>46294</c:v>
                </c:pt>
                <c:pt idx="332">
                  <c:v>46295</c:v>
                </c:pt>
                <c:pt idx="333">
                  <c:v>46296</c:v>
                </c:pt>
                <c:pt idx="334">
                  <c:v>46297</c:v>
                </c:pt>
                <c:pt idx="335">
                  <c:v>46298</c:v>
                </c:pt>
                <c:pt idx="336">
                  <c:v>46299</c:v>
                </c:pt>
                <c:pt idx="337">
                  <c:v>46300</c:v>
                </c:pt>
                <c:pt idx="338">
                  <c:v>46301</c:v>
                </c:pt>
                <c:pt idx="339">
                  <c:v>46302</c:v>
                </c:pt>
                <c:pt idx="340">
                  <c:v>46303</c:v>
                </c:pt>
                <c:pt idx="341">
                  <c:v>46304</c:v>
                </c:pt>
                <c:pt idx="342">
                  <c:v>46305</c:v>
                </c:pt>
                <c:pt idx="343">
                  <c:v>46306</c:v>
                </c:pt>
                <c:pt idx="344">
                  <c:v>46307</c:v>
                </c:pt>
                <c:pt idx="345">
                  <c:v>46308</c:v>
                </c:pt>
                <c:pt idx="346">
                  <c:v>46309</c:v>
                </c:pt>
                <c:pt idx="347">
                  <c:v>46310</c:v>
                </c:pt>
                <c:pt idx="348">
                  <c:v>46311</c:v>
                </c:pt>
                <c:pt idx="349">
                  <c:v>46312</c:v>
                </c:pt>
                <c:pt idx="350">
                  <c:v>46313</c:v>
                </c:pt>
                <c:pt idx="351">
                  <c:v>46314</c:v>
                </c:pt>
                <c:pt idx="352">
                  <c:v>46315</c:v>
                </c:pt>
                <c:pt idx="353">
                  <c:v>46316</c:v>
                </c:pt>
                <c:pt idx="354">
                  <c:v>46317</c:v>
                </c:pt>
                <c:pt idx="355">
                  <c:v>46318</c:v>
                </c:pt>
                <c:pt idx="356">
                  <c:v>46319</c:v>
                </c:pt>
                <c:pt idx="357">
                  <c:v>46320</c:v>
                </c:pt>
                <c:pt idx="358">
                  <c:v>46321</c:v>
                </c:pt>
                <c:pt idx="359">
                  <c:v>46322</c:v>
                </c:pt>
                <c:pt idx="360">
                  <c:v>46323</c:v>
                </c:pt>
                <c:pt idx="361">
                  <c:v>46324</c:v>
                </c:pt>
                <c:pt idx="362">
                  <c:v>46325</c:v>
                </c:pt>
                <c:pt idx="363">
                  <c:v>46326</c:v>
                </c:pt>
                <c:pt idx="364">
                  <c:v>46327</c:v>
                </c:pt>
                <c:pt idx="365">
                  <c:v>46328</c:v>
                </c:pt>
                <c:pt idx="366">
                  <c:v>46329</c:v>
                </c:pt>
                <c:pt idx="367">
                  <c:v>46330</c:v>
                </c:pt>
                <c:pt idx="368">
                  <c:v>46331</c:v>
                </c:pt>
                <c:pt idx="369">
                  <c:v>46332</c:v>
                </c:pt>
                <c:pt idx="370">
                  <c:v>46333</c:v>
                </c:pt>
                <c:pt idx="371">
                  <c:v>46334</c:v>
                </c:pt>
                <c:pt idx="372">
                  <c:v>46335</c:v>
                </c:pt>
                <c:pt idx="373">
                  <c:v>46336</c:v>
                </c:pt>
                <c:pt idx="374">
                  <c:v>46337</c:v>
                </c:pt>
                <c:pt idx="375">
                  <c:v>46338</c:v>
                </c:pt>
                <c:pt idx="376">
                  <c:v>46339</c:v>
                </c:pt>
                <c:pt idx="377">
                  <c:v>46340</c:v>
                </c:pt>
                <c:pt idx="378">
                  <c:v>46341</c:v>
                </c:pt>
                <c:pt idx="379">
                  <c:v>46342</c:v>
                </c:pt>
                <c:pt idx="380">
                  <c:v>46343</c:v>
                </c:pt>
                <c:pt idx="381">
                  <c:v>46344</c:v>
                </c:pt>
                <c:pt idx="382">
                  <c:v>46345</c:v>
                </c:pt>
                <c:pt idx="383">
                  <c:v>46346</c:v>
                </c:pt>
                <c:pt idx="384">
                  <c:v>46347</c:v>
                </c:pt>
                <c:pt idx="385">
                  <c:v>46348</c:v>
                </c:pt>
                <c:pt idx="386">
                  <c:v>46349</c:v>
                </c:pt>
                <c:pt idx="387">
                  <c:v>46350</c:v>
                </c:pt>
                <c:pt idx="388">
                  <c:v>46351</c:v>
                </c:pt>
                <c:pt idx="389">
                  <c:v>46352</c:v>
                </c:pt>
                <c:pt idx="390">
                  <c:v>46353</c:v>
                </c:pt>
                <c:pt idx="391">
                  <c:v>46354</c:v>
                </c:pt>
                <c:pt idx="392">
                  <c:v>46355</c:v>
                </c:pt>
                <c:pt idx="393">
                  <c:v>46356</c:v>
                </c:pt>
                <c:pt idx="394">
                  <c:v>46357</c:v>
                </c:pt>
                <c:pt idx="395">
                  <c:v>46358</c:v>
                </c:pt>
                <c:pt idx="396">
                  <c:v>46359</c:v>
                </c:pt>
                <c:pt idx="397">
                  <c:v>46360</c:v>
                </c:pt>
                <c:pt idx="398">
                  <c:v>46361</c:v>
                </c:pt>
                <c:pt idx="399">
                  <c:v>46362</c:v>
                </c:pt>
                <c:pt idx="400">
                  <c:v>46363</c:v>
                </c:pt>
                <c:pt idx="401">
                  <c:v>46364</c:v>
                </c:pt>
                <c:pt idx="402">
                  <c:v>46365</c:v>
                </c:pt>
                <c:pt idx="403">
                  <c:v>46366</c:v>
                </c:pt>
                <c:pt idx="404">
                  <c:v>46367</c:v>
                </c:pt>
                <c:pt idx="405">
                  <c:v>46368</c:v>
                </c:pt>
                <c:pt idx="406">
                  <c:v>46369</c:v>
                </c:pt>
                <c:pt idx="407">
                  <c:v>46370</c:v>
                </c:pt>
                <c:pt idx="408">
                  <c:v>46371</c:v>
                </c:pt>
                <c:pt idx="409">
                  <c:v>46372</c:v>
                </c:pt>
                <c:pt idx="410">
                  <c:v>46373</c:v>
                </c:pt>
                <c:pt idx="411">
                  <c:v>46374</c:v>
                </c:pt>
                <c:pt idx="412">
                  <c:v>46375</c:v>
                </c:pt>
                <c:pt idx="413">
                  <c:v>46376</c:v>
                </c:pt>
                <c:pt idx="414">
                  <c:v>46377</c:v>
                </c:pt>
                <c:pt idx="415">
                  <c:v>46378</c:v>
                </c:pt>
                <c:pt idx="416">
                  <c:v>46379</c:v>
                </c:pt>
                <c:pt idx="417">
                  <c:v>46380</c:v>
                </c:pt>
                <c:pt idx="418">
                  <c:v>46381</c:v>
                </c:pt>
                <c:pt idx="419">
                  <c:v>46382</c:v>
                </c:pt>
                <c:pt idx="420">
                  <c:v>46383</c:v>
                </c:pt>
                <c:pt idx="421">
                  <c:v>46384</c:v>
                </c:pt>
                <c:pt idx="422">
                  <c:v>46385</c:v>
                </c:pt>
                <c:pt idx="423">
                  <c:v>46386</c:v>
                </c:pt>
                <c:pt idx="424">
                  <c:v>46387</c:v>
                </c:pt>
              </c:numCache>
            </c:numRef>
          </c:cat>
          <c:val>
            <c:numRef>
              <c:f>Grafico!$G$2:$G$426</c:f>
              <c:numCache>
                <c:formatCode>0</c:formatCode>
                <c:ptCount val="425"/>
                <c:pt idx="16">
                  <c:v>0</c:v>
                </c:pt>
                <c:pt idx="17">
                  <c:v>9</c:v>
                </c:pt>
                <c:pt idx="18">
                  <c:v>21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  <c:pt idx="22">
                  <c:v>38</c:v>
                </c:pt>
                <c:pt idx="23">
                  <c:v>48</c:v>
                </c:pt>
                <c:pt idx="24">
                  <c:v>60</c:v>
                </c:pt>
                <c:pt idx="25">
                  <c:v>66</c:v>
                </c:pt>
                <c:pt idx="26">
                  <c:v>86</c:v>
                </c:pt>
                <c:pt idx="27">
                  <c:v>98</c:v>
                </c:pt>
                <c:pt idx="28">
                  <c:v>98</c:v>
                </c:pt>
                <c:pt idx="29">
                  <c:v>116</c:v>
                </c:pt>
                <c:pt idx="30">
                  <c:v>128</c:v>
                </c:pt>
                <c:pt idx="31">
                  <c:v>138</c:v>
                </c:pt>
                <c:pt idx="32">
                  <c:v>157</c:v>
                </c:pt>
                <c:pt idx="33">
                  <c:v>171</c:v>
                </c:pt>
                <c:pt idx="34">
                  <c:v>178</c:v>
                </c:pt>
                <c:pt idx="35">
                  <c:v>178</c:v>
                </c:pt>
                <c:pt idx="36">
                  <c:v>192</c:v>
                </c:pt>
                <c:pt idx="37">
                  <c:v>210</c:v>
                </c:pt>
                <c:pt idx="38">
                  <c:v>228</c:v>
                </c:pt>
                <c:pt idx="39">
                  <c:v>228</c:v>
                </c:pt>
                <c:pt idx="40">
                  <c:v>228</c:v>
                </c:pt>
                <c:pt idx="41">
                  <c:v>228</c:v>
                </c:pt>
                <c:pt idx="42">
                  <c:v>228</c:v>
                </c:pt>
                <c:pt idx="43">
                  <c:v>228</c:v>
                </c:pt>
                <c:pt idx="44">
                  <c:v>228</c:v>
                </c:pt>
                <c:pt idx="45">
                  <c:v>228</c:v>
                </c:pt>
                <c:pt idx="46">
                  <c:v>228</c:v>
                </c:pt>
                <c:pt idx="47">
                  <c:v>228</c:v>
                </c:pt>
                <c:pt idx="48">
                  <c:v>228</c:v>
                </c:pt>
                <c:pt idx="49">
                  <c:v>228</c:v>
                </c:pt>
                <c:pt idx="50">
                  <c:v>228</c:v>
                </c:pt>
                <c:pt idx="51">
                  <c:v>228</c:v>
                </c:pt>
                <c:pt idx="52">
                  <c:v>228</c:v>
                </c:pt>
                <c:pt idx="53">
                  <c:v>228</c:v>
                </c:pt>
                <c:pt idx="54">
                  <c:v>228</c:v>
                </c:pt>
                <c:pt idx="55">
                  <c:v>228</c:v>
                </c:pt>
                <c:pt idx="56">
                  <c:v>228</c:v>
                </c:pt>
                <c:pt idx="57">
                  <c:v>228</c:v>
                </c:pt>
                <c:pt idx="58">
                  <c:v>228</c:v>
                </c:pt>
                <c:pt idx="59">
                  <c:v>228</c:v>
                </c:pt>
                <c:pt idx="60">
                  <c:v>228</c:v>
                </c:pt>
                <c:pt idx="61">
                  <c:v>228</c:v>
                </c:pt>
                <c:pt idx="62">
                  <c:v>228</c:v>
                </c:pt>
                <c:pt idx="63">
                  <c:v>228</c:v>
                </c:pt>
                <c:pt idx="64">
                  <c:v>228</c:v>
                </c:pt>
                <c:pt idx="65">
                  <c:v>228</c:v>
                </c:pt>
                <c:pt idx="66">
                  <c:v>233</c:v>
                </c:pt>
                <c:pt idx="67">
                  <c:v>242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258</c:v>
                </c:pt>
                <c:pt idx="72">
                  <c:v>266</c:v>
                </c:pt>
                <c:pt idx="73">
                  <c:v>271</c:v>
                </c:pt>
                <c:pt idx="74">
                  <c:v>279</c:v>
                </c:pt>
                <c:pt idx="75">
                  <c:v>286</c:v>
                </c:pt>
                <c:pt idx="76">
                  <c:v>292</c:v>
                </c:pt>
                <c:pt idx="77">
                  <c:v>292</c:v>
                </c:pt>
                <c:pt idx="78">
                  <c:v>298</c:v>
                </c:pt>
                <c:pt idx="79">
                  <c:v>307</c:v>
                </c:pt>
                <c:pt idx="80">
                  <c:v>309</c:v>
                </c:pt>
                <c:pt idx="81">
                  <c:v>315</c:v>
                </c:pt>
                <c:pt idx="82">
                  <c:v>324</c:v>
                </c:pt>
                <c:pt idx="83">
                  <c:v>324</c:v>
                </c:pt>
                <c:pt idx="84">
                  <c:v>324</c:v>
                </c:pt>
                <c:pt idx="85">
                  <c:v>332</c:v>
                </c:pt>
                <c:pt idx="86">
                  <c:v>342</c:v>
                </c:pt>
                <c:pt idx="87">
                  <c:v>349</c:v>
                </c:pt>
                <c:pt idx="88">
                  <c:v>358</c:v>
                </c:pt>
                <c:pt idx="89">
                  <c:v>358</c:v>
                </c:pt>
                <c:pt idx="90">
                  <c:v>358</c:v>
                </c:pt>
                <c:pt idx="91">
                  <c:v>358</c:v>
                </c:pt>
                <c:pt idx="92">
                  <c:v>358</c:v>
                </c:pt>
                <c:pt idx="93">
                  <c:v>358</c:v>
                </c:pt>
                <c:pt idx="94">
                  <c:v>360</c:v>
                </c:pt>
                <c:pt idx="95">
                  <c:v>362</c:v>
                </c:pt>
                <c:pt idx="96">
                  <c:v>362</c:v>
                </c:pt>
                <c:pt idx="97">
                  <c:v>362</c:v>
                </c:pt>
                <c:pt idx="98">
                  <c:v>362</c:v>
                </c:pt>
                <c:pt idx="99">
                  <c:v>363</c:v>
                </c:pt>
                <c:pt idx="100">
                  <c:v>367</c:v>
                </c:pt>
                <c:pt idx="101">
                  <c:v>371</c:v>
                </c:pt>
                <c:pt idx="102">
                  <c:v>376</c:v>
                </c:pt>
                <c:pt idx="103">
                  <c:v>376</c:v>
                </c:pt>
                <c:pt idx="104">
                  <c:v>376</c:v>
                </c:pt>
                <c:pt idx="105">
                  <c:v>376</c:v>
                </c:pt>
                <c:pt idx="106">
                  <c:v>376</c:v>
                </c:pt>
                <c:pt idx="107">
                  <c:v>376</c:v>
                </c:pt>
                <c:pt idx="108">
                  <c:v>376</c:v>
                </c:pt>
                <c:pt idx="109">
                  <c:v>376</c:v>
                </c:pt>
                <c:pt idx="110">
                  <c:v>376</c:v>
                </c:pt>
                <c:pt idx="111">
                  <c:v>376</c:v>
                </c:pt>
                <c:pt idx="112">
                  <c:v>376</c:v>
                </c:pt>
                <c:pt idx="113">
                  <c:v>376</c:v>
                </c:pt>
                <c:pt idx="114">
                  <c:v>376</c:v>
                </c:pt>
                <c:pt idx="115">
                  <c:v>376</c:v>
                </c:pt>
                <c:pt idx="116">
                  <c:v>376</c:v>
                </c:pt>
                <c:pt idx="117">
                  <c:v>376</c:v>
                </c:pt>
                <c:pt idx="118">
                  <c:v>376</c:v>
                </c:pt>
                <c:pt idx="119">
                  <c:v>376</c:v>
                </c:pt>
                <c:pt idx="120">
                  <c:v>376</c:v>
                </c:pt>
                <c:pt idx="121">
                  <c:v>376</c:v>
                </c:pt>
                <c:pt idx="122">
                  <c:v>376</c:v>
                </c:pt>
                <c:pt idx="123">
                  <c:v>376</c:v>
                </c:pt>
                <c:pt idx="124">
                  <c:v>376</c:v>
                </c:pt>
                <c:pt idx="125">
                  <c:v>376</c:v>
                </c:pt>
                <c:pt idx="126">
                  <c:v>376</c:v>
                </c:pt>
                <c:pt idx="127">
                  <c:v>376</c:v>
                </c:pt>
                <c:pt idx="128">
                  <c:v>376</c:v>
                </c:pt>
                <c:pt idx="129">
                  <c:v>376</c:v>
                </c:pt>
                <c:pt idx="130">
                  <c:v>376</c:v>
                </c:pt>
                <c:pt idx="131">
                  <c:v>376</c:v>
                </c:pt>
                <c:pt idx="132">
                  <c:v>376</c:v>
                </c:pt>
                <c:pt idx="133">
                  <c:v>376</c:v>
                </c:pt>
                <c:pt idx="134">
                  <c:v>376</c:v>
                </c:pt>
                <c:pt idx="135">
                  <c:v>376</c:v>
                </c:pt>
                <c:pt idx="136">
                  <c:v>376</c:v>
                </c:pt>
                <c:pt idx="137">
                  <c:v>376</c:v>
                </c:pt>
                <c:pt idx="138">
                  <c:v>376</c:v>
                </c:pt>
                <c:pt idx="139">
                  <c:v>376</c:v>
                </c:pt>
                <c:pt idx="140">
                  <c:v>376</c:v>
                </c:pt>
                <c:pt idx="141">
                  <c:v>376</c:v>
                </c:pt>
                <c:pt idx="142">
                  <c:v>376</c:v>
                </c:pt>
                <c:pt idx="143">
                  <c:v>376</c:v>
                </c:pt>
                <c:pt idx="144">
                  <c:v>376</c:v>
                </c:pt>
                <c:pt idx="145">
                  <c:v>376</c:v>
                </c:pt>
                <c:pt idx="146">
                  <c:v>376</c:v>
                </c:pt>
                <c:pt idx="147">
                  <c:v>376</c:v>
                </c:pt>
                <c:pt idx="148">
                  <c:v>376</c:v>
                </c:pt>
                <c:pt idx="149">
                  <c:v>376</c:v>
                </c:pt>
                <c:pt idx="150">
                  <c:v>376</c:v>
                </c:pt>
                <c:pt idx="151">
                  <c:v>376</c:v>
                </c:pt>
                <c:pt idx="152">
                  <c:v>376</c:v>
                </c:pt>
                <c:pt idx="153">
                  <c:v>376</c:v>
                </c:pt>
                <c:pt idx="154">
                  <c:v>376</c:v>
                </c:pt>
                <c:pt idx="155">
                  <c:v>376</c:v>
                </c:pt>
                <c:pt idx="156">
                  <c:v>376</c:v>
                </c:pt>
                <c:pt idx="157">
                  <c:v>376</c:v>
                </c:pt>
                <c:pt idx="158">
                  <c:v>376</c:v>
                </c:pt>
                <c:pt idx="159">
                  <c:v>376</c:v>
                </c:pt>
                <c:pt idx="160">
                  <c:v>376</c:v>
                </c:pt>
                <c:pt idx="161">
                  <c:v>376</c:v>
                </c:pt>
                <c:pt idx="162">
                  <c:v>376</c:v>
                </c:pt>
                <c:pt idx="163">
                  <c:v>376</c:v>
                </c:pt>
                <c:pt idx="164">
                  <c:v>376</c:v>
                </c:pt>
                <c:pt idx="165">
                  <c:v>376</c:v>
                </c:pt>
                <c:pt idx="166">
                  <c:v>376</c:v>
                </c:pt>
                <c:pt idx="167">
                  <c:v>376</c:v>
                </c:pt>
                <c:pt idx="168">
                  <c:v>376</c:v>
                </c:pt>
                <c:pt idx="169">
                  <c:v>376</c:v>
                </c:pt>
                <c:pt idx="170">
                  <c:v>376</c:v>
                </c:pt>
                <c:pt idx="171">
                  <c:v>376</c:v>
                </c:pt>
                <c:pt idx="172">
                  <c:v>376</c:v>
                </c:pt>
                <c:pt idx="173">
                  <c:v>376</c:v>
                </c:pt>
                <c:pt idx="174">
                  <c:v>376</c:v>
                </c:pt>
                <c:pt idx="175">
                  <c:v>376</c:v>
                </c:pt>
                <c:pt idx="176">
                  <c:v>376</c:v>
                </c:pt>
                <c:pt idx="177">
                  <c:v>376</c:v>
                </c:pt>
                <c:pt idx="178">
                  <c:v>376</c:v>
                </c:pt>
                <c:pt idx="179">
                  <c:v>376</c:v>
                </c:pt>
                <c:pt idx="180">
                  <c:v>376</c:v>
                </c:pt>
                <c:pt idx="181">
                  <c:v>376</c:v>
                </c:pt>
                <c:pt idx="182">
                  <c:v>376</c:v>
                </c:pt>
                <c:pt idx="183">
                  <c:v>376</c:v>
                </c:pt>
                <c:pt idx="184">
                  <c:v>376</c:v>
                </c:pt>
                <c:pt idx="185">
                  <c:v>376</c:v>
                </c:pt>
                <c:pt idx="186">
                  <c:v>376</c:v>
                </c:pt>
                <c:pt idx="187">
                  <c:v>376</c:v>
                </c:pt>
                <c:pt idx="188">
                  <c:v>376</c:v>
                </c:pt>
                <c:pt idx="189">
                  <c:v>376</c:v>
                </c:pt>
                <c:pt idx="190">
                  <c:v>376</c:v>
                </c:pt>
                <c:pt idx="191">
                  <c:v>376</c:v>
                </c:pt>
                <c:pt idx="192">
                  <c:v>376</c:v>
                </c:pt>
                <c:pt idx="193">
                  <c:v>376</c:v>
                </c:pt>
                <c:pt idx="194">
                  <c:v>376</c:v>
                </c:pt>
                <c:pt idx="195">
                  <c:v>376</c:v>
                </c:pt>
                <c:pt idx="196">
                  <c:v>376</c:v>
                </c:pt>
                <c:pt idx="197">
                  <c:v>376</c:v>
                </c:pt>
                <c:pt idx="198">
                  <c:v>376</c:v>
                </c:pt>
                <c:pt idx="199">
                  <c:v>376</c:v>
                </c:pt>
                <c:pt idx="200">
                  <c:v>376</c:v>
                </c:pt>
                <c:pt idx="201">
                  <c:v>376</c:v>
                </c:pt>
                <c:pt idx="202">
                  <c:v>376</c:v>
                </c:pt>
                <c:pt idx="203">
                  <c:v>376</c:v>
                </c:pt>
                <c:pt idx="204">
                  <c:v>376</c:v>
                </c:pt>
                <c:pt idx="205">
                  <c:v>376</c:v>
                </c:pt>
                <c:pt idx="206">
                  <c:v>376</c:v>
                </c:pt>
                <c:pt idx="207">
                  <c:v>376</c:v>
                </c:pt>
                <c:pt idx="208">
                  <c:v>376</c:v>
                </c:pt>
                <c:pt idx="209">
                  <c:v>376</c:v>
                </c:pt>
                <c:pt idx="210">
                  <c:v>376</c:v>
                </c:pt>
                <c:pt idx="211">
                  <c:v>376</c:v>
                </c:pt>
                <c:pt idx="212">
                  <c:v>376</c:v>
                </c:pt>
                <c:pt idx="213">
                  <c:v>376</c:v>
                </c:pt>
                <c:pt idx="214">
                  <c:v>376</c:v>
                </c:pt>
                <c:pt idx="215">
                  <c:v>376</c:v>
                </c:pt>
                <c:pt idx="216">
                  <c:v>376</c:v>
                </c:pt>
                <c:pt idx="217">
                  <c:v>376</c:v>
                </c:pt>
                <c:pt idx="218">
                  <c:v>376</c:v>
                </c:pt>
                <c:pt idx="219">
                  <c:v>376</c:v>
                </c:pt>
                <c:pt idx="220">
                  <c:v>376</c:v>
                </c:pt>
                <c:pt idx="221">
                  <c:v>376</c:v>
                </c:pt>
                <c:pt idx="222">
                  <c:v>376</c:v>
                </c:pt>
                <c:pt idx="223">
                  <c:v>376</c:v>
                </c:pt>
                <c:pt idx="224">
                  <c:v>376</c:v>
                </c:pt>
                <c:pt idx="225">
                  <c:v>376</c:v>
                </c:pt>
                <c:pt idx="226">
                  <c:v>376</c:v>
                </c:pt>
                <c:pt idx="227">
                  <c:v>376</c:v>
                </c:pt>
                <c:pt idx="228">
                  <c:v>376</c:v>
                </c:pt>
                <c:pt idx="229">
                  <c:v>376</c:v>
                </c:pt>
                <c:pt idx="230">
                  <c:v>376</c:v>
                </c:pt>
                <c:pt idx="231">
                  <c:v>376</c:v>
                </c:pt>
                <c:pt idx="232">
                  <c:v>376</c:v>
                </c:pt>
                <c:pt idx="233">
                  <c:v>376</c:v>
                </c:pt>
                <c:pt idx="234">
                  <c:v>376</c:v>
                </c:pt>
                <c:pt idx="235">
                  <c:v>376</c:v>
                </c:pt>
                <c:pt idx="236">
                  <c:v>376</c:v>
                </c:pt>
                <c:pt idx="237">
                  <c:v>376</c:v>
                </c:pt>
                <c:pt idx="238">
                  <c:v>376</c:v>
                </c:pt>
                <c:pt idx="239">
                  <c:v>376</c:v>
                </c:pt>
                <c:pt idx="240">
                  <c:v>376</c:v>
                </c:pt>
                <c:pt idx="241">
                  <c:v>376</c:v>
                </c:pt>
                <c:pt idx="242">
                  <c:v>376</c:v>
                </c:pt>
                <c:pt idx="243">
                  <c:v>376</c:v>
                </c:pt>
                <c:pt idx="244">
                  <c:v>376</c:v>
                </c:pt>
                <c:pt idx="245">
                  <c:v>376</c:v>
                </c:pt>
                <c:pt idx="246">
                  <c:v>376</c:v>
                </c:pt>
                <c:pt idx="247">
                  <c:v>376</c:v>
                </c:pt>
                <c:pt idx="248">
                  <c:v>376</c:v>
                </c:pt>
                <c:pt idx="249">
                  <c:v>376</c:v>
                </c:pt>
                <c:pt idx="250">
                  <c:v>376</c:v>
                </c:pt>
                <c:pt idx="251">
                  <c:v>376</c:v>
                </c:pt>
                <c:pt idx="252">
                  <c:v>376</c:v>
                </c:pt>
                <c:pt idx="253">
                  <c:v>376</c:v>
                </c:pt>
                <c:pt idx="254">
                  <c:v>376</c:v>
                </c:pt>
                <c:pt idx="255">
                  <c:v>376</c:v>
                </c:pt>
                <c:pt idx="256">
                  <c:v>376</c:v>
                </c:pt>
                <c:pt idx="257">
                  <c:v>376</c:v>
                </c:pt>
                <c:pt idx="258">
                  <c:v>376</c:v>
                </c:pt>
                <c:pt idx="259">
                  <c:v>376</c:v>
                </c:pt>
                <c:pt idx="260">
                  <c:v>376</c:v>
                </c:pt>
                <c:pt idx="261">
                  <c:v>376</c:v>
                </c:pt>
                <c:pt idx="262">
                  <c:v>376</c:v>
                </c:pt>
                <c:pt idx="263">
                  <c:v>376</c:v>
                </c:pt>
                <c:pt idx="264">
                  <c:v>376</c:v>
                </c:pt>
                <c:pt idx="265">
                  <c:v>376</c:v>
                </c:pt>
                <c:pt idx="266">
                  <c:v>376</c:v>
                </c:pt>
                <c:pt idx="267">
                  <c:v>376</c:v>
                </c:pt>
                <c:pt idx="268">
                  <c:v>376</c:v>
                </c:pt>
                <c:pt idx="269">
                  <c:v>376</c:v>
                </c:pt>
                <c:pt idx="270">
                  <c:v>376</c:v>
                </c:pt>
                <c:pt idx="271">
                  <c:v>376</c:v>
                </c:pt>
                <c:pt idx="272">
                  <c:v>376</c:v>
                </c:pt>
                <c:pt idx="273">
                  <c:v>376</c:v>
                </c:pt>
                <c:pt idx="274">
                  <c:v>376</c:v>
                </c:pt>
                <c:pt idx="275">
                  <c:v>376</c:v>
                </c:pt>
                <c:pt idx="276">
                  <c:v>376</c:v>
                </c:pt>
                <c:pt idx="277">
                  <c:v>376</c:v>
                </c:pt>
                <c:pt idx="278">
                  <c:v>376</c:v>
                </c:pt>
                <c:pt idx="279">
                  <c:v>376</c:v>
                </c:pt>
                <c:pt idx="280">
                  <c:v>376</c:v>
                </c:pt>
                <c:pt idx="281">
                  <c:v>376</c:v>
                </c:pt>
                <c:pt idx="282">
                  <c:v>376</c:v>
                </c:pt>
                <c:pt idx="283">
                  <c:v>376</c:v>
                </c:pt>
                <c:pt idx="284">
                  <c:v>376</c:v>
                </c:pt>
                <c:pt idx="285">
                  <c:v>376</c:v>
                </c:pt>
                <c:pt idx="286">
                  <c:v>376</c:v>
                </c:pt>
                <c:pt idx="287">
                  <c:v>376</c:v>
                </c:pt>
                <c:pt idx="288">
                  <c:v>376</c:v>
                </c:pt>
                <c:pt idx="289">
                  <c:v>376</c:v>
                </c:pt>
                <c:pt idx="290">
                  <c:v>376</c:v>
                </c:pt>
                <c:pt idx="291">
                  <c:v>376</c:v>
                </c:pt>
                <c:pt idx="292">
                  <c:v>376</c:v>
                </c:pt>
                <c:pt idx="293">
                  <c:v>376</c:v>
                </c:pt>
                <c:pt idx="294">
                  <c:v>376</c:v>
                </c:pt>
                <c:pt idx="295">
                  <c:v>376</c:v>
                </c:pt>
                <c:pt idx="296">
                  <c:v>376</c:v>
                </c:pt>
                <c:pt idx="297">
                  <c:v>376</c:v>
                </c:pt>
                <c:pt idx="298">
                  <c:v>376</c:v>
                </c:pt>
                <c:pt idx="299">
                  <c:v>376</c:v>
                </c:pt>
                <c:pt idx="300">
                  <c:v>376</c:v>
                </c:pt>
                <c:pt idx="301">
                  <c:v>376</c:v>
                </c:pt>
                <c:pt idx="302">
                  <c:v>376</c:v>
                </c:pt>
                <c:pt idx="303">
                  <c:v>376</c:v>
                </c:pt>
                <c:pt idx="304">
                  <c:v>376</c:v>
                </c:pt>
                <c:pt idx="305">
                  <c:v>376</c:v>
                </c:pt>
                <c:pt idx="306">
                  <c:v>376</c:v>
                </c:pt>
                <c:pt idx="307">
                  <c:v>376</c:v>
                </c:pt>
                <c:pt idx="308">
                  <c:v>376</c:v>
                </c:pt>
                <c:pt idx="309">
                  <c:v>376</c:v>
                </c:pt>
                <c:pt idx="310">
                  <c:v>376</c:v>
                </c:pt>
                <c:pt idx="311">
                  <c:v>376</c:v>
                </c:pt>
                <c:pt idx="312">
                  <c:v>376</c:v>
                </c:pt>
                <c:pt idx="313">
                  <c:v>376</c:v>
                </c:pt>
                <c:pt idx="314">
                  <c:v>376</c:v>
                </c:pt>
                <c:pt idx="315">
                  <c:v>376</c:v>
                </c:pt>
                <c:pt idx="316">
                  <c:v>376</c:v>
                </c:pt>
                <c:pt idx="317">
                  <c:v>376</c:v>
                </c:pt>
                <c:pt idx="318">
                  <c:v>380</c:v>
                </c:pt>
                <c:pt idx="319">
                  <c:v>380</c:v>
                </c:pt>
                <c:pt idx="320">
                  <c:v>380</c:v>
                </c:pt>
                <c:pt idx="321">
                  <c:v>381</c:v>
                </c:pt>
                <c:pt idx="322">
                  <c:v>381</c:v>
                </c:pt>
                <c:pt idx="323">
                  <c:v>384</c:v>
                </c:pt>
                <c:pt idx="324">
                  <c:v>387</c:v>
                </c:pt>
                <c:pt idx="325">
                  <c:v>389</c:v>
                </c:pt>
                <c:pt idx="326">
                  <c:v>391</c:v>
                </c:pt>
                <c:pt idx="327">
                  <c:v>395</c:v>
                </c:pt>
                <c:pt idx="328">
                  <c:v>396</c:v>
                </c:pt>
                <c:pt idx="329">
                  <c:v>396</c:v>
                </c:pt>
                <c:pt idx="330">
                  <c:v>396</c:v>
                </c:pt>
                <c:pt idx="331">
                  <c:v>396</c:v>
                </c:pt>
                <c:pt idx="332">
                  <c:v>396</c:v>
                </c:pt>
                <c:pt idx="333">
                  <c:v>396</c:v>
                </c:pt>
                <c:pt idx="334">
                  <c:v>396</c:v>
                </c:pt>
                <c:pt idx="335">
                  <c:v>396</c:v>
                </c:pt>
                <c:pt idx="336">
                  <c:v>396</c:v>
                </c:pt>
                <c:pt idx="337">
                  <c:v>396</c:v>
                </c:pt>
                <c:pt idx="338">
                  <c:v>396</c:v>
                </c:pt>
                <c:pt idx="339">
                  <c:v>396</c:v>
                </c:pt>
                <c:pt idx="340">
                  <c:v>396</c:v>
                </c:pt>
                <c:pt idx="341">
                  <c:v>396</c:v>
                </c:pt>
                <c:pt idx="342">
                  <c:v>396</c:v>
                </c:pt>
                <c:pt idx="343">
                  <c:v>396</c:v>
                </c:pt>
                <c:pt idx="344">
                  <c:v>396</c:v>
                </c:pt>
                <c:pt idx="345">
                  <c:v>396</c:v>
                </c:pt>
                <c:pt idx="346">
                  <c:v>396</c:v>
                </c:pt>
                <c:pt idx="347">
                  <c:v>396</c:v>
                </c:pt>
                <c:pt idx="348">
                  <c:v>396</c:v>
                </c:pt>
                <c:pt idx="349">
                  <c:v>396</c:v>
                </c:pt>
                <c:pt idx="350">
                  <c:v>396</c:v>
                </c:pt>
                <c:pt idx="351">
                  <c:v>396</c:v>
                </c:pt>
                <c:pt idx="352">
                  <c:v>396</c:v>
                </c:pt>
                <c:pt idx="353">
                  <c:v>396</c:v>
                </c:pt>
                <c:pt idx="354">
                  <c:v>396</c:v>
                </c:pt>
                <c:pt idx="355">
                  <c:v>396</c:v>
                </c:pt>
                <c:pt idx="356">
                  <c:v>396</c:v>
                </c:pt>
                <c:pt idx="357">
                  <c:v>396</c:v>
                </c:pt>
                <c:pt idx="358">
                  <c:v>396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801-41B8-A1FA-3499B8919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488496"/>
        <c:axId val="513483696"/>
      </c:lineChart>
      <c:scatterChart>
        <c:scatterStyle val="lineMarker"/>
        <c:varyColors val="0"/>
        <c:ser>
          <c:idx val="3"/>
          <c:order val="4"/>
          <c:tx>
            <c:strRef>
              <c:f>Grafico!$I$1</c:f>
              <c:strCache>
                <c:ptCount val="1"/>
                <c:pt idx="0">
                  <c:v>PCM</c:v>
                </c:pt>
              </c:strCache>
              <c:extLst xmlns:c15="http://schemas.microsoft.com/office/drawing/2012/chart"/>
            </c:strRef>
          </c:tx>
          <c:spPr>
            <a:ln w="19050">
              <a:solidFill>
                <a:srgbClr val="FF00FF"/>
              </a:solidFill>
            </a:ln>
          </c:spPr>
          <c:marker>
            <c:symbol val="none"/>
          </c:marker>
          <c:xVal>
            <c:numRef>
              <c:f>Grafico!$A$2:$A$426</c:f>
              <c:numCache>
                <c:formatCode>d\-mmm</c:formatCode>
                <c:ptCount val="425"/>
                <c:pt idx="0">
                  <c:v>45963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45969</c:v>
                </c:pt>
                <c:pt idx="7">
                  <c:v>45970</c:v>
                </c:pt>
                <c:pt idx="8">
                  <c:v>45971</c:v>
                </c:pt>
                <c:pt idx="9">
                  <c:v>45972</c:v>
                </c:pt>
                <c:pt idx="10">
                  <c:v>45973</c:v>
                </c:pt>
                <c:pt idx="11">
                  <c:v>45974</c:v>
                </c:pt>
                <c:pt idx="12">
                  <c:v>45975</c:v>
                </c:pt>
                <c:pt idx="13">
                  <c:v>45976</c:v>
                </c:pt>
                <c:pt idx="14">
                  <c:v>45977</c:v>
                </c:pt>
                <c:pt idx="15">
                  <c:v>45978</c:v>
                </c:pt>
                <c:pt idx="16">
                  <c:v>45979</c:v>
                </c:pt>
                <c:pt idx="17">
                  <c:v>45980</c:v>
                </c:pt>
                <c:pt idx="18">
                  <c:v>45981</c:v>
                </c:pt>
                <c:pt idx="19">
                  <c:v>45982</c:v>
                </c:pt>
                <c:pt idx="20">
                  <c:v>45983</c:v>
                </c:pt>
                <c:pt idx="21">
                  <c:v>45984</c:v>
                </c:pt>
                <c:pt idx="22">
                  <c:v>45985</c:v>
                </c:pt>
                <c:pt idx="23">
                  <c:v>45986</c:v>
                </c:pt>
                <c:pt idx="24">
                  <c:v>45987</c:v>
                </c:pt>
                <c:pt idx="25">
                  <c:v>45988</c:v>
                </c:pt>
                <c:pt idx="26">
                  <c:v>45989</c:v>
                </c:pt>
                <c:pt idx="27">
                  <c:v>45990</c:v>
                </c:pt>
                <c:pt idx="28">
                  <c:v>45991</c:v>
                </c:pt>
                <c:pt idx="29">
                  <c:v>45992</c:v>
                </c:pt>
                <c:pt idx="30">
                  <c:v>45993</c:v>
                </c:pt>
                <c:pt idx="31">
                  <c:v>45994</c:v>
                </c:pt>
                <c:pt idx="32">
                  <c:v>45995</c:v>
                </c:pt>
                <c:pt idx="33">
                  <c:v>45996</c:v>
                </c:pt>
                <c:pt idx="34">
                  <c:v>45997</c:v>
                </c:pt>
                <c:pt idx="35">
                  <c:v>45998</c:v>
                </c:pt>
                <c:pt idx="36">
                  <c:v>45999</c:v>
                </c:pt>
                <c:pt idx="37">
                  <c:v>46000</c:v>
                </c:pt>
                <c:pt idx="38">
                  <c:v>46001</c:v>
                </c:pt>
                <c:pt idx="39">
                  <c:v>46002</c:v>
                </c:pt>
                <c:pt idx="40">
                  <c:v>46003</c:v>
                </c:pt>
                <c:pt idx="41">
                  <c:v>46004</c:v>
                </c:pt>
                <c:pt idx="42">
                  <c:v>46005</c:v>
                </c:pt>
                <c:pt idx="43">
                  <c:v>46006</c:v>
                </c:pt>
                <c:pt idx="44">
                  <c:v>46007</c:v>
                </c:pt>
                <c:pt idx="45">
                  <c:v>46008</c:v>
                </c:pt>
                <c:pt idx="46">
                  <c:v>46009</c:v>
                </c:pt>
                <c:pt idx="47">
                  <c:v>46010</c:v>
                </c:pt>
                <c:pt idx="48">
                  <c:v>46011</c:v>
                </c:pt>
                <c:pt idx="49">
                  <c:v>46012</c:v>
                </c:pt>
                <c:pt idx="50">
                  <c:v>46013</c:v>
                </c:pt>
                <c:pt idx="51">
                  <c:v>46014</c:v>
                </c:pt>
                <c:pt idx="52">
                  <c:v>46015</c:v>
                </c:pt>
                <c:pt idx="53">
                  <c:v>46016</c:v>
                </c:pt>
                <c:pt idx="54">
                  <c:v>46017</c:v>
                </c:pt>
                <c:pt idx="55">
                  <c:v>46018</c:v>
                </c:pt>
                <c:pt idx="56">
                  <c:v>46019</c:v>
                </c:pt>
                <c:pt idx="57">
                  <c:v>46020</c:v>
                </c:pt>
                <c:pt idx="58">
                  <c:v>46021</c:v>
                </c:pt>
                <c:pt idx="59">
                  <c:v>46022</c:v>
                </c:pt>
                <c:pt idx="60">
                  <c:v>46023</c:v>
                </c:pt>
                <c:pt idx="61">
                  <c:v>46024</c:v>
                </c:pt>
                <c:pt idx="62">
                  <c:v>46025</c:v>
                </c:pt>
                <c:pt idx="63">
                  <c:v>46026</c:v>
                </c:pt>
                <c:pt idx="64">
                  <c:v>46027</c:v>
                </c:pt>
                <c:pt idx="65">
                  <c:v>46028</c:v>
                </c:pt>
                <c:pt idx="66">
                  <c:v>46029</c:v>
                </c:pt>
                <c:pt idx="67">
                  <c:v>46030</c:v>
                </c:pt>
                <c:pt idx="68">
                  <c:v>46031</c:v>
                </c:pt>
                <c:pt idx="69">
                  <c:v>46032</c:v>
                </c:pt>
                <c:pt idx="70">
                  <c:v>46033</c:v>
                </c:pt>
                <c:pt idx="71">
                  <c:v>46034</c:v>
                </c:pt>
                <c:pt idx="72">
                  <c:v>46035</c:v>
                </c:pt>
                <c:pt idx="73">
                  <c:v>46036</c:v>
                </c:pt>
                <c:pt idx="74">
                  <c:v>46037</c:v>
                </c:pt>
                <c:pt idx="75">
                  <c:v>46038</c:v>
                </c:pt>
                <c:pt idx="76">
                  <c:v>46039</c:v>
                </c:pt>
                <c:pt idx="77">
                  <c:v>46040</c:v>
                </c:pt>
                <c:pt idx="78">
                  <c:v>46041</c:v>
                </c:pt>
                <c:pt idx="79">
                  <c:v>46042</c:v>
                </c:pt>
                <c:pt idx="80">
                  <c:v>46043</c:v>
                </c:pt>
                <c:pt idx="81">
                  <c:v>46044</c:v>
                </c:pt>
                <c:pt idx="82">
                  <c:v>46045</c:v>
                </c:pt>
                <c:pt idx="83">
                  <c:v>46046</c:v>
                </c:pt>
                <c:pt idx="84">
                  <c:v>46047</c:v>
                </c:pt>
                <c:pt idx="85">
                  <c:v>46048</c:v>
                </c:pt>
                <c:pt idx="86">
                  <c:v>46049</c:v>
                </c:pt>
                <c:pt idx="87">
                  <c:v>46050</c:v>
                </c:pt>
                <c:pt idx="88">
                  <c:v>46051</c:v>
                </c:pt>
                <c:pt idx="89">
                  <c:v>46052</c:v>
                </c:pt>
                <c:pt idx="90">
                  <c:v>46053</c:v>
                </c:pt>
                <c:pt idx="91">
                  <c:v>46054</c:v>
                </c:pt>
                <c:pt idx="92">
                  <c:v>46055</c:v>
                </c:pt>
                <c:pt idx="93">
                  <c:v>46056</c:v>
                </c:pt>
                <c:pt idx="94">
                  <c:v>46057</c:v>
                </c:pt>
                <c:pt idx="95">
                  <c:v>46058</c:v>
                </c:pt>
                <c:pt idx="96">
                  <c:v>46059</c:v>
                </c:pt>
                <c:pt idx="97">
                  <c:v>46060</c:v>
                </c:pt>
                <c:pt idx="98">
                  <c:v>46061</c:v>
                </c:pt>
                <c:pt idx="99">
                  <c:v>46062</c:v>
                </c:pt>
                <c:pt idx="100">
                  <c:v>46063</c:v>
                </c:pt>
                <c:pt idx="101">
                  <c:v>46064</c:v>
                </c:pt>
                <c:pt idx="102">
                  <c:v>46065</c:v>
                </c:pt>
                <c:pt idx="103">
                  <c:v>46066</c:v>
                </c:pt>
                <c:pt idx="104">
                  <c:v>46067</c:v>
                </c:pt>
                <c:pt idx="105">
                  <c:v>46068</c:v>
                </c:pt>
                <c:pt idx="106">
                  <c:v>46069</c:v>
                </c:pt>
                <c:pt idx="107">
                  <c:v>46070</c:v>
                </c:pt>
                <c:pt idx="108">
                  <c:v>46071</c:v>
                </c:pt>
                <c:pt idx="109">
                  <c:v>46072</c:v>
                </c:pt>
                <c:pt idx="110">
                  <c:v>46073</c:v>
                </c:pt>
                <c:pt idx="111">
                  <c:v>46074</c:v>
                </c:pt>
                <c:pt idx="112">
                  <c:v>46075</c:v>
                </c:pt>
                <c:pt idx="113">
                  <c:v>46076</c:v>
                </c:pt>
                <c:pt idx="114">
                  <c:v>46077</c:v>
                </c:pt>
                <c:pt idx="115">
                  <c:v>46078</c:v>
                </c:pt>
                <c:pt idx="116">
                  <c:v>46079</c:v>
                </c:pt>
                <c:pt idx="117">
                  <c:v>46080</c:v>
                </c:pt>
                <c:pt idx="118">
                  <c:v>46081</c:v>
                </c:pt>
                <c:pt idx="119">
                  <c:v>46082</c:v>
                </c:pt>
                <c:pt idx="120">
                  <c:v>46083</c:v>
                </c:pt>
                <c:pt idx="121">
                  <c:v>46084</c:v>
                </c:pt>
                <c:pt idx="122">
                  <c:v>46085</c:v>
                </c:pt>
                <c:pt idx="123">
                  <c:v>46086</c:v>
                </c:pt>
                <c:pt idx="124">
                  <c:v>46087</c:v>
                </c:pt>
                <c:pt idx="125">
                  <c:v>46088</c:v>
                </c:pt>
                <c:pt idx="126">
                  <c:v>46089</c:v>
                </c:pt>
                <c:pt idx="127">
                  <c:v>46090</c:v>
                </c:pt>
                <c:pt idx="128">
                  <c:v>46091</c:v>
                </c:pt>
                <c:pt idx="129">
                  <c:v>46092</c:v>
                </c:pt>
                <c:pt idx="130">
                  <c:v>46093</c:v>
                </c:pt>
                <c:pt idx="131">
                  <c:v>46094</c:v>
                </c:pt>
                <c:pt idx="132">
                  <c:v>46095</c:v>
                </c:pt>
                <c:pt idx="133">
                  <c:v>46096</c:v>
                </c:pt>
                <c:pt idx="134">
                  <c:v>46097</c:v>
                </c:pt>
                <c:pt idx="135">
                  <c:v>46098</c:v>
                </c:pt>
                <c:pt idx="136">
                  <c:v>46099</c:v>
                </c:pt>
                <c:pt idx="137">
                  <c:v>46100</c:v>
                </c:pt>
                <c:pt idx="138">
                  <c:v>46101</c:v>
                </c:pt>
                <c:pt idx="139">
                  <c:v>46102</c:v>
                </c:pt>
                <c:pt idx="140">
                  <c:v>46103</c:v>
                </c:pt>
                <c:pt idx="141">
                  <c:v>46104</c:v>
                </c:pt>
                <c:pt idx="142">
                  <c:v>46105</c:v>
                </c:pt>
                <c:pt idx="143">
                  <c:v>46106</c:v>
                </c:pt>
                <c:pt idx="144">
                  <c:v>46107</c:v>
                </c:pt>
                <c:pt idx="145">
                  <c:v>46108</c:v>
                </c:pt>
                <c:pt idx="146">
                  <c:v>46109</c:v>
                </c:pt>
                <c:pt idx="147">
                  <c:v>46110</c:v>
                </c:pt>
                <c:pt idx="148">
                  <c:v>46111</c:v>
                </c:pt>
                <c:pt idx="149">
                  <c:v>46112</c:v>
                </c:pt>
                <c:pt idx="150">
                  <c:v>46113</c:v>
                </c:pt>
                <c:pt idx="151">
                  <c:v>46114</c:v>
                </c:pt>
                <c:pt idx="152">
                  <c:v>46115</c:v>
                </c:pt>
                <c:pt idx="153">
                  <c:v>46116</c:v>
                </c:pt>
                <c:pt idx="154">
                  <c:v>46117</c:v>
                </c:pt>
                <c:pt idx="155">
                  <c:v>46118</c:v>
                </c:pt>
                <c:pt idx="156">
                  <c:v>46119</c:v>
                </c:pt>
                <c:pt idx="157">
                  <c:v>46120</c:v>
                </c:pt>
                <c:pt idx="158">
                  <c:v>46121</c:v>
                </c:pt>
                <c:pt idx="159">
                  <c:v>46122</c:v>
                </c:pt>
                <c:pt idx="160">
                  <c:v>46123</c:v>
                </c:pt>
                <c:pt idx="161">
                  <c:v>46124</c:v>
                </c:pt>
                <c:pt idx="162">
                  <c:v>46125</c:v>
                </c:pt>
                <c:pt idx="163">
                  <c:v>46126</c:v>
                </c:pt>
                <c:pt idx="164">
                  <c:v>46127</c:v>
                </c:pt>
                <c:pt idx="165">
                  <c:v>46128</c:v>
                </c:pt>
                <c:pt idx="166">
                  <c:v>46129</c:v>
                </c:pt>
                <c:pt idx="167">
                  <c:v>46130</c:v>
                </c:pt>
                <c:pt idx="168">
                  <c:v>46131</c:v>
                </c:pt>
                <c:pt idx="169">
                  <c:v>46132</c:v>
                </c:pt>
                <c:pt idx="170">
                  <c:v>46133</c:v>
                </c:pt>
                <c:pt idx="171">
                  <c:v>46134</c:v>
                </c:pt>
                <c:pt idx="172">
                  <c:v>46135</c:v>
                </c:pt>
                <c:pt idx="173">
                  <c:v>46136</c:v>
                </c:pt>
                <c:pt idx="174">
                  <c:v>46137</c:v>
                </c:pt>
                <c:pt idx="175">
                  <c:v>46138</c:v>
                </c:pt>
                <c:pt idx="176">
                  <c:v>46139</c:v>
                </c:pt>
                <c:pt idx="177">
                  <c:v>46140</c:v>
                </c:pt>
                <c:pt idx="178">
                  <c:v>46141</c:v>
                </c:pt>
                <c:pt idx="179">
                  <c:v>46142</c:v>
                </c:pt>
                <c:pt idx="180">
                  <c:v>46143</c:v>
                </c:pt>
                <c:pt idx="181">
                  <c:v>46144</c:v>
                </c:pt>
                <c:pt idx="182">
                  <c:v>46145</c:v>
                </c:pt>
                <c:pt idx="183">
                  <c:v>46146</c:v>
                </c:pt>
                <c:pt idx="184">
                  <c:v>46147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46158</c:v>
                </c:pt>
                <c:pt idx="196">
                  <c:v>46159</c:v>
                </c:pt>
                <c:pt idx="197">
                  <c:v>46160</c:v>
                </c:pt>
                <c:pt idx="198">
                  <c:v>46161</c:v>
                </c:pt>
                <c:pt idx="199">
                  <c:v>46162</c:v>
                </c:pt>
                <c:pt idx="200">
                  <c:v>46163</c:v>
                </c:pt>
                <c:pt idx="201">
                  <c:v>46164</c:v>
                </c:pt>
                <c:pt idx="202">
                  <c:v>46165</c:v>
                </c:pt>
                <c:pt idx="203">
                  <c:v>46166</c:v>
                </c:pt>
                <c:pt idx="204">
                  <c:v>46167</c:v>
                </c:pt>
                <c:pt idx="205">
                  <c:v>46168</c:v>
                </c:pt>
                <c:pt idx="206">
                  <c:v>46169</c:v>
                </c:pt>
                <c:pt idx="207">
                  <c:v>46170</c:v>
                </c:pt>
                <c:pt idx="208">
                  <c:v>46171</c:v>
                </c:pt>
                <c:pt idx="209">
                  <c:v>46172</c:v>
                </c:pt>
                <c:pt idx="210">
                  <c:v>46173</c:v>
                </c:pt>
                <c:pt idx="211">
                  <c:v>46174</c:v>
                </c:pt>
                <c:pt idx="212">
                  <c:v>46175</c:v>
                </c:pt>
                <c:pt idx="213">
                  <c:v>46176</c:v>
                </c:pt>
                <c:pt idx="214">
                  <c:v>46177</c:v>
                </c:pt>
                <c:pt idx="215">
                  <c:v>46178</c:v>
                </c:pt>
                <c:pt idx="216">
                  <c:v>46179</c:v>
                </c:pt>
                <c:pt idx="217">
                  <c:v>46180</c:v>
                </c:pt>
                <c:pt idx="218">
                  <c:v>46181</c:v>
                </c:pt>
                <c:pt idx="219">
                  <c:v>46182</c:v>
                </c:pt>
                <c:pt idx="220">
                  <c:v>46183</c:v>
                </c:pt>
                <c:pt idx="221">
                  <c:v>46184</c:v>
                </c:pt>
                <c:pt idx="222">
                  <c:v>46185</c:v>
                </c:pt>
                <c:pt idx="223">
                  <c:v>46186</c:v>
                </c:pt>
                <c:pt idx="224">
                  <c:v>46187</c:v>
                </c:pt>
                <c:pt idx="225">
                  <c:v>46188</c:v>
                </c:pt>
                <c:pt idx="226">
                  <c:v>46189</c:v>
                </c:pt>
                <c:pt idx="227">
                  <c:v>46190</c:v>
                </c:pt>
                <c:pt idx="228">
                  <c:v>46191</c:v>
                </c:pt>
                <c:pt idx="229">
                  <c:v>46192</c:v>
                </c:pt>
                <c:pt idx="230">
                  <c:v>46193</c:v>
                </c:pt>
                <c:pt idx="231">
                  <c:v>46194</c:v>
                </c:pt>
                <c:pt idx="232">
                  <c:v>46195</c:v>
                </c:pt>
                <c:pt idx="233">
                  <c:v>46196</c:v>
                </c:pt>
                <c:pt idx="234">
                  <c:v>46197</c:v>
                </c:pt>
                <c:pt idx="235">
                  <c:v>46198</c:v>
                </c:pt>
                <c:pt idx="236">
                  <c:v>46199</c:v>
                </c:pt>
                <c:pt idx="237">
                  <c:v>46200</c:v>
                </c:pt>
                <c:pt idx="238">
                  <c:v>46201</c:v>
                </c:pt>
                <c:pt idx="239">
                  <c:v>46202</c:v>
                </c:pt>
                <c:pt idx="240">
                  <c:v>46203</c:v>
                </c:pt>
                <c:pt idx="241">
                  <c:v>46204</c:v>
                </c:pt>
                <c:pt idx="242">
                  <c:v>46205</c:v>
                </c:pt>
                <c:pt idx="243">
                  <c:v>46206</c:v>
                </c:pt>
                <c:pt idx="244">
                  <c:v>46207</c:v>
                </c:pt>
                <c:pt idx="245">
                  <c:v>46208</c:v>
                </c:pt>
                <c:pt idx="246">
                  <c:v>46209</c:v>
                </c:pt>
                <c:pt idx="247">
                  <c:v>46210</c:v>
                </c:pt>
                <c:pt idx="248">
                  <c:v>46211</c:v>
                </c:pt>
                <c:pt idx="249">
                  <c:v>46212</c:v>
                </c:pt>
                <c:pt idx="250">
                  <c:v>46213</c:v>
                </c:pt>
                <c:pt idx="251">
                  <c:v>46214</c:v>
                </c:pt>
                <c:pt idx="252">
                  <c:v>46215</c:v>
                </c:pt>
                <c:pt idx="253">
                  <c:v>46216</c:v>
                </c:pt>
                <c:pt idx="254">
                  <c:v>46217</c:v>
                </c:pt>
                <c:pt idx="255">
                  <c:v>46218</c:v>
                </c:pt>
                <c:pt idx="256">
                  <c:v>46219</c:v>
                </c:pt>
                <c:pt idx="257">
                  <c:v>46220</c:v>
                </c:pt>
                <c:pt idx="258">
                  <c:v>46221</c:v>
                </c:pt>
                <c:pt idx="259">
                  <c:v>46222</c:v>
                </c:pt>
                <c:pt idx="260">
                  <c:v>46223</c:v>
                </c:pt>
                <c:pt idx="261">
                  <c:v>46224</c:v>
                </c:pt>
                <c:pt idx="262">
                  <c:v>46225</c:v>
                </c:pt>
                <c:pt idx="263">
                  <c:v>46226</c:v>
                </c:pt>
                <c:pt idx="264">
                  <c:v>46227</c:v>
                </c:pt>
                <c:pt idx="265">
                  <c:v>46228</c:v>
                </c:pt>
                <c:pt idx="266">
                  <c:v>46229</c:v>
                </c:pt>
                <c:pt idx="267">
                  <c:v>46230</c:v>
                </c:pt>
                <c:pt idx="268">
                  <c:v>46231</c:v>
                </c:pt>
                <c:pt idx="269">
                  <c:v>46232</c:v>
                </c:pt>
                <c:pt idx="270">
                  <c:v>46233</c:v>
                </c:pt>
                <c:pt idx="271">
                  <c:v>46234</c:v>
                </c:pt>
                <c:pt idx="272">
                  <c:v>46235</c:v>
                </c:pt>
                <c:pt idx="273">
                  <c:v>46236</c:v>
                </c:pt>
                <c:pt idx="274">
                  <c:v>46237</c:v>
                </c:pt>
                <c:pt idx="275">
                  <c:v>46238</c:v>
                </c:pt>
                <c:pt idx="276">
                  <c:v>46239</c:v>
                </c:pt>
                <c:pt idx="277">
                  <c:v>46240</c:v>
                </c:pt>
                <c:pt idx="278">
                  <c:v>46241</c:v>
                </c:pt>
                <c:pt idx="279">
                  <c:v>46242</c:v>
                </c:pt>
                <c:pt idx="280">
                  <c:v>46243</c:v>
                </c:pt>
                <c:pt idx="281">
                  <c:v>46244</c:v>
                </c:pt>
                <c:pt idx="282">
                  <c:v>46245</c:v>
                </c:pt>
                <c:pt idx="283">
                  <c:v>46246</c:v>
                </c:pt>
                <c:pt idx="284">
                  <c:v>46247</c:v>
                </c:pt>
                <c:pt idx="285">
                  <c:v>46248</c:v>
                </c:pt>
                <c:pt idx="286">
                  <c:v>46249</c:v>
                </c:pt>
                <c:pt idx="287">
                  <c:v>46250</c:v>
                </c:pt>
                <c:pt idx="288">
                  <c:v>46251</c:v>
                </c:pt>
                <c:pt idx="289">
                  <c:v>46252</c:v>
                </c:pt>
                <c:pt idx="290">
                  <c:v>46253</c:v>
                </c:pt>
                <c:pt idx="291">
                  <c:v>46254</c:v>
                </c:pt>
                <c:pt idx="292">
                  <c:v>46255</c:v>
                </c:pt>
                <c:pt idx="293">
                  <c:v>46256</c:v>
                </c:pt>
                <c:pt idx="294">
                  <c:v>46257</c:v>
                </c:pt>
                <c:pt idx="295">
                  <c:v>46258</c:v>
                </c:pt>
                <c:pt idx="296">
                  <c:v>46259</c:v>
                </c:pt>
                <c:pt idx="297">
                  <c:v>46260</c:v>
                </c:pt>
                <c:pt idx="298">
                  <c:v>46261</c:v>
                </c:pt>
                <c:pt idx="299">
                  <c:v>46262</c:v>
                </c:pt>
                <c:pt idx="300">
                  <c:v>46263</c:v>
                </c:pt>
                <c:pt idx="301">
                  <c:v>46264</c:v>
                </c:pt>
                <c:pt idx="302">
                  <c:v>46265</c:v>
                </c:pt>
                <c:pt idx="303">
                  <c:v>46266</c:v>
                </c:pt>
                <c:pt idx="304">
                  <c:v>46267</c:v>
                </c:pt>
                <c:pt idx="305">
                  <c:v>46268</c:v>
                </c:pt>
                <c:pt idx="306">
                  <c:v>46269</c:v>
                </c:pt>
                <c:pt idx="307">
                  <c:v>46270</c:v>
                </c:pt>
                <c:pt idx="308">
                  <c:v>46271</c:v>
                </c:pt>
                <c:pt idx="309">
                  <c:v>46272</c:v>
                </c:pt>
                <c:pt idx="310">
                  <c:v>46273</c:v>
                </c:pt>
                <c:pt idx="311">
                  <c:v>46274</c:v>
                </c:pt>
                <c:pt idx="312">
                  <c:v>46275</c:v>
                </c:pt>
                <c:pt idx="313">
                  <c:v>46276</c:v>
                </c:pt>
                <c:pt idx="314">
                  <c:v>46277</c:v>
                </c:pt>
                <c:pt idx="315">
                  <c:v>46278</c:v>
                </c:pt>
                <c:pt idx="316">
                  <c:v>46279</c:v>
                </c:pt>
                <c:pt idx="317">
                  <c:v>46280</c:v>
                </c:pt>
                <c:pt idx="318">
                  <c:v>46281</c:v>
                </c:pt>
                <c:pt idx="319">
                  <c:v>46282</c:v>
                </c:pt>
                <c:pt idx="320">
                  <c:v>46283</c:v>
                </c:pt>
                <c:pt idx="321">
                  <c:v>46284</c:v>
                </c:pt>
                <c:pt idx="322">
                  <c:v>46285</c:v>
                </c:pt>
                <c:pt idx="323">
                  <c:v>46286</c:v>
                </c:pt>
                <c:pt idx="324">
                  <c:v>46287</c:v>
                </c:pt>
                <c:pt idx="325">
                  <c:v>46288</c:v>
                </c:pt>
                <c:pt idx="326">
                  <c:v>46289</c:v>
                </c:pt>
                <c:pt idx="327">
                  <c:v>46290</c:v>
                </c:pt>
                <c:pt idx="328">
                  <c:v>46291</c:v>
                </c:pt>
                <c:pt idx="329">
                  <c:v>46292</c:v>
                </c:pt>
                <c:pt idx="330">
                  <c:v>46293</c:v>
                </c:pt>
                <c:pt idx="331">
                  <c:v>46294</c:v>
                </c:pt>
                <c:pt idx="332">
                  <c:v>46295</c:v>
                </c:pt>
                <c:pt idx="333">
                  <c:v>46296</c:v>
                </c:pt>
                <c:pt idx="334">
                  <c:v>46297</c:v>
                </c:pt>
                <c:pt idx="335">
                  <c:v>46298</c:v>
                </c:pt>
                <c:pt idx="336">
                  <c:v>46299</c:v>
                </c:pt>
                <c:pt idx="337">
                  <c:v>46300</c:v>
                </c:pt>
                <c:pt idx="338">
                  <c:v>46301</c:v>
                </c:pt>
                <c:pt idx="339">
                  <c:v>46302</c:v>
                </c:pt>
                <c:pt idx="340">
                  <c:v>46303</c:v>
                </c:pt>
                <c:pt idx="341">
                  <c:v>46304</c:v>
                </c:pt>
                <c:pt idx="342">
                  <c:v>46305</c:v>
                </c:pt>
                <c:pt idx="343">
                  <c:v>46306</c:v>
                </c:pt>
                <c:pt idx="344">
                  <c:v>46307</c:v>
                </c:pt>
                <c:pt idx="345">
                  <c:v>46308</c:v>
                </c:pt>
                <c:pt idx="346">
                  <c:v>46309</c:v>
                </c:pt>
                <c:pt idx="347">
                  <c:v>46310</c:v>
                </c:pt>
                <c:pt idx="348">
                  <c:v>46311</c:v>
                </c:pt>
                <c:pt idx="349">
                  <c:v>46312</c:v>
                </c:pt>
                <c:pt idx="350">
                  <c:v>46313</c:v>
                </c:pt>
                <c:pt idx="351">
                  <c:v>46314</c:v>
                </c:pt>
                <c:pt idx="352">
                  <c:v>46315</c:v>
                </c:pt>
                <c:pt idx="353">
                  <c:v>46316</c:v>
                </c:pt>
                <c:pt idx="354">
                  <c:v>46317</c:v>
                </c:pt>
                <c:pt idx="355">
                  <c:v>46318</c:v>
                </c:pt>
                <c:pt idx="356">
                  <c:v>46319</c:v>
                </c:pt>
                <c:pt idx="357">
                  <c:v>46320</c:v>
                </c:pt>
                <c:pt idx="358">
                  <c:v>46321</c:v>
                </c:pt>
                <c:pt idx="359">
                  <c:v>46322</c:v>
                </c:pt>
                <c:pt idx="360">
                  <c:v>46323</c:v>
                </c:pt>
                <c:pt idx="361">
                  <c:v>46324</c:v>
                </c:pt>
                <c:pt idx="362">
                  <c:v>46325</c:v>
                </c:pt>
                <c:pt idx="363">
                  <c:v>46326</c:v>
                </c:pt>
                <c:pt idx="364">
                  <c:v>46327</c:v>
                </c:pt>
                <c:pt idx="365">
                  <c:v>46328</c:v>
                </c:pt>
                <c:pt idx="366">
                  <c:v>46329</c:v>
                </c:pt>
                <c:pt idx="367">
                  <c:v>46330</c:v>
                </c:pt>
                <c:pt idx="368">
                  <c:v>46331</c:v>
                </c:pt>
                <c:pt idx="369">
                  <c:v>46332</c:v>
                </c:pt>
                <c:pt idx="370">
                  <c:v>46333</c:v>
                </c:pt>
                <c:pt idx="371">
                  <c:v>46334</c:v>
                </c:pt>
                <c:pt idx="372">
                  <c:v>46335</c:v>
                </c:pt>
                <c:pt idx="373">
                  <c:v>46336</c:v>
                </c:pt>
                <c:pt idx="374">
                  <c:v>46337</c:v>
                </c:pt>
                <c:pt idx="375">
                  <c:v>46338</c:v>
                </c:pt>
                <c:pt idx="376">
                  <c:v>46339</c:v>
                </c:pt>
                <c:pt idx="377">
                  <c:v>46340</c:v>
                </c:pt>
                <c:pt idx="378">
                  <c:v>46341</c:v>
                </c:pt>
                <c:pt idx="379">
                  <c:v>46342</c:v>
                </c:pt>
                <c:pt idx="380">
                  <c:v>46343</c:v>
                </c:pt>
                <c:pt idx="381">
                  <c:v>46344</c:v>
                </c:pt>
                <c:pt idx="382">
                  <c:v>46345</c:v>
                </c:pt>
                <c:pt idx="383">
                  <c:v>46346</c:v>
                </c:pt>
                <c:pt idx="384">
                  <c:v>46347</c:v>
                </c:pt>
                <c:pt idx="385">
                  <c:v>46348</c:v>
                </c:pt>
                <c:pt idx="386">
                  <c:v>46349</c:v>
                </c:pt>
                <c:pt idx="387">
                  <c:v>46350</c:v>
                </c:pt>
                <c:pt idx="388">
                  <c:v>46351</c:v>
                </c:pt>
                <c:pt idx="389">
                  <c:v>46352</c:v>
                </c:pt>
                <c:pt idx="390">
                  <c:v>46353</c:v>
                </c:pt>
                <c:pt idx="391">
                  <c:v>46354</c:v>
                </c:pt>
                <c:pt idx="392">
                  <c:v>46355</c:v>
                </c:pt>
                <c:pt idx="393">
                  <c:v>46356</c:v>
                </c:pt>
                <c:pt idx="394">
                  <c:v>46357</c:v>
                </c:pt>
                <c:pt idx="395">
                  <c:v>46358</c:v>
                </c:pt>
                <c:pt idx="396">
                  <c:v>46359</c:v>
                </c:pt>
                <c:pt idx="397">
                  <c:v>46360</c:v>
                </c:pt>
                <c:pt idx="398">
                  <c:v>46361</c:v>
                </c:pt>
                <c:pt idx="399">
                  <c:v>46362</c:v>
                </c:pt>
                <c:pt idx="400">
                  <c:v>46363</c:v>
                </c:pt>
                <c:pt idx="401">
                  <c:v>46364</c:v>
                </c:pt>
                <c:pt idx="402">
                  <c:v>46365</c:v>
                </c:pt>
                <c:pt idx="403">
                  <c:v>46366</c:v>
                </c:pt>
                <c:pt idx="404">
                  <c:v>46367</c:v>
                </c:pt>
                <c:pt idx="405">
                  <c:v>46368</c:v>
                </c:pt>
                <c:pt idx="406">
                  <c:v>46369</c:v>
                </c:pt>
                <c:pt idx="407">
                  <c:v>46370</c:v>
                </c:pt>
                <c:pt idx="408">
                  <c:v>46371</c:v>
                </c:pt>
                <c:pt idx="409">
                  <c:v>46372</c:v>
                </c:pt>
                <c:pt idx="410">
                  <c:v>46373</c:v>
                </c:pt>
                <c:pt idx="411">
                  <c:v>46374</c:v>
                </c:pt>
                <c:pt idx="412">
                  <c:v>46375</c:v>
                </c:pt>
                <c:pt idx="413">
                  <c:v>46376</c:v>
                </c:pt>
                <c:pt idx="414">
                  <c:v>46377</c:v>
                </c:pt>
                <c:pt idx="415">
                  <c:v>46378</c:v>
                </c:pt>
                <c:pt idx="416">
                  <c:v>46379</c:v>
                </c:pt>
                <c:pt idx="417">
                  <c:v>46380</c:v>
                </c:pt>
                <c:pt idx="418">
                  <c:v>46381</c:v>
                </c:pt>
                <c:pt idx="419">
                  <c:v>46382</c:v>
                </c:pt>
                <c:pt idx="420">
                  <c:v>46383</c:v>
                </c:pt>
                <c:pt idx="421">
                  <c:v>46384</c:v>
                </c:pt>
                <c:pt idx="422">
                  <c:v>46385</c:v>
                </c:pt>
                <c:pt idx="423">
                  <c:v>46386</c:v>
                </c:pt>
                <c:pt idx="424">
                  <c:v>46387</c:v>
                </c:pt>
              </c:numCache>
            </c:numRef>
          </c:xVal>
          <c:yVal>
            <c:numRef>
              <c:f>Grafico!$I$2:$I$426</c:f>
              <c:numCache>
                <c:formatCode>0.00</c:formatCode>
                <c:ptCount val="425"/>
                <c:pt idx="295">
                  <c:v>0</c:v>
                </c:pt>
                <c:pt idx="296">
                  <c:v>10.475526931400351</c:v>
                </c:pt>
                <c:pt idx="297">
                  <c:v>17.040190475077903</c:v>
                </c:pt>
                <c:pt idx="298">
                  <c:v>21.928769709731398</c:v>
                </c:pt>
                <c:pt idx="299">
                  <c:v>21.928769709731398</c:v>
                </c:pt>
                <c:pt idx="300">
                  <c:v>21.928769709731398</c:v>
                </c:pt>
                <c:pt idx="301">
                  <c:v>21.928769709731398</c:v>
                </c:pt>
                <c:pt idx="302">
                  <c:v>21.928769709731398</c:v>
                </c:pt>
                <c:pt idx="303">
                  <c:v>21.928769709731398</c:v>
                </c:pt>
                <c:pt idx="304">
                  <c:v>21.928769709731398</c:v>
                </c:pt>
                <c:pt idx="305">
                  <c:v>21.928769709731398</c:v>
                </c:pt>
                <c:pt idx="306">
                  <c:v>34.499402027411818</c:v>
                </c:pt>
                <c:pt idx="307">
                  <c:v>41.483086648345392</c:v>
                </c:pt>
                <c:pt idx="308">
                  <c:v>41.483086648345392</c:v>
                </c:pt>
                <c:pt idx="309">
                  <c:v>41.483086648345392</c:v>
                </c:pt>
                <c:pt idx="310">
                  <c:v>41.483086648345392</c:v>
                </c:pt>
                <c:pt idx="311">
                  <c:v>41.483086648345392</c:v>
                </c:pt>
                <c:pt idx="312">
                  <c:v>41.483086648345392</c:v>
                </c:pt>
                <c:pt idx="313">
                  <c:v>41.483086648345392</c:v>
                </c:pt>
                <c:pt idx="314">
                  <c:v>41.483086648345392</c:v>
                </c:pt>
                <c:pt idx="315">
                  <c:v>41.483086648345392</c:v>
                </c:pt>
                <c:pt idx="316">
                  <c:v>41.483086648345392</c:v>
                </c:pt>
                <c:pt idx="317">
                  <c:v>41.483086648345392</c:v>
                </c:pt>
                <c:pt idx="318">
                  <c:v>41.483086648345392</c:v>
                </c:pt>
                <c:pt idx="319">
                  <c:v>44.555907881556159</c:v>
                </c:pt>
                <c:pt idx="320">
                  <c:v>49.86350819346567</c:v>
                </c:pt>
                <c:pt idx="321">
                  <c:v>49.86350819346567</c:v>
                </c:pt>
                <c:pt idx="322">
                  <c:v>49.86350819346567</c:v>
                </c:pt>
                <c:pt idx="323">
                  <c:v>49.86350819346567</c:v>
                </c:pt>
                <c:pt idx="324">
                  <c:v>49.86350819346567</c:v>
                </c:pt>
                <c:pt idx="325">
                  <c:v>49.86350819346567</c:v>
                </c:pt>
                <c:pt idx="326">
                  <c:v>49.86350819346567</c:v>
                </c:pt>
                <c:pt idx="327">
                  <c:v>49.86350819346567</c:v>
                </c:pt>
                <c:pt idx="328">
                  <c:v>49.86350819346567</c:v>
                </c:pt>
                <c:pt idx="329">
                  <c:v>49.86350819346567</c:v>
                </c:pt>
                <c:pt idx="330">
                  <c:v>49.86350819346567</c:v>
                </c:pt>
                <c:pt idx="331">
                  <c:v>54.071918798389049</c:v>
                </c:pt>
                <c:pt idx="332">
                  <c:v>54.071918798389049</c:v>
                </c:pt>
                <c:pt idx="333">
                  <c:v>56.877525868337969</c:v>
                </c:pt>
                <c:pt idx="334">
                  <c:v>59.683132938286889</c:v>
                </c:pt>
                <c:pt idx="335">
                  <c:v>59.683132938286889</c:v>
                </c:pt>
                <c:pt idx="336">
                  <c:v>59.683132938286889</c:v>
                </c:pt>
                <c:pt idx="337">
                  <c:v>59.683132938286889</c:v>
                </c:pt>
                <c:pt idx="338">
                  <c:v>59.683132938286889</c:v>
                </c:pt>
                <c:pt idx="339">
                  <c:v>59.683132938286889</c:v>
                </c:pt>
                <c:pt idx="340">
                  <c:v>59.683132938286889</c:v>
                </c:pt>
                <c:pt idx="341">
                  <c:v>59.683132938286889</c:v>
                </c:pt>
                <c:pt idx="342">
                  <c:v>68.325640246840763</c:v>
                </c:pt>
                <c:pt idx="343">
                  <c:v>75.904454348188025</c:v>
                </c:pt>
                <c:pt idx="344">
                  <c:v>86.275463118452663</c:v>
                </c:pt>
                <c:pt idx="345">
                  <c:v>86.275463118452663</c:v>
                </c:pt>
                <c:pt idx="346">
                  <c:v>86.275463118452663</c:v>
                </c:pt>
                <c:pt idx="347">
                  <c:v>86.275463118452663</c:v>
                </c:pt>
                <c:pt idx="348">
                  <c:v>86.275463118452663</c:v>
                </c:pt>
                <c:pt idx="349">
                  <c:v>86.275463118452663</c:v>
                </c:pt>
                <c:pt idx="350">
                  <c:v>86.275463118452663</c:v>
                </c:pt>
                <c:pt idx="351">
                  <c:v>89.593444351312982</c:v>
                </c:pt>
                <c:pt idx="352">
                  <c:v>96.450605565890939</c:v>
                </c:pt>
                <c:pt idx="353">
                  <c:v>100.65338179418067</c:v>
                </c:pt>
                <c:pt idx="354">
                  <c:v>109.50133174847481</c:v>
                </c:pt>
                <c:pt idx="355">
                  <c:v>118.7916792004837</c:v>
                </c:pt>
                <c:pt idx="356">
                  <c:v>118.7916792004837</c:v>
                </c:pt>
                <c:pt idx="357">
                  <c:v>118.7916792004837</c:v>
                </c:pt>
                <c:pt idx="358">
                  <c:v>118.7916792004837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8801-41B8-A1FA-3499B89194F0}"/>
            </c:ext>
          </c:extLst>
        </c:ser>
        <c:ser>
          <c:idx val="8"/>
          <c:order val="8"/>
          <c:tx>
            <c:v> </c:v>
          </c:tx>
          <c:spPr>
            <a:ln w="19050">
              <a:solidFill>
                <a:schemeClr val="bg1">
                  <a:lumMod val="50000"/>
                </a:schemeClr>
              </a:solidFill>
              <a:prstDash val="sysDot"/>
              <a:headEnd type="triangle" w="med" len="med"/>
              <a:tailEnd type="none" w="med" len="med"/>
            </a:ln>
          </c:spPr>
          <c:marker>
            <c:symbol val="none"/>
          </c:marker>
          <c:xVal>
            <c:numRef>
              <c:f>Hoja1!$E$10:$E$11</c:f>
              <c:numCache>
                <c:formatCode>d\-mmm</c:formatCode>
                <c:ptCount val="2"/>
                <c:pt idx="0">
                  <c:v>45963</c:v>
                </c:pt>
                <c:pt idx="1">
                  <c:v>46387</c:v>
                </c:pt>
              </c:numCache>
            </c:numRef>
          </c:xVal>
          <c:yVal>
            <c:numRef>
              <c:f>Hoja1!$F$10:$F$11</c:f>
              <c:numCache>
                <c:formatCode>General</c:formatCode>
                <c:ptCount val="2"/>
                <c:pt idx="0">
                  <c:v>154.23590000000002</c:v>
                </c:pt>
                <c:pt idx="1">
                  <c:v>154.23590000000002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EF-4269-8842-713756E66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885264"/>
        <c:axId val="588885744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Grafico!$H$1</c15:sqref>
                        </c15:formulaRef>
                      </c:ext>
                    </c:extLst>
                    <c:strCache>
                      <c:ptCount val="1"/>
                      <c:pt idx="0">
                        <c:v>ACVG</c:v>
                      </c:pt>
                    </c:strCache>
                  </c:strRef>
                </c:tx>
                <c:spPr>
                  <a:ln w="19050"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Grafico!$A$2:$A$54</c15:sqref>
                        </c15:formulaRef>
                      </c:ext>
                    </c:extLst>
                    <c:numCache>
                      <c:formatCode>d\-mmm</c:formatCode>
                      <c:ptCount val="53"/>
                      <c:pt idx="0">
                        <c:v>45963</c:v>
                      </c:pt>
                      <c:pt idx="1">
                        <c:v>45964</c:v>
                      </c:pt>
                      <c:pt idx="2">
                        <c:v>45965</c:v>
                      </c:pt>
                      <c:pt idx="3">
                        <c:v>45966</c:v>
                      </c:pt>
                      <c:pt idx="4">
                        <c:v>45967</c:v>
                      </c:pt>
                      <c:pt idx="5">
                        <c:v>45968</c:v>
                      </c:pt>
                      <c:pt idx="6">
                        <c:v>45969</c:v>
                      </c:pt>
                      <c:pt idx="7">
                        <c:v>45970</c:v>
                      </c:pt>
                      <c:pt idx="8">
                        <c:v>45971</c:v>
                      </c:pt>
                      <c:pt idx="9">
                        <c:v>45972</c:v>
                      </c:pt>
                      <c:pt idx="10">
                        <c:v>45973</c:v>
                      </c:pt>
                      <c:pt idx="11">
                        <c:v>45974</c:v>
                      </c:pt>
                      <c:pt idx="12">
                        <c:v>45975</c:v>
                      </c:pt>
                      <c:pt idx="13">
                        <c:v>45976</c:v>
                      </c:pt>
                      <c:pt idx="14">
                        <c:v>45977</c:v>
                      </c:pt>
                      <c:pt idx="15">
                        <c:v>45978</c:v>
                      </c:pt>
                      <c:pt idx="16">
                        <c:v>45979</c:v>
                      </c:pt>
                      <c:pt idx="17">
                        <c:v>45980</c:v>
                      </c:pt>
                      <c:pt idx="18">
                        <c:v>45981</c:v>
                      </c:pt>
                      <c:pt idx="19">
                        <c:v>45982</c:v>
                      </c:pt>
                      <c:pt idx="20">
                        <c:v>45983</c:v>
                      </c:pt>
                      <c:pt idx="21">
                        <c:v>45984</c:v>
                      </c:pt>
                      <c:pt idx="22">
                        <c:v>45985</c:v>
                      </c:pt>
                      <c:pt idx="23">
                        <c:v>45986</c:v>
                      </c:pt>
                      <c:pt idx="24">
                        <c:v>45987</c:v>
                      </c:pt>
                      <c:pt idx="25">
                        <c:v>45988</c:v>
                      </c:pt>
                      <c:pt idx="26">
                        <c:v>45989</c:v>
                      </c:pt>
                      <c:pt idx="27">
                        <c:v>45990</c:v>
                      </c:pt>
                      <c:pt idx="28">
                        <c:v>45991</c:v>
                      </c:pt>
                      <c:pt idx="29">
                        <c:v>45992</c:v>
                      </c:pt>
                      <c:pt idx="30">
                        <c:v>45993</c:v>
                      </c:pt>
                      <c:pt idx="31">
                        <c:v>45994</c:v>
                      </c:pt>
                      <c:pt idx="32">
                        <c:v>45995</c:v>
                      </c:pt>
                      <c:pt idx="33">
                        <c:v>45996</c:v>
                      </c:pt>
                      <c:pt idx="34">
                        <c:v>45997</c:v>
                      </c:pt>
                      <c:pt idx="35">
                        <c:v>45998</c:v>
                      </c:pt>
                      <c:pt idx="36">
                        <c:v>45999</c:v>
                      </c:pt>
                      <c:pt idx="37">
                        <c:v>46000</c:v>
                      </c:pt>
                      <c:pt idx="38">
                        <c:v>46001</c:v>
                      </c:pt>
                      <c:pt idx="39">
                        <c:v>46002</c:v>
                      </c:pt>
                      <c:pt idx="40">
                        <c:v>46003</c:v>
                      </c:pt>
                      <c:pt idx="41">
                        <c:v>46004</c:v>
                      </c:pt>
                      <c:pt idx="42">
                        <c:v>46005</c:v>
                      </c:pt>
                      <c:pt idx="43">
                        <c:v>46006</c:v>
                      </c:pt>
                      <c:pt idx="44">
                        <c:v>46007</c:v>
                      </c:pt>
                      <c:pt idx="45">
                        <c:v>46008</c:v>
                      </c:pt>
                      <c:pt idx="46">
                        <c:v>46009</c:v>
                      </c:pt>
                      <c:pt idx="47">
                        <c:v>46010</c:v>
                      </c:pt>
                      <c:pt idx="48">
                        <c:v>46011</c:v>
                      </c:pt>
                      <c:pt idx="49">
                        <c:v>46012</c:v>
                      </c:pt>
                      <c:pt idx="50">
                        <c:v>46013</c:v>
                      </c:pt>
                      <c:pt idx="51">
                        <c:v>46014</c:v>
                      </c:pt>
                      <c:pt idx="52">
                        <c:v>46015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Grafico!$H$2:$H$55</c15:sqref>
                        </c15:formulaRef>
                      </c:ext>
                    </c:extLst>
                    <c:numCache>
                      <c:formatCode>0.00</c:formatCode>
                      <c:ptCount val="5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B-8801-41B8-A1FA-3499B89194F0}"/>
                  </c:ext>
                </c:extLst>
              </c15:ser>
            </c15:filteredScatterSeries>
            <c15:filteredScatterSeries>
              <c15:ser>
                <c:idx val="1"/>
                <c:order val="7"/>
                <c:tx>
                  <c:v>Lunes</c:v>
                </c:tx>
                <c:spPr>
                  <a:ln w="12700">
                    <a:solidFill>
                      <a:sysClr val="windowText" lastClr="00000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Hoja1!$B$3:$B$55</c15:sqref>
                        </c15:formulaRef>
                      </c:ext>
                    </c:extLst>
                    <c:numCache>
                      <c:formatCode>d\-mmm</c:formatCode>
                      <c:ptCount val="53"/>
                      <c:pt idx="0">
                        <c:v>45964</c:v>
                      </c:pt>
                      <c:pt idx="1">
                        <c:v>45964</c:v>
                      </c:pt>
                      <c:pt idx="3">
                        <c:v>45971</c:v>
                      </c:pt>
                      <c:pt idx="4">
                        <c:v>45971</c:v>
                      </c:pt>
                      <c:pt idx="6">
                        <c:v>45978</c:v>
                      </c:pt>
                      <c:pt idx="7">
                        <c:v>45978</c:v>
                      </c:pt>
                      <c:pt idx="9">
                        <c:v>45985</c:v>
                      </c:pt>
                      <c:pt idx="10">
                        <c:v>45985</c:v>
                      </c:pt>
                      <c:pt idx="12">
                        <c:v>45992</c:v>
                      </c:pt>
                      <c:pt idx="13">
                        <c:v>45992</c:v>
                      </c:pt>
                      <c:pt idx="15">
                        <c:v>45999</c:v>
                      </c:pt>
                      <c:pt idx="16">
                        <c:v>45999</c:v>
                      </c:pt>
                      <c:pt idx="18">
                        <c:v>46006</c:v>
                      </c:pt>
                      <c:pt idx="19">
                        <c:v>46006</c:v>
                      </c:pt>
                      <c:pt idx="21">
                        <c:v>46013</c:v>
                      </c:pt>
                      <c:pt idx="22">
                        <c:v>46013</c:v>
                      </c:pt>
                      <c:pt idx="24">
                        <c:v>46020</c:v>
                      </c:pt>
                      <c:pt idx="25">
                        <c:v>46020</c:v>
                      </c:pt>
                      <c:pt idx="27">
                        <c:v>46027</c:v>
                      </c:pt>
                      <c:pt idx="28">
                        <c:v>46027</c:v>
                      </c:pt>
                      <c:pt idx="30">
                        <c:v>46034</c:v>
                      </c:pt>
                      <c:pt idx="31">
                        <c:v>46034</c:v>
                      </c:pt>
                      <c:pt idx="33">
                        <c:v>46041</c:v>
                      </c:pt>
                      <c:pt idx="34">
                        <c:v>46041</c:v>
                      </c:pt>
                      <c:pt idx="36">
                        <c:v>46048</c:v>
                      </c:pt>
                      <c:pt idx="37">
                        <c:v>46048</c:v>
                      </c:pt>
                      <c:pt idx="39">
                        <c:v>46055</c:v>
                      </c:pt>
                      <c:pt idx="40">
                        <c:v>46055</c:v>
                      </c:pt>
                      <c:pt idx="42">
                        <c:v>46062</c:v>
                      </c:pt>
                      <c:pt idx="43">
                        <c:v>46062</c:v>
                      </c:pt>
                      <c:pt idx="45">
                        <c:v>46069</c:v>
                      </c:pt>
                      <c:pt idx="46">
                        <c:v>46069</c:v>
                      </c:pt>
                      <c:pt idx="48">
                        <c:v>46076</c:v>
                      </c:pt>
                      <c:pt idx="49">
                        <c:v>46076</c:v>
                      </c:pt>
                      <c:pt idx="51">
                        <c:v>46083</c:v>
                      </c:pt>
                      <c:pt idx="52">
                        <c:v>46083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Hoja1!$C$3:$C$55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0</c:v>
                      </c:pt>
                      <c:pt idx="1">
                        <c:v>150</c:v>
                      </c:pt>
                      <c:pt idx="3">
                        <c:v>0</c:v>
                      </c:pt>
                      <c:pt idx="4">
                        <c:v>150</c:v>
                      </c:pt>
                      <c:pt idx="6">
                        <c:v>0</c:v>
                      </c:pt>
                      <c:pt idx="7">
                        <c:v>150</c:v>
                      </c:pt>
                      <c:pt idx="9">
                        <c:v>0</c:v>
                      </c:pt>
                      <c:pt idx="10">
                        <c:v>150</c:v>
                      </c:pt>
                      <c:pt idx="12">
                        <c:v>0</c:v>
                      </c:pt>
                      <c:pt idx="13">
                        <c:v>150</c:v>
                      </c:pt>
                      <c:pt idx="15">
                        <c:v>0</c:v>
                      </c:pt>
                      <c:pt idx="16">
                        <c:v>150</c:v>
                      </c:pt>
                      <c:pt idx="18">
                        <c:v>0</c:v>
                      </c:pt>
                      <c:pt idx="19">
                        <c:v>150</c:v>
                      </c:pt>
                      <c:pt idx="21">
                        <c:v>0</c:v>
                      </c:pt>
                      <c:pt idx="22">
                        <c:v>150</c:v>
                      </c:pt>
                      <c:pt idx="24">
                        <c:v>0</c:v>
                      </c:pt>
                      <c:pt idx="25">
                        <c:v>150</c:v>
                      </c:pt>
                      <c:pt idx="27">
                        <c:v>0</c:v>
                      </c:pt>
                      <c:pt idx="28">
                        <c:v>150</c:v>
                      </c:pt>
                      <c:pt idx="30">
                        <c:v>0</c:v>
                      </c:pt>
                      <c:pt idx="31">
                        <c:v>150</c:v>
                      </c:pt>
                      <c:pt idx="33">
                        <c:v>0</c:v>
                      </c:pt>
                      <c:pt idx="34">
                        <c:v>150</c:v>
                      </c:pt>
                      <c:pt idx="36">
                        <c:v>0</c:v>
                      </c:pt>
                      <c:pt idx="37">
                        <c:v>150</c:v>
                      </c:pt>
                      <c:pt idx="39">
                        <c:v>0</c:v>
                      </c:pt>
                      <c:pt idx="40">
                        <c:v>150</c:v>
                      </c:pt>
                      <c:pt idx="42">
                        <c:v>0</c:v>
                      </c:pt>
                      <c:pt idx="43">
                        <c:v>150</c:v>
                      </c:pt>
                      <c:pt idx="45">
                        <c:v>0</c:v>
                      </c:pt>
                      <c:pt idx="46">
                        <c:v>150</c:v>
                      </c:pt>
                      <c:pt idx="48">
                        <c:v>0</c:v>
                      </c:pt>
                      <c:pt idx="49">
                        <c:v>150</c:v>
                      </c:pt>
                      <c:pt idx="51">
                        <c:v>0</c:v>
                      </c:pt>
                      <c:pt idx="52">
                        <c:v>150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DAB-410B-98F3-90738F042FDA}"/>
                  </c:ext>
                </c:extLst>
              </c15:ser>
            </c15:filteredScatterSeries>
            <c15:filteredScatterSeries>
              <c15:ser>
                <c:idx val="9"/>
                <c:order val="9"/>
                <c:spPr>
                  <a:ln w="19050">
                    <a:solidFill>
                      <a:schemeClr val="bg1">
                        <a:lumMod val="50000"/>
                      </a:schemeClr>
                    </a:solidFill>
                    <a:prstDash val="sysDot"/>
                    <a:headEnd type="triangle" w="med" len="med"/>
                    <a:tailEnd type="none" w="med" len="med"/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Hoja1!$E$14:$E$15</c15:sqref>
                        </c15:formulaRef>
                      </c:ext>
                    </c:extLst>
                    <c:numCache>
                      <c:formatCode>d\-mmm</c:formatCode>
                      <c:ptCount val="2"/>
                      <c:pt idx="0">
                        <c:v>45963</c:v>
                      </c:pt>
                      <c:pt idx="1">
                        <c:v>46067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Hoja1!$F$14:$F$15</c15:sqref>
                        </c15:formulaRef>
                      </c:ext>
                    </c:extLst>
                    <c:numCache>
                      <c:formatCode>0.000</c:formatCode>
                      <c:ptCount val="2"/>
                      <c:pt idx="0">
                        <c:v>145.5</c:v>
                      </c:pt>
                      <c:pt idx="1">
                        <c:v>145.5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B0C-4D36-998E-74003295D392}"/>
                  </c:ext>
                </c:extLst>
              </c15:ser>
            </c15:filteredScatterSeries>
          </c:ext>
        </c:extLst>
      </c:scatterChart>
      <c:dateAx>
        <c:axId val="588885264"/>
        <c:scaling>
          <c:orientation val="minMax"/>
          <c:max val="46325"/>
          <c:min val="4596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/>
          <a:lstStyle/>
          <a:p>
            <a:pPr>
              <a:defRPr sz="1100"/>
            </a:pPr>
            <a:endParaRPr lang="es-MX"/>
          </a:p>
        </c:txPr>
        <c:crossAx val="588885744"/>
        <c:crosses val="autoZero"/>
        <c:auto val="1"/>
        <c:lblOffset val="100"/>
        <c:baseTimeUnit val="days"/>
        <c:majorUnit val="5"/>
      </c:dateAx>
      <c:valAx>
        <c:axId val="588885744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s-MX" sz="1200"/>
                  <a:t>Avance en kms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1200"/>
            </a:pPr>
            <a:endParaRPr lang="es-MX"/>
          </a:p>
        </c:txPr>
        <c:crossAx val="588885264"/>
        <c:crosses val="autoZero"/>
        <c:crossBetween val="between"/>
        <c:majorUnit val="10"/>
      </c:valAx>
      <c:valAx>
        <c:axId val="513483696"/>
        <c:scaling>
          <c:orientation val="minMax"/>
          <c:max val="5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100" b="0">
                    <a:solidFill>
                      <a:schemeClr val="accent2"/>
                    </a:solidFill>
                  </a:defRPr>
                </a:pPr>
                <a:r>
                  <a:rPr lang="es-MX" sz="1100" b="0">
                    <a:solidFill>
                      <a:schemeClr val="accent2"/>
                    </a:solidFill>
                  </a:rPr>
                  <a:t>Resistividad</a:t>
                </a:r>
                <a:r>
                  <a:rPr lang="es-MX" sz="1100" b="0" baseline="0">
                    <a:solidFill>
                      <a:schemeClr val="accent2"/>
                    </a:solidFill>
                  </a:rPr>
                  <a:t> - pH - Bacterias (Mediciones)</a:t>
                </a:r>
                <a:endParaRPr lang="es-MX" sz="1100" b="0">
                  <a:solidFill>
                    <a:schemeClr val="accent2"/>
                  </a:solidFill>
                </a:endParaRPr>
              </a:p>
            </c:rich>
          </c:tx>
          <c:layout>
            <c:manualLayout>
              <c:xMode val="edge"/>
              <c:yMode val="edge"/>
              <c:x val="0.97610751098703186"/>
              <c:y val="0.30503561319713823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 b="1">
                <a:solidFill>
                  <a:schemeClr val="accent2"/>
                </a:solidFill>
              </a:defRPr>
            </a:pPr>
            <a:endParaRPr lang="es-MX"/>
          </a:p>
        </c:txPr>
        <c:crossAx val="513488496"/>
        <c:crosses val="max"/>
        <c:crossBetween val="between"/>
        <c:majorUnit val="20"/>
      </c:valAx>
      <c:dateAx>
        <c:axId val="513488496"/>
        <c:scaling>
          <c:orientation val="minMax"/>
        </c:scaling>
        <c:delete val="1"/>
        <c:axPos val="t"/>
        <c:numFmt formatCode="d\-mmm" sourceLinked="1"/>
        <c:majorTickMark val="out"/>
        <c:minorTickMark val="none"/>
        <c:tickLblPos val="nextTo"/>
        <c:crossAx val="513483696"/>
        <c:crosses val="max"/>
        <c:auto val="1"/>
        <c:lblOffset val="100"/>
        <c:baseTimeUnit val="days"/>
      </c:dateAx>
      <c:spPr>
        <a:solidFill>
          <a:sysClr val="window" lastClr="FFFFFF"/>
        </a:solidFill>
        <a:ln>
          <a:solidFill>
            <a:schemeClr val="bg1">
              <a:lumMod val="85000"/>
            </a:schemeClr>
          </a:solidFill>
        </a:ln>
      </c:spPr>
    </c:plotArea>
    <c:legend>
      <c:legendPos val="l"/>
      <c:legendEntry>
        <c:idx val="7"/>
        <c:delete val="1"/>
      </c:legendEntry>
      <c:layout>
        <c:manualLayout>
          <c:xMode val="edge"/>
          <c:yMode val="edge"/>
          <c:x val="6.6151644909368187E-2"/>
          <c:y val="0.1084537401574803"/>
          <c:w val="0.1732489894459395"/>
          <c:h val="0.22238582677165356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Avance por Actividad [%]  - Etapa</a:t>
            </a:r>
            <a:r>
              <a:rPr lang="en-US" baseline="0"/>
              <a:t> 2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1698319623280461E-2"/>
          <c:y val="7.7570272910454208E-2"/>
          <c:w val="0.88777195105921747"/>
          <c:h val="0.79460657511904553"/>
        </c:manualLayout>
      </c:layout>
      <c:barChart>
        <c:barDir val="col"/>
        <c:grouping val="stacked"/>
        <c:varyColors val="0"/>
        <c:ser>
          <c:idx val="12"/>
          <c:order val="12"/>
          <c:tx>
            <c:v>Sin Actividad</c:v>
          </c:tx>
          <c:spPr>
            <a:solidFill>
              <a:schemeClr val="bg1">
                <a:lumMod val="85000"/>
              </a:schemeClr>
            </a:solidFill>
          </c:spPr>
          <c:invertIfNegative val="0"/>
          <c:cat>
            <c:numRef>
              <c:f>'Grafico %'!$A$2:$A$426</c:f>
              <c:numCache>
                <c:formatCode>d\-mmm</c:formatCode>
                <c:ptCount val="425"/>
                <c:pt idx="0">
                  <c:v>45963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45969</c:v>
                </c:pt>
                <c:pt idx="7">
                  <c:v>45970</c:v>
                </c:pt>
                <c:pt idx="8">
                  <c:v>45971</c:v>
                </c:pt>
                <c:pt idx="9">
                  <c:v>45972</c:v>
                </c:pt>
                <c:pt idx="10">
                  <c:v>45973</c:v>
                </c:pt>
                <c:pt idx="11">
                  <c:v>45974</c:v>
                </c:pt>
                <c:pt idx="12">
                  <c:v>45975</c:v>
                </c:pt>
                <c:pt idx="13">
                  <c:v>45976</c:v>
                </c:pt>
                <c:pt idx="14">
                  <c:v>45977</c:v>
                </c:pt>
                <c:pt idx="15">
                  <c:v>45978</c:v>
                </c:pt>
                <c:pt idx="16">
                  <c:v>45979</c:v>
                </c:pt>
                <c:pt idx="17">
                  <c:v>45980</c:v>
                </c:pt>
                <c:pt idx="18">
                  <c:v>45981</c:v>
                </c:pt>
                <c:pt idx="19">
                  <c:v>45982</c:v>
                </c:pt>
                <c:pt idx="20">
                  <c:v>45983</c:v>
                </c:pt>
                <c:pt idx="21">
                  <c:v>45984</c:v>
                </c:pt>
                <c:pt idx="22">
                  <c:v>45985</c:v>
                </c:pt>
                <c:pt idx="23">
                  <c:v>45986</c:v>
                </c:pt>
                <c:pt idx="24">
                  <c:v>45987</c:v>
                </c:pt>
                <c:pt idx="25">
                  <c:v>45988</c:v>
                </c:pt>
                <c:pt idx="26">
                  <c:v>45989</c:v>
                </c:pt>
                <c:pt idx="27">
                  <c:v>45990</c:v>
                </c:pt>
                <c:pt idx="28">
                  <c:v>45991</c:v>
                </c:pt>
                <c:pt idx="29">
                  <c:v>45992</c:v>
                </c:pt>
                <c:pt idx="30">
                  <c:v>45993</c:v>
                </c:pt>
                <c:pt idx="31">
                  <c:v>45994</c:v>
                </c:pt>
                <c:pt idx="32">
                  <c:v>45995</c:v>
                </c:pt>
                <c:pt idx="33">
                  <c:v>45996</c:v>
                </c:pt>
                <c:pt idx="34">
                  <c:v>45997</c:v>
                </c:pt>
                <c:pt idx="35">
                  <c:v>45998</c:v>
                </c:pt>
                <c:pt idx="36">
                  <c:v>45999</c:v>
                </c:pt>
                <c:pt idx="37">
                  <c:v>46000</c:v>
                </c:pt>
                <c:pt idx="38">
                  <c:v>46001</c:v>
                </c:pt>
                <c:pt idx="39">
                  <c:v>46002</c:v>
                </c:pt>
                <c:pt idx="40">
                  <c:v>46003</c:v>
                </c:pt>
                <c:pt idx="41">
                  <c:v>46004</c:v>
                </c:pt>
                <c:pt idx="42">
                  <c:v>46005</c:v>
                </c:pt>
                <c:pt idx="43">
                  <c:v>46006</c:v>
                </c:pt>
                <c:pt idx="44">
                  <c:v>46007</c:v>
                </c:pt>
                <c:pt idx="45">
                  <c:v>46008</c:v>
                </c:pt>
                <c:pt idx="46">
                  <c:v>46009</c:v>
                </c:pt>
                <c:pt idx="47">
                  <c:v>46010</c:v>
                </c:pt>
                <c:pt idx="48">
                  <c:v>46011</c:v>
                </c:pt>
                <c:pt idx="49">
                  <c:v>46012</c:v>
                </c:pt>
                <c:pt idx="50">
                  <c:v>46013</c:v>
                </c:pt>
                <c:pt idx="51">
                  <c:v>46014</c:v>
                </c:pt>
                <c:pt idx="52">
                  <c:v>46015</c:v>
                </c:pt>
                <c:pt idx="53">
                  <c:v>46016</c:v>
                </c:pt>
                <c:pt idx="54">
                  <c:v>46017</c:v>
                </c:pt>
                <c:pt idx="55">
                  <c:v>46018</c:v>
                </c:pt>
                <c:pt idx="56">
                  <c:v>46019</c:v>
                </c:pt>
                <c:pt idx="57">
                  <c:v>46020</c:v>
                </c:pt>
                <c:pt idx="58">
                  <c:v>46021</c:v>
                </c:pt>
                <c:pt idx="59">
                  <c:v>46022</c:v>
                </c:pt>
                <c:pt idx="60">
                  <c:v>46023</c:v>
                </c:pt>
                <c:pt idx="61">
                  <c:v>46024</c:v>
                </c:pt>
                <c:pt idx="62">
                  <c:v>46025</c:v>
                </c:pt>
                <c:pt idx="63">
                  <c:v>46026</c:v>
                </c:pt>
                <c:pt idx="64">
                  <c:v>46027</c:v>
                </c:pt>
                <c:pt idx="65">
                  <c:v>46028</c:v>
                </c:pt>
                <c:pt idx="66">
                  <c:v>46029</c:v>
                </c:pt>
                <c:pt idx="67">
                  <c:v>46030</c:v>
                </c:pt>
                <c:pt idx="68">
                  <c:v>46031</c:v>
                </c:pt>
                <c:pt idx="69">
                  <c:v>46032</c:v>
                </c:pt>
                <c:pt idx="70">
                  <c:v>46033</c:v>
                </c:pt>
                <c:pt idx="71">
                  <c:v>46034</c:v>
                </c:pt>
                <c:pt idx="72">
                  <c:v>46035</c:v>
                </c:pt>
                <c:pt idx="73">
                  <c:v>46036</c:v>
                </c:pt>
                <c:pt idx="74">
                  <c:v>46037</c:v>
                </c:pt>
                <c:pt idx="75">
                  <c:v>46038</c:v>
                </c:pt>
                <c:pt idx="76">
                  <c:v>46039</c:v>
                </c:pt>
                <c:pt idx="77">
                  <c:v>46040</c:v>
                </c:pt>
                <c:pt idx="78">
                  <c:v>46041</c:v>
                </c:pt>
                <c:pt idx="79">
                  <c:v>46042</c:v>
                </c:pt>
                <c:pt idx="80">
                  <c:v>46043</c:v>
                </c:pt>
                <c:pt idx="81">
                  <c:v>46044</c:v>
                </c:pt>
                <c:pt idx="82">
                  <c:v>46045</c:v>
                </c:pt>
                <c:pt idx="83">
                  <c:v>46046</c:v>
                </c:pt>
                <c:pt idx="84">
                  <c:v>46047</c:v>
                </c:pt>
                <c:pt idx="85">
                  <c:v>46048</c:v>
                </c:pt>
                <c:pt idx="86">
                  <c:v>46049</c:v>
                </c:pt>
                <c:pt idx="87">
                  <c:v>46050</c:v>
                </c:pt>
                <c:pt idx="88">
                  <c:v>46051</c:v>
                </c:pt>
                <c:pt idx="89">
                  <c:v>46052</c:v>
                </c:pt>
                <c:pt idx="90">
                  <c:v>46053</c:v>
                </c:pt>
                <c:pt idx="91">
                  <c:v>46054</c:v>
                </c:pt>
                <c:pt idx="92">
                  <c:v>46055</c:v>
                </c:pt>
                <c:pt idx="93">
                  <c:v>46056</c:v>
                </c:pt>
                <c:pt idx="94">
                  <c:v>46057</c:v>
                </c:pt>
                <c:pt idx="95">
                  <c:v>46058</c:v>
                </c:pt>
                <c:pt idx="96">
                  <c:v>46059</c:v>
                </c:pt>
                <c:pt idx="97">
                  <c:v>46060</c:v>
                </c:pt>
                <c:pt idx="98">
                  <c:v>46061</c:v>
                </c:pt>
                <c:pt idx="99">
                  <c:v>46062</c:v>
                </c:pt>
                <c:pt idx="100">
                  <c:v>46063</c:v>
                </c:pt>
                <c:pt idx="101">
                  <c:v>46064</c:v>
                </c:pt>
                <c:pt idx="102">
                  <c:v>46065</c:v>
                </c:pt>
                <c:pt idx="103">
                  <c:v>46066</c:v>
                </c:pt>
                <c:pt idx="104">
                  <c:v>46067</c:v>
                </c:pt>
                <c:pt idx="105">
                  <c:v>46068</c:v>
                </c:pt>
                <c:pt idx="106">
                  <c:v>46069</c:v>
                </c:pt>
                <c:pt idx="107">
                  <c:v>46070</c:v>
                </c:pt>
                <c:pt idx="108">
                  <c:v>46071</c:v>
                </c:pt>
                <c:pt idx="109">
                  <c:v>46072</c:v>
                </c:pt>
                <c:pt idx="110">
                  <c:v>46073</c:v>
                </c:pt>
                <c:pt idx="111">
                  <c:v>46074</c:v>
                </c:pt>
                <c:pt idx="112">
                  <c:v>46075</c:v>
                </c:pt>
                <c:pt idx="113">
                  <c:v>46076</c:v>
                </c:pt>
                <c:pt idx="114">
                  <c:v>46077</c:v>
                </c:pt>
                <c:pt idx="115">
                  <c:v>46078</c:v>
                </c:pt>
                <c:pt idx="116">
                  <c:v>46079</c:v>
                </c:pt>
                <c:pt idx="117">
                  <c:v>46080</c:v>
                </c:pt>
                <c:pt idx="118">
                  <c:v>46081</c:v>
                </c:pt>
                <c:pt idx="119">
                  <c:v>46082</c:v>
                </c:pt>
                <c:pt idx="120">
                  <c:v>46083</c:v>
                </c:pt>
                <c:pt idx="121">
                  <c:v>46084</c:v>
                </c:pt>
                <c:pt idx="122">
                  <c:v>46085</c:v>
                </c:pt>
                <c:pt idx="123">
                  <c:v>46086</c:v>
                </c:pt>
                <c:pt idx="124">
                  <c:v>46087</c:v>
                </c:pt>
                <c:pt idx="125">
                  <c:v>46088</c:v>
                </c:pt>
                <c:pt idx="126">
                  <c:v>46089</c:v>
                </c:pt>
                <c:pt idx="127">
                  <c:v>46090</c:v>
                </c:pt>
                <c:pt idx="128">
                  <c:v>46091</c:v>
                </c:pt>
                <c:pt idx="129">
                  <c:v>46092</c:v>
                </c:pt>
                <c:pt idx="130">
                  <c:v>46093</c:v>
                </c:pt>
                <c:pt idx="131">
                  <c:v>46094</c:v>
                </c:pt>
                <c:pt idx="132">
                  <c:v>46095</c:v>
                </c:pt>
                <c:pt idx="133">
                  <c:v>46096</c:v>
                </c:pt>
                <c:pt idx="134">
                  <c:v>46097</c:v>
                </c:pt>
                <c:pt idx="135">
                  <c:v>46098</c:v>
                </c:pt>
                <c:pt idx="136">
                  <c:v>46099</c:v>
                </c:pt>
                <c:pt idx="137">
                  <c:v>46100</c:v>
                </c:pt>
                <c:pt idx="138">
                  <c:v>46101</c:v>
                </c:pt>
                <c:pt idx="139">
                  <c:v>46102</c:v>
                </c:pt>
                <c:pt idx="140">
                  <c:v>46103</c:v>
                </c:pt>
                <c:pt idx="141">
                  <c:v>46104</c:v>
                </c:pt>
                <c:pt idx="142">
                  <c:v>46105</c:v>
                </c:pt>
                <c:pt idx="143">
                  <c:v>46106</c:v>
                </c:pt>
                <c:pt idx="144">
                  <c:v>46107</c:v>
                </c:pt>
                <c:pt idx="145">
                  <c:v>46108</c:v>
                </c:pt>
                <c:pt idx="146">
                  <c:v>46109</c:v>
                </c:pt>
                <c:pt idx="147">
                  <c:v>46110</c:v>
                </c:pt>
                <c:pt idx="148">
                  <c:v>46111</c:v>
                </c:pt>
                <c:pt idx="149">
                  <c:v>46112</c:v>
                </c:pt>
                <c:pt idx="150">
                  <c:v>46113</c:v>
                </c:pt>
                <c:pt idx="151">
                  <c:v>46114</c:v>
                </c:pt>
                <c:pt idx="152">
                  <c:v>46115</c:v>
                </c:pt>
                <c:pt idx="153">
                  <c:v>46116</c:v>
                </c:pt>
                <c:pt idx="154">
                  <c:v>46117</c:v>
                </c:pt>
                <c:pt idx="155">
                  <c:v>46118</c:v>
                </c:pt>
                <c:pt idx="156">
                  <c:v>46119</c:v>
                </c:pt>
                <c:pt idx="157">
                  <c:v>46120</c:v>
                </c:pt>
                <c:pt idx="158">
                  <c:v>46121</c:v>
                </c:pt>
                <c:pt idx="159">
                  <c:v>46122</c:v>
                </c:pt>
                <c:pt idx="160">
                  <c:v>46123</c:v>
                </c:pt>
                <c:pt idx="161">
                  <c:v>46124</c:v>
                </c:pt>
                <c:pt idx="162">
                  <c:v>46125</c:v>
                </c:pt>
                <c:pt idx="163">
                  <c:v>46126</c:v>
                </c:pt>
                <c:pt idx="164">
                  <c:v>46127</c:v>
                </c:pt>
                <c:pt idx="165">
                  <c:v>46128</c:v>
                </c:pt>
                <c:pt idx="166">
                  <c:v>46129</c:v>
                </c:pt>
                <c:pt idx="167">
                  <c:v>46130</c:v>
                </c:pt>
                <c:pt idx="168">
                  <c:v>46131</c:v>
                </c:pt>
                <c:pt idx="169">
                  <c:v>46132</c:v>
                </c:pt>
                <c:pt idx="170">
                  <c:v>46133</c:v>
                </c:pt>
                <c:pt idx="171">
                  <c:v>46134</c:v>
                </c:pt>
                <c:pt idx="172">
                  <c:v>46135</c:v>
                </c:pt>
                <c:pt idx="173">
                  <c:v>46136</c:v>
                </c:pt>
                <c:pt idx="174">
                  <c:v>46137</c:v>
                </c:pt>
                <c:pt idx="175">
                  <c:v>46138</c:v>
                </c:pt>
                <c:pt idx="176">
                  <c:v>46139</c:v>
                </c:pt>
                <c:pt idx="177">
                  <c:v>46140</c:v>
                </c:pt>
                <c:pt idx="178">
                  <c:v>46141</c:v>
                </c:pt>
                <c:pt idx="179">
                  <c:v>46142</c:v>
                </c:pt>
                <c:pt idx="180">
                  <c:v>46143</c:v>
                </c:pt>
                <c:pt idx="181">
                  <c:v>46144</c:v>
                </c:pt>
                <c:pt idx="182">
                  <c:v>46145</c:v>
                </c:pt>
                <c:pt idx="183">
                  <c:v>46146</c:v>
                </c:pt>
                <c:pt idx="184">
                  <c:v>46147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46158</c:v>
                </c:pt>
                <c:pt idx="196">
                  <c:v>46159</c:v>
                </c:pt>
                <c:pt idx="197">
                  <c:v>46160</c:v>
                </c:pt>
                <c:pt idx="198">
                  <c:v>46161</c:v>
                </c:pt>
                <c:pt idx="199">
                  <c:v>46162</c:v>
                </c:pt>
                <c:pt idx="200">
                  <c:v>46163</c:v>
                </c:pt>
                <c:pt idx="201">
                  <c:v>46164</c:v>
                </c:pt>
                <c:pt idx="202">
                  <c:v>46165</c:v>
                </c:pt>
                <c:pt idx="203">
                  <c:v>46166</c:v>
                </c:pt>
                <c:pt idx="204">
                  <c:v>46167</c:v>
                </c:pt>
                <c:pt idx="205">
                  <c:v>46168</c:v>
                </c:pt>
                <c:pt idx="206">
                  <c:v>46169</c:v>
                </c:pt>
                <c:pt idx="207">
                  <c:v>46170</c:v>
                </c:pt>
                <c:pt idx="208">
                  <c:v>46171</c:v>
                </c:pt>
                <c:pt idx="209">
                  <c:v>46172</c:v>
                </c:pt>
                <c:pt idx="210">
                  <c:v>46173</c:v>
                </c:pt>
                <c:pt idx="211">
                  <c:v>46174</c:v>
                </c:pt>
                <c:pt idx="212">
                  <c:v>46175</c:v>
                </c:pt>
                <c:pt idx="213">
                  <c:v>46176</c:v>
                </c:pt>
                <c:pt idx="214">
                  <c:v>46177</c:v>
                </c:pt>
                <c:pt idx="215">
                  <c:v>46178</c:v>
                </c:pt>
                <c:pt idx="216">
                  <c:v>46179</c:v>
                </c:pt>
                <c:pt idx="217">
                  <c:v>46180</c:v>
                </c:pt>
                <c:pt idx="218">
                  <c:v>46181</c:v>
                </c:pt>
                <c:pt idx="219">
                  <c:v>46182</c:v>
                </c:pt>
                <c:pt idx="220">
                  <c:v>46183</c:v>
                </c:pt>
                <c:pt idx="221">
                  <c:v>46184</c:v>
                </c:pt>
                <c:pt idx="222">
                  <c:v>46185</c:v>
                </c:pt>
                <c:pt idx="223">
                  <c:v>46186</c:v>
                </c:pt>
                <c:pt idx="224">
                  <c:v>46187</c:v>
                </c:pt>
                <c:pt idx="225">
                  <c:v>46188</c:v>
                </c:pt>
                <c:pt idx="226">
                  <c:v>46189</c:v>
                </c:pt>
                <c:pt idx="227">
                  <c:v>46190</c:v>
                </c:pt>
                <c:pt idx="228">
                  <c:v>46191</c:v>
                </c:pt>
                <c:pt idx="229">
                  <c:v>46192</c:v>
                </c:pt>
                <c:pt idx="230">
                  <c:v>46193</c:v>
                </c:pt>
                <c:pt idx="231">
                  <c:v>46194</c:v>
                </c:pt>
                <c:pt idx="232">
                  <c:v>46195</c:v>
                </c:pt>
                <c:pt idx="233">
                  <c:v>46196</c:v>
                </c:pt>
                <c:pt idx="234">
                  <c:v>46197</c:v>
                </c:pt>
                <c:pt idx="235">
                  <c:v>46198</c:v>
                </c:pt>
                <c:pt idx="236">
                  <c:v>46199</c:v>
                </c:pt>
                <c:pt idx="237">
                  <c:v>46200</c:v>
                </c:pt>
                <c:pt idx="238">
                  <c:v>46201</c:v>
                </c:pt>
                <c:pt idx="239">
                  <c:v>46202</c:v>
                </c:pt>
                <c:pt idx="240">
                  <c:v>46203</c:v>
                </c:pt>
                <c:pt idx="241">
                  <c:v>46204</c:v>
                </c:pt>
                <c:pt idx="242">
                  <c:v>46205</c:v>
                </c:pt>
                <c:pt idx="243">
                  <c:v>46206</c:v>
                </c:pt>
                <c:pt idx="244">
                  <c:v>46207</c:v>
                </c:pt>
                <c:pt idx="245">
                  <c:v>46208</c:v>
                </c:pt>
                <c:pt idx="246">
                  <c:v>46209</c:v>
                </c:pt>
                <c:pt idx="247">
                  <c:v>46210</c:v>
                </c:pt>
                <c:pt idx="248">
                  <c:v>46211</c:v>
                </c:pt>
                <c:pt idx="249">
                  <c:v>46212</c:v>
                </c:pt>
                <c:pt idx="250">
                  <c:v>46213</c:v>
                </c:pt>
                <c:pt idx="251">
                  <c:v>46214</c:v>
                </c:pt>
                <c:pt idx="252">
                  <c:v>46215</c:v>
                </c:pt>
                <c:pt idx="253">
                  <c:v>46216</c:v>
                </c:pt>
                <c:pt idx="254">
                  <c:v>46217</c:v>
                </c:pt>
                <c:pt idx="255">
                  <c:v>46218</c:v>
                </c:pt>
                <c:pt idx="256">
                  <c:v>46219</c:v>
                </c:pt>
                <c:pt idx="257">
                  <c:v>46220</c:v>
                </c:pt>
                <c:pt idx="258">
                  <c:v>46221</c:v>
                </c:pt>
                <c:pt idx="259">
                  <c:v>46222</c:v>
                </c:pt>
                <c:pt idx="260">
                  <c:v>46223</c:v>
                </c:pt>
                <c:pt idx="261">
                  <c:v>46224</c:v>
                </c:pt>
                <c:pt idx="262">
                  <c:v>46225</c:v>
                </c:pt>
                <c:pt idx="263">
                  <c:v>46226</c:v>
                </c:pt>
                <c:pt idx="264">
                  <c:v>46227</c:v>
                </c:pt>
                <c:pt idx="265">
                  <c:v>46228</c:v>
                </c:pt>
                <c:pt idx="266">
                  <c:v>46229</c:v>
                </c:pt>
                <c:pt idx="267">
                  <c:v>46230</c:v>
                </c:pt>
                <c:pt idx="268">
                  <c:v>46231</c:v>
                </c:pt>
                <c:pt idx="269">
                  <c:v>46232</c:v>
                </c:pt>
                <c:pt idx="270">
                  <c:v>46233</c:v>
                </c:pt>
                <c:pt idx="271">
                  <c:v>46234</c:v>
                </c:pt>
                <c:pt idx="272">
                  <c:v>46235</c:v>
                </c:pt>
                <c:pt idx="273">
                  <c:v>46236</c:v>
                </c:pt>
                <c:pt idx="274">
                  <c:v>46237</c:v>
                </c:pt>
                <c:pt idx="275">
                  <c:v>46238</c:v>
                </c:pt>
                <c:pt idx="276">
                  <c:v>46239</c:v>
                </c:pt>
                <c:pt idx="277">
                  <c:v>46240</c:v>
                </c:pt>
                <c:pt idx="278">
                  <c:v>46241</c:v>
                </c:pt>
                <c:pt idx="279">
                  <c:v>46242</c:v>
                </c:pt>
                <c:pt idx="280">
                  <c:v>46243</c:v>
                </c:pt>
                <c:pt idx="281">
                  <c:v>46244</c:v>
                </c:pt>
                <c:pt idx="282">
                  <c:v>46245</c:v>
                </c:pt>
                <c:pt idx="283">
                  <c:v>46246</c:v>
                </c:pt>
                <c:pt idx="284">
                  <c:v>46247</c:v>
                </c:pt>
                <c:pt idx="285">
                  <c:v>46248</c:v>
                </c:pt>
                <c:pt idx="286">
                  <c:v>46249</c:v>
                </c:pt>
                <c:pt idx="287">
                  <c:v>46250</c:v>
                </c:pt>
                <c:pt idx="288">
                  <c:v>46251</c:v>
                </c:pt>
                <c:pt idx="289">
                  <c:v>46252</c:v>
                </c:pt>
                <c:pt idx="290">
                  <c:v>46253</c:v>
                </c:pt>
                <c:pt idx="291">
                  <c:v>46254</c:v>
                </c:pt>
                <c:pt idx="292">
                  <c:v>46255</c:v>
                </c:pt>
                <c:pt idx="293">
                  <c:v>46256</c:v>
                </c:pt>
                <c:pt idx="294">
                  <c:v>46257</c:v>
                </c:pt>
                <c:pt idx="295">
                  <c:v>46258</c:v>
                </c:pt>
                <c:pt idx="296">
                  <c:v>46259</c:v>
                </c:pt>
                <c:pt idx="297">
                  <c:v>46260</c:v>
                </c:pt>
                <c:pt idx="298">
                  <c:v>46261</c:v>
                </c:pt>
                <c:pt idx="299">
                  <c:v>46262</c:v>
                </c:pt>
                <c:pt idx="300">
                  <c:v>46263</c:v>
                </c:pt>
                <c:pt idx="301">
                  <c:v>46264</c:v>
                </c:pt>
                <c:pt idx="302">
                  <c:v>46265</c:v>
                </c:pt>
                <c:pt idx="303">
                  <c:v>46266</c:v>
                </c:pt>
                <c:pt idx="304">
                  <c:v>46267</c:v>
                </c:pt>
                <c:pt idx="305">
                  <c:v>46268</c:v>
                </c:pt>
                <c:pt idx="306">
                  <c:v>46269</c:v>
                </c:pt>
                <c:pt idx="307">
                  <c:v>46270</c:v>
                </c:pt>
                <c:pt idx="308">
                  <c:v>46271</c:v>
                </c:pt>
                <c:pt idx="309">
                  <c:v>46272</c:v>
                </c:pt>
                <c:pt idx="310">
                  <c:v>46273</c:v>
                </c:pt>
                <c:pt idx="311">
                  <c:v>46274</c:v>
                </c:pt>
                <c:pt idx="312">
                  <c:v>46275</c:v>
                </c:pt>
                <c:pt idx="313">
                  <c:v>46276</c:v>
                </c:pt>
                <c:pt idx="314">
                  <c:v>46277</c:v>
                </c:pt>
                <c:pt idx="315">
                  <c:v>46278</c:v>
                </c:pt>
                <c:pt idx="316">
                  <c:v>46279</c:v>
                </c:pt>
                <c:pt idx="317">
                  <c:v>46280</c:v>
                </c:pt>
                <c:pt idx="318">
                  <c:v>46281</c:v>
                </c:pt>
                <c:pt idx="319">
                  <c:v>46282</c:v>
                </c:pt>
                <c:pt idx="320">
                  <c:v>46283</c:v>
                </c:pt>
                <c:pt idx="321">
                  <c:v>46284</c:v>
                </c:pt>
                <c:pt idx="322">
                  <c:v>46285</c:v>
                </c:pt>
                <c:pt idx="323">
                  <c:v>46286</c:v>
                </c:pt>
                <c:pt idx="324">
                  <c:v>46287</c:v>
                </c:pt>
                <c:pt idx="325">
                  <c:v>46288</c:v>
                </c:pt>
                <c:pt idx="326">
                  <c:v>46289</c:v>
                </c:pt>
                <c:pt idx="327">
                  <c:v>46290</c:v>
                </c:pt>
                <c:pt idx="328">
                  <c:v>46291</c:v>
                </c:pt>
                <c:pt idx="329">
                  <c:v>46292</c:v>
                </c:pt>
                <c:pt idx="330">
                  <c:v>46293</c:v>
                </c:pt>
                <c:pt idx="331">
                  <c:v>46294</c:v>
                </c:pt>
                <c:pt idx="332">
                  <c:v>46295</c:v>
                </c:pt>
                <c:pt idx="333">
                  <c:v>46296</c:v>
                </c:pt>
                <c:pt idx="334">
                  <c:v>46297</c:v>
                </c:pt>
                <c:pt idx="335">
                  <c:v>46298</c:v>
                </c:pt>
                <c:pt idx="336">
                  <c:v>46299</c:v>
                </c:pt>
                <c:pt idx="337">
                  <c:v>46300</c:v>
                </c:pt>
                <c:pt idx="338">
                  <c:v>46301</c:v>
                </c:pt>
                <c:pt idx="339">
                  <c:v>46302</c:v>
                </c:pt>
                <c:pt idx="340">
                  <c:v>46303</c:v>
                </c:pt>
                <c:pt idx="341">
                  <c:v>46304</c:v>
                </c:pt>
                <c:pt idx="342">
                  <c:v>46305</c:v>
                </c:pt>
                <c:pt idx="343">
                  <c:v>46306</c:v>
                </c:pt>
                <c:pt idx="344">
                  <c:v>46307</c:v>
                </c:pt>
                <c:pt idx="345">
                  <c:v>46308</c:v>
                </c:pt>
                <c:pt idx="346">
                  <c:v>46309</c:v>
                </c:pt>
                <c:pt idx="347">
                  <c:v>46310</c:v>
                </c:pt>
                <c:pt idx="348">
                  <c:v>46311</c:v>
                </c:pt>
                <c:pt idx="349">
                  <c:v>46312</c:v>
                </c:pt>
                <c:pt idx="350">
                  <c:v>46313</c:v>
                </c:pt>
                <c:pt idx="351">
                  <c:v>46314</c:v>
                </c:pt>
                <c:pt idx="352">
                  <c:v>46315</c:v>
                </c:pt>
                <c:pt idx="353">
                  <c:v>46316</c:v>
                </c:pt>
                <c:pt idx="354">
                  <c:v>46317</c:v>
                </c:pt>
                <c:pt idx="355">
                  <c:v>46318</c:v>
                </c:pt>
                <c:pt idx="356">
                  <c:v>46319</c:v>
                </c:pt>
                <c:pt idx="357">
                  <c:v>46320</c:v>
                </c:pt>
                <c:pt idx="358">
                  <c:v>46321</c:v>
                </c:pt>
                <c:pt idx="359">
                  <c:v>46322</c:v>
                </c:pt>
                <c:pt idx="360">
                  <c:v>46323</c:v>
                </c:pt>
                <c:pt idx="361">
                  <c:v>46324</c:v>
                </c:pt>
                <c:pt idx="362">
                  <c:v>46325</c:v>
                </c:pt>
                <c:pt idx="363">
                  <c:v>46326</c:v>
                </c:pt>
                <c:pt idx="364">
                  <c:v>46327</c:v>
                </c:pt>
                <c:pt idx="365">
                  <c:v>46328</c:v>
                </c:pt>
                <c:pt idx="366">
                  <c:v>46329</c:v>
                </c:pt>
                <c:pt idx="367">
                  <c:v>46330</c:v>
                </c:pt>
                <c:pt idx="368">
                  <c:v>46331</c:v>
                </c:pt>
                <c:pt idx="369">
                  <c:v>46332</c:v>
                </c:pt>
                <c:pt idx="370">
                  <c:v>46333</c:v>
                </c:pt>
                <c:pt idx="371">
                  <c:v>46334</c:v>
                </c:pt>
                <c:pt idx="372">
                  <c:v>46335</c:v>
                </c:pt>
                <c:pt idx="373">
                  <c:v>46336</c:v>
                </c:pt>
                <c:pt idx="374">
                  <c:v>46337</c:v>
                </c:pt>
                <c:pt idx="375">
                  <c:v>46338</c:v>
                </c:pt>
                <c:pt idx="376">
                  <c:v>46339</c:v>
                </c:pt>
                <c:pt idx="377">
                  <c:v>46340</c:v>
                </c:pt>
                <c:pt idx="378">
                  <c:v>46341</c:v>
                </c:pt>
                <c:pt idx="379">
                  <c:v>46342</c:v>
                </c:pt>
                <c:pt idx="380">
                  <c:v>46343</c:v>
                </c:pt>
                <c:pt idx="381">
                  <c:v>46344</c:v>
                </c:pt>
                <c:pt idx="382">
                  <c:v>46345</c:v>
                </c:pt>
                <c:pt idx="383">
                  <c:v>46346</c:v>
                </c:pt>
                <c:pt idx="384">
                  <c:v>46347</c:v>
                </c:pt>
                <c:pt idx="385">
                  <c:v>46348</c:v>
                </c:pt>
                <c:pt idx="386">
                  <c:v>46349</c:v>
                </c:pt>
                <c:pt idx="387">
                  <c:v>46350</c:v>
                </c:pt>
                <c:pt idx="388">
                  <c:v>46351</c:v>
                </c:pt>
                <c:pt idx="389">
                  <c:v>46352</c:v>
                </c:pt>
                <c:pt idx="390">
                  <c:v>46353</c:v>
                </c:pt>
                <c:pt idx="391">
                  <c:v>46354</c:v>
                </c:pt>
                <c:pt idx="392">
                  <c:v>46355</c:v>
                </c:pt>
                <c:pt idx="393">
                  <c:v>46356</c:v>
                </c:pt>
                <c:pt idx="394">
                  <c:v>46357</c:v>
                </c:pt>
                <c:pt idx="395">
                  <c:v>46358</c:v>
                </c:pt>
                <c:pt idx="396">
                  <c:v>46359</c:v>
                </c:pt>
                <c:pt idx="397">
                  <c:v>46360</c:v>
                </c:pt>
                <c:pt idx="398">
                  <c:v>46361</c:v>
                </c:pt>
                <c:pt idx="399">
                  <c:v>46362</c:v>
                </c:pt>
                <c:pt idx="400">
                  <c:v>46363</c:v>
                </c:pt>
                <c:pt idx="401">
                  <c:v>46364</c:v>
                </c:pt>
                <c:pt idx="402">
                  <c:v>46365</c:v>
                </c:pt>
                <c:pt idx="403">
                  <c:v>46366</c:v>
                </c:pt>
                <c:pt idx="404">
                  <c:v>46367</c:v>
                </c:pt>
                <c:pt idx="405">
                  <c:v>46368</c:v>
                </c:pt>
                <c:pt idx="406">
                  <c:v>46369</c:v>
                </c:pt>
                <c:pt idx="407">
                  <c:v>46370</c:v>
                </c:pt>
                <c:pt idx="408">
                  <c:v>46371</c:v>
                </c:pt>
                <c:pt idx="409">
                  <c:v>46372</c:v>
                </c:pt>
                <c:pt idx="410">
                  <c:v>46373</c:v>
                </c:pt>
                <c:pt idx="411">
                  <c:v>46374</c:v>
                </c:pt>
                <c:pt idx="412">
                  <c:v>46375</c:v>
                </c:pt>
                <c:pt idx="413">
                  <c:v>46376</c:v>
                </c:pt>
                <c:pt idx="414">
                  <c:v>46377</c:v>
                </c:pt>
                <c:pt idx="415">
                  <c:v>46378</c:v>
                </c:pt>
                <c:pt idx="416">
                  <c:v>46379</c:v>
                </c:pt>
                <c:pt idx="417">
                  <c:v>46380</c:v>
                </c:pt>
                <c:pt idx="418">
                  <c:v>46381</c:v>
                </c:pt>
                <c:pt idx="419">
                  <c:v>46382</c:v>
                </c:pt>
                <c:pt idx="420">
                  <c:v>46383</c:v>
                </c:pt>
                <c:pt idx="421">
                  <c:v>46384</c:v>
                </c:pt>
                <c:pt idx="422">
                  <c:v>46385</c:v>
                </c:pt>
                <c:pt idx="423">
                  <c:v>46386</c:v>
                </c:pt>
                <c:pt idx="424">
                  <c:v>46387</c:v>
                </c:pt>
              </c:numCache>
            </c:numRef>
          </c:cat>
          <c:val>
            <c:numRef>
              <c:f>'Grafico %'!$B$2:$B$426</c:f>
              <c:numCache>
                <c:formatCode>General</c:formatCode>
                <c:ptCount val="425"/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E6-42E5-A89D-CB5F6FD0D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13488496"/>
        <c:axId val="513483696"/>
      </c:barChart>
      <c:lineChart>
        <c:grouping val="standard"/>
        <c:varyColors val="0"/>
        <c:ser>
          <c:idx val="4"/>
          <c:order val="0"/>
          <c:tx>
            <c:strRef>
              <c:f>'Grafico %'!$C$1</c:f>
              <c:strCache>
                <c:ptCount val="1"/>
                <c:pt idx="0">
                  <c:v>Localizacion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'Grafico %'!$A$2:$A$426</c:f>
              <c:numCache>
                <c:formatCode>d\-mmm</c:formatCode>
                <c:ptCount val="425"/>
                <c:pt idx="0">
                  <c:v>45963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45969</c:v>
                </c:pt>
                <c:pt idx="7">
                  <c:v>45970</c:v>
                </c:pt>
                <c:pt idx="8">
                  <c:v>45971</c:v>
                </c:pt>
                <c:pt idx="9">
                  <c:v>45972</c:v>
                </c:pt>
                <c:pt idx="10">
                  <c:v>45973</c:v>
                </c:pt>
                <c:pt idx="11">
                  <c:v>45974</c:v>
                </c:pt>
                <c:pt idx="12">
                  <c:v>45975</c:v>
                </c:pt>
                <c:pt idx="13">
                  <c:v>45976</c:v>
                </c:pt>
                <c:pt idx="14">
                  <c:v>45977</c:v>
                </c:pt>
                <c:pt idx="15">
                  <c:v>45978</c:v>
                </c:pt>
                <c:pt idx="16">
                  <c:v>45979</c:v>
                </c:pt>
                <c:pt idx="17">
                  <c:v>45980</c:v>
                </c:pt>
                <c:pt idx="18">
                  <c:v>45981</c:v>
                </c:pt>
                <c:pt idx="19">
                  <c:v>45982</c:v>
                </c:pt>
                <c:pt idx="20">
                  <c:v>45983</c:v>
                </c:pt>
                <c:pt idx="21">
                  <c:v>45984</c:v>
                </c:pt>
                <c:pt idx="22">
                  <c:v>45985</c:v>
                </c:pt>
                <c:pt idx="23">
                  <c:v>45986</c:v>
                </c:pt>
                <c:pt idx="24">
                  <c:v>45987</c:v>
                </c:pt>
                <c:pt idx="25">
                  <c:v>45988</c:v>
                </c:pt>
                <c:pt idx="26">
                  <c:v>45989</c:v>
                </c:pt>
                <c:pt idx="27">
                  <c:v>45990</c:v>
                </c:pt>
                <c:pt idx="28">
                  <c:v>45991</c:v>
                </c:pt>
                <c:pt idx="29">
                  <c:v>45992</c:v>
                </c:pt>
                <c:pt idx="30">
                  <c:v>45993</c:v>
                </c:pt>
                <c:pt idx="31">
                  <c:v>45994</c:v>
                </c:pt>
                <c:pt idx="32">
                  <c:v>45995</c:v>
                </c:pt>
                <c:pt idx="33">
                  <c:v>45996</c:v>
                </c:pt>
                <c:pt idx="34">
                  <c:v>45997</c:v>
                </c:pt>
                <c:pt idx="35">
                  <c:v>45998</c:v>
                </c:pt>
                <c:pt idx="36">
                  <c:v>45999</c:v>
                </c:pt>
                <c:pt idx="37">
                  <c:v>46000</c:v>
                </c:pt>
                <c:pt idx="38">
                  <c:v>46001</c:v>
                </c:pt>
                <c:pt idx="39">
                  <c:v>46002</c:v>
                </c:pt>
                <c:pt idx="40">
                  <c:v>46003</c:v>
                </c:pt>
                <c:pt idx="41">
                  <c:v>46004</c:v>
                </c:pt>
                <c:pt idx="42">
                  <c:v>46005</c:v>
                </c:pt>
                <c:pt idx="43">
                  <c:v>46006</c:v>
                </c:pt>
                <c:pt idx="44">
                  <c:v>46007</c:v>
                </c:pt>
                <c:pt idx="45">
                  <c:v>46008</c:v>
                </c:pt>
                <c:pt idx="46">
                  <c:v>46009</c:v>
                </c:pt>
                <c:pt idx="47">
                  <c:v>46010</c:v>
                </c:pt>
                <c:pt idx="48">
                  <c:v>46011</c:v>
                </c:pt>
                <c:pt idx="49">
                  <c:v>46012</c:v>
                </c:pt>
                <c:pt idx="50">
                  <c:v>46013</c:v>
                </c:pt>
                <c:pt idx="51">
                  <c:v>46014</c:v>
                </c:pt>
                <c:pt idx="52">
                  <c:v>46015</c:v>
                </c:pt>
                <c:pt idx="53">
                  <c:v>46016</c:v>
                </c:pt>
                <c:pt idx="54">
                  <c:v>46017</c:v>
                </c:pt>
                <c:pt idx="55">
                  <c:v>46018</c:v>
                </c:pt>
                <c:pt idx="56">
                  <c:v>46019</c:v>
                </c:pt>
                <c:pt idx="57">
                  <c:v>46020</c:v>
                </c:pt>
                <c:pt idx="58">
                  <c:v>46021</c:v>
                </c:pt>
                <c:pt idx="59">
                  <c:v>46022</c:v>
                </c:pt>
                <c:pt idx="60">
                  <c:v>46023</c:v>
                </c:pt>
                <c:pt idx="61">
                  <c:v>46024</c:v>
                </c:pt>
                <c:pt idx="62">
                  <c:v>46025</c:v>
                </c:pt>
                <c:pt idx="63">
                  <c:v>46026</c:v>
                </c:pt>
                <c:pt idx="64">
                  <c:v>46027</c:v>
                </c:pt>
                <c:pt idx="65">
                  <c:v>46028</c:v>
                </c:pt>
                <c:pt idx="66">
                  <c:v>46029</c:v>
                </c:pt>
                <c:pt idx="67">
                  <c:v>46030</c:v>
                </c:pt>
                <c:pt idx="68">
                  <c:v>46031</c:v>
                </c:pt>
                <c:pt idx="69">
                  <c:v>46032</c:v>
                </c:pt>
                <c:pt idx="70">
                  <c:v>46033</c:v>
                </c:pt>
                <c:pt idx="71">
                  <c:v>46034</c:v>
                </c:pt>
                <c:pt idx="72">
                  <c:v>46035</c:v>
                </c:pt>
                <c:pt idx="73">
                  <c:v>46036</c:v>
                </c:pt>
                <c:pt idx="74">
                  <c:v>46037</c:v>
                </c:pt>
                <c:pt idx="75">
                  <c:v>46038</c:v>
                </c:pt>
                <c:pt idx="76">
                  <c:v>46039</c:v>
                </c:pt>
                <c:pt idx="77">
                  <c:v>46040</c:v>
                </c:pt>
                <c:pt idx="78">
                  <c:v>46041</c:v>
                </c:pt>
                <c:pt idx="79">
                  <c:v>46042</c:v>
                </c:pt>
                <c:pt idx="80">
                  <c:v>46043</c:v>
                </c:pt>
                <c:pt idx="81">
                  <c:v>46044</c:v>
                </c:pt>
                <c:pt idx="82">
                  <c:v>46045</c:v>
                </c:pt>
                <c:pt idx="83">
                  <c:v>46046</c:v>
                </c:pt>
                <c:pt idx="84">
                  <c:v>46047</c:v>
                </c:pt>
                <c:pt idx="85">
                  <c:v>46048</c:v>
                </c:pt>
                <c:pt idx="86">
                  <c:v>46049</c:v>
                </c:pt>
                <c:pt idx="87">
                  <c:v>46050</c:v>
                </c:pt>
                <c:pt idx="88">
                  <c:v>46051</c:v>
                </c:pt>
                <c:pt idx="89">
                  <c:v>46052</c:v>
                </c:pt>
                <c:pt idx="90">
                  <c:v>46053</c:v>
                </c:pt>
                <c:pt idx="91">
                  <c:v>46054</c:v>
                </c:pt>
                <c:pt idx="92">
                  <c:v>46055</c:v>
                </c:pt>
                <c:pt idx="93">
                  <c:v>46056</c:v>
                </c:pt>
                <c:pt idx="94">
                  <c:v>46057</c:v>
                </c:pt>
                <c:pt idx="95">
                  <c:v>46058</c:v>
                </c:pt>
                <c:pt idx="96">
                  <c:v>46059</c:v>
                </c:pt>
                <c:pt idx="97">
                  <c:v>46060</c:v>
                </c:pt>
                <c:pt idx="98">
                  <c:v>46061</c:v>
                </c:pt>
                <c:pt idx="99">
                  <c:v>46062</c:v>
                </c:pt>
                <c:pt idx="100">
                  <c:v>46063</c:v>
                </c:pt>
                <c:pt idx="101">
                  <c:v>46064</c:v>
                </c:pt>
                <c:pt idx="102">
                  <c:v>46065</c:v>
                </c:pt>
                <c:pt idx="103">
                  <c:v>46066</c:v>
                </c:pt>
                <c:pt idx="104">
                  <c:v>46067</c:v>
                </c:pt>
                <c:pt idx="105">
                  <c:v>46068</c:v>
                </c:pt>
                <c:pt idx="106">
                  <c:v>46069</c:v>
                </c:pt>
                <c:pt idx="107">
                  <c:v>46070</c:v>
                </c:pt>
                <c:pt idx="108">
                  <c:v>46071</c:v>
                </c:pt>
                <c:pt idx="109">
                  <c:v>46072</c:v>
                </c:pt>
                <c:pt idx="110">
                  <c:v>46073</c:v>
                </c:pt>
                <c:pt idx="111">
                  <c:v>46074</c:v>
                </c:pt>
                <c:pt idx="112">
                  <c:v>46075</c:v>
                </c:pt>
                <c:pt idx="113">
                  <c:v>46076</c:v>
                </c:pt>
                <c:pt idx="114">
                  <c:v>46077</c:v>
                </c:pt>
                <c:pt idx="115">
                  <c:v>46078</c:v>
                </c:pt>
                <c:pt idx="116">
                  <c:v>46079</c:v>
                </c:pt>
                <c:pt idx="117">
                  <c:v>46080</c:v>
                </c:pt>
                <c:pt idx="118">
                  <c:v>46081</c:v>
                </c:pt>
                <c:pt idx="119">
                  <c:v>46082</c:v>
                </c:pt>
                <c:pt idx="120">
                  <c:v>46083</c:v>
                </c:pt>
                <c:pt idx="121">
                  <c:v>46084</c:v>
                </c:pt>
                <c:pt idx="122">
                  <c:v>46085</c:v>
                </c:pt>
                <c:pt idx="123">
                  <c:v>46086</c:v>
                </c:pt>
                <c:pt idx="124">
                  <c:v>46087</c:v>
                </c:pt>
                <c:pt idx="125">
                  <c:v>46088</c:v>
                </c:pt>
                <c:pt idx="126">
                  <c:v>46089</c:v>
                </c:pt>
                <c:pt idx="127">
                  <c:v>46090</c:v>
                </c:pt>
                <c:pt idx="128">
                  <c:v>46091</c:v>
                </c:pt>
                <c:pt idx="129">
                  <c:v>46092</c:v>
                </c:pt>
                <c:pt idx="130">
                  <c:v>46093</c:v>
                </c:pt>
                <c:pt idx="131">
                  <c:v>46094</c:v>
                </c:pt>
                <c:pt idx="132">
                  <c:v>46095</c:v>
                </c:pt>
                <c:pt idx="133">
                  <c:v>46096</c:v>
                </c:pt>
                <c:pt idx="134">
                  <c:v>46097</c:v>
                </c:pt>
                <c:pt idx="135">
                  <c:v>46098</c:v>
                </c:pt>
                <c:pt idx="136">
                  <c:v>46099</c:v>
                </c:pt>
                <c:pt idx="137">
                  <c:v>46100</c:v>
                </c:pt>
                <c:pt idx="138">
                  <c:v>46101</c:v>
                </c:pt>
                <c:pt idx="139">
                  <c:v>46102</c:v>
                </c:pt>
                <c:pt idx="140">
                  <c:v>46103</c:v>
                </c:pt>
                <c:pt idx="141">
                  <c:v>46104</c:v>
                </c:pt>
                <c:pt idx="142">
                  <c:v>46105</c:v>
                </c:pt>
                <c:pt idx="143">
                  <c:v>46106</c:v>
                </c:pt>
                <c:pt idx="144">
                  <c:v>46107</c:v>
                </c:pt>
                <c:pt idx="145">
                  <c:v>46108</c:v>
                </c:pt>
                <c:pt idx="146">
                  <c:v>46109</c:v>
                </c:pt>
                <c:pt idx="147">
                  <c:v>46110</c:v>
                </c:pt>
                <c:pt idx="148">
                  <c:v>46111</c:v>
                </c:pt>
                <c:pt idx="149">
                  <c:v>46112</c:v>
                </c:pt>
                <c:pt idx="150">
                  <c:v>46113</c:v>
                </c:pt>
                <c:pt idx="151">
                  <c:v>46114</c:v>
                </c:pt>
                <c:pt idx="152">
                  <c:v>46115</c:v>
                </c:pt>
                <c:pt idx="153">
                  <c:v>46116</c:v>
                </c:pt>
                <c:pt idx="154">
                  <c:v>46117</c:v>
                </c:pt>
                <c:pt idx="155">
                  <c:v>46118</c:v>
                </c:pt>
                <c:pt idx="156">
                  <c:v>46119</c:v>
                </c:pt>
                <c:pt idx="157">
                  <c:v>46120</c:v>
                </c:pt>
                <c:pt idx="158">
                  <c:v>46121</c:v>
                </c:pt>
                <c:pt idx="159">
                  <c:v>46122</c:v>
                </c:pt>
                <c:pt idx="160">
                  <c:v>46123</c:v>
                </c:pt>
                <c:pt idx="161">
                  <c:v>46124</c:v>
                </c:pt>
                <c:pt idx="162">
                  <c:v>46125</c:v>
                </c:pt>
                <c:pt idx="163">
                  <c:v>46126</c:v>
                </c:pt>
                <c:pt idx="164">
                  <c:v>46127</c:v>
                </c:pt>
                <c:pt idx="165">
                  <c:v>46128</c:v>
                </c:pt>
                <c:pt idx="166">
                  <c:v>46129</c:v>
                </c:pt>
                <c:pt idx="167">
                  <c:v>46130</c:v>
                </c:pt>
                <c:pt idx="168">
                  <c:v>46131</c:v>
                </c:pt>
                <c:pt idx="169">
                  <c:v>46132</c:v>
                </c:pt>
                <c:pt idx="170">
                  <c:v>46133</c:v>
                </c:pt>
                <c:pt idx="171">
                  <c:v>46134</c:v>
                </c:pt>
                <c:pt idx="172">
                  <c:v>46135</c:v>
                </c:pt>
                <c:pt idx="173">
                  <c:v>46136</c:v>
                </c:pt>
                <c:pt idx="174">
                  <c:v>46137</c:v>
                </c:pt>
                <c:pt idx="175">
                  <c:v>46138</c:v>
                </c:pt>
                <c:pt idx="176">
                  <c:v>46139</c:v>
                </c:pt>
                <c:pt idx="177">
                  <c:v>46140</c:v>
                </c:pt>
                <c:pt idx="178">
                  <c:v>46141</c:v>
                </c:pt>
                <c:pt idx="179">
                  <c:v>46142</c:v>
                </c:pt>
                <c:pt idx="180">
                  <c:v>46143</c:v>
                </c:pt>
                <c:pt idx="181">
                  <c:v>46144</c:v>
                </c:pt>
                <c:pt idx="182">
                  <c:v>46145</c:v>
                </c:pt>
                <c:pt idx="183">
                  <c:v>46146</c:v>
                </c:pt>
                <c:pt idx="184">
                  <c:v>46147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46158</c:v>
                </c:pt>
                <c:pt idx="196">
                  <c:v>46159</c:v>
                </c:pt>
                <c:pt idx="197">
                  <c:v>46160</c:v>
                </c:pt>
                <c:pt idx="198">
                  <c:v>46161</c:v>
                </c:pt>
                <c:pt idx="199">
                  <c:v>46162</c:v>
                </c:pt>
                <c:pt idx="200">
                  <c:v>46163</c:v>
                </c:pt>
                <c:pt idx="201">
                  <c:v>46164</c:v>
                </c:pt>
                <c:pt idx="202">
                  <c:v>46165</c:v>
                </c:pt>
                <c:pt idx="203">
                  <c:v>46166</c:v>
                </c:pt>
                <c:pt idx="204">
                  <c:v>46167</c:v>
                </c:pt>
                <c:pt idx="205">
                  <c:v>46168</c:v>
                </c:pt>
                <c:pt idx="206">
                  <c:v>46169</c:v>
                </c:pt>
                <c:pt idx="207">
                  <c:v>46170</c:v>
                </c:pt>
                <c:pt idx="208">
                  <c:v>46171</c:v>
                </c:pt>
                <c:pt idx="209">
                  <c:v>46172</c:v>
                </c:pt>
                <c:pt idx="210">
                  <c:v>46173</c:v>
                </c:pt>
                <c:pt idx="211">
                  <c:v>46174</c:v>
                </c:pt>
                <c:pt idx="212">
                  <c:v>46175</c:v>
                </c:pt>
                <c:pt idx="213">
                  <c:v>46176</c:v>
                </c:pt>
                <c:pt idx="214">
                  <c:v>46177</c:v>
                </c:pt>
                <c:pt idx="215">
                  <c:v>46178</c:v>
                </c:pt>
                <c:pt idx="216">
                  <c:v>46179</c:v>
                </c:pt>
                <c:pt idx="217">
                  <c:v>46180</c:v>
                </c:pt>
                <c:pt idx="218">
                  <c:v>46181</c:v>
                </c:pt>
                <c:pt idx="219">
                  <c:v>46182</c:v>
                </c:pt>
                <c:pt idx="220">
                  <c:v>46183</c:v>
                </c:pt>
                <c:pt idx="221">
                  <c:v>46184</c:v>
                </c:pt>
                <c:pt idx="222">
                  <c:v>46185</c:v>
                </c:pt>
                <c:pt idx="223">
                  <c:v>46186</c:v>
                </c:pt>
                <c:pt idx="224">
                  <c:v>46187</c:v>
                </c:pt>
                <c:pt idx="225">
                  <c:v>46188</c:v>
                </c:pt>
                <c:pt idx="226">
                  <c:v>46189</c:v>
                </c:pt>
                <c:pt idx="227">
                  <c:v>46190</c:v>
                </c:pt>
                <c:pt idx="228">
                  <c:v>46191</c:v>
                </c:pt>
                <c:pt idx="229">
                  <c:v>46192</c:v>
                </c:pt>
                <c:pt idx="230">
                  <c:v>46193</c:v>
                </c:pt>
                <c:pt idx="231">
                  <c:v>46194</c:v>
                </c:pt>
                <c:pt idx="232">
                  <c:v>46195</c:v>
                </c:pt>
                <c:pt idx="233">
                  <c:v>46196</c:v>
                </c:pt>
                <c:pt idx="234">
                  <c:v>46197</c:v>
                </c:pt>
                <c:pt idx="235">
                  <c:v>46198</c:v>
                </c:pt>
                <c:pt idx="236">
                  <c:v>46199</c:v>
                </c:pt>
                <c:pt idx="237">
                  <c:v>46200</c:v>
                </c:pt>
                <c:pt idx="238">
                  <c:v>46201</c:v>
                </c:pt>
                <c:pt idx="239">
                  <c:v>46202</c:v>
                </c:pt>
                <c:pt idx="240">
                  <c:v>46203</c:v>
                </c:pt>
                <c:pt idx="241">
                  <c:v>46204</c:v>
                </c:pt>
                <c:pt idx="242">
                  <c:v>46205</c:v>
                </c:pt>
                <c:pt idx="243">
                  <c:v>46206</c:v>
                </c:pt>
                <c:pt idx="244">
                  <c:v>46207</c:v>
                </c:pt>
                <c:pt idx="245">
                  <c:v>46208</c:v>
                </c:pt>
                <c:pt idx="246">
                  <c:v>46209</c:v>
                </c:pt>
                <c:pt idx="247">
                  <c:v>46210</c:v>
                </c:pt>
                <c:pt idx="248">
                  <c:v>46211</c:v>
                </c:pt>
                <c:pt idx="249">
                  <c:v>46212</c:v>
                </c:pt>
                <c:pt idx="250">
                  <c:v>46213</c:v>
                </c:pt>
                <c:pt idx="251">
                  <c:v>46214</c:v>
                </c:pt>
                <c:pt idx="252">
                  <c:v>46215</c:v>
                </c:pt>
                <c:pt idx="253">
                  <c:v>46216</c:v>
                </c:pt>
                <c:pt idx="254">
                  <c:v>46217</c:v>
                </c:pt>
                <c:pt idx="255">
                  <c:v>46218</c:v>
                </c:pt>
                <c:pt idx="256">
                  <c:v>46219</c:v>
                </c:pt>
                <c:pt idx="257">
                  <c:v>46220</c:v>
                </c:pt>
                <c:pt idx="258">
                  <c:v>46221</c:v>
                </c:pt>
                <c:pt idx="259">
                  <c:v>46222</c:v>
                </c:pt>
                <c:pt idx="260">
                  <c:v>46223</c:v>
                </c:pt>
                <c:pt idx="261">
                  <c:v>46224</c:v>
                </c:pt>
                <c:pt idx="262">
                  <c:v>46225</c:v>
                </c:pt>
                <c:pt idx="263">
                  <c:v>46226</c:v>
                </c:pt>
                <c:pt idx="264">
                  <c:v>46227</c:v>
                </c:pt>
                <c:pt idx="265">
                  <c:v>46228</c:v>
                </c:pt>
                <c:pt idx="266">
                  <c:v>46229</c:v>
                </c:pt>
                <c:pt idx="267">
                  <c:v>46230</c:v>
                </c:pt>
                <c:pt idx="268">
                  <c:v>46231</c:v>
                </c:pt>
                <c:pt idx="269">
                  <c:v>46232</c:v>
                </c:pt>
                <c:pt idx="270">
                  <c:v>46233</c:v>
                </c:pt>
                <c:pt idx="271">
                  <c:v>46234</c:v>
                </c:pt>
                <c:pt idx="272">
                  <c:v>46235</c:v>
                </c:pt>
                <c:pt idx="273">
                  <c:v>46236</c:v>
                </c:pt>
                <c:pt idx="274">
                  <c:v>46237</c:v>
                </c:pt>
                <c:pt idx="275">
                  <c:v>46238</c:v>
                </c:pt>
                <c:pt idx="276">
                  <c:v>46239</c:v>
                </c:pt>
                <c:pt idx="277">
                  <c:v>46240</c:v>
                </c:pt>
                <c:pt idx="278">
                  <c:v>46241</c:v>
                </c:pt>
                <c:pt idx="279">
                  <c:v>46242</c:v>
                </c:pt>
                <c:pt idx="280">
                  <c:v>46243</c:v>
                </c:pt>
                <c:pt idx="281">
                  <c:v>46244</c:v>
                </c:pt>
                <c:pt idx="282">
                  <c:v>46245</c:v>
                </c:pt>
                <c:pt idx="283">
                  <c:v>46246</c:v>
                </c:pt>
                <c:pt idx="284">
                  <c:v>46247</c:v>
                </c:pt>
                <c:pt idx="285">
                  <c:v>46248</c:v>
                </c:pt>
                <c:pt idx="286">
                  <c:v>46249</c:v>
                </c:pt>
                <c:pt idx="287">
                  <c:v>46250</c:v>
                </c:pt>
                <c:pt idx="288">
                  <c:v>46251</c:v>
                </c:pt>
                <c:pt idx="289">
                  <c:v>46252</c:v>
                </c:pt>
                <c:pt idx="290">
                  <c:v>46253</c:v>
                </c:pt>
                <c:pt idx="291">
                  <c:v>46254</c:v>
                </c:pt>
                <c:pt idx="292">
                  <c:v>46255</c:v>
                </c:pt>
                <c:pt idx="293">
                  <c:v>46256</c:v>
                </c:pt>
                <c:pt idx="294">
                  <c:v>46257</c:v>
                </c:pt>
                <c:pt idx="295">
                  <c:v>46258</c:v>
                </c:pt>
                <c:pt idx="296">
                  <c:v>46259</c:v>
                </c:pt>
                <c:pt idx="297">
                  <c:v>46260</c:v>
                </c:pt>
                <c:pt idx="298">
                  <c:v>46261</c:v>
                </c:pt>
                <c:pt idx="299">
                  <c:v>46262</c:v>
                </c:pt>
                <c:pt idx="300">
                  <c:v>46263</c:v>
                </c:pt>
                <c:pt idx="301">
                  <c:v>46264</c:v>
                </c:pt>
                <c:pt idx="302">
                  <c:v>46265</c:v>
                </c:pt>
                <c:pt idx="303">
                  <c:v>46266</c:v>
                </c:pt>
                <c:pt idx="304">
                  <c:v>46267</c:v>
                </c:pt>
                <c:pt idx="305">
                  <c:v>46268</c:v>
                </c:pt>
                <c:pt idx="306">
                  <c:v>46269</c:v>
                </c:pt>
                <c:pt idx="307">
                  <c:v>46270</c:v>
                </c:pt>
                <c:pt idx="308">
                  <c:v>46271</c:v>
                </c:pt>
                <c:pt idx="309">
                  <c:v>46272</c:v>
                </c:pt>
                <c:pt idx="310">
                  <c:v>46273</c:v>
                </c:pt>
                <c:pt idx="311">
                  <c:v>46274</c:v>
                </c:pt>
                <c:pt idx="312">
                  <c:v>46275</c:v>
                </c:pt>
                <c:pt idx="313">
                  <c:v>46276</c:v>
                </c:pt>
                <c:pt idx="314">
                  <c:v>46277</c:v>
                </c:pt>
                <c:pt idx="315">
                  <c:v>46278</c:v>
                </c:pt>
                <c:pt idx="316">
                  <c:v>46279</c:v>
                </c:pt>
                <c:pt idx="317">
                  <c:v>46280</c:v>
                </c:pt>
                <c:pt idx="318">
                  <c:v>46281</c:v>
                </c:pt>
                <c:pt idx="319">
                  <c:v>46282</c:v>
                </c:pt>
                <c:pt idx="320">
                  <c:v>46283</c:v>
                </c:pt>
                <c:pt idx="321">
                  <c:v>46284</c:v>
                </c:pt>
                <c:pt idx="322">
                  <c:v>46285</c:v>
                </c:pt>
                <c:pt idx="323">
                  <c:v>46286</c:v>
                </c:pt>
                <c:pt idx="324">
                  <c:v>46287</c:v>
                </c:pt>
                <c:pt idx="325">
                  <c:v>46288</c:v>
                </c:pt>
                <c:pt idx="326">
                  <c:v>46289</c:v>
                </c:pt>
                <c:pt idx="327">
                  <c:v>46290</c:v>
                </c:pt>
                <c:pt idx="328">
                  <c:v>46291</c:v>
                </c:pt>
                <c:pt idx="329">
                  <c:v>46292</c:v>
                </c:pt>
                <c:pt idx="330">
                  <c:v>46293</c:v>
                </c:pt>
                <c:pt idx="331">
                  <c:v>46294</c:v>
                </c:pt>
                <c:pt idx="332">
                  <c:v>46295</c:v>
                </c:pt>
                <c:pt idx="333">
                  <c:v>46296</c:v>
                </c:pt>
                <c:pt idx="334">
                  <c:v>46297</c:v>
                </c:pt>
                <c:pt idx="335">
                  <c:v>46298</c:v>
                </c:pt>
                <c:pt idx="336">
                  <c:v>46299</c:v>
                </c:pt>
                <c:pt idx="337">
                  <c:v>46300</c:v>
                </c:pt>
                <c:pt idx="338">
                  <c:v>46301</c:v>
                </c:pt>
                <c:pt idx="339">
                  <c:v>46302</c:v>
                </c:pt>
                <c:pt idx="340">
                  <c:v>46303</c:v>
                </c:pt>
                <c:pt idx="341">
                  <c:v>46304</c:v>
                </c:pt>
                <c:pt idx="342">
                  <c:v>46305</c:v>
                </c:pt>
                <c:pt idx="343">
                  <c:v>46306</c:v>
                </c:pt>
                <c:pt idx="344">
                  <c:v>46307</c:v>
                </c:pt>
                <c:pt idx="345">
                  <c:v>46308</c:v>
                </c:pt>
                <c:pt idx="346">
                  <c:v>46309</c:v>
                </c:pt>
                <c:pt idx="347">
                  <c:v>46310</c:v>
                </c:pt>
                <c:pt idx="348">
                  <c:v>46311</c:v>
                </c:pt>
                <c:pt idx="349">
                  <c:v>46312</c:v>
                </c:pt>
                <c:pt idx="350">
                  <c:v>46313</c:v>
                </c:pt>
                <c:pt idx="351">
                  <c:v>46314</c:v>
                </c:pt>
                <c:pt idx="352">
                  <c:v>46315</c:v>
                </c:pt>
                <c:pt idx="353">
                  <c:v>46316</c:v>
                </c:pt>
                <c:pt idx="354">
                  <c:v>46317</c:v>
                </c:pt>
                <c:pt idx="355">
                  <c:v>46318</c:v>
                </c:pt>
                <c:pt idx="356">
                  <c:v>46319</c:v>
                </c:pt>
                <c:pt idx="357">
                  <c:v>46320</c:v>
                </c:pt>
                <c:pt idx="358">
                  <c:v>46321</c:v>
                </c:pt>
                <c:pt idx="359">
                  <c:v>46322</c:v>
                </c:pt>
                <c:pt idx="360">
                  <c:v>46323</c:v>
                </c:pt>
                <c:pt idx="361">
                  <c:v>46324</c:v>
                </c:pt>
                <c:pt idx="362">
                  <c:v>46325</c:v>
                </c:pt>
                <c:pt idx="363">
                  <c:v>46326</c:v>
                </c:pt>
                <c:pt idx="364">
                  <c:v>46327</c:v>
                </c:pt>
                <c:pt idx="365">
                  <c:v>46328</c:v>
                </c:pt>
                <c:pt idx="366">
                  <c:v>46329</c:v>
                </c:pt>
                <c:pt idx="367">
                  <c:v>46330</c:v>
                </c:pt>
                <c:pt idx="368">
                  <c:v>46331</c:v>
                </c:pt>
                <c:pt idx="369">
                  <c:v>46332</c:v>
                </c:pt>
                <c:pt idx="370">
                  <c:v>46333</c:v>
                </c:pt>
                <c:pt idx="371">
                  <c:v>46334</c:v>
                </c:pt>
                <c:pt idx="372">
                  <c:v>46335</c:v>
                </c:pt>
                <c:pt idx="373">
                  <c:v>46336</c:v>
                </c:pt>
                <c:pt idx="374">
                  <c:v>46337</c:v>
                </c:pt>
                <c:pt idx="375">
                  <c:v>46338</c:v>
                </c:pt>
                <c:pt idx="376">
                  <c:v>46339</c:v>
                </c:pt>
                <c:pt idx="377">
                  <c:v>46340</c:v>
                </c:pt>
                <c:pt idx="378">
                  <c:v>46341</c:v>
                </c:pt>
                <c:pt idx="379">
                  <c:v>46342</c:v>
                </c:pt>
                <c:pt idx="380">
                  <c:v>46343</c:v>
                </c:pt>
                <c:pt idx="381">
                  <c:v>46344</c:v>
                </c:pt>
                <c:pt idx="382">
                  <c:v>46345</c:v>
                </c:pt>
                <c:pt idx="383">
                  <c:v>46346</c:v>
                </c:pt>
                <c:pt idx="384">
                  <c:v>46347</c:v>
                </c:pt>
                <c:pt idx="385">
                  <c:v>46348</c:v>
                </c:pt>
                <c:pt idx="386">
                  <c:v>46349</c:v>
                </c:pt>
                <c:pt idx="387">
                  <c:v>46350</c:v>
                </c:pt>
                <c:pt idx="388">
                  <c:v>46351</c:v>
                </c:pt>
                <c:pt idx="389">
                  <c:v>46352</c:v>
                </c:pt>
                <c:pt idx="390">
                  <c:v>46353</c:v>
                </c:pt>
                <c:pt idx="391">
                  <c:v>46354</c:v>
                </c:pt>
                <c:pt idx="392">
                  <c:v>46355</c:v>
                </c:pt>
                <c:pt idx="393">
                  <c:v>46356</c:v>
                </c:pt>
                <c:pt idx="394">
                  <c:v>46357</c:v>
                </c:pt>
                <c:pt idx="395">
                  <c:v>46358</c:v>
                </c:pt>
                <c:pt idx="396">
                  <c:v>46359</c:v>
                </c:pt>
                <c:pt idx="397">
                  <c:v>46360</c:v>
                </c:pt>
                <c:pt idx="398">
                  <c:v>46361</c:v>
                </c:pt>
                <c:pt idx="399">
                  <c:v>46362</c:v>
                </c:pt>
                <c:pt idx="400">
                  <c:v>46363</c:v>
                </c:pt>
                <c:pt idx="401">
                  <c:v>46364</c:v>
                </c:pt>
                <c:pt idx="402">
                  <c:v>46365</c:v>
                </c:pt>
                <c:pt idx="403">
                  <c:v>46366</c:v>
                </c:pt>
                <c:pt idx="404">
                  <c:v>46367</c:v>
                </c:pt>
                <c:pt idx="405">
                  <c:v>46368</c:v>
                </c:pt>
                <c:pt idx="406">
                  <c:v>46369</c:v>
                </c:pt>
                <c:pt idx="407">
                  <c:v>46370</c:v>
                </c:pt>
                <c:pt idx="408">
                  <c:v>46371</c:v>
                </c:pt>
                <c:pt idx="409">
                  <c:v>46372</c:v>
                </c:pt>
                <c:pt idx="410">
                  <c:v>46373</c:v>
                </c:pt>
                <c:pt idx="411">
                  <c:v>46374</c:v>
                </c:pt>
                <c:pt idx="412">
                  <c:v>46375</c:v>
                </c:pt>
                <c:pt idx="413">
                  <c:v>46376</c:v>
                </c:pt>
                <c:pt idx="414">
                  <c:v>46377</c:v>
                </c:pt>
                <c:pt idx="415">
                  <c:v>46378</c:v>
                </c:pt>
                <c:pt idx="416">
                  <c:v>46379</c:v>
                </c:pt>
                <c:pt idx="417">
                  <c:v>46380</c:v>
                </c:pt>
                <c:pt idx="418">
                  <c:v>46381</c:v>
                </c:pt>
                <c:pt idx="419">
                  <c:v>46382</c:v>
                </c:pt>
                <c:pt idx="420">
                  <c:v>46383</c:v>
                </c:pt>
                <c:pt idx="421">
                  <c:v>46384</c:v>
                </c:pt>
                <c:pt idx="422">
                  <c:v>46385</c:v>
                </c:pt>
                <c:pt idx="423">
                  <c:v>46386</c:v>
                </c:pt>
                <c:pt idx="424">
                  <c:v>46387</c:v>
                </c:pt>
              </c:numCache>
            </c:numRef>
          </c:cat>
          <c:val>
            <c:numRef>
              <c:f>'Grafico %'!$C$2:$C$426</c:f>
              <c:numCache>
                <c:formatCode>0.00%</c:formatCode>
                <c:ptCount val="425"/>
                <c:pt idx="0">
                  <c:v>0</c:v>
                </c:pt>
                <c:pt idx="1">
                  <c:v>5.5000000000000005E-3</c:v>
                </c:pt>
                <c:pt idx="2">
                  <c:v>0.02</c:v>
                </c:pt>
                <c:pt idx="3">
                  <c:v>0.04</c:v>
                </c:pt>
                <c:pt idx="4">
                  <c:v>6.7500000000000004E-2</c:v>
                </c:pt>
                <c:pt idx="5">
                  <c:v>8.7499999999999994E-2</c:v>
                </c:pt>
                <c:pt idx="6">
                  <c:v>0.10249999999999999</c:v>
                </c:pt>
                <c:pt idx="7">
                  <c:v>0.10249999999999999</c:v>
                </c:pt>
                <c:pt idx="8">
                  <c:v>0.13</c:v>
                </c:pt>
                <c:pt idx="9">
                  <c:v>0.15770000000000001</c:v>
                </c:pt>
                <c:pt idx="10">
                  <c:v>0.17893499999999998</c:v>
                </c:pt>
                <c:pt idx="11">
                  <c:v>0.20714500000000002</c:v>
                </c:pt>
                <c:pt idx="12">
                  <c:v>0.23714500000000002</c:v>
                </c:pt>
                <c:pt idx="13">
                  <c:v>0.26214500000000002</c:v>
                </c:pt>
                <c:pt idx="14">
                  <c:v>0.28214500000000003</c:v>
                </c:pt>
                <c:pt idx="15">
                  <c:v>0.28214500000000003</c:v>
                </c:pt>
                <c:pt idx="16">
                  <c:v>0.28214500000000003</c:v>
                </c:pt>
                <c:pt idx="17">
                  <c:v>0.29864499999999999</c:v>
                </c:pt>
                <c:pt idx="18">
                  <c:v>0.33214500000000002</c:v>
                </c:pt>
                <c:pt idx="19">
                  <c:v>0.33658500000000002</c:v>
                </c:pt>
                <c:pt idx="20">
                  <c:v>0.34336000000000005</c:v>
                </c:pt>
                <c:pt idx="21">
                  <c:v>0.34336000000000005</c:v>
                </c:pt>
                <c:pt idx="22">
                  <c:v>0.3601100000000001</c:v>
                </c:pt>
                <c:pt idx="23">
                  <c:v>0.3601100000000001</c:v>
                </c:pt>
                <c:pt idx="24">
                  <c:v>0.3601100000000001</c:v>
                </c:pt>
                <c:pt idx="25">
                  <c:v>0.3601100000000001</c:v>
                </c:pt>
                <c:pt idx="26">
                  <c:v>0.3601100000000001</c:v>
                </c:pt>
                <c:pt idx="27">
                  <c:v>0.3601100000000001</c:v>
                </c:pt>
                <c:pt idx="28">
                  <c:v>0.3601100000000001</c:v>
                </c:pt>
                <c:pt idx="29">
                  <c:v>0.36021000000000009</c:v>
                </c:pt>
                <c:pt idx="30">
                  <c:v>0.36267500000000008</c:v>
                </c:pt>
                <c:pt idx="31">
                  <c:v>0.3682200000000001</c:v>
                </c:pt>
                <c:pt idx="32">
                  <c:v>0.38568000000000019</c:v>
                </c:pt>
                <c:pt idx="33">
                  <c:v>0.41893000000000025</c:v>
                </c:pt>
                <c:pt idx="34">
                  <c:v>0.41899500000000017</c:v>
                </c:pt>
                <c:pt idx="35">
                  <c:v>0.41899500000000017</c:v>
                </c:pt>
                <c:pt idx="36">
                  <c:v>0.42296500000000015</c:v>
                </c:pt>
                <c:pt idx="37">
                  <c:v>0.42296500000000015</c:v>
                </c:pt>
                <c:pt idx="38">
                  <c:v>0.42296500000000015</c:v>
                </c:pt>
                <c:pt idx="39">
                  <c:v>0.42296500000000015</c:v>
                </c:pt>
                <c:pt idx="40">
                  <c:v>0.42296500000000015</c:v>
                </c:pt>
                <c:pt idx="41">
                  <c:v>0.42296500000000015</c:v>
                </c:pt>
                <c:pt idx="42">
                  <c:v>0.42296500000000015</c:v>
                </c:pt>
                <c:pt idx="43">
                  <c:v>0.42296500000000015</c:v>
                </c:pt>
                <c:pt idx="44">
                  <c:v>0.42296500000000015</c:v>
                </c:pt>
                <c:pt idx="45">
                  <c:v>0.44102500000000011</c:v>
                </c:pt>
                <c:pt idx="46">
                  <c:v>0.46602500000000013</c:v>
                </c:pt>
                <c:pt idx="47">
                  <c:v>0.46602500000000013</c:v>
                </c:pt>
                <c:pt idx="48">
                  <c:v>0.46602500000000013</c:v>
                </c:pt>
                <c:pt idx="49">
                  <c:v>0.46602500000000013</c:v>
                </c:pt>
                <c:pt idx="50">
                  <c:v>0.46602500000000013</c:v>
                </c:pt>
                <c:pt idx="51">
                  <c:v>0.46602500000000013</c:v>
                </c:pt>
                <c:pt idx="52">
                  <c:v>0.46602500000000013</c:v>
                </c:pt>
                <c:pt idx="53">
                  <c:v>0.46602500000000013</c:v>
                </c:pt>
                <c:pt idx="54">
                  <c:v>0.46602500000000013</c:v>
                </c:pt>
                <c:pt idx="55">
                  <c:v>0.46602500000000013</c:v>
                </c:pt>
                <c:pt idx="56">
                  <c:v>0.46602500000000013</c:v>
                </c:pt>
                <c:pt idx="57">
                  <c:v>0.46602500000000013</c:v>
                </c:pt>
                <c:pt idx="58">
                  <c:v>0.46602500000000013</c:v>
                </c:pt>
                <c:pt idx="59">
                  <c:v>0.46602500000000013</c:v>
                </c:pt>
                <c:pt idx="60">
                  <c:v>0.46602500000000013</c:v>
                </c:pt>
                <c:pt idx="61">
                  <c:v>0.46602500000000013</c:v>
                </c:pt>
                <c:pt idx="62">
                  <c:v>0.46602500000000013</c:v>
                </c:pt>
                <c:pt idx="63">
                  <c:v>0.46602500000000013</c:v>
                </c:pt>
                <c:pt idx="64">
                  <c:v>0.47677500000000017</c:v>
                </c:pt>
                <c:pt idx="65">
                  <c:v>0.49769500000000017</c:v>
                </c:pt>
                <c:pt idx="66">
                  <c:v>0.49769500000000017</c:v>
                </c:pt>
                <c:pt idx="67">
                  <c:v>0.49769500000000017</c:v>
                </c:pt>
                <c:pt idx="68">
                  <c:v>0.49913000000000018</c:v>
                </c:pt>
                <c:pt idx="69">
                  <c:v>0.49913000000000018</c:v>
                </c:pt>
                <c:pt idx="70">
                  <c:v>0.49913000000000018</c:v>
                </c:pt>
                <c:pt idx="71">
                  <c:v>0.49913000000000018</c:v>
                </c:pt>
                <c:pt idx="72">
                  <c:v>0.49934500000000021</c:v>
                </c:pt>
                <c:pt idx="73">
                  <c:v>0.49934500000000021</c:v>
                </c:pt>
                <c:pt idx="74">
                  <c:v>0.49934500000000021</c:v>
                </c:pt>
                <c:pt idx="75">
                  <c:v>0.49934500000000021</c:v>
                </c:pt>
                <c:pt idx="76">
                  <c:v>0.49934500000000021</c:v>
                </c:pt>
                <c:pt idx="77">
                  <c:v>0.49934500000000021</c:v>
                </c:pt>
                <c:pt idx="78">
                  <c:v>0.49934500000000021</c:v>
                </c:pt>
                <c:pt idx="79">
                  <c:v>0.49953000000000025</c:v>
                </c:pt>
                <c:pt idx="80">
                  <c:v>0.49953000000000025</c:v>
                </c:pt>
                <c:pt idx="81">
                  <c:v>0.49953000000000025</c:v>
                </c:pt>
                <c:pt idx="82">
                  <c:v>0.49953000000000025</c:v>
                </c:pt>
                <c:pt idx="83">
                  <c:v>0.49953000000000025</c:v>
                </c:pt>
                <c:pt idx="84">
                  <c:v>0.49953000000000025</c:v>
                </c:pt>
                <c:pt idx="85">
                  <c:v>0.49953000000000025</c:v>
                </c:pt>
                <c:pt idx="86">
                  <c:v>0.49953000000000025</c:v>
                </c:pt>
                <c:pt idx="87">
                  <c:v>0.49953000000000025</c:v>
                </c:pt>
                <c:pt idx="88">
                  <c:v>0.49953000000000025</c:v>
                </c:pt>
                <c:pt idx="89">
                  <c:v>0.49953000000000025</c:v>
                </c:pt>
                <c:pt idx="90">
                  <c:v>0.49953000000000025</c:v>
                </c:pt>
                <c:pt idx="91">
                  <c:v>0.49953000000000025</c:v>
                </c:pt>
                <c:pt idx="92">
                  <c:v>0.49953000000000025</c:v>
                </c:pt>
                <c:pt idx="93">
                  <c:v>0.49953000000000025</c:v>
                </c:pt>
                <c:pt idx="94">
                  <c:v>0.49953000000000025</c:v>
                </c:pt>
                <c:pt idx="95">
                  <c:v>0.49953000000000025</c:v>
                </c:pt>
                <c:pt idx="96">
                  <c:v>0.49953000000000025</c:v>
                </c:pt>
                <c:pt idx="97">
                  <c:v>0.49953000000000025</c:v>
                </c:pt>
                <c:pt idx="98">
                  <c:v>0.49953000000000025</c:v>
                </c:pt>
                <c:pt idx="99">
                  <c:v>0.49953000000000025</c:v>
                </c:pt>
                <c:pt idx="100">
                  <c:v>0.49953000000000025</c:v>
                </c:pt>
                <c:pt idx="101">
                  <c:v>0.49953000000000025</c:v>
                </c:pt>
                <c:pt idx="102">
                  <c:v>0.49953000000000025</c:v>
                </c:pt>
                <c:pt idx="103">
                  <c:v>0.49953000000000025</c:v>
                </c:pt>
                <c:pt idx="104">
                  <c:v>0.49953000000000025</c:v>
                </c:pt>
                <c:pt idx="105">
                  <c:v>0.49953000000000025</c:v>
                </c:pt>
                <c:pt idx="106">
                  <c:v>0.49953000000000025</c:v>
                </c:pt>
                <c:pt idx="107">
                  <c:v>0.49953000000000025</c:v>
                </c:pt>
                <c:pt idx="108">
                  <c:v>0.49953000000000025</c:v>
                </c:pt>
                <c:pt idx="109">
                  <c:v>0.49953000000000025</c:v>
                </c:pt>
                <c:pt idx="110">
                  <c:v>0.49953000000000025</c:v>
                </c:pt>
                <c:pt idx="111">
                  <c:v>0.49953000000000025</c:v>
                </c:pt>
                <c:pt idx="112">
                  <c:v>0.49953000000000025</c:v>
                </c:pt>
                <c:pt idx="113">
                  <c:v>0.49953000000000025</c:v>
                </c:pt>
                <c:pt idx="114">
                  <c:v>0.49953000000000025</c:v>
                </c:pt>
                <c:pt idx="115">
                  <c:v>0.49953000000000025</c:v>
                </c:pt>
                <c:pt idx="116">
                  <c:v>0.49953000000000025</c:v>
                </c:pt>
                <c:pt idx="117">
                  <c:v>0.49953000000000025</c:v>
                </c:pt>
                <c:pt idx="118">
                  <c:v>0.49953000000000025</c:v>
                </c:pt>
                <c:pt idx="119">
                  <c:v>0.49953000000000025</c:v>
                </c:pt>
                <c:pt idx="120">
                  <c:v>0.49953000000000025</c:v>
                </c:pt>
                <c:pt idx="121">
                  <c:v>0.49953000000000025</c:v>
                </c:pt>
                <c:pt idx="122">
                  <c:v>0.49953000000000025</c:v>
                </c:pt>
                <c:pt idx="123">
                  <c:v>0.49953000000000025</c:v>
                </c:pt>
                <c:pt idx="124">
                  <c:v>0.49953000000000025</c:v>
                </c:pt>
                <c:pt idx="125">
                  <c:v>0.49953000000000025</c:v>
                </c:pt>
                <c:pt idx="126">
                  <c:v>0.49953000000000025</c:v>
                </c:pt>
                <c:pt idx="127">
                  <c:v>0.49953000000000025</c:v>
                </c:pt>
                <c:pt idx="128">
                  <c:v>0.49953000000000025</c:v>
                </c:pt>
                <c:pt idx="129">
                  <c:v>0.49953000000000025</c:v>
                </c:pt>
                <c:pt idx="130">
                  <c:v>0.49953000000000025</c:v>
                </c:pt>
                <c:pt idx="131">
                  <c:v>0.49953000000000025</c:v>
                </c:pt>
                <c:pt idx="132">
                  <c:v>0.49953000000000025</c:v>
                </c:pt>
                <c:pt idx="133">
                  <c:v>0.49953000000000025</c:v>
                </c:pt>
                <c:pt idx="134">
                  <c:v>0.49953000000000025</c:v>
                </c:pt>
                <c:pt idx="135">
                  <c:v>0.49953000000000025</c:v>
                </c:pt>
                <c:pt idx="136">
                  <c:v>0.49953000000000025</c:v>
                </c:pt>
                <c:pt idx="137">
                  <c:v>0.49953000000000025</c:v>
                </c:pt>
                <c:pt idx="138">
                  <c:v>0.49953000000000025</c:v>
                </c:pt>
                <c:pt idx="139">
                  <c:v>0.49953000000000025</c:v>
                </c:pt>
                <c:pt idx="140">
                  <c:v>0.49953000000000025</c:v>
                </c:pt>
                <c:pt idx="141">
                  <c:v>0.49953000000000025</c:v>
                </c:pt>
                <c:pt idx="142">
                  <c:v>0.49953000000000025</c:v>
                </c:pt>
                <c:pt idx="143">
                  <c:v>0.49953000000000025</c:v>
                </c:pt>
                <c:pt idx="144">
                  <c:v>0.49953000000000025</c:v>
                </c:pt>
                <c:pt idx="145">
                  <c:v>0.49953000000000025</c:v>
                </c:pt>
                <c:pt idx="146">
                  <c:v>0.49953000000000025</c:v>
                </c:pt>
                <c:pt idx="147">
                  <c:v>0.49953000000000025</c:v>
                </c:pt>
                <c:pt idx="148">
                  <c:v>0.50953000000000026</c:v>
                </c:pt>
                <c:pt idx="149">
                  <c:v>0.51753000000000027</c:v>
                </c:pt>
                <c:pt idx="150">
                  <c:v>0.52453000000000027</c:v>
                </c:pt>
                <c:pt idx="151">
                  <c:v>0.53825000000000023</c:v>
                </c:pt>
                <c:pt idx="152">
                  <c:v>0.54325000000000023</c:v>
                </c:pt>
                <c:pt idx="153">
                  <c:v>0.54764000000000024</c:v>
                </c:pt>
                <c:pt idx="154">
                  <c:v>0.54764000000000024</c:v>
                </c:pt>
                <c:pt idx="155">
                  <c:v>0.54764000000000024</c:v>
                </c:pt>
                <c:pt idx="156">
                  <c:v>0.55264000000000024</c:v>
                </c:pt>
                <c:pt idx="157">
                  <c:v>0.56264000000000025</c:v>
                </c:pt>
                <c:pt idx="158">
                  <c:v>0.57639000000000029</c:v>
                </c:pt>
                <c:pt idx="159">
                  <c:v>0.59139000000000019</c:v>
                </c:pt>
                <c:pt idx="160">
                  <c:v>0.59764000000000028</c:v>
                </c:pt>
                <c:pt idx="161">
                  <c:v>0.59764000000000028</c:v>
                </c:pt>
                <c:pt idx="162">
                  <c:v>0.60364000000000029</c:v>
                </c:pt>
                <c:pt idx="163">
                  <c:v>0.61514000000000024</c:v>
                </c:pt>
                <c:pt idx="164">
                  <c:v>0.62443000000000026</c:v>
                </c:pt>
                <c:pt idx="165">
                  <c:v>0.62571000000000021</c:v>
                </c:pt>
                <c:pt idx="166">
                  <c:v>0.62571000000000021</c:v>
                </c:pt>
                <c:pt idx="167">
                  <c:v>0.62571000000000021</c:v>
                </c:pt>
                <c:pt idx="168">
                  <c:v>0.62571000000000021</c:v>
                </c:pt>
                <c:pt idx="169">
                  <c:v>0.62571000000000021</c:v>
                </c:pt>
                <c:pt idx="170">
                  <c:v>0.62571000000000021</c:v>
                </c:pt>
                <c:pt idx="171">
                  <c:v>0.62571000000000021</c:v>
                </c:pt>
                <c:pt idx="172">
                  <c:v>0.62571000000000021</c:v>
                </c:pt>
                <c:pt idx="173">
                  <c:v>0.62571000000000021</c:v>
                </c:pt>
                <c:pt idx="174">
                  <c:v>0.62571000000000021</c:v>
                </c:pt>
                <c:pt idx="175">
                  <c:v>0.62571000000000021</c:v>
                </c:pt>
                <c:pt idx="176">
                  <c:v>0.62571000000000021</c:v>
                </c:pt>
                <c:pt idx="177">
                  <c:v>0.62571000000000021</c:v>
                </c:pt>
                <c:pt idx="178">
                  <c:v>0.62571000000000021</c:v>
                </c:pt>
                <c:pt idx="179">
                  <c:v>0.62571000000000021</c:v>
                </c:pt>
                <c:pt idx="180">
                  <c:v>0.62571000000000021</c:v>
                </c:pt>
                <c:pt idx="181">
                  <c:v>0.62571000000000021</c:v>
                </c:pt>
                <c:pt idx="182">
                  <c:v>0.62571000000000021</c:v>
                </c:pt>
                <c:pt idx="183">
                  <c:v>0.62571000000000021</c:v>
                </c:pt>
                <c:pt idx="184">
                  <c:v>0.62571000000000021</c:v>
                </c:pt>
                <c:pt idx="185">
                  <c:v>0.62571000000000021</c:v>
                </c:pt>
                <c:pt idx="186">
                  <c:v>0.62571000000000021</c:v>
                </c:pt>
                <c:pt idx="187">
                  <c:v>0.62571000000000021</c:v>
                </c:pt>
                <c:pt idx="188">
                  <c:v>0.62571000000000021</c:v>
                </c:pt>
                <c:pt idx="189">
                  <c:v>0.62571000000000021</c:v>
                </c:pt>
                <c:pt idx="190">
                  <c:v>0.62571000000000021</c:v>
                </c:pt>
                <c:pt idx="191">
                  <c:v>0.62571000000000021</c:v>
                </c:pt>
                <c:pt idx="192">
                  <c:v>0.62571000000000021</c:v>
                </c:pt>
                <c:pt idx="193">
                  <c:v>0.62571000000000021</c:v>
                </c:pt>
                <c:pt idx="194">
                  <c:v>0.62571000000000021</c:v>
                </c:pt>
                <c:pt idx="195">
                  <c:v>0.62571000000000021</c:v>
                </c:pt>
                <c:pt idx="196">
                  <c:v>0.62571000000000021</c:v>
                </c:pt>
                <c:pt idx="197">
                  <c:v>0.62571000000000021</c:v>
                </c:pt>
                <c:pt idx="198">
                  <c:v>0.62571000000000021</c:v>
                </c:pt>
                <c:pt idx="199">
                  <c:v>0.62571000000000021</c:v>
                </c:pt>
                <c:pt idx="200">
                  <c:v>0.62571000000000021</c:v>
                </c:pt>
                <c:pt idx="201">
                  <c:v>0.62571000000000021</c:v>
                </c:pt>
                <c:pt idx="202">
                  <c:v>0.62571000000000021</c:v>
                </c:pt>
                <c:pt idx="203">
                  <c:v>0.62571000000000021</c:v>
                </c:pt>
                <c:pt idx="204">
                  <c:v>0.62584000000000028</c:v>
                </c:pt>
                <c:pt idx="205">
                  <c:v>0.63544000000000023</c:v>
                </c:pt>
                <c:pt idx="206">
                  <c:v>0.63544000000000023</c:v>
                </c:pt>
                <c:pt idx="207">
                  <c:v>0.63708500000000023</c:v>
                </c:pt>
                <c:pt idx="208">
                  <c:v>0.64153000000000016</c:v>
                </c:pt>
                <c:pt idx="209">
                  <c:v>0.64384500000000022</c:v>
                </c:pt>
                <c:pt idx="210">
                  <c:v>0.64384500000000022</c:v>
                </c:pt>
                <c:pt idx="211">
                  <c:v>0.64384500000000022</c:v>
                </c:pt>
                <c:pt idx="212">
                  <c:v>0.64384500000000022</c:v>
                </c:pt>
                <c:pt idx="213">
                  <c:v>0.64384500000000022</c:v>
                </c:pt>
                <c:pt idx="214">
                  <c:v>0.64384500000000022</c:v>
                </c:pt>
                <c:pt idx="215">
                  <c:v>0.6548550000000003</c:v>
                </c:pt>
                <c:pt idx="216">
                  <c:v>0.6548550000000003</c:v>
                </c:pt>
                <c:pt idx="217">
                  <c:v>0.6548550000000003</c:v>
                </c:pt>
                <c:pt idx="218">
                  <c:v>0.6548550000000003</c:v>
                </c:pt>
                <c:pt idx="219">
                  <c:v>0.6548550000000003</c:v>
                </c:pt>
                <c:pt idx="220">
                  <c:v>0.6548550000000003</c:v>
                </c:pt>
                <c:pt idx="221">
                  <c:v>0.6548550000000003</c:v>
                </c:pt>
                <c:pt idx="222">
                  <c:v>0.6548550000000003</c:v>
                </c:pt>
                <c:pt idx="223">
                  <c:v>0.6548550000000003</c:v>
                </c:pt>
                <c:pt idx="224">
                  <c:v>0.6548550000000003</c:v>
                </c:pt>
                <c:pt idx="225">
                  <c:v>0.6548550000000003</c:v>
                </c:pt>
                <c:pt idx="226">
                  <c:v>0.6548550000000003</c:v>
                </c:pt>
                <c:pt idx="227">
                  <c:v>0.6548550000000003</c:v>
                </c:pt>
                <c:pt idx="228">
                  <c:v>0.6548550000000003</c:v>
                </c:pt>
                <c:pt idx="229">
                  <c:v>0.6627000000000004</c:v>
                </c:pt>
                <c:pt idx="230">
                  <c:v>0.66277000000000041</c:v>
                </c:pt>
                <c:pt idx="231">
                  <c:v>0.66277000000000041</c:v>
                </c:pt>
                <c:pt idx="232">
                  <c:v>0.66277000000000041</c:v>
                </c:pt>
                <c:pt idx="233">
                  <c:v>0.66277000000000041</c:v>
                </c:pt>
                <c:pt idx="234">
                  <c:v>0.66277000000000041</c:v>
                </c:pt>
                <c:pt idx="235">
                  <c:v>0.66293500000000039</c:v>
                </c:pt>
                <c:pt idx="236">
                  <c:v>0.66622000000000026</c:v>
                </c:pt>
                <c:pt idx="237">
                  <c:v>0.67043000000000019</c:v>
                </c:pt>
                <c:pt idx="238">
                  <c:v>0.67043000000000019</c:v>
                </c:pt>
                <c:pt idx="239">
                  <c:v>0.67043000000000019</c:v>
                </c:pt>
                <c:pt idx="240">
                  <c:v>0.67093000000000014</c:v>
                </c:pt>
                <c:pt idx="241">
                  <c:v>0.67093000000000014</c:v>
                </c:pt>
                <c:pt idx="242">
                  <c:v>0.67763000000000018</c:v>
                </c:pt>
                <c:pt idx="243">
                  <c:v>0.69114500000000012</c:v>
                </c:pt>
                <c:pt idx="244">
                  <c:v>0.69849500000000009</c:v>
                </c:pt>
                <c:pt idx="245">
                  <c:v>0.69849500000000009</c:v>
                </c:pt>
                <c:pt idx="246">
                  <c:v>0.72785500000000014</c:v>
                </c:pt>
                <c:pt idx="247">
                  <c:v>0.72785500000000014</c:v>
                </c:pt>
                <c:pt idx="248">
                  <c:v>0.72785500000000014</c:v>
                </c:pt>
                <c:pt idx="249">
                  <c:v>0.72785500000000014</c:v>
                </c:pt>
                <c:pt idx="250">
                  <c:v>0.72785500000000014</c:v>
                </c:pt>
                <c:pt idx="251">
                  <c:v>0.72785500000000014</c:v>
                </c:pt>
                <c:pt idx="252">
                  <c:v>0.72785500000000014</c:v>
                </c:pt>
                <c:pt idx="253">
                  <c:v>0.72785500000000014</c:v>
                </c:pt>
                <c:pt idx="254">
                  <c:v>0.72785500000000014</c:v>
                </c:pt>
                <c:pt idx="255">
                  <c:v>0.72785500000000014</c:v>
                </c:pt>
                <c:pt idx="256">
                  <c:v>0.72852000000000006</c:v>
                </c:pt>
                <c:pt idx="257">
                  <c:v>0.72971999999999992</c:v>
                </c:pt>
                <c:pt idx="258">
                  <c:v>0.72971999999999992</c:v>
                </c:pt>
                <c:pt idx="259">
                  <c:v>0.72971999999999992</c:v>
                </c:pt>
                <c:pt idx="260">
                  <c:v>0.7401049999999999</c:v>
                </c:pt>
                <c:pt idx="261">
                  <c:v>0.7401049999999999</c:v>
                </c:pt>
                <c:pt idx="262">
                  <c:v>0.7401049999999999</c:v>
                </c:pt>
                <c:pt idx="263">
                  <c:v>0.7401049999999999</c:v>
                </c:pt>
                <c:pt idx="264">
                  <c:v>0.7401049999999999</c:v>
                </c:pt>
                <c:pt idx="265">
                  <c:v>0.7401049999999999</c:v>
                </c:pt>
                <c:pt idx="266">
                  <c:v>0.7401049999999999</c:v>
                </c:pt>
                <c:pt idx="267">
                  <c:v>0.7401049999999999</c:v>
                </c:pt>
                <c:pt idx="268">
                  <c:v>0.7401049999999999</c:v>
                </c:pt>
                <c:pt idx="269">
                  <c:v>0.7401049999999999</c:v>
                </c:pt>
                <c:pt idx="270">
                  <c:v>0.7401049999999999</c:v>
                </c:pt>
                <c:pt idx="271">
                  <c:v>0.7401049999999999</c:v>
                </c:pt>
                <c:pt idx="272">
                  <c:v>0.7401049999999999</c:v>
                </c:pt>
                <c:pt idx="273">
                  <c:v>0.7401049999999999</c:v>
                </c:pt>
                <c:pt idx="274">
                  <c:v>0.7401049999999999</c:v>
                </c:pt>
                <c:pt idx="275">
                  <c:v>0.7401049999999999</c:v>
                </c:pt>
                <c:pt idx="276">
                  <c:v>0.74017999999999984</c:v>
                </c:pt>
                <c:pt idx="277">
                  <c:v>0.74017999999999984</c:v>
                </c:pt>
                <c:pt idx="278">
                  <c:v>0.74017999999999984</c:v>
                </c:pt>
                <c:pt idx="279">
                  <c:v>0.74017999999999984</c:v>
                </c:pt>
                <c:pt idx="280">
                  <c:v>0.74017999999999984</c:v>
                </c:pt>
                <c:pt idx="281">
                  <c:v>0.74017999999999984</c:v>
                </c:pt>
                <c:pt idx="282">
                  <c:v>0.74017999999999984</c:v>
                </c:pt>
                <c:pt idx="283">
                  <c:v>0.74017999999999984</c:v>
                </c:pt>
                <c:pt idx="284">
                  <c:v>0.74017999999999984</c:v>
                </c:pt>
                <c:pt idx="285">
                  <c:v>0.74020999999999981</c:v>
                </c:pt>
                <c:pt idx="286">
                  <c:v>0.74443499999999985</c:v>
                </c:pt>
                <c:pt idx="287">
                  <c:v>0.74980999999999975</c:v>
                </c:pt>
                <c:pt idx="288">
                  <c:v>0.76170999999999978</c:v>
                </c:pt>
                <c:pt idx="289">
                  <c:v>0.76170999999999978</c:v>
                </c:pt>
                <c:pt idx="290">
                  <c:v>0.77485999999999988</c:v>
                </c:pt>
                <c:pt idx="291">
                  <c:v>0.77485999999999988</c:v>
                </c:pt>
                <c:pt idx="292">
                  <c:v>0.77790999999999999</c:v>
                </c:pt>
                <c:pt idx="293">
                  <c:v>0.78215999999999997</c:v>
                </c:pt>
                <c:pt idx="294">
                  <c:v>0.78215999999999997</c:v>
                </c:pt>
                <c:pt idx="295">
                  <c:v>0.79020999999999997</c:v>
                </c:pt>
                <c:pt idx="296">
                  <c:v>0.79020999999999997</c:v>
                </c:pt>
                <c:pt idx="297">
                  <c:v>0.79020999999999997</c:v>
                </c:pt>
                <c:pt idx="298">
                  <c:v>0.79020999999999997</c:v>
                </c:pt>
                <c:pt idx="299">
                  <c:v>0.79695499999999997</c:v>
                </c:pt>
                <c:pt idx="300">
                  <c:v>0.79695499999999997</c:v>
                </c:pt>
                <c:pt idx="301">
                  <c:v>0.79695499999999997</c:v>
                </c:pt>
                <c:pt idx="302">
                  <c:v>0.80095499999999997</c:v>
                </c:pt>
                <c:pt idx="303">
                  <c:v>0.82477999999999996</c:v>
                </c:pt>
                <c:pt idx="304">
                  <c:v>0.82477999999999996</c:v>
                </c:pt>
                <c:pt idx="305">
                  <c:v>0.82477999999999996</c:v>
                </c:pt>
                <c:pt idx="306">
                  <c:v>0.82477999999999996</c:v>
                </c:pt>
                <c:pt idx="307">
                  <c:v>0.82477999999999996</c:v>
                </c:pt>
                <c:pt idx="308">
                  <c:v>0.82477999999999996</c:v>
                </c:pt>
                <c:pt idx="309">
                  <c:v>0.82477999999999996</c:v>
                </c:pt>
                <c:pt idx="310">
                  <c:v>0.82477999999999996</c:v>
                </c:pt>
                <c:pt idx="311">
                  <c:v>0.82477999999999996</c:v>
                </c:pt>
                <c:pt idx="312">
                  <c:v>0.83150999999999997</c:v>
                </c:pt>
                <c:pt idx="313">
                  <c:v>0.83150999999999997</c:v>
                </c:pt>
                <c:pt idx="314">
                  <c:v>0.83150999999999997</c:v>
                </c:pt>
                <c:pt idx="315">
                  <c:v>0.83150999999999997</c:v>
                </c:pt>
                <c:pt idx="316">
                  <c:v>0.83150999999999997</c:v>
                </c:pt>
                <c:pt idx="317">
                  <c:v>0.85321000000000002</c:v>
                </c:pt>
                <c:pt idx="318">
                  <c:v>0.85321000000000002</c:v>
                </c:pt>
                <c:pt idx="319">
                  <c:v>0.85321000000000002</c:v>
                </c:pt>
                <c:pt idx="320">
                  <c:v>0.85321000000000002</c:v>
                </c:pt>
                <c:pt idx="321">
                  <c:v>0.85321000000000002</c:v>
                </c:pt>
                <c:pt idx="322">
                  <c:v>0.85321000000000002</c:v>
                </c:pt>
                <c:pt idx="323">
                  <c:v>0.85321000000000002</c:v>
                </c:pt>
                <c:pt idx="324">
                  <c:v>0.85321000000000002</c:v>
                </c:pt>
                <c:pt idx="325">
                  <c:v>0.85321000000000002</c:v>
                </c:pt>
                <c:pt idx="326">
                  <c:v>0.85321000000000002</c:v>
                </c:pt>
                <c:pt idx="327">
                  <c:v>0.85321000000000002</c:v>
                </c:pt>
                <c:pt idx="328">
                  <c:v>0.85321000000000002</c:v>
                </c:pt>
                <c:pt idx="329">
                  <c:v>0.85321000000000002</c:v>
                </c:pt>
                <c:pt idx="330">
                  <c:v>0.86820999999999993</c:v>
                </c:pt>
                <c:pt idx="331">
                  <c:v>0.89146000000000003</c:v>
                </c:pt>
                <c:pt idx="332">
                  <c:v>0.90130500000000002</c:v>
                </c:pt>
                <c:pt idx="333">
                  <c:v>0.90130500000000002</c:v>
                </c:pt>
                <c:pt idx="334">
                  <c:v>0.90130500000000002</c:v>
                </c:pt>
                <c:pt idx="335">
                  <c:v>0.90130500000000002</c:v>
                </c:pt>
                <c:pt idx="336">
                  <c:v>0.90130500000000002</c:v>
                </c:pt>
                <c:pt idx="337">
                  <c:v>0.90130500000000002</c:v>
                </c:pt>
                <c:pt idx="338">
                  <c:v>0.90767999999999982</c:v>
                </c:pt>
                <c:pt idx="339">
                  <c:v>0.90894249999999988</c:v>
                </c:pt>
                <c:pt idx="340">
                  <c:v>0.90942749999999994</c:v>
                </c:pt>
                <c:pt idx="341">
                  <c:v>0.90942749999999994</c:v>
                </c:pt>
                <c:pt idx="342">
                  <c:v>0.90942749999999994</c:v>
                </c:pt>
                <c:pt idx="343">
                  <c:v>0.90942749999999994</c:v>
                </c:pt>
                <c:pt idx="344">
                  <c:v>0.90942749999999994</c:v>
                </c:pt>
                <c:pt idx="345">
                  <c:v>0.90942749999999994</c:v>
                </c:pt>
                <c:pt idx="346">
                  <c:v>0.90942749999999994</c:v>
                </c:pt>
                <c:pt idx="347">
                  <c:v>0.90942749999999994</c:v>
                </c:pt>
                <c:pt idx="348">
                  <c:v>0.90942749999999994</c:v>
                </c:pt>
                <c:pt idx="349">
                  <c:v>0.90942749999999994</c:v>
                </c:pt>
                <c:pt idx="350">
                  <c:v>0.90942749999999994</c:v>
                </c:pt>
                <c:pt idx="351">
                  <c:v>0.90942749999999994</c:v>
                </c:pt>
                <c:pt idx="352">
                  <c:v>0.90942749999999994</c:v>
                </c:pt>
                <c:pt idx="353">
                  <c:v>0.90942749999999994</c:v>
                </c:pt>
                <c:pt idx="354">
                  <c:v>0.90942749999999994</c:v>
                </c:pt>
                <c:pt idx="355">
                  <c:v>0.90942749999999994</c:v>
                </c:pt>
                <c:pt idx="356">
                  <c:v>0.90942749999999994</c:v>
                </c:pt>
                <c:pt idx="357">
                  <c:v>0.90942749999999994</c:v>
                </c:pt>
                <c:pt idx="358">
                  <c:v>0.90942749999999994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72-4912-9233-AA51B3DC93C0}"/>
            </c:ext>
          </c:extLst>
        </c:ser>
        <c:ser>
          <c:idx val="5"/>
          <c:order val="1"/>
          <c:tx>
            <c:strRef>
              <c:f>'Grafico %'!$D$1</c:f>
              <c:strCache>
                <c:ptCount val="1"/>
                <c:pt idx="0">
                  <c:v>CIPS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'Grafico %'!$A$2:$A$426</c:f>
              <c:numCache>
                <c:formatCode>d\-mmm</c:formatCode>
                <c:ptCount val="425"/>
                <c:pt idx="0">
                  <c:v>45963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45969</c:v>
                </c:pt>
                <c:pt idx="7">
                  <c:v>45970</c:v>
                </c:pt>
                <c:pt idx="8">
                  <c:v>45971</c:v>
                </c:pt>
                <c:pt idx="9">
                  <c:v>45972</c:v>
                </c:pt>
                <c:pt idx="10">
                  <c:v>45973</c:v>
                </c:pt>
                <c:pt idx="11">
                  <c:v>45974</c:v>
                </c:pt>
                <c:pt idx="12">
                  <c:v>45975</c:v>
                </c:pt>
                <c:pt idx="13">
                  <c:v>45976</c:v>
                </c:pt>
                <c:pt idx="14">
                  <c:v>45977</c:v>
                </c:pt>
                <c:pt idx="15">
                  <c:v>45978</c:v>
                </c:pt>
                <c:pt idx="16">
                  <c:v>45979</c:v>
                </c:pt>
                <c:pt idx="17">
                  <c:v>45980</c:v>
                </c:pt>
                <c:pt idx="18">
                  <c:v>45981</c:v>
                </c:pt>
                <c:pt idx="19">
                  <c:v>45982</c:v>
                </c:pt>
                <c:pt idx="20">
                  <c:v>45983</c:v>
                </c:pt>
                <c:pt idx="21">
                  <c:v>45984</c:v>
                </c:pt>
                <c:pt idx="22">
                  <c:v>45985</c:v>
                </c:pt>
                <c:pt idx="23">
                  <c:v>45986</c:v>
                </c:pt>
                <c:pt idx="24">
                  <c:v>45987</c:v>
                </c:pt>
                <c:pt idx="25">
                  <c:v>45988</c:v>
                </c:pt>
                <c:pt idx="26">
                  <c:v>45989</c:v>
                </c:pt>
                <c:pt idx="27">
                  <c:v>45990</c:v>
                </c:pt>
                <c:pt idx="28">
                  <c:v>45991</c:v>
                </c:pt>
                <c:pt idx="29">
                  <c:v>45992</c:v>
                </c:pt>
                <c:pt idx="30">
                  <c:v>45993</c:v>
                </c:pt>
                <c:pt idx="31">
                  <c:v>45994</c:v>
                </c:pt>
                <c:pt idx="32">
                  <c:v>45995</c:v>
                </c:pt>
                <c:pt idx="33">
                  <c:v>45996</c:v>
                </c:pt>
                <c:pt idx="34">
                  <c:v>45997</c:v>
                </c:pt>
                <c:pt idx="35">
                  <c:v>45998</c:v>
                </c:pt>
                <c:pt idx="36">
                  <c:v>45999</c:v>
                </c:pt>
                <c:pt idx="37">
                  <c:v>46000</c:v>
                </c:pt>
                <c:pt idx="38">
                  <c:v>46001</c:v>
                </c:pt>
                <c:pt idx="39">
                  <c:v>46002</c:v>
                </c:pt>
                <c:pt idx="40">
                  <c:v>46003</c:v>
                </c:pt>
                <c:pt idx="41">
                  <c:v>46004</c:v>
                </c:pt>
                <c:pt idx="42">
                  <c:v>46005</c:v>
                </c:pt>
                <c:pt idx="43">
                  <c:v>46006</c:v>
                </c:pt>
                <c:pt idx="44">
                  <c:v>46007</c:v>
                </c:pt>
                <c:pt idx="45">
                  <c:v>46008</c:v>
                </c:pt>
                <c:pt idx="46">
                  <c:v>46009</c:v>
                </c:pt>
                <c:pt idx="47">
                  <c:v>46010</c:v>
                </c:pt>
                <c:pt idx="48">
                  <c:v>46011</c:v>
                </c:pt>
                <c:pt idx="49">
                  <c:v>46012</c:v>
                </c:pt>
                <c:pt idx="50">
                  <c:v>46013</c:v>
                </c:pt>
                <c:pt idx="51">
                  <c:v>46014</c:v>
                </c:pt>
                <c:pt idx="52">
                  <c:v>46015</c:v>
                </c:pt>
                <c:pt idx="53">
                  <c:v>46016</c:v>
                </c:pt>
                <c:pt idx="54">
                  <c:v>46017</c:v>
                </c:pt>
                <c:pt idx="55">
                  <c:v>46018</c:v>
                </c:pt>
                <c:pt idx="56">
                  <c:v>46019</c:v>
                </c:pt>
                <c:pt idx="57">
                  <c:v>46020</c:v>
                </c:pt>
                <c:pt idx="58">
                  <c:v>46021</c:v>
                </c:pt>
                <c:pt idx="59">
                  <c:v>46022</c:v>
                </c:pt>
                <c:pt idx="60">
                  <c:v>46023</c:v>
                </c:pt>
                <c:pt idx="61">
                  <c:v>46024</c:v>
                </c:pt>
                <c:pt idx="62">
                  <c:v>46025</c:v>
                </c:pt>
                <c:pt idx="63">
                  <c:v>46026</c:v>
                </c:pt>
                <c:pt idx="64">
                  <c:v>46027</c:v>
                </c:pt>
                <c:pt idx="65">
                  <c:v>46028</c:v>
                </c:pt>
                <c:pt idx="66">
                  <c:v>46029</c:v>
                </c:pt>
                <c:pt idx="67">
                  <c:v>46030</c:v>
                </c:pt>
                <c:pt idx="68">
                  <c:v>46031</c:v>
                </c:pt>
                <c:pt idx="69">
                  <c:v>46032</c:v>
                </c:pt>
                <c:pt idx="70">
                  <c:v>46033</c:v>
                </c:pt>
                <c:pt idx="71">
                  <c:v>46034</c:v>
                </c:pt>
                <c:pt idx="72">
                  <c:v>46035</c:v>
                </c:pt>
                <c:pt idx="73">
                  <c:v>46036</c:v>
                </c:pt>
                <c:pt idx="74">
                  <c:v>46037</c:v>
                </c:pt>
                <c:pt idx="75">
                  <c:v>46038</c:v>
                </c:pt>
                <c:pt idx="76">
                  <c:v>46039</c:v>
                </c:pt>
                <c:pt idx="77">
                  <c:v>46040</c:v>
                </c:pt>
                <c:pt idx="78">
                  <c:v>46041</c:v>
                </c:pt>
                <c:pt idx="79">
                  <c:v>46042</c:v>
                </c:pt>
                <c:pt idx="80">
                  <c:v>46043</c:v>
                </c:pt>
                <c:pt idx="81">
                  <c:v>46044</c:v>
                </c:pt>
                <c:pt idx="82">
                  <c:v>46045</c:v>
                </c:pt>
                <c:pt idx="83">
                  <c:v>46046</c:v>
                </c:pt>
                <c:pt idx="84">
                  <c:v>46047</c:v>
                </c:pt>
                <c:pt idx="85">
                  <c:v>46048</c:v>
                </c:pt>
                <c:pt idx="86">
                  <c:v>46049</c:v>
                </c:pt>
                <c:pt idx="87">
                  <c:v>46050</c:v>
                </c:pt>
                <c:pt idx="88">
                  <c:v>46051</c:v>
                </c:pt>
                <c:pt idx="89">
                  <c:v>46052</c:v>
                </c:pt>
                <c:pt idx="90">
                  <c:v>46053</c:v>
                </c:pt>
                <c:pt idx="91">
                  <c:v>46054</c:v>
                </c:pt>
                <c:pt idx="92">
                  <c:v>46055</c:v>
                </c:pt>
                <c:pt idx="93">
                  <c:v>46056</c:v>
                </c:pt>
                <c:pt idx="94">
                  <c:v>46057</c:v>
                </c:pt>
                <c:pt idx="95">
                  <c:v>46058</c:v>
                </c:pt>
                <c:pt idx="96">
                  <c:v>46059</c:v>
                </c:pt>
                <c:pt idx="97">
                  <c:v>46060</c:v>
                </c:pt>
                <c:pt idx="98">
                  <c:v>46061</c:v>
                </c:pt>
                <c:pt idx="99">
                  <c:v>46062</c:v>
                </c:pt>
                <c:pt idx="100">
                  <c:v>46063</c:v>
                </c:pt>
                <c:pt idx="101">
                  <c:v>46064</c:v>
                </c:pt>
                <c:pt idx="102">
                  <c:v>46065</c:v>
                </c:pt>
                <c:pt idx="103">
                  <c:v>46066</c:v>
                </c:pt>
                <c:pt idx="104">
                  <c:v>46067</c:v>
                </c:pt>
                <c:pt idx="105">
                  <c:v>46068</c:v>
                </c:pt>
                <c:pt idx="106">
                  <c:v>46069</c:v>
                </c:pt>
                <c:pt idx="107">
                  <c:v>46070</c:v>
                </c:pt>
                <c:pt idx="108">
                  <c:v>46071</c:v>
                </c:pt>
                <c:pt idx="109">
                  <c:v>46072</c:v>
                </c:pt>
                <c:pt idx="110">
                  <c:v>46073</c:v>
                </c:pt>
                <c:pt idx="111">
                  <c:v>46074</c:v>
                </c:pt>
                <c:pt idx="112">
                  <c:v>46075</c:v>
                </c:pt>
                <c:pt idx="113">
                  <c:v>46076</c:v>
                </c:pt>
                <c:pt idx="114">
                  <c:v>46077</c:v>
                </c:pt>
                <c:pt idx="115">
                  <c:v>46078</c:v>
                </c:pt>
                <c:pt idx="116">
                  <c:v>46079</c:v>
                </c:pt>
                <c:pt idx="117">
                  <c:v>46080</c:v>
                </c:pt>
                <c:pt idx="118">
                  <c:v>46081</c:v>
                </c:pt>
                <c:pt idx="119">
                  <c:v>46082</c:v>
                </c:pt>
                <c:pt idx="120">
                  <c:v>46083</c:v>
                </c:pt>
                <c:pt idx="121">
                  <c:v>46084</c:v>
                </c:pt>
                <c:pt idx="122">
                  <c:v>46085</c:v>
                </c:pt>
                <c:pt idx="123">
                  <c:v>46086</c:v>
                </c:pt>
                <c:pt idx="124">
                  <c:v>46087</c:v>
                </c:pt>
                <c:pt idx="125">
                  <c:v>46088</c:v>
                </c:pt>
                <c:pt idx="126">
                  <c:v>46089</c:v>
                </c:pt>
                <c:pt idx="127">
                  <c:v>46090</c:v>
                </c:pt>
                <c:pt idx="128">
                  <c:v>46091</c:v>
                </c:pt>
                <c:pt idx="129">
                  <c:v>46092</c:v>
                </c:pt>
                <c:pt idx="130">
                  <c:v>46093</c:v>
                </c:pt>
                <c:pt idx="131">
                  <c:v>46094</c:v>
                </c:pt>
                <c:pt idx="132">
                  <c:v>46095</c:v>
                </c:pt>
                <c:pt idx="133">
                  <c:v>46096</c:v>
                </c:pt>
                <c:pt idx="134">
                  <c:v>46097</c:v>
                </c:pt>
                <c:pt idx="135">
                  <c:v>46098</c:v>
                </c:pt>
                <c:pt idx="136">
                  <c:v>46099</c:v>
                </c:pt>
                <c:pt idx="137">
                  <c:v>46100</c:v>
                </c:pt>
                <c:pt idx="138">
                  <c:v>46101</c:v>
                </c:pt>
                <c:pt idx="139">
                  <c:v>46102</c:v>
                </c:pt>
                <c:pt idx="140">
                  <c:v>46103</c:v>
                </c:pt>
                <c:pt idx="141">
                  <c:v>46104</c:v>
                </c:pt>
                <c:pt idx="142">
                  <c:v>46105</c:v>
                </c:pt>
                <c:pt idx="143">
                  <c:v>46106</c:v>
                </c:pt>
                <c:pt idx="144">
                  <c:v>46107</c:v>
                </c:pt>
                <c:pt idx="145">
                  <c:v>46108</c:v>
                </c:pt>
                <c:pt idx="146">
                  <c:v>46109</c:v>
                </c:pt>
                <c:pt idx="147">
                  <c:v>46110</c:v>
                </c:pt>
                <c:pt idx="148">
                  <c:v>46111</c:v>
                </c:pt>
                <c:pt idx="149">
                  <c:v>46112</c:v>
                </c:pt>
                <c:pt idx="150">
                  <c:v>46113</c:v>
                </c:pt>
                <c:pt idx="151">
                  <c:v>46114</c:v>
                </c:pt>
                <c:pt idx="152">
                  <c:v>46115</c:v>
                </c:pt>
                <c:pt idx="153">
                  <c:v>46116</c:v>
                </c:pt>
                <c:pt idx="154">
                  <c:v>46117</c:v>
                </c:pt>
                <c:pt idx="155">
                  <c:v>46118</c:v>
                </c:pt>
                <c:pt idx="156">
                  <c:v>46119</c:v>
                </c:pt>
                <c:pt idx="157">
                  <c:v>46120</c:v>
                </c:pt>
                <c:pt idx="158">
                  <c:v>46121</c:v>
                </c:pt>
                <c:pt idx="159">
                  <c:v>46122</c:v>
                </c:pt>
                <c:pt idx="160">
                  <c:v>46123</c:v>
                </c:pt>
                <c:pt idx="161">
                  <c:v>46124</c:v>
                </c:pt>
                <c:pt idx="162">
                  <c:v>46125</c:v>
                </c:pt>
                <c:pt idx="163">
                  <c:v>46126</c:v>
                </c:pt>
                <c:pt idx="164">
                  <c:v>46127</c:v>
                </c:pt>
                <c:pt idx="165">
                  <c:v>46128</c:v>
                </c:pt>
                <c:pt idx="166">
                  <c:v>46129</c:v>
                </c:pt>
                <c:pt idx="167">
                  <c:v>46130</c:v>
                </c:pt>
                <c:pt idx="168">
                  <c:v>46131</c:v>
                </c:pt>
                <c:pt idx="169">
                  <c:v>46132</c:v>
                </c:pt>
                <c:pt idx="170">
                  <c:v>46133</c:v>
                </c:pt>
                <c:pt idx="171">
                  <c:v>46134</c:v>
                </c:pt>
                <c:pt idx="172">
                  <c:v>46135</c:v>
                </c:pt>
                <c:pt idx="173">
                  <c:v>46136</c:v>
                </c:pt>
                <c:pt idx="174">
                  <c:v>46137</c:v>
                </c:pt>
                <c:pt idx="175">
                  <c:v>46138</c:v>
                </c:pt>
                <c:pt idx="176">
                  <c:v>46139</c:v>
                </c:pt>
                <c:pt idx="177">
                  <c:v>46140</c:v>
                </c:pt>
                <c:pt idx="178">
                  <c:v>46141</c:v>
                </c:pt>
                <c:pt idx="179">
                  <c:v>46142</c:v>
                </c:pt>
                <c:pt idx="180">
                  <c:v>46143</c:v>
                </c:pt>
                <c:pt idx="181">
                  <c:v>46144</c:v>
                </c:pt>
                <c:pt idx="182">
                  <c:v>46145</c:v>
                </c:pt>
                <c:pt idx="183">
                  <c:v>46146</c:v>
                </c:pt>
                <c:pt idx="184">
                  <c:v>46147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46158</c:v>
                </c:pt>
                <c:pt idx="196">
                  <c:v>46159</c:v>
                </c:pt>
                <c:pt idx="197">
                  <c:v>46160</c:v>
                </c:pt>
                <c:pt idx="198">
                  <c:v>46161</c:v>
                </c:pt>
                <c:pt idx="199">
                  <c:v>46162</c:v>
                </c:pt>
                <c:pt idx="200">
                  <c:v>46163</c:v>
                </c:pt>
                <c:pt idx="201">
                  <c:v>46164</c:v>
                </c:pt>
                <c:pt idx="202">
                  <c:v>46165</c:v>
                </c:pt>
                <c:pt idx="203">
                  <c:v>46166</c:v>
                </c:pt>
                <c:pt idx="204">
                  <c:v>46167</c:v>
                </c:pt>
                <c:pt idx="205">
                  <c:v>46168</c:v>
                </c:pt>
                <c:pt idx="206">
                  <c:v>46169</c:v>
                </c:pt>
                <c:pt idx="207">
                  <c:v>46170</c:v>
                </c:pt>
                <c:pt idx="208">
                  <c:v>46171</c:v>
                </c:pt>
                <c:pt idx="209">
                  <c:v>46172</c:v>
                </c:pt>
                <c:pt idx="210">
                  <c:v>46173</c:v>
                </c:pt>
                <c:pt idx="211">
                  <c:v>46174</c:v>
                </c:pt>
                <c:pt idx="212">
                  <c:v>46175</c:v>
                </c:pt>
                <c:pt idx="213">
                  <c:v>46176</c:v>
                </c:pt>
                <c:pt idx="214">
                  <c:v>46177</c:v>
                </c:pt>
                <c:pt idx="215">
                  <c:v>46178</c:v>
                </c:pt>
                <c:pt idx="216">
                  <c:v>46179</c:v>
                </c:pt>
                <c:pt idx="217">
                  <c:v>46180</c:v>
                </c:pt>
                <c:pt idx="218">
                  <c:v>46181</c:v>
                </c:pt>
                <c:pt idx="219">
                  <c:v>46182</c:v>
                </c:pt>
                <c:pt idx="220">
                  <c:v>46183</c:v>
                </c:pt>
                <c:pt idx="221">
                  <c:v>46184</c:v>
                </c:pt>
                <c:pt idx="222">
                  <c:v>46185</c:v>
                </c:pt>
                <c:pt idx="223">
                  <c:v>46186</c:v>
                </c:pt>
                <c:pt idx="224">
                  <c:v>46187</c:v>
                </c:pt>
                <c:pt idx="225">
                  <c:v>46188</c:v>
                </c:pt>
                <c:pt idx="226">
                  <c:v>46189</c:v>
                </c:pt>
                <c:pt idx="227">
                  <c:v>46190</c:v>
                </c:pt>
                <c:pt idx="228">
                  <c:v>46191</c:v>
                </c:pt>
                <c:pt idx="229">
                  <c:v>46192</c:v>
                </c:pt>
                <c:pt idx="230">
                  <c:v>46193</c:v>
                </c:pt>
                <c:pt idx="231">
                  <c:v>46194</c:v>
                </c:pt>
                <c:pt idx="232">
                  <c:v>46195</c:v>
                </c:pt>
                <c:pt idx="233">
                  <c:v>46196</c:v>
                </c:pt>
                <c:pt idx="234">
                  <c:v>46197</c:v>
                </c:pt>
                <c:pt idx="235">
                  <c:v>46198</c:v>
                </c:pt>
                <c:pt idx="236">
                  <c:v>46199</c:v>
                </c:pt>
                <c:pt idx="237">
                  <c:v>46200</c:v>
                </c:pt>
                <c:pt idx="238">
                  <c:v>46201</c:v>
                </c:pt>
                <c:pt idx="239">
                  <c:v>46202</c:v>
                </c:pt>
                <c:pt idx="240">
                  <c:v>46203</c:v>
                </c:pt>
                <c:pt idx="241">
                  <c:v>46204</c:v>
                </c:pt>
                <c:pt idx="242">
                  <c:v>46205</c:v>
                </c:pt>
                <c:pt idx="243">
                  <c:v>46206</c:v>
                </c:pt>
                <c:pt idx="244">
                  <c:v>46207</c:v>
                </c:pt>
                <c:pt idx="245">
                  <c:v>46208</c:v>
                </c:pt>
                <c:pt idx="246">
                  <c:v>46209</c:v>
                </c:pt>
                <c:pt idx="247">
                  <c:v>46210</c:v>
                </c:pt>
                <c:pt idx="248">
                  <c:v>46211</c:v>
                </c:pt>
                <c:pt idx="249">
                  <c:v>46212</c:v>
                </c:pt>
                <c:pt idx="250">
                  <c:v>46213</c:v>
                </c:pt>
                <c:pt idx="251">
                  <c:v>46214</c:v>
                </c:pt>
                <c:pt idx="252">
                  <c:v>46215</c:v>
                </c:pt>
                <c:pt idx="253">
                  <c:v>46216</c:v>
                </c:pt>
                <c:pt idx="254">
                  <c:v>46217</c:v>
                </c:pt>
                <c:pt idx="255">
                  <c:v>46218</c:v>
                </c:pt>
                <c:pt idx="256">
                  <c:v>46219</c:v>
                </c:pt>
                <c:pt idx="257">
                  <c:v>46220</c:v>
                </c:pt>
                <c:pt idx="258">
                  <c:v>46221</c:v>
                </c:pt>
                <c:pt idx="259">
                  <c:v>46222</c:v>
                </c:pt>
                <c:pt idx="260">
                  <c:v>46223</c:v>
                </c:pt>
                <c:pt idx="261">
                  <c:v>46224</c:v>
                </c:pt>
                <c:pt idx="262">
                  <c:v>46225</c:v>
                </c:pt>
                <c:pt idx="263">
                  <c:v>46226</c:v>
                </c:pt>
                <c:pt idx="264">
                  <c:v>46227</c:v>
                </c:pt>
                <c:pt idx="265">
                  <c:v>46228</c:v>
                </c:pt>
                <c:pt idx="266">
                  <c:v>46229</c:v>
                </c:pt>
                <c:pt idx="267">
                  <c:v>46230</c:v>
                </c:pt>
                <c:pt idx="268">
                  <c:v>46231</c:v>
                </c:pt>
                <c:pt idx="269">
                  <c:v>46232</c:v>
                </c:pt>
                <c:pt idx="270">
                  <c:v>46233</c:v>
                </c:pt>
                <c:pt idx="271">
                  <c:v>46234</c:v>
                </c:pt>
                <c:pt idx="272">
                  <c:v>46235</c:v>
                </c:pt>
                <c:pt idx="273">
                  <c:v>46236</c:v>
                </c:pt>
                <c:pt idx="274">
                  <c:v>46237</c:v>
                </c:pt>
                <c:pt idx="275">
                  <c:v>46238</c:v>
                </c:pt>
                <c:pt idx="276">
                  <c:v>46239</c:v>
                </c:pt>
                <c:pt idx="277">
                  <c:v>46240</c:v>
                </c:pt>
                <c:pt idx="278">
                  <c:v>46241</c:v>
                </c:pt>
                <c:pt idx="279">
                  <c:v>46242</c:v>
                </c:pt>
                <c:pt idx="280">
                  <c:v>46243</c:v>
                </c:pt>
                <c:pt idx="281">
                  <c:v>46244</c:v>
                </c:pt>
                <c:pt idx="282">
                  <c:v>46245</c:v>
                </c:pt>
                <c:pt idx="283">
                  <c:v>46246</c:v>
                </c:pt>
                <c:pt idx="284">
                  <c:v>46247</c:v>
                </c:pt>
                <c:pt idx="285">
                  <c:v>46248</c:v>
                </c:pt>
                <c:pt idx="286">
                  <c:v>46249</c:v>
                </c:pt>
                <c:pt idx="287">
                  <c:v>46250</c:v>
                </c:pt>
                <c:pt idx="288">
                  <c:v>46251</c:v>
                </c:pt>
                <c:pt idx="289">
                  <c:v>46252</c:v>
                </c:pt>
                <c:pt idx="290">
                  <c:v>46253</c:v>
                </c:pt>
                <c:pt idx="291">
                  <c:v>46254</c:v>
                </c:pt>
                <c:pt idx="292">
                  <c:v>46255</c:v>
                </c:pt>
                <c:pt idx="293">
                  <c:v>46256</c:v>
                </c:pt>
                <c:pt idx="294">
                  <c:v>46257</c:v>
                </c:pt>
                <c:pt idx="295">
                  <c:v>46258</c:v>
                </c:pt>
                <c:pt idx="296">
                  <c:v>46259</c:v>
                </c:pt>
                <c:pt idx="297">
                  <c:v>46260</c:v>
                </c:pt>
                <c:pt idx="298">
                  <c:v>46261</c:v>
                </c:pt>
                <c:pt idx="299">
                  <c:v>46262</c:v>
                </c:pt>
                <c:pt idx="300">
                  <c:v>46263</c:v>
                </c:pt>
                <c:pt idx="301">
                  <c:v>46264</c:v>
                </c:pt>
                <c:pt idx="302">
                  <c:v>46265</c:v>
                </c:pt>
                <c:pt idx="303">
                  <c:v>46266</c:v>
                </c:pt>
                <c:pt idx="304">
                  <c:v>46267</c:v>
                </c:pt>
                <c:pt idx="305">
                  <c:v>46268</c:v>
                </c:pt>
                <c:pt idx="306">
                  <c:v>46269</c:v>
                </c:pt>
                <c:pt idx="307">
                  <c:v>46270</c:v>
                </c:pt>
                <c:pt idx="308">
                  <c:v>46271</c:v>
                </c:pt>
                <c:pt idx="309">
                  <c:v>46272</c:v>
                </c:pt>
                <c:pt idx="310">
                  <c:v>46273</c:v>
                </c:pt>
                <c:pt idx="311">
                  <c:v>46274</c:v>
                </c:pt>
                <c:pt idx="312">
                  <c:v>46275</c:v>
                </c:pt>
                <c:pt idx="313">
                  <c:v>46276</c:v>
                </c:pt>
                <c:pt idx="314">
                  <c:v>46277</c:v>
                </c:pt>
                <c:pt idx="315">
                  <c:v>46278</c:v>
                </c:pt>
                <c:pt idx="316">
                  <c:v>46279</c:v>
                </c:pt>
                <c:pt idx="317">
                  <c:v>46280</c:v>
                </c:pt>
                <c:pt idx="318">
                  <c:v>46281</c:v>
                </c:pt>
                <c:pt idx="319">
                  <c:v>46282</c:v>
                </c:pt>
                <c:pt idx="320">
                  <c:v>46283</c:v>
                </c:pt>
                <c:pt idx="321">
                  <c:v>46284</c:v>
                </c:pt>
                <c:pt idx="322">
                  <c:v>46285</c:v>
                </c:pt>
                <c:pt idx="323">
                  <c:v>46286</c:v>
                </c:pt>
                <c:pt idx="324">
                  <c:v>46287</c:v>
                </c:pt>
                <c:pt idx="325">
                  <c:v>46288</c:v>
                </c:pt>
                <c:pt idx="326">
                  <c:v>46289</c:v>
                </c:pt>
                <c:pt idx="327">
                  <c:v>46290</c:v>
                </c:pt>
                <c:pt idx="328">
                  <c:v>46291</c:v>
                </c:pt>
                <c:pt idx="329">
                  <c:v>46292</c:v>
                </c:pt>
                <c:pt idx="330">
                  <c:v>46293</c:v>
                </c:pt>
                <c:pt idx="331">
                  <c:v>46294</c:v>
                </c:pt>
                <c:pt idx="332">
                  <c:v>46295</c:v>
                </c:pt>
                <c:pt idx="333">
                  <c:v>46296</c:v>
                </c:pt>
                <c:pt idx="334">
                  <c:v>46297</c:v>
                </c:pt>
                <c:pt idx="335">
                  <c:v>46298</c:v>
                </c:pt>
                <c:pt idx="336">
                  <c:v>46299</c:v>
                </c:pt>
                <c:pt idx="337">
                  <c:v>46300</c:v>
                </c:pt>
                <c:pt idx="338">
                  <c:v>46301</c:v>
                </c:pt>
                <c:pt idx="339">
                  <c:v>46302</c:v>
                </c:pt>
                <c:pt idx="340">
                  <c:v>46303</c:v>
                </c:pt>
                <c:pt idx="341">
                  <c:v>46304</c:v>
                </c:pt>
                <c:pt idx="342">
                  <c:v>46305</c:v>
                </c:pt>
                <c:pt idx="343">
                  <c:v>46306</c:v>
                </c:pt>
                <c:pt idx="344">
                  <c:v>46307</c:v>
                </c:pt>
                <c:pt idx="345">
                  <c:v>46308</c:v>
                </c:pt>
                <c:pt idx="346">
                  <c:v>46309</c:v>
                </c:pt>
                <c:pt idx="347">
                  <c:v>46310</c:v>
                </c:pt>
                <c:pt idx="348">
                  <c:v>46311</c:v>
                </c:pt>
                <c:pt idx="349">
                  <c:v>46312</c:v>
                </c:pt>
                <c:pt idx="350">
                  <c:v>46313</c:v>
                </c:pt>
                <c:pt idx="351">
                  <c:v>46314</c:v>
                </c:pt>
                <c:pt idx="352">
                  <c:v>46315</c:v>
                </c:pt>
                <c:pt idx="353">
                  <c:v>46316</c:v>
                </c:pt>
                <c:pt idx="354">
                  <c:v>46317</c:v>
                </c:pt>
                <c:pt idx="355">
                  <c:v>46318</c:v>
                </c:pt>
                <c:pt idx="356">
                  <c:v>46319</c:v>
                </c:pt>
                <c:pt idx="357">
                  <c:v>46320</c:v>
                </c:pt>
                <c:pt idx="358">
                  <c:v>46321</c:v>
                </c:pt>
                <c:pt idx="359">
                  <c:v>46322</c:v>
                </c:pt>
                <c:pt idx="360">
                  <c:v>46323</c:v>
                </c:pt>
                <c:pt idx="361">
                  <c:v>46324</c:v>
                </c:pt>
                <c:pt idx="362">
                  <c:v>46325</c:v>
                </c:pt>
                <c:pt idx="363">
                  <c:v>46326</c:v>
                </c:pt>
                <c:pt idx="364">
                  <c:v>46327</c:v>
                </c:pt>
                <c:pt idx="365">
                  <c:v>46328</c:v>
                </c:pt>
                <c:pt idx="366">
                  <c:v>46329</c:v>
                </c:pt>
                <c:pt idx="367">
                  <c:v>46330</c:v>
                </c:pt>
                <c:pt idx="368">
                  <c:v>46331</c:v>
                </c:pt>
                <c:pt idx="369">
                  <c:v>46332</c:v>
                </c:pt>
                <c:pt idx="370">
                  <c:v>46333</c:v>
                </c:pt>
                <c:pt idx="371">
                  <c:v>46334</c:v>
                </c:pt>
                <c:pt idx="372">
                  <c:v>46335</c:v>
                </c:pt>
                <c:pt idx="373">
                  <c:v>46336</c:v>
                </c:pt>
                <c:pt idx="374">
                  <c:v>46337</c:v>
                </c:pt>
                <c:pt idx="375">
                  <c:v>46338</c:v>
                </c:pt>
                <c:pt idx="376">
                  <c:v>46339</c:v>
                </c:pt>
                <c:pt idx="377">
                  <c:v>46340</c:v>
                </c:pt>
                <c:pt idx="378">
                  <c:v>46341</c:v>
                </c:pt>
                <c:pt idx="379">
                  <c:v>46342</c:v>
                </c:pt>
                <c:pt idx="380">
                  <c:v>46343</c:v>
                </c:pt>
                <c:pt idx="381">
                  <c:v>46344</c:v>
                </c:pt>
                <c:pt idx="382">
                  <c:v>46345</c:v>
                </c:pt>
                <c:pt idx="383">
                  <c:v>46346</c:v>
                </c:pt>
                <c:pt idx="384">
                  <c:v>46347</c:v>
                </c:pt>
                <c:pt idx="385">
                  <c:v>46348</c:v>
                </c:pt>
                <c:pt idx="386">
                  <c:v>46349</c:v>
                </c:pt>
                <c:pt idx="387">
                  <c:v>46350</c:v>
                </c:pt>
                <c:pt idx="388">
                  <c:v>46351</c:v>
                </c:pt>
                <c:pt idx="389">
                  <c:v>46352</c:v>
                </c:pt>
                <c:pt idx="390">
                  <c:v>46353</c:v>
                </c:pt>
                <c:pt idx="391">
                  <c:v>46354</c:v>
                </c:pt>
                <c:pt idx="392">
                  <c:v>46355</c:v>
                </c:pt>
                <c:pt idx="393">
                  <c:v>46356</c:v>
                </c:pt>
                <c:pt idx="394">
                  <c:v>46357</c:v>
                </c:pt>
                <c:pt idx="395">
                  <c:v>46358</c:v>
                </c:pt>
                <c:pt idx="396">
                  <c:v>46359</c:v>
                </c:pt>
                <c:pt idx="397">
                  <c:v>46360</c:v>
                </c:pt>
                <c:pt idx="398">
                  <c:v>46361</c:v>
                </c:pt>
                <c:pt idx="399">
                  <c:v>46362</c:v>
                </c:pt>
                <c:pt idx="400">
                  <c:v>46363</c:v>
                </c:pt>
                <c:pt idx="401">
                  <c:v>46364</c:v>
                </c:pt>
                <c:pt idx="402">
                  <c:v>46365</c:v>
                </c:pt>
                <c:pt idx="403">
                  <c:v>46366</c:v>
                </c:pt>
                <c:pt idx="404">
                  <c:v>46367</c:v>
                </c:pt>
                <c:pt idx="405">
                  <c:v>46368</c:v>
                </c:pt>
                <c:pt idx="406">
                  <c:v>46369</c:v>
                </c:pt>
                <c:pt idx="407">
                  <c:v>46370</c:v>
                </c:pt>
                <c:pt idx="408">
                  <c:v>46371</c:v>
                </c:pt>
                <c:pt idx="409">
                  <c:v>46372</c:v>
                </c:pt>
                <c:pt idx="410">
                  <c:v>46373</c:v>
                </c:pt>
                <c:pt idx="411">
                  <c:v>46374</c:v>
                </c:pt>
                <c:pt idx="412">
                  <c:v>46375</c:v>
                </c:pt>
                <c:pt idx="413">
                  <c:v>46376</c:v>
                </c:pt>
                <c:pt idx="414">
                  <c:v>46377</c:v>
                </c:pt>
                <c:pt idx="415">
                  <c:v>46378</c:v>
                </c:pt>
                <c:pt idx="416">
                  <c:v>46379</c:v>
                </c:pt>
                <c:pt idx="417">
                  <c:v>46380</c:v>
                </c:pt>
                <c:pt idx="418">
                  <c:v>46381</c:v>
                </c:pt>
                <c:pt idx="419">
                  <c:v>46382</c:v>
                </c:pt>
                <c:pt idx="420">
                  <c:v>46383</c:v>
                </c:pt>
                <c:pt idx="421">
                  <c:v>46384</c:v>
                </c:pt>
                <c:pt idx="422">
                  <c:v>46385</c:v>
                </c:pt>
                <c:pt idx="423">
                  <c:v>46386</c:v>
                </c:pt>
                <c:pt idx="424">
                  <c:v>46387</c:v>
                </c:pt>
              </c:numCache>
            </c:numRef>
          </c:cat>
          <c:val>
            <c:numRef>
              <c:f>'Grafico %'!$D$2:$D$426</c:f>
              <c:numCache>
                <c:formatCode>0.00%</c:formatCode>
                <c:ptCount val="425"/>
                <c:pt idx="14">
                  <c:v>0</c:v>
                </c:pt>
                <c:pt idx="15">
                  <c:v>2.5000000000000001E-2</c:v>
                </c:pt>
                <c:pt idx="16">
                  <c:v>4.4999999999999998E-2</c:v>
                </c:pt>
                <c:pt idx="17">
                  <c:v>7.4999999999999997E-2</c:v>
                </c:pt>
                <c:pt idx="18">
                  <c:v>9.2499999999999999E-2</c:v>
                </c:pt>
                <c:pt idx="19">
                  <c:v>0.120045</c:v>
                </c:pt>
                <c:pt idx="20">
                  <c:v>0.14254500000000001</c:v>
                </c:pt>
                <c:pt idx="21">
                  <c:v>0.157745</c:v>
                </c:pt>
                <c:pt idx="22">
                  <c:v>0.157745</c:v>
                </c:pt>
                <c:pt idx="23">
                  <c:v>0.157745</c:v>
                </c:pt>
                <c:pt idx="24">
                  <c:v>0.157745</c:v>
                </c:pt>
                <c:pt idx="25">
                  <c:v>0.157745</c:v>
                </c:pt>
                <c:pt idx="26">
                  <c:v>0.157745</c:v>
                </c:pt>
                <c:pt idx="27">
                  <c:v>0.157745</c:v>
                </c:pt>
                <c:pt idx="28">
                  <c:v>0.157745</c:v>
                </c:pt>
                <c:pt idx="29">
                  <c:v>0.157745</c:v>
                </c:pt>
                <c:pt idx="30">
                  <c:v>0.157745</c:v>
                </c:pt>
                <c:pt idx="31">
                  <c:v>0.157745</c:v>
                </c:pt>
                <c:pt idx="32">
                  <c:v>0.157745</c:v>
                </c:pt>
                <c:pt idx="33">
                  <c:v>0.157745</c:v>
                </c:pt>
                <c:pt idx="34">
                  <c:v>0.157745</c:v>
                </c:pt>
                <c:pt idx="35">
                  <c:v>0.157745</c:v>
                </c:pt>
                <c:pt idx="36">
                  <c:v>0.157745</c:v>
                </c:pt>
                <c:pt idx="37">
                  <c:v>0.17924499999999999</c:v>
                </c:pt>
                <c:pt idx="38">
                  <c:v>0.20074499999999998</c:v>
                </c:pt>
                <c:pt idx="39">
                  <c:v>0.22424499999999997</c:v>
                </c:pt>
                <c:pt idx="40">
                  <c:v>0.24786999999999998</c:v>
                </c:pt>
                <c:pt idx="41">
                  <c:v>0.25961499999999998</c:v>
                </c:pt>
                <c:pt idx="42">
                  <c:v>0.25961499999999998</c:v>
                </c:pt>
                <c:pt idx="43">
                  <c:v>0.25961499999999998</c:v>
                </c:pt>
                <c:pt idx="44">
                  <c:v>0.26103999999999999</c:v>
                </c:pt>
                <c:pt idx="45">
                  <c:v>0.26286000000000004</c:v>
                </c:pt>
                <c:pt idx="46">
                  <c:v>0.26286000000000004</c:v>
                </c:pt>
                <c:pt idx="47">
                  <c:v>0.29171999999999998</c:v>
                </c:pt>
                <c:pt idx="48">
                  <c:v>0.30258000000000002</c:v>
                </c:pt>
                <c:pt idx="49">
                  <c:v>0.30258000000000002</c:v>
                </c:pt>
                <c:pt idx="50">
                  <c:v>0.31533</c:v>
                </c:pt>
                <c:pt idx="51">
                  <c:v>0.31533</c:v>
                </c:pt>
                <c:pt idx="52">
                  <c:v>0.31533</c:v>
                </c:pt>
                <c:pt idx="53">
                  <c:v>0.31533</c:v>
                </c:pt>
                <c:pt idx="54">
                  <c:v>0.31533</c:v>
                </c:pt>
                <c:pt idx="55">
                  <c:v>0.31533</c:v>
                </c:pt>
                <c:pt idx="56">
                  <c:v>0.31533</c:v>
                </c:pt>
                <c:pt idx="57">
                  <c:v>0.31533</c:v>
                </c:pt>
                <c:pt idx="58">
                  <c:v>0.31533</c:v>
                </c:pt>
                <c:pt idx="59">
                  <c:v>0.31533</c:v>
                </c:pt>
                <c:pt idx="60">
                  <c:v>0.31533</c:v>
                </c:pt>
                <c:pt idx="61">
                  <c:v>0.31533</c:v>
                </c:pt>
                <c:pt idx="62">
                  <c:v>0.31533</c:v>
                </c:pt>
                <c:pt idx="63">
                  <c:v>0.31533</c:v>
                </c:pt>
                <c:pt idx="64">
                  <c:v>0.31752999999999998</c:v>
                </c:pt>
                <c:pt idx="65">
                  <c:v>0.34140999999999999</c:v>
                </c:pt>
                <c:pt idx="66">
                  <c:v>0.34140999999999999</c:v>
                </c:pt>
                <c:pt idx="67">
                  <c:v>0.34140999999999999</c:v>
                </c:pt>
                <c:pt idx="68">
                  <c:v>0.351215</c:v>
                </c:pt>
                <c:pt idx="69">
                  <c:v>0.35719499999999998</c:v>
                </c:pt>
                <c:pt idx="70">
                  <c:v>0.36290499999999992</c:v>
                </c:pt>
                <c:pt idx="71">
                  <c:v>0.38090499999999994</c:v>
                </c:pt>
                <c:pt idx="72">
                  <c:v>0.38117999999999996</c:v>
                </c:pt>
                <c:pt idx="73">
                  <c:v>0.40367999999999993</c:v>
                </c:pt>
                <c:pt idx="74">
                  <c:v>0.41392999999999991</c:v>
                </c:pt>
                <c:pt idx="75">
                  <c:v>0.43784999999999996</c:v>
                </c:pt>
                <c:pt idx="76">
                  <c:v>0.44712499999999999</c:v>
                </c:pt>
                <c:pt idx="77">
                  <c:v>0.46532499999999999</c:v>
                </c:pt>
                <c:pt idx="78">
                  <c:v>0.49032500000000001</c:v>
                </c:pt>
                <c:pt idx="79">
                  <c:v>0.49953000000000003</c:v>
                </c:pt>
                <c:pt idx="80">
                  <c:v>0.49953000000000003</c:v>
                </c:pt>
                <c:pt idx="81">
                  <c:v>0.49953000000000003</c:v>
                </c:pt>
                <c:pt idx="82">
                  <c:v>0.49953000000000003</c:v>
                </c:pt>
                <c:pt idx="83">
                  <c:v>0.49953000000000003</c:v>
                </c:pt>
                <c:pt idx="84">
                  <c:v>0.49953000000000003</c:v>
                </c:pt>
                <c:pt idx="85">
                  <c:v>0.49953000000000003</c:v>
                </c:pt>
                <c:pt idx="86">
                  <c:v>0.49953000000000003</c:v>
                </c:pt>
                <c:pt idx="87">
                  <c:v>0.49953000000000003</c:v>
                </c:pt>
                <c:pt idx="88">
                  <c:v>0.49953000000000003</c:v>
                </c:pt>
                <c:pt idx="89">
                  <c:v>0.49953000000000003</c:v>
                </c:pt>
                <c:pt idx="90">
                  <c:v>0.49953000000000003</c:v>
                </c:pt>
                <c:pt idx="91">
                  <c:v>0.49953000000000003</c:v>
                </c:pt>
                <c:pt idx="92">
                  <c:v>0.49953000000000003</c:v>
                </c:pt>
                <c:pt idx="93">
                  <c:v>0.49953000000000003</c:v>
                </c:pt>
                <c:pt idx="94">
                  <c:v>0.49953000000000003</c:v>
                </c:pt>
                <c:pt idx="95">
                  <c:v>0.49953000000000003</c:v>
                </c:pt>
                <c:pt idx="96">
                  <c:v>0.49953000000000003</c:v>
                </c:pt>
                <c:pt idx="97">
                  <c:v>0.49953000000000003</c:v>
                </c:pt>
                <c:pt idx="98">
                  <c:v>0.49953000000000003</c:v>
                </c:pt>
                <c:pt idx="99">
                  <c:v>0.49953000000000003</c:v>
                </c:pt>
                <c:pt idx="100">
                  <c:v>0.49953000000000003</c:v>
                </c:pt>
                <c:pt idx="101">
                  <c:v>0.49953000000000003</c:v>
                </c:pt>
                <c:pt idx="102">
                  <c:v>0.49953000000000003</c:v>
                </c:pt>
                <c:pt idx="103">
                  <c:v>0.49953000000000003</c:v>
                </c:pt>
                <c:pt idx="104">
                  <c:v>0.49953000000000003</c:v>
                </c:pt>
                <c:pt idx="105">
                  <c:v>0.49953000000000003</c:v>
                </c:pt>
                <c:pt idx="106">
                  <c:v>0.49953000000000003</c:v>
                </c:pt>
                <c:pt idx="107">
                  <c:v>0.49953000000000003</c:v>
                </c:pt>
                <c:pt idx="108">
                  <c:v>0.49953000000000003</c:v>
                </c:pt>
                <c:pt idx="109">
                  <c:v>0.49953000000000003</c:v>
                </c:pt>
                <c:pt idx="110">
                  <c:v>0.49953000000000003</c:v>
                </c:pt>
                <c:pt idx="111">
                  <c:v>0.49953000000000003</c:v>
                </c:pt>
                <c:pt idx="112">
                  <c:v>0.49953000000000003</c:v>
                </c:pt>
                <c:pt idx="113">
                  <c:v>0.49953000000000003</c:v>
                </c:pt>
                <c:pt idx="114">
                  <c:v>0.49953000000000003</c:v>
                </c:pt>
                <c:pt idx="115">
                  <c:v>0.49953000000000003</c:v>
                </c:pt>
                <c:pt idx="116">
                  <c:v>0.49953000000000003</c:v>
                </c:pt>
                <c:pt idx="117">
                  <c:v>0.49953000000000003</c:v>
                </c:pt>
                <c:pt idx="118">
                  <c:v>0.49953000000000003</c:v>
                </c:pt>
                <c:pt idx="119">
                  <c:v>0.49953000000000003</c:v>
                </c:pt>
                <c:pt idx="120">
                  <c:v>0.49953000000000003</c:v>
                </c:pt>
                <c:pt idx="121">
                  <c:v>0.49953000000000003</c:v>
                </c:pt>
                <c:pt idx="122">
                  <c:v>0.49953000000000003</c:v>
                </c:pt>
                <c:pt idx="123">
                  <c:v>0.49953000000000003</c:v>
                </c:pt>
                <c:pt idx="124">
                  <c:v>0.49953000000000003</c:v>
                </c:pt>
                <c:pt idx="125">
                  <c:v>0.49953000000000003</c:v>
                </c:pt>
                <c:pt idx="126">
                  <c:v>0.49953000000000003</c:v>
                </c:pt>
                <c:pt idx="127">
                  <c:v>0.49953000000000003</c:v>
                </c:pt>
                <c:pt idx="128">
                  <c:v>0.49953000000000003</c:v>
                </c:pt>
                <c:pt idx="129">
                  <c:v>0.49953000000000003</c:v>
                </c:pt>
                <c:pt idx="130">
                  <c:v>0.49953000000000003</c:v>
                </c:pt>
                <c:pt idx="131">
                  <c:v>0.49953000000000003</c:v>
                </c:pt>
                <c:pt idx="132">
                  <c:v>0.49953000000000003</c:v>
                </c:pt>
                <c:pt idx="133">
                  <c:v>0.49953000000000003</c:v>
                </c:pt>
                <c:pt idx="134">
                  <c:v>0.49953000000000003</c:v>
                </c:pt>
                <c:pt idx="135">
                  <c:v>0.49953000000000003</c:v>
                </c:pt>
                <c:pt idx="136">
                  <c:v>0.49953000000000003</c:v>
                </c:pt>
                <c:pt idx="137">
                  <c:v>0.49953000000000003</c:v>
                </c:pt>
                <c:pt idx="138">
                  <c:v>0.49953000000000003</c:v>
                </c:pt>
                <c:pt idx="139">
                  <c:v>0.49953000000000003</c:v>
                </c:pt>
                <c:pt idx="140">
                  <c:v>0.49953000000000003</c:v>
                </c:pt>
                <c:pt idx="141">
                  <c:v>0.49953000000000003</c:v>
                </c:pt>
                <c:pt idx="142">
                  <c:v>0.49953000000000003</c:v>
                </c:pt>
                <c:pt idx="143">
                  <c:v>0.49953000000000003</c:v>
                </c:pt>
                <c:pt idx="144">
                  <c:v>0.49953000000000003</c:v>
                </c:pt>
                <c:pt idx="145">
                  <c:v>0.49953000000000003</c:v>
                </c:pt>
                <c:pt idx="146">
                  <c:v>0.49953000000000003</c:v>
                </c:pt>
                <c:pt idx="147">
                  <c:v>0.49953000000000003</c:v>
                </c:pt>
                <c:pt idx="148">
                  <c:v>0.49953000000000003</c:v>
                </c:pt>
                <c:pt idx="149">
                  <c:v>0.49953000000000003</c:v>
                </c:pt>
                <c:pt idx="150">
                  <c:v>0.49953000000000003</c:v>
                </c:pt>
                <c:pt idx="151">
                  <c:v>0.49953000000000003</c:v>
                </c:pt>
                <c:pt idx="152">
                  <c:v>0.49953000000000003</c:v>
                </c:pt>
                <c:pt idx="153">
                  <c:v>0.49953000000000003</c:v>
                </c:pt>
                <c:pt idx="154">
                  <c:v>0.49953000000000003</c:v>
                </c:pt>
                <c:pt idx="155">
                  <c:v>0.49953000000000003</c:v>
                </c:pt>
                <c:pt idx="156">
                  <c:v>0.49953000000000003</c:v>
                </c:pt>
                <c:pt idx="157">
                  <c:v>0.49953000000000003</c:v>
                </c:pt>
                <c:pt idx="158">
                  <c:v>0.49953000000000003</c:v>
                </c:pt>
                <c:pt idx="159">
                  <c:v>0.49953000000000003</c:v>
                </c:pt>
                <c:pt idx="160">
                  <c:v>0.49953000000000003</c:v>
                </c:pt>
                <c:pt idx="161">
                  <c:v>0.49953000000000003</c:v>
                </c:pt>
                <c:pt idx="162">
                  <c:v>0.49953000000000003</c:v>
                </c:pt>
                <c:pt idx="163">
                  <c:v>0.49953000000000003</c:v>
                </c:pt>
                <c:pt idx="164">
                  <c:v>0.49953000000000003</c:v>
                </c:pt>
                <c:pt idx="165">
                  <c:v>0.49953000000000003</c:v>
                </c:pt>
                <c:pt idx="166">
                  <c:v>0.49953000000000003</c:v>
                </c:pt>
                <c:pt idx="167">
                  <c:v>0.49953000000000003</c:v>
                </c:pt>
                <c:pt idx="168">
                  <c:v>0.49953000000000003</c:v>
                </c:pt>
                <c:pt idx="169">
                  <c:v>0.49953000000000003</c:v>
                </c:pt>
                <c:pt idx="170">
                  <c:v>0.49953000000000003</c:v>
                </c:pt>
                <c:pt idx="171">
                  <c:v>0.49953000000000003</c:v>
                </c:pt>
                <c:pt idx="172">
                  <c:v>0.49953000000000003</c:v>
                </c:pt>
                <c:pt idx="173">
                  <c:v>0.49953000000000003</c:v>
                </c:pt>
                <c:pt idx="174">
                  <c:v>0.49953000000000003</c:v>
                </c:pt>
                <c:pt idx="175">
                  <c:v>0.49953000000000003</c:v>
                </c:pt>
                <c:pt idx="176">
                  <c:v>0.49953000000000003</c:v>
                </c:pt>
                <c:pt idx="177">
                  <c:v>0.49953000000000003</c:v>
                </c:pt>
                <c:pt idx="178">
                  <c:v>0.49953000000000003</c:v>
                </c:pt>
                <c:pt idx="179">
                  <c:v>0.49953000000000003</c:v>
                </c:pt>
                <c:pt idx="180">
                  <c:v>0.49953000000000003</c:v>
                </c:pt>
                <c:pt idx="181">
                  <c:v>0.49953000000000003</c:v>
                </c:pt>
                <c:pt idx="182">
                  <c:v>0.49953000000000003</c:v>
                </c:pt>
                <c:pt idx="183">
                  <c:v>0.49953000000000003</c:v>
                </c:pt>
                <c:pt idx="184">
                  <c:v>0.49953000000000003</c:v>
                </c:pt>
                <c:pt idx="185">
                  <c:v>0.49953000000000003</c:v>
                </c:pt>
                <c:pt idx="186">
                  <c:v>0.49953000000000003</c:v>
                </c:pt>
                <c:pt idx="187">
                  <c:v>0.49953000000000003</c:v>
                </c:pt>
                <c:pt idx="188">
                  <c:v>0.49953000000000003</c:v>
                </c:pt>
                <c:pt idx="189">
                  <c:v>0.49953000000000003</c:v>
                </c:pt>
                <c:pt idx="190">
                  <c:v>0.49953000000000003</c:v>
                </c:pt>
                <c:pt idx="191">
                  <c:v>0.49953000000000003</c:v>
                </c:pt>
                <c:pt idx="192">
                  <c:v>0.49953000000000003</c:v>
                </c:pt>
                <c:pt idx="193">
                  <c:v>0.49953000000000003</c:v>
                </c:pt>
                <c:pt idx="194">
                  <c:v>0.51158000000000003</c:v>
                </c:pt>
                <c:pt idx="195">
                  <c:v>0.52121000000000006</c:v>
                </c:pt>
                <c:pt idx="196">
                  <c:v>0.52121000000000006</c:v>
                </c:pt>
                <c:pt idx="197">
                  <c:v>0.52121000000000006</c:v>
                </c:pt>
                <c:pt idx="198">
                  <c:v>0.52121000000000006</c:v>
                </c:pt>
                <c:pt idx="199">
                  <c:v>0.52121000000000006</c:v>
                </c:pt>
                <c:pt idx="200">
                  <c:v>0.53407000000000004</c:v>
                </c:pt>
                <c:pt idx="201">
                  <c:v>0.54683500000000007</c:v>
                </c:pt>
                <c:pt idx="202">
                  <c:v>0.55579500000000004</c:v>
                </c:pt>
                <c:pt idx="203">
                  <c:v>0.55579500000000004</c:v>
                </c:pt>
                <c:pt idx="204">
                  <c:v>0.55579500000000004</c:v>
                </c:pt>
                <c:pt idx="205">
                  <c:v>0.55579500000000004</c:v>
                </c:pt>
                <c:pt idx="206">
                  <c:v>0.55579500000000004</c:v>
                </c:pt>
                <c:pt idx="207">
                  <c:v>0.55579500000000004</c:v>
                </c:pt>
                <c:pt idx="208">
                  <c:v>0.55579500000000004</c:v>
                </c:pt>
                <c:pt idx="209">
                  <c:v>0.55579500000000004</c:v>
                </c:pt>
                <c:pt idx="210">
                  <c:v>0.55579500000000004</c:v>
                </c:pt>
                <c:pt idx="211">
                  <c:v>0.56575500000000001</c:v>
                </c:pt>
                <c:pt idx="212">
                  <c:v>0.57572000000000001</c:v>
                </c:pt>
                <c:pt idx="213">
                  <c:v>0.57919000000000009</c:v>
                </c:pt>
                <c:pt idx="214">
                  <c:v>0.58650000000000002</c:v>
                </c:pt>
                <c:pt idx="215">
                  <c:v>0.58650000000000002</c:v>
                </c:pt>
                <c:pt idx="216">
                  <c:v>0.59589999999999999</c:v>
                </c:pt>
                <c:pt idx="217">
                  <c:v>0.59589999999999999</c:v>
                </c:pt>
                <c:pt idx="218">
                  <c:v>0.60281000000000007</c:v>
                </c:pt>
                <c:pt idx="219">
                  <c:v>0.60976500000000011</c:v>
                </c:pt>
                <c:pt idx="220">
                  <c:v>0.6149</c:v>
                </c:pt>
                <c:pt idx="221">
                  <c:v>0.61941500000000005</c:v>
                </c:pt>
                <c:pt idx="222">
                  <c:v>0.62377500000000008</c:v>
                </c:pt>
                <c:pt idx="223">
                  <c:v>0.62377500000000008</c:v>
                </c:pt>
                <c:pt idx="224">
                  <c:v>0.62377500000000008</c:v>
                </c:pt>
                <c:pt idx="225">
                  <c:v>0.62611000000000006</c:v>
                </c:pt>
                <c:pt idx="226">
                  <c:v>0.62960000000000005</c:v>
                </c:pt>
                <c:pt idx="227">
                  <c:v>0.631795</c:v>
                </c:pt>
                <c:pt idx="228">
                  <c:v>0.63765499999999997</c:v>
                </c:pt>
                <c:pt idx="229">
                  <c:v>0.63832</c:v>
                </c:pt>
                <c:pt idx="230">
                  <c:v>0.63839000000000001</c:v>
                </c:pt>
                <c:pt idx="231">
                  <c:v>0.63839000000000001</c:v>
                </c:pt>
                <c:pt idx="232">
                  <c:v>0.64086999999999994</c:v>
                </c:pt>
                <c:pt idx="233">
                  <c:v>0.64522499999999994</c:v>
                </c:pt>
                <c:pt idx="234">
                  <c:v>0.64522499999999994</c:v>
                </c:pt>
                <c:pt idx="235">
                  <c:v>0.65256999999999987</c:v>
                </c:pt>
                <c:pt idx="236">
                  <c:v>0.65259999999999996</c:v>
                </c:pt>
                <c:pt idx="237">
                  <c:v>0.65259999999999996</c:v>
                </c:pt>
                <c:pt idx="238">
                  <c:v>0.65259999999999996</c:v>
                </c:pt>
                <c:pt idx="239">
                  <c:v>0.65605999999999998</c:v>
                </c:pt>
                <c:pt idx="240">
                  <c:v>0.65743499999999999</c:v>
                </c:pt>
                <c:pt idx="241">
                  <c:v>0.66173499999999985</c:v>
                </c:pt>
                <c:pt idx="242">
                  <c:v>0.66173499999999985</c:v>
                </c:pt>
                <c:pt idx="243">
                  <c:v>0.66173499999999985</c:v>
                </c:pt>
                <c:pt idx="244">
                  <c:v>0.66173499999999985</c:v>
                </c:pt>
                <c:pt idx="245">
                  <c:v>0.66173499999999985</c:v>
                </c:pt>
                <c:pt idx="246">
                  <c:v>0.66173499999999985</c:v>
                </c:pt>
                <c:pt idx="247">
                  <c:v>0.66835499999999992</c:v>
                </c:pt>
                <c:pt idx="248">
                  <c:v>0.66856999999999989</c:v>
                </c:pt>
                <c:pt idx="249">
                  <c:v>0.67717499999999975</c:v>
                </c:pt>
                <c:pt idx="250">
                  <c:v>0.68892499999999968</c:v>
                </c:pt>
                <c:pt idx="251">
                  <c:v>0.69252499999999972</c:v>
                </c:pt>
                <c:pt idx="252">
                  <c:v>0.70102499999999968</c:v>
                </c:pt>
                <c:pt idx="253">
                  <c:v>0.70352499999999962</c:v>
                </c:pt>
                <c:pt idx="254">
                  <c:v>0.70902499999999957</c:v>
                </c:pt>
                <c:pt idx="255">
                  <c:v>0.71252499999999952</c:v>
                </c:pt>
                <c:pt idx="256">
                  <c:v>0.71318999999999944</c:v>
                </c:pt>
                <c:pt idx="257">
                  <c:v>0.71438999999999941</c:v>
                </c:pt>
                <c:pt idx="258">
                  <c:v>0.71488999999999936</c:v>
                </c:pt>
                <c:pt idx="259">
                  <c:v>0.71488999999999936</c:v>
                </c:pt>
                <c:pt idx="260">
                  <c:v>0.71488999999999936</c:v>
                </c:pt>
                <c:pt idx="261">
                  <c:v>0.71488999999999936</c:v>
                </c:pt>
                <c:pt idx="262">
                  <c:v>0.71488999999999936</c:v>
                </c:pt>
                <c:pt idx="263">
                  <c:v>0.71488999999999936</c:v>
                </c:pt>
                <c:pt idx="264">
                  <c:v>0.71488999999999936</c:v>
                </c:pt>
                <c:pt idx="265">
                  <c:v>0.72527499999999934</c:v>
                </c:pt>
                <c:pt idx="266">
                  <c:v>0.72527499999999934</c:v>
                </c:pt>
                <c:pt idx="267">
                  <c:v>0.72527499999999934</c:v>
                </c:pt>
                <c:pt idx="268">
                  <c:v>0.72527499999999934</c:v>
                </c:pt>
                <c:pt idx="269">
                  <c:v>0.72527499999999934</c:v>
                </c:pt>
                <c:pt idx="270">
                  <c:v>0.72527499999999934</c:v>
                </c:pt>
                <c:pt idx="271">
                  <c:v>0.72527499999999934</c:v>
                </c:pt>
                <c:pt idx="272">
                  <c:v>0.72527499999999934</c:v>
                </c:pt>
                <c:pt idx="273">
                  <c:v>0.72527499999999934</c:v>
                </c:pt>
                <c:pt idx="274">
                  <c:v>0.72527499999999934</c:v>
                </c:pt>
                <c:pt idx="275">
                  <c:v>0.72527499999999934</c:v>
                </c:pt>
                <c:pt idx="276">
                  <c:v>0.72534999999999927</c:v>
                </c:pt>
                <c:pt idx="277">
                  <c:v>0.72534999999999927</c:v>
                </c:pt>
                <c:pt idx="278">
                  <c:v>0.72534999999999927</c:v>
                </c:pt>
                <c:pt idx="279">
                  <c:v>0.72534999999999927</c:v>
                </c:pt>
                <c:pt idx="280">
                  <c:v>0.73770999999999931</c:v>
                </c:pt>
                <c:pt idx="281">
                  <c:v>0.73770999999999931</c:v>
                </c:pt>
                <c:pt idx="282">
                  <c:v>0.73770999999999931</c:v>
                </c:pt>
                <c:pt idx="283">
                  <c:v>0.73770999999999931</c:v>
                </c:pt>
                <c:pt idx="284">
                  <c:v>0.73770999999999931</c:v>
                </c:pt>
                <c:pt idx="285">
                  <c:v>0.73773999999999929</c:v>
                </c:pt>
                <c:pt idx="286">
                  <c:v>0.73773999999999929</c:v>
                </c:pt>
                <c:pt idx="287">
                  <c:v>0.73773999999999929</c:v>
                </c:pt>
                <c:pt idx="288">
                  <c:v>0.73773999999999929</c:v>
                </c:pt>
                <c:pt idx="289">
                  <c:v>0.75264499999999923</c:v>
                </c:pt>
                <c:pt idx="290">
                  <c:v>0.75264499999999923</c:v>
                </c:pt>
                <c:pt idx="291">
                  <c:v>0.76243499999999931</c:v>
                </c:pt>
                <c:pt idx="292">
                  <c:v>0.77543999999999924</c:v>
                </c:pt>
                <c:pt idx="293">
                  <c:v>0.77543999999999924</c:v>
                </c:pt>
                <c:pt idx="294">
                  <c:v>0.77543999999999924</c:v>
                </c:pt>
                <c:pt idx="295">
                  <c:v>0.77543999999999924</c:v>
                </c:pt>
                <c:pt idx="296">
                  <c:v>0.77543999999999924</c:v>
                </c:pt>
                <c:pt idx="297">
                  <c:v>0.77543999999999924</c:v>
                </c:pt>
                <c:pt idx="298">
                  <c:v>0.77543999999999924</c:v>
                </c:pt>
                <c:pt idx="299">
                  <c:v>0.77543999999999924</c:v>
                </c:pt>
                <c:pt idx="300">
                  <c:v>0.77543999999999924</c:v>
                </c:pt>
                <c:pt idx="301">
                  <c:v>0.77543999999999924</c:v>
                </c:pt>
                <c:pt idx="302">
                  <c:v>0.77543999999999924</c:v>
                </c:pt>
                <c:pt idx="303">
                  <c:v>0.77543999999999924</c:v>
                </c:pt>
                <c:pt idx="304">
                  <c:v>0.78443999999999936</c:v>
                </c:pt>
                <c:pt idx="305">
                  <c:v>0.79120499999999938</c:v>
                </c:pt>
                <c:pt idx="306">
                  <c:v>0.79120499999999938</c:v>
                </c:pt>
                <c:pt idx="307">
                  <c:v>0.79120499999999938</c:v>
                </c:pt>
                <c:pt idx="308">
                  <c:v>0.79120499999999938</c:v>
                </c:pt>
                <c:pt idx="309">
                  <c:v>0.79486499999999938</c:v>
                </c:pt>
                <c:pt idx="310">
                  <c:v>0.80426999999999937</c:v>
                </c:pt>
                <c:pt idx="311">
                  <c:v>0.80993499999999941</c:v>
                </c:pt>
                <c:pt idx="312">
                  <c:v>0.80993499999999941</c:v>
                </c:pt>
                <c:pt idx="313">
                  <c:v>0.81884499999999949</c:v>
                </c:pt>
                <c:pt idx="314">
                  <c:v>0.8255749999999995</c:v>
                </c:pt>
                <c:pt idx="315">
                  <c:v>0.8255749999999995</c:v>
                </c:pt>
                <c:pt idx="316">
                  <c:v>0.82903999999999956</c:v>
                </c:pt>
                <c:pt idx="317">
                  <c:v>0.82903999999999956</c:v>
                </c:pt>
                <c:pt idx="318">
                  <c:v>0.82903999999999956</c:v>
                </c:pt>
                <c:pt idx="319">
                  <c:v>0.82903999999999956</c:v>
                </c:pt>
                <c:pt idx="320">
                  <c:v>0.82903999999999956</c:v>
                </c:pt>
                <c:pt idx="321">
                  <c:v>0.82903999999999956</c:v>
                </c:pt>
                <c:pt idx="322">
                  <c:v>0.82903999999999956</c:v>
                </c:pt>
                <c:pt idx="323">
                  <c:v>0.82903999999999956</c:v>
                </c:pt>
                <c:pt idx="324">
                  <c:v>0.82903999999999956</c:v>
                </c:pt>
                <c:pt idx="325">
                  <c:v>0.82903999999999956</c:v>
                </c:pt>
                <c:pt idx="326">
                  <c:v>0.82903999999999956</c:v>
                </c:pt>
                <c:pt idx="327">
                  <c:v>0.82903999999999956</c:v>
                </c:pt>
                <c:pt idx="328">
                  <c:v>0.82903999999999956</c:v>
                </c:pt>
                <c:pt idx="329">
                  <c:v>0.82903999999999956</c:v>
                </c:pt>
                <c:pt idx="330">
                  <c:v>0.82903999999999956</c:v>
                </c:pt>
                <c:pt idx="331">
                  <c:v>0.82903999999999956</c:v>
                </c:pt>
                <c:pt idx="332">
                  <c:v>0.82903999999999956</c:v>
                </c:pt>
                <c:pt idx="333">
                  <c:v>0.83685499999999946</c:v>
                </c:pt>
                <c:pt idx="334">
                  <c:v>0.84886499999999943</c:v>
                </c:pt>
                <c:pt idx="335">
                  <c:v>0.84886499999999943</c:v>
                </c:pt>
                <c:pt idx="336">
                  <c:v>0.84886499999999943</c:v>
                </c:pt>
                <c:pt idx="337">
                  <c:v>0.85343499999999939</c:v>
                </c:pt>
                <c:pt idx="338">
                  <c:v>0.85343499999999939</c:v>
                </c:pt>
                <c:pt idx="339">
                  <c:v>0.85343499999999939</c:v>
                </c:pt>
                <c:pt idx="340">
                  <c:v>0.85343499999999939</c:v>
                </c:pt>
                <c:pt idx="341">
                  <c:v>0.85710499999999923</c:v>
                </c:pt>
                <c:pt idx="342">
                  <c:v>0.85710499999999923</c:v>
                </c:pt>
                <c:pt idx="343">
                  <c:v>0.85710499999999923</c:v>
                </c:pt>
                <c:pt idx="344">
                  <c:v>0.85710499999999923</c:v>
                </c:pt>
                <c:pt idx="345">
                  <c:v>0.86152249999999919</c:v>
                </c:pt>
                <c:pt idx="346">
                  <c:v>0.86768249999999936</c:v>
                </c:pt>
                <c:pt idx="347">
                  <c:v>0.88111249999999941</c:v>
                </c:pt>
                <c:pt idx="348">
                  <c:v>0.89507249999999938</c:v>
                </c:pt>
                <c:pt idx="349">
                  <c:v>0.90212749999999942</c:v>
                </c:pt>
                <c:pt idx="350">
                  <c:v>0.90212749999999942</c:v>
                </c:pt>
                <c:pt idx="351">
                  <c:v>0.90212749999999942</c:v>
                </c:pt>
                <c:pt idx="352">
                  <c:v>0.90212749999999942</c:v>
                </c:pt>
                <c:pt idx="353">
                  <c:v>0.90212749999999942</c:v>
                </c:pt>
                <c:pt idx="354">
                  <c:v>0.90212749999999942</c:v>
                </c:pt>
                <c:pt idx="355">
                  <c:v>0.90212749999999942</c:v>
                </c:pt>
                <c:pt idx="356">
                  <c:v>0.90962749999999948</c:v>
                </c:pt>
                <c:pt idx="357">
                  <c:v>0.90962749999999948</c:v>
                </c:pt>
                <c:pt idx="358">
                  <c:v>0.90962749999999948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72-4912-9233-AA51B3DC93C0}"/>
            </c:ext>
          </c:extLst>
        </c:ser>
        <c:ser>
          <c:idx val="6"/>
          <c:order val="2"/>
          <c:tx>
            <c:strRef>
              <c:f>'Grafico %'!$E$1</c:f>
              <c:strCache>
                <c:ptCount val="1"/>
                <c:pt idx="0">
                  <c:v>DCVG</c:v>
                </c:pt>
              </c:strCache>
            </c:strRef>
          </c:tx>
          <c:spPr>
            <a:ln w="19050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'Grafico %'!$A$2:$A$426</c:f>
              <c:numCache>
                <c:formatCode>d\-mmm</c:formatCode>
                <c:ptCount val="425"/>
                <c:pt idx="0">
                  <c:v>45963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45969</c:v>
                </c:pt>
                <c:pt idx="7">
                  <c:v>45970</c:v>
                </c:pt>
                <c:pt idx="8">
                  <c:v>45971</c:v>
                </c:pt>
                <c:pt idx="9">
                  <c:v>45972</c:v>
                </c:pt>
                <c:pt idx="10">
                  <c:v>45973</c:v>
                </c:pt>
                <c:pt idx="11">
                  <c:v>45974</c:v>
                </c:pt>
                <c:pt idx="12">
                  <c:v>45975</c:v>
                </c:pt>
                <c:pt idx="13">
                  <c:v>45976</c:v>
                </c:pt>
                <c:pt idx="14">
                  <c:v>45977</c:v>
                </c:pt>
                <c:pt idx="15">
                  <c:v>45978</c:v>
                </c:pt>
                <c:pt idx="16">
                  <c:v>45979</c:v>
                </c:pt>
                <c:pt idx="17">
                  <c:v>45980</c:v>
                </c:pt>
                <c:pt idx="18">
                  <c:v>45981</c:v>
                </c:pt>
                <c:pt idx="19">
                  <c:v>45982</c:v>
                </c:pt>
                <c:pt idx="20">
                  <c:v>45983</c:v>
                </c:pt>
                <c:pt idx="21">
                  <c:v>45984</c:v>
                </c:pt>
                <c:pt idx="22">
                  <c:v>45985</c:v>
                </c:pt>
                <c:pt idx="23">
                  <c:v>45986</c:v>
                </c:pt>
                <c:pt idx="24">
                  <c:v>45987</c:v>
                </c:pt>
                <c:pt idx="25">
                  <c:v>45988</c:v>
                </c:pt>
                <c:pt idx="26">
                  <c:v>45989</c:v>
                </c:pt>
                <c:pt idx="27">
                  <c:v>45990</c:v>
                </c:pt>
                <c:pt idx="28">
                  <c:v>45991</c:v>
                </c:pt>
                <c:pt idx="29">
                  <c:v>45992</c:v>
                </c:pt>
                <c:pt idx="30">
                  <c:v>45993</c:v>
                </c:pt>
                <c:pt idx="31">
                  <c:v>45994</c:v>
                </c:pt>
                <c:pt idx="32">
                  <c:v>45995</c:v>
                </c:pt>
                <c:pt idx="33">
                  <c:v>45996</c:v>
                </c:pt>
                <c:pt idx="34">
                  <c:v>45997</c:v>
                </c:pt>
                <c:pt idx="35">
                  <c:v>45998</c:v>
                </c:pt>
                <c:pt idx="36">
                  <c:v>45999</c:v>
                </c:pt>
                <c:pt idx="37">
                  <c:v>46000</c:v>
                </c:pt>
                <c:pt idx="38">
                  <c:v>46001</c:v>
                </c:pt>
                <c:pt idx="39">
                  <c:v>46002</c:v>
                </c:pt>
                <c:pt idx="40">
                  <c:v>46003</c:v>
                </c:pt>
                <c:pt idx="41">
                  <c:v>46004</c:v>
                </c:pt>
                <c:pt idx="42">
                  <c:v>46005</c:v>
                </c:pt>
                <c:pt idx="43">
                  <c:v>46006</c:v>
                </c:pt>
                <c:pt idx="44">
                  <c:v>46007</c:v>
                </c:pt>
                <c:pt idx="45">
                  <c:v>46008</c:v>
                </c:pt>
                <c:pt idx="46">
                  <c:v>46009</c:v>
                </c:pt>
                <c:pt idx="47">
                  <c:v>46010</c:v>
                </c:pt>
                <c:pt idx="48">
                  <c:v>46011</c:v>
                </c:pt>
                <c:pt idx="49">
                  <c:v>46012</c:v>
                </c:pt>
                <c:pt idx="50">
                  <c:v>46013</c:v>
                </c:pt>
                <c:pt idx="51">
                  <c:v>46014</c:v>
                </c:pt>
                <c:pt idx="52">
                  <c:v>46015</c:v>
                </c:pt>
                <c:pt idx="53">
                  <c:v>46016</c:v>
                </c:pt>
                <c:pt idx="54">
                  <c:v>46017</c:v>
                </c:pt>
                <c:pt idx="55">
                  <c:v>46018</c:v>
                </c:pt>
                <c:pt idx="56">
                  <c:v>46019</c:v>
                </c:pt>
                <c:pt idx="57">
                  <c:v>46020</c:v>
                </c:pt>
                <c:pt idx="58">
                  <c:v>46021</c:v>
                </c:pt>
                <c:pt idx="59">
                  <c:v>46022</c:v>
                </c:pt>
                <c:pt idx="60">
                  <c:v>46023</c:v>
                </c:pt>
                <c:pt idx="61">
                  <c:v>46024</c:v>
                </c:pt>
                <c:pt idx="62">
                  <c:v>46025</c:v>
                </c:pt>
                <c:pt idx="63">
                  <c:v>46026</c:v>
                </c:pt>
                <c:pt idx="64">
                  <c:v>46027</c:v>
                </c:pt>
                <c:pt idx="65">
                  <c:v>46028</c:v>
                </c:pt>
                <c:pt idx="66">
                  <c:v>46029</c:v>
                </c:pt>
                <c:pt idx="67">
                  <c:v>46030</c:v>
                </c:pt>
                <c:pt idx="68">
                  <c:v>46031</c:v>
                </c:pt>
                <c:pt idx="69">
                  <c:v>46032</c:v>
                </c:pt>
                <c:pt idx="70">
                  <c:v>46033</c:v>
                </c:pt>
                <c:pt idx="71">
                  <c:v>46034</c:v>
                </c:pt>
                <c:pt idx="72">
                  <c:v>46035</c:v>
                </c:pt>
                <c:pt idx="73">
                  <c:v>46036</c:v>
                </c:pt>
                <c:pt idx="74">
                  <c:v>46037</c:v>
                </c:pt>
                <c:pt idx="75">
                  <c:v>46038</c:v>
                </c:pt>
                <c:pt idx="76">
                  <c:v>46039</c:v>
                </c:pt>
                <c:pt idx="77">
                  <c:v>46040</c:v>
                </c:pt>
                <c:pt idx="78">
                  <c:v>46041</c:v>
                </c:pt>
                <c:pt idx="79">
                  <c:v>46042</c:v>
                </c:pt>
                <c:pt idx="80">
                  <c:v>46043</c:v>
                </c:pt>
                <c:pt idx="81">
                  <c:v>46044</c:v>
                </c:pt>
                <c:pt idx="82">
                  <c:v>46045</c:v>
                </c:pt>
                <c:pt idx="83">
                  <c:v>46046</c:v>
                </c:pt>
                <c:pt idx="84">
                  <c:v>46047</c:v>
                </c:pt>
                <c:pt idx="85">
                  <c:v>46048</c:v>
                </c:pt>
                <c:pt idx="86">
                  <c:v>46049</c:v>
                </c:pt>
                <c:pt idx="87">
                  <c:v>46050</c:v>
                </c:pt>
                <c:pt idx="88">
                  <c:v>46051</c:v>
                </c:pt>
                <c:pt idx="89">
                  <c:v>46052</c:v>
                </c:pt>
                <c:pt idx="90">
                  <c:v>46053</c:v>
                </c:pt>
                <c:pt idx="91">
                  <c:v>46054</c:v>
                </c:pt>
                <c:pt idx="92">
                  <c:v>46055</c:v>
                </c:pt>
                <c:pt idx="93">
                  <c:v>46056</c:v>
                </c:pt>
                <c:pt idx="94">
                  <c:v>46057</c:v>
                </c:pt>
                <c:pt idx="95">
                  <c:v>46058</c:v>
                </c:pt>
                <c:pt idx="96">
                  <c:v>46059</c:v>
                </c:pt>
                <c:pt idx="97">
                  <c:v>46060</c:v>
                </c:pt>
                <c:pt idx="98">
                  <c:v>46061</c:v>
                </c:pt>
                <c:pt idx="99">
                  <c:v>46062</c:v>
                </c:pt>
                <c:pt idx="100">
                  <c:v>46063</c:v>
                </c:pt>
                <c:pt idx="101">
                  <c:v>46064</c:v>
                </c:pt>
                <c:pt idx="102">
                  <c:v>46065</c:v>
                </c:pt>
                <c:pt idx="103">
                  <c:v>46066</c:v>
                </c:pt>
                <c:pt idx="104">
                  <c:v>46067</c:v>
                </c:pt>
                <c:pt idx="105">
                  <c:v>46068</c:v>
                </c:pt>
                <c:pt idx="106">
                  <c:v>46069</c:v>
                </c:pt>
                <c:pt idx="107">
                  <c:v>46070</c:v>
                </c:pt>
                <c:pt idx="108">
                  <c:v>46071</c:v>
                </c:pt>
                <c:pt idx="109">
                  <c:v>46072</c:v>
                </c:pt>
                <c:pt idx="110">
                  <c:v>46073</c:v>
                </c:pt>
                <c:pt idx="111">
                  <c:v>46074</c:v>
                </c:pt>
                <c:pt idx="112">
                  <c:v>46075</c:v>
                </c:pt>
                <c:pt idx="113">
                  <c:v>46076</c:v>
                </c:pt>
                <c:pt idx="114">
                  <c:v>46077</c:v>
                </c:pt>
                <c:pt idx="115">
                  <c:v>46078</c:v>
                </c:pt>
                <c:pt idx="116">
                  <c:v>46079</c:v>
                </c:pt>
                <c:pt idx="117">
                  <c:v>46080</c:v>
                </c:pt>
                <c:pt idx="118">
                  <c:v>46081</c:v>
                </c:pt>
                <c:pt idx="119">
                  <c:v>46082</c:v>
                </c:pt>
                <c:pt idx="120">
                  <c:v>46083</c:v>
                </c:pt>
                <c:pt idx="121">
                  <c:v>46084</c:v>
                </c:pt>
                <c:pt idx="122">
                  <c:v>46085</c:v>
                </c:pt>
                <c:pt idx="123">
                  <c:v>46086</c:v>
                </c:pt>
                <c:pt idx="124">
                  <c:v>46087</c:v>
                </c:pt>
                <c:pt idx="125">
                  <c:v>46088</c:v>
                </c:pt>
                <c:pt idx="126">
                  <c:v>46089</c:v>
                </c:pt>
                <c:pt idx="127">
                  <c:v>46090</c:v>
                </c:pt>
                <c:pt idx="128">
                  <c:v>46091</c:v>
                </c:pt>
                <c:pt idx="129">
                  <c:v>46092</c:v>
                </c:pt>
                <c:pt idx="130">
                  <c:v>46093</c:v>
                </c:pt>
                <c:pt idx="131">
                  <c:v>46094</c:v>
                </c:pt>
                <c:pt idx="132">
                  <c:v>46095</c:v>
                </c:pt>
                <c:pt idx="133">
                  <c:v>46096</c:v>
                </c:pt>
                <c:pt idx="134">
                  <c:v>46097</c:v>
                </c:pt>
                <c:pt idx="135">
                  <c:v>46098</c:v>
                </c:pt>
                <c:pt idx="136">
                  <c:v>46099</c:v>
                </c:pt>
                <c:pt idx="137">
                  <c:v>46100</c:v>
                </c:pt>
                <c:pt idx="138">
                  <c:v>46101</c:v>
                </c:pt>
                <c:pt idx="139">
                  <c:v>46102</c:v>
                </c:pt>
                <c:pt idx="140">
                  <c:v>46103</c:v>
                </c:pt>
                <c:pt idx="141">
                  <c:v>46104</c:v>
                </c:pt>
                <c:pt idx="142">
                  <c:v>46105</c:v>
                </c:pt>
                <c:pt idx="143">
                  <c:v>46106</c:v>
                </c:pt>
                <c:pt idx="144">
                  <c:v>46107</c:v>
                </c:pt>
                <c:pt idx="145">
                  <c:v>46108</c:v>
                </c:pt>
                <c:pt idx="146">
                  <c:v>46109</c:v>
                </c:pt>
                <c:pt idx="147">
                  <c:v>46110</c:v>
                </c:pt>
                <c:pt idx="148">
                  <c:v>46111</c:v>
                </c:pt>
                <c:pt idx="149">
                  <c:v>46112</c:v>
                </c:pt>
                <c:pt idx="150">
                  <c:v>46113</c:v>
                </c:pt>
                <c:pt idx="151">
                  <c:v>46114</c:v>
                </c:pt>
                <c:pt idx="152">
                  <c:v>46115</c:v>
                </c:pt>
                <c:pt idx="153">
                  <c:v>46116</c:v>
                </c:pt>
                <c:pt idx="154">
                  <c:v>46117</c:v>
                </c:pt>
                <c:pt idx="155">
                  <c:v>46118</c:v>
                </c:pt>
                <c:pt idx="156">
                  <c:v>46119</c:v>
                </c:pt>
                <c:pt idx="157">
                  <c:v>46120</c:v>
                </c:pt>
                <c:pt idx="158">
                  <c:v>46121</c:v>
                </c:pt>
                <c:pt idx="159">
                  <c:v>46122</c:v>
                </c:pt>
                <c:pt idx="160">
                  <c:v>46123</c:v>
                </c:pt>
                <c:pt idx="161">
                  <c:v>46124</c:v>
                </c:pt>
                <c:pt idx="162">
                  <c:v>46125</c:v>
                </c:pt>
                <c:pt idx="163">
                  <c:v>46126</c:v>
                </c:pt>
                <c:pt idx="164">
                  <c:v>46127</c:v>
                </c:pt>
                <c:pt idx="165">
                  <c:v>46128</c:v>
                </c:pt>
                <c:pt idx="166">
                  <c:v>46129</c:v>
                </c:pt>
                <c:pt idx="167">
                  <c:v>46130</c:v>
                </c:pt>
                <c:pt idx="168">
                  <c:v>46131</c:v>
                </c:pt>
                <c:pt idx="169">
                  <c:v>46132</c:v>
                </c:pt>
                <c:pt idx="170">
                  <c:v>46133</c:v>
                </c:pt>
                <c:pt idx="171">
                  <c:v>46134</c:v>
                </c:pt>
                <c:pt idx="172">
                  <c:v>46135</c:v>
                </c:pt>
                <c:pt idx="173">
                  <c:v>46136</c:v>
                </c:pt>
                <c:pt idx="174">
                  <c:v>46137</c:v>
                </c:pt>
                <c:pt idx="175">
                  <c:v>46138</c:v>
                </c:pt>
                <c:pt idx="176">
                  <c:v>46139</c:v>
                </c:pt>
                <c:pt idx="177">
                  <c:v>46140</c:v>
                </c:pt>
                <c:pt idx="178">
                  <c:v>46141</c:v>
                </c:pt>
                <c:pt idx="179">
                  <c:v>46142</c:v>
                </c:pt>
                <c:pt idx="180">
                  <c:v>46143</c:v>
                </c:pt>
                <c:pt idx="181">
                  <c:v>46144</c:v>
                </c:pt>
                <c:pt idx="182">
                  <c:v>46145</c:v>
                </c:pt>
                <c:pt idx="183">
                  <c:v>46146</c:v>
                </c:pt>
                <c:pt idx="184">
                  <c:v>46147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46158</c:v>
                </c:pt>
                <c:pt idx="196">
                  <c:v>46159</c:v>
                </c:pt>
                <c:pt idx="197">
                  <c:v>46160</c:v>
                </c:pt>
                <c:pt idx="198">
                  <c:v>46161</c:v>
                </c:pt>
                <c:pt idx="199">
                  <c:v>46162</c:v>
                </c:pt>
                <c:pt idx="200">
                  <c:v>46163</c:v>
                </c:pt>
                <c:pt idx="201">
                  <c:v>46164</c:v>
                </c:pt>
                <c:pt idx="202">
                  <c:v>46165</c:v>
                </c:pt>
                <c:pt idx="203">
                  <c:v>46166</c:v>
                </c:pt>
                <c:pt idx="204">
                  <c:v>46167</c:v>
                </c:pt>
                <c:pt idx="205">
                  <c:v>46168</c:v>
                </c:pt>
                <c:pt idx="206">
                  <c:v>46169</c:v>
                </c:pt>
                <c:pt idx="207">
                  <c:v>46170</c:v>
                </c:pt>
                <c:pt idx="208">
                  <c:v>46171</c:v>
                </c:pt>
                <c:pt idx="209">
                  <c:v>46172</c:v>
                </c:pt>
                <c:pt idx="210">
                  <c:v>46173</c:v>
                </c:pt>
                <c:pt idx="211">
                  <c:v>46174</c:v>
                </c:pt>
                <c:pt idx="212">
                  <c:v>46175</c:v>
                </c:pt>
                <c:pt idx="213">
                  <c:v>46176</c:v>
                </c:pt>
                <c:pt idx="214">
                  <c:v>46177</c:v>
                </c:pt>
                <c:pt idx="215">
                  <c:v>46178</c:v>
                </c:pt>
                <c:pt idx="216">
                  <c:v>46179</c:v>
                </c:pt>
                <c:pt idx="217">
                  <c:v>46180</c:v>
                </c:pt>
                <c:pt idx="218">
                  <c:v>46181</c:v>
                </c:pt>
                <c:pt idx="219">
                  <c:v>46182</c:v>
                </c:pt>
                <c:pt idx="220">
                  <c:v>46183</c:v>
                </c:pt>
                <c:pt idx="221">
                  <c:v>46184</c:v>
                </c:pt>
                <c:pt idx="222">
                  <c:v>46185</c:v>
                </c:pt>
                <c:pt idx="223">
                  <c:v>46186</c:v>
                </c:pt>
                <c:pt idx="224">
                  <c:v>46187</c:v>
                </c:pt>
                <c:pt idx="225">
                  <c:v>46188</c:v>
                </c:pt>
                <c:pt idx="226">
                  <c:v>46189</c:v>
                </c:pt>
                <c:pt idx="227">
                  <c:v>46190</c:v>
                </c:pt>
                <c:pt idx="228">
                  <c:v>46191</c:v>
                </c:pt>
                <c:pt idx="229">
                  <c:v>46192</c:v>
                </c:pt>
                <c:pt idx="230">
                  <c:v>46193</c:v>
                </c:pt>
                <c:pt idx="231">
                  <c:v>46194</c:v>
                </c:pt>
                <c:pt idx="232">
                  <c:v>46195</c:v>
                </c:pt>
                <c:pt idx="233">
                  <c:v>46196</c:v>
                </c:pt>
                <c:pt idx="234">
                  <c:v>46197</c:v>
                </c:pt>
                <c:pt idx="235">
                  <c:v>46198</c:v>
                </c:pt>
                <c:pt idx="236">
                  <c:v>46199</c:v>
                </c:pt>
                <c:pt idx="237">
                  <c:v>46200</c:v>
                </c:pt>
                <c:pt idx="238">
                  <c:v>46201</c:v>
                </c:pt>
                <c:pt idx="239">
                  <c:v>46202</c:v>
                </c:pt>
                <c:pt idx="240">
                  <c:v>46203</c:v>
                </c:pt>
                <c:pt idx="241">
                  <c:v>46204</c:v>
                </c:pt>
                <c:pt idx="242">
                  <c:v>46205</c:v>
                </c:pt>
                <c:pt idx="243">
                  <c:v>46206</c:v>
                </c:pt>
                <c:pt idx="244">
                  <c:v>46207</c:v>
                </c:pt>
                <c:pt idx="245">
                  <c:v>46208</c:v>
                </c:pt>
                <c:pt idx="246">
                  <c:v>46209</c:v>
                </c:pt>
                <c:pt idx="247">
                  <c:v>46210</c:v>
                </c:pt>
                <c:pt idx="248">
                  <c:v>46211</c:v>
                </c:pt>
                <c:pt idx="249">
                  <c:v>46212</c:v>
                </c:pt>
                <c:pt idx="250">
                  <c:v>46213</c:v>
                </c:pt>
                <c:pt idx="251">
                  <c:v>46214</c:v>
                </c:pt>
                <c:pt idx="252">
                  <c:v>46215</c:v>
                </c:pt>
                <c:pt idx="253">
                  <c:v>46216</c:v>
                </c:pt>
                <c:pt idx="254">
                  <c:v>46217</c:v>
                </c:pt>
                <c:pt idx="255">
                  <c:v>46218</c:v>
                </c:pt>
                <c:pt idx="256">
                  <c:v>46219</c:v>
                </c:pt>
                <c:pt idx="257">
                  <c:v>46220</c:v>
                </c:pt>
                <c:pt idx="258">
                  <c:v>46221</c:v>
                </c:pt>
                <c:pt idx="259">
                  <c:v>46222</c:v>
                </c:pt>
                <c:pt idx="260">
                  <c:v>46223</c:v>
                </c:pt>
                <c:pt idx="261">
                  <c:v>46224</c:v>
                </c:pt>
                <c:pt idx="262">
                  <c:v>46225</c:v>
                </c:pt>
                <c:pt idx="263">
                  <c:v>46226</c:v>
                </c:pt>
                <c:pt idx="264">
                  <c:v>46227</c:v>
                </c:pt>
                <c:pt idx="265">
                  <c:v>46228</c:v>
                </c:pt>
                <c:pt idx="266">
                  <c:v>46229</c:v>
                </c:pt>
                <c:pt idx="267">
                  <c:v>46230</c:v>
                </c:pt>
                <c:pt idx="268">
                  <c:v>46231</c:v>
                </c:pt>
                <c:pt idx="269">
                  <c:v>46232</c:v>
                </c:pt>
                <c:pt idx="270">
                  <c:v>46233</c:v>
                </c:pt>
                <c:pt idx="271">
                  <c:v>46234</c:v>
                </c:pt>
                <c:pt idx="272">
                  <c:v>46235</c:v>
                </c:pt>
                <c:pt idx="273">
                  <c:v>46236</c:v>
                </c:pt>
                <c:pt idx="274">
                  <c:v>46237</c:v>
                </c:pt>
                <c:pt idx="275">
                  <c:v>46238</c:v>
                </c:pt>
                <c:pt idx="276">
                  <c:v>46239</c:v>
                </c:pt>
                <c:pt idx="277">
                  <c:v>46240</c:v>
                </c:pt>
                <c:pt idx="278">
                  <c:v>46241</c:v>
                </c:pt>
                <c:pt idx="279">
                  <c:v>46242</c:v>
                </c:pt>
                <c:pt idx="280">
                  <c:v>46243</c:v>
                </c:pt>
                <c:pt idx="281">
                  <c:v>46244</c:v>
                </c:pt>
                <c:pt idx="282">
                  <c:v>46245</c:v>
                </c:pt>
                <c:pt idx="283">
                  <c:v>46246</c:v>
                </c:pt>
                <c:pt idx="284">
                  <c:v>46247</c:v>
                </c:pt>
                <c:pt idx="285">
                  <c:v>46248</c:v>
                </c:pt>
                <c:pt idx="286">
                  <c:v>46249</c:v>
                </c:pt>
                <c:pt idx="287">
                  <c:v>46250</c:v>
                </c:pt>
                <c:pt idx="288">
                  <c:v>46251</c:v>
                </c:pt>
                <c:pt idx="289">
                  <c:v>46252</c:v>
                </c:pt>
                <c:pt idx="290">
                  <c:v>46253</c:v>
                </c:pt>
                <c:pt idx="291">
                  <c:v>46254</c:v>
                </c:pt>
                <c:pt idx="292">
                  <c:v>46255</c:v>
                </c:pt>
                <c:pt idx="293">
                  <c:v>46256</c:v>
                </c:pt>
                <c:pt idx="294">
                  <c:v>46257</c:v>
                </c:pt>
                <c:pt idx="295">
                  <c:v>46258</c:v>
                </c:pt>
                <c:pt idx="296">
                  <c:v>46259</c:v>
                </c:pt>
                <c:pt idx="297">
                  <c:v>46260</c:v>
                </c:pt>
                <c:pt idx="298">
                  <c:v>46261</c:v>
                </c:pt>
                <c:pt idx="299">
                  <c:v>46262</c:v>
                </c:pt>
                <c:pt idx="300">
                  <c:v>46263</c:v>
                </c:pt>
                <c:pt idx="301">
                  <c:v>46264</c:v>
                </c:pt>
                <c:pt idx="302">
                  <c:v>46265</c:v>
                </c:pt>
                <c:pt idx="303">
                  <c:v>46266</c:v>
                </c:pt>
                <c:pt idx="304">
                  <c:v>46267</c:v>
                </c:pt>
                <c:pt idx="305">
                  <c:v>46268</c:v>
                </c:pt>
                <c:pt idx="306">
                  <c:v>46269</c:v>
                </c:pt>
                <c:pt idx="307">
                  <c:v>46270</c:v>
                </c:pt>
                <c:pt idx="308">
                  <c:v>46271</c:v>
                </c:pt>
                <c:pt idx="309">
                  <c:v>46272</c:v>
                </c:pt>
                <c:pt idx="310">
                  <c:v>46273</c:v>
                </c:pt>
                <c:pt idx="311">
                  <c:v>46274</c:v>
                </c:pt>
                <c:pt idx="312">
                  <c:v>46275</c:v>
                </c:pt>
                <c:pt idx="313">
                  <c:v>46276</c:v>
                </c:pt>
                <c:pt idx="314">
                  <c:v>46277</c:v>
                </c:pt>
                <c:pt idx="315">
                  <c:v>46278</c:v>
                </c:pt>
                <c:pt idx="316">
                  <c:v>46279</c:v>
                </c:pt>
                <c:pt idx="317">
                  <c:v>46280</c:v>
                </c:pt>
                <c:pt idx="318">
                  <c:v>46281</c:v>
                </c:pt>
                <c:pt idx="319">
                  <c:v>46282</c:v>
                </c:pt>
                <c:pt idx="320">
                  <c:v>46283</c:v>
                </c:pt>
                <c:pt idx="321">
                  <c:v>46284</c:v>
                </c:pt>
                <c:pt idx="322">
                  <c:v>46285</c:v>
                </c:pt>
                <c:pt idx="323">
                  <c:v>46286</c:v>
                </c:pt>
                <c:pt idx="324">
                  <c:v>46287</c:v>
                </c:pt>
                <c:pt idx="325">
                  <c:v>46288</c:v>
                </c:pt>
                <c:pt idx="326">
                  <c:v>46289</c:v>
                </c:pt>
                <c:pt idx="327">
                  <c:v>46290</c:v>
                </c:pt>
                <c:pt idx="328">
                  <c:v>46291</c:v>
                </c:pt>
                <c:pt idx="329">
                  <c:v>46292</c:v>
                </c:pt>
                <c:pt idx="330">
                  <c:v>46293</c:v>
                </c:pt>
                <c:pt idx="331">
                  <c:v>46294</c:v>
                </c:pt>
                <c:pt idx="332">
                  <c:v>46295</c:v>
                </c:pt>
                <c:pt idx="333">
                  <c:v>46296</c:v>
                </c:pt>
                <c:pt idx="334">
                  <c:v>46297</c:v>
                </c:pt>
                <c:pt idx="335">
                  <c:v>46298</c:v>
                </c:pt>
                <c:pt idx="336">
                  <c:v>46299</c:v>
                </c:pt>
                <c:pt idx="337">
                  <c:v>46300</c:v>
                </c:pt>
                <c:pt idx="338">
                  <c:v>46301</c:v>
                </c:pt>
                <c:pt idx="339">
                  <c:v>46302</c:v>
                </c:pt>
                <c:pt idx="340">
                  <c:v>46303</c:v>
                </c:pt>
                <c:pt idx="341">
                  <c:v>46304</c:v>
                </c:pt>
                <c:pt idx="342">
                  <c:v>46305</c:v>
                </c:pt>
                <c:pt idx="343">
                  <c:v>46306</c:v>
                </c:pt>
                <c:pt idx="344">
                  <c:v>46307</c:v>
                </c:pt>
                <c:pt idx="345">
                  <c:v>46308</c:v>
                </c:pt>
                <c:pt idx="346">
                  <c:v>46309</c:v>
                </c:pt>
                <c:pt idx="347">
                  <c:v>46310</c:v>
                </c:pt>
                <c:pt idx="348">
                  <c:v>46311</c:v>
                </c:pt>
                <c:pt idx="349">
                  <c:v>46312</c:v>
                </c:pt>
                <c:pt idx="350">
                  <c:v>46313</c:v>
                </c:pt>
                <c:pt idx="351">
                  <c:v>46314</c:v>
                </c:pt>
                <c:pt idx="352">
                  <c:v>46315</c:v>
                </c:pt>
                <c:pt idx="353">
                  <c:v>46316</c:v>
                </c:pt>
                <c:pt idx="354">
                  <c:v>46317</c:v>
                </c:pt>
                <c:pt idx="355">
                  <c:v>46318</c:v>
                </c:pt>
                <c:pt idx="356">
                  <c:v>46319</c:v>
                </c:pt>
                <c:pt idx="357">
                  <c:v>46320</c:v>
                </c:pt>
                <c:pt idx="358">
                  <c:v>46321</c:v>
                </c:pt>
                <c:pt idx="359">
                  <c:v>46322</c:v>
                </c:pt>
                <c:pt idx="360">
                  <c:v>46323</c:v>
                </c:pt>
                <c:pt idx="361">
                  <c:v>46324</c:v>
                </c:pt>
                <c:pt idx="362">
                  <c:v>46325</c:v>
                </c:pt>
                <c:pt idx="363">
                  <c:v>46326</c:v>
                </c:pt>
                <c:pt idx="364">
                  <c:v>46327</c:v>
                </c:pt>
                <c:pt idx="365">
                  <c:v>46328</c:v>
                </c:pt>
                <c:pt idx="366">
                  <c:v>46329</c:v>
                </c:pt>
                <c:pt idx="367">
                  <c:v>46330</c:v>
                </c:pt>
                <c:pt idx="368">
                  <c:v>46331</c:v>
                </c:pt>
                <c:pt idx="369">
                  <c:v>46332</c:v>
                </c:pt>
                <c:pt idx="370">
                  <c:v>46333</c:v>
                </c:pt>
                <c:pt idx="371">
                  <c:v>46334</c:v>
                </c:pt>
                <c:pt idx="372">
                  <c:v>46335</c:v>
                </c:pt>
                <c:pt idx="373">
                  <c:v>46336</c:v>
                </c:pt>
                <c:pt idx="374">
                  <c:v>46337</c:v>
                </c:pt>
                <c:pt idx="375">
                  <c:v>46338</c:v>
                </c:pt>
                <c:pt idx="376">
                  <c:v>46339</c:v>
                </c:pt>
                <c:pt idx="377">
                  <c:v>46340</c:v>
                </c:pt>
                <c:pt idx="378">
                  <c:v>46341</c:v>
                </c:pt>
                <c:pt idx="379">
                  <c:v>46342</c:v>
                </c:pt>
                <c:pt idx="380">
                  <c:v>46343</c:v>
                </c:pt>
                <c:pt idx="381">
                  <c:v>46344</c:v>
                </c:pt>
                <c:pt idx="382">
                  <c:v>46345</c:v>
                </c:pt>
                <c:pt idx="383">
                  <c:v>46346</c:v>
                </c:pt>
                <c:pt idx="384">
                  <c:v>46347</c:v>
                </c:pt>
                <c:pt idx="385">
                  <c:v>46348</c:v>
                </c:pt>
                <c:pt idx="386">
                  <c:v>46349</c:v>
                </c:pt>
                <c:pt idx="387">
                  <c:v>46350</c:v>
                </c:pt>
                <c:pt idx="388">
                  <c:v>46351</c:v>
                </c:pt>
                <c:pt idx="389">
                  <c:v>46352</c:v>
                </c:pt>
                <c:pt idx="390">
                  <c:v>46353</c:v>
                </c:pt>
                <c:pt idx="391">
                  <c:v>46354</c:v>
                </c:pt>
                <c:pt idx="392">
                  <c:v>46355</c:v>
                </c:pt>
                <c:pt idx="393">
                  <c:v>46356</c:v>
                </c:pt>
                <c:pt idx="394">
                  <c:v>46357</c:v>
                </c:pt>
                <c:pt idx="395">
                  <c:v>46358</c:v>
                </c:pt>
                <c:pt idx="396">
                  <c:v>46359</c:v>
                </c:pt>
                <c:pt idx="397">
                  <c:v>46360</c:v>
                </c:pt>
                <c:pt idx="398">
                  <c:v>46361</c:v>
                </c:pt>
                <c:pt idx="399">
                  <c:v>46362</c:v>
                </c:pt>
                <c:pt idx="400">
                  <c:v>46363</c:v>
                </c:pt>
                <c:pt idx="401">
                  <c:v>46364</c:v>
                </c:pt>
                <c:pt idx="402">
                  <c:v>46365</c:v>
                </c:pt>
                <c:pt idx="403">
                  <c:v>46366</c:v>
                </c:pt>
                <c:pt idx="404">
                  <c:v>46367</c:v>
                </c:pt>
                <c:pt idx="405">
                  <c:v>46368</c:v>
                </c:pt>
                <c:pt idx="406">
                  <c:v>46369</c:v>
                </c:pt>
                <c:pt idx="407">
                  <c:v>46370</c:v>
                </c:pt>
                <c:pt idx="408">
                  <c:v>46371</c:v>
                </c:pt>
                <c:pt idx="409">
                  <c:v>46372</c:v>
                </c:pt>
                <c:pt idx="410">
                  <c:v>46373</c:v>
                </c:pt>
                <c:pt idx="411">
                  <c:v>46374</c:v>
                </c:pt>
                <c:pt idx="412">
                  <c:v>46375</c:v>
                </c:pt>
                <c:pt idx="413">
                  <c:v>46376</c:v>
                </c:pt>
                <c:pt idx="414">
                  <c:v>46377</c:v>
                </c:pt>
                <c:pt idx="415">
                  <c:v>46378</c:v>
                </c:pt>
                <c:pt idx="416">
                  <c:v>46379</c:v>
                </c:pt>
                <c:pt idx="417">
                  <c:v>46380</c:v>
                </c:pt>
                <c:pt idx="418">
                  <c:v>46381</c:v>
                </c:pt>
                <c:pt idx="419">
                  <c:v>46382</c:v>
                </c:pt>
                <c:pt idx="420">
                  <c:v>46383</c:v>
                </c:pt>
                <c:pt idx="421">
                  <c:v>46384</c:v>
                </c:pt>
                <c:pt idx="422">
                  <c:v>46385</c:v>
                </c:pt>
                <c:pt idx="423">
                  <c:v>46386</c:v>
                </c:pt>
                <c:pt idx="424">
                  <c:v>46387</c:v>
                </c:pt>
              </c:numCache>
            </c:numRef>
          </c:cat>
          <c:val>
            <c:numRef>
              <c:f>'Grafico %'!$E$2:$E$426</c:f>
              <c:numCache>
                <c:formatCode>0.00%</c:formatCode>
                <c:ptCount val="425"/>
                <c:pt idx="21">
                  <c:v>4.4999999999999996E-5</c:v>
                </c:pt>
                <c:pt idx="22">
                  <c:v>1.5044999999999999E-2</c:v>
                </c:pt>
                <c:pt idx="23">
                  <c:v>6.0045000000000001E-2</c:v>
                </c:pt>
                <c:pt idx="24">
                  <c:v>0.120045</c:v>
                </c:pt>
                <c:pt idx="25">
                  <c:v>0.157745</c:v>
                </c:pt>
                <c:pt idx="26">
                  <c:v>0.20774499999999999</c:v>
                </c:pt>
                <c:pt idx="27">
                  <c:v>0.26524500000000001</c:v>
                </c:pt>
                <c:pt idx="28">
                  <c:v>0.26524500000000001</c:v>
                </c:pt>
                <c:pt idx="29">
                  <c:v>0.31624999999999998</c:v>
                </c:pt>
                <c:pt idx="30">
                  <c:v>0.35510500000000006</c:v>
                </c:pt>
                <c:pt idx="31">
                  <c:v>0.36822000000000016</c:v>
                </c:pt>
                <c:pt idx="32">
                  <c:v>0.37068000000000029</c:v>
                </c:pt>
                <c:pt idx="33">
                  <c:v>0.37068000000000029</c:v>
                </c:pt>
                <c:pt idx="34">
                  <c:v>0.37074500000000021</c:v>
                </c:pt>
                <c:pt idx="35">
                  <c:v>0.37074500000000021</c:v>
                </c:pt>
                <c:pt idx="36">
                  <c:v>0.37074500000000021</c:v>
                </c:pt>
                <c:pt idx="37">
                  <c:v>0.37074500000000021</c:v>
                </c:pt>
                <c:pt idx="38">
                  <c:v>0.37074500000000021</c:v>
                </c:pt>
                <c:pt idx="39">
                  <c:v>0.37074500000000021</c:v>
                </c:pt>
                <c:pt idx="40">
                  <c:v>0.37074500000000021</c:v>
                </c:pt>
                <c:pt idx="41">
                  <c:v>0.37074500000000021</c:v>
                </c:pt>
                <c:pt idx="42">
                  <c:v>0.37074500000000021</c:v>
                </c:pt>
                <c:pt idx="43">
                  <c:v>0.42296500000000026</c:v>
                </c:pt>
                <c:pt idx="44">
                  <c:v>0.42296500000000026</c:v>
                </c:pt>
                <c:pt idx="45">
                  <c:v>0.42296500000000026</c:v>
                </c:pt>
                <c:pt idx="46">
                  <c:v>0.42296500000000026</c:v>
                </c:pt>
                <c:pt idx="47">
                  <c:v>0.42296500000000026</c:v>
                </c:pt>
                <c:pt idx="48">
                  <c:v>0.42296500000000026</c:v>
                </c:pt>
                <c:pt idx="49">
                  <c:v>0.42296500000000026</c:v>
                </c:pt>
                <c:pt idx="50">
                  <c:v>0.42296500000000026</c:v>
                </c:pt>
                <c:pt idx="51">
                  <c:v>0.42296500000000026</c:v>
                </c:pt>
                <c:pt idx="52">
                  <c:v>0.42296500000000026</c:v>
                </c:pt>
                <c:pt idx="53">
                  <c:v>0.42296500000000026</c:v>
                </c:pt>
                <c:pt idx="54">
                  <c:v>0.42296500000000026</c:v>
                </c:pt>
                <c:pt idx="55">
                  <c:v>0.42296500000000026</c:v>
                </c:pt>
                <c:pt idx="56">
                  <c:v>0.42296500000000026</c:v>
                </c:pt>
                <c:pt idx="57">
                  <c:v>0.42296500000000026</c:v>
                </c:pt>
                <c:pt idx="58">
                  <c:v>0.42296500000000026</c:v>
                </c:pt>
                <c:pt idx="59">
                  <c:v>0.42296500000000026</c:v>
                </c:pt>
                <c:pt idx="60">
                  <c:v>0.42296500000000026</c:v>
                </c:pt>
                <c:pt idx="61">
                  <c:v>0.42296500000000026</c:v>
                </c:pt>
                <c:pt idx="62">
                  <c:v>0.42296500000000026</c:v>
                </c:pt>
                <c:pt idx="63">
                  <c:v>0.42296500000000026</c:v>
                </c:pt>
                <c:pt idx="64">
                  <c:v>0.42296500000000026</c:v>
                </c:pt>
                <c:pt idx="65">
                  <c:v>0.42296500000000026</c:v>
                </c:pt>
                <c:pt idx="66">
                  <c:v>0.47096500000000019</c:v>
                </c:pt>
                <c:pt idx="67">
                  <c:v>0.49763500000000022</c:v>
                </c:pt>
                <c:pt idx="68">
                  <c:v>0.49763500000000022</c:v>
                </c:pt>
                <c:pt idx="69">
                  <c:v>0.49763500000000022</c:v>
                </c:pt>
                <c:pt idx="70">
                  <c:v>0.49763500000000022</c:v>
                </c:pt>
                <c:pt idx="71">
                  <c:v>0.49763500000000022</c:v>
                </c:pt>
                <c:pt idx="72">
                  <c:v>0.49934500000000026</c:v>
                </c:pt>
                <c:pt idx="73">
                  <c:v>0.49934500000000026</c:v>
                </c:pt>
                <c:pt idx="74">
                  <c:v>0.49934500000000026</c:v>
                </c:pt>
                <c:pt idx="75">
                  <c:v>0.49934500000000026</c:v>
                </c:pt>
                <c:pt idx="76">
                  <c:v>0.49934500000000026</c:v>
                </c:pt>
                <c:pt idx="77">
                  <c:v>0.49934500000000026</c:v>
                </c:pt>
                <c:pt idx="78">
                  <c:v>0.49934500000000026</c:v>
                </c:pt>
                <c:pt idx="79">
                  <c:v>0.49953000000000031</c:v>
                </c:pt>
                <c:pt idx="80">
                  <c:v>0.49953000000000031</c:v>
                </c:pt>
                <c:pt idx="81">
                  <c:v>0.49953000000000031</c:v>
                </c:pt>
                <c:pt idx="82">
                  <c:v>0.49953000000000031</c:v>
                </c:pt>
                <c:pt idx="83">
                  <c:v>0.49953000000000031</c:v>
                </c:pt>
                <c:pt idx="84">
                  <c:v>0.49953000000000031</c:v>
                </c:pt>
                <c:pt idx="85">
                  <c:v>0.49953000000000031</c:v>
                </c:pt>
                <c:pt idx="86">
                  <c:v>0.49953000000000031</c:v>
                </c:pt>
                <c:pt idx="87">
                  <c:v>0.49953000000000031</c:v>
                </c:pt>
                <c:pt idx="88">
                  <c:v>0.49953000000000031</c:v>
                </c:pt>
                <c:pt idx="89">
                  <c:v>0.49953000000000031</c:v>
                </c:pt>
                <c:pt idx="90">
                  <c:v>0.49953000000000031</c:v>
                </c:pt>
                <c:pt idx="91">
                  <c:v>0.49953000000000031</c:v>
                </c:pt>
                <c:pt idx="92">
                  <c:v>0.49953000000000031</c:v>
                </c:pt>
                <c:pt idx="93">
                  <c:v>0.49953000000000031</c:v>
                </c:pt>
                <c:pt idx="94">
                  <c:v>0.49953000000000031</c:v>
                </c:pt>
                <c:pt idx="95">
                  <c:v>0.49953000000000031</c:v>
                </c:pt>
                <c:pt idx="96">
                  <c:v>0.49953000000000031</c:v>
                </c:pt>
                <c:pt idx="97">
                  <c:v>0.49953000000000031</c:v>
                </c:pt>
                <c:pt idx="98">
                  <c:v>0.49953000000000031</c:v>
                </c:pt>
                <c:pt idx="99">
                  <c:v>0.49953000000000031</c:v>
                </c:pt>
                <c:pt idx="100">
                  <c:v>0.49953000000000031</c:v>
                </c:pt>
                <c:pt idx="101">
                  <c:v>0.49953000000000031</c:v>
                </c:pt>
                <c:pt idx="102">
                  <c:v>0.49953000000000031</c:v>
                </c:pt>
                <c:pt idx="103">
                  <c:v>0.49953000000000031</c:v>
                </c:pt>
                <c:pt idx="104">
                  <c:v>0.49953000000000031</c:v>
                </c:pt>
                <c:pt idx="105">
                  <c:v>0.49953000000000031</c:v>
                </c:pt>
                <c:pt idx="106">
                  <c:v>0.49953000000000031</c:v>
                </c:pt>
                <c:pt idx="107">
                  <c:v>0.49953000000000031</c:v>
                </c:pt>
                <c:pt idx="108">
                  <c:v>0.49953000000000031</c:v>
                </c:pt>
                <c:pt idx="109">
                  <c:v>0.49953000000000031</c:v>
                </c:pt>
                <c:pt idx="110">
                  <c:v>0.49953000000000031</c:v>
                </c:pt>
                <c:pt idx="111">
                  <c:v>0.49953000000000031</c:v>
                </c:pt>
                <c:pt idx="112">
                  <c:v>0.49953000000000031</c:v>
                </c:pt>
                <c:pt idx="113">
                  <c:v>0.49953000000000031</c:v>
                </c:pt>
                <c:pt idx="114">
                  <c:v>0.49953000000000031</c:v>
                </c:pt>
                <c:pt idx="115">
                  <c:v>0.49953000000000031</c:v>
                </c:pt>
                <c:pt idx="116">
                  <c:v>0.49953000000000031</c:v>
                </c:pt>
                <c:pt idx="117">
                  <c:v>0.49953000000000031</c:v>
                </c:pt>
                <c:pt idx="118">
                  <c:v>0.49953000000000031</c:v>
                </c:pt>
                <c:pt idx="119">
                  <c:v>0.49953000000000031</c:v>
                </c:pt>
                <c:pt idx="120">
                  <c:v>0.49953000000000031</c:v>
                </c:pt>
                <c:pt idx="121">
                  <c:v>0.49953000000000031</c:v>
                </c:pt>
                <c:pt idx="122">
                  <c:v>0.49953000000000031</c:v>
                </c:pt>
                <c:pt idx="123">
                  <c:v>0.49953000000000031</c:v>
                </c:pt>
                <c:pt idx="124">
                  <c:v>0.49953000000000031</c:v>
                </c:pt>
                <c:pt idx="125">
                  <c:v>0.49953000000000031</c:v>
                </c:pt>
                <c:pt idx="126">
                  <c:v>0.49953000000000031</c:v>
                </c:pt>
                <c:pt idx="127">
                  <c:v>0.49953000000000031</c:v>
                </c:pt>
                <c:pt idx="128">
                  <c:v>0.49953000000000031</c:v>
                </c:pt>
                <c:pt idx="129">
                  <c:v>0.49953000000000031</c:v>
                </c:pt>
                <c:pt idx="130">
                  <c:v>0.49953000000000031</c:v>
                </c:pt>
                <c:pt idx="131">
                  <c:v>0.49953000000000031</c:v>
                </c:pt>
                <c:pt idx="132">
                  <c:v>0.49953000000000031</c:v>
                </c:pt>
                <c:pt idx="133">
                  <c:v>0.49953000000000031</c:v>
                </c:pt>
                <c:pt idx="134">
                  <c:v>0.49953000000000031</c:v>
                </c:pt>
                <c:pt idx="135">
                  <c:v>0.49953000000000031</c:v>
                </c:pt>
                <c:pt idx="136">
                  <c:v>0.49953000000000031</c:v>
                </c:pt>
                <c:pt idx="137">
                  <c:v>0.49953000000000031</c:v>
                </c:pt>
                <c:pt idx="138">
                  <c:v>0.49953000000000031</c:v>
                </c:pt>
                <c:pt idx="139">
                  <c:v>0.49953000000000031</c:v>
                </c:pt>
                <c:pt idx="140">
                  <c:v>0.49953000000000031</c:v>
                </c:pt>
                <c:pt idx="141">
                  <c:v>0.49953000000000031</c:v>
                </c:pt>
                <c:pt idx="142">
                  <c:v>0.49953000000000031</c:v>
                </c:pt>
                <c:pt idx="143">
                  <c:v>0.49953000000000031</c:v>
                </c:pt>
                <c:pt idx="144">
                  <c:v>0.49953000000000031</c:v>
                </c:pt>
                <c:pt idx="145">
                  <c:v>0.49953000000000031</c:v>
                </c:pt>
                <c:pt idx="146">
                  <c:v>0.49953000000000031</c:v>
                </c:pt>
                <c:pt idx="147">
                  <c:v>0.49953000000000031</c:v>
                </c:pt>
                <c:pt idx="148">
                  <c:v>0.49953000000000031</c:v>
                </c:pt>
                <c:pt idx="149">
                  <c:v>0.49953000000000031</c:v>
                </c:pt>
                <c:pt idx="150">
                  <c:v>0.49953000000000031</c:v>
                </c:pt>
                <c:pt idx="151">
                  <c:v>0.49953000000000031</c:v>
                </c:pt>
                <c:pt idx="152">
                  <c:v>0.49953000000000031</c:v>
                </c:pt>
                <c:pt idx="153">
                  <c:v>0.49953000000000031</c:v>
                </c:pt>
                <c:pt idx="154">
                  <c:v>0.49953000000000031</c:v>
                </c:pt>
                <c:pt idx="155">
                  <c:v>0.49953000000000031</c:v>
                </c:pt>
                <c:pt idx="156">
                  <c:v>0.49953000000000031</c:v>
                </c:pt>
                <c:pt idx="157">
                  <c:v>0.49953000000000031</c:v>
                </c:pt>
                <c:pt idx="158">
                  <c:v>0.49953000000000031</c:v>
                </c:pt>
                <c:pt idx="159">
                  <c:v>0.49953000000000031</c:v>
                </c:pt>
                <c:pt idx="160">
                  <c:v>0.49953000000000031</c:v>
                </c:pt>
                <c:pt idx="161">
                  <c:v>0.49953000000000031</c:v>
                </c:pt>
                <c:pt idx="162">
                  <c:v>0.49953000000000031</c:v>
                </c:pt>
                <c:pt idx="163">
                  <c:v>0.49953000000000031</c:v>
                </c:pt>
                <c:pt idx="164">
                  <c:v>0.49953000000000031</c:v>
                </c:pt>
                <c:pt idx="165">
                  <c:v>0.49953000000000031</c:v>
                </c:pt>
                <c:pt idx="166">
                  <c:v>0.49953000000000031</c:v>
                </c:pt>
                <c:pt idx="167">
                  <c:v>0.49953000000000031</c:v>
                </c:pt>
                <c:pt idx="168">
                  <c:v>0.49953000000000031</c:v>
                </c:pt>
                <c:pt idx="169">
                  <c:v>0.49953000000000031</c:v>
                </c:pt>
                <c:pt idx="170">
                  <c:v>0.49953000000000031</c:v>
                </c:pt>
                <c:pt idx="171">
                  <c:v>0.49953000000000031</c:v>
                </c:pt>
                <c:pt idx="172">
                  <c:v>0.50459000000000032</c:v>
                </c:pt>
                <c:pt idx="173">
                  <c:v>0.5135350000000003</c:v>
                </c:pt>
                <c:pt idx="174">
                  <c:v>0.5154150000000004</c:v>
                </c:pt>
                <c:pt idx="175">
                  <c:v>0.5154150000000004</c:v>
                </c:pt>
                <c:pt idx="176">
                  <c:v>0.52124000000000037</c:v>
                </c:pt>
                <c:pt idx="177">
                  <c:v>0.52690000000000037</c:v>
                </c:pt>
                <c:pt idx="178">
                  <c:v>0.52690000000000037</c:v>
                </c:pt>
                <c:pt idx="179">
                  <c:v>0.52930500000000036</c:v>
                </c:pt>
                <c:pt idx="180">
                  <c:v>0.53641000000000039</c:v>
                </c:pt>
                <c:pt idx="181">
                  <c:v>0.53641000000000039</c:v>
                </c:pt>
                <c:pt idx="182">
                  <c:v>0.53641000000000039</c:v>
                </c:pt>
                <c:pt idx="183">
                  <c:v>0.54462500000000036</c:v>
                </c:pt>
                <c:pt idx="184">
                  <c:v>0.55028500000000047</c:v>
                </c:pt>
                <c:pt idx="185">
                  <c:v>0.55926500000000046</c:v>
                </c:pt>
                <c:pt idx="186">
                  <c:v>0.57023500000000049</c:v>
                </c:pt>
                <c:pt idx="187">
                  <c:v>0.58355500000000049</c:v>
                </c:pt>
                <c:pt idx="188">
                  <c:v>0.58557000000000048</c:v>
                </c:pt>
                <c:pt idx="189">
                  <c:v>0.58557000000000048</c:v>
                </c:pt>
                <c:pt idx="190">
                  <c:v>0.59172000000000058</c:v>
                </c:pt>
                <c:pt idx="191">
                  <c:v>0.59553000000000056</c:v>
                </c:pt>
                <c:pt idx="192">
                  <c:v>0.60228500000000051</c:v>
                </c:pt>
                <c:pt idx="193">
                  <c:v>0.60733000000000059</c:v>
                </c:pt>
                <c:pt idx="194">
                  <c:v>0.60733000000000059</c:v>
                </c:pt>
                <c:pt idx="195">
                  <c:v>0.60733000000000059</c:v>
                </c:pt>
                <c:pt idx="196">
                  <c:v>0.60733000000000059</c:v>
                </c:pt>
                <c:pt idx="197">
                  <c:v>0.61268500000000048</c:v>
                </c:pt>
                <c:pt idx="198">
                  <c:v>0.61905500000000058</c:v>
                </c:pt>
                <c:pt idx="199">
                  <c:v>0.6238200000000006</c:v>
                </c:pt>
                <c:pt idx="200">
                  <c:v>0.6238200000000006</c:v>
                </c:pt>
                <c:pt idx="201">
                  <c:v>0.6238200000000006</c:v>
                </c:pt>
                <c:pt idx="202">
                  <c:v>0.6238200000000006</c:v>
                </c:pt>
                <c:pt idx="203">
                  <c:v>0.6238200000000006</c:v>
                </c:pt>
                <c:pt idx="204">
                  <c:v>0.62834000000000056</c:v>
                </c:pt>
                <c:pt idx="205">
                  <c:v>0.62834000000000056</c:v>
                </c:pt>
                <c:pt idx="206">
                  <c:v>0.62883500000000059</c:v>
                </c:pt>
                <c:pt idx="207">
                  <c:v>0.62883500000000059</c:v>
                </c:pt>
                <c:pt idx="208">
                  <c:v>0.62883500000000059</c:v>
                </c:pt>
                <c:pt idx="209">
                  <c:v>0.62883500000000059</c:v>
                </c:pt>
                <c:pt idx="210">
                  <c:v>0.62883500000000059</c:v>
                </c:pt>
                <c:pt idx="211">
                  <c:v>0.62883500000000059</c:v>
                </c:pt>
                <c:pt idx="212">
                  <c:v>0.62883500000000059</c:v>
                </c:pt>
                <c:pt idx="213">
                  <c:v>0.62883500000000059</c:v>
                </c:pt>
                <c:pt idx="214">
                  <c:v>0.62883500000000059</c:v>
                </c:pt>
                <c:pt idx="215">
                  <c:v>0.62883500000000059</c:v>
                </c:pt>
                <c:pt idx="216">
                  <c:v>0.62883500000000059</c:v>
                </c:pt>
                <c:pt idx="217">
                  <c:v>0.62883500000000059</c:v>
                </c:pt>
                <c:pt idx="218">
                  <c:v>0.62883500000000059</c:v>
                </c:pt>
                <c:pt idx="219">
                  <c:v>0.62883500000000059</c:v>
                </c:pt>
                <c:pt idx="220">
                  <c:v>0.62883500000000059</c:v>
                </c:pt>
                <c:pt idx="221">
                  <c:v>0.62883500000000059</c:v>
                </c:pt>
                <c:pt idx="222">
                  <c:v>0.62883500000000059</c:v>
                </c:pt>
                <c:pt idx="223">
                  <c:v>0.62883500000000059</c:v>
                </c:pt>
                <c:pt idx="224">
                  <c:v>0.62883500000000059</c:v>
                </c:pt>
                <c:pt idx="225">
                  <c:v>0.62883500000000059</c:v>
                </c:pt>
                <c:pt idx="226">
                  <c:v>0.62883500000000059</c:v>
                </c:pt>
                <c:pt idx="227">
                  <c:v>0.62883500000000059</c:v>
                </c:pt>
                <c:pt idx="228">
                  <c:v>0.62883500000000059</c:v>
                </c:pt>
                <c:pt idx="229">
                  <c:v>0.62883500000000059</c:v>
                </c:pt>
                <c:pt idx="230">
                  <c:v>0.62883500000000059</c:v>
                </c:pt>
                <c:pt idx="231">
                  <c:v>0.62883500000000059</c:v>
                </c:pt>
                <c:pt idx="232">
                  <c:v>0.62883500000000059</c:v>
                </c:pt>
                <c:pt idx="233">
                  <c:v>0.62883500000000059</c:v>
                </c:pt>
                <c:pt idx="234">
                  <c:v>0.62883500000000059</c:v>
                </c:pt>
                <c:pt idx="235">
                  <c:v>0.62883500000000059</c:v>
                </c:pt>
                <c:pt idx="236">
                  <c:v>0.62883500000000059</c:v>
                </c:pt>
                <c:pt idx="237">
                  <c:v>0.62883500000000059</c:v>
                </c:pt>
                <c:pt idx="238">
                  <c:v>0.62883500000000059</c:v>
                </c:pt>
                <c:pt idx="239">
                  <c:v>0.62883500000000059</c:v>
                </c:pt>
                <c:pt idx="240">
                  <c:v>0.62883500000000059</c:v>
                </c:pt>
                <c:pt idx="241">
                  <c:v>0.62883500000000059</c:v>
                </c:pt>
                <c:pt idx="242">
                  <c:v>0.62883500000000059</c:v>
                </c:pt>
                <c:pt idx="243">
                  <c:v>0.62883500000000059</c:v>
                </c:pt>
                <c:pt idx="244">
                  <c:v>0.62883500000000059</c:v>
                </c:pt>
                <c:pt idx="245">
                  <c:v>0.62883500000000059</c:v>
                </c:pt>
                <c:pt idx="246">
                  <c:v>0.62883500000000059</c:v>
                </c:pt>
                <c:pt idx="247">
                  <c:v>0.62883500000000059</c:v>
                </c:pt>
                <c:pt idx="248">
                  <c:v>0.62883500000000059</c:v>
                </c:pt>
                <c:pt idx="249">
                  <c:v>0.62883500000000059</c:v>
                </c:pt>
                <c:pt idx="250">
                  <c:v>0.62883500000000059</c:v>
                </c:pt>
                <c:pt idx="251">
                  <c:v>0.62883500000000059</c:v>
                </c:pt>
                <c:pt idx="252">
                  <c:v>0.62883500000000059</c:v>
                </c:pt>
                <c:pt idx="253">
                  <c:v>0.62883500000000059</c:v>
                </c:pt>
                <c:pt idx="254">
                  <c:v>0.62883500000000059</c:v>
                </c:pt>
                <c:pt idx="255">
                  <c:v>0.62883500000000059</c:v>
                </c:pt>
                <c:pt idx="256">
                  <c:v>0.62883500000000059</c:v>
                </c:pt>
                <c:pt idx="257">
                  <c:v>0.62883500000000059</c:v>
                </c:pt>
                <c:pt idx="258">
                  <c:v>0.62883500000000059</c:v>
                </c:pt>
                <c:pt idx="259">
                  <c:v>0.62883500000000059</c:v>
                </c:pt>
                <c:pt idx="260">
                  <c:v>0.62883500000000059</c:v>
                </c:pt>
                <c:pt idx="261">
                  <c:v>0.62883500000000059</c:v>
                </c:pt>
                <c:pt idx="262">
                  <c:v>0.63136500000000062</c:v>
                </c:pt>
                <c:pt idx="263">
                  <c:v>0.6318200000000006</c:v>
                </c:pt>
                <c:pt idx="264">
                  <c:v>0.64014500000000052</c:v>
                </c:pt>
                <c:pt idx="265">
                  <c:v>0.64014500000000052</c:v>
                </c:pt>
                <c:pt idx="266">
                  <c:v>0.64014500000000052</c:v>
                </c:pt>
                <c:pt idx="267">
                  <c:v>0.65165500000000065</c:v>
                </c:pt>
                <c:pt idx="268">
                  <c:v>0.65883500000000073</c:v>
                </c:pt>
                <c:pt idx="269">
                  <c:v>0.66208500000000048</c:v>
                </c:pt>
                <c:pt idx="270">
                  <c:v>0.67068500000000042</c:v>
                </c:pt>
                <c:pt idx="271">
                  <c:v>0.68152500000000049</c:v>
                </c:pt>
                <c:pt idx="272">
                  <c:v>0.68692500000000056</c:v>
                </c:pt>
                <c:pt idx="273">
                  <c:v>0.68692500000000056</c:v>
                </c:pt>
                <c:pt idx="274">
                  <c:v>0.69292500000000046</c:v>
                </c:pt>
                <c:pt idx="275">
                  <c:v>0.69402000000000041</c:v>
                </c:pt>
                <c:pt idx="276">
                  <c:v>0.69412500000000033</c:v>
                </c:pt>
                <c:pt idx="277">
                  <c:v>0.7106250000000004</c:v>
                </c:pt>
                <c:pt idx="278">
                  <c:v>0.73061000000000031</c:v>
                </c:pt>
                <c:pt idx="279">
                  <c:v>0.73061000000000031</c:v>
                </c:pt>
                <c:pt idx="280">
                  <c:v>0.73061000000000031</c:v>
                </c:pt>
                <c:pt idx="281">
                  <c:v>0.73061000000000031</c:v>
                </c:pt>
                <c:pt idx="282">
                  <c:v>0.73061000000000031</c:v>
                </c:pt>
                <c:pt idx="283">
                  <c:v>0.73061000000000031</c:v>
                </c:pt>
                <c:pt idx="284">
                  <c:v>0.74347000000000041</c:v>
                </c:pt>
                <c:pt idx="285">
                  <c:v>0.74350000000000038</c:v>
                </c:pt>
                <c:pt idx="286">
                  <c:v>0.74350000000000038</c:v>
                </c:pt>
                <c:pt idx="287">
                  <c:v>0.74350000000000038</c:v>
                </c:pt>
                <c:pt idx="288">
                  <c:v>0.74350000000000038</c:v>
                </c:pt>
                <c:pt idx="289">
                  <c:v>0.74350000000000038</c:v>
                </c:pt>
                <c:pt idx="290">
                  <c:v>0.74350000000000038</c:v>
                </c:pt>
                <c:pt idx="291">
                  <c:v>0.74350000000000038</c:v>
                </c:pt>
                <c:pt idx="292">
                  <c:v>0.74350000000000038</c:v>
                </c:pt>
                <c:pt idx="293">
                  <c:v>0.74350000000000038</c:v>
                </c:pt>
                <c:pt idx="294">
                  <c:v>0.74350000000000038</c:v>
                </c:pt>
                <c:pt idx="295">
                  <c:v>0.74350000000000038</c:v>
                </c:pt>
                <c:pt idx="296">
                  <c:v>0.74350000000000038</c:v>
                </c:pt>
                <c:pt idx="297">
                  <c:v>0.74350000000000038</c:v>
                </c:pt>
                <c:pt idx="298">
                  <c:v>0.74350000000000038</c:v>
                </c:pt>
                <c:pt idx="299">
                  <c:v>0.74350000000000038</c:v>
                </c:pt>
                <c:pt idx="300">
                  <c:v>0.74350000000000038</c:v>
                </c:pt>
                <c:pt idx="301">
                  <c:v>0.74350000000000038</c:v>
                </c:pt>
                <c:pt idx="302">
                  <c:v>0.74350000000000038</c:v>
                </c:pt>
                <c:pt idx="303">
                  <c:v>0.74350000000000038</c:v>
                </c:pt>
                <c:pt idx="304">
                  <c:v>0.74350000000000038</c:v>
                </c:pt>
                <c:pt idx="305">
                  <c:v>0.74350000000000038</c:v>
                </c:pt>
                <c:pt idx="306">
                  <c:v>0.74350000000000038</c:v>
                </c:pt>
                <c:pt idx="307">
                  <c:v>0.74350000000000038</c:v>
                </c:pt>
                <c:pt idx="308">
                  <c:v>0.74350000000000038</c:v>
                </c:pt>
                <c:pt idx="309">
                  <c:v>0.74350000000000038</c:v>
                </c:pt>
                <c:pt idx="310">
                  <c:v>0.74350000000000038</c:v>
                </c:pt>
                <c:pt idx="311">
                  <c:v>0.74350000000000038</c:v>
                </c:pt>
                <c:pt idx="312">
                  <c:v>0.74350000000000038</c:v>
                </c:pt>
                <c:pt idx="313">
                  <c:v>0.74350000000000038</c:v>
                </c:pt>
                <c:pt idx="314">
                  <c:v>0.74350000000000038</c:v>
                </c:pt>
                <c:pt idx="315">
                  <c:v>0.74350000000000038</c:v>
                </c:pt>
                <c:pt idx="316">
                  <c:v>0.74350000000000038</c:v>
                </c:pt>
                <c:pt idx="317">
                  <c:v>0.74350000000000038</c:v>
                </c:pt>
                <c:pt idx="318">
                  <c:v>0.74350000000000038</c:v>
                </c:pt>
                <c:pt idx="319">
                  <c:v>0.74350000000000038</c:v>
                </c:pt>
                <c:pt idx="320">
                  <c:v>0.74350000000000038</c:v>
                </c:pt>
                <c:pt idx="321">
                  <c:v>0.74350000000000038</c:v>
                </c:pt>
                <c:pt idx="322">
                  <c:v>0.74350000000000038</c:v>
                </c:pt>
                <c:pt idx="323">
                  <c:v>0.74350000000000038</c:v>
                </c:pt>
                <c:pt idx="324">
                  <c:v>0.74350000000000038</c:v>
                </c:pt>
                <c:pt idx="325">
                  <c:v>0.74350000000000038</c:v>
                </c:pt>
                <c:pt idx="326">
                  <c:v>0.74350000000000038</c:v>
                </c:pt>
                <c:pt idx="327">
                  <c:v>0.74350000000000038</c:v>
                </c:pt>
                <c:pt idx="328">
                  <c:v>0.74350000000000038</c:v>
                </c:pt>
                <c:pt idx="329">
                  <c:v>0.74350000000000038</c:v>
                </c:pt>
                <c:pt idx="330">
                  <c:v>0.74350000000000038</c:v>
                </c:pt>
                <c:pt idx="331">
                  <c:v>0.74350000000000038</c:v>
                </c:pt>
                <c:pt idx="332">
                  <c:v>0.74350000000000038</c:v>
                </c:pt>
                <c:pt idx="333">
                  <c:v>0.74350000000000038</c:v>
                </c:pt>
                <c:pt idx="334">
                  <c:v>0.74350000000000038</c:v>
                </c:pt>
                <c:pt idx="335">
                  <c:v>0.74350000000000038</c:v>
                </c:pt>
                <c:pt idx="336">
                  <c:v>0.74350000000000038</c:v>
                </c:pt>
                <c:pt idx="337">
                  <c:v>0.74350000000000038</c:v>
                </c:pt>
                <c:pt idx="338">
                  <c:v>0.74350000000000038</c:v>
                </c:pt>
                <c:pt idx="339">
                  <c:v>0.74350000000000038</c:v>
                </c:pt>
                <c:pt idx="340">
                  <c:v>0.7516225000000003</c:v>
                </c:pt>
                <c:pt idx="341">
                  <c:v>0.7516225000000003</c:v>
                </c:pt>
                <c:pt idx="342">
                  <c:v>0.7516225000000003</c:v>
                </c:pt>
                <c:pt idx="343">
                  <c:v>0.7516225000000003</c:v>
                </c:pt>
                <c:pt idx="344">
                  <c:v>0.7516225000000003</c:v>
                </c:pt>
                <c:pt idx="345">
                  <c:v>0.7516225000000003</c:v>
                </c:pt>
                <c:pt idx="346">
                  <c:v>0.7516225000000003</c:v>
                </c:pt>
                <c:pt idx="347">
                  <c:v>0.7516225000000003</c:v>
                </c:pt>
                <c:pt idx="348">
                  <c:v>0.7516225000000003</c:v>
                </c:pt>
                <c:pt idx="349">
                  <c:v>0.7516225000000003</c:v>
                </c:pt>
                <c:pt idx="350">
                  <c:v>0.7516225000000003</c:v>
                </c:pt>
                <c:pt idx="351">
                  <c:v>0.7516225000000003</c:v>
                </c:pt>
                <c:pt idx="352">
                  <c:v>0.7516225000000003</c:v>
                </c:pt>
                <c:pt idx="353">
                  <c:v>0.7516225000000003</c:v>
                </c:pt>
                <c:pt idx="354">
                  <c:v>0.7516225000000003</c:v>
                </c:pt>
                <c:pt idx="355">
                  <c:v>0.7516225000000003</c:v>
                </c:pt>
                <c:pt idx="356">
                  <c:v>0.7516225000000003</c:v>
                </c:pt>
                <c:pt idx="357">
                  <c:v>0.7516225000000003</c:v>
                </c:pt>
                <c:pt idx="358">
                  <c:v>0.7516225000000003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72-4912-9233-AA51B3DC93C0}"/>
            </c:ext>
          </c:extLst>
        </c:ser>
        <c:ser>
          <c:idx val="3"/>
          <c:order val="4"/>
          <c:tx>
            <c:strRef>
              <c:f>'Grafico %'!$H$1</c:f>
              <c:strCache>
                <c:ptCount val="1"/>
                <c:pt idx="0">
                  <c:v>PCM</c:v>
                </c:pt>
              </c:strCache>
              <c:extLst xmlns:c15="http://schemas.microsoft.com/office/drawing/2012/chart"/>
            </c:strRef>
          </c:tx>
          <c:spPr>
            <a:ln w="19050">
              <a:solidFill>
                <a:srgbClr val="FF00FF"/>
              </a:solidFill>
            </a:ln>
          </c:spPr>
          <c:marker>
            <c:symbol val="none"/>
          </c:marker>
          <c:cat>
            <c:numRef>
              <c:f>'Grafico %'!$A$2:$A$54</c:f>
              <c:numCache>
                <c:formatCode>d\-mmm</c:formatCode>
                <c:ptCount val="53"/>
                <c:pt idx="0">
                  <c:v>45963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45969</c:v>
                </c:pt>
                <c:pt idx="7">
                  <c:v>45970</c:v>
                </c:pt>
                <c:pt idx="8">
                  <c:v>45971</c:v>
                </c:pt>
                <c:pt idx="9">
                  <c:v>45972</c:v>
                </c:pt>
                <c:pt idx="10">
                  <c:v>45973</c:v>
                </c:pt>
                <c:pt idx="11">
                  <c:v>45974</c:v>
                </c:pt>
                <c:pt idx="12">
                  <c:v>45975</c:v>
                </c:pt>
                <c:pt idx="13">
                  <c:v>45976</c:v>
                </c:pt>
                <c:pt idx="14">
                  <c:v>45977</c:v>
                </c:pt>
                <c:pt idx="15">
                  <c:v>45978</c:v>
                </c:pt>
                <c:pt idx="16">
                  <c:v>45979</c:v>
                </c:pt>
                <c:pt idx="17">
                  <c:v>45980</c:v>
                </c:pt>
                <c:pt idx="18">
                  <c:v>45981</c:v>
                </c:pt>
                <c:pt idx="19">
                  <c:v>45982</c:v>
                </c:pt>
                <c:pt idx="20">
                  <c:v>45983</c:v>
                </c:pt>
                <c:pt idx="21">
                  <c:v>45984</c:v>
                </c:pt>
                <c:pt idx="22">
                  <c:v>45985</c:v>
                </c:pt>
                <c:pt idx="23">
                  <c:v>45986</c:v>
                </c:pt>
                <c:pt idx="24">
                  <c:v>45987</c:v>
                </c:pt>
                <c:pt idx="25">
                  <c:v>45988</c:v>
                </c:pt>
                <c:pt idx="26">
                  <c:v>45989</c:v>
                </c:pt>
                <c:pt idx="27">
                  <c:v>45990</c:v>
                </c:pt>
                <c:pt idx="28">
                  <c:v>45991</c:v>
                </c:pt>
                <c:pt idx="29">
                  <c:v>45992</c:v>
                </c:pt>
                <c:pt idx="30">
                  <c:v>45993</c:v>
                </c:pt>
                <c:pt idx="31">
                  <c:v>45994</c:v>
                </c:pt>
                <c:pt idx="32">
                  <c:v>45995</c:v>
                </c:pt>
                <c:pt idx="33">
                  <c:v>45996</c:v>
                </c:pt>
                <c:pt idx="34">
                  <c:v>45997</c:v>
                </c:pt>
                <c:pt idx="35">
                  <c:v>45998</c:v>
                </c:pt>
                <c:pt idx="36">
                  <c:v>45999</c:v>
                </c:pt>
                <c:pt idx="37">
                  <c:v>46000</c:v>
                </c:pt>
                <c:pt idx="38">
                  <c:v>46001</c:v>
                </c:pt>
                <c:pt idx="39">
                  <c:v>46002</c:v>
                </c:pt>
                <c:pt idx="40">
                  <c:v>46003</c:v>
                </c:pt>
                <c:pt idx="41">
                  <c:v>46004</c:v>
                </c:pt>
                <c:pt idx="42">
                  <c:v>46005</c:v>
                </c:pt>
                <c:pt idx="43">
                  <c:v>46006</c:v>
                </c:pt>
                <c:pt idx="44">
                  <c:v>46007</c:v>
                </c:pt>
                <c:pt idx="45">
                  <c:v>46008</c:v>
                </c:pt>
                <c:pt idx="46">
                  <c:v>46009</c:v>
                </c:pt>
                <c:pt idx="47">
                  <c:v>46010</c:v>
                </c:pt>
                <c:pt idx="48">
                  <c:v>46011</c:v>
                </c:pt>
                <c:pt idx="49">
                  <c:v>46012</c:v>
                </c:pt>
                <c:pt idx="50">
                  <c:v>46013</c:v>
                </c:pt>
                <c:pt idx="51">
                  <c:v>46014</c:v>
                </c:pt>
                <c:pt idx="52">
                  <c:v>46015</c:v>
                </c:pt>
              </c:numCache>
              <c:extLst xmlns:c15="http://schemas.microsoft.com/office/drawing/2012/chart"/>
            </c:numRef>
          </c:cat>
          <c:val>
            <c:numRef>
              <c:f>'Grafico %'!$H$2:$H$426</c:f>
              <c:numCache>
                <c:formatCode>0.00%</c:formatCode>
                <c:ptCount val="425"/>
                <c:pt idx="295">
                  <c:v>0</c:v>
                </c:pt>
                <c:pt idx="296">
                  <c:v>5.2377634657001758E-2</c:v>
                </c:pt>
                <c:pt idx="297">
                  <c:v>8.5200952375389521E-2</c:v>
                </c:pt>
                <c:pt idx="298">
                  <c:v>0.109643848548657</c:v>
                </c:pt>
                <c:pt idx="299">
                  <c:v>0.109643848548657</c:v>
                </c:pt>
                <c:pt idx="300">
                  <c:v>0.109643848548657</c:v>
                </c:pt>
                <c:pt idx="301">
                  <c:v>0.109643848548657</c:v>
                </c:pt>
                <c:pt idx="302">
                  <c:v>0.109643848548657</c:v>
                </c:pt>
                <c:pt idx="303">
                  <c:v>0.109643848548657</c:v>
                </c:pt>
                <c:pt idx="304">
                  <c:v>0.109643848548657</c:v>
                </c:pt>
                <c:pt idx="305">
                  <c:v>0.109643848548657</c:v>
                </c:pt>
                <c:pt idx="306">
                  <c:v>0.17249701013705909</c:v>
                </c:pt>
                <c:pt idx="307">
                  <c:v>0.20741543324172695</c:v>
                </c:pt>
                <c:pt idx="308">
                  <c:v>0.20741543324172695</c:v>
                </c:pt>
                <c:pt idx="309">
                  <c:v>0.20741543324172695</c:v>
                </c:pt>
                <c:pt idx="310">
                  <c:v>0.20741543324172695</c:v>
                </c:pt>
                <c:pt idx="311">
                  <c:v>0.20741543324172695</c:v>
                </c:pt>
                <c:pt idx="312">
                  <c:v>0.20741543324172695</c:v>
                </c:pt>
                <c:pt idx="313">
                  <c:v>0.20741543324172695</c:v>
                </c:pt>
                <c:pt idx="314">
                  <c:v>0.20741543324172695</c:v>
                </c:pt>
                <c:pt idx="315">
                  <c:v>0.20741543324172695</c:v>
                </c:pt>
                <c:pt idx="316">
                  <c:v>0.20741543324172695</c:v>
                </c:pt>
                <c:pt idx="317">
                  <c:v>0.20741543324172695</c:v>
                </c:pt>
                <c:pt idx="318">
                  <c:v>0.20741543324172695</c:v>
                </c:pt>
                <c:pt idx="319">
                  <c:v>0.22277953940778081</c:v>
                </c:pt>
                <c:pt idx="320">
                  <c:v>0.24931754096732836</c:v>
                </c:pt>
                <c:pt idx="321">
                  <c:v>0.24931754096732836</c:v>
                </c:pt>
                <c:pt idx="322">
                  <c:v>0.24931754096732836</c:v>
                </c:pt>
                <c:pt idx="323">
                  <c:v>0.24931754096732836</c:v>
                </c:pt>
                <c:pt idx="324">
                  <c:v>0.24931754096732836</c:v>
                </c:pt>
                <c:pt idx="325">
                  <c:v>0.24931754096732836</c:v>
                </c:pt>
                <c:pt idx="326">
                  <c:v>0.24931754096732836</c:v>
                </c:pt>
                <c:pt idx="327">
                  <c:v>0.24931754096732836</c:v>
                </c:pt>
                <c:pt idx="328">
                  <c:v>0.24931754096732836</c:v>
                </c:pt>
                <c:pt idx="329">
                  <c:v>0.24931754096732836</c:v>
                </c:pt>
                <c:pt idx="330">
                  <c:v>0.24931754096732836</c:v>
                </c:pt>
                <c:pt idx="331">
                  <c:v>0.27035959399194526</c:v>
                </c:pt>
                <c:pt idx="332">
                  <c:v>0.27035959399194526</c:v>
                </c:pt>
                <c:pt idx="333">
                  <c:v>0.28438762934168982</c:v>
                </c:pt>
                <c:pt idx="334">
                  <c:v>0.29841566469143443</c:v>
                </c:pt>
                <c:pt idx="335">
                  <c:v>0.29841566469143443</c:v>
                </c:pt>
                <c:pt idx="336">
                  <c:v>0.29841566469143443</c:v>
                </c:pt>
                <c:pt idx="337">
                  <c:v>0.29841566469143443</c:v>
                </c:pt>
                <c:pt idx="338">
                  <c:v>0.29841566469143443</c:v>
                </c:pt>
                <c:pt idx="339">
                  <c:v>0.29841566469143443</c:v>
                </c:pt>
                <c:pt idx="340">
                  <c:v>0.29841566469143443</c:v>
                </c:pt>
                <c:pt idx="341">
                  <c:v>0.29841566469143443</c:v>
                </c:pt>
                <c:pt idx="342">
                  <c:v>0.34162820123420379</c:v>
                </c:pt>
                <c:pt idx="343">
                  <c:v>0.37952227174094011</c:v>
                </c:pt>
                <c:pt idx="344">
                  <c:v>0.43137731559226333</c:v>
                </c:pt>
                <c:pt idx="345">
                  <c:v>0.43137731559226333</c:v>
                </c:pt>
                <c:pt idx="346">
                  <c:v>0.43137731559226333</c:v>
                </c:pt>
                <c:pt idx="347">
                  <c:v>0.43137731559226333</c:v>
                </c:pt>
                <c:pt idx="348">
                  <c:v>0.43137731559226333</c:v>
                </c:pt>
                <c:pt idx="349">
                  <c:v>0.43137731559226333</c:v>
                </c:pt>
                <c:pt idx="350">
                  <c:v>0.43137731559226333</c:v>
                </c:pt>
                <c:pt idx="351">
                  <c:v>0.44796722175656489</c:v>
                </c:pt>
                <c:pt idx="352">
                  <c:v>0.48225302782945467</c:v>
                </c:pt>
                <c:pt idx="353">
                  <c:v>0.50326690897090343</c:v>
                </c:pt>
                <c:pt idx="354">
                  <c:v>0.54750665874237403</c:v>
                </c:pt>
                <c:pt idx="355">
                  <c:v>0.59395839600241851</c:v>
                </c:pt>
                <c:pt idx="356">
                  <c:v>0.59395839600241851</c:v>
                </c:pt>
                <c:pt idx="357">
                  <c:v>0.59395839600241851</c:v>
                </c:pt>
                <c:pt idx="358">
                  <c:v>0.59395839600241851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F972-4912-9233-AA51B3DC9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8885264"/>
        <c:axId val="588885744"/>
      </c:lineChart>
      <c:lineChart>
        <c:grouping val="standard"/>
        <c:varyColors val="0"/>
        <c:ser>
          <c:idx val="7"/>
          <c:order val="6"/>
          <c:tx>
            <c:strRef>
              <c:f>'Grafico %'!$F$1</c:f>
              <c:strCache>
                <c:ptCount val="1"/>
                <c:pt idx="0">
                  <c:v>Resistividades pH BSR BPA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'Grafico %'!$A$2:$A$426</c:f>
              <c:numCache>
                <c:formatCode>d\-mmm</c:formatCode>
                <c:ptCount val="425"/>
                <c:pt idx="0">
                  <c:v>45963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45969</c:v>
                </c:pt>
                <c:pt idx="7">
                  <c:v>45970</c:v>
                </c:pt>
                <c:pt idx="8">
                  <c:v>45971</c:v>
                </c:pt>
                <c:pt idx="9">
                  <c:v>45972</c:v>
                </c:pt>
                <c:pt idx="10">
                  <c:v>45973</c:v>
                </c:pt>
                <c:pt idx="11">
                  <c:v>45974</c:v>
                </c:pt>
                <c:pt idx="12">
                  <c:v>45975</c:v>
                </c:pt>
                <c:pt idx="13">
                  <c:v>45976</c:v>
                </c:pt>
                <c:pt idx="14">
                  <c:v>45977</c:v>
                </c:pt>
                <c:pt idx="15">
                  <c:v>45978</c:v>
                </c:pt>
                <c:pt idx="16">
                  <c:v>45979</c:v>
                </c:pt>
                <c:pt idx="17">
                  <c:v>45980</c:v>
                </c:pt>
                <c:pt idx="18">
                  <c:v>45981</c:v>
                </c:pt>
                <c:pt idx="19">
                  <c:v>45982</c:v>
                </c:pt>
                <c:pt idx="20">
                  <c:v>45983</c:v>
                </c:pt>
                <c:pt idx="21">
                  <c:v>45984</c:v>
                </c:pt>
                <c:pt idx="22">
                  <c:v>45985</c:v>
                </c:pt>
                <c:pt idx="23">
                  <c:v>45986</c:v>
                </c:pt>
                <c:pt idx="24">
                  <c:v>45987</c:v>
                </c:pt>
                <c:pt idx="25">
                  <c:v>45988</c:v>
                </c:pt>
                <c:pt idx="26">
                  <c:v>45989</c:v>
                </c:pt>
                <c:pt idx="27">
                  <c:v>45990</c:v>
                </c:pt>
                <c:pt idx="28">
                  <c:v>45991</c:v>
                </c:pt>
                <c:pt idx="29">
                  <c:v>45992</c:v>
                </c:pt>
                <c:pt idx="30">
                  <c:v>45993</c:v>
                </c:pt>
                <c:pt idx="31">
                  <c:v>45994</c:v>
                </c:pt>
                <c:pt idx="32">
                  <c:v>45995</c:v>
                </c:pt>
                <c:pt idx="33">
                  <c:v>45996</c:v>
                </c:pt>
                <c:pt idx="34">
                  <c:v>45997</c:v>
                </c:pt>
                <c:pt idx="35">
                  <c:v>45998</c:v>
                </c:pt>
                <c:pt idx="36">
                  <c:v>45999</c:v>
                </c:pt>
                <c:pt idx="37">
                  <c:v>46000</c:v>
                </c:pt>
                <c:pt idx="38">
                  <c:v>46001</c:v>
                </c:pt>
                <c:pt idx="39">
                  <c:v>46002</c:v>
                </c:pt>
                <c:pt idx="40">
                  <c:v>46003</c:v>
                </c:pt>
                <c:pt idx="41">
                  <c:v>46004</c:v>
                </c:pt>
                <c:pt idx="42">
                  <c:v>46005</c:v>
                </c:pt>
                <c:pt idx="43">
                  <c:v>46006</c:v>
                </c:pt>
                <c:pt idx="44">
                  <c:v>46007</c:v>
                </c:pt>
                <c:pt idx="45">
                  <c:v>46008</c:v>
                </c:pt>
                <c:pt idx="46">
                  <c:v>46009</c:v>
                </c:pt>
                <c:pt idx="47">
                  <c:v>46010</c:v>
                </c:pt>
                <c:pt idx="48">
                  <c:v>46011</c:v>
                </c:pt>
                <c:pt idx="49">
                  <c:v>46012</c:v>
                </c:pt>
                <c:pt idx="50">
                  <c:v>46013</c:v>
                </c:pt>
                <c:pt idx="51">
                  <c:v>46014</c:v>
                </c:pt>
                <c:pt idx="52">
                  <c:v>46015</c:v>
                </c:pt>
                <c:pt idx="53">
                  <c:v>46016</c:v>
                </c:pt>
                <c:pt idx="54">
                  <c:v>46017</c:v>
                </c:pt>
                <c:pt idx="55">
                  <c:v>46018</c:v>
                </c:pt>
                <c:pt idx="56">
                  <c:v>46019</c:v>
                </c:pt>
                <c:pt idx="57">
                  <c:v>46020</c:v>
                </c:pt>
                <c:pt idx="58">
                  <c:v>46021</c:v>
                </c:pt>
                <c:pt idx="59">
                  <c:v>46022</c:v>
                </c:pt>
                <c:pt idx="60">
                  <c:v>46023</c:v>
                </c:pt>
                <c:pt idx="61">
                  <c:v>46024</c:v>
                </c:pt>
                <c:pt idx="62">
                  <c:v>46025</c:v>
                </c:pt>
                <c:pt idx="63">
                  <c:v>46026</c:v>
                </c:pt>
                <c:pt idx="64">
                  <c:v>46027</c:v>
                </c:pt>
                <c:pt idx="65">
                  <c:v>46028</c:v>
                </c:pt>
                <c:pt idx="66">
                  <c:v>46029</c:v>
                </c:pt>
                <c:pt idx="67">
                  <c:v>46030</c:v>
                </c:pt>
                <c:pt idx="68">
                  <c:v>46031</c:v>
                </c:pt>
                <c:pt idx="69">
                  <c:v>46032</c:v>
                </c:pt>
                <c:pt idx="70">
                  <c:v>46033</c:v>
                </c:pt>
                <c:pt idx="71">
                  <c:v>46034</c:v>
                </c:pt>
                <c:pt idx="72">
                  <c:v>46035</c:v>
                </c:pt>
                <c:pt idx="73">
                  <c:v>46036</c:v>
                </c:pt>
                <c:pt idx="74">
                  <c:v>46037</c:v>
                </c:pt>
                <c:pt idx="75">
                  <c:v>46038</c:v>
                </c:pt>
                <c:pt idx="76">
                  <c:v>46039</c:v>
                </c:pt>
                <c:pt idx="77">
                  <c:v>46040</c:v>
                </c:pt>
                <c:pt idx="78">
                  <c:v>46041</c:v>
                </c:pt>
                <c:pt idx="79">
                  <c:v>46042</c:v>
                </c:pt>
                <c:pt idx="80">
                  <c:v>46043</c:v>
                </c:pt>
                <c:pt idx="81">
                  <c:v>46044</c:v>
                </c:pt>
                <c:pt idx="82">
                  <c:v>46045</c:v>
                </c:pt>
                <c:pt idx="83">
                  <c:v>46046</c:v>
                </c:pt>
                <c:pt idx="84">
                  <c:v>46047</c:v>
                </c:pt>
                <c:pt idx="85">
                  <c:v>46048</c:v>
                </c:pt>
                <c:pt idx="86">
                  <c:v>46049</c:v>
                </c:pt>
                <c:pt idx="87">
                  <c:v>46050</c:v>
                </c:pt>
                <c:pt idx="88">
                  <c:v>46051</c:v>
                </c:pt>
                <c:pt idx="89">
                  <c:v>46052</c:v>
                </c:pt>
                <c:pt idx="90">
                  <c:v>46053</c:v>
                </c:pt>
                <c:pt idx="91">
                  <c:v>46054</c:v>
                </c:pt>
                <c:pt idx="92">
                  <c:v>46055</c:v>
                </c:pt>
                <c:pt idx="93">
                  <c:v>46056</c:v>
                </c:pt>
                <c:pt idx="94">
                  <c:v>46057</c:v>
                </c:pt>
                <c:pt idx="95">
                  <c:v>46058</c:v>
                </c:pt>
                <c:pt idx="96">
                  <c:v>46059</c:v>
                </c:pt>
                <c:pt idx="97">
                  <c:v>46060</c:v>
                </c:pt>
                <c:pt idx="98">
                  <c:v>46061</c:v>
                </c:pt>
                <c:pt idx="99">
                  <c:v>46062</c:v>
                </c:pt>
                <c:pt idx="100">
                  <c:v>46063</c:v>
                </c:pt>
                <c:pt idx="101">
                  <c:v>46064</c:v>
                </c:pt>
                <c:pt idx="102">
                  <c:v>46065</c:v>
                </c:pt>
                <c:pt idx="103">
                  <c:v>46066</c:v>
                </c:pt>
                <c:pt idx="104">
                  <c:v>46067</c:v>
                </c:pt>
                <c:pt idx="105">
                  <c:v>46068</c:v>
                </c:pt>
                <c:pt idx="106">
                  <c:v>46069</c:v>
                </c:pt>
                <c:pt idx="107">
                  <c:v>46070</c:v>
                </c:pt>
                <c:pt idx="108">
                  <c:v>46071</c:v>
                </c:pt>
                <c:pt idx="109">
                  <c:v>46072</c:v>
                </c:pt>
                <c:pt idx="110">
                  <c:v>46073</c:v>
                </c:pt>
                <c:pt idx="111">
                  <c:v>46074</c:v>
                </c:pt>
                <c:pt idx="112">
                  <c:v>46075</c:v>
                </c:pt>
                <c:pt idx="113">
                  <c:v>46076</c:v>
                </c:pt>
                <c:pt idx="114">
                  <c:v>46077</c:v>
                </c:pt>
                <c:pt idx="115">
                  <c:v>46078</c:v>
                </c:pt>
                <c:pt idx="116">
                  <c:v>46079</c:v>
                </c:pt>
                <c:pt idx="117">
                  <c:v>46080</c:v>
                </c:pt>
                <c:pt idx="118">
                  <c:v>46081</c:v>
                </c:pt>
                <c:pt idx="119">
                  <c:v>46082</c:v>
                </c:pt>
                <c:pt idx="120">
                  <c:v>46083</c:v>
                </c:pt>
                <c:pt idx="121">
                  <c:v>46084</c:v>
                </c:pt>
                <c:pt idx="122">
                  <c:v>46085</c:v>
                </c:pt>
                <c:pt idx="123">
                  <c:v>46086</c:v>
                </c:pt>
                <c:pt idx="124">
                  <c:v>46087</c:v>
                </c:pt>
                <c:pt idx="125">
                  <c:v>46088</c:v>
                </c:pt>
                <c:pt idx="126">
                  <c:v>46089</c:v>
                </c:pt>
                <c:pt idx="127">
                  <c:v>46090</c:v>
                </c:pt>
                <c:pt idx="128">
                  <c:v>46091</c:v>
                </c:pt>
                <c:pt idx="129">
                  <c:v>46092</c:v>
                </c:pt>
                <c:pt idx="130">
                  <c:v>46093</c:v>
                </c:pt>
                <c:pt idx="131">
                  <c:v>46094</c:v>
                </c:pt>
                <c:pt idx="132">
                  <c:v>46095</c:v>
                </c:pt>
                <c:pt idx="133">
                  <c:v>46096</c:v>
                </c:pt>
                <c:pt idx="134">
                  <c:v>46097</c:v>
                </c:pt>
                <c:pt idx="135">
                  <c:v>46098</c:v>
                </c:pt>
                <c:pt idx="136">
                  <c:v>46099</c:v>
                </c:pt>
                <c:pt idx="137">
                  <c:v>46100</c:v>
                </c:pt>
                <c:pt idx="138">
                  <c:v>46101</c:v>
                </c:pt>
                <c:pt idx="139">
                  <c:v>46102</c:v>
                </c:pt>
                <c:pt idx="140">
                  <c:v>46103</c:v>
                </c:pt>
                <c:pt idx="141">
                  <c:v>46104</c:v>
                </c:pt>
                <c:pt idx="142">
                  <c:v>46105</c:v>
                </c:pt>
                <c:pt idx="143">
                  <c:v>46106</c:v>
                </c:pt>
                <c:pt idx="144">
                  <c:v>46107</c:v>
                </c:pt>
                <c:pt idx="145">
                  <c:v>46108</c:v>
                </c:pt>
                <c:pt idx="146">
                  <c:v>46109</c:v>
                </c:pt>
                <c:pt idx="147">
                  <c:v>46110</c:v>
                </c:pt>
                <c:pt idx="148">
                  <c:v>46111</c:v>
                </c:pt>
                <c:pt idx="149">
                  <c:v>46112</c:v>
                </c:pt>
                <c:pt idx="150">
                  <c:v>46113</c:v>
                </c:pt>
                <c:pt idx="151">
                  <c:v>46114</c:v>
                </c:pt>
                <c:pt idx="152">
                  <c:v>46115</c:v>
                </c:pt>
                <c:pt idx="153">
                  <c:v>46116</c:v>
                </c:pt>
                <c:pt idx="154">
                  <c:v>46117</c:v>
                </c:pt>
                <c:pt idx="155">
                  <c:v>46118</c:v>
                </c:pt>
                <c:pt idx="156">
                  <c:v>46119</c:v>
                </c:pt>
                <c:pt idx="157">
                  <c:v>46120</c:v>
                </c:pt>
                <c:pt idx="158">
                  <c:v>46121</c:v>
                </c:pt>
                <c:pt idx="159">
                  <c:v>46122</c:v>
                </c:pt>
                <c:pt idx="160">
                  <c:v>46123</c:v>
                </c:pt>
                <c:pt idx="161">
                  <c:v>46124</c:v>
                </c:pt>
                <c:pt idx="162">
                  <c:v>46125</c:v>
                </c:pt>
                <c:pt idx="163">
                  <c:v>46126</c:v>
                </c:pt>
                <c:pt idx="164">
                  <c:v>46127</c:v>
                </c:pt>
                <c:pt idx="165">
                  <c:v>46128</c:v>
                </c:pt>
                <c:pt idx="166">
                  <c:v>46129</c:v>
                </c:pt>
                <c:pt idx="167">
                  <c:v>46130</c:v>
                </c:pt>
                <c:pt idx="168">
                  <c:v>46131</c:v>
                </c:pt>
                <c:pt idx="169">
                  <c:v>46132</c:v>
                </c:pt>
                <c:pt idx="170">
                  <c:v>46133</c:v>
                </c:pt>
                <c:pt idx="171">
                  <c:v>46134</c:v>
                </c:pt>
                <c:pt idx="172">
                  <c:v>46135</c:v>
                </c:pt>
                <c:pt idx="173">
                  <c:v>46136</c:v>
                </c:pt>
                <c:pt idx="174">
                  <c:v>46137</c:v>
                </c:pt>
                <c:pt idx="175">
                  <c:v>46138</c:v>
                </c:pt>
                <c:pt idx="176">
                  <c:v>46139</c:v>
                </c:pt>
                <c:pt idx="177">
                  <c:v>46140</c:v>
                </c:pt>
                <c:pt idx="178">
                  <c:v>46141</c:v>
                </c:pt>
                <c:pt idx="179">
                  <c:v>46142</c:v>
                </c:pt>
                <c:pt idx="180">
                  <c:v>46143</c:v>
                </c:pt>
                <c:pt idx="181">
                  <c:v>46144</c:v>
                </c:pt>
                <c:pt idx="182">
                  <c:v>46145</c:v>
                </c:pt>
                <c:pt idx="183">
                  <c:v>46146</c:v>
                </c:pt>
                <c:pt idx="184">
                  <c:v>46147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46158</c:v>
                </c:pt>
                <c:pt idx="196">
                  <c:v>46159</c:v>
                </c:pt>
                <c:pt idx="197">
                  <c:v>46160</c:v>
                </c:pt>
                <c:pt idx="198">
                  <c:v>46161</c:v>
                </c:pt>
                <c:pt idx="199">
                  <c:v>46162</c:v>
                </c:pt>
                <c:pt idx="200">
                  <c:v>46163</c:v>
                </c:pt>
                <c:pt idx="201">
                  <c:v>46164</c:v>
                </c:pt>
                <c:pt idx="202">
                  <c:v>46165</c:v>
                </c:pt>
                <c:pt idx="203">
                  <c:v>46166</c:v>
                </c:pt>
                <c:pt idx="204">
                  <c:v>46167</c:v>
                </c:pt>
                <c:pt idx="205">
                  <c:v>46168</c:v>
                </c:pt>
                <c:pt idx="206">
                  <c:v>46169</c:v>
                </c:pt>
                <c:pt idx="207">
                  <c:v>46170</c:v>
                </c:pt>
                <c:pt idx="208">
                  <c:v>46171</c:v>
                </c:pt>
                <c:pt idx="209">
                  <c:v>46172</c:v>
                </c:pt>
                <c:pt idx="210">
                  <c:v>46173</c:v>
                </c:pt>
                <c:pt idx="211">
                  <c:v>46174</c:v>
                </c:pt>
                <c:pt idx="212">
                  <c:v>46175</c:v>
                </c:pt>
                <c:pt idx="213">
                  <c:v>46176</c:v>
                </c:pt>
                <c:pt idx="214">
                  <c:v>46177</c:v>
                </c:pt>
                <c:pt idx="215">
                  <c:v>46178</c:v>
                </c:pt>
                <c:pt idx="216">
                  <c:v>46179</c:v>
                </c:pt>
                <c:pt idx="217">
                  <c:v>46180</c:v>
                </c:pt>
                <c:pt idx="218">
                  <c:v>46181</c:v>
                </c:pt>
                <c:pt idx="219">
                  <c:v>46182</c:v>
                </c:pt>
                <c:pt idx="220">
                  <c:v>46183</c:v>
                </c:pt>
                <c:pt idx="221">
                  <c:v>46184</c:v>
                </c:pt>
                <c:pt idx="222">
                  <c:v>46185</c:v>
                </c:pt>
                <c:pt idx="223">
                  <c:v>46186</c:v>
                </c:pt>
                <c:pt idx="224">
                  <c:v>46187</c:v>
                </c:pt>
                <c:pt idx="225">
                  <c:v>46188</c:v>
                </c:pt>
                <c:pt idx="226">
                  <c:v>46189</c:v>
                </c:pt>
                <c:pt idx="227">
                  <c:v>46190</c:v>
                </c:pt>
                <c:pt idx="228">
                  <c:v>46191</c:v>
                </c:pt>
                <c:pt idx="229">
                  <c:v>46192</c:v>
                </c:pt>
                <c:pt idx="230">
                  <c:v>46193</c:v>
                </c:pt>
                <c:pt idx="231">
                  <c:v>46194</c:v>
                </c:pt>
                <c:pt idx="232">
                  <c:v>46195</c:v>
                </c:pt>
                <c:pt idx="233">
                  <c:v>46196</c:v>
                </c:pt>
                <c:pt idx="234">
                  <c:v>46197</c:v>
                </c:pt>
                <c:pt idx="235">
                  <c:v>46198</c:v>
                </c:pt>
                <c:pt idx="236">
                  <c:v>46199</c:v>
                </c:pt>
                <c:pt idx="237">
                  <c:v>46200</c:v>
                </c:pt>
                <c:pt idx="238">
                  <c:v>46201</c:v>
                </c:pt>
                <c:pt idx="239">
                  <c:v>46202</c:v>
                </c:pt>
                <c:pt idx="240">
                  <c:v>46203</c:v>
                </c:pt>
                <c:pt idx="241">
                  <c:v>46204</c:v>
                </c:pt>
                <c:pt idx="242">
                  <c:v>46205</c:v>
                </c:pt>
                <c:pt idx="243">
                  <c:v>46206</c:v>
                </c:pt>
                <c:pt idx="244">
                  <c:v>46207</c:v>
                </c:pt>
                <c:pt idx="245">
                  <c:v>46208</c:v>
                </c:pt>
                <c:pt idx="246">
                  <c:v>46209</c:v>
                </c:pt>
                <c:pt idx="247">
                  <c:v>46210</c:v>
                </c:pt>
                <c:pt idx="248">
                  <c:v>46211</c:v>
                </c:pt>
                <c:pt idx="249">
                  <c:v>46212</c:v>
                </c:pt>
                <c:pt idx="250">
                  <c:v>46213</c:v>
                </c:pt>
                <c:pt idx="251">
                  <c:v>46214</c:v>
                </c:pt>
                <c:pt idx="252">
                  <c:v>46215</c:v>
                </c:pt>
                <c:pt idx="253">
                  <c:v>46216</c:v>
                </c:pt>
                <c:pt idx="254">
                  <c:v>46217</c:v>
                </c:pt>
                <c:pt idx="255">
                  <c:v>46218</c:v>
                </c:pt>
                <c:pt idx="256">
                  <c:v>46219</c:v>
                </c:pt>
                <c:pt idx="257">
                  <c:v>46220</c:v>
                </c:pt>
                <c:pt idx="258">
                  <c:v>46221</c:v>
                </c:pt>
                <c:pt idx="259">
                  <c:v>46222</c:v>
                </c:pt>
                <c:pt idx="260">
                  <c:v>46223</c:v>
                </c:pt>
                <c:pt idx="261">
                  <c:v>46224</c:v>
                </c:pt>
                <c:pt idx="262">
                  <c:v>46225</c:v>
                </c:pt>
                <c:pt idx="263">
                  <c:v>46226</c:v>
                </c:pt>
                <c:pt idx="264">
                  <c:v>46227</c:v>
                </c:pt>
                <c:pt idx="265">
                  <c:v>46228</c:v>
                </c:pt>
                <c:pt idx="266">
                  <c:v>46229</c:v>
                </c:pt>
                <c:pt idx="267">
                  <c:v>46230</c:v>
                </c:pt>
                <c:pt idx="268">
                  <c:v>46231</c:v>
                </c:pt>
                <c:pt idx="269">
                  <c:v>46232</c:v>
                </c:pt>
                <c:pt idx="270">
                  <c:v>46233</c:v>
                </c:pt>
                <c:pt idx="271">
                  <c:v>46234</c:v>
                </c:pt>
                <c:pt idx="272">
                  <c:v>46235</c:v>
                </c:pt>
                <c:pt idx="273">
                  <c:v>46236</c:v>
                </c:pt>
                <c:pt idx="274">
                  <c:v>46237</c:v>
                </c:pt>
                <c:pt idx="275">
                  <c:v>46238</c:v>
                </c:pt>
                <c:pt idx="276">
                  <c:v>46239</c:v>
                </c:pt>
                <c:pt idx="277">
                  <c:v>46240</c:v>
                </c:pt>
                <c:pt idx="278">
                  <c:v>46241</c:v>
                </c:pt>
                <c:pt idx="279">
                  <c:v>46242</c:v>
                </c:pt>
                <c:pt idx="280">
                  <c:v>46243</c:v>
                </c:pt>
                <c:pt idx="281">
                  <c:v>46244</c:v>
                </c:pt>
                <c:pt idx="282">
                  <c:v>46245</c:v>
                </c:pt>
                <c:pt idx="283">
                  <c:v>46246</c:v>
                </c:pt>
                <c:pt idx="284">
                  <c:v>46247</c:v>
                </c:pt>
                <c:pt idx="285">
                  <c:v>46248</c:v>
                </c:pt>
                <c:pt idx="286">
                  <c:v>46249</c:v>
                </c:pt>
                <c:pt idx="287">
                  <c:v>46250</c:v>
                </c:pt>
                <c:pt idx="288">
                  <c:v>46251</c:v>
                </c:pt>
                <c:pt idx="289">
                  <c:v>46252</c:v>
                </c:pt>
                <c:pt idx="290">
                  <c:v>46253</c:v>
                </c:pt>
                <c:pt idx="291">
                  <c:v>46254</c:v>
                </c:pt>
                <c:pt idx="292">
                  <c:v>46255</c:v>
                </c:pt>
                <c:pt idx="293">
                  <c:v>46256</c:v>
                </c:pt>
                <c:pt idx="294">
                  <c:v>46257</c:v>
                </c:pt>
                <c:pt idx="295">
                  <c:v>46258</c:v>
                </c:pt>
                <c:pt idx="296">
                  <c:v>46259</c:v>
                </c:pt>
                <c:pt idx="297">
                  <c:v>46260</c:v>
                </c:pt>
                <c:pt idx="298">
                  <c:v>46261</c:v>
                </c:pt>
                <c:pt idx="299">
                  <c:v>46262</c:v>
                </c:pt>
                <c:pt idx="300">
                  <c:v>46263</c:v>
                </c:pt>
                <c:pt idx="301">
                  <c:v>46264</c:v>
                </c:pt>
                <c:pt idx="302">
                  <c:v>46265</c:v>
                </c:pt>
                <c:pt idx="303">
                  <c:v>46266</c:v>
                </c:pt>
                <c:pt idx="304">
                  <c:v>46267</c:v>
                </c:pt>
                <c:pt idx="305">
                  <c:v>46268</c:v>
                </c:pt>
                <c:pt idx="306">
                  <c:v>46269</c:v>
                </c:pt>
                <c:pt idx="307">
                  <c:v>46270</c:v>
                </c:pt>
                <c:pt idx="308">
                  <c:v>46271</c:v>
                </c:pt>
                <c:pt idx="309">
                  <c:v>46272</c:v>
                </c:pt>
                <c:pt idx="310">
                  <c:v>46273</c:v>
                </c:pt>
                <c:pt idx="311">
                  <c:v>46274</c:v>
                </c:pt>
                <c:pt idx="312">
                  <c:v>46275</c:v>
                </c:pt>
                <c:pt idx="313">
                  <c:v>46276</c:v>
                </c:pt>
                <c:pt idx="314">
                  <c:v>46277</c:v>
                </c:pt>
                <c:pt idx="315">
                  <c:v>46278</c:v>
                </c:pt>
                <c:pt idx="316">
                  <c:v>46279</c:v>
                </c:pt>
                <c:pt idx="317">
                  <c:v>46280</c:v>
                </c:pt>
                <c:pt idx="318">
                  <c:v>46281</c:v>
                </c:pt>
                <c:pt idx="319">
                  <c:v>46282</c:v>
                </c:pt>
                <c:pt idx="320">
                  <c:v>46283</c:v>
                </c:pt>
                <c:pt idx="321">
                  <c:v>46284</c:v>
                </c:pt>
                <c:pt idx="322">
                  <c:v>46285</c:v>
                </c:pt>
                <c:pt idx="323">
                  <c:v>46286</c:v>
                </c:pt>
                <c:pt idx="324">
                  <c:v>46287</c:v>
                </c:pt>
                <c:pt idx="325">
                  <c:v>46288</c:v>
                </c:pt>
                <c:pt idx="326">
                  <c:v>46289</c:v>
                </c:pt>
                <c:pt idx="327">
                  <c:v>46290</c:v>
                </c:pt>
                <c:pt idx="328">
                  <c:v>46291</c:v>
                </c:pt>
                <c:pt idx="329">
                  <c:v>46292</c:v>
                </c:pt>
                <c:pt idx="330">
                  <c:v>46293</c:v>
                </c:pt>
                <c:pt idx="331">
                  <c:v>46294</c:v>
                </c:pt>
                <c:pt idx="332">
                  <c:v>46295</c:v>
                </c:pt>
                <c:pt idx="333">
                  <c:v>46296</c:v>
                </c:pt>
                <c:pt idx="334">
                  <c:v>46297</c:v>
                </c:pt>
                <c:pt idx="335">
                  <c:v>46298</c:v>
                </c:pt>
                <c:pt idx="336">
                  <c:v>46299</c:v>
                </c:pt>
                <c:pt idx="337">
                  <c:v>46300</c:v>
                </c:pt>
                <c:pt idx="338">
                  <c:v>46301</c:v>
                </c:pt>
                <c:pt idx="339">
                  <c:v>46302</c:v>
                </c:pt>
                <c:pt idx="340">
                  <c:v>46303</c:v>
                </c:pt>
                <c:pt idx="341">
                  <c:v>46304</c:v>
                </c:pt>
                <c:pt idx="342">
                  <c:v>46305</c:v>
                </c:pt>
                <c:pt idx="343">
                  <c:v>46306</c:v>
                </c:pt>
                <c:pt idx="344">
                  <c:v>46307</c:v>
                </c:pt>
                <c:pt idx="345">
                  <c:v>46308</c:v>
                </c:pt>
                <c:pt idx="346">
                  <c:v>46309</c:v>
                </c:pt>
                <c:pt idx="347">
                  <c:v>46310</c:v>
                </c:pt>
                <c:pt idx="348">
                  <c:v>46311</c:v>
                </c:pt>
                <c:pt idx="349">
                  <c:v>46312</c:v>
                </c:pt>
                <c:pt idx="350">
                  <c:v>46313</c:v>
                </c:pt>
                <c:pt idx="351">
                  <c:v>46314</c:v>
                </c:pt>
                <c:pt idx="352">
                  <c:v>46315</c:v>
                </c:pt>
                <c:pt idx="353">
                  <c:v>46316</c:v>
                </c:pt>
                <c:pt idx="354">
                  <c:v>46317</c:v>
                </c:pt>
                <c:pt idx="355">
                  <c:v>46318</c:v>
                </c:pt>
                <c:pt idx="356">
                  <c:v>46319</c:v>
                </c:pt>
                <c:pt idx="357">
                  <c:v>46320</c:v>
                </c:pt>
                <c:pt idx="358">
                  <c:v>46321</c:v>
                </c:pt>
                <c:pt idx="359">
                  <c:v>46322</c:v>
                </c:pt>
                <c:pt idx="360">
                  <c:v>46323</c:v>
                </c:pt>
                <c:pt idx="361">
                  <c:v>46324</c:v>
                </c:pt>
                <c:pt idx="362">
                  <c:v>46325</c:v>
                </c:pt>
                <c:pt idx="363">
                  <c:v>46326</c:v>
                </c:pt>
                <c:pt idx="364">
                  <c:v>46327</c:v>
                </c:pt>
                <c:pt idx="365">
                  <c:v>46328</c:v>
                </c:pt>
                <c:pt idx="366">
                  <c:v>46329</c:v>
                </c:pt>
                <c:pt idx="367">
                  <c:v>46330</c:v>
                </c:pt>
                <c:pt idx="368">
                  <c:v>46331</c:v>
                </c:pt>
                <c:pt idx="369">
                  <c:v>46332</c:v>
                </c:pt>
                <c:pt idx="370">
                  <c:v>46333</c:v>
                </c:pt>
                <c:pt idx="371">
                  <c:v>46334</c:v>
                </c:pt>
                <c:pt idx="372">
                  <c:v>46335</c:v>
                </c:pt>
                <c:pt idx="373">
                  <c:v>46336</c:v>
                </c:pt>
                <c:pt idx="374">
                  <c:v>46337</c:v>
                </c:pt>
                <c:pt idx="375">
                  <c:v>46338</c:v>
                </c:pt>
                <c:pt idx="376">
                  <c:v>46339</c:v>
                </c:pt>
                <c:pt idx="377">
                  <c:v>46340</c:v>
                </c:pt>
                <c:pt idx="378">
                  <c:v>46341</c:v>
                </c:pt>
                <c:pt idx="379">
                  <c:v>46342</c:v>
                </c:pt>
                <c:pt idx="380">
                  <c:v>46343</c:v>
                </c:pt>
                <c:pt idx="381">
                  <c:v>46344</c:v>
                </c:pt>
                <c:pt idx="382">
                  <c:v>46345</c:v>
                </c:pt>
                <c:pt idx="383">
                  <c:v>46346</c:v>
                </c:pt>
                <c:pt idx="384">
                  <c:v>46347</c:v>
                </c:pt>
                <c:pt idx="385">
                  <c:v>46348</c:v>
                </c:pt>
                <c:pt idx="386">
                  <c:v>46349</c:v>
                </c:pt>
                <c:pt idx="387">
                  <c:v>46350</c:v>
                </c:pt>
                <c:pt idx="388">
                  <c:v>46351</c:v>
                </c:pt>
                <c:pt idx="389">
                  <c:v>46352</c:v>
                </c:pt>
                <c:pt idx="390">
                  <c:v>46353</c:v>
                </c:pt>
                <c:pt idx="391">
                  <c:v>46354</c:v>
                </c:pt>
                <c:pt idx="392">
                  <c:v>46355</c:v>
                </c:pt>
                <c:pt idx="393">
                  <c:v>46356</c:v>
                </c:pt>
                <c:pt idx="394">
                  <c:v>46357</c:v>
                </c:pt>
                <c:pt idx="395">
                  <c:v>46358</c:v>
                </c:pt>
                <c:pt idx="396">
                  <c:v>46359</c:v>
                </c:pt>
                <c:pt idx="397">
                  <c:v>46360</c:v>
                </c:pt>
                <c:pt idx="398">
                  <c:v>46361</c:v>
                </c:pt>
                <c:pt idx="399">
                  <c:v>46362</c:v>
                </c:pt>
                <c:pt idx="400">
                  <c:v>46363</c:v>
                </c:pt>
                <c:pt idx="401">
                  <c:v>46364</c:v>
                </c:pt>
                <c:pt idx="402">
                  <c:v>46365</c:v>
                </c:pt>
                <c:pt idx="403">
                  <c:v>46366</c:v>
                </c:pt>
                <c:pt idx="404">
                  <c:v>46367</c:v>
                </c:pt>
                <c:pt idx="405">
                  <c:v>46368</c:v>
                </c:pt>
                <c:pt idx="406">
                  <c:v>46369</c:v>
                </c:pt>
                <c:pt idx="407">
                  <c:v>46370</c:v>
                </c:pt>
                <c:pt idx="408">
                  <c:v>46371</c:v>
                </c:pt>
                <c:pt idx="409">
                  <c:v>46372</c:v>
                </c:pt>
                <c:pt idx="410">
                  <c:v>46373</c:v>
                </c:pt>
                <c:pt idx="411">
                  <c:v>46374</c:v>
                </c:pt>
                <c:pt idx="412">
                  <c:v>46375</c:v>
                </c:pt>
                <c:pt idx="413">
                  <c:v>46376</c:v>
                </c:pt>
                <c:pt idx="414">
                  <c:v>46377</c:v>
                </c:pt>
                <c:pt idx="415">
                  <c:v>46378</c:v>
                </c:pt>
                <c:pt idx="416">
                  <c:v>46379</c:v>
                </c:pt>
                <c:pt idx="417">
                  <c:v>46380</c:v>
                </c:pt>
                <c:pt idx="418">
                  <c:v>46381</c:v>
                </c:pt>
                <c:pt idx="419">
                  <c:v>46382</c:v>
                </c:pt>
                <c:pt idx="420">
                  <c:v>46383</c:v>
                </c:pt>
                <c:pt idx="421">
                  <c:v>46384</c:v>
                </c:pt>
                <c:pt idx="422">
                  <c:v>46385</c:v>
                </c:pt>
                <c:pt idx="423">
                  <c:v>46386</c:v>
                </c:pt>
                <c:pt idx="424">
                  <c:v>46387</c:v>
                </c:pt>
              </c:numCache>
            </c:numRef>
          </c:cat>
          <c:val>
            <c:numRef>
              <c:f>'Grafico %'!$F$2:$F$426</c:f>
              <c:numCache>
                <c:formatCode>0.0%</c:formatCode>
                <c:ptCount val="425"/>
                <c:pt idx="16">
                  <c:v>0</c:v>
                </c:pt>
                <c:pt idx="17">
                  <c:v>1.7999999999999999E-2</c:v>
                </c:pt>
                <c:pt idx="18">
                  <c:v>4.2000000000000003E-2</c:v>
                </c:pt>
                <c:pt idx="19">
                  <c:v>6.4000000000000001E-2</c:v>
                </c:pt>
                <c:pt idx="20">
                  <c:v>6.4000000000000001E-2</c:v>
                </c:pt>
                <c:pt idx="21">
                  <c:v>6.4000000000000001E-2</c:v>
                </c:pt>
                <c:pt idx="22">
                  <c:v>7.5999999999999998E-2</c:v>
                </c:pt>
                <c:pt idx="23">
                  <c:v>9.6000000000000002E-2</c:v>
                </c:pt>
                <c:pt idx="24">
                  <c:v>0.12</c:v>
                </c:pt>
                <c:pt idx="25">
                  <c:v>0.13200000000000001</c:v>
                </c:pt>
                <c:pt idx="26">
                  <c:v>0.17199999999999999</c:v>
                </c:pt>
                <c:pt idx="27">
                  <c:v>0.19600000000000001</c:v>
                </c:pt>
                <c:pt idx="28">
                  <c:v>0.19600000000000001</c:v>
                </c:pt>
                <c:pt idx="29">
                  <c:v>0.23200000000000001</c:v>
                </c:pt>
                <c:pt idx="30">
                  <c:v>0.25600000000000001</c:v>
                </c:pt>
                <c:pt idx="31">
                  <c:v>0.27600000000000002</c:v>
                </c:pt>
                <c:pt idx="32">
                  <c:v>0.314</c:v>
                </c:pt>
                <c:pt idx="33">
                  <c:v>0.34200000000000003</c:v>
                </c:pt>
                <c:pt idx="34">
                  <c:v>0.35599999999999998</c:v>
                </c:pt>
                <c:pt idx="35">
                  <c:v>0.35599999999999998</c:v>
                </c:pt>
                <c:pt idx="36">
                  <c:v>0.38400000000000001</c:v>
                </c:pt>
                <c:pt idx="37">
                  <c:v>0.42</c:v>
                </c:pt>
                <c:pt idx="38">
                  <c:v>0.45600000000000002</c:v>
                </c:pt>
                <c:pt idx="39">
                  <c:v>0.45600000000000002</c:v>
                </c:pt>
                <c:pt idx="40">
                  <c:v>0.45600000000000002</c:v>
                </c:pt>
                <c:pt idx="41">
                  <c:v>0.45600000000000002</c:v>
                </c:pt>
                <c:pt idx="42">
                  <c:v>0.45600000000000002</c:v>
                </c:pt>
                <c:pt idx="43">
                  <c:v>0.45600000000000002</c:v>
                </c:pt>
                <c:pt idx="44">
                  <c:v>0.45600000000000002</c:v>
                </c:pt>
                <c:pt idx="45">
                  <c:v>0.45600000000000002</c:v>
                </c:pt>
                <c:pt idx="46">
                  <c:v>0.45600000000000002</c:v>
                </c:pt>
                <c:pt idx="47">
                  <c:v>0.45600000000000002</c:v>
                </c:pt>
                <c:pt idx="48">
                  <c:v>0.45600000000000002</c:v>
                </c:pt>
                <c:pt idx="49">
                  <c:v>0.45600000000000002</c:v>
                </c:pt>
                <c:pt idx="50">
                  <c:v>0.45600000000000002</c:v>
                </c:pt>
                <c:pt idx="51">
                  <c:v>0.45600000000000002</c:v>
                </c:pt>
                <c:pt idx="52">
                  <c:v>0.45600000000000002</c:v>
                </c:pt>
                <c:pt idx="53">
                  <c:v>0.45600000000000002</c:v>
                </c:pt>
                <c:pt idx="54">
                  <c:v>0.45600000000000002</c:v>
                </c:pt>
                <c:pt idx="55">
                  <c:v>0.45600000000000002</c:v>
                </c:pt>
                <c:pt idx="56">
                  <c:v>0.45600000000000002</c:v>
                </c:pt>
                <c:pt idx="57">
                  <c:v>0.45600000000000002</c:v>
                </c:pt>
                <c:pt idx="58">
                  <c:v>0.45600000000000002</c:v>
                </c:pt>
                <c:pt idx="59">
                  <c:v>0.45600000000000002</c:v>
                </c:pt>
                <c:pt idx="60">
                  <c:v>0.45600000000000002</c:v>
                </c:pt>
                <c:pt idx="61">
                  <c:v>0.45600000000000002</c:v>
                </c:pt>
                <c:pt idx="62">
                  <c:v>0.45600000000000002</c:v>
                </c:pt>
                <c:pt idx="63">
                  <c:v>0.45600000000000002</c:v>
                </c:pt>
                <c:pt idx="64">
                  <c:v>0.45600000000000002</c:v>
                </c:pt>
                <c:pt idx="65">
                  <c:v>0.45600000000000002</c:v>
                </c:pt>
                <c:pt idx="66">
                  <c:v>0.46600000000000003</c:v>
                </c:pt>
                <c:pt idx="67">
                  <c:v>0.48399999999999999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0.51600000000000001</c:v>
                </c:pt>
                <c:pt idx="72">
                  <c:v>0.53200000000000003</c:v>
                </c:pt>
                <c:pt idx="73">
                  <c:v>0.54200000000000004</c:v>
                </c:pt>
                <c:pt idx="74">
                  <c:v>0.55800000000000005</c:v>
                </c:pt>
                <c:pt idx="75">
                  <c:v>0.57199999999999995</c:v>
                </c:pt>
                <c:pt idx="76">
                  <c:v>0.58399999999999996</c:v>
                </c:pt>
                <c:pt idx="77">
                  <c:v>0.58399999999999996</c:v>
                </c:pt>
                <c:pt idx="78">
                  <c:v>0.59599999999999997</c:v>
                </c:pt>
                <c:pt idx="79">
                  <c:v>0.61399999999999999</c:v>
                </c:pt>
                <c:pt idx="80">
                  <c:v>0.61799999999999999</c:v>
                </c:pt>
                <c:pt idx="81">
                  <c:v>0.63</c:v>
                </c:pt>
                <c:pt idx="82">
                  <c:v>0.64800000000000002</c:v>
                </c:pt>
                <c:pt idx="83">
                  <c:v>0.64800000000000002</c:v>
                </c:pt>
                <c:pt idx="84">
                  <c:v>0.64800000000000002</c:v>
                </c:pt>
                <c:pt idx="85">
                  <c:v>0.66400000000000003</c:v>
                </c:pt>
                <c:pt idx="86">
                  <c:v>0.68400000000000005</c:v>
                </c:pt>
                <c:pt idx="87">
                  <c:v>0.69799999999999995</c:v>
                </c:pt>
                <c:pt idx="88">
                  <c:v>0.71599999999999997</c:v>
                </c:pt>
                <c:pt idx="89">
                  <c:v>0.71599999999999997</c:v>
                </c:pt>
                <c:pt idx="90">
                  <c:v>0.71599999999999997</c:v>
                </c:pt>
                <c:pt idx="91">
                  <c:v>0.71599999999999997</c:v>
                </c:pt>
                <c:pt idx="92">
                  <c:v>0.71599999999999997</c:v>
                </c:pt>
                <c:pt idx="93">
                  <c:v>0.71599999999999997</c:v>
                </c:pt>
                <c:pt idx="94">
                  <c:v>0.72</c:v>
                </c:pt>
                <c:pt idx="95">
                  <c:v>0.72399999999999998</c:v>
                </c:pt>
                <c:pt idx="96">
                  <c:v>0.72399999999999998</c:v>
                </c:pt>
                <c:pt idx="97">
                  <c:v>0.72399999999999998</c:v>
                </c:pt>
                <c:pt idx="98">
                  <c:v>0.72399999999999998</c:v>
                </c:pt>
                <c:pt idx="99">
                  <c:v>0.72599999999999998</c:v>
                </c:pt>
                <c:pt idx="100">
                  <c:v>0.73399999999999999</c:v>
                </c:pt>
                <c:pt idx="101">
                  <c:v>0.74199999999999999</c:v>
                </c:pt>
                <c:pt idx="102">
                  <c:v>0.752</c:v>
                </c:pt>
                <c:pt idx="103">
                  <c:v>0.752</c:v>
                </c:pt>
                <c:pt idx="104">
                  <c:v>0.752</c:v>
                </c:pt>
                <c:pt idx="105">
                  <c:v>0.752</c:v>
                </c:pt>
                <c:pt idx="106">
                  <c:v>0.752</c:v>
                </c:pt>
                <c:pt idx="107">
                  <c:v>0.752</c:v>
                </c:pt>
                <c:pt idx="108">
                  <c:v>0.752</c:v>
                </c:pt>
                <c:pt idx="109">
                  <c:v>0.752</c:v>
                </c:pt>
                <c:pt idx="110">
                  <c:v>0.752</c:v>
                </c:pt>
                <c:pt idx="111">
                  <c:v>0.752</c:v>
                </c:pt>
                <c:pt idx="112">
                  <c:v>0.752</c:v>
                </c:pt>
                <c:pt idx="113">
                  <c:v>0.752</c:v>
                </c:pt>
                <c:pt idx="114">
                  <c:v>0.752</c:v>
                </c:pt>
                <c:pt idx="115">
                  <c:v>0.752</c:v>
                </c:pt>
                <c:pt idx="116">
                  <c:v>0.752</c:v>
                </c:pt>
                <c:pt idx="117">
                  <c:v>0.752</c:v>
                </c:pt>
                <c:pt idx="118">
                  <c:v>0.752</c:v>
                </c:pt>
                <c:pt idx="119">
                  <c:v>0.752</c:v>
                </c:pt>
                <c:pt idx="120">
                  <c:v>0.752</c:v>
                </c:pt>
                <c:pt idx="121">
                  <c:v>0.752</c:v>
                </c:pt>
                <c:pt idx="122">
                  <c:v>0.752</c:v>
                </c:pt>
                <c:pt idx="123">
                  <c:v>0.752</c:v>
                </c:pt>
                <c:pt idx="124">
                  <c:v>0.752</c:v>
                </c:pt>
                <c:pt idx="125">
                  <c:v>0.752</c:v>
                </c:pt>
                <c:pt idx="126">
                  <c:v>0.752</c:v>
                </c:pt>
                <c:pt idx="127">
                  <c:v>0.752</c:v>
                </c:pt>
                <c:pt idx="128">
                  <c:v>0.752</c:v>
                </c:pt>
                <c:pt idx="129">
                  <c:v>0.752</c:v>
                </c:pt>
                <c:pt idx="130">
                  <c:v>0.752</c:v>
                </c:pt>
                <c:pt idx="131">
                  <c:v>0.752</c:v>
                </c:pt>
                <c:pt idx="132">
                  <c:v>0.752</c:v>
                </c:pt>
                <c:pt idx="133">
                  <c:v>0.752</c:v>
                </c:pt>
                <c:pt idx="134">
                  <c:v>0.752</c:v>
                </c:pt>
                <c:pt idx="135">
                  <c:v>0.752</c:v>
                </c:pt>
                <c:pt idx="136">
                  <c:v>0.752</c:v>
                </c:pt>
                <c:pt idx="137">
                  <c:v>0.752</c:v>
                </c:pt>
                <c:pt idx="138">
                  <c:v>0.752</c:v>
                </c:pt>
                <c:pt idx="139">
                  <c:v>0.752</c:v>
                </c:pt>
                <c:pt idx="140">
                  <c:v>0.752</c:v>
                </c:pt>
                <c:pt idx="141">
                  <c:v>0.752</c:v>
                </c:pt>
                <c:pt idx="142">
                  <c:v>0.752</c:v>
                </c:pt>
                <c:pt idx="143">
                  <c:v>0.752</c:v>
                </c:pt>
                <c:pt idx="144">
                  <c:v>0.752</c:v>
                </c:pt>
                <c:pt idx="145">
                  <c:v>0.752</c:v>
                </c:pt>
                <c:pt idx="146">
                  <c:v>0.752</c:v>
                </c:pt>
                <c:pt idx="147">
                  <c:v>0.752</c:v>
                </c:pt>
                <c:pt idx="148">
                  <c:v>0.752</c:v>
                </c:pt>
                <c:pt idx="149">
                  <c:v>0.752</c:v>
                </c:pt>
                <c:pt idx="150">
                  <c:v>0.752</c:v>
                </c:pt>
                <c:pt idx="151">
                  <c:v>0.752</c:v>
                </c:pt>
                <c:pt idx="152">
                  <c:v>0.752</c:v>
                </c:pt>
                <c:pt idx="153">
                  <c:v>0.752</c:v>
                </c:pt>
                <c:pt idx="154">
                  <c:v>0.752</c:v>
                </c:pt>
                <c:pt idx="155">
                  <c:v>0.752</c:v>
                </c:pt>
                <c:pt idx="156">
                  <c:v>0.752</c:v>
                </c:pt>
                <c:pt idx="157">
                  <c:v>0.752</c:v>
                </c:pt>
                <c:pt idx="158">
                  <c:v>0.752</c:v>
                </c:pt>
                <c:pt idx="159">
                  <c:v>0.752</c:v>
                </c:pt>
                <c:pt idx="160">
                  <c:v>0.752</c:v>
                </c:pt>
                <c:pt idx="161">
                  <c:v>0.752</c:v>
                </c:pt>
                <c:pt idx="162">
                  <c:v>0.752</c:v>
                </c:pt>
                <c:pt idx="163">
                  <c:v>0.752</c:v>
                </c:pt>
                <c:pt idx="164">
                  <c:v>0.752</c:v>
                </c:pt>
                <c:pt idx="165">
                  <c:v>0.752</c:v>
                </c:pt>
                <c:pt idx="166">
                  <c:v>0.752</c:v>
                </c:pt>
                <c:pt idx="167">
                  <c:v>0.752</c:v>
                </c:pt>
                <c:pt idx="168">
                  <c:v>0.752</c:v>
                </c:pt>
                <c:pt idx="169">
                  <c:v>0.752</c:v>
                </c:pt>
                <c:pt idx="170">
                  <c:v>0.752</c:v>
                </c:pt>
                <c:pt idx="171">
                  <c:v>0.752</c:v>
                </c:pt>
                <c:pt idx="172">
                  <c:v>0.752</c:v>
                </c:pt>
                <c:pt idx="173">
                  <c:v>0.752</c:v>
                </c:pt>
                <c:pt idx="174">
                  <c:v>0.752</c:v>
                </c:pt>
                <c:pt idx="175">
                  <c:v>0.752</c:v>
                </c:pt>
                <c:pt idx="176">
                  <c:v>0.752</c:v>
                </c:pt>
                <c:pt idx="177">
                  <c:v>0.752</c:v>
                </c:pt>
                <c:pt idx="178">
                  <c:v>0.752</c:v>
                </c:pt>
                <c:pt idx="179">
                  <c:v>0.752</c:v>
                </c:pt>
                <c:pt idx="180">
                  <c:v>0.752</c:v>
                </c:pt>
                <c:pt idx="181">
                  <c:v>0.752</c:v>
                </c:pt>
                <c:pt idx="182">
                  <c:v>0.752</c:v>
                </c:pt>
                <c:pt idx="183">
                  <c:v>0.752</c:v>
                </c:pt>
                <c:pt idx="184">
                  <c:v>0.752</c:v>
                </c:pt>
                <c:pt idx="185">
                  <c:v>0.752</c:v>
                </c:pt>
                <c:pt idx="186">
                  <c:v>0.752</c:v>
                </c:pt>
                <c:pt idx="187">
                  <c:v>0.752</c:v>
                </c:pt>
                <c:pt idx="188">
                  <c:v>0.752</c:v>
                </c:pt>
                <c:pt idx="189">
                  <c:v>0.752</c:v>
                </c:pt>
                <c:pt idx="190">
                  <c:v>0.752</c:v>
                </c:pt>
                <c:pt idx="191">
                  <c:v>0.752</c:v>
                </c:pt>
                <c:pt idx="192">
                  <c:v>0.752</c:v>
                </c:pt>
                <c:pt idx="193">
                  <c:v>0.752</c:v>
                </c:pt>
                <c:pt idx="194">
                  <c:v>0.752</c:v>
                </c:pt>
                <c:pt idx="195">
                  <c:v>0.752</c:v>
                </c:pt>
                <c:pt idx="196">
                  <c:v>0.752</c:v>
                </c:pt>
                <c:pt idx="197">
                  <c:v>0.752</c:v>
                </c:pt>
                <c:pt idx="198">
                  <c:v>0.752</c:v>
                </c:pt>
                <c:pt idx="199">
                  <c:v>0.752</c:v>
                </c:pt>
                <c:pt idx="200">
                  <c:v>0.752</c:v>
                </c:pt>
                <c:pt idx="201">
                  <c:v>0.752</c:v>
                </c:pt>
                <c:pt idx="202">
                  <c:v>0.752</c:v>
                </c:pt>
                <c:pt idx="203">
                  <c:v>0.752</c:v>
                </c:pt>
                <c:pt idx="204">
                  <c:v>0.752</c:v>
                </c:pt>
                <c:pt idx="205">
                  <c:v>0.752</c:v>
                </c:pt>
                <c:pt idx="206">
                  <c:v>0.752</c:v>
                </c:pt>
                <c:pt idx="207">
                  <c:v>0.752</c:v>
                </c:pt>
                <c:pt idx="208">
                  <c:v>0.752</c:v>
                </c:pt>
                <c:pt idx="209">
                  <c:v>0.752</c:v>
                </c:pt>
                <c:pt idx="210">
                  <c:v>0.752</c:v>
                </c:pt>
                <c:pt idx="211">
                  <c:v>0.752</c:v>
                </c:pt>
                <c:pt idx="212">
                  <c:v>0.752</c:v>
                </c:pt>
                <c:pt idx="213">
                  <c:v>0.752</c:v>
                </c:pt>
                <c:pt idx="214">
                  <c:v>0.752</c:v>
                </c:pt>
                <c:pt idx="215">
                  <c:v>0.752</c:v>
                </c:pt>
                <c:pt idx="216">
                  <c:v>0.752</c:v>
                </c:pt>
                <c:pt idx="217">
                  <c:v>0.752</c:v>
                </c:pt>
                <c:pt idx="218">
                  <c:v>0.752</c:v>
                </c:pt>
                <c:pt idx="219">
                  <c:v>0.752</c:v>
                </c:pt>
                <c:pt idx="220">
                  <c:v>0.752</c:v>
                </c:pt>
                <c:pt idx="221">
                  <c:v>0.752</c:v>
                </c:pt>
                <c:pt idx="222">
                  <c:v>0.752</c:v>
                </c:pt>
                <c:pt idx="223">
                  <c:v>0.752</c:v>
                </c:pt>
                <c:pt idx="224">
                  <c:v>0.752</c:v>
                </c:pt>
                <c:pt idx="225">
                  <c:v>0.752</c:v>
                </c:pt>
                <c:pt idx="226">
                  <c:v>0.752</c:v>
                </c:pt>
                <c:pt idx="227">
                  <c:v>0.752</c:v>
                </c:pt>
                <c:pt idx="228">
                  <c:v>0.752</c:v>
                </c:pt>
                <c:pt idx="229">
                  <c:v>0.752</c:v>
                </c:pt>
                <c:pt idx="230">
                  <c:v>0.752</c:v>
                </c:pt>
                <c:pt idx="231">
                  <c:v>0.752</c:v>
                </c:pt>
                <c:pt idx="232">
                  <c:v>0.752</c:v>
                </c:pt>
                <c:pt idx="233">
                  <c:v>0.752</c:v>
                </c:pt>
                <c:pt idx="234">
                  <c:v>0.752</c:v>
                </c:pt>
                <c:pt idx="235">
                  <c:v>0.752</c:v>
                </c:pt>
                <c:pt idx="236">
                  <c:v>0.752</c:v>
                </c:pt>
                <c:pt idx="237">
                  <c:v>0.752</c:v>
                </c:pt>
                <c:pt idx="238">
                  <c:v>0.752</c:v>
                </c:pt>
                <c:pt idx="239">
                  <c:v>0.752</c:v>
                </c:pt>
                <c:pt idx="240">
                  <c:v>0.752</c:v>
                </c:pt>
                <c:pt idx="241">
                  <c:v>0.752</c:v>
                </c:pt>
                <c:pt idx="242">
                  <c:v>0.752</c:v>
                </c:pt>
                <c:pt idx="243">
                  <c:v>0.752</c:v>
                </c:pt>
                <c:pt idx="244">
                  <c:v>0.752</c:v>
                </c:pt>
                <c:pt idx="245">
                  <c:v>0.752</c:v>
                </c:pt>
                <c:pt idx="246">
                  <c:v>0.752</c:v>
                </c:pt>
                <c:pt idx="247">
                  <c:v>0.752</c:v>
                </c:pt>
                <c:pt idx="248">
                  <c:v>0.752</c:v>
                </c:pt>
                <c:pt idx="249">
                  <c:v>0.752</c:v>
                </c:pt>
                <c:pt idx="250">
                  <c:v>0.752</c:v>
                </c:pt>
                <c:pt idx="251">
                  <c:v>0.752</c:v>
                </c:pt>
                <c:pt idx="252">
                  <c:v>0.752</c:v>
                </c:pt>
                <c:pt idx="253">
                  <c:v>0.752</c:v>
                </c:pt>
                <c:pt idx="254">
                  <c:v>0.752</c:v>
                </c:pt>
                <c:pt idx="255">
                  <c:v>0.752</c:v>
                </c:pt>
                <c:pt idx="256">
                  <c:v>0.752</c:v>
                </c:pt>
                <c:pt idx="257">
                  <c:v>0.752</c:v>
                </c:pt>
                <c:pt idx="258">
                  <c:v>0.752</c:v>
                </c:pt>
                <c:pt idx="259">
                  <c:v>0.752</c:v>
                </c:pt>
                <c:pt idx="260">
                  <c:v>0.752</c:v>
                </c:pt>
                <c:pt idx="261">
                  <c:v>0.752</c:v>
                </c:pt>
                <c:pt idx="262">
                  <c:v>0.752</c:v>
                </c:pt>
                <c:pt idx="263">
                  <c:v>0.752</c:v>
                </c:pt>
                <c:pt idx="264">
                  <c:v>0.752</c:v>
                </c:pt>
                <c:pt idx="265">
                  <c:v>0.752</c:v>
                </c:pt>
                <c:pt idx="266">
                  <c:v>0.752</c:v>
                </c:pt>
                <c:pt idx="267">
                  <c:v>0.752</c:v>
                </c:pt>
                <c:pt idx="268">
                  <c:v>0.752</c:v>
                </c:pt>
                <c:pt idx="269">
                  <c:v>0.752</c:v>
                </c:pt>
                <c:pt idx="270">
                  <c:v>0.752</c:v>
                </c:pt>
                <c:pt idx="271">
                  <c:v>0.752</c:v>
                </c:pt>
                <c:pt idx="272">
                  <c:v>0.752</c:v>
                </c:pt>
                <c:pt idx="273">
                  <c:v>0.752</c:v>
                </c:pt>
                <c:pt idx="274">
                  <c:v>0.752</c:v>
                </c:pt>
                <c:pt idx="275">
                  <c:v>0.752</c:v>
                </c:pt>
                <c:pt idx="276">
                  <c:v>0.752</c:v>
                </c:pt>
                <c:pt idx="277">
                  <c:v>0.752</c:v>
                </c:pt>
                <c:pt idx="278">
                  <c:v>0.752</c:v>
                </c:pt>
                <c:pt idx="279">
                  <c:v>0.752</c:v>
                </c:pt>
                <c:pt idx="280">
                  <c:v>0.752</c:v>
                </c:pt>
                <c:pt idx="281">
                  <c:v>0.752</c:v>
                </c:pt>
                <c:pt idx="282">
                  <c:v>0.752</c:v>
                </c:pt>
                <c:pt idx="283">
                  <c:v>0.752</c:v>
                </c:pt>
                <c:pt idx="284">
                  <c:v>0.752</c:v>
                </c:pt>
                <c:pt idx="285">
                  <c:v>0.752</c:v>
                </c:pt>
                <c:pt idx="286">
                  <c:v>0.752</c:v>
                </c:pt>
                <c:pt idx="287">
                  <c:v>0.752</c:v>
                </c:pt>
                <c:pt idx="288">
                  <c:v>0.752</c:v>
                </c:pt>
                <c:pt idx="289">
                  <c:v>0.752</c:v>
                </c:pt>
                <c:pt idx="290">
                  <c:v>0.752</c:v>
                </c:pt>
                <c:pt idx="291">
                  <c:v>0.752</c:v>
                </c:pt>
                <c:pt idx="292">
                  <c:v>0.752</c:v>
                </c:pt>
                <c:pt idx="293">
                  <c:v>0.752</c:v>
                </c:pt>
                <c:pt idx="294">
                  <c:v>0.752</c:v>
                </c:pt>
                <c:pt idx="295">
                  <c:v>0.752</c:v>
                </c:pt>
                <c:pt idx="296">
                  <c:v>0.752</c:v>
                </c:pt>
                <c:pt idx="297">
                  <c:v>0.752</c:v>
                </c:pt>
                <c:pt idx="298">
                  <c:v>0.752</c:v>
                </c:pt>
                <c:pt idx="299">
                  <c:v>0.752</c:v>
                </c:pt>
                <c:pt idx="300">
                  <c:v>0.752</c:v>
                </c:pt>
                <c:pt idx="301">
                  <c:v>0.752</c:v>
                </c:pt>
                <c:pt idx="302">
                  <c:v>0.752</c:v>
                </c:pt>
                <c:pt idx="303">
                  <c:v>0.752</c:v>
                </c:pt>
                <c:pt idx="304">
                  <c:v>0.752</c:v>
                </c:pt>
                <c:pt idx="305">
                  <c:v>0.752</c:v>
                </c:pt>
                <c:pt idx="306">
                  <c:v>0.752</c:v>
                </c:pt>
                <c:pt idx="307">
                  <c:v>0.752</c:v>
                </c:pt>
                <c:pt idx="308">
                  <c:v>0.752</c:v>
                </c:pt>
                <c:pt idx="309">
                  <c:v>0.752</c:v>
                </c:pt>
                <c:pt idx="310">
                  <c:v>0.752</c:v>
                </c:pt>
                <c:pt idx="311">
                  <c:v>0.752</c:v>
                </c:pt>
                <c:pt idx="312">
                  <c:v>0.752</c:v>
                </c:pt>
                <c:pt idx="313">
                  <c:v>0.752</c:v>
                </c:pt>
                <c:pt idx="314">
                  <c:v>0.752</c:v>
                </c:pt>
                <c:pt idx="315">
                  <c:v>0.752</c:v>
                </c:pt>
                <c:pt idx="316">
                  <c:v>0.752</c:v>
                </c:pt>
                <c:pt idx="317">
                  <c:v>0.752</c:v>
                </c:pt>
                <c:pt idx="318">
                  <c:v>0.76</c:v>
                </c:pt>
                <c:pt idx="319">
                  <c:v>0.76</c:v>
                </c:pt>
                <c:pt idx="320">
                  <c:v>0.76</c:v>
                </c:pt>
                <c:pt idx="321">
                  <c:v>0.76200000000000001</c:v>
                </c:pt>
                <c:pt idx="322">
                  <c:v>0.76200000000000001</c:v>
                </c:pt>
                <c:pt idx="323">
                  <c:v>0.76800000000000002</c:v>
                </c:pt>
                <c:pt idx="324">
                  <c:v>0.77400000000000002</c:v>
                </c:pt>
                <c:pt idx="325">
                  <c:v>0.77800000000000002</c:v>
                </c:pt>
                <c:pt idx="326">
                  <c:v>0.78200000000000003</c:v>
                </c:pt>
                <c:pt idx="327">
                  <c:v>0.79</c:v>
                </c:pt>
                <c:pt idx="328">
                  <c:v>0.79200000000000004</c:v>
                </c:pt>
                <c:pt idx="329">
                  <c:v>0.79200000000000004</c:v>
                </c:pt>
                <c:pt idx="330">
                  <c:v>0.79200000000000004</c:v>
                </c:pt>
                <c:pt idx="331">
                  <c:v>0.79200000000000004</c:v>
                </c:pt>
                <c:pt idx="332">
                  <c:v>0.79200000000000004</c:v>
                </c:pt>
                <c:pt idx="333">
                  <c:v>0.79200000000000004</c:v>
                </c:pt>
                <c:pt idx="334">
                  <c:v>0.79200000000000004</c:v>
                </c:pt>
                <c:pt idx="335">
                  <c:v>0.79200000000000004</c:v>
                </c:pt>
                <c:pt idx="336">
                  <c:v>0.79200000000000004</c:v>
                </c:pt>
                <c:pt idx="337">
                  <c:v>0.79200000000000004</c:v>
                </c:pt>
                <c:pt idx="338">
                  <c:v>0.79200000000000004</c:v>
                </c:pt>
                <c:pt idx="339">
                  <c:v>0.79200000000000004</c:v>
                </c:pt>
                <c:pt idx="340">
                  <c:v>0.79200000000000004</c:v>
                </c:pt>
                <c:pt idx="341">
                  <c:v>0.79200000000000004</c:v>
                </c:pt>
                <c:pt idx="342">
                  <c:v>0.79200000000000004</c:v>
                </c:pt>
                <c:pt idx="343">
                  <c:v>0.79200000000000004</c:v>
                </c:pt>
                <c:pt idx="344">
                  <c:v>0.79200000000000004</c:v>
                </c:pt>
                <c:pt idx="345">
                  <c:v>0.79200000000000004</c:v>
                </c:pt>
                <c:pt idx="346">
                  <c:v>0.79200000000000004</c:v>
                </c:pt>
                <c:pt idx="347">
                  <c:v>0.79200000000000004</c:v>
                </c:pt>
                <c:pt idx="348">
                  <c:v>0.79200000000000004</c:v>
                </c:pt>
                <c:pt idx="349">
                  <c:v>0.79200000000000004</c:v>
                </c:pt>
                <c:pt idx="350">
                  <c:v>0.79200000000000004</c:v>
                </c:pt>
                <c:pt idx="351">
                  <c:v>0.79200000000000004</c:v>
                </c:pt>
                <c:pt idx="352">
                  <c:v>0.79200000000000004</c:v>
                </c:pt>
                <c:pt idx="353">
                  <c:v>0.79200000000000004</c:v>
                </c:pt>
                <c:pt idx="354">
                  <c:v>0.79200000000000004</c:v>
                </c:pt>
                <c:pt idx="355">
                  <c:v>0.79200000000000004</c:v>
                </c:pt>
                <c:pt idx="356">
                  <c:v>0.79200000000000004</c:v>
                </c:pt>
                <c:pt idx="357">
                  <c:v>0.79200000000000004</c:v>
                </c:pt>
                <c:pt idx="358">
                  <c:v>0.79200000000000004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972-4912-9233-AA51B3DC9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488496"/>
        <c:axId val="513483696"/>
      </c:lineChart>
      <c:scatterChart>
        <c:scatterStyle val="lineMarker"/>
        <c:varyColors val="0"/>
        <c:ser>
          <c:idx val="0"/>
          <c:order val="5"/>
          <c:tx>
            <c:v>Fecha Actual</c:v>
          </c:tx>
          <c:spPr>
            <a:ln w="19050">
              <a:solidFill>
                <a:schemeClr val="accent6"/>
              </a:solidFill>
            </a:ln>
          </c:spPr>
          <c:marker>
            <c:symbol val="none"/>
          </c:marker>
          <c:dPt>
            <c:idx val="1"/>
            <c:bubble3D val="0"/>
            <c:spPr>
              <a:ln w="19050">
                <a:solidFill>
                  <a:schemeClr val="accent6"/>
                </a:solidFill>
                <a:prstDash val="dash"/>
                <a:headEnd type="none" w="med" len="med"/>
                <a:tailEnd type="triangle" w="med" len="med"/>
              </a:ln>
            </c:spPr>
            <c:extLst>
              <c:ext xmlns:c16="http://schemas.microsoft.com/office/drawing/2014/chart" uri="{C3380CC4-5D6E-409C-BE32-E72D297353CC}">
                <c16:uniqueId val="{00000006-F972-4912-9233-AA51B3DC93C0}"/>
              </c:ext>
            </c:extLst>
          </c:dPt>
          <c:xVal>
            <c:numRef>
              <c:f>'Grafico %'!$J$2:$J$3</c:f>
              <c:numCache>
                <c:formatCode>d\-mmm</c:formatCode>
                <c:ptCount val="2"/>
                <c:pt idx="0">
                  <c:v>46321</c:v>
                </c:pt>
                <c:pt idx="1">
                  <c:v>46321</c:v>
                </c:pt>
              </c:numCache>
            </c:numRef>
          </c:xVal>
          <c:yVal>
            <c:numRef>
              <c:f>'Grafico %'!$K$2:$K$3</c:f>
              <c:numCache>
                <c:formatCode>0.00%</c:formatCode>
                <c:ptCount val="2"/>
                <c:pt idx="0" formatCode="General">
                  <c:v>0</c:v>
                </c:pt>
                <c:pt idx="1">
                  <c:v>0.90962749999999948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972-4912-9233-AA51B3DC93C0}"/>
            </c:ext>
          </c:extLst>
        </c:ser>
        <c:ser>
          <c:idx val="1"/>
          <c:order val="7"/>
          <c:tx>
            <c:v>% LOC</c:v>
          </c:tx>
          <c:spPr>
            <a:ln w="12700">
              <a:solidFill>
                <a:schemeClr val="accent5"/>
              </a:solidFill>
              <a:headEnd type="triangle" w="med" len="med"/>
              <a:tailEnd type="none" w="med" len="med"/>
            </a:ln>
          </c:spPr>
          <c:marker>
            <c:symbol val="none"/>
          </c:marker>
          <c:xVal>
            <c:numRef>
              <c:f>Hoja1!$E$3:$E$4</c:f>
              <c:numCache>
                <c:formatCode>d\-mmm</c:formatCode>
                <c:ptCount val="2"/>
                <c:pt idx="0">
                  <c:v>45963</c:v>
                </c:pt>
                <c:pt idx="1">
                  <c:v>45965</c:v>
                </c:pt>
              </c:numCache>
              <c:extLst xmlns:c15="http://schemas.microsoft.com/office/drawing/2012/chart"/>
            </c:numRef>
          </c:xVal>
          <c:yVal>
            <c:numRef>
              <c:f>Hoja1!$F$3:$F$4</c:f>
              <c:numCache>
                <c:formatCode>0.0%</c:formatCode>
                <c:ptCount val="2"/>
                <c:pt idx="0">
                  <c:v>0.90942749999999994</c:v>
                </c:pt>
                <c:pt idx="1">
                  <c:v>0.90942749999999994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F972-4912-9233-AA51B3DC93C0}"/>
            </c:ext>
          </c:extLst>
        </c:ser>
        <c:ser>
          <c:idx val="8"/>
          <c:order val="8"/>
          <c:tx>
            <c:v>% CIPS</c:v>
          </c:tx>
          <c:spPr>
            <a:ln w="12700">
              <a:solidFill>
                <a:srgbClr val="00B0F0"/>
              </a:solidFill>
              <a:headEnd type="triangle" w="med" len="med"/>
              <a:tailEnd type="none" w="med" len="med"/>
            </a:ln>
          </c:spPr>
          <c:marker>
            <c:symbol val="none"/>
          </c:marker>
          <c:xVal>
            <c:numRef>
              <c:f>Hoja1!$E$3:$E$4</c:f>
              <c:numCache>
                <c:formatCode>d\-mmm</c:formatCode>
                <c:ptCount val="2"/>
                <c:pt idx="0">
                  <c:v>45963</c:v>
                </c:pt>
                <c:pt idx="1">
                  <c:v>45965</c:v>
                </c:pt>
              </c:numCache>
              <c:extLst xmlns:c15="http://schemas.microsoft.com/office/drawing/2012/chart"/>
            </c:numRef>
          </c:xVal>
          <c:yVal>
            <c:numRef>
              <c:f>Hoja1!$G$3:$G$4</c:f>
              <c:numCache>
                <c:formatCode>0.0%</c:formatCode>
                <c:ptCount val="2"/>
                <c:pt idx="0">
                  <c:v>0.90962749999999948</c:v>
                </c:pt>
                <c:pt idx="1">
                  <c:v>0.90962749999999948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F972-4912-9233-AA51B3DC93C0}"/>
            </c:ext>
          </c:extLst>
        </c:ser>
        <c:ser>
          <c:idx val="11"/>
          <c:order val="10"/>
          <c:tx>
            <c:v>%DCVG</c:v>
          </c:tx>
          <c:spPr>
            <a:ln w="12700">
              <a:solidFill>
                <a:schemeClr val="accent1"/>
              </a:solidFill>
              <a:headEnd type="triangle" w="med" len="med"/>
              <a:tailEnd type="none" w="med" len="med"/>
            </a:ln>
          </c:spPr>
          <c:marker>
            <c:symbol val="none"/>
          </c:marker>
          <c:xVal>
            <c:numRef>
              <c:f>Hoja1!$E$3:$E$4</c:f>
              <c:numCache>
                <c:formatCode>d\-mmm</c:formatCode>
                <c:ptCount val="2"/>
                <c:pt idx="0">
                  <c:v>45963</c:v>
                </c:pt>
                <c:pt idx="1">
                  <c:v>45965</c:v>
                </c:pt>
              </c:numCache>
            </c:numRef>
          </c:xVal>
          <c:yVal>
            <c:numRef>
              <c:f>Hoja1!$H$3:$H$4</c:f>
              <c:numCache>
                <c:formatCode>0.0%</c:formatCode>
                <c:ptCount val="2"/>
                <c:pt idx="0">
                  <c:v>0.7516225000000003</c:v>
                </c:pt>
                <c:pt idx="1">
                  <c:v>0.7516225000000003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60-440B-A7EB-73C4D1E18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885264"/>
        <c:axId val="588885744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'Grafico %'!$G$1</c15:sqref>
                        </c15:formulaRef>
                      </c:ext>
                    </c:extLst>
                    <c:strCache>
                      <c:ptCount val="1"/>
                      <c:pt idx="0">
                        <c:v>ACVG</c:v>
                      </c:pt>
                    </c:strCache>
                  </c:strRef>
                </c:tx>
                <c:spPr>
                  <a:ln w="19050"/>
                </c:spPr>
                <c:marker>
                  <c:symbol val="none"/>
                </c:marker>
                <c:dPt>
                  <c:idx val="17"/>
                  <c:bubble3D val="0"/>
                  <c:spPr>
                    <a:ln w="12700">
                      <a:solidFill>
                        <a:schemeClr val="bg1">
                          <a:lumMod val="50000"/>
                        </a:schemeClr>
                      </a:solidFill>
                      <a:prstDash val="sysDash"/>
                    </a:ln>
                  </c:spPr>
                  <c:extLst>
                    <c:ext xmlns:c16="http://schemas.microsoft.com/office/drawing/2014/chart" uri="{C3380CC4-5D6E-409C-BE32-E72D297353CC}">
                      <c16:uniqueId val="{00000003-626A-439A-9D43-DF06A70BF88D}"/>
                    </c:ext>
                  </c:extLst>
                </c:dPt>
                <c:xVal>
                  <c:numRef>
                    <c:extLst>
                      <c:ext uri="{02D57815-91ED-43cb-92C2-25804820EDAC}">
                        <c15:formulaRef>
                          <c15:sqref>'Grafico %'!$A$2:$A$54</c15:sqref>
                        </c15:formulaRef>
                      </c:ext>
                    </c:extLst>
                    <c:numCache>
                      <c:formatCode>d\-mmm</c:formatCode>
                      <c:ptCount val="53"/>
                      <c:pt idx="0">
                        <c:v>45963</c:v>
                      </c:pt>
                      <c:pt idx="1">
                        <c:v>45964</c:v>
                      </c:pt>
                      <c:pt idx="2">
                        <c:v>45965</c:v>
                      </c:pt>
                      <c:pt idx="3">
                        <c:v>45966</c:v>
                      </c:pt>
                      <c:pt idx="4">
                        <c:v>45967</c:v>
                      </c:pt>
                      <c:pt idx="5">
                        <c:v>45968</c:v>
                      </c:pt>
                      <c:pt idx="6">
                        <c:v>45969</c:v>
                      </c:pt>
                      <c:pt idx="7">
                        <c:v>45970</c:v>
                      </c:pt>
                      <c:pt idx="8">
                        <c:v>45971</c:v>
                      </c:pt>
                      <c:pt idx="9">
                        <c:v>45972</c:v>
                      </c:pt>
                      <c:pt idx="10">
                        <c:v>45973</c:v>
                      </c:pt>
                      <c:pt idx="11">
                        <c:v>45974</c:v>
                      </c:pt>
                      <c:pt idx="12">
                        <c:v>45975</c:v>
                      </c:pt>
                      <c:pt idx="13">
                        <c:v>45976</c:v>
                      </c:pt>
                      <c:pt idx="14">
                        <c:v>45977</c:v>
                      </c:pt>
                      <c:pt idx="15">
                        <c:v>45978</c:v>
                      </c:pt>
                      <c:pt idx="16">
                        <c:v>45979</c:v>
                      </c:pt>
                      <c:pt idx="17">
                        <c:v>45980</c:v>
                      </c:pt>
                      <c:pt idx="18">
                        <c:v>45981</c:v>
                      </c:pt>
                      <c:pt idx="19">
                        <c:v>45982</c:v>
                      </c:pt>
                      <c:pt idx="20">
                        <c:v>45983</c:v>
                      </c:pt>
                      <c:pt idx="21">
                        <c:v>45984</c:v>
                      </c:pt>
                      <c:pt idx="22">
                        <c:v>45985</c:v>
                      </c:pt>
                      <c:pt idx="23">
                        <c:v>45986</c:v>
                      </c:pt>
                      <c:pt idx="24">
                        <c:v>45987</c:v>
                      </c:pt>
                      <c:pt idx="25">
                        <c:v>45988</c:v>
                      </c:pt>
                      <c:pt idx="26">
                        <c:v>45989</c:v>
                      </c:pt>
                      <c:pt idx="27">
                        <c:v>45990</c:v>
                      </c:pt>
                      <c:pt idx="28">
                        <c:v>45991</c:v>
                      </c:pt>
                      <c:pt idx="29">
                        <c:v>45992</c:v>
                      </c:pt>
                      <c:pt idx="30">
                        <c:v>45993</c:v>
                      </c:pt>
                      <c:pt idx="31">
                        <c:v>45994</c:v>
                      </c:pt>
                      <c:pt idx="32">
                        <c:v>45995</c:v>
                      </c:pt>
                      <c:pt idx="33">
                        <c:v>45996</c:v>
                      </c:pt>
                      <c:pt idx="34">
                        <c:v>45997</c:v>
                      </c:pt>
                      <c:pt idx="35">
                        <c:v>45998</c:v>
                      </c:pt>
                      <c:pt idx="36">
                        <c:v>45999</c:v>
                      </c:pt>
                      <c:pt idx="37">
                        <c:v>46000</c:v>
                      </c:pt>
                      <c:pt idx="38">
                        <c:v>46001</c:v>
                      </c:pt>
                      <c:pt idx="39">
                        <c:v>46002</c:v>
                      </c:pt>
                      <c:pt idx="40">
                        <c:v>46003</c:v>
                      </c:pt>
                      <c:pt idx="41">
                        <c:v>46004</c:v>
                      </c:pt>
                      <c:pt idx="42">
                        <c:v>46005</c:v>
                      </c:pt>
                      <c:pt idx="43">
                        <c:v>46006</c:v>
                      </c:pt>
                      <c:pt idx="44">
                        <c:v>46007</c:v>
                      </c:pt>
                      <c:pt idx="45">
                        <c:v>46008</c:v>
                      </c:pt>
                      <c:pt idx="46">
                        <c:v>46009</c:v>
                      </c:pt>
                      <c:pt idx="47">
                        <c:v>46010</c:v>
                      </c:pt>
                      <c:pt idx="48">
                        <c:v>46011</c:v>
                      </c:pt>
                      <c:pt idx="49">
                        <c:v>46012</c:v>
                      </c:pt>
                      <c:pt idx="50">
                        <c:v>46013</c:v>
                      </c:pt>
                      <c:pt idx="51">
                        <c:v>46014</c:v>
                      </c:pt>
                      <c:pt idx="52">
                        <c:v>46015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'Grafico %'!$G$2:$G$55</c15:sqref>
                        </c15:formulaRef>
                      </c:ext>
                    </c:extLst>
                    <c:numCache>
                      <c:formatCode>0.00%</c:formatCode>
                      <c:ptCount val="5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F972-4912-9233-AA51B3DC93C0}"/>
                  </c:ext>
                </c:extLst>
              </c15:ser>
            </c15:filteredScatterSeries>
            <c15:filteredScatterSeries>
              <c15:ser>
                <c:idx val="10"/>
                <c:order val="11"/>
                <c:tx>
                  <c:v>Lunes</c:v>
                </c:tx>
                <c:spPr>
                  <a:ln w="12700">
                    <a:solidFill>
                      <a:sysClr val="windowText" lastClr="00000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Hoja1!$J$3:$J$55</c15:sqref>
                        </c15:formulaRef>
                      </c:ext>
                    </c:extLst>
                    <c:numCache>
                      <c:formatCode>d\-mmm</c:formatCode>
                      <c:ptCount val="53"/>
                      <c:pt idx="0">
                        <c:v>45964</c:v>
                      </c:pt>
                      <c:pt idx="1">
                        <c:v>45964</c:v>
                      </c:pt>
                      <c:pt idx="3">
                        <c:v>45971</c:v>
                      </c:pt>
                      <c:pt idx="4">
                        <c:v>45971</c:v>
                      </c:pt>
                      <c:pt idx="6">
                        <c:v>45978</c:v>
                      </c:pt>
                      <c:pt idx="7">
                        <c:v>45978</c:v>
                      </c:pt>
                      <c:pt idx="9">
                        <c:v>45985</c:v>
                      </c:pt>
                      <c:pt idx="10">
                        <c:v>45985</c:v>
                      </c:pt>
                      <c:pt idx="12">
                        <c:v>45992</c:v>
                      </c:pt>
                      <c:pt idx="13">
                        <c:v>45992</c:v>
                      </c:pt>
                      <c:pt idx="15">
                        <c:v>45999</c:v>
                      </c:pt>
                      <c:pt idx="16">
                        <c:v>45999</c:v>
                      </c:pt>
                      <c:pt idx="18">
                        <c:v>46006</c:v>
                      </c:pt>
                      <c:pt idx="19">
                        <c:v>46006</c:v>
                      </c:pt>
                      <c:pt idx="21">
                        <c:v>46013</c:v>
                      </c:pt>
                      <c:pt idx="22">
                        <c:v>46013</c:v>
                      </c:pt>
                      <c:pt idx="24">
                        <c:v>46020</c:v>
                      </c:pt>
                      <c:pt idx="25">
                        <c:v>46020</c:v>
                      </c:pt>
                      <c:pt idx="27">
                        <c:v>46027</c:v>
                      </c:pt>
                      <c:pt idx="28">
                        <c:v>46027</c:v>
                      </c:pt>
                      <c:pt idx="30">
                        <c:v>46034</c:v>
                      </c:pt>
                      <c:pt idx="31">
                        <c:v>46034</c:v>
                      </c:pt>
                      <c:pt idx="33">
                        <c:v>46041</c:v>
                      </c:pt>
                      <c:pt idx="34">
                        <c:v>46041</c:v>
                      </c:pt>
                      <c:pt idx="36">
                        <c:v>46048</c:v>
                      </c:pt>
                      <c:pt idx="37">
                        <c:v>46048</c:v>
                      </c:pt>
                      <c:pt idx="39">
                        <c:v>46055</c:v>
                      </c:pt>
                      <c:pt idx="40">
                        <c:v>46055</c:v>
                      </c:pt>
                      <c:pt idx="42">
                        <c:v>46062</c:v>
                      </c:pt>
                      <c:pt idx="43">
                        <c:v>46062</c:v>
                      </c:pt>
                      <c:pt idx="45">
                        <c:v>46069</c:v>
                      </c:pt>
                      <c:pt idx="46">
                        <c:v>46069</c:v>
                      </c:pt>
                      <c:pt idx="48">
                        <c:v>46076</c:v>
                      </c:pt>
                      <c:pt idx="49">
                        <c:v>46076</c:v>
                      </c:pt>
                      <c:pt idx="51">
                        <c:v>46083</c:v>
                      </c:pt>
                      <c:pt idx="52">
                        <c:v>46083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Hoja1!$K$3:$K$55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0</c:v>
                      </c:pt>
                      <c:pt idx="1">
                        <c:v>1</c:v>
                      </c:pt>
                      <c:pt idx="3">
                        <c:v>0</c:v>
                      </c:pt>
                      <c:pt idx="4">
                        <c:v>1</c:v>
                      </c:pt>
                      <c:pt idx="6">
                        <c:v>0</c:v>
                      </c:pt>
                      <c:pt idx="7">
                        <c:v>1</c:v>
                      </c:pt>
                      <c:pt idx="9">
                        <c:v>0</c:v>
                      </c:pt>
                      <c:pt idx="10">
                        <c:v>1</c:v>
                      </c:pt>
                      <c:pt idx="12">
                        <c:v>0</c:v>
                      </c:pt>
                      <c:pt idx="13">
                        <c:v>1</c:v>
                      </c:pt>
                      <c:pt idx="15">
                        <c:v>0</c:v>
                      </c:pt>
                      <c:pt idx="16">
                        <c:v>1</c:v>
                      </c:pt>
                      <c:pt idx="18">
                        <c:v>0</c:v>
                      </c:pt>
                      <c:pt idx="19">
                        <c:v>1</c:v>
                      </c:pt>
                      <c:pt idx="21">
                        <c:v>0</c:v>
                      </c:pt>
                      <c:pt idx="22">
                        <c:v>1</c:v>
                      </c:pt>
                      <c:pt idx="24">
                        <c:v>0</c:v>
                      </c:pt>
                      <c:pt idx="25">
                        <c:v>1</c:v>
                      </c:pt>
                      <c:pt idx="27">
                        <c:v>0</c:v>
                      </c:pt>
                      <c:pt idx="28">
                        <c:v>1</c:v>
                      </c:pt>
                      <c:pt idx="30">
                        <c:v>0</c:v>
                      </c:pt>
                      <c:pt idx="31">
                        <c:v>1</c:v>
                      </c:pt>
                      <c:pt idx="33">
                        <c:v>0</c:v>
                      </c:pt>
                      <c:pt idx="34">
                        <c:v>1</c:v>
                      </c:pt>
                      <c:pt idx="36">
                        <c:v>0</c:v>
                      </c:pt>
                      <c:pt idx="37">
                        <c:v>1</c:v>
                      </c:pt>
                      <c:pt idx="39">
                        <c:v>0</c:v>
                      </c:pt>
                      <c:pt idx="40">
                        <c:v>1</c:v>
                      </c:pt>
                      <c:pt idx="42">
                        <c:v>0</c:v>
                      </c:pt>
                      <c:pt idx="43">
                        <c:v>1</c:v>
                      </c:pt>
                      <c:pt idx="45">
                        <c:v>0</c:v>
                      </c:pt>
                      <c:pt idx="46">
                        <c:v>1</c:v>
                      </c:pt>
                      <c:pt idx="48">
                        <c:v>0</c:v>
                      </c:pt>
                      <c:pt idx="49">
                        <c:v>1</c:v>
                      </c:pt>
                      <c:pt idx="51">
                        <c:v>0</c:v>
                      </c:pt>
                      <c:pt idx="52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CA1-444A-96CA-462901DAEECF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9"/>
          <c:order val="9"/>
          <c:tx>
            <c:v>% Resis</c:v>
          </c:tx>
          <c:spPr>
            <a:ln w="12700">
              <a:solidFill>
                <a:schemeClr val="accent2"/>
              </a:solidFill>
              <a:headEnd type="none" w="med" len="med"/>
              <a:tailEnd type="triangle" w="med" len="med"/>
            </a:ln>
          </c:spPr>
          <c:marker>
            <c:symbol val="none"/>
          </c:marker>
          <c:xVal>
            <c:numRef>
              <c:f>Hoja1!$E$6:$E$7</c:f>
              <c:numCache>
                <c:formatCode>d\-mmm</c:formatCode>
                <c:ptCount val="2"/>
                <c:pt idx="0">
                  <c:v>46065</c:v>
                </c:pt>
                <c:pt idx="1">
                  <c:v>46067</c:v>
                </c:pt>
              </c:numCache>
              <c:extLst xmlns:c15="http://schemas.microsoft.com/office/drawing/2012/chart"/>
            </c:numRef>
          </c:xVal>
          <c:yVal>
            <c:numRef>
              <c:f>Hoja1!$F$6:$F$7</c:f>
              <c:numCache>
                <c:formatCode>0.0%</c:formatCode>
                <c:ptCount val="2"/>
                <c:pt idx="0">
                  <c:v>0.79200000000000004</c:v>
                </c:pt>
                <c:pt idx="1">
                  <c:v>0.79200000000000004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F972-4912-9233-AA51B3DC9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488496"/>
        <c:axId val="513483696"/>
      </c:scatterChart>
      <c:dateAx>
        <c:axId val="588885264"/>
        <c:scaling>
          <c:orientation val="minMax"/>
          <c:max val="46325"/>
          <c:min val="4596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/>
          <a:lstStyle/>
          <a:p>
            <a:pPr>
              <a:defRPr sz="1100"/>
            </a:pPr>
            <a:endParaRPr lang="es-MX"/>
          </a:p>
        </c:txPr>
        <c:crossAx val="588885744"/>
        <c:crosses val="autoZero"/>
        <c:auto val="1"/>
        <c:lblOffset val="100"/>
        <c:baseTimeUnit val="days"/>
        <c:majorUnit val="5"/>
      </c:dateAx>
      <c:valAx>
        <c:axId val="58888574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s-MX" sz="1200"/>
                  <a:t>Avance en %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1200"/>
            </a:pPr>
            <a:endParaRPr lang="es-MX"/>
          </a:p>
        </c:txPr>
        <c:crossAx val="588885264"/>
        <c:crosses val="autoZero"/>
        <c:crossBetween val="between"/>
        <c:majorUnit val="5.000000000000001E-2"/>
      </c:valAx>
      <c:valAx>
        <c:axId val="513483696"/>
        <c:scaling>
          <c:orientation val="minMax"/>
          <c:max val="1"/>
        </c:scaling>
        <c:delete val="0"/>
        <c:axPos val="r"/>
        <c:title>
          <c:tx>
            <c:rich>
              <a:bodyPr/>
              <a:lstStyle/>
              <a:p>
                <a:pPr>
                  <a:defRPr sz="1100" b="0">
                    <a:solidFill>
                      <a:schemeClr val="accent2"/>
                    </a:solidFill>
                  </a:defRPr>
                </a:pPr>
                <a:r>
                  <a:rPr lang="es-MX" sz="1100" b="0">
                    <a:solidFill>
                      <a:schemeClr val="accent2"/>
                    </a:solidFill>
                  </a:rPr>
                  <a:t>Resistividad</a:t>
                </a:r>
                <a:r>
                  <a:rPr lang="es-MX" sz="1100" b="0" baseline="0">
                    <a:solidFill>
                      <a:schemeClr val="accent2"/>
                    </a:solidFill>
                  </a:rPr>
                  <a:t> - pH - Bacterias (%)</a:t>
                </a:r>
                <a:endParaRPr lang="es-MX" sz="1100" b="0">
                  <a:solidFill>
                    <a:schemeClr val="accent2"/>
                  </a:solidFill>
                </a:endParaRPr>
              </a:p>
            </c:rich>
          </c:tx>
          <c:layout>
            <c:manualLayout>
              <c:xMode val="edge"/>
              <c:yMode val="edge"/>
              <c:x val="0.97610751098703186"/>
              <c:y val="0.30503561319713823"/>
            </c:manualLayout>
          </c:layout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200" b="1">
                <a:solidFill>
                  <a:schemeClr val="accent2"/>
                </a:solidFill>
              </a:defRPr>
            </a:pPr>
            <a:endParaRPr lang="es-MX"/>
          </a:p>
        </c:txPr>
        <c:crossAx val="513488496"/>
        <c:crosses val="max"/>
        <c:crossBetween val="between"/>
        <c:majorUnit val="0.1"/>
      </c:valAx>
      <c:dateAx>
        <c:axId val="513488496"/>
        <c:scaling>
          <c:orientation val="minMax"/>
        </c:scaling>
        <c:delete val="1"/>
        <c:axPos val="t"/>
        <c:numFmt formatCode="d\-mmm" sourceLinked="1"/>
        <c:majorTickMark val="out"/>
        <c:minorTickMark val="none"/>
        <c:tickLblPos val="nextTo"/>
        <c:crossAx val="513483696"/>
        <c:crosses val="max"/>
        <c:auto val="1"/>
        <c:lblOffset val="100"/>
        <c:baseTimeUnit val="days"/>
      </c:dateAx>
      <c:spPr>
        <a:solidFill>
          <a:sysClr val="window" lastClr="FFFFFF"/>
        </a:solidFill>
        <a:ln>
          <a:solidFill>
            <a:schemeClr val="bg1">
              <a:lumMod val="85000"/>
            </a:schemeClr>
          </a:solidFill>
        </a:ln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6.9107020967604918E-2"/>
          <c:y val="8.9658136482939632E-2"/>
          <c:w val="0.1497897371958152"/>
          <c:h val="0.22238582677165356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000"/>
          </a:pPr>
          <a:endParaRPr lang="es-MX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40000"/>
        <a:lumOff val="60000"/>
      </a:schemeClr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Monto Ejecutado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3087086224821092E-2"/>
          <c:y val="7.7570272910454208E-2"/>
          <c:w val="0.88230702780728443"/>
          <c:h val="0.79460657511904553"/>
        </c:manualLayout>
      </c:layout>
      <c:barChart>
        <c:barDir val="col"/>
        <c:grouping val="stacked"/>
        <c:varyColors val="0"/>
        <c:ser>
          <c:idx val="8"/>
          <c:order val="1"/>
          <c:spPr>
            <a:solidFill>
              <a:schemeClr val="bg1">
                <a:lumMod val="85000"/>
              </a:schemeClr>
            </a:solidFill>
          </c:spPr>
          <c:invertIfNegative val="0"/>
          <c:cat>
            <c:numRef>
              <c:f>EV!$A$2:$A$500</c:f>
              <c:numCache>
                <c:formatCode>d\-mmm</c:formatCode>
                <c:ptCount val="49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  <c:pt idx="30">
                  <c:v>45992</c:v>
                </c:pt>
                <c:pt idx="31">
                  <c:v>45993</c:v>
                </c:pt>
                <c:pt idx="32">
                  <c:v>45994</c:v>
                </c:pt>
                <c:pt idx="33">
                  <c:v>45995</c:v>
                </c:pt>
                <c:pt idx="34">
                  <c:v>45996</c:v>
                </c:pt>
                <c:pt idx="35">
                  <c:v>45997</c:v>
                </c:pt>
                <c:pt idx="36">
                  <c:v>45998</c:v>
                </c:pt>
                <c:pt idx="37">
                  <c:v>45999</c:v>
                </c:pt>
                <c:pt idx="38">
                  <c:v>46000</c:v>
                </c:pt>
                <c:pt idx="39">
                  <c:v>46001</c:v>
                </c:pt>
                <c:pt idx="40">
                  <c:v>46002</c:v>
                </c:pt>
                <c:pt idx="41">
                  <c:v>46003</c:v>
                </c:pt>
                <c:pt idx="42">
                  <c:v>46004</c:v>
                </c:pt>
                <c:pt idx="43">
                  <c:v>46005</c:v>
                </c:pt>
                <c:pt idx="44">
                  <c:v>46006</c:v>
                </c:pt>
                <c:pt idx="45">
                  <c:v>46007</c:v>
                </c:pt>
                <c:pt idx="46">
                  <c:v>46008</c:v>
                </c:pt>
                <c:pt idx="47">
                  <c:v>46009</c:v>
                </c:pt>
                <c:pt idx="48">
                  <c:v>46010</c:v>
                </c:pt>
                <c:pt idx="49">
                  <c:v>46011</c:v>
                </c:pt>
                <c:pt idx="50">
                  <c:v>46012</c:v>
                </c:pt>
                <c:pt idx="51">
                  <c:v>46013</c:v>
                </c:pt>
                <c:pt idx="52">
                  <c:v>46014</c:v>
                </c:pt>
                <c:pt idx="53">
                  <c:v>46015</c:v>
                </c:pt>
                <c:pt idx="54">
                  <c:v>46016</c:v>
                </c:pt>
                <c:pt idx="55">
                  <c:v>46017</c:v>
                </c:pt>
                <c:pt idx="56">
                  <c:v>46018</c:v>
                </c:pt>
                <c:pt idx="57">
                  <c:v>46019</c:v>
                </c:pt>
                <c:pt idx="58">
                  <c:v>46020</c:v>
                </c:pt>
                <c:pt idx="59">
                  <c:v>46021</c:v>
                </c:pt>
                <c:pt idx="60">
                  <c:v>46022</c:v>
                </c:pt>
                <c:pt idx="61">
                  <c:v>46023</c:v>
                </c:pt>
                <c:pt idx="62">
                  <c:v>46024</c:v>
                </c:pt>
                <c:pt idx="63">
                  <c:v>46025</c:v>
                </c:pt>
                <c:pt idx="64">
                  <c:v>46026</c:v>
                </c:pt>
                <c:pt idx="65">
                  <c:v>46027</c:v>
                </c:pt>
                <c:pt idx="66">
                  <c:v>46028</c:v>
                </c:pt>
                <c:pt idx="67">
                  <c:v>46029</c:v>
                </c:pt>
                <c:pt idx="68">
                  <c:v>46030</c:v>
                </c:pt>
                <c:pt idx="69">
                  <c:v>46031</c:v>
                </c:pt>
                <c:pt idx="70">
                  <c:v>46032</c:v>
                </c:pt>
                <c:pt idx="71">
                  <c:v>46033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46039</c:v>
                </c:pt>
                <c:pt idx="78">
                  <c:v>46040</c:v>
                </c:pt>
                <c:pt idx="79">
                  <c:v>46041</c:v>
                </c:pt>
                <c:pt idx="80">
                  <c:v>46042</c:v>
                </c:pt>
                <c:pt idx="81">
                  <c:v>46043</c:v>
                </c:pt>
                <c:pt idx="82">
                  <c:v>46044</c:v>
                </c:pt>
                <c:pt idx="83">
                  <c:v>46045</c:v>
                </c:pt>
                <c:pt idx="84">
                  <c:v>46046</c:v>
                </c:pt>
                <c:pt idx="85">
                  <c:v>46047</c:v>
                </c:pt>
                <c:pt idx="86">
                  <c:v>46048</c:v>
                </c:pt>
                <c:pt idx="87">
                  <c:v>46049</c:v>
                </c:pt>
                <c:pt idx="88">
                  <c:v>46050</c:v>
                </c:pt>
                <c:pt idx="89">
                  <c:v>46051</c:v>
                </c:pt>
                <c:pt idx="90">
                  <c:v>46052</c:v>
                </c:pt>
                <c:pt idx="91">
                  <c:v>46053</c:v>
                </c:pt>
                <c:pt idx="92">
                  <c:v>46054</c:v>
                </c:pt>
                <c:pt idx="93">
                  <c:v>46055</c:v>
                </c:pt>
                <c:pt idx="94">
                  <c:v>46056</c:v>
                </c:pt>
                <c:pt idx="95">
                  <c:v>46057</c:v>
                </c:pt>
                <c:pt idx="96">
                  <c:v>46058</c:v>
                </c:pt>
                <c:pt idx="97">
                  <c:v>46059</c:v>
                </c:pt>
                <c:pt idx="98">
                  <c:v>46060</c:v>
                </c:pt>
                <c:pt idx="99">
                  <c:v>46061</c:v>
                </c:pt>
                <c:pt idx="100">
                  <c:v>46062</c:v>
                </c:pt>
                <c:pt idx="101">
                  <c:v>46063</c:v>
                </c:pt>
                <c:pt idx="102">
                  <c:v>46064</c:v>
                </c:pt>
                <c:pt idx="103">
                  <c:v>46065</c:v>
                </c:pt>
                <c:pt idx="104">
                  <c:v>46066</c:v>
                </c:pt>
                <c:pt idx="105">
                  <c:v>46067</c:v>
                </c:pt>
                <c:pt idx="106">
                  <c:v>46068</c:v>
                </c:pt>
                <c:pt idx="107">
                  <c:v>46069</c:v>
                </c:pt>
                <c:pt idx="108">
                  <c:v>46070</c:v>
                </c:pt>
                <c:pt idx="109">
                  <c:v>46071</c:v>
                </c:pt>
                <c:pt idx="110">
                  <c:v>46072</c:v>
                </c:pt>
                <c:pt idx="111">
                  <c:v>46073</c:v>
                </c:pt>
                <c:pt idx="112">
                  <c:v>46074</c:v>
                </c:pt>
                <c:pt idx="113">
                  <c:v>46075</c:v>
                </c:pt>
                <c:pt idx="114">
                  <c:v>46076</c:v>
                </c:pt>
                <c:pt idx="115">
                  <c:v>46077</c:v>
                </c:pt>
                <c:pt idx="116">
                  <c:v>46078</c:v>
                </c:pt>
                <c:pt idx="117">
                  <c:v>46079</c:v>
                </c:pt>
                <c:pt idx="118">
                  <c:v>46080</c:v>
                </c:pt>
                <c:pt idx="119">
                  <c:v>46081</c:v>
                </c:pt>
                <c:pt idx="120">
                  <c:v>46082</c:v>
                </c:pt>
                <c:pt idx="121">
                  <c:v>46083</c:v>
                </c:pt>
                <c:pt idx="122">
                  <c:v>46084</c:v>
                </c:pt>
                <c:pt idx="123">
                  <c:v>46085</c:v>
                </c:pt>
                <c:pt idx="124">
                  <c:v>46086</c:v>
                </c:pt>
                <c:pt idx="125">
                  <c:v>46087</c:v>
                </c:pt>
                <c:pt idx="126">
                  <c:v>46088</c:v>
                </c:pt>
                <c:pt idx="127">
                  <c:v>46089</c:v>
                </c:pt>
                <c:pt idx="128">
                  <c:v>46090</c:v>
                </c:pt>
                <c:pt idx="129">
                  <c:v>46091</c:v>
                </c:pt>
                <c:pt idx="130">
                  <c:v>46092</c:v>
                </c:pt>
                <c:pt idx="131">
                  <c:v>46093</c:v>
                </c:pt>
                <c:pt idx="132">
                  <c:v>46094</c:v>
                </c:pt>
                <c:pt idx="133">
                  <c:v>46095</c:v>
                </c:pt>
                <c:pt idx="134">
                  <c:v>46096</c:v>
                </c:pt>
                <c:pt idx="135">
                  <c:v>46097</c:v>
                </c:pt>
                <c:pt idx="136">
                  <c:v>46098</c:v>
                </c:pt>
                <c:pt idx="137">
                  <c:v>46099</c:v>
                </c:pt>
                <c:pt idx="138">
                  <c:v>46100</c:v>
                </c:pt>
                <c:pt idx="139">
                  <c:v>46101</c:v>
                </c:pt>
                <c:pt idx="140">
                  <c:v>46102</c:v>
                </c:pt>
                <c:pt idx="141">
                  <c:v>46103</c:v>
                </c:pt>
                <c:pt idx="142">
                  <c:v>46104</c:v>
                </c:pt>
                <c:pt idx="143">
                  <c:v>46105</c:v>
                </c:pt>
                <c:pt idx="144">
                  <c:v>46106</c:v>
                </c:pt>
                <c:pt idx="145">
                  <c:v>46107</c:v>
                </c:pt>
                <c:pt idx="146">
                  <c:v>46108</c:v>
                </c:pt>
                <c:pt idx="147">
                  <c:v>46109</c:v>
                </c:pt>
                <c:pt idx="148">
                  <c:v>46110</c:v>
                </c:pt>
                <c:pt idx="149">
                  <c:v>46111</c:v>
                </c:pt>
                <c:pt idx="150">
                  <c:v>46112</c:v>
                </c:pt>
                <c:pt idx="151">
                  <c:v>46113</c:v>
                </c:pt>
                <c:pt idx="152">
                  <c:v>46114</c:v>
                </c:pt>
                <c:pt idx="153">
                  <c:v>46115</c:v>
                </c:pt>
                <c:pt idx="154">
                  <c:v>46116</c:v>
                </c:pt>
                <c:pt idx="155">
                  <c:v>46117</c:v>
                </c:pt>
                <c:pt idx="156">
                  <c:v>46118</c:v>
                </c:pt>
                <c:pt idx="157">
                  <c:v>46119</c:v>
                </c:pt>
                <c:pt idx="158">
                  <c:v>46120</c:v>
                </c:pt>
                <c:pt idx="159">
                  <c:v>46121</c:v>
                </c:pt>
                <c:pt idx="160">
                  <c:v>46122</c:v>
                </c:pt>
                <c:pt idx="161">
                  <c:v>46123</c:v>
                </c:pt>
                <c:pt idx="162">
                  <c:v>46124</c:v>
                </c:pt>
                <c:pt idx="163">
                  <c:v>46125</c:v>
                </c:pt>
                <c:pt idx="164">
                  <c:v>46126</c:v>
                </c:pt>
                <c:pt idx="165">
                  <c:v>46127</c:v>
                </c:pt>
                <c:pt idx="166">
                  <c:v>46128</c:v>
                </c:pt>
                <c:pt idx="167">
                  <c:v>46129</c:v>
                </c:pt>
                <c:pt idx="168">
                  <c:v>46130</c:v>
                </c:pt>
                <c:pt idx="169">
                  <c:v>46131</c:v>
                </c:pt>
                <c:pt idx="170">
                  <c:v>46132</c:v>
                </c:pt>
                <c:pt idx="171">
                  <c:v>46133</c:v>
                </c:pt>
                <c:pt idx="172">
                  <c:v>46134</c:v>
                </c:pt>
                <c:pt idx="173">
                  <c:v>46135</c:v>
                </c:pt>
                <c:pt idx="174">
                  <c:v>46136</c:v>
                </c:pt>
                <c:pt idx="175">
                  <c:v>46137</c:v>
                </c:pt>
                <c:pt idx="176">
                  <c:v>46138</c:v>
                </c:pt>
                <c:pt idx="177">
                  <c:v>46139</c:v>
                </c:pt>
                <c:pt idx="178">
                  <c:v>46140</c:v>
                </c:pt>
                <c:pt idx="179">
                  <c:v>46141</c:v>
                </c:pt>
                <c:pt idx="180">
                  <c:v>46142</c:v>
                </c:pt>
                <c:pt idx="181">
                  <c:v>46143</c:v>
                </c:pt>
                <c:pt idx="182">
                  <c:v>46144</c:v>
                </c:pt>
                <c:pt idx="183">
                  <c:v>46145</c:v>
                </c:pt>
                <c:pt idx="184">
                  <c:v>46146</c:v>
                </c:pt>
                <c:pt idx="185">
                  <c:v>46147</c:v>
                </c:pt>
                <c:pt idx="186">
                  <c:v>46148</c:v>
                </c:pt>
                <c:pt idx="187">
                  <c:v>46149</c:v>
                </c:pt>
                <c:pt idx="188">
                  <c:v>46150</c:v>
                </c:pt>
                <c:pt idx="189">
                  <c:v>46151</c:v>
                </c:pt>
                <c:pt idx="190">
                  <c:v>46152</c:v>
                </c:pt>
                <c:pt idx="191">
                  <c:v>46153</c:v>
                </c:pt>
                <c:pt idx="192">
                  <c:v>46154</c:v>
                </c:pt>
                <c:pt idx="193">
                  <c:v>46155</c:v>
                </c:pt>
                <c:pt idx="194">
                  <c:v>46156</c:v>
                </c:pt>
                <c:pt idx="195">
                  <c:v>46157</c:v>
                </c:pt>
                <c:pt idx="196">
                  <c:v>46158</c:v>
                </c:pt>
                <c:pt idx="197">
                  <c:v>46159</c:v>
                </c:pt>
                <c:pt idx="198">
                  <c:v>46160</c:v>
                </c:pt>
                <c:pt idx="199">
                  <c:v>46161</c:v>
                </c:pt>
                <c:pt idx="200">
                  <c:v>46162</c:v>
                </c:pt>
                <c:pt idx="201">
                  <c:v>46163</c:v>
                </c:pt>
                <c:pt idx="202">
                  <c:v>46164</c:v>
                </c:pt>
                <c:pt idx="203">
                  <c:v>46165</c:v>
                </c:pt>
                <c:pt idx="204">
                  <c:v>46166</c:v>
                </c:pt>
                <c:pt idx="205">
                  <c:v>46167</c:v>
                </c:pt>
                <c:pt idx="206">
                  <c:v>46168</c:v>
                </c:pt>
                <c:pt idx="207">
                  <c:v>46169</c:v>
                </c:pt>
                <c:pt idx="208">
                  <c:v>46170</c:v>
                </c:pt>
                <c:pt idx="209">
                  <c:v>46171</c:v>
                </c:pt>
                <c:pt idx="210">
                  <c:v>46172</c:v>
                </c:pt>
                <c:pt idx="211">
                  <c:v>46173</c:v>
                </c:pt>
                <c:pt idx="212">
                  <c:v>46174</c:v>
                </c:pt>
                <c:pt idx="213">
                  <c:v>46175</c:v>
                </c:pt>
                <c:pt idx="214">
                  <c:v>46176</c:v>
                </c:pt>
                <c:pt idx="215">
                  <c:v>46177</c:v>
                </c:pt>
                <c:pt idx="216">
                  <c:v>46178</c:v>
                </c:pt>
                <c:pt idx="217">
                  <c:v>46179</c:v>
                </c:pt>
                <c:pt idx="218">
                  <c:v>46180</c:v>
                </c:pt>
                <c:pt idx="219">
                  <c:v>46181</c:v>
                </c:pt>
                <c:pt idx="220">
                  <c:v>46182</c:v>
                </c:pt>
                <c:pt idx="221">
                  <c:v>46183</c:v>
                </c:pt>
                <c:pt idx="222">
                  <c:v>46184</c:v>
                </c:pt>
                <c:pt idx="223">
                  <c:v>46185</c:v>
                </c:pt>
                <c:pt idx="224">
                  <c:v>46186</c:v>
                </c:pt>
                <c:pt idx="225">
                  <c:v>46187</c:v>
                </c:pt>
                <c:pt idx="226">
                  <c:v>46188</c:v>
                </c:pt>
                <c:pt idx="227">
                  <c:v>46189</c:v>
                </c:pt>
                <c:pt idx="228">
                  <c:v>46190</c:v>
                </c:pt>
                <c:pt idx="229">
                  <c:v>46191</c:v>
                </c:pt>
                <c:pt idx="230">
                  <c:v>46192</c:v>
                </c:pt>
                <c:pt idx="231">
                  <c:v>46193</c:v>
                </c:pt>
                <c:pt idx="232">
                  <c:v>46194</c:v>
                </c:pt>
                <c:pt idx="233">
                  <c:v>46195</c:v>
                </c:pt>
                <c:pt idx="234">
                  <c:v>46196</c:v>
                </c:pt>
                <c:pt idx="235">
                  <c:v>46197</c:v>
                </c:pt>
                <c:pt idx="236">
                  <c:v>46198</c:v>
                </c:pt>
                <c:pt idx="237">
                  <c:v>46199</c:v>
                </c:pt>
                <c:pt idx="238">
                  <c:v>46200</c:v>
                </c:pt>
                <c:pt idx="239">
                  <c:v>46201</c:v>
                </c:pt>
                <c:pt idx="240">
                  <c:v>46202</c:v>
                </c:pt>
                <c:pt idx="241">
                  <c:v>46203</c:v>
                </c:pt>
                <c:pt idx="242">
                  <c:v>46204</c:v>
                </c:pt>
                <c:pt idx="243">
                  <c:v>46205</c:v>
                </c:pt>
                <c:pt idx="244">
                  <c:v>46206</c:v>
                </c:pt>
                <c:pt idx="245">
                  <c:v>46207</c:v>
                </c:pt>
                <c:pt idx="246">
                  <c:v>46208</c:v>
                </c:pt>
                <c:pt idx="247">
                  <c:v>46209</c:v>
                </c:pt>
                <c:pt idx="248">
                  <c:v>46210</c:v>
                </c:pt>
                <c:pt idx="249">
                  <c:v>46211</c:v>
                </c:pt>
                <c:pt idx="250">
                  <c:v>46212</c:v>
                </c:pt>
                <c:pt idx="251">
                  <c:v>46213</c:v>
                </c:pt>
                <c:pt idx="252">
                  <c:v>46214</c:v>
                </c:pt>
                <c:pt idx="253">
                  <c:v>46215</c:v>
                </c:pt>
                <c:pt idx="254">
                  <c:v>46216</c:v>
                </c:pt>
                <c:pt idx="255">
                  <c:v>46217</c:v>
                </c:pt>
                <c:pt idx="256">
                  <c:v>46218</c:v>
                </c:pt>
                <c:pt idx="257">
                  <c:v>46219</c:v>
                </c:pt>
                <c:pt idx="258">
                  <c:v>46220</c:v>
                </c:pt>
                <c:pt idx="259">
                  <c:v>46221</c:v>
                </c:pt>
                <c:pt idx="260">
                  <c:v>46222</c:v>
                </c:pt>
                <c:pt idx="261">
                  <c:v>46223</c:v>
                </c:pt>
                <c:pt idx="262">
                  <c:v>46224</c:v>
                </c:pt>
                <c:pt idx="263">
                  <c:v>46225</c:v>
                </c:pt>
                <c:pt idx="264">
                  <c:v>46226</c:v>
                </c:pt>
                <c:pt idx="265">
                  <c:v>46227</c:v>
                </c:pt>
                <c:pt idx="266">
                  <c:v>46228</c:v>
                </c:pt>
                <c:pt idx="267">
                  <c:v>46229</c:v>
                </c:pt>
                <c:pt idx="268">
                  <c:v>46230</c:v>
                </c:pt>
                <c:pt idx="269">
                  <c:v>46231</c:v>
                </c:pt>
                <c:pt idx="270">
                  <c:v>46232</c:v>
                </c:pt>
                <c:pt idx="271">
                  <c:v>46233</c:v>
                </c:pt>
                <c:pt idx="272">
                  <c:v>46234</c:v>
                </c:pt>
                <c:pt idx="273">
                  <c:v>46235</c:v>
                </c:pt>
                <c:pt idx="274">
                  <c:v>46236</c:v>
                </c:pt>
                <c:pt idx="275">
                  <c:v>46237</c:v>
                </c:pt>
                <c:pt idx="276">
                  <c:v>46238</c:v>
                </c:pt>
                <c:pt idx="277">
                  <c:v>46239</c:v>
                </c:pt>
                <c:pt idx="278">
                  <c:v>46240</c:v>
                </c:pt>
                <c:pt idx="279">
                  <c:v>46241</c:v>
                </c:pt>
                <c:pt idx="280">
                  <c:v>46242</c:v>
                </c:pt>
                <c:pt idx="281">
                  <c:v>46243</c:v>
                </c:pt>
                <c:pt idx="282">
                  <c:v>46244</c:v>
                </c:pt>
                <c:pt idx="283">
                  <c:v>46245</c:v>
                </c:pt>
                <c:pt idx="284">
                  <c:v>46246</c:v>
                </c:pt>
                <c:pt idx="285">
                  <c:v>46247</c:v>
                </c:pt>
                <c:pt idx="286">
                  <c:v>46248</c:v>
                </c:pt>
                <c:pt idx="287">
                  <c:v>46249</c:v>
                </c:pt>
                <c:pt idx="288">
                  <c:v>46250</c:v>
                </c:pt>
                <c:pt idx="289">
                  <c:v>46251</c:v>
                </c:pt>
                <c:pt idx="290">
                  <c:v>46252</c:v>
                </c:pt>
                <c:pt idx="291">
                  <c:v>46253</c:v>
                </c:pt>
                <c:pt idx="292">
                  <c:v>46254</c:v>
                </c:pt>
                <c:pt idx="293">
                  <c:v>46255</c:v>
                </c:pt>
                <c:pt idx="294">
                  <c:v>46256</c:v>
                </c:pt>
                <c:pt idx="295">
                  <c:v>46257</c:v>
                </c:pt>
                <c:pt idx="296">
                  <c:v>46258</c:v>
                </c:pt>
                <c:pt idx="297">
                  <c:v>46259</c:v>
                </c:pt>
                <c:pt idx="298">
                  <c:v>46260</c:v>
                </c:pt>
                <c:pt idx="299">
                  <c:v>46261</c:v>
                </c:pt>
                <c:pt idx="300">
                  <c:v>46262</c:v>
                </c:pt>
                <c:pt idx="301">
                  <c:v>46263</c:v>
                </c:pt>
                <c:pt idx="302">
                  <c:v>46264</c:v>
                </c:pt>
                <c:pt idx="303">
                  <c:v>46265</c:v>
                </c:pt>
                <c:pt idx="304">
                  <c:v>46266</c:v>
                </c:pt>
                <c:pt idx="305">
                  <c:v>46267</c:v>
                </c:pt>
                <c:pt idx="306">
                  <c:v>46268</c:v>
                </c:pt>
                <c:pt idx="307">
                  <c:v>46269</c:v>
                </c:pt>
                <c:pt idx="308">
                  <c:v>46270</c:v>
                </c:pt>
                <c:pt idx="309">
                  <c:v>46271</c:v>
                </c:pt>
                <c:pt idx="310">
                  <c:v>46272</c:v>
                </c:pt>
                <c:pt idx="311">
                  <c:v>46273</c:v>
                </c:pt>
                <c:pt idx="312">
                  <c:v>46274</c:v>
                </c:pt>
                <c:pt idx="313">
                  <c:v>46275</c:v>
                </c:pt>
                <c:pt idx="314">
                  <c:v>46276</c:v>
                </c:pt>
                <c:pt idx="315">
                  <c:v>46277</c:v>
                </c:pt>
                <c:pt idx="316">
                  <c:v>46278</c:v>
                </c:pt>
                <c:pt idx="317">
                  <c:v>46279</c:v>
                </c:pt>
                <c:pt idx="318">
                  <c:v>46280</c:v>
                </c:pt>
                <c:pt idx="319">
                  <c:v>46281</c:v>
                </c:pt>
                <c:pt idx="320">
                  <c:v>46282</c:v>
                </c:pt>
                <c:pt idx="321">
                  <c:v>46283</c:v>
                </c:pt>
                <c:pt idx="322">
                  <c:v>46284</c:v>
                </c:pt>
                <c:pt idx="323">
                  <c:v>46285</c:v>
                </c:pt>
                <c:pt idx="324">
                  <c:v>46286</c:v>
                </c:pt>
                <c:pt idx="325">
                  <c:v>46287</c:v>
                </c:pt>
                <c:pt idx="326">
                  <c:v>46288</c:v>
                </c:pt>
                <c:pt idx="327">
                  <c:v>46289</c:v>
                </c:pt>
                <c:pt idx="328">
                  <c:v>46290</c:v>
                </c:pt>
                <c:pt idx="329">
                  <c:v>46291</c:v>
                </c:pt>
                <c:pt idx="330">
                  <c:v>46292</c:v>
                </c:pt>
                <c:pt idx="331">
                  <c:v>46293</c:v>
                </c:pt>
                <c:pt idx="332">
                  <c:v>46294</c:v>
                </c:pt>
                <c:pt idx="333">
                  <c:v>46295</c:v>
                </c:pt>
                <c:pt idx="334">
                  <c:v>46296</c:v>
                </c:pt>
                <c:pt idx="335">
                  <c:v>46297</c:v>
                </c:pt>
                <c:pt idx="336">
                  <c:v>46298</c:v>
                </c:pt>
                <c:pt idx="337">
                  <c:v>46299</c:v>
                </c:pt>
                <c:pt idx="338">
                  <c:v>46300</c:v>
                </c:pt>
                <c:pt idx="339">
                  <c:v>46301</c:v>
                </c:pt>
                <c:pt idx="340">
                  <c:v>46302</c:v>
                </c:pt>
                <c:pt idx="341">
                  <c:v>46303</c:v>
                </c:pt>
                <c:pt idx="342">
                  <c:v>46304</c:v>
                </c:pt>
                <c:pt idx="343">
                  <c:v>46305</c:v>
                </c:pt>
                <c:pt idx="344">
                  <c:v>46306</c:v>
                </c:pt>
                <c:pt idx="345">
                  <c:v>46307</c:v>
                </c:pt>
                <c:pt idx="346">
                  <c:v>46308</c:v>
                </c:pt>
                <c:pt idx="347">
                  <c:v>46309</c:v>
                </c:pt>
                <c:pt idx="348">
                  <c:v>46310</c:v>
                </c:pt>
                <c:pt idx="349">
                  <c:v>46311</c:v>
                </c:pt>
                <c:pt idx="350">
                  <c:v>46312</c:v>
                </c:pt>
                <c:pt idx="351">
                  <c:v>46313</c:v>
                </c:pt>
                <c:pt idx="352">
                  <c:v>46314</c:v>
                </c:pt>
                <c:pt idx="353">
                  <c:v>46315</c:v>
                </c:pt>
                <c:pt idx="354">
                  <c:v>46316</c:v>
                </c:pt>
                <c:pt idx="355">
                  <c:v>46317</c:v>
                </c:pt>
                <c:pt idx="356">
                  <c:v>46318</c:v>
                </c:pt>
                <c:pt idx="357">
                  <c:v>46319</c:v>
                </c:pt>
                <c:pt idx="358">
                  <c:v>46320</c:v>
                </c:pt>
                <c:pt idx="359">
                  <c:v>46321</c:v>
                </c:pt>
                <c:pt idx="360">
                  <c:v>46322</c:v>
                </c:pt>
                <c:pt idx="361">
                  <c:v>46323</c:v>
                </c:pt>
                <c:pt idx="362">
                  <c:v>46324</c:v>
                </c:pt>
                <c:pt idx="363">
                  <c:v>46325</c:v>
                </c:pt>
                <c:pt idx="364">
                  <c:v>46326</c:v>
                </c:pt>
                <c:pt idx="365">
                  <c:v>46327</c:v>
                </c:pt>
                <c:pt idx="366">
                  <c:v>46328</c:v>
                </c:pt>
                <c:pt idx="367">
                  <c:v>46329</c:v>
                </c:pt>
                <c:pt idx="368">
                  <c:v>46330</c:v>
                </c:pt>
                <c:pt idx="369">
                  <c:v>46331</c:v>
                </c:pt>
                <c:pt idx="370">
                  <c:v>46332</c:v>
                </c:pt>
                <c:pt idx="371">
                  <c:v>46333</c:v>
                </c:pt>
                <c:pt idx="372">
                  <c:v>46334</c:v>
                </c:pt>
                <c:pt idx="373">
                  <c:v>46335</c:v>
                </c:pt>
                <c:pt idx="374">
                  <c:v>46336</c:v>
                </c:pt>
                <c:pt idx="375">
                  <c:v>46337</c:v>
                </c:pt>
                <c:pt idx="376">
                  <c:v>46338</c:v>
                </c:pt>
                <c:pt idx="377">
                  <c:v>46339</c:v>
                </c:pt>
                <c:pt idx="378">
                  <c:v>46340</c:v>
                </c:pt>
                <c:pt idx="379">
                  <c:v>46341</c:v>
                </c:pt>
                <c:pt idx="380">
                  <c:v>46342</c:v>
                </c:pt>
                <c:pt idx="381">
                  <c:v>46343</c:v>
                </c:pt>
                <c:pt idx="382">
                  <c:v>46344</c:v>
                </c:pt>
                <c:pt idx="383">
                  <c:v>46345</c:v>
                </c:pt>
                <c:pt idx="384">
                  <c:v>46346</c:v>
                </c:pt>
                <c:pt idx="385">
                  <c:v>46347</c:v>
                </c:pt>
                <c:pt idx="386">
                  <c:v>46348</c:v>
                </c:pt>
                <c:pt idx="387">
                  <c:v>46349</c:v>
                </c:pt>
                <c:pt idx="388">
                  <c:v>46350</c:v>
                </c:pt>
                <c:pt idx="389">
                  <c:v>46351</c:v>
                </c:pt>
                <c:pt idx="390">
                  <c:v>46352</c:v>
                </c:pt>
                <c:pt idx="391">
                  <c:v>46353</c:v>
                </c:pt>
                <c:pt idx="392">
                  <c:v>46354</c:v>
                </c:pt>
                <c:pt idx="393">
                  <c:v>46355</c:v>
                </c:pt>
                <c:pt idx="394">
                  <c:v>46356</c:v>
                </c:pt>
                <c:pt idx="395">
                  <c:v>46357</c:v>
                </c:pt>
                <c:pt idx="396">
                  <c:v>46358</c:v>
                </c:pt>
                <c:pt idx="397">
                  <c:v>46359</c:v>
                </c:pt>
                <c:pt idx="398">
                  <c:v>46360</c:v>
                </c:pt>
                <c:pt idx="399">
                  <c:v>46361</c:v>
                </c:pt>
                <c:pt idx="400">
                  <c:v>46362</c:v>
                </c:pt>
                <c:pt idx="401">
                  <c:v>46363</c:v>
                </c:pt>
                <c:pt idx="402">
                  <c:v>46364</c:v>
                </c:pt>
                <c:pt idx="403">
                  <c:v>46365</c:v>
                </c:pt>
                <c:pt idx="404">
                  <c:v>46366</c:v>
                </c:pt>
                <c:pt idx="405">
                  <c:v>46367</c:v>
                </c:pt>
                <c:pt idx="406">
                  <c:v>46368</c:v>
                </c:pt>
                <c:pt idx="407">
                  <c:v>46369</c:v>
                </c:pt>
                <c:pt idx="408">
                  <c:v>46370</c:v>
                </c:pt>
                <c:pt idx="409">
                  <c:v>46371</c:v>
                </c:pt>
                <c:pt idx="410">
                  <c:v>46372</c:v>
                </c:pt>
                <c:pt idx="411">
                  <c:v>46373</c:v>
                </c:pt>
                <c:pt idx="412">
                  <c:v>46374</c:v>
                </c:pt>
                <c:pt idx="413">
                  <c:v>46375</c:v>
                </c:pt>
                <c:pt idx="414">
                  <c:v>46376</c:v>
                </c:pt>
                <c:pt idx="415">
                  <c:v>46377</c:v>
                </c:pt>
                <c:pt idx="416">
                  <c:v>46378</c:v>
                </c:pt>
                <c:pt idx="417">
                  <c:v>46379</c:v>
                </c:pt>
                <c:pt idx="418">
                  <c:v>46380</c:v>
                </c:pt>
                <c:pt idx="419">
                  <c:v>46381</c:v>
                </c:pt>
                <c:pt idx="420">
                  <c:v>46382</c:v>
                </c:pt>
                <c:pt idx="421">
                  <c:v>46383</c:v>
                </c:pt>
                <c:pt idx="422">
                  <c:v>46384</c:v>
                </c:pt>
                <c:pt idx="423">
                  <c:v>46385</c:v>
                </c:pt>
                <c:pt idx="424">
                  <c:v>46386</c:v>
                </c:pt>
                <c:pt idx="425">
                  <c:v>46387</c:v>
                </c:pt>
                <c:pt idx="426">
                  <c:v>46388</c:v>
                </c:pt>
                <c:pt idx="427">
                  <c:v>46389</c:v>
                </c:pt>
                <c:pt idx="428">
                  <c:v>46390</c:v>
                </c:pt>
                <c:pt idx="429">
                  <c:v>46391</c:v>
                </c:pt>
                <c:pt idx="430">
                  <c:v>46392</c:v>
                </c:pt>
                <c:pt idx="431">
                  <c:v>46393</c:v>
                </c:pt>
                <c:pt idx="432">
                  <c:v>46394</c:v>
                </c:pt>
                <c:pt idx="433">
                  <c:v>46395</c:v>
                </c:pt>
                <c:pt idx="434">
                  <c:v>46396</c:v>
                </c:pt>
                <c:pt idx="435">
                  <c:v>46397</c:v>
                </c:pt>
                <c:pt idx="436">
                  <c:v>46398</c:v>
                </c:pt>
                <c:pt idx="437">
                  <c:v>46399</c:v>
                </c:pt>
                <c:pt idx="438">
                  <c:v>46400</c:v>
                </c:pt>
                <c:pt idx="439">
                  <c:v>46401</c:v>
                </c:pt>
                <c:pt idx="440">
                  <c:v>46402</c:v>
                </c:pt>
                <c:pt idx="441">
                  <c:v>46403</c:v>
                </c:pt>
                <c:pt idx="442">
                  <c:v>46404</c:v>
                </c:pt>
                <c:pt idx="443">
                  <c:v>46405</c:v>
                </c:pt>
                <c:pt idx="444">
                  <c:v>46406</c:v>
                </c:pt>
                <c:pt idx="445">
                  <c:v>46407</c:v>
                </c:pt>
                <c:pt idx="446">
                  <c:v>46408</c:v>
                </c:pt>
                <c:pt idx="447">
                  <c:v>46409</c:v>
                </c:pt>
                <c:pt idx="448">
                  <c:v>46410</c:v>
                </c:pt>
                <c:pt idx="449">
                  <c:v>46411</c:v>
                </c:pt>
                <c:pt idx="450">
                  <c:v>46412</c:v>
                </c:pt>
                <c:pt idx="451">
                  <c:v>46413</c:v>
                </c:pt>
                <c:pt idx="452">
                  <c:v>46414</c:v>
                </c:pt>
                <c:pt idx="453">
                  <c:v>46415</c:v>
                </c:pt>
                <c:pt idx="454">
                  <c:v>46416</c:v>
                </c:pt>
                <c:pt idx="455">
                  <c:v>46417</c:v>
                </c:pt>
                <c:pt idx="456">
                  <c:v>46418</c:v>
                </c:pt>
                <c:pt idx="457">
                  <c:v>46419</c:v>
                </c:pt>
                <c:pt idx="458">
                  <c:v>46420</c:v>
                </c:pt>
                <c:pt idx="459">
                  <c:v>46421</c:v>
                </c:pt>
                <c:pt idx="460">
                  <c:v>46422</c:v>
                </c:pt>
                <c:pt idx="461">
                  <c:v>46423</c:v>
                </c:pt>
                <c:pt idx="462">
                  <c:v>46424</c:v>
                </c:pt>
                <c:pt idx="463">
                  <c:v>46425</c:v>
                </c:pt>
                <c:pt idx="464">
                  <c:v>46426</c:v>
                </c:pt>
                <c:pt idx="465">
                  <c:v>46427</c:v>
                </c:pt>
                <c:pt idx="466">
                  <c:v>46428</c:v>
                </c:pt>
                <c:pt idx="467">
                  <c:v>46429</c:v>
                </c:pt>
                <c:pt idx="468">
                  <c:v>46430</c:v>
                </c:pt>
                <c:pt idx="469">
                  <c:v>46431</c:v>
                </c:pt>
                <c:pt idx="470">
                  <c:v>46432</c:v>
                </c:pt>
                <c:pt idx="471">
                  <c:v>46433</c:v>
                </c:pt>
                <c:pt idx="472">
                  <c:v>46434</c:v>
                </c:pt>
                <c:pt idx="473">
                  <c:v>46435</c:v>
                </c:pt>
                <c:pt idx="474">
                  <c:v>46436</c:v>
                </c:pt>
                <c:pt idx="475">
                  <c:v>46437</c:v>
                </c:pt>
                <c:pt idx="476">
                  <c:v>46438</c:v>
                </c:pt>
                <c:pt idx="477">
                  <c:v>46439</c:v>
                </c:pt>
                <c:pt idx="478">
                  <c:v>46440</c:v>
                </c:pt>
                <c:pt idx="479">
                  <c:v>46441</c:v>
                </c:pt>
                <c:pt idx="480">
                  <c:v>46442</c:v>
                </c:pt>
                <c:pt idx="481">
                  <c:v>46443</c:v>
                </c:pt>
                <c:pt idx="482">
                  <c:v>46444</c:v>
                </c:pt>
                <c:pt idx="483">
                  <c:v>46445</c:v>
                </c:pt>
                <c:pt idx="484">
                  <c:v>46446</c:v>
                </c:pt>
                <c:pt idx="485">
                  <c:v>46447</c:v>
                </c:pt>
                <c:pt idx="486">
                  <c:v>46448</c:v>
                </c:pt>
                <c:pt idx="487">
                  <c:v>46449</c:v>
                </c:pt>
                <c:pt idx="488">
                  <c:v>46450</c:v>
                </c:pt>
                <c:pt idx="489">
                  <c:v>46451</c:v>
                </c:pt>
                <c:pt idx="490">
                  <c:v>46452</c:v>
                </c:pt>
                <c:pt idx="491">
                  <c:v>46453</c:v>
                </c:pt>
                <c:pt idx="492">
                  <c:v>46454</c:v>
                </c:pt>
                <c:pt idx="493">
                  <c:v>46455</c:v>
                </c:pt>
                <c:pt idx="494">
                  <c:v>46456</c:v>
                </c:pt>
                <c:pt idx="495">
                  <c:v>46457</c:v>
                </c:pt>
                <c:pt idx="496">
                  <c:v>46458</c:v>
                </c:pt>
                <c:pt idx="497">
                  <c:v>46459</c:v>
                </c:pt>
                <c:pt idx="498">
                  <c:v>46460</c:v>
                </c:pt>
              </c:numCache>
            </c:numRef>
          </c:cat>
          <c:val>
            <c:numRef>
              <c:f>EV!$B$2:$B$335</c:f>
              <c:numCache>
                <c:formatCode>d\-mmm</c:formatCode>
                <c:ptCount val="334"/>
                <c:pt idx="51" formatCode="0.00E+00">
                  <c:v>12000000</c:v>
                </c:pt>
                <c:pt idx="52" formatCode="0.00E+00">
                  <c:v>12000000</c:v>
                </c:pt>
                <c:pt idx="53" formatCode="0.00E+00">
                  <c:v>12000000</c:v>
                </c:pt>
                <c:pt idx="54" formatCode="0.00E+00">
                  <c:v>12000000</c:v>
                </c:pt>
                <c:pt idx="55" formatCode="0.00E+00">
                  <c:v>12000000</c:v>
                </c:pt>
                <c:pt idx="56" formatCode="0.00E+00">
                  <c:v>12000000</c:v>
                </c:pt>
                <c:pt idx="57" formatCode="0.00E+00">
                  <c:v>12000000</c:v>
                </c:pt>
                <c:pt idx="58" formatCode="0.00E+00">
                  <c:v>12000000</c:v>
                </c:pt>
                <c:pt idx="59" formatCode="0.00E+00">
                  <c:v>12000000</c:v>
                </c:pt>
                <c:pt idx="60" formatCode="0.00E+00">
                  <c:v>12000000</c:v>
                </c:pt>
                <c:pt idx="61" formatCode="0.00E+00">
                  <c:v>12000000</c:v>
                </c:pt>
                <c:pt idx="62" formatCode="0.00E+00">
                  <c:v>12000000</c:v>
                </c:pt>
                <c:pt idx="63" formatCode="0.00E+00">
                  <c:v>12000000</c:v>
                </c:pt>
                <c:pt idx="64" formatCode="0.00E+00">
                  <c:v>12000000</c:v>
                </c:pt>
                <c:pt idx="65" formatCode="0.00E+00">
                  <c:v>12000000</c:v>
                </c:pt>
                <c:pt idx="104" formatCode="0.00E+00">
                  <c:v>12000000</c:v>
                </c:pt>
                <c:pt idx="105" formatCode="0.00E+00">
                  <c:v>12000000</c:v>
                </c:pt>
                <c:pt idx="106" formatCode="0.00E+00">
                  <c:v>12000000</c:v>
                </c:pt>
                <c:pt idx="107" formatCode="0.00E+00">
                  <c:v>12000000</c:v>
                </c:pt>
                <c:pt idx="108" formatCode="0.00E+00">
                  <c:v>12000000</c:v>
                </c:pt>
                <c:pt idx="109" formatCode="0.00E+00">
                  <c:v>12000000</c:v>
                </c:pt>
                <c:pt idx="110" formatCode="0.00E+00">
                  <c:v>12000000</c:v>
                </c:pt>
                <c:pt idx="111" formatCode="0.00E+00">
                  <c:v>12000000</c:v>
                </c:pt>
                <c:pt idx="112" formatCode="0.00E+00">
                  <c:v>12000000</c:v>
                </c:pt>
                <c:pt idx="113" formatCode="0.00E+00">
                  <c:v>12000000</c:v>
                </c:pt>
                <c:pt idx="114" formatCode="0.00E+00">
                  <c:v>12000000</c:v>
                </c:pt>
                <c:pt idx="115" formatCode="0.00E+00">
                  <c:v>12000000</c:v>
                </c:pt>
                <c:pt idx="116" formatCode="0.00E+00">
                  <c:v>12000000</c:v>
                </c:pt>
                <c:pt idx="117" formatCode="0.00E+00">
                  <c:v>12000000</c:v>
                </c:pt>
                <c:pt idx="118" formatCode="0.00E+00">
                  <c:v>12000000</c:v>
                </c:pt>
                <c:pt idx="119" formatCode="0.00E+00">
                  <c:v>12000000</c:v>
                </c:pt>
                <c:pt idx="120" formatCode="0.00E+00">
                  <c:v>12000000</c:v>
                </c:pt>
                <c:pt idx="121" formatCode="0.00E+00">
                  <c:v>12000000</c:v>
                </c:pt>
                <c:pt idx="122" formatCode="0.00E+00">
                  <c:v>12000000</c:v>
                </c:pt>
                <c:pt idx="123" formatCode="0.00E+00">
                  <c:v>12000000</c:v>
                </c:pt>
                <c:pt idx="124" formatCode="0.00E+00">
                  <c:v>12000000</c:v>
                </c:pt>
                <c:pt idx="125" formatCode="0.00E+00">
                  <c:v>12000000</c:v>
                </c:pt>
                <c:pt idx="126" formatCode="0.00E+00">
                  <c:v>12000000</c:v>
                </c:pt>
                <c:pt idx="127" formatCode="0.00E+00">
                  <c:v>12000000</c:v>
                </c:pt>
                <c:pt idx="128" formatCode="0.00E+00">
                  <c:v>12000000</c:v>
                </c:pt>
                <c:pt idx="129" formatCode="0.00E+00">
                  <c:v>12000000</c:v>
                </c:pt>
                <c:pt idx="130" formatCode="0.00E+00">
                  <c:v>12000000</c:v>
                </c:pt>
                <c:pt idx="131" formatCode="0.00E+00">
                  <c:v>12000000</c:v>
                </c:pt>
                <c:pt idx="132" formatCode="0.00E+00">
                  <c:v>12000000</c:v>
                </c:pt>
                <c:pt idx="133" formatCode="0.00E+00">
                  <c:v>12000000</c:v>
                </c:pt>
                <c:pt idx="134" formatCode="0.00E+00">
                  <c:v>12000000</c:v>
                </c:pt>
                <c:pt idx="135" formatCode="0.00E+00">
                  <c:v>12000000</c:v>
                </c:pt>
                <c:pt idx="136" formatCode="0.00E+00">
                  <c:v>12000000</c:v>
                </c:pt>
                <c:pt idx="137" formatCode="0.00E+00">
                  <c:v>12000000</c:v>
                </c:pt>
                <c:pt idx="138" formatCode="0.00E+00">
                  <c:v>12000000</c:v>
                </c:pt>
                <c:pt idx="139" formatCode="0.00E+00">
                  <c:v>12000000</c:v>
                </c:pt>
                <c:pt idx="140" formatCode="0.00E+00">
                  <c:v>12000000</c:v>
                </c:pt>
                <c:pt idx="141" formatCode="0.00E+00">
                  <c:v>12000000</c:v>
                </c:pt>
                <c:pt idx="142" formatCode="0.00E+00">
                  <c:v>12000000</c:v>
                </c:pt>
                <c:pt idx="143" formatCode="0.00E+00">
                  <c:v>12000000</c:v>
                </c:pt>
                <c:pt idx="144" formatCode="0.00E+00">
                  <c:v>12000000</c:v>
                </c:pt>
                <c:pt idx="145" formatCode="0.00E+00">
                  <c:v>12000000</c:v>
                </c:pt>
                <c:pt idx="146" formatCode="0.00E+00">
                  <c:v>12000000</c:v>
                </c:pt>
                <c:pt idx="147" formatCode="0.00E+00">
                  <c:v>12000000</c:v>
                </c:pt>
                <c:pt idx="148" formatCode="0.00E+00">
                  <c:v>12000000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5EE-41A9-A98D-F032DC47A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88885264"/>
        <c:axId val="588885744"/>
      </c:barChart>
      <c:scatterChart>
        <c:scatterStyle val="lineMarker"/>
        <c:varyColors val="0"/>
        <c:ser>
          <c:idx val="2"/>
          <c:order val="0"/>
          <c:tx>
            <c:strRef>
              <c:f>EV!$J$1</c:f>
              <c:strCache>
                <c:ptCount val="1"/>
                <c:pt idx="0">
                  <c:v>EV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EV!$A$2:$A$500</c:f>
              <c:numCache>
                <c:formatCode>d\-mmm</c:formatCode>
                <c:ptCount val="49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  <c:pt idx="30">
                  <c:v>45992</c:v>
                </c:pt>
                <c:pt idx="31">
                  <c:v>45993</c:v>
                </c:pt>
                <c:pt idx="32">
                  <c:v>45994</c:v>
                </c:pt>
                <c:pt idx="33">
                  <c:v>45995</c:v>
                </c:pt>
                <c:pt idx="34">
                  <c:v>45996</c:v>
                </c:pt>
                <c:pt idx="35">
                  <c:v>45997</c:v>
                </c:pt>
                <c:pt idx="36">
                  <c:v>45998</c:v>
                </c:pt>
                <c:pt idx="37">
                  <c:v>45999</c:v>
                </c:pt>
                <c:pt idx="38">
                  <c:v>46000</c:v>
                </c:pt>
                <c:pt idx="39">
                  <c:v>46001</c:v>
                </c:pt>
                <c:pt idx="40">
                  <c:v>46002</c:v>
                </c:pt>
                <c:pt idx="41">
                  <c:v>46003</c:v>
                </c:pt>
                <c:pt idx="42">
                  <c:v>46004</c:v>
                </c:pt>
                <c:pt idx="43">
                  <c:v>46005</c:v>
                </c:pt>
                <c:pt idx="44">
                  <c:v>46006</c:v>
                </c:pt>
                <c:pt idx="45">
                  <c:v>46007</c:v>
                </c:pt>
                <c:pt idx="46">
                  <c:v>46008</c:v>
                </c:pt>
                <c:pt idx="47">
                  <c:v>46009</c:v>
                </c:pt>
                <c:pt idx="48">
                  <c:v>46010</c:v>
                </c:pt>
                <c:pt idx="49">
                  <c:v>46011</c:v>
                </c:pt>
                <c:pt idx="50">
                  <c:v>46012</c:v>
                </c:pt>
                <c:pt idx="51">
                  <c:v>46013</c:v>
                </c:pt>
                <c:pt idx="52">
                  <c:v>46014</c:v>
                </c:pt>
                <c:pt idx="53">
                  <c:v>46015</c:v>
                </c:pt>
                <c:pt idx="54">
                  <c:v>46016</c:v>
                </c:pt>
                <c:pt idx="55">
                  <c:v>46017</c:v>
                </c:pt>
                <c:pt idx="56">
                  <c:v>46018</c:v>
                </c:pt>
                <c:pt idx="57">
                  <c:v>46019</c:v>
                </c:pt>
                <c:pt idx="58">
                  <c:v>46020</c:v>
                </c:pt>
                <c:pt idx="59">
                  <c:v>46021</c:v>
                </c:pt>
                <c:pt idx="60">
                  <c:v>46022</c:v>
                </c:pt>
                <c:pt idx="61">
                  <c:v>46023</c:v>
                </c:pt>
                <c:pt idx="62">
                  <c:v>46024</c:v>
                </c:pt>
                <c:pt idx="63">
                  <c:v>46025</c:v>
                </c:pt>
                <c:pt idx="64">
                  <c:v>46026</c:v>
                </c:pt>
                <c:pt idx="65">
                  <c:v>46027</c:v>
                </c:pt>
                <c:pt idx="66">
                  <c:v>46028</c:v>
                </c:pt>
                <c:pt idx="67">
                  <c:v>46029</c:v>
                </c:pt>
                <c:pt idx="68">
                  <c:v>46030</c:v>
                </c:pt>
                <c:pt idx="69">
                  <c:v>46031</c:v>
                </c:pt>
                <c:pt idx="70">
                  <c:v>46032</c:v>
                </c:pt>
                <c:pt idx="71">
                  <c:v>46033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46039</c:v>
                </c:pt>
                <c:pt idx="78">
                  <c:v>46040</c:v>
                </c:pt>
                <c:pt idx="79">
                  <c:v>46041</c:v>
                </c:pt>
                <c:pt idx="80">
                  <c:v>46042</c:v>
                </c:pt>
                <c:pt idx="81">
                  <c:v>46043</c:v>
                </c:pt>
                <c:pt idx="82">
                  <c:v>46044</c:v>
                </c:pt>
                <c:pt idx="83">
                  <c:v>46045</c:v>
                </c:pt>
                <c:pt idx="84">
                  <c:v>46046</c:v>
                </c:pt>
                <c:pt idx="85">
                  <c:v>46047</c:v>
                </c:pt>
                <c:pt idx="86">
                  <c:v>46048</c:v>
                </c:pt>
                <c:pt idx="87">
                  <c:v>46049</c:v>
                </c:pt>
                <c:pt idx="88">
                  <c:v>46050</c:v>
                </c:pt>
                <c:pt idx="89">
                  <c:v>46051</c:v>
                </c:pt>
                <c:pt idx="90">
                  <c:v>46052</c:v>
                </c:pt>
                <c:pt idx="91">
                  <c:v>46053</c:v>
                </c:pt>
                <c:pt idx="92">
                  <c:v>46054</c:v>
                </c:pt>
                <c:pt idx="93">
                  <c:v>46055</c:v>
                </c:pt>
                <c:pt idx="94">
                  <c:v>46056</c:v>
                </c:pt>
                <c:pt idx="95">
                  <c:v>46057</c:v>
                </c:pt>
                <c:pt idx="96">
                  <c:v>46058</c:v>
                </c:pt>
                <c:pt idx="97">
                  <c:v>46059</c:v>
                </c:pt>
                <c:pt idx="98">
                  <c:v>46060</c:v>
                </c:pt>
                <c:pt idx="99">
                  <c:v>46061</c:v>
                </c:pt>
                <c:pt idx="100">
                  <c:v>46062</c:v>
                </c:pt>
                <c:pt idx="101">
                  <c:v>46063</c:v>
                </c:pt>
                <c:pt idx="102">
                  <c:v>46064</c:v>
                </c:pt>
                <c:pt idx="103">
                  <c:v>46065</c:v>
                </c:pt>
                <c:pt idx="104">
                  <c:v>46066</c:v>
                </c:pt>
                <c:pt idx="105">
                  <c:v>46067</c:v>
                </c:pt>
                <c:pt idx="106">
                  <c:v>46068</c:v>
                </c:pt>
                <c:pt idx="107">
                  <c:v>46069</c:v>
                </c:pt>
                <c:pt idx="108">
                  <c:v>46070</c:v>
                </c:pt>
                <c:pt idx="109">
                  <c:v>46071</c:v>
                </c:pt>
                <c:pt idx="110">
                  <c:v>46072</c:v>
                </c:pt>
                <c:pt idx="111">
                  <c:v>46073</c:v>
                </c:pt>
                <c:pt idx="112">
                  <c:v>46074</c:v>
                </c:pt>
                <c:pt idx="113">
                  <c:v>46075</c:v>
                </c:pt>
                <c:pt idx="114">
                  <c:v>46076</c:v>
                </c:pt>
                <c:pt idx="115">
                  <c:v>46077</c:v>
                </c:pt>
                <c:pt idx="116">
                  <c:v>46078</c:v>
                </c:pt>
                <c:pt idx="117">
                  <c:v>46079</c:v>
                </c:pt>
                <c:pt idx="118">
                  <c:v>46080</c:v>
                </c:pt>
                <c:pt idx="119">
                  <c:v>46081</c:v>
                </c:pt>
                <c:pt idx="120">
                  <c:v>46082</c:v>
                </c:pt>
                <c:pt idx="121">
                  <c:v>46083</c:v>
                </c:pt>
                <c:pt idx="122">
                  <c:v>46084</c:v>
                </c:pt>
                <c:pt idx="123">
                  <c:v>46085</c:v>
                </c:pt>
                <c:pt idx="124">
                  <c:v>46086</c:v>
                </c:pt>
                <c:pt idx="125">
                  <c:v>46087</c:v>
                </c:pt>
                <c:pt idx="126">
                  <c:v>46088</c:v>
                </c:pt>
                <c:pt idx="127">
                  <c:v>46089</c:v>
                </c:pt>
                <c:pt idx="128">
                  <c:v>46090</c:v>
                </c:pt>
                <c:pt idx="129">
                  <c:v>46091</c:v>
                </c:pt>
                <c:pt idx="130">
                  <c:v>46092</c:v>
                </c:pt>
                <c:pt idx="131">
                  <c:v>46093</c:v>
                </c:pt>
                <c:pt idx="132">
                  <c:v>46094</c:v>
                </c:pt>
                <c:pt idx="133">
                  <c:v>46095</c:v>
                </c:pt>
                <c:pt idx="134">
                  <c:v>46096</c:v>
                </c:pt>
                <c:pt idx="135">
                  <c:v>46097</c:v>
                </c:pt>
                <c:pt idx="136">
                  <c:v>46098</c:v>
                </c:pt>
                <c:pt idx="137">
                  <c:v>46099</c:v>
                </c:pt>
                <c:pt idx="138">
                  <c:v>46100</c:v>
                </c:pt>
                <c:pt idx="139">
                  <c:v>46101</c:v>
                </c:pt>
                <c:pt idx="140">
                  <c:v>46102</c:v>
                </c:pt>
                <c:pt idx="141">
                  <c:v>46103</c:v>
                </c:pt>
                <c:pt idx="142">
                  <c:v>46104</c:v>
                </c:pt>
                <c:pt idx="143">
                  <c:v>46105</c:v>
                </c:pt>
                <c:pt idx="144">
                  <c:v>46106</c:v>
                </c:pt>
                <c:pt idx="145">
                  <c:v>46107</c:v>
                </c:pt>
                <c:pt idx="146">
                  <c:v>46108</c:v>
                </c:pt>
                <c:pt idx="147">
                  <c:v>46109</c:v>
                </c:pt>
                <c:pt idx="148">
                  <c:v>46110</c:v>
                </c:pt>
                <c:pt idx="149">
                  <c:v>46111</c:v>
                </c:pt>
                <c:pt idx="150">
                  <c:v>46112</c:v>
                </c:pt>
                <c:pt idx="151">
                  <c:v>46113</c:v>
                </c:pt>
                <c:pt idx="152">
                  <c:v>46114</c:v>
                </c:pt>
                <c:pt idx="153">
                  <c:v>46115</c:v>
                </c:pt>
                <c:pt idx="154">
                  <c:v>46116</c:v>
                </c:pt>
                <c:pt idx="155">
                  <c:v>46117</c:v>
                </c:pt>
                <c:pt idx="156">
                  <c:v>46118</c:v>
                </c:pt>
                <c:pt idx="157">
                  <c:v>46119</c:v>
                </c:pt>
                <c:pt idx="158">
                  <c:v>46120</c:v>
                </c:pt>
                <c:pt idx="159">
                  <c:v>46121</c:v>
                </c:pt>
                <c:pt idx="160">
                  <c:v>46122</c:v>
                </c:pt>
                <c:pt idx="161">
                  <c:v>46123</c:v>
                </c:pt>
                <c:pt idx="162">
                  <c:v>46124</c:v>
                </c:pt>
                <c:pt idx="163">
                  <c:v>46125</c:v>
                </c:pt>
                <c:pt idx="164">
                  <c:v>46126</c:v>
                </c:pt>
                <c:pt idx="165">
                  <c:v>46127</c:v>
                </c:pt>
                <c:pt idx="166">
                  <c:v>46128</c:v>
                </c:pt>
                <c:pt idx="167">
                  <c:v>46129</c:v>
                </c:pt>
                <c:pt idx="168">
                  <c:v>46130</c:v>
                </c:pt>
                <c:pt idx="169">
                  <c:v>46131</c:v>
                </c:pt>
                <c:pt idx="170">
                  <c:v>46132</c:v>
                </c:pt>
                <c:pt idx="171">
                  <c:v>46133</c:v>
                </c:pt>
                <c:pt idx="172">
                  <c:v>46134</c:v>
                </c:pt>
                <c:pt idx="173">
                  <c:v>46135</c:v>
                </c:pt>
                <c:pt idx="174">
                  <c:v>46136</c:v>
                </c:pt>
                <c:pt idx="175">
                  <c:v>46137</c:v>
                </c:pt>
                <c:pt idx="176">
                  <c:v>46138</c:v>
                </c:pt>
                <c:pt idx="177">
                  <c:v>46139</c:v>
                </c:pt>
                <c:pt idx="178">
                  <c:v>46140</c:v>
                </c:pt>
                <c:pt idx="179">
                  <c:v>46141</c:v>
                </c:pt>
                <c:pt idx="180">
                  <c:v>46142</c:v>
                </c:pt>
                <c:pt idx="181">
                  <c:v>46143</c:v>
                </c:pt>
                <c:pt idx="182">
                  <c:v>46144</c:v>
                </c:pt>
                <c:pt idx="183">
                  <c:v>46145</c:v>
                </c:pt>
                <c:pt idx="184">
                  <c:v>46146</c:v>
                </c:pt>
                <c:pt idx="185">
                  <c:v>46147</c:v>
                </c:pt>
                <c:pt idx="186">
                  <c:v>46148</c:v>
                </c:pt>
                <c:pt idx="187">
                  <c:v>46149</c:v>
                </c:pt>
                <c:pt idx="188">
                  <c:v>46150</c:v>
                </c:pt>
                <c:pt idx="189">
                  <c:v>46151</c:v>
                </c:pt>
                <c:pt idx="190">
                  <c:v>46152</c:v>
                </c:pt>
                <c:pt idx="191">
                  <c:v>46153</c:v>
                </c:pt>
                <c:pt idx="192">
                  <c:v>46154</c:v>
                </c:pt>
                <c:pt idx="193">
                  <c:v>46155</c:v>
                </c:pt>
                <c:pt idx="194">
                  <c:v>46156</c:v>
                </c:pt>
                <c:pt idx="195">
                  <c:v>46157</c:v>
                </c:pt>
                <c:pt idx="196">
                  <c:v>46158</c:v>
                </c:pt>
                <c:pt idx="197">
                  <c:v>46159</c:v>
                </c:pt>
                <c:pt idx="198">
                  <c:v>46160</c:v>
                </c:pt>
                <c:pt idx="199">
                  <c:v>46161</c:v>
                </c:pt>
                <c:pt idx="200">
                  <c:v>46162</c:v>
                </c:pt>
                <c:pt idx="201">
                  <c:v>46163</c:v>
                </c:pt>
                <c:pt idx="202">
                  <c:v>46164</c:v>
                </c:pt>
                <c:pt idx="203">
                  <c:v>46165</c:v>
                </c:pt>
                <c:pt idx="204">
                  <c:v>46166</c:v>
                </c:pt>
                <c:pt idx="205">
                  <c:v>46167</c:v>
                </c:pt>
                <c:pt idx="206">
                  <c:v>46168</c:v>
                </c:pt>
                <c:pt idx="207">
                  <c:v>46169</c:v>
                </c:pt>
                <c:pt idx="208">
                  <c:v>46170</c:v>
                </c:pt>
                <c:pt idx="209">
                  <c:v>46171</c:v>
                </c:pt>
                <c:pt idx="210">
                  <c:v>46172</c:v>
                </c:pt>
                <c:pt idx="211">
                  <c:v>46173</c:v>
                </c:pt>
                <c:pt idx="212">
                  <c:v>46174</c:v>
                </c:pt>
                <c:pt idx="213">
                  <c:v>46175</c:v>
                </c:pt>
                <c:pt idx="214">
                  <c:v>46176</c:v>
                </c:pt>
                <c:pt idx="215">
                  <c:v>46177</c:v>
                </c:pt>
                <c:pt idx="216">
                  <c:v>46178</c:v>
                </c:pt>
                <c:pt idx="217">
                  <c:v>46179</c:v>
                </c:pt>
                <c:pt idx="218">
                  <c:v>46180</c:v>
                </c:pt>
                <c:pt idx="219">
                  <c:v>46181</c:v>
                </c:pt>
                <c:pt idx="220">
                  <c:v>46182</c:v>
                </c:pt>
                <c:pt idx="221">
                  <c:v>46183</c:v>
                </c:pt>
                <c:pt idx="222">
                  <c:v>46184</c:v>
                </c:pt>
                <c:pt idx="223">
                  <c:v>46185</c:v>
                </c:pt>
                <c:pt idx="224">
                  <c:v>46186</c:v>
                </c:pt>
                <c:pt idx="225">
                  <c:v>46187</c:v>
                </c:pt>
                <c:pt idx="226">
                  <c:v>46188</c:v>
                </c:pt>
                <c:pt idx="227">
                  <c:v>46189</c:v>
                </c:pt>
                <c:pt idx="228">
                  <c:v>46190</c:v>
                </c:pt>
                <c:pt idx="229">
                  <c:v>46191</c:v>
                </c:pt>
                <c:pt idx="230">
                  <c:v>46192</c:v>
                </c:pt>
                <c:pt idx="231">
                  <c:v>46193</c:v>
                </c:pt>
                <c:pt idx="232">
                  <c:v>46194</c:v>
                </c:pt>
                <c:pt idx="233">
                  <c:v>46195</c:v>
                </c:pt>
                <c:pt idx="234">
                  <c:v>46196</c:v>
                </c:pt>
                <c:pt idx="235">
                  <c:v>46197</c:v>
                </c:pt>
                <c:pt idx="236">
                  <c:v>46198</c:v>
                </c:pt>
                <c:pt idx="237">
                  <c:v>46199</c:v>
                </c:pt>
                <c:pt idx="238">
                  <c:v>46200</c:v>
                </c:pt>
                <c:pt idx="239">
                  <c:v>46201</c:v>
                </c:pt>
                <c:pt idx="240">
                  <c:v>46202</c:v>
                </c:pt>
                <c:pt idx="241">
                  <c:v>46203</c:v>
                </c:pt>
                <c:pt idx="242">
                  <c:v>46204</c:v>
                </c:pt>
                <c:pt idx="243">
                  <c:v>46205</c:v>
                </c:pt>
                <c:pt idx="244">
                  <c:v>46206</c:v>
                </c:pt>
                <c:pt idx="245">
                  <c:v>46207</c:v>
                </c:pt>
                <c:pt idx="246">
                  <c:v>46208</c:v>
                </c:pt>
                <c:pt idx="247">
                  <c:v>46209</c:v>
                </c:pt>
                <c:pt idx="248">
                  <c:v>46210</c:v>
                </c:pt>
                <c:pt idx="249">
                  <c:v>46211</c:v>
                </c:pt>
                <c:pt idx="250">
                  <c:v>46212</c:v>
                </c:pt>
                <c:pt idx="251">
                  <c:v>46213</c:v>
                </c:pt>
                <c:pt idx="252">
                  <c:v>46214</c:v>
                </c:pt>
                <c:pt idx="253">
                  <c:v>46215</c:v>
                </c:pt>
                <c:pt idx="254">
                  <c:v>46216</c:v>
                </c:pt>
                <c:pt idx="255">
                  <c:v>46217</c:v>
                </c:pt>
                <c:pt idx="256">
                  <c:v>46218</c:v>
                </c:pt>
                <c:pt idx="257">
                  <c:v>46219</c:v>
                </c:pt>
                <c:pt idx="258">
                  <c:v>46220</c:v>
                </c:pt>
                <c:pt idx="259">
                  <c:v>46221</c:v>
                </c:pt>
                <c:pt idx="260">
                  <c:v>46222</c:v>
                </c:pt>
                <c:pt idx="261">
                  <c:v>46223</c:v>
                </c:pt>
                <c:pt idx="262">
                  <c:v>46224</c:v>
                </c:pt>
                <c:pt idx="263">
                  <c:v>46225</c:v>
                </c:pt>
                <c:pt idx="264">
                  <c:v>46226</c:v>
                </c:pt>
                <c:pt idx="265">
                  <c:v>46227</c:v>
                </c:pt>
                <c:pt idx="266">
                  <c:v>46228</c:v>
                </c:pt>
                <c:pt idx="267">
                  <c:v>46229</c:v>
                </c:pt>
                <c:pt idx="268">
                  <c:v>46230</c:v>
                </c:pt>
                <c:pt idx="269">
                  <c:v>46231</c:v>
                </c:pt>
                <c:pt idx="270">
                  <c:v>46232</c:v>
                </c:pt>
                <c:pt idx="271">
                  <c:v>46233</c:v>
                </c:pt>
                <c:pt idx="272">
                  <c:v>46234</c:v>
                </c:pt>
                <c:pt idx="273">
                  <c:v>46235</c:v>
                </c:pt>
                <c:pt idx="274">
                  <c:v>46236</c:v>
                </c:pt>
                <c:pt idx="275">
                  <c:v>46237</c:v>
                </c:pt>
                <c:pt idx="276">
                  <c:v>46238</c:v>
                </c:pt>
                <c:pt idx="277">
                  <c:v>46239</c:v>
                </c:pt>
                <c:pt idx="278">
                  <c:v>46240</c:v>
                </c:pt>
                <c:pt idx="279">
                  <c:v>46241</c:v>
                </c:pt>
                <c:pt idx="280">
                  <c:v>46242</c:v>
                </c:pt>
                <c:pt idx="281">
                  <c:v>46243</c:v>
                </c:pt>
                <c:pt idx="282">
                  <c:v>46244</c:v>
                </c:pt>
                <c:pt idx="283">
                  <c:v>46245</c:v>
                </c:pt>
                <c:pt idx="284">
                  <c:v>46246</c:v>
                </c:pt>
                <c:pt idx="285">
                  <c:v>46247</c:v>
                </c:pt>
                <c:pt idx="286">
                  <c:v>46248</c:v>
                </c:pt>
                <c:pt idx="287">
                  <c:v>46249</c:v>
                </c:pt>
                <c:pt idx="288">
                  <c:v>46250</c:v>
                </c:pt>
                <c:pt idx="289">
                  <c:v>46251</c:v>
                </c:pt>
                <c:pt idx="290">
                  <c:v>46252</c:v>
                </c:pt>
                <c:pt idx="291">
                  <c:v>46253</c:v>
                </c:pt>
                <c:pt idx="292">
                  <c:v>46254</c:v>
                </c:pt>
                <c:pt idx="293">
                  <c:v>46255</c:v>
                </c:pt>
                <c:pt idx="294">
                  <c:v>46256</c:v>
                </c:pt>
                <c:pt idx="295">
                  <c:v>46257</c:v>
                </c:pt>
                <c:pt idx="296">
                  <c:v>46258</c:v>
                </c:pt>
                <c:pt idx="297">
                  <c:v>46259</c:v>
                </c:pt>
                <c:pt idx="298">
                  <c:v>46260</c:v>
                </c:pt>
                <c:pt idx="299">
                  <c:v>46261</c:v>
                </c:pt>
                <c:pt idx="300">
                  <c:v>46262</c:v>
                </c:pt>
                <c:pt idx="301">
                  <c:v>46263</c:v>
                </c:pt>
                <c:pt idx="302">
                  <c:v>46264</c:v>
                </c:pt>
                <c:pt idx="303">
                  <c:v>46265</c:v>
                </c:pt>
                <c:pt idx="304">
                  <c:v>46266</c:v>
                </c:pt>
                <c:pt idx="305">
                  <c:v>46267</c:v>
                </c:pt>
                <c:pt idx="306">
                  <c:v>46268</c:v>
                </c:pt>
                <c:pt idx="307">
                  <c:v>46269</c:v>
                </c:pt>
                <c:pt idx="308">
                  <c:v>46270</c:v>
                </c:pt>
                <c:pt idx="309">
                  <c:v>46271</c:v>
                </c:pt>
                <c:pt idx="310">
                  <c:v>46272</c:v>
                </c:pt>
                <c:pt idx="311">
                  <c:v>46273</c:v>
                </c:pt>
                <c:pt idx="312">
                  <c:v>46274</c:v>
                </c:pt>
                <c:pt idx="313">
                  <c:v>46275</c:v>
                </c:pt>
                <c:pt idx="314">
                  <c:v>46276</c:v>
                </c:pt>
                <c:pt idx="315">
                  <c:v>46277</c:v>
                </c:pt>
                <c:pt idx="316">
                  <c:v>46278</c:v>
                </c:pt>
                <c:pt idx="317">
                  <c:v>46279</c:v>
                </c:pt>
                <c:pt idx="318">
                  <c:v>46280</c:v>
                </c:pt>
                <c:pt idx="319">
                  <c:v>46281</c:v>
                </c:pt>
                <c:pt idx="320">
                  <c:v>46282</c:v>
                </c:pt>
                <c:pt idx="321">
                  <c:v>46283</c:v>
                </c:pt>
                <c:pt idx="322">
                  <c:v>46284</c:v>
                </c:pt>
                <c:pt idx="323">
                  <c:v>46285</c:v>
                </c:pt>
                <c:pt idx="324">
                  <c:v>46286</c:v>
                </c:pt>
                <c:pt idx="325">
                  <c:v>46287</c:v>
                </c:pt>
                <c:pt idx="326">
                  <c:v>46288</c:v>
                </c:pt>
                <c:pt idx="327">
                  <c:v>46289</c:v>
                </c:pt>
                <c:pt idx="328">
                  <c:v>46290</c:v>
                </c:pt>
                <c:pt idx="329">
                  <c:v>46291</c:v>
                </c:pt>
                <c:pt idx="330">
                  <c:v>46292</c:v>
                </c:pt>
                <c:pt idx="331">
                  <c:v>46293</c:v>
                </c:pt>
                <c:pt idx="332">
                  <c:v>46294</c:v>
                </c:pt>
                <c:pt idx="333">
                  <c:v>46295</c:v>
                </c:pt>
                <c:pt idx="334">
                  <c:v>46296</c:v>
                </c:pt>
                <c:pt idx="335">
                  <c:v>46297</c:v>
                </c:pt>
                <c:pt idx="336">
                  <c:v>46298</c:v>
                </c:pt>
                <c:pt idx="337">
                  <c:v>46299</c:v>
                </c:pt>
                <c:pt idx="338">
                  <c:v>46300</c:v>
                </c:pt>
                <c:pt idx="339">
                  <c:v>46301</c:v>
                </c:pt>
                <c:pt idx="340">
                  <c:v>46302</c:v>
                </c:pt>
                <c:pt idx="341">
                  <c:v>46303</c:v>
                </c:pt>
                <c:pt idx="342">
                  <c:v>46304</c:v>
                </c:pt>
                <c:pt idx="343">
                  <c:v>46305</c:v>
                </c:pt>
                <c:pt idx="344">
                  <c:v>46306</c:v>
                </c:pt>
                <c:pt idx="345">
                  <c:v>46307</c:v>
                </c:pt>
                <c:pt idx="346">
                  <c:v>46308</c:v>
                </c:pt>
                <c:pt idx="347">
                  <c:v>46309</c:v>
                </c:pt>
                <c:pt idx="348">
                  <c:v>46310</c:v>
                </c:pt>
                <c:pt idx="349">
                  <c:v>46311</c:v>
                </c:pt>
                <c:pt idx="350">
                  <c:v>46312</c:v>
                </c:pt>
                <c:pt idx="351">
                  <c:v>46313</c:v>
                </c:pt>
                <c:pt idx="352">
                  <c:v>46314</c:v>
                </c:pt>
                <c:pt idx="353">
                  <c:v>46315</c:v>
                </c:pt>
                <c:pt idx="354">
                  <c:v>46316</c:v>
                </c:pt>
                <c:pt idx="355">
                  <c:v>46317</c:v>
                </c:pt>
                <c:pt idx="356">
                  <c:v>46318</c:v>
                </c:pt>
                <c:pt idx="357">
                  <c:v>46319</c:v>
                </c:pt>
                <c:pt idx="358">
                  <c:v>46320</c:v>
                </c:pt>
                <c:pt idx="359">
                  <c:v>46321</c:v>
                </c:pt>
                <c:pt idx="360">
                  <c:v>46322</c:v>
                </c:pt>
                <c:pt idx="361">
                  <c:v>46323</c:v>
                </c:pt>
                <c:pt idx="362">
                  <c:v>46324</c:v>
                </c:pt>
                <c:pt idx="363">
                  <c:v>46325</c:v>
                </c:pt>
                <c:pt idx="364">
                  <c:v>46326</c:v>
                </c:pt>
                <c:pt idx="365">
                  <c:v>46327</c:v>
                </c:pt>
                <c:pt idx="366">
                  <c:v>46328</c:v>
                </c:pt>
                <c:pt idx="367">
                  <c:v>46329</c:v>
                </c:pt>
                <c:pt idx="368">
                  <c:v>46330</c:v>
                </c:pt>
                <c:pt idx="369">
                  <c:v>46331</c:v>
                </c:pt>
                <c:pt idx="370">
                  <c:v>46332</c:v>
                </c:pt>
                <c:pt idx="371">
                  <c:v>46333</c:v>
                </c:pt>
                <c:pt idx="372">
                  <c:v>46334</c:v>
                </c:pt>
                <c:pt idx="373">
                  <c:v>46335</c:v>
                </c:pt>
                <c:pt idx="374">
                  <c:v>46336</c:v>
                </c:pt>
                <c:pt idx="375">
                  <c:v>46337</c:v>
                </c:pt>
                <c:pt idx="376">
                  <c:v>46338</c:v>
                </c:pt>
                <c:pt idx="377">
                  <c:v>46339</c:v>
                </c:pt>
                <c:pt idx="378">
                  <c:v>46340</c:v>
                </c:pt>
                <c:pt idx="379">
                  <c:v>46341</c:v>
                </c:pt>
                <c:pt idx="380">
                  <c:v>46342</c:v>
                </c:pt>
                <c:pt idx="381">
                  <c:v>46343</c:v>
                </c:pt>
                <c:pt idx="382">
                  <c:v>46344</c:v>
                </c:pt>
                <c:pt idx="383">
                  <c:v>46345</c:v>
                </c:pt>
                <c:pt idx="384">
                  <c:v>46346</c:v>
                </c:pt>
                <c:pt idx="385">
                  <c:v>46347</c:v>
                </c:pt>
                <c:pt idx="386">
                  <c:v>46348</c:v>
                </c:pt>
                <c:pt idx="387">
                  <c:v>46349</c:v>
                </c:pt>
                <c:pt idx="388">
                  <c:v>46350</c:v>
                </c:pt>
                <c:pt idx="389">
                  <c:v>46351</c:v>
                </c:pt>
                <c:pt idx="390">
                  <c:v>46352</c:v>
                </c:pt>
                <c:pt idx="391">
                  <c:v>46353</c:v>
                </c:pt>
                <c:pt idx="392">
                  <c:v>46354</c:v>
                </c:pt>
                <c:pt idx="393">
                  <c:v>46355</c:v>
                </c:pt>
                <c:pt idx="394">
                  <c:v>46356</c:v>
                </c:pt>
                <c:pt idx="395">
                  <c:v>46357</c:v>
                </c:pt>
                <c:pt idx="396">
                  <c:v>46358</c:v>
                </c:pt>
                <c:pt idx="397">
                  <c:v>46359</c:v>
                </c:pt>
                <c:pt idx="398">
                  <c:v>46360</c:v>
                </c:pt>
                <c:pt idx="399">
                  <c:v>46361</c:v>
                </c:pt>
                <c:pt idx="400">
                  <c:v>46362</c:v>
                </c:pt>
                <c:pt idx="401">
                  <c:v>46363</c:v>
                </c:pt>
                <c:pt idx="402">
                  <c:v>46364</c:v>
                </c:pt>
                <c:pt idx="403">
                  <c:v>46365</c:v>
                </c:pt>
                <c:pt idx="404">
                  <c:v>46366</c:v>
                </c:pt>
                <c:pt idx="405">
                  <c:v>46367</c:v>
                </c:pt>
                <c:pt idx="406">
                  <c:v>46368</c:v>
                </c:pt>
                <c:pt idx="407">
                  <c:v>46369</c:v>
                </c:pt>
                <c:pt idx="408">
                  <c:v>46370</c:v>
                </c:pt>
                <c:pt idx="409">
                  <c:v>46371</c:v>
                </c:pt>
                <c:pt idx="410">
                  <c:v>46372</c:v>
                </c:pt>
                <c:pt idx="411">
                  <c:v>46373</c:v>
                </c:pt>
                <c:pt idx="412">
                  <c:v>46374</c:v>
                </c:pt>
                <c:pt idx="413">
                  <c:v>46375</c:v>
                </c:pt>
                <c:pt idx="414">
                  <c:v>46376</c:v>
                </c:pt>
                <c:pt idx="415">
                  <c:v>46377</c:v>
                </c:pt>
                <c:pt idx="416">
                  <c:v>46378</c:v>
                </c:pt>
                <c:pt idx="417">
                  <c:v>46379</c:v>
                </c:pt>
                <c:pt idx="418">
                  <c:v>46380</c:v>
                </c:pt>
                <c:pt idx="419">
                  <c:v>46381</c:v>
                </c:pt>
                <c:pt idx="420">
                  <c:v>46382</c:v>
                </c:pt>
                <c:pt idx="421">
                  <c:v>46383</c:v>
                </c:pt>
                <c:pt idx="422">
                  <c:v>46384</c:v>
                </c:pt>
                <c:pt idx="423">
                  <c:v>46385</c:v>
                </c:pt>
                <c:pt idx="424">
                  <c:v>46386</c:v>
                </c:pt>
                <c:pt idx="425">
                  <c:v>46387</c:v>
                </c:pt>
                <c:pt idx="426">
                  <c:v>46388</c:v>
                </c:pt>
                <c:pt idx="427">
                  <c:v>46389</c:v>
                </c:pt>
                <c:pt idx="428">
                  <c:v>46390</c:v>
                </c:pt>
                <c:pt idx="429">
                  <c:v>46391</c:v>
                </c:pt>
                <c:pt idx="430">
                  <c:v>46392</c:v>
                </c:pt>
                <c:pt idx="431">
                  <c:v>46393</c:v>
                </c:pt>
                <c:pt idx="432">
                  <c:v>46394</c:v>
                </c:pt>
                <c:pt idx="433">
                  <c:v>46395</c:v>
                </c:pt>
                <c:pt idx="434">
                  <c:v>46396</c:v>
                </c:pt>
                <c:pt idx="435">
                  <c:v>46397</c:v>
                </c:pt>
                <c:pt idx="436">
                  <c:v>46398</c:v>
                </c:pt>
                <c:pt idx="437">
                  <c:v>46399</c:v>
                </c:pt>
                <c:pt idx="438">
                  <c:v>46400</c:v>
                </c:pt>
                <c:pt idx="439">
                  <c:v>46401</c:v>
                </c:pt>
                <c:pt idx="440">
                  <c:v>46402</c:v>
                </c:pt>
                <c:pt idx="441">
                  <c:v>46403</c:v>
                </c:pt>
                <c:pt idx="442">
                  <c:v>46404</c:v>
                </c:pt>
                <c:pt idx="443">
                  <c:v>46405</c:v>
                </c:pt>
                <c:pt idx="444">
                  <c:v>46406</c:v>
                </c:pt>
                <c:pt idx="445">
                  <c:v>46407</c:v>
                </c:pt>
                <c:pt idx="446">
                  <c:v>46408</c:v>
                </c:pt>
                <c:pt idx="447">
                  <c:v>46409</c:v>
                </c:pt>
                <c:pt idx="448">
                  <c:v>46410</c:v>
                </c:pt>
                <c:pt idx="449">
                  <c:v>46411</c:v>
                </c:pt>
                <c:pt idx="450">
                  <c:v>46412</c:v>
                </c:pt>
                <c:pt idx="451">
                  <c:v>46413</c:v>
                </c:pt>
                <c:pt idx="452">
                  <c:v>46414</c:v>
                </c:pt>
                <c:pt idx="453">
                  <c:v>46415</c:v>
                </c:pt>
                <c:pt idx="454">
                  <c:v>46416</c:v>
                </c:pt>
                <c:pt idx="455">
                  <c:v>46417</c:v>
                </c:pt>
                <c:pt idx="456">
                  <c:v>46418</c:v>
                </c:pt>
                <c:pt idx="457">
                  <c:v>46419</c:v>
                </c:pt>
                <c:pt idx="458">
                  <c:v>46420</c:v>
                </c:pt>
                <c:pt idx="459">
                  <c:v>46421</c:v>
                </c:pt>
                <c:pt idx="460">
                  <c:v>46422</c:v>
                </c:pt>
                <c:pt idx="461">
                  <c:v>46423</c:v>
                </c:pt>
                <c:pt idx="462">
                  <c:v>46424</c:v>
                </c:pt>
                <c:pt idx="463">
                  <c:v>46425</c:v>
                </c:pt>
                <c:pt idx="464">
                  <c:v>46426</c:v>
                </c:pt>
                <c:pt idx="465">
                  <c:v>46427</c:v>
                </c:pt>
                <c:pt idx="466">
                  <c:v>46428</c:v>
                </c:pt>
                <c:pt idx="467">
                  <c:v>46429</c:v>
                </c:pt>
                <c:pt idx="468">
                  <c:v>46430</c:v>
                </c:pt>
                <c:pt idx="469">
                  <c:v>46431</c:v>
                </c:pt>
                <c:pt idx="470">
                  <c:v>46432</c:v>
                </c:pt>
                <c:pt idx="471">
                  <c:v>46433</c:v>
                </c:pt>
                <c:pt idx="472">
                  <c:v>46434</c:v>
                </c:pt>
                <c:pt idx="473">
                  <c:v>46435</c:v>
                </c:pt>
                <c:pt idx="474">
                  <c:v>46436</c:v>
                </c:pt>
                <c:pt idx="475">
                  <c:v>46437</c:v>
                </c:pt>
                <c:pt idx="476">
                  <c:v>46438</c:v>
                </c:pt>
                <c:pt idx="477">
                  <c:v>46439</c:v>
                </c:pt>
                <c:pt idx="478">
                  <c:v>46440</c:v>
                </c:pt>
                <c:pt idx="479">
                  <c:v>46441</c:v>
                </c:pt>
                <c:pt idx="480">
                  <c:v>46442</c:v>
                </c:pt>
                <c:pt idx="481">
                  <c:v>46443</c:v>
                </c:pt>
                <c:pt idx="482">
                  <c:v>46444</c:v>
                </c:pt>
                <c:pt idx="483">
                  <c:v>46445</c:v>
                </c:pt>
                <c:pt idx="484">
                  <c:v>46446</c:v>
                </c:pt>
                <c:pt idx="485">
                  <c:v>46447</c:v>
                </c:pt>
                <c:pt idx="486">
                  <c:v>46448</c:v>
                </c:pt>
                <c:pt idx="487">
                  <c:v>46449</c:v>
                </c:pt>
                <c:pt idx="488">
                  <c:v>46450</c:v>
                </c:pt>
                <c:pt idx="489">
                  <c:v>46451</c:v>
                </c:pt>
                <c:pt idx="490">
                  <c:v>46452</c:v>
                </c:pt>
                <c:pt idx="491">
                  <c:v>46453</c:v>
                </c:pt>
                <c:pt idx="492">
                  <c:v>46454</c:v>
                </c:pt>
                <c:pt idx="493">
                  <c:v>46455</c:v>
                </c:pt>
                <c:pt idx="494">
                  <c:v>46456</c:v>
                </c:pt>
                <c:pt idx="495">
                  <c:v>46457</c:v>
                </c:pt>
                <c:pt idx="496">
                  <c:v>46458</c:v>
                </c:pt>
                <c:pt idx="497">
                  <c:v>46459</c:v>
                </c:pt>
                <c:pt idx="498">
                  <c:v>46460</c:v>
                </c:pt>
              </c:numCache>
            </c:numRef>
          </c:xVal>
          <c:yVal>
            <c:numRef>
              <c:f>EV!$J$2:$J$500</c:f>
              <c:numCache>
                <c:formatCode>"$"#,##0.00</c:formatCode>
                <c:ptCount val="499"/>
                <c:pt idx="0">
                  <c:v>0</c:v>
                </c:pt>
                <c:pt idx="1">
                  <c:v>0</c:v>
                </c:pt>
                <c:pt idx="2">
                  <c:v>2483.1620000000003</c:v>
                </c:pt>
                <c:pt idx="3">
                  <c:v>9029.68</c:v>
                </c:pt>
                <c:pt idx="4">
                  <c:v>18059.36</c:v>
                </c:pt>
                <c:pt idx="5">
                  <c:v>30475.170000000002</c:v>
                </c:pt>
                <c:pt idx="6">
                  <c:v>39504.850000000006</c:v>
                </c:pt>
                <c:pt idx="7">
                  <c:v>46277.110000000008</c:v>
                </c:pt>
                <c:pt idx="8">
                  <c:v>46277.110000000008</c:v>
                </c:pt>
                <c:pt idx="9">
                  <c:v>58692.920000000013</c:v>
                </c:pt>
                <c:pt idx="10">
                  <c:v>71199.026800000021</c:v>
                </c:pt>
                <c:pt idx="11">
                  <c:v>80786.289540000027</c:v>
                </c:pt>
                <c:pt idx="12">
                  <c:v>93522.653180000023</c:v>
                </c:pt>
                <c:pt idx="13">
                  <c:v>107067.17318000003</c:v>
                </c:pt>
                <c:pt idx="14">
                  <c:v>118354.27318000003</c:v>
                </c:pt>
                <c:pt idx="15">
                  <c:v>127383.95318000004</c:v>
                </c:pt>
                <c:pt idx="16">
                  <c:v>199991.00318000006</c:v>
                </c:pt>
                <c:pt idx="17">
                  <c:v>258076.64318000007</c:v>
                </c:pt>
                <c:pt idx="18">
                  <c:v>394576.58918000007</c:v>
                </c:pt>
                <c:pt idx="19">
                  <c:v>516422.23818000004</c:v>
                </c:pt>
                <c:pt idx="20">
                  <c:v>649785.27549999999</c:v>
                </c:pt>
                <c:pt idx="21">
                  <c:v>718190.42460000003</c:v>
                </c:pt>
                <c:pt idx="22">
                  <c:v>762335.51100000006</c:v>
                </c:pt>
                <c:pt idx="23">
                  <c:v>838512.75800000015</c:v>
                </c:pt>
                <c:pt idx="24">
                  <c:v>1007093.4280000002</c:v>
                </c:pt>
                <c:pt idx="25">
                  <c:v>1225656.9880000001</c:v>
                </c:pt>
                <c:pt idx="26">
                  <c:v>1355814.4382000002</c:v>
                </c:pt>
                <c:pt idx="27">
                  <c:v>1584530.7382</c:v>
                </c:pt>
                <c:pt idx="28">
                  <c:v>1796316.4831999999</c:v>
                </c:pt>
                <c:pt idx="29">
                  <c:v>1796316.4831999999</c:v>
                </c:pt>
                <c:pt idx="30">
                  <c:v>2018486.61323</c:v>
                </c:pt>
                <c:pt idx="31">
                  <c:v>2180836.3220199994</c:v>
                </c:pt>
                <c:pt idx="32">
                  <c:v>2265476.2182899988</c:v>
                </c:pt>
                <c:pt idx="33">
                  <c:v>2368530.4988899995</c:v>
                </c:pt>
                <c:pt idx="34">
                  <c:v>2448754.3418899993</c:v>
                </c:pt>
                <c:pt idx="35">
                  <c:v>2481565.9115399993</c:v>
                </c:pt>
                <c:pt idx="36">
                  <c:v>2481565.9115399993</c:v>
                </c:pt>
                <c:pt idx="37">
                  <c:v>2548570.3030199995</c:v>
                </c:pt>
                <c:pt idx="38">
                  <c:v>2694856.3660199996</c:v>
                </c:pt>
                <c:pt idx="39">
                  <c:v>2841142.4290199997</c:v>
                </c:pt>
                <c:pt idx="40">
                  <c:v>2909393.0560199996</c:v>
                </c:pt>
                <c:pt idx="41">
                  <c:v>2978006.7182699996</c:v>
                </c:pt>
                <c:pt idx="42">
                  <c:v>3012117.5103599997</c:v>
                </c:pt>
                <c:pt idx="43">
                  <c:v>3012117.5103599997</c:v>
                </c:pt>
                <c:pt idx="44">
                  <c:v>3153692.5100799999</c:v>
                </c:pt>
                <c:pt idx="45">
                  <c:v>3157831.1119299997</c:v>
                </c:pt>
                <c:pt idx="46">
                  <c:v>3171270.706209999</c:v>
                </c:pt>
                <c:pt idx="47">
                  <c:v>3182557.8062099991</c:v>
                </c:pt>
                <c:pt idx="48">
                  <c:v>3266375.3847299996</c:v>
                </c:pt>
                <c:pt idx="49">
                  <c:v>3297915.8872499997</c:v>
                </c:pt>
                <c:pt idx="50">
                  <c:v>3297915.8872499997</c:v>
                </c:pt>
                <c:pt idx="51">
                  <c:v>3334945.4827499995</c:v>
                </c:pt>
                <c:pt idx="52">
                  <c:v>3334945.4827499995</c:v>
                </c:pt>
                <c:pt idx="53">
                  <c:v>3334945.4827499995</c:v>
                </c:pt>
                <c:pt idx="54">
                  <c:v>3334945.4827499995</c:v>
                </c:pt>
                <c:pt idx="55">
                  <c:v>3334945.4827499995</c:v>
                </c:pt>
                <c:pt idx="56">
                  <c:v>3334945.4827499995</c:v>
                </c:pt>
                <c:pt idx="57">
                  <c:v>3334945.4827499995</c:v>
                </c:pt>
                <c:pt idx="58">
                  <c:v>3334945.4827499995</c:v>
                </c:pt>
                <c:pt idx="59">
                  <c:v>3334945.4827499995</c:v>
                </c:pt>
                <c:pt idx="60">
                  <c:v>3334945.4827499995</c:v>
                </c:pt>
                <c:pt idx="61">
                  <c:v>3334945.4827499995</c:v>
                </c:pt>
                <c:pt idx="62">
                  <c:v>3334945.4827499995</c:v>
                </c:pt>
                <c:pt idx="63">
                  <c:v>3334945.4827499995</c:v>
                </c:pt>
                <c:pt idx="64">
                  <c:v>3334945.4827499995</c:v>
                </c:pt>
                <c:pt idx="65">
                  <c:v>3346188.3561499999</c:v>
                </c:pt>
                <c:pt idx="66">
                  <c:v>3424987.6555899996</c:v>
                </c:pt>
                <c:pt idx="67">
                  <c:v>3578411.7035899996</c:v>
                </c:pt>
                <c:pt idx="68">
                  <c:v>3692639.4340099995</c:v>
                </c:pt>
                <c:pt idx="69">
                  <c:v>3759027.7985599996</c:v>
                </c:pt>
                <c:pt idx="70">
                  <c:v>3776395.4049199997</c:v>
                </c:pt>
                <c:pt idx="71">
                  <c:v>3792978.8551399997</c:v>
                </c:pt>
                <c:pt idx="72">
                  <c:v>3882519.9311399995</c:v>
                </c:pt>
                <c:pt idx="73">
                  <c:v>3925315.7032099995</c:v>
                </c:pt>
                <c:pt idx="74">
                  <c:v>4013952.0482099997</c:v>
                </c:pt>
                <c:pt idx="75">
                  <c:v>4080984.9387099999</c:v>
                </c:pt>
                <c:pt idx="76">
                  <c:v>4183061.3641500003</c:v>
                </c:pt>
                <c:pt idx="77">
                  <c:v>4237946.5797000006</c:v>
                </c:pt>
                <c:pt idx="78">
                  <c:v>4290804.5121000009</c:v>
                </c:pt>
                <c:pt idx="79">
                  <c:v>4391359.5621000007</c:v>
                </c:pt>
                <c:pt idx="80">
                  <c:v>4460600.5607600007</c:v>
                </c:pt>
                <c:pt idx="81">
                  <c:v>4469916.5607600007</c:v>
                </c:pt>
                <c:pt idx="82">
                  <c:v>4497864.5607600007</c:v>
                </c:pt>
                <c:pt idx="83">
                  <c:v>4539786.5607600007</c:v>
                </c:pt>
                <c:pt idx="84">
                  <c:v>4539786.5607600007</c:v>
                </c:pt>
                <c:pt idx="85">
                  <c:v>4539786.5607600007</c:v>
                </c:pt>
                <c:pt idx="86">
                  <c:v>4577050.5607600007</c:v>
                </c:pt>
                <c:pt idx="87">
                  <c:v>4623630.5607600007</c:v>
                </c:pt>
                <c:pt idx="88">
                  <c:v>4656236.5607600007</c:v>
                </c:pt>
                <c:pt idx="89">
                  <c:v>4698158.5607600007</c:v>
                </c:pt>
                <c:pt idx="90">
                  <c:v>4698158.5607600007</c:v>
                </c:pt>
                <c:pt idx="91">
                  <c:v>4698158.5607600007</c:v>
                </c:pt>
                <c:pt idx="92">
                  <c:v>4698158.5607600007</c:v>
                </c:pt>
                <c:pt idx="93">
                  <c:v>4698158.5607600007</c:v>
                </c:pt>
                <c:pt idx="94">
                  <c:v>4698158.5607600007</c:v>
                </c:pt>
                <c:pt idx="95">
                  <c:v>4707474.5607600007</c:v>
                </c:pt>
                <c:pt idx="96">
                  <c:v>4716790.5607600007</c:v>
                </c:pt>
                <c:pt idx="97">
                  <c:v>4716790.5607600007</c:v>
                </c:pt>
                <c:pt idx="98">
                  <c:v>4716790.5607600007</c:v>
                </c:pt>
                <c:pt idx="99">
                  <c:v>4716790.5607600007</c:v>
                </c:pt>
                <c:pt idx="100">
                  <c:v>4721448.5607600007</c:v>
                </c:pt>
                <c:pt idx="101">
                  <c:v>4740080.5607600007</c:v>
                </c:pt>
                <c:pt idx="102">
                  <c:v>4758712.5607600007</c:v>
                </c:pt>
                <c:pt idx="103">
                  <c:v>4782002.5607600007</c:v>
                </c:pt>
                <c:pt idx="104">
                  <c:v>4782002.5607600007</c:v>
                </c:pt>
                <c:pt idx="105">
                  <c:v>4782002.5607600007</c:v>
                </c:pt>
                <c:pt idx="106">
                  <c:v>4782002.5607600007</c:v>
                </c:pt>
                <c:pt idx="107">
                  <c:v>4782002.5607600007</c:v>
                </c:pt>
                <c:pt idx="108">
                  <c:v>4782002.5607600007</c:v>
                </c:pt>
                <c:pt idx="109">
                  <c:v>4782002.5607600007</c:v>
                </c:pt>
                <c:pt idx="110">
                  <c:v>4782002.5607600007</c:v>
                </c:pt>
                <c:pt idx="111">
                  <c:v>4782002.5607600007</c:v>
                </c:pt>
                <c:pt idx="112">
                  <c:v>4782002.5607600007</c:v>
                </c:pt>
                <c:pt idx="113">
                  <c:v>4782002.5607600007</c:v>
                </c:pt>
                <c:pt idx="114">
                  <c:v>4782002.5607600007</c:v>
                </c:pt>
                <c:pt idx="115">
                  <c:v>4782002.5607600007</c:v>
                </c:pt>
                <c:pt idx="116">
                  <c:v>4782002.5607600007</c:v>
                </c:pt>
                <c:pt idx="117">
                  <c:v>4782002.5607600007</c:v>
                </c:pt>
                <c:pt idx="118">
                  <c:v>4782002.5607600007</c:v>
                </c:pt>
                <c:pt idx="119">
                  <c:v>4782002.5607600007</c:v>
                </c:pt>
                <c:pt idx="120">
                  <c:v>4782002.5607600007</c:v>
                </c:pt>
                <c:pt idx="121">
                  <c:v>4782002.5607600007</c:v>
                </c:pt>
                <c:pt idx="122">
                  <c:v>4782002.5607600007</c:v>
                </c:pt>
                <c:pt idx="123">
                  <c:v>4782002.5607600007</c:v>
                </c:pt>
                <c:pt idx="124">
                  <c:v>4782002.5607600007</c:v>
                </c:pt>
                <c:pt idx="125">
                  <c:v>4782002.5607600007</c:v>
                </c:pt>
                <c:pt idx="126">
                  <c:v>4782002.5607600007</c:v>
                </c:pt>
                <c:pt idx="127">
                  <c:v>4782002.5607600007</c:v>
                </c:pt>
                <c:pt idx="128">
                  <c:v>4782002.5607600007</c:v>
                </c:pt>
                <c:pt idx="129">
                  <c:v>4782002.5607600007</c:v>
                </c:pt>
                <c:pt idx="130">
                  <c:v>4782002.5607600007</c:v>
                </c:pt>
                <c:pt idx="131">
                  <c:v>4782002.5607600007</c:v>
                </c:pt>
                <c:pt idx="132">
                  <c:v>4782002.5607600007</c:v>
                </c:pt>
                <c:pt idx="133">
                  <c:v>4782002.5607600007</c:v>
                </c:pt>
                <c:pt idx="134">
                  <c:v>4782002.5607600007</c:v>
                </c:pt>
                <c:pt idx="135">
                  <c:v>4782002.5607600007</c:v>
                </c:pt>
                <c:pt idx="136">
                  <c:v>4782002.5607600007</c:v>
                </c:pt>
                <c:pt idx="137">
                  <c:v>4782002.5607600007</c:v>
                </c:pt>
                <c:pt idx="138">
                  <c:v>4782002.5607600007</c:v>
                </c:pt>
                <c:pt idx="139">
                  <c:v>4782002.5607600007</c:v>
                </c:pt>
                <c:pt idx="140">
                  <c:v>4782002.5607600007</c:v>
                </c:pt>
                <c:pt idx="141">
                  <c:v>4782002.5607600007</c:v>
                </c:pt>
                <c:pt idx="142">
                  <c:v>4782002.5607600007</c:v>
                </c:pt>
                <c:pt idx="143">
                  <c:v>4782002.5607600007</c:v>
                </c:pt>
                <c:pt idx="144">
                  <c:v>4782002.5607600007</c:v>
                </c:pt>
                <c:pt idx="145">
                  <c:v>4782002.5607600007</c:v>
                </c:pt>
                <c:pt idx="146">
                  <c:v>4782002.5607600007</c:v>
                </c:pt>
                <c:pt idx="147">
                  <c:v>4782002.5607600007</c:v>
                </c:pt>
                <c:pt idx="148">
                  <c:v>4782002.5607600007</c:v>
                </c:pt>
                <c:pt idx="149">
                  <c:v>6291200.5807599993</c:v>
                </c:pt>
                <c:pt idx="150">
                  <c:v>6294812.4527599998</c:v>
                </c:pt>
                <c:pt idx="151">
                  <c:v>6297972.8407600001</c:v>
                </c:pt>
                <c:pt idx="152">
                  <c:v>6304167.2012400003</c:v>
                </c:pt>
                <c:pt idx="153">
                  <c:v>6306424.6212400002</c:v>
                </c:pt>
                <c:pt idx="154">
                  <c:v>6308406.6359999999</c:v>
                </c:pt>
                <c:pt idx="155">
                  <c:v>6308406.6359999999</c:v>
                </c:pt>
                <c:pt idx="156">
                  <c:v>6308406.6359999999</c:v>
                </c:pt>
                <c:pt idx="157">
                  <c:v>6310664.0559999999</c:v>
                </c:pt>
                <c:pt idx="158">
                  <c:v>6315178.8959999997</c:v>
                </c:pt>
                <c:pt idx="159">
                  <c:v>6321386.801</c:v>
                </c:pt>
                <c:pt idx="160">
                  <c:v>6328159.0609999998</c:v>
                </c:pt>
                <c:pt idx="161">
                  <c:v>6330980.8360000001</c:v>
                </c:pt>
                <c:pt idx="162">
                  <c:v>6330980.8360000001</c:v>
                </c:pt>
                <c:pt idx="163">
                  <c:v>6333689.7400000002</c:v>
                </c:pt>
                <c:pt idx="164">
                  <c:v>6338881.8059999999</c:v>
                </c:pt>
                <c:pt idx="165">
                  <c:v>6343076.0923600001</c:v>
                </c:pt>
                <c:pt idx="166">
                  <c:v>6343653.9918800006</c:v>
                </c:pt>
                <c:pt idx="167">
                  <c:v>6343653.9918800006</c:v>
                </c:pt>
                <c:pt idx="168">
                  <c:v>6343653.9918800006</c:v>
                </c:pt>
                <c:pt idx="169">
                  <c:v>6343653.9918800006</c:v>
                </c:pt>
                <c:pt idx="170">
                  <c:v>6343653.9918800006</c:v>
                </c:pt>
                <c:pt idx="171">
                  <c:v>6343653.9918800006</c:v>
                </c:pt>
                <c:pt idx="172">
                  <c:v>6386652.0718800006</c:v>
                </c:pt>
                <c:pt idx="173">
                  <c:v>6540114.1294400012</c:v>
                </c:pt>
                <c:pt idx="174">
                  <c:v>6564365.1515100012</c:v>
                </c:pt>
                <c:pt idx="175">
                  <c:v>6569462.0683900015</c:v>
                </c:pt>
                <c:pt idx="176">
                  <c:v>6569462.0683900015</c:v>
                </c:pt>
                <c:pt idx="177">
                  <c:v>6585254.377340002</c:v>
                </c:pt>
                <c:pt idx="178">
                  <c:v>6600599.3505000016</c:v>
                </c:pt>
                <c:pt idx="179">
                  <c:v>6600599.3505000016</c:v>
                </c:pt>
                <c:pt idx="180">
                  <c:v>6607119.6085300017</c:v>
                </c:pt>
                <c:pt idx="181">
                  <c:v>6626382.1587600019</c:v>
                </c:pt>
                <c:pt idx="182">
                  <c:v>6626382.1587600019</c:v>
                </c:pt>
                <c:pt idx="183">
                  <c:v>6626382.1587600019</c:v>
                </c:pt>
                <c:pt idx="184">
                  <c:v>6648654.0588500015</c:v>
                </c:pt>
                <c:pt idx="185">
                  <c:v>6663999.0320100011</c:v>
                </c:pt>
                <c:pt idx="186">
                  <c:v>6688344.9434900014</c:v>
                </c:pt>
                <c:pt idx="187">
                  <c:v>6718085.9957100013</c:v>
                </c:pt>
                <c:pt idx="188">
                  <c:v>6754198.1940300008</c:v>
                </c:pt>
                <c:pt idx="189">
                  <c:v>6759661.1129200011</c:v>
                </c:pt>
                <c:pt idx="190">
                  <c:v>6759661.1129200011</c:v>
                </c:pt>
                <c:pt idx="191">
                  <c:v>6776334.5378200011</c:v>
                </c:pt>
                <c:pt idx="192">
                  <c:v>6786663.9278800013</c:v>
                </c:pt>
                <c:pt idx="193">
                  <c:v>6804977.5840100013</c:v>
                </c:pt>
                <c:pt idx="194">
                  <c:v>6818655.2146800011</c:v>
                </c:pt>
                <c:pt idx="195">
                  <c:v>6853651.8127800012</c:v>
                </c:pt>
                <c:pt idx="196">
                  <c:v>6881620.048440001</c:v>
                </c:pt>
                <c:pt idx="197">
                  <c:v>6881620.048440001</c:v>
                </c:pt>
                <c:pt idx="198">
                  <c:v>6896138.1281700013</c:v>
                </c:pt>
                <c:pt idx="199">
                  <c:v>6913408.0007900009</c:v>
                </c:pt>
                <c:pt idx="200">
                  <c:v>6926326.5161800012</c:v>
                </c:pt>
                <c:pt idx="201">
                  <c:v>6963675.5827000011</c:v>
                </c:pt>
                <c:pt idx="202">
                  <c:v>7000748.7424300015</c:v>
                </c:pt>
                <c:pt idx="203">
                  <c:v>7026771.1091500018</c:v>
                </c:pt>
                <c:pt idx="204">
                  <c:v>7026771.1091500018</c:v>
                </c:pt>
                <c:pt idx="205">
                  <c:v>7039084.0915900012</c:v>
                </c:pt>
                <c:pt idx="206">
                  <c:v>7043418.3379900008</c:v>
                </c:pt>
                <c:pt idx="207">
                  <c:v>7044760.3453600006</c:v>
                </c:pt>
                <c:pt idx="208">
                  <c:v>7045503.0365400007</c:v>
                </c:pt>
                <c:pt idx="209">
                  <c:v>7047509.8829200007</c:v>
                </c:pt>
                <c:pt idx="210">
                  <c:v>7048555.068380001</c:v>
                </c:pt>
                <c:pt idx="211">
                  <c:v>7048555.068380001</c:v>
                </c:pt>
                <c:pt idx="212">
                  <c:v>7077481.7171000009</c:v>
                </c:pt>
                <c:pt idx="213">
                  <c:v>7106422.8872300014</c:v>
                </c:pt>
                <c:pt idx="214">
                  <c:v>7116500.7457700018</c:v>
                </c:pt>
                <c:pt idx="215">
                  <c:v>7137731.0471900012</c:v>
                </c:pt>
                <c:pt idx="216">
                  <c:v>7142701.8860300006</c:v>
                </c:pt>
                <c:pt idx="217">
                  <c:v>7170002.1368300002</c:v>
                </c:pt>
                <c:pt idx="218">
                  <c:v>7170002.1368300002</c:v>
                </c:pt>
                <c:pt idx="219">
                  <c:v>7190070.7254499998</c:v>
                </c:pt>
                <c:pt idx="220">
                  <c:v>7210270.0067600003</c:v>
                </c:pt>
                <c:pt idx="221">
                  <c:v>7225183.4948299993</c:v>
                </c:pt>
                <c:pt idx="222">
                  <c:v>7238296.3280599993</c:v>
                </c:pt>
                <c:pt idx="223">
                  <c:v>7250958.9975799993</c:v>
                </c:pt>
                <c:pt idx="224">
                  <c:v>7250958.9975799993</c:v>
                </c:pt>
                <c:pt idx="225">
                  <c:v>7250958.9975799993</c:v>
                </c:pt>
                <c:pt idx="226">
                  <c:v>7257740.4960499993</c:v>
                </c:pt>
                <c:pt idx="227">
                  <c:v>7267876.4402299989</c:v>
                </c:pt>
                <c:pt idx="228">
                  <c:v>7274251.3392199986</c:v>
                </c:pt>
                <c:pt idx="229">
                  <c:v>7291270.4317399981</c:v>
                </c:pt>
                <c:pt idx="230">
                  <c:v>7296743.6712499978</c:v>
                </c:pt>
                <c:pt idx="231">
                  <c:v>7296978.5748699978</c:v>
                </c:pt>
                <c:pt idx="232">
                  <c:v>7296978.5748699978</c:v>
                </c:pt>
                <c:pt idx="233">
                  <c:v>7304181.1942299977</c:v>
                </c:pt>
                <c:pt idx="234">
                  <c:v>7316829.3423399981</c:v>
                </c:pt>
                <c:pt idx="235">
                  <c:v>7316829.3423399981</c:v>
                </c:pt>
                <c:pt idx="236">
                  <c:v>7338235.7884899983</c:v>
                </c:pt>
                <c:pt idx="237">
                  <c:v>7339806.0418899991</c:v>
                </c:pt>
                <c:pt idx="238">
                  <c:v>7341706.7895299988</c:v>
                </c:pt>
                <c:pt idx="239">
                  <c:v>7341706.7895299988</c:v>
                </c:pt>
                <c:pt idx="240">
                  <c:v>7351755.6052499991</c:v>
                </c:pt>
                <c:pt idx="241">
                  <c:v>7355974.7349999985</c:v>
                </c:pt>
                <c:pt idx="242">
                  <c:v>7368463.1475999989</c:v>
                </c:pt>
                <c:pt idx="243">
                  <c:v>7371488.0903999982</c:v>
                </c:pt>
                <c:pt idx="244">
                  <c:v>7377589.8966599982</c:v>
                </c:pt>
                <c:pt idx="245">
                  <c:v>7380908.3040599981</c:v>
                </c:pt>
                <c:pt idx="246">
                  <c:v>7380908.3040599981</c:v>
                </c:pt>
                <c:pt idx="247">
                  <c:v>7394163.8742999984</c:v>
                </c:pt>
                <c:pt idx="248">
                  <c:v>7413390.2211399982</c:v>
                </c:pt>
                <c:pt idx="249">
                  <c:v>7414014.6417699978</c:v>
                </c:pt>
                <c:pt idx="250">
                  <c:v>7439005.9883799981</c:v>
                </c:pt>
                <c:pt idx="251">
                  <c:v>7473131.3018799983</c:v>
                </c:pt>
                <c:pt idx="252">
                  <c:v>7483586.717079998</c:v>
                </c:pt>
                <c:pt idx="253">
                  <c:v>7508273.1140799979</c:v>
                </c:pt>
                <c:pt idx="254">
                  <c:v>7515533.8190799979</c:v>
                </c:pt>
                <c:pt idx="255">
                  <c:v>7531507.3700799979</c:v>
                </c:pt>
                <c:pt idx="256">
                  <c:v>7541672.3570799977</c:v>
                </c:pt>
                <c:pt idx="257">
                  <c:v>7543903.9414699981</c:v>
                </c:pt>
                <c:pt idx="258">
                  <c:v>7547930.8606699957</c:v>
                </c:pt>
                <c:pt idx="259">
                  <c:v>7549383.0016699955</c:v>
                </c:pt>
                <c:pt idx="260">
                  <c:v>7549383.0016699955</c:v>
                </c:pt>
                <c:pt idx="261">
                  <c:v>7554071.6630099956</c:v>
                </c:pt>
                <c:pt idx="262">
                  <c:v>7554071.6630099956</c:v>
                </c:pt>
                <c:pt idx="263">
                  <c:v>7560930.811789996</c:v>
                </c:pt>
                <c:pt idx="264">
                  <c:v>7562164.3741199952</c:v>
                </c:pt>
                <c:pt idx="265">
                  <c:v>7584734.4980699951</c:v>
                </c:pt>
                <c:pt idx="266">
                  <c:v>7614895.4666399946</c:v>
                </c:pt>
                <c:pt idx="267">
                  <c:v>7614895.4666399946</c:v>
                </c:pt>
                <c:pt idx="268">
                  <c:v>7646100.5268999944</c:v>
                </c:pt>
                <c:pt idx="269">
                  <c:v>7665566.4115799945</c:v>
                </c:pt>
                <c:pt idx="270">
                  <c:v>7674377.5710799946</c:v>
                </c:pt>
                <c:pt idx="271">
                  <c:v>7697693.2546799947</c:v>
                </c:pt>
                <c:pt idx="272">
                  <c:v>7727081.860519995</c:v>
                </c:pt>
                <c:pt idx="273">
                  <c:v>7741721.9409199953</c:v>
                </c:pt>
                <c:pt idx="274">
                  <c:v>7741721.9409199953</c:v>
                </c:pt>
                <c:pt idx="275">
                  <c:v>7757988.6969199954</c:v>
                </c:pt>
                <c:pt idx="276">
                  <c:v>7760957.3798899958</c:v>
                </c:pt>
                <c:pt idx="277">
                  <c:v>7761493.7305699959</c:v>
                </c:pt>
                <c:pt idx="278">
                  <c:v>7806227.3095699959</c:v>
                </c:pt>
                <c:pt idx="279">
                  <c:v>7860409.1626799963</c:v>
                </c:pt>
                <c:pt idx="280">
                  <c:v>7860409.1626799963</c:v>
                </c:pt>
                <c:pt idx="281">
                  <c:v>7896306.0881999964</c:v>
                </c:pt>
                <c:pt idx="282">
                  <c:v>7896306.0881999964</c:v>
                </c:pt>
                <c:pt idx="283">
                  <c:v>7896306.0881999964</c:v>
                </c:pt>
                <c:pt idx="284">
                  <c:v>7896306.0881999964</c:v>
                </c:pt>
                <c:pt idx="285">
                  <c:v>7931171.1685599964</c:v>
                </c:pt>
                <c:pt idx="286">
                  <c:v>7931353.1753199967</c:v>
                </c:pt>
                <c:pt idx="287">
                  <c:v>7933260.6952199964</c:v>
                </c:pt>
                <c:pt idx="288">
                  <c:v>7935687.4217199963</c:v>
                </c:pt>
                <c:pt idx="289">
                  <c:v>7941060.0813199962</c:v>
                </c:pt>
                <c:pt idx="290">
                  <c:v>7984348.4045299962</c:v>
                </c:pt>
                <c:pt idx="291">
                  <c:v>7990285.4191299966</c:v>
                </c:pt>
                <c:pt idx="292">
                  <c:v>8018718.3399099968</c:v>
                </c:pt>
                <c:pt idx="293">
                  <c:v>8057865.5535199968</c:v>
                </c:pt>
                <c:pt idx="294">
                  <c:v>8059784.3605199968</c:v>
                </c:pt>
                <c:pt idx="295">
                  <c:v>8059784.3605199968</c:v>
                </c:pt>
                <c:pt idx="296">
                  <c:v>8404753.5267199967</c:v>
                </c:pt>
                <c:pt idx="297">
                  <c:v>8569028.6267199963</c:v>
                </c:pt>
                <c:pt idx="298">
                  <c:v>8658940.096719997</c:v>
                </c:pt>
                <c:pt idx="299">
                  <c:v>8746694.7967199963</c:v>
                </c:pt>
                <c:pt idx="300">
                  <c:v>8749740.0562999975</c:v>
                </c:pt>
                <c:pt idx="301">
                  <c:v>8749740.0562999975</c:v>
                </c:pt>
                <c:pt idx="302">
                  <c:v>8749740.0562999975</c:v>
                </c:pt>
                <c:pt idx="303">
                  <c:v>8751545.9922999963</c:v>
                </c:pt>
                <c:pt idx="304">
                  <c:v>8762302.5985999964</c:v>
                </c:pt>
                <c:pt idx="305">
                  <c:v>8788441.1365999971</c:v>
                </c:pt>
                <c:pt idx="306">
                  <c:v>8808088.6043299977</c:v>
                </c:pt>
                <c:pt idx="307">
                  <c:v>9007460.6243299954</c:v>
                </c:pt>
                <c:pt idx="308">
                  <c:v>9103111.1243299935</c:v>
                </c:pt>
                <c:pt idx="309">
                  <c:v>9103111.1243299935</c:v>
                </c:pt>
                <c:pt idx="310">
                  <c:v>9161741.2664499935</c:v>
                </c:pt>
                <c:pt idx="311">
                  <c:v>9189056.0386599936</c:v>
                </c:pt>
                <c:pt idx="312">
                  <c:v>9228398.7361899931</c:v>
                </c:pt>
                <c:pt idx="313">
                  <c:v>9231437.2235099934</c:v>
                </c:pt>
                <c:pt idx="314">
                  <c:v>9257314.3761299942</c:v>
                </c:pt>
                <c:pt idx="315">
                  <c:v>9276860.193989994</c:v>
                </c:pt>
                <c:pt idx="316">
                  <c:v>9276860.193989994</c:v>
                </c:pt>
                <c:pt idx="317">
                  <c:v>9286923.5311199948</c:v>
                </c:pt>
                <c:pt idx="318">
                  <c:v>9317520.0839199945</c:v>
                </c:pt>
                <c:pt idx="319">
                  <c:v>9336152.0839199945</c:v>
                </c:pt>
                <c:pt idx="320">
                  <c:v>9419837.0039199907</c:v>
                </c:pt>
                <c:pt idx="321">
                  <c:v>9492531.3839199916</c:v>
                </c:pt>
                <c:pt idx="322">
                  <c:v>9497189.3839199916</c:v>
                </c:pt>
                <c:pt idx="323">
                  <c:v>9497189.3839199916</c:v>
                </c:pt>
                <c:pt idx="324">
                  <c:v>9511163.3839199916</c:v>
                </c:pt>
                <c:pt idx="325">
                  <c:v>9525137.3839199916</c:v>
                </c:pt>
                <c:pt idx="326">
                  <c:v>9534453.3839199916</c:v>
                </c:pt>
                <c:pt idx="327">
                  <c:v>9543769.3839199916</c:v>
                </c:pt>
                <c:pt idx="328">
                  <c:v>9562401.3839199916</c:v>
                </c:pt>
                <c:pt idx="329">
                  <c:v>9844399.0839199927</c:v>
                </c:pt>
                <c:pt idx="330">
                  <c:v>9844399.0839199927</c:v>
                </c:pt>
                <c:pt idx="331">
                  <c:v>9851171.3439199924</c:v>
                </c:pt>
                <c:pt idx="332">
                  <c:v>9940107.2669199929</c:v>
                </c:pt>
                <c:pt idx="333">
                  <c:v>9944552.126899993</c:v>
                </c:pt>
                <c:pt idx="334">
                  <c:v>10026474.820729993</c:v>
                </c:pt>
                <c:pt idx="335">
                  <c:v>10128462.337549992</c:v>
                </c:pt>
                <c:pt idx="336">
                  <c:v>10128462.337549992</c:v>
                </c:pt>
                <c:pt idx="337">
                  <c:v>10128462.337549992</c:v>
                </c:pt>
                <c:pt idx="338">
                  <c:v>10141734.906289993</c:v>
                </c:pt>
                <c:pt idx="339">
                  <c:v>10144613.116789991</c:v>
                </c:pt>
                <c:pt idx="340">
                  <c:v>10145183.115339993</c:v>
                </c:pt>
                <c:pt idx="341">
                  <c:v>10167423.206014993</c:v>
                </c:pt>
                <c:pt idx="342">
                  <c:v>10178081.920954993</c:v>
                </c:pt>
                <c:pt idx="343">
                  <c:v>10296452.120954994</c:v>
                </c:pt>
                <c:pt idx="344">
                  <c:v>10400253.680954993</c:v>
                </c:pt>
                <c:pt idx="345">
                  <c:v>10563097.270954991</c:v>
                </c:pt>
                <c:pt idx="346">
                  <c:v>10596726.286689991</c:v>
                </c:pt>
                <c:pt idx="347">
                  <c:v>10614616.663809991</c:v>
                </c:pt>
                <c:pt idx="348">
                  <c:v>10653621.171069991</c:v>
                </c:pt>
                <c:pt idx="349">
                  <c:v>10726793.147789991</c:v>
                </c:pt>
                <c:pt idx="350">
                  <c:v>10747282.857299989</c:v>
                </c:pt>
                <c:pt idx="351">
                  <c:v>10747282.857299989</c:v>
                </c:pt>
                <c:pt idx="352">
                  <c:v>10792726.857299987</c:v>
                </c:pt>
                <c:pt idx="353">
                  <c:v>10886644.457299985</c:v>
                </c:pt>
                <c:pt idx="354">
                  <c:v>10944206.857299985</c:v>
                </c:pt>
                <c:pt idx="355">
                  <c:v>11085039.387299985</c:v>
                </c:pt>
                <c:pt idx="356">
                  <c:v>11212282.587299984</c:v>
                </c:pt>
                <c:pt idx="357">
                  <c:v>11234064.702299984</c:v>
                </c:pt>
                <c:pt idx="358">
                  <c:v>11234064.702299984</c:v>
                </c:pt>
                <c:pt idx="359">
                  <c:v>11234064.702299984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35EE-41A9-A98D-F032DC47A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885264"/>
        <c:axId val="588885744"/>
      </c:scatterChart>
      <c:scatterChart>
        <c:scatterStyle val="lineMarker"/>
        <c:varyColors val="0"/>
        <c:ser>
          <c:idx val="0"/>
          <c:order val="2"/>
          <c:tx>
            <c:v>Fecha Actual</c:v>
          </c:tx>
          <c:spPr>
            <a:ln w="19050">
              <a:solidFill>
                <a:schemeClr val="accent6"/>
              </a:solidFill>
              <a:prstDash val="sysDash"/>
              <a:headEnd type="none" w="med" len="med"/>
              <a:tailEnd type="triangle" w="med" len="med"/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9E72-44AE-B3ED-1826A4B9D544}"/>
              </c:ext>
            </c:extLst>
          </c:dPt>
          <c:xVal>
            <c:numRef>
              <c:f>EV!$AD$3:$AD$4</c:f>
              <c:numCache>
                <c:formatCode>d\-mmm</c:formatCode>
                <c:ptCount val="2"/>
                <c:pt idx="0">
                  <c:v>46321</c:v>
                </c:pt>
                <c:pt idx="1">
                  <c:v>46321</c:v>
                </c:pt>
              </c:numCache>
            </c:numRef>
          </c:xVal>
          <c:yVal>
            <c:numRef>
              <c:f>EV!$AE$3:$AE$4</c:f>
              <c:numCache>
                <c:formatCode>_(* #,##0.00_);_(* \(#,##0.00\);_(* "-"??_);_(@_)</c:formatCode>
                <c:ptCount val="2"/>
                <c:pt idx="0" formatCode="General">
                  <c:v>0</c:v>
                </c:pt>
                <c:pt idx="1">
                  <c:v>93.617205852499865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C0-47D4-9A99-5F035E046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943727"/>
        <c:axId val="413934127"/>
      </c:scatterChart>
      <c:dateAx>
        <c:axId val="588885264"/>
        <c:scaling>
          <c:orientation val="minMax"/>
          <c:max val="46325"/>
          <c:min val="4596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/>
          <a:lstStyle/>
          <a:p>
            <a:pPr>
              <a:defRPr sz="1100"/>
            </a:pPr>
            <a:endParaRPr lang="es-MX"/>
          </a:p>
        </c:txPr>
        <c:crossAx val="588885744"/>
        <c:crosses val="autoZero"/>
        <c:auto val="1"/>
        <c:lblOffset val="100"/>
        <c:baseTimeUnit val="days"/>
        <c:majorUnit val="5"/>
        <c:majorTimeUnit val="days"/>
      </c:dateAx>
      <c:valAx>
        <c:axId val="588885744"/>
        <c:scaling>
          <c:orientation val="minMax"/>
          <c:max val="12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s-MX" sz="1200"/>
                  <a:t>EV</a:t>
                </a:r>
              </a:p>
            </c:rich>
          </c:tx>
          <c:overlay val="0"/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1200"/>
            </a:pPr>
            <a:endParaRPr lang="es-MX"/>
          </a:p>
        </c:txPr>
        <c:crossAx val="588885264"/>
        <c:crosses val="autoZero"/>
        <c:crossBetween val="between"/>
        <c:majorUnit val="1000000"/>
      </c:valAx>
      <c:valAx>
        <c:axId val="413934127"/>
        <c:scaling>
          <c:orientation val="minMax"/>
          <c:max val="100"/>
        </c:scaling>
        <c:delete val="0"/>
        <c:axPos val="r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>
                <a:solidFill>
                  <a:schemeClr val="bg1">
                    <a:lumMod val="95000"/>
                  </a:schemeClr>
                </a:solidFill>
              </a:defRPr>
            </a:pPr>
            <a:endParaRPr lang="es-MX"/>
          </a:p>
        </c:txPr>
        <c:crossAx val="413943727"/>
        <c:crosses val="max"/>
        <c:crossBetween val="midCat"/>
      </c:valAx>
      <c:valAx>
        <c:axId val="413943727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413934127"/>
        <c:crosses val="autoZero"/>
        <c:crossBetween val="midCat"/>
      </c:valAx>
      <c:spPr>
        <a:solidFill>
          <a:sysClr val="window" lastClr="FFFFFF"/>
        </a:solidFill>
        <a:ln>
          <a:solidFill>
            <a:schemeClr val="bg1">
              <a:lumMod val="85000"/>
            </a:schemeClr>
          </a:solidFill>
        </a:ln>
      </c:spPr>
    </c:plotArea>
    <c:legend>
      <c:legendPos val="l"/>
      <c:legendEntry>
        <c:idx val="0"/>
        <c:delete val="1"/>
      </c:legendEntry>
      <c:layout>
        <c:manualLayout>
          <c:xMode val="edge"/>
          <c:yMode val="edge"/>
          <c:x val="0.10292150010949531"/>
          <c:y val="0.10428707349081365"/>
          <c:w val="8.6659490726948438E-2"/>
          <c:h val="7.4128608923884509E-2"/>
        </c:manualLayout>
      </c:layout>
      <c:overlay val="1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title pos="t" align="ctr" overlay="0">
      <cx:tx>
        <cx:txData>
          <cx:v>BALANCE: EJECUTADO vs PAGOS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BALANCE: EJECUTADO vs PAGOS</a:t>
          </a:r>
        </a:p>
      </cx:txPr>
    </cx:title>
    <cx:plotArea>
      <cx:plotAreaRegion>
        <cx:series layoutId="waterfall" uniqueId="{0BD12243-5B34-409A-AE79-22585778F485}">
          <cx:tx>
            <cx:txData>
              <cx:f/>
              <cx:v>Ejecutado</cx:v>
            </cx:txData>
          </cx:tx>
          <cx:spPr>
            <a:ln w="12700">
              <a:noFill/>
            </a:ln>
          </cx:spPr>
          <cx:dataPt idx="0">
            <cx:spPr>
              <a:ln w="28575">
                <a:solidFill>
                  <a:sysClr val="windowText" lastClr="000000"/>
                </a:solidFill>
              </a:ln>
            </cx:spPr>
          </cx:dataPt>
          <cx:dataPt idx="16">
            <cx:spPr>
              <a:ln w="28575">
                <a:solidFill>
                  <a:sysClr val="windowText" lastClr="000000"/>
                </a:solidFill>
              </a:ln>
            </cx:spPr>
          </cx:dataPt>
          <cx:dataLabels pos="outEnd">
            <cx:visibility seriesName="0" categoryName="0" value="1"/>
          </cx:dataLabels>
          <cx:dataId val="0"/>
          <cx:layoutPr>
            <cx:visibility connectorLines="1"/>
            <cx:subtotals>
              <cx:idx val="16"/>
              <cx:idx val="17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  <cx:numFmt formatCode="$#,##0;[Rojo]-$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ap="rnd">
      <a:solidFill>
        <a:schemeClr val="tx1">
          <a:lumMod val="25000"/>
          <a:lumOff val="75000"/>
        </a:schemeClr>
      </a:solidFill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</cx:f>
      </cx:strDim>
      <cx:numDim type="val">
        <cx:f>_xlchart.v5.3</cx:f>
      </cx:numDim>
    </cx:data>
  </cx:chartData>
  <cx:chart>
    <cx:title pos="t" align="ctr" overlay="0">
      <cx:tx>
        <cx:txData>
          <cx:v>BALANCE: EJECUTADO vs PAGOS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BALANCE: EJECUTADO vs PAGOS</a:t>
          </a:r>
        </a:p>
      </cx:txPr>
    </cx:title>
    <cx:plotArea>
      <cx:plotAreaRegion>
        <cx:plotSurface>
          <cx:spPr>
            <a:ln>
              <a:solidFill>
                <a:schemeClr val="bg1">
                  <a:lumMod val="75000"/>
                </a:schemeClr>
              </a:solidFill>
            </a:ln>
          </cx:spPr>
        </cx:plotSurface>
        <cx:series layoutId="waterfall" uniqueId="{0BD12243-5B34-409A-AE79-22585778F485}">
          <cx:tx>
            <cx:txData>
              <cx:f>_xlchart.v5.4</cx:f>
              <cx:v/>
            </cx:txData>
          </cx:tx>
          <cx:spPr>
            <a:ln w="12700">
              <a:noFill/>
            </a:ln>
          </cx:spPr>
          <cx:dataPt idx="0">
            <cx:spPr>
              <a:solidFill>
                <a:srgbClr val="FF0000"/>
              </a:solidFill>
              <a:ln w="28575">
                <a:solidFill>
                  <a:sysClr val="windowText" lastClr="000000"/>
                </a:solidFill>
              </a:ln>
            </cx:spPr>
          </cx:dataPt>
          <cx:dataPt idx="15">
            <cx:spPr>
              <a:ln w="28575">
                <a:solidFill>
                  <a:sysClr val="windowText" lastClr="000000"/>
                </a:solidFill>
              </a:ln>
            </cx:spPr>
          </cx:dataPt>
          <cx:dataPt idx="16">
            <cx:spPr>
              <a:ln w="28575">
                <a:solidFill>
                  <a:sysClr val="windowText" lastClr="000000"/>
                </a:solidFill>
              </a:ln>
            </cx:spPr>
          </cx:dataPt>
          <cx:dataLabels pos="outEnd">
            <cx:numFmt formatCode="+#,##0.00_ ;[Rojo]-#,##0.00 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/>
                </a:pPr>
                <a:endParaRPr lang="es-ES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rgbClr val="FF0000"/>
                      </a:solidFill>
                    </a:defRPr>
                  </a:pPr>
                  <a:r>
                    <a:rPr lang="es-ES" sz="1200" b="0" i="0" u="none" strike="noStrike" baseline="0">
                      <a:solidFill>
                        <a:srgbClr val="FF0000"/>
                      </a:solidFill>
                      <a:latin typeface="Aptos Narrow" panose="02110004020202020204"/>
                    </a:rPr>
                    <a:t>-11,162,921.84 </a:t>
                  </a:r>
                </a:p>
              </cx:txPr>
            </cx:dataLabel>
            <cx:dataLabel idx="15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rgbClr val="FF0000"/>
                      </a:solidFill>
                    </a:defRPr>
                  </a:pPr>
                  <a:r>
                    <a:rPr lang="es-ES" sz="1200" b="0" i="0" u="none" strike="noStrike" baseline="0">
                      <a:solidFill>
                        <a:srgbClr val="FF0000"/>
                      </a:solidFill>
                      <a:latin typeface="Aptos Narrow" panose="02110004020202020204"/>
                    </a:rPr>
                    <a:t>+71,142.86 </a:t>
                  </a:r>
                </a:p>
              </cx:txPr>
            </cx:dataLabel>
          </cx:dataLabels>
          <cx:dataId val="0"/>
          <cx:layoutPr>
            <cx:visibility connectorLines="1"/>
            <cx:subtotals>
              <cx:idx val="0"/>
              <cx:idx val="15"/>
              <cx:idx val="16"/>
              <cx:idx val="17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 max="2000000"/>
        <cx:majorGridlines/>
        <cx:tickLabels/>
        <cx:numFmt formatCode="$#,##0;[Rojo]-$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s-E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</cx:strDim>
      <cx:numDim type="val">
        <cx:f>_xlchart.v5.6</cx:f>
      </cx:numDim>
    </cx:data>
  </cx:chartData>
  <cx:chart>
    <cx:title pos="t" align="ctr" overlay="0">
      <cx:tx>
        <cx:txData>
          <cx:v>BALANCE: EJECUTADO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BALANCE: EJECUTADO</a:t>
          </a:r>
        </a:p>
      </cx:txPr>
    </cx:title>
    <cx:plotArea>
      <cx:plotAreaRegion>
        <cx:plotSurface>
          <cx:spPr>
            <a:ln>
              <a:solidFill>
                <a:schemeClr val="bg1">
                  <a:lumMod val="75000"/>
                </a:schemeClr>
              </a:solidFill>
            </a:ln>
          </cx:spPr>
        </cx:plotSurface>
        <cx:series layoutId="waterfall" uniqueId="{0BD12243-5B34-409A-AE79-22585778F485}">
          <cx:tx>
            <cx:txData>
              <cx:f/>
              <cx:v/>
            </cx:txData>
          </cx:tx>
          <cx:spPr>
            <a:ln w="12700">
              <a:noFill/>
            </a:ln>
          </cx:spPr>
          <cx:dataPt idx="0">
            <cx:spPr>
              <a:solidFill>
                <a:srgbClr val="196B24">
                  <a:lumMod val="60000"/>
                  <a:lumOff val="40000"/>
                </a:srgbClr>
              </a:solidFill>
            </cx:spPr>
          </cx:dataPt>
          <cx:dataPt idx="12">
            <cx:spPr>
              <a:ln w="28575">
                <a:solidFill>
                  <a:sysClr val="windowText" lastClr="000000"/>
                </a:solidFill>
              </a:ln>
            </cx:spPr>
          </cx:dataPt>
          <cx:dataLabels pos="outEnd">
            <cx:numFmt formatCode="+#,##0.00_ ;[Rojo]-#,##0.00 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/>
                </a:pPr>
                <a:endParaRPr lang="es-ES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connectorLines="1"/>
            <cx:subtotals>
              <cx:idx val="0"/>
              <cx:idx val="12"/>
              <cx:idx val="15"/>
              <cx:idx val="16"/>
              <cx:idx val="17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 max="12000000"/>
        <cx:majorGridlines/>
        <cx:tickLabels/>
        <cx:numFmt formatCode="$#,##0;[Rojo]-$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s-E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_xlchart.v5.21</cx:f>
      </cx:strDim>
      <cx:numDim type="val">
        <cx:f>_xlchart.v5.22</cx:f>
      </cx:numDim>
    </cx:data>
  </cx:chartData>
  <cx:chart>
    <cx:title pos="t" align="ctr" overlay="0">
      <cx:tx>
        <cx:txData>
          <cx:v>BALANCE: EJECUTADO vs PAGOS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BALANCE: EJECUTADO vs PAGOS</a:t>
          </a:r>
        </a:p>
      </cx:txPr>
    </cx:title>
    <cx:plotArea>
      <cx:plotAreaRegion>
        <cx:series layoutId="waterfall" uniqueId="{0BD12243-5B34-409A-AE79-22585778F485}">
          <cx:tx>
            <cx:txData>
              <cx:f/>
              <cx:v>EV SPIN</cx:v>
            </cx:txData>
          </cx:tx>
          <cx:spPr>
            <a:ln w="12700">
              <a:noFill/>
            </a:ln>
          </cx:spPr>
          <cx:dataPt idx="0">
            <cx:spPr>
              <a:solidFill>
                <a:srgbClr val="FF0000"/>
              </a:solidFill>
              <a:ln w="28575">
                <a:solidFill>
                  <a:sysClr val="windowText" lastClr="000000"/>
                </a:solidFill>
              </a:ln>
            </cx:spPr>
          </cx:dataPt>
          <cx:dataPt idx="15">
            <cx:spPr>
              <a:ln w="28575">
                <a:solidFill>
                  <a:sysClr val="windowText" lastClr="000000"/>
                </a:solidFill>
              </a:ln>
            </cx:spPr>
          </cx:dataPt>
          <cx:dataPt idx="16">
            <cx:spPr>
              <a:ln w="28575">
                <a:solidFill>
                  <a:sysClr val="windowText" lastClr="000000"/>
                </a:solidFill>
              </a:ln>
            </cx:spPr>
          </cx:dataPt>
          <cx:dataLabels pos="outEnd">
            <cx:numFmt formatCode="+#,##0.00_ ;[Rojo]-#,##0.00 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/>
                </a:pPr>
                <a:endParaRPr lang="es-ES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rgbClr val="FF0000"/>
                      </a:solidFill>
                    </a:defRPr>
                  </a:pPr>
                  <a:r>
                    <a:rPr lang="es-ES" sz="1200" b="0" i="0" u="none" strike="noStrike" baseline="0">
                      <a:solidFill>
                        <a:srgbClr val="FF0000"/>
                      </a:solidFill>
                      <a:latin typeface="Aptos Narrow" panose="02110004020202020204"/>
                    </a:rPr>
                    <a:t>-1,500,000.00 </a:t>
                  </a:r>
                </a:p>
              </cx:txPr>
            </cx:dataLabel>
            <cx:dataLabel idx="15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ysClr val="windowText" lastClr="000000"/>
                      </a:solidFill>
                    </a:defRPr>
                  </a:pPr>
                  <a:r>
                    <a:rPr lang="es-ES" sz="1200" b="0" i="0" u="none" strike="noStrike" baseline="0">
                      <a:solidFill>
                        <a:sysClr val="windowText" lastClr="000000"/>
                      </a:solidFill>
                      <a:latin typeface="Aptos Narrow" panose="02110004020202020204"/>
                    </a:rPr>
                    <a:t>+1,702,751.60 </a:t>
                  </a:r>
                </a:p>
              </cx:txPr>
            </cx:dataLabel>
          </cx:dataLabels>
          <cx:dataId val="0"/>
          <cx:layoutPr>
            <cx:visibility connectorLines="1"/>
            <cx:subtotals>
              <cx:idx val="0"/>
              <cx:idx val="15"/>
              <cx:idx val="16"/>
              <cx:idx val="17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 max="3000000"/>
        <cx:majorGridlines/>
        <cx:tickLabels/>
        <cx:numFmt formatCode="$#,##0;[Rojo]-$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s-E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_xlchart.v5.7</cx:f>
      </cx:strDim>
      <cx:numDim type="val">
        <cx:f>_xlchart.v5.8</cx:f>
      </cx:numDim>
    </cx:data>
  </cx:chartData>
  <cx:chart>
    <cx:title pos="t" align="ctr" overlay="0">
      <cx:tx>
        <cx:txData>
          <cx:v>BALANCE: EJECUTADO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BALANCE: EJECUTADO</a:t>
          </a:r>
        </a:p>
      </cx:txPr>
    </cx:title>
    <cx:plotArea>
      <cx:plotAreaRegion>
        <cx:series layoutId="waterfall" uniqueId="{0BD12243-5B34-409A-AE79-22585778F485}">
          <cx:tx>
            <cx:txData>
              <cx:f/>
              <cx:v>EV SPIN</cx:v>
            </cx:txData>
          </cx:tx>
          <cx:spPr>
            <a:ln w="12700">
              <a:noFill/>
            </a:ln>
          </cx:spPr>
          <cx:dataPt idx="0">
            <cx:spPr>
              <a:solidFill>
                <a:srgbClr val="196B24">
                  <a:lumMod val="60000"/>
                  <a:lumOff val="40000"/>
                </a:srgbClr>
              </a:solidFill>
            </cx:spPr>
          </cx:dataPt>
          <cx:dataPt idx="12">
            <cx:spPr>
              <a:ln w="28575">
                <a:solidFill>
                  <a:sysClr val="windowText" lastClr="000000"/>
                </a:solidFill>
              </a:ln>
            </cx:spPr>
          </cx:dataPt>
          <cx:dataLabels pos="outEnd">
            <cx:numFmt formatCode="+#,##0.00_ ;[Rojo]-#,##0.00 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/>
                </a:pPr>
                <a:endParaRPr lang="es-ES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connectorLines="1"/>
            <cx:subtotals>
              <cx:idx val="0"/>
              <cx:idx val="12"/>
              <cx:idx val="15"/>
              <cx:idx val="16"/>
              <cx:idx val="17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  <cx:numFmt formatCode="$#,##0;[Rojo]-$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s-E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_xlchart.v5.9</cx:f>
      </cx:strDim>
      <cx:numDim type="val">
        <cx:f>_xlchart.v5.10</cx:f>
      </cx:numDim>
    </cx:data>
  </cx:chartData>
  <cx:chart>
    <cx:title pos="t" align="ctr" overlay="0">
      <cx:tx>
        <cx:txData>
          <cx:v>CIS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CIS</a:t>
          </a:r>
        </a:p>
      </cx:txPr>
    </cx:title>
    <cx:plotArea>
      <cx:plotAreaRegion>
        <cx:series layoutId="waterfall" uniqueId="{9690BC3B-3B14-40D7-A417-40D150BFAFD9}">
          <cx:dataLabels>
            <cx:numFmt formatCode="+#,##0.00" sourceLinked="0"/>
            <cx:visibility seriesName="0" categoryName="0" value="1"/>
            <cx:separator>, </cx:separator>
          </cx:dataLabels>
          <cx:dataId val="0"/>
          <cx:layoutPr>
            <cx:subtotals>
              <cx:idx val="14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  <cx:numFmt formatCode="Estándar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s-E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_xlchart.v5.11</cx:f>
      </cx:strDim>
      <cx:numDim type="val">
        <cx:f>_xlchart.v5.12</cx:f>
      </cx:numDim>
    </cx:data>
  </cx:chartData>
  <cx:chart>
    <cx:title pos="t" align="ctr" overlay="0">
      <cx:tx>
        <cx:txData>
          <cx:v>DCVG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DCVG</a:t>
          </a:r>
        </a:p>
      </cx:txPr>
    </cx:title>
    <cx:plotArea>
      <cx:plotAreaRegion>
        <cx:series layoutId="waterfall" uniqueId="{4FCA17D9-696D-4B56-A043-0FE2FEAD072B}">
          <cx:dataLabels>
            <cx:numFmt formatCode="+#,##0.00" sourceLinked="0"/>
            <cx:visibility seriesName="0" categoryName="0" value="1"/>
            <cx:separator>, </cx:separator>
          </cx:dataLabels>
          <cx:dataId val="0"/>
          <cx:layoutPr>
            <cx:subtotals>
              <cx:idx val="14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  <cx:numFmt formatCode="Estándar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s-E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_xlchart.v5.13</cx:f>
      </cx:strDim>
      <cx:numDim type="val">
        <cx:f>_xlchart.v5.14</cx:f>
      </cx:numDim>
    </cx:data>
  </cx:chartData>
  <cx:chart>
    <cx:title pos="t" align="ctr" overlay="0">
      <cx:tx>
        <cx:txData>
          <cx:v>LOCALIZACION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LOCALIZACION</a:t>
          </a:r>
        </a:p>
      </cx:txPr>
    </cx:title>
    <cx:plotArea>
      <cx:plotAreaRegion>
        <cx:series layoutId="waterfall" uniqueId="{8797FBA9-295A-4676-9233-9FC81EFA5BDF}">
          <cx:dataLabels>
            <cx:numFmt formatCode="+#,##0.00" sourceLinked="0"/>
            <cx:visibility seriesName="0" categoryName="0" value="1"/>
            <cx:separator>, </cx:separator>
          </cx:dataLabels>
          <cx:dataId val="0"/>
          <cx:layoutPr>
            <cx:subtotals>
              <cx:idx val="14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  <cx:numFmt formatCode="Estándar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s-E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_xlchart.v5.15</cx:f>
      </cx:strDim>
      <cx:numDim type="val">
        <cx:f>_xlchart.v5.16</cx:f>
      </cx:numDim>
    </cx:data>
  </cx:chartData>
  <cx:chart>
    <cx:title pos="t" align="ctr" overlay="0">
      <cx:tx>
        <cx:txData>
          <cx:v>POTENIALES ON OFF AC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POTENIALES ON OFF AC</a:t>
          </a:r>
        </a:p>
      </cx:txPr>
    </cx:title>
    <cx:plotArea>
      <cx:plotAreaRegion>
        <cx:series layoutId="waterfall" uniqueId="{00000004-23D9-48BD-82A0-1BF86E5C0F19}">
          <cx:dataLabels>
            <cx:numFmt formatCode="+#,##0" sourceLinked="0"/>
            <cx:visibility seriesName="0" categoryName="0" value="1"/>
            <cx:separator>, </cx:separator>
          </cx:dataLabels>
          <cx:dataId val="0"/>
          <cx:layoutPr>
            <cx:subtotals>
              <cx:idx val="14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 max="400"/>
        <cx:majorGridlines/>
        <cx:tickLabels/>
        <cx:numFmt formatCode="Estándar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s-E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_xlchart.v5.17</cx:f>
      </cx:strDim>
      <cx:numDim type="val">
        <cx:f>_xlchart.v5.18</cx:f>
      </cx:numDim>
    </cx:data>
  </cx:chartData>
  <cx:chart>
    <cx:title pos="t" align="ctr" overlay="0">
      <cx:tx>
        <cx:txData>
          <cx:v>RESISTIVIDAD PH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RESISTIVIDAD PH</a:t>
          </a:r>
        </a:p>
      </cx:txPr>
    </cx:title>
    <cx:plotArea>
      <cx:plotAreaRegion>
        <cx:series layoutId="waterfall" uniqueId="{00000000-70DE-48D6-B0D7-D9A34937A210}">
          <cx:dataLabels>
            <cx:numFmt formatCode="+#,##0" sourceLinked="0"/>
            <cx:visibility seriesName="0" categoryName="0" value="1"/>
            <cx:separator>, </cx:separator>
          </cx:dataLabels>
          <cx:dataId val="0"/>
          <cx:layoutPr>
            <cx:subtotals>
              <cx:idx val="14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 max="300"/>
        <cx:majorGridlines/>
        <cx:tickLabels/>
        <cx:numFmt formatCode="Estándar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s-E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_xlchart.v5.19</cx:f>
      </cx:strDim>
      <cx:numDim type="val">
        <cx:f>_xlchart.v5.20</cx:f>
      </cx:numDim>
    </cx:data>
  </cx:chartData>
  <cx:chart>
    <cx:title pos="t" align="ctr" overlay="0">
      <cx:tx>
        <cx:txData>
          <cx:v>POTENIALES ON NATURALES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POTENIALES ON NATURALES</a:t>
          </a:r>
        </a:p>
      </cx:txPr>
    </cx:title>
    <cx:plotArea>
      <cx:plotAreaRegion>
        <cx:series layoutId="waterfall" uniqueId="{00000000-747C-43C8-B4A7-5A9C9FD90804}">
          <cx:dataLabels>
            <cx:numFmt formatCode="+#,##0" sourceLinked="0"/>
            <cx:visibility seriesName="0" categoryName="0" value="1"/>
            <cx:separator>, </cx:separator>
          </cx:dataLabels>
          <cx:dataId val="0"/>
          <cx:layoutPr>
            <cx:subtotals>
              <cx:idx val="14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 max="400"/>
        <cx:majorGridlines/>
        <cx:tickLabels/>
        <cx:numFmt formatCode="Estándar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s-E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_xlchart.v5.35</cx:f>
      </cx:strDim>
      <cx:numDim type="val">
        <cx:f>_xlchart.v5.36</cx:f>
      </cx:numDim>
    </cx:data>
  </cx:chartData>
  <cx:chart>
    <cx:title pos="t" align="ctr" overlay="0">
      <cx:tx>
        <cx:txData>
          <cx:v>BALANCE: EJECUTADO vs PAGOS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s-ES" sz="1400" b="0" i="0" u="none" strike="noStrike" baseline="0">
              <a:solidFill>
                <a:schemeClr val="bg1"/>
              </a:solidFill>
              <a:latin typeface="Aptos Narrow" panose="02110004020202020204"/>
            </a:rPr>
            <a:t>BALANCE: EJECUTADO vs PAGOS</a:t>
          </a:r>
        </a:p>
      </cx:txPr>
    </cx:title>
    <cx:plotArea>
      <cx:plotAreaRegion>
        <cx:plotSurface>
          <cx:spPr>
            <a:noFill/>
            <a:ln>
              <a:noFill/>
            </a:ln>
          </cx:spPr>
        </cx:plotSurface>
        <cx:series layoutId="waterfall" uniqueId="{0BD12243-5B34-409A-AE79-22585778F485}">
          <cx:tx>
            <cx:txData>
              <cx:f/>
              <cx:v>EV SPIN</cx:v>
            </cx:txData>
          </cx:tx>
          <cx:spPr>
            <a:ln w="12700">
              <a:noFill/>
            </a:ln>
          </cx:spPr>
          <cx:dataPt idx="0">
            <cx:spPr>
              <a:solidFill>
                <a:srgbClr val="FF0000"/>
              </a:solidFill>
              <a:ln w="28575">
                <a:solidFill>
                  <a:sysClr val="windowText" lastClr="000000"/>
                </a:solidFill>
              </a:ln>
            </cx:spPr>
          </cx:dataPt>
          <cx:dataPt idx="15">
            <cx:spPr>
              <a:ln w="28575">
                <a:solidFill>
                  <a:sysClr val="windowText" lastClr="000000"/>
                </a:solidFill>
              </a:ln>
            </cx:spPr>
          </cx:dataPt>
          <cx:dataPt idx="16">
            <cx:spPr>
              <a:ln w="28575">
                <a:solidFill>
                  <a:sysClr val="windowText" lastClr="000000"/>
                </a:solidFill>
              </a:ln>
            </cx:spPr>
          </cx:dataPt>
          <cx:dataLabels pos="outEnd">
            <cx:numFmt formatCode="+$ #,##0.00_ ;[Rojo]-$ #,##0.00 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900">
                    <a:solidFill>
                      <a:schemeClr val="bg1"/>
                    </a:solidFill>
                  </a:defRPr>
                </a:pPr>
                <a:endParaRPr lang="es-ES" sz="900" b="0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s-ES" sz="1200" b="0" i="0" u="none" strike="noStrike" baseline="0">
                      <a:solidFill>
                        <a:schemeClr val="bg1"/>
                      </a:solidFill>
                      <a:latin typeface="Aptos Narrow" panose="02110004020202020204"/>
                    </a:rPr>
                    <a:t>-$ 1,500,000.00 </a:t>
                  </a:r>
                </a:p>
              </cx:txPr>
            </cx:dataLabel>
            <cx:dataLabel idx="15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s-ES" sz="1200" b="0" i="0" u="none" strike="noStrike" baseline="0">
                      <a:solidFill>
                        <a:schemeClr val="bg1"/>
                      </a:solidFill>
                      <a:latin typeface="Aptos Narrow" panose="02110004020202020204"/>
                    </a:rPr>
                    <a:t>+$ 1,702,751.60 </a:t>
                  </a:r>
                </a:p>
              </cx:txPr>
            </cx:dataLabel>
            <cx:dataLabelHidden idx="4"/>
          </cx:dataLabels>
          <cx:dataId val="0"/>
          <cx:layoutPr>
            <cx:visibility connectorLines="1"/>
            <cx:subtotals>
              <cx:idx val="0"/>
              <cx:idx val="15"/>
              <cx:idx val="16"/>
              <cx:idx val="17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>
                <a:solidFill>
                  <a:schemeClr val="bg1"/>
                </a:solidFill>
              </a:defRPr>
            </a:pPr>
            <a:endParaRPr lang="es-ES" sz="11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  <cx:axis id="1">
        <cx:valScaling max="2000000"/>
        <cx:majorGridlines/>
        <cx:tickLabels/>
        <cx:numFmt formatCode="$#,##0;[Rojo]-$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>
                <a:solidFill>
                  <a:schemeClr val="bg1"/>
                </a:solidFill>
              </a:defRPr>
            </a:pPr>
            <a:endParaRPr lang="es-ES" sz="12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endParaRPr lang="es-ES" sz="900" b="0" i="0" u="none" strike="noStrike" baseline="0">
            <a:solidFill>
              <a:schemeClr val="bg1"/>
            </a:solidFill>
            <a:latin typeface="Aptos Narrow" panose="02110004020202020204"/>
          </a:endParaRPr>
        </a:p>
      </cx:txPr>
    </cx:legend>
  </cx:chart>
  <cx:spPr>
    <a:noFill/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_xlchart.v5.23</cx:f>
      </cx:strDim>
      <cx:numDim type="val">
        <cx:f>_xlchart.v5.24</cx:f>
      </cx:numDim>
    </cx:data>
  </cx:chartData>
  <cx:chart>
    <cx:title pos="t" align="ctr" overlay="0">
      <cx:tx>
        <cx:txData>
          <cx:v>CIS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s-ES" sz="1400" b="0" i="0" u="none" strike="noStrike" baseline="0">
              <a:solidFill>
                <a:schemeClr val="bg1"/>
              </a:solidFill>
              <a:latin typeface="Aptos Narrow" panose="02110004020202020204"/>
            </a:rPr>
            <a:t>CIS</a:t>
          </a:r>
        </a:p>
      </cx:txPr>
    </cx:title>
    <cx:plotArea>
      <cx:plotAreaRegion>
        <cx:series layoutId="waterfall" uniqueId="{9690BC3B-3B14-40D7-A417-40D150BFAFD9}">
          <cx:dataLabels pos="outEnd">
            <cx:spPr>
              <a:noFill/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800">
                    <a:solidFill>
                      <a:schemeClr val="bg1"/>
                    </a:solidFill>
                  </a:defRPr>
                </a:pPr>
                <a:endParaRPr lang="es-ES" sz="800" b="0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  <cx:dataLabelHidden idx="3"/>
            <cx:dataLabelHidden idx="4"/>
            <cx:dataLabelHidden idx="5"/>
          </cx:dataLabels>
          <cx:dataId val="0"/>
          <cx:layoutPr>
            <cx:subtotals>
              <cx:idx val="14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>
                <a:solidFill>
                  <a:schemeClr val="bg1"/>
                </a:solidFill>
              </a:defRPr>
            </a:pPr>
            <a:endParaRPr lang="es-ES" sz="11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  <cx:axis id="1">
        <cx:valScaling max="200"/>
        <cx:majorGridlines/>
        <cx:tickLabels/>
        <cx:numFmt formatCode="Estándar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>
                <a:solidFill>
                  <a:schemeClr val="bg1"/>
                </a:solidFill>
              </a:defRPr>
            </a:pPr>
            <a:endParaRPr lang="es-ES" sz="12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endParaRPr lang="es-ES" sz="900" b="0" i="0" u="none" strike="noStrike" baseline="0">
            <a:solidFill>
              <a:schemeClr val="bg1"/>
            </a:solidFill>
            <a:latin typeface="Aptos Narrow" panose="02110004020202020204"/>
          </a:endParaRPr>
        </a:p>
      </cx:txPr>
    </cx:legend>
  </cx:chart>
  <cx:spPr>
    <a:noFill/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_xlchart.v5.25</cx:f>
      </cx:strDim>
      <cx:numDim type="val">
        <cx:f>_xlchart.v5.26</cx:f>
      </cx:numDim>
    </cx:data>
  </cx:chartData>
  <cx:chart>
    <cx:title pos="t" align="ctr" overlay="0">
      <cx:tx>
        <cx:txData>
          <cx:v>DCVG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s-ES" sz="1400" b="0" i="0" u="none" strike="noStrike" baseline="0">
              <a:solidFill>
                <a:schemeClr val="bg1"/>
              </a:solidFill>
              <a:latin typeface="Aptos Narrow" panose="02110004020202020204"/>
            </a:rPr>
            <a:t>DCVG</a:t>
          </a:r>
        </a:p>
      </cx:txPr>
    </cx:title>
    <cx:plotArea>
      <cx:plotAreaRegion>
        <cx:series layoutId="waterfall" uniqueId="{4FCA17D9-696D-4B56-A043-0FE2FEAD072B}"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bg1"/>
                    </a:solidFill>
                  </a:defRPr>
                </a:pPr>
                <a:endParaRPr lang="es-ES" sz="900" b="0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  <cx:dataLabelHidden idx="3"/>
            <cx:dataLabelHidden idx="4"/>
            <cx:dataLabelHidden idx="7"/>
            <cx:dataLabelHidden idx="10"/>
          </cx:dataLabels>
          <cx:dataId val="0"/>
          <cx:layoutPr>
            <cx:subtotals>
              <cx:idx val="14"/>
            </cx:subtotals>
          </cx:layoutPr>
        </cx:series>
      </cx:plotAreaRegion>
      <cx:axis id="0">
        <cx:catScaling gapWidth="0.379999995"/>
        <cx:title>
          <cx:tx>
            <cx:txData>
              <cx:v>fecha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chemeClr val="tx1">
                      <a:lumMod val="75000"/>
                      <a:lumOff val="25000"/>
                    </a:schemeClr>
                  </a:solidFill>
                </a:defRPr>
              </a:pPr>
              <a:r>
                <a:rPr lang="es-ES" sz="900" b="0" i="0" u="none" strike="noStrike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Narrow" panose="02110004020202020204"/>
                </a:rPr>
                <a:t>fecha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>
                <a:solidFill>
                  <a:schemeClr val="bg1"/>
                </a:solidFill>
              </a:defRPr>
            </a:pPr>
            <a:endParaRPr lang="es-ES" sz="11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  <cx:axis id="1">
        <cx:valScaling max="200"/>
        <cx:title>
          <cx:tx>
            <cx:txData>
              <cx:v>kms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kms</a:t>
              </a:r>
            </a:p>
          </cx:txPr>
        </cx:title>
        <cx:majorGridlines/>
        <cx:tickLabels/>
        <cx:numFmt formatCode="Estándar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>
                <a:solidFill>
                  <a:schemeClr val="bg1"/>
                </a:solidFill>
              </a:defRPr>
            </a:pPr>
            <a:endParaRPr lang="es-ES" sz="12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endParaRPr lang="es-ES" sz="900" b="0" i="0" u="none" strike="noStrike" baseline="0">
            <a:solidFill>
              <a:schemeClr val="bg1"/>
            </a:solidFill>
            <a:latin typeface="Aptos Narrow" panose="02110004020202020204"/>
          </a:endParaRPr>
        </a:p>
      </cx:txPr>
    </cx:legend>
  </cx:chart>
  <cx:spPr>
    <a:noFill/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_xlchart.v5.27</cx:f>
      </cx:strDim>
      <cx:numDim type="val">
        <cx:f>_xlchart.v5.28</cx:f>
      </cx:numDim>
    </cx:data>
  </cx:chartData>
  <cx:chart>
    <cx:title pos="t" align="ctr" overlay="0">
      <cx:tx>
        <cx:txData>
          <cx:v>LOCALIZACION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s-ES" sz="1400" b="0" i="0" u="none" strike="noStrike" baseline="0">
              <a:solidFill>
                <a:schemeClr val="bg1"/>
              </a:solidFill>
              <a:latin typeface="Aptos Narrow" panose="02110004020202020204"/>
            </a:rPr>
            <a:t>LOCALIZACION</a:t>
          </a:r>
        </a:p>
      </cx:txPr>
    </cx:title>
    <cx:plotArea>
      <cx:plotAreaRegion>
        <cx:series layoutId="waterfall" uniqueId="{8797FBA9-295A-4676-9233-9FC81EFA5BDF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bg1"/>
                    </a:solidFill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endParaRPr lang="es-MX">
                  <a:solidFill>
                    <a:schemeClr val="bg1"/>
                  </a:solidFill>
                </a:endParaRPr>
              </a:p>
            </cx:txPr>
            <cx:visibility seriesName="0" categoryName="0" value="1"/>
            <cx:separator>, </cx:separator>
            <cx:dataLabelHidden idx="3"/>
          </cx:dataLabels>
          <cx:dataId val="0"/>
          <cx:layoutPr>
            <cx:subtotals>
              <cx:idx val="14"/>
            </cx:subtotals>
          </cx:layoutPr>
        </cx:series>
      </cx:plotAreaRegion>
      <cx:axis id="0">
        <cx:catScaling gapWidth="0.379999995"/>
        <cx:title>
          <cx:tx>
            <cx:txData>
              <cx:v>Título del eje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chemeClr val="tx1">
                      <a:lumMod val="75000"/>
                      <a:lumOff val="25000"/>
                    </a:schemeClr>
                  </a:solidFill>
                </a:defRPr>
              </a:pPr>
              <a:r>
                <a:rPr lang="es-ES" sz="900" b="0" i="0" u="none" strike="noStrike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Narrow" panose="02110004020202020204"/>
                </a:rPr>
                <a:t>Título del eje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>
                <a:solidFill>
                  <a:schemeClr val="bg1"/>
                </a:solidFill>
              </a:defRPr>
            </a:pPr>
            <a:endParaRPr lang="es-ES" sz="11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  <cx:axis id="1">
        <cx:valScaling max="200"/>
        <cx:majorGridlines/>
        <cx:tickLabels/>
        <cx:numFmt formatCode="Estándar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>
                <a:solidFill>
                  <a:schemeClr val="bg1"/>
                </a:solidFill>
              </a:defRPr>
            </a:pPr>
            <a:endParaRPr lang="es-ES" sz="12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endParaRPr lang="es-ES" sz="900" b="0" i="0" u="none" strike="noStrike" baseline="0">
            <a:solidFill>
              <a:schemeClr val="bg1"/>
            </a:solidFill>
            <a:latin typeface="Aptos Narrow" panose="02110004020202020204"/>
          </a:endParaRPr>
        </a:p>
      </cx:txPr>
    </cx:legend>
  </cx:chart>
  <cx:spPr>
    <a:noFill/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_xlchart.v5.29</cx:f>
      </cx:strDim>
      <cx:numDim type="val">
        <cx:f>_xlchart.v5.30</cx:f>
      </cx:numDim>
    </cx:data>
  </cx:chartData>
  <cx:chart>
    <cx:title pos="t" align="ctr" overlay="0">
      <cx:tx>
        <cx:txData>
          <cx:v>POTENIALES ON OFF AC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s-ES" sz="14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s-ES" sz="14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rPr>
            <a:t>POTENIALES ON OFF AC</a:t>
          </a:r>
        </a:p>
      </cx:txPr>
    </cx:title>
    <cx:plotArea>
      <cx:plotAreaRegion>
        <cx:series layoutId="waterfall" uniqueId="{00000004-23D9-48BD-82A0-1BF86E5C0F19}">
          <cx:dataLabels>
            <cx:numFmt formatCode="+#,##0" sourceLinked="0"/>
            <cx:txPr>
              <a:bodyPr vertOverflow="overflow" horzOverflow="overflow" wrap="square" lIns="0" tIns="0" rIns="0" bIns="0"/>
              <a:lstStyle/>
              <a:p>
                <a:pPr algn="ctr" rtl="0">
                  <a:defRPr lang="es-ES" sz="1050" b="0" i="0" u="none" strike="noStrike" baseline="0">
                    <a:solidFill>
                      <a:schemeClr val="bg1"/>
                    </a:solidFill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s-ES" sz="1050" b="0" i="0" u="none" strike="noStrike" baseline="0">
                  <a:solidFill>
                    <a:schemeClr val="bg1"/>
                  </a:solidFill>
                  <a:latin typeface="Aptos Narrow" panose="02110004020202020204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x:txPr>
            <cx:visibility seriesName="0" categoryName="0" value="1"/>
            <cx:separator>, </cx:separator>
            <cx:dataLabelHidden idx="0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</cx:dataLabels>
          <cx:dataId val="0"/>
          <cx:layoutPr>
            <cx:subtotals>
              <cx:idx val="14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lang="es-ES" sz="1100" b="0" i="0" u="none" strike="noStrike" baseline="0">
                <a:solidFill>
                  <a:schemeClr val="bg1"/>
                </a:solidFill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ES" sz="11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  <cx:axis id="1">
        <cx:valScaling/>
        <cx:majorGridlines/>
        <cx:tickLabels/>
        <cx:numFmt formatCode="Estándar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lang="es-ES" sz="1100" b="0" i="0" u="none" strike="noStrike" baseline="0">
                <a:solidFill>
                  <a:schemeClr val="bg1"/>
                </a:solidFill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ES" sz="11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s-ES" sz="10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defRPr>
          </a:pPr>
          <a:endParaRPr lang="es-ES" sz="1000" b="0" i="0" u="none" strike="noStrike" baseline="0">
            <a:solidFill>
              <a:schemeClr val="bg1"/>
            </a:solidFill>
            <a:latin typeface="Aptos Narrow" panose="02110004020202020204"/>
            <a:ea typeface="Calibri" panose="020F0502020204030204" pitchFamily="34" charset="0"/>
            <a:cs typeface="Calibri" panose="020F0502020204030204" pitchFamily="34" charset="0"/>
          </a:endParaRPr>
        </a:p>
      </cx:txPr>
    </cx:legend>
  </cx:chart>
  <cx:spPr>
    <a:noFill/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_xlchart.v5.31</cx:f>
      </cx:strDim>
      <cx:numDim type="val">
        <cx:f>_xlchart.v5.32</cx:f>
      </cx:numDim>
    </cx:data>
  </cx:chartData>
  <cx:chart>
    <cx:title pos="t" align="ctr" overlay="0">
      <cx:tx>
        <cx:txData>
          <cx:v>RESISTIVIDAD PH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s-ES" sz="14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s-ES" sz="14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rPr>
            <a:t>RESISTIVIDAD PH</a:t>
          </a:r>
        </a:p>
      </cx:txPr>
    </cx:title>
    <cx:plotArea>
      <cx:plotAreaRegion>
        <cx:series layoutId="waterfall" uniqueId="{00000000-70DE-48D6-B0D7-D9A34937A210}">
          <cx:dataLabels>
            <cx:numFmt formatCode="+#,##0" sourceLinked="0"/>
            <cx:txPr>
              <a:bodyPr vertOverflow="overflow" horzOverflow="overflow" wrap="square" lIns="0" tIns="0" rIns="0" bIns="0"/>
              <a:lstStyle/>
              <a:p>
                <a:pPr algn="ctr" rtl="0">
                  <a:defRPr lang="es-ES" sz="1400" b="0" i="0" u="none" strike="noStrike" baseline="0">
                    <a:solidFill>
                      <a:schemeClr val="bg1"/>
                    </a:solidFill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s-ES" sz="1400" b="0" i="0" u="none" strike="noStrike" baseline="0">
                  <a:solidFill>
                    <a:schemeClr val="bg1"/>
                  </a:solidFill>
                  <a:latin typeface="Aptos Narrow" panose="02110004020202020204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x:txPr>
            <cx:visibility seriesName="0" categoryName="0" value="1"/>
            <cx:separator>, </cx:separator>
            <cx:dataLabelHidden idx="0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</cx:dataLabels>
          <cx:dataId val="0"/>
          <cx:layoutPr>
            <cx:subtotals>
              <cx:idx val="14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lang="es-ES" sz="1200" b="0" i="0" u="none" strike="noStrike" baseline="0">
                <a:solidFill>
                  <a:schemeClr val="bg1"/>
                </a:solidFill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ES" sz="12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  <cx:axis id="1">
        <cx:valScaling max="300"/>
        <cx:majorGridlines/>
        <cx:tickLabels/>
        <cx:numFmt formatCode="Estándar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lang="es-ES" sz="1200" b="0" i="0" u="none" strike="noStrike" baseline="0">
                <a:solidFill>
                  <a:schemeClr val="bg1"/>
                </a:solidFill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ES" sz="12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s-ES" sz="14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defRPr>
          </a:pPr>
          <a:endParaRPr lang="es-ES" sz="1400" b="0" i="0" u="none" strike="noStrike" baseline="0">
            <a:solidFill>
              <a:schemeClr val="bg1"/>
            </a:solidFill>
            <a:latin typeface="Aptos Narrow" panose="02110004020202020204"/>
            <a:ea typeface="Calibri" panose="020F0502020204030204" pitchFamily="34" charset="0"/>
            <a:cs typeface="Calibri" panose="020F0502020204030204" pitchFamily="34" charset="0"/>
          </a:endParaRPr>
        </a:p>
      </cx:txPr>
    </cx:legend>
  </cx:chart>
  <cx:spPr>
    <a:noFill/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_xlchart.v5.33</cx:f>
      </cx:strDim>
      <cx:numDim type="val">
        <cx:f>_xlchart.v5.34</cx:f>
      </cx:numDim>
    </cx:data>
  </cx:chartData>
  <cx:chart>
    <cx:title pos="t" align="ctr" overlay="0">
      <cx:tx>
        <cx:txData>
          <cx:v>POTENIALES ON NATURALES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s-ES" sz="14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s-ES" sz="14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rPr>
            <a:t>POTENIALES ON NATURALES</a:t>
          </a:r>
        </a:p>
      </cx:txPr>
    </cx:title>
    <cx:plotArea>
      <cx:plotAreaRegion>
        <cx:series layoutId="waterfall" uniqueId="{00000000-747C-43C8-B4A7-5A9C9FD90804}">
          <cx:dataLabels>
            <cx:numFmt formatCode="+#,##0" sourceLinked="0"/>
            <cx:txPr>
              <a:bodyPr vertOverflow="overflow" horzOverflow="overflow" wrap="square" lIns="0" tIns="0" rIns="0" bIns="0"/>
              <a:lstStyle/>
              <a:p>
                <a:pPr algn="ctr" rtl="0">
                  <a:defRPr lang="es-ES" sz="1400" b="0" i="0" u="none" strike="noStrike" baseline="0">
                    <a:solidFill>
                      <a:schemeClr val="bg1"/>
                    </a:solidFill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s-ES" sz="1400" b="0" i="0" u="none" strike="noStrike" baseline="0">
                  <a:solidFill>
                    <a:schemeClr val="bg1"/>
                  </a:solidFill>
                  <a:latin typeface="Aptos Narrow" panose="02110004020202020204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x:txPr>
            <cx:visibility seriesName="0" categoryName="0" value="1"/>
            <cx:separator>, </cx:separator>
            <cx:dataLabelHidden idx="0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</cx:dataLabels>
          <cx:dataId val="0"/>
          <cx:layoutPr>
            <cx:subtotals>
              <cx:idx val="14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lang="es-ES" sz="1100" b="0" i="0" u="none" strike="noStrike" baseline="0">
                <a:solidFill>
                  <a:schemeClr val="bg1"/>
                </a:solidFill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ES" sz="11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  <cx:axis id="1">
        <cx:valScaling max="400"/>
        <cx:majorGridlines/>
        <cx:tickLabels/>
        <cx:numFmt formatCode="Estándar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lang="es-ES" sz="1100" b="0" i="0" u="none" strike="noStrike" baseline="0">
                <a:solidFill>
                  <a:schemeClr val="bg1"/>
                </a:solidFill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ES" sz="11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s-ES" sz="14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defRPr>
          </a:pPr>
          <a:endParaRPr lang="es-ES" sz="1400" b="0" i="0" u="none" strike="noStrike" baseline="0">
            <a:solidFill>
              <a:schemeClr val="bg1"/>
            </a:solidFill>
            <a:latin typeface="Aptos Narrow" panose="02110004020202020204"/>
            <a:ea typeface="Calibri" panose="020F0502020204030204" pitchFamily="34" charset="0"/>
            <a:cs typeface="Calibri" panose="020F0502020204030204" pitchFamily="34" charset="0"/>
          </a:endParaRPr>
        </a:p>
      </cx:txPr>
    </cx:legend>
  </cx:chart>
  <cx:spPr>
    <a:noFill/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_xlchart.v5.37</cx:f>
      </cx:strDim>
      <cx:numDim type="val">
        <cx:f>_xlchart.v5.38</cx:f>
      </cx:numDim>
    </cx:data>
  </cx:chartData>
  <cx:chart>
    <cx:title pos="t" align="ctr" overlay="0">
      <cx:tx>
        <cx:txData>
          <cx:v>BALANCE: EJECUTADO VS GASTOS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BALANCE: EJECUTADO VS GASTOS</a:t>
          </a:r>
        </a:p>
      </cx:txPr>
    </cx:title>
    <cx:plotArea>
      <cx:plotAreaRegion>
        <cx:series layoutId="waterfall" uniqueId="{0BD12243-5B34-409A-AE79-22585778F485}" formatIdx="0">
          <cx:tx>
            <cx:txData>
              <cx:f/>
              <cx:v>Balance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/>
                </a:pPr>
                <a:endParaRPr lang="es-ES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visibility connectorLines="1"/>
            <cx:subtotals>
              <cx:idx val="16"/>
              <cx:idx val="17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/>
            </a:pPr>
            <a:endParaRPr lang="es-ES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  <cx:numFmt formatCode="$#,##0;[Rojo]-$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/>
            </a:pPr>
            <a:endPara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ap="rnd">
      <a:solidFill>
        <a:schemeClr val="tx1">
          <a:lumMod val="25000"/>
          <a:lumOff val="75000"/>
        </a:schemeClr>
      </a:solidFill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_xlchart.v5.39</cx:f>
      </cx:strDim>
      <cx:numDim type="val">
        <cx:f>_xlchart.v5.40</cx:f>
      </cx:numDim>
    </cx:data>
  </cx:chartData>
  <cx:chart>
    <cx:title pos="t" align="ctr" overlay="0">
      <cx:tx>
        <cx:txData>
          <cx:v>BALANCE: EJECUTADO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BALANCE: EJECUTADO</a:t>
          </a:r>
        </a:p>
      </cx:txPr>
    </cx:title>
    <cx:plotArea>
      <cx:plotAreaRegion>
        <cx:series layoutId="waterfall" uniqueId="{0BD12243-5B34-409A-AE79-22585778F485}">
          <cx:tx>
            <cx:txData>
              <cx:f>_xlchart.v5.41</cx:f>
              <cx:v/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>
              <cx:idx val="16"/>
              <cx:idx val="17"/>
            </cx:subtotals>
          </cx:layoutPr>
        </cx:series>
      </cx:plotAreaRegion>
      <cx:axis id="0">
        <cx:catScaling gapWidth="0.379999995"/>
        <cx:tickLabels/>
      </cx:axis>
      <cx:axis id="1">
        <cx:valScaling/>
        <cx:majorGridlines/>
        <cx:tickLabels/>
        <cx:numFmt formatCode="$#,##0;[Rojo]-$#,##0" sourceLinked="0"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ap="rnd">
      <a:solidFill>
        <a:schemeClr val="tx1">
          <a:lumMod val="25000"/>
          <a:lumOff val="75000"/>
        </a:schemeClr>
      </a:solidFill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0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_rels/drawing11.xml.rels><?xml version="1.0" encoding="UTF-8" standalone="yes"?>
<Relationships xmlns="http://schemas.openxmlformats.org/package/2006/relationships"><Relationship Id="rId8" Type="http://schemas.microsoft.com/office/2014/relationships/chartEx" Target="../charts/chartEx11.xml"/><Relationship Id="rId3" Type="http://schemas.microsoft.com/office/2014/relationships/chartEx" Target="../charts/chartEx6.xml"/><Relationship Id="rId7" Type="http://schemas.microsoft.com/office/2014/relationships/chartEx" Target="../charts/chartEx10.xml"/><Relationship Id="rId2" Type="http://schemas.microsoft.com/office/2014/relationships/chartEx" Target="../charts/chartEx5.xml"/><Relationship Id="rId1" Type="http://schemas.microsoft.com/office/2014/relationships/chartEx" Target="../charts/chartEx4.xml"/><Relationship Id="rId6" Type="http://schemas.microsoft.com/office/2014/relationships/chartEx" Target="../charts/chartEx9.xml"/><Relationship Id="rId5" Type="http://schemas.microsoft.com/office/2014/relationships/chartEx" Target="../charts/chartEx8.xml"/><Relationship Id="rId4" Type="http://schemas.microsoft.com/office/2014/relationships/chartEx" Target="../charts/chartEx7.xml"/></Relationships>
</file>

<file path=xl/drawings/_rels/drawing12.xml.rels><?xml version="1.0" encoding="UTF-8" standalone="yes"?>
<Relationships xmlns="http://schemas.openxmlformats.org/package/2006/relationships"><Relationship Id="rId3" Type="http://schemas.microsoft.com/office/2014/relationships/chartEx" Target="../charts/chartEx14.xml"/><Relationship Id="rId7" Type="http://schemas.microsoft.com/office/2014/relationships/chartEx" Target="../charts/chartEx18.xml"/><Relationship Id="rId2" Type="http://schemas.microsoft.com/office/2014/relationships/chartEx" Target="../charts/chartEx13.xml"/><Relationship Id="rId1" Type="http://schemas.microsoft.com/office/2014/relationships/chartEx" Target="../charts/chartEx12.xml"/><Relationship Id="rId6" Type="http://schemas.microsoft.com/office/2014/relationships/chartEx" Target="../charts/chartEx17.xml"/><Relationship Id="rId5" Type="http://schemas.microsoft.com/office/2014/relationships/chartEx" Target="../charts/chartEx16.xml"/><Relationship Id="rId4" Type="http://schemas.microsoft.com/office/2014/relationships/chartEx" Target="../charts/chartEx15.xml"/></Relationships>
</file>

<file path=xl/drawings/_rels/drawing13.xml.rels><?xml version="1.0" encoding="UTF-8" standalone="yes"?>
<Relationships xmlns="http://schemas.openxmlformats.org/package/2006/relationships"><Relationship Id="rId2" Type="http://schemas.microsoft.com/office/2014/relationships/chartEx" Target="../charts/chartEx20.xml"/><Relationship Id="rId1" Type="http://schemas.microsoft.com/office/2014/relationships/chartEx" Target="../charts/chartEx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369795</xdr:colOff>
      <xdr:row>0</xdr:row>
      <xdr:rowOff>247651</xdr:rowOff>
    </xdr:from>
    <xdr:to>
      <xdr:col>10</xdr:col>
      <xdr:colOff>768245</xdr:colOff>
      <xdr:row>0</xdr:row>
      <xdr:rowOff>952501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nombre_actividad">
              <a:extLst>
                <a:ext uri="{FF2B5EF4-FFF2-40B4-BE49-F238E27FC236}">
                  <a16:creationId xmlns:a16="http://schemas.microsoft.com/office/drawing/2014/main" id="{453C7359-0C6C-349F-144C-D762DAFC34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_activ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61229" y="247650"/>
              <a:ext cx="5087471" cy="752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0</xdr:row>
      <xdr:rowOff>200025</xdr:rowOff>
    </xdr:from>
    <xdr:to>
      <xdr:col>2</xdr:col>
      <xdr:colOff>819149</xdr:colOff>
      <xdr:row>1</xdr:row>
      <xdr:rowOff>314325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C450C7F-A152-4729-94F7-7F067FB002D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200025"/>
          <a:ext cx="1485899" cy="657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742950</xdr:colOff>
      <xdr:row>20</xdr:row>
      <xdr:rowOff>145116</xdr:rowOff>
    </xdr:from>
    <xdr:to>
      <xdr:col>17</xdr:col>
      <xdr:colOff>819150</xdr:colOff>
      <xdr:row>41</xdr:row>
      <xdr:rowOff>114299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F79EB49E-C625-4733-98BC-D83DFC6F10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2950" y="4688541"/>
              <a:ext cx="13877925" cy="39696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168520</xdr:colOff>
      <xdr:row>4</xdr:row>
      <xdr:rowOff>124009</xdr:rowOff>
    </xdr:from>
    <xdr:to>
      <xdr:col>8</xdr:col>
      <xdr:colOff>1243928</xdr:colOff>
      <xdr:row>5</xdr:row>
      <xdr:rowOff>179509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5B9F4F7-6DB9-43AD-8220-4F626301366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6070" y="1152709"/>
          <a:ext cx="1075408" cy="398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28576</xdr:colOff>
      <xdr:row>1</xdr:row>
      <xdr:rowOff>6724</xdr:rowOff>
    </xdr:from>
    <xdr:to>
      <xdr:col>27</xdr:col>
      <xdr:colOff>367554</xdr:colOff>
      <xdr:row>33</xdr:row>
      <xdr:rowOff>6724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E3B7AB70-DD86-3048-45BB-B873A6D00006}"/>
            </a:ext>
          </a:extLst>
        </xdr:cNvPr>
        <xdr:cNvGrpSpPr/>
      </xdr:nvGrpSpPr>
      <xdr:grpSpPr>
        <a:xfrm>
          <a:off x="790576" y="197224"/>
          <a:ext cx="14578853" cy="6096000"/>
          <a:chOff x="762000" y="190500"/>
          <a:chExt cx="13054853" cy="609600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395B3248-AF36-B28A-0B90-18C75569AB43}"/>
              </a:ext>
            </a:extLst>
          </xdr:cNvPr>
          <xdr:cNvGraphicFramePr>
            <a:graphicFrameLocks noChangeAspect="1"/>
          </xdr:cNvGraphicFramePr>
        </xdr:nvGraphicFramePr>
        <xdr:xfrm>
          <a:off x="762000" y="190500"/>
          <a:ext cx="13054853" cy="609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9" name="Grupo 18">
            <a:extLst>
              <a:ext uri="{FF2B5EF4-FFF2-40B4-BE49-F238E27FC236}">
                <a16:creationId xmlns:a16="http://schemas.microsoft.com/office/drawing/2014/main" id="{3768272C-CBBB-98D7-27E6-14001B5D862A}"/>
              </a:ext>
            </a:extLst>
          </xdr:cNvPr>
          <xdr:cNvGrpSpPr/>
        </xdr:nvGrpSpPr>
        <xdr:grpSpPr>
          <a:xfrm>
            <a:off x="7984608" y="3574678"/>
            <a:ext cx="2619599" cy="1792941"/>
            <a:chOff x="11940287" y="1501589"/>
            <a:chExt cx="2619599" cy="1792941"/>
          </a:xfrm>
        </xdr:grpSpPr>
        <xdr:sp macro="" textlink="">
          <xdr:nvSpPr>
            <xdr:cNvPr id="18" name="Rectángulo: esquinas redondeadas 17">
              <a:extLst>
                <a:ext uri="{FF2B5EF4-FFF2-40B4-BE49-F238E27FC236}">
                  <a16:creationId xmlns:a16="http://schemas.microsoft.com/office/drawing/2014/main" id="{ED45250A-0596-E47B-DDE8-5D08EB7ED3E2}"/>
                </a:ext>
              </a:extLst>
            </xdr:cNvPr>
            <xdr:cNvSpPr/>
          </xdr:nvSpPr>
          <xdr:spPr>
            <a:xfrm>
              <a:off x="11940287" y="1501589"/>
              <a:ext cx="2619599" cy="1792941"/>
            </a:xfrm>
            <a:prstGeom prst="roundRect">
              <a:avLst>
                <a:gd name="adj" fmla="val 6079"/>
              </a:avLst>
            </a:prstGeom>
            <a:solidFill>
              <a:sysClr val="window" lastClr="FFFFFF"/>
            </a:solidFill>
            <a:ln w="1270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grpSp>
          <xdr:nvGrpSpPr>
            <xdr:cNvPr id="17" name="Grupo 16">
              <a:extLst>
                <a:ext uri="{FF2B5EF4-FFF2-40B4-BE49-F238E27FC236}">
                  <a16:creationId xmlns:a16="http://schemas.microsoft.com/office/drawing/2014/main" id="{3AB98C35-44EF-8252-7475-408BFC57AB3E}"/>
                </a:ext>
              </a:extLst>
            </xdr:cNvPr>
            <xdr:cNvGrpSpPr/>
          </xdr:nvGrpSpPr>
          <xdr:grpSpPr>
            <a:xfrm>
              <a:off x="12009125" y="1512795"/>
              <a:ext cx="2476052" cy="1714502"/>
              <a:chOff x="12080619" y="2073089"/>
              <a:chExt cx="2476052" cy="1714502"/>
            </a:xfrm>
          </xdr:grpSpPr>
          <xdr:sp macro="" textlink="">
            <xdr:nvSpPr>
              <xdr:cNvPr id="5" name="CuadroTexto 4">
                <a:extLst>
                  <a:ext uri="{FF2B5EF4-FFF2-40B4-BE49-F238E27FC236}">
                    <a16:creationId xmlns:a16="http://schemas.microsoft.com/office/drawing/2014/main" id="{480D2B03-EC46-0389-8E9B-1C1D2CC77303}"/>
                  </a:ext>
                </a:extLst>
              </xdr:cNvPr>
              <xdr:cNvSpPr txBox="1"/>
            </xdr:nvSpPr>
            <xdr:spPr>
              <a:xfrm>
                <a:off x="12080620" y="2073089"/>
                <a:ext cx="1364574" cy="26985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r>
                  <a:rPr lang="es-MX" sz="1100"/>
                  <a:t>Localización [kms]</a:t>
                </a:r>
              </a:p>
            </xdr:txBody>
          </xdr:sp>
          <xdr:sp macro="" textlink="$L$35">
            <xdr:nvSpPr>
              <xdr:cNvPr id="6" name="CuadroTexto 5">
                <a:extLst>
                  <a:ext uri="{FF2B5EF4-FFF2-40B4-BE49-F238E27FC236}">
                    <a16:creationId xmlns:a16="http://schemas.microsoft.com/office/drawing/2014/main" id="{0E52057B-6EB3-CBE6-9C10-7F75E4A418C3}"/>
                  </a:ext>
                </a:extLst>
              </xdr:cNvPr>
              <xdr:cNvSpPr txBox="1"/>
            </xdr:nvSpPr>
            <xdr:spPr>
              <a:xfrm>
                <a:off x="13974286" y="2073089"/>
                <a:ext cx="582385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fld id="{955E6C2B-B16D-4CD3-95A4-B082A5DC9AF5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181.886</a:t>
                </a:fld>
                <a:endParaRPr lang="es-MX" sz="1100"/>
              </a:p>
            </xdr:txBody>
          </xdr:sp>
          <xdr:sp macro="" textlink="">
            <xdr:nvSpPr>
              <xdr:cNvPr id="7" name="CuadroTexto 6">
                <a:extLst>
                  <a:ext uri="{FF2B5EF4-FFF2-40B4-BE49-F238E27FC236}">
                    <a16:creationId xmlns:a16="http://schemas.microsoft.com/office/drawing/2014/main" id="{5D4611FB-2424-8606-7C6F-564804A837D9}"/>
                  </a:ext>
                </a:extLst>
              </xdr:cNvPr>
              <xdr:cNvSpPr txBox="1"/>
            </xdr:nvSpPr>
            <xdr:spPr>
              <a:xfrm>
                <a:off x="12080619" y="2380029"/>
                <a:ext cx="794898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s-MX" sz="1100"/>
                  <a:t>CIPS [kms]</a:t>
                </a:r>
              </a:p>
            </xdr:txBody>
          </xdr:sp>
          <xdr:sp macro="" textlink="$L$36">
            <xdr:nvSpPr>
              <xdr:cNvPr id="8" name="CuadroTexto 7">
                <a:extLst>
                  <a:ext uri="{FF2B5EF4-FFF2-40B4-BE49-F238E27FC236}">
                    <a16:creationId xmlns:a16="http://schemas.microsoft.com/office/drawing/2014/main" id="{99F8C6F2-52C3-2888-912B-8AD623237FCF}"/>
                  </a:ext>
                </a:extLst>
              </xdr:cNvPr>
              <xdr:cNvSpPr txBox="1"/>
            </xdr:nvSpPr>
            <xdr:spPr>
              <a:xfrm>
                <a:off x="13974283" y="2380029"/>
                <a:ext cx="582385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fld id="{6D67C600-D94F-4F63-87E5-FCC969FB2D9B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181.926</a:t>
                </a:fld>
                <a:endParaRPr lang="es-MX" sz="1100"/>
              </a:p>
            </xdr:txBody>
          </xdr:sp>
          <xdr:sp macro="" textlink="">
            <xdr:nvSpPr>
              <xdr:cNvPr id="9" name="CuadroTexto 8">
                <a:extLst>
                  <a:ext uri="{FF2B5EF4-FFF2-40B4-BE49-F238E27FC236}">
                    <a16:creationId xmlns:a16="http://schemas.microsoft.com/office/drawing/2014/main" id="{98B5FE1B-168B-AC75-4F43-F6EF77251111}"/>
                  </a:ext>
                </a:extLst>
              </xdr:cNvPr>
              <xdr:cNvSpPr txBox="1"/>
            </xdr:nvSpPr>
            <xdr:spPr>
              <a:xfrm>
                <a:off x="12080620" y="2644589"/>
                <a:ext cx="867225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s-MX" sz="1100"/>
                  <a:t>DCVG [kms]</a:t>
                </a:r>
              </a:p>
            </xdr:txBody>
          </xdr:sp>
          <xdr:sp macro="" textlink="$L$37">
            <xdr:nvSpPr>
              <xdr:cNvPr id="10" name="CuadroTexto 9">
                <a:extLst>
                  <a:ext uri="{FF2B5EF4-FFF2-40B4-BE49-F238E27FC236}">
                    <a16:creationId xmlns:a16="http://schemas.microsoft.com/office/drawing/2014/main" id="{31B4AAF1-E1E5-485E-5A70-A474FD8E6405}"/>
                  </a:ext>
                </a:extLst>
              </xdr:cNvPr>
              <xdr:cNvSpPr txBox="1"/>
            </xdr:nvSpPr>
            <xdr:spPr>
              <a:xfrm>
                <a:off x="13974283" y="2644589"/>
                <a:ext cx="582385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fld id="{B90B98E1-C716-493C-8343-C5328EC82FEF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150.325</a:t>
                </a:fld>
                <a:endParaRPr lang="es-MX" sz="1100"/>
              </a:p>
            </xdr:txBody>
          </xdr:sp>
          <xdr:sp macro="" textlink="">
            <xdr:nvSpPr>
              <xdr:cNvPr id="11" name="CuadroTexto 10">
                <a:extLst>
                  <a:ext uri="{FF2B5EF4-FFF2-40B4-BE49-F238E27FC236}">
                    <a16:creationId xmlns:a16="http://schemas.microsoft.com/office/drawing/2014/main" id="{CD3EDA03-6E0B-D962-D0E9-AE63AEA6BAFA}"/>
                  </a:ext>
                </a:extLst>
              </xdr:cNvPr>
              <xdr:cNvSpPr txBox="1"/>
            </xdr:nvSpPr>
            <xdr:spPr>
              <a:xfrm>
                <a:off x="12080620" y="2924736"/>
                <a:ext cx="1743491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s-MX" sz="1100"/>
                  <a:t>Resistividades</a:t>
                </a:r>
                <a:r>
                  <a:rPr lang="es-MX" sz="1100" baseline="0"/>
                  <a:t> pH Bacterias</a:t>
                </a:r>
                <a:endParaRPr lang="es-MX" sz="1100"/>
              </a:p>
            </xdr:txBody>
          </xdr:sp>
          <xdr:sp macro="" textlink="$L$38">
            <xdr:nvSpPr>
              <xdr:cNvPr id="12" name="CuadroTexto 11">
                <a:extLst>
                  <a:ext uri="{FF2B5EF4-FFF2-40B4-BE49-F238E27FC236}">
                    <a16:creationId xmlns:a16="http://schemas.microsoft.com/office/drawing/2014/main" id="{87ADBDB8-30E9-2ED0-D88D-FE3601DFBEE2}"/>
                  </a:ext>
                </a:extLst>
              </xdr:cNvPr>
              <xdr:cNvSpPr txBox="1"/>
            </xdr:nvSpPr>
            <xdr:spPr>
              <a:xfrm>
                <a:off x="13974283" y="2924736"/>
                <a:ext cx="357423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fld id="{628E1F33-9FFF-4406-A4E9-8005B18172E5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396</a:t>
                </a:fld>
                <a:endParaRPr lang="es-MX" sz="1100"/>
              </a:p>
            </xdr:txBody>
          </xdr:sp>
          <xdr:sp macro="" textlink="">
            <xdr:nvSpPr>
              <xdr:cNvPr id="13" name="CuadroTexto 12">
                <a:extLst>
                  <a:ext uri="{FF2B5EF4-FFF2-40B4-BE49-F238E27FC236}">
                    <a16:creationId xmlns:a16="http://schemas.microsoft.com/office/drawing/2014/main" id="{2FAD4E1A-D28E-699F-72EC-7B519AD6DDEC}"/>
                  </a:ext>
                </a:extLst>
              </xdr:cNvPr>
              <xdr:cNvSpPr txBox="1"/>
            </xdr:nvSpPr>
            <xdr:spPr>
              <a:xfrm>
                <a:off x="12080620" y="3216089"/>
                <a:ext cx="854145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s-MX" sz="1100"/>
                  <a:t>ACVG [kms]</a:t>
                </a:r>
              </a:p>
            </xdr:txBody>
          </xdr:sp>
          <xdr:sp macro="" textlink="$L$39">
            <xdr:nvSpPr>
              <xdr:cNvPr id="14" name="CuadroTexto 13">
                <a:extLst>
                  <a:ext uri="{FF2B5EF4-FFF2-40B4-BE49-F238E27FC236}">
                    <a16:creationId xmlns:a16="http://schemas.microsoft.com/office/drawing/2014/main" id="{83376F15-E132-60ED-26D8-9D68F2E949A4}"/>
                  </a:ext>
                </a:extLst>
              </xdr:cNvPr>
              <xdr:cNvSpPr txBox="1"/>
            </xdr:nvSpPr>
            <xdr:spPr>
              <a:xfrm>
                <a:off x="13974286" y="3216090"/>
                <a:ext cx="390323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fld id="{E0481902-9969-4B54-A78F-03D94ABA3236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0.00</a:t>
                </a:fld>
                <a:endParaRPr lang="es-MX" sz="1100"/>
              </a:p>
            </xdr:txBody>
          </xdr:sp>
          <xdr:sp macro="" textlink="">
            <xdr:nvSpPr>
              <xdr:cNvPr id="15" name="CuadroTexto 14">
                <a:extLst>
                  <a:ext uri="{FF2B5EF4-FFF2-40B4-BE49-F238E27FC236}">
                    <a16:creationId xmlns:a16="http://schemas.microsoft.com/office/drawing/2014/main" id="{53A0BAAF-9BD4-D2B4-1F97-A2A205E53C0B}"/>
                  </a:ext>
                </a:extLst>
              </xdr:cNvPr>
              <xdr:cNvSpPr txBox="1"/>
            </xdr:nvSpPr>
            <xdr:spPr>
              <a:xfrm>
                <a:off x="12080620" y="3523029"/>
                <a:ext cx="789255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s-MX" sz="1100"/>
                  <a:t>PCM [kms]</a:t>
                </a:r>
              </a:p>
            </xdr:txBody>
          </xdr:sp>
          <xdr:sp macro="" textlink="$L$40">
            <xdr:nvSpPr>
              <xdr:cNvPr id="16" name="CuadroTexto 15">
                <a:extLst>
                  <a:ext uri="{FF2B5EF4-FFF2-40B4-BE49-F238E27FC236}">
                    <a16:creationId xmlns:a16="http://schemas.microsoft.com/office/drawing/2014/main" id="{2204E3A0-038F-6895-1600-7624719DDECF}"/>
                  </a:ext>
                </a:extLst>
              </xdr:cNvPr>
              <xdr:cNvSpPr txBox="1"/>
            </xdr:nvSpPr>
            <xdr:spPr>
              <a:xfrm>
                <a:off x="13974286" y="3523031"/>
                <a:ext cx="518363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fld id="{0EF38572-4BC6-4DC2-BFC1-A36D556D3839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118.792</a:t>
                </a:fld>
                <a:endParaRPr lang="es-MX" sz="1100"/>
              </a:p>
            </xdr:txBody>
          </xdr:sp>
        </xdr:grpSp>
      </xdr:grpSp>
    </xdr:grp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0.69785</cdr:x>
      <cdr:y>0.19301</cdr:y>
    </cdr:from>
    <cdr:to>
      <cdr:x>0.87382</cdr:x>
      <cdr:y>0.45404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70347253-BAF2-6A5C-2CE0-B7D242FD50D6}"/>
            </a:ext>
          </a:extLst>
        </cdr:cNvPr>
        <cdr:cNvSpPr txBox="1"/>
      </cdr:nvSpPr>
      <cdr:spPr>
        <a:xfrm xmlns:a="http://schemas.openxmlformats.org/drawingml/2006/main">
          <a:off x="9110382" y="1176618"/>
          <a:ext cx="2297206" cy="15912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MX" sz="1100" kern="12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728383</xdr:colOff>
      <xdr:row>0</xdr:row>
      <xdr:rowOff>112058</xdr:rowOff>
    </xdr:from>
    <xdr:to>
      <xdr:col>26</xdr:col>
      <xdr:colOff>728383</xdr:colOff>
      <xdr:row>32</xdr:row>
      <xdr:rowOff>112058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2C492453-2097-6BFA-1553-23E510B6727D}"/>
            </a:ext>
          </a:extLst>
        </xdr:cNvPr>
        <xdr:cNvGrpSpPr/>
      </xdr:nvGrpSpPr>
      <xdr:grpSpPr>
        <a:xfrm>
          <a:off x="728383" y="112058"/>
          <a:ext cx="14578853" cy="6096000"/>
          <a:chOff x="762000" y="190500"/>
          <a:chExt cx="13054853" cy="609600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D42061C7-F324-4E14-B18B-D9419E140F24}"/>
              </a:ext>
            </a:extLst>
          </xdr:cNvPr>
          <xdr:cNvGraphicFramePr>
            <a:graphicFrameLocks noChangeAspect="1"/>
          </xdr:cNvGraphicFramePr>
        </xdr:nvGraphicFramePr>
        <xdr:xfrm>
          <a:off x="762000" y="190500"/>
          <a:ext cx="13054853" cy="609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974DA24B-77E8-442E-9E13-17CED5E07C40}"/>
              </a:ext>
            </a:extLst>
          </xdr:cNvPr>
          <xdr:cNvGrpSpPr/>
        </xdr:nvGrpSpPr>
        <xdr:grpSpPr>
          <a:xfrm>
            <a:off x="8073956" y="3614697"/>
            <a:ext cx="2554939" cy="1792941"/>
            <a:chOff x="12130488" y="1687284"/>
            <a:chExt cx="2554939" cy="1792941"/>
          </a:xfrm>
        </xdr:grpSpPr>
        <xdr:sp macro="" textlink="">
          <xdr:nvSpPr>
            <xdr:cNvPr id="4" name="Rectángulo: esquinas redondeadas 3">
              <a:extLst>
                <a:ext uri="{FF2B5EF4-FFF2-40B4-BE49-F238E27FC236}">
                  <a16:creationId xmlns:a16="http://schemas.microsoft.com/office/drawing/2014/main" id="{5FEC6170-4F99-7052-E8BB-091881E176D1}"/>
                </a:ext>
              </a:extLst>
            </xdr:cNvPr>
            <xdr:cNvSpPr/>
          </xdr:nvSpPr>
          <xdr:spPr>
            <a:xfrm>
              <a:off x="12130488" y="1687284"/>
              <a:ext cx="2554939" cy="1792941"/>
            </a:xfrm>
            <a:prstGeom prst="roundRect">
              <a:avLst>
                <a:gd name="adj" fmla="val 6079"/>
              </a:avLst>
            </a:prstGeom>
            <a:solidFill>
              <a:sysClr val="window" lastClr="FFFFFF"/>
            </a:solidFill>
            <a:ln w="1270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grpSp>
          <xdr:nvGrpSpPr>
            <xdr:cNvPr id="5" name="Grupo 4">
              <a:extLst>
                <a:ext uri="{FF2B5EF4-FFF2-40B4-BE49-F238E27FC236}">
                  <a16:creationId xmlns:a16="http://schemas.microsoft.com/office/drawing/2014/main" id="{A9EA048D-7576-9812-30AF-791FD1F0EF04}"/>
                </a:ext>
              </a:extLst>
            </xdr:cNvPr>
            <xdr:cNvGrpSpPr/>
          </xdr:nvGrpSpPr>
          <xdr:grpSpPr>
            <a:xfrm>
              <a:off x="12312386" y="1698490"/>
              <a:ext cx="2228831" cy="1714502"/>
              <a:chOff x="12383880" y="2258784"/>
              <a:chExt cx="2228831" cy="1714502"/>
            </a:xfrm>
          </xdr:grpSpPr>
          <xdr:sp macro="" textlink="">
            <xdr:nvSpPr>
              <xdr:cNvPr id="6" name="CuadroTexto 5">
                <a:extLst>
                  <a:ext uri="{FF2B5EF4-FFF2-40B4-BE49-F238E27FC236}">
                    <a16:creationId xmlns:a16="http://schemas.microsoft.com/office/drawing/2014/main" id="{9998A1A5-4822-B5DA-E60A-B5841BB60081}"/>
                  </a:ext>
                </a:extLst>
              </xdr:cNvPr>
              <xdr:cNvSpPr txBox="1"/>
            </xdr:nvSpPr>
            <xdr:spPr>
              <a:xfrm>
                <a:off x="12383880" y="2258784"/>
                <a:ext cx="1099596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s-MX" sz="1100"/>
                  <a:t>Localización [%]</a:t>
                </a:r>
              </a:p>
            </xdr:txBody>
          </xdr:sp>
          <xdr:sp macro="" textlink="$K$35">
            <xdr:nvSpPr>
              <xdr:cNvPr id="7" name="CuadroTexto 6">
                <a:extLst>
                  <a:ext uri="{FF2B5EF4-FFF2-40B4-BE49-F238E27FC236}">
                    <a16:creationId xmlns:a16="http://schemas.microsoft.com/office/drawing/2014/main" id="{B341336D-8B83-C834-4521-0FEEB394F698}"/>
                  </a:ext>
                </a:extLst>
              </xdr:cNvPr>
              <xdr:cNvSpPr txBox="1"/>
            </xdr:nvSpPr>
            <xdr:spPr>
              <a:xfrm>
                <a:off x="14126271" y="2258784"/>
                <a:ext cx="486440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fld id="{79ECFFD8-26A4-41A9-B798-839999BFBD83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90.9%</a:t>
                </a:fld>
                <a:endParaRPr lang="es-MX" sz="1100"/>
              </a:p>
            </xdr:txBody>
          </xdr:sp>
          <xdr:sp macro="" textlink="">
            <xdr:nvSpPr>
              <xdr:cNvPr id="8" name="CuadroTexto 7">
                <a:extLst>
                  <a:ext uri="{FF2B5EF4-FFF2-40B4-BE49-F238E27FC236}">
                    <a16:creationId xmlns:a16="http://schemas.microsoft.com/office/drawing/2014/main" id="{84AA3962-E329-43E0-DE69-21E4FBAA1E4D}"/>
                  </a:ext>
                </a:extLst>
              </xdr:cNvPr>
              <xdr:cNvSpPr txBox="1"/>
            </xdr:nvSpPr>
            <xdr:spPr>
              <a:xfrm>
                <a:off x="12383880" y="2565724"/>
                <a:ext cx="666016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s-MX" sz="1100"/>
                  <a:t>CIPS [%]</a:t>
                </a:r>
              </a:p>
            </xdr:txBody>
          </xdr:sp>
          <xdr:sp macro="" textlink="$K$36">
            <xdr:nvSpPr>
              <xdr:cNvPr id="9" name="CuadroTexto 8">
                <a:extLst>
                  <a:ext uri="{FF2B5EF4-FFF2-40B4-BE49-F238E27FC236}">
                    <a16:creationId xmlns:a16="http://schemas.microsoft.com/office/drawing/2014/main" id="{4470388C-0321-A957-8EF2-9B43EDE6F353}"/>
                  </a:ext>
                </a:extLst>
              </xdr:cNvPr>
              <xdr:cNvSpPr txBox="1"/>
            </xdr:nvSpPr>
            <xdr:spPr>
              <a:xfrm>
                <a:off x="14126271" y="2565724"/>
                <a:ext cx="486440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fld id="{47DBE089-1291-4F80-8AE6-ED1B3CBF254D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91.0%</a:t>
                </a:fld>
                <a:endParaRPr lang="es-MX" sz="1100"/>
              </a:p>
            </xdr:txBody>
          </xdr:sp>
          <xdr:sp macro="" textlink="">
            <xdr:nvSpPr>
              <xdr:cNvPr id="10" name="CuadroTexto 9">
                <a:extLst>
                  <a:ext uri="{FF2B5EF4-FFF2-40B4-BE49-F238E27FC236}">
                    <a16:creationId xmlns:a16="http://schemas.microsoft.com/office/drawing/2014/main" id="{10FD3E69-2C1E-5CEB-E897-92F0B2179BB1}"/>
                  </a:ext>
                </a:extLst>
              </xdr:cNvPr>
              <xdr:cNvSpPr txBox="1"/>
            </xdr:nvSpPr>
            <xdr:spPr>
              <a:xfrm>
                <a:off x="12383880" y="2830284"/>
                <a:ext cx="738344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s-MX" sz="1100"/>
                  <a:t>DCVG [%]</a:t>
                </a:r>
              </a:p>
            </xdr:txBody>
          </xdr:sp>
          <xdr:sp macro="" textlink="$K$37">
            <xdr:nvSpPr>
              <xdr:cNvPr id="11" name="CuadroTexto 10">
                <a:extLst>
                  <a:ext uri="{FF2B5EF4-FFF2-40B4-BE49-F238E27FC236}">
                    <a16:creationId xmlns:a16="http://schemas.microsoft.com/office/drawing/2014/main" id="{B22239B7-7334-21D9-C94A-F8B1C583393D}"/>
                  </a:ext>
                </a:extLst>
              </xdr:cNvPr>
              <xdr:cNvSpPr txBox="1"/>
            </xdr:nvSpPr>
            <xdr:spPr>
              <a:xfrm>
                <a:off x="14126271" y="2830284"/>
                <a:ext cx="486440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fld id="{B4BAEE10-B7B8-4E72-9A16-4E8CF53503DD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75.2%</a:t>
                </a:fld>
                <a:endParaRPr lang="es-MX" sz="1100"/>
              </a:p>
            </xdr:txBody>
          </xdr:sp>
          <xdr:sp macro="" textlink="">
            <xdr:nvSpPr>
              <xdr:cNvPr id="12" name="CuadroTexto 11">
                <a:extLst>
                  <a:ext uri="{FF2B5EF4-FFF2-40B4-BE49-F238E27FC236}">
                    <a16:creationId xmlns:a16="http://schemas.microsoft.com/office/drawing/2014/main" id="{E108785C-B6E2-4F69-D2C0-103D008CE4D4}"/>
                  </a:ext>
                </a:extLst>
              </xdr:cNvPr>
              <xdr:cNvSpPr txBox="1"/>
            </xdr:nvSpPr>
            <xdr:spPr>
              <a:xfrm>
                <a:off x="12383880" y="3110431"/>
                <a:ext cx="1743491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s-MX" sz="1100"/>
                  <a:t>Resistividades</a:t>
                </a:r>
                <a:r>
                  <a:rPr lang="es-MX" sz="1100" baseline="0"/>
                  <a:t> pH Bacterias</a:t>
                </a:r>
                <a:endParaRPr lang="es-MX" sz="1100"/>
              </a:p>
            </xdr:txBody>
          </xdr:sp>
          <xdr:sp macro="" textlink="$K$38">
            <xdr:nvSpPr>
              <xdr:cNvPr id="13" name="CuadroTexto 12">
                <a:extLst>
                  <a:ext uri="{FF2B5EF4-FFF2-40B4-BE49-F238E27FC236}">
                    <a16:creationId xmlns:a16="http://schemas.microsoft.com/office/drawing/2014/main" id="{3461ED4B-8A75-BC89-E17E-EEC951422FC2}"/>
                  </a:ext>
                </a:extLst>
              </xdr:cNvPr>
              <xdr:cNvSpPr txBox="1"/>
            </xdr:nvSpPr>
            <xdr:spPr>
              <a:xfrm>
                <a:off x="14126271" y="3110431"/>
                <a:ext cx="486440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fld id="{F4D62606-2B82-4792-9E4D-4172C610B27A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79.2%</a:t>
                </a:fld>
                <a:endParaRPr lang="es-MX" sz="1100"/>
              </a:p>
            </xdr:txBody>
          </xdr:sp>
          <xdr:sp macro="" textlink="">
            <xdr:nvSpPr>
              <xdr:cNvPr id="14" name="CuadroTexto 13">
                <a:extLst>
                  <a:ext uri="{FF2B5EF4-FFF2-40B4-BE49-F238E27FC236}">
                    <a16:creationId xmlns:a16="http://schemas.microsoft.com/office/drawing/2014/main" id="{7A96E245-4B90-E822-B276-41AACA08C230}"/>
                  </a:ext>
                </a:extLst>
              </xdr:cNvPr>
              <xdr:cNvSpPr txBox="1"/>
            </xdr:nvSpPr>
            <xdr:spPr>
              <a:xfrm>
                <a:off x="12383880" y="3401784"/>
                <a:ext cx="725263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s-MX" sz="1100"/>
                  <a:t>ACVG [%]</a:t>
                </a:r>
              </a:p>
            </xdr:txBody>
          </xdr:sp>
          <xdr:sp macro="" textlink="$K$39">
            <xdr:nvSpPr>
              <xdr:cNvPr id="15" name="CuadroTexto 14">
                <a:extLst>
                  <a:ext uri="{FF2B5EF4-FFF2-40B4-BE49-F238E27FC236}">
                    <a16:creationId xmlns:a16="http://schemas.microsoft.com/office/drawing/2014/main" id="{896696EF-F6D8-CE58-9420-73FAD6E929CC}"/>
                  </a:ext>
                </a:extLst>
              </xdr:cNvPr>
              <xdr:cNvSpPr txBox="1"/>
            </xdr:nvSpPr>
            <xdr:spPr>
              <a:xfrm>
                <a:off x="14126271" y="3401784"/>
                <a:ext cx="422420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fld id="{308DAE40-EDB4-4C82-BA55-C5A6B1468317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0.0%</a:t>
                </a:fld>
                <a:endParaRPr lang="es-MX" sz="1100"/>
              </a:p>
            </xdr:txBody>
          </xdr:sp>
          <xdr:sp macro="" textlink="">
            <xdr:nvSpPr>
              <xdr:cNvPr id="16" name="CuadroTexto 15">
                <a:extLst>
                  <a:ext uri="{FF2B5EF4-FFF2-40B4-BE49-F238E27FC236}">
                    <a16:creationId xmlns:a16="http://schemas.microsoft.com/office/drawing/2014/main" id="{C2DDBF5A-0601-91CA-D332-5D97D8241C38}"/>
                  </a:ext>
                </a:extLst>
              </xdr:cNvPr>
              <xdr:cNvSpPr txBox="1"/>
            </xdr:nvSpPr>
            <xdr:spPr>
              <a:xfrm>
                <a:off x="12383880" y="3708724"/>
                <a:ext cx="660374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s-MX" sz="1100"/>
                  <a:t>PCM [%]</a:t>
                </a:r>
              </a:p>
            </xdr:txBody>
          </xdr:sp>
          <xdr:sp macro="" textlink="$K$40">
            <xdr:nvSpPr>
              <xdr:cNvPr id="17" name="CuadroTexto 16">
                <a:extLst>
                  <a:ext uri="{FF2B5EF4-FFF2-40B4-BE49-F238E27FC236}">
                    <a16:creationId xmlns:a16="http://schemas.microsoft.com/office/drawing/2014/main" id="{0EB8CF26-751A-3AEF-E113-4E616FF73ED6}"/>
                  </a:ext>
                </a:extLst>
              </xdr:cNvPr>
              <xdr:cNvSpPr txBox="1"/>
            </xdr:nvSpPr>
            <xdr:spPr>
              <a:xfrm>
                <a:off x="14126271" y="3708726"/>
                <a:ext cx="486440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fld id="{85FDB672-3063-401D-85C8-2C3EC759BDE0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59.4%</a:t>
                </a:fld>
                <a:endParaRPr lang="es-MX" sz="1100"/>
              </a:p>
            </xdr:txBody>
          </xdr:sp>
        </xdr:grpSp>
      </xdr:grp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957066</xdr:colOff>
      <xdr:row>1</xdr:row>
      <xdr:rowOff>33618</xdr:rowOff>
    </xdr:from>
    <xdr:to>
      <xdr:col>27</xdr:col>
      <xdr:colOff>138315</xdr:colOff>
      <xdr:row>33</xdr:row>
      <xdr:rowOff>33618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6E9A0C5-8AB3-4E81-A330-D3E89A19971A}"/>
            </a:ext>
          </a:extLst>
        </xdr:cNvPr>
        <xdr:cNvGrpSpPr/>
      </xdr:nvGrpSpPr>
      <xdr:grpSpPr>
        <a:xfrm>
          <a:off x="957066" y="224118"/>
          <a:ext cx="15021324" cy="6096000"/>
          <a:chOff x="762000" y="190500"/>
          <a:chExt cx="12504469" cy="6096000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494B1AE7-5E13-8F3C-13CC-370918E0DD89}"/>
              </a:ext>
            </a:extLst>
          </xdr:cNvPr>
          <xdr:cNvGraphicFramePr>
            <a:graphicFrameLocks noChangeAspect="1"/>
          </xdr:cNvGraphicFramePr>
        </xdr:nvGraphicFramePr>
        <xdr:xfrm>
          <a:off x="762000" y="190500"/>
          <a:ext cx="12504469" cy="609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4A67EBB2-7138-1920-3A71-8A45F061019C}"/>
              </a:ext>
            </a:extLst>
          </xdr:cNvPr>
          <xdr:cNvGrpSpPr/>
        </xdr:nvGrpSpPr>
        <xdr:grpSpPr>
          <a:xfrm>
            <a:off x="10604060" y="3574677"/>
            <a:ext cx="2286000" cy="1722687"/>
            <a:chOff x="14559739" y="1501585"/>
            <a:chExt cx="2286000" cy="4810872"/>
          </a:xfrm>
        </xdr:grpSpPr>
        <xdr:sp macro="" textlink="">
          <xdr:nvSpPr>
            <xdr:cNvPr id="5" name="Rectángulo: esquinas redondeadas 4">
              <a:extLst>
                <a:ext uri="{FF2B5EF4-FFF2-40B4-BE49-F238E27FC236}">
                  <a16:creationId xmlns:a16="http://schemas.microsoft.com/office/drawing/2014/main" id="{E3784BE9-7A38-99A4-A0C8-BA2552D64A11}"/>
                </a:ext>
              </a:extLst>
            </xdr:cNvPr>
            <xdr:cNvSpPr/>
          </xdr:nvSpPr>
          <xdr:spPr>
            <a:xfrm>
              <a:off x="14559739" y="1501585"/>
              <a:ext cx="2286000" cy="4810872"/>
            </a:xfrm>
            <a:prstGeom prst="roundRect">
              <a:avLst>
                <a:gd name="adj" fmla="val 6079"/>
              </a:avLst>
            </a:prstGeom>
            <a:solidFill>
              <a:sysClr val="window" lastClr="FFFFFF"/>
            </a:solidFill>
            <a:ln w="1270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C68CFE6C-1711-8BC7-2BEA-A56FA05219A0}"/>
                </a:ext>
              </a:extLst>
            </xdr:cNvPr>
            <xdr:cNvGrpSpPr/>
          </xdr:nvGrpSpPr>
          <xdr:grpSpPr>
            <a:xfrm>
              <a:off x="14597349" y="1778796"/>
              <a:ext cx="2147188" cy="4247200"/>
              <a:chOff x="14668843" y="2339090"/>
              <a:chExt cx="2147188" cy="4247200"/>
            </a:xfrm>
          </xdr:grpSpPr>
          <xdr:sp macro="" textlink="">
            <xdr:nvSpPr>
              <xdr:cNvPr id="7" name="CuadroTexto 6">
                <a:extLst>
                  <a:ext uri="{FF2B5EF4-FFF2-40B4-BE49-F238E27FC236}">
                    <a16:creationId xmlns:a16="http://schemas.microsoft.com/office/drawing/2014/main" id="{2054F3F4-7952-D469-D2FB-C583881569B5}"/>
                  </a:ext>
                </a:extLst>
              </xdr:cNvPr>
              <xdr:cNvSpPr txBox="1"/>
            </xdr:nvSpPr>
            <xdr:spPr>
              <a:xfrm>
                <a:off x="14668843" y="2339090"/>
                <a:ext cx="1228478" cy="80965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s-MX" sz="1100"/>
                  <a:t>Localización [kms]</a:t>
                </a:r>
              </a:p>
            </xdr:txBody>
          </xdr:sp>
          <xdr:sp macro="" textlink="$M$35">
            <xdr:nvSpPr>
              <xdr:cNvPr id="8" name="CuadroTexto 7">
                <a:extLst>
                  <a:ext uri="{FF2B5EF4-FFF2-40B4-BE49-F238E27FC236}">
                    <a16:creationId xmlns:a16="http://schemas.microsoft.com/office/drawing/2014/main" id="{FF9EE856-DBB4-D91C-F977-AACC5CB5E345}"/>
                  </a:ext>
                </a:extLst>
              </xdr:cNvPr>
              <xdr:cNvSpPr txBox="1"/>
            </xdr:nvSpPr>
            <xdr:spPr>
              <a:xfrm>
                <a:off x="16242292" y="2365690"/>
                <a:ext cx="526404" cy="73882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fld id="{955E6C2B-B16D-4CD3-95A4-B082A5DC9AF5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181.89</a:t>
                </a:fld>
                <a:endParaRPr lang="es-MX" sz="1100"/>
              </a:p>
            </xdr:txBody>
          </xdr:sp>
          <xdr:sp macro="" textlink="">
            <xdr:nvSpPr>
              <xdr:cNvPr id="9" name="CuadroTexto 8">
                <a:extLst>
                  <a:ext uri="{FF2B5EF4-FFF2-40B4-BE49-F238E27FC236}">
                    <a16:creationId xmlns:a16="http://schemas.microsoft.com/office/drawing/2014/main" id="{EDF01129-0196-2BA0-858D-E81354115D89}"/>
                  </a:ext>
                </a:extLst>
              </xdr:cNvPr>
              <xdr:cNvSpPr txBox="1"/>
            </xdr:nvSpPr>
            <xdr:spPr>
              <a:xfrm>
                <a:off x="14668843" y="3064555"/>
                <a:ext cx="794898" cy="87102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s-MX" sz="1100"/>
                  <a:t>CIPS [kms]</a:t>
                </a:r>
              </a:p>
            </xdr:txBody>
          </xdr:sp>
          <xdr:sp macro="" textlink="$M$36">
            <xdr:nvSpPr>
              <xdr:cNvPr id="10" name="CuadroTexto 9">
                <a:extLst>
                  <a:ext uri="{FF2B5EF4-FFF2-40B4-BE49-F238E27FC236}">
                    <a16:creationId xmlns:a16="http://schemas.microsoft.com/office/drawing/2014/main" id="{F32B80CD-5C9F-9148-18BA-30EF990B9897}"/>
                  </a:ext>
                </a:extLst>
              </xdr:cNvPr>
              <xdr:cNvSpPr txBox="1"/>
            </xdr:nvSpPr>
            <xdr:spPr>
              <a:xfrm>
                <a:off x="16242292" y="3071634"/>
                <a:ext cx="487289" cy="73882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fld id="{6D67C600-D94F-4F63-87E5-FCC969FB2D9B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181.93</a:t>
                </a:fld>
                <a:endParaRPr lang="es-MX" sz="1100"/>
              </a:p>
            </xdr:txBody>
          </xdr:sp>
          <xdr:sp macro="" textlink="">
            <xdr:nvSpPr>
              <xdr:cNvPr id="11" name="CuadroTexto 10">
                <a:extLst>
                  <a:ext uri="{FF2B5EF4-FFF2-40B4-BE49-F238E27FC236}">
                    <a16:creationId xmlns:a16="http://schemas.microsoft.com/office/drawing/2014/main" id="{BCB78F9F-CE4C-200B-7D8D-0A53DB0B44A8}"/>
                  </a:ext>
                </a:extLst>
              </xdr:cNvPr>
              <xdr:cNvSpPr txBox="1"/>
            </xdr:nvSpPr>
            <xdr:spPr>
              <a:xfrm>
                <a:off x="14668843" y="3851388"/>
                <a:ext cx="867225" cy="72923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s-MX" sz="1100"/>
                  <a:t>DCVG [kms]</a:t>
                </a:r>
              </a:p>
            </xdr:txBody>
          </xdr:sp>
          <xdr:sp macro="" textlink="$M$37">
            <xdr:nvSpPr>
              <xdr:cNvPr id="12" name="CuadroTexto 11">
                <a:extLst>
                  <a:ext uri="{FF2B5EF4-FFF2-40B4-BE49-F238E27FC236}">
                    <a16:creationId xmlns:a16="http://schemas.microsoft.com/office/drawing/2014/main" id="{6DECA10E-1E84-8F76-54FA-FB426E64788B}"/>
                  </a:ext>
                </a:extLst>
              </xdr:cNvPr>
              <xdr:cNvSpPr txBox="1"/>
            </xdr:nvSpPr>
            <xdr:spPr>
              <a:xfrm>
                <a:off x="16242292" y="3814986"/>
                <a:ext cx="573739" cy="73882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fld id="{B90B98E1-C716-493C-8343-C5328EC82FEF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150.32</a:t>
                </a:fld>
                <a:endParaRPr lang="es-MX" sz="1100"/>
              </a:p>
            </xdr:txBody>
          </xdr:sp>
          <xdr:sp macro="" textlink="">
            <xdr:nvSpPr>
              <xdr:cNvPr id="13" name="CuadroTexto 12">
                <a:extLst>
                  <a:ext uri="{FF2B5EF4-FFF2-40B4-BE49-F238E27FC236}">
                    <a16:creationId xmlns:a16="http://schemas.microsoft.com/office/drawing/2014/main" id="{1D5E78C6-EB35-CA29-8276-40DDF8E233B9}"/>
                  </a:ext>
                </a:extLst>
              </xdr:cNvPr>
              <xdr:cNvSpPr txBox="1"/>
            </xdr:nvSpPr>
            <xdr:spPr>
              <a:xfrm>
                <a:off x="14668843" y="4496433"/>
                <a:ext cx="1743491" cy="7764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s-MX" sz="1100"/>
                  <a:t>Resistividades</a:t>
                </a:r>
                <a:r>
                  <a:rPr lang="es-MX" sz="1100" baseline="0"/>
                  <a:t> pH Bacterias</a:t>
                </a:r>
                <a:endParaRPr lang="es-MX" sz="1100"/>
              </a:p>
            </xdr:txBody>
          </xdr:sp>
          <xdr:sp macro="" textlink="$M$38">
            <xdr:nvSpPr>
              <xdr:cNvPr id="14" name="CuadroTexto 13">
                <a:extLst>
                  <a:ext uri="{FF2B5EF4-FFF2-40B4-BE49-F238E27FC236}">
                    <a16:creationId xmlns:a16="http://schemas.microsoft.com/office/drawing/2014/main" id="{9777928B-D47D-BF54-DC96-FE262D769D1E}"/>
                  </a:ext>
                </a:extLst>
              </xdr:cNvPr>
              <xdr:cNvSpPr txBox="1"/>
            </xdr:nvSpPr>
            <xdr:spPr>
              <a:xfrm>
                <a:off x="16242293" y="4494144"/>
                <a:ext cx="362969" cy="73882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fld id="{628E1F33-9FFF-4406-A4E9-8005B18172E5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396</a:t>
                </a:fld>
                <a:endParaRPr lang="es-MX" sz="1100"/>
              </a:p>
            </xdr:txBody>
          </xdr:sp>
          <xdr:sp macro="" textlink="">
            <xdr:nvSpPr>
              <xdr:cNvPr id="15" name="CuadroTexto 14">
                <a:extLst>
                  <a:ext uri="{FF2B5EF4-FFF2-40B4-BE49-F238E27FC236}">
                    <a16:creationId xmlns:a16="http://schemas.microsoft.com/office/drawing/2014/main" id="{0B00DD4C-CB3E-D095-D285-7748311F310B}"/>
                  </a:ext>
                </a:extLst>
              </xdr:cNvPr>
              <xdr:cNvSpPr txBox="1"/>
            </xdr:nvSpPr>
            <xdr:spPr>
              <a:xfrm>
                <a:off x="14668843" y="5188713"/>
                <a:ext cx="854145" cy="71019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s-MX" sz="1100"/>
                  <a:t>ACVG [kms]</a:t>
                </a:r>
              </a:p>
            </xdr:txBody>
          </xdr:sp>
          <xdr:sp macro="" textlink="$M$39">
            <xdr:nvSpPr>
              <xdr:cNvPr id="16" name="CuadroTexto 15">
                <a:extLst>
                  <a:ext uri="{FF2B5EF4-FFF2-40B4-BE49-F238E27FC236}">
                    <a16:creationId xmlns:a16="http://schemas.microsoft.com/office/drawing/2014/main" id="{B40B5050-8886-2EAC-FD27-51DDBB43B42F}"/>
                  </a:ext>
                </a:extLst>
              </xdr:cNvPr>
              <xdr:cNvSpPr txBox="1"/>
            </xdr:nvSpPr>
            <xdr:spPr>
              <a:xfrm>
                <a:off x="16246091" y="5156330"/>
                <a:ext cx="363546" cy="73882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fld id="{E0481902-9969-4B54-A78F-03D94ABA3236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0.00</a:t>
                </a:fld>
                <a:endParaRPr lang="es-MX" sz="1100"/>
              </a:p>
            </xdr:txBody>
          </xdr:sp>
          <xdr:sp macro="" textlink="">
            <xdr:nvSpPr>
              <xdr:cNvPr id="17" name="CuadroTexto 16">
                <a:extLst>
                  <a:ext uri="{FF2B5EF4-FFF2-40B4-BE49-F238E27FC236}">
                    <a16:creationId xmlns:a16="http://schemas.microsoft.com/office/drawing/2014/main" id="{485CD918-9F85-8475-108C-60AC528B2CF2}"/>
                  </a:ext>
                </a:extLst>
              </xdr:cNvPr>
              <xdr:cNvSpPr txBox="1"/>
            </xdr:nvSpPr>
            <xdr:spPr>
              <a:xfrm>
                <a:off x="14668843" y="5814721"/>
                <a:ext cx="789255" cy="77156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s-MX" sz="1100"/>
                  <a:t>PCM [kms]</a:t>
                </a:r>
              </a:p>
            </xdr:txBody>
          </xdr:sp>
          <xdr:sp macro="" textlink="$M$40">
            <xdr:nvSpPr>
              <xdr:cNvPr id="18" name="CuadroTexto 17">
                <a:extLst>
                  <a:ext uri="{FF2B5EF4-FFF2-40B4-BE49-F238E27FC236}">
                    <a16:creationId xmlns:a16="http://schemas.microsoft.com/office/drawing/2014/main" id="{E6C3A047-B95E-2900-D768-01B17CFF612F}"/>
                  </a:ext>
                </a:extLst>
              </xdr:cNvPr>
              <xdr:cNvSpPr txBox="1"/>
            </xdr:nvSpPr>
            <xdr:spPr>
              <a:xfrm>
                <a:off x="16247400" y="5838800"/>
                <a:ext cx="523799" cy="73882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fld id="{0EF38572-4BC6-4DC2-BFC1-A36D556D3839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118.79</a:t>
                </a:fld>
                <a:endParaRPr lang="es-MX" sz="1100"/>
              </a:p>
            </xdr:txBody>
          </xdr:sp>
        </xdr:grpSp>
      </xdr:grpSp>
    </xdr:grpSp>
    <xdr:clientData/>
  </xdr:twoCellAnchor>
  <xdr:twoCellAnchor>
    <xdr:from>
      <xdr:col>24</xdr:col>
      <xdr:colOff>571500</xdr:colOff>
      <xdr:row>3</xdr:row>
      <xdr:rowOff>174880</xdr:rowOff>
    </xdr:from>
    <xdr:to>
      <xdr:col>26</xdr:col>
      <xdr:colOff>526677</xdr:colOff>
      <xdr:row>5</xdr:row>
      <xdr:rowOff>85655</xdr:rowOff>
    </xdr:to>
    <xdr:sp macro="" textlink="$AC$35">
      <xdr:nvSpPr>
        <xdr:cNvPr id="19" name="CuadroTexto 18">
          <a:extLst>
            <a:ext uri="{FF2B5EF4-FFF2-40B4-BE49-F238E27FC236}">
              <a16:creationId xmlns:a16="http://schemas.microsoft.com/office/drawing/2014/main" id="{9261C085-47F2-420C-815A-559CC386E066}"/>
            </a:ext>
          </a:extLst>
        </xdr:cNvPr>
        <xdr:cNvSpPr txBox="1"/>
      </xdr:nvSpPr>
      <xdr:spPr>
        <a:xfrm>
          <a:off x="13928912" y="746380"/>
          <a:ext cx="1591236" cy="2917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fld id="{2D3A4AC6-336A-43A5-979A-5ECF37A8E9F0}" type="TxLink">
            <a:rPr lang="en-US" sz="1600" b="0" i="0" u="none" strike="noStrike">
              <a:solidFill>
                <a:srgbClr val="000000"/>
              </a:solidFill>
              <a:latin typeface="Aptos Narrow"/>
            </a:rPr>
            <a:pPr algn="r"/>
            <a:t>$11,234,065</a:t>
          </a:fld>
          <a:endParaRPr lang="es-MX" sz="1600"/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0.69785</cdr:x>
      <cdr:y>0.19301</cdr:y>
    </cdr:from>
    <cdr:to>
      <cdr:x>0.87382</cdr:x>
      <cdr:y>0.45404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70347253-BAF2-6A5C-2CE0-B7D242FD50D6}"/>
            </a:ext>
          </a:extLst>
        </cdr:cNvPr>
        <cdr:cNvSpPr txBox="1"/>
      </cdr:nvSpPr>
      <cdr:spPr>
        <a:xfrm xmlns:a="http://schemas.openxmlformats.org/drawingml/2006/main">
          <a:off x="9110382" y="1176618"/>
          <a:ext cx="2297206" cy="15912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MX" sz="1100" kern="1200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212910</xdr:colOff>
      <xdr:row>25</xdr:row>
      <xdr:rowOff>11206</xdr:rowOff>
    </xdr:from>
    <xdr:to>
      <xdr:col>19</xdr:col>
      <xdr:colOff>722638</xdr:colOff>
      <xdr:row>48</xdr:row>
      <xdr:rowOff>149679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22" name="Gráfico 221">
              <a:extLst>
                <a:ext uri="{FF2B5EF4-FFF2-40B4-BE49-F238E27FC236}">
                  <a16:creationId xmlns:a16="http://schemas.microsoft.com/office/drawing/2014/main" id="{E710F163-D452-47E2-8DEE-DFBF3A42D4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41785" y="6231031"/>
              <a:ext cx="18435778" cy="45199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oneCellAnchor>
    <xdr:from>
      <xdr:col>15</xdr:col>
      <xdr:colOff>201708</xdr:colOff>
      <xdr:row>25</xdr:row>
      <xdr:rowOff>48109</xdr:rowOff>
    </xdr:from>
    <xdr:ext cx="1176616" cy="264560"/>
    <xdr:sp macro="" textlink="$AO$21">
      <xdr:nvSpPr>
        <xdr:cNvPr id="223" name="CuadroTexto 222">
          <a:extLst>
            <a:ext uri="{FF2B5EF4-FFF2-40B4-BE49-F238E27FC236}">
              <a16:creationId xmlns:a16="http://schemas.microsoft.com/office/drawing/2014/main" id="{59AEF4BA-9290-E3F5-9F5F-23EDCB4E670F}"/>
            </a:ext>
          </a:extLst>
        </xdr:cNvPr>
        <xdr:cNvSpPr txBox="1"/>
      </xdr:nvSpPr>
      <xdr:spPr>
        <a:xfrm>
          <a:off x="11317943" y="6076874"/>
          <a:ext cx="1176616" cy="2645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fld id="{8624DC67-D970-47CA-8A90-8F22DE18E536}" type="TxLink">
            <a:rPr lang="en-US" sz="1100" b="0" i="0" u="none" strike="noStrike">
              <a:solidFill>
                <a:srgbClr val="00B050"/>
              </a:solidFill>
              <a:latin typeface="Aptos Narrow"/>
            </a:rPr>
            <a:pPr algn="ctr"/>
            <a:t>11,234,064.70 </a:t>
          </a:fld>
          <a:endParaRPr lang="es-MX" sz="1100"/>
        </a:p>
      </xdr:txBody>
    </xdr:sp>
    <xdr:clientData/>
  </xdr:oneCellAnchor>
  <xdr:twoCellAnchor>
    <xdr:from>
      <xdr:col>2</xdr:col>
      <xdr:colOff>212910</xdr:colOff>
      <xdr:row>50</xdr:row>
      <xdr:rowOff>162485</xdr:rowOff>
    </xdr:from>
    <xdr:to>
      <xdr:col>19</xdr:col>
      <xdr:colOff>722638</xdr:colOff>
      <xdr:row>71</xdr:row>
      <xdr:rowOff>131668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A17F9177-31A8-44AA-A85F-87342A8FD7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41785" y="11144810"/>
              <a:ext cx="18435778" cy="39696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oneCellAnchor>
    <xdr:from>
      <xdr:col>16</xdr:col>
      <xdr:colOff>440531</xdr:colOff>
      <xdr:row>25</xdr:row>
      <xdr:rowOff>47625</xdr:rowOff>
    </xdr:from>
    <xdr:ext cx="1176616" cy="264560"/>
    <xdr:sp macro="" textlink="$AQ$21">
      <xdr:nvSpPr>
        <xdr:cNvPr id="4" name="CuadroTexto 3">
          <a:extLst>
            <a:ext uri="{FF2B5EF4-FFF2-40B4-BE49-F238E27FC236}">
              <a16:creationId xmlns:a16="http://schemas.microsoft.com/office/drawing/2014/main" id="{9A843268-DB3A-4762-B8E8-F0F62623267A}"/>
            </a:ext>
          </a:extLst>
        </xdr:cNvPr>
        <xdr:cNvSpPr txBox="1"/>
      </xdr:nvSpPr>
      <xdr:spPr>
        <a:xfrm>
          <a:off x="16532178" y="6266890"/>
          <a:ext cx="1176616" cy="2645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fld id="{21CD159D-6C37-4811-A9F2-882790319FA5}" type="TxLink">
            <a:rPr lang="en-US" sz="1100" b="0" i="0" u="none" strike="noStrike">
              <a:solidFill>
                <a:srgbClr val="00B050"/>
              </a:solidFill>
              <a:latin typeface="Aptos Narrow"/>
            </a:rPr>
            <a:pPr algn="ctr"/>
            <a:t>100.6%</a:t>
          </a:fld>
          <a:endParaRPr lang="es-MX" sz="1100"/>
        </a:p>
      </xdr:txBody>
    </xdr:sp>
    <xdr:clientData/>
  </xdr:oneCellAnchor>
  <xdr:oneCellAnchor>
    <xdr:from>
      <xdr:col>18</xdr:col>
      <xdr:colOff>95249</xdr:colOff>
      <xdr:row>25</xdr:row>
      <xdr:rowOff>47625</xdr:rowOff>
    </xdr:from>
    <xdr:ext cx="1176616" cy="264560"/>
    <xdr:sp macro="" textlink="$AQ$20">
      <xdr:nvSpPr>
        <xdr:cNvPr id="3" name="CuadroTexto 2">
          <a:extLst>
            <a:ext uri="{FF2B5EF4-FFF2-40B4-BE49-F238E27FC236}">
              <a16:creationId xmlns:a16="http://schemas.microsoft.com/office/drawing/2014/main" id="{48B60B79-3C09-5342-63C9-C77602C1C1B8}"/>
            </a:ext>
          </a:extLst>
        </xdr:cNvPr>
        <xdr:cNvSpPr txBox="1"/>
      </xdr:nvSpPr>
      <xdr:spPr>
        <a:xfrm>
          <a:off x="17692687" y="6262688"/>
          <a:ext cx="1176616" cy="2645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fld id="{3A13686F-4712-4056-A6F0-68E7B9CF6416}" type="TxLink">
            <a:rPr lang="en-US" sz="1100" b="0" i="0" u="none" strike="noStrike">
              <a:solidFill>
                <a:srgbClr val="FF0000"/>
              </a:solidFill>
              <a:latin typeface="Aptos Narrow"/>
            </a:rPr>
            <a:pPr algn="ctr"/>
            <a:t>-0.6%</a:t>
          </a:fld>
          <a:endParaRPr lang="es-MX" sz="1100"/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212911</xdr:colOff>
      <xdr:row>25</xdr:row>
      <xdr:rowOff>11206</xdr:rowOff>
    </xdr:from>
    <xdr:to>
      <xdr:col>19</xdr:col>
      <xdr:colOff>190500</xdr:colOff>
      <xdr:row>45</xdr:row>
      <xdr:rowOff>170889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02F08CAA-811D-4544-B294-413F99C073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60786" y="5811931"/>
              <a:ext cx="13369739" cy="39696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170576</xdr:colOff>
      <xdr:row>50</xdr:row>
      <xdr:rowOff>162485</xdr:rowOff>
    </xdr:from>
    <xdr:to>
      <xdr:col>19</xdr:col>
      <xdr:colOff>120953</xdr:colOff>
      <xdr:row>71</xdr:row>
      <xdr:rowOff>131668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82EA5CF4-C5A5-4EA6-8A4C-DA801CCC71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18451" y="10725710"/>
              <a:ext cx="13342527" cy="39696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27</xdr:col>
      <xdr:colOff>342290</xdr:colOff>
      <xdr:row>4</xdr:row>
      <xdr:rowOff>16299</xdr:rowOff>
    </xdr:from>
    <xdr:to>
      <xdr:col>34</xdr:col>
      <xdr:colOff>17319</xdr:colOff>
      <xdr:row>22</xdr:row>
      <xdr:rowOff>34636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B25AD104-C5FB-4A79-AC13-6D71198145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678165" y="1626024"/>
              <a:ext cx="5447179" cy="36378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34</xdr:col>
      <xdr:colOff>287738</xdr:colOff>
      <xdr:row>4</xdr:row>
      <xdr:rowOff>16299</xdr:rowOff>
    </xdr:from>
    <xdr:to>
      <xdr:col>41</xdr:col>
      <xdr:colOff>415637</xdr:colOff>
      <xdr:row>22</xdr:row>
      <xdr:rowOff>34636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0D825232-B6BB-6E92-CE2A-EDCB311184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395763" y="1626024"/>
              <a:ext cx="5414274" cy="36378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41</xdr:col>
      <xdr:colOff>714631</xdr:colOff>
      <xdr:row>4</xdr:row>
      <xdr:rowOff>16299</xdr:rowOff>
    </xdr:from>
    <xdr:to>
      <xdr:col>48</xdr:col>
      <xdr:colOff>922194</xdr:colOff>
      <xdr:row>22</xdr:row>
      <xdr:rowOff>34636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4A501F76-5EB9-F379-E742-AD3CD68211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109031" y="1626024"/>
              <a:ext cx="5436788" cy="36378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49</xdr:col>
      <xdr:colOff>479307</xdr:colOff>
      <xdr:row>4</xdr:row>
      <xdr:rowOff>16299</xdr:rowOff>
    </xdr:from>
    <xdr:to>
      <xdr:col>55</xdr:col>
      <xdr:colOff>283458</xdr:colOff>
      <xdr:row>22</xdr:row>
      <xdr:rowOff>34636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DBD4FD36-2FDC-0248-F15F-799C0DC3C6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084007" y="1626024"/>
              <a:ext cx="5404851" cy="36378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49</xdr:col>
      <xdr:colOff>479307</xdr:colOff>
      <xdr:row>23</xdr:row>
      <xdr:rowOff>16299</xdr:rowOff>
    </xdr:from>
    <xdr:to>
      <xdr:col>55</xdr:col>
      <xdr:colOff>283458</xdr:colOff>
      <xdr:row>42</xdr:row>
      <xdr:rowOff>34636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B5B318D6-1ED3-1CBD-9D74-9F2CFAF3CF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084007" y="5436024"/>
              <a:ext cx="5404851" cy="36378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49</xdr:col>
      <xdr:colOff>479307</xdr:colOff>
      <xdr:row>43</xdr:row>
      <xdr:rowOff>72328</xdr:rowOff>
    </xdr:from>
    <xdr:to>
      <xdr:col>55</xdr:col>
      <xdr:colOff>283458</xdr:colOff>
      <xdr:row>62</xdr:row>
      <xdr:rowOff>90665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1" name="Gráfico 10">
              <a:extLst>
                <a:ext uri="{FF2B5EF4-FFF2-40B4-BE49-F238E27FC236}">
                  <a16:creationId xmlns:a16="http://schemas.microsoft.com/office/drawing/2014/main" id="{69683FB8-E6BB-2E53-569A-7DF323C461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084007" y="9302053"/>
              <a:ext cx="5404851" cy="36378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190499</xdr:rowOff>
    </xdr:from>
    <xdr:to>
      <xdr:col>54</xdr:col>
      <xdr:colOff>0</xdr:colOff>
      <xdr:row>5</xdr:row>
      <xdr:rowOff>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E917D87-79DB-7742-14EF-410CC46C450F}"/>
            </a:ext>
          </a:extLst>
        </xdr:cNvPr>
        <xdr:cNvSpPr/>
      </xdr:nvSpPr>
      <xdr:spPr>
        <a:xfrm>
          <a:off x="291353" y="190499"/>
          <a:ext cx="15441706" cy="762001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5400"/>
            <a:t>Dashboard SPIN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54</xdr:col>
      <xdr:colOff>0</xdr:colOff>
      <xdr:row>63</xdr:row>
      <xdr:rowOff>11206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5C9CD8D-6355-3661-FCB3-39F2C0079547}"/>
            </a:ext>
          </a:extLst>
        </xdr:cNvPr>
        <xdr:cNvSpPr/>
      </xdr:nvSpPr>
      <xdr:spPr>
        <a:xfrm>
          <a:off x="291353" y="1143000"/>
          <a:ext cx="15441706" cy="10869706"/>
        </a:xfrm>
        <a:prstGeom prst="roundRect">
          <a:avLst>
            <a:gd name="adj" fmla="val 3741"/>
          </a:avLst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0</xdr:colOff>
      <xdr:row>6</xdr:row>
      <xdr:rowOff>44424</xdr:rowOff>
    </xdr:from>
    <xdr:to>
      <xdr:col>54</xdr:col>
      <xdr:colOff>0</xdr:colOff>
      <xdr:row>27</xdr:row>
      <xdr:rowOff>13607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1DF9D00B-0125-4C95-A0F3-D0543293A9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5275" y="1187424"/>
              <a:ext cx="15649575" cy="39696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</xdr:col>
      <xdr:colOff>0</xdr:colOff>
      <xdr:row>27</xdr:row>
      <xdr:rowOff>172163</xdr:rowOff>
    </xdr:from>
    <xdr:to>
      <xdr:col>18</xdr:col>
      <xdr:colOff>0</xdr:colOff>
      <xdr:row>44</xdr:row>
      <xdr:rowOff>172163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5BE617D6-E840-4062-9D8E-10D612C0CE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0550" y="5315663"/>
              <a:ext cx="4724400" cy="3238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18</xdr:col>
      <xdr:colOff>257175</xdr:colOff>
      <xdr:row>27</xdr:row>
      <xdr:rowOff>172163</xdr:rowOff>
    </xdr:from>
    <xdr:to>
      <xdr:col>35</xdr:col>
      <xdr:colOff>238125</xdr:colOff>
      <xdr:row>46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5FB13669-9C91-4B82-A4C6-F4F0EA0D4B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72125" y="5315663"/>
              <a:ext cx="5000625" cy="34473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36</xdr:col>
      <xdr:colOff>295274</xdr:colOff>
      <xdr:row>27</xdr:row>
      <xdr:rowOff>172163</xdr:rowOff>
    </xdr:from>
    <xdr:to>
      <xdr:col>54</xdr:col>
      <xdr:colOff>0</xdr:colOff>
      <xdr:row>46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90BEECD9-3831-443B-9ED5-3D278302E2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25174" y="5315663"/>
              <a:ext cx="5019676" cy="34473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14</xdr:col>
      <xdr:colOff>33618</xdr:colOff>
      <xdr:row>29</xdr:row>
      <xdr:rowOff>100853</xdr:rowOff>
    </xdr:from>
    <xdr:to>
      <xdr:col>17</xdr:col>
      <xdr:colOff>179294</xdr:colOff>
      <xdr:row>31</xdr:row>
      <xdr:rowOff>67236</xdr:rowOff>
    </xdr:to>
    <xdr:sp macro="" textlink="'EV SPIN'!L20">
      <xdr:nvSpPr>
        <xdr:cNvPr id="3" name="CuadroTexto 2">
          <a:extLst>
            <a:ext uri="{FF2B5EF4-FFF2-40B4-BE49-F238E27FC236}">
              <a16:creationId xmlns:a16="http://schemas.microsoft.com/office/drawing/2014/main" id="{B2327588-05A9-17DC-F8DF-1230573368A5}"/>
            </a:ext>
          </a:extLst>
        </xdr:cNvPr>
        <xdr:cNvSpPr txBox="1"/>
      </xdr:nvSpPr>
      <xdr:spPr>
        <a:xfrm>
          <a:off x="4112559" y="5625353"/>
          <a:ext cx="1019735" cy="3473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940C251-2649-4F06-B1E3-B107709D2F63}" type="TxLink">
            <a:rPr lang="en-US" sz="1200" b="1" i="0" u="none" strike="noStrike">
              <a:solidFill>
                <a:schemeClr val="bg1"/>
              </a:solidFill>
              <a:latin typeface="Aptos Narrow"/>
            </a:rPr>
            <a:pPr algn="ctr"/>
            <a:t>∑ 181.926 km</a:t>
          </a:fld>
          <a:endParaRPr lang="es-MX" sz="1200">
            <a:solidFill>
              <a:schemeClr val="bg1"/>
            </a:solidFill>
          </a:endParaRPr>
        </a:p>
      </xdr:txBody>
    </xdr:sp>
    <xdr:clientData/>
  </xdr:twoCellAnchor>
  <xdr:twoCellAnchor>
    <xdr:from>
      <xdr:col>32</xdr:col>
      <xdr:colOff>11206</xdr:colOff>
      <xdr:row>29</xdr:row>
      <xdr:rowOff>100853</xdr:rowOff>
    </xdr:from>
    <xdr:to>
      <xdr:col>35</xdr:col>
      <xdr:colOff>156882</xdr:colOff>
      <xdr:row>31</xdr:row>
      <xdr:rowOff>67236</xdr:rowOff>
    </xdr:to>
    <xdr:sp macro="" textlink="'EV SPIN'!M20">
      <xdr:nvSpPr>
        <xdr:cNvPr id="10" name="CuadroTexto 9">
          <a:extLst>
            <a:ext uri="{FF2B5EF4-FFF2-40B4-BE49-F238E27FC236}">
              <a16:creationId xmlns:a16="http://schemas.microsoft.com/office/drawing/2014/main" id="{741D81E8-54F5-6E70-4050-0D653F79F474}"/>
            </a:ext>
          </a:extLst>
        </xdr:cNvPr>
        <xdr:cNvSpPr txBox="1"/>
      </xdr:nvSpPr>
      <xdr:spPr>
        <a:xfrm>
          <a:off x="9334500" y="5625353"/>
          <a:ext cx="1019735" cy="3473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9799C4EE-E74F-4E23-BAE5-2382856E8AC0}" type="TxLink">
            <a:rPr lang="en-US" sz="1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∑ 148.925 km</a:t>
          </a:fld>
          <a:endParaRPr lang="es-MX" sz="12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49</xdr:col>
      <xdr:colOff>280147</xdr:colOff>
      <xdr:row>29</xdr:row>
      <xdr:rowOff>100853</xdr:rowOff>
    </xdr:from>
    <xdr:to>
      <xdr:col>53</xdr:col>
      <xdr:colOff>134470</xdr:colOff>
      <xdr:row>31</xdr:row>
      <xdr:rowOff>67236</xdr:rowOff>
    </xdr:to>
    <xdr:sp macro="" textlink="'EV SPIN'!N20">
      <xdr:nvSpPr>
        <xdr:cNvPr id="11" name="CuadroTexto 10">
          <a:extLst>
            <a:ext uri="{FF2B5EF4-FFF2-40B4-BE49-F238E27FC236}">
              <a16:creationId xmlns:a16="http://schemas.microsoft.com/office/drawing/2014/main" id="{15623054-24A0-0243-9A9F-0AB12EE3AC3D}"/>
            </a:ext>
          </a:extLst>
        </xdr:cNvPr>
        <xdr:cNvSpPr txBox="1"/>
      </xdr:nvSpPr>
      <xdr:spPr>
        <a:xfrm>
          <a:off x="14556441" y="5625353"/>
          <a:ext cx="1019735" cy="3473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8DB2003-03F9-444C-8D00-BA2A62EEC8FE}" type="TxLink">
            <a:rPr lang="en-US" sz="1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∑ 181.886 km</a:t>
          </a:fld>
          <a:endParaRPr lang="es-MX" sz="12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44823</xdr:colOff>
      <xdr:row>45</xdr:row>
      <xdr:rowOff>145676</xdr:rowOff>
    </xdr:from>
    <xdr:to>
      <xdr:col>17</xdr:col>
      <xdr:colOff>280147</xdr:colOff>
      <xdr:row>62</xdr:row>
      <xdr:rowOff>22411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8C7CED0E-5542-4752-8435-E2517B2B69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373" y="8718176"/>
              <a:ext cx="4664449" cy="31152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19</xdr:col>
      <xdr:colOff>108856</xdr:colOff>
      <xdr:row>45</xdr:row>
      <xdr:rowOff>108857</xdr:rowOff>
    </xdr:from>
    <xdr:to>
      <xdr:col>36</xdr:col>
      <xdr:colOff>0</xdr:colOff>
      <xdr:row>62</xdr:row>
      <xdr:rowOff>40820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098E6C67-5BDE-4793-AE3F-362B6F2A2E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9081" y="8681357"/>
              <a:ext cx="4910819" cy="31704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36</xdr:col>
      <xdr:colOff>163286</xdr:colOff>
      <xdr:row>44</xdr:row>
      <xdr:rowOff>124065</xdr:rowOff>
    </xdr:from>
    <xdr:to>
      <xdr:col>53</xdr:col>
      <xdr:colOff>244928</xdr:colOff>
      <xdr:row>62</xdr:row>
      <xdr:rowOff>163286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5EC65DC0-875E-4D04-AADC-5B5F6B2606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93186" y="8506065"/>
              <a:ext cx="5101317" cy="34682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728380</xdr:colOff>
      <xdr:row>42</xdr:row>
      <xdr:rowOff>33618</xdr:rowOff>
    </xdr:from>
    <xdr:to>
      <xdr:col>41</xdr:col>
      <xdr:colOff>180893</xdr:colOff>
      <xdr:row>63</xdr:row>
      <xdr:rowOff>119343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41F4052D-4D7A-4F1A-B26C-128A59EB43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8380" y="8825193"/>
              <a:ext cx="17207113" cy="4086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42</xdr:col>
      <xdr:colOff>258536</xdr:colOff>
      <xdr:row>1</xdr:row>
      <xdr:rowOff>27215</xdr:rowOff>
    </xdr:from>
    <xdr:to>
      <xdr:col>57</xdr:col>
      <xdr:colOff>348183</xdr:colOff>
      <xdr:row>19</xdr:row>
      <xdr:rowOff>16009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DEC4C896-B280-4DB2-AD77-776244B82B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108511" y="1008290"/>
              <a:ext cx="11824447" cy="34177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106042</xdr:colOff>
      <xdr:row>57</xdr:row>
      <xdr:rowOff>29596</xdr:rowOff>
    </xdr:from>
    <xdr:to>
      <xdr:col>40</xdr:col>
      <xdr:colOff>943963</xdr:colOff>
      <xdr:row>57</xdr:row>
      <xdr:rowOff>29596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49CA9F3D-A029-4DFD-9F03-D7F6ABC96FAB}"/>
            </a:ext>
          </a:extLst>
        </xdr:cNvPr>
        <xdr:cNvCxnSpPr/>
      </xdr:nvCxnSpPr>
      <xdr:spPr>
        <a:xfrm>
          <a:off x="1829613" y="11169310"/>
          <a:ext cx="16744671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roos\OneDrive\Escritorio\COSTOS%20-%20644.%20PC%20ECDA%20QUER&#201;TARO%20(ENGIE-2025).xlsm" TargetMode="External"/><Relationship Id="rId1" Type="http://schemas.openxmlformats.org/officeDocument/2006/relationships/externalLinkPath" Target="file:///C:\Users\croos\OneDrive\Escritorio\COSTOS%20-%20644.%20PC%20ECDA%20QUER&#201;TARO%20(ENGIE-2025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yectos"/>
      <sheetName val="Menús"/>
      <sheetName val="Dashboard"/>
      <sheetName val="Ingresos"/>
      <sheetName val="Presupuesto"/>
      <sheetName val="Gastos"/>
      <sheetName val="Valor Ganado"/>
      <sheetName val="Conexión"/>
      <sheetName val="Hoja1"/>
      <sheetName val="Hoja1 (2)"/>
      <sheetName val="Nomina (pbi)"/>
      <sheetName val="Directos (pbi)"/>
      <sheetName val="Ingresos (pbi)"/>
      <sheetName val="Presupuesto (pbi)"/>
    </sheetNames>
    <sheetDataSet>
      <sheetData sheetId="0"/>
      <sheetData sheetId="1"/>
      <sheetData sheetId="2">
        <row r="61">
          <cell r="D61">
            <v>91574.907240000015</v>
          </cell>
        </row>
        <row r="62">
          <cell r="D62">
            <v>131427.58128000001</v>
          </cell>
        </row>
        <row r="63">
          <cell r="D63">
            <v>162389.24028</v>
          </cell>
        </row>
        <row r="64">
          <cell r="D64">
            <v>2103203.6595120002</v>
          </cell>
        </row>
        <row r="65">
          <cell r="D65">
            <v>284577.85708800005</v>
          </cell>
        </row>
        <row r="66">
          <cell r="D66">
            <v>4104758.7796800006</v>
          </cell>
        </row>
        <row r="67">
          <cell r="D67">
            <v>85730.795280000006</v>
          </cell>
        </row>
        <row r="68">
          <cell r="D68">
            <v>85734.352079999997</v>
          </cell>
        </row>
        <row r="69">
          <cell r="D69">
            <v>85734.352079999997</v>
          </cell>
        </row>
        <row r="70">
          <cell r="D70">
            <v>102830.79528000001</v>
          </cell>
        </row>
        <row r="71">
          <cell r="D71">
            <v>102830.79528000001</v>
          </cell>
        </row>
        <row r="72">
          <cell r="D72">
            <v>102830.79528000001</v>
          </cell>
        </row>
        <row r="73">
          <cell r="D73">
            <v>102830.79528000001</v>
          </cell>
        </row>
        <row r="74">
          <cell r="D74">
            <v>102830.79528000001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S" refreshedDate="46286.82258414352" createdVersion="8" refreshedVersion="8" minRefreshableVersion="3" recordCount="499" xr:uid="{A3490624-F754-4FCA-AB85-D3F9E8A87A85}">
  <cacheSource type="worksheet">
    <worksheetSource ref="A1:J500" sheet="EV"/>
  </cacheSource>
  <cacheFields count="13">
    <cacheField name="fecha" numFmtId="16">
      <sharedItems containsSemiMixedTypes="0" containsNonDate="0" containsDate="1" containsString="0" minDate="2025-11-01T00:00:00" maxDate="2027-03-15T00:00:00" count="499"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3-01T00:00:00"/>
        <d v="2027-03-02T00:00:00"/>
        <d v="2027-03-03T00:00:00"/>
        <d v="2027-03-04T00:00:00"/>
        <d v="2027-03-05T00:00:00"/>
        <d v="2027-03-06T00:00:00"/>
        <d v="2027-03-07T00:00:00"/>
        <d v="2027-03-08T00:00:00"/>
        <d v="2027-03-09T00:00:00"/>
        <d v="2027-03-10T00:00:00"/>
        <d v="2027-03-11T00:00:00"/>
        <d v="2027-03-12T00:00:00"/>
        <d v="2027-03-13T00:00:00"/>
        <d v="2027-03-14T00:00:00"/>
      </sharedItems>
      <fieldGroup par="12"/>
    </cacheField>
    <cacheField name="Campo2" caption="Campo2" numFmtId="0">
      <sharedItems containsString="0" containsBlank="1" containsNumber="1" containsInteger="1" minValue="12000000" maxValue="12000000"/>
    </cacheField>
    <cacheField name="Localizacion" numFmtId="167">
      <sharedItems containsMixedTypes="1" containsNumber="1" minValue="0" maxValue="170.642"/>
    </cacheField>
    <cacheField name="CIPS" numFmtId="167">
      <sharedItems containsBlank="1" containsMixedTypes="1" containsNumber="1" minValue="0" maxValue="165.64099999999991"/>
    </cacheField>
    <cacheField name="DCVG" numFmtId="167">
      <sharedItems containsBlank="1" containsMixedTypes="1" containsNumber="1" minValue="8.9999999999999993E-3" maxValue="148.70000000000007"/>
    </cacheField>
    <cacheField name="Resistividades pH BSR BPA" numFmtId="1">
      <sharedItems containsBlank="1" containsMixedTypes="1" containsNumber="1" containsInteger="1" minValue="0" maxValue="384"/>
    </cacheField>
    <cacheField name="ACVG" numFmtId="1">
      <sharedItems containsNonDate="0" containsString="0" containsBlank="1"/>
    </cacheField>
    <cacheField name="PCM" numFmtId="2">
      <sharedItems containsBlank="1" containsMixedTypes="1" containsNumber="1" minValue="0" maxValue="49.86350819346567"/>
    </cacheField>
    <cacheField name="EV_" numFmtId="179">
      <sharedItems containsMixedTypes="1" containsNumber="1" minValue="0" maxValue="6594945.7184499986"/>
    </cacheField>
    <cacheField name="EV" numFmtId="179">
      <sharedItems containsMixedTypes="1" containsNumber="1" minValue="0" maxValue="9477858.3531299923"/>
    </cacheField>
    <cacheField name="Meses (fecha)" numFmtId="0" databaseField="0">
      <fieldGroup base="0">
        <rangePr groupBy="months" startDate="2025-11-01T00:00:00" endDate="2027-03-15T00:00:00"/>
        <groupItems count="14">
          <s v="&lt;01/11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5/03/2027"/>
        </groupItems>
      </fieldGroup>
    </cacheField>
    <cacheField name="Trimestres (fecha)" numFmtId="0" databaseField="0">
      <fieldGroup base="0">
        <rangePr groupBy="quarters" startDate="2025-11-01T00:00:00" endDate="2027-03-15T00:00:00"/>
        <groupItems count="6">
          <s v="&lt;01/11/2025"/>
          <s v="Trim.1"/>
          <s v="Trim.2"/>
          <s v="Trim.3"/>
          <s v="Trim.4"/>
          <s v="&gt;15/03/2027"/>
        </groupItems>
      </fieldGroup>
    </cacheField>
    <cacheField name="Años (fecha)" numFmtId="0" databaseField="0">
      <fieldGroup base="0">
        <rangePr groupBy="years" startDate="2025-11-01T00:00:00" endDate="2027-03-15T00:00:00"/>
        <groupItems count="5">
          <s v="&lt;01/11/2025"/>
          <s v="2025"/>
          <s v="2026"/>
          <s v="2027"/>
          <s v="&gt;15/03/2027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x v="0"/>
    <m/>
    <n v="0"/>
    <m/>
    <m/>
    <m/>
    <m/>
    <m/>
    <n v="0"/>
    <n v="0"/>
  </r>
  <r>
    <x v="1"/>
    <m/>
    <n v="0"/>
    <m/>
    <m/>
    <m/>
    <m/>
    <m/>
    <n v="0"/>
    <n v="0"/>
  </r>
  <r>
    <x v="2"/>
    <m/>
    <n v="1.1000000000000001"/>
    <m/>
    <m/>
    <m/>
    <m/>
    <m/>
    <n v="2483.1620000000003"/>
    <n v="2483.1620000000003"/>
  </r>
  <r>
    <x v="3"/>
    <m/>
    <n v="4"/>
    <m/>
    <m/>
    <m/>
    <m/>
    <m/>
    <n v="9029.68"/>
    <n v="9029.68"/>
  </r>
  <r>
    <x v="4"/>
    <m/>
    <n v="8"/>
    <m/>
    <m/>
    <m/>
    <m/>
    <m/>
    <n v="18059.36"/>
    <n v="18059.36"/>
  </r>
  <r>
    <x v="5"/>
    <m/>
    <n v="13.5"/>
    <m/>
    <m/>
    <m/>
    <m/>
    <m/>
    <n v="30475.170000000002"/>
    <n v="30475.170000000002"/>
  </r>
  <r>
    <x v="6"/>
    <m/>
    <n v="17.5"/>
    <m/>
    <m/>
    <m/>
    <m/>
    <m/>
    <n v="39504.85"/>
    <n v="39504.850000000006"/>
  </r>
  <r>
    <x v="7"/>
    <m/>
    <n v="20.5"/>
    <m/>
    <m/>
    <m/>
    <m/>
    <m/>
    <n v="46277.11"/>
    <n v="46277.110000000008"/>
  </r>
  <r>
    <x v="8"/>
    <m/>
    <n v="20.5"/>
    <m/>
    <m/>
    <m/>
    <m/>
    <m/>
    <n v="46277.11"/>
    <n v="46277.110000000008"/>
  </r>
  <r>
    <x v="9"/>
    <m/>
    <n v="26"/>
    <m/>
    <m/>
    <m/>
    <m/>
    <m/>
    <n v="58692.92"/>
    <n v="58692.920000000013"/>
  </r>
  <r>
    <x v="10"/>
    <m/>
    <n v="31.54"/>
    <m/>
    <m/>
    <m/>
    <m/>
    <m/>
    <n v="71199.026800000007"/>
    <n v="71199.026800000021"/>
  </r>
  <r>
    <x v="11"/>
    <m/>
    <n v="35.786999999999999"/>
    <m/>
    <m/>
    <m/>
    <m/>
    <m/>
    <n v="80786.289539999998"/>
    <n v="80786.289540000027"/>
  </r>
  <r>
    <x v="12"/>
    <m/>
    <n v="41.429000000000002"/>
    <m/>
    <m/>
    <m/>
    <m/>
    <m/>
    <n v="93522.653180000008"/>
    <n v="93522.653180000023"/>
  </r>
  <r>
    <x v="13"/>
    <m/>
    <n v="47.429000000000002"/>
    <m/>
    <m/>
    <m/>
    <m/>
    <m/>
    <n v="107067.17318000001"/>
    <n v="107067.17318000003"/>
  </r>
  <r>
    <x v="14"/>
    <m/>
    <n v="52.429000000000002"/>
    <m/>
    <m/>
    <m/>
    <m/>
    <m/>
    <n v="118354.27318"/>
    <n v="118354.27318000003"/>
  </r>
  <r>
    <x v="15"/>
    <m/>
    <n v="56.429000000000002"/>
    <n v="0"/>
    <m/>
    <m/>
    <m/>
    <m/>
    <n v="127383.95318000001"/>
    <n v="127383.95318000004"/>
  </r>
  <r>
    <x v="16"/>
    <m/>
    <n v="56.429000000000002"/>
    <n v="5"/>
    <m/>
    <m/>
    <m/>
    <m/>
    <n v="199991.00318"/>
    <n v="199991.00318000006"/>
  </r>
  <r>
    <x v="17"/>
    <m/>
    <n v="56.429000000000002"/>
    <n v="9"/>
    <m/>
    <n v="0"/>
    <m/>
    <m/>
    <n v="258076.64318000001"/>
    <n v="258076.64318000007"/>
  </r>
  <r>
    <x v="18"/>
    <m/>
    <n v="59.728999999999999"/>
    <n v="15"/>
    <m/>
    <n v="9"/>
    <m/>
    <m/>
    <n v="394576.58918000001"/>
    <n v="394576.58918000007"/>
  </r>
  <r>
    <x v="19"/>
    <m/>
    <n v="66.429000000000002"/>
    <n v="18.5"/>
    <m/>
    <n v="21"/>
    <m/>
    <m/>
    <n v="516422.23818000004"/>
    <n v="516422.23818000004"/>
  </r>
  <r>
    <x v="20"/>
    <m/>
    <n v="67.317000000000007"/>
    <n v="24.009"/>
    <m/>
    <n v="32"/>
    <m/>
    <m/>
    <n v="649663.27483000001"/>
    <n v="649785.27549999999"/>
  </r>
  <r>
    <x v="21"/>
    <m/>
    <n v="68.672000000000011"/>
    <n v="28.509"/>
    <m/>
    <n v="32"/>
    <m/>
    <m/>
    <n v="718068.42393000005"/>
    <n v="718190.42460000003"/>
  </r>
  <r>
    <x v="22"/>
    <m/>
    <n v="68.672000000000011"/>
    <n v="31.548999999999999"/>
    <n v="8.9999999999999993E-3"/>
    <n v="32"/>
    <m/>
    <m/>
    <n v="762335.51099999994"/>
    <n v="762335.51100000006"/>
  </r>
  <r>
    <x v="23"/>
    <m/>
    <n v="72.02200000000002"/>
    <n v="31.548999999999999"/>
    <n v="3.0089999999999999"/>
    <n v="38"/>
    <m/>
    <m/>
    <n v="838512.75800000003"/>
    <n v="838512.75800000015"/>
  </r>
  <r>
    <x v="24"/>
    <m/>
    <n v="72.02200000000002"/>
    <n v="31.548999999999999"/>
    <n v="12.009"/>
    <n v="48"/>
    <m/>
    <m/>
    <n v="1007093.4280000001"/>
    <n v="1007093.4280000002"/>
  </r>
  <r>
    <x v="25"/>
    <m/>
    <n v="72.02200000000002"/>
    <n v="31.548999999999999"/>
    <n v="24.009"/>
    <n v="60"/>
    <m/>
    <m/>
    <n v="1225656.9879999999"/>
    <n v="1225656.9880000001"/>
  </r>
  <r>
    <x v="26"/>
    <m/>
    <n v="72.02200000000002"/>
    <n v="31.548999999999999"/>
    <n v="31.548999999999999"/>
    <n v="66"/>
    <m/>
    <m/>
    <n v="1355814.4382"/>
    <n v="1355814.4382000002"/>
  </r>
  <r>
    <x v="27"/>
    <m/>
    <n v="72.02200000000002"/>
    <n v="31.548999999999999"/>
    <n v="41.548999999999999"/>
    <n v="86"/>
    <m/>
    <m/>
    <n v="1584530.7382"/>
    <n v="1584530.7382"/>
  </r>
  <r>
    <x v="28"/>
    <m/>
    <n v="72.02200000000002"/>
    <n v="31.548999999999999"/>
    <n v="53.048999999999999"/>
    <n v="98"/>
    <m/>
    <m/>
    <n v="1796316.4832000001"/>
    <n v="1796316.4831999999"/>
  </r>
  <r>
    <x v="29"/>
    <m/>
    <n v="72.02200000000002"/>
    <n v="31.548999999999999"/>
    <n v="53.048999999999999"/>
    <n v="98"/>
    <m/>
    <m/>
    <n v="1796316.4832000001"/>
    <n v="1796316.4831999999"/>
  </r>
  <r>
    <x v="30"/>
    <m/>
    <n v="72.042000000000016"/>
    <n v="31.548999999999999"/>
    <n v="63.25"/>
    <n v="116"/>
    <m/>
    <m/>
    <n v="2018486.6132299998"/>
    <n v="2018486.61323"/>
  </r>
  <r>
    <x v="31"/>
    <m/>
    <n v="72.535000000000011"/>
    <n v="31.548999999999999"/>
    <n v="71.021000000000015"/>
    <n v="128"/>
    <m/>
    <m/>
    <n v="2180836.3220200003"/>
    <n v="2180836.3220199994"/>
  </r>
  <r>
    <x v="32"/>
    <m/>
    <n v="73.64400000000002"/>
    <n v="31.548999999999999"/>
    <n v="73.644000000000034"/>
    <n v="138"/>
    <m/>
    <m/>
    <n v="2265476.2182900002"/>
    <n v="2265476.2182899988"/>
  </r>
  <r>
    <x v="33"/>
    <m/>
    <n v="77.136000000000038"/>
    <n v="31.548999999999999"/>
    <n v="74.136000000000053"/>
    <n v="157"/>
    <m/>
    <m/>
    <n v="2368530.4988900009"/>
    <n v="2368530.4988899995"/>
  </r>
  <r>
    <x v="34"/>
    <m/>
    <n v="83.786000000000044"/>
    <n v="31.548999999999999"/>
    <n v="74.136000000000053"/>
    <n v="171"/>
    <m/>
    <m/>
    <n v="2448754.3418900007"/>
    <n v="2448754.3418899993"/>
  </r>
  <r>
    <x v="35"/>
    <m/>
    <n v="83.799000000000035"/>
    <n v="31.548999999999999"/>
    <n v="74.149000000000044"/>
    <n v="178"/>
    <m/>
    <m/>
    <n v="2481565.9115400007"/>
    <n v="2481565.9115399993"/>
  </r>
  <r>
    <x v="36"/>
    <m/>
    <n v="83.799000000000035"/>
    <n v="31.548999999999999"/>
    <n v="74.149000000000044"/>
    <n v="178"/>
    <m/>
    <m/>
    <n v="2481565.9115400007"/>
    <n v="2481565.9115399993"/>
  </r>
  <r>
    <x v="37"/>
    <m/>
    <n v="84.593000000000032"/>
    <n v="31.548999999999999"/>
    <n v="74.149000000000044"/>
    <n v="192"/>
    <m/>
    <m/>
    <n v="2548570.3030200005"/>
    <n v="2548570.3030199995"/>
  </r>
  <r>
    <x v="38"/>
    <m/>
    <n v="84.593000000000032"/>
    <n v="35.848999999999997"/>
    <n v="74.149000000000044"/>
    <n v="210"/>
    <m/>
    <m/>
    <n v="2694856.3660200005"/>
    <n v="2694856.3660199996"/>
  </r>
  <r>
    <x v="39"/>
    <m/>
    <n v="84.593000000000032"/>
    <n v="40.148999999999994"/>
    <n v="74.149000000000044"/>
    <n v="228"/>
    <m/>
    <m/>
    <n v="2841142.4290200006"/>
    <n v="2841142.4290199997"/>
  </r>
  <r>
    <x v="40"/>
    <m/>
    <n v="84.593000000000032"/>
    <n v="44.848999999999997"/>
    <n v="74.149000000000044"/>
    <n v="228"/>
    <m/>
    <m/>
    <n v="2909393.0560200005"/>
    <n v="2909393.0560199996"/>
  </r>
  <r>
    <x v="41"/>
    <m/>
    <n v="84.593000000000032"/>
    <n v="49.573999999999998"/>
    <n v="74.149000000000044"/>
    <n v="228"/>
    <m/>
    <m/>
    <n v="2978006.7182700005"/>
    <n v="2978006.7182699996"/>
  </r>
  <r>
    <x v="42"/>
    <m/>
    <n v="84.593000000000032"/>
    <n v="51.923000000000002"/>
    <n v="74.149000000000044"/>
    <n v="228"/>
    <m/>
    <m/>
    <n v="3012117.5103600007"/>
    <n v="3012117.5103599997"/>
  </r>
  <r>
    <x v="43"/>
    <m/>
    <n v="84.593000000000032"/>
    <n v="51.923000000000002"/>
    <n v="74.149000000000044"/>
    <n v="228"/>
    <m/>
    <m/>
    <n v="3012117.5103600007"/>
    <n v="3012117.5103599997"/>
  </r>
  <r>
    <x v="44"/>
    <m/>
    <n v="84.593000000000032"/>
    <n v="51.923000000000002"/>
    <n v="84.593000000000046"/>
    <n v="228"/>
    <m/>
    <m/>
    <n v="3153692.5100800004"/>
    <n v="3153692.5100799999"/>
  </r>
  <r>
    <x v="45"/>
    <m/>
    <n v="84.593000000000032"/>
    <n v="52.207999999999998"/>
    <n v="84.593000000000046"/>
    <n v="228"/>
    <m/>
    <m/>
    <n v="3157831.1119300006"/>
    <n v="3157831.1119299997"/>
  </r>
  <r>
    <x v="46"/>
    <m/>
    <n v="88.205000000000027"/>
    <n v="52.572000000000003"/>
    <n v="84.593000000000046"/>
    <n v="228"/>
    <m/>
    <m/>
    <n v="3171270.7062100004"/>
    <n v="3171270.706209999"/>
  </r>
  <r>
    <x v="47"/>
    <m/>
    <n v="93.205000000000027"/>
    <n v="52.572000000000003"/>
    <n v="84.593000000000046"/>
    <n v="228"/>
    <m/>
    <m/>
    <n v="3182557.8062100005"/>
    <n v="3182557.8062099991"/>
  </r>
  <r>
    <x v="48"/>
    <m/>
    <n v="93.205000000000027"/>
    <n v="58.344000000000001"/>
    <n v="84.593000000000046"/>
    <n v="228"/>
    <m/>
    <m/>
    <n v="3266375.3847300005"/>
    <n v="3266375.3847299996"/>
  </r>
  <r>
    <x v="49"/>
    <m/>
    <n v="93.205000000000027"/>
    <n v="60.515999999999998"/>
    <n v="84.593000000000046"/>
    <n v="228"/>
    <m/>
    <m/>
    <n v="3297915.8872500006"/>
    <n v="3297915.8872499997"/>
  </r>
  <r>
    <x v="50"/>
    <m/>
    <n v="93.205000000000027"/>
    <n v="60.515999999999998"/>
    <n v="84.593000000000046"/>
    <n v="228"/>
    <m/>
    <m/>
    <n v="3297915.8872500006"/>
    <n v="3297915.8872499997"/>
  </r>
  <r>
    <x v="51"/>
    <n v="12000000"/>
    <n v="93.205000000000027"/>
    <n v="63.065999999999995"/>
    <n v="84.593000000000046"/>
    <n v="228"/>
    <m/>
    <m/>
    <n v="3334945.4827500004"/>
    <n v="3334945.4827499995"/>
  </r>
  <r>
    <x v="52"/>
    <n v="12000000"/>
    <n v="93.205000000000027"/>
    <n v="63.065999999999995"/>
    <n v="84.593000000000046"/>
    <n v="228"/>
    <m/>
    <m/>
    <n v="3334945.4827500004"/>
    <n v="3334945.4827499995"/>
  </r>
  <r>
    <x v="53"/>
    <n v="12000000"/>
    <n v="93.205000000000027"/>
    <n v="63.065999999999995"/>
    <n v="84.593000000000046"/>
    <n v="228"/>
    <m/>
    <m/>
    <n v="3334945.4827500004"/>
    <n v="3334945.4827499995"/>
  </r>
  <r>
    <x v="54"/>
    <n v="12000000"/>
    <n v="93.205000000000027"/>
    <n v="63.065999999999995"/>
    <n v="84.593000000000046"/>
    <n v="228"/>
    <m/>
    <m/>
    <n v="3334945.4827500004"/>
    <n v="3334945.4827499995"/>
  </r>
  <r>
    <x v="55"/>
    <n v="12000000"/>
    <n v="93.205000000000027"/>
    <n v="63.065999999999995"/>
    <n v="84.593000000000046"/>
    <n v="228"/>
    <m/>
    <m/>
    <n v="3334945.4827500004"/>
    <n v="3334945.4827499995"/>
  </r>
  <r>
    <x v="56"/>
    <n v="12000000"/>
    <n v="93.205000000000027"/>
    <n v="63.065999999999995"/>
    <n v="84.593000000000046"/>
    <n v="228"/>
    <m/>
    <m/>
    <n v="3334945.4827500004"/>
    <n v="3334945.4827499995"/>
  </r>
  <r>
    <x v="57"/>
    <n v="12000000"/>
    <n v="93.205000000000027"/>
    <n v="63.065999999999995"/>
    <n v="84.593000000000046"/>
    <n v="228"/>
    <m/>
    <m/>
    <n v="3334945.4827500004"/>
    <n v="3334945.4827499995"/>
  </r>
  <r>
    <x v="58"/>
    <n v="12000000"/>
    <n v="93.205000000000027"/>
    <n v="63.065999999999995"/>
    <n v="84.593000000000046"/>
    <n v="228"/>
    <m/>
    <m/>
    <n v="3334945.4827500004"/>
    <n v="3334945.4827499995"/>
  </r>
  <r>
    <x v="59"/>
    <n v="12000000"/>
    <n v="93.205000000000027"/>
    <n v="63.065999999999995"/>
    <n v="84.593000000000046"/>
    <n v="228"/>
    <m/>
    <m/>
    <n v="3334945.4827500004"/>
    <n v="3334945.4827499995"/>
  </r>
  <r>
    <x v="60"/>
    <n v="12000000"/>
    <n v="93.205000000000027"/>
    <n v="63.065999999999995"/>
    <n v="84.593000000000046"/>
    <n v="228"/>
    <m/>
    <m/>
    <n v="3334945.4827500004"/>
    <n v="3334945.4827499995"/>
  </r>
  <r>
    <x v="61"/>
    <n v="12000000"/>
    <n v="93.205000000000027"/>
    <n v="63.065999999999995"/>
    <n v="84.593000000000046"/>
    <n v="228"/>
    <m/>
    <m/>
    <n v="3334945.4827500004"/>
    <n v="3334945.4827499995"/>
  </r>
  <r>
    <x v="62"/>
    <n v="12000000"/>
    <n v="93.205000000000027"/>
    <n v="63.065999999999995"/>
    <n v="84.593000000000046"/>
    <n v="228"/>
    <m/>
    <m/>
    <n v="3334945.4827500004"/>
    <n v="3334945.4827499995"/>
  </r>
  <r>
    <x v="63"/>
    <n v="12000000"/>
    <n v="93.205000000000027"/>
    <n v="63.065999999999995"/>
    <n v="84.593000000000046"/>
    <n v="228"/>
    <m/>
    <m/>
    <n v="3334945.4827500004"/>
    <n v="3334945.4827499995"/>
  </r>
  <r>
    <x v="64"/>
    <n v="12000000"/>
    <n v="93.205000000000027"/>
    <n v="63.065999999999995"/>
    <n v="84.593000000000046"/>
    <n v="228"/>
    <m/>
    <m/>
    <n v="3334945.4827500004"/>
    <n v="3334945.4827499995"/>
  </r>
  <r>
    <x v="65"/>
    <n v="12000000"/>
    <n v="95.355000000000032"/>
    <n v="63.506"/>
    <n v="84.593000000000046"/>
    <n v="228"/>
    <m/>
    <m/>
    <n v="3346188.3561500004"/>
    <n v="3346188.3561499999"/>
  </r>
  <r>
    <x v="66"/>
    <m/>
    <n v="99.53900000000003"/>
    <n v="68.281999999999996"/>
    <n v="84.593000000000046"/>
    <n v="228"/>
    <m/>
    <m/>
    <n v="3424987.6555900006"/>
    <n v="3424987.6555899996"/>
  </r>
  <r>
    <x v="67"/>
    <m/>
    <n v="99.53900000000003"/>
    <n v="68.281999999999996"/>
    <n v="94.19300000000004"/>
    <n v="233"/>
    <m/>
    <m/>
    <n v="3578411.7035900005"/>
    <n v="3578411.7035899996"/>
  </r>
  <r>
    <x v="68"/>
    <m/>
    <n v="99.53900000000003"/>
    <n v="68.281999999999996"/>
    <n v="99.527000000000044"/>
    <n v="242"/>
    <m/>
    <m/>
    <n v="3692639.4340100004"/>
    <n v="3692639.4340099995"/>
  </r>
  <r>
    <x v="69"/>
    <m/>
    <n v="99.826000000000036"/>
    <n v="70.242999999999995"/>
    <n v="99.527000000000044"/>
    <n v="250"/>
    <m/>
    <m/>
    <n v="3759027.7985600005"/>
    <n v="3759027.7985599996"/>
  </r>
  <r>
    <x v="70"/>
    <m/>
    <n v="99.826000000000036"/>
    <n v="71.438999999999993"/>
    <n v="99.527000000000044"/>
    <n v="250"/>
    <m/>
    <m/>
    <n v="3776395.4049200006"/>
    <n v="3776395.4049199997"/>
  </r>
  <r>
    <x v="71"/>
    <m/>
    <n v="99.826000000000036"/>
    <n v="72.580999999999989"/>
    <n v="99.527000000000044"/>
    <n v="250"/>
    <m/>
    <m/>
    <n v="3792978.8551400006"/>
    <n v="3792978.8551399997"/>
  </r>
  <r>
    <x v="72"/>
    <m/>
    <n v="99.826000000000036"/>
    <n v="76.180999999999983"/>
    <n v="99.527000000000044"/>
    <n v="258"/>
    <m/>
    <m/>
    <n v="3882519.93114"/>
    <n v="3882519.9311399995"/>
  </r>
  <r>
    <x v="73"/>
    <m/>
    <n v="99.869000000000042"/>
    <n v="76.23599999999999"/>
    <n v="99.869000000000057"/>
    <n v="266"/>
    <m/>
    <m/>
    <n v="3925315.7032100004"/>
    <n v="3925315.7032099995"/>
  </r>
  <r>
    <x v="74"/>
    <m/>
    <n v="99.869000000000042"/>
    <n v="80.73599999999999"/>
    <n v="99.869000000000057"/>
    <n v="271"/>
    <m/>
    <m/>
    <n v="4013952.0482100006"/>
    <n v="4013952.0482099997"/>
  </r>
  <r>
    <x v="75"/>
    <m/>
    <n v="99.869000000000042"/>
    <n v="82.785999999999987"/>
    <n v="99.869000000000057"/>
    <n v="279"/>
    <m/>
    <m/>
    <n v="4080984.9387100004"/>
    <n v="4080984.9387099999"/>
  </r>
  <r>
    <x v="76"/>
    <m/>
    <n v="99.869000000000042"/>
    <n v="87.57"/>
    <n v="99.869000000000057"/>
    <n v="286"/>
    <m/>
    <m/>
    <n v="4183061.3641500007"/>
    <n v="4183061.3641500003"/>
  </r>
  <r>
    <x v="77"/>
    <m/>
    <n v="99.869000000000042"/>
    <n v="89.424999999999997"/>
    <n v="99.869000000000057"/>
    <n v="292"/>
    <m/>
    <m/>
    <n v="4237946.5797000006"/>
    <n v="4237946.5797000006"/>
  </r>
  <r>
    <x v="78"/>
    <m/>
    <n v="99.869000000000042"/>
    <n v="93.064999999999998"/>
    <n v="99.869000000000057"/>
    <n v="292"/>
    <m/>
    <m/>
    <n v="4290804.5121000009"/>
    <n v="4290804.5121000009"/>
  </r>
  <r>
    <x v="79"/>
    <m/>
    <n v="99.869000000000042"/>
    <n v="98.064999999999998"/>
    <n v="99.869000000000057"/>
    <n v="298"/>
    <m/>
    <m/>
    <n v="4391359.5621000007"/>
    <n v="4391359.5621000007"/>
  </r>
  <r>
    <x v="80"/>
    <m/>
    <n v="99.906000000000049"/>
    <n v="99.906000000000006"/>
    <n v="99.906000000000063"/>
    <n v="307"/>
    <m/>
    <m/>
    <n v="4460600.5607600007"/>
    <n v="4460600.5607600007"/>
  </r>
  <r>
    <x v="81"/>
    <m/>
    <n v="99.906000000000049"/>
    <n v="99.906000000000006"/>
    <n v="99.906000000000063"/>
    <n v="309"/>
    <m/>
    <m/>
    <n v="4469916.5607600007"/>
    <n v="4469916.5607600007"/>
  </r>
  <r>
    <x v="82"/>
    <m/>
    <n v="99.906000000000049"/>
    <n v="99.906000000000006"/>
    <n v="99.906000000000063"/>
    <n v="315"/>
    <m/>
    <m/>
    <n v="4497864.5607600007"/>
    <n v="4497864.5607600007"/>
  </r>
  <r>
    <x v="83"/>
    <m/>
    <n v="99.906000000000049"/>
    <n v="99.906000000000006"/>
    <n v="99.906000000000063"/>
    <n v="324"/>
    <m/>
    <m/>
    <n v="4539786.5607600007"/>
    <n v="4539786.5607600007"/>
  </r>
  <r>
    <x v="84"/>
    <m/>
    <n v="99.906000000000049"/>
    <n v="99.906000000000006"/>
    <n v="99.906000000000063"/>
    <n v="324"/>
    <m/>
    <m/>
    <n v="4539786.5607600007"/>
    <n v="4539786.5607600007"/>
  </r>
  <r>
    <x v="85"/>
    <m/>
    <n v="99.906000000000049"/>
    <n v="99.906000000000006"/>
    <n v="99.906000000000063"/>
    <n v="324"/>
    <m/>
    <m/>
    <n v="4539786.5607600007"/>
    <n v="4539786.5607600007"/>
  </r>
  <r>
    <x v="86"/>
    <m/>
    <n v="99.906000000000049"/>
    <n v="99.906000000000006"/>
    <n v="99.906000000000063"/>
    <n v="332"/>
    <m/>
    <m/>
    <n v="4577050.5607600007"/>
    <n v="4577050.5607600007"/>
  </r>
  <r>
    <x v="87"/>
    <m/>
    <n v="99.906000000000049"/>
    <n v="99.906000000000006"/>
    <n v="99.906000000000063"/>
    <n v="342"/>
    <m/>
    <m/>
    <n v="4623630.5607600007"/>
    <n v="4623630.5607600007"/>
  </r>
  <r>
    <x v="88"/>
    <m/>
    <n v="99.906000000000049"/>
    <n v="99.906000000000006"/>
    <n v="99.906000000000063"/>
    <n v="349"/>
    <m/>
    <m/>
    <n v="4656236.5607600007"/>
    <n v="4656236.5607600007"/>
  </r>
  <r>
    <x v="89"/>
    <m/>
    <n v="99.906000000000049"/>
    <n v="99.906000000000006"/>
    <n v="99.906000000000063"/>
    <n v="358"/>
    <m/>
    <m/>
    <n v="4698158.5607600007"/>
    <n v="4698158.5607600007"/>
  </r>
  <r>
    <x v="90"/>
    <m/>
    <n v="99.906000000000049"/>
    <n v="99.906000000000006"/>
    <n v="99.906000000000063"/>
    <n v="358"/>
    <m/>
    <m/>
    <n v="4698158.5607600007"/>
    <n v="4698158.5607600007"/>
  </r>
  <r>
    <x v="91"/>
    <m/>
    <n v="99.906000000000049"/>
    <n v="99.906000000000006"/>
    <n v="99.906000000000063"/>
    <n v="358"/>
    <m/>
    <m/>
    <n v="4698158.5607600007"/>
    <n v="4698158.5607600007"/>
  </r>
  <r>
    <x v="92"/>
    <m/>
    <n v="99.906000000000049"/>
    <n v="99.906000000000006"/>
    <n v="99.906000000000063"/>
    <n v="358"/>
    <m/>
    <m/>
    <n v="4698158.5607600007"/>
    <n v="4698158.5607600007"/>
  </r>
  <r>
    <x v="93"/>
    <m/>
    <n v="99.906000000000049"/>
    <n v="99.906000000000006"/>
    <n v="99.906000000000063"/>
    <n v="358"/>
    <m/>
    <m/>
    <n v="4698158.5607600007"/>
    <n v="4698158.5607600007"/>
  </r>
  <r>
    <x v="94"/>
    <m/>
    <n v="99.906000000000049"/>
    <n v="99.906000000000006"/>
    <n v="99.906000000000063"/>
    <n v="358"/>
    <m/>
    <m/>
    <n v="4698158.5607600007"/>
    <n v="4698158.5607600007"/>
  </r>
  <r>
    <x v="95"/>
    <m/>
    <n v="99.906000000000049"/>
    <n v="99.906000000000006"/>
    <n v="99.906000000000063"/>
    <n v="360"/>
    <m/>
    <m/>
    <n v="4707474.5607600007"/>
    <n v="4707474.5607600007"/>
  </r>
  <r>
    <x v="96"/>
    <m/>
    <n v="99.906000000000049"/>
    <n v="99.906000000000006"/>
    <n v="99.906000000000063"/>
    <n v="362"/>
    <m/>
    <m/>
    <n v="4716790.5607600007"/>
    <n v="4716790.5607600007"/>
  </r>
  <r>
    <x v="97"/>
    <m/>
    <n v="99.906000000000049"/>
    <n v="99.906000000000006"/>
    <n v="99.906000000000063"/>
    <n v="362"/>
    <m/>
    <m/>
    <n v="4716790.5607600007"/>
    <n v="4716790.5607600007"/>
  </r>
  <r>
    <x v="98"/>
    <m/>
    <n v="99.906000000000049"/>
    <n v="99.906000000000006"/>
    <n v="99.906000000000063"/>
    <n v="362"/>
    <m/>
    <m/>
    <n v="4716790.5607600007"/>
    <n v="4716790.5607600007"/>
  </r>
  <r>
    <x v="99"/>
    <m/>
    <n v="99.906000000000049"/>
    <n v="99.906000000000006"/>
    <n v="99.906000000000063"/>
    <n v="362"/>
    <m/>
    <m/>
    <n v="4716790.5607600007"/>
    <n v="4716790.5607600007"/>
  </r>
  <r>
    <x v="100"/>
    <m/>
    <n v="99.906000000000049"/>
    <n v="99.906000000000006"/>
    <n v="99.906000000000063"/>
    <n v="363"/>
    <m/>
    <m/>
    <n v="4721448.5607600007"/>
    <n v="4721448.5607600007"/>
  </r>
  <r>
    <x v="101"/>
    <m/>
    <n v="99.906000000000049"/>
    <n v="99.906000000000006"/>
    <n v="99.906000000000063"/>
    <n v="367"/>
    <m/>
    <m/>
    <n v="4740080.5607600007"/>
    <n v="4740080.5607600007"/>
  </r>
  <r>
    <x v="102"/>
    <m/>
    <n v="99.906000000000049"/>
    <n v="99.906000000000006"/>
    <n v="99.906000000000063"/>
    <n v="371"/>
    <m/>
    <m/>
    <n v="4758712.5607600007"/>
    <n v="4758712.5607600007"/>
  </r>
  <r>
    <x v="103"/>
    <m/>
    <n v="99.906000000000049"/>
    <n v="99.906000000000006"/>
    <n v="99.906000000000063"/>
    <n v="376"/>
    <m/>
    <m/>
    <n v="4782002.5607600007"/>
    <n v="4782002.5607600007"/>
  </r>
  <r>
    <x v="104"/>
    <n v="12000000"/>
    <n v="99.906000000000049"/>
    <n v="99.906000000000006"/>
    <n v="99.906000000000063"/>
    <n v="376"/>
    <m/>
    <m/>
    <n v="4782002.5607600007"/>
    <n v="4782002.5607600007"/>
  </r>
  <r>
    <x v="105"/>
    <n v="12000000"/>
    <n v="99.906000000000049"/>
    <n v="99.906000000000006"/>
    <n v="99.906000000000063"/>
    <n v="376"/>
    <m/>
    <m/>
    <n v="4782002.5607600007"/>
    <n v="4782002.5607600007"/>
  </r>
  <r>
    <x v="106"/>
    <n v="12000000"/>
    <n v="99.906000000000049"/>
    <n v="99.906000000000006"/>
    <n v="99.906000000000063"/>
    <n v="376"/>
    <m/>
    <m/>
    <n v="4782002.5607600007"/>
    <n v="4782002.5607600007"/>
  </r>
  <r>
    <x v="107"/>
    <n v="12000000"/>
    <n v="99.906000000000049"/>
    <n v="99.906000000000006"/>
    <n v="99.906000000000063"/>
    <n v="376"/>
    <m/>
    <m/>
    <n v="4782002.5607600007"/>
    <n v="4782002.5607600007"/>
  </r>
  <r>
    <x v="108"/>
    <n v="12000000"/>
    <n v="99.906000000000049"/>
    <n v="99.906000000000006"/>
    <n v="99.906000000000063"/>
    <n v="376"/>
    <m/>
    <m/>
    <n v="4782002.5607600007"/>
    <n v="4782002.5607600007"/>
  </r>
  <r>
    <x v="109"/>
    <n v="12000000"/>
    <n v="99.906000000000049"/>
    <n v="99.906000000000006"/>
    <n v="99.906000000000063"/>
    <n v="376"/>
    <m/>
    <m/>
    <n v="4782002.5607600007"/>
    <n v="4782002.5607600007"/>
  </r>
  <r>
    <x v="110"/>
    <n v="12000000"/>
    <n v="99.906000000000049"/>
    <n v="99.906000000000006"/>
    <n v="99.906000000000063"/>
    <n v="376"/>
    <m/>
    <m/>
    <n v="4782002.5607600007"/>
    <n v="4782002.5607600007"/>
  </r>
  <r>
    <x v="111"/>
    <n v="12000000"/>
    <n v="99.906000000000049"/>
    <n v="99.906000000000006"/>
    <n v="99.906000000000063"/>
    <n v="376"/>
    <m/>
    <m/>
    <n v="4782002.5607600007"/>
    <n v="4782002.5607600007"/>
  </r>
  <r>
    <x v="112"/>
    <n v="12000000"/>
    <n v="99.906000000000049"/>
    <n v="99.906000000000006"/>
    <n v="99.906000000000063"/>
    <n v="376"/>
    <m/>
    <m/>
    <n v="4782002.5607600007"/>
    <n v="4782002.5607600007"/>
  </r>
  <r>
    <x v="113"/>
    <n v="12000000"/>
    <n v="99.906000000000049"/>
    <n v="99.906000000000006"/>
    <n v="99.906000000000063"/>
    <n v="376"/>
    <m/>
    <m/>
    <n v="4782002.5607600007"/>
    <n v="4782002.5607600007"/>
  </r>
  <r>
    <x v="114"/>
    <n v="12000000"/>
    <n v="99.906000000000049"/>
    <n v="99.906000000000006"/>
    <n v="99.906000000000063"/>
    <n v="376"/>
    <m/>
    <m/>
    <n v="4782002.5607600007"/>
    <n v="4782002.5607600007"/>
  </r>
  <r>
    <x v="115"/>
    <n v="12000000"/>
    <n v="99.906000000000049"/>
    <n v="99.906000000000006"/>
    <n v="99.906000000000063"/>
    <n v="376"/>
    <m/>
    <m/>
    <n v="4782002.5607600007"/>
    <n v="4782002.5607600007"/>
  </r>
  <r>
    <x v="116"/>
    <n v="12000000"/>
    <n v="99.906000000000049"/>
    <n v="99.906000000000006"/>
    <n v="99.906000000000063"/>
    <n v="376"/>
    <m/>
    <m/>
    <n v="4782002.5607600007"/>
    <n v="4782002.5607600007"/>
  </r>
  <r>
    <x v="117"/>
    <n v="12000000"/>
    <n v="99.906000000000049"/>
    <n v="99.906000000000006"/>
    <n v="99.906000000000063"/>
    <n v="376"/>
    <m/>
    <m/>
    <n v="4782002.5607600007"/>
    <n v="4782002.5607600007"/>
  </r>
  <r>
    <x v="118"/>
    <n v="12000000"/>
    <n v="99.906000000000049"/>
    <n v="99.906000000000006"/>
    <n v="99.906000000000063"/>
    <n v="376"/>
    <m/>
    <m/>
    <n v="4782002.5607600007"/>
    <n v="4782002.5607600007"/>
  </r>
  <r>
    <x v="119"/>
    <n v="12000000"/>
    <n v="99.906000000000049"/>
    <n v="99.906000000000006"/>
    <n v="99.906000000000063"/>
    <n v="376"/>
    <m/>
    <m/>
    <n v="4782002.5607600007"/>
    <n v="4782002.5607600007"/>
  </r>
  <r>
    <x v="120"/>
    <n v="12000000"/>
    <n v="99.906000000000049"/>
    <n v="99.906000000000006"/>
    <n v="99.906000000000063"/>
    <n v="376"/>
    <m/>
    <m/>
    <n v="4782002.5607600007"/>
    <n v="4782002.5607600007"/>
  </r>
  <r>
    <x v="121"/>
    <n v="12000000"/>
    <n v="99.906000000000049"/>
    <n v="99.906000000000006"/>
    <n v="99.906000000000063"/>
    <n v="376"/>
    <m/>
    <m/>
    <n v="4782002.5607600007"/>
    <n v="4782002.5607600007"/>
  </r>
  <r>
    <x v="122"/>
    <n v="12000000"/>
    <n v="99.906000000000049"/>
    <n v="99.906000000000006"/>
    <n v="99.906000000000063"/>
    <n v="376"/>
    <m/>
    <m/>
    <n v="4782002.5607600007"/>
    <n v="4782002.5607600007"/>
  </r>
  <r>
    <x v="123"/>
    <n v="12000000"/>
    <n v="99.906000000000049"/>
    <n v="99.906000000000006"/>
    <n v="99.906000000000063"/>
    <n v="376"/>
    <m/>
    <m/>
    <n v="4782002.5607600007"/>
    <n v="4782002.5607600007"/>
  </r>
  <r>
    <x v="124"/>
    <n v="12000000"/>
    <n v="99.906000000000049"/>
    <n v="99.906000000000006"/>
    <n v="99.906000000000063"/>
    <n v="376"/>
    <m/>
    <m/>
    <n v="4782002.5607600007"/>
    <n v="4782002.5607600007"/>
  </r>
  <r>
    <x v="125"/>
    <n v="12000000"/>
    <n v="99.906000000000049"/>
    <n v="99.906000000000006"/>
    <n v="99.906000000000063"/>
    <n v="376"/>
    <m/>
    <m/>
    <n v="4782002.5607600007"/>
    <n v="4782002.5607600007"/>
  </r>
  <r>
    <x v="126"/>
    <n v="12000000"/>
    <n v="99.906000000000049"/>
    <n v="99.906000000000006"/>
    <n v="99.906000000000063"/>
    <n v="376"/>
    <m/>
    <m/>
    <n v="4782002.5607600007"/>
    <n v="4782002.5607600007"/>
  </r>
  <r>
    <x v="127"/>
    <n v="12000000"/>
    <n v="99.906000000000049"/>
    <n v="99.906000000000006"/>
    <n v="99.906000000000063"/>
    <n v="376"/>
    <m/>
    <m/>
    <n v="4782002.5607600007"/>
    <n v="4782002.5607600007"/>
  </r>
  <r>
    <x v="128"/>
    <n v="12000000"/>
    <n v="99.906000000000049"/>
    <n v="99.906000000000006"/>
    <n v="99.906000000000063"/>
    <n v="376"/>
    <m/>
    <m/>
    <n v="4782002.5607600007"/>
    <n v="4782002.5607600007"/>
  </r>
  <r>
    <x v="129"/>
    <n v="12000000"/>
    <n v="99.906000000000049"/>
    <n v="99.906000000000006"/>
    <n v="99.906000000000063"/>
    <n v="376"/>
    <m/>
    <m/>
    <n v="4782002.5607600007"/>
    <n v="4782002.5607600007"/>
  </r>
  <r>
    <x v="130"/>
    <n v="12000000"/>
    <n v="99.906000000000049"/>
    <n v="99.906000000000006"/>
    <n v="99.906000000000063"/>
    <n v="376"/>
    <m/>
    <m/>
    <n v="4782002.5607600007"/>
    <n v="4782002.5607600007"/>
  </r>
  <r>
    <x v="131"/>
    <n v="12000000"/>
    <n v="99.906000000000049"/>
    <n v="99.906000000000006"/>
    <n v="99.906000000000063"/>
    <n v="376"/>
    <m/>
    <m/>
    <n v="4782002.5607600007"/>
    <n v="4782002.5607600007"/>
  </r>
  <r>
    <x v="132"/>
    <n v="12000000"/>
    <n v="99.906000000000049"/>
    <n v="99.906000000000006"/>
    <n v="99.906000000000063"/>
    <n v="376"/>
    <m/>
    <m/>
    <n v="4782002.5607600007"/>
    <n v="4782002.5607600007"/>
  </r>
  <r>
    <x v="133"/>
    <n v="12000000"/>
    <n v="99.906000000000049"/>
    <n v="99.906000000000006"/>
    <n v="99.906000000000063"/>
    <n v="376"/>
    <m/>
    <m/>
    <n v="4782002.5607600007"/>
    <n v="4782002.5607600007"/>
  </r>
  <r>
    <x v="134"/>
    <n v="12000000"/>
    <n v="99.906000000000049"/>
    <n v="99.906000000000006"/>
    <n v="99.906000000000063"/>
    <n v="376"/>
    <m/>
    <m/>
    <n v="4782002.5607600007"/>
    <n v="4782002.5607600007"/>
  </r>
  <r>
    <x v="135"/>
    <n v="12000000"/>
    <n v="99.906000000000049"/>
    <n v="99.906000000000006"/>
    <n v="99.906000000000063"/>
    <n v="376"/>
    <m/>
    <m/>
    <n v="4782002.5607600007"/>
    <n v="4782002.5607600007"/>
  </r>
  <r>
    <x v="136"/>
    <n v="12000000"/>
    <n v="99.906000000000049"/>
    <n v="99.906000000000006"/>
    <n v="99.906000000000063"/>
    <n v="376"/>
    <m/>
    <m/>
    <n v="4782002.5607600007"/>
    <n v="4782002.5607600007"/>
  </r>
  <r>
    <x v="137"/>
    <n v="12000000"/>
    <n v="99.906000000000049"/>
    <n v="99.906000000000006"/>
    <n v="99.906000000000063"/>
    <n v="376"/>
    <m/>
    <m/>
    <n v="4782002.5607600007"/>
    <n v="4782002.5607600007"/>
  </r>
  <r>
    <x v="138"/>
    <n v="12000000"/>
    <n v="99.906000000000049"/>
    <n v="99.906000000000006"/>
    <n v="99.906000000000063"/>
    <n v="376"/>
    <m/>
    <m/>
    <n v="4782002.5607600007"/>
    <n v="4782002.5607600007"/>
  </r>
  <r>
    <x v="139"/>
    <n v="12000000"/>
    <n v="99.906000000000049"/>
    <n v="99.906000000000006"/>
    <n v="99.906000000000063"/>
    <n v="376"/>
    <m/>
    <m/>
    <n v="4782002.5607600007"/>
    <n v="4782002.5607600007"/>
  </r>
  <r>
    <x v="140"/>
    <n v="12000000"/>
    <n v="99.906000000000049"/>
    <n v="99.906000000000006"/>
    <n v="99.906000000000063"/>
    <n v="376"/>
    <m/>
    <m/>
    <n v="4782002.5607600007"/>
    <n v="4782002.5607600007"/>
  </r>
  <r>
    <x v="141"/>
    <n v="12000000"/>
    <n v="99.906000000000049"/>
    <n v="99.906000000000006"/>
    <n v="99.906000000000063"/>
    <n v="376"/>
    <m/>
    <m/>
    <n v="4782002.5607600007"/>
    <n v="4782002.5607600007"/>
  </r>
  <r>
    <x v="142"/>
    <n v="12000000"/>
    <n v="99.906000000000049"/>
    <n v="99.906000000000006"/>
    <n v="99.906000000000063"/>
    <n v="376"/>
    <m/>
    <m/>
    <n v="4782002.5607600007"/>
    <n v="4782002.5607600007"/>
  </r>
  <r>
    <x v="143"/>
    <n v="12000000"/>
    <n v="99.906000000000049"/>
    <n v="99.906000000000006"/>
    <n v="99.906000000000063"/>
    <n v="376"/>
    <m/>
    <m/>
    <n v="4782002.5607600007"/>
    <n v="4782002.5607600007"/>
  </r>
  <r>
    <x v="144"/>
    <n v="12000000"/>
    <n v="99.906000000000049"/>
    <n v="99.906000000000006"/>
    <n v="99.906000000000063"/>
    <n v="376"/>
    <m/>
    <m/>
    <n v="4782002.5607600007"/>
    <n v="4782002.5607600007"/>
  </r>
  <r>
    <x v="145"/>
    <n v="12000000"/>
    <n v="99.906000000000049"/>
    <n v="99.906000000000006"/>
    <n v="99.906000000000063"/>
    <n v="376"/>
    <m/>
    <m/>
    <n v="4782002.5607600007"/>
    <n v="4782002.5607600007"/>
  </r>
  <r>
    <x v="146"/>
    <n v="12000000"/>
    <n v="99.906000000000049"/>
    <n v="99.906000000000006"/>
    <n v="99.906000000000063"/>
    <n v="376"/>
    <m/>
    <m/>
    <n v="4782002.5607600007"/>
    <n v="4782002.5607600007"/>
  </r>
  <r>
    <x v="147"/>
    <n v="12000000"/>
    <n v="99.906000000000049"/>
    <n v="99.906000000000006"/>
    <n v="99.906000000000063"/>
    <n v="376"/>
    <m/>
    <m/>
    <n v="4782002.5607600007"/>
    <n v="4782002.5607600007"/>
  </r>
  <r>
    <x v="148"/>
    <n v="12000000"/>
    <n v="99.906000000000049"/>
    <n v="99.906000000000006"/>
    <n v="99.906000000000063"/>
    <n v="376"/>
    <m/>
    <m/>
    <n v="4782002.5607600007"/>
    <n v="4782002.5607600007"/>
  </r>
  <r>
    <x v="149"/>
    <m/>
    <n v="101.90600000000005"/>
    <n v="99.906000000000006"/>
    <n v="99.906000000000063"/>
    <n v="376"/>
    <m/>
    <m/>
    <n v="4786517.4007600006"/>
    <n v="6291200.5807599993"/>
  </r>
  <r>
    <x v="150"/>
    <m/>
    <n v="103.50600000000004"/>
    <n v="99.906000000000006"/>
    <n v="99.906000000000063"/>
    <n v="376"/>
    <m/>
    <m/>
    <n v="4790129.272760001"/>
    <n v="6294812.4527599998"/>
  </r>
  <r>
    <x v="151"/>
    <m/>
    <n v="104.90600000000005"/>
    <n v="99.906000000000006"/>
    <n v="99.906000000000063"/>
    <n v="376"/>
    <m/>
    <m/>
    <n v="4793289.6607600003"/>
    <n v="6297972.8407600001"/>
  </r>
  <r>
    <x v="152"/>
    <m/>
    <n v="107.65000000000005"/>
    <n v="99.906000000000006"/>
    <n v="99.906000000000063"/>
    <n v="376"/>
    <m/>
    <m/>
    <n v="4799484.0212400006"/>
    <n v="6304167.2012400003"/>
  </r>
  <r>
    <x v="153"/>
    <m/>
    <n v="108.65000000000005"/>
    <n v="99.906000000000006"/>
    <n v="99.906000000000063"/>
    <n v="376"/>
    <m/>
    <m/>
    <n v="4801741.4412400015"/>
    <n v="6306424.6212400002"/>
  </r>
  <r>
    <x v="154"/>
    <m/>
    <n v="109.52800000000005"/>
    <n v="99.906000000000006"/>
    <n v="99.906000000000063"/>
    <n v="376"/>
    <m/>
    <m/>
    <n v="4803723.4560000012"/>
    <n v="6308406.6359999999"/>
  </r>
  <r>
    <x v="155"/>
    <m/>
    <n v="109.52800000000005"/>
    <n v="99.906000000000006"/>
    <n v="99.906000000000063"/>
    <n v="376"/>
    <m/>
    <m/>
    <n v="4803723.4560000012"/>
    <n v="6308406.6359999999"/>
  </r>
  <r>
    <x v="156"/>
    <m/>
    <n v="109.52800000000005"/>
    <n v="99.906000000000006"/>
    <n v="99.906000000000063"/>
    <n v="376"/>
    <m/>
    <m/>
    <n v="4803723.4560000012"/>
    <n v="6308406.6359999999"/>
  </r>
  <r>
    <x v="157"/>
    <m/>
    <n v="110.52800000000005"/>
    <n v="99.906000000000006"/>
    <n v="99.906000000000063"/>
    <n v="376"/>
    <m/>
    <m/>
    <n v="4805980.8760000011"/>
    <n v="6310664.0559999999"/>
  </r>
  <r>
    <x v="158"/>
    <m/>
    <n v="112.52800000000005"/>
    <n v="99.906000000000006"/>
    <n v="99.906000000000063"/>
    <n v="376"/>
    <m/>
    <m/>
    <n v="4810495.7160000009"/>
    <n v="6315178.8959999997"/>
  </r>
  <r>
    <x v="159"/>
    <m/>
    <n v="115.27800000000005"/>
    <n v="99.906000000000006"/>
    <n v="99.906000000000063"/>
    <n v="376"/>
    <m/>
    <m/>
    <n v="4816703.6210000012"/>
    <n v="6321386.801"/>
  </r>
  <r>
    <x v="160"/>
    <m/>
    <n v="118.27800000000005"/>
    <n v="99.906000000000006"/>
    <n v="99.906000000000063"/>
    <n v="376"/>
    <m/>
    <m/>
    <n v="4823475.881000001"/>
    <n v="6328159.0609999998"/>
  </r>
  <r>
    <x v="161"/>
    <m/>
    <n v="119.52800000000005"/>
    <n v="99.906000000000006"/>
    <n v="99.906000000000063"/>
    <n v="376"/>
    <m/>
    <m/>
    <n v="4826297.6560000014"/>
    <n v="6330980.8360000001"/>
  </r>
  <r>
    <x v="162"/>
    <m/>
    <n v="119.52800000000005"/>
    <n v="99.906000000000006"/>
    <n v="99.906000000000063"/>
    <n v="376"/>
    <m/>
    <m/>
    <n v="4826297.6560000014"/>
    <n v="6330980.8360000001"/>
  </r>
  <r>
    <x v="163"/>
    <m/>
    <n v="120.72800000000005"/>
    <n v="99.906000000000006"/>
    <n v="99.906000000000063"/>
    <n v="376"/>
    <m/>
    <m/>
    <n v="4829006.5600000005"/>
    <n v="6333689.7400000002"/>
  </r>
  <r>
    <x v="164"/>
    <m/>
    <n v="123.02800000000005"/>
    <n v="99.906000000000006"/>
    <n v="99.906000000000063"/>
    <n v="376"/>
    <m/>
    <m/>
    <n v="4834198.6260000011"/>
    <n v="6338881.8059999999"/>
  </r>
  <r>
    <x v="165"/>
    <m/>
    <n v="124.88600000000005"/>
    <n v="99.906000000000006"/>
    <n v="99.906000000000063"/>
    <n v="376"/>
    <m/>
    <m/>
    <n v="4838392.9123600014"/>
    <n v="6343076.0923600001"/>
  </r>
  <r>
    <x v="166"/>
    <m/>
    <n v="125.14200000000005"/>
    <n v="99.906000000000006"/>
    <n v="99.906000000000063"/>
    <n v="376"/>
    <m/>
    <m/>
    <n v="4838970.8118800009"/>
    <n v="6343653.9918800006"/>
  </r>
  <r>
    <x v="167"/>
    <m/>
    <n v="125.14200000000005"/>
    <n v="99.906000000000006"/>
    <n v="99.906000000000063"/>
    <n v="376"/>
    <m/>
    <m/>
    <n v="4838970.8118800009"/>
    <n v="6343653.9918800006"/>
  </r>
  <r>
    <x v="168"/>
    <m/>
    <n v="125.14200000000005"/>
    <n v="99.906000000000006"/>
    <n v="99.906000000000063"/>
    <n v="376"/>
    <m/>
    <m/>
    <n v="4838970.8118800009"/>
    <n v="6343653.9918800006"/>
  </r>
  <r>
    <x v="169"/>
    <m/>
    <n v="125.14200000000005"/>
    <n v="99.906000000000006"/>
    <n v="99.906000000000063"/>
    <n v="376"/>
    <m/>
    <m/>
    <n v="4838970.8118800009"/>
    <n v="6343653.9918800006"/>
  </r>
  <r>
    <x v="170"/>
    <m/>
    <n v="125.14200000000005"/>
    <n v="99.906000000000006"/>
    <n v="99.906000000000063"/>
    <n v="376"/>
    <m/>
    <m/>
    <n v="4838970.8118800009"/>
    <n v="6343653.9918800006"/>
  </r>
  <r>
    <x v="171"/>
    <m/>
    <n v="125.14200000000005"/>
    <n v="99.906000000000006"/>
    <n v="99.906000000000063"/>
    <n v="376"/>
    <m/>
    <m/>
    <n v="4838970.8118800009"/>
    <n v="6343653.9918800006"/>
  </r>
  <r>
    <x v="172"/>
    <m/>
    <n v="125.14200000000005"/>
    <n v="99.906000000000006"/>
    <n v="99.906000000000063"/>
    <n v="376"/>
    <m/>
    <m/>
    <n v="4838970.8118800009"/>
    <n v="6386652.0718800006"/>
  </r>
  <r>
    <x v="173"/>
    <m/>
    <n v="125.14200000000005"/>
    <n v="99.906000000000006"/>
    <n v="100.91800000000006"/>
    <n v="376"/>
    <m/>
    <m/>
    <n v="4852689.1094400007"/>
    <n v="6540114.1294400012"/>
  </r>
  <r>
    <x v="174"/>
    <m/>
    <n v="125.14200000000005"/>
    <n v="99.906000000000006"/>
    <n v="102.70700000000006"/>
    <n v="376"/>
    <m/>
    <m/>
    <n v="4876940.1315100007"/>
    <n v="6564365.1515100012"/>
  </r>
  <r>
    <x v="175"/>
    <m/>
    <n v="125.14200000000005"/>
    <n v="99.906000000000006"/>
    <n v="103.08300000000007"/>
    <n v="376"/>
    <m/>
    <m/>
    <n v="4882037.0483900011"/>
    <n v="6569462.0683900015"/>
  </r>
  <r>
    <x v="176"/>
    <m/>
    <n v="125.14200000000005"/>
    <n v="99.906000000000006"/>
    <n v="103.08300000000007"/>
    <n v="376"/>
    <m/>
    <m/>
    <n v="4882037.0483900011"/>
    <n v="6569462.0683900015"/>
  </r>
  <r>
    <x v="177"/>
    <m/>
    <n v="125.14200000000005"/>
    <n v="99.906000000000006"/>
    <n v="104.24800000000008"/>
    <n v="376"/>
    <m/>
    <m/>
    <n v="4897829.3573400006"/>
    <n v="6585254.377340002"/>
  </r>
  <r>
    <x v="178"/>
    <m/>
    <n v="125.14200000000005"/>
    <n v="99.906000000000006"/>
    <n v="105.38000000000008"/>
    <n v="376"/>
    <m/>
    <m/>
    <n v="4913174.3305000011"/>
    <n v="6600599.3505000016"/>
  </r>
  <r>
    <x v="179"/>
    <m/>
    <n v="125.14200000000005"/>
    <n v="99.906000000000006"/>
    <n v="105.38000000000008"/>
    <n v="376"/>
    <m/>
    <m/>
    <n v="4913174.3305000011"/>
    <n v="6600599.3505000016"/>
  </r>
  <r>
    <x v="180"/>
    <m/>
    <n v="125.14200000000005"/>
    <n v="99.906000000000006"/>
    <n v="105.86100000000008"/>
    <n v="376"/>
    <m/>
    <m/>
    <n v="4919694.5885300012"/>
    <n v="6607119.6085300017"/>
  </r>
  <r>
    <x v="181"/>
    <m/>
    <n v="125.14200000000005"/>
    <n v="99.906000000000006"/>
    <n v="107.28200000000008"/>
    <n v="376"/>
    <m/>
    <m/>
    <n v="4938957.1387600014"/>
    <n v="6626382.1587600019"/>
  </r>
  <r>
    <x v="182"/>
    <m/>
    <n v="125.14200000000005"/>
    <n v="99.906000000000006"/>
    <n v="107.28200000000008"/>
    <n v="376"/>
    <m/>
    <m/>
    <n v="4938957.1387600014"/>
    <n v="6626382.1587600019"/>
  </r>
  <r>
    <x v="183"/>
    <m/>
    <n v="125.14200000000005"/>
    <n v="99.906000000000006"/>
    <n v="107.28200000000008"/>
    <n v="376"/>
    <m/>
    <m/>
    <n v="4938957.1387600014"/>
    <n v="6626382.1587600019"/>
  </r>
  <r>
    <x v="184"/>
    <m/>
    <n v="125.14200000000005"/>
    <n v="99.906000000000006"/>
    <n v="108.92500000000008"/>
    <n v="376"/>
    <m/>
    <m/>
    <n v="4961229.0388500011"/>
    <n v="6648654.0588500015"/>
  </r>
  <r>
    <x v="185"/>
    <m/>
    <n v="125.14200000000005"/>
    <n v="99.906000000000006"/>
    <n v="110.05700000000009"/>
    <n v="376"/>
    <m/>
    <m/>
    <n v="4976574.0120100006"/>
    <n v="6663999.0320100011"/>
  </r>
  <r>
    <x v="186"/>
    <m/>
    <n v="125.14200000000005"/>
    <n v="99.906000000000006"/>
    <n v="111.85300000000009"/>
    <n v="376"/>
    <m/>
    <m/>
    <n v="5000919.9234900009"/>
    <n v="6688344.9434900014"/>
  </r>
  <r>
    <x v="187"/>
    <m/>
    <n v="125.14200000000005"/>
    <n v="99.906000000000006"/>
    <n v="114.0470000000001"/>
    <n v="376"/>
    <m/>
    <m/>
    <n v="5030660.9757100008"/>
    <n v="6718085.9957100013"/>
  </r>
  <r>
    <x v="188"/>
    <m/>
    <n v="125.14200000000005"/>
    <n v="99.906000000000006"/>
    <n v="116.7110000000001"/>
    <n v="376"/>
    <m/>
    <m/>
    <n v="5066773.1740300013"/>
    <n v="6754198.1940300008"/>
  </r>
  <r>
    <x v="189"/>
    <m/>
    <n v="125.14200000000005"/>
    <n v="99.906000000000006"/>
    <n v="117.1140000000001"/>
    <n v="376"/>
    <m/>
    <m/>
    <n v="5072236.0929200016"/>
    <n v="6759661.1129200011"/>
  </r>
  <r>
    <x v="190"/>
    <m/>
    <n v="125.14200000000005"/>
    <n v="99.906000000000006"/>
    <n v="117.1140000000001"/>
    <n v="376"/>
    <m/>
    <m/>
    <n v="5072236.0929200016"/>
    <n v="6759661.1129200011"/>
  </r>
  <r>
    <x v="191"/>
    <m/>
    <n v="125.14200000000005"/>
    <n v="99.906000000000006"/>
    <n v="118.34400000000011"/>
    <n v="376"/>
    <m/>
    <m/>
    <n v="5088909.5178200016"/>
    <n v="6776334.5378200011"/>
  </r>
  <r>
    <x v="192"/>
    <m/>
    <n v="125.14200000000005"/>
    <n v="99.906000000000006"/>
    <n v="119.10600000000011"/>
    <n v="376"/>
    <m/>
    <m/>
    <n v="5099238.9078800017"/>
    <n v="6786663.9278800013"/>
  </r>
  <r>
    <x v="193"/>
    <m/>
    <n v="125.14200000000005"/>
    <n v="99.906000000000006"/>
    <n v="120.45700000000011"/>
    <n v="376"/>
    <m/>
    <m/>
    <n v="5117552.5640100017"/>
    <n v="6804977.5840100013"/>
  </r>
  <r>
    <x v="194"/>
    <m/>
    <n v="125.14200000000005"/>
    <n v="99.906000000000006"/>
    <n v="121.46600000000011"/>
    <n v="376"/>
    <m/>
    <m/>
    <n v="5131230.1946800016"/>
    <n v="6818655.2146800011"/>
  </r>
  <r>
    <x v="195"/>
    <m/>
    <n v="125.14200000000005"/>
    <n v="102.316"/>
    <n v="121.46600000000011"/>
    <n v="376"/>
    <m/>
    <m/>
    <n v="5166226.7927800016"/>
    <n v="6853651.8127800012"/>
  </r>
  <r>
    <x v="196"/>
    <m/>
    <n v="125.14200000000005"/>
    <n v="104.242"/>
    <n v="121.46600000000011"/>
    <n v="376"/>
    <m/>
    <m/>
    <n v="5194195.0284400014"/>
    <n v="6881620.048440001"/>
  </r>
  <r>
    <x v="197"/>
    <m/>
    <n v="125.14200000000005"/>
    <n v="104.242"/>
    <n v="121.46600000000011"/>
    <n v="376"/>
    <m/>
    <m/>
    <n v="5194195.0284400014"/>
    <n v="6881620.048440001"/>
  </r>
  <r>
    <x v="198"/>
    <m/>
    <n v="125.14200000000005"/>
    <n v="104.242"/>
    <n v="122.53700000000011"/>
    <n v="376"/>
    <m/>
    <m/>
    <n v="5208713.1081700018"/>
    <n v="6896138.1281700013"/>
  </r>
  <r>
    <x v="199"/>
    <m/>
    <n v="125.14200000000005"/>
    <n v="104.242"/>
    <n v="123.81100000000011"/>
    <n v="376"/>
    <m/>
    <m/>
    <n v="5225982.9807900013"/>
    <n v="6913408.0007900009"/>
  </r>
  <r>
    <x v="200"/>
    <m/>
    <n v="125.14200000000005"/>
    <n v="104.242"/>
    <n v="124.76400000000011"/>
    <n v="376"/>
    <m/>
    <m/>
    <n v="5238901.4961800016"/>
    <n v="6926326.5161800012"/>
  </r>
  <r>
    <x v="201"/>
    <m/>
    <n v="125.14200000000005"/>
    <n v="106.81400000000001"/>
    <n v="124.76400000000011"/>
    <n v="376"/>
    <m/>
    <m/>
    <n v="5276250.5627000015"/>
    <n v="6963675.5827000011"/>
  </r>
  <r>
    <x v="202"/>
    <m/>
    <n v="125.14200000000005"/>
    <n v="109.367"/>
    <n v="124.76400000000011"/>
    <n v="376"/>
    <m/>
    <m/>
    <n v="5313323.7224300019"/>
    <n v="7000748.7424300015"/>
  </r>
  <r>
    <x v="203"/>
    <m/>
    <n v="125.14200000000005"/>
    <n v="111.15900000000001"/>
    <n v="124.76400000000011"/>
    <n v="376"/>
    <m/>
    <m/>
    <n v="5339346.0891500013"/>
    <n v="7026771.1091500018"/>
  </r>
  <r>
    <x v="204"/>
    <m/>
    <n v="125.14200000000005"/>
    <n v="111.15900000000001"/>
    <n v="124.76400000000011"/>
    <n v="376"/>
    <m/>
    <m/>
    <n v="5339346.0891500013"/>
    <n v="7026771.1091500018"/>
  </r>
  <r>
    <x v="205"/>
    <m/>
    <n v="125.16800000000005"/>
    <n v="111.15900000000001"/>
    <n v="125.66800000000011"/>
    <n v="376"/>
    <m/>
    <m/>
    <n v="5351659.0715900017"/>
    <n v="7039084.0915900012"/>
  </r>
  <r>
    <x v="206"/>
    <m/>
    <n v="127.08800000000005"/>
    <n v="111.15900000000001"/>
    <n v="125.66800000000011"/>
    <n v="376"/>
    <m/>
    <m/>
    <n v="5355993.3179900013"/>
    <n v="7043418.3379900008"/>
  </r>
  <r>
    <x v="207"/>
    <m/>
    <n v="127.08800000000005"/>
    <n v="111.15900000000001"/>
    <n v="125.76700000000011"/>
    <n v="376"/>
    <m/>
    <m/>
    <n v="5357335.325360002"/>
    <n v="7044760.3453600006"/>
  </r>
  <r>
    <x v="208"/>
    <m/>
    <n v="127.41700000000004"/>
    <n v="111.15900000000001"/>
    <n v="125.76700000000011"/>
    <n v="376"/>
    <m/>
    <m/>
    <n v="5358078.0165400021"/>
    <n v="7045503.0365400007"/>
  </r>
  <r>
    <x v="209"/>
    <m/>
    <n v="128.30600000000004"/>
    <n v="111.15900000000001"/>
    <n v="125.76700000000011"/>
    <n v="376"/>
    <m/>
    <m/>
    <n v="5360084.8629200011"/>
    <n v="7047509.8829200007"/>
  </r>
  <r>
    <x v="210"/>
    <m/>
    <n v="128.76900000000003"/>
    <n v="111.15900000000001"/>
    <n v="125.76700000000011"/>
    <n v="376"/>
    <m/>
    <m/>
    <n v="5361130.0483800014"/>
    <n v="7048555.068380001"/>
  </r>
  <r>
    <x v="211"/>
    <m/>
    <n v="128.76900000000003"/>
    <n v="111.15900000000001"/>
    <n v="125.76700000000011"/>
    <n v="376"/>
    <m/>
    <m/>
    <n v="5361130.0483800014"/>
    <n v="7048555.068380001"/>
  </r>
  <r>
    <x v="212"/>
    <m/>
    <n v="128.76900000000003"/>
    <n v="113.15100000000001"/>
    <n v="125.76700000000011"/>
    <n v="376"/>
    <m/>
    <m/>
    <n v="5390056.6971000014"/>
    <n v="7077481.7171000009"/>
  </r>
  <r>
    <x v="213"/>
    <m/>
    <n v="128.76900000000003"/>
    <n v="115.14400000000001"/>
    <n v="125.76700000000011"/>
    <n v="376"/>
    <m/>
    <m/>
    <n v="5418997.8672300018"/>
    <n v="7106422.8872300014"/>
  </r>
  <r>
    <x v="214"/>
    <m/>
    <n v="128.76900000000003"/>
    <n v="115.83800000000001"/>
    <n v="125.76700000000011"/>
    <n v="376"/>
    <m/>
    <m/>
    <n v="5429075.7257700013"/>
    <n v="7116500.7457700018"/>
  </r>
  <r>
    <x v="215"/>
    <m/>
    <n v="128.76900000000003"/>
    <n v="117.30000000000001"/>
    <n v="125.76700000000011"/>
    <n v="376"/>
    <m/>
    <m/>
    <n v="5450306.0271900017"/>
    <n v="7137731.0471900012"/>
  </r>
  <r>
    <x v="216"/>
    <m/>
    <n v="130.97100000000006"/>
    <n v="117.30000000000001"/>
    <n v="125.76700000000011"/>
    <n v="376"/>
    <m/>
    <m/>
    <n v="5455276.866030002"/>
    <n v="7142701.8860300006"/>
  </r>
  <r>
    <x v="217"/>
    <m/>
    <n v="130.97100000000006"/>
    <n v="119.18"/>
    <n v="125.76700000000011"/>
    <n v="376"/>
    <m/>
    <m/>
    <n v="5482577.1168300016"/>
    <n v="7170002.1368300002"/>
  </r>
  <r>
    <x v="218"/>
    <m/>
    <n v="130.97100000000006"/>
    <n v="119.18"/>
    <n v="125.76700000000011"/>
    <n v="376"/>
    <m/>
    <m/>
    <n v="5482577.1168300016"/>
    <n v="7170002.1368300002"/>
  </r>
  <r>
    <x v="219"/>
    <m/>
    <n v="130.97100000000006"/>
    <n v="120.56200000000001"/>
    <n v="125.76700000000011"/>
    <n v="376"/>
    <m/>
    <m/>
    <n v="5502645.7054500021"/>
    <n v="7190070.7254499998"/>
  </r>
  <r>
    <x v="220"/>
    <m/>
    <n v="130.97100000000006"/>
    <n v="121.95300000000002"/>
    <n v="125.76700000000011"/>
    <n v="376"/>
    <m/>
    <m/>
    <n v="5522844.9867600016"/>
    <n v="7210270.0067600003"/>
  </r>
  <r>
    <x v="221"/>
    <m/>
    <n v="130.97100000000006"/>
    <n v="122.98"/>
    <n v="125.76700000000011"/>
    <n v="376"/>
    <m/>
    <m/>
    <n v="5537758.4748300016"/>
    <n v="7225183.4948299993"/>
  </r>
  <r>
    <x v="222"/>
    <m/>
    <n v="130.97100000000006"/>
    <n v="123.88300000000001"/>
    <n v="125.76700000000011"/>
    <n v="376"/>
    <m/>
    <m/>
    <n v="5550871.3080600016"/>
    <n v="7238296.3280599993"/>
  </r>
  <r>
    <x v="223"/>
    <m/>
    <n v="130.97100000000006"/>
    <n v="124.75500000000001"/>
    <n v="125.76700000000011"/>
    <n v="376"/>
    <m/>
    <m/>
    <n v="5563533.9775800016"/>
    <n v="7250958.9975799993"/>
  </r>
  <r>
    <x v="224"/>
    <m/>
    <n v="130.97100000000006"/>
    <n v="124.75500000000001"/>
    <n v="125.76700000000011"/>
    <n v="376"/>
    <m/>
    <m/>
    <n v="5563533.9775800016"/>
    <n v="7250958.9975799993"/>
  </r>
  <r>
    <x v="225"/>
    <m/>
    <n v="130.97100000000006"/>
    <n v="124.75500000000001"/>
    <n v="125.76700000000011"/>
    <n v="376"/>
    <m/>
    <m/>
    <n v="5563533.9775800016"/>
    <n v="7250958.9975799993"/>
  </r>
  <r>
    <x v="226"/>
    <m/>
    <n v="130.97100000000006"/>
    <n v="125.22200000000001"/>
    <n v="125.76700000000011"/>
    <n v="376"/>
    <m/>
    <m/>
    <n v="5570315.4760500016"/>
    <n v="7257740.4960499993"/>
  </r>
  <r>
    <x v="227"/>
    <m/>
    <n v="130.97100000000006"/>
    <n v="125.92"/>
    <n v="125.76700000000011"/>
    <n v="376"/>
    <m/>
    <m/>
    <n v="5580451.4202300012"/>
    <n v="7267876.4402299989"/>
  </r>
  <r>
    <x v="228"/>
    <m/>
    <n v="130.97100000000006"/>
    <n v="126.35899999999999"/>
    <n v="125.76700000000011"/>
    <n v="376"/>
    <m/>
    <m/>
    <n v="5586826.3192200018"/>
    <n v="7274251.3392199986"/>
  </r>
  <r>
    <x v="229"/>
    <m/>
    <n v="130.97100000000006"/>
    <n v="127.53099999999999"/>
    <n v="125.76700000000011"/>
    <n v="376"/>
    <m/>
    <m/>
    <n v="5603845.4117400013"/>
    <n v="7291270.4317399981"/>
  </r>
  <r>
    <x v="230"/>
    <m/>
    <n v="132.54000000000008"/>
    <n v="127.664"/>
    <n v="125.76700000000011"/>
    <n v="376"/>
    <m/>
    <m/>
    <n v="5609318.651250002"/>
    <n v="7296743.6712499978"/>
  </r>
  <r>
    <x v="231"/>
    <m/>
    <n v="132.55400000000009"/>
    <n v="127.678"/>
    <n v="125.76700000000011"/>
    <n v="376"/>
    <m/>
    <m/>
    <n v="5609553.554870002"/>
    <n v="7296978.5748699978"/>
  </r>
  <r>
    <x v="232"/>
    <m/>
    <n v="132.55400000000009"/>
    <n v="127.678"/>
    <n v="125.76700000000011"/>
    <n v="376"/>
    <m/>
    <m/>
    <n v="5609553.554870002"/>
    <n v="7296978.5748699978"/>
  </r>
  <r>
    <x v="233"/>
    <m/>
    <n v="132.55400000000009"/>
    <n v="128.17399999999998"/>
    <n v="125.76700000000011"/>
    <n v="376"/>
    <m/>
    <m/>
    <n v="5616756.1742300009"/>
    <n v="7304181.1942299977"/>
  </r>
  <r>
    <x v="234"/>
    <m/>
    <n v="132.55400000000009"/>
    <n v="129.04499999999999"/>
    <n v="125.76700000000011"/>
    <n v="376"/>
    <m/>
    <m/>
    <n v="5629404.3223400014"/>
    <n v="7316829.3423399981"/>
  </r>
  <r>
    <x v="235"/>
    <m/>
    <n v="132.55400000000009"/>
    <n v="129.04499999999999"/>
    <n v="125.76700000000011"/>
    <n v="376"/>
    <m/>
    <m/>
    <n v="5629404.3223400014"/>
    <n v="7316829.3423399981"/>
  </r>
  <r>
    <x v="236"/>
    <m/>
    <n v="132.58700000000007"/>
    <n v="130.51399999999998"/>
    <n v="125.76700000000011"/>
    <n v="376"/>
    <m/>
    <m/>
    <n v="5650810.7684900016"/>
    <n v="7338235.7884899983"/>
  </r>
  <r>
    <x v="237"/>
    <m/>
    <n v="133.24400000000006"/>
    <n v="130.51999999999998"/>
    <n v="125.76700000000011"/>
    <n v="376"/>
    <m/>
    <m/>
    <n v="5652381.0218900014"/>
    <n v="7339806.0418899991"/>
  </r>
  <r>
    <x v="238"/>
    <m/>
    <n v="134.08600000000004"/>
    <n v="130.51999999999998"/>
    <n v="125.76700000000011"/>
    <n v="376"/>
    <m/>
    <m/>
    <n v="5654281.7695300011"/>
    <n v="7341706.7895299988"/>
  </r>
  <r>
    <x v="239"/>
    <m/>
    <n v="134.08600000000004"/>
    <n v="130.51999999999998"/>
    <n v="125.76700000000011"/>
    <n v="376"/>
    <m/>
    <m/>
    <n v="5654281.7695300011"/>
    <n v="7341706.7895299988"/>
  </r>
  <r>
    <x v="240"/>
    <m/>
    <n v="134.08600000000004"/>
    <n v="131.21199999999999"/>
    <n v="125.76700000000011"/>
    <n v="376"/>
    <m/>
    <m/>
    <n v="5664330.5852500014"/>
    <n v="7351755.6052499991"/>
  </r>
  <r>
    <x v="241"/>
    <m/>
    <n v="134.18600000000004"/>
    <n v="131.48699999999999"/>
    <n v="125.76700000000011"/>
    <n v="376"/>
    <m/>
    <m/>
    <n v="5668549.7150000017"/>
    <n v="7355974.7349999985"/>
  </r>
  <r>
    <x v="242"/>
    <m/>
    <n v="134.18600000000004"/>
    <n v="132.34699999999998"/>
    <n v="125.76700000000011"/>
    <n v="376"/>
    <m/>
    <m/>
    <n v="5681038.1276000012"/>
    <n v="7368463.1475999989"/>
  </r>
  <r>
    <x v="243"/>
    <m/>
    <n v="135.52600000000004"/>
    <n v="132.34699999999998"/>
    <n v="125.76700000000011"/>
    <n v="376"/>
    <m/>
    <m/>
    <n v="5684063.0704000015"/>
    <n v="7371488.0903999982"/>
  </r>
  <r>
    <x v="244"/>
    <m/>
    <n v="138.22900000000001"/>
    <n v="132.34699999999998"/>
    <n v="125.76700000000011"/>
    <n v="376"/>
    <m/>
    <m/>
    <n v="5690164.8766600015"/>
    <n v="7377589.8966599982"/>
  </r>
  <r>
    <x v="245"/>
    <m/>
    <n v="139.69900000000001"/>
    <n v="132.34699999999998"/>
    <n v="125.76700000000011"/>
    <n v="376"/>
    <m/>
    <m/>
    <n v="5693483.2840600014"/>
    <n v="7380908.3040599981"/>
  </r>
  <r>
    <x v="246"/>
    <m/>
    <n v="139.69900000000001"/>
    <n v="132.34699999999998"/>
    <n v="125.76700000000011"/>
    <n v="376"/>
    <m/>
    <m/>
    <n v="5693483.2840600014"/>
    <n v="7380908.3040599981"/>
  </r>
  <r>
    <x v="247"/>
    <m/>
    <n v="145.57100000000003"/>
    <n v="132.34699999999998"/>
    <n v="125.76700000000011"/>
    <n v="376"/>
    <m/>
    <m/>
    <n v="5706738.8543000007"/>
    <n v="7394163.8742999984"/>
  </r>
  <r>
    <x v="248"/>
    <m/>
    <n v="145.57100000000003"/>
    <n v="133.67099999999999"/>
    <n v="125.76700000000011"/>
    <n v="376"/>
    <m/>
    <m/>
    <n v="5725965.2011400014"/>
    <n v="7413390.2211399982"/>
  </r>
  <r>
    <x v="249"/>
    <m/>
    <n v="145.57100000000003"/>
    <n v="133.71399999999997"/>
    <n v="125.76700000000011"/>
    <n v="376"/>
    <m/>
    <m/>
    <n v="5726589.621770001"/>
    <n v="7414014.6417699978"/>
  </r>
  <r>
    <x v="250"/>
    <m/>
    <n v="145.57100000000003"/>
    <n v="135.43499999999995"/>
    <n v="125.76700000000011"/>
    <n v="376"/>
    <m/>
    <m/>
    <n v="5751580.9683800004"/>
    <n v="7439005.9883799981"/>
  </r>
  <r>
    <x v="251"/>
    <m/>
    <n v="145.57100000000003"/>
    <n v="137.78499999999994"/>
    <n v="125.76700000000011"/>
    <n v="376"/>
    <m/>
    <m/>
    <n v="5785706.2818800006"/>
    <n v="7473131.3018799983"/>
  </r>
  <r>
    <x v="252"/>
    <m/>
    <n v="145.57100000000003"/>
    <n v="138.50499999999994"/>
    <n v="125.76700000000011"/>
    <n v="376"/>
    <m/>
    <m/>
    <n v="5796161.6970800003"/>
    <n v="7483586.717079998"/>
  </r>
  <r>
    <x v="253"/>
    <m/>
    <n v="145.57100000000003"/>
    <n v="140.20499999999993"/>
    <n v="125.76700000000011"/>
    <n v="376"/>
    <m/>
    <m/>
    <n v="5820848.0940800002"/>
    <n v="7508273.1140799979"/>
  </r>
  <r>
    <x v="254"/>
    <m/>
    <n v="145.57100000000003"/>
    <n v="140.70499999999993"/>
    <n v="125.76700000000011"/>
    <n v="376"/>
    <m/>
    <m/>
    <n v="5828108.7990800003"/>
    <n v="7515533.8190799979"/>
  </r>
  <r>
    <x v="255"/>
    <m/>
    <n v="145.57100000000003"/>
    <n v="141.80499999999992"/>
    <n v="125.76700000000011"/>
    <n v="376"/>
    <m/>
    <m/>
    <n v="5844082.3500800002"/>
    <n v="7531507.3700799979"/>
  </r>
  <r>
    <x v="256"/>
    <m/>
    <n v="145.57100000000003"/>
    <n v="142.50499999999991"/>
    <n v="125.76700000000011"/>
    <n v="376"/>
    <m/>
    <m/>
    <n v="5854247.33708"/>
    <n v="7541672.3570799977"/>
  </r>
  <r>
    <x v="257"/>
    <m/>
    <n v="145.70400000000001"/>
    <n v="142.63799999999989"/>
    <n v="125.76700000000011"/>
    <n v="376"/>
    <m/>
    <m/>
    <n v="5856478.9214699995"/>
    <n v="7543903.9414699981"/>
  </r>
  <r>
    <x v="258"/>
    <m/>
    <n v="145.94399999999999"/>
    <n v="142.71099999999987"/>
    <n v="125.76700000000011"/>
    <n v="376"/>
    <m/>
    <m/>
    <n v="5858080.7651999993"/>
    <n v="7545505.7851999961"/>
  </r>
  <r>
    <x v="259"/>
    <m/>
    <n v="145.94399999999999"/>
    <n v="142.81099999999986"/>
    <n v="125.76700000000011"/>
    <n v="376"/>
    <m/>
    <m/>
    <n v="5859532.9061999992"/>
    <n v="7546957.9261999959"/>
  </r>
  <r>
    <x v="260"/>
    <m/>
    <n v="145.94399999999999"/>
    <n v="142.81099999999986"/>
    <n v="125.76700000000011"/>
    <n v="376"/>
    <m/>
    <m/>
    <n v="5859532.9061999992"/>
    <n v="7546957.9261999959"/>
  </r>
  <r>
    <x v="261"/>
    <m/>
    <n v="148.02099999999999"/>
    <n v="142.81099999999986"/>
    <n v="125.76700000000011"/>
    <n v="376"/>
    <m/>
    <m/>
    <n v="5864221.5675399993"/>
    <n v="7551646.587539996"/>
  </r>
  <r>
    <x v="262"/>
    <m/>
    <n v="148.02099999999999"/>
    <n v="142.81099999999986"/>
    <n v="125.76700000000011"/>
    <n v="376"/>
    <m/>
    <m/>
    <n v="5864221.5675399993"/>
    <n v="7551646.587539996"/>
  </r>
  <r>
    <x v="263"/>
    <m/>
    <n v="148.02099999999999"/>
    <n v="142.81099999999986"/>
    <n v="126.27300000000012"/>
    <n v="376"/>
    <m/>
    <m/>
    <n v="5871080.7163199997"/>
    <n v="7558505.7363199964"/>
  </r>
  <r>
    <x v="264"/>
    <m/>
    <n v="148.02099999999999"/>
    <n v="142.81099999999986"/>
    <n v="126.36400000000012"/>
    <n v="376"/>
    <m/>
    <m/>
    <n v="5872314.2786499998"/>
    <n v="7559739.2986499956"/>
  </r>
  <r>
    <x v="265"/>
    <m/>
    <n v="148.02099999999999"/>
    <n v="142.81099999999986"/>
    <n v="128.02900000000011"/>
    <n v="376"/>
    <m/>
    <m/>
    <n v="5894884.4025999997"/>
    <n v="7582309.4225999955"/>
  </r>
  <r>
    <x v="266"/>
    <m/>
    <n v="148.02099999999999"/>
    <n v="144.88799999999986"/>
    <n v="128.02900000000011"/>
    <n v="376"/>
    <m/>
    <m/>
    <n v="5925045.3711699992"/>
    <n v="7612470.3911699951"/>
  </r>
  <r>
    <x v="267"/>
    <m/>
    <n v="148.02099999999999"/>
    <n v="144.88799999999986"/>
    <n v="128.02900000000011"/>
    <n v="376"/>
    <m/>
    <m/>
    <n v="5925045.3711699992"/>
    <n v="7612470.3911699951"/>
  </r>
  <r>
    <x v="268"/>
    <m/>
    <n v="148.02099999999999"/>
    <n v="144.88799999999986"/>
    <n v="130.33100000000013"/>
    <n v="376"/>
    <m/>
    <m/>
    <n v="5956250.4314299999"/>
    <n v="7643675.4514299948"/>
  </r>
  <r>
    <x v="269"/>
    <m/>
    <n v="148.02099999999999"/>
    <n v="144.88799999999986"/>
    <n v="131.76700000000014"/>
    <n v="376"/>
    <m/>
    <m/>
    <n v="5975716.31611"/>
    <n v="7663141.3361099949"/>
  </r>
  <r>
    <x v="270"/>
    <m/>
    <n v="148.02099999999999"/>
    <n v="144.88799999999986"/>
    <n v="132.41700000000009"/>
    <n v="376"/>
    <m/>
    <m/>
    <n v="5984527.4756099992"/>
    <n v="7671952.495609995"/>
  </r>
  <r>
    <x v="271"/>
    <m/>
    <n v="148.02099999999999"/>
    <n v="144.88799999999986"/>
    <n v="134.13700000000009"/>
    <n v="376"/>
    <m/>
    <m/>
    <n v="6007843.1592099993"/>
    <n v="7695268.1792099951"/>
  </r>
  <r>
    <x v="272"/>
    <m/>
    <n v="148.02099999999999"/>
    <n v="144.88799999999986"/>
    <n v="136.30500000000009"/>
    <n v="376"/>
    <m/>
    <m/>
    <n v="6037231.7650499996"/>
    <n v="7724656.7850499954"/>
  </r>
  <r>
    <x v="273"/>
    <m/>
    <n v="148.02099999999999"/>
    <n v="144.88799999999986"/>
    <n v="137.3850000000001"/>
    <n v="376"/>
    <m/>
    <m/>
    <n v="6051871.845449999"/>
    <n v="7739296.8654499957"/>
  </r>
  <r>
    <x v="274"/>
    <m/>
    <n v="148.02099999999999"/>
    <n v="144.88799999999986"/>
    <n v="137.3850000000001"/>
    <n v="376"/>
    <m/>
    <m/>
    <n v="6051871.845449999"/>
    <n v="7739296.8654499957"/>
  </r>
  <r>
    <x v="275"/>
    <m/>
    <n v="148.02099999999999"/>
    <n v="144.88799999999986"/>
    <n v="138.58500000000009"/>
    <n v="376"/>
    <m/>
    <m/>
    <n v="6068138.601449999"/>
    <n v="7755563.6214499958"/>
  </r>
  <r>
    <x v="276"/>
    <m/>
    <n v="148.02099999999999"/>
    <n v="144.88799999999986"/>
    <n v="138.80400000000009"/>
    <n v="376"/>
    <m/>
    <m/>
    <n v="6071107.2844199995"/>
    <n v="7758532.3044199962"/>
  </r>
  <r>
    <x v="277"/>
    <m/>
    <n v="148.03599999999997"/>
    <n v="144.90299999999985"/>
    <n v="138.82500000000007"/>
    <n v="376"/>
    <m/>
    <m/>
    <n v="6071643.6350999987"/>
    <n v="7759068.6550999964"/>
  </r>
  <r>
    <x v="278"/>
    <m/>
    <n v="148.03599999999997"/>
    <n v="144.90299999999985"/>
    <n v="142.12500000000009"/>
    <n v="376"/>
    <m/>
    <m/>
    <n v="6116377.2140999986"/>
    <n v="7803802.2340999963"/>
  </r>
  <r>
    <x v="279"/>
    <m/>
    <n v="148.03599999999997"/>
    <n v="144.90299999999985"/>
    <n v="146.12200000000007"/>
    <n v="376"/>
    <m/>
    <m/>
    <n v="6170559.0672099981"/>
    <n v="7857984.0872099968"/>
  </r>
  <r>
    <x v="280"/>
    <m/>
    <n v="148.03599999999997"/>
    <n v="144.90299999999985"/>
    <n v="146.12200000000007"/>
    <n v="376"/>
    <m/>
    <m/>
    <n v="6170559.0672099981"/>
    <n v="7857984.0872099968"/>
  </r>
  <r>
    <x v="281"/>
    <m/>
    <n v="148.03599999999997"/>
    <n v="147.37499999999986"/>
    <n v="146.12200000000007"/>
    <n v="376"/>
    <m/>
    <m/>
    <n v="6206455.9927299991"/>
    <n v="7893881.0127299968"/>
  </r>
  <r>
    <x v="282"/>
    <m/>
    <n v="148.03599999999997"/>
    <n v="147.37499999999986"/>
    <n v="146.12200000000007"/>
    <n v="376"/>
    <m/>
    <m/>
    <n v="6206455.9927299991"/>
    <n v="7893881.0127299968"/>
  </r>
  <r>
    <x v="283"/>
    <m/>
    <n v="148.03599999999997"/>
    <n v="147.37499999999986"/>
    <n v="146.12200000000007"/>
    <n v="376"/>
    <m/>
    <m/>
    <n v="6206455.9927299991"/>
    <n v="7893881.0127299968"/>
  </r>
  <r>
    <x v="284"/>
    <m/>
    <n v="148.03599999999997"/>
    <n v="147.37499999999986"/>
    <n v="146.12200000000007"/>
    <n v="376"/>
    <m/>
    <m/>
    <n v="6206455.9927299991"/>
    <n v="7893881.0127299968"/>
  </r>
  <r>
    <x v="285"/>
    <m/>
    <n v="148.03599999999997"/>
    <n v="147.37499999999986"/>
    <n v="148.69400000000007"/>
    <n v="376"/>
    <m/>
    <m/>
    <n v="6241321.0730899982"/>
    <n v="7928746.0930899968"/>
  </r>
  <r>
    <x v="286"/>
    <m/>
    <n v="148.04199999999997"/>
    <n v="147.38099999999986"/>
    <n v="148.70000000000007"/>
    <n v="376"/>
    <m/>
    <m/>
    <n v="6241503.0798499994"/>
    <n v="7928933.8945299974"/>
  </r>
  <r>
    <x v="287"/>
    <m/>
    <n v="148.88699999999997"/>
    <n v="147.38099999999986"/>
    <n v="148.70000000000007"/>
    <n v="376"/>
    <m/>
    <m/>
    <n v="6243410.5997499991"/>
    <n v="7930841.4144299971"/>
  </r>
  <r>
    <x v="288"/>
    <m/>
    <n v="149.96199999999996"/>
    <n v="147.38099999999986"/>
    <n v="148.70000000000007"/>
    <n v="376"/>
    <m/>
    <m/>
    <n v="6245837.326249999"/>
    <n v="7933268.140929997"/>
  </r>
  <r>
    <x v="289"/>
    <m/>
    <n v="152.34199999999996"/>
    <n v="147.38099999999986"/>
    <n v="148.70000000000007"/>
    <n v="376"/>
    <m/>
    <m/>
    <n v="6251209.9858499989"/>
    <n v="7938640.8005299969"/>
  </r>
  <r>
    <x v="290"/>
    <m/>
    <n v="152.34199999999996"/>
    <n v="150.36199999999985"/>
    <n v="148.70000000000007"/>
    <n v="376"/>
    <m/>
    <m/>
    <n v="6294498.309059998"/>
    <n v="7981929.1237399969"/>
  </r>
  <r>
    <x v="291"/>
    <m/>
    <n v="154.97199999999998"/>
    <n v="150.36199999999985"/>
    <n v="148.70000000000007"/>
    <n v="376"/>
    <m/>
    <m/>
    <n v="6300435.3236599984"/>
    <n v="7987866.1383399973"/>
  </r>
  <r>
    <x v="292"/>
    <m/>
    <n v="154.97199999999998"/>
    <n v="152.31999999999985"/>
    <n v="148.70000000000007"/>
    <n v="376"/>
    <m/>
    <m/>
    <n v="6328868.2444399986"/>
    <n v="8016299.0591199975"/>
  </r>
  <r>
    <x v="293"/>
    <m/>
    <n v="155.58199999999999"/>
    <n v="154.92099999999985"/>
    <n v="148.70000000000007"/>
    <n v="376"/>
    <m/>
    <m/>
    <n v="6368015.4580499986"/>
    <n v="8055446.2727299975"/>
  </r>
  <r>
    <x v="294"/>
    <m/>
    <n v="156.43199999999999"/>
    <n v="154.92099999999985"/>
    <n v="148.70000000000007"/>
    <n v="376"/>
    <m/>
    <m/>
    <n v="6369934.2650499986"/>
    <n v="8057365.0797299976"/>
  </r>
  <r>
    <x v="295"/>
    <m/>
    <n v="156.43199999999999"/>
    <n v="154.92099999999985"/>
    <n v="148.70000000000007"/>
    <n v="376"/>
    <m/>
    <m/>
    <n v="6369934.2650499986"/>
    <n v="8057365.0797299976"/>
  </r>
  <r>
    <x v="296"/>
    <m/>
    <n v="158.042"/>
    <n v="154.92099999999985"/>
    <n v="148.70000000000007"/>
    <n v="376"/>
    <m/>
    <m/>
    <n v="6373568.7112499978"/>
    <n v="8402334.2459299974"/>
  </r>
  <r>
    <x v="297"/>
    <m/>
    <n v="158.042"/>
    <n v="154.92099999999985"/>
    <n v="148.70000000000007"/>
    <n v="376"/>
    <m/>
    <n v="0"/>
    <n v="6373568.7112499978"/>
    <n v="8566609.345929997"/>
  </r>
  <r>
    <x v="298"/>
    <m/>
    <n v="158.042"/>
    <n v="154.92099999999985"/>
    <n v="148.70000000000007"/>
    <n v="376"/>
    <m/>
    <n v="10.475526931400351"/>
    <n v="6373568.7112499978"/>
    <n v="8656520.8159299977"/>
  </r>
  <r>
    <x v="299"/>
    <m/>
    <n v="158.042"/>
    <n v="154.92099999999985"/>
    <n v="148.70000000000007"/>
    <n v="376"/>
    <m/>
    <n v="17.040190475077903"/>
    <n v="6373568.7112499978"/>
    <n v="8744275.515929997"/>
  </r>
  <r>
    <x v="300"/>
    <m/>
    <n v="159.39099999999999"/>
    <n v="154.92099999999985"/>
    <n v="148.70000000000007"/>
    <n v="376"/>
    <m/>
    <n v="21.928769709731398"/>
    <n v="6376613.9708299991"/>
    <n v="8747320.7755099982"/>
  </r>
  <r>
    <x v="301"/>
    <m/>
    <n v="159.39099999999999"/>
    <n v="154.92099999999985"/>
    <n v="148.70000000000007"/>
    <n v="376"/>
    <m/>
    <n v="21.928769709731398"/>
    <n v="6376613.9708299991"/>
    <n v="8747320.7755099982"/>
  </r>
  <r>
    <x v="302"/>
    <m/>
    <n v="159.39099999999999"/>
    <n v="154.92099999999985"/>
    <n v="148.70000000000007"/>
    <n v="376"/>
    <m/>
    <n v="21.928769709731398"/>
    <n v="6376613.9708299991"/>
    <n v="8747320.7755099982"/>
  </r>
  <r>
    <x v="303"/>
    <m/>
    <n v="160.191"/>
    <n v="154.92099999999985"/>
    <n v="148.70000000000007"/>
    <n v="376"/>
    <m/>
    <n v="21.928769709731398"/>
    <n v="6378419.9068299979"/>
    <n v="8749126.711509997"/>
  </r>
  <r>
    <x v="304"/>
    <m/>
    <n v="164.95599999999999"/>
    <n v="154.92099999999985"/>
    <n v="148.70000000000007"/>
    <n v="376"/>
    <m/>
    <n v="21.928769709731398"/>
    <n v="6389176.513129998"/>
    <n v="8759883.3178099971"/>
  </r>
  <r>
    <x v="305"/>
    <m/>
    <n v="164.95599999999999"/>
    <n v="156.72099999999986"/>
    <n v="148.70000000000007"/>
    <n v="376"/>
    <m/>
    <n v="21.928769709731398"/>
    <n v="6415315.0511299986"/>
    <n v="8786021.8558099978"/>
  </r>
  <r>
    <x v="306"/>
    <m/>
    <n v="164.95599999999999"/>
    <n v="158.07399999999987"/>
    <n v="148.70000000000007"/>
    <n v="376"/>
    <m/>
    <n v="21.928769709731398"/>
    <n v="6434962.5188599993"/>
    <n v="8805669.3235399984"/>
  </r>
  <r>
    <x v="307"/>
    <m/>
    <n v="164.95599999999999"/>
    <n v="158.07399999999987"/>
    <n v="148.70000000000007"/>
    <n v="376"/>
    <m/>
    <n v="21.928769709731398"/>
    <n v="6434962.5188599993"/>
    <n v="9005041.3435399961"/>
  </r>
  <r>
    <x v="308"/>
    <m/>
    <n v="164.95599999999999"/>
    <n v="158.07399999999987"/>
    <n v="148.70000000000007"/>
    <n v="376"/>
    <m/>
    <n v="34.499402027411818"/>
    <n v="6434962.5188599993"/>
    <n v="9100691.8435399942"/>
  </r>
  <r>
    <x v="309"/>
    <m/>
    <n v="164.95599999999999"/>
    <n v="158.07399999999987"/>
    <n v="148.70000000000007"/>
    <n v="376"/>
    <m/>
    <n v="41.483086648345392"/>
    <n v="6434962.5188599993"/>
    <n v="9100691.8435399942"/>
  </r>
  <r>
    <x v="310"/>
    <m/>
    <n v="164.95599999999999"/>
    <n v="158.80599999999987"/>
    <n v="148.70000000000007"/>
    <n v="376"/>
    <m/>
    <n v="41.483086648345392"/>
    <n v="6445592.1909799986"/>
    <n v="9165723.7556599937"/>
  </r>
  <r>
    <x v="311"/>
    <m/>
    <n v="164.95599999999999"/>
    <n v="160.68699999999987"/>
    <n v="148.70000000000007"/>
    <n v="376"/>
    <m/>
    <n v="41.483086648345392"/>
    <n v="6472906.9631899986"/>
    <n v="9193038.5278699938"/>
  </r>
  <r>
    <x v="312"/>
    <m/>
    <n v="164.95599999999999"/>
    <n v="161.81999999999988"/>
    <n v="148.70000000000007"/>
    <n v="376"/>
    <m/>
    <n v="41.483086648345392"/>
    <n v="6489359.7207199987"/>
    <n v="9236692.4053999931"/>
  </r>
  <r>
    <x v="313"/>
    <m/>
    <n v="166.30199999999999"/>
    <n v="161.81999999999988"/>
    <n v="148.70000000000007"/>
    <n v="376"/>
    <m/>
    <n v="41.483086648345392"/>
    <n v="6492398.208039999"/>
    <n v="9239730.8927199934"/>
  </r>
  <r>
    <x v="314"/>
    <m/>
    <n v="166.30199999999999"/>
    <n v="163.60199999999989"/>
    <n v="148.70000000000007"/>
    <n v="376"/>
    <m/>
    <n v="41.483086648345392"/>
    <n v="6518275.3606599988"/>
    <n v="9265608.0453399941"/>
  </r>
  <r>
    <x v="315"/>
    <m/>
    <n v="166.30199999999999"/>
    <n v="164.94799999999989"/>
    <n v="148.70000000000007"/>
    <n v="376"/>
    <m/>
    <n v="41.483086648345392"/>
    <n v="6537821.1785199996"/>
    <n v="9285153.863199994"/>
  </r>
  <r>
    <x v="316"/>
    <m/>
    <n v="166.30199999999999"/>
    <n v="164.94799999999989"/>
    <n v="148.70000000000007"/>
    <n v="376"/>
    <m/>
    <n v="41.483086648345392"/>
    <n v="6537821.1785199996"/>
    <n v="9285153.863199994"/>
  </r>
  <r>
    <x v="317"/>
    <m/>
    <n v="166.30199999999999"/>
    <n v="165.64099999999991"/>
    <n v="148.70000000000007"/>
    <n v="376"/>
    <m/>
    <n v="41.483086648345392"/>
    <n v="6547884.5156499986"/>
    <n v="9295217.2003299948"/>
  </r>
  <r>
    <x v="318"/>
    <m/>
    <n v="170.642"/>
    <n v="165.64099999999991"/>
    <n v="148.70000000000007"/>
    <n v="376"/>
    <m/>
    <n v="41.483086648345392"/>
    <n v="6557681.7184499986"/>
    <n v="9305014.4031299949"/>
  </r>
  <r>
    <x v="319"/>
    <m/>
    <n v="170.642"/>
    <n v="165.64099999999991"/>
    <n v="148.70000000000007"/>
    <n v="380"/>
    <m/>
    <n v="41.483086648345392"/>
    <n v="6576313.7184499986"/>
    <n v="9323646.4031299949"/>
  </r>
  <r>
    <x v="320"/>
    <m/>
    <n v="170.642"/>
    <n v="165.64099999999991"/>
    <n v="148.70000000000007"/>
    <n v="380"/>
    <m/>
    <n v="41.483086648345392"/>
    <n v="6576313.7184499986"/>
    <n v="9386531.9731299933"/>
  </r>
  <r>
    <x v="321"/>
    <m/>
    <n v="170.642"/>
    <n v="165.64099999999991"/>
    <n v="148.70000000000007"/>
    <n v="380"/>
    <m/>
    <n v="44.555907881556159"/>
    <n v="6576313.7184499986"/>
    <n v="9459226.3531299923"/>
  </r>
  <r>
    <x v="322"/>
    <m/>
    <n v="170.642"/>
    <n v="165.64099999999991"/>
    <n v="148.70000000000007"/>
    <n v="381"/>
    <m/>
    <n v="49.86350819346567"/>
    <n v="6580971.7184499986"/>
    <n v="9463884.3531299923"/>
  </r>
  <r>
    <x v="323"/>
    <m/>
    <n v="170.642"/>
    <n v="165.64099999999991"/>
    <n v="148.70000000000007"/>
    <n v="381"/>
    <m/>
    <n v="49.86350819346567"/>
    <n v="6580971.7184499986"/>
    <n v="9463884.3531299923"/>
  </r>
  <r>
    <x v="324"/>
    <m/>
    <n v="170.642"/>
    <n v="165.64099999999991"/>
    <n v="148.70000000000007"/>
    <n v="384"/>
    <m/>
    <n v="49.86350819346567"/>
    <n v="6594945.7184499986"/>
    <n v="9477858.3531299923"/>
  </r>
  <r>
    <x v="325"/>
    <m/>
    <e v="#N/A"/>
    <e v="#N/A"/>
    <e v="#N/A"/>
    <e v="#N/A"/>
    <m/>
    <e v="#N/A"/>
    <e v="#N/A"/>
    <e v="#N/A"/>
  </r>
  <r>
    <x v="326"/>
    <m/>
    <e v="#N/A"/>
    <e v="#N/A"/>
    <e v="#N/A"/>
    <e v="#N/A"/>
    <m/>
    <e v="#N/A"/>
    <e v="#N/A"/>
    <e v="#N/A"/>
  </r>
  <r>
    <x v="327"/>
    <m/>
    <e v="#N/A"/>
    <e v="#N/A"/>
    <e v="#N/A"/>
    <e v="#N/A"/>
    <m/>
    <e v="#N/A"/>
    <e v="#N/A"/>
    <e v="#N/A"/>
  </r>
  <r>
    <x v="328"/>
    <m/>
    <e v="#N/A"/>
    <e v="#N/A"/>
    <e v="#N/A"/>
    <e v="#N/A"/>
    <m/>
    <e v="#N/A"/>
    <e v="#N/A"/>
    <e v="#N/A"/>
  </r>
  <r>
    <x v="329"/>
    <m/>
    <e v="#N/A"/>
    <e v="#N/A"/>
    <e v="#N/A"/>
    <e v="#N/A"/>
    <m/>
    <e v="#N/A"/>
    <e v="#N/A"/>
    <e v="#N/A"/>
  </r>
  <r>
    <x v="330"/>
    <m/>
    <e v="#N/A"/>
    <e v="#N/A"/>
    <e v="#N/A"/>
    <e v="#N/A"/>
    <m/>
    <e v="#N/A"/>
    <e v="#N/A"/>
    <e v="#N/A"/>
  </r>
  <r>
    <x v="331"/>
    <m/>
    <e v="#N/A"/>
    <e v="#N/A"/>
    <e v="#N/A"/>
    <e v="#N/A"/>
    <m/>
    <e v="#N/A"/>
    <e v="#N/A"/>
    <e v="#N/A"/>
  </r>
  <r>
    <x v="332"/>
    <m/>
    <e v="#N/A"/>
    <e v="#N/A"/>
    <e v="#N/A"/>
    <e v="#N/A"/>
    <m/>
    <e v="#N/A"/>
    <e v="#N/A"/>
    <e v="#N/A"/>
  </r>
  <r>
    <x v="333"/>
    <m/>
    <e v="#N/A"/>
    <e v="#N/A"/>
    <e v="#N/A"/>
    <e v="#N/A"/>
    <m/>
    <e v="#N/A"/>
    <e v="#N/A"/>
    <e v="#N/A"/>
  </r>
  <r>
    <x v="334"/>
    <m/>
    <e v="#N/A"/>
    <e v="#N/A"/>
    <e v="#N/A"/>
    <e v="#N/A"/>
    <m/>
    <e v="#N/A"/>
    <e v="#N/A"/>
    <e v="#N/A"/>
  </r>
  <r>
    <x v="335"/>
    <m/>
    <e v="#N/A"/>
    <e v="#N/A"/>
    <e v="#N/A"/>
    <e v="#N/A"/>
    <m/>
    <e v="#N/A"/>
    <e v="#N/A"/>
    <e v="#N/A"/>
  </r>
  <r>
    <x v="336"/>
    <m/>
    <e v="#N/A"/>
    <e v="#N/A"/>
    <e v="#N/A"/>
    <e v="#N/A"/>
    <m/>
    <e v="#N/A"/>
    <e v="#N/A"/>
    <e v="#N/A"/>
  </r>
  <r>
    <x v="337"/>
    <m/>
    <e v="#N/A"/>
    <e v="#N/A"/>
    <e v="#N/A"/>
    <e v="#N/A"/>
    <m/>
    <e v="#N/A"/>
    <e v="#N/A"/>
    <e v="#N/A"/>
  </r>
  <r>
    <x v="338"/>
    <m/>
    <e v="#N/A"/>
    <e v="#N/A"/>
    <e v="#N/A"/>
    <e v="#N/A"/>
    <m/>
    <e v="#N/A"/>
    <e v="#N/A"/>
    <e v="#N/A"/>
  </r>
  <r>
    <x v="339"/>
    <m/>
    <e v="#N/A"/>
    <e v="#N/A"/>
    <e v="#N/A"/>
    <e v="#N/A"/>
    <m/>
    <e v="#N/A"/>
    <e v="#N/A"/>
    <e v="#N/A"/>
  </r>
  <r>
    <x v="340"/>
    <m/>
    <e v="#N/A"/>
    <e v="#N/A"/>
    <e v="#N/A"/>
    <e v="#N/A"/>
    <m/>
    <e v="#N/A"/>
    <e v="#N/A"/>
    <e v="#N/A"/>
  </r>
  <r>
    <x v="341"/>
    <m/>
    <e v="#N/A"/>
    <e v="#N/A"/>
    <e v="#N/A"/>
    <e v="#N/A"/>
    <m/>
    <e v="#N/A"/>
    <e v="#N/A"/>
    <e v="#N/A"/>
  </r>
  <r>
    <x v="342"/>
    <m/>
    <e v="#N/A"/>
    <e v="#N/A"/>
    <e v="#N/A"/>
    <e v="#N/A"/>
    <m/>
    <e v="#N/A"/>
    <e v="#N/A"/>
    <e v="#N/A"/>
  </r>
  <r>
    <x v="343"/>
    <m/>
    <e v="#N/A"/>
    <e v="#N/A"/>
    <e v="#N/A"/>
    <e v="#N/A"/>
    <m/>
    <e v="#N/A"/>
    <e v="#N/A"/>
    <e v="#N/A"/>
  </r>
  <r>
    <x v="344"/>
    <m/>
    <e v="#N/A"/>
    <e v="#N/A"/>
    <e v="#N/A"/>
    <e v="#N/A"/>
    <m/>
    <e v="#N/A"/>
    <e v="#N/A"/>
    <e v="#N/A"/>
  </r>
  <r>
    <x v="345"/>
    <m/>
    <e v="#N/A"/>
    <e v="#N/A"/>
    <e v="#N/A"/>
    <e v="#N/A"/>
    <m/>
    <e v="#N/A"/>
    <e v="#N/A"/>
    <e v="#N/A"/>
  </r>
  <r>
    <x v="346"/>
    <m/>
    <e v="#N/A"/>
    <e v="#N/A"/>
    <e v="#N/A"/>
    <e v="#N/A"/>
    <m/>
    <e v="#N/A"/>
    <e v="#N/A"/>
    <e v="#N/A"/>
  </r>
  <r>
    <x v="347"/>
    <m/>
    <e v="#N/A"/>
    <e v="#N/A"/>
    <e v="#N/A"/>
    <e v="#N/A"/>
    <m/>
    <e v="#N/A"/>
    <e v="#N/A"/>
    <e v="#N/A"/>
  </r>
  <r>
    <x v="348"/>
    <m/>
    <e v="#N/A"/>
    <e v="#N/A"/>
    <e v="#N/A"/>
    <e v="#N/A"/>
    <m/>
    <e v="#N/A"/>
    <e v="#N/A"/>
    <e v="#N/A"/>
  </r>
  <r>
    <x v="349"/>
    <m/>
    <e v="#N/A"/>
    <e v="#N/A"/>
    <e v="#N/A"/>
    <e v="#N/A"/>
    <m/>
    <e v="#N/A"/>
    <e v="#N/A"/>
    <e v="#N/A"/>
  </r>
  <r>
    <x v="350"/>
    <m/>
    <e v="#N/A"/>
    <e v="#N/A"/>
    <e v="#N/A"/>
    <e v="#N/A"/>
    <m/>
    <e v="#N/A"/>
    <e v="#N/A"/>
    <e v="#N/A"/>
  </r>
  <r>
    <x v="351"/>
    <m/>
    <e v="#N/A"/>
    <e v="#N/A"/>
    <e v="#N/A"/>
    <e v="#N/A"/>
    <m/>
    <e v="#N/A"/>
    <e v="#N/A"/>
    <e v="#N/A"/>
  </r>
  <r>
    <x v="352"/>
    <m/>
    <e v="#N/A"/>
    <e v="#N/A"/>
    <e v="#N/A"/>
    <e v="#N/A"/>
    <m/>
    <e v="#N/A"/>
    <e v="#N/A"/>
    <e v="#N/A"/>
  </r>
  <r>
    <x v="353"/>
    <m/>
    <e v="#N/A"/>
    <e v="#N/A"/>
    <e v="#N/A"/>
    <e v="#N/A"/>
    <m/>
    <e v="#N/A"/>
    <e v="#N/A"/>
    <e v="#N/A"/>
  </r>
  <r>
    <x v="354"/>
    <m/>
    <e v="#N/A"/>
    <e v="#N/A"/>
    <e v="#N/A"/>
    <e v="#N/A"/>
    <m/>
    <e v="#N/A"/>
    <e v="#N/A"/>
    <e v="#N/A"/>
  </r>
  <r>
    <x v="355"/>
    <m/>
    <e v="#N/A"/>
    <e v="#N/A"/>
    <e v="#N/A"/>
    <e v="#N/A"/>
    <m/>
    <e v="#N/A"/>
    <e v="#N/A"/>
    <e v="#N/A"/>
  </r>
  <r>
    <x v="356"/>
    <m/>
    <e v="#N/A"/>
    <e v="#N/A"/>
    <e v="#N/A"/>
    <e v="#N/A"/>
    <m/>
    <e v="#N/A"/>
    <e v="#N/A"/>
    <e v="#N/A"/>
  </r>
  <r>
    <x v="357"/>
    <m/>
    <e v="#N/A"/>
    <e v="#N/A"/>
    <e v="#N/A"/>
    <e v="#N/A"/>
    <m/>
    <e v="#N/A"/>
    <e v="#N/A"/>
    <e v="#N/A"/>
  </r>
  <r>
    <x v="358"/>
    <m/>
    <e v="#N/A"/>
    <e v="#N/A"/>
    <e v="#N/A"/>
    <e v="#N/A"/>
    <m/>
    <e v="#N/A"/>
    <e v="#N/A"/>
    <e v="#N/A"/>
  </r>
  <r>
    <x v="359"/>
    <m/>
    <e v="#N/A"/>
    <e v="#N/A"/>
    <e v="#N/A"/>
    <e v="#N/A"/>
    <m/>
    <e v="#N/A"/>
    <e v="#N/A"/>
    <e v="#N/A"/>
  </r>
  <r>
    <x v="360"/>
    <m/>
    <e v="#N/A"/>
    <e v="#N/A"/>
    <e v="#N/A"/>
    <e v="#N/A"/>
    <m/>
    <e v="#N/A"/>
    <e v="#N/A"/>
    <e v="#N/A"/>
  </r>
  <r>
    <x v="361"/>
    <m/>
    <e v="#N/A"/>
    <e v="#N/A"/>
    <e v="#N/A"/>
    <e v="#N/A"/>
    <m/>
    <e v="#N/A"/>
    <e v="#N/A"/>
    <e v="#N/A"/>
  </r>
  <r>
    <x v="362"/>
    <m/>
    <e v="#N/A"/>
    <e v="#N/A"/>
    <e v="#N/A"/>
    <e v="#N/A"/>
    <m/>
    <e v="#N/A"/>
    <e v="#N/A"/>
    <e v="#N/A"/>
  </r>
  <r>
    <x v="363"/>
    <m/>
    <e v="#N/A"/>
    <e v="#N/A"/>
    <e v="#N/A"/>
    <e v="#N/A"/>
    <m/>
    <e v="#N/A"/>
    <e v="#N/A"/>
    <e v="#N/A"/>
  </r>
  <r>
    <x v="364"/>
    <m/>
    <e v="#N/A"/>
    <e v="#N/A"/>
    <e v="#N/A"/>
    <e v="#N/A"/>
    <m/>
    <e v="#N/A"/>
    <e v="#N/A"/>
    <e v="#N/A"/>
  </r>
  <r>
    <x v="365"/>
    <m/>
    <e v="#N/A"/>
    <e v="#N/A"/>
    <e v="#N/A"/>
    <e v="#N/A"/>
    <m/>
    <e v="#N/A"/>
    <e v="#N/A"/>
    <e v="#N/A"/>
  </r>
  <r>
    <x v="366"/>
    <m/>
    <e v="#N/A"/>
    <e v="#N/A"/>
    <e v="#N/A"/>
    <e v="#N/A"/>
    <m/>
    <e v="#N/A"/>
    <e v="#N/A"/>
    <e v="#N/A"/>
  </r>
  <r>
    <x v="367"/>
    <m/>
    <e v="#N/A"/>
    <e v="#N/A"/>
    <e v="#N/A"/>
    <e v="#N/A"/>
    <m/>
    <e v="#N/A"/>
    <e v="#N/A"/>
    <e v="#N/A"/>
  </r>
  <r>
    <x v="368"/>
    <m/>
    <e v="#N/A"/>
    <e v="#N/A"/>
    <e v="#N/A"/>
    <e v="#N/A"/>
    <m/>
    <e v="#N/A"/>
    <e v="#N/A"/>
    <e v="#N/A"/>
  </r>
  <r>
    <x v="369"/>
    <m/>
    <e v="#N/A"/>
    <e v="#N/A"/>
    <e v="#N/A"/>
    <e v="#N/A"/>
    <m/>
    <e v="#N/A"/>
    <e v="#N/A"/>
    <e v="#N/A"/>
  </r>
  <r>
    <x v="370"/>
    <m/>
    <e v="#N/A"/>
    <e v="#N/A"/>
    <e v="#N/A"/>
    <e v="#N/A"/>
    <m/>
    <e v="#N/A"/>
    <e v="#N/A"/>
    <e v="#N/A"/>
  </r>
  <r>
    <x v="371"/>
    <m/>
    <e v="#N/A"/>
    <e v="#N/A"/>
    <e v="#N/A"/>
    <e v="#N/A"/>
    <m/>
    <e v="#N/A"/>
    <e v="#N/A"/>
    <e v="#N/A"/>
  </r>
  <r>
    <x v="372"/>
    <m/>
    <e v="#N/A"/>
    <e v="#N/A"/>
    <e v="#N/A"/>
    <e v="#N/A"/>
    <m/>
    <e v="#N/A"/>
    <e v="#N/A"/>
    <e v="#N/A"/>
  </r>
  <r>
    <x v="373"/>
    <m/>
    <e v="#N/A"/>
    <e v="#N/A"/>
    <e v="#N/A"/>
    <e v="#N/A"/>
    <m/>
    <e v="#N/A"/>
    <e v="#N/A"/>
    <e v="#N/A"/>
  </r>
  <r>
    <x v="374"/>
    <m/>
    <e v="#N/A"/>
    <e v="#N/A"/>
    <e v="#N/A"/>
    <e v="#N/A"/>
    <m/>
    <e v="#N/A"/>
    <e v="#N/A"/>
    <e v="#N/A"/>
  </r>
  <r>
    <x v="375"/>
    <m/>
    <e v="#N/A"/>
    <e v="#N/A"/>
    <e v="#N/A"/>
    <e v="#N/A"/>
    <m/>
    <e v="#N/A"/>
    <e v="#N/A"/>
    <e v="#N/A"/>
  </r>
  <r>
    <x v="376"/>
    <m/>
    <e v="#N/A"/>
    <e v="#N/A"/>
    <e v="#N/A"/>
    <e v="#N/A"/>
    <m/>
    <e v="#N/A"/>
    <e v="#N/A"/>
    <e v="#N/A"/>
  </r>
  <r>
    <x v="377"/>
    <m/>
    <e v="#N/A"/>
    <e v="#N/A"/>
    <e v="#N/A"/>
    <e v="#N/A"/>
    <m/>
    <e v="#N/A"/>
    <e v="#N/A"/>
    <e v="#N/A"/>
  </r>
  <r>
    <x v="378"/>
    <m/>
    <e v="#N/A"/>
    <e v="#N/A"/>
    <e v="#N/A"/>
    <e v="#N/A"/>
    <m/>
    <e v="#N/A"/>
    <e v="#N/A"/>
    <e v="#N/A"/>
  </r>
  <r>
    <x v="379"/>
    <m/>
    <e v="#N/A"/>
    <e v="#N/A"/>
    <e v="#N/A"/>
    <e v="#N/A"/>
    <m/>
    <e v="#N/A"/>
    <e v="#N/A"/>
    <e v="#N/A"/>
  </r>
  <r>
    <x v="380"/>
    <m/>
    <e v="#N/A"/>
    <e v="#N/A"/>
    <e v="#N/A"/>
    <e v="#N/A"/>
    <m/>
    <e v="#N/A"/>
    <e v="#N/A"/>
    <e v="#N/A"/>
  </r>
  <r>
    <x v="381"/>
    <m/>
    <e v="#N/A"/>
    <e v="#N/A"/>
    <e v="#N/A"/>
    <e v="#N/A"/>
    <m/>
    <e v="#N/A"/>
    <e v="#N/A"/>
    <e v="#N/A"/>
  </r>
  <r>
    <x v="382"/>
    <m/>
    <e v="#N/A"/>
    <e v="#N/A"/>
    <e v="#N/A"/>
    <e v="#N/A"/>
    <m/>
    <e v="#N/A"/>
    <e v="#N/A"/>
    <e v="#N/A"/>
  </r>
  <r>
    <x v="383"/>
    <m/>
    <e v="#N/A"/>
    <e v="#N/A"/>
    <e v="#N/A"/>
    <e v="#N/A"/>
    <m/>
    <e v="#N/A"/>
    <e v="#N/A"/>
    <e v="#N/A"/>
  </r>
  <r>
    <x v="384"/>
    <m/>
    <e v="#N/A"/>
    <e v="#N/A"/>
    <e v="#N/A"/>
    <e v="#N/A"/>
    <m/>
    <e v="#N/A"/>
    <e v="#N/A"/>
    <e v="#N/A"/>
  </r>
  <r>
    <x v="385"/>
    <m/>
    <e v="#N/A"/>
    <e v="#N/A"/>
    <e v="#N/A"/>
    <e v="#N/A"/>
    <m/>
    <e v="#N/A"/>
    <e v="#N/A"/>
    <e v="#N/A"/>
  </r>
  <r>
    <x v="386"/>
    <m/>
    <e v="#N/A"/>
    <e v="#N/A"/>
    <e v="#N/A"/>
    <e v="#N/A"/>
    <m/>
    <e v="#N/A"/>
    <e v="#N/A"/>
    <e v="#N/A"/>
  </r>
  <r>
    <x v="387"/>
    <m/>
    <e v="#N/A"/>
    <e v="#N/A"/>
    <e v="#N/A"/>
    <e v="#N/A"/>
    <m/>
    <e v="#N/A"/>
    <e v="#N/A"/>
    <e v="#N/A"/>
  </r>
  <r>
    <x v="388"/>
    <m/>
    <e v="#N/A"/>
    <e v="#N/A"/>
    <e v="#N/A"/>
    <e v="#N/A"/>
    <m/>
    <e v="#N/A"/>
    <e v="#N/A"/>
    <e v="#N/A"/>
  </r>
  <r>
    <x v="389"/>
    <m/>
    <e v="#N/A"/>
    <e v="#N/A"/>
    <e v="#N/A"/>
    <e v="#N/A"/>
    <m/>
    <e v="#N/A"/>
    <e v="#N/A"/>
    <e v="#N/A"/>
  </r>
  <r>
    <x v="390"/>
    <m/>
    <e v="#N/A"/>
    <e v="#N/A"/>
    <e v="#N/A"/>
    <e v="#N/A"/>
    <m/>
    <e v="#N/A"/>
    <e v="#N/A"/>
    <e v="#N/A"/>
  </r>
  <r>
    <x v="391"/>
    <m/>
    <e v="#N/A"/>
    <e v="#N/A"/>
    <e v="#N/A"/>
    <e v="#N/A"/>
    <m/>
    <e v="#N/A"/>
    <e v="#N/A"/>
    <e v="#N/A"/>
  </r>
  <r>
    <x v="392"/>
    <m/>
    <e v="#N/A"/>
    <e v="#N/A"/>
    <e v="#N/A"/>
    <e v="#N/A"/>
    <m/>
    <e v="#N/A"/>
    <e v="#N/A"/>
    <e v="#N/A"/>
  </r>
  <r>
    <x v="393"/>
    <m/>
    <e v="#N/A"/>
    <e v="#N/A"/>
    <e v="#N/A"/>
    <e v="#N/A"/>
    <m/>
    <e v="#N/A"/>
    <e v="#N/A"/>
    <e v="#N/A"/>
  </r>
  <r>
    <x v="394"/>
    <m/>
    <e v="#N/A"/>
    <e v="#N/A"/>
    <e v="#N/A"/>
    <e v="#N/A"/>
    <m/>
    <e v="#N/A"/>
    <e v="#N/A"/>
    <e v="#N/A"/>
  </r>
  <r>
    <x v="395"/>
    <m/>
    <e v="#N/A"/>
    <e v="#N/A"/>
    <e v="#N/A"/>
    <e v="#N/A"/>
    <m/>
    <e v="#N/A"/>
    <e v="#N/A"/>
    <e v="#N/A"/>
  </r>
  <r>
    <x v="396"/>
    <m/>
    <e v="#N/A"/>
    <e v="#N/A"/>
    <e v="#N/A"/>
    <e v="#N/A"/>
    <m/>
    <e v="#N/A"/>
    <e v="#N/A"/>
    <e v="#N/A"/>
  </r>
  <r>
    <x v="397"/>
    <m/>
    <e v="#N/A"/>
    <e v="#N/A"/>
    <e v="#N/A"/>
    <e v="#N/A"/>
    <m/>
    <e v="#N/A"/>
    <e v="#N/A"/>
    <e v="#N/A"/>
  </r>
  <r>
    <x v="398"/>
    <m/>
    <e v="#N/A"/>
    <e v="#N/A"/>
    <e v="#N/A"/>
    <e v="#N/A"/>
    <m/>
    <e v="#N/A"/>
    <e v="#N/A"/>
    <e v="#N/A"/>
  </r>
  <r>
    <x v="399"/>
    <m/>
    <e v="#N/A"/>
    <e v="#N/A"/>
    <e v="#N/A"/>
    <e v="#N/A"/>
    <m/>
    <e v="#N/A"/>
    <e v="#N/A"/>
    <e v="#N/A"/>
  </r>
  <r>
    <x v="400"/>
    <m/>
    <e v="#N/A"/>
    <e v="#N/A"/>
    <e v="#N/A"/>
    <e v="#N/A"/>
    <m/>
    <e v="#N/A"/>
    <e v="#N/A"/>
    <e v="#N/A"/>
  </r>
  <r>
    <x v="401"/>
    <m/>
    <e v="#N/A"/>
    <e v="#N/A"/>
    <e v="#N/A"/>
    <e v="#N/A"/>
    <m/>
    <e v="#N/A"/>
    <e v="#N/A"/>
    <e v="#N/A"/>
  </r>
  <r>
    <x v="402"/>
    <m/>
    <e v="#N/A"/>
    <e v="#N/A"/>
    <e v="#N/A"/>
    <e v="#N/A"/>
    <m/>
    <e v="#N/A"/>
    <e v="#N/A"/>
    <e v="#N/A"/>
  </r>
  <r>
    <x v="403"/>
    <m/>
    <e v="#N/A"/>
    <e v="#N/A"/>
    <e v="#N/A"/>
    <e v="#N/A"/>
    <m/>
    <e v="#N/A"/>
    <e v="#N/A"/>
    <e v="#N/A"/>
  </r>
  <r>
    <x v="404"/>
    <m/>
    <e v="#N/A"/>
    <e v="#N/A"/>
    <e v="#N/A"/>
    <e v="#N/A"/>
    <m/>
    <e v="#N/A"/>
    <e v="#N/A"/>
    <e v="#N/A"/>
  </r>
  <r>
    <x v="405"/>
    <m/>
    <e v="#N/A"/>
    <e v="#N/A"/>
    <e v="#N/A"/>
    <e v="#N/A"/>
    <m/>
    <e v="#N/A"/>
    <e v="#N/A"/>
    <e v="#N/A"/>
  </r>
  <r>
    <x v="406"/>
    <m/>
    <e v="#N/A"/>
    <e v="#N/A"/>
    <e v="#N/A"/>
    <e v="#N/A"/>
    <m/>
    <e v="#N/A"/>
    <e v="#N/A"/>
    <e v="#N/A"/>
  </r>
  <r>
    <x v="407"/>
    <m/>
    <e v="#N/A"/>
    <e v="#N/A"/>
    <e v="#N/A"/>
    <e v="#N/A"/>
    <m/>
    <e v="#N/A"/>
    <e v="#N/A"/>
    <e v="#N/A"/>
  </r>
  <r>
    <x v="408"/>
    <m/>
    <e v="#N/A"/>
    <e v="#N/A"/>
    <e v="#N/A"/>
    <e v="#N/A"/>
    <m/>
    <e v="#N/A"/>
    <e v="#N/A"/>
    <e v="#N/A"/>
  </r>
  <r>
    <x v="409"/>
    <m/>
    <e v="#N/A"/>
    <e v="#N/A"/>
    <e v="#N/A"/>
    <e v="#N/A"/>
    <m/>
    <e v="#N/A"/>
    <e v="#N/A"/>
    <e v="#N/A"/>
  </r>
  <r>
    <x v="410"/>
    <m/>
    <e v="#N/A"/>
    <e v="#N/A"/>
    <e v="#N/A"/>
    <e v="#N/A"/>
    <m/>
    <e v="#N/A"/>
    <e v="#N/A"/>
    <e v="#N/A"/>
  </r>
  <r>
    <x v="411"/>
    <m/>
    <e v="#N/A"/>
    <e v="#N/A"/>
    <e v="#N/A"/>
    <e v="#N/A"/>
    <m/>
    <e v="#N/A"/>
    <e v="#N/A"/>
    <e v="#N/A"/>
  </r>
  <r>
    <x v="412"/>
    <m/>
    <e v="#N/A"/>
    <e v="#N/A"/>
    <e v="#N/A"/>
    <e v="#N/A"/>
    <m/>
    <e v="#N/A"/>
    <e v="#N/A"/>
    <e v="#N/A"/>
  </r>
  <r>
    <x v="413"/>
    <m/>
    <e v="#N/A"/>
    <e v="#N/A"/>
    <e v="#N/A"/>
    <e v="#N/A"/>
    <m/>
    <e v="#N/A"/>
    <e v="#N/A"/>
    <e v="#N/A"/>
  </r>
  <r>
    <x v="414"/>
    <m/>
    <e v="#N/A"/>
    <e v="#N/A"/>
    <e v="#N/A"/>
    <e v="#N/A"/>
    <m/>
    <e v="#N/A"/>
    <e v="#N/A"/>
    <e v="#N/A"/>
  </r>
  <r>
    <x v="415"/>
    <m/>
    <e v="#N/A"/>
    <e v="#N/A"/>
    <e v="#N/A"/>
    <e v="#N/A"/>
    <m/>
    <e v="#N/A"/>
    <e v="#N/A"/>
    <e v="#N/A"/>
  </r>
  <r>
    <x v="416"/>
    <m/>
    <e v="#N/A"/>
    <e v="#N/A"/>
    <e v="#N/A"/>
    <e v="#N/A"/>
    <m/>
    <e v="#N/A"/>
    <e v="#N/A"/>
    <e v="#N/A"/>
  </r>
  <r>
    <x v="417"/>
    <m/>
    <e v="#N/A"/>
    <e v="#N/A"/>
    <e v="#N/A"/>
    <e v="#N/A"/>
    <m/>
    <e v="#N/A"/>
    <e v="#N/A"/>
    <e v="#N/A"/>
  </r>
  <r>
    <x v="418"/>
    <m/>
    <e v="#N/A"/>
    <e v="#N/A"/>
    <e v="#N/A"/>
    <e v="#N/A"/>
    <m/>
    <e v="#N/A"/>
    <e v="#N/A"/>
    <e v="#N/A"/>
  </r>
  <r>
    <x v="419"/>
    <m/>
    <e v="#N/A"/>
    <e v="#N/A"/>
    <e v="#N/A"/>
    <e v="#N/A"/>
    <m/>
    <e v="#N/A"/>
    <e v="#N/A"/>
    <e v="#N/A"/>
  </r>
  <r>
    <x v="420"/>
    <m/>
    <e v="#N/A"/>
    <e v="#N/A"/>
    <e v="#N/A"/>
    <e v="#N/A"/>
    <m/>
    <e v="#N/A"/>
    <e v="#N/A"/>
    <e v="#N/A"/>
  </r>
  <r>
    <x v="421"/>
    <m/>
    <e v="#N/A"/>
    <e v="#N/A"/>
    <e v="#N/A"/>
    <e v="#N/A"/>
    <m/>
    <e v="#N/A"/>
    <e v="#N/A"/>
    <e v="#N/A"/>
  </r>
  <r>
    <x v="422"/>
    <m/>
    <e v="#N/A"/>
    <e v="#N/A"/>
    <e v="#N/A"/>
    <e v="#N/A"/>
    <m/>
    <e v="#N/A"/>
    <e v="#N/A"/>
    <e v="#N/A"/>
  </r>
  <r>
    <x v="423"/>
    <m/>
    <e v="#N/A"/>
    <e v="#N/A"/>
    <e v="#N/A"/>
    <e v="#N/A"/>
    <m/>
    <e v="#N/A"/>
    <e v="#N/A"/>
    <e v="#N/A"/>
  </r>
  <r>
    <x v="424"/>
    <m/>
    <e v="#N/A"/>
    <e v="#N/A"/>
    <e v="#N/A"/>
    <e v="#N/A"/>
    <m/>
    <e v="#N/A"/>
    <e v="#N/A"/>
    <e v="#N/A"/>
  </r>
  <r>
    <x v="425"/>
    <m/>
    <e v="#N/A"/>
    <e v="#N/A"/>
    <e v="#N/A"/>
    <e v="#N/A"/>
    <m/>
    <e v="#N/A"/>
    <e v="#N/A"/>
    <e v="#N/A"/>
  </r>
  <r>
    <x v="426"/>
    <m/>
    <e v="#N/A"/>
    <e v="#N/A"/>
    <e v="#N/A"/>
    <e v="#N/A"/>
    <m/>
    <e v="#N/A"/>
    <e v="#N/A"/>
    <e v="#N/A"/>
  </r>
  <r>
    <x v="427"/>
    <m/>
    <e v="#N/A"/>
    <e v="#N/A"/>
    <e v="#N/A"/>
    <e v="#N/A"/>
    <m/>
    <e v="#N/A"/>
    <e v="#N/A"/>
    <e v="#N/A"/>
  </r>
  <r>
    <x v="428"/>
    <m/>
    <e v="#N/A"/>
    <e v="#N/A"/>
    <e v="#N/A"/>
    <e v="#N/A"/>
    <m/>
    <e v="#N/A"/>
    <e v="#N/A"/>
    <e v="#N/A"/>
  </r>
  <r>
    <x v="429"/>
    <m/>
    <e v="#N/A"/>
    <e v="#N/A"/>
    <e v="#N/A"/>
    <e v="#N/A"/>
    <m/>
    <e v="#N/A"/>
    <e v="#N/A"/>
    <e v="#N/A"/>
  </r>
  <r>
    <x v="430"/>
    <m/>
    <e v="#N/A"/>
    <e v="#N/A"/>
    <e v="#N/A"/>
    <e v="#N/A"/>
    <m/>
    <e v="#N/A"/>
    <e v="#N/A"/>
    <e v="#N/A"/>
  </r>
  <r>
    <x v="431"/>
    <m/>
    <e v="#N/A"/>
    <e v="#N/A"/>
    <e v="#N/A"/>
    <e v="#N/A"/>
    <m/>
    <e v="#N/A"/>
    <e v="#N/A"/>
    <e v="#N/A"/>
  </r>
  <r>
    <x v="432"/>
    <m/>
    <e v="#N/A"/>
    <e v="#N/A"/>
    <e v="#N/A"/>
    <e v="#N/A"/>
    <m/>
    <e v="#N/A"/>
    <e v="#N/A"/>
    <e v="#N/A"/>
  </r>
  <r>
    <x v="433"/>
    <m/>
    <e v="#N/A"/>
    <e v="#N/A"/>
    <e v="#N/A"/>
    <e v="#N/A"/>
    <m/>
    <e v="#N/A"/>
    <e v="#N/A"/>
    <e v="#N/A"/>
  </r>
  <r>
    <x v="434"/>
    <m/>
    <e v="#N/A"/>
    <e v="#N/A"/>
    <e v="#N/A"/>
    <e v="#N/A"/>
    <m/>
    <e v="#N/A"/>
    <e v="#N/A"/>
    <e v="#N/A"/>
  </r>
  <r>
    <x v="435"/>
    <m/>
    <e v="#N/A"/>
    <e v="#N/A"/>
    <e v="#N/A"/>
    <e v="#N/A"/>
    <m/>
    <e v="#N/A"/>
    <e v="#N/A"/>
    <e v="#N/A"/>
  </r>
  <r>
    <x v="436"/>
    <m/>
    <e v="#N/A"/>
    <e v="#N/A"/>
    <e v="#N/A"/>
    <e v="#N/A"/>
    <m/>
    <e v="#N/A"/>
    <e v="#N/A"/>
    <e v="#N/A"/>
  </r>
  <r>
    <x v="437"/>
    <m/>
    <e v="#N/A"/>
    <e v="#N/A"/>
    <e v="#N/A"/>
    <e v="#N/A"/>
    <m/>
    <e v="#N/A"/>
    <e v="#N/A"/>
    <e v="#N/A"/>
  </r>
  <r>
    <x v="438"/>
    <m/>
    <e v="#N/A"/>
    <e v="#N/A"/>
    <e v="#N/A"/>
    <e v="#N/A"/>
    <m/>
    <e v="#N/A"/>
    <e v="#N/A"/>
    <e v="#N/A"/>
  </r>
  <r>
    <x v="439"/>
    <m/>
    <e v="#N/A"/>
    <e v="#N/A"/>
    <e v="#N/A"/>
    <e v="#N/A"/>
    <m/>
    <e v="#N/A"/>
    <e v="#N/A"/>
    <e v="#N/A"/>
  </r>
  <r>
    <x v="440"/>
    <m/>
    <e v="#N/A"/>
    <e v="#N/A"/>
    <e v="#N/A"/>
    <e v="#N/A"/>
    <m/>
    <e v="#N/A"/>
    <e v="#N/A"/>
    <e v="#N/A"/>
  </r>
  <r>
    <x v="441"/>
    <m/>
    <e v="#N/A"/>
    <e v="#N/A"/>
    <e v="#N/A"/>
    <e v="#N/A"/>
    <m/>
    <e v="#N/A"/>
    <e v="#N/A"/>
    <e v="#N/A"/>
  </r>
  <r>
    <x v="442"/>
    <m/>
    <e v="#N/A"/>
    <e v="#N/A"/>
    <e v="#N/A"/>
    <e v="#N/A"/>
    <m/>
    <e v="#N/A"/>
    <e v="#N/A"/>
    <e v="#N/A"/>
  </r>
  <r>
    <x v="443"/>
    <m/>
    <e v="#N/A"/>
    <e v="#N/A"/>
    <e v="#N/A"/>
    <e v="#N/A"/>
    <m/>
    <e v="#N/A"/>
    <e v="#N/A"/>
    <e v="#N/A"/>
  </r>
  <r>
    <x v="444"/>
    <m/>
    <e v="#N/A"/>
    <e v="#N/A"/>
    <e v="#N/A"/>
    <e v="#N/A"/>
    <m/>
    <e v="#N/A"/>
    <e v="#N/A"/>
    <e v="#N/A"/>
  </r>
  <r>
    <x v="445"/>
    <m/>
    <e v="#N/A"/>
    <e v="#N/A"/>
    <e v="#N/A"/>
    <e v="#N/A"/>
    <m/>
    <e v="#N/A"/>
    <e v="#N/A"/>
    <e v="#N/A"/>
  </r>
  <r>
    <x v="446"/>
    <m/>
    <e v="#N/A"/>
    <e v="#N/A"/>
    <e v="#N/A"/>
    <e v="#N/A"/>
    <m/>
    <e v="#N/A"/>
    <e v="#N/A"/>
    <e v="#N/A"/>
  </r>
  <r>
    <x v="447"/>
    <m/>
    <e v="#N/A"/>
    <e v="#N/A"/>
    <e v="#N/A"/>
    <e v="#N/A"/>
    <m/>
    <e v="#N/A"/>
    <e v="#N/A"/>
    <e v="#N/A"/>
  </r>
  <r>
    <x v="448"/>
    <m/>
    <e v="#N/A"/>
    <e v="#N/A"/>
    <e v="#N/A"/>
    <e v="#N/A"/>
    <m/>
    <e v="#N/A"/>
    <e v="#N/A"/>
    <e v="#N/A"/>
  </r>
  <r>
    <x v="449"/>
    <m/>
    <e v="#N/A"/>
    <e v="#N/A"/>
    <e v="#N/A"/>
    <e v="#N/A"/>
    <m/>
    <e v="#N/A"/>
    <e v="#N/A"/>
    <e v="#N/A"/>
  </r>
  <r>
    <x v="450"/>
    <m/>
    <e v="#N/A"/>
    <e v="#N/A"/>
    <e v="#N/A"/>
    <e v="#N/A"/>
    <m/>
    <e v="#N/A"/>
    <e v="#N/A"/>
    <e v="#N/A"/>
  </r>
  <r>
    <x v="451"/>
    <m/>
    <e v="#N/A"/>
    <e v="#N/A"/>
    <e v="#N/A"/>
    <e v="#N/A"/>
    <m/>
    <e v="#N/A"/>
    <e v="#N/A"/>
    <e v="#N/A"/>
  </r>
  <r>
    <x v="452"/>
    <m/>
    <e v="#N/A"/>
    <e v="#N/A"/>
    <e v="#N/A"/>
    <e v="#N/A"/>
    <m/>
    <e v="#N/A"/>
    <e v="#N/A"/>
    <e v="#N/A"/>
  </r>
  <r>
    <x v="453"/>
    <m/>
    <e v="#N/A"/>
    <e v="#N/A"/>
    <e v="#N/A"/>
    <e v="#N/A"/>
    <m/>
    <e v="#N/A"/>
    <e v="#N/A"/>
    <e v="#N/A"/>
  </r>
  <r>
    <x v="454"/>
    <m/>
    <e v="#N/A"/>
    <e v="#N/A"/>
    <e v="#N/A"/>
    <e v="#N/A"/>
    <m/>
    <e v="#N/A"/>
    <e v="#N/A"/>
    <e v="#N/A"/>
  </r>
  <r>
    <x v="455"/>
    <m/>
    <e v="#N/A"/>
    <e v="#N/A"/>
    <e v="#N/A"/>
    <e v="#N/A"/>
    <m/>
    <e v="#N/A"/>
    <e v="#N/A"/>
    <e v="#N/A"/>
  </r>
  <r>
    <x v="456"/>
    <m/>
    <e v="#N/A"/>
    <e v="#N/A"/>
    <e v="#N/A"/>
    <e v="#N/A"/>
    <m/>
    <e v="#N/A"/>
    <e v="#N/A"/>
    <e v="#N/A"/>
  </r>
  <r>
    <x v="457"/>
    <m/>
    <e v="#N/A"/>
    <e v="#N/A"/>
    <e v="#N/A"/>
    <e v="#N/A"/>
    <m/>
    <e v="#N/A"/>
    <e v="#N/A"/>
    <e v="#N/A"/>
  </r>
  <r>
    <x v="458"/>
    <m/>
    <e v="#N/A"/>
    <e v="#N/A"/>
    <e v="#N/A"/>
    <e v="#N/A"/>
    <m/>
    <e v="#N/A"/>
    <e v="#N/A"/>
    <e v="#N/A"/>
  </r>
  <r>
    <x v="459"/>
    <m/>
    <e v="#N/A"/>
    <e v="#N/A"/>
    <e v="#N/A"/>
    <e v="#N/A"/>
    <m/>
    <e v="#N/A"/>
    <e v="#N/A"/>
    <e v="#N/A"/>
  </r>
  <r>
    <x v="460"/>
    <m/>
    <e v="#N/A"/>
    <e v="#N/A"/>
    <e v="#N/A"/>
    <e v="#N/A"/>
    <m/>
    <e v="#N/A"/>
    <e v="#N/A"/>
    <e v="#N/A"/>
  </r>
  <r>
    <x v="461"/>
    <m/>
    <e v="#N/A"/>
    <e v="#N/A"/>
    <e v="#N/A"/>
    <e v="#N/A"/>
    <m/>
    <e v="#N/A"/>
    <e v="#N/A"/>
    <e v="#N/A"/>
  </r>
  <r>
    <x v="462"/>
    <m/>
    <e v="#N/A"/>
    <e v="#N/A"/>
    <e v="#N/A"/>
    <e v="#N/A"/>
    <m/>
    <e v="#N/A"/>
    <e v="#N/A"/>
    <e v="#N/A"/>
  </r>
  <r>
    <x v="463"/>
    <m/>
    <e v="#N/A"/>
    <e v="#N/A"/>
    <e v="#N/A"/>
    <e v="#N/A"/>
    <m/>
    <e v="#N/A"/>
    <e v="#N/A"/>
    <e v="#N/A"/>
  </r>
  <r>
    <x v="464"/>
    <m/>
    <e v="#N/A"/>
    <e v="#N/A"/>
    <e v="#N/A"/>
    <e v="#N/A"/>
    <m/>
    <e v="#N/A"/>
    <e v="#N/A"/>
    <e v="#N/A"/>
  </r>
  <r>
    <x v="465"/>
    <m/>
    <e v="#N/A"/>
    <e v="#N/A"/>
    <e v="#N/A"/>
    <e v="#N/A"/>
    <m/>
    <e v="#N/A"/>
    <e v="#N/A"/>
    <e v="#N/A"/>
  </r>
  <r>
    <x v="466"/>
    <m/>
    <e v="#N/A"/>
    <e v="#N/A"/>
    <e v="#N/A"/>
    <e v="#N/A"/>
    <m/>
    <e v="#N/A"/>
    <e v="#N/A"/>
    <e v="#N/A"/>
  </r>
  <r>
    <x v="467"/>
    <m/>
    <e v="#N/A"/>
    <e v="#N/A"/>
    <e v="#N/A"/>
    <e v="#N/A"/>
    <m/>
    <e v="#N/A"/>
    <e v="#N/A"/>
    <e v="#N/A"/>
  </r>
  <r>
    <x v="468"/>
    <m/>
    <e v="#N/A"/>
    <e v="#N/A"/>
    <e v="#N/A"/>
    <e v="#N/A"/>
    <m/>
    <e v="#N/A"/>
    <e v="#N/A"/>
    <e v="#N/A"/>
  </r>
  <r>
    <x v="469"/>
    <m/>
    <e v="#N/A"/>
    <e v="#N/A"/>
    <e v="#N/A"/>
    <e v="#N/A"/>
    <m/>
    <e v="#N/A"/>
    <e v="#N/A"/>
    <e v="#N/A"/>
  </r>
  <r>
    <x v="470"/>
    <m/>
    <e v="#N/A"/>
    <e v="#N/A"/>
    <e v="#N/A"/>
    <e v="#N/A"/>
    <m/>
    <e v="#N/A"/>
    <e v="#N/A"/>
    <e v="#N/A"/>
  </r>
  <r>
    <x v="471"/>
    <m/>
    <e v="#N/A"/>
    <e v="#N/A"/>
    <e v="#N/A"/>
    <e v="#N/A"/>
    <m/>
    <e v="#N/A"/>
    <e v="#N/A"/>
    <e v="#N/A"/>
  </r>
  <r>
    <x v="472"/>
    <m/>
    <e v="#N/A"/>
    <e v="#N/A"/>
    <e v="#N/A"/>
    <e v="#N/A"/>
    <m/>
    <e v="#N/A"/>
    <e v="#N/A"/>
    <e v="#N/A"/>
  </r>
  <r>
    <x v="473"/>
    <m/>
    <e v="#N/A"/>
    <e v="#N/A"/>
    <e v="#N/A"/>
    <e v="#N/A"/>
    <m/>
    <e v="#N/A"/>
    <e v="#N/A"/>
    <e v="#N/A"/>
  </r>
  <r>
    <x v="474"/>
    <m/>
    <e v="#N/A"/>
    <e v="#N/A"/>
    <e v="#N/A"/>
    <e v="#N/A"/>
    <m/>
    <e v="#N/A"/>
    <e v="#N/A"/>
    <e v="#N/A"/>
  </r>
  <r>
    <x v="475"/>
    <m/>
    <e v="#N/A"/>
    <e v="#N/A"/>
    <e v="#N/A"/>
    <e v="#N/A"/>
    <m/>
    <e v="#N/A"/>
    <e v="#N/A"/>
    <e v="#N/A"/>
  </r>
  <r>
    <x v="476"/>
    <m/>
    <e v="#N/A"/>
    <e v="#N/A"/>
    <e v="#N/A"/>
    <e v="#N/A"/>
    <m/>
    <e v="#N/A"/>
    <e v="#N/A"/>
    <e v="#N/A"/>
  </r>
  <r>
    <x v="477"/>
    <m/>
    <e v="#N/A"/>
    <e v="#N/A"/>
    <e v="#N/A"/>
    <e v="#N/A"/>
    <m/>
    <e v="#N/A"/>
    <e v="#N/A"/>
    <e v="#N/A"/>
  </r>
  <r>
    <x v="478"/>
    <m/>
    <e v="#N/A"/>
    <e v="#N/A"/>
    <e v="#N/A"/>
    <e v="#N/A"/>
    <m/>
    <e v="#N/A"/>
    <e v="#N/A"/>
    <e v="#N/A"/>
  </r>
  <r>
    <x v="479"/>
    <m/>
    <e v="#N/A"/>
    <e v="#N/A"/>
    <e v="#N/A"/>
    <e v="#N/A"/>
    <m/>
    <e v="#N/A"/>
    <e v="#N/A"/>
    <e v="#N/A"/>
  </r>
  <r>
    <x v="480"/>
    <m/>
    <e v="#N/A"/>
    <e v="#N/A"/>
    <e v="#N/A"/>
    <e v="#N/A"/>
    <m/>
    <e v="#N/A"/>
    <e v="#N/A"/>
    <e v="#N/A"/>
  </r>
  <r>
    <x v="481"/>
    <m/>
    <e v="#N/A"/>
    <e v="#N/A"/>
    <e v="#N/A"/>
    <e v="#N/A"/>
    <m/>
    <e v="#N/A"/>
    <e v="#N/A"/>
    <e v="#N/A"/>
  </r>
  <r>
    <x v="482"/>
    <m/>
    <e v="#N/A"/>
    <e v="#N/A"/>
    <e v="#N/A"/>
    <e v="#N/A"/>
    <m/>
    <e v="#N/A"/>
    <e v="#N/A"/>
    <e v="#N/A"/>
  </r>
  <r>
    <x v="483"/>
    <m/>
    <e v="#N/A"/>
    <e v="#N/A"/>
    <e v="#N/A"/>
    <e v="#N/A"/>
    <m/>
    <e v="#N/A"/>
    <e v="#N/A"/>
    <e v="#N/A"/>
  </r>
  <r>
    <x v="484"/>
    <m/>
    <e v="#N/A"/>
    <e v="#N/A"/>
    <e v="#N/A"/>
    <e v="#N/A"/>
    <m/>
    <e v="#N/A"/>
    <e v="#N/A"/>
    <e v="#N/A"/>
  </r>
  <r>
    <x v="485"/>
    <m/>
    <e v="#N/A"/>
    <e v="#N/A"/>
    <e v="#N/A"/>
    <e v="#N/A"/>
    <m/>
    <e v="#N/A"/>
    <e v="#N/A"/>
    <e v="#N/A"/>
  </r>
  <r>
    <x v="486"/>
    <m/>
    <e v="#N/A"/>
    <e v="#N/A"/>
    <e v="#N/A"/>
    <e v="#N/A"/>
    <m/>
    <e v="#N/A"/>
    <e v="#N/A"/>
    <e v="#N/A"/>
  </r>
  <r>
    <x v="487"/>
    <m/>
    <e v="#N/A"/>
    <e v="#N/A"/>
    <e v="#N/A"/>
    <e v="#N/A"/>
    <m/>
    <e v="#N/A"/>
    <e v="#N/A"/>
    <e v="#N/A"/>
  </r>
  <r>
    <x v="488"/>
    <m/>
    <e v="#N/A"/>
    <e v="#N/A"/>
    <e v="#N/A"/>
    <e v="#N/A"/>
    <m/>
    <e v="#N/A"/>
    <e v="#N/A"/>
    <e v="#N/A"/>
  </r>
  <r>
    <x v="489"/>
    <m/>
    <e v="#N/A"/>
    <e v="#N/A"/>
    <e v="#N/A"/>
    <e v="#N/A"/>
    <m/>
    <e v="#N/A"/>
    <e v="#N/A"/>
    <e v="#N/A"/>
  </r>
  <r>
    <x v="490"/>
    <m/>
    <e v="#N/A"/>
    <e v="#N/A"/>
    <e v="#N/A"/>
    <e v="#N/A"/>
    <m/>
    <e v="#N/A"/>
    <e v="#N/A"/>
    <e v="#N/A"/>
  </r>
  <r>
    <x v="491"/>
    <m/>
    <e v="#N/A"/>
    <e v="#N/A"/>
    <e v="#N/A"/>
    <e v="#N/A"/>
    <m/>
    <e v="#N/A"/>
    <e v="#N/A"/>
    <e v="#N/A"/>
  </r>
  <r>
    <x v="492"/>
    <m/>
    <e v="#N/A"/>
    <e v="#N/A"/>
    <e v="#N/A"/>
    <e v="#N/A"/>
    <m/>
    <e v="#N/A"/>
    <e v="#N/A"/>
    <e v="#N/A"/>
  </r>
  <r>
    <x v="493"/>
    <m/>
    <e v="#N/A"/>
    <e v="#N/A"/>
    <e v="#N/A"/>
    <e v="#N/A"/>
    <m/>
    <e v="#N/A"/>
    <e v="#N/A"/>
    <e v="#N/A"/>
  </r>
  <r>
    <x v="494"/>
    <m/>
    <e v="#N/A"/>
    <e v="#N/A"/>
    <e v="#N/A"/>
    <e v="#N/A"/>
    <m/>
    <e v="#N/A"/>
    <e v="#N/A"/>
    <e v="#N/A"/>
  </r>
  <r>
    <x v="495"/>
    <m/>
    <e v="#N/A"/>
    <e v="#N/A"/>
    <e v="#N/A"/>
    <e v="#N/A"/>
    <m/>
    <e v="#N/A"/>
    <e v="#N/A"/>
    <e v="#N/A"/>
  </r>
  <r>
    <x v="496"/>
    <m/>
    <e v="#N/A"/>
    <e v="#N/A"/>
    <e v="#N/A"/>
    <e v="#N/A"/>
    <m/>
    <e v="#N/A"/>
    <e v="#N/A"/>
    <e v="#N/A"/>
  </r>
  <r>
    <x v="497"/>
    <m/>
    <e v="#N/A"/>
    <e v="#N/A"/>
    <e v="#N/A"/>
    <e v="#N/A"/>
    <m/>
    <e v="#N/A"/>
    <e v="#N/A"/>
    <e v="#N/A"/>
  </r>
  <r>
    <x v="498"/>
    <m/>
    <e v="#N/A"/>
    <e v="#N/A"/>
    <e v="#N/A"/>
    <e v="#N/A"/>
    <m/>
    <e v="#N/A"/>
    <e v="#N/A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280FF-7691-45E1-82E6-7A90C12AE343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46:M64" firstHeaderRow="1" firstDataRow="1" firstDataCol="1"/>
  <pivotFields count="13">
    <pivotField numFmtId="16" showAll="0">
      <items count="5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sd="0" x="3"/>
        <item sd="0" x="4"/>
        <item t="default"/>
      </items>
    </pivotField>
  </pivotFields>
  <rowFields count="2">
    <field x="12"/>
    <field x="10"/>
  </rowFields>
  <rowItems count="18">
    <i>
      <x v="1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t="grand">
      <x/>
    </i>
  </rowItems>
  <colItems count="1">
    <i/>
  </colItems>
  <dataFields count="1">
    <dataField name="Máx. de EV" fld="9" subtotal="max" baseField="10" baseItem="11" numFmtId="179"/>
  </dataFields>
  <formats count="1">
    <format dxfId="4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actividad" xr10:uid="{6F477752-0987-4089-B40D-3C1C52075232}" sourceName="nombre_actividad">
  <extLst>
    <x:ext xmlns:x15="http://schemas.microsoft.com/office/spreadsheetml/2010/11/main" uri="{2F2917AC-EB37-4324-AD4E-5DD8C200BD13}">
      <x15:tableSlicerCache tableId="1" column="7"/>
    </x:ex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bre_actividad" xr10:uid="{20AB82AF-0BC1-4FE4-BBEB-B7C5E2604501}" cache="SegmentaciónDeDatos_nombre_actividad" caption="nombre_actividad" columnCount="14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1685B0-5236-4456-BCF4-F731A73FF5C2}" name="Tabla1" displayName="Tabla1" ref="A1:N996" totalsRowCount="1" headerRowDxfId="66">
  <autoFilter ref="A1:N995" xr:uid="{BA1685B0-5236-4456-BCF4-F731A73FF5C2}"/>
  <tableColumns count="14">
    <tableColumn id="1" xr3:uid="{4CF52015-B3CE-432C-8610-DADE600EA9C3}" name="Fecha" dataDxfId="65" totalsRowDxfId="64"/>
    <tableColumn id="2" xr3:uid="{3FA4B0AE-9D06-44DE-B076-3FDED3D18EF2}" name="Brigada" dataDxfId="63" totalsRowDxfId="62"/>
    <tableColumn id="11" xr3:uid="{AF909B89-4C98-4C30-B977-1DB0493946D0}" name="Sistema" dataDxfId="61" totalsRowDxfId="60"/>
    <tableColumn id="3" xr3:uid="{F5BFBB63-F01E-4EC7-BD4D-D09BB4F889A7}" name="Ducto" dataDxfId="59" totalsRowDxfId="58"/>
    <tableColumn id="4" xr3:uid="{98B77E8A-3C99-459B-A84F-9BCA22E66134}" name="Actividades" dataDxfId="57" totalsRowDxfId="56"/>
    <tableColumn id="10" xr3:uid="{076EB25C-65A8-4625-A199-B02E4B6F26E7}" name="inicio" dataDxfId="55" totalsRowDxfId="54"/>
    <tableColumn id="9" xr3:uid="{AE72225D-975E-4C2E-AE3B-40DA16331A20}" name="fin" dataDxfId="53" totalsRowDxfId="52"/>
    <tableColumn id="6" xr3:uid="{89559591-219B-4EA6-8A69-D923E65EA2C9}" name="Avance_km" totalsRowFunction="sum" dataDxfId="51" totalsRowDxfId="50">
      <calculatedColumnFormula>IF(Tabla1[[#This Row],[Codigo_actividad]]&lt;&gt;2.5,IF(((Tabla1[[#This Row],[fin]]-Tabla1[[#This Row],[inicio]])/1000)=0,"",((Tabla1[[#This Row],[fin]]-Tabla1[[#This Row],[inicio]])/1000)),"")</calculatedColumnFormula>
    </tableColumn>
    <tableColumn id="12" xr3:uid="{AC01BA77-CBA6-4A43-A57D-F9ED3E6152C1}" name="Avance_Med" dataDxfId="49" totalsRowDxfId="48"/>
    <tableColumn id="5" xr3:uid="{8DED0425-8C44-4CA2-BCB3-F627BAA20C3E}" name="Codigo_actividad"/>
    <tableColumn id="7" xr3:uid="{808EA3A0-62BB-4518-9BDA-01AFA85BD786}" name="nombre_actividad" dataDxfId="47" totalsRowDxfId="46">
      <calculatedColumnFormula>IF(_xlfn.XLOOKUP($J2,Catalogo!$B$7:$B$21,Catalogo!$I$7:$I$21,"",0)=0,"",_xlfn.XLOOKUP($J2,Catalogo!$B$7:$B$21,Catalogo!$I$7:$I$21,"",0))</calculatedColumnFormula>
    </tableColumn>
    <tableColumn id="8" xr3:uid="{38851285-5BAF-483F-B682-ADE868DCB723}" name="Length" dataDxfId="45" totalsRowDxfId="44"/>
    <tableColumn id="13" xr3:uid="{38F5AE3B-C4C0-4E22-B47F-A3FD31E72ADE}" name="EV" totalsRowFunction="custom" dataDxfId="43" totalsRowDxfId="42">
      <calculatedColumnFormula>IF(Tabla1[[#This Row],[Avance_km]]&lt;&gt;"",Tabla1[[#This Row],[Avance_km]],Tabla1[[#This Row],[Avance_Med]])*_xlfn.XLOOKUP(Tabla1[[#This Row],[Codigo_actividad]],Catalogo!$B$6:$B$51,Catalogo!$F$6:$F$51,0)</calculatedColumnFormula>
      <totalsRowFormula>+SUBTOTAL(9,Tabla1[EV])</totalsRowFormula>
    </tableColumn>
    <tableColumn id="14" xr3:uid="{7DE6A69F-F68C-40C2-BD82-C344311C8557}" name="Observaciones" dataDxfId="41">
      <calculatedColumnFormula>_xlfn.IFNA(_xlfn.XLOOKUP(Tabla1[[#This Row],[fin]],$P$379:$P$398,$T$379:$T$398),"")</calculatedColumnFormula>
    </tableColumn>
  </tableColumns>
  <tableStyleInfo name="TableStyleLight20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D0BCCD6-7020-47C6-B4EA-1373F1F3469F}">
  <we:reference id="wa200006518" version="1.2.0.0" store="es-ES" storeType="OMEX"/>
  <we:alternateReferences>
    <we:reference id="wa200006518" version="1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_xldudf_PYSCRIPT_CODE</we:customFunctionIds>
        <we:customFunctionIds>_xldudf_ANACONDA_CODE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A94B6A5-C005-4D4B-892D-81888877EA29}">
  <we:reference id="wa200008175" version="1.0.0.0" store="es-ES" storeType="OMEX"/>
  <we:alternateReferences>
    <we:reference id="WA200008175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BF1B-CAC7-446C-A01A-45A4E95BAABC}">
  <sheetPr codeName="Hoja1">
    <outlinePr summaryBelow="0" summaryRight="0"/>
  </sheetPr>
  <dimension ref="A1:W996"/>
  <sheetViews>
    <sheetView showGridLines="0" topLeftCell="A683" zoomScaleNormal="100" workbookViewId="0">
      <selection activeCell="F848" sqref="F848"/>
    </sheetView>
  </sheetViews>
  <sheetFormatPr baseColWidth="10" defaultColWidth="11.42578125" defaultRowHeight="15" outlineLevelCol="1" x14ac:dyDescent="0.25"/>
  <cols>
    <col min="1" max="1" width="24.28515625" style="363" bestFit="1" customWidth="1"/>
    <col min="2" max="2" width="10.140625" style="40" customWidth="1"/>
    <col min="3" max="3" width="13.28515625" style="156" customWidth="1"/>
    <col min="4" max="4" width="37.28515625" style="40" customWidth="1" outlineLevel="1"/>
    <col min="5" max="5" width="51.28515625" style="40" customWidth="1" outlineLevel="1"/>
    <col min="6" max="6" width="10.42578125" style="27" bestFit="1" customWidth="1"/>
    <col min="7" max="7" width="11.140625" style="27" bestFit="1" customWidth="1"/>
    <col min="8" max="8" width="13.140625" style="66" customWidth="1"/>
    <col min="9" max="9" width="13.140625" style="55" customWidth="1"/>
    <col min="10" max="10" width="7.42578125" customWidth="1"/>
    <col min="11" max="11" width="24.42578125" style="66" bestFit="1" customWidth="1"/>
    <col min="12" max="12" width="17.140625" style="26" customWidth="1"/>
    <col min="13" max="13" width="15.140625" style="292" customWidth="1" outlineLevel="1"/>
    <col min="14" max="14" width="15.140625" customWidth="1"/>
    <col min="15" max="15" width="7.42578125" customWidth="1"/>
    <col min="16" max="16" width="12.85546875" bestFit="1" customWidth="1"/>
    <col min="17" max="17" width="12.42578125" bestFit="1" customWidth="1"/>
    <col min="18" max="18" width="13.42578125" bestFit="1" customWidth="1"/>
    <col min="19" max="19" width="63.7109375" customWidth="1"/>
    <col min="20" max="20" width="7.42578125" bestFit="1" customWidth="1"/>
    <col min="21" max="21" width="18.140625" bestFit="1" customWidth="1"/>
    <col min="22" max="22" width="29.140625" bestFit="1" customWidth="1"/>
    <col min="23" max="24" width="7.140625" bestFit="1" customWidth="1"/>
    <col min="25" max="25" width="11.28515625" customWidth="1"/>
    <col min="26" max="26" width="20.42578125" bestFit="1" customWidth="1"/>
    <col min="27" max="27" width="20.85546875" bestFit="1" customWidth="1"/>
    <col min="28" max="28" width="20.42578125" bestFit="1" customWidth="1"/>
    <col min="29" max="29" width="31.85546875" bestFit="1" customWidth="1"/>
    <col min="30" max="30" width="31.28515625" bestFit="1" customWidth="1"/>
    <col min="31" max="31" width="25.85546875" bestFit="1" customWidth="1"/>
    <col min="32" max="32" width="25.42578125" bestFit="1" customWidth="1"/>
  </cols>
  <sheetData>
    <row r="1" spans="1:14" s="25" customFormat="1" ht="92.25" customHeight="1" x14ac:dyDescent="0.25">
      <c r="A1" s="353" t="s">
        <v>0</v>
      </c>
      <c r="B1" s="25" t="s">
        <v>1</v>
      </c>
      <c r="C1" s="154" t="s">
        <v>2</v>
      </c>
      <c r="D1" s="25" t="s">
        <v>3</v>
      </c>
      <c r="E1" s="25" t="s">
        <v>4</v>
      </c>
      <c r="F1" s="37" t="s">
        <v>5</v>
      </c>
      <c r="G1" s="37" t="s">
        <v>6</v>
      </c>
      <c r="H1" s="52" t="s">
        <v>7</v>
      </c>
      <c r="I1" s="52" t="s">
        <v>8</v>
      </c>
      <c r="J1" s="41" t="s">
        <v>9</v>
      </c>
      <c r="K1" s="56" t="s">
        <v>10</v>
      </c>
      <c r="L1" s="35" t="s">
        <v>11</v>
      </c>
      <c r="M1" s="260" t="s">
        <v>343</v>
      </c>
      <c r="N1" s="25" t="s">
        <v>162</v>
      </c>
    </row>
    <row r="2" spans="1:14" s="1" customFormat="1" x14ac:dyDescent="0.25">
      <c r="A2" s="354">
        <v>45964</v>
      </c>
      <c r="B2" s="38" t="s">
        <v>12</v>
      </c>
      <c r="C2" s="155" t="s">
        <v>13</v>
      </c>
      <c r="D2" s="39" t="s">
        <v>14</v>
      </c>
      <c r="E2" s="60" t="s">
        <v>15</v>
      </c>
      <c r="F2" s="28">
        <v>0</v>
      </c>
      <c r="G2" s="28">
        <v>1100</v>
      </c>
      <c r="H2" s="53">
        <f>IF(Tabla1[[#This Row],[Codigo_actividad]]&lt;&gt;2.5,IF(((Tabla1[[#This Row],[fin]]-Tabla1[[#This Row],[inicio]])/1000)=0,"",((Tabla1[[#This Row],[fin]]-Tabla1[[#This Row],[inicio]])/1000)),"")</f>
        <v>1.1000000000000001</v>
      </c>
      <c r="I2" s="57"/>
      <c r="J2" s="24">
        <v>2.6</v>
      </c>
      <c r="K2" s="57" t="str">
        <f>IF(_xlfn.XLOOKUP($J2,Catalogo!$B$7:$B$210,Catalogo!$I$7:$I$210,"",0)=0,"",_xlfn.XLOOKUP($J2,Catalogo!$B$7:$B$210,Catalogo!$I$7:$I$210,"",0))</f>
        <v>Localizacion</v>
      </c>
      <c r="L2" s="36">
        <v>31.54</v>
      </c>
      <c r="M2" s="261">
        <f>IF(Tabla1[[#This Row],[Avance_km]]&lt;&gt;"",Tabla1[[#This Row],[Avance_km]],Tabla1[[#This Row],[Avance_Med]])*_xlfn.XLOOKUP(Tabla1[[#This Row],[Codigo_actividad]],Catalogo!$B$6:$B$51,Catalogo!$F$6:$F$51,0)</f>
        <v>2483.1620000000003</v>
      </c>
    </row>
    <row r="3" spans="1:14" x14ac:dyDescent="0.25">
      <c r="A3" s="354">
        <v>45965</v>
      </c>
      <c r="B3" s="38" t="s">
        <v>12</v>
      </c>
      <c r="C3" s="155" t="s">
        <v>13</v>
      </c>
      <c r="D3" s="39" t="s">
        <v>14</v>
      </c>
      <c r="E3" s="60" t="s">
        <v>16</v>
      </c>
      <c r="F3" s="28">
        <v>1100</v>
      </c>
      <c r="G3" s="28">
        <v>4000</v>
      </c>
      <c r="H3" s="53">
        <f>IF(Tabla1[[#This Row],[Codigo_actividad]]&lt;&gt;2.5,IF(((Tabla1[[#This Row],[fin]]-Tabla1[[#This Row],[inicio]])/1000)=0,"",((Tabla1[[#This Row],[fin]]-Tabla1[[#This Row],[inicio]])/1000)),"")</f>
        <v>2.9</v>
      </c>
      <c r="I3" s="57"/>
      <c r="J3" s="24">
        <v>2.6</v>
      </c>
      <c r="K3" s="57" t="str">
        <f>IF(_xlfn.XLOOKUP($J3,Catalogo!$B$7:$B$210,Catalogo!$I$7:$I$210,"",0)=0,"",_xlfn.XLOOKUP($J3,Catalogo!$B$7:$B$210,Catalogo!$I$7:$I$210,"",0))</f>
        <v>Localizacion</v>
      </c>
      <c r="L3" s="36">
        <v>31.54</v>
      </c>
      <c r="M3" s="261">
        <f>IF(Tabla1[[#This Row],[Avance_km]]&lt;&gt;"",Tabla1[[#This Row],[Avance_km]],Tabla1[[#This Row],[Avance_Med]])*_xlfn.XLOOKUP(Tabla1[[#This Row],[Codigo_actividad]],Catalogo!$B$6:$B$51,Catalogo!$F$6:$F$51,0)</f>
        <v>6546.518</v>
      </c>
    </row>
    <row r="4" spans="1:14" x14ac:dyDescent="0.25">
      <c r="A4" s="354">
        <v>45966</v>
      </c>
      <c r="B4" s="38" t="s">
        <v>12</v>
      </c>
      <c r="C4" s="155" t="s">
        <v>13</v>
      </c>
      <c r="D4" s="39" t="s">
        <v>14</v>
      </c>
      <c r="E4" s="60" t="s">
        <v>16</v>
      </c>
      <c r="F4" s="28">
        <v>4000</v>
      </c>
      <c r="G4" s="28">
        <v>8000</v>
      </c>
      <c r="H4" s="53">
        <f>IF(Tabla1[[#This Row],[Codigo_actividad]]&lt;&gt;2.5,IF(((Tabla1[[#This Row],[fin]]-Tabla1[[#This Row],[inicio]])/1000)=0,"",((Tabla1[[#This Row],[fin]]-Tabla1[[#This Row],[inicio]])/1000)),"")</f>
        <v>4</v>
      </c>
      <c r="I4" s="57"/>
      <c r="J4" s="24">
        <v>2.6</v>
      </c>
      <c r="K4" s="57" t="str">
        <f>IF(_xlfn.XLOOKUP($J4,Catalogo!$B$7:$B$210,Catalogo!$I$7:$I$210,"",0)=0,"",_xlfn.XLOOKUP($J4,Catalogo!$B$7:$B$210,Catalogo!$I$7:$I$210,"",0))</f>
        <v>Localizacion</v>
      </c>
      <c r="L4" s="36">
        <v>31.54</v>
      </c>
      <c r="M4" s="261">
        <f>IF(Tabla1[[#This Row],[Avance_km]]&lt;&gt;"",Tabla1[[#This Row],[Avance_km]],Tabla1[[#This Row],[Avance_Med]])*_xlfn.XLOOKUP(Tabla1[[#This Row],[Codigo_actividad]],Catalogo!$B$6:$B$51,Catalogo!$F$6:$F$51,0)</f>
        <v>9029.68</v>
      </c>
    </row>
    <row r="5" spans="1:14" x14ac:dyDescent="0.25">
      <c r="A5" s="354">
        <v>45967</v>
      </c>
      <c r="B5" s="38" t="s">
        <v>12</v>
      </c>
      <c r="C5" s="155" t="s">
        <v>13</v>
      </c>
      <c r="D5" s="39" t="s">
        <v>14</v>
      </c>
      <c r="E5" s="60" t="s">
        <v>16</v>
      </c>
      <c r="F5" s="28">
        <v>8000</v>
      </c>
      <c r="G5" s="28">
        <v>13500</v>
      </c>
      <c r="H5" s="53">
        <f>IF(Tabla1[[#This Row],[Codigo_actividad]]&lt;&gt;2.5,IF(((Tabla1[[#This Row],[fin]]-Tabla1[[#This Row],[inicio]])/1000)=0,"",((Tabla1[[#This Row],[fin]]-Tabla1[[#This Row],[inicio]])/1000)),"")</f>
        <v>5.5</v>
      </c>
      <c r="I5" s="57"/>
      <c r="J5" s="24">
        <v>2.6</v>
      </c>
      <c r="K5" s="57" t="str">
        <f>IF(_xlfn.XLOOKUP($J5,Catalogo!$B$7:$B$210,Catalogo!$I$7:$I$210,"",0)=0,"",_xlfn.XLOOKUP($J5,Catalogo!$B$7:$B$210,Catalogo!$I$7:$I$210,"",0))</f>
        <v>Localizacion</v>
      </c>
      <c r="L5" s="36">
        <v>31.54</v>
      </c>
      <c r="M5" s="261">
        <f>IF(Tabla1[[#This Row],[Avance_km]]&lt;&gt;"",Tabla1[[#This Row],[Avance_km]],Tabla1[[#This Row],[Avance_Med]])*_xlfn.XLOOKUP(Tabla1[[#This Row],[Codigo_actividad]],Catalogo!$B$6:$B$51,Catalogo!$F$6:$F$51,0)</f>
        <v>12415.810000000001</v>
      </c>
    </row>
    <row r="6" spans="1:14" x14ac:dyDescent="0.25">
      <c r="A6" s="354">
        <v>45968</v>
      </c>
      <c r="B6" s="38" t="s">
        <v>12</v>
      </c>
      <c r="C6" s="155" t="s">
        <v>13</v>
      </c>
      <c r="D6" s="39" t="s">
        <v>14</v>
      </c>
      <c r="E6" s="60" t="s">
        <v>16</v>
      </c>
      <c r="F6" s="28">
        <v>13500</v>
      </c>
      <c r="G6" s="28">
        <v>17500</v>
      </c>
      <c r="H6" s="53">
        <f>IF(Tabla1[[#This Row],[Codigo_actividad]]&lt;&gt;2.5,IF(((Tabla1[[#This Row],[fin]]-Tabla1[[#This Row],[inicio]])/1000)=0,"",((Tabla1[[#This Row],[fin]]-Tabla1[[#This Row],[inicio]])/1000)),"")</f>
        <v>4</v>
      </c>
      <c r="I6" s="57"/>
      <c r="J6" s="24">
        <v>2.6</v>
      </c>
      <c r="K6" s="57" t="str">
        <f>IF(_xlfn.XLOOKUP($J6,Catalogo!$B$7:$B$210,Catalogo!$I$7:$I$210,"",0)=0,"",_xlfn.XLOOKUP($J6,Catalogo!$B$7:$B$210,Catalogo!$I$7:$I$210,"",0))</f>
        <v>Localizacion</v>
      </c>
      <c r="L6" s="36">
        <v>31.54</v>
      </c>
      <c r="M6" s="261">
        <f>IF(Tabla1[[#This Row],[Avance_km]]&lt;&gt;"",Tabla1[[#This Row],[Avance_km]],Tabla1[[#This Row],[Avance_Med]])*_xlfn.XLOOKUP(Tabla1[[#This Row],[Codigo_actividad]],Catalogo!$B$6:$B$51,Catalogo!$F$6:$F$51,0)</f>
        <v>9029.68</v>
      </c>
    </row>
    <row r="7" spans="1:14" x14ac:dyDescent="0.25">
      <c r="A7" s="354">
        <v>45969</v>
      </c>
      <c r="B7" s="38" t="s">
        <v>12</v>
      </c>
      <c r="C7" s="155" t="s">
        <v>13</v>
      </c>
      <c r="D7" s="39" t="s">
        <v>14</v>
      </c>
      <c r="E7" s="60" t="s">
        <v>16</v>
      </c>
      <c r="F7" s="28">
        <v>17500</v>
      </c>
      <c r="G7" s="28">
        <v>20500</v>
      </c>
      <c r="H7" s="53">
        <f>IF(Tabla1[[#This Row],[Codigo_actividad]]&lt;&gt;2.5,IF(((Tabla1[[#This Row],[fin]]-Tabla1[[#This Row],[inicio]])/1000)=0,"",((Tabla1[[#This Row],[fin]]-Tabla1[[#This Row],[inicio]])/1000)),"")</f>
        <v>3</v>
      </c>
      <c r="I7" s="57"/>
      <c r="J7" s="24">
        <v>2.6</v>
      </c>
      <c r="K7" s="57" t="str">
        <f>IF(_xlfn.XLOOKUP($J7,Catalogo!$B$7:$B$210,Catalogo!$I$7:$I$210,"",0)=0,"",_xlfn.XLOOKUP($J7,Catalogo!$B$7:$B$210,Catalogo!$I$7:$I$210,"",0))</f>
        <v>Localizacion</v>
      </c>
      <c r="L7" s="36">
        <v>31.54</v>
      </c>
      <c r="M7" s="261">
        <f>IF(Tabla1[[#This Row],[Avance_km]]&lt;&gt;"",Tabla1[[#This Row],[Avance_km]],Tabla1[[#This Row],[Avance_Med]])*_xlfn.XLOOKUP(Tabla1[[#This Row],[Codigo_actividad]],Catalogo!$B$6:$B$51,Catalogo!$F$6:$F$51,0)</f>
        <v>6772.26</v>
      </c>
    </row>
    <row r="8" spans="1:14" x14ac:dyDescent="0.25">
      <c r="A8" s="354">
        <v>45971</v>
      </c>
      <c r="B8" s="38" t="s">
        <v>12</v>
      </c>
      <c r="C8" s="155" t="s">
        <v>13</v>
      </c>
      <c r="D8" s="39" t="s">
        <v>14</v>
      </c>
      <c r="E8" s="60" t="s">
        <v>16</v>
      </c>
      <c r="F8" s="28">
        <v>20500</v>
      </c>
      <c r="G8" s="28">
        <v>26000</v>
      </c>
      <c r="H8" s="53">
        <f>IF(Tabla1[[#This Row],[Codigo_actividad]]&lt;&gt;2.5,IF(((Tabla1[[#This Row],[fin]]-Tabla1[[#This Row],[inicio]])/1000)=0,"",((Tabla1[[#This Row],[fin]]-Tabla1[[#This Row],[inicio]])/1000)),"")</f>
        <v>5.5</v>
      </c>
      <c r="I8" s="57"/>
      <c r="J8" s="24">
        <v>2.6</v>
      </c>
      <c r="K8" s="57" t="str">
        <f>IF(_xlfn.XLOOKUP($J8,Catalogo!$B$7:$B$210,Catalogo!$I$7:$I$210,"",0)=0,"",_xlfn.XLOOKUP($J8,Catalogo!$B$7:$B$210,Catalogo!$I$7:$I$210,"",0))</f>
        <v>Localizacion</v>
      </c>
      <c r="L8" s="36">
        <v>31.54</v>
      </c>
      <c r="M8" s="261">
        <f>IF(Tabla1[[#This Row],[Avance_km]]&lt;&gt;"",Tabla1[[#This Row],[Avance_km]],Tabla1[[#This Row],[Avance_Med]])*_xlfn.XLOOKUP(Tabla1[[#This Row],[Codigo_actividad]],Catalogo!$B$6:$B$51,Catalogo!$F$6:$F$51,0)</f>
        <v>12415.810000000001</v>
      </c>
    </row>
    <row r="9" spans="1:14" x14ac:dyDescent="0.25">
      <c r="A9" s="354">
        <v>45972</v>
      </c>
      <c r="B9" s="38" t="s">
        <v>12</v>
      </c>
      <c r="C9" s="155" t="s">
        <v>13</v>
      </c>
      <c r="D9" s="39" t="s">
        <v>14</v>
      </c>
      <c r="E9" s="60" t="s">
        <v>16</v>
      </c>
      <c r="F9" s="28">
        <v>26000</v>
      </c>
      <c r="G9" s="28">
        <v>31540</v>
      </c>
      <c r="H9" s="53">
        <f>IF(Tabla1[[#This Row],[Codigo_actividad]]&lt;&gt;2.5,IF(((Tabla1[[#This Row],[fin]]-Tabla1[[#This Row],[inicio]])/1000)=0,"",((Tabla1[[#This Row],[fin]]-Tabla1[[#This Row],[inicio]])/1000)),"")</f>
        <v>5.54</v>
      </c>
      <c r="I9" s="57"/>
      <c r="J9" s="24">
        <v>2.6</v>
      </c>
      <c r="K9" s="57" t="str">
        <f>IF(_xlfn.XLOOKUP($J9,Catalogo!$B$7:$B$210,Catalogo!$I$7:$I$210,"",0)=0,"",_xlfn.XLOOKUP($J9,Catalogo!$B$7:$B$210,Catalogo!$I$7:$I$210,"",0))</f>
        <v>Localizacion</v>
      </c>
      <c r="L9" s="36">
        <v>31.54</v>
      </c>
      <c r="M9" s="261">
        <f>IF(Tabla1[[#This Row],[Avance_km]]&lt;&gt;"",Tabla1[[#This Row],[Avance_km]],Tabla1[[#This Row],[Avance_Med]])*_xlfn.XLOOKUP(Tabla1[[#This Row],[Codigo_actividad]],Catalogo!$B$6:$B$51,Catalogo!$F$6:$F$51,0)</f>
        <v>12506.106800000001</v>
      </c>
    </row>
    <row r="10" spans="1:14" x14ac:dyDescent="0.25">
      <c r="A10" s="354">
        <v>45973</v>
      </c>
      <c r="B10" s="38" t="s">
        <v>12</v>
      </c>
      <c r="C10" s="155" t="s">
        <v>13</v>
      </c>
      <c r="D10" s="39" t="s">
        <v>17</v>
      </c>
      <c r="E10" s="60" t="s">
        <v>16</v>
      </c>
      <c r="F10" s="28">
        <v>0</v>
      </c>
      <c r="G10" s="28">
        <v>1982</v>
      </c>
      <c r="H10" s="53">
        <f>IF(Tabla1[[#This Row],[Codigo_actividad]]&lt;&gt;2.5,IF(((Tabla1[[#This Row],[fin]]-Tabla1[[#This Row],[inicio]])/1000)=0,"",((Tabla1[[#This Row],[fin]]-Tabla1[[#This Row],[inicio]])/1000)),"")</f>
        <v>1.982</v>
      </c>
      <c r="I10" s="57"/>
      <c r="J10" s="24">
        <v>2.6</v>
      </c>
      <c r="K10" s="57" t="str">
        <f>IF(_xlfn.XLOOKUP($J10,Catalogo!$B$7:$B$210,Catalogo!$I$7:$I$210,"",0)=0,"",_xlfn.XLOOKUP($J10,Catalogo!$B$7:$B$210,Catalogo!$I$7:$I$210,"",0))</f>
        <v>Localizacion</v>
      </c>
      <c r="L10" s="36">
        <v>1.982</v>
      </c>
      <c r="M10" s="261">
        <f>IF(Tabla1[[#This Row],[Avance_km]]&lt;&gt;"",Tabla1[[#This Row],[Avance_km]],Tabla1[[#This Row],[Avance_Med]])*_xlfn.XLOOKUP(Tabla1[[#This Row],[Codigo_actividad]],Catalogo!$B$6:$B$51,Catalogo!$F$6:$F$51,0)</f>
        <v>4474.2064399999999</v>
      </c>
    </row>
    <row r="11" spans="1:14" x14ac:dyDescent="0.25">
      <c r="A11" s="354">
        <v>45973</v>
      </c>
      <c r="B11" s="38" t="s">
        <v>12</v>
      </c>
      <c r="C11" s="155" t="s">
        <v>13</v>
      </c>
      <c r="D11" s="39" t="s">
        <v>18</v>
      </c>
      <c r="E11" s="60" t="s">
        <v>16</v>
      </c>
      <c r="F11" s="28">
        <v>0</v>
      </c>
      <c r="G11" s="28">
        <v>175</v>
      </c>
      <c r="H11" s="53">
        <f>IF(Tabla1[[#This Row],[Codigo_actividad]]&lt;&gt;2.5,IF(((Tabla1[[#This Row],[fin]]-Tabla1[[#This Row],[inicio]])/1000)=0,"",((Tabla1[[#This Row],[fin]]-Tabla1[[#This Row],[inicio]])/1000)),"")</f>
        <v>0.17499999999999999</v>
      </c>
      <c r="I11" s="57"/>
      <c r="J11" s="24">
        <v>2.6</v>
      </c>
      <c r="K11" s="57" t="str">
        <f>IF(_xlfn.XLOOKUP($J11,Catalogo!$B$7:$B$210,Catalogo!$I$7:$I$210,"",0)=0,"",_xlfn.XLOOKUP($J11,Catalogo!$B$7:$B$210,Catalogo!$I$7:$I$210,"",0))</f>
        <v>Localizacion</v>
      </c>
      <c r="L11" s="36">
        <v>0.17499999999999999</v>
      </c>
      <c r="M11" s="261">
        <f>IF(Tabla1[[#This Row],[Avance_km]]&lt;&gt;"",Tabla1[[#This Row],[Avance_km]],Tabla1[[#This Row],[Avance_Med]])*_xlfn.XLOOKUP(Tabla1[[#This Row],[Codigo_actividad]],Catalogo!$B$6:$B$51,Catalogo!$F$6:$F$51,0)</f>
        <v>395.04849999999999</v>
      </c>
    </row>
    <row r="12" spans="1:14" x14ac:dyDescent="0.25">
      <c r="A12" s="354">
        <v>45973</v>
      </c>
      <c r="B12" s="38" t="s">
        <v>12</v>
      </c>
      <c r="C12" s="155" t="s">
        <v>13</v>
      </c>
      <c r="D12" s="39" t="s">
        <v>19</v>
      </c>
      <c r="E12" s="60" t="s">
        <v>16</v>
      </c>
      <c r="F12" s="28">
        <v>0</v>
      </c>
      <c r="G12" s="28">
        <v>15</v>
      </c>
      <c r="H12" s="53">
        <f>IF(Tabla1[[#This Row],[Codigo_actividad]]&lt;&gt;2.5,IF(((Tabla1[[#This Row],[fin]]-Tabla1[[#This Row],[inicio]])/1000)=0,"",((Tabla1[[#This Row],[fin]]-Tabla1[[#This Row],[inicio]])/1000)),"")</f>
        <v>1.4999999999999999E-2</v>
      </c>
      <c r="I12" s="57"/>
      <c r="J12" s="24">
        <v>2.6</v>
      </c>
      <c r="K12" s="57" t="str">
        <f>IF(_xlfn.XLOOKUP($J12,Catalogo!$B$7:$B$210,Catalogo!$I$7:$I$210,"",0)=0,"",_xlfn.XLOOKUP($J12,Catalogo!$B$7:$B$210,Catalogo!$I$7:$I$210,"",0))</f>
        <v>Localizacion</v>
      </c>
      <c r="L12" s="36">
        <v>1.4999999999999999E-2</v>
      </c>
      <c r="M12" s="261">
        <f>IF(Tabla1[[#This Row],[Avance_km]]&lt;&gt;"",Tabla1[[#This Row],[Avance_km]],Tabla1[[#This Row],[Avance_Med]])*_xlfn.XLOOKUP(Tabla1[[#This Row],[Codigo_actividad]],Catalogo!$B$6:$B$51,Catalogo!$F$6:$F$51,0)</f>
        <v>33.8613</v>
      </c>
    </row>
    <row r="13" spans="1:14" x14ac:dyDescent="0.25">
      <c r="A13" s="354">
        <v>45973</v>
      </c>
      <c r="B13" s="38" t="s">
        <v>12</v>
      </c>
      <c r="C13" s="155" t="s">
        <v>13</v>
      </c>
      <c r="D13" s="39" t="s">
        <v>20</v>
      </c>
      <c r="E13" s="60" t="s">
        <v>16</v>
      </c>
      <c r="F13" s="28">
        <v>0</v>
      </c>
      <c r="G13" s="28">
        <v>1020</v>
      </c>
      <c r="H13" s="53">
        <f>IF(Tabla1[[#This Row],[Codigo_actividad]]&lt;&gt;2.5,IF(((Tabla1[[#This Row],[fin]]-Tabla1[[#This Row],[inicio]])/1000)=0,"",((Tabla1[[#This Row],[fin]]-Tabla1[[#This Row],[inicio]])/1000)),"")</f>
        <v>1.02</v>
      </c>
      <c r="I13" s="57"/>
      <c r="J13" s="24">
        <v>2.6</v>
      </c>
      <c r="K13" s="57" t="str">
        <f>IF(_xlfn.XLOOKUP($J13,Catalogo!$B$7:$B$210,Catalogo!$I$7:$I$210,"",0)=0,"",_xlfn.XLOOKUP($J13,Catalogo!$B$7:$B$210,Catalogo!$I$7:$I$210,"",0))</f>
        <v>Localizacion</v>
      </c>
      <c r="L13" s="36">
        <v>1.02</v>
      </c>
      <c r="M13" s="261">
        <f>IF(Tabla1[[#This Row],[Avance_km]]&lt;&gt;"",Tabla1[[#This Row],[Avance_km]],Tabla1[[#This Row],[Avance_Med]])*_xlfn.XLOOKUP(Tabla1[[#This Row],[Codigo_actividad]],Catalogo!$B$6:$B$51,Catalogo!$F$6:$F$51,0)</f>
        <v>2302.5684000000001</v>
      </c>
    </row>
    <row r="14" spans="1:14" x14ac:dyDescent="0.25">
      <c r="A14" s="354">
        <v>45973</v>
      </c>
      <c r="B14" s="38" t="s">
        <v>12</v>
      </c>
      <c r="C14" s="155" t="s">
        <v>13</v>
      </c>
      <c r="D14" s="39" t="s">
        <v>21</v>
      </c>
      <c r="E14" s="60" t="s">
        <v>16</v>
      </c>
      <c r="F14" s="28">
        <v>0</v>
      </c>
      <c r="G14" s="28">
        <v>1055</v>
      </c>
      <c r="H14" s="53">
        <f>IF(Tabla1[[#This Row],[Codigo_actividad]]&lt;&gt;2.5,IF(((Tabla1[[#This Row],[fin]]-Tabla1[[#This Row],[inicio]])/1000)=0,"",((Tabla1[[#This Row],[fin]]-Tabla1[[#This Row],[inicio]])/1000)),"")</f>
        <v>1.0549999999999999</v>
      </c>
      <c r="I14" s="57"/>
      <c r="J14" s="24">
        <v>2.6</v>
      </c>
      <c r="K14" s="57" t="str">
        <f>IF(_xlfn.XLOOKUP($J14,Catalogo!$B$7:$B$210,Catalogo!$I$7:$I$210,"",0)=0,"",_xlfn.XLOOKUP($J14,Catalogo!$B$7:$B$210,Catalogo!$I$7:$I$210,"",0))</f>
        <v>Localizacion</v>
      </c>
      <c r="L14" s="36">
        <v>1.0549999999999999</v>
      </c>
      <c r="M14" s="261">
        <f>IF(Tabla1[[#This Row],[Avance_km]]&lt;&gt;"",Tabla1[[#This Row],[Avance_km]],Tabla1[[#This Row],[Avance_Med]])*_xlfn.XLOOKUP(Tabla1[[#This Row],[Codigo_actividad]],Catalogo!$B$6:$B$51,Catalogo!$F$6:$F$51,0)</f>
        <v>2381.5780999999997</v>
      </c>
    </row>
    <row r="15" spans="1:14" x14ac:dyDescent="0.25">
      <c r="A15" s="354">
        <v>45974</v>
      </c>
      <c r="B15" s="38" t="s">
        <v>12</v>
      </c>
      <c r="C15" s="155" t="s">
        <v>22</v>
      </c>
      <c r="D15" s="39" t="s">
        <v>23</v>
      </c>
      <c r="E15" s="60" t="s">
        <v>16</v>
      </c>
      <c r="F15" s="28">
        <v>0</v>
      </c>
      <c r="G15" s="28">
        <v>2200</v>
      </c>
      <c r="H15" s="53">
        <f>IF(Tabla1[[#This Row],[Codigo_actividad]]&lt;&gt;2.5,IF(((Tabla1[[#This Row],[fin]]-Tabla1[[#This Row],[inicio]])/1000)=0,"",((Tabla1[[#This Row],[fin]]-Tabla1[[#This Row],[inicio]])/1000)),"")</f>
        <v>2.2000000000000002</v>
      </c>
      <c r="I15" s="57"/>
      <c r="J15" s="24">
        <v>2.6</v>
      </c>
      <c r="K15" s="57" t="str">
        <f>IF(_xlfn.XLOOKUP($J15,Catalogo!$B$7:$B$210,Catalogo!$I$7:$I$210,"",0)=0,"",_xlfn.XLOOKUP($J15,Catalogo!$B$7:$B$210,Catalogo!$I$7:$I$210,"",0))</f>
        <v>Localizacion</v>
      </c>
      <c r="L15" s="36">
        <v>2.2000000000000002</v>
      </c>
      <c r="M15" s="261">
        <f>IF(Tabla1[[#This Row],[Avance_km]]&lt;&gt;"",Tabla1[[#This Row],[Avance_km]],Tabla1[[#This Row],[Avance_Med]])*_xlfn.XLOOKUP(Tabla1[[#This Row],[Codigo_actividad]],Catalogo!$B$6:$B$51,Catalogo!$F$6:$F$51,0)</f>
        <v>4966.3240000000005</v>
      </c>
    </row>
    <row r="16" spans="1:14" x14ac:dyDescent="0.25">
      <c r="A16" s="354">
        <v>45974</v>
      </c>
      <c r="B16" s="38" t="s">
        <v>12</v>
      </c>
      <c r="C16" s="155" t="s">
        <v>22</v>
      </c>
      <c r="D16" s="39" t="s">
        <v>24</v>
      </c>
      <c r="E16" s="60" t="s">
        <v>16</v>
      </c>
      <c r="F16" s="28">
        <v>0</v>
      </c>
      <c r="G16" s="28">
        <v>2576</v>
      </c>
      <c r="H16" s="53">
        <f>IF(Tabla1[[#This Row],[Codigo_actividad]]&lt;&gt;2.5,IF(((Tabla1[[#This Row],[fin]]-Tabla1[[#This Row],[inicio]])/1000)=0,"",((Tabla1[[#This Row],[fin]]-Tabla1[[#This Row],[inicio]])/1000)),"")</f>
        <v>2.5760000000000001</v>
      </c>
      <c r="I16" s="57"/>
      <c r="J16" s="24">
        <v>2.6</v>
      </c>
      <c r="K16" s="57" t="str">
        <f>IF(_xlfn.XLOOKUP($J16,Catalogo!$B$7:$B$210,Catalogo!$I$7:$I$210,"",0)=0,"",_xlfn.XLOOKUP($J16,Catalogo!$B$7:$B$210,Catalogo!$I$7:$I$210,"",0))</f>
        <v>Localizacion</v>
      </c>
      <c r="L16" s="36">
        <v>2.5760000000000001</v>
      </c>
      <c r="M16" s="261">
        <f>IF(Tabla1[[#This Row],[Avance_km]]&lt;&gt;"",Tabla1[[#This Row],[Avance_km]],Tabla1[[#This Row],[Avance_Med]])*_xlfn.XLOOKUP(Tabla1[[#This Row],[Codigo_actividad]],Catalogo!$B$6:$B$51,Catalogo!$F$6:$F$51,0)</f>
        <v>5815.1139200000007</v>
      </c>
    </row>
    <row r="17" spans="1:13" x14ac:dyDescent="0.25">
      <c r="A17" s="354">
        <v>45974</v>
      </c>
      <c r="B17" s="38" t="s">
        <v>12</v>
      </c>
      <c r="C17" s="155" t="s">
        <v>22</v>
      </c>
      <c r="D17" s="39" t="s">
        <v>25</v>
      </c>
      <c r="E17" s="60" t="s">
        <v>16</v>
      </c>
      <c r="F17" s="28">
        <v>0</v>
      </c>
      <c r="G17" s="28">
        <v>125</v>
      </c>
      <c r="H17" s="53">
        <f>IF(Tabla1[[#This Row],[Codigo_actividad]]&lt;&gt;2.5,IF(((Tabla1[[#This Row],[fin]]-Tabla1[[#This Row],[inicio]])/1000)=0,"",((Tabla1[[#This Row],[fin]]-Tabla1[[#This Row],[inicio]])/1000)),"")</f>
        <v>0.125</v>
      </c>
      <c r="I17" s="57"/>
      <c r="J17" s="24">
        <v>2.6</v>
      </c>
      <c r="K17" s="57" t="str">
        <f>IF(_xlfn.XLOOKUP($J17,Catalogo!$B$7:$B$210,Catalogo!$I$7:$I$210,"",0)=0,"",_xlfn.XLOOKUP($J17,Catalogo!$B$7:$B$210,Catalogo!$I$7:$I$210,"",0))</f>
        <v>Localizacion</v>
      </c>
      <c r="L17" s="36">
        <v>0.125</v>
      </c>
      <c r="M17" s="261">
        <f>IF(Tabla1[[#This Row],[Avance_km]]&lt;&gt;"",Tabla1[[#This Row],[Avance_km]],Tabla1[[#This Row],[Avance_Med]])*_xlfn.XLOOKUP(Tabla1[[#This Row],[Codigo_actividad]],Catalogo!$B$6:$B$51,Catalogo!$F$6:$F$51,0)</f>
        <v>282.17750000000001</v>
      </c>
    </row>
    <row r="18" spans="1:13" x14ac:dyDescent="0.25">
      <c r="A18" s="354">
        <v>45974</v>
      </c>
      <c r="B18" s="38" t="s">
        <v>12</v>
      </c>
      <c r="C18" s="155" t="s">
        <v>22</v>
      </c>
      <c r="D18" s="39" t="s">
        <v>357</v>
      </c>
      <c r="E18" s="60" t="s">
        <v>16</v>
      </c>
      <c r="F18" s="28">
        <v>0</v>
      </c>
      <c r="G18" s="28">
        <v>741</v>
      </c>
      <c r="H18" s="53">
        <f>IF(Tabla1[[#This Row],[Codigo_actividad]]&lt;&gt;2.5,IF(((Tabla1[[#This Row],[fin]]-Tabla1[[#This Row],[inicio]])/1000)=0,"",((Tabla1[[#This Row],[fin]]-Tabla1[[#This Row],[inicio]])/1000)),"")</f>
        <v>0.74099999999999999</v>
      </c>
      <c r="I18" s="57"/>
      <c r="J18" s="24">
        <v>2.6</v>
      </c>
      <c r="K18" s="57" t="str">
        <f>IF(_xlfn.XLOOKUP($J18,Catalogo!$B$7:$B$210,Catalogo!$I$7:$I$210,"",0)=0,"",_xlfn.XLOOKUP($J18,Catalogo!$B$7:$B$210,Catalogo!$I$7:$I$210,"",0))</f>
        <v>Localizacion</v>
      </c>
      <c r="L18" s="36">
        <v>0.74099999999999999</v>
      </c>
      <c r="M18" s="261">
        <f>IF(Tabla1[[#This Row],[Avance_km]]&lt;&gt;"",Tabla1[[#This Row],[Avance_km]],Tabla1[[#This Row],[Avance_Med]])*_xlfn.XLOOKUP(Tabla1[[#This Row],[Codigo_actividad]],Catalogo!$B$6:$B$51,Catalogo!$F$6:$F$51,0)</f>
        <v>1672.7482199999999</v>
      </c>
    </row>
    <row r="19" spans="1:13" x14ac:dyDescent="0.25">
      <c r="A19" s="354">
        <v>45975</v>
      </c>
      <c r="B19" s="38" t="s">
        <v>12</v>
      </c>
      <c r="C19" s="155" t="s">
        <v>22</v>
      </c>
      <c r="D19" s="39" t="s">
        <v>27</v>
      </c>
      <c r="E19" s="60" t="s">
        <v>16</v>
      </c>
      <c r="F19" s="28">
        <v>0</v>
      </c>
      <c r="G19" s="28">
        <v>6000</v>
      </c>
      <c r="H19" s="53">
        <f>IF(Tabla1[[#This Row],[Codigo_actividad]]&lt;&gt;2.5,IF(((Tabla1[[#This Row],[fin]]-Tabla1[[#This Row],[inicio]])/1000)=0,"",((Tabla1[[#This Row],[fin]]-Tabla1[[#This Row],[inicio]])/1000)),"")</f>
        <v>6</v>
      </c>
      <c r="I19" s="57"/>
      <c r="J19" s="24">
        <v>2.6</v>
      </c>
      <c r="K19" s="57" t="str">
        <f>IF(_xlfn.XLOOKUP($J19,Catalogo!$B$7:$B$210,Catalogo!$I$7:$I$210,"",0)=0,"",_xlfn.XLOOKUP($J19,Catalogo!$B$7:$B$210,Catalogo!$I$7:$I$210,"",0))</f>
        <v>Localizacion</v>
      </c>
      <c r="L19" s="36">
        <v>25.4</v>
      </c>
      <c r="M19" s="261">
        <f>IF(Tabla1[[#This Row],[Avance_km]]&lt;&gt;"",Tabla1[[#This Row],[Avance_km]],Tabla1[[#This Row],[Avance_Med]])*_xlfn.XLOOKUP(Tabla1[[#This Row],[Codigo_actividad]],Catalogo!$B$6:$B$51,Catalogo!$F$6:$F$51,0)</f>
        <v>13544.52</v>
      </c>
    </row>
    <row r="20" spans="1:13" x14ac:dyDescent="0.25">
      <c r="A20" s="354">
        <v>45976</v>
      </c>
      <c r="B20" s="38" t="s">
        <v>12</v>
      </c>
      <c r="C20" s="155" t="s">
        <v>22</v>
      </c>
      <c r="D20" s="39" t="s">
        <v>27</v>
      </c>
      <c r="E20" s="60" t="s">
        <v>16</v>
      </c>
      <c r="F20" s="28">
        <v>6000</v>
      </c>
      <c r="G20" s="28">
        <v>11000</v>
      </c>
      <c r="H20" s="53">
        <f>IF(Tabla1[[#This Row],[Codigo_actividad]]&lt;&gt;2.5,IF(((Tabla1[[#This Row],[fin]]-Tabla1[[#This Row],[inicio]])/1000)=0,"",((Tabla1[[#This Row],[fin]]-Tabla1[[#This Row],[inicio]])/1000)),"")</f>
        <v>5</v>
      </c>
      <c r="I20" s="57"/>
      <c r="J20" s="24">
        <v>2.6</v>
      </c>
      <c r="K20" s="57" t="str">
        <f>IF(_xlfn.XLOOKUP($J20,Catalogo!$B$7:$B$210,Catalogo!$I$7:$I$210,"",0)=0,"",_xlfn.XLOOKUP($J20,Catalogo!$B$7:$B$210,Catalogo!$I$7:$I$210,"",0))</f>
        <v>Localizacion</v>
      </c>
      <c r="L20" s="36">
        <v>25.4</v>
      </c>
      <c r="M20" s="261">
        <f>IF(Tabla1[[#This Row],[Avance_km]]&lt;&gt;"",Tabla1[[#This Row],[Avance_km]],Tabla1[[#This Row],[Avance_Med]])*_xlfn.XLOOKUP(Tabla1[[#This Row],[Codigo_actividad]],Catalogo!$B$6:$B$51,Catalogo!$F$6:$F$51,0)</f>
        <v>11287.1</v>
      </c>
    </row>
    <row r="21" spans="1:13" x14ac:dyDescent="0.25">
      <c r="A21" s="354">
        <v>45977</v>
      </c>
      <c r="B21" s="38" t="s">
        <v>12</v>
      </c>
      <c r="C21" s="155" t="s">
        <v>22</v>
      </c>
      <c r="D21" s="39" t="s">
        <v>27</v>
      </c>
      <c r="E21" s="60" t="s">
        <v>16</v>
      </c>
      <c r="F21" s="28">
        <v>11000</v>
      </c>
      <c r="G21" s="28">
        <v>15000</v>
      </c>
      <c r="H21" s="53">
        <f>IF(Tabla1[[#This Row],[Codigo_actividad]]&lt;&gt;2.5,IF(((Tabla1[[#This Row],[fin]]-Tabla1[[#This Row],[inicio]])/1000)=0,"",((Tabla1[[#This Row],[fin]]-Tabla1[[#This Row],[inicio]])/1000)),"")</f>
        <v>4</v>
      </c>
      <c r="I21" s="57"/>
      <c r="J21" s="24">
        <v>2.6</v>
      </c>
      <c r="K21" s="57" t="str">
        <f>IF(_xlfn.XLOOKUP($J21,Catalogo!$B$7:$B$210,Catalogo!$I$7:$I$210,"",0)=0,"",_xlfn.XLOOKUP($J21,Catalogo!$B$7:$B$210,Catalogo!$I$7:$I$210,"",0))</f>
        <v>Localizacion</v>
      </c>
      <c r="L21" s="36">
        <v>25.4</v>
      </c>
      <c r="M21" s="261">
        <f>IF(Tabla1[[#This Row],[Avance_km]]&lt;&gt;"",Tabla1[[#This Row],[Avance_km]],Tabla1[[#This Row],[Avance_Med]])*_xlfn.XLOOKUP(Tabla1[[#This Row],[Codigo_actividad]],Catalogo!$B$6:$B$51,Catalogo!$F$6:$F$51,0)</f>
        <v>9029.68</v>
      </c>
    </row>
    <row r="22" spans="1:13" x14ac:dyDescent="0.25">
      <c r="A22" s="354">
        <v>45978</v>
      </c>
      <c r="B22" s="38" t="s">
        <v>12</v>
      </c>
      <c r="C22" s="155" t="s">
        <v>13</v>
      </c>
      <c r="D22" s="39" t="s">
        <v>14</v>
      </c>
      <c r="E22" s="60" t="s">
        <v>28</v>
      </c>
      <c r="F22" s="28">
        <v>0</v>
      </c>
      <c r="G22" s="28">
        <v>5000</v>
      </c>
      <c r="H22" s="53">
        <f>IF(Tabla1[[#This Row],[Codigo_actividad]]&lt;&gt;2.5,IF(((Tabla1[[#This Row],[fin]]-Tabla1[[#This Row],[inicio]])/1000)=0,"",((Tabla1[[#This Row],[fin]]-Tabla1[[#This Row],[inicio]])/1000)),"")</f>
        <v>5</v>
      </c>
      <c r="I22" s="57"/>
      <c r="J22" s="24">
        <v>2.1</v>
      </c>
      <c r="K22" s="57" t="str">
        <f>IF(_xlfn.XLOOKUP($J22,Catalogo!$B$7:$B$210,Catalogo!$I$7:$I$210,"",0)=0,"",_xlfn.XLOOKUP($J22,Catalogo!$B$7:$B$210,Catalogo!$I$7:$I$210,"",0))</f>
        <v>CIPS</v>
      </c>
      <c r="L22" s="36">
        <v>31.54</v>
      </c>
      <c r="M22" s="261">
        <f>IF(Tabla1[[#This Row],[Avance_km]]&lt;&gt;"",Tabla1[[#This Row],[Avance_km]],Tabla1[[#This Row],[Avance_Med]])*_xlfn.XLOOKUP(Tabla1[[#This Row],[Codigo_actividad]],Catalogo!$B$6:$B$51,Catalogo!$F$6:$F$51,0)</f>
        <v>72607.05</v>
      </c>
    </row>
    <row r="23" spans="1:13" x14ac:dyDescent="0.25">
      <c r="A23" s="354">
        <v>45979</v>
      </c>
      <c r="B23" s="38" t="s">
        <v>12</v>
      </c>
      <c r="C23" s="155" t="s">
        <v>13</v>
      </c>
      <c r="D23" s="39" t="s">
        <v>14</v>
      </c>
      <c r="E23" s="60" t="s">
        <v>28</v>
      </c>
      <c r="F23" s="28">
        <v>5000</v>
      </c>
      <c r="G23" s="28">
        <v>9000</v>
      </c>
      <c r="H23" s="53">
        <f>IF(Tabla1[[#This Row],[Codigo_actividad]]&lt;&gt;2.5,IF(((Tabla1[[#This Row],[fin]]-Tabla1[[#This Row],[inicio]])/1000)=0,"",((Tabla1[[#This Row],[fin]]-Tabla1[[#This Row],[inicio]])/1000)),"")</f>
        <v>4</v>
      </c>
      <c r="I23" s="57"/>
      <c r="J23" s="24">
        <v>2.1</v>
      </c>
      <c r="K23" s="57" t="str">
        <f>IF(_xlfn.XLOOKUP($J23,Catalogo!$B$7:$B$210,Catalogo!$I$7:$I$210,"",0)=0,"",_xlfn.XLOOKUP($J23,Catalogo!$B$7:$B$210,Catalogo!$I$7:$I$210,"",0))</f>
        <v>CIPS</v>
      </c>
      <c r="L23" s="36">
        <v>31.54</v>
      </c>
      <c r="M23" s="261">
        <f>IF(Tabla1[[#This Row],[Avance_km]]&lt;&gt;"",Tabla1[[#This Row],[Avance_km]],Tabla1[[#This Row],[Avance_Med]])*_xlfn.XLOOKUP(Tabla1[[#This Row],[Codigo_actividad]],Catalogo!$B$6:$B$51,Catalogo!$F$6:$F$51,0)</f>
        <v>58085.64</v>
      </c>
    </row>
    <row r="24" spans="1:13" x14ac:dyDescent="0.25">
      <c r="A24" s="354">
        <v>45980</v>
      </c>
      <c r="B24" s="38" t="s">
        <v>12</v>
      </c>
      <c r="C24" s="155" t="s">
        <v>13</v>
      </c>
      <c r="D24" s="39" t="s">
        <v>14</v>
      </c>
      <c r="E24" s="60" t="s">
        <v>28</v>
      </c>
      <c r="F24" s="28">
        <v>9000</v>
      </c>
      <c r="G24" s="28">
        <v>15000</v>
      </c>
      <c r="H24" s="53">
        <f>IF(Tabla1[[#This Row],[Codigo_actividad]]&lt;&gt;2.5,IF(((Tabla1[[#This Row],[fin]]-Tabla1[[#This Row],[inicio]])/1000)=0,"",((Tabla1[[#This Row],[fin]]-Tabla1[[#This Row],[inicio]])/1000)),"")</f>
        <v>6</v>
      </c>
      <c r="I24" s="57"/>
      <c r="J24" s="24">
        <v>2.1</v>
      </c>
      <c r="K24" s="57" t="str">
        <f>IF(_xlfn.XLOOKUP($J24,Catalogo!$B$7:$B$210,Catalogo!$I$7:$I$210,"",0)=0,"",_xlfn.XLOOKUP($J24,Catalogo!$B$7:$B$210,Catalogo!$I$7:$I$210,"",0))</f>
        <v>CIPS</v>
      </c>
      <c r="L24" s="36">
        <v>31.54</v>
      </c>
      <c r="M24" s="261">
        <f>IF(Tabla1[[#This Row],[Avance_km]]&lt;&gt;"",Tabla1[[#This Row],[Avance_km]],Tabla1[[#This Row],[Avance_Med]])*_xlfn.XLOOKUP(Tabla1[[#This Row],[Codigo_actividad]],Catalogo!$B$6:$B$51,Catalogo!$F$6:$F$51,0)</f>
        <v>87128.459999999992</v>
      </c>
    </row>
    <row r="25" spans="1:13" x14ac:dyDescent="0.25">
      <c r="A25" s="354">
        <v>45980</v>
      </c>
      <c r="B25" s="38" t="s">
        <v>29</v>
      </c>
      <c r="C25" s="155" t="s">
        <v>22</v>
      </c>
      <c r="D25" s="39" t="s">
        <v>27</v>
      </c>
      <c r="E25" s="60" t="s">
        <v>16</v>
      </c>
      <c r="F25" s="28">
        <v>15000</v>
      </c>
      <c r="G25" s="28">
        <v>18300</v>
      </c>
      <c r="H25" s="53">
        <f>IF(Tabla1[[#This Row],[Codigo_actividad]]&lt;&gt;2.5,IF(((Tabla1[[#This Row],[fin]]-Tabla1[[#This Row],[inicio]])/1000)=0,"",((Tabla1[[#This Row],[fin]]-Tabla1[[#This Row],[inicio]])/1000)),"")</f>
        <v>3.3</v>
      </c>
      <c r="I25" s="57"/>
      <c r="J25" s="24">
        <v>2.6</v>
      </c>
      <c r="K25" s="57" t="str">
        <f>IF(_xlfn.XLOOKUP($J25,Catalogo!$B$7:$B$210,Catalogo!$I$7:$I$210,"",0)=0,"",_xlfn.XLOOKUP($J25,Catalogo!$B$7:$B$210,Catalogo!$I$7:$I$210,"",0))</f>
        <v>Localizacion</v>
      </c>
      <c r="L25" s="36">
        <v>25.4</v>
      </c>
      <c r="M25" s="261">
        <f>IF(Tabla1[[#This Row],[Avance_km]]&lt;&gt;"",Tabla1[[#This Row],[Avance_km]],Tabla1[[#This Row],[Avance_Med]])*_xlfn.XLOOKUP(Tabla1[[#This Row],[Codigo_actividad]],Catalogo!$B$6:$B$51,Catalogo!$F$6:$F$51,0)</f>
        <v>7449.4859999999999</v>
      </c>
    </row>
    <row r="26" spans="1:13" x14ac:dyDescent="0.25">
      <c r="A26" s="354">
        <v>45980</v>
      </c>
      <c r="B26" s="38" t="s">
        <v>30</v>
      </c>
      <c r="C26" s="155" t="s">
        <v>13</v>
      </c>
      <c r="D26" s="39" t="s">
        <v>14</v>
      </c>
      <c r="E26" s="60" t="s">
        <v>31</v>
      </c>
      <c r="F26" s="28">
        <v>0</v>
      </c>
      <c r="G26" s="28">
        <v>4500</v>
      </c>
      <c r="H26" s="53" t="str">
        <f>IF(Tabla1[[#This Row],[Codigo_actividad]]&lt;&gt;2.5,IF(((Tabla1[[#This Row],[fin]]-Tabla1[[#This Row],[inicio]])/1000)=0,"",((Tabla1[[#This Row],[fin]]-Tabla1[[#This Row],[inicio]])/1000)),"")</f>
        <v/>
      </c>
      <c r="I26" s="57">
        <v>9</v>
      </c>
      <c r="J26" s="24">
        <v>2.5</v>
      </c>
      <c r="K26" s="57" t="str">
        <f>IF(_xlfn.XLOOKUP($J26,Catalogo!$B$7:$B$210,Catalogo!$I$7:$I$210,"",0)=0,"",_xlfn.XLOOKUP($J26,Catalogo!$B$7:$B$210,Catalogo!$I$7:$I$210,"",0))</f>
        <v>Resistividades pH BSR BPA</v>
      </c>
      <c r="L26" s="36">
        <v>31.54</v>
      </c>
      <c r="M26" s="261">
        <f>IF(Tabla1[[#This Row],[Avance_km]]&lt;&gt;"",Tabla1[[#This Row],[Avance_km]],Tabla1[[#This Row],[Avance_Med]])*_xlfn.XLOOKUP(Tabla1[[#This Row],[Codigo_actividad]],Catalogo!$B$6:$B$51,Catalogo!$F$6:$F$51,0)</f>
        <v>41922</v>
      </c>
    </row>
    <row r="27" spans="1:13" x14ac:dyDescent="0.25">
      <c r="A27" s="354">
        <v>45981</v>
      </c>
      <c r="B27" s="38" t="s">
        <v>12</v>
      </c>
      <c r="C27" s="155" t="s">
        <v>13</v>
      </c>
      <c r="D27" s="39" t="s">
        <v>14</v>
      </c>
      <c r="E27" s="60" t="s">
        <v>28</v>
      </c>
      <c r="F27" s="28">
        <v>15000</v>
      </c>
      <c r="G27" s="28">
        <v>18500</v>
      </c>
      <c r="H27" s="53">
        <f>IF(Tabla1[[#This Row],[Codigo_actividad]]&lt;&gt;2.5,IF(((Tabla1[[#This Row],[fin]]-Tabla1[[#This Row],[inicio]])/1000)=0,"",((Tabla1[[#This Row],[fin]]-Tabla1[[#This Row],[inicio]])/1000)),"")</f>
        <v>3.5</v>
      </c>
      <c r="I27" s="57"/>
      <c r="J27" s="24">
        <v>2.1</v>
      </c>
      <c r="K27" s="57" t="str">
        <f>IF(_xlfn.XLOOKUP($J27,Catalogo!$B$7:$B$210,Catalogo!$I$7:$I$210,"",0)=0,"",_xlfn.XLOOKUP($J27,Catalogo!$B$7:$B$210,Catalogo!$I$7:$I$210,"",0))</f>
        <v>CIPS</v>
      </c>
      <c r="L27" s="36">
        <v>31.54</v>
      </c>
      <c r="M27" s="261">
        <f>IF(Tabla1[[#This Row],[Avance_km]]&lt;&gt;"",Tabla1[[#This Row],[Avance_km]],Tabla1[[#This Row],[Avance_Med]])*_xlfn.XLOOKUP(Tabla1[[#This Row],[Codigo_actividad]],Catalogo!$B$6:$B$51,Catalogo!$F$6:$F$51,0)</f>
        <v>50824.934999999998</v>
      </c>
    </row>
    <row r="28" spans="1:13" x14ac:dyDescent="0.25">
      <c r="A28" s="354">
        <v>45981</v>
      </c>
      <c r="B28" s="38" t="s">
        <v>29</v>
      </c>
      <c r="C28" s="155" t="s">
        <v>22</v>
      </c>
      <c r="D28" s="39" t="s">
        <v>27</v>
      </c>
      <c r="E28" s="60" t="s">
        <v>16</v>
      </c>
      <c r="F28" s="28">
        <v>18300</v>
      </c>
      <c r="G28" s="28">
        <v>25000</v>
      </c>
      <c r="H28" s="53">
        <f>IF(Tabla1[[#This Row],[Codigo_actividad]]&lt;&gt;2.5,IF(((Tabla1[[#This Row],[fin]]-Tabla1[[#This Row],[inicio]])/1000)=0,"",((Tabla1[[#This Row],[fin]]-Tabla1[[#This Row],[inicio]])/1000)),"")</f>
        <v>6.7</v>
      </c>
      <c r="I28" s="57"/>
      <c r="J28" s="24">
        <v>2.6</v>
      </c>
      <c r="K28" s="57" t="str">
        <f>IF(_xlfn.XLOOKUP($J28,Catalogo!$B$7:$B$210,Catalogo!$I$7:$I$210,"",0)=0,"",_xlfn.XLOOKUP($J28,Catalogo!$B$7:$B$210,Catalogo!$I$7:$I$210,"",0))</f>
        <v>Localizacion</v>
      </c>
      <c r="L28" s="36">
        <v>25.4</v>
      </c>
      <c r="M28" s="261">
        <f>IF(Tabla1[[#This Row],[Avance_km]]&lt;&gt;"",Tabla1[[#This Row],[Avance_km]],Tabla1[[#This Row],[Avance_Med]])*_xlfn.XLOOKUP(Tabla1[[#This Row],[Codigo_actividad]],Catalogo!$B$6:$B$51,Catalogo!$F$6:$F$51,0)</f>
        <v>15124.714000000002</v>
      </c>
    </row>
    <row r="29" spans="1:13" x14ac:dyDescent="0.25">
      <c r="A29" s="354">
        <v>45981</v>
      </c>
      <c r="B29" s="38" t="s">
        <v>30</v>
      </c>
      <c r="C29" s="155" t="s">
        <v>13</v>
      </c>
      <c r="D29" s="39" t="s">
        <v>14</v>
      </c>
      <c r="E29" s="60" t="s">
        <v>31</v>
      </c>
      <c r="F29" s="28">
        <v>4500</v>
      </c>
      <c r="G29" s="28">
        <v>10000</v>
      </c>
      <c r="H29" s="53" t="str">
        <f>IF(Tabla1[[#This Row],[Codigo_actividad]]&lt;&gt;2.5,IF(((Tabla1[[#This Row],[fin]]-Tabla1[[#This Row],[inicio]])/1000)=0,"",((Tabla1[[#This Row],[fin]]-Tabla1[[#This Row],[inicio]])/1000)),"")</f>
        <v/>
      </c>
      <c r="I29" s="57">
        <v>12</v>
      </c>
      <c r="J29" s="24">
        <v>2.5</v>
      </c>
      <c r="K29" s="57" t="str">
        <f>IF(_xlfn.XLOOKUP($J29,Catalogo!$B$7:$B$210,Catalogo!$I$7:$I$210,"",0)=0,"",_xlfn.XLOOKUP($J29,Catalogo!$B$7:$B$210,Catalogo!$I$7:$I$210,"",0))</f>
        <v>Resistividades pH BSR BPA</v>
      </c>
      <c r="L29" s="36">
        <v>31.54</v>
      </c>
      <c r="M29" s="261">
        <f>IF(Tabla1[[#This Row],[Avance_km]]&lt;&gt;"",Tabla1[[#This Row],[Avance_km]],Tabla1[[#This Row],[Avance_Med]])*_xlfn.XLOOKUP(Tabla1[[#This Row],[Codigo_actividad]],Catalogo!$B$6:$B$51,Catalogo!$F$6:$F$51,0)</f>
        <v>55896</v>
      </c>
    </row>
    <row r="30" spans="1:13" x14ac:dyDescent="0.25">
      <c r="A30" s="354">
        <v>45982</v>
      </c>
      <c r="B30" s="38" t="s">
        <v>12</v>
      </c>
      <c r="C30" s="155" t="s">
        <v>13</v>
      </c>
      <c r="D30" s="39" t="s">
        <v>14</v>
      </c>
      <c r="E30" s="60" t="s">
        <v>28</v>
      </c>
      <c r="F30" s="28">
        <v>18500</v>
      </c>
      <c r="G30" s="28">
        <v>24000</v>
      </c>
      <c r="H30" s="53">
        <f>IF(Tabla1[[#This Row],[Codigo_actividad]]&lt;&gt;2.5,IF(((Tabla1[[#This Row],[fin]]-Tabla1[[#This Row],[inicio]])/1000)=0,"",((Tabla1[[#This Row],[fin]]-Tabla1[[#This Row],[inicio]])/1000)),"")</f>
        <v>5.5</v>
      </c>
      <c r="I30" s="57"/>
      <c r="J30" s="24">
        <v>2.1</v>
      </c>
      <c r="K30" s="57" t="str">
        <f>IF(_xlfn.XLOOKUP($J30,Catalogo!$B$7:$B$210,Catalogo!$I$7:$I$210,"",0)=0,"",_xlfn.XLOOKUP($J30,Catalogo!$B$7:$B$210,Catalogo!$I$7:$I$210,"",0))</f>
        <v>CIPS</v>
      </c>
      <c r="L30" s="36">
        <v>31.54</v>
      </c>
      <c r="M30" s="261">
        <f>IF(Tabla1[[#This Row],[Avance_km]]&lt;&gt;"",Tabla1[[#This Row],[Avance_km]],Tabla1[[#This Row],[Avance_Med]])*_xlfn.XLOOKUP(Tabla1[[#This Row],[Codigo_actividad]],Catalogo!$B$6:$B$51,Catalogo!$F$6:$F$51,0)</f>
        <v>79867.755000000005</v>
      </c>
    </row>
    <row r="31" spans="1:13" x14ac:dyDescent="0.25">
      <c r="A31" s="354">
        <v>45982</v>
      </c>
      <c r="B31" s="38" t="s">
        <v>29</v>
      </c>
      <c r="C31" s="155" t="s">
        <v>22</v>
      </c>
      <c r="D31" s="39" t="s">
        <v>27</v>
      </c>
      <c r="E31" s="60" t="s">
        <v>16</v>
      </c>
      <c r="F31" s="28">
        <v>25000</v>
      </c>
      <c r="G31" s="28">
        <v>25400</v>
      </c>
      <c r="H31" s="53">
        <f>IF(Tabla1[[#This Row],[Codigo_actividad]]&lt;&gt;2.5,IF(((Tabla1[[#This Row],[fin]]-Tabla1[[#This Row],[inicio]])/1000)=0,"",((Tabla1[[#This Row],[fin]]-Tabla1[[#This Row],[inicio]])/1000)),"")</f>
        <v>0.4</v>
      </c>
      <c r="I31" s="57"/>
      <c r="J31" s="24">
        <v>2.6</v>
      </c>
      <c r="K31" s="57" t="str">
        <f>IF(_xlfn.XLOOKUP($J31,Catalogo!$B$7:$B$210,Catalogo!$I$7:$I$210,"",0)=0,"",_xlfn.XLOOKUP($J31,Catalogo!$B$7:$B$210,Catalogo!$I$7:$I$210,"",0))</f>
        <v>Localizacion</v>
      </c>
      <c r="L31" s="36">
        <v>25.4</v>
      </c>
      <c r="M31" s="261">
        <f>IF(Tabla1[[#This Row],[Avance_km]]&lt;&gt;"",Tabla1[[#This Row],[Avance_km]],Tabla1[[#This Row],[Avance_Med]])*_xlfn.XLOOKUP(Tabla1[[#This Row],[Codigo_actividad]],Catalogo!$B$6:$B$51,Catalogo!$F$6:$F$51,0)</f>
        <v>902.96800000000007</v>
      </c>
    </row>
    <row r="32" spans="1:13" x14ac:dyDescent="0.25">
      <c r="A32" s="354">
        <v>45982</v>
      </c>
      <c r="B32" s="38" t="s">
        <v>29</v>
      </c>
      <c r="C32" s="155" t="s">
        <v>22</v>
      </c>
      <c r="D32" s="39" t="s">
        <v>26</v>
      </c>
      <c r="E32" s="60" t="s">
        <v>16</v>
      </c>
      <c r="F32" s="28">
        <v>0</v>
      </c>
      <c r="G32" s="28">
        <v>9</v>
      </c>
      <c r="H32" s="53">
        <f>IF(Tabla1[[#This Row],[Codigo_actividad]]&lt;&gt;2.5,IF(((Tabla1[[#This Row],[fin]]-Tabla1[[#This Row],[inicio]])/1000)=0,"",((Tabla1[[#This Row],[fin]]-Tabla1[[#This Row],[inicio]])/1000)),"")</f>
        <v>8.9999999999999993E-3</v>
      </c>
      <c r="I32" s="57"/>
      <c r="J32" s="24">
        <v>2.6</v>
      </c>
      <c r="K32" s="57" t="str">
        <f>IF(_xlfn.XLOOKUP($J32,Catalogo!$B$7:$B$210,Catalogo!$I$7:$I$210,"",0)=0,"",_xlfn.XLOOKUP($J32,Catalogo!$B$7:$B$210,Catalogo!$I$7:$I$210,"",0))</f>
        <v>Localizacion</v>
      </c>
      <c r="L32" s="36">
        <v>8.9999999999999993E-3</v>
      </c>
      <c r="M32" s="261">
        <f>IF(Tabla1[[#This Row],[Avance_km]]&lt;&gt;"",Tabla1[[#This Row],[Avance_km]],Tabla1[[#This Row],[Avance_Med]])*_xlfn.XLOOKUP(Tabla1[[#This Row],[Codigo_actividad]],Catalogo!$B$6:$B$51,Catalogo!$F$6:$F$51,0)</f>
        <v>20.316779999999998</v>
      </c>
    </row>
    <row r="33" spans="1:13" x14ac:dyDescent="0.25">
      <c r="A33" s="354">
        <v>45982</v>
      </c>
      <c r="B33" s="38" t="s">
        <v>29</v>
      </c>
      <c r="C33" s="155" t="s">
        <v>22</v>
      </c>
      <c r="D33" s="39" t="s">
        <v>32</v>
      </c>
      <c r="E33" s="60" t="s">
        <v>16</v>
      </c>
      <c r="F33" s="28">
        <v>0</v>
      </c>
      <c r="G33" s="28">
        <v>479</v>
      </c>
      <c r="H33" s="53">
        <f>IF(Tabla1[[#This Row],[Codigo_actividad]]&lt;&gt;2.5,IF(((Tabla1[[#This Row],[fin]]-Tabla1[[#This Row],[inicio]])/1000)=0,"",((Tabla1[[#This Row],[fin]]-Tabla1[[#This Row],[inicio]])/1000)),"")</f>
        <v>0.47899999999999998</v>
      </c>
      <c r="I33" s="57"/>
      <c r="J33" s="24">
        <v>2.6</v>
      </c>
      <c r="K33" s="57" t="str">
        <f>IF(_xlfn.XLOOKUP($J33,Catalogo!$B$7:$B$210,Catalogo!$I$7:$I$210,"",0)=0,"",_xlfn.XLOOKUP($J33,Catalogo!$B$7:$B$210,Catalogo!$I$7:$I$210,"",0))</f>
        <v>Localizacion</v>
      </c>
      <c r="L33" s="36">
        <v>0.47899999999999998</v>
      </c>
      <c r="M33" s="261">
        <f>IF(Tabla1[[#This Row],[Avance_km]]&lt;&gt;"",Tabla1[[#This Row],[Avance_km]],Tabla1[[#This Row],[Avance_Med]])*_xlfn.XLOOKUP(Tabla1[[#This Row],[Codigo_actividad]],Catalogo!$B$6:$B$51,Catalogo!$F$6:$F$51,0)</f>
        <v>1081.3041800000001</v>
      </c>
    </row>
    <row r="34" spans="1:13" x14ac:dyDescent="0.25">
      <c r="A34" s="354">
        <v>45982</v>
      </c>
      <c r="B34" s="38" t="s">
        <v>30</v>
      </c>
      <c r="C34" s="155" t="s">
        <v>13</v>
      </c>
      <c r="D34" s="39" t="s">
        <v>14</v>
      </c>
      <c r="E34" s="60" t="s">
        <v>31</v>
      </c>
      <c r="F34" s="28">
        <v>10000</v>
      </c>
      <c r="G34" s="28">
        <v>15000</v>
      </c>
      <c r="H34" s="53" t="str">
        <f>IF(Tabla1[[#This Row],[Codigo_actividad]]&lt;&gt;2.5,IF(((Tabla1[[#This Row],[fin]]-Tabla1[[#This Row],[inicio]])/1000)=0,"",((Tabla1[[#This Row],[fin]]-Tabla1[[#This Row],[inicio]])/1000)),"")</f>
        <v/>
      </c>
      <c r="I34" s="57">
        <v>11</v>
      </c>
      <c r="J34" s="24">
        <v>2.5</v>
      </c>
      <c r="K34" s="57" t="str">
        <f>IF(_xlfn.XLOOKUP($J34,Catalogo!$B$7:$B$210,Catalogo!$I$7:$I$210,"",0)=0,"",_xlfn.XLOOKUP($J34,Catalogo!$B$7:$B$210,Catalogo!$I$7:$I$210,"",0))</f>
        <v>Resistividades pH BSR BPA</v>
      </c>
      <c r="L34" s="36">
        <v>31.54</v>
      </c>
      <c r="M34" s="261">
        <f>IF(Tabla1[[#This Row],[Avance_km]]&lt;&gt;"",Tabla1[[#This Row],[Avance_km]],Tabla1[[#This Row],[Avance_Med]])*_xlfn.XLOOKUP(Tabla1[[#This Row],[Codigo_actividad]],Catalogo!$B$6:$B$51,Catalogo!$F$6:$F$51,0)</f>
        <v>51238</v>
      </c>
    </row>
    <row r="35" spans="1:13" x14ac:dyDescent="0.25">
      <c r="A35" s="354">
        <v>45983</v>
      </c>
      <c r="B35" s="38" t="s">
        <v>12</v>
      </c>
      <c r="C35" s="155" t="s">
        <v>13</v>
      </c>
      <c r="D35" s="39" t="s">
        <v>14</v>
      </c>
      <c r="E35" s="60" t="s">
        <v>28</v>
      </c>
      <c r="F35" s="28">
        <v>24000</v>
      </c>
      <c r="G35" s="28">
        <v>28500</v>
      </c>
      <c r="H35" s="53">
        <f>IF(Tabla1[[#This Row],[Codigo_actividad]]&lt;&gt;2.5,IF(((Tabla1[[#This Row],[fin]]-Tabla1[[#This Row],[inicio]])/1000)=0,"",((Tabla1[[#This Row],[fin]]-Tabla1[[#This Row],[inicio]])/1000)),"")</f>
        <v>4.5</v>
      </c>
      <c r="I35" s="57"/>
      <c r="J35" s="24">
        <v>2.1</v>
      </c>
      <c r="K35" s="57" t="str">
        <f>IF(_xlfn.XLOOKUP($J35,Catalogo!$B$7:$B$210,Catalogo!$I$7:$I$210,"",0)=0,"",_xlfn.XLOOKUP($J35,Catalogo!$B$7:$B$210,Catalogo!$I$7:$I$210,"",0))</f>
        <v>CIPS</v>
      </c>
      <c r="L35" s="36"/>
      <c r="M35" s="261">
        <f>IF(Tabla1[[#This Row],[Avance_km]]&lt;&gt;"",Tabla1[[#This Row],[Avance_km]],Tabla1[[#This Row],[Avance_Med]])*_xlfn.XLOOKUP(Tabla1[[#This Row],[Codigo_actividad]],Catalogo!$B$6:$B$51,Catalogo!$F$6:$F$51,0)</f>
        <v>65346.345000000001</v>
      </c>
    </row>
    <row r="36" spans="1:13" x14ac:dyDescent="0.25">
      <c r="A36" s="354">
        <v>45983</v>
      </c>
      <c r="B36" s="38" t="s">
        <v>12</v>
      </c>
      <c r="C36" s="155" t="s">
        <v>22</v>
      </c>
      <c r="D36" s="39" t="s">
        <v>33</v>
      </c>
      <c r="E36" s="60" t="s">
        <v>16</v>
      </c>
      <c r="F36" s="28">
        <v>0</v>
      </c>
      <c r="G36" s="28">
        <v>40</v>
      </c>
      <c r="H36" s="53">
        <f>IF(Tabla1[[#This Row],[Codigo_actividad]]&lt;&gt;2.5,IF(((Tabla1[[#This Row],[fin]]-Tabla1[[#This Row],[inicio]])/1000)=0,"",((Tabla1[[#This Row],[fin]]-Tabla1[[#This Row],[inicio]])/1000)),"")</f>
        <v>0.04</v>
      </c>
      <c r="I36" s="57"/>
      <c r="J36" s="24">
        <v>2.6</v>
      </c>
      <c r="K36" s="57" t="str">
        <f>IF(_xlfn.XLOOKUP($J36,Catalogo!$B$7:$B$210,Catalogo!$I$7:$I$210,"",0)=0,"",_xlfn.XLOOKUP($J36,Catalogo!$B$7:$B$210,Catalogo!$I$7:$I$210,"",0))</f>
        <v>Localizacion</v>
      </c>
      <c r="L36" s="36">
        <v>0.04</v>
      </c>
      <c r="M36" s="261">
        <f>IF(Tabla1[[#This Row],[Avance_km]]&lt;&gt;"",Tabla1[[#This Row],[Avance_km]],Tabla1[[#This Row],[Avance_Med]])*_xlfn.XLOOKUP(Tabla1[[#This Row],[Codigo_actividad]],Catalogo!$B$6:$B$51,Catalogo!$F$6:$F$51,0)</f>
        <v>90.296800000000005</v>
      </c>
    </row>
    <row r="37" spans="1:13" x14ac:dyDescent="0.25">
      <c r="A37" s="354">
        <v>45983</v>
      </c>
      <c r="B37" s="38" t="s">
        <v>12</v>
      </c>
      <c r="C37" s="155" t="s">
        <v>22</v>
      </c>
      <c r="D37" s="39" t="s">
        <v>34</v>
      </c>
      <c r="E37" s="60" t="s">
        <v>16</v>
      </c>
      <c r="F37" s="28">
        <v>0</v>
      </c>
      <c r="G37" s="28">
        <v>120</v>
      </c>
      <c r="H37" s="53">
        <f>IF(Tabla1[[#This Row],[Codigo_actividad]]&lt;&gt;2.5,IF(((Tabla1[[#This Row],[fin]]-Tabla1[[#This Row],[inicio]])/1000)=0,"",((Tabla1[[#This Row],[fin]]-Tabla1[[#This Row],[inicio]])/1000)),"")</f>
        <v>0.12</v>
      </c>
      <c r="I37" s="57"/>
      <c r="J37" s="24">
        <v>2.6</v>
      </c>
      <c r="K37" s="57" t="str">
        <f>IF(_xlfn.XLOOKUP($J37,Catalogo!$B$7:$B$210,Catalogo!$I$7:$I$210,"",0)=0,"",_xlfn.XLOOKUP($J37,Catalogo!$B$7:$B$210,Catalogo!$I$7:$I$210,"",0))</f>
        <v>Localizacion</v>
      </c>
      <c r="L37" s="36">
        <v>0.12</v>
      </c>
      <c r="M37" s="261">
        <f>IF(Tabla1[[#This Row],[Avance_km]]&lt;&gt;"",Tabla1[[#This Row],[Avance_km]],Tabla1[[#This Row],[Avance_Med]])*_xlfn.XLOOKUP(Tabla1[[#This Row],[Codigo_actividad]],Catalogo!$B$6:$B$51,Catalogo!$F$6:$F$51,0)</f>
        <v>270.8904</v>
      </c>
    </row>
    <row r="38" spans="1:13" x14ac:dyDescent="0.25">
      <c r="A38" s="354">
        <v>45983</v>
      </c>
      <c r="B38" s="38" t="s">
        <v>29</v>
      </c>
      <c r="C38" s="155" t="s">
        <v>22</v>
      </c>
      <c r="D38" s="39" t="s">
        <v>35</v>
      </c>
      <c r="E38" s="60" t="s">
        <v>16</v>
      </c>
      <c r="F38" s="28">
        <v>0</v>
      </c>
      <c r="G38" s="28">
        <v>1195</v>
      </c>
      <c r="H38" s="53">
        <f>IF(Tabla1[[#This Row],[Codigo_actividad]]&lt;&gt;2.5,IF(((Tabla1[[#This Row],[fin]]-Tabla1[[#This Row],[inicio]])/1000)=0,"",((Tabla1[[#This Row],[fin]]-Tabla1[[#This Row],[inicio]])/1000)),"")</f>
        <v>1.1950000000000001</v>
      </c>
      <c r="I38" s="57"/>
      <c r="J38" s="24">
        <v>2.6</v>
      </c>
      <c r="K38" s="57" t="str">
        <f>IF(_xlfn.XLOOKUP($J38,Catalogo!$B$7:$B$210,Catalogo!$I$7:$I$210,"",0)=0,"",_xlfn.XLOOKUP($J38,Catalogo!$B$7:$B$210,Catalogo!$I$7:$I$210,"",0))</f>
        <v>Localizacion</v>
      </c>
      <c r="L38" s="36">
        <v>1.1950000000000001</v>
      </c>
      <c r="M38" s="261">
        <f>IF(Tabla1[[#This Row],[Avance_km]]&lt;&gt;"",Tabla1[[#This Row],[Avance_km]],Tabla1[[#This Row],[Avance_Med]])*_xlfn.XLOOKUP(Tabla1[[#This Row],[Codigo_actividad]],Catalogo!$B$6:$B$51,Catalogo!$F$6:$F$51,0)</f>
        <v>2697.6169000000004</v>
      </c>
    </row>
    <row r="39" spans="1:13" x14ac:dyDescent="0.25">
      <c r="A39" s="354">
        <v>45984</v>
      </c>
      <c r="B39" s="38" t="s">
        <v>12</v>
      </c>
      <c r="C39" s="155" t="s">
        <v>13</v>
      </c>
      <c r="D39" s="39" t="s">
        <v>14</v>
      </c>
      <c r="E39" s="60" t="s">
        <v>28</v>
      </c>
      <c r="F39" s="28">
        <v>28500</v>
      </c>
      <c r="G39" s="28">
        <v>31540</v>
      </c>
      <c r="H39" s="53">
        <f>IF(Tabla1[[#This Row],[Codigo_actividad]]&lt;&gt;2.5,IF(((Tabla1[[#This Row],[fin]]-Tabla1[[#This Row],[inicio]])/1000)=0,"",((Tabla1[[#This Row],[fin]]-Tabla1[[#This Row],[inicio]])/1000)),"")</f>
        <v>3.04</v>
      </c>
      <c r="I39" s="57"/>
      <c r="J39" s="24">
        <v>2.1</v>
      </c>
      <c r="K39" s="57" t="str">
        <f>IF(_xlfn.XLOOKUP($J39,Catalogo!$B$7:$B$210,Catalogo!$I$7:$I$210,"",0)=0,"",_xlfn.XLOOKUP($J39,Catalogo!$B$7:$B$210,Catalogo!$I$7:$I$210,"",0))</f>
        <v>CIPS</v>
      </c>
      <c r="L39" s="36">
        <v>31.54</v>
      </c>
      <c r="M39" s="261">
        <f>IF(Tabla1[[#This Row],[Avance_km]]&lt;&gt;"",Tabla1[[#This Row],[Avance_km]],Tabla1[[#This Row],[Avance_Med]])*_xlfn.XLOOKUP(Tabla1[[#This Row],[Codigo_actividad]],Catalogo!$B$6:$B$51,Catalogo!$F$6:$F$51,0)</f>
        <v>44145.0864</v>
      </c>
    </row>
    <row r="40" spans="1:13" x14ac:dyDescent="0.25">
      <c r="A40" s="354">
        <v>45985</v>
      </c>
      <c r="B40" s="38" t="s">
        <v>12</v>
      </c>
      <c r="C40" s="155" t="s">
        <v>13</v>
      </c>
      <c r="D40" s="39" t="s">
        <v>14</v>
      </c>
      <c r="E40" s="60" t="s">
        <v>36</v>
      </c>
      <c r="F40" s="28">
        <v>9000</v>
      </c>
      <c r="G40" s="28">
        <v>12000</v>
      </c>
      <c r="H40" s="53">
        <f>IF(Tabla1[[#This Row],[Codigo_actividad]]&lt;&gt;2.5,IF(((Tabla1[[#This Row],[fin]]-Tabla1[[#This Row],[inicio]])/1000)=0,"",((Tabla1[[#This Row],[fin]]-Tabla1[[#This Row],[inicio]])/1000)),"")</f>
        <v>3</v>
      </c>
      <c r="I40" s="57"/>
      <c r="J40" s="24">
        <v>2.2999999999999998</v>
      </c>
      <c r="K40" s="57" t="str">
        <f>IF(_xlfn.XLOOKUP($J40,Catalogo!$B$7:$B$210,Catalogo!$I$7:$I$210,"",0)=0,"",_xlfn.XLOOKUP($J40,Catalogo!$B$7:$B$210,Catalogo!$I$7:$I$210,"",0))</f>
        <v>DCVG</v>
      </c>
      <c r="L40" s="36">
        <v>31.54</v>
      </c>
      <c r="M40" s="261">
        <f>IF(Tabla1[[#This Row],[Avance_km]]&lt;&gt;"",Tabla1[[#This Row],[Avance_km]],Tabla1[[#This Row],[Avance_Med]])*_xlfn.XLOOKUP(Tabla1[[#This Row],[Codigo_actividad]],Catalogo!$B$6:$B$51,Catalogo!$F$6:$F$51,0)</f>
        <v>40666.89</v>
      </c>
    </row>
    <row r="41" spans="1:13" x14ac:dyDescent="0.25">
      <c r="A41" s="354">
        <v>45985</v>
      </c>
      <c r="B41" s="38" t="s">
        <v>29</v>
      </c>
      <c r="C41" s="155" t="s">
        <v>13</v>
      </c>
      <c r="D41" s="39" t="s">
        <v>37</v>
      </c>
      <c r="E41" s="60" t="s">
        <v>16</v>
      </c>
      <c r="F41" s="28">
        <v>0</v>
      </c>
      <c r="G41" s="28">
        <v>1488</v>
      </c>
      <c r="H41" s="53">
        <f>IF(Tabla1[[#This Row],[Codigo_actividad]]&lt;&gt;2.5,IF(((Tabla1[[#This Row],[fin]]-Tabla1[[#This Row],[inicio]])/1000)=0,"",((Tabla1[[#This Row],[fin]]-Tabla1[[#This Row],[inicio]])/1000)),"")</f>
        <v>1.488</v>
      </c>
      <c r="I41" s="57"/>
      <c r="J41" s="24">
        <v>2.6</v>
      </c>
      <c r="K41" s="57" t="str">
        <f>IF(_xlfn.XLOOKUP($J41,Catalogo!$B$7:$B$210,Catalogo!$I$7:$I$210,"",0)=0,"",_xlfn.XLOOKUP($J41,Catalogo!$B$7:$B$210,Catalogo!$I$7:$I$210,"",0))</f>
        <v>Localizacion</v>
      </c>
      <c r="L41" s="36">
        <v>1.488</v>
      </c>
      <c r="M41" s="261">
        <f>IF(Tabla1[[#This Row],[Avance_km]]&lt;&gt;"",Tabla1[[#This Row],[Avance_km]],Tabla1[[#This Row],[Avance_Med]])*_xlfn.XLOOKUP(Tabla1[[#This Row],[Codigo_actividad]],Catalogo!$B$6:$B$51,Catalogo!$F$6:$F$51,0)</f>
        <v>3359.0409600000003</v>
      </c>
    </row>
    <row r="42" spans="1:13" x14ac:dyDescent="0.25">
      <c r="A42" s="354">
        <v>45985</v>
      </c>
      <c r="B42" s="38" t="s">
        <v>29</v>
      </c>
      <c r="C42" s="155" t="s">
        <v>13</v>
      </c>
      <c r="D42" s="39" t="s">
        <v>71</v>
      </c>
      <c r="E42" s="60" t="s">
        <v>16</v>
      </c>
      <c r="F42" s="28">
        <v>0</v>
      </c>
      <c r="G42" s="28">
        <v>7</v>
      </c>
      <c r="H42" s="53">
        <f>IF(Tabla1[[#This Row],[Codigo_actividad]]&lt;&gt;2.5,IF(((Tabla1[[#This Row],[fin]]-Tabla1[[#This Row],[inicio]])/1000)=0,"",((Tabla1[[#This Row],[fin]]-Tabla1[[#This Row],[inicio]])/1000)),"")</f>
        <v>7.0000000000000001E-3</v>
      </c>
      <c r="I42" s="57"/>
      <c r="J42" s="24">
        <v>2.6</v>
      </c>
      <c r="K42" s="57" t="str">
        <f>IF(_xlfn.XLOOKUP($J42,Catalogo!$B$7:$B$210,Catalogo!$I$7:$I$210,"",0)=0,"",_xlfn.XLOOKUP($J42,Catalogo!$B$7:$B$210,Catalogo!$I$7:$I$210,"",0))</f>
        <v>Localizacion</v>
      </c>
      <c r="L42" s="36">
        <v>7.0000000000000001E-3</v>
      </c>
      <c r="M42" s="261">
        <f>IF(Tabla1[[#This Row],[Avance_km]]&lt;&gt;"",Tabla1[[#This Row],[Avance_km]],Tabla1[[#This Row],[Avance_Med]])*_xlfn.XLOOKUP(Tabla1[[#This Row],[Codigo_actividad]],Catalogo!$B$6:$B$51,Catalogo!$F$6:$F$51,0)</f>
        <v>15.80194</v>
      </c>
    </row>
    <row r="43" spans="1:13" x14ac:dyDescent="0.25">
      <c r="A43" s="354">
        <v>45985</v>
      </c>
      <c r="B43" s="38" t="s">
        <v>29</v>
      </c>
      <c r="C43" s="155" t="s">
        <v>13</v>
      </c>
      <c r="D43" s="39" t="s">
        <v>38</v>
      </c>
      <c r="E43" s="60" t="s">
        <v>16</v>
      </c>
      <c r="F43" s="28">
        <v>0</v>
      </c>
      <c r="G43" s="28">
        <v>1855</v>
      </c>
      <c r="H43" s="53">
        <f>IF(Tabla1[[#This Row],[Codigo_actividad]]&lt;&gt;2.5,IF(((Tabla1[[#This Row],[fin]]-Tabla1[[#This Row],[inicio]])/1000)=0,"",((Tabla1[[#This Row],[fin]]-Tabla1[[#This Row],[inicio]])/1000)),"")</f>
        <v>1.855</v>
      </c>
      <c r="I43" s="57"/>
      <c r="J43" s="24">
        <v>2.6</v>
      </c>
      <c r="K43" s="57" t="str">
        <f>IF(_xlfn.XLOOKUP($J43,Catalogo!$B$7:$B$210,Catalogo!$I$7:$I$210,"",0)=0,"",_xlfn.XLOOKUP($J43,Catalogo!$B$7:$B$210,Catalogo!$I$7:$I$210,"",0))</f>
        <v>Localizacion</v>
      </c>
      <c r="L43" s="36">
        <v>1.855</v>
      </c>
      <c r="M43" s="261">
        <f>IF(Tabla1[[#This Row],[Avance_km]]&lt;&gt;"",Tabla1[[#This Row],[Avance_km]],Tabla1[[#This Row],[Avance_Med]])*_xlfn.XLOOKUP(Tabla1[[#This Row],[Codigo_actividad]],Catalogo!$B$6:$B$51,Catalogo!$F$6:$F$51,0)</f>
        <v>4187.5141000000003</v>
      </c>
    </row>
    <row r="44" spans="1:13" x14ac:dyDescent="0.25">
      <c r="A44" s="354">
        <v>45985</v>
      </c>
      <c r="B44" s="38" t="s">
        <v>30</v>
      </c>
      <c r="C44" s="155" t="s">
        <v>13</v>
      </c>
      <c r="D44" s="39" t="s">
        <v>14</v>
      </c>
      <c r="E44" s="60" t="s">
        <v>31</v>
      </c>
      <c r="F44" s="28">
        <v>15000</v>
      </c>
      <c r="G44" s="28">
        <v>18500</v>
      </c>
      <c r="H44" s="53" t="str">
        <f>IF(Tabla1[[#This Row],[Codigo_actividad]]&lt;&gt;2.5,IF(((Tabla1[[#This Row],[fin]]-Tabla1[[#This Row],[inicio]])/1000)=0,"",((Tabla1[[#This Row],[fin]]-Tabla1[[#This Row],[inicio]])/1000)),"")</f>
        <v/>
      </c>
      <c r="I44" s="57">
        <v>6</v>
      </c>
      <c r="J44" s="24">
        <v>2.5</v>
      </c>
      <c r="K44" s="57" t="str">
        <f>IF(_xlfn.XLOOKUP($J44,Catalogo!$B$7:$B$210,Catalogo!$I$7:$I$210,"",0)=0,"",_xlfn.XLOOKUP($J44,Catalogo!$B$7:$B$210,Catalogo!$I$7:$I$210,"",0))</f>
        <v>Resistividades pH BSR BPA</v>
      </c>
      <c r="L44" s="36">
        <v>31.54</v>
      </c>
      <c r="M44" s="261">
        <f>IF(Tabla1[[#This Row],[Avance_km]]&lt;&gt;"",Tabla1[[#This Row],[Avance_km]],Tabla1[[#This Row],[Avance_Med]])*_xlfn.XLOOKUP(Tabla1[[#This Row],[Codigo_actividad]],Catalogo!$B$6:$B$51,Catalogo!$F$6:$F$51,0)</f>
        <v>27948</v>
      </c>
    </row>
    <row r="45" spans="1:13" x14ac:dyDescent="0.25">
      <c r="A45" s="354">
        <v>45986</v>
      </c>
      <c r="B45" s="38" t="s">
        <v>12</v>
      </c>
      <c r="C45" s="155" t="s">
        <v>13</v>
      </c>
      <c r="D45" s="39" t="s">
        <v>14</v>
      </c>
      <c r="E45" s="60" t="s">
        <v>36</v>
      </c>
      <c r="F45" s="28">
        <v>0</v>
      </c>
      <c r="G45" s="28">
        <v>5000</v>
      </c>
      <c r="H45" s="53">
        <f>IF(Tabla1[[#This Row],[Codigo_actividad]]&lt;&gt;2.5,IF(((Tabla1[[#This Row],[fin]]-Tabla1[[#This Row],[inicio]])/1000)=0,"",((Tabla1[[#This Row],[fin]]-Tabla1[[#This Row],[inicio]])/1000)),"")</f>
        <v>5</v>
      </c>
      <c r="I45" s="57"/>
      <c r="J45" s="24">
        <v>2.2999999999999998</v>
      </c>
      <c r="K45" s="57" t="str">
        <f>IF(_xlfn.XLOOKUP($J45,Catalogo!$B$7:$B$210,Catalogo!$I$7:$I$210,"",0)=0,"",_xlfn.XLOOKUP($J45,Catalogo!$B$7:$B$210,Catalogo!$I$7:$I$210,"",0))</f>
        <v>DCVG</v>
      </c>
      <c r="L45" s="36">
        <v>31.54</v>
      </c>
      <c r="M45" s="261">
        <f>IF(Tabla1[[#This Row],[Avance_km]]&lt;&gt;"",Tabla1[[#This Row],[Avance_km]],Tabla1[[#This Row],[Avance_Med]])*_xlfn.XLOOKUP(Tabla1[[#This Row],[Codigo_actividad]],Catalogo!$B$6:$B$51,Catalogo!$F$6:$F$51,0)</f>
        <v>67778.149999999994</v>
      </c>
    </row>
    <row r="46" spans="1:13" x14ac:dyDescent="0.25">
      <c r="A46" s="354">
        <v>45986</v>
      </c>
      <c r="B46" s="38" t="s">
        <v>29</v>
      </c>
      <c r="C46" s="155" t="s">
        <v>13</v>
      </c>
      <c r="D46" s="39" t="s">
        <v>14</v>
      </c>
      <c r="E46" s="60" t="s">
        <v>36</v>
      </c>
      <c r="F46" s="28">
        <v>5000</v>
      </c>
      <c r="G46" s="28">
        <v>9000</v>
      </c>
      <c r="H46" s="53">
        <f>IF(Tabla1[[#This Row],[Codigo_actividad]]&lt;&gt;2.5,IF(((Tabla1[[#This Row],[fin]]-Tabla1[[#This Row],[inicio]])/1000)=0,"",((Tabla1[[#This Row],[fin]]-Tabla1[[#This Row],[inicio]])/1000)),"")</f>
        <v>4</v>
      </c>
      <c r="I46" s="57"/>
      <c r="J46" s="24">
        <v>2.2999999999999998</v>
      </c>
      <c r="K46" s="57" t="str">
        <f>IF(_xlfn.XLOOKUP($J46,Catalogo!$B$7:$B$210,Catalogo!$I$7:$I$210,"",0)=0,"",_xlfn.XLOOKUP($J46,Catalogo!$B$7:$B$210,Catalogo!$I$7:$I$210,"",0))</f>
        <v>DCVG</v>
      </c>
      <c r="L46" s="36">
        <v>31.54</v>
      </c>
      <c r="M46" s="261">
        <f>IF(Tabla1[[#This Row],[Avance_km]]&lt;&gt;"",Tabla1[[#This Row],[Avance_km]],Tabla1[[#This Row],[Avance_Med]])*_xlfn.XLOOKUP(Tabla1[[#This Row],[Codigo_actividad]],Catalogo!$B$6:$B$51,Catalogo!$F$6:$F$51,0)</f>
        <v>54222.52</v>
      </c>
    </row>
    <row r="47" spans="1:13" x14ac:dyDescent="0.25">
      <c r="A47" s="354">
        <v>45986</v>
      </c>
      <c r="B47" s="38" t="s">
        <v>30</v>
      </c>
      <c r="C47" s="155" t="s">
        <v>13</v>
      </c>
      <c r="D47" s="39" t="s">
        <v>14</v>
      </c>
      <c r="E47" s="60" t="s">
        <v>31</v>
      </c>
      <c r="F47" s="28">
        <v>18500</v>
      </c>
      <c r="G47" s="28">
        <v>24500</v>
      </c>
      <c r="H47" s="53" t="str">
        <f>IF(Tabla1[[#This Row],[Codigo_actividad]]&lt;&gt;2.5,IF(((Tabla1[[#This Row],[fin]]-Tabla1[[#This Row],[inicio]])/1000)=0,"",((Tabla1[[#This Row],[fin]]-Tabla1[[#This Row],[inicio]])/1000)),"")</f>
        <v/>
      </c>
      <c r="I47" s="57">
        <v>10</v>
      </c>
      <c r="J47" s="24">
        <v>2.5</v>
      </c>
      <c r="K47" s="57" t="str">
        <f>IF(_xlfn.XLOOKUP($J47,Catalogo!$B$7:$B$210,Catalogo!$I$7:$I$210,"",0)=0,"",_xlfn.XLOOKUP($J47,Catalogo!$B$7:$B$210,Catalogo!$I$7:$I$210,"",0))</f>
        <v>Resistividades pH BSR BPA</v>
      </c>
      <c r="L47" s="36">
        <v>31.54</v>
      </c>
      <c r="M47" s="261">
        <f>IF(Tabla1[[#This Row],[Avance_km]]&lt;&gt;"",Tabla1[[#This Row],[Avance_km]],Tabla1[[#This Row],[Avance_Med]])*_xlfn.XLOOKUP(Tabla1[[#This Row],[Codigo_actividad]],Catalogo!$B$6:$B$51,Catalogo!$F$6:$F$51,0)</f>
        <v>46580</v>
      </c>
    </row>
    <row r="48" spans="1:13" x14ac:dyDescent="0.25">
      <c r="A48" s="354">
        <v>45987</v>
      </c>
      <c r="B48" s="38" t="s">
        <v>12</v>
      </c>
      <c r="C48" s="155" t="s">
        <v>13</v>
      </c>
      <c r="D48" s="39" t="s">
        <v>14</v>
      </c>
      <c r="E48" s="60" t="s">
        <v>36</v>
      </c>
      <c r="F48" s="28">
        <v>18000</v>
      </c>
      <c r="G48" s="28">
        <v>24000</v>
      </c>
      <c r="H48" s="53">
        <f>IF(Tabla1[[#This Row],[Codigo_actividad]]&lt;&gt;2.5,IF(((Tabla1[[#This Row],[fin]]-Tabla1[[#This Row],[inicio]])/1000)=0,"",((Tabla1[[#This Row],[fin]]-Tabla1[[#This Row],[inicio]])/1000)),"")</f>
        <v>6</v>
      </c>
      <c r="I48" s="57"/>
      <c r="J48" s="24">
        <v>2.2999999999999998</v>
      </c>
      <c r="K48" s="57" t="str">
        <f>IF(_xlfn.XLOOKUP($J48,Catalogo!$B$7:$B$210,Catalogo!$I$7:$I$210,"",0)=0,"",_xlfn.XLOOKUP($J48,Catalogo!$B$7:$B$210,Catalogo!$I$7:$I$210,"",0))</f>
        <v>DCVG</v>
      </c>
      <c r="L48" s="36">
        <v>31.54</v>
      </c>
      <c r="M48" s="261">
        <f>IF(Tabla1[[#This Row],[Avance_km]]&lt;&gt;"",Tabla1[[#This Row],[Avance_km]],Tabla1[[#This Row],[Avance_Med]])*_xlfn.XLOOKUP(Tabla1[[#This Row],[Codigo_actividad]],Catalogo!$B$6:$B$51,Catalogo!$F$6:$F$51,0)</f>
        <v>81333.78</v>
      </c>
    </row>
    <row r="49" spans="1:13" x14ac:dyDescent="0.25">
      <c r="A49" s="354">
        <v>45987</v>
      </c>
      <c r="B49" s="38" t="s">
        <v>29</v>
      </c>
      <c r="C49" s="155" t="s">
        <v>13</v>
      </c>
      <c r="D49" s="39" t="s">
        <v>14</v>
      </c>
      <c r="E49" s="60" t="s">
        <v>36</v>
      </c>
      <c r="F49" s="28">
        <v>12000</v>
      </c>
      <c r="G49" s="28">
        <v>18000</v>
      </c>
      <c r="H49" s="53">
        <f>IF(Tabla1[[#This Row],[Codigo_actividad]]&lt;&gt;2.5,IF(((Tabla1[[#This Row],[fin]]-Tabla1[[#This Row],[inicio]])/1000)=0,"",((Tabla1[[#This Row],[fin]]-Tabla1[[#This Row],[inicio]])/1000)),"")</f>
        <v>6</v>
      </c>
      <c r="I49" s="57"/>
      <c r="J49" s="24">
        <v>2.2999999999999998</v>
      </c>
      <c r="K49" s="57" t="str">
        <f>IF(_xlfn.XLOOKUP($J49,Catalogo!$B$7:$B$210,Catalogo!$I$7:$I$210,"",0)=0,"",_xlfn.XLOOKUP($J49,Catalogo!$B$7:$B$210,Catalogo!$I$7:$I$210,"",0))</f>
        <v>DCVG</v>
      </c>
      <c r="L49" s="36">
        <v>31.54</v>
      </c>
      <c r="M49" s="261">
        <f>IF(Tabla1[[#This Row],[Avance_km]]&lt;&gt;"",Tabla1[[#This Row],[Avance_km]],Tabla1[[#This Row],[Avance_Med]])*_xlfn.XLOOKUP(Tabla1[[#This Row],[Codigo_actividad]],Catalogo!$B$6:$B$51,Catalogo!$F$6:$F$51,0)</f>
        <v>81333.78</v>
      </c>
    </row>
    <row r="50" spans="1:13" x14ac:dyDescent="0.25">
      <c r="A50" s="354">
        <v>45987</v>
      </c>
      <c r="B50" s="38" t="s">
        <v>30</v>
      </c>
      <c r="C50" s="155" t="s">
        <v>13</v>
      </c>
      <c r="D50" s="39" t="s">
        <v>14</v>
      </c>
      <c r="E50" s="60" t="s">
        <v>31</v>
      </c>
      <c r="F50" s="28">
        <v>24500</v>
      </c>
      <c r="G50" s="28">
        <v>30000</v>
      </c>
      <c r="H50" s="53" t="str">
        <f>IF(Tabla1[[#This Row],[Codigo_actividad]]&lt;&gt;2.5,IF(((Tabla1[[#This Row],[fin]]-Tabla1[[#This Row],[inicio]])/1000)=0,"",((Tabla1[[#This Row],[fin]]-Tabla1[[#This Row],[inicio]])/1000)),"")</f>
        <v/>
      </c>
      <c r="I50" s="57">
        <v>12</v>
      </c>
      <c r="J50" s="24">
        <v>2.5</v>
      </c>
      <c r="K50" s="57" t="str">
        <f>IF(_xlfn.XLOOKUP($J50,Catalogo!$B$7:$B$210,Catalogo!$I$7:$I$210,"",0)=0,"",_xlfn.XLOOKUP($J50,Catalogo!$B$7:$B$210,Catalogo!$I$7:$I$210,"",0))</f>
        <v>Resistividades pH BSR BPA</v>
      </c>
      <c r="L50" s="36">
        <v>31.54</v>
      </c>
      <c r="M50" s="261">
        <f>IF(Tabla1[[#This Row],[Avance_km]]&lt;&gt;"",Tabla1[[#This Row],[Avance_km]],Tabla1[[#This Row],[Avance_Med]])*_xlfn.XLOOKUP(Tabla1[[#This Row],[Codigo_actividad]],Catalogo!$B$6:$B$51,Catalogo!$F$6:$F$51,0)</f>
        <v>55896</v>
      </c>
    </row>
    <row r="51" spans="1:13" x14ac:dyDescent="0.25">
      <c r="A51" s="354"/>
      <c r="B51" s="38"/>
      <c r="C51" s="155"/>
      <c r="D51" s="39"/>
      <c r="E51" s="60"/>
      <c r="F51" s="28"/>
      <c r="G51" s="28"/>
      <c r="H51" s="53" t="str">
        <f>IF(Tabla1[[#This Row],[Codigo_actividad]]&lt;&gt;2.5,IF(((Tabla1[[#This Row],[fin]]-Tabla1[[#This Row],[inicio]])/1000)=0,"",((Tabla1[[#This Row],[fin]]-Tabla1[[#This Row],[inicio]])/1000)),"")</f>
        <v/>
      </c>
      <c r="I51" s="57"/>
      <c r="J51" s="24"/>
      <c r="K51" s="57" t="str">
        <f>IF(_xlfn.XLOOKUP($J51,Catalogo!$B$7:$B$210,Catalogo!$I$7:$I$210,"",0)=0,"",_xlfn.XLOOKUP($J51,Catalogo!$B$7:$B$210,Catalogo!$I$7:$I$210,"",0))</f>
        <v/>
      </c>
      <c r="L51" s="36"/>
      <c r="M51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52" spans="1:13" x14ac:dyDescent="0.25">
      <c r="A52" s="354">
        <v>45988</v>
      </c>
      <c r="B52" s="38" t="s">
        <v>12</v>
      </c>
      <c r="C52" s="155" t="s">
        <v>13</v>
      </c>
      <c r="D52" s="39" t="s">
        <v>14</v>
      </c>
      <c r="E52" s="60" t="s">
        <v>36</v>
      </c>
      <c r="F52" s="28">
        <v>24000</v>
      </c>
      <c r="G52" s="28">
        <v>28000</v>
      </c>
      <c r="H52" s="53">
        <f>IF(Tabla1[[#This Row],[Codigo_actividad]]&lt;&gt;2.5,IF(((Tabla1[[#This Row],[fin]]-Tabla1[[#This Row],[inicio]])/1000)=0,"",((Tabla1[[#This Row],[fin]]-Tabla1[[#This Row],[inicio]])/1000)),"")</f>
        <v>4</v>
      </c>
      <c r="I52" s="57"/>
      <c r="J52" s="24">
        <v>2.2999999999999998</v>
      </c>
      <c r="K52" s="57" t="str">
        <f>IF(_xlfn.XLOOKUP($J52,Catalogo!$B$7:$B$210,Catalogo!$I$7:$I$210,"",0)=0,"",_xlfn.XLOOKUP($J52,Catalogo!$B$7:$B$210,Catalogo!$I$7:$I$210,"",0))</f>
        <v>DCVG</v>
      </c>
      <c r="L52" s="36">
        <v>31.54</v>
      </c>
      <c r="M52" s="261">
        <f>IF(Tabla1[[#This Row],[Avance_km]]&lt;&gt;"",Tabla1[[#This Row],[Avance_km]],Tabla1[[#This Row],[Avance_Med]])*_xlfn.XLOOKUP(Tabla1[[#This Row],[Codigo_actividad]],Catalogo!$B$6:$B$51,Catalogo!$F$6:$F$51,0)</f>
        <v>54222.52</v>
      </c>
    </row>
    <row r="53" spans="1:13" x14ac:dyDescent="0.25">
      <c r="A53" s="354">
        <v>45988</v>
      </c>
      <c r="B53" s="38" t="s">
        <v>29</v>
      </c>
      <c r="C53" s="155" t="s">
        <v>13</v>
      </c>
      <c r="D53" s="39" t="s">
        <v>14</v>
      </c>
      <c r="E53" s="60" t="s">
        <v>36</v>
      </c>
      <c r="F53" s="28">
        <v>28000</v>
      </c>
      <c r="G53" s="28">
        <v>31540</v>
      </c>
      <c r="H53" s="53">
        <f>IF(Tabla1[[#This Row],[Codigo_actividad]]&lt;&gt;2.5,IF(((Tabla1[[#This Row],[fin]]-Tabla1[[#This Row],[inicio]])/1000)=0,"",((Tabla1[[#This Row],[fin]]-Tabla1[[#This Row],[inicio]])/1000)),"")</f>
        <v>3.54</v>
      </c>
      <c r="I53" s="57"/>
      <c r="J53" s="24">
        <v>2.2999999999999998</v>
      </c>
      <c r="K53" s="57" t="str">
        <f>IF(_xlfn.XLOOKUP($J53,Catalogo!$B$7:$B$210,Catalogo!$I$7:$I$210,"",0)=0,"",_xlfn.XLOOKUP($J53,Catalogo!$B$7:$B$210,Catalogo!$I$7:$I$210,"",0))</f>
        <v>DCVG</v>
      </c>
      <c r="L53" s="36">
        <v>31.54</v>
      </c>
      <c r="M53" s="261">
        <f>IF(Tabla1[[#This Row],[Avance_km]]&lt;&gt;"",Tabla1[[#This Row],[Avance_km]],Tabla1[[#This Row],[Avance_Med]])*_xlfn.XLOOKUP(Tabla1[[#This Row],[Codigo_actividad]],Catalogo!$B$6:$B$51,Catalogo!$F$6:$F$51,0)</f>
        <v>47986.930199999995</v>
      </c>
    </row>
    <row r="54" spans="1:13" x14ac:dyDescent="0.25">
      <c r="A54" s="354">
        <v>45988</v>
      </c>
      <c r="B54" s="38" t="s">
        <v>30</v>
      </c>
      <c r="C54" s="155" t="s">
        <v>22</v>
      </c>
      <c r="D54" s="39" t="s">
        <v>27</v>
      </c>
      <c r="E54" s="60" t="s">
        <v>31</v>
      </c>
      <c r="F54" s="28">
        <v>0</v>
      </c>
      <c r="G54" s="28">
        <v>1000</v>
      </c>
      <c r="H54" s="53" t="str">
        <f>IF(Tabla1[[#This Row],[Codigo_actividad]]&lt;&gt;2.5,IF(((Tabla1[[#This Row],[fin]]-Tabla1[[#This Row],[inicio]])/1000)=0,"",((Tabla1[[#This Row],[fin]]-Tabla1[[#This Row],[inicio]])/1000)),"")</f>
        <v/>
      </c>
      <c r="I54" s="57">
        <v>2</v>
      </c>
      <c r="J54" s="24">
        <v>2.5</v>
      </c>
      <c r="K54" s="57" t="str">
        <f>IF(_xlfn.XLOOKUP($J54,Catalogo!$B$7:$B$210,Catalogo!$I$7:$I$210,"",0)=0,"",_xlfn.XLOOKUP($J54,Catalogo!$B$7:$B$210,Catalogo!$I$7:$I$210,"",0))</f>
        <v>Resistividades pH BSR BPA</v>
      </c>
      <c r="L54" s="36">
        <v>25.4</v>
      </c>
      <c r="M54" s="261">
        <f>IF(Tabla1[[#This Row],[Avance_km]]&lt;&gt;"",Tabla1[[#This Row],[Avance_km]],Tabla1[[#This Row],[Avance_Med]])*_xlfn.XLOOKUP(Tabla1[[#This Row],[Codigo_actividad]],Catalogo!$B$6:$B$51,Catalogo!$F$6:$F$51,0)</f>
        <v>9316</v>
      </c>
    </row>
    <row r="55" spans="1:13" x14ac:dyDescent="0.25">
      <c r="A55" s="354">
        <v>45988</v>
      </c>
      <c r="B55" s="38" t="s">
        <v>30</v>
      </c>
      <c r="C55" s="155" t="s">
        <v>13</v>
      </c>
      <c r="D55" s="39" t="s">
        <v>14</v>
      </c>
      <c r="E55" s="60" t="s">
        <v>31</v>
      </c>
      <c r="F55" s="28">
        <v>30000</v>
      </c>
      <c r="G55" s="28">
        <v>31540</v>
      </c>
      <c r="H55" s="53" t="str">
        <f>IF(Tabla1[[#This Row],[Codigo_actividad]]&lt;&gt;2.5,IF(((Tabla1[[#This Row],[fin]]-Tabla1[[#This Row],[inicio]])/1000)=0,"",((Tabla1[[#This Row],[fin]]-Tabla1[[#This Row],[inicio]])/1000)),"")</f>
        <v/>
      </c>
      <c r="I55" s="57">
        <v>4</v>
      </c>
      <c r="J55" s="24">
        <v>2.5</v>
      </c>
      <c r="K55" s="57" t="str">
        <f>IF(_xlfn.XLOOKUP($J55,Catalogo!$B$7:$B$210,Catalogo!$I$7:$I$210,"",0)=0,"",_xlfn.XLOOKUP($J55,Catalogo!$B$7:$B$210,Catalogo!$I$7:$I$210,"",0))</f>
        <v>Resistividades pH BSR BPA</v>
      </c>
      <c r="L55" s="36">
        <v>31.54</v>
      </c>
      <c r="M55" s="261">
        <f>IF(Tabla1[[#This Row],[Avance_km]]&lt;&gt;"",Tabla1[[#This Row],[Avance_km]],Tabla1[[#This Row],[Avance_Med]])*_xlfn.XLOOKUP(Tabla1[[#This Row],[Codigo_actividad]],Catalogo!$B$6:$B$51,Catalogo!$F$6:$F$51,0)</f>
        <v>18632</v>
      </c>
    </row>
    <row r="56" spans="1:13" x14ac:dyDescent="0.25">
      <c r="A56" s="354"/>
      <c r="B56" s="38"/>
      <c r="C56" s="155"/>
      <c r="D56" s="39"/>
      <c r="E56" s="60"/>
      <c r="F56" s="28"/>
      <c r="G56" s="28"/>
      <c r="H56" s="53" t="str">
        <f>IF(Tabla1[[#This Row],[Codigo_actividad]]&lt;&gt;2.5,IF(((Tabla1[[#This Row],[fin]]-Tabla1[[#This Row],[inicio]])/1000)=0,"",((Tabla1[[#This Row],[fin]]-Tabla1[[#This Row],[inicio]])/1000)),"")</f>
        <v/>
      </c>
      <c r="I56" s="57"/>
      <c r="J56" s="24"/>
      <c r="K56" s="57" t="str">
        <f>IF(_xlfn.XLOOKUP($J56,Catalogo!$B$7:$B$210,Catalogo!$I$7:$I$210,"",0)=0,"",_xlfn.XLOOKUP($J56,Catalogo!$B$7:$B$210,Catalogo!$I$7:$I$210,"",0))</f>
        <v/>
      </c>
      <c r="L56" s="36"/>
      <c r="M56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57" spans="1:13" x14ac:dyDescent="0.25">
      <c r="A57" s="354">
        <v>45989</v>
      </c>
      <c r="B57" s="38" t="s">
        <v>12</v>
      </c>
      <c r="C57" s="155" t="s">
        <v>22</v>
      </c>
      <c r="D57" s="39" t="s">
        <v>27</v>
      </c>
      <c r="E57" s="60" t="s">
        <v>36</v>
      </c>
      <c r="F57" s="28">
        <v>0</v>
      </c>
      <c r="G57" s="28">
        <v>5000</v>
      </c>
      <c r="H57" s="53">
        <f>IF(Tabla1[[#This Row],[Codigo_actividad]]&lt;&gt;2.5,IF(((Tabla1[[#This Row],[fin]]-Tabla1[[#This Row],[inicio]])/1000)=0,"",((Tabla1[[#This Row],[fin]]-Tabla1[[#This Row],[inicio]])/1000)),"")</f>
        <v>5</v>
      </c>
      <c r="I57" s="57"/>
      <c r="J57" s="24">
        <v>2.2999999999999998</v>
      </c>
      <c r="K57" s="57" t="str">
        <f>IF(_xlfn.XLOOKUP($J57,Catalogo!$B$7:$B$210,Catalogo!$I$7:$I$210,"",0)=0,"",_xlfn.XLOOKUP($J57,Catalogo!$B$7:$B$210,Catalogo!$I$7:$I$210,"",0))</f>
        <v>DCVG</v>
      </c>
      <c r="L57" s="36">
        <v>25.4</v>
      </c>
      <c r="M57" s="261">
        <f>IF(Tabla1[[#This Row],[Avance_km]]&lt;&gt;"",Tabla1[[#This Row],[Avance_km]],Tabla1[[#This Row],[Avance_Med]])*_xlfn.XLOOKUP(Tabla1[[#This Row],[Codigo_actividad]],Catalogo!$B$6:$B$51,Catalogo!$F$6:$F$51,0)</f>
        <v>67778.149999999994</v>
      </c>
    </row>
    <row r="58" spans="1:13" x14ac:dyDescent="0.25">
      <c r="A58" s="354">
        <v>45989</v>
      </c>
      <c r="B58" s="38" t="s">
        <v>29</v>
      </c>
      <c r="C58" s="155" t="s">
        <v>22</v>
      </c>
      <c r="D58" s="39" t="s">
        <v>27</v>
      </c>
      <c r="E58" s="60" t="s">
        <v>36</v>
      </c>
      <c r="F58" s="28">
        <v>5000</v>
      </c>
      <c r="G58" s="28">
        <v>10000</v>
      </c>
      <c r="H58" s="53">
        <f>IF(Tabla1[[#This Row],[Codigo_actividad]]&lt;&gt;2.5,IF(((Tabla1[[#This Row],[fin]]-Tabla1[[#This Row],[inicio]])/1000)=0,"",((Tabla1[[#This Row],[fin]]-Tabla1[[#This Row],[inicio]])/1000)),"")</f>
        <v>5</v>
      </c>
      <c r="I58" s="57"/>
      <c r="J58" s="24">
        <v>2.2999999999999998</v>
      </c>
      <c r="K58" s="57" t="str">
        <f>IF(_xlfn.XLOOKUP($J58,Catalogo!$B$7:$B$210,Catalogo!$I$7:$I$210,"",0)=0,"",_xlfn.XLOOKUP($J58,Catalogo!$B$7:$B$210,Catalogo!$I$7:$I$210,"",0))</f>
        <v>DCVG</v>
      </c>
      <c r="L58" s="36">
        <v>25.4</v>
      </c>
      <c r="M58" s="261">
        <f>IF(Tabla1[[#This Row],[Avance_km]]&lt;&gt;"",Tabla1[[#This Row],[Avance_km]],Tabla1[[#This Row],[Avance_Med]])*_xlfn.XLOOKUP(Tabla1[[#This Row],[Codigo_actividad]],Catalogo!$B$6:$B$51,Catalogo!$F$6:$F$51,0)</f>
        <v>67778.149999999994</v>
      </c>
    </row>
    <row r="59" spans="1:13" x14ac:dyDescent="0.25">
      <c r="A59" s="354">
        <v>45989</v>
      </c>
      <c r="B59" s="38" t="s">
        <v>30</v>
      </c>
      <c r="C59" s="155" t="s">
        <v>22</v>
      </c>
      <c r="D59" s="39" t="s">
        <v>27</v>
      </c>
      <c r="E59" s="60" t="s">
        <v>31</v>
      </c>
      <c r="F59" s="28">
        <v>1000</v>
      </c>
      <c r="G59" s="28">
        <v>10500</v>
      </c>
      <c r="H59" s="53" t="str">
        <f>IF(Tabla1[[#This Row],[Codigo_actividad]]&lt;&gt;2.5,IF(((Tabla1[[#This Row],[fin]]-Tabla1[[#This Row],[inicio]])/1000)=0,"",((Tabla1[[#This Row],[fin]]-Tabla1[[#This Row],[inicio]])/1000)),"")</f>
        <v/>
      </c>
      <c r="I59" s="57">
        <v>20</v>
      </c>
      <c r="J59" s="24">
        <v>2.5</v>
      </c>
      <c r="K59" s="57" t="str">
        <f>IF(_xlfn.XLOOKUP($J59,Catalogo!$B$7:$B$210,Catalogo!$I$7:$I$210,"",0)=0,"",_xlfn.XLOOKUP($J59,Catalogo!$B$7:$B$210,Catalogo!$I$7:$I$210,"",0))</f>
        <v>Resistividades pH BSR BPA</v>
      </c>
      <c r="L59" s="36">
        <v>25.4</v>
      </c>
      <c r="M59" s="261">
        <f>IF(Tabla1[[#This Row],[Avance_km]]&lt;&gt;"",Tabla1[[#This Row],[Avance_km]],Tabla1[[#This Row],[Avance_Med]])*_xlfn.XLOOKUP(Tabla1[[#This Row],[Codigo_actividad]],Catalogo!$B$6:$B$51,Catalogo!$F$6:$F$51,0)</f>
        <v>93160</v>
      </c>
    </row>
    <row r="60" spans="1:13" x14ac:dyDescent="0.25">
      <c r="A60" s="354"/>
      <c r="B60" s="38"/>
      <c r="C60" s="155"/>
      <c r="D60" s="39"/>
      <c r="E60" s="60"/>
      <c r="F60" s="28"/>
      <c r="G60" s="28"/>
      <c r="H60" s="53" t="str">
        <f>IF(Tabla1[[#This Row],[Codigo_actividad]]&lt;&gt;2.5,IF(((Tabla1[[#This Row],[fin]]-Tabla1[[#This Row],[inicio]])/1000)=0,"",((Tabla1[[#This Row],[fin]]-Tabla1[[#This Row],[inicio]])/1000)),"")</f>
        <v/>
      </c>
      <c r="I60" s="57"/>
      <c r="J60" s="24"/>
      <c r="K60" s="57" t="str">
        <f>IF(_xlfn.XLOOKUP($J60,Catalogo!$B$7:$B$210,Catalogo!$I$7:$I$210,"",0)=0,"",_xlfn.XLOOKUP($J60,Catalogo!$B$7:$B$210,Catalogo!$I$7:$I$210,"",0))</f>
        <v/>
      </c>
      <c r="L60" s="36"/>
      <c r="M60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61" spans="1:13" x14ac:dyDescent="0.25">
      <c r="A61" s="354">
        <v>45990</v>
      </c>
      <c r="B61" s="38" t="s">
        <v>12</v>
      </c>
      <c r="C61" s="155" t="s">
        <v>22</v>
      </c>
      <c r="D61" s="39" t="s">
        <v>27</v>
      </c>
      <c r="E61" s="60" t="s">
        <v>36</v>
      </c>
      <c r="F61" s="28">
        <v>10000</v>
      </c>
      <c r="G61" s="28">
        <v>15300</v>
      </c>
      <c r="H61" s="53">
        <f>IF(Tabla1[[#This Row],[Codigo_actividad]]&lt;&gt;2.5,IF(((Tabla1[[#This Row],[fin]]-Tabla1[[#This Row],[inicio]])/1000)=0,"",((Tabla1[[#This Row],[fin]]-Tabla1[[#This Row],[inicio]])/1000)),"")</f>
        <v>5.3</v>
      </c>
      <c r="I61" s="57"/>
      <c r="J61" s="24">
        <v>2.2999999999999998</v>
      </c>
      <c r="K61" s="57" t="str">
        <f>IF(_xlfn.XLOOKUP($J61,Catalogo!$B$7:$B$210,Catalogo!$I$7:$I$210,"",0)=0,"",_xlfn.XLOOKUP($J61,Catalogo!$B$7:$B$210,Catalogo!$I$7:$I$210,"",0))</f>
        <v>DCVG</v>
      </c>
      <c r="L61" s="36">
        <v>25.4</v>
      </c>
      <c r="M61" s="261">
        <f>IF(Tabla1[[#This Row],[Avance_km]]&lt;&gt;"",Tabla1[[#This Row],[Avance_km]],Tabla1[[#This Row],[Avance_Med]])*_xlfn.XLOOKUP(Tabla1[[#This Row],[Codigo_actividad]],Catalogo!$B$6:$B$51,Catalogo!$F$6:$F$51,0)</f>
        <v>71844.838999999993</v>
      </c>
    </row>
    <row r="62" spans="1:13" x14ac:dyDescent="0.25">
      <c r="A62" s="354">
        <v>45990</v>
      </c>
      <c r="B62" s="38" t="s">
        <v>29</v>
      </c>
      <c r="C62" s="155" t="s">
        <v>22</v>
      </c>
      <c r="D62" s="39" t="s">
        <v>27</v>
      </c>
      <c r="E62" s="60" t="s">
        <v>36</v>
      </c>
      <c r="F62" s="28">
        <v>15300</v>
      </c>
      <c r="G62" s="28">
        <v>21500</v>
      </c>
      <c r="H62" s="53">
        <f>IF(Tabla1[[#This Row],[Codigo_actividad]]&lt;&gt;2.5,IF(((Tabla1[[#This Row],[fin]]-Tabla1[[#This Row],[inicio]])/1000)=0,"",((Tabla1[[#This Row],[fin]]-Tabla1[[#This Row],[inicio]])/1000)),"")</f>
        <v>6.2</v>
      </c>
      <c r="I62" s="57"/>
      <c r="J62" s="24">
        <v>2.2999999999999998</v>
      </c>
      <c r="K62" s="57" t="str">
        <f>IF(_xlfn.XLOOKUP($J62,Catalogo!$B$7:$B$210,Catalogo!$I$7:$I$210,"",0)=0,"",_xlfn.XLOOKUP($J62,Catalogo!$B$7:$B$210,Catalogo!$I$7:$I$210,"",0))</f>
        <v>DCVG</v>
      </c>
      <c r="L62" s="36">
        <v>25.4</v>
      </c>
      <c r="M62" s="261">
        <f>IF(Tabla1[[#This Row],[Avance_km]]&lt;&gt;"",Tabla1[[#This Row],[Avance_km]],Tabla1[[#This Row],[Avance_Med]])*_xlfn.XLOOKUP(Tabla1[[#This Row],[Codigo_actividad]],Catalogo!$B$6:$B$51,Catalogo!$F$6:$F$51,0)</f>
        <v>84044.906000000003</v>
      </c>
    </row>
    <row r="63" spans="1:13" x14ac:dyDescent="0.25">
      <c r="A63" s="354">
        <v>45990</v>
      </c>
      <c r="B63" s="38" t="s">
        <v>30</v>
      </c>
      <c r="C63" s="155" t="s">
        <v>22</v>
      </c>
      <c r="D63" s="39" t="s">
        <v>27</v>
      </c>
      <c r="E63" s="60" t="s">
        <v>31</v>
      </c>
      <c r="F63" s="28">
        <v>10500</v>
      </c>
      <c r="G63" s="28">
        <v>16500</v>
      </c>
      <c r="H63" s="53" t="str">
        <f>IF(Tabla1[[#This Row],[Codigo_actividad]]&lt;&gt;2.5,IF(((Tabla1[[#This Row],[fin]]-Tabla1[[#This Row],[inicio]])/1000)=0,"",((Tabla1[[#This Row],[fin]]-Tabla1[[#This Row],[inicio]])/1000)),"")</f>
        <v/>
      </c>
      <c r="I63" s="57">
        <v>12</v>
      </c>
      <c r="J63" s="24">
        <v>2.5</v>
      </c>
      <c r="K63" s="57" t="str">
        <f>IF(_xlfn.XLOOKUP($J63,Catalogo!$B$7:$B$210,Catalogo!$I$7:$I$210,"",0)=0,"",_xlfn.XLOOKUP($J63,Catalogo!$B$7:$B$210,Catalogo!$I$7:$I$210,"",0))</f>
        <v>Resistividades pH BSR BPA</v>
      </c>
      <c r="L63" s="36">
        <v>25.4</v>
      </c>
      <c r="M63" s="261">
        <f>IF(Tabla1[[#This Row],[Avance_km]]&lt;&gt;"",Tabla1[[#This Row],[Avance_km]],Tabla1[[#This Row],[Avance_Med]])*_xlfn.XLOOKUP(Tabla1[[#This Row],[Codigo_actividad]],Catalogo!$B$6:$B$51,Catalogo!$F$6:$F$51,0)</f>
        <v>55896</v>
      </c>
    </row>
    <row r="64" spans="1:13" x14ac:dyDescent="0.25">
      <c r="A64" s="354"/>
      <c r="B64" s="38"/>
      <c r="C64" s="155"/>
      <c r="D64" s="39"/>
      <c r="E64" s="60"/>
      <c r="F64" s="28"/>
      <c r="G64" s="28"/>
      <c r="H64" s="53" t="str">
        <f>IF(Tabla1[[#This Row],[Codigo_actividad]]&lt;&gt;2.5,IF(((Tabla1[[#This Row],[fin]]-Tabla1[[#This Row],[inicio]])/1000)=0,"",((Tabla1[[#This Row],[fin]]-Tabla1[[#This Row],[inicio]])/1000)),"")</f>
        <v/>
      </c>
      <c r="I64" s="57"/>
      <c r="J64" s="24"/>
      <c r="K64" s="57" t="str">
        <f>IF(_xlfn.XLOOKUP($J64,Catalogo!$B$7:$B$210,Catalogo!$I$7:$I$210,"",0)=0,"",_xlfn.XLOOKUP($J64,Catalogo!$B$7:$B$210,Catalogo!$I$7:$I$210,"",0))</f>
        <v/>
      </c>
      <c r="L64" s="36"/>
      <c r="M64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65" spans="1:13" x14ac:dyDescent="0.25">
      <c r="A65" s="354">
        <v>45992</v>
      </c>
      <c r="B65" s="38" t="s">
        <v>12</v>
      </c>
      <c r="C65" s="155" t="s">
        <v>22</v>
      </c>
      <c r="D65" s="39" t="s">
        <v>23</v>
      </c>
      <c r="E65" s="60" t="s">
        <v>36</v>
      </c>
      <c r="F65" s="28">
        <v>0</v>
      </c>
      <c r="G65" s="28">
        <v>2200</v>
      </c>
      <c r="H65" s="53">
        <f>IF(Tabla1[[#This Row],[Codigo_actividad]]&lt;&gt;2.5,IF(((Tabla1[[#This Row],[fin]]-Tabla1[[#This Row],[inicio]])/1000)=0,"",((Tabla1[[#This Row],[fin]]-Tabla1[[#This Row],[inicio]])/1000)),"")</f>
        <v>2.2000000000000002</v>
      </c>
      <c r="I65" s="57"/>
      <c r="J65" s="24">
        <v>2.2999999999999998</v>
      </c>
      <c r="K65" s="57" t="str">
        <f>IF(_xlfn.XLOOKUP($J65,Catalogo!$B$7:$B$210,Catalogo!$I$7:$I$210,"",0)=0,"",_xlfn.XLOOKUP($J65,Catalogo!$B$7:$B$210,Catalogo!$I$7:$I$210,"",0))</f>
        <v>DCVG</v>
      </c>
      <c r="L65" s="36">
        <v>2.2000000000000002</v>
      </c>
      <c r="M65" s="261">
        <f>IF(Tabla1[[#This Row],[Avance_km]]&lt;&gt;"",Tabla1[[#This Row],[Avance_km]],Tabla1[[#This Row],[Avance_Med]])*_xlfn.XLOOKUP(Tabla1[[#This Row],[Codigo_actividad]],Catalogo!$B$6:$B$51,Catalogo!$F$6:$F$51,0)</f>
        <v>29822.386000000002</v>
      </c>
    </row>
    <row r="66" spans="1:13" x14ac:dyDescent="0.25">
      <c r="A66" s="354">
        <v>45992</v>
      </c>
      <c r="B66" s="38" t="s">
        <v>12</v>
      </c>
      <c r="C66" s="155" t="s">
        <v>22</v>
      </c>
      <c r="D66" s="39" t="s">
        <v>24</v>
      </c>
      <c r="E66" s="60" t="s">
        <v>36</v>
      </c>
      <c r="F66" s="28">
        <v>0</v>
      </c>
      <c r="G66" s="28">
        <v>2576</v>
      </c>
      <c r="H66" s="53">
        <f>IF(Tabla1[[#This Row],[Codigo_actividad]]&lt;&gt;2.5,IF(((Tabla1[[#This Row],[fin]]-Tabla1[[#This Row],[inicio]])/1000)=0,"",((Tabla1[[#This Row],[fin]]-Tabla1[[#This Row],[inicio]])/1000)),"")</f>
        <v>2.5760000000000001</v>
      </c>
      <c r="I66" s="57"/>
      <c r="J66" s="24">
        <v>2.2999999999999998</v>
      </c>
      <c r="K66" s="57" t="str">
        <f>IF(_xlfn.XLOOKUP($J66,Catalogo!$B$7:$B$210,Catalogo!$I$7:$I$210,"",0)=0,"",_xlfn.XLOOKUP($J66,Catalogo!$B$7:$B$210,Catalogo!$I$7:$I$210,"",0))</f>
        <v>DCVG</v>
      </c>
      <c r="L66" s="36">
        <v>2.5760000000000001</v>
      </c>
      <c r="M66" s="261">
        <f>IF(Tabla1[[#This Row],[Avance_km]]&lt;&gt;"",Tabla1[[#This Row],[Avance_km]],Tabla1[[#This Row],[Avance_Med]])*_xlfn.XLOOKUP(Tabla1[[#This Row],[Codigo_actividad]],Catalogo!$B$6:$B$51,Catalogo!$F$6:$F$51,0)</f>
        <v>34919.302879999996</v>
      </c>
    </row>
    <row r="67" spans="1:13" x14ac:dyDescent="0.25">
      <c r="A67" s="354">
        <v>45992</v>
      </c>
      <c r="B67" s="38" t="s">
        <v>12</v>
      </c>
      <c r="C67" s="155" t="s">
        <v>22</v>
      </c>
      <c r="D67" s="39" t="s">
        <v>39</v>
      </c>
      <c r="E67" s="60" t="s">
        <v>36</v>
      </c>
      <c r="F67" s="28">
        <v>0</v>
      </c>
      <c r="G67" s="28">
        <v>20</v>
      </c>
      <c r="H67" s="53">
        <f>IF(Tabla1[[#This Row],[Codigo_actividad]]&lt;&gt;2.5,IF(((Tabla1[[#This Row],[fin]]-Tabla1[[#This Row],[inicio]])/1000)=0,"",((Tabla1[[#This Row],[fin]]-Tabla1[[#This Row],[inicio]])/1000)),"")</f>
        <v>0.02</v>
      </c>
      <c r="I67" s="57"/>
      <c r="J67" s="24">
        <v>2.2999999999999998</v>
      </c>
      <c r="K67" s="57" t="str">
        <f>IF(_xlfn.XLOOKUP($J67,Catalogo!$B$7:$B$210,Catalogo!$I$7:$I$210,"",0)=0,"",_xlfn.XLOOKUP($J67,Catalogo!$B$7:$B$210,Catalogo!$I$7:$I$210,"",0))</f>
        <v>DCVG</v>
      </c>
      <c r="L67" s="36">
        <v>0.02</v>
      </c>
      <c r="M67" s="261">
        <f>IF(Tabla1[[#This Row],[Avance_km]]&lt;&gt;"",Tabla1[[#This Row],[Avance_km]],Tabla1[[#This Row],[Avance_Med]])*_xlfn.XLOOKUP(Tabla1[[#This Row],[Codigo_actividad]],Catalogo!$B$6:$B$51,Catalogo!$F$6:$F$51,0)</f>
        <v>271.11259999999999</v>
      </c>
    </row>
    <row r="68" spans="1:13" x14ac:dyDescent="0.25">
      <c r="A68" s="354">
        <v>45992</v>
      </c>
      <c r="B68" s="38" t="s">
        <v>12</v>
      </c>
      <c r="C68" s="155" t="s">
        <v>22</v>
      </c>
      <c r="D68" s="39" t="s">
        <v>39</v>
      </c>
      <c r="E68" s="60" t="s">
        <v>16</v>
      </c>
      <c r="F68" s="28">
        <v>0</v>
      </c>
      <c r="G68" s="28">
        <v>20</v>
      </c>
      <c r="H68" s="53">
        <f>IF(Tabla1[[#This Row],[Codigo_actividad]]&lt;&gt;2.5,IF(((Tabla1[[#This Row],[fin]]-Tabla1[[#This Row],[inicio]])/1000)=0,"",((Tabla1[[#This Row],[fin]]-Tabla1[[#This Row],[inicio]])/1000)),"")</f>
        <v>0.02</v>
      </c>
      <c r="I68" s="57"/>
      <c r="J68" s="24">
        <v>2.6</v>
      </c>
      <c r="K68" s="57" t="str">
        <f>IF(_xlfn.XLOOKUP($J68,Catalogo!$B$7:$B$210,Catalogo!$I$7:$I$210,"",0)=0,"",_xlfn.XLOOKUP($J68,Catalogo!$B$7:$B$210,Catalogo!$I$7:$I$210,"",0))</f>
        <v>Localizacion</v>
      </c>
      <c r="L68" s="36">
        <v>0.02</v>
      </c>
      <c r="M68" s="261">
        <f>IF(Tabla1[[#This Row],[Avance_km]]&lt;&gt;"",Tabla1[[#This Row],[Avance_km]],Tabla1[[#This Row],[Avance_Med]])*_xlfn.XLOOKUP(Tabla1[[#This Row],[Codigo_actividad]],Catalogo!$B$6:$B$51,Catalogo!$F$6:$F$51,0)</f>
        <v>45.148400000000002</v>
      </c>
    </row>
    <row r="69" spans="1:13" x14ac:dyDescent="0.25">
      <c r="A69" s="354">
        <v>45992</v>
      </c>
      <c r="B69" s="38" t="s">
        <v>12</v>
      </c>
      <c r="C69" s="155" t="s">
        <v>22</v>
      </c>
      <c r="D69" s="39" t="s">
        <v>25</v>
      </c>
      <c r="E69" s="60" t="s">
        <v>36</v>
      </c>
      <c r="F69" s="28">
        <v>0</v>
      </c>
      <c r="G69" s="28">
        <v>125</v>
      </c>
      <c r="H69" s="53">
        <f>IF(Tabla1[[#This Row],[Codigo_actividad]]&lt;&gt;2.5,IF(((Tabla1[[#This Row],[fin]]-Tabla1[[#This Row],[inicio]])/1000)=0,"",((Tabla1[[#This Row],[fin]]-Tabla1[[#This Row],[inicio]])/1000)),"")</f>
        <v>0.125</v>
      </c>
      <c r="I69" s="57"/>
      <c r="J69" s="24">
        <v>2.2999999999999998</v>
      </c>
      <c r="K69" s="57" t="str">
        <f>IF(_xlfn.XLOOKUP($J69,Catalogo!$B$7:$B$210,Catalogo!$I$7:$I$210,"",0)=0,"",_xlfn.XLOOKUP($J69,Catalogo!$B$7:$B$210,Catalogo!$I$7:$I$210,"",0))</f>
        <v>DCVG</v>
      </c>
      <c r="L69" s="36">
        <v>0.125</v>
      </c>
      <c r="M69" s="261">
        <f>IF(Tabla1[[#This Row],[Avance_km]]&lt;&gt;"",Tabla1[[#This Row],[Avance_km]],Tabla1[[#This Row],[Avance_Med]])*_xlfn.XLOOKUP(Tabla1[[#This Row],[Codigo_actividad]],Catalogo!$B$6:$B$51,Catalogo!$F$6:$F$51,0)</f>
        <v>1694.4537499999999</v>
      </c>
    </row>
    <row r="70" spans="1:13" x14ac:dyDescent="0.25">
      <c r="A70" s="354">
        <v>45992</v>
      </c>
      <c r="B70" s="38" t="s">
        <v>12</v>
      </c>
      <c r="C70" s="155" t="s">
        <v>22</v>
      </c>
      <c r="D70" s="39" t="s">
        <v>34</v>
      </c>
      <c r="E70" s="60" t="s">
        <v>36</v>
      </c>
      <c r="F70" s="28">
        <v>0</v>
      </c>
      <c r="G70" s="28">
        <v>120</v>
      </c>
      <c r="H70" s="53">
        <f>IF(Tabla1[[#This Row],[Codigo_actividad]]&lt;&gt;2.5,IF(((Tabla1[[#This Row],[fin]]-Tabla1[[#This Row],[inicio]])/1000)=0,"",((Tabla1[[#This Row],[fin]]-Tabla1[[#This Row],[inicio]])/1000)),"")</f>
        <v>0.12</v>
      </c>
      <c r="I70" s="57"/>
      <c r="J70" s="24">
        <v>2.2999999999999998</v>
      </c>
      <c r="K70" s="57" t="str">
        <f>IF(_xlfn.XLOOKUP($J70,Catalogo!$B$7:$B$210,Catalogo!$I$7:$I$210,"",0)=0,"",_xlfn.XLOOKUP($J70,Catalogo!$B$7:$B$210,Catalogo!$I$7:$I$210,"",0))</f>
        <v>DCVG</v>
      </c>
      <c r="L70" s="36">
        <v>0.12</v>
      </c>
      <c r="M70" s="261">
        <f>IF(Tabla1[[#This Row],[Avance_km]]&lt;&gt;"",Tabla1[[#This Row],[Avance_km]],Tabla1[[#This Row],[Avance_Med]])*_xlfn.XLOOKUP(Tabla1[[#This Row],[Codigo_actividad]],Catalogo!$B$6:$B$51,Catalogo!$F$6:$F$51,0)</f>
        <v>1626.6755999999998</v>
      </c>
    </row>
    <row r="71" spans="1:13" x14ac:dyDescent="0.25">
      <c r="A71" s="354">
        <v>45992</v>
      </c>
      <c r="B71" s="38" t="s">
        <v>29</v>
      </c>
      <c r="C71" s="155" t="s">
        <v>22</v>
      </c>
      <c r="D71" s="39" t="s">
        <v>27</v>
      </c>
      <c r="E71" s="60" t="s">
        <v>36</v>
      </c>
      <c r="F71" s="28">
        <v>21500</v>
      </c>
      <c r="G71" s="28">
        <v>25400</v>
      </c>
      <c r="H71" s="53">
        <f>IF(Tabla1[[#This Row],[Codigo_actividad]]&lt;&gt;2.5,IF(((Tabla1[[#This Row],[fin]]-Tabla1[[#This Row],[inicio]])/1000)=0,"",((Tabla1[[#This Row],[fin]]-Tabla1[[#This Row],[inicio]])/1000)),"")</f>
        <v>3.9</v>
      </c>
      <c r="I71" s="57"/>
      <c r="J71" s="24">
        <v>2.2999999999999998</v>
      </c>
      <c r="K71" s="57" t="str">
        <f>IF(_xlfn.XLOOKUP($J71,Catalogo!$B$7:$B$210,Catalogo!$I$7:$I$210,"",0)=0,"",_xlfn.XLOOKUP($J71,Catalogo!$B$7:$B$210,Catalogo!$I$7:$I$210,"",0))</f>
        <v>DCVG</v>
      </c>
      <c r="L71" s="36">
        <v>25.4</v>
      </c>
      <c r="M71" s="261">
        <f>IF(Tabla1[[#This Row],[Avance_km]]&lt;&gt;"",Tabla1[[#This Row],[Avance_km]],Tabla1[[#This Row],[Avance_Med]])*_xlfn.XLOOKUP(Tabla1[[#This Row],[Codigo_actividad]],Catalogo!$B$6:$B$51,Catalogo!$F$6:$F$51,0)</f>
        <v>52866.956999999995</v>
      </c>
    </row>
    <row r="72" spans="1:13" x14ac:dyDescent="0.25">
      <c r="A72" s="354">
        <v>45992</v>
      </c>
      <c r="B72" s="38" t="s">
        <v>29</v>
      </c>
      <c r="C72" s="155" t="s">
        <v>22</v>
      </c>
      <c r="D72" s="39" t="s">
        <v>357</v>
      </c>
      <c r="E72" s="60" t="s">
        <v>36</v>
      </c>
      <c r="F72" s="28">
        <v>0</v>
      </c>
      <c r="G72" s="28">
        <v>741</v>
      </c>
      <c r="H72" s="53">
        <f>IF(Tabla1[[#This Row],[Codigo_actividad]]&lt;&gt;2.5,IF(((Tabla1[[#This Row],[fin]]-Tabla1[[#This Row],[inicio]])/1000)=0,"",((Tabla1[[#This Row],[fin]]-Tabla1[[#This Row],[inicio]])/1000)),"")</f>
        <v>0.74099999999999999</v>
      </c>
      <c r="I72" s="57"/>
      <c r="J72" s="24">
        <v>2.2999999999999998</v>
      </c>
      <c r="K72" s="57" t="str">
        <f>IF(_xlfn.XLOOKUP($J72,Catalogo!$B$7:$B$210,Catalogo!$I$7:$I$210,"",0)=0,"",_xlfn.XLOOKUP($J72,Catalogo!$B$7:$B$210,Catalogo!$I$7:$I$210,"",0))</f>
        <v>DCVG</v>
      </c>
      <c r="L72" s="36">
        <v>0.74099999999999999</v>
      </c>
      <c r="M72" s="261">
        <f>IF(Tabla1[[#This Row],[Avance_km]]&lt;&gt;"",Tabla1[[#This Row],[Avance_km]],Tabla1[[#This Row],[Avance_Med]])*_xlfn.XLOOKUP(Tabla1[[#This Row],[Codigo_actividad]],Catalogo!$B$6:$B$51,Catalogo!$F$6:$F$51,0)</f>
        <v>10044.721829999999</v>
      </c>
    </row>
    <row r="73" spans="1:13" x14ac:dyDescent="0.25">
      <c r="A73" s="354">
        <v>45992</v>
      </c>
      <c r="B73" s="38" t="s">
        <v>29</v>
      </c>
      <c r="C73" s="155" t="s">
        <v>22</v>
      </c>
      <c r="D73" s="39" t="s">
        <v>33</v>
      </c>
      <c r="E73" s="60" t="s">
        <v>36</v>
      </c>
      <c r="F73" s="28">
        <v>0</v>
      </c>
      <c r="G73" s="28">
        <v>40</v>
      </c>
      <c r="H73" s="53">
        <f>IF(Tabla1[[#This Row],[Codigo_actividad]]&lt;&gt;2.5,IF(((Tabla1[[#This Row],[fin]]-Tabla1[[#This Row],[inicio]])/1000)=0,"",((Tabla1[[#This Row],[fin]]-Tabla1[[#This Row],[inicio]])/1000)),"")</f>
        <v>0.04</v>
      </c>
      <c r="I73" s="57"/>
      <c r="J73" s="24">
        <v>2.2999999999999998</v>
      </c>
      <c r="K73" s="57" t="str">
        <f>IF(_xlfn.XLOOKUP($J73,Catalogo!$B$7:$B$210,Catalogo!$I$7:$I$210,"",0)=0,"",_xlfn.XLOOKUP($J73,Catalogo!$B$7:$B$210,Catalogo!$I$7:$I$210,"",0))</f>
        <v>DCVG</v>
      </c>
      <c r="L73" s="36">
        <v>0.04</v>
      </c>
      <c r="M73" s="261">
        <f>IF(Tabla1[[#This Row],[Avance_km]]&lt;&gt;"",Tabla1[[#This Row],[Avance_km]],Tabla1[[#This Row],[Avance_Med]])*_xlfn.XLOOKUP(Tabla1[[#This Row],[Codigo_actividad]],Catalogo!$B$6:$B$51,Catalogo!$F$6:$F$51,0)</f>
        <v>542.22519999999997</v>
      </c>
    </row>
    <row r="74" spans="1:13" x14ac:dyDescent="0.25">
      <c r="A74" s="354">
        <v>45992</v>
      </c>
      <c r="B74" s="38" t="s">
        <v>29</v>
      </c>
      <c r="C74" s="155" t="s">
        <v>22</v>
      </c>
      <c r="D74" s="39" t="s">
        <v>32</v>
      </c>
      <c r="E74" s="60" t="s">
        <v>36</v>
      </c>
      <c r="F74" s="28">
        <v>0</v>
      </c>
      <c r="G74" s="28">
        <v>479</v>
      </c>
      <c r="H74" s="53">
        <f>IF(Tabla1[[#This Row],[Codigo_actividad]]&lt;&gt;2.5,IF(((Tabla1[[#This Row],[fin]]-Tabla1[[#This Row],[inicio]])/1000)=0,"",((Tabla1[[#This Row],[fin]]-Tabla1[[#This Row],[inicio]])/1000)),"")</f>
        <v>0.47899999999999998</v>
      </c>
      <c r="I74" s="57"/>
      <c r="J74" s="24">
        <v>2.2999999999999998</v>
      </c>
      <c r="K74" s="57" t="str">
        <f>IF(_xlfn.XLOOKUP($J74,Catalogo!$B$7:$B$210,Catalogo!$I$7:$I$210,"",0)=0,"",_xlfn.XLOOKUP($J74,Catalogo!$B$7:$B$210,Catalogo!$I$7:$I$210,"",0))</f>
        <v>DCVG</v>
      </c>
      <c r="L74" s="36">
        <v>0.47899999999999998</v>
      </c>
      <c r="M74" s="261">
        <f>IF(Tabla1[[#This Row],[Avance_km]]&lt;&gt;"",Tabla1[[#This Row],[Avance_km]],Tabla1[[#This Row],[Avance_Med]])*_xlfn.XLOOKUP(Tabla1[[#This Row],[Codigo_actividad]],Catalogo!$B$6:$B$51,Catalogo!$F$6:$F$51,0)</f>
        <v>6493.1467699999994</v>
      </c>
    </row>
    <row r="75" spans="1:13" x14ac:dyDescent="0.25">
      <c r="A75" s="354">
        <v>45992</v>
      </c>
      <c r="B75" s="38" t="s">
        <v>30</v>
      </c>
      <c r="C75" s="155" t="s">
        <v>22</v>
      </c>
      <c r="D75" s="39" t="s">
        <v>27</v>
      </c>
      <c r="E75" s="60" t="s">
        <v>31</v>
      </c>
      <c r="F75" s="28">
        <v>16500</v>
      </c>
      <c r="G75" s="28">
        <v>25400</v>
      </c>
      <c r="H75" s="53" t="str">
        <f>IF(Tabla1[[#This Row],[Codigo_actividad]]&lt;&gt;2.5,IF(((Tabla1[[#This Row],[fin]]-Tabla1[[#This Row],[inicio]])/1000)=0,"",((Tabla1[[#This Row],[fin]]-Tabla1[[#This Row],[inicio]])/1000)),"")</f>
        <v/>
      </c>
      <c r="I75" s="57">
        <v>18</v>
      </c>
      <c r="J75" s="24">
        <v>2.5</v>
      </c>
      <c r="K75" s="57" t="str">
        <f>IF(_xlfn.XLOOKUP($J75,Catalogo!$B$7:$B$210,Catalogo!$I$7:$I$210,"",0)=0,"",_xlfn.XLOOKUP($J75,Catalogo!$B$7:$B$210,Catalogo!$I$7:$I$210,"",0))</f>
        <v>Resistividades pH BSR BPA</v>
      </c>
      <c r="L75" s="36">
        <v>25.4</v>
      </c>
      <c r="M75" s="261">
        <f>IF(Tabla1[[#This Row],[Avance_km]]&lt;&gt;"",Tabla1[[#This Row],[Avance_km]],Tabla1[[#This Row],[Avance_Med]])*_xlfn.XLOOKUP(Tabla1[[#This Row],[Codigo_actividad]],Catalogo!$B$6:$B$51,Catalogo!$F$6:$F$51,0)</f>
        <v>83844</v>
      </c>
    </row>
    <row r="76" spans="1:13" x14ac:dyDescent="0.25">
      <c r="A76" s="354">
        <v>45982</v>
      </c>
      <c r="B76" s="38" t="s">
        <v>29</v>
      </c>
      <c r="C76" s="155" t="s">
        <v>22</v>
      </c>
      <c r="D76" s="39" t="s">
        <v>26</v>
      </c>
      <c r="E76" s="60" t="s">
        <v>36</v>
      </c>
      <c r="F76" s="28">
        <v>0</v>
      </c>
      <c r="G76" s="28">
        <v>9</v>
      </c>
      <c r="H76" s="53">
        <f>IF(Tabla1[[#This Row],[Codigo_actividad]]&lt;&gt;2.5,IF(((Tabla1[[#This Row],[fin]]-Tabla1[[#This Row],[inicio]])/1000)=0,"",((Tabla1[[#This Row],[fin]]-Tabla1[[#This Row],[inicio]])/1000)),"")</f>
        <v>8.9999999999999993E-3</v>
      </c>
      <c r="I76" s="57"/>
      <c r="J76" s="24">
        <v>2.2999999999999998</v>
      </c>
      <c r="K76" s="57" t="str">
        <f>IF(_xlfn.XLOOKUP($J76,Catalogo!$B$7:$B$210,Catalogo!$I$7:$I$210,"",0)=0,"",_xlfn.XLOOKUP($J76,Catalogo!$B$7:$B$210,Catalogo!$I$7:$I$210,"",0))</f>
        <v>DCVG</v>
      </c>
      <c r="L76" s="36">
        <v>8.9999999999999993E-3</v>
      </c>
      <c r="M76" s="261">
        <f>IF(Tabla1[[#This Row],[Avance_km]]&lt;&gt;"",Tabla1[[#This Row],[Avance_km]],Tabla1[[#This Row],[Avance_Med]])*_xlfn.XLOOKUP(Tabla1[[#This Row],[Codigo_actividad]],Catalogo!$B$6:$B$51,Catalogo!$F$6:$F$51,0)</f>
        <v>122.00066999999999</v>
      </c>
    </row>
    <row r="77" spans="1:13" x14ac:dyDescent="0.25">
      <c r="A77" s="354"/>
      <c r="B77" s="38"/>
      <c r="C77" s="155"/>
      <c r="D77" s="39"/>
      <c r="E77" s="60"/>
      <c r="F77" s="28"/>
      <c r="G77" s="28"/>
      <c r="H77" s="53" t="str">
        <f>IF(Tabla1[[#This Row],[Codigo_actividad]]&lt;&gt;2.5,IF(((Tabla1[[#This Row],[fin]]-Tabla1[[#This Row],[inicio]])/1000)=0,"",((Tabla1[[#This Row],[fin]]-Tabla1[[#This Row],[inicio]])/1000)),"")</f>
        <v/>
      </c>
      <c r="I77" s="57"/>
      <c r="J77" s="24"/>
      <c r="K77" s="57" t="str">
        <f>IF(_xlfn.XLOOKUP($J77,Catalogo!$B$7:$B$210,Catalogo!$I$7:$I$210,"",0)=0,"",_xlfn.XLOOKUP($J77,Catalogo!$B$7:$B$210,Catalogo!$I$7:$I$210,"",0))</f>
        <v/>
      </c>
      <c r="L77" s="36"/>
      <c r="M77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78" spans="1:13" x14ac:dyDescent="0.25">
      <c r="A78" s="354">
        <v>45993</v>
      </c>
      <c r="B78" s="38" t="s">
        <v>12</v>
      </c>
      <c r="C78" s="155" t="s">
        <v>13</v>
      </c>
      <c r="D78" s="39" t="s">
        <v>40</v>
      </c>
      <c r="E78" s="60" t="s">
        <v>36</v>
      </c>
      <c r="F78" s="28">
        <v>0</v>
      </c>
      <c r="G78" s="28">
        <v>20</v>
      </c>
      <c r="H78" s="53">
        <f>IF(Tabla1[[#This Row],[Codigo_actividad]]&lt;&gt;2.5,IF(((Tabla1[[#This Row],[fin]]-Tabla1[[#This Row],[inicio]])/1000)=0,"",((Tabla1[[#This Row],[fin]]-Tabla1[[#This Row],[inicio]])/1000)),"")</f>
        <v>0.02</v>
      </c>
      <c r="I78" s="57"/>
      <c r="J78" s="24">
        <v>2.2999999999999998</v>
      </c>
      <c r="K78" s="57" t="str">
        <f>IF(_xlfn.XLOOKUP($J78,Catalogo!$B$7:$B$210,Catalogo!$I$7:$I$210,"",0)=0,"",_xlfn.XLOOKUP($J78,Catalogo!$B$7:$B$210,Catalogo!$I$7:$I$210,"",0))</f>
        <v>DCVG</v>
      </c>
      <c r="L78" s="36">
        <v>0.02</v>
      </c>
      <c r="M78" s="261">
        <f>IF(Tabla1[[#This Row],[Avance_km]]&lt;&gt;"",Tabla1[[#This Row],[Avance_km]],Tabla1[[#This Row],[Avance_Med]])*_xlfn.XLOOKUP(Tabla1[[#This Row],[Codigo_actividad]],Catalogo!$B$6:$B$51,Catalogo!$F$6:$F$51,0)</f>
        <v>271.11259999999999</v>
      </c>
    </row>
    <row r="79" spans="1:13" x14ac:dyDescent="0.25">
      <c r="A79" s="354">
        <v>45993</v>
      </c>
      <c r="B79" s="38" t="s">
        <v>12</v>
      </c>
      <c r="C79" s="155" t="s">
        <v>13</v>
      </c>
      <c r="D79" s="39" t="s">
        <v>40</v>
      </c>
      <c r="E79" s="60" t="s">
        <v>16</v>
      </c>
      <c r="F79" s="28">
        <v>0</v>
      </c>
      <c r="G79" s="28">
        <v>20</v>
      </c>
      <c r="H79" s="53">
        <f>IF(Tabla1[[#This Row],[Codigo_actividad]]&lt;&gt;2.5,IF(((Tabla1[[#This Row],[fin]]-Tabla1[[#This Row],[inicio]])/1000)=0,"",((Tabla1[[#This Row],[fin]]-Tabla1[[#This Row],[inicio]])/1000)),"")</f>
        <v>0.02</v>
      </c>
      <c r="I79" s="57"/>
      <c r="J79" s="24">
        <v>2.6</v>
      </c>
      <c r="K79" s="57" t="str">
        <f>IF(_xlfn.XLOOKUP($J79,Catalogo!$B$7:$B$210,Catalogo!$I$7:$I$210,"",0)=0,"",_xlfn.XLOOKUP($J79,Catalogo!$B$7:$B$210,Catalogo!$I$7:$I$210,"",0))</f>
        <v>Localizacion</v>
      </c>
      <c r="L79" s="36">
        <v>0.02</v>
      </c>
      <c r="M79" s="261">
        <f>IF(Tabla1[[#This Row],[Avance_km]]&lt;&gt;"",Tabla1[[#This Row],[Avance_km]],Tabla1[[#This Row],[Avance_Med]])*_xlfn.XLOOKUP(Tabla1[[#This Row],[Codigo_actividad]],Catalogo!$B$6:$B$51,Catalogo!$F$6:$F$51,0)</f>
        <v>45.148400000000002</v>
      </c>
    </row>
    <row r="80" spans="1:13" x14ac:dyDescent="0.25">
      <c r="A80" s="354">
        <v>45993</v>
      </c>
      <c r="B80" s="38" t="s">
        <v>12</v>
      </c>
      <c r="C80" s="155" t="s">
        <v>13</v>
      </c>
      <c r="D80" s="39" t="s">
        <v>41</v>
      </c>
      <c r="E80" s="60" t="s">
        <v>36</v>
      </c>
      <c r="F80" s="28">
        <v>0</v>
      </c>
      <c r="G80" s="28">
        <v>70</v>
      </c>
      <c r="H80" s="53">
        <f>IF(Tabla1[[#This Row],[Codigo_actividad]]&lt;&gt;2.5,IF(((Tabla1[[#This Row],[fin]]-Tabla1[[#This Row],[inicio]])/1000)=0,"",((Tabla1[[#This Row],[fin]]-Tabla1[[#This Row],[inicio]])/1000)),"")</f>
        <v>7.0000000000000007E-2</v>
      </c>
      <c r="I80" s="57"/>
      <c r="J80" s="24">
        <v>2.2999999999999998</v>
      </c>
      <c r="K80" s="57" t="str">
        <f>IF(_xlfn.XLOOKUP($J80,Catalogo!$B$7:$B$210,Catalogo!$I$7:$I$210,"",0)=0,"",_xlfn.XLOOKUP($J80,Catalogo!$B$7:$B$210,Catalogo!$I$7:$I$210,"",0))</f>
        <v>DCVG</v>
      </c>
      <c r="L80" s="36">
        <v>7.0000000000000007E-2</v>
      </c>
      <c r="M80" s="261">
        <f>IF(Tabla1[[#This Row],[Avance_km]]&lt;&gt;"",Tabla1[[#This Row],[Avance_km]],Tabla1[[#This Row],[Avance_Med]])*_xlfn.XLOOKUP(Tabla1[[#This Row],[Codigo_actividad]],Catalogo!$B$6:$B$51,Catalogo!$F$6:$F$51,0)</f>
        <v>948.89409999999998</v>
      </c>
    </row>
    <row r="81" spans="1:13" x14ac:dyDescent="0.25">
      <c r="A81" s="354">
        <v>45993</v>
      </c>
      <c r="B81" s="38" t="s">
        <v>12</v>
      </c>
      <c r="C81" s="155" t="s">
        <v>13</v>
      </c>
      <c r="D81" s="39" t="s">
        <v>41</v>
      </c>
      <c r="E81" s="60" t="s">
        <v>16</v>
      </c>
      <c r="F81" s="28">
        <v>0</v>
      </c>
      <c r="G81" s="28">
        <v>70</v>
      </c>
      <c r="H81" s="53">
        <f>IF(Tabla1[[#This Row],[Codigo_actividad]]&lt;&gt;2.5,IF(((Tabla1[[#This Row],[fin]]-Tabla1[[#This Row],[inicio]])/1000)=0,"",((Tabla1[[#This Row],[fin]]-Tabla1[[#This Row],[inicio]])/1000)),"")</f>
        <v>7.0000000000000007E-2</v>
      </c>
      <c r="I81" s="57"/>
      <c r="J81" s="24">
        <v>2.6</v>
      </c>
      <c r="K81" s="57" t="str">
        <f>IF(_xlfn.XLOOKUP($J81,Catalogo!$B$7:$B$210,Catalogo!$I$7:$I$210,"",0)=0,"",_xlfn.XLOOKUP($J81,Catalogo!$B$7:$B$210,Catalogo!$I$7:$I$210,"",0))</f>
        <v>Localizacion</v>
      </c>
      <c r="L81" s="36">
        <v>7.0000000000000007E-2</v>
      </c>
      <c r="M81" s="261">
        <f>IF(Tabla1[[#This Row],[Avance_km]]&lt;&gt;"",Tabla1[[#This Row],[Avance_km]],Tabla1[[#This Row],[Avance_Med]])*_xlfn.XLOOKUP(Tabla1[[#This Row],[Codigo_actividad]],Catalogo!$B$6:$B$51,Catalogo!$F$6:$F$51,0)</f>
        <v>158.01940000000002</v>
      </c>
    </row>
    <row r="82" spans="1:13" x14ac:dyDescent="0.25">
      <c r="A82" s="354">
        <v>45993</v>
      </c>
      <c r="B82" s="38" t="s">
        <v>12</v>
      </c>
      <c r="C82" s="155" t="s">
        <v>13</v>
      </c>
      <c r="D82" s="39" t="s">
        <v>42</v>
      </c>
      <c r="E82" s="60" t="s">
        <v>36</v>
      </c>
      <c r="F82" s="28">
        <v>0</v>
      </c>
      <c r="G82" s="28">
        <v>70</v>
      </c>
      <c r="H82" s="53">
        <f>IF(Tabla1[[#This Row],[Codigo_actividad]]&lt;&gt;2.5,IF(((Tabla1[[#This Row],[fin]]-Tabla1[[#This Row],[inicio]])/1000)=0,"",((Tabla1[[#This Row],[fin]]-Tabla1[[#This Row],[inicio]])/1000)),"")</f>
        <v>7.0000000000000007E-2</v>
      </c>
      <c r="I82" s="57"/>
      <c r="J82" s="24">
        <v>2.2999999999999998</v>
      </c>
      <c r="K82" s="57" t="str">
        <f>IF(_xlfn.XLOOKUP($J82,Catalogo!$B$7:$B$210,Catalogo!$I$7:$I$210,"",0)=0,"",_xlfn.XLOOKUP($J82,Catalogo!$B$7:$B$210,Catalogo!$I$7:$I$210,"",0))</f>
        <v>DCVG</v>
      </c>
      <c r="L82" s="36">
        <v>7.0000000000000007E-2</v>
      </c>
      <c r="M82" s="261">
        <f>IF(Tabla1[[#This Row],[Avance_km]]&lt;&gt;"",Tabla1[[#This Row],[Avance_km]],Tabla1[[#This Row],[Avance_Med]])*_xlfn.XLOOKUP(Tabla1[[#This Row],[Codigo_actividad]],Catalogo!$B$6:$B$51,Catalogo!$F$6:$F$51,0)</f>
        <v>948.89409999999998</v>
      </c>
    </row>
    <row r="83" spans="1:13" x14ac:dyDescent="0.25">
      <c r="A83" s="354">
        <v>45993</v>
      </c>
      <c r="B83" s="38" t="s">
        <v>12</v>
      </c>
      <c r="C83" s="155" t="s">
        <v>13</v>
      </c>
      <c r="D83" s="39" t="s">
        <v>42</v>
      </c>
      <c r="E83" s="60" t="s">
        <v>16</v>
      </c>
      <c r="F83" s="28">
        <v>0</v>
      </c>
      <c r="G83" s="28">
        <v>70</v>
      </c>
      <c r="H83" s="53">
        <f>IF(Tabla1[[#This Row],[Codigo_actividad]]&lt;&gt;2.5,IF(((Tabla1[[#This Row],[fin]]-Tabla1[[#This Row],[inicio]])/1000)=0,"",((Tabla1[[#This Row],[fin]]-Tabla1[[#This Row],[inicio]])/1000)),"")</f>
        <v>7.0000000000000007E-2</v>
      </c>
      <c r="I83" s="57"/>
      <c r="J83" s="24">
        <v>2.6</v>
      </c>
      <c r="K83" s="57" t="str">
        <f>IF(_xlfn.XLOOKUP($J83,Catalogo!$B$7:$B$210,Catalogo!$I$7:$I$210,"",0)=0,"",_xlfn.XLOOKUP($J83,Catalogo!$B$7:$B$210,Catalogo!$I$7:$I$210,"",0))</f>
        <v>Localizacion</v>
      </c>
      <c r="L83" s="36">
        <v>7.0000000000000007E-2</v>
      </c>
      <c r="M83" s="261">
        <f>IF(Tabla1[[#This Row],[Avance_km]]&lt;&gt;"",Tabla1[[#This Row],[Avance_km]],Tabla1[[#This Row],[Avance_Med]])*_xlfn.XLOOKUP(Tabla1[[#This Row],[Codigo_actividad]],Catalogo!$B$6:$B$51,Catalogo!$F$6:$F$51,0)</f>
        <v>158.01940000000002</v>
      </c>
    </row>
    <row r="84" spans="1:13" x14ac:dyDescent="0.25">
      <c r="A84" s="354">
        <v>45993</v>
      </c>
      <c r="B84" s="38" t="s">
        <v>12</v>
      </c>
      <c r="C84" s="155" t="s">
        <v>13</v>
      </c>
      <c r="D84" s="39" t="s">
        <v>43</v>
      </c>
      <c r="E84" s="60" t="s">
        <v>36</v>
      </c>
      <c r="F84" s="28">
        <v>0</v>
      </c>
      <c r="G84" s="28">
        <v>15</v>
      </c>
      <c r="H84" s="53">
        <f>IF(Tabla1[[#This Row],[Codigo_actividad]]&lt;&gt;2.5,IF(((Tabla1[[#This Row],[fin]]-Tabla1[[#This Row],[inicio]])/1000)=0,"",((Tabla1[[#This Row],[fin]]-Tabla1[[#This Row],[inicio]])/1000)),"")</f>
        <v>1.4999999999999999E-2</v>
      </c>
      <c r="I84" s="57"/>
      <c r="J84" s="24">
        <v>2.2999999999999998</v>
      </c>
      <c r="K84" s="57" t="str">
        <f>IF(_xlfn.XLOOKUP($J84,Catalogo!$B$7:$B$210,Catalogo!$I$7:$I$210,"",0)=0,"",_xlfn.XLOOKUP($J84,Catalogo!$B$7:$B$210,Catalogo!$I$7:$I$210,"",0))</f>
        <v>DCVG</v>
      </c>
      <c r="L84" s="36">
        <v>1.4999999999999999E-2</v>
      </c>
      <c r="M84" s="261">
        <f>IF(Tabla1[[#This Row],[Avance_km]]&lt;&gt;"",Tabla1[[#This Row],[Avance_km]],Tabla1[[#This Row],[Avance_Med]])*_xlfn.XLOOKUP(Tabla1[[#This Row],[Codigo_actividad]],Catalogo!$B$6:$B$51,Catalogo!$F$6:$F$51,0)</f>
        <v>203.33444999999998</v>
      </c>
    </row>
    <row r="85" spans="1:13" x14ac:dyDescent="0.25">
      <c r="A85" s="354">
        <v>45993</v>
      </c>
      <c r="B85" s="38" t="s">
        <v>12</v>
      </c>
      <c r="C85" s="155" t="s">
        <v>13</v>
      </c>
      <c r="D85" s="39" t="s">
        <v>43</v>
      </c>
      <c r="E85" s="60" t="s">
        <v>16</v>
      </c>
      <c r="F85" s="28">
        <v>0</v>
      </c>
      <c r="G85" s="28">
        <v>15</v>
      </c>
      <c r="H85" s="53">
        <f>IF(Tabla1[[#This Row],[Codigo_actividad]]&lt;&gt;2.5,IF(((Tabla1[[#This Row],[fin]]-Tabla1[[#This Row],[inicio]])/1000)=0,"",((Tabla1[[#This Row],[fin]]-Tabla1[[#This Row],[inicio]])/1000)),"")</f>
        <v>1.4999999999999999E-2</v>
      </c>
      <c r="I85" s="57"/>
      <c r="J85" s="24">
        <v>2.6</v>
      </c>
      <c r="K85" s="57" t="str">
        <f>IF(_xlfn.XLOOKUP($J85,Catalogo!$B$7:$B$210,Catalogo!$I$7:$I$210,"",0)=0,"",_xlfn.XLOOKUP($J85,Catalogo!$B$7:$B$210,Catalogo!$I$7:$I$210,"",0))</f>
        <v>Localizacion</v>
      </c>
      <c r="L85" s="36">
        <v>1.4999999999999999E-2</v>
      </c>
      <c r="M85" s="261">
        <f>IF(Tabla1[[#This Row],[Avance_km]]&lt;&gt;"",Tabla1[[#This Row],[Avance_km]],Tabla1[[#This Row],[Avance_Med]])*_xlfn.XLOOKUP(Tabla1[[#This Row],[Codigo_actividad]],Catalogo!$B$6:$B$51,Catalogo!$F$6:$F$51,0)</f>
        <v>33.8613</v>
      </c>
    </row>
    <row r="86" spans="1:13" x14ac:dyDescent="0.25">
      <c r="A86" s="354">
        <v>45993</v>
      </c>
      <c r="B86" s="38" t="s">
        <v>12</v>
      </c>
      <c r="C86" s="155" t="s">
        <v>13</v>
      </c>
      <c r="D86" s="39" t="s">
        <v>17</v>
      </c>
      <c r="E86" s="60" t="s">
        <v>36</v>
      </c>
      <c r="F86" s="28">
        <v>0</v>
      </c>
      <c r="G86" s="28">
        <v>1982</v>
      </c>
      <c r="H86" s="53">
        <f>IF(Tabla1[[#This Row],[Codigo_actividad]]&lt;&gt;2.5,IF(((Tabla1[[#This Row],[fin]]-Tabla1[[#This Row],[inicio]])/1000)=0,"",((Tabla1[[#This Row],[fin]]-Tabla1[[#This Row],[inicio]])/1000)),"")</f>
        <v>1.982</v>
      </c>
      <c r="I86" s="57"/>
      <c r="J86" s="24">
        <v>2.2999999999999998</v>
      </c>
      <c r="K86" s="57" t="str">
        <f>IF(_xlfn.XLOOKUP($J86,Catalogo!$B$7:$B$210,Catalogo!$I$7:$I$210,"",0)=0,"",_xlfn.XLOOKUP($J86,Catalogo!$B$7:$B$210,Catalogo!$I$7:$I$210,"",0))</f>
        <v>DCVG</v>
      </c>
      <c r="L86" s="36">
        <v>1.982</v>
      </c>
      <c r="M86" s="261">
        <f>IF(Tabla1[[#This Row],[Avance_km]]&lt;&gt;"",Tabla1[[#This Row],[Avance_km]],Tabla1[[#This Row],[Avance_Med]])*_xlfn.XLOOKUP(Tabla1[[#This Row],[Codigo_actividad]],Catalogo!$B$6:$B$51,Catalogo!$F$6:$F$51,0)</f>
        <v>26867.25866</v>
      </c>
    </row>
    <row r="87" spans="1:13" x14ac:dyDescent="0.25">
      <c r="A87" s="354">
        <v>45993</v>
      </c>
      <c r="B87" s="38" t="s">
        <v>12</v>
      </c>
      <c r="C87" s="155" t="s">
        <v>13</v>
      </c>
      <c r="D87" s="39" t="s">
        <v>19</v>
      </c>
      <c r="E87" s="60" t="s">
        <v>36</v>
      </c>
      <c r="F87" s="28">
        <v>0</v>
      </c>
      <c r="G87" s="28">
        <v>15</v>
      </c>
      <c r="H87" s="53">
        <f>IF(Tabla1[[#This Row],[Codigo_actividad]]&lt;&gt;2.5,IF(((Tabla1[[#This Row],[fin]]-Tabla1[[#This Row],[inicio]])/1000)=0,"",((Tabla1[[#This Row],[fin]]-Tabla1[[#This Row],[inicio]])/1000)),"")</f>
        <v>1.4999999999999999E-2</v>
      </c>
      <c r="I87" s="57"/>
      <c r="J87" s="24">
        <v>2.2999999999999998</v>
      </c>
      <c r="K87" s="57" t="str">
        <f>IF(_xlfn.XLOOKUP($J87,Catalogo!$B$7:$B$210,Catalogo!$I$7:$I$210,"",0)=0,"",_xlfn.XLOOKUP($J87,Catalogo!$B$7:$B$210,Catalogo!$I$7:$I$210,"",0))</f>
        <v>DCVG</v>
      </c>
      <c r="L87" s="36">
        <v>1.4999999999999999E-2</v>
      </c>
      <c r="M87" s="261">
        <f>IF(Tabla1[[#This Row],[Avance_km]]&lt;&gt;"",Tabla1[[#This Row],[Avance_km]],Tabla1[[#This Row],[Avance_Med]])*_xlfn.XLOOKUP(Tabla1[[#This Row],[Codigo_actividad]],Catalogo!$B$6:$B$51,Catalogo!$F$6:$F$51,0)</f>
        <v>203.33444999999998</v>
      </c>
    </row>
    <row r="88" spans="1:13" x14ac:dyDescent="0.25">
      <c r="A88" s="354">
        <v>45993</v>
      </c>
      <c r="B88" s="38" t="s">
        <v>12</v>
      </c>
      <c r="C88" s="155" t="s">
        <v>13</v>
      </c>
      <c r="D88" s="39" t="s">
        <v>18</v>
      </c>
      <c r="E88" s="60" t="s">
        <v>36</v>
      </c>
      <c r="F88" s="28">
        <v>0</v>
      </c>
      <c r="G88" s="28">
        <v>175</v>
      </c>
      <c r="H88" s="53">
        <f>IF(Tabla1[[#This Row],[Codigo_actividad]]&lt;&gt;2.5,IF(((Tabla1[[#This Row],[fin]]-Tabla1[[#This Row],[inicio]])/1000)=0,"",((Tabla1[[#This Row],[fin]]-Tabla1[[#This Row],[inicio]])/1000)),"")</f>
        <v>0.17499999999999999</v>
      </c>
      <c r="I88" s="57"/>
      <c r="J88" s="24">
        <v>2.2999999999999998</v>
      </c>
      <c r="K88" s="57" t="str">
        <f>IF(_xlfn.XLOOKUP($J88,Catalogo!$B$7:$B$210,Catalogo!$I$7:$I$210,"",0)=0,"",_xlfn.XLOOKUP($J88,Catalogo!$B$7:$B$210,Catalogo!$I$7:$I$210,"",0))</f>
        <v>DCVG</v>
      </c>
      <c r="L88" s="36">
        <v>0.17499999999999999</v>
      </c>
      <c r="M88" s="261">
        <f>IF(Tabla1[[#This Row],[Avance_km]]&lt;&gt;"",Tabla1[[#This Row],[Avance_km]],Tabla1[[#This Row],[Avance_Med]])*_xlfn.XLOOKUP(Tabla1[[#This Row],[Codigo_actividad]],Catalogo!$B$6:$B$51,Catalogo!$F$6:$F$51,0)</f>
        <v>2372.2352499999997</v>
      </c>
    </row>
    <row r="89" spans="1:13" x14ac:dyDescent="0.25">
      <c r="A89" s="354">
        <v>45993</v>
      </c>
      <c r="B89" s="38" t="s">
        <v>12</v>
      </c>
      <c r="C89" s="155" t="s">
        <v>13</v>
      </c>
      <c r="D89" s="39" t="s">
        <v>44</v>
      </c>
      <c r="E89" s="60" t="s">
        <v>16</v>
      </c>
      <c r="F89" s="28">
        <v>0</v>
      </c>
      <c r="G89" s="28">
        <v>19</v>
      </c>
      <c r="H89" s="53">
        <f>IF(Tabla1[[#This Row],[Codigo_actividad]]&lt;&gt;2.5,IF(((Tabla1[[#This Row],[fin]]-Tabla1[[#This Row],[inicio]])/1000)=0,"",((Tabla1[[#This Row],[fin]]-Tabla1[[#This Row],[inicio]])/1000)),"")</f>
        <v>1.9E-2</v>
      </c>
      <c r="I89" s="57"/>
      <c r="J89" s="24">
        <v>2.6</v>
      </c>
      <c r="K89" s="57" t="str">
        <f>IF(_xlfn.XLOOKUP($J89,Catalogo!$B$7:$B$210,Catalogo!$I$7:$I$210,"",0)=0,"",_xlfn.XLOOKUP($J89,Catalogo!$B$7:$B$210,Catalogo!$I$7:$I$210,"",0))</f>
        <v>Localizacion</v>
      </c>
      <c r="L89" s="36">
        <v>1.9E-2</v>
      </c>
      <c r="M89" s="261">
        <f>IF(Tabla1[[#This Row],[Avance_km]]&lt;&gt;"",Tabla1[[#This Row],[Avance_km]],Tabla1[[#This Row],[Avance_Med]])*_xlfn.XLOOKUP(Tabla1[[#This Row],[Codigo_actividad]],Catalogo!$B$6:$B$51,Catalogo!$F$6:$F$51,0)</f>
        <v>42.890979999999999</v>
      </c>
    </row>
    <row r="90" spans="1:13" x14ac:dyDescent="0.25">
      <c r="A90" s="354">
        <v>45993</v>
      </c>
      <c r="B90" s="38" t="s">
        <v>12</v>
      </c>
      <c r="C90" s="155" t="s">
        <v>13</v>
      </c>
      <c r="D90" s="39" t="s">
        <v>21</v>
      </c>
      <c r="E90" s="60" t="s">
        <v>36</v>
      </c>
      <c r="F90" s="28">
        <v>0</v>
      </c>
      <c r="G90" s="28">
        <v>1055</v>
      </c>
      <c r="H90" s="53">
        <f>IF(Tabla1[[#This Row],[Codigo_actividad]]&lt;&gt;2.5,IF(((Tabla1[[#This Row],[fin]]-Tabla1[[#This Row],[inicio]])/1000)=0,"",((Tabla1[[#This Row],[fin]]-Tabla1[[#This Row],[inicio]])/1000)),"")</f>
        <v>1.0549999999999999</v>
      </c>
      <c r="I90" s="57"/>
      <c r="J90" s="24">
        <v>2.2999999999999998</v>
      </c>
      <c r="K90" s="57" t="str">
        <f>IF(_xlfn.XLOOKUP($J90,Catalogo!$B$7:$B$210,Catalogo!$I$7:$I$210,"",0)=0,"",_xlfn.XLOOKUP($J90,Catalogo!$B$7:$B$210,Catalogo!$I$7:$I$210,"",0))</f>
        <v>DCVG</v>
      </c>
      <c r="L90" s="36">
        <v>1.0549999999999999</v>
      </c>
      <c r="M90" s="261">
        <f>IF(Tabla1[[#This Row],[Avance_km]]&lt;&gt;"",Tabla1[[#This Row],[Avance_km]],Tabla1[[#This Row],[Avance_Med]])*_xlfn.XLOOKUP(Tabla1[[#This Row],[Codigo_actividad]],Catalogo!$B$6:$B$51,Catalogo!$F$6:$F$51,0)</f>
        <v>14301.189649999998</v>
      </c>
    </row>
    <row r="91" spans="1:13" x14ac:dyDescent="0.25">
      <c r="A91" s="354">
        <v>45993</v>
      </c>
      <c r="B91" s="38" t="s">
        <v>12</v>
      </c>
      <c r="C91" s="155" t="s">
        <v>13</v>
      </c>
      <c r="D91" s="39" t="s">
        <v>45</v>
      </c>
      <c r="E91" s="60" t="s">
        <v>16</v>
      </c>
      <c r="F91" s="28">
        <v>0</v>
      </c>
      <c r="G91" s="28">
        <v>10</v>
      </c>
      <c r="H91" s="53">
        <f>IF(Tabla1[[#This Row],[Codigo_actividad]]&lt;&gt;2.5,IF(((Tabla1[[#This Row],[fin]]-Tabla1[[#This Row],[inicio]])/1000)=0,"",((Tabla1[[#This Row],[fin]]-Tabla1[[#This Row],[inicio]])/1000)),"")</f>
        <v>0.01</v>
      </c>
      <c r="I91" s="57"/>
      <c r="J91" s="24">
        <v>2.6</v>
      </c>
      <c r="K91" s="57" t="str">
        <f>IF(_xlfn.XLOOKUP($J91,Catalogo!$B$7:$B$210,Catalogo!$I$7:$I$210,"",0)=0,"",_xlfn.XLOOKUP($J91,Catalogo!$B$7:$B$210,Catalogo!$I$7:$I$210,"",0))</f>
        <v>Localizacion</v>
      </c>
      <c r="L91" s="36">
        <v>0.01</v>
      </c>
      <c r="M91" s="261">
        <f>IF(Tabla1[[#This Row],[Avance_km]]&lt;&gt;"",Tabla1[[#This Row],[Avance_km]],Tabla1[[#This Row],[Avance_Med]])*_xlfn.XLOOKUP(Tabla1[[#This Row],[Codigo_actividad]],Catalogo!$B$6:$B$51,Catalogo!$F$6:$F$51,0)</f>
        <v>22.574200000000001</v>
      </c>
    </row>
    <row r="92" spans="1:13" x14ac:dyDescent="0.25">
      <c r="A92" s="354">
        <v>45993</v>
      </c>
      <c r="B92" s="38" t="s">
        <v>12</v>
      </c>
      <c r="C92" s="155" t="s">
        <v>13</v>
      </c>
      <c r="D92" s="39" t="s">
        <v>45</v>
      </c>
      <c r="E92" s="60" t="s">
        <v>36</v>
      </c>
      <c r="F92" s="28">
        <v>0</v>
      </c>
      <c r="G92" s="28">
        <v>10</v>
      </c>
      <c r="H92" s="53">
        <f>IF(Tabla1[[#This Row],[Codigo_actividad]]&lt;&gt;2.5,IF(((Tabla1[[#This Row],[fin]]-Tabla1[[#This Row],[inicio]])/1000)=0,"",((Tabla1[[#This Row],[fin]]-Tabla1[[#This Row],[inicio]])/1000)),"")</f>
        <v>0.01</v>
      </c>
      <c r="I92" s="57"/>
      <c r="J92" s="24">
        <v>2.2999999999999998</v>
      </c>
      <c r="K92" s="57" t="str">
        <f>IF(_xlfn.XLOOKUP($J92,Catalogo!$B$7:$B$210,Catalogo!$I$7:$I$210,"",0)=0,"",_xlfn.XLOOKUP($J92,Catalogo!$B$7:$B$210,Catalogo!$I$7:$I$210,"",0))</f>
        <v>DCVG</v>
      </c>
      <c r="L92" s="36">
        <v>0.01</v>
      </c>
      <c r="M92" s="261">
        <f>IF(Tabla1[[#This Row],[Avance_km]]&lt;&gt;"",Tabla1[[#This Row],[Avance_km]],Tabla1[[#This Row],[Avance_Med]])*_xlfn.XLOOKUP(Tabla1[[#This Row],[Codigo_actividad]],Catalogo!$B$6:$B$51,Catalogo!$F$6:$F$51,0)</f>
        <v>135.55629999999999</v>
      </c>
    </row>
    <row r="93" spans="1:13" x14ac:dyDescent="0.25">
      <c r="A93" s="354">
        <v>45993</v>
      </c>
      <c r="B93" s="38" t="s">
        <v>29</v>
      </c>
      <c r="C93" s="155" t="s">
        <v>22</v>
      </c>
      <c r="D93" s="39" t="s">
        <v>35</v>
      </c>
      <c r="E93" s="60" t="s">
        <v>36</v>
      </c>
      <c r="F93" s="28">
        <v>0</v>
      </c>
      <c r="G93" s="28">
        <v>1195</v>
      </c>
      <c r="H93" s="53">
        <f>IF(Tabla1[[#This Row],[Codigo_actividad]]&lt;&gt;2.5,IF(((Tabla1[[#This Row],[fin]]-Tabla1[[#This Row],[inicio]])/1000)=0,"",((Tabla1[[#This Row],[fin]]-Tabla1[[#This Row],[inicio]])/1000)),"")</f>
        <v>1.1950000000000001</v>
      </c>
      <c r="I93" s="57"/>
      <c r="J93" s="24">
        <v>2.2999999999999998</v>
      </c>
      <c r="K93" s="57" t="str">
        <f>IF(_xlfn.XLOOKUP($J93,Catalogo!$B$7:$B$210,Catalogo!$I$7:$I$210,"",0)=0,"",_xlfn.XLOOKUP($J93,Catalogo!$B$7:$B$210,Catalogo!$I$7:$I$210,"",0))</f>
        <v>DCVG</v>
      </c>
      <c r="L93" s="36">
        <v>1.1950000000000001</v>
      </c>
      <c r="M93" s="261">
        <f>IF(Tabla1[[#This Row],[Avance_km]]&lt;&gt;"",Tabla1[[#This Row],[Avance_km]],Tabla1[[#This Row],[Avance_Med]])*_xlfn.XLOOKUP(Tabla1[[#This Row],[Codigo_actividad]],Catalogo!$B$6:$B$51,Catalogo!$F$6:$F$51,0)</f>
        <v>16198.977849999999</v>
      </c>
    </row>
    <row r="94" spans="1:13" x14ac:dyDescent="0.25">
      <c r="A94" s="354">
        <v>45993</v>
      </c>
      <c r="B94" s="38" t="s">
        <v>29</v>
      </c>
      <c r="C94" s="155" t="s">
        <v>13</v>
      </c>
      <c r="D94" s="39" t="s">
        <v>38</v>
      </c>
      <c r="E94" s="60" t="s">
        <v>36</v>
      </c>
      <c r="F94" s="28">
        <v>0</v>
      </c>
      <c r="G94" s="28">
        <v>1855</v>
      </c>
      <c r="H94" s="53">
        <f>IF(Tabla1[[#This Row],[Codigo_actividad]]&lt;&gt;2.5,IF(((Tabla1[[#This Row],[fin]]-Tabla1[[#This Row],[inicio]])/1000)=0,"",((Tabla1[[#This Row],[fin]]-Tabla1[[#This Row],[inicio]])/1000)),"")</f>
        <v>1.855</v>
      </c>
      <c r="I94" s="57"/>
      <c r="J94" s="24">
        <v>2.2999999999999998</v>
      </c>
      <c r="K94" s="57" t="str">
        <f>IF(_xlfn.XLOOKUP($J94,Catalogo!$B$7:$B$210,Catalogo!$I$7:$I$210,"",0)=0,"",_xlfn.XLOOKUP($J94,Catalogo!$B$7:$B$210,Catalogo!$I$7:$I$210,"",0))</f>
        <v>DCVG</v>
      </c>
      <c r="L94" s="36">
        <v>1.855</v>
      </c>
      <c r="M94" s="261">
        <f>IF(Tabla1[[#This Row],[Avance_km]]&lt;&gt;"",Tabla1[[#This Row],[Avance_km]],Tabla1[[#This Row],[Avance_Med]])*_xlfn.XLOOKUP(Tabla1[[#This Row],[Codigo_actividad]],Catalogo!$B$6:$B$51,Catalogo!$F$6:$F$51,0)</f>
        <v>25145.693649999997</v>
      </c>
    </row>
    <row r="95" spans="1:13" x14ac:dyDescent="0.25">
      <c r="A95" s="354">
        <v>45993</v>
      </c>
      <c r="B95" s="38" t="s">
        <v>29</v>
      </c>
      <c r="C95" s="155" t="s">
        <v>13</v>
      </c>
      <c r="D95" s="39" t="s">
        <v>46</v>
      </c>
      <c r="E95" s="60" t="s">
        <v>36</v>
      </c>
      <c r="F95" s="28">
        <v>0</v>
      </c>
      <c r="G95" s="28">
        <v>267</v>
      </c>
      <c r="H95" s="53">
        <f>IF(Tabla1[[#This Row],[Codigo_actividad]]&lt;&gt;2.5,IF(((Tabla1[[#This Row],[fin]]-Tabla1[[#This Row],[inicio]])/1000)=0,"",((Tabla1[[#This Row],[fin]]-Tabla1[[#This Row],[inicio]])/1000)),"")</f>
        <v>0.26700000000000002</v>
      </c>
      <c r="I95" s="57"/>
      <c r="J95" s="24">
        <v>2.2999999999999998</v>
      </c>
      <c r="K95" s="57" t="str">
        <f>IF(_xlfn.XLOOKUP($J95,Catalogo!$B$7:$B$210,Catalogo!$I$7:$I$210,"",0)=0,"",_xlfn.XLOOKUP($J95,Catalogo!$B$7:$B$210,Catalogo!$I$7:$I$210,"",0))</f>
        <v>DCVG</v>
      </c>
      <c r="L95" s="36">
        <v>0.26700000000000002</v>
      </c>
      <c r="M95" s="261">
        <f>IF(Tabla1[[#This Row],[Avance_km]]&lt;&gt;"",Tabla1[[#This Row],[Avance_km]],Tabla1[[#This Row],[Avance_Med]])*_xlfn.XLOOKUP(Tabla1[[#This Row],[Codigo_actividad]],Catalogo!$B$6:$B$51,Catalogo!$F$6:$F$51,0)</f>
        <v>3619.3532100000002</v>
      </c>
    </row>
    <row r="96" spans="1:13" x14ac:dyDescent="0.25">
      <c r="A96" s="354">
        <v>45993</v>
      </c>
      <c r="B96" s="38" t="s">
        <v>29</v>
      </c>
      <c r="C96" s="155" t="s">
        <v>13</v>
      </c>
      <c r="D96" s="39" t="s">
        <v>46</v>
      </c>
      <c r="E96" s="60" t="s">
        <v>16</v>
      </c>
      <c r="F96" s="28">
        <v>0</v>
      </c>
      <c r="G96" s="28">
        <v>267</v>
      </c>
      <c r="H96" s="53">
        <f>IF(Tabla1[[#This Row],[Codigo_actividad]]&lt;&gt;2.5,IF(((Tabla1[[#This Row],[fin]]-Tabla1[[#This Row],[inicio]])/1000)=0,"",((Tabla1[[#This Row],[fin]]-Tabla1[[#This Row],[inicio]])/1000)),"")</f>
        <v>0.26700000000000002</v>
      </c>
      <c r="I96" s="57"/>
      <c r="J96" s="24">
        <v>2.6</v>
      </c>
      <c r="K96" s="57" t="str">
        <f>IF(_xlfn.XLOOKUP($J96,Catalogo!$B$7:$B$210,Catalogo!$I$7:$I$210,"",0)=0,"",_xlfn.XLOOKUP($J96,Catalogo!$B$7:$B$210,Catalogo!$I$7:$I$210,"",0))</f>
        <v>Localizacion</v>
      </c>
      <c r="L96" s="36">
        <v>0.26700000000000002</v>
      </c>
      <c r="M96" s="261">
        <f>IF(Tabla1[[#This Row],[Avance_km]]&lt;&gt;"",Tabla1[[#This Row],[Avance_km]],Tabla1[[#This Row],[Avance_Med]])*_xlfn.XLOOKUP(Tabla1[[#This Row],[Codigo_actividad]],Catalogo!$B$6:$B$51,Catalogo!$F$6:$F$51,0)</f>
        <v>602.7311400000001</v>
      </c>
    </row>
    <row r="97" spans="1:13" x14ac:dyDescent="0.25">
      <c r="A97" s="354">
        <v>45993</v>
      </c>
      <c r="B97" s="38" t="s">
        <v>29</v>
      </c>
      <c r="C97" s="155" t="s">
        <v>13</v>
      </c>
      <c r="D97" s="39" t="s">
        <v>20</v>
      </c>
      <c r="E97" s="60" t="s">
        <v>36</v>
      </c>
      <c r="F97" s="28">
        <v>0</v>
      </c>
      <c r="G97" s="28">
        <v>1020</v>
      </c>
      <c r="H97" s="53">
        <f>IF(Tabla1[[#This Row],[Codigo_actividad]]&lt;&gt;2.5,IF(((Tabla1[[#This Row],[fin]]-Tabla1[[#This Row],[inicio]])/1000)=0,"",((Tabla1[[#This Row],[fin]]-Tabla1[[#This Row],[inicio]])/1000)),"")</f>
        <v>1.02</v>
      </c>
      <c r="I97" s="57"/>
      <c r="J97" s="24">
        <v>2.2999999999999998</v>
      </c>
      <c r="K97" s="57" t="str">
        <f>IF(_xlfn.XLOOKUP($J97,Catalogo!$B$7:$B$210,Catalogo!$I$7:$I$210,"",0)=0,"",_xlfn.XLOOKUP($J97,Catalogo!$B$7:$B$210,Catalogo!$I$7:$I$210,"",0))</f>
        <v>DCVG</v>
      </c>
      <c r="L97" s="36">
        <v>1.02</v>
      </c>
      <c r="M97" s="261">
        <f>IF(Tabla1[[#This Row],[Avance_km]]&lt;&gt;"",Tabla1[[#This Row],[Avance_km]],Tabla1[[#This Row],[Avance_Med]])*_xlfn.XLOOKUP(Tabla1[[#This Row],[Codigo_actividad]],Catalogo!$B$6:$B$51,Catalogo!$F$6:$F$51,0)</f>
        <v>13826.7426</v>
      </c>
    </row>
    <row r="98" spans="1:13" x14ac:dyDescent="0.25">
      <c r="A98" s="354">
        <v>45993</v>
      </c>
      <c r="B98" s="38" t="s">
        <v>29</v>
      </c>
      <c r="C98" s="155" t="s">
        <v>13</v>
      </c>
      <c r="D98" s="39" t="s">
        <v>47</v>
      </c>
      <c r="E98" s="60" t="s">
        <v>36</v>
      </c>
      <c r="F98" s="28">
        <v>0</v>
      </c>
      <c r="G98" s="28">
        <v>10</v>
      </c>
      <c r="H98" s="53">
        <f>IF(Tabla1[[#This Row],[Codigo_actividad]]&lt;&gt;2.5,IF(((Tabla1[[#This Row],[fin]]-Tabla1[[#This Row],[inicio]])/1000)=0,"",((Tabla1[[#This Row],[fin]]-Tabla1[[#This Row],[inicio]])/1000)),"")</f>
        <v>0.01</v>
      </c>
      <c r="I98" s="57"/>
      <c r="J98" s="24">
        <v>2.2999999999999998</v>
      </c>
      <c r="K98" s="57" t="str">
        <f>IF(_xlfn.XLOOKUP($J98,Catalogo!$B$7:$B$210,Catalogo!$I$7:$I$210,"",0)=0,"",_xlfn.XLOOKUP($J98,Catalogo!$B$7:$B$210,Catalogo!$I$7:$I$210,"",0))</f>
        <v>DCVG</v>
      </c>
      <c r="L98" s="36">
        <v>0.01</v>
      </c>
      <c r="M98" s="261">
        <f>IF(Tabla1[[#This Row],[Avance_km]]&lt;&gt;"",Tabla1[[#This Row],[Avance_km]],Tabla1[[#This Row],[Avance_Med]])*_xlfn.XLOOKUP(Tabla1[[#This Row],[Codigo_actividad]],Catalogo!$B$6:$B$51,Catalogo!$F$6:$F$51,0)</f>
        <v>135.55629999999999</v>
      </c>
    </row>
    <row r="99" spans="1:13" x14ac:dyDescent="0.25">
      <c r="A99" s="354">
        <v>45993</v>
      </c>
      <c r="B99" s="38" t="s">
        <v>29</v>
      </c>
      <c r="C99" s="155" t="s">
        <v>13</v>
      </c>
      <c r="D99" s="39" t="s">
        <v>47</v>
      </c>
      <c r="E99" s="60" t="s">
        <v>16</v>
      </c>
      <c r="F99" s="28">
        <v>0</v>
      </c>
      <c r="G99" s="28">
        <v>10</v>
      </c>
      <c r="H99" s="53">
        <f>IF(Tabla1[[#This Row],[Codigo_actividad]]&lt;&gt;2.5,IF(((Tabla1[[#This Row],[fin]]-Tabla1[[#This Row],[inicio]])/1000)=0,"",((Tabla1[[#This Row],[fin]]-Tabla1[[#This Row],[inicio]])/1000)),"")</f>
        <v>0.01</v>
      </c>
      <c r="I99" s="57"/>
      <c r="J99" s="24">
        <v>2.6</v>
      </c>
      <c r="K99" s="57" t="str">
        <f>IF(_xlfn.XLOOKUP($J99,Catalogo!$B$7:$B$210,Catalogo!$I$7:$I$210,"",0)=0,"",_xlfn.XLOOKUP($J99,Catalogo!$B$7:$B$210,Catalogo!$I$7:$I$210,"",0))</f>
        <v>Localizacion</v>
      </c>
      <c r="L99" s="36">
        <v>0.01</v>
      </c>
      <c r="M99" s="261">
        <f>IF(Tabla1[[#This Row],[Avance_km]]&lt;&gt;"",Tabla1[[#This Row],[Avance_km]],Tabla1[[#This Row],[Avance_Med]])*_xlfn.XLOOKUP(Tabla1[[#This Row],[Codigo_actividad]],Catalogo!$B$6:$B$51,Catalogo!$F$6:$F$51,0)</f>
        <v>22.574200000000001</v>
      </c>
    </row>
    <row r="100" spans="1:13" x14ac:dyDescent="0.25">
      <c r="A100" s="354">
        <v>45993</v>
      </c>
      <c r="B100" s="38" t="s">
        <v>29</v>
      </c>
      <c r="C100" s="155" t="s">
        <v>13</v>
      </c>
      <c r="D100" s="39" t="s">
        <v>48</v>
      </c>
      <c r="E100" s="60" t="s">
        <v>36</v>
      </c>
      <c r="F100" s="28">
        <v>0</v>
      </c>
      <c r="G100" s="28">
        <v>12</v>
      </c>
      <c r="H100" s="53">
        <f>IF(Tabla1[[#This Row],[Codigo_actividad]]&lt;&gt;2.5,IF(((Tabla1[[#This Row],[fin]]-Tabla1[[#This Row],[inicio]])/1000)=0,"",((Tabla1[[#This Row],[fin]]-Tabla1[[#This Row],[inicio]])/1000)),"")</f>
        <v>1.2E-2</v>
      </c>
      <c r="I100" s="57"/>
      <c r="J100" s="24">
        <v>2.2999999999999998</v>
      </c>
      <c r="K100" s="57" t="str">
        <f>IF(_xlfn.XLOOKUP($J100,Catalogo!$B$7:$B$210,Catalogo!$I$7:$I$210,"",0)=0,"",_xlfn.XLOOKUP($J100,Catalogo!$B$7:$B$210,Catalogo!$I$7:$I$210,"",0))</f>
        <v>DCVG</v>
      </c>
      <c r="L100" s="36">
        <v>1.2E-2</v>
      </c>
      <c r="M100" s="261">
        <f>IF(Tabla1[[#This Row],[Avance_km]]&lt;&gt;"",Tabla1[[#This Row],[Avance_km]],Tabla1[[#This Row],[Avance_Med]])*_xlfn.XLOOKUP(Tabla1[[#This Row],[Codigo_actividad]],Catalogo!$B$6:$B$51,Catalogo!$F$6:$F$51,0)</f>
        <v>162.66755999999998</v>
      </c>
    </row>
    <row r="101" spans="1:13" x14ac:dyDescent="0.25">
      <c r="A101" s="354">
        <v>45993</v>
      </c>
      <c r="B101" s="38" t="s">
        <v>29</v>
      </c>
      <c r="C101" s="155" t="s">
        <v>13</v>
      </c>
      <c r="D101" s="39" t="s">
        <v>48</v>
      </c>
      <c r="E101" s="60" t="s">
        <v>16</v>
      </c>
      <c r="F101" s="28">
        <v>0</v>
      </c>
      <c r="G101" s="28">
        <v>12</v>
      </c>
      <c r="H101" s="53">
        <f>IF(Tabla1[[#This Row],[Codigo_actividad]]&lt;&gt;2.5,IF(((Tabla1[[#This Row],[fin]]-Tabla1[[#This Row],[inicio]])/1000)=0,"",((Tabla1[[#This Row],[fin]]-Tabla1[[#This Row],[inicio]])/1000)),"")</f>
        <v>1.2E-2</v>
      </c>
      <c r="I101" s="57"/>
      <c r="J101" s="24">
        <v>2.6</v>
      </c>
      <c r="K101" s="57" t="str">
        <f>IF(_xlfn.XLOOKUP($J101,Catalogo!$B$7:$B$210,Catalogo!$I$7:$I$210,"",0)=0,"",_xlfn.XLOOKUP($J101,Catalogo!$B$7:$B$210,Catalogo!$I$7:$I$210,"",0))</f>
        <v>Localizacion</v>
      </c>
      <c r="L101" s="36">
        <v>1.2E-2</v>
      </c>
      <c r="M101" s="261">
        <f>IF(Tabla1[[#This Row],[Avance_km]]&lt;&gt;"",Tabla1[[#This Row],[Avance_km]],Tabla1[[#This Row],[Avance_Med]])*_xlfn.XLOOKUP(Tabla1[[#This Row],[Codigo_actividad]],Catalogo!$B$6:$B$51,Catalogo!$F$6:$F$51,0)</f>
        <v>27.089040000000001</v>
      </c>
    </row>
    <row r="102" spans="1:13" x14ac:dyDescent="0.25">
      <c r="A102" s="354">
        <v>45993</v>
      </c>
      <c r="B102" s="38" t="s">
        <v>30</v>
      </c>
      <c r="C102" s="155" t="s">
        <v>13</v>
      </c>
      <c r="D102" s="39" t="s">
        <v>50</v>
      </c>
      <c r="E102" s="60" t="s">
        <v>31</v>
      </c>
      <c r="F102" s="28">
        <v>0</v>
      </c>
      <c r="G102" s="28">
        <v>6500</v>
      </c>
      <c r="H102" s="53" t="str">
        <f>IF(Tabla1[[#This Row],[Codigo_actividad]]&lt;&gt;2.5,IF(((Tabla1[[#This Row],[fin]]-Tabla1[[#This Row],[inicio]])/1000)=0,"",((Tabla1[[#This Row],[fin]]-Tabla1[[#This Row],[inicio]])/1000)),"")</f>
        <v/>
      </c>
      <c r="I102" s="57">
        <v>12</v>
      </c>
      <c r="J102" s="24">
        <v>2.5</v>
      </c>
      <c r="K102" s="57" t="str">
        <f>IF(_xlfn.XLOOKUP($J102,Catalogo!$B$7:$B$210,Catalogo!$I$7:$I$210,"",0)=0,"",_xlfn.XLOOKUP($J102,Catalogo!$B$7:$B$210,Catalogo!$I$7:$I$210,"",0))</f>
        <v>Resistividades pH BSR BPA</v>
      </c>
      <c r="L102" s="36">
        <v>12.657</v>
      </c>
      <c r="M102" s="261">
        <f>IF(Tabla1[[#This Row],[Avance_km]]&lt;&gt;"",Tabla1[[#This Row],[Avance_km]],Tabla1[[#This Row],[Avance_Med]])*_xlfn.XLOOKUP(Tabla1[[#This Row],[Codigo_actividad]],Catalogo!$B$6:$B$51,Catalogo!$F$6:$F$51,0)</f>
        <v>55896</v>
      </c>
    </row>
    <row r="103" spans="1:13" x14ac:dyDescent="0.25">
      <c r="A103" s="354"/>
      <c r="B103" s="38"/>
      <c r="C103" s="155"/>
      <c r="D103" s="39"/>
      <c r="E103" s="60"/>
      <c r="F103" s="28"/>
      <c r="G103" s="28"/>
      <c r="H103" s="53" t="str">
        <f>IF(Tabla1[[#This Row],[Codigo_actividad]]&lt;&gt;2.5,IF(((Tabla1[[#This Row],[fin]]-Tabla1[[#This Row],[inicio]])/1000)=0,"",((Tabla1[[#This Row],[fin]]-Tabla1[[#This Row],[inicio]])/1000)),"")</f>
        <v/>
      </c>
      <c r="I103" s="57"/>
      <c r="J103" s="24"/>
      <c r="K103" s="57" t="str">
        <f>IF(_xlfn.XLOOKUP($J103,Catalogo!$B$7:$B$210,Catalogo!$I$7:$I$210,"",0)=0,"",_xlfn.XLOOKUP($J103,Catalogo!$B$7:$B$210,Catalogo!$I$7:$I$210,"",0))</f>
        <v/>
      </c>
      <c r="L103" s="36"/>
      <c r="M103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104" spans="1:13" x14ac:dyDescent="0.25">
      <c r="A104" s="354">
        <v>45994</v>
      </c>
      <c r="B104" s="38" t="s">
        <v>12</v>
      </c>
      <c r="C104" s="155" t="s">
        <v>13</v>
      </c>
      <c r="D104" s="39" t="s">
        <v>51</v>
      </c>
      <c r="E104" s="60" t="s">
        <v>16</v>
      </c>
      <c r="F104" s="28">
        <v>0</v>
      </c>
      <c r="G104" s="28">
        <v>1054</v>
      </c>
      <c r="H104" s="53">
        <f>IF(Tabla1[[#This Row],[Codigo_actividad]]&lt;&gt;2.5,IF(((Tabla1[[#This Row],[fin]]-Tabla1[[#This Row],[inicio]])/1000)=0,"",((Tabla1[[#This Row],[fin]]-Tabla1[[#This Row],[inicio]])/1000)),"")</f>
        <v>1.054</v>
      </c>
      <c r="I104" s="57"/>
      <c r="J104" s="24">
        <v>2.6</v>
      </c>
      <c r="K104" s="57" t="str">
        <f>IF(_xlfn.XLOOKUP($J104,Catalogo!$B$7:$B$210,Catalogo!$I$7:$I$210,"",0)=0,"",_xlfn.XLOOKUP($J104,Catalogo!$B$7:$B$210,Catalogo!$I$7:$I$210,"",0))</f>
        <v>Localizacion</v>
      </c>
      <c r="L104" s="36">
        <v>1.054</v>
      </c>
      <c r="M104" s="261">
        <f>IF(Tabla1[[#This Row],[Avance_km]]&lt;&gt;"",Tabla1[[#This Row],[Avance_km]],Tabla1[[#This Row],[Avance_Med]])*_xlfn.XLOOKUP(Tabla1[[#This Row],[Codigo_actividad]],Catalogo!$B$6:$B$51,Catalogo!$F$6:$F$51,0)</f>
        <v>2379.3206800000003</v>
      </c>
    </row>
    <row r="105" spans="1:13" x14ac:dyDescent="0.25">
      <c r="A105" s="354">
        <v>45994</v>
      </c>
      <c r="B105" s="38" t="s">
        <v>12</v>
      </c>
      <c r="C105" s="155" t="s">
        <v>13</v>
      </c>
      <c r="D105" s="39" t="s">
        <v>51</v>
      </c>
      <c r="E105" s="60" t="s">
        <v>36</v>
      </c>
      <c r="F105" s="28">
        <v>0</v>
      </c>
      <c r="G105" s="28">
        <v>1054</v>
      </c>
      <c r="H105" s="53">
        <f>IF(Tabla1[[#This Row],[Codigo_actividad]]&lt;&gt;2.5,IF(((Tabla1[[#This Row],[fin]]-Tabla1[[#This Row],[inicio]])/1000)=0,"",((Tabla1[[#This Row],[fin]]-Tabla1[[#This Row],[inicio]])/1000)),"")</f>
        <v>1.054</v>
      </c>
      <c r="I105" s="57"/>
      <c r="J105" s="24">
        <v>2.2999999999999998</v>
      </c>
      <c r="K105" s="57" t="str">
        <f>IF(_xlfn.XLOOKUP($J105,Catalogo!$B$7:$B$210,Catalogo!$I$7:$I$210,"",0)=0,"",_xlfn.XLOOKUP($J105,Catalogo!$B$7:$B$210,Catalogo!$I$7:$I$210,"",0))</f>
        <v>DCVG</v>
      </c>
      <c r="L105" s="36">
        <v>1.054</v>
      </c>
      <c r="M105" s="261">
        <f>IF(Tabla1[[#This Row],[Avance_km]]&lt;&gt;"",Tabla1[[#This Row],[Avance_km]],Tabla1[[#This Row],[Avance_Med]])*_xlfn.XLOOKUP(Tabla1[[#This Row],[Codigo_actividad]],Catalogo!$B$6:$B$51,Catalogo!$F$6:$F$51,0)</f>
        <v>14287.63402</v>
      </c>
    </row>
    <row r="106" spans="1:13" x14ac:dyDescent="0.25">
      <c r="A106" s="354">
        <v>45994</v>
      </c>
      <c r="B106" s="38" t="s">
        <v>12</v>
      </c>
      <c r="C106" s="155" t="s">
        <v>13</v>
      </c>
      <c r="D106" s="39" t="s">
        <v>52</v>
      </c>
      <c r="E106" s="60" t="s">
        <v>16</v>
      </c>
      <c r="F106" s="28">
        <v>0</v>
      </c>
      <c r="G106" s="28">
        <v>10</v>
      </c>
      <c r="H106" s="53">
        <f>IF(Tabla1[[#This Row],[Codigo_actividad]]&lt;&gt;2.5,IF(((Tabla1[[#This Row],[fin]]-Tabla1[[#This Row],[inicio]])/1000)=0,"",((Tabla1[[#This Row],[fin]]-Tabla1[[#This Row],[inicio]])/1000)),"")</f>
        <v>0.01</v>
      </c>
      <c r="I106" s="57"/>
      <c r="J106" s="24">
        <v>2.6</v>
      </c>
      <c r="K106" s="57" t="str">
        <f>IF(_xlfn.XLOOKUP($J106,Catalogo!$B$7:$B$210,Catalogo!$I$7:$I$210,"",0)=0,"",_xlfn.XLOOKUP($J106,Catalogo!$B$7:$B$210,Catalogo!$I$7:$I$210,"",0))</f>
        <v>Localizacion</v>
      </c>
      <c r="L106" s="36">
        <v>0.01</v>
      </c>
      <c r="M106" s="261">
        <f>IF(Tabla1[[#This Row],[Avance_km]]&lt;&gt;"",Tabla1[[#This Row],[Avance_km]],Tabla1[[#This Row],[Avance_Med]])*_xlfn.XLOOKUP(Tabla1[[#This Row],[Codigo_actividad]],Catalogo!$B$6:$B$51,Catalogo!$F$6:$F$51,0)</f>
        <v>22.574200000000001</v>
      </c>
    </row>
    <row r="107" spans="1:13" x14ac:dyDescent="0.25">
      <c r="A107" s="354">
        <v>45994</v>
      </c>
      <c r="B107" s="38" t="s">
        <v>12</v>
      </c>
      <c r="C107" s="155" t="s">
        <v>13</v>
      </c>
      <c r="D107" s="39" t="s">
        <v>52</v>
      </c>
      <c r="E107" s="60" t="s">
        <v>36</v>
      </c>
      <c r="F107" s="28">
        <v>0</v>
      </c>
      <c r="G107" s="28">
        <v>10</v>
      </c>
      <c r="H107" s="53">
        <f>IF(Tabla1[[#This Row],[Codigo_actividad]]&lt;&gt;2.5,IF(((Tabla1[[#This Row],[fin]]-Tabla1[[#This Row],[inicio]])/1000)=0,"",((Tabla1[[#This Row],[fin]]-Tabla1[[#This Row],[inicio]])/1000)),"")</f>
        <v>0.01</v>
      </c>
      <c r="I107" s="57"/>
      <c r="J107" s="24">
        <v>2.2999999999999998</v>
      </c>
      <c r="K107" s="57" t="str">
        <f>IF(_xlfn.XLOOKUP($J107,Catalogo!$B$7:$B$210,Catalogo!$I$7:$I$210,"",0)=0,"",_xlfn.XLOOKUP($J107,Catalogo!$B$7:$B$210,Catalogo!$I$7:$I$210,"",0))</f>
        <v>DCVG</v>
      </c>
      <c r="L107" s="36">
        <v>0.01</v>
      </c>
      <c r="M107" s="261">
        <f>IF(Tabla1[[#This Row],[Avance_km]]&lt;&gt;"",Tabla1[[#This Row],[Avance_km]],Tabla1[[#This Row],[Avance_Med]])*_xlfn.XLOOKUP(Tabla1[[#This Row],[Codigo_actividad]],Catalogo!$B$6:$B$51,Catalogo!$F$6:$F$51,0)</f>
        <v>135.55629999999999</v>
      </c>
    </row>
    <row r="108" spans="1:13" x14ac:dyDescent="0.25">
      <c r="A108" s="354">
        <v>45994</v>
      </c>
      <c r="B108" s="38" t="s">
        <v>12</v>
      </c>
      <c r="C108" s="155" t="s">
        <v>13</v>
      </c>
      <c r="D108" s="39" t="s">
        <v>53</v>
      </c>
      <c r="E108" s="60" t="s">
        <v>16</v>
      </c>
      <c r="F108" s="28">
        <v>0</v>
      </c>
      <c r="G108" s="28">
        <v>15</v>
      </c>
      <c r="H108" s="53">
        <f>IF(Tabla1[[#This Row],[Codigo_actividad]]&lt;&gt;2.5,IF(((Tabla1[[#This Row],[fin]]-Tabla1[[#This Row],[inicio]])/1000)=0,"",((Tabla1[[#This Row],[fin]]-Tabla1[[#This Row],[inicio]])/1000)),"")</f>
        <v>1.4999999999999999E-2</v>
      </c>
      <c r="I108" s="57"/>
      <c r="J108" s="24">
        <v>2.6</v>
      </c>
      <c r="K108" s="57" t="str">
        <f>IF(_xlfn.XLOOKUP($J108,Catalogo!$B$7:$B$210,Catalogo!$I$7:$I$210,"",0)=0,"",_xlfn.XLOOKUP($J108,Catalogo!$B$7:$B$210,Catalogo!$I$7:$I$210,"",0))</f>
        <v>Localizacion</v>
      </c>
      <c r="L108" s="36">
        <v>1.4999999999999999E-2</v>
      </c>
      <c r="M108" s="261">
        <f>IF(Tabla1[[#This Row],[Avance_km]]&lt;&gt;"",Tabla1[[#This Row],[Avance_km]],Tabla1[[#This Row],[Avance_Med]])*_xlfn.XLOOKUP(Tabla1[[#This Row],[Codigo_actividad]],Catalogo!$B$6:$B$51,Catalogo!$F$6:$F$51,0)</f>
        <v>33.8613</v>
      </c>
    </row>
    <row r="109" spans="1:13" x14ac:dyDescent="0.25">
      <c r="A109" s="354">
        <v>45994</v>
      </c>
      <c r="B109" s="38" t="s">
        <v>12</v>
      </c>
      <c r="C109" s="155" t="s">
        <v>13</v>
      </c>
      <c r="D109" s="39" t="s">
        <v>53</v>
      </c>
      <c r="E109" s="60" t="s">
        <v>36</v>
      </c>
      <c r="F109" s="28">
        <v>0</v>
      </c>
      <c r="G109" s="28">
        <v>15</v>
      </c>
      <c r="H109" s="53">
        <f>IF(Tabla1[[#This Row],[Codigo_actividad]]&lt;&gt;2.5,IF(((Tabla1[[#This Row],[fin]]-Tabla1[[#This Row],[inicio]])/1000)=0,"",((Tabla1[[#This Row],[fin]]-Tabla1[[#This Row],[inicio]])/1000)),"")</f>
        <v>1.4999999999999999E-2</v>
      </c>
      <c r="I109" s="57"/>
      <c r="J109" s="24">
        <v>2.2999999999999998</v>
      </c>
      <c r="K109" s="57" t="str">
        <f>IF(_xlfn.XLOOKUP($J109,Catalogo!$B$7:$B$210,Catalogo!$I$7:$I$210,"",0)=0,"",_xlfn.XLOOKUP($J109,Catalogo!$B$7:$B$210,Catalogo!$I$7:$I$210,"",0))</f>
        <v>DCVG</v>
      </c>
      <c r="L109" s="36">
        <v>1.4999999999999999E-2</v>
      </c>
      <c r="M109" s="261">
        <f>IF(Tabla1[[#This Row],[Avance_km]]&lt;&gt;"",Tabla1[[#This Row],[Avance_km]],Tabla1[[#This Row],[Avance_Med]])*_xlfn.XLOOKUP(Tabla1[[#This Row],[Codigo_actividad]],Catalogo!$B$6:$B$51,Catalogo!$F$6:$F$51,0)</f>
        <v>203.33444999999998</v>
      </c>
    </row>
    <row r="110" spans="1:13" x14ac:dyDescent="0.25">
      <c r="A110" s="354">
        <v>45994</v>
      </c>
      <c r="B110" s="38" t="s">
        <v>12</v>
      </c>
      <c r="C110" s="155" t="s">
        <v>13</v>
      </c>
      <c r="D110" s="39" t="s">
        <v>44</v>
      </c>
      <c r="E110" s="60" t="s">
        <v>36</v>
      </c>
      <c r="F110" s="28">
        <v>0</v>
      </c>
      <c r="G110" s="28">
        <v>19</v>
      </c>
      <c r="H110" s="53">
        <f>IF(Tabla1[[#This Row],[Codigo_actividad]]&lt;&gt;2.5,IF(((Tabla1[[#This Row],[fin]]-Tabla1[[#This Row],[inicio]])/1000)=0,"",((Tabla1[[#This Row],[fin]]-Tabla1[[#This Row],[inicio]])/1000)),"")</f>
        <v>1.9E-2</v>
      </c>
      <c r="I110" s="57"/>
      <c r="J110" s="24">
        <v>2.2999999999999998</v>
      </c>
      <c r="K110" s="57" t="str">
        <f>IF(_xlfn.XLOOKUP($J110,Catalogo!$B$7:$B$210,Catalogo!$I$7:$I$210,"",0)=0,"",_xlfn.XLOOKUP($J110,Catalogo!$B$7:$B$210,Catalogo!$I$7:$I$210,"",0))</f>
        <v>DCVG</v>
      </c>
      <c r="L110" s="36">
        <v>1.9E-2</v>
      </c>
      <c r="M110" s="261">
        <f>IF(Tabla1[[#This Row],[Avance_km]]&lt;&gt;"",Tabla1[[#This Row],[Avance_km]],Tabla1[[#This Row],[Avance_Med]])*_xlfn.XLOOKUP(Tabla1[[#This Row],[Codigo_actividad]],Catalogo!$B$6:$B$51,Catalogo!$F$6:$F$51,0)</f>
        <v>257.55696999999998</v>
      </c>
    </row>
    <row r="111" spans="1:13" x14ac:dyDescent="0.25">
      <c r="A111" s="354">
        <v>45994</v>
      </c>
      <c r="B111" s="38" t="s">
        <v>29</v>
      </c>
      <c r="C111" s="155" t="s">
        <v>13</v>
      </c>
      <c r="D111" s="39" t="s">
        <v>37</v>
      </c>
      <c r="E111" s="60" t="s">
        <v>36</v>
      </c>
      <c r="F111" s="28">
        <v>0</v>
      </c>
      <c r="G111" s="28">
        <v>1488</v>
      </c>
      <c r="H111" s="53">
        <f>IF(Tabla1[[#This Row],[Codigo_actividad]]&lt;&gt;2.5,IF(((Tabla1[[#This Row],[fin]]-Tabla1[[#This Row],[inicio]])/1000)=0,"",((Tabla1[[#This Row],[fin]]-Tabla1[[#This Row],[inicio]])/1000)),"")</f>
        <v>1.488</v>
      </c>
      <c r="I111" s="57"/>
      <c r="J111" s="24">
        <v>2.2999999999999998</v>
      </c>
      <c r="K111" s="57" t="str">
        <f>IF(_xlfn.XLOOKUP($J111,Catalogo!$B$7:$B$210,Catalogo!$I$7:$I$210,"",0)=0,"",_xlfn.XLOOKUP($J111,Catalogo!$B$7:$B$210,Catalogo!$I$7:$I$210,"",0))</f>
        <v>DCVG</v>
      </c>
      <c r="L111" s="36">
        <v>1.488</v>
      </c>
      <c r="M111" s="261">
        <f>IF(Tabla1[[#This Row],[Avance_km]]&lt;&gt;"",Tabla1[[#This Row],[Avance_km]],Tabla1[[#This Row],[Avance_Med]])*_xlfn.XLOOKUP(Tabla1[[#This Row],[Codigo_actividad]],Catalogo!$B$6:$B$51,Catalogo!$F$6:$F$51,0)</f>
        <v>20170.777439999998</v>
      </c>
    </row>
    <row r="112" spans="1:13" x14ac:dyDescent="0.25">
      <c r="A112" s="354">
        <v>45994</v>
      </c>
      <c r="B112" s="38" t="s">
        <v>29</v>
      </c>
      <c r="C112" s="155" t="s">
        <v>13</v>
      </c>
      <c r="D112" s="39" t="s">
        <v>71</v>
      </c>
      <c r="E112" s="60" t="s">
        <v>36</v>
      </c>
      <c r="F112" s="28">
        <v>0</v>
      </c>
      <c r="G112" s="28">
        <v>7</v>
      </c>
      <c r="H112" s="53">
        <f>IF(Tabla1[[#This Row],[Codigo_actividad]]&lt;&gt;2.5,IF(((Tabla1[[#This Row],[fin]]-Tabla1[[#This Row],[inicio]])/1000)=0,"",((Tabla1[[#This Row],[fin]]-Tabla1[[#This Row],[inicio]])/1000)),"")</f>
        <v>7.0000000000000001E-3</v>
      </c>
      <c r="I112" s="57"/>
      <c r="J112" s="24">
        <v>2.2999999999999998</v>
      </c>
      <c r="K112" s="57" t="str">
        <f>IF(_xlfn.XLOOKUP($J112,Catalogo!$B$7:$B$210,Catalogo!$I$7:$I$210,"",0)=0,"",_xlfn.XLOOKUP($J112,Catalogo!$B$7:$B$210,Catalogo!$I$7:$I$210,"",0))</f>
        <v>DCVG</v>
      </c>
      <c r="L112" s="36">
        <v>7.0000000000000001E-3</v>
      </c>
      <c r="M112" s="261">
        <f>IF(Tabla1[[#This Row],[Avance_km]]&lt;&gt;"",Tabla1[[#This Row],[Avance_km]],Tabla1[[#This Row],[Avance_Med]])*_xlfn.XLOOKUP(Tabla1[[#This Row],[Codigo_actividad]],Catalogo!$B$6:$B$51,Catalogo!$F$6:$F$51,0)</f>
        <v>94.889409999999998</v>
      </c>
    </row>
    <row r="113" spans="1:13" x14ac:dyDescent="0.25">
      <c r="A113" s="354">
        <v>45994</v>
      </c>
      <c r="B113" s="38" t="s">
        <v>29</v>
      </c>
      <c r="C113" s="155" t="s">
        <v>22</v>
      </c>
      <c r="D113" s="39" t="s">
        <v>54</v>
      </c>
      <c r="E113" s="60" t="s">
        <v>16</v>
      </c>
      <c r="F113" s="28">
        <v>0</v>
      </c>
      <c r="G113" s="28">
        <v>13</v>
      </c>
      <c r="H113" s="53">
        <f>IF(Tabla1[[#This Row],[Codigo_actividad]]&lt;&gt;2.5,IF(((Tabla1[[#This Row],[fin]]-Tabla1[[#This Row],[inicio]])/1000)=0,"",((Tabla1[[#This Row],[fin]]-Tabla1[[#This Row],[inicio]])/1000)),"")</f>
        <v>1.2999999999999999E-2</v>
      </c>
      <c r="I113" s="57"/>
      <c r="J113" s="24">
        <v>2.6</v>
      </c>
      <c r="K113" s="57" t="str">
        <f>IF(_xlfn.XLOOKUP($J113,Catalogo!$B$7:$B$210,Catalogo!$I$7:$I$210,"",0)=0,"",_xlfn.XLOOKUP($J113,Catalogo!$B$7:$B$210,Catalogo!$I$7:$I$210,"",0))</f>
        <v>Localizacion</v>
      </c>
      <c r="L113" s="36">
        <v>1.2999999999999999E-2</v>
      </c>
      <c r="M113" s="261">
        <f>IF(Tabla1[[#This Row],[Avance_km]]&lt;&gt;"",Tabla1[[#This Row],[Avance_km]],Tabla1[[#This Row],[Avance_Med]])*_xlfn.XLOOKUP(Tabla1[[#This Row],[Codigo_actividad]],Catalogo!$B$6:$B$51,Catalogo!$F$6:$F$51,0)</f>
        <v>29.34646</v>
      </c>
    </row>
    <row r="114" spans="1:13" x14ac:dyDescent="0.25">
      <c r="A114" s="354">
        <v>45994</v>
      </c>
      <c r="B114" s="38" t="s">
        <v>29</v>
      </c>
      <c r="C114" s="155" t="s">
        <v>22</v>
      </c>
      <c r="D114" s="39" t="s">
        <v>54</v>
      </c>
      <c r="E114" s="60" t="s">
        <v>36</v>
      </c>
      <c r="F114" s="28">
        <v>0</v>
      </c>
      <c r="G114" s="28">
        <v>13</v>
      </c>
      <c r="H114" s="53">
        <f>IF(Tabla1[[#This Row],[Codigo_actividad]]&lt;&gt;2.5,IF(((Tabla1[[#This Row],[fin]]-Tabla1[[#This Row],[inicio]])/1000)=0,"",((Tabla1[[#This Row],[fin]]-Tabla1[[#This Row],[inicio]])/1000)),"")</f>
        <v>1.2999999999999999E-2</v>
      </c>
      <c r="I114" s="57"/>
      <c r="J114" s="24">
        <v>2.2999999999999998</v>
      </c>
      <c r="K114" s="57" t="str">
        <f>IF(_xlfn.XLOOKUP($J114,Catalogo!$B$7:$B$210,Catalogo!$I$7:$I$210,"",0)=0,"",_xlfn.XLOOKUP($J114,Catalogo!$B$7:$B$210,Catalogo!$I$7:$I$210,"",0))</f>
        <v>DCVG</v>
      </c>
      <c r="L114" s="36">
        <v>1.2999999999999999E-2</v>
      </c>
      <c r="M114" s="261">
        <f>IF(Tabla1[[#This Row],[Avance_km]]&lt;&gt;"",Tabla1[[#This Row],[Avance_km]],Tabla1[[#This Row],[Avance_Med]])*_xlfn.XLOOKUP(Tabla1[[#This Row],[Codigo_actividad]],Catalogo!$B$6:$B$51,Catalogo!$F$6:$F$51,0)</f>
        <v>176.22318999999999</v>
      </c>
    </row>
    <row r="115" spans="1:13" x14ac:dyDescent="0.25">
      <c r="A115" s="354">
        <v>45994</v>
      </c>
      <c r="B115" s="38" t="s">
        <v>29</v>
      </c>
      <c r="C115" s="155" t="s">
        <v>22</v>
      </c>
      <c r="D115" s="39" t="s">
        <v>55</v>
      </c>
      <c r="E115" s="60" t="s">
        <v>16</v>
      </c>
      <c r="F115" s="28">
        <v>0</v>
      </c>
      <c r="G115" s="28">
        <v>11</v>
      </c>
      <c r="H115" s="53">
        <f>IF(Tabla1[[#This Row],[Codigo_actividad]]&lt;&gt;2.5,IF(((Tabla1[[#This Row],[fin]]-Tabla1[[#This Row],[inicio]])/1000)=0,"",((Tabla1[[#This Row],[fin]]-Tabla1[[#This Row],[inicio]])/1000)),"")</f>
        <v>1.0999999999999999E-2</v>
      </c>
      <c r="I115" s="57"/>
      <c r="J115" s="24">
        <v>2.6</v>
      </c>
      <c r="K115" s="57" t="str">
        <f>IF(_xlfn.XLOOKUP($J115,Catalogo!$B$7:$B$210,Catalogo!$I$7:$I$210,"",0)=0,"",_xlfn.XLOOKUP($J115,Catalogo!$B$7:$B$210,Catalogo!$I$7:$I$210,"",0))</f>
        <v>Localizacion</v>
      </c>
      <c r="L115" s="36">
        <v>1.0999999999999999E-2</v>
      </c>
      <c r="M115" s="261">
        <f>IF(Tabla1[[#This Row],[Avance_km]]&lt;&gt;"",Tabla1[[#This Row],[Avance_km]],Tabla1[[#This Row],[Avance_Med]])*_xlfn.XLOOKUP(Tabla1[[#This Row],[Codigo_actividad]],Catalogo!$B$6:$B$51,Catalogo!$F$6:$F$51,0)</f>
        <v>24.831620000000001</v>
      </c>
    </row>
    <row r="116" spans="1:13" x14ac:dyDescent="0.25">
      <c r="A116" s="354">
        <v>45994</v>
      </c>
      <c r="B116" s="38" t="s">
        <v>29</v>
      </c>
      <c r="C116" s="155" t="s">
        <v>22</v>
      </c>
      <c r="D116" s="39" t="s">
        <v>55</v>
      </c>
      <c r="E116" s="60" t="s">
        <v>36</v>
      </c>
      <c r="F116" s="28">
        <v>0</v>
      </c>
      <c r="G116" s="28">
        <v>11</v>
      </c>
      <c r="H116" s="53">
        <f>IF(Tabla1[[#This Row],[Codigo_actividad]]&lt;&gt;2.5,IF(((Tabla1[[#This Row],[fin]]-Tabla1[[#This Row],[inicio]])/1000)=0,"",((Tabla1[[#This Row],[fin]]-Tabla1[[#This Row],[inicio]])/1000)),"")</f>
        <v>1.0999999999999999E-2</v>
      </c>
      <c r="I116" s="57"/>
      <c r="J116" s="24">
        <v>2.2999999999999998</v>
      </c>
      <c r="K116" s="57" t="str">
        <f>IF(_xlfn.XLOOKUP($J116,Catalogo!$B$7:$B$210,Catalogo!$I$7:$I$210,"",0)=0,"",_xlfn.XLOOKUP($J116,Catalogo!$B$7:$B$210,Catalogo!$I$7:$I$210,"",0))</f>
        <v>DCVG</v>
      </c>
      <c r="L116" s="36">
        <v>1.0999999999999999E-2</v>
      </c>
      <c r="M116" s="261">
        <f>IF(Tabla1[[#This Row],[Avance_km]]&lt;&gt;"",Tabla1[[#This Row],[Avance_km]],Tabla1[[#This Row],[Avance_Med]])*_xlfn.XLOOKUP(Tabla1[[#This Row],[Codigo_actividad]],Catalogo!$B$6:$B$51,Catalogo!$F$6:$F$51,0)</f>
        <v>149.11192999999997</v>
      </c>
    </row>
    <row r="117" spans="1:13" x14ac:dyDescent="0.25">
      <c r="A117" s="354">
        <v>45994</v>
      </c>
      <c r="B117" s="38" t="s">
        <v>29</v>
      </c>
      <c r="C117" s="155" t="s">
        <v>22</v>
      </c>
      <c r="D117" s="39" t="s">
        <v>56</v>
      </c>
      <c r="E117" s="60" t="s">
        <v>16</v>
      </c>
      <c r="F117" s="28">
        <v>0</v>
      </c>
      <c r="G117" s="28">
        <v>6</v>
      </c>
      <c r="H117" s="53">
        <f>IF(Tabla1[[#This Row],[Codigo_actividad]]&lt;&gt;2.5,IF(((Tabla1[[#This Row],[fin]]-Tabla1[[#This Row],[inicio]])/1000)=0,"",((Tabla1[[#This Row],[fin]]-Tabla1[[#This Row],[inicio]])/1000)),"")</f>
        <v>6.0000000000000001E-3</v>
      </c>
      <c r="I117" s="57"/>
      <c r="J117" s="24">
        <v>2.6</v>
      </c>
      <c r="K117" s="57" t="str">
        <f>IF(_xlfn.XLOOKUP($J117,Catalogo!$B$7:$B$210,Catalogo!$I$7:$I$210,"",0)=0,"",_xlfn.XLOOKUP($J117,Catalogo!$B$7:$B$210,Catalogo!$I$7:$I$210,"",0))</f>
        <v>Localizacion</v>
      </c>
      <c r="L117" s="36">
        <v>6.0000000000000001E-3</v>
      </c>
      <c r="M117" s="261">
        <f>IF(Tabla1[[#This Row],[Avance_km]]&lt;&gt;"",Tabla1[[#This Row],[Avance_km]],Tabla1[[#This Row],[Avance_Med]])*_xlfn.XLOOKUP(Tabla1[[#This Row],[Codigo_actividad]],Catalogo!$B$6:$B$51,Catalogo!$F$6:$F$51,0)</f>
        <v>13.54452</v>
      </c>
    </row>
    <row r="118" spans="1:13" x14ac:dyDescent="0.25">
      <c r="A118" s="354">
        <v>45994</v>
      </c>
      <c r="B118" s="38" t="s">
        <v>29</v>
      </c>
      <c r="C118" s="155" t="s">
        <v>22</v>
      </c>
      <c r="D118" s="39" t="s">
        <v>56</v>
      </c>
      <c r="E118" s="60" t="s">
        <v>36</v>
      </c>
      <c r="F118" s="28">
        <v>0</v>
      </c>
      <c r="G118" s="28">
        <v>6</v>
      </c>
      <c r="H118" s="53">
        <f>IF(Tabla1[[#This Row],[Codigo_actividad]]&lt;&gt;2.5,IF(((Tabla1[[#This Row],[fin]]-Tabla1[[#This Row],[inicio]])/1000)=0,"",((Tabla1[[#This Row],[fin]]-Tabla1[[#This Row],[inicio]])/1000)),"")</f>
        <v>6.0000000000000001E-3</v>
      </c>
      <c r="I118" s="57"/>
      <c r="J118" s="24">
        <v>2.2999999999999998</v>
      </c>
      <c r="K118" s="57" t="str">
        <f>IF(_xlfn.XLOOKUP($J118,Catalogo!$B$7:$B$210,Catalogo!$I$7:$I$210,"",0)=0,"",_xlfn.XLOOKUP($J118,Catalogo!$B$7:$B$210,Catalogo!$I$7:$I$210,"",0))</f>
        <v>DCVG</v>
      </c>
      <c r="L118" s="36">
        <v>6.0000000000000001E-3</v>
      </c>
      <c r="M118" s="261">
        <f>IF(Tabla1[[#This Row],[Avance_km]]&lt;&gt;"",Tabla1[[#This Row],[Avance_km]],Tabla1[[#This Row],[Avance_Med]])*_xlfn.XLOOKUP(Tabla1[[#This Row],[Codigo_actividad]],Catalogo!$B$6:$B$51,Catalogo!$F$6:$F$51,0)</f>
        <v>81.33377999999999</v>
      </c>
    </row>
    <row r="119" spans="1:13" x14ac:dyDescent="0.25">
      <c r="A119" s="354">
        <v>45994</v>
      </c>
      <c r="B119" s="38" t="s">
        <v>30</v>
      </c>
      <c r="C119" s="155" t="s">
        <v>13</v>
      </c>
      <c r="D119" s="39" t="s">
        <v>50</v>
      </c>
      <c r="E119" s="60" t="s">
        <v>31</v>
      </c>
      <c r="F119" s="28">
        <v>6500</v>
      </c>
      <c r="G119" s="28">
        <v>11000</v>
      </c>
      <c r="H119" s="53" t="str">
        <f>IF(Tabla1[[#This Row],[Codigo_actividad]]&lt;&gt;2.5,IF(((Tabla1[[#This Row],[fin]]-Tabla1[[#This Row],[inicio]])/1000)=0,"",((Tabla1[[#This Row],[fin]]-Tabla1[[#This Row],[inicio]])/1000)),"")</f>
        <v/>
      </c>
      <c r="I119" s="57">
        <v>10</v>
      </c>
      <c r="J119" s="24">
        <v>2.5</v>
      </c>
      <c r="K119" s="57" t="str">
        <f>IF(_xlfn.XLOOKUP($J119,Catalogo!$B$7:$B$210,Catalogo!$I$7:$I$210,"",0)=0,"",_xlfn.XLOOKUP($J119,Catalogo!$B$7:$B$210,Catalogo!$I$7:$I$210,"",0))</f>
        <v>Resistividades pH BSR BPA</v>
      </c>
      <c r="L119" s="36">
        <v>12.657</v>
      </c>
      <c r="M119" s="261">
        <f>IF(Tabla1[[#This Row],[Avance_km]]&lt;&gt;"",Tabla1[[#This Row],[Avance_km]],Tabla1[[#This Row],[Avance_Med]])*_xlfn.XLOOKUP(Tabla1[[#This Row],[Codigo_actividad]],Catalogo!$B$6:$B$51,Catalogo!$F$6:$F$51,0)</f>
        <v>46580</v>
      </c>
    </row>
    <row r="120" spans="1:13" x14ac:dyDescent="0.25">
      <c r="A120" s="354"/>
      <c r="C120" s="155"/>
      <c r="D120" s="39"/>
      <c r="F120" s="28"/>
      <c r="G120" s="28"/>
      <c r="H120" s="53" t="str">
        <f>IF(Tabla1[[#This Row],[Codigo_actividad]]&lt;&gt;2.5,IF(((Tabla1[[#This Row],[fin]]-Tabla1[[#This Row],[inicio]])/1000)=0,"",((Tabla1[[#This Row],[fin]]-Tabla1[[#This Row],[inicio]])/1000)),"")</f>
        <v/>
      </c>
      <c r="J120" s="76"/>
      <c r="K120" s="57" t="str">
        <f>IF(_xlfn.XLOOKUP($J120,Catalogo!$B$7:$B$210,Catalogo!$I$7:$I$210,"",0)=0,"",_xlfn.XLOOKUP($J120,Catalogo!$B$7:$B$210,Catalogo!$I$7:$I$210,"",0))</f>
        <v/>
      </c>
      <c r="L120" s="36"/>
      <c r="M120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121" spans="1:13" x14ac:dyDescent="0.25">
      <c r="A121" s="354">
        <v>45995</v>
      </c>
      <c r="B121" s="38" t="s">
        <v>12</v>
      </c>
      <c r="C121" s="155" t="s">
        <v>13</v>
      </c>
      <c r="D121" s="39" t="s">
        <v>57</v>
      </c>
      <c r="E121" s="40" t="s">
        <v>36</v>
      </c>
      <c r="F121" s="28">
        <v>0</v>
      </c>
      <c r="G121" s="28">
        <v>88</v>
      </c>
      <c r="H121" s="53">
        <f>IF(Tabla1[[#This Row],[Codigo_actividad]]&lt;&gt;2.5,IF(((Tabla1[[#This Row],[fin]]-Tabla1[[#This Row],[inicio]])/1000)=0,"",((Tabla1[[#This Row],[fin]]-Tabla1[[#This Row],[inicio]])/1000)),"")</f>
        <v>8.7999999999999995E-2</v>
      </c>
      <c r="J121" s="76">
        <v>2.2999999999999998</v>
      </c>
      <c r="K121" s="57" t="str">
        <f>IF(_xlfn.XLOOKUP($J121,Catalogo!$B$7:$B$210,Catalogo!$I$7:$I$210,"",0)=0,"",_xlfn.XLOOKUP($J121,Catalogo!$B$7:$B$210,Catalogo!$I$7:$I$210,"",0))</f>
        <v>DCVG</v>
      </c>
      <c r="L121" s="36">
        <v>8.7999999999999995E-2</v>
      </c>
      <c r="M121" s="261">
        <f>IF(Tabla1[[#This Row],[Avance_km]]&lt;&gt;"",Tabla1[[#This Row],[Avance_km]],Tabla1[[#This Row],[Avance_Med]])*_xlfn.XLOOKUP(Tabla1[[#This Row],[Codigo_actividad]],Catalogo!$B$6:$B$51,Catalogo!$F$6:$F$51,0)</f>
        <v>1192.8954399999998</v>
      </c>
    </row>
    <row r="122" spans="1:13" x14ac:dyDescent="0.25">
      <c r="A122" s="354">
        <v>45995</v>
      </c>
      <c r="B122" s="38" t="s">
        <v>12</v>
      </c>
      <c r="C122" s="155" t="s">
        <v>13</v>
      </c>
      <c r="D122" s="39" t="s">
        <v>58</v>
      </c>
      <c r="E122" s="40" t="s">
        <v>36</v>
      </c>
      <c r="F122" s="28">
        <v>0</v>
      </c>
      <c r="G122" s="28">
        <v>188</v>
      </c>
      <c r="H122" s="53">
        <f>IF(Tabla1[[#This Row],[Codigo_actividad]]&lt;&gt;2.5,IF(((Tabla1[[#This Row],[fin]]-Tabla1[[#This Row],[inicio]])/1000)=0,"",((Tabla1[[#This Row],[fin]]-Tabla1[[#This Row],[inicio]])/1000)),"")</f>
        <v>0.188</v>
      </c>
      <c r="J122" s="76">
        <v>2.2999999999999998</v>
      </c>
      <c r="K122" s="57" t="str">
        <f>IF(_xlfn.XLOOKUP($J122,Catalogo!$B$7:$B$210,Catalogo!$I$7:$I$210,"",0)=0,"",_xlfn.XLOOKUP($J122,Catalogo!$B$7:$B$210,Catalogo!$I$7:$I$210,"",0))</f>
        <v>DCVG</v>
      </c>
      <c r="L122" s="36">
        <v>0.188</v>
      </c>
      <c r="M122" s="261">
        <f>IF(Tabla1[[#This Row],[Avance_km]]&lt;&gt;"",Tabla1[[#This Row],[Avance_km]],Tabla1[[#This Row],[Avance_Med]])*_xlfn.XLOOKUP(Tabla1[[#This Row],[Codigo_actividad]],Catalogo!$B$6:$B$51,Catalogo!$F$6:$F$51,0)</f>
        <v>2548.4584399999999</v>
      </c>
    </row>
    <row r="123" spans="1:13" x14ac:dyDescent="0.25">
      <c r="A123" s="354">
        <v>45995</v>
      </c>
      <c r="B123" s="38" t="s">
        <v>12</v>
      </c>
      <c r="C123" s="155" t="s">
        <v>13</v>
      </c>
      <c r="D123" s="39" t="s">
        <v>59</v>
      </c>
      <c r="E123" s="40" t="s">
        <v>36</v>
      </c>
      <c r="F123" s="28">
        <v>0</v>
      </c>
      <c r="G123" s="28">
        <v>7</v>
      </c>
      <c r="H123" s="53">
        <f>IF(Tabla1[[#This Row],[Codigo_actividad]]&lt;&gt;2.5,IF(((Tabla1[[#This Row],[fin]]-Tabla1[[#This Row],[inicio]])/1000)=0,"",((Tabla1[[#This Row],[fin]]-Tabla1[[#This Row],[inicio]])/1000)),"")</f>
        <v>7.0000000000000001E-3</v>
      </c>
      <c r="J123" s="76">
        <v>2.2999999999999998</v>
      </c>
      <c r="K123" s="57" t="str">
        <f>IF(_xlfn.XLOOKUP($J123,Catalogo!$B$7:$B$210,Catalogo!$I$7:$I$210,"",0)=0,"",_xlfn.XLOOKUP($J123,Catalogo!$B$7:$B$210,Catalogo!$I$7:$I$210,"",0))</f>
        <v>DCVG</v>
      </c>
      <c r="L123" s="36">
        <v>7.0000000000000001E-3</v>
      </c>
      <c r="M123" s="261">
        <f>IF(Tabla1[[#This Row],[Avance_km]]&lt;&gt;"",Tabla1[[#This Row],[Avance_km]],Tabla1[[#This Row],[Avance_Med]])*_xlfn.XLOOKUP(Tabla1[[#This Row],[Codigo_actividad]],Catalogo!$B$6:$B$51,Catalogo!$F$6:$F$51,0)</f>
        <v>94.889409999999998</v>
      </c>
    </row>
    <row r="124" spans="1:13" x14ac:dyDescent="0.25">
      <c r="A124" s="354">
        <v>45995</v>
      </c>
      <c r="B124" s="38" t="s">
        <v>12</v>
      </c>
      <c r="C124" s="155" t="s">
        <v>13</v>
      </c>
      <c r="D124" s="39" t="s">
        <v>60</v>
      </c>
      <c r="E124" s="40" t="s">
        <v>36</v>
      </c>
      <c r="F124" s="28">
        <v>0</v>
      </c>
      <c r="G124" s="28">
        <v>19</v>
      </c>
      <c r="H124" s="53">
        <f>IF(Tabla1[[#This Row],[Codigo_actividad]]&lt;&gt;2.5,IF(((Tabla1[[#This Row],[fin]]-Tabla1[[#This Row],[inicio]])/1000)=0,"",((Tabla1[[#This Row],[fin]]-Tabla1[[#This Row],[inicio]])/1000)),"")</f>
        <v>1.9E-2</v>
      </c>
      <c r="J124" s="76">
        <v>2.2999999999999998</v>
      </c>
      <c r="K124" s="57" t="str">
        <f>IF(_xlfn.XLOOKUP($J124,Catalogo!$B$7:$B$210,Catalogo!$I$7:$I$210,"",0)=0,"",_xlfn.XLOOKUP($J124,Catalogo!$B$7:$B$210,Catalogo!$I$7:$I$210,"",0))</f>
        <v>DCVG</v>
      </c>
      <c r="L124" s="36">
        <v>1.9E-2</v>
      </c>
      <c r="M124" s="261">
        <f>IF(Tabla1[[#This Row],[Avance_km]]&lt;&gt;"",Tabla1[[#This Row],[Avance_km]],Tabla1[[#This Row],[Avance_Med]])*_xlfn.XLOOKUP(Tabla1[[#This Row],[Codigo_actividad]],Catalogo!$B$6:$B$51,Catalogo!$F$6:$F$51,0)</f>
        <v>257.55696999999998</v>
      </c>
    </row>
    <row r="125" spans="1:13" x14ac:dyDescent="0.25">
      <c r="A125" s="354">
        <v>45995</v>
      </c>
      <c r="B125" s="38" t="s">
        <v>12</v>
      </c>
      <c r="C125" s="155" t="s">
        <v>13</v>
      </c>
      <c r="D125" s="39" t="s">
        <v>61</v>
      </c>
      <c r="E125" s="40" t="s">
        <v>36</v>
      </c>
      <c r="F125" s="28">
        <v>0</v>
      </c>
      <c r="G125" s="28">
        <v>55</v>
      </c>
      <c r="H125" s="53">
        <f>IF(Tabla1[[#This Row],[Codigo_actividad]]&lt;&gt;2.5,IF(((Tabla1[[#This Row],[fin]]-Tabla1[[#This Row],[inicio]])/1000)=0,"",((Tabla1[[#This Row],[fin]]-Tabla1[[#This Row],[inicio]])/1000)),"")</f>
        <v>5.5E-2</v>
      </c>
      <c r="J125" s="76">
        <v>2.2999999999999998</v>
      </c>
      <c r="K125" s="57" t="str">
        <f>IF(_xlfn.XLOOKUP($J125,Catalogo!$B$7:$B$210,Catalogo!$I$7:$I$210,"",0)=0,"",_xlfn.XLOOKUP($J125,Catalogo!$B$7:$B$210,Catalogo!$I$7:$I$210,"",0))</f>
        <v>DCVG</v>
      </c>
      <c r="L125" s="36">
        <v>5.5E-2</v>
      </c>
      <c r="M125" s="261">
        <f>IF(Tabla1[[#This Row],[Avance_km]]&lt;&gt;"",Tabla1[[#This Row],[Avance_km]],Tabla1[[#This Row],[Avance_Med]])*_xlfn.XLOOKUP(Tabla1[[#This Row],[Codigo_actividad]],Catalogo!$B$6:$B$51,Catalogo!$F$6:$F$51,0)</f>
        <v>745.55964999999992</v>
      </c>
    </row>
    <row r="126" spans="1:13" x14ac:dyDescent="0.25">
      <c r="A126" s="354">
        <v>45995</v>
      </c>
      <c r="B126" s="38" t="s">
        <v>12</v>
      </c>
      <c r="C126" s="155" t="s">
        <v>13</v>
      </c>
      <c r="D126" s="39" t="s">
        <v>62</v>
      </c>
      <c r="E126" s="40" t="s">
        <v>36</v>
      </c>
      <c r="F126" s="28">
        <v>0</v>
      </c>
      <c r="G126" s="28">
        <v>63</v>
      </c>
      <c r="H126" s="53">
        <f>IF(Tabla1[[#This Row],[Codigo_actividad]]&lt;&gt;2.5,IF(((Tabla1[[#This Row],[fin]]-Tabla1[[#This Row],[inicio]])/1000)=0,"",((Tabla1[[#This Row],[fin]]-Tabla1[[#This Row],[inicio]])/1000)),"")</f>
        <v>6.3E-2</v>
      </c>
      <c r="J126" s="76">
        <v>2.2999999999999998</v>
      </c>
      <c r="K126" s="57" t="str">
        <f>IF(_xlfn.XLOOKUP($J126,Catalogo!$B$7:$B$210,Catalogo!$I$7:$I$210,"",0)=0,"",_xlfn.XLOOKUP($J126,Catalogo!$B$7:$B$210,Catalogo!$I$7:$I$210,"",0))</f>
        <v>DCVG</v>
      </c>
      <c r="L126" s="36">
        <v>6.3E-2</v>
      </c>
      <c r="M126" s="261">
        <f>IF(Tabla1[[#This Row],[Avance_km]]&lt;&gt;"",Tabla1[[#This Row],[Avance_km]],Tabla1[[#This Row],[Avance_Med]])*_xlfn.XLOOKUP(Tabla1[[#This Row],[Codigo_actividad]],Catalogo!$B$6:$B$51,Catalogo!$F$6:$F$51,0)</f>
        <v>854.00468999999998</v>
      </c>
    </row>
    <row r="127" spans="1:13" x14ac:dyDescent="0.25">
      <c r="A127" s="354">
        <v>45995</v>
      </c>
      <c r="B127" s="38" t="s">
        <v>12</v>
      </c>
      <c r="C127" s="155" t="s">
        <v>13</v>
      </c>
      <c r="D127" s="39" t="s">
        <v>63</v>
      </c>
      <c r="E127" s="40" t="s">
        <v>36</v>
      </c>
      <c r="F127" s="28">
        <v>0</v>
      </c>
      <c r="G127" s="28">
        <v>55</v>
      </c>
      <c r="H127" s="53">
        <f>IF(Tabla1[[#This Row],[Codigo_actividad]]&lt;&gt;2.5,IF(((Tabla1[[#This Row],[fin]]-Tabla1[[#This Row],[inicio]])/1000)=0,"",((Tabla1[[#This Row],[fin]]-Tabla1[[#This Row],[inicio]])/1000)),"")</f>
        <v>5.5E-2</v>
      </c>
      <c r="J127" s="76">
        <v>2.2999999999999998</v>
      </c>
      <c r="K127" s="57" t="str">
        <f>IF(_xlfn.XLOOKUP($J127,Catalogo!$B$7:$B$210,Catalogo!$I$7:$I$210,"",0)=0,"",_xlfn.XLOOKUP($J127,Catalogo!$B$7:$B$210,Catalogo!$I$7:$I$210,"",0))</f>
        <v>DCVG</v>
      </c>
      <c r="L127" s="36">
        <v>5.5E-2</v>
      </c>
      <c r="M127" s="261">
        <f>IF(Tabla1[[#This Row],[Avance_km]]&lt;&gt;"",Tabla1[[#This Row],[Avance_km]],Tabla1[[#This Row],[Avance_Med]])*_xlfn.XLOOKUP(Tabla1[[#This Row],[Codigo_actividad]],Catalogo!$B$6:$B$51,Catalogo!$F$6:$F$51,0)</f>
        <v>745.55964999999992</v>
      </c>
    </row>
    <row r="128" spans="1:13" x14ac:dyDescent="0.25">
      <c r="A128" s="354">
        <v>45995</v>
      </c>
      <c r="B128" s="38" t="s">
        <v>12</v>
      </c>
      <c r="C128" s="155" t="s">
        <v>22</v>
      </c>
      <c r="D128" s="39" t="s">
        <v>64</v>
      </c>
      <c r="E128" s="40" t="s">
        <v>36</v>
      </c>
      <c r="F128" s="28">
        <v>0</v>
      </c>
      <c r="G128" s="28">
        <v>17</v>
      </c>
      <c r="H128" s="53">
        <f>IF(Tabla1[[#This Row],[Codigo_actividad]]&lt;&gt;2.5,IF(((Tabla1[[#This Row],[fin]]-Tabla1[[#This Row],[inicio]])/1000)=0,"",((Tabla1[[#This Row],[fin]]-Tabla1[[#This Row],[inicio]])/1000)),"")</f>
        <v>1.7000000000000001E-2</v>
      </c>
      <c r="J128" s="76">
        <v>2.2999999999999998</v>
      </c>
      <c r="K128" s="57" t="str">
        <f>IF(_xlfn.XLOOKUP($J128,Catalogo!$B$7:$B$210,Catalogo!$I$7:$I$210,"",0)=0,"",_xlfn.XLOOKUP($J128,Catalogo!$B$7:$B$210,Catalogo!$I$7:$I$210,"",0))</f>
        <v>DCVG</v>
      </c>
      <c r="L128" s="36">
        <v>1.7000000000000001E-2</v>
      </c>
      <c r="M128" s="261">
        <f>IF(Tabla1[[#This Row],[Avance_km]]&lt;&gt;"",Tabla1[[#This Row],[Avance_km]],Tabla1[[#This Row],[Avance_Med]])*_xlfn.XLOOKUP(Tabla1[[#This Row],[Codigo_actividad]],Catalogo!$B$6:$B$51,Catalogo!$F$6:$F$51,0)</f>
        <v>230.44570999999999</v>
      </c>
    </row>
    <row r="129" spans="1:13" x14ac:dyDescent="0.25">
      <c r="A129" s="354">
        <v>45995</v>
      </c>
      <c r="B129" s="38" t="s">
        <v>12</v>
      </c>
      <c r="C129" s="155" t="s">
        <v>13</v>
      </c>
      <c r="D129" s="39" t="s">
        <v>57</v>
      </c>
      <c r="E129" s="40" t="s">
        <v>16</v>
      </c>
      <c r="F129" s="28">
        <v>0</v>
      </c>
      <c r="G129" s="28">
        <v>88</v>
      </c>
      <c r="H129" s="53">
        <f>IF(Tabla1[[#This Row],[Codigo_actividad]]&lt;&gt;2.5,IF(((Tabla1[[#This Row],[fin]]-Tabla1[[#This Row],[inicio]])/1000)=0,"",((Tabla1[[#This Row],[fin]]-Tabla1[[#This Row],[inicio]])/1000)),"")</f>
        <v>8.7999999999999995E-2</v>
      </c>
      <c r="J129" s="76">
        <v>2.6</v>
      </c>
      <c r="K129" s="57" t="str">
        <f>IF(_xlfn.XLOOKUP($J129,Catalogo!$B$7:$B$210,Catalogo!$I$7:$I$210,"",0)=0,"",_xlfn.XLOOKUP($J129,Catalogo!$B$7:$B$210,Catalogo!$I$7:$I$210,"",0))</f>
        <v>Localizacion</v>
      </c>
      <c r="L129" s="36">
        <v>8.7999999999999995E-2</v>
      </c>
      <c r="M129" s="261">
        <f>IF(Tabla1[[#This Row],[Avance_km]]&lt;&gt;"",Tabla1[[#This Row],[Avance_km]],Tabla1[[#This Row],[Avance_Med]])*_xlfn.XLOOKUP(Tabla1[[#This Row],[Codigo_actividad]],Catalogo!$B$6:$B$51,Catalogo!$F$6:$F$51,0)</f>
        <v>198.65296000000001</v>
      </c>
    </row>
    <row r="130" spans="1:13" x14ac:dyDescent="0.25">
      <c r="A130" s="354">
        <v>45995</v>
      </c>
      <c r="B130" s="38" t="s">
        <v>12</v>
      </c>
      <c r="C130" s="155" t="s">
        <v>13</v>
      </c>
      <c r="D130" s="39" t="s">
        <v>58</v>
      </c>
      <c r="E130" s="40" t="s">
        <v>16</v>
      </c>
      <c r="F130" s="28">
        <v>0</v>
      </c>
      <c r="G130" s="28">
        <v>188</v>
      </c>
      <c r="H130" s="53">
        <f>IF(Tabla1[[#This Row],[Codigo_actividad]]&lt;&gt;2.5,IF(((Tabla1[[#This Row],[fin]]-Tabla1[[#This Row],[inicio]])/1000)=0,"",((Tabla1[[#This Row],[fin]]-Tabla1[[#This Row],[inicio]])/1000)),"")</f>
        <v>0.188</v>
      </c>
      <c r="J130" s="76">
        <v>2.6</v>
      </c>
      <c r="K130" s="57" t="str">
        <f>IF(_xlfn.XLOOKUP($J130,Catalogo!$B$7:$B$210,Catalogo!$I$7:$I$210,"",0)=0,"",_xlfn.XLOOKUP($J130,Catalogo!$B$7:$B$210,Catalogo!$I$7:$I$210,"",0))</f>
        <v>Localizacion</v>
      </c>
      <c r="L130" s="36">
        <v>0.188</v>
      </c>
      <c r="M130" s="261">
        <f>IF(Tabla1[[#This Row],[Avance_km]]&lt;&gt;"",Tabla1[[#This Row],[Avance_km]],Tabla1[[#This Row],[Avance_Med]])*_xlfn.XLOOKUP(Tabla1[[#This Row],[Codigo_actividad]],Catalogo!$B$6:$B$51,Catalogo!$F$6:$F$51,0)</f>
        <v>424.39496000000003</v>
      </c>
    </row>
    <row r="131" spans="1:13" x14ac:dyDescent="0.25">
      <c r="A131" s="354">
        <v>45995</v>
      </c>
      <c r="B131" s="38" t="s">
        <v>12</v>
      </c>
      <c r="C131" s="155" t="s">
        <v>13</v>
      </c>
      <c r="D131" s="39" t="s">
        <v>59</v>
      </c>
      <c r="E131" s="40" t="s">
        <v>16</v>
      </c>
      <c r="F131" s="28">
        <v>0</v>
      </c>
      <c r="G131" s="28">
        <v>7</v>
      </c>
      <c r="H131" s="53">
        <f>IF(Tabla1[[#This Row],[Codigo_actividad]]&lt;&gt;2.5,IF(((Tabla1[[#This Row],[fin]]-Tabla1[[#This Row],[inicio]])/1000)=0,"",((Tabla1[[#This Row],[fin]]-Tabla1[[#This Row],[inicio]])/1000)),"")</f>
        <v>7.0000000000000001E-3</v>
      </c>
      <c r="J131" s="76">
        <v>2.6</v>
      </c>
      <c r="K131" s="57" t="str">
        <f>IF(_xlfn.XLOOKUP($J131,Catalogo!$B$7:$B$210,Catalogo!$I$7:$I$210,"",0)=0,"",_xlfn.XLOOKUP($J131,Catalogo!$B$7:$B$210,Catalogo!$I$7:$I$210,"",0))</f>
        <v>Localizacion</v>
      </c>
      <c r="L131" s="36">
        <v>7.0000000000000001E-3</v>
      </c>
      <c r="M131" s="261">
        <f>IF(Tabla1[[#This Row],[Avance_km]]&lt;&gt;"",Tabla1[[#This Row],[Avance_km]],Tabla1[[#This Row],[Avance_Med]])*_xlfn.XLOOKUP(Tabla1[[#This Row],[Codigo_actividad]],Catalogo!$B$6:$B$51,Catalogo!$F$6:$F$51,0)</f>
        <v>15.80194</v>
      </c>
    </row>
    <row r="132" spans="1:13" x14ac:dyDescent="0.25">
      <c r="A132" s="354">
        <v>45995</v>
      </c>
      <c r="B132" s="38" t="s">
        <v>12</v>
      </c>
      <c r="C132" s="155" t="s">
        <v>13</v>
      </c>
      <c r="D132" s="39" t="s">
        <v>60</v>
      </c>
      <c r="E132" s="40" t="s">
        <v>16</v>
      </c>
      <c r="F132" s="28">
        <v>0</v>
      </c>
      <c r="G132" s="28">
        <v>19</v>
      </c>
      <c r="H132" s="53">
        <f>IF(Tabla1[[#This Row],[Codigo_actividad]]&lt;&gt;2.5,IF(((Tabla1[[#This Row],[fin]]-Tabla1[[#This Row],[inicio]])/1000)=0,"",((Tabla1[[#This Row],[fin]]-Tabla1[[#This Row],[inicio]])/1000)),"")</f>
        <v>1.9E-2</v>
      </c>
      <c r="J132" s="76">
        <v>2.6</v>
      </c>
      <c r="K132" s="57" t="str">
        <f>IF(_xlfn.XLOOKUP($J132,Catalogo!$B$7:$B$210,Catalogo!$I$7:$I$210,"",0)=0,"",_xlfn.XLOOKUP($J132,Catalogo!$B$7:$B$210,Catalogo!$I$7:$I$210,"",0))</f>
        <v>Localizacion</v>
      </c>
      <c r="L132" s="36">
        <v>1.9E-2</v>
      </c>
      <c r="M132" s="261">
        <f>IF(Tabla1[[#This Row],[Avance_km]]&lt;&gt;"",Tabla1[[#This Row],[Avance_km]],Tabla1[[#This Row],[Avance_Med]])*_xlfn.XLOOKUP(Tabla1[[#This Row],[Codigo_actividad]],Catalogo!$B$6:$B$51,Catalogo!$F$6:$F$51,0)</f>
        <v>42.890979999999999</v>
      </c>
    </row>
    <row r="133" spans="1:13" x14ac:dyDescent="0.25">
      <c r="A133" s="354">
        <v>45995</v>
      </c>
      <c r="B133" s="38" t="s">
        <v>12</v>
      </c>
      <c r="C133" s="155" t="s">
        <v>13</v>
      </c>
      <c r="D133" s="39" t="s">
        <v>61</v>
      </c>
      <c r="E133" s="40" t="s">
        <v>16</v>
      </c>
      <c r="F133" s="28">
        <v>0</v>
      </c>
      <c r="G133" s="28">
        <v>55</v>
      </c>
      <c r="H133" s="53">
        <f>IF(Tabla1[[#This Row],[Codigo_actividad]]&lt;&gt;2.5,IF(((Tabla1[[#This Row],[fin]]-Tabla1[[#This Row],[inicio]])/1000)=0,"",((Tabla1[[#This Row],[fin]]-Tabla1[[#This Row],[inicio]])/1000)),"")</f>
        <v>5.5E-2</v>
      </c>
      <c r="J133" s="76">
        <v>2.6</v>
      </c>
      <c r="K133" s="57" t="str">
        <f>IF(_xlfn.XLOOKUP($J133,Catalogo!$B$7:$B$210,Catalogo!$I$7:$I$210,"",0)=0,"",_xlfn.XLOOKUP($J133,Catalogo!$B$7:$B$210,Catalogo!$I$7:$I$210,"",0))</f>
        <v>Localizacion</v>
      </c>
      <c r="L133" s="36">
        <v>5.5E-2</v>
      </c>
      <c r="M133" s="261">
        <f>IF(Tabla1[[#This Row],[Avance_km]]&lt;&gt;"",Tabla1[[#This Row],[Avance_km]],Tabla1[[#This Row],[Avance_Med]])*_xlfn.XLOOKUP(Tabla1[[#This Row],[Codigo_actividad]],Catalogo!$B$6:$B$51,Catalogo!$F$6:$F$51,0)</f>
        <v>124.1581</v>
      </c>
    </row>
    <row r="134" spans="1:13" x14ac:dyDescent="0.25">
      <c r="A134" s="354">
        <v>45995</v>
      </c>
      <c r="B134" s="38" t="s">
        <v>12</v>
      </c>
      <c r="C134" s="155" t="s">
        <v>13</v>
      </c>
      <c r="D134" s="39" t="s">
        <v>62</v>
      </c>
      <c r="E134" s="40" t="s">
        <v>16</v>
      </c>
      <c r="F134" s="28">
        <v>0</v>
      </c>
      <c r="G134" s="28">
        <v>63</v>
      </c>
      <c r="H134" s="53">
        <f>IF(Tabla1[[#This Row],[Codigo_actividad]]&lt;&gt;2.5,IF(((Tabla1[[#This Row],[fin]]-Tabla1[[#This Row],[inicio]])/1000)=0,"",((Tabla1[[#This Row],[fin]]-Tabla1[[#This Row],[inicio]])/1000)),"")</f>
        <v>6.3E-2</v>
      </c>
      <c r="J134" s="76">
        <v>2.6</v>
      </c>
      <c r="K134" s="57" t="str">
        <f>IF(_xlfn.XLOOKUP($J134,Catalogo!$B$7:$B$210,Catalogo!$I$7:$I$210,"",0)=0,"",_xlfn.XLOOKUP($J134,Catalogo!$B$7:$B$210,Catalogo!$I$7:$I$210,"",0))</f>
        <v>Localizacion</v>
      </c>
      <c r="L134" s="36">
        <v>6.3E-2</v>
      </c>
      <c r="M134" s="261">
        <f>IF(Tabla1[[#This Row],[Avance_km]]&lt;&gt;"",Tabla1[[#This Row],[Avance_km]],Tabla1[[#This Row],[Avance_Med]])*_xlfn.XLOOKUP(Tabla1[[#This Row],[Codigo_actividad]],Catalogo!$B$6:$B$51,Catalogo!$F$6:$F$51,0)</f>
        <v>142.21746000000002</v>
      </c>
    </row>
    <row r="135" spans="1:13" x14ac:dyDescent="0.25">
      <c r="A135" s="354">
        <v>45995</v>
      </c>
      <c r="B135" s="38" t="s">
        <v>12</v>
      </c>
      <c r="C135" s="155" t="s">
        <v>13</v>
      </c>
      <c r="D135" s="39" t="s">
        <v>63</v>
      </c>
      <c r="E135" s="40" t="s">
        <v>16</v>
      </c>
      <c r="F135" s="28">
        <v>0</v>
      </c>
      <c r="G135" s="28">
        <v>55</v>
      </c>
      <c r="H135" s="53">
        <f>IF(Tabla1[[#This Row],[Codigo_actividad]]&lt;&gt;2.5,IF(((Tabla1[[#This Row],[fin]]-Tabla1[[#This Row],[inicio]])/1000)=0,"",((Tabla1[[#This Row],[fin]]-Tabla1[[#This Row],[inicio]])/1000)),"")</f>
        <v>5.5E-2</v>
      </c>
      <c r="J135" s="76">
        <v>2.6</v>
      </c>
      <c r="K135" s="57" t="str">
        <f>IF(_xlfn.XLOOKUP($J135,Catalogo!$B$7:$B$210,Catalogo!$I$7:$I$210,"",0)=0,"",_xlfn.XLOOKUP($J135,Catalogo!$B$7:$B$210,Catalogo!$I$7:$I$210,"",0))</f>
        <v>Localizacion</v>
      </c>
      <c r="L135" s="36">
        <v>5.5E-2</v>
      </c>
      <c r="M135" s="261">
        <f>IF(Tabla1[[#This Row],[Avance_km]]&lt;&gt;"",Tabla1[[#This Row],[Avance_km]],Tabla1[[#This Row],[Avance_Med]])*_xlfn.XLOOKUP(Tabla1[[#This Row],[Codigo_actividad]],Catalogo!$B$6:$B$51,Catalogo!$F$6:$F$51,0)</f>
        <v>124.1581</v>
      </c>
    </row>
    <row r="136" spans="1:13" x14ac:dyDescent="0.25">
      <c r="A136" s="354">
        <v>45995</v>
      </c>
      <c r="B136" s="38" t="s">
        <v>12</v>
      </c>
      <c r="C136" s="155" t="s">
        <v>22</v>
      </c>
      <c r="D136" s="39" t="s">
        <v>64</v>
      </c>
      <c r="E136" s="40" t="s">
        <v>16</v>
      </c>
      <c r="F136" s="28">
        <v>0</v>
      </c>
      <c r="G136" s="28">
        <v>17</v>
      </c>
      <c r="H136" s="53">
        <f>IF(Tabla1[[#This Row],[Codigo_actividad]]&lt;&gt;2.5,IF(((Tabla1[[#This Row],[fin]]-Tabla1[[#This Row],[inicio]])/1000)=0,"",((Tabla1[[#This Row],[fin]]-Tabla1[[#This Row],[inicio]])/1000)),"")</f>
        <v>1.7000000000000001E-2</v>
      </c>
      <c r="J136" s="76">
        <v>2.6</v>
      </c>
      <c r="K136" s="57" t="str">
        <f>IF(_xlfn.XLOOKUP($J136,Catalogo!$B$7:$B$210,Catalogo!$I$7:$I$210,"",0)=0,"",_xlfn.XLOOKUP($J136,Catalogo!$B$7:$B$210,Catalogo!$I$7:$I$210,"",0))</f>
        <v>Localizacion</v>
      </c>
      <c r="L136" s="36">
        <v>1.7000000000000001E-2</v>
      </c>
      <c r="M136" s="261">
        <f>IF(Tabla1[[#This Row],[Avance_km]]&lt;&gt;"",Tabla1[[#This Row],[Avance_km]],Tabla1[[#This Row],[Avance_Med]])*_xlfn.XLOOKUP(Tabla1[[#This Row],[Codigo_actividad]],Catalogo!$B$6:$B$51,Catalogo!$F$6:$F$51,0)</f>
        <v>38.376140000000007</v>
      </c>
    </row>
    <row r="137" spans="1:13" x14ac:dyDescent="0.25">
      <c r="A137" s="354">
        <v>45995</v>
      </c>
      <c r="B137" s="38" t="s">
        <v>29</v>
      </c>
      <c r="C137" s="155" t="s">
        <v>13</v>
      </c>
      <c r="D137" s="39" t="s">
        <v>65</v>
      </c>
      <c r="E137" s="40" t="s">
        <v>16</v>
      </c>
      <c r="F137" s="28">
        <v>0</v>
      </c>
      <c r="G137" s="28">
        <v>3000</v>
      </c>
      <c r="H137" s="53">
        <f>IF(Tabla1[[#This Row],[Codigo_actividad]]&lt;&gt;2.5,IF(((Tabla1[[#This Row],[fin]]-Tabla1[[#This Row],[inicio]])/1000)=0,"",((Tabla1[[#This Row],[fin]]-Tabla1[[#This Row],[inicio]])/1000)),"")</f>
        <v>3</v>
      </c>
      <c r="J137" s="76">
        <v>2.6</v>
      </c>
      <c r="K137" s="57" t="str">
        <f>IF(_xlfn.XLOOKUP($J137,Catalogo!$B$7:$B$210,Catalogo!$I$7:$I$210,"",0)=0,"",_xlfn.XLOOKUP($J137,Catalogo!$B$7:$B$210,Catalogo!$I$7:$I$210,"",0))</f>
        <v>Localizacion</v>
      </c>
      <c r="L137" s="36">
        <f>IF(Tabla1[[#This Row],[Sistema]]="LIRA_GALERAS",_xlfn.XLOOKUP(Tabla1[[#This Row],[Ducto]],'Summary S01'!A:A,'Summary S01'!G:G)/1000,_xlfn.XLOOKUP(Tabla1[[#This Row],[Ducto]],'Summary S02'!A:A,'Summary S01'!G:G)/1000)</f>
        <v>10.44422</v>
      </c>
      <c r="M137" s="261">
        <f>IF(Tabla1[[#This Row],[Avance_km]]&lt;&gt;"",Tabla1[[#This Row],[Avance_km]],Tabla1[[#This Row],[Avance_Med]])*_xlfn.XLOOKUP(Tabla1[[#This Row],[Codigo_actividad]],Catalogo!$B$6:$B$51,Catalogo!$F$6:$F$51,0)</f>
        <v>6772.26</v>
      </c>
    </row>
    <row r="138" spans="1:13" x14ac:dyDescent="0.25">
      <c r="A138" s="354">
        <v>45995</v>
      </c>
      <c r="B138" s="38" t="s">
        <v>30</v>
      </c>
      <c r="C138" s="155" t="s">
        <v>13</v>
      </c>
      <c r="D138" s="39" t="s">
        <v>50</v>
      </c>
      <c r="E138" s="60" t="s">
        <v>31</v>
      </c>
      <c r="F138" s="28">
        <v>11000</v>
      </c>
      <c r="G138" s="28">
        <v>12657</v>
      </c>
      <c r="H138" s="53" t="str">
        <f>IF(Tabla1[[#This Row],[Codigo_actividad]]&lt;&gt;2.5,IF(((Tabla1[[#This Row],[fin]]-Tabla1[[#This Row],[inicio]])/1000)=0,"",((Tabla1[[#This Row],[fin]]-Tabla1[[#This Row],[inicio]])/1000)),"")</f>
        <v/>
      </c>
      <c r="I138" s="57">
        <v>5</v>
      </c>
      <c r="J138" s="76">
        <v>2.5</v>
      </c>
      <c r="K138" s="57" t="str">
        <f>IF(_xlfn.XLOOKUP($J138,Catalogo!$B$7:$B$210,Catalogo!$I$7:$I$210,"",0)=0,"",_xlfn.XLOOKUP($J138,Catalogo!$B$7:$B$210,Catalogo!$I$7:$I$210,"",0))</f>
        <v>Resistividades pH BSR BPA</v>
      </c>
      <c r="L138" s="36">
        <v>12.657</v>
      </c>
      <c r="M138" s="261">
        <f>IF(Tabla1[[#This Row],[Avance_km]]&lt;&gt;"",Tabla1[[#This Row],[Avance_km]],Tabla1[[#This Row],[Avance_Med]])*_xlfn.XLOOKUP(Tabla1[[#This Row],[Codigo_actividad]],Catalogo!$B$6:$B$51,Catalogo!$F$6:$F$51,0)</f>
        <v>23290</v>
      </c>
    </row>
    <row r="139" spans="1:13" x14ac:dyDescent="0.25">
      <c r="A139" s="354">
        <v>45995</v>
      </c>
      <c r="B139" s="38" t="s">
        <v>30</v>
      </c>
      <c r="C139" s="155" t="s">
        <v>13</v>
      </c>
      <c r="D139" s="39" t="s">
        <v>66</v>
      </c>
      <c r="E139" s="60" t="s">
        <v>31</v>
      </c>
      <c r="F139" s="28">
        <v>0</v>
      </c>
      <c r="G139" s="28">
        <v>2277</v>
      </c>
      <c r="H139" s="53" t="str">
        <f>IF(Tabla1[[#This Row],[Codigo_actividad]]&lt;&gt;2.5,IF(((Tabla1[[#This Row],[fin]]-Tabla1[[#This Row],[inicio]])/1000)=0,"",((Tabla1[[#This Row],[fin]]-Tabla1[[#This Row],[inicio]])/1000)),"")</f>
        <v/>
      </c>
      <c r="I139" s="57">
        <v>6</v>
      </c>
      <c r="J139" s="76">
        <v>2.5</v>
      </c>
      <c r="K139" s="57" t="str">
        <f>IF(_xlfn.XLOOKUP($J139,Catalogo!$B$7:$B$210,Catalogo!$I$7:$I$210,"",0)=0,"",_xlfn.XLOOKUP($J139,Catalogo!$B$7:$B$210,Catalogo!$I$7:$I$210,"",0))</f>
        <v>Resistividades pH BSR BPA</v>
      </c>
      <c r="L139" s="36">
        <v>2.2770000000000001</v>
      </c>
      <c r="M139" s="261">
        <f>IF(Tabla1[[#This Row],[Avance_km]]&lt;&gt;"",Tabla1[[#This Row],[Avance_km]],Tabla1[[#This Row],[Avance_Med]])*_xlfn.XLOOKUP(Tabla1[[#This Row],[Codigo_actividad]],Catalogo!$B$6:$B$51,Catalogo!$F$6:$F$51,0)</f>
        <v>27948</v>
      </c>
    </row>
    <row r="140" spans="1:13" x14ac:dyDescent="0.25">
      <c r="A140" s="354">
        <v>45995</v>
      </c>
      <c r="B140" s="38" t="s">
        <v>30</v>
      </c>
      <c r="C140" s="155" t="s">
        <v>13</v>
      </c>
      <c r="D140" s="39" t="s">
        <v>65</v>
      </c>
      <c r="E140" s="60" t="s">
        <v>31</v>
      </c>
      <c r="F140" s="28">
        <v>0</v>
      </c>
      <c r="G140" s="28">
        <v>3500</v>
      </c>
      <c r="H140" s="53" t="str">
        <f>IF(Tabla1[[#This Row],[Codigo_actividad]]&lt;&gt;2.5,IF(((Tabla1[[#This Row],[fin]]-Tabla1[[#This Row],[inicio]])/1000)=0,"",((Tabla1[[#This Row],[fin]]-Tabla1[[#This Row],[inicio]])/1000)),"")</f>
        <v/>
      </c>
      <c r="I140" s="57">
        <v>8</v>
      </c>
      <c r="J140" s="76">
        <v>2.5</v>
      </c>
      <c r="K140" s="57" t="str">
        <f>IF(_xlfn.XLOOKUP($J140,Catalogo!$B$7:$B$210,Catalogo!$I$7:$I$210,"",0)=0,"",_xlfn.XLOOKUP($J140,Catalogo!$B$7:$B$210,Catalogo!$I$7:$I$210,"",0))</f>
        <v>Resistividades pH BSR BPA</v>
      </c>
      <c r="L140" s="36">
        <v>10.444000000000001</v>
      </c>
      <c r="M140" s="261">
        <f>IF(Tabla1[[#This Row],[Avance_km]]&lt;&gt;"",Tabla1[[#This Row],[Avance_km]],Tabla1[[#This Row],[Avance_Med]])*_xlfn.XLOOKUP(Tabla1[[#This Row],[Codigo_actividad]],Catalogo!$B$6:$B$51,Catalogo!$F$6:$F$51,0)</f>
        <v>37264</v>
      </c>
    </row>
    <row r="141" spans="1:13" x14ac:dyDescent="0.25">
      <c r="A141" s="354"/>
      <c r="C141" s="155"/>
      <c r="D141" s="39"/>
      <c r="F141" s="28"/>
      <c r="G141" s="28"/>
      <c r="H141" s="53" t="str">
        <f>IF(Tabla1[[#This Row],[Codigo_actividad]]&lt;&gt;2.5,IF(((Tabla1[[#This Row],[fin]]-Tabla1[[#This Row],[inicio]])/1000)=0,"",((Tabla1[[#This Row],[fin]]-Tabla1[[#This Row],[inicio]])/1000)),"")</f>
        <v/>
      </c>
      <c r="J141" s="76"/>
      <c r="K141" s="57" t="str">
        <f>IF(_xlfn.XLOOKUP($J141,Catalogo!$B$7:$B$210,Catalogo!$I$7:$I$210,"",0)=0,"",_xlfn.XLOOKUP($J141,Catalogo!$B$7:$B$210,Catalogo!$I$7:$I$210,"",0))</f>
        <v/>
      </c>
      <c r="L141" s="36"/>
      <c r="M141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142" spans="1:13" x14ac:dyDescent="0.25">
      <c r="A142" s="354">
        <v>45996</v>
      </c>
      <c r="B142" s="38" t="s">
        <v>12</v>
      </c>
      <c r="C142" s="155" t="s">
        <v>13</v>
      </c>
      <c r="D142" s="39" t="s">
        <v>65</v>
      </c>
      <c r="E142" s="40" t="s">
        <v>16</v>
      </c>
      <c r="F142" s="28">
        <v>3000</v>
      </c>
      <c r="G142" s="28">
        <v>9650</v>
      </c>
      <c r="H142" s="53">
        <f>IF(Tabla1[[#This Row],[Codigo_actividad]]&lt;&gt;2.5,IF(((Tabla1[[#This Row],[fin]]-Tabla1[[#This Row],[inicio]])/1000)=0,"",((Tabla1[[#This Row],[fin]]-Tabla1[[#This Row],[inicio]])/1000)),"")</f>
        <v>6.65</v>
      </c>
      <c r="J142" s="76">
        <v>2.6</v>
      </c>
      <c r="K142" s="57" t="str">
        <f>IF(_xlfn.XLOOKUP($J142,Catalogo!$B$7:$B$210,Catalogo!$I$7:$I$210,"",0)=0,"",_xlfn.XLOOKUP($J142,Catalogo!$B$7:$B$210,Catalogo!$I$7:$I$210,"",0))</f>
        <v>Localizacion</v>
      </c>
      <c r="L142" s="36">
        <v>10.44422</v>
      </c>
      <c r="M142" s="261">
        <f>IF(Tabla1[[#This Row],[Avance_km]]&lt;&gt;"",Tabla1[[#This Row],[Avance_km]],Tabla1[[#This Row],[Avance_Med]])*_xlfn.XLOOKUP(Tabla1[[#This Row],[Codigo_actividad]],Catalogo!$B$6:$B$51,Catalogo!$F$6:$F$51,0)</f>
        <v>15011.843000000001</v>
      </c>
    </row>
    <row r="143" spans="1:13" x14ac:dyDescent="0.25">
      <c r="A143" s="354">
        <v>45996</v>
      </c>
      <c r="B143" s="38" t="s">
        <v>30</v>
      </c>
      <c r="C143" s="155" t="s">
        <v>13</v>
      </c>
      <c r="D143" s="39" t="s">
        <v>65</v>
      </c>
      <c r="E143" s="60" t="s">
        <v>31</v>
      </c>
      <c r="F143" s="28">
        <v>3500</v>
      </c>
      <c r="G143" s="28">
        <v>10444</v>
      </c>
      <c r="H143" s="53" t="str">
        <f>IF(Tabla1[[#This Row],[Codigo_actividad]]&lt;&gt;2.5,IF(((Tabla1[[#This Row],[fin]]-Tabla1[[#This Row],[inicio]])/1000)=0,"",((Tabla1[[#This Row],[fin]]-Tabla1[[#This Row],[inicio]])/1000)),"")</f>
        <v/>
      </c>
      <c r="I143" s="57">
        <v>14</v>
      </c>
      <c r="J143" s="76">
        <v>2.5</v>
      </c>
      <c r="K143" s="57" t="str">
        <f>IF(_xlfn.XLOOKUP($J143,Catalogo!$B$7:$B$210,Catalogo!$I$7:$I$210,"",0)=0,"",_xlfn.XLOOKUP($J143,Catalogo!$B$7:$B$210,Catalogo!$I$7:$I$210,"",0))</f>
        <v>Resistividades pH BSR BPA</v>
      </c>
      <c r="L143" s="36">
        <v>10.444000000000001</v>
      </c>
      <c r="M143" s="261">
        <f>IF(Tabla1[[#This Row],[Avance_km]]&lt;&gt;"",Tabla1[[#This Row],[Avance_km]],Tabla1[[#This Row],[Avance_Med]])*_xlfn.XLOOKUP(Tabla1[[#This Row],[Codigo_actividad]],Catalogo!$B$6:$B$51,Catalogo!$F$6:$F$51,0)</f>
        <v>65212</v>
      </c>
    </row>
    <row r="144" spans="1:13" x14ac:dyDescent="0.25">
      <c r="A144" s="354"/>
      <c r="B144" s="38"/>
      <c r="C144" s="155"/>
      <c r="D144" s="39"/>
      <c r="E144" s="60"/>
      <c r="F144" s="28"/>
      <c r="G144" s="28"/>
      <c r="H144" s="53" t="str">
        <f>IF(Tabla1[[#This Row],[Codigo_actividad]]&lt;&gt;2.5,IF(((Tabla1[[#This Row],[fin]]-Tabla1[[#This Row],[inicio]])/1000)=0,"",((Tabla1[[#This Row],[fin]]-Tabla1[[#This Row],[inicio]])/1000)),"")</f>
        <v/>
      </c>
      <c r="I144" s="57"/>
      <c r="J144" s="76"/>
      <c r="K144" s="57" t="str">
        <f>IF(_xlfn.XLOOKUP($J144,Catalogo!$B$7:$B$210,Catalogo!$I$7:$I$210,"",0)=0,"",_xlfn.XLOOKUP($J144,Catalogo!$B$7:$B$210,Catalogo!$I$7:$I$210,"",0))</f>
        <v/>
      </c>
      <c r="L144" s="36"/>
      <c r="M144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145" spans="1:13" x14ac:dyDescent="0.25">
      <c r="A145" s="354">
        <v>45997</v>
      </c>
      <c r="B145" s="38" t="s">
        <v>30</v>
      </c>
      <c r="C145" s="155" t="s">
        <v>22</v>
      </c>
      <c r="D145" s="39" t="s">
        <v>23</v>
      </c>
      <c r="E145" s="60" t="s">
        <v>31</v>
      </c>
      <c r="F145" s="28">
        <v>0</v>
      </c>
      <c r="G145" s="28">
        <v>2168</v>
      </c>
      <c r="H145" s="53" t="str">
        <f>IF(Tabla1[[#This Row],[Codigo_actividad]]&lt;&gt;2.5,IF(((Tabla1[[#This Row],[fin]]-Tabla1[[#This Row],[inicio]])/1000)=0,"",((Tabla1[[#This Row],[fin]]-Tabla1[[#This Row],[inicio]])/1000)),"")</f>
        <v/>
      </c>
      <c r="I145" s="57">
        <v>6</v>
      </c>
      <c r="J145" s="76">
        <v>2.5</v>
      </c>
      <c r="K145" s="57" t="str">
        <f>IF(_xlfn.XLOOKUP($J145,Catalogo!$B$7:$B$210,Catalogo!$I$7:$I$210,"",0)=0,"",_xlfn.XLOOKUP($J145,Catalogo!$B$7:$B$210,Catalogo!$I$7:$I$210,"",0))</f>
        <v>Resistividades pH BSR BPA</v>
      </c>
      <c r="L145" s="36">
        <v>2.2000000000000002</v>
      </c>
      <c r="M145" s="261">
        <f>IF(Tabla1[[#This Row],[Avance_km]]&lt;&gt;"",Tabla1[[#This Row],[Avance_km]],Tabla1[[#This Row],[Avance_Med]])*_xlfn.XLOOKUP(Tabla1[[#This Row],[Codigo_actividad]],Catalogo!$B$6:$B$51,Catalogo!$F$6:$F$51,0)</f>
        <v>27948</v>
      </c>
    </row>
    <row r="146" spans="1:13" x14ac:dyDescent="0.25">
      <c r="A146" s="354">
        <v>45997</v>
      </c>
      <c r="B146" s="38" t="s">
        <v>30</v>
      </c>
      <c r="C146" s="155" t="s">
        <v>22</v>
      </c>
      <c r="D146" s="39" t="s">
        <v>39</v>
      </c>
      <c r="E146" s="60" t="s">
        <v>31</v>
      </c>
      <c r="F146" s="28">
        <v>0</v>
      </c>
      <c r="G146" s="28">
        <v>20</v>
      </c>
      <c r="H146" s="53" t="str">
        <f>IF(Tabla1[[#This Row],[Codigo_actividad]]&lt;&gt;2.5,IF(((Tabla1[[#This Row],[fin]]-Tabla1[[#This Row],[inicio]])/1000)=0,"",((Tabla1[[#This Row],[fin]]-Tabla1[[#This Row],[inicio]])/1000)),"")</f>
        <v/>
      </c>
      <c r="I146" s="57">
        <v>1</v>
      </c>
      <c r="J146" s="76">
        <v>2.5</v>
      </c>
      <c r="K146" s="57" t="str">
        <f>IF(_xlfn.XLOOKUP($J146,Catalogo!$B$7:$B$210,Catalogo!$I$7:$I$210,"",0)=0,"",_xlfn.XLOOKUP($J146,Catalogo!$B$7:$B$210,Catalogo!$I$7:$I$210,"",0))</f>
        <v>Resistividades pH BSR BPA</v>
      </c>
      <c r="L146" s="36">
        <v>0.02</v>
      </c>
      <c r="M146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47" spans="1:13" x14ac:dyDescent="0.25">
      <c r="A147" s="354">
        <v>45997</v>
      </c>
      <c r="B147" s="38" t="s">
        <v>12</v>
      </c>
      <c r="C147" s="155" t="s">
        <v>13</v>
      </c>
      <c r="D147" s="39" t="s">
        <v>67</v>
      </c>
      <c r="E147" s="60" t="s">
        <v>36</v>
      </c>
      <c r="F147" s="28">
        <v>0</v>
      </c>
      <c r="G147" s="28">
        <v>8</v>
      </c>
      <c r="H147" s="53">
        <f>IF(Tabla1[[#This Row],[Codigo_actividad]]&lt;&gt;2.5,IF(((Tabla1[[#This Row],[fin]]-Tabla1[[#This Row],[inicio]])/1000)=0,"",((Tabla1[[#This Row],[fin]]-Tabla1[[#This Row],[inicio]])/1000)),"")</f>
        <v>8.0000000000000002E-3</v>
      </c>
      <c r="I147" s="57"/>
      <c r="J147" s="76">
        <v>2.2999999999999998</v>
      </c>
      <c r="K147" s="57" t="str">
        <f>IF(_xlfn.XLOOKUP($J147,Catalogo!$B$7:$B$210,Catalogo!$I$7:$I$210,"",0)=0,"",_xlfn.XLOOKUP($J147,Catalogo!$B$7:$B$210,Catalogo!$I$7:$I$210,"",0))</f>
        <v>DCVG</v>
      </c>
      <c r="L147" s="36">
        <v>8.0000000000000002E-3</v>
      </c>
      <c r="M147" s="261">
        <f>IF(Tabla1[[#This Row],[Avance_km]]&lt;&gt;"",Tabla1[[#This Row],[Avance_km]],Tabla1[[#This Row],[Avance_Med]])*_xlfn.XLOOKUP(Tabla1[[#This Row],[Codigo_actividad]],Catalogo!$B$6:$B$51,Catalogo!$F$6:$F$51,0)</f>
        <v>108.44503999999999</v>
      </c>
    </row>
    <row r="148" spans="1:13" x14ac:dyDescent="0.25">
      <c r="A148" s="354">
        <v>45997</v>
      </c>
      <c r="B148" s="38" t="s">
        <v>12</v>
      </c>
      <c r="C148" s="155" t="s">
        <v>13</v>
      </c>
      <c r="D148" s="39" t="s">
        <v>67</v>
      </c>
      <c r="E148" s="60" t="s">
        <v>16</v>
      </c>
      <c r="F148" s="28">
        <v>0</v>
      </c>
      <c r="G148" s="28">
        <v>8</v>
      </c>
      <c r="H148" s="53">
        <f>IF(Tabla1[[#This Row],[Codigo_actividad]]&lt;&gt;2.5,IF(((Tabla1[[#This Row],[fin]]-Tabla1[[#This Row],[inicio]])/1000)=0,"",((Tabla1[[#This Row],[fin]]-Tabla1[[#This Row],[inicio]])/1000)),"")</f>
        <v>8.0000000000000002E-3</v>
      </c>
      <c r="I148" s="57"/>
      <c r="J148" s="76">
        <v>2.6</v>
      </c>
      <c r="K148" s="57" t="str">
        <f>IF(_xlfn.XLOOKUP($J148,Catalogo!$B$7:$B$210,Catalogo!$I$7:$I$210,"",0)=0,"",_xlfn.XLOOKUP($J148,Catalogo!$B$7:$B$210,Catalogo!$I$7:$I$210,"",0))</f>
        <v>Localizacion</v>
      </c>
      <c r="L148" s="36">
        <v>8.0000000000000002E-3</v>
      </c>
      <c r="M148" s="261">
        <f>IF(Tabla1[[#This Row],[Avance_km]]&lt;&gt;"",Tabla1[[#This Row],[Avance_km]],Tabla1[[#This Row],[Avance_Med]])*_xlfn.XLOOKUP(Tabla1[[#This Row],[Codigo_actividad]],Catalogo!$B$6:$B$51,Catalogo!$F$6:$F$51,0)</f>
        <v>18.059360000000002</v>
      </c>
    </row>
    <row r="149" spans="1:13" x14ac:dyDescent="0.25">
      <c r="A149" s="354">
        <v>45997</v>
      </c>
      <c r="B149" s="38" t="s">
        <v>12</v>
      </c>
      <c r="C149" s="155" t="s">
        <v>22</v>
      </c>
      <c r="D149" s="39" t="s">
        <v>73</v>
      </c>
      <c r="E149" s="60" t="s">
        <v>16</v>
      </c>
      <c r="F149" s="28">
        <v>0</v>
      </c>
      <c r="G149" s="28">
        <v>5</v>
      </c>
      <c r="H149" s="53">
        <f>IF(Tabla1[[#This Row],[Codigo_actividad]]&lt;&gt;2.5,IF(((Tabla1[[#This Row],[fin]]-Tabla1[[#This Row],[inicio]])/1000)=0,"",((Tabla1[[#This Row],[fin]]-Tabla1[[#This Row],[inicio]])/1000)),"")</f>
        <v>5.0000000000000001E-3</v>
      </c>
      <c r="I149" s="57"/>
      <c r="J149" s="76">
        <v>2.6</v>
      </c>
      <c r="K149" s="57" t="str">
        <f>IF(_xlfn.XLOOKUP($J149,Catalogo!$B$7:$B$210,Catalogo!$I$7:$I$210,"",0)=0,"",_xlfn.XLOOKUP($J149,Catalogo!$B$7:$B$210,Catalogo!$I$7:$I$210,"",0))</f>
        <v>Localizacion</v>
      </c>
      <c r="L149" s="36">
        <v>5.0000000000000001E-3</v>
      </c>
      <c r="M149" s="261">
        <f>IF(Tabla1[[#This Row],[Avance_km]]&lt;&gt;"",Tabla1[[#This Row],[Avance_km]],Tabla1[[#This Row],[Avance_Med]])*_xlfn.XLOOKUP(Tabla1[[#This Row],[Codigo_actividad]],Catalogo!$B$6:$B$51,Catalogo!$F$6:$F$51,0)</f>
        <v>11.287100000000001</v>
      </c>
    </row>
    <row r="150" spans="1:13" x14ac:dyDescent="0.25">
      <c r="A150" s="354">
        <v>45997</v>
      </c>
      <c r="B150" s="38" t="s">
        <v>12</v>
      </c>
      <c r="C150" s="155" t="s">
        <v>22</v>
      </c>
      <c r="D150" s="39" t="s">
        <v>73</v>
      </c>
      <c r="E150" s="60" t="s">
        <v>36</v>
      </c>
      <c r="F150" s="28">
        <v>0</v>
      </c>
      <c r="G150" s="28">
        <v>5</v>
      </c>
      <c r="H150" s="53">
        <f>IF(Tabla1[[#This Row],[Codigo_actividad]]&lt;&gt;2.5,IF(((Tabla1[[#This Row],[fin]]-Tabla1[[#This Row],[inicio]])/1000)=0,"",((Tabla1[[#This Row],[fin]]-Tabla1[[#This Row],[inicio]])/1000)),"")</f>
        <v>5.0000000000000001E-3</v>
      </c>
      <c r="I150" s="57"/>
      <c r="J150" s="76">
        <v>2.2999999999999998</v>
      </c>
      <c r="K150" s="57" t="str">
        <f>IF(_xlfn.XLOOKUP($J150,Catalogo!$B$7:$B$210,Catalogo!$I$7:$I$210,"",0)=0,"",_xlfn.XLOOKUP($J150,Catalogo!$B$7:$B$210,Catalogo!$I$7:$I$210,"",0))</f>
        <v>DCVG</v>
      </c>
      <c r="L150" s="36">
        <v>5.0000000000000001E-3</v>
      </c>
      <c r="M150" s="261">
        <f>IF(Tabla1[[#This Row],[Avance_km]]&lt;&gt;"",Tabla1[[#This Row],[Avance_km]],Tabla1[[#This Row],[Avance_Med]])*_xlfn.XLOOKUP(Tabla1[[#This Row],[Codigo_actividad]],Catalogo!$B$6:$B$51,Catalogo!$F$6:$F$51,0)</f>
        <v>67.778149999999997</v>
      </c>
    </row>
    <row r="151" spans="1:13" x14ac:dyDescent="0.25">
      <c r="A151" s="354"/>
      <c r="C151" s="155"/>
      <c r="D151" s="39"/>
      <c r="F151" s="28"/>
      <c r="G151" s="28"/>
      <c r="H151" s="53" t="str">
        <f>IF(Tabla1[[#This Row],[Codigo_actividad]]&lt;&gt;2.5,IF(((Tabla1[[#This Row],[fin]]-Tabla1[[#This Row],[inicio]])/1000)=0,"",((Tabla1[[#This Row],[fin]]-Tabla1[[#This Row],[inicio]])/1000)),"")</f>
        <v/>
      </c>
      <c r="J151" s="76"/>
      <c r="K151" s="57" t="str">
        <f>IF(_xlfn.XLOOKUP($J151,Catalogo!$B$7:$B$210,Catalogo!$I$7:$I$210,"",0)=0,"",_xlfn.XLOOKUP($J151,Catalogo!$B$7:$B$210,Catalogo!$I$7:$I$210,"",0))</f>
        <v/>
      </c>
      <c r="L151" s="36"/>
      <c r="M151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152" spans="1:13" x14ac:dyDescent="0.25">
      <c r="A152" s="354">
        <v>45999</v>
      </c>
      <c r="B152" s="114" t="s">
        <v>30</v>
      </c>
      <c r="C152" s="155" t="s">
        <v>13</v>
      </c>
      <c r="D152" s="39" t="s">
        <v>40</v>
      </c>
      <c r="E152" s="60" t="s">
        <v>31</v>
      </c>
      <c r="F152" s="28">
        <v>0</v>
      </c>
      <c r="G152" s="28"/>
      <c r="H152" s="53" t="str">
        <f>IF(Tabla1[[#This Row],[Codigo_actividad]]&lt;&gt;2.5,IF(((Tabla1[[#This Row],[fin]]-Tabla1[[#This Row],[inicio]])/1000)=0,"",((Tabla1[[#This Row],[fin]]-Tabla1[[#This Row],[inicio]])/1000)),"")</f>
        <v/>
      </c>
      <c r="I152" s="66">
        <v>1</v>
      </c>
      <c r="J152" s="76">
        <v>2.5</v>
      </c>
      <c r="K152" s="57" t="str">
        <f>IF(_xlfn.XLOOKUP($J152,Catalogo!$B$7:$B$210,Catalogo!$I$7:$I$210,"",0)=0,"",_xlfn.XLOOKUP($J152,Catalogo!$B$7:$B$210,Catalogo!$I$7:$I$210,"",0))</f>
        <v>Resistividades pH BSR BPA</v>
      </c>
      <c r="L152" s="36">
        <v>0.02</v>
      </c>
      <c r="M152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53" spans="1:13" x14ac:dyDescent="0.25">
      <c r="A153" s="354">
        <v>45999</v>
      </c>
      <c r="B153" s="114" t="s">
        <v>30</v>
      </c>
      <c r="C153" s="155" t="s">
        <v>13</v>
      </c>
      <c r="D153" s="39" t="s">
        <v>42</v>
      </c>
      <c r="E153" s="60" t="s">
        <v>31</v>
      </c>
      <c r="F153" s="28">
        <v>0</v>
      </c>
      <c r="G153" s="28"/>
      <c r="H153" s="53" t="str">
        <f>IF(Tabla1[[#This Row],[Codigo_actividad]]&lt;&gt;2.5,IF(((Tabla1[[#This Row],[fin]]-Tabla1[[#This Row],[inicio]])/1000)=0,"",((Tabla1[[#This Row],[fin]]-Tabla1[[#This Row],[inicio]])/1000)),"")</f>
        <v/>
      </c>
      <c r="I153" s="66">
        <v>1</v>
      </c>
      <c r="J153" s="76">
        <v>2.5</v>
      </c>
      <c r="K153" s="57" t="str">
        <f>IF(_xlfn.XLOOKUP($J153,Catalogo!$B$7:$B$210,Catalogo!$I$7:$I$210,"",0)=0,"",_xlfn.XLOOKUP($J153,Catalogo!$B$7:$B$210,Catalogo!$I$7:$I$210,"",0))</f>
        <v>Resistividades pH BSR BPA</v>
      </c>
      <c r="L153" s="36">
        <v>7.0000000000000007E-2</v>
      </c>
      <c r="M153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54" spans="1:13" x14ac:dyDescent="0.25">
      <c r="A154" s="354">
        <v>45999</v>
      </c>
      <c r="B154" s="114" t="s">
        <v>30</v>
      </c>
      <c r="C154" s="155" t="s">
        <v>13</v>
      </c>
      <c r="D154" s="39" t="s">
        <v>43</v>
      </c>
      <c r="E154" s="60" t="s">
        <v>31</v>
      </c>
      <c r="F154" s="28">
        <v>0</v>
      </c>
      <c r="G154" s="28"/>
      <c r="H154" s="53" t="str">
        <f>IF(Tabla1[[#This Row],[Codigo_actividad]]&lt;&gt;2.5,IF(((Tabla1[[#This Row],[fin]]-Tabla1[[#This Row],[inicio]])/1000)=0,"",((Tabla1[[#This Row],[fin]]-Tabla1[[#This Row],[inicio]])/1000)),"")</f>
        <v/>
      </c>
      <c r="I154" s="66">
        <v>1</v>
      </c>
      <c r="J154" s="76">
        <v>2.5</v>
      </c>
      <c r="K154" s="57" t="str">
        <f>IF(_xlfn.XLOOKUP($J154,Catalogo!$B$7:$B$210,Catalogo!$I$7:$I$210,"",0)=0,"",_xlfn.XLOOKUP($J154,Catalogo!$B$7:$B$210,Catalogo!$I$7:$I$210,"",0))</f>
        <v>Resistividades pH BSR BPA</v>
      </c>
      <c r="L154" s="36">
        <v>1.4999999999999999E-2</v>
      </c>
      <c r="M154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55" spans="1:13" x14ac:dyDescent="0.25">
      <c r="A155" s="354">
        <v>45999</v>
      </c>
      <c r="B155" s="114" t="s">
        <v>30</v>
      </c>
      <c r="C155" s="155" t="s">
        <v>13</v>
      </c>
      <c r="D155" s="39" t="s">
        <v>45</v>
      </c>
      <c r="E155" s="60" t="s">
        <v>31</v>
      </c>
      <c r="F155" s="28">
        <v>0</v>
      </c>
      <c r="G155" s="28"/>
      <c r="H155" s="53" t="str">
        <f>IF(Tabla1[[#This Row],[Codigo_actividad]]&lt;&gt;2.5,IF(((Tabla1[[#This Row],[fin]]-Tabla1[[#This Row],[inicio]])/1000)=0,"",((Tabla1[[#This Row],[fin]]-Tabla1[[#This Row],[inicio]])/1000)),"")</f>
        <v/>
      </c>
      <c r="I155" s="66">
        <v>1</v>
      </c>
      <c r="J155" s="76">
        <v>2.5</v>
      </c>
      <c r="K155" s="57" t="str">
        <f>IF(_xlfn.XLOOKUP($J155,Catalogo!$B$7:$B$210,Catalogo!$I$7:$I$210,"",0)=0,"",_xlfn.XLOOKUP($J155,Catalogo!$B$7:$B$210,Catalogo!$I$7:$I$210,"",0))</f>
        <v>Resistividades pH BSR BPA</v>
      </c>
      <c r="L155" s="36">
        <v>0.01</v>
      </c>
      <c r="M155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56" spans="1:13" x14ac:dyDescent="0.25">
      <c r="A156" s="354">
        <v>45999</v>
      </c>
      <c r="B156" s="114" t="s">
        <v>30</v>
      </c>
      <c r="C156" s="155" t="s">
        <v>13</v>
      </c>
      <c r="D156" s="39" t="s">
        <v>17</v>
      </c>
      <c r="E156" s="60" t="s">
        <v>31</v>
      </c>
      <c r="F156" s="28">
        <v>0</v>
      </c>
      <c r="G156" s="28"/>
      <c r="H156" s="53" t="str">
        <f>IF(Tabla1[[#This Row],[Codigo_actividad]]&lt;&gt;2.5,IF(((Tabla1[[#This Row],[fin]]-Tabla1[[#This Row],[inicio]])/1000)=0,"",((Tabla1[[#This Row],[fin]]-Tabla1[[#This Row],[inicio]])/1000)),"")</f>
        <v/>
      </c>
      <c r="I156" s="66">
        <v>4</v>
      </c>
      <c r="J156" s="76">
        <v>2.5</v>
      </c>
      <c r="K156" s="57" t="str">
        <f>IF(_xlfn.XLOOKUP($J156,Catalogo!$B$7:$B$210,Catalogo!$I$7:$I$210,"",0)=0,"",_xlfn.XLOOKUP($J156,Catalogo!$B$7:$B$210,Catalogo!$I$7:$I$210,"",0))</f>
        <v>Resistividades pH BSR BPA</v>
      </c>
      <c r="L156" s="36">
        <v>1.982</v>
      </c>
      <c r="M156" s="261">
        <f>IF(Tabla1[[#This Row],[Avance_km]]&lt;&gt;"",Tabla1[[#This Row],[Avance_km]],Tabla1[[#This Row],[Avance_Med]])*_xlfn.XLOOKUP(Tabla1[[#This Row],[Codigo_actividad]],Catalogo!$B$6:$B$51,Catalogo!$F$6:$F$51,0)</f>
        <v>18632</v>
      </c>
    </row>
    <row r="157" spans="1:13" x14ac:dyDescent="0.25">
      <c r="A157" s="354">
        <v>45999</v>
      </c>
      <c r="B157" s="114" t="s">
        <v>30</v>
      </c>
      <c r="C157" s="155" t="s">
        <v>13</v>
      </c>
      <c r="D157" s="39" t="s">
        <v>18</v>
      </c>
      <c r="E157" s="60" t="s">
        <v>31</v>
      </c>
      <c r="F157" s="28">
        <v>0</v>
      </c>
      <c r="G157" s="28"/>
      <c r="H157" s="53" t="str">
        <f>IF(Tabla1[[#This Row],[Codigo_actividad]]&lt;&gt;2.5,IF(((Tabla1[[#This Row],[fin]]-Tabla1[[#This Row],[inicio]])/1000)=0,"",((Tabla1[[#This Row],[fin]]-Tabla1[[#This Row],[inicio]])/1000)),"")</f>
        <v/>
      </c>
      <c r="I157" s="66">
        <v>2</v>
      </c>
      <c r="J157" s="76">
        <v>2.5</v>
      </c>
      <c r="K157" s="57" t="str">
        <f>IF(_xlfn.XLOOKUP($J157,Catalogo!$B$7:$B$210,Catalogo!$I$7:$I$210,"",0)=0,"",_xlfn.XLOOKUP($J157,Catalogo!$B$7:$B$210,Catalogo!$I$7:$I$210,"",0))</f>
        <v>Resistividades pH BSR BPA</v>
      </c>
      <c r="L157" s="36">
        <v>0.17499999999999999</v>
      </c>
      <c r="M157" s="261">
        <f>IF(Tabla1[[#This Row],[Avance_km]]&lt;&gt;"",Tabla1[[#This Row],[Avance_km]],Tabla1[[#This Row],[Avance_Med]])*_xlfn.XLOOKUP(Tabla1[[#This Row],[Codigo_actividad]],Catalogo!$B$6:$B$51,Catalogo!$F$6:$F$51,0)</f>
        <v>9316</v>
      </c>
    </row>
    <row r="158" spans="1:13" x14ac:dyDescent="0.25">
      <c r="A158" s="354">
        <v>45999</v>
      </c>
      <c r="B158" s="114" t="s">
        <v>30</v>
      </c>
      <c r="C158" s="155" t="s">
        <v>13</v>
      </c>
      <c r="D158" s="39" t="s">
        <v>52</v>
      </c>
      <c r="E158" s="60" t="s">
        <v>31</v>
      </c>
      <c r="F158" s="28">
        <v>0</v>
      </c>
      <c r="G158" s="28"/>
      <c r="H158" s="53" t="str">
        <f>IF(Tabla1[[#This Row],[Codigo_actividad]]&lt;&gt;2.5,IF(((Tabla1[[#This Row],[fin]]-Tabla1[[#This Row],[inicio]])/1000)=0,"",((Tabla1[[#This Row],[fin]]-Tabla1[[#This Row],[inicio]])/1000)),"")</f>
        <v/>
      </c>
      <c r="I158" s="66">
        <v>1</v>
      </c>
      <c r="J158" s="76">
        <v>2.5</v>
      </c>
      <c r="K158" s="57" t="str">
        <f>IF(_xlfn.XLOOKUP($J158,Catalogo!$B$7:$B$210,Catalogo!$I$7:$I$210,"",0)=0,"",_xlfn.XLOOKUP($J158,Catalogo!$B$7:$B$210,Catalogo!$I$7:$I$210,"",0))</f>
        <v>Resistividades pH BSR BPA</v>
      </c>
      <c r="L158" s="36">
        <v>0.01</v>
      </c>
      <c r="M158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59" spans="1:13" x14ac:dyDescent="0.25">
      <c r="A159" s="354">
        <v>45999</v>
      </c>
      <c r="B159" s="114" t="s">
        <v>30</v>
      </c>
      <c r="C159" s="155" t="s">
        <v>13</v>
      </c>
      <c r="D159" s="39" t="s">
        <v>44</v>
      </c>
      <c r="E159" s="60" t="s">
        <v>31</v>
      </c>
      <c r="F159" s="28">
        <v>0</v>
      </c>
      <c r="G159" s="28"/>
      <c r="H159" s="53" t="str">
        <f>IF(Tabla1[[#This Row],[Codigo_actividad]]&lt;&gt;2.5,IF(((Tabla1[[#This Row],[fin]]-Tabla1[[#This Row],[inicio]])/1000)=0,"",((Tabla1[[#This Row],[fin]]-Tabla1[[#This Row],[inicio]])/1000)),"")</f>
        <v/>
      </c>
      <c r="I159" s="66">
        <v>1</v>
      </c>
      <c r="J159" s="76">
        <v>2.5</v>
      </c>
      <c r="K159" s="57" t="str">
        <f>IF(_xlfn.XLOOKUP($J159,Catalogo!$B$7:$B$210,Catalogo!$I$7:$I$210,"",0)=0,"",_xlfn.XLOOKUP($J159,Catalogo!$B$7:$B$210,Catalogo!$I$7:$I$210,"",0))</f>
        <v>Resistividades pH BSR BPA</v>
      </c>
      <c r="L159" s="36">
        <v>1.9E-2</v>
      </c>
      <c r="M159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60" spans="1:13" x14ac:dyDescent="0.25">
      <c r="A160" s="354">
        <v>45999</v>
      </c>
      <c r="B160" s="114" t="s">
        <v>30</v>
      </c>
      <c r="C160" s="155" t="s">
        <v>13</v>
      </c>
      <c r="D160" s="39" t="s">
        <v>51</v>
      </c>
      <c r="E160" s="60" t="s">
        <v>31</v>
      </c>
      <c r="F160" s="28">
        <v>0</v>
      </c>
      <c r="G160" s="28"/>
      <c r="H160" s="53" t="str">
        <f>IF(Tabla1[[#This Row],[Codigo_actividad]]&lt;&gt;2.5,IF(((Tabla1[[#This Row],[fin]]-Tabla1[[#This Row],[inicio]])/1000)=0,"",((Tabla1[[#This Row],[fin]]-Tabla1[[#This Row],[inicio]])/1000)),"")</f>
        <v/>
      </c>
      <c r="I160" s="66">
        <v>2</v>
      </c>
      <c r="J160" s="76">
        <v>2.5</v>
      </c>
      <c r="K160" s="57" t="str">
        <f>IF(_xlfn.XLOOKUP($J160,Catalogo!$B$7:$B$210,Catalogo!$I$7:$I$210,"",0)=0,"",_xlfn.XLOOKUP($J160,Catalogo!$B$7:$B$210,Catalogo!$I$7:$I$210,"",0))</f>
        <v>Resistividades pH BSR BPA</v>
      </c>
      <c r="L160" s="36">
        <v>1.054</v>
      </c>
      <c r="M160" s="261">
        <f>IF(Tabla1[[#This Row],[Avance_km]]&lt;&gt;"",Tabla1[[#This Row],[Avance_km]],Tabla1[[#This Row],[Avance_Med]])*_xlfn.XLOOKUP(Tabla1[[#This Row],[Codigo_actividad]],Catalogo!$B$6:$B$51,Catalogo!$F$6:$F$51,0)</f>
        <v>9316</v>
      </c>
    </row>
    <row r="161" spans="1:13" x14ac:dyDescent="0.25">
      <c r="A161" s="354">
        <v>45999</v>
      </c>
      <c r="B161" s="114" t="s">
        <v>12</v>
      </c>
      <c r="C161" s="155" t="s">
        <v>13</v>
      </c>
      <c r="D161" s="39" t="s">
        <v>65</v>
      </c>
      <c r="E161" s="40" t="s">
        <v>16</v>
      </c>
      <c r="F161" s="28">
        <f>+G142</f>
        <v>9650</v>
      </c>
      <c r="G161" s="28">
        <v>10444</v>
      </c>
      <c r="H161" s="53">
        <f>IF(Tabla1[[#This Row],[Codigo_actividad]]&lt;&gt;2.5,IF(((Tabla1[[#This Row],[fin]]-Tabla1[[#This Row],[inicio]])/1000)=0,"",((Tabla1[[#This Row],[fin]]-Tabla1[[#This Row],[inicio]])/1000)),"")</f>
        <v>0.79400000000000004</v>
      </c>
      <c r="I161" s="57"/>
      <c r="J161" s="76">
        <v>2.6</v>
      </c>
      <c r="K161" s="57" t="str">
        <f>IF(_xlfn.XLOOKUP($J161,Catalogo!$B$7:$B$210,Catalogo!$I$7:$I$210,"",0)=0,"",_xlfn.XLOOKUP($J161,Catalogo!$B$7:$B$210,Catalogo!$I$7:$I$210,"",0))</f>
        <v>Localizacion</v>
      </c>
      <c r="L161" s="36">
        <v>10.444000000000001</v>
      </c>
      <c r="M161" s="261">
        <f>IF(Tabla1[[#This Row],[Avance_km]]&lt;&gt;"",Tabla1[[#This Row],[Avance_km]],Tabla1[[#This Row],[Avance_Med]])*_xlfn.XLOOKUP(Tabla1[[#This Row],[Codigo_actividad]],Catalogo!$B$6:$B$51,Catalogo!$F$6:$F$51,0)</f>
        <v>1792.3914800000002</v>
      </c>
    </row>
    <row r="162" spans="1:13" x14ac:dyDescent="0.25">
      <c r="A162" s="354"/>
      <c r="B162" s="114"/>
      <c r="C162" s="155"/>
      <c r="D162" s="39"/>
      <c r="F162" s="28"/>
      <c r="G162" s="28"/>
      <c r="H162" s="53" t="str">
        <f>IF(Tabla1[[#This Row],[Codigo_actividad]]&lt;&gt;2.5,IF(((Tabla1[[#This Row],[fin]]-Tabla1[[#This Row],[inicio]])/1000)=0,"",((Tabla1[[#This Row],[fin]]-Tabla1[[#This Row],[inicio]])/1000)),"")</f>
        <v/>
      </c>
      <c r="I162" s="57"/>
      <c r="J162" s="76"/>
      <c r="K162" s="57"/>
      <c r="L162" s="36"/>
      <c r="M162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163" spans="1:13" x14ac:dyDescent="0.25">
      <c r="A163" s="354">
        <v>46000</v>
      </c>
      <c r="B163" s="114" t="s">
        <v>12</v>
      </c>
      <c r="C163" s="155" t="s">
        <v>22</v>
      </c>
      <c r="D163" s="39" t="s">
        <v>27</v>
      </c>
      <c r="E163" s="40" t="s">
        <v>28</v>
      </c>
      <c r="F163" s="28">
        <v>0</v>
      </c>
      <c r="G163" s="28">
        <v>4300</v>
      </c>
      <c r="H163" s="53">
        <f>IF(Tabla1[[#This Row],[Codigo_actividad]]&lt;&gt;2.5,IF(((Tabla1[[#This Row],[fin]]-Tabla1[[#This Row],[inicio]])/1000)=0,"",((Tabla1[[#This Row],[fin]]-Tabla1[[#This Row],[inicio]])/1000)),"")</f>
        <v>4.3</v>
      </c>
      <c r="I163" s="57"/>
      <c r="J163" s="76">
        <v>2.1</v>
      </c>
      <c r="K163" s="57" t="str">
        <f>IF(_xlfn.XLOOKUP($J163,Catalogo!$B$7:$B$210,Catalogo!$I$7:$I$210,"",0)=0,"",_xlfn.XLOOKUP($J163,Catalogo!$B$7:$B$210,Catalogo!$I$7:$I$210,"",0))</f>
        <v>CIPS</v>
      </c>
      <c r="L163" s="36">
        <v>25.4</v>
      </c>
      <c r="M163" s="261">
        <f>IF(Tabla1[[#This Row],[Avance_km]]&lt;&gt;"",Tabla1[[#This Row],[Avance_km]],Tabla1[[#This Row],[Avance_Med]])*_xlfn.XLOOKUP(Tabla1[[#This Row],[Codigo_actividad]],Catalogo!$B$6:$B$51,Catalogo!$F$6:$F$51,0)</f>
        <v>62442.062999999995</v>
      </c>
    </row>
    <row r="164" spans="1:13" x14ac:dyDescent="0.25">
      <c r="A164" s="354">
        <v>46000</v>
      </c>
      <c r="B164" s="114" t="s">
        <v>30</v>
      </c>
      <c r="C164" s="155" t="s">
        <v>13</v>
      </c>
      <c r="D164" s="39" t="s">
        <v>67</v>
      </c>
      <c r="E164" s="40" t="s">
        <v>31</v>
      </c>
      <c r="F164" s="28">
        <v>0</v>
      </c>
      <c r="G164" s="28">
        <v>8.0000000000000002E-3</v>
      </c>
      <c r="H164" s="53" t="str">
        <f>IF(Tabla1[[#This Row],[Codigo_actividad]]&lt;&gt;2.5,IF(((Tabla1[[#This Row],[fin]]-Tabla1[[#This Row],[inicio]])/1000)=0,"",((Tabla1[[#This Row],[fin]]-Tabla1[[#This Row],[inicio]])/1000)),"")</f>
        <v/>
      </c>
      <c r="I164" s="57">
        <v>1</v>
      </c>
      <c r="J164" s="76">
        <v>2.5</v>
      </c>
      <c r="K164" s="57" t="str">
        <f>IF(_xlfn.XLOOKUP($J164,Catalogo!$B$7:$B$210,Catalogo!$I$7:$I$210,"",0)=0,"",_xlfn.XLOOKUP($J164,Catalogo!$B$7:$B$210,Catalogo!$I$7:$I$210,"",0))</f>
        <v>Resistividades pH BSR BPA</v>
      </c>
      <c r="L164" s="36">
        <v>8.0000000000000002E-3</v>
      </c>
      <c r="M164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65" spans="1:13" x14ac:dyDescent="0.25">
      <c r="A165" s="354">
        <v>46000</v>
      </c>
      <c r="B165" s="114" t="s">
        <v>30</v>
      </c>
      <c r="C165" s="155" t="s">
        <v>13</v>
      </c>
      <c r="D165" s="39" t="s">
        <v>20</v>
      </c>
      <c r="E165" s="40" t="s">
        <v>31</v>
      </c>
      <c r="F165" s="28">
        <v>0</v>
      </c>
      <c r="G165" s="28">
        <f>+Tabla1[[#This Row],[Length]]*1000</f>
        <v>1020</v>
      </c>
      <c r="H165" s="53" t="str">
        <f>IF(Tabla1[[#This Row],[Codigo_actividad]]&lt;&gt;2.5,IF(((Tabla1[[#This Row],[fin]]-Tabla1[[#This Row],[inicio]])/1000)=0,"",((Tabla1[[#This Row],[fin]]-Tabla1[[#This Row],[inicio]])/1000)),"")</f>
        <v/>
      </c>
      <c r="I165" s="57">
        <v>3</v>
      </c>
      <c r="J165" s="76">
        <v>2.5</v>
      </c>
      <c r="K165" s="57" t="str">
        <f>IF(_xlfn.XLOOKUP($J165,Catalogo!$B$7:$B$210,Catalogo!$I$7:$I$210,"",0)=0,"",_xlfn.XLOOKUP($J165,Catalogo!$B$7:$B$210,Catalogo!$I$7:$I$210,"",0))</f>
        <v>Resistividades pH BSR BPA</v>
      </c>
      <c r="L165" s="36">
        <v>1.02</v>
      </c>
      <c r="M165" s="261">
        <f>IF(Tabla1[[#This Row],[Avance_km]]&lt;&gt;"",Tabla1[[#This Row],[Avance_km]],Tabla1[[#This Row],[Avance_Med]])*_xlfn.XLOOKUP(Tabla1[[#This Row],[Codigo_actividad]],Catalogo!$B$6:$B$51,Catalogo!$F$6:$F$51,0)</f>
        <v>13974</v>
      </c>
    </row>
    <row r="166" spans="1:13" x14ac:dyDescent="0.25">
      <c r="A166" s="354">
        <v>46000</v>
      </c>
      <c r="B166" s="114" t="s">
        <v>30</v>
      </c>
      <c r="C166" s="155" t="s">
        <v>13</v>
      </c>
      <c r="D166" s="39" t="s">
        <v>47</v>
      </c>
      <c r="E166" s="40" t="s">
        <v>31</v>
      </c>
      <c r="F166" s="28">
        <v>0</v>
      </c>
      <c r="G166" s="28">
        <f>+Tabla1[[#This Row],[Length]]*1000</f>
        <v>10</v>
      </c>
      <c r="H166" s="53" t="str">
        <f>IF(Tabla1[[#This Row],[Codigo_actividad]]&lt;&gt;2.5,IF(((Tabla1[[#This Row],[fin]]-Tabla1[[#This Row],[inicio]])/1000)=0,"",((Tabla1[[#This Row],[fin]]-Tabla1[[#This Row],[inicio]])/1000)),"")</f>
        <v/>
      </c>
      <c r="I166" s="57">
        <v>1</v>
      </c>
      <c r="J166" s="76">
        <v>2.5</v>
      </c>
      <c r="K166" s="57" t="str">
        <f>IF(_xlfn.XLOOKUP($J166,Catalogo!$B$7:$B$210,Catalogo!$I$7:$I$210,"",0)=0,"",_xlfn.XLOOKUP($J166,Catalogo!$B$7:$B$210,Catalogo!$I$7:$I$210,"",0))</f>
        <v>Resistividades pH BSR BPA</v>
      </c>
      <c r="L166" s="36">
        <v>0.01</v>
      </c>
      <c r="M166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67" spans="1:13" x14ac:dyDescent="0.25">
      <c r="A167" s="354">
        <v>46000</v>
      </c>
      <c r="B167" s="114" t="s">
        <v>30</v>
      </c>
      <c r="C167" s="155" t="s">
        <v>13</v>
      </c>
      <c r="D167" s="39" t="s">
        <v>49</v>
      </c>
      <c r="E167" s="40" t="s">
        <v>31</v>
      </c>
      <c r="F167" s="28">
        <v>0</v>
      </c>
      <c r="G167" s="28">
        <f>+Tabla1[[#This Row],[Length]]*1000</f>
        <v>12</v>
      </c>
      <c r="H167" s="53" t="str">
        <f>IF(Tabla1[[#This Row],[Codigo_actividad]]&lt;&gt;2.5,IF(((Tabla1[[#This Row],[fin]]-Tabla1[[#This Row],[inicio]])/1000)=0,"",((Tabla1[[#This Row],[fin]]-Tabla1[[#This Row],[inicio]])/1000)),"")</f>
        <v/>
      </c>
      <c r="I167" s="57">
        <v>1</v>
      </c>
      <c r="J167" s="76">
        <v>2.5</v>
      </c>
      <c r="K167" s="57" t="str">
        <f>IF(_xlfn.XLOOKUP($J167,Catalogo!$B$7:$B$210,Catalogo!$I$7:$I$210,"",0)=0,"",_xlfn.XLOOKUP($J167,Catalogo!$B$7:$B$210,Catalogo!$I$7:$I$210,"",0))</f>
        <v>Resistividades pH BSR BPA</v>
      </c>
      <c r="L167" s="36">
        <v>1.2E-2</v>
      </c>
      <c r="M167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68" spans="1:13" x14ac:dyDescent="0.25">
      <c r="A168" s="354">
        <v>46000</v>
      </c>
      <c r="B168" s="114" t="s">
        <v>30</v>
      </c>
      <c r="C168" s="155" t="s">
        <v>13</v>
      </c>
      <c r="D168" s="39" t="s">
        <v>61</v>
      </c>
      <c r="E168" s="40" t="s">
        <v>31</v>
      </c>
      <c r="F168" s="28">
        <v>0</v>
      </c>
      <c r="G168" s="28">
        <f>+Tabla1[[#This Row],[Length]]*1000</f>
        <v>55</v>
      </c>
      <c r="H168" s="53" t="str">
        <f>IF(Tabla1[[#This Row],[Codigo_actividad]]&lt;&gt;2.5,IF(((Tabla1[[#This Row],[fin]]-Tabla1[[#This Row],[inicio]])/1000)=0,"",((Tabla1[[#This Row],[fin]]-Tabla1[[#This Row],[inicio]])/1000)),"")</f>
        <v/>
      </c>
      <c r="I168" s="57">
        <v>1</v>
      </c>
      <c r="J168" s="76">
        <v>2.5</v>
      </c>
      <c r="K168" s="57" t="str">
        <f>IF(_xlfn.XLOOKUP($J168,Catalogo!$B$7:$B$210,Catalogo!$I$7:$I$210,"",0)=0,"",_xlfn.XLOOKUP($J168,Catalogo!$B$7:$B$210,Catalogo!$I$7:$I$210,"",0))</f>
        <v>Resistividades pH BSR BPA</v>
      </c>
      <c r="L168" s="36">
        <v>5.5E-2</v>
      </c>
      <c r="M168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69" spans="1:13" x14ac:dyDescent="0.25">
      <c r="A169" s="354">
        <v>46000</v>
      </c>
      <c r="B169" s="114" t="s">
        <v>30</v>
      </c>
      <c r="C169" s="155" t="s">
        <v>13</v>
      </c>
      <c r="D169" s="39" t="s">
        <v>62</v>
      </c>
      <c r="E169" s="40" t="s">
        <v>31</v>
      </c>
      <c r="F169" s="28">
        <v>0</v>
      </c>
      <c r="G169" s="28">
        <f>+Tabla1[[#This Row],[Length]]*1000</f>
        <v>63</v>
      </c>
      <c r="H169" s="53" t="str">
        <f>IF(Tabla1[[#This Row],[Codigo_actividad]]&lt;&gt;2.5,IF(((Tabla1[[#This Row],[fin]]-Tabla1[[#This Row],[inicio]])/1000)=0,"",((Tabla1[[#This Row],[fin]]-Tabla1[[#This Row],[inicio]])/1000)),"")</f>
        <v/>
      </c>
      <c r="I169" s="57">
        <v>1</v>
      </c>
      <c r="J169" s="76">
        <v>2.5</v>
      </c>
      <c r="K169" s="57" t="str">
        <f>IF(_xlfn.XLOOKUP($J169,Catalogo!$B$7:$B$210,Catalogo!$I$7:$I$210,"",0)=0,"",_xlfn.XLOOKUP($J169,Catalogo!$B$7:$B$210,Catalogo!$I$7:$I$210,"",0))</f>
        <v>Resistividades pH BSR BPA</v>
      </c>
      <c r="L169" s="36">
        <v>6.3E-2</v>
      </c>
      <c r="M169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70" spans="1:13" x14ac:dyDescent="0.25">
      <c r="A170" s="354">
        <v>46000</v>
      </c>
      <c r="B170" s="114" t="s">
        <v>30</v>
      </c>
      <c r="C170" s="155" t="s">
        <v>13</v>
      </c>
      <c r="D170" s="39" t="s">
        <v>70</v>
      </c>
      <c r="E170" s="40" t="s">
        <v>31</v>
      </c>
      <c r="F170" s="28">
        <v>0</v>
      </c>
      <c r="G170" s="28">
        <v>287</v>
      </c>
      <c r="H170" s="53" t="str">
        <f>IF(Tabla1[[#This Row],[Codigo_actividad]]&lt;&gt;2.5,IF(((Tabla1[[#This Row],[fin]]-Tabla1[[#This Row],[inicio]])/1000)=0,"",((Tabla1[[#This Row],[fin]]-Tabla1[[#This Row],[inicio]])/1000)),"")</f>
        <v/>
      </c>
      <c r="I170" s="57">
        <v>1</v>
      </c>
      <c r="J170" s="76">
        <v>2.5</v>
      </c>
      <c r="K170" s="57" t="str">
        <f>IF(_xlfn.XLOOKUP($J170,Catalogo!$B$7:$B$210,Catalogo!$I$7:$I$210,"",0)=0,"",_xlfn.XLOOKUP($J170,Catalogo!$B$7:$B$210,Catalogo!$I$7:$I$210,"",0))</f>
        <v>Resistividades pH BSR BPA</v>
      </c>
      <c r="L170" s="36">
        <v>0.28699999999999998</v>
      </c>
      <c r="M170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71" spans="1:13" x14ac:dyDescent="0.25">
      <c r="A171" s="354">
        <v>46000</v>
      </c>
      <c r="B171" s="114" t="s">
        <v>30</v>
      </c>
      <c r="C171" s="155" t="s">
        <v>13</v>
      </c>
      <c r="D171" s="39" t="s">
        <v>21</v>
      </c>
      <c r="E171" s="40" t="s">
        <v>31</v>
      </c>
      <c r="F171" s="28">
        <v>0</v>
      </c>
      <c r="G171" s="28">
        <v>1055</v>
      </c>
      <c r="H171" s="53" t="str">
        <f>IF(Tabla1[[#This Row],[Codigo_actividad]]&lt;&gt;2.5,IF(((Tabla1[[#This Row],[fin]]-Tabla1[[#This Row],[inicio]])/1000)=0,"",((Tabla1[[#This Row],[fin]]-Tabla1[[#This Row],[inicio]])/1000)),"")</f>
        <v/>
      </c>
      <c r="I171" s="57">
        <v>3</v>
      </c>
      <c r="J171" s="76">
        <v>2.5</v>
      </c>
      <c r="K171" s="57" t="str">
        <f>IF(_xlfn.XLOOKUP($J171,Catalogo!$B$7:$B$210,Catalogo!$I$7:$I$210,"",0)=0,"",_xlfn.XLOOKUP($J171,Catalogo!$B$7:$B$210,Catalogo!$I$7:$I$210,"",0))</f>
        <v>Resistividades pH BSR BPA</v>
      </c>
      <c r="L171" s="36">
        <v>1.0549999999999999</v>
      </c>
      <c r="M171" s="261">
        <f>IF(Tabla1[[#This Row],[Avance_km]]&lt;&gt;"",Tabla1[[#This Row],[Avance_km]],Tabla1[[#This Row],[Avance_Med]])*_xlfn.XLOOKUP(Tabla1[[#This Row],[Codigo_actividad]],Catalogo!$B$6:$B$51,Catalogo!$F$6:$F$51,0)</f>
        <v>13974</v>
      </c>
    </row>
    <row r="172" spans="1:13" x14ac:dyDescent="0.25">
      <c r="A172" s="354">
        <v>46000</v>
      </c>
      <c r="B172" s="114" t="s">
        <v>30</v>
      </c>
      <c r="C172" s="155" t="s">
        <v>13</v>
      </c>
      <c r="D172" s="39" t="s">
        <v>37</v>
      </c>
      <c r="E172" s="40" t="s">
        <v>31</v>
      </c>
      <c r="F172" s="28">
        <v>0</v>
      </c>
      <c r="G172" s="28">
        <v>1488</v>
      </c>
      <c r="H172" s="53" t="str">
        <f>IF(Tabla1[[#This Row],[Codigo_actividad]]&lt;&gt;2.5,IF(((Tabla1[[#This Row],[fin]]-Tabla1[[#This Row],[inicio]])/1000)=0,"",((Tabla1[[#This Row],[fin]]-Tabla1[[#This Row],[inicio]])/1000)),"")</f>
        <v/>
      </c>
      <c r="I172" s="57">
        <v>4</v>
      </c>
      <c r="J172" s="76">
        <v>2.5</v>
      </c>
      <c r="K172" s="57" t="str">
        <f>IF(_xlfn.XLOOKUP($J172,Catalogo!$B$7:$B$210,Catalogo!$I$7:$I$210,"",0)=0,"",_xlfn.XLOOKUP($J172,Catalogo!$B$7:$B$210,Catalogo!$I$7:$I$210,"",0))</f>
        <v>Resistividades pH BSR BPA</v>
      </c>
      <c r="L172" s="36">
        <v>1.488</v>
      </c>
      <c r="M172" s="261">
        <f>IF(Tabla1[[#This Row],[Avance_km]]&lt;&gt;"",Tabla1[[#This Row],[Avance_km]],Tabla1[[#This Row],[Avance_Med]])*_xlfn.XLOOKUP(Tabla1[[#This Row],[Codigo_actividad]],Catalogo!$B$6:$B$51,Catalogo!$F$6:$F$51,0)</f>
        <v>18632</v>
      </c>
    </row>
    <row r="173" spans="1:13" x14ac:dyDescent="0.25">
      <c r="A173" s="354">
        <v>46000</v>
      </c>
      <c r="B173" s="114" t="s">
        <v>30</v>
      </c>
      <c r="C173" s="155" t="s">
        <v>13</v>
      </c>
      <c r="D173" s="39" t="s">
        <v>38</v>
      </c>
      <c r="E173" s="40" t="s">
        <v>31</v>
      </c>
      <c r="F173" s="28">
        <v>0</v>
      </c>
      <c r="G173" s="28">
        <v>1855</v>
      </c>
      <c r="H173" s="53" t="str">
        <f>IF(Tabla1[[#This Row],[Codigo_actividad]]&lt;&gt;2.5,IF(((Tabla1[[#This Row],[fin]]-Tabla1[[#This Row],[inicio]])/1000)=0,"",((Tabla1[[#This Row],[fin]]-Tabla1[[#This Row],[inicio]])/1000)),"")</f>
        <v/>
      </c>
      <c r="I173" s="57">
        <v>2</v>
      </c>
      <c r="J173" s="76">
        <v>2.5</v>
      </c>
      <c r="K173" s="57" t="str">
        <f>IF(_xlfn.XLOOKUP($J173,Catalogo!$B$7:$B$210,Catalogo!$I$7:$I$210,"",0)=0,"",_xlfn.XLOOKUP($J173,Catalogo!$B$7:$B$210,Catalogo!$I$7:$I$210,"",0))</f>
        <v>Resistividades pH BSR BPA</v>
      </c>
      <c r="L173" s="36">
        <v>1.855</v>
      </c>
      <c r="M173" s="261">
        <f>IF(Tabla1[[#This Row],[Avance_km]]&lt;&gt;"",Tabla1[[#This Row],[Avance_km]],Tabla1[[#This Row],[Avance_Med]])*_xlfn.XLOOKUP(Tabla1[[#This Row],[Codigo_actividad]],Catalogo!$B$6:$B$51,Catalogo!$F$6:$F$51,0)</f>
        <v>9316</v>
      </c>
    </row>
    <row r="174" spans="1:13" x14ac:dyDescent="0.25">
      <c r="A174" s="354"/>
      <c r="C174" s="155"/>
      <c r="D174" s="39"/>
      <c r="F174" s="28"/>
      <c r="G174" s="28"/>
      <c r="H174" s="54" t="str">
        <f>IF(Tabla1[[#This Row],[Codigo_actividad]]&lt;&gt;2.5,IF(((Tabla1[[#This Row],[fin]]-Tabla1[[#This Row],[inicio]])/1000)=0,"",((Tabla1[[#This Row],[fin]]-Tabla1[[#This Row],[inicio]])/1000)),"")</f>
        <v/>
      </c>
      <c r="I174" s="57"/>
      <c r="J174" s="76"/>
      <c r="K174" s="55" t="str">
        <f>IF(_xlfn.XLOOKUP($J174,Catalogo!$B$7:$B$210,Catalogo!$I$7:$I$210,"",0)=0,"",_xlfn.XLOOKUP($J174,Catalogo!$B$7:$B$210,Catalogo!$I$7:$I$210,"",0))</f>
        <v/>
      </c>
      <c r="L174" s="36"/>
      <c r="M174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175" spans="1:13" x14ac:dyDescent="0.25">
      <c r="A175" s="354">
        <v>46001</v>
      </c>
      <c r="B175" s="114" t="s">
        <v>12</v>
      </c>
      <c r="C175" s="155" t="s">
        <v>22</v>
      </c>
      <c r="D175" s="39" t="s">
        <v>27</v>
      </c>
      <c r="E175" s="40" t="s">
        <v>28</v>
      </c>
      <c r="F175" s="28">
        <v>4300</v>
      </c>
      <c r="G175" s="28">
        <v>8600</v>
      </c>
      <c r="H175" s="53">
        <f>IF(Tabla1[[#This Row],[Codigo_actividad]]&lt;&gt;2.5,IF(((Tabla1[[#This Row],[fin]]-Tabla1[[#This Row],[inicio]])/1000)=0,"",((Tabla1[[#This Row],[fin]]-Tabla1[[#This Row],[inicio]])/1000)),"")</f>
        <v>4.3</v>
      </c>
      <c r="I175" s="57"/>
      <c r="J175" s="76">
        <v>2.1</v>
      </c>
      <c r="K175" s="57" t="str">
        <f>IF(_xlfn.XLOOKUP($J175,Catalogo!$B$7:$B$210,Catalogo!$I$7:$I$210,"",0)=0,"",_xlfn.XLOOKUP($J175,Catalogo!$B$7:$B$210,Catalogo!$I$7:$I$210,"",0))</f>
        <v>CIPS</v>
      </c>
      <c r="L175" s="36">
        <v>25.4</v>
      </c>
      <c r="M175" s="261">
        <f>IF(Tabla1[[#This Row],[Avance_km]]&lt;&gt;"",Tabla1[[#This Row],[Avance_km]],Tabla1[[#This Row],[Avance_Med]])*_xlfn.XLOOKUP(Tabla1[[#This Row],[Codigo_actividad]],Catalogo!$B$6:$B$51,Catalogo!$F$6:$F$51,0)</f>
        <v>62442.062999999995</v>
      </c>
    </row>
    <row r="176" spans="1:13" x14ac:dyDescent="0.25">
      <c r="A176" s="354">
        <v>46001</v>
      </c>
      <c r="B176" s="114" t="s">
        <v>30</v>
      </c>
      <c r="C176" s="155" t="s">
        <v>13</v>
      </c>
      <c r="D176" s="39" t="s">
        <v>38</v>
      </c>
      <c r="E176" s="40" t="s">
        <v>31</v>
      </c>
      <c r="F176" s="28">
        <v>0</v>
      </c>
      <c r="G176" s="28">
        <v>1855</v>
      </c>
      <c r="H176" s="53" t="str">
        <f>IF(Tabla1[[#This Row],[Codigo_actividad]]&lt;&gt;2.5,IF(((Tabla1[[#This Row],[fin]]-Tabla1[[#This Row],[inicio]])/1000)=0,"",((Tabla1[[#This Row],[fin]]-Tabla1[[#This Row],[inicio]])/1000)),"")</f>
        <v/>
      </c>
      <c r="I176" s="57">
        <v>2</v>
      </c>
      <c r="J176" s="76">
        <v>2.5</v>
      </c>
      <c r="K176" s="57" t="str">
        <f>IF(_xlfn.XLOOKUP($J176,Catalogo!$B$7:$B$210,Catalogo!$I$7:$I$210,"",0)=0,"",_xlfn.XLOOKUP($J176,Catalogo!$B$7:$B$210,Catalogo!$I$7:$I$210,"",0))</f>
        <v>Resistividades pH BSR BPA</v>
      </c>
      <c r="L176" s="36">
        <v>1.855</v>
      </c>
      <c r="M176" s="261">
        <f>IF(Tabla1[[#This Row],[Avance_km]]&lt;&gt;"",Tabla1[[#This Row],[Avance_km]],Tabla1[[#This Row],[Avance_Med]])*_xlfn.XLOOKUP(Tabla1[[#This Row],[Codigo_actividad]],Catalogo!$B$6:$B$51,Catalogo!$F$6:$F$51,0)</f>
        <v>9316</v>
      </c>
    </row>
    <row r="177" spans="1:13" x14ac:dyDescent="0.25">
      <c r="A177" s="354">
        <v>46001</v>
      </c>
      <c r="B177" s="114" t="s">
        <v>30</v>
      </c>
      <c r="C177" s="155" t="s">
        <v>13</v>
      </c>
      <c r="D177" s="39" t="s">
        <v>46</v>
      </c>
      <c r="E177" s="40" t="s">
        <v>31</v>
      </c>
      <c r="F177" s="28">
        <v>0</v>
      </c>
      <c r="G177" s="28">
        <v>267</v>
      </c>
      <c r="H177" s="53" t="str">
        <f>IF(Tabla1[[#This Row],[Codigo_actividad]]&lt;&gt;2.5,IF(((Tabla1[[#This Row],[fin]]-Tabla1[[#This Row],[inicio]])/1000)=0,"",((Tabla1[[#This Row],[fin]]-Tabla1[[#This Row],[inicio]])/1000)),"")</f>
        <v/>
      </c>
      <c r="I177" s="57">
        <v>2</v>
      </c>
      <c r="J177" s="76">
        <v>2.5</v>
      </c>
      <c r="K177" s="57" t="str">
        <f>IF(_xlfn.XLOOKUP($J177,Catalogo!$B$7:$B$210,Catalogo!$I$7:$I$210,"",0)=0,"",_xlfn.XLOOKUP($J177,Catalogo!$B$7:$B$210,Catalogo!$I$7:$I$210,"",0))</f>
        <v>Resistividades pH BSR BPA</v>
      </c>
      <c r="L177" s="36">
        <v>0.26700000000000002</v>
      </c>
      <c r="M177" s="261">
        <f>IF(Tabla1[[#This Row],[Avance_km]]&lt;&gt;"",Tabla1[[#This Row],[Avance_km]],Tabla1[[#This Row],[Avance_Med]])*_xlfn.XLOOKUP(Tabla1[[#This Row],[Codigo_actividad]],Catalogo!$B$6:$B$51,Catalogo!$F$6:$F$51,0)</f>
        <v>9316</v>
      </c>
    </row>
    <row r="178" spans="1:13" x14ac:dyDescent="0.25">
      <c r="A178" s="354">
        <v>46001</v>
      </c>
      <c r="B178" s="114" t="s">
        <v>30</v>
      </c>
      <c r="C178" s="155" t="s">
        <v>22</v>
      </c>
      <c r="D178" s="39" t="s">
        <v>35</v>
      </c>
      <c r="E178" s="40" t="s">
        <v>31</v>
      </c>
      <c r="F178" s="28">
        <v>0</v>
      </c>
      <c r="G178" s="28">
        <v>1195</v>
      </c>
      <c r="H178" s="53" t="str">
        <f>IF(Tabla1[[#This Row],[Codigo_actividad]]&lt;&gt;2.5,IF(((Tabla1[[#This Row],[fin]]-Tabla1[[#This Row],[inicio]])/1000)=0,"",((Tabla1[[#This Row],[fin]]-Tabla1[[#This Row],[inicio]])/1000)),"")</f>
        <v/>
      </c>
      <c r="I178" s="57">
        <v>3</v>
      </c>
      <c r="J178" s="76">
        <v>2.5</v>
      </c>
      <c r="K178" s="57" t="str">
        <f>IF(_xlfn.XLOOKUP($J178,Catalogo!$B$7:$B$210,Catalogo!$I$7:$I$210,"",0)=0,"",_xlfn.XLOOKUP($J178,Catalogo!$B$7:$B$210,Catalogo!$I$7:$I$210,"",0))</f>
        <v>Resistividades pH BSR BPA</v>
      </c>
      <c r="L178" s="36">
        <v>1.1950000000000001</v>
      </c>
      <c r="M178" s="261">
        <f>IF(Tabla1[[#This Row],[Avance_km]]&lt;&gt;"",Tabla1[[#This Row],[Avance_km]],Tabla1[[#This Row],[Avance_Med]])*_xlfn.XLOOKUP(Tabla1[[#This Row],[Codigo_actividad]],Catalogo!$B$6:$B$51,Catalogo!$F$6:$F$51,0)</f>
        <v>13974</v>
      </c>
    </row>
    <row r="179" spans="1:13" x14ac:dyDescent="0.25">
      <c r="A179" s="354">
        <v>46001</v>
      </c>
      <c r="B179" s="114" t="s">
        <v>30</v>
      </c>
      <c r="C179" s="155" t="s">
        <v>22</v>
      </c>
      <c r="D179" s="39" t="s">
        <v>34</v>
      </c>
      <c r="E179" s="40" t="s">
        <v>31</v>
      </c>
      <c r="F179" s="28">
        <v>0</v>
      </c>
      <c r="G179" s="28">
        <v>120</v>
      </c>
      <c r="H179" s="53" t="str">
        <f>IF(Tabla1[[#This Row],[Codigo_actividad]]&lt;&gt;2.5,IF(((Tabla1[[#This Row],[fin]]-Tabla1[[#This Row],[inicio]])/1000)=0,"",((Tabla1[[#This Row],[fin]]-Tabla1[[#This Row],[inicio]])/1000)),"")</f>
        <v/>
      </c>
      <c r="I179" s="57">
        <v>1</v>
      </c>
      <c r="J179" s="76">
        <v>2.5</v>
      </c>
      <c r="K179" s="57" t="str">
        <f>IF(_xlfn.XLOOKUP($J179,Catalogo!$B$7:$B$210,Catalogo!$I$7:$I$210,"",0)=0,"",_xlfn.XLOOKUP($J179,Catalogo!$B$7:$B$210,Catalogo!$I$7:$I$210,"",0))</f>
        <v>Resistividades pH BSR BPA</v>
      </c>
      <c r="L179" s="36">
        <v>0.12</v>
      </c>
      <c r="M179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80" spans="1:13" x14ac:dyDescent="0.25">
      <c r="A180" s="354">
        <v>46001</v>
      </c>
      <c r="B180" s="114" t="s">
        <v>30</v>
      </c>
      <c r="C180" s="155" t="s">
        <v>22</v>
      </c>
      <c r="D180" s="39" t="s">
        <v>32</v>
      </c>
      <c r="E180" s="40" t="s">
        <v>31</v>
      </c>
      <c r="F180" s="28">
        <v>0</v>
      </c>
      <c r="G180" s="28">
        <v>479</v>
      </c>
      <c r="H180" s="53" t="str">
        <f>IF(Tabla1[[#This Row],[Codigo_actividad]]&lt;&gt;2.5,IF(((Tabla1[[#This Row],[fin]]-Tabla1[[#This Row],[inicio]])/1000)=0,"",((Tabla1[[#This Row],[fin]]-Tabla1[[#This Row],[inicio]])/1000)),"")</f>
        <v/>
      </c>
      <c r="I180" s="57">
        <v>1</v>
      </c>
      <c r="J180" s="76">
        <v>2.5</v>
      </c>
      <c r="K180" s="57" t="str">
        <f>IF(_xlfn.XLOOKUP($J180,Catalogo!$B$7:$B$210,Catalogo!$I$7:$I$210,"",0)=0,"",_xlfn.XLOOKUP($J180,Catalogo!$B$7:$B$210,Catalogo!$I$7:$I$210,"",0))</f>
        <v>Resistividades pH BSR BPA</v>
      </c>
      <c r="L180" s="36">
        <v>0.47899999999999998</v>
      </c>
      <c r="M180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81" spans="1:13" x14ac:dyDescent="0.25">
      <c r="A181" s="354">
        <v>46001</v>
      </c>
      <c r="B181" s="114" t="s">
        <v>30</v>
      </c>
      <c r="C181" s="155" t="s">
        <v>22</v>
      </c>
      <c r="D181" s="39" t="s">
        <v>24</v>
      </c>
      <c r="E181" s="40" t="s">
        <v>31</v>
      </c>
      <c r="F181" s="28">
        <v>0</v>
      </c>
      <c r="G181" s="28">
        <v>2576</v>
      </c>
      <c r="H181" s="53" t="str">
        <f>IF(Tabla1[[#This Row],[Codigo_actividad]]&lt;&gt;2.5,IF(((Tabla1[[#This Row],[fin]]-Tabla1[[#This Row],[inicio]])/1000)=0,"",((Tabla1[[#This Row],[fin]]-Tabla1[[#This Row],[inicio]])/1000)),"")</f>
        <v/>
      </c>
      <c r="I181" s="57">
        <v>6</v>
      </c>
      <c r="J181" s="76">
        <v>2.5</v>
      </c>
      <c r="K181" s="57" t="str">
        <f>IF(_xlfn.XLOOKUP($J181,Catalogo!$B$7:$B$210,Catalogo!$I$7:$I$210,"",0)=0,"",_xlfn.XLOOKUP($J181,Catalogo!$B$7:$B$210,Catalogo!$I$7:$I$210,"",0))</f>
        <v>Resistividades pH BSR BPA</v>
      </c>
      <c r="L181" s="36">
        <v>2.5760000000000001</v>
      </c>
      <c r="M181" s="261">
        <f>IF(Tabla1[[#This Row],[Avance_km]]&lt;&gt;"",Tabla1[[#This Row],[Avance_km]],Tabla1[[#This Row],[Avance_Med]])*_xlfn.XLOOKUP(Tabla1[[#This Row],[Codigo_actividad]],Catalogo!$B$6:$B$51,Catalogo!$F$6:$F$51,0)</f>
        <v>27948</v>
      </c>
    </row>
    <row r="182" spans="1:13" x14ac:dyDescent="0.25">
      <c r="A182" s="354">
        <v>46001</v>
      </c>
      <c r="B182" s="114" t="s">
        <v>30</v>
      </c>
      <c r="C182" s="155" t="s">
        <v>22</v>
      </c>
      <c r="D182" s="39" t="s">
        <v>357</v>
      </c>
      <c r="E182" s="40" t="s">
        <v>31</v>
      </c>
      <c r="F182" s="28">
        <v>0</v>
      </c>
      <c r="G182" s="28">
        <v>741</v>
      </c>
      <c r="H182" s="53" t="str">
        <f>IF(Tabla1[[#This Row],[Codigo_actividad]]&lt;&gt;2.5,IF(((Tabla1[[#This Row],[fin]]-Tabla1[[#This Row],[inicio]])/1000)=0,"",((Tabla1[[#This Row],[fin]]-Tabla1[[#This Row],[inicio]])/1000)),"")</f>
        <v/>
      </c>
      <c r="I182" s="57">
        <v>2</v>
      </c>
      <c r="J182" s="76">
        <v>2.5</v>
      </c>
      <c r="K182" s="57" t="str">
        <f>IF(_xlfn.XLOOKUP($J182,Catalogo!$B$7:$B$210,Catalogo!$I$7:$I$210,"",0)=0,"",_xlfn.XLOOKUP($J182,Catalogo!$B$7:$B$210,Catalogo!$I$7:$I$210,"",0))</f>
        <v>Resistividades pH BSR BPA</v>
      </c>
      <c r="L182" s="36">
        <v>0.74099999999999999</v>
      </c>
      <c r="M182" s="261">
        <f>IF(Tabla1[[#This Row],[Avance_km]]&lt;&gt;"",Tabla1[[#This Row],[Avance_km]],Tabla1[[#This Row],[Avance_Med]])*_xlfn.XLOOKUP(Tabla1[[#This Row],[Codigo_actividad]],Catalogo!$B$6:$B$51,Catalogo!$F$6:$F$51,0)</f>
        <v>9316</v>
      </c>
    </row>
    <row r="183" spans="1:13" x14ac:dyDescent="0.25">
      <c r="A183" s="354">
        <v>46001</v>
      </c>
      <c r="B183" s="114" t="s">
        <v>30</v>
      </c>
      <c r="C183" s="155" t="s">
        <v>13</v>
      </c>
      <c r="D183" s="39" t="s">
        <v>57</v>
      </c>
      <c r="E183" s="40" t="s">
        <v>31</v>
      </c>
      <c r="F183" s="28">
        <v>0</v>
      </c>
      <c r="G183" s="28">
        <v>88</v>
      </c>
      <c r="H183" s="53" t="str">
        <f>IF(Tabla1[[#This Row],[Codigo_actividad]]&lt;&gt;2.5,IF(((Tabla1[[#This Row],[fin]]-Tabla1[[#This Row],[inicio]])/1000)=0,"",((Tabla1[[#This Row],[fin]]-Tabla1[[#This Row],[inicio]])/1000)),"")</f>
        <v/>
      </c>
      <c r="I183" s="57">
        <v>1</v>
      </c>
      <c r="J183" s="76">
        <v>2.5</v>
      </c>
      <c r="K183" s="57" t="str">
        <f>IF(_xlfn.XLOOKUP($J183,Catalogo!$B$7:$B$210,Catalogo!$I$7:$I$210,"",0)=0,"",_xlfn.XLOOKUP($J183,Catalogo!$B$7:$B$210,Catalogo!$I$7:$I$210,"",0))</f>
        <v>Resistividades pH BSR BPA</v>
      </c>
      <c r="L183" s="36">
        <v>8.7999999999999995E-2</v>
      </c>
      <c r="M183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84" spans="1:13" x14ac:dyDescent="0.25">
      <c r="A184" s="354"/>
      <c r="C184" s="155"/>
      <c r="D184" s="39"/>
      <c r="F184" s="28"/>
      <c r="G184" s="28"/>
      <c r="H184" s="54" t="str">
        <f>IF(Tabla1[[#This Row],[Codigo_actividad]]&lt;&gt;2.5,IF(((Tabla1[[#This Row],[fin]]-Tabla1[[#This Row],[inicio]])/1000)=0,"",((Tabla1[[#This Row],[fin]]-Tabla1[[#This Row],[inicio]])/1000)),"")</f>
        <v/>
      </c>
      <c r="I184" s="57"/>
      <c r="J184" s="76"/>
      <c r="K184" s="55" t="str">
        <f>IF(_xlfn.XLOOKUP($J184,Catalogo!$B$7:$B$210,Catalogo!$I$7:$I$210,"",0)=0,"",_xlfn.XLOOKUP($J184,Catalogo!$B$7:$B$210,Catalogo!$I$7:$I$210,"",0))</f>
        <v/>
      </c>
      <c r="L184" s="36"/>
      <c r="M184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185" spans="1:13" x14ac:dyDescent="0.25">
      <c r="A185" s="354">
        <v>46002</v>
      </c>
      <c r="B185" s="114" t="s">
        <v>12</v>
      </c>
      <c r="C185" s="155" t="s">
        <v>22</v>
      </c>
      <c r="D185" s="39" t="s">
        <v>27</v>
      </c>
      <c r="E185" s="40" t="s">
        <v>28</v>
      </c>
      <c r="F185" s="28">
        <v>8600</v>
      </c>
      <c r="G185" s="28">
        <v>13300</v>
      </c>
      <c r="H185" s="53">
        <f>IF(Tabla1[[#This Row],[Codigo_actividad]]&lt;&gt;2.5,IF(((Tabla1[[#This Row],[fin]]-Tabla1[[#This Row],[inicio]])/1000)=0,"",((Tabla1[[#This Row],[fin]]-Tabla1[[#This Row],[inicio]])/1000)),"")</f>
        <v>4.7</v>
      </c>
      <c r="I185" s="57"/>
      <c r="J185" s="76">
        <v>2.1</v>
      </c>
      <c r="K185" s="57" t="str">
        <f>IF(_xlfn.XLOOKUP($J185,Catalogo!$B$7:$B$210,Catalogo!$I$7:$I$210,"",0)=0,"",_xlfn.XLOOKUP($J185,Catalogo!$B$7:$B$210,Catalogo!$I$7:$I$210,"",0))</f>
        <v>CIPS</v>
      </c>
      <c r="L185" s="36">
        <v>25.4</v>
      </c>
      <c r="M185" s="261">
        <f>IF(Tabla1[[#This Row],[Avance_km]]&lt;&gt;"",Tabla1[[#This Row],[Avance_km]],Tabla1[[#This Row],[Avance_Med]])*_xlfn.XLOOKUP(Tabla1[[#This Row],[Codigo_actividad]],Catalogo!$B$6:$B$51,Catalogo!$F$6:$F$51,0)</f>
        <v>68250.627000000008</v>
      </c>
    </row>
    <row r="186" spans="1:13" x14ac:dyDescent="0.25">
      <c r="A186" s="354">
        <v>46003</v>
      </c>
      <c r="B186" s="114" t="s">
        <v>12</v>
      </c>
      <c r="C186" s="155" t="s">
        <v>22</v>
      </c>
      <c r="D186" s="39" t="s">
        <v>27</v>
      </c>
      <c r="E186" s="40" t="s">
        <v>28</v>
      </c>
      <c r="F186" s="28">
        <v>13300</v>
      </c>
      <c r="G186" s="28">
        <v>18025</v>
      </c>
      <c r="H186" s="53">
        <f>IF(Tabla1[[#This Row],[Codigo_actividad]]&lt;&gt;2.5,IF(((Tabla1[[#This Row],[fin]]-Tabla1[[#This Row],[inicio]])/1000)=0,"",((Tabla1[[#This Row],[fin]]-Tabla1[[#This Row],[inicio]])/1000)),"")</f>
        <v>4.7249999999999996</v>
      </c>
      <c r="I186" s="57"/>
      <c r="J186" s="76">
        <v>2.1</v>
      </c>
      <c r="K186" s="57" t="str">
        <f>IF(_xlfn.XLOOKUP($J186,Catalogo!$B$7:$B$210,Catalogo!$I$7:$I$210,"",0)=0,"",_xlfn.XLOOKUP($J186,Catalogo!$B$7:$B$210,Catalogo!$I$7:$I$210,"",0))</f>
        <v>CIPS</v>
      </c>
      <c r="L186" s="36">
        <v>25.4</v>
      </c>
      <c r="M186" s="261">
        <f>IF(Tabla1[[#This Row],[Avance_km]]&lt;&gt;"",Tabla1[[#This Row],[Avance_km]],Tabla1[[#This Row],[Avance_Med]])*_xlfn.XLOOKUP(Tabla1[[#This Row],[Codigo_actividad]],Catalogo!$B$6:$B$51,Catalogo!$F$6:$F$51,0)</f>
        <v>68613.662249999994</v>
      </c>
    </row>
    <row r="187" spans="1:13" x14ac:dyDescent="0.25">
      <c r="A187" s="354">
        <v>46004</v>
      </c>
      <c r="B187" s="114" t="s">
        <v>12</v>
      </c>
      <c r="C187" s="155" t="s">
        <v>22</v>
      </c>
      <c r="D187" s="39" t="s">
        <v>27</v>
      </c>
      <c r="E187" s="40" t="s">
        <v>28</v>
      </c>
      <c r="F187" s="28">
        <v>18025</v>
      </c>
      <c r="G187" s="28">
        <v>20374</v>
      </c>
      <c r="H187" s="53">
        <f>IF(Tabla1[[#This Row],[Codigo_actividad]]&lt;&gt;2.5,IF(((Tabla1[[#This Row],[fin]]-Tabla1[[#This Row],[inicio]])/1000)=0,"",((Tabla1[[#This Row],[fin]]-Tabla1[[#This Row],[inicio]])/1000)),"")</f>
        <v>2.3490000000000002</v>
      </c>
      <c r="I187" s="57"/>
      <c r="J187" s="76">
        <v>2.1</v>
      </c>
      <c r="K187" s="57" t="str">
        <f>IF(_xlfn.XLOOKUP($J187,Catalogo!$B$7:$B$210,Catalogo!$I$7:$I$210,"",0)=0,"",_xlfn.XLOOKUP($J187,Catalogo!$B$7:$B$210,Catalogo!$I$7:$I$210,"",0))</f>
        <v>CIPS</v>
      </c>
      <c r="L187" s="36">
        <v>25.4</v>
      </c>
      <c r="M187" s="261">
        <f>IF(Tabla1[[#This Row],[Avance_km]]&lt;&gt;"",Tabla1[[#This Row],[Avance_km]],Tabla1[[#This Row],[Avance_Med]])*_xlfn.XLOOKUP(Tabla1[[#This Row],[Codigo_actividad]],Catalogo!$B$6:$B$51,Catalogo!$F$6:$F$51,0)</f>
        <v>34110.792090000003</v>
      </c>
    </row>
    <row r="188" spans="1:13" x14ac:dyDescent="0.25">
      <c r="A188" s="354">
        <v>46006</v>
      </c>
      <c r="B188" s="114" t="s">
        <v>12</v>
      </c>
      <c r="C188" s="155" t="s">
        <v>13</v>
      </c>
      <c r="D188" s="39" t="s">
        <v>65</v>
      </c>
      <c r="E188" s="40" t="s">
        <v>36</v>
      </c>
      <c r="F188" s="28">
        <v>0</v>
      </c>
      <c r="G188" s="28">
        <v>5250</v>
      </c>
      <c r="H188" s="53">
        <f>IF(Tabla1[[#This Row],[Codigo_actividad]]&lt;&gt;2.5,IF(((Tabla1[[#This Row],[fin]]-Tabla1[[#This Row],[inicio]])/1000)=0,"",((Tabla1[[#This Row],[fin]]-Tabla1[[#This Row],[inicio]])/1000)),"")</f>
        <v>5.25</v>
      </c>
      <c r="I188" s="57"/>
      <c r="J188" s="76">
        <v>2.2999999999999998</v>
      </c>
      <c r="K188" s="57" t="str">
        <f>IF(_xlfn.XLOOKUP($J188,Catalogo!$B$7:$B$210,Catalogo!$I$7:$I$210,"",0)=0,"",_xlfn.XLOOKUP($J188,Catalogo!$B$7:$B$210,Catalogo!$I$7:$I$210,"",0))</f>
        <v>DCVG</v>
      </c>
      <c r="L188" s="36">
        <v>10.44422</v>
      </c>
      <c r="M188" s="261">
        <f>IF(Tabla1[[#This Row],[Avance_km]]&lt;&gt;"",Tabla1[[#This Row],[Avance_km]],Tabla1[[#This Row],[Avance_Med]])*_xlfn.XLOOKUP(Tabla1[[#This Row],[Codigo_actividad]],Catalogo!$B$6:$B$51,Catalogo!$F$6:$F$51,0)</f>
        <v>71167.057499999995</v>
      </c>
    </row>
    <row r="189" spans="1:13" x14ac:dyDescent="0.25">
      <c r="A189" s="354">
        <v>46006</v>
      </c>
      <c r="B189" s="114" t="s">
        <v>29</v>
      </c>
      <c r="C189" s="155" t="s">
        <v>13</v>
      </c>
      <c r="D189" s="39" t="s">
        <v>65</v>
      </c>
      <c r="E189" s="40" t="s">
        <v>36</v>
      </c>
      <c r="F189" s="28">
        <v>5250</v>
      </c>
      <c r="G189" s="28">
        <v>10444</v>
      </c>
      <c r="H189" s="53">
        <f>IF(Tabla1[[#This Row],[Codigo_actividad]]&lt;&gt;2.5,IF(((Tabla1[[#This Row],[fin]]-Tabla1[[#This Row],[inicio]])/1000)=0,"",((Tabla1[[#This Row],[fin]]-Tabla1[[#This Row],[inicio]])/1000)),"")</f>
        <v>5.194</v>
      </c>
      <c r="I189" s="57"/>
      <c r="J189" s="76">
        <v>2.2999999999999998</v>
      </c>
      <c r="K189" s="57" t="str">
        <f>IF(_xlfn.XLOOKUP($J189,Catalogo!$B$7:$B$210,Catalogo!$I$7:$I$210,"",0)=0,"",_xlfn.XLOOKUP($J189,Catalogo!$B$7:$B$210,Catalogo!$I$7:$I$210,"",0))</f>
        <v>DCVG</v>
      </c>
      <c r="L189" s="36">
        <v>10.44422</v>
      </c>
      <c r="M189" s="261">
        <f>IF(Tabla1[[#This Row],[Avance_km]]&lt;&gt;"",Tabla1[[#This Row],[Avance_km]],Tabla1[[#This Row],[Avance_Med]])*_xlfn.XLOOKUP(Tabla1[[#This Row],[Codigo_actividad]],Catalogo!$B$6:$B$51,Catalogo!$F$6:$F$51,0)</f>
        <v>70407.942219999997</v>
      </c>
    </row>
    <row r="190" spans="1:13" x14ac:dyDescent="0.25">
      <c r="A190" s="354"/>
      <c r="B190" s="114"/>
      <c r="C190" s="155"/>
      <c r="D190" s="39"/>
      <c r="F190" s="28"/>
      <c r="G190" s="28"/>
      <c r="H190" s="53" t="str">
        <f>IF(Tabla1[[#This Row],[Codigo_actividad]]&lt;&gt;2.5,IF(((Tabla1[[#This Row],[fin]]-Tabla1[[#This Row],[inicio]])/1000)=0,"",((Tabla1[[#This Row],[fin]]-Tabla1[[#This Row],[inicio]])/1000)),"")</f>
        <v/>
      </c>
      <c r="I190" s="57"/>
      <c r="J190" s="76"/>
      <c r="K190" s="57" t="str">
        <f>IF(_xlfn.XLOOKUP($J190,Catalogo!$B$7:$B$210,Catalogo!$I$7:$I$210,"",0)=0,"",_xlfn.XLOOKUP($J190,Catalogo!$B$7:$B$210,Catalogo!$I$7:$I$210,"",0))</f>
        <v/>
      </c>
      <c r="L190" s="36"/>
      <c r="M190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191" spans="1:13" x14ac:dyDescent="0.25">
      <c r="A191" s="354">
        <v>46007</v>
      </c>
      <c r="B191" s="114" t="s">
        <v>12</v>
      </c>
      <c r="C191" s="155" t="s">
        <v>13</v>
      </c>
      <c r="D191" s="39" t="s">
        <v>40</v>
      </c>
      <c r="E191" s="40" t="s">
        <v>28</v>
      </c>
      <c r="F191" s="28">
        <v>0</v>
      </c>
      <c r="G191" s="28">
        <f>+Tabla1[[#This Row],[Length]]*1000</f>
        <v>20</v>
      </c>
      <c r="H191" s="53">
        <f>IF(Tabla1[[#This Row],[Codigo_actividad]]&lt;&gt;2.5,IF(((Tabla1[[#This Row],[fin]]-Tabla1[[#This Row],[inicio]])/1000)=0,"",((Tabla1[[#This Row],[fin]]-Tabla1[[#This Row],[inicio]])/1000)),"")</f>
        <v>0.02</v>
      </c>
      <c r="I191" s="57"/>
      <c r="J191" s="76">
        <v>2.1</v>
      </c>
      <c r="K191" s="57" t="str">
        <f>IF(_xlfn.XLOOKUP($J191,Catalogo!$B$7:$B$210,Catalogo!$I$7:$I$210,"",0)=0,"",_xlfn.XLOOKUP($J191,Catalogo!$B$7:$B$210,Catalogo!$I$7:$I$210,"",0))</f>
        <v>CIPS</v>
      </c>
      <c r="L191" s="36">
        <v>0.02</v>
      </c>
      <c r="M191" s="261">
        <f>IF(Tabla1[[#This Row],[Avance_km]]&lt;&gt;"",Tabla1[[#This Row],[Avance_km]],Tabla1[[#This Row],[Avance_Med]])*_xlfn.XLOOKUP(Tabla1[[#This Row],[Codigo_actividad]],Catalogo!$B$6:$B$51,Catalogo!$F$6:$F$51,0)</f>
        <v>290.4282</v>
      </c>
    </row>
    <row r="192" spans="1:13" x14ac:dyDescent="0.25">
      <c r="A192" s="354">
        <v>46007</v>
      </c>
      <c r="B192" s="114" t="s">
        <v>12</v>
      </c>
      <c r="C192" s="155" t="s">
        <v>13</v>
      </c>
      <c r="D192" s="39" t="s">
        <v>41</v>
      </c>
      <c r="E192" s="40" t="s">
        <v>28</v>
      </c>
      <c r="F192" s="28">
        <v>0</v>
      </c>
      <c r="G192" s="28">
        <v>70</v>
      </c>
      <c r="H192" s="53">
        <f>IF(Tabla1[[#This Row],[Codigo_actividad]]&lt;&gt;2.5,IF(((Tabla1[[#This Row],[fin]]-Tabla1[[#This Row],[inicio]])/1000)=0,"",((Tabla1[[#This Row],[fin]]-Tabla1[[#This Row],[inicio]])/1000)),"")</f>
        <v>7.0000000000000007E-2</v>
      </c>
      <c r="I192" s="57"/>
      <c r="J192" s="76">
        <v>2.1</v>
      </c>
      <c r="K192" s="57" t="str">
        <f>IF(_xlfn.XLOOKUP($J192,Catalogo!$B$7:$B$210,Catalogo!$I$7:$I$210,"",0)=0,"",_xlfn.XLOOKUP($J192,Catalogo!$B$7:$B$210,Catalogo!$I$7:$I$210,"",0))</f>
        <v>CIPS</v>
      </c>
      <c r="L192" s="36">
        <v>7.0000000000000007E-2</v>
      </c>
      <c r="M192" s="261">
        <f>IF(Tabla1[[#This Row],[Avance_km]]&lt;&gt;"",Tabla1[[#This Row],[Avance_km]],Tabla1[[#This Row],[Avance_Med]])*_xlfn.XLOOKUP(Tabla1[[#This Row],[Codigo_actividad]],Catalogo!$B$6:$B$51,Catalogo!$F$6:$F$51,0)</f>
        <v>1016.4987000000001</v>
      </c>
    </row>
    <row r="193" spans="1:13" x14ac:dyDescent="0.25">
      <c r="A193" s="354">
        <v>46007</v>
      </c>
      <c r="B193" s="114" t="s">
        <v>12</v>
      </c>
      <c r="C193" s="155" t="s">
        <v>13</v>
      </c>
      <c r="D193" s="39" t="s">
        <v>42</v>
      </c>
      <c r="E193" s="40" t="s">
        <v>28</v>
      </c>
      <c r="F193" s="28">
        <v>0</v>
      </c>
      <c r="G193" s="28">
        <v>70</v>
      </c>
      <c r="H193" s="53">
        <f>IF(Tabla1[[#This Row],[Codigo_actividad]]&lt;&gt;2.5,IF(((Tabla1[[#This Row],[fin]]-Tabla1[[#This Row],[inicio]])/1000)=0,"",((Tabla1[[#This Row],[fin]]-Tabla1[[#This Row],[inicio]])/1000)),"")</f>
        <v>7.0000000000000007E-2</v>
      </c>
      <c r="I193" s="57"/>
      <c r="J193" s="76">
        <v>2.1</v>
      </c>
      <c r="K193" s="57" t="str">
        <f>IF(_xlfn.XLOOKUP($J193,Catalogo!$B$7:$B$210,Catalogo!$I$7:$I$210,"",0)=0,"",_xlfn.XLOOKUP($J193,Catalogo!$B$7:$B$210,Catalogo!$I$7:$I$210,"",0))</f>
        <v>CIPS</v>
      </c>
      <c r="L193" s="36">
        <v>7.0000000000000007E-2</v>
      </c>
      <c r="M193" s="261">
        <f>IF(Tabla1[[#This Row],[Avance_km]]&lt;&gt;"",Tabla1[[#This Row],[Avance_km]],Tabla1[[#This Row],[Avance_Med]])*_xlfn.XLOOKUP(Tabla1[[#This Row],[Codigo_actividad]],Catalogo!$B$6:$B$51,Catalogo!$F$6:$F$51,0)</f>
        <v>1016.4987000000001</v>
      </c>
    </row>
    <row r="194" spans="1:13" x14ac:dyDescent="0.25">
      <c r="A194" s="354">
        <v>46007</v>
      </c>
      <c r="B194" s="114" t="s">
        <v>12</v>
      </c>
      <c r="C194" s="155" t="s">
        <v>13</v>
      </c>
      <c r="D194" s="39" t="s">
        <v>43</v>
      </c>
      <c r="E194" s="40" t="s">
        <v>28</v>
      </c>
      <c r="F194" s="28">
        <v>0</v>
      </c>
      <c r="G194" s="28">
        <v>15</v>
      </c>
      <c r="H194" s="53">
        <f>IF(Tabla1[[#This Row],[Codigo_actividad]]&lt;&gt;2.5,IF(((Tabla1[[#This Row],[fin]]-Tabla1[[#This Row],[inicio]])/1000)=0,"",((Tabla1[[#This Row],[fin]]-Tabla1[[#This Row],[inicio]])/1000)),"")</f>
        <v>1.4999999999999999E-2</v>
      </c>
      <c r="I194" s="57"/>
      <c r="J194" s="76">
        <v>2.1</v>
      </c>
      <c r="K194" s="57" t="str">
        <f>IF(_xlfn.XLOOKUP($J194,Catalogo!$B$7:$B$210,Catalogo!$I$7:$I$210,"",0)=0,"",_xlfn.XLOOKUP($J194,Catalogo!$B$7:$B$210,Catalogo!$I$7:$I$210,"",0))</f>
        <v>CIPS</v>
      </c>
      <c r="L194" s="36">
        <v>1.4999999999999999E-2</v>
      </c>
      <c r="M194" s="261">
        <f>IF(Tabla1[[#This Row],[Avance_km]]&lt;&gt;"",Tabla1[[#This Row],[Avance_km]],Tabla1[[#This Row],[Avance_Med]])*_xlfn.XLOOKUP(Tabla1[[#This Row],[Codigo_actividad]],Catalogo!$B$6:$B$51,Catalogo!$F$6:$F$51,0)</f>
        <v>217.82114999999999</v>
      </c>
    </row>
    <row r="195" spans="1:13" x14ac:dyDescent="0.25">
      <c r="A195" s="354">
        <v>46007</v>
      </c>
      <c r="B195" s="114" t="s">
        <v>12</v>
      </c>
      <c r="C195" s="155" t="s">
        <v>13</v>
      </c>
      <c r="D195" s="39" t="s">
        <v>45</v>
      </c>
      <c r="E195" s="40" t="s">
        <v>28</v>
      </c>
      <c r="F195" s="28">
        <v>0</v>
      </c>
      <c r="G195" s="28">
        <v>10</v>
      </c>
      <c r="H195" s="53">
        <f>IF(Tabla1[[#This Row],[Codigo_actividad]]&lt;&gt;2.5,IF(((Tabla1[[#This Row],[fin]]-Tabla1[[#This Row],[inicio]])/1000)=0,"",((Tabla1[[#This Row],[fin]]-Tabla1[[#This Row],[inicio]])/1000)),"")</f>
        <v>0.01</v>
      </c>
      <c r="I195" s="57"/>
      <c r="J195" s="76">
        <v>2.1</v>
      </c>
      <c r="K195" s="57" t="str">
        <f>IF(_xlfn.XLOOKUP($J195,Catalogo!$B$7:$B$210,Catalogo!$I$7:$I$210,"",0)=0,"",_xlfn.XLOOKUP($J195,Catalogo!$B$7:$B$210,Catalogo!$I$7:$I$210,"",0))</f>
        <v>CIPS</v>
      </c>
      <c r="L195" s="36">
        <v>0.01</v>
      </c>
      <c r="M195" s="261">
        <f>IF(Tabla1[[#This Row],[Avance_km]]&lt;&gt;"",Tabla1[[#This Row],[Avance_km]],Tabla1[[#This Row],[Avance_Med]])*_xlfn.XLOOKUP(Tabla1[[#This Row],[Codigo_actividad]],Catalogo!$B$6:$B$51,Catalogo!$F$6:$F$51,0)</f>
        <v>145.2141</v>
      </c>
    </row>
    <row r="196" spans="1:13" x14ac:dyDescent="0.25">
      <c r="A196" s="354">
        <v>46007</v>
      </c>
      <c r="B196" s="114" t="s">
        <v>12</v>
      </c>
      <c r="C196" s="155" t="s">
        <v>13</v>
      </c>
      <c r="D196" s="39" t="s">
        <v>52</v>
      </c>
      <c r="E196" s="40" t="s">
        <v>28</v>
      </c>
      <c r="F196" s="28">
        <v>0</v>
      </c>
      <c r="G196" s="28">
        <v>10</v>
      </c>
      <c r="H196" s="53">
        <f>IF(Tabla1[[#This Row],[Codigo_actividad]]&lt;&gt;2.5,IF(((Tabla1[[#This Row],[fin]]-Tabla1[[#This Row],[inicio]])/1000)=0,"",((Tabla1[[#This Row],[fin]]-Tabla1[[#This Row],[inicio]])/1000)),"")</f>
        <v>0.01</v>
      </c>
      <c r="I196" s="57"/>
      <c r="J196" s="76">
        <v>2.1</v>
      </c>
      <c r="K196" s="57" t="str">
        <f>IF(_xlfn.XLOOKUP($J196,Catalogo!$B$7:$B$210,Catalogo!$I$7:$I$210,"",0)=0,"",_xlfn.XLOOKUP($J196,Catalogo!$B$7:$B$210,Catalogo!$I$7:$I$210,"",0))</f>
        <v>CIPS</v>
      </c>
      <c r="L196" s="36">
        <v>0.01</v>
      </c>
      <c r="M196" s="261">
        <f>IF(Tabla1[[#This Row],[Avance_km]]&lt;&gt;"",Tabla1[[#This Row],[Avance_km]],Tabla1[[#This Row],[Avance_Med]])*_xlfn.XLOOKUP(Tabla1[[#This Row],[Codigo_actividad]],Catalogo!$B$6:$B$51,Catalogo!$F$6:$F$51,0)</f>
        <v>145.2141</v>
      </c>
    </row>
    <row r="197" spans="1:13" x14ac:dyDescent="0.25">
      <c r="A197" s="354">
        <v>46007</v>
      </c>
      <c r="B197" s="114" t="s">
        <v>12</v>
      </c>
      <c r="C197" s="155" t="s">
        <v>13</v>
      </c>
      <c r="D197" s="39" t="s">
        <v>53</v>
      </c>
      <c r="E197" s="40" t="s">
        <v>28</v>
      </c>
      <c r="F197" s="28">
        <v>0</v>
      </c>
      <c r="G197" s="28">
        <v>15</v>
      </c>
      <c r="H197" s="53">
        <f>IF(Tabla1[[#This Row],[Codigo_actividad]]&lt;&gt;2.5,IF(((Tabla1[[#This Row],[fin]]-Tabla1[[#This Row],[inicio]])/1000)=0,"",((Tabla1[[#This Row],[fin]]-Tabla1[[#This Row],[inicio]])/1000)),"")</f>
        <v>1.4999999999999999E-2</v>
      </c>
      <c r="I197" s="57"/>
      <c r="J197" s="76">
        <v>2.1</v>
      </c>
      <c r="K197" s="57" t="str">
        <f>IF(_xlfn.XLOOKUP($J197,Catalogo!$B$7:$B$210,Catalogo!$I$7:$I$210,"",0)=0,"",_xlfn.XLOOKUP($J197,Catalogo!$B$7:$B$210,Catalogo!$I$7:$I$210,"",0))</f>
        <v>CIPS</v>
      </c>
      <c r="L197" s="36">
        <v>1.4999999999999999E-2</v>
      </c>
      <c r="M197" s="261">
        <f>IF(Tabla1[[#This Row],[Avance_km]]&lt;&gt;"",Tabla1[[#This Row],[Avance_km]],Tabla1[[#This Row],[Avance_Med]])*_xlfn.XLOOKUP(Tabla1[[#This Row],[Codigo_actividad]],Catalogo!$B$6:$B$51,Catalogo!$F$6:$F$51,0)</f>
        <v>217.82114999999999</v>
      </c>
    </row>
    <row r="198" spans="1:13" x14ac:dyDescent="0.25">
      <c r="A198" s="354">
        <v>46007</v>
      </c>
      <c r="B198" s="114" t="s">
        <v>12</v>
      </c>
      <c r="C198" s="155" t="s">
        <v>13</v>
      </c>
      <c r="D198" s="39" t="s">
        <v>44</v>
      </c>
      <c r="E198" s="40" t="s">
        <v>28</v>
      </c>
      <c r="F198" s="28">
        <v>0</v>
      </c>
      <c r="G198" s="28">
        <v>19</v>
      </c>
      <c r="H198" s="53">
        <f>IF(Tabla1[[#This Row],[Codigo_actividad]]&lt;&gt;2.5,IF(((Tabla1[[#This Row],[fin]]-Tabla1[[#This Row],[inicio]])/1000)=0,"",((Tabla1[[#This Row],[fin]]-Tabla1[[#This Row],[inicio]])/1000)),"")</f>
        <v>1.9E-2</v>
      </c>
      <c r="I198" s="57"/>
      <c r="J198" s="76">
        <v>2.1</v>
      </c>
      <c r="K198" s="57" t="str">
        <f>IF(_xlfn.XLOOKUP($J198,Catalogo!$B$7:$B$210,Catalogo!$I$7:$I$210,"",0)=0,"",_xlfn.XLOOKUP($J198,Catalogo!$B$7:$B$210,Catalogo!$I$7:$I$210,"",0))</f>
        <v>CIPS</v>
      </c>
      <c r="L198" s="36">
        <v>1.9E-2</v>
      </c>
      <c r="M198" s="261">
        <f>IF(Tabla1[[#This Row],[Avance_km]]&lt;&gt;"",Tabla1[[#This Row],[Avance_km]],Tabla1[[#This Row],[Avance_Med]])*_xlfn.XLOOKUP(Tabla1[[#This Row],[Codigo_actividad]],Catalogo!$B$6:$B$51,Catalogo!$F$6:$F$51,0)</f>
        <v>275.90679</v>
      </c>
    </row>
    <row r="199" spans="1:13" x14ac:dyDescent="0.25">
      <c r="A199" s="354">
        <v>46007</v>
      </c>
      <c r="B199" s="114" t="s">
        <v>12</v>
      </c>
      <c r="C199" s="155" t="s">
        <v>13</v>
      </c>
      <c r="D199" s="39" t="s">
        <v>67</v>
      </c>
      <c r="E199" s="40" t="s">
        <v>28</v>
      </c>
      <c r="F199" s="28">
        <v>0</v>
      </c>
      <c r="G199" s="28">
        <v>8</v>
      </c>
      <c r="H199" s="53">
        <f>IF(Tabla1[[#This Row],[Codigo_actividad]]&lt;&gt;2.5,IF(((Tabla1[[#This Row],[fin]]-Tabla1[[#This Row],[inicio]])/1000)=0,"",((Tabla1[[#This Row],[fin]]-Tabla1[[#This Row],[inicio]])/1000)),"")</f>
        <v>8.0000000000000002E-3</v>
      </c>
      <c r="I199" s="57"/>
      <c r="J199" s="76">
        <v>2.1</v>
      </c>
      <c r="K199" s="57" t="str">
        <f>IF(_xlfn.XLOOKUP($J199,Catalogo!$B$7:$B$210,Catalogo!$I$7:$I$210,"",0)=0,"",_xlfn.XLOOKUP($J199,Catalogo!$B$7:$B$210,Catalogo!$I$7:$I$210,"",0))</f>
        <v>CIPS</v>
      </c>
      <c r="L199" s="36">
        <v>8.0000000000000002E-3</v>
      </c>
      <c r="M199" s="261">
        <f>IF(Tabla1[[#This Row],[Avance_km]]&lt;&gt;"",Tabla1[[#This Row],[Avance_km]],Tabla1[[#This Row],[Avance_Med]])*_xlfn.XLOOKUP(Tabla1[[#This Row],[Codigo_actividad]],Catalogo!$B$6:$B$51,Catalogo!$F$6:$F$51,0)</f>
        <v>116.17128</v>
      </c>
    </row>
    <row r="200" spans="1:13" x14ac:dyDescent="0.25">
      <c r="A200" s="354">
        <v>46007</v>
      </c>
      <c r="B200" s="114" t="s">
        <v>12</v>
      </c>
      <c r="C200" s="155" t="s">
        <v>13</v>
      </c>
      <c r="D200" s="39" t="s">
        <v>47</v>
      </c>
      <c r="E200" s="40" t="s">
        <v>28</v>
      </c>
      <c r="F200" s="28">
        <v>0</v>
      </c>
      <c r="G200" s="28">
        <v>10</v>
      </c>
      <c r="H200" s="53">
        <f>IF(Tabla1[[#This Row],[Codigo_actividad]]&lt;&gt;2.5,IF(((Tabla1[[#This Row],[fin]]-Tabla1[[#This Row],[inicio]])/1000)=0,"",((Tabla1[[#This Row],[fin]]-Tabla1[[#This Row],[inicio]])/1000)),"")</f>
        <v>0.01</v>
      </c>
      <c r="I200" s="57"/>
      <c r="J200" s="76">
        <v>2.1</v>
      </c>
      <c r="K200" s="57" t="str">
        <f>IF(_xlfn.XLOOKUP($J200,Catalogo!$B$7:$B$210,Catalogo!$I$7:$I$210,"",0)=0,"",_xlfn.XLOOKUP($J200,Catalogo!$B$7:$B$210,Catalogo!$I$7:$I$210,"",0))</f>
        <v>CIPS</v>
      </c>
      <c r="L200" s="36">
        <v>0.01</v>
      </c>
      <c r="M200" s="261">
        <f>IF(Tabla1[[#This Row],[Avance_km]]&lt;&gt;"",Tabla1[[#This Row],[Avance_km]],Tabla1[[#This Row],[Avance_Med]])*_xlfn.XLOOKUP(Tabla1[[#This Row],[Codigo_actividad]],Catalogo!$B$6:$B$51,Catalogo!$F$6:$F$51,0)</f>
        <v>145.2141</v>
      </c>
    </row>
    <row r="201" spans="1:13" x14ac:dyDescent="0.25">
      <c r="A201" s="354">
        <v>46007</v>
      </c>
      <c r="B201" s="114" t="s">
        <v>12</v>
      </c>
      <c r="C201" s="155" t="s">
        <v>13</v>
      </c>
      <c r="D201" s="39" t="s">
        <v>48</v>
      </c>
      <c r="E201" s="40" t="s">
        <v>28</v>
      </c>
      <c r="F201" s="28">
        <v>0</v>
      </c>
      <c r="G201" s="28">
        <v>12</v>
      </c>
      <c r="H201" s="53">
        <f>IF(Tabla1[[#This Row],[Codigo_actividad]]&lt;&gt;2.5,IF(((Tabla1[[#This Row],[fin]]-Tabla1[[#This Row],[inicio]])/1000)=0,"",((Tabla1[[#This Row],[fin]]-Tabla1[[#This Row],[inicio]])/1000)),"")</f>
        <v>1.2E-2</v>
      </c>
      <c r="I201" s="57"/>
      <c r="J201" s="76">
        <v>2.1</v>
      </c>
      <c r="K201" s="57" t="str">
        <f>IF(_xlfn.XLOOKUP($J201,Catalogo!$B$7:$B$210,Catalogo!$I$7:$I$210,"",0)=0,"",_xlfn.XLOOKUP($J201,Catalogo!$B$7:$B$210,Catalogo!$I$7:$I$210,"",0))</f>
        <v>CIPS</v>
      </c>
      <c r="L201" s="36">
        <v>1.2E-2</v>
      </c>
      <c r="M201" s="261">
        <f>IF(Tabla1[[#This Row],[Avance_km]]&lt;&gt;"",Tabla1[[#This Row],[Avance_km]],Tabla1[[#This Row],[Avance_Med]])*_xlfn.XLOOKUP(Tabla1[[#This Row],[Codigo_actividad]],Catalogo!$B$6:$B$51,Catalogo!$F$6:$F$51,0)</f>
        <v>174.25692000000001</v>
      </c>
    </row>
    <row r="202" spans="1:13" x14ac:dyDescent="0.25">
      <c r="A202" s="354">
        <v>46007</v>
      </c>
      <c r="B202" s="114" t="s">
        <v>12</v>
      </c>
      <c r="C202" s="155" t="s">
        <v>13</v>
      </c>
      <c r="D202" s="39" t="s">
        <v>59</v>
      </c>
      <c r="E202" s="40" t="s">
        <v>28</v>
      </c>
      <c r="F202" s="28">
        <v>0</v>
      </c>
      <c r="G202" s="28">
        <v>7</v>
      </c>
      <c r="H202" s="53">
        <f>IF(Tabla1[[#This Row],[Codigo_actividad]]&lt;&gt;2.5,IF(((Tabla1[[#This Row],[fin]]-Tabla1[[#This Row],[inicio]])/1000)=0,"",((Tabla1[[#This Row],[fin]]-Tabla1[[#This Row],[inicio]])/1000)),"")</f>
        <v>7.0000000000000001E-3</v>
      </c>
      <c r="I202" s="57"/>
      <c r="J202" s="76">
        <v>2.1</v>
      </c>
      <c r="K202" s="57" t="str">
        <f>IF(_xlfn.XLOOKUP($J202,Catalogo!$B$7:$B$210,Catalogo!$I$7:$I$210,"",0)=0,"",_xlfn.XLOOKUP($J202,Catalogo!$B$7:$B$210,Catalogo!$I$7:$I$210,"",0))</f>
        <v>CIPS</v>
      </c>
      <c r="L202" s="36">
        <v>7.0000000000000001E-3</v>
      </c>
      <c r="M202" s="261">
        <f>IF(Tabla1[[#This Row],[Avance_km]]&lt;&gt;"",Tabla1[[#This Row],[Avance_km]],Tabla1[[#This Row],[Avance_Med]])*_xlfn.XLOOKUP(Tabla1[[#This Row],[Codigo_actividad]],Catalogo!$B$6:$B$51,Catalogo!$F$6:$F$51,0)</f>
        <v>101.64987000000001</v>
      </c>
    </row>
    <row r="203" spans="1:13" x14ac:dyDescent="0.25">
      <c r="A203" s="354">
        <v>46007</v>
      </c>
      <c r="B203" s="114" t="s">
        <v>12</v>
      </c>
      <c r="C203" s="155" t="s">
        <v>13</v>
      </c>
      <c r="D203" s="39" t="s">
        <v>60</v>
      </c>
      <c r="E203" s="40" t="s">
        <v>28</v>
      </c>
      <c r="F203" s="28">
        <v>0</v>
      </c>
      <c r="G203" s="28">
        <v>19</v>
      </c>
      <c r="H203" s="53">
        <f>IF(Tabla1[[#This Row],[Codigo_actividad]]&lt;&gt;2.5,IF(((Tabla1[[#This Row],[fin]]-Tabla1[[#This Row],[inicio]])/1000)=0,"",((Tabla1[[#This Row],[fin]]-Tabla1[[#This Row],[inicio]])/1000)),"")</f>
        <v>1.9E-2</v>
      </c>
      <c r="I203" s="57"/>
      <c r="J203" s="76">
        <v>2.1</v>
      </c>
      <c r="K203" s="57" t="str">
        <f>IF(_xlfn.XLOOKUP($J203,Catalogo!$B$7:$B$210,Catalogo!$I$7:$I$210,"",0)=0,"",_xlfn.XLOOKUP($J203,Catalogo!$B$7:$B$210,Catalogo!$I$7:$I$210,"",0))</f>
        <v>CIPS</v>
      </c>
      <c r="L203" s="36">
        <v>1.9E-2</v>
      </c>
      <c r="M203" s="261">
        <f>IF(Tabla1[[#This Row],[Avance_km]]&lt;&gt;"",Tabla1[[#This Row],[Avance_km]],Tabla1[[#This Row],[Avance_Med]])*_xlfn.XLOOKUP(Tabla1[[#This Row],[Codigo_actividad]],Catalogo!$B$6:$B$51,Catalogo!$F$6:$F$51,0)</f>
        <v>275.90679</v>
      </c>
    </row>
    <row r="204" spans="1:13" x14ac:dyDescent="0.25">
      <c r="A204" s="354"/>
      <c r="B204" s="114"/>
      <c r="C204" s="155"/>
      <c r="D204" s="39"/>
      <c r="F204" s="28"/>
      <c r="G204" s="28"/>
      <c r="H204" s="53" t="str">
        <f>IF(Tabla1[[#This Row],[Codigo_actividad]]&lt;&gt;2.5,IF(((Tabla1[[#This Row],[fin]]-Tabla1[[#This Row],[inicio]])/1000)=0,"",((Tabla1[[#This Row],[fin]]-Tabla1[[#This Row],[inicio]])/1000)),"")</f>
        <v/>
      </c>
      <c r="I204" s="57"/>
      <c r="J204" s="76"/>
      <c r="K204" s="57" t="str">
        <f>IF(_xlfn.XLOOKUP($J204,Catalogo!$B$7:$B$210,Catalogo!$I$7:$I$210,"",0)=0,"",_xlfn.XLOOKUP($J204,Catalogo!$B$7:$B$210,Catalogo!$I$7:$I$210,"",0))</f>
        <v/>
      </c>
      <c r="L204" s="36"/>
      <c r="M204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05" spans="1:13" x14ac:dyDescent="0.25">
      <c r="A205" s="354">
        <v>46008</v>
      </c>
      <c r="B205" s="114" t="s">
        <v>12</v>
      </c>
      <c r="C205" s="155" t="s">
        <v>13</v>
      </c>
      <c r="D205" s="39" t="s">
        <v>49</v>
      </c>
      <c r="E205" s="40" t="s">
        <v>28</v>
      </c>
      <c r="F205" s="28">
        <v>0</v>
      </c>
      <c r="G205" s="28">
        <f>+Tabla1[[#This Row],[Length]]*1000</f>
        <v>12</v>
      </c>
      <c r="H205" s="53">
        <f>IF(Tabla1[[#This Row],[Codigo_actividad]]&lt;&gt;2.5,IF(((Tabla1[[#This Row],[fin]]-Tabla1[[#This Row],[inicio]])/1000)=0,"",((Tabla1[[#This Row],[fin]]-Tabla1[[#This Row],[inicio]])/1000)),"")</f>
        <v>1.2E-2</v>
      </c>
      <c r="I205" s="57"/>
      <c r="J205" s="76">
        <v>2.1</v>
      </c>
      <c r="K205" s="57" t="str">
        <f>IF(_xlfn.XLOOKUP($J205,Catalogo!$B$7:$B$210,Catalogo!$I$7:$I$210,"",0)=0,"",_xlfn.XLOOKUP($J205,Catalogo!$B$7:$B$210,Catalogo!$I$7:$I$210,"",0))</f>
        <v>CIPS</v>
      </c>
      <c r="L205" s="36">
        <v>1.2E-2</v>
      </c>
      <c r="M205" s="261">
        <f>IF(Tabla1[[#This Row],[Avance_km]]&lt;&gt;"",Tabla1[[#This Row],[Avance_km]],Tabla1[[#This Row],[Avance_Med]])*_xlfn.XLOOKUP(Tabla1[[#This Row],[Codigo_actividad]],Catalogo!$B$6:$B$51,Catalogo!$F$6:$F$51,0)</f>
        <v>174.25692000000001</v>
      </c>
    </row>
    <row r="206" spans="1:13" x14ac:dyDescent="0.25">
      <c r="A206" s="354">
        <v>46008</v>
      </c>
      <c r="B206" s="114" t="s">
        <v>12</v>
      </c>
      <c r="C206" s="155" t="s">
        <v>13</v>
      </c>
      <c r="D206" s="39" t="s">
        <v>49</v>
      </c>
      <c r="E206" s="40" t="s">
        <v>16</v>
      </c>
      <c r="F206" s="28">
        <v>0</v>
      </c>
      <c r="G206" s="28">
        <f>+Tabla1[[#This Row],[Length]]*1000</f>
        <v>12</v>
      </c>
      <c r="H206" s="53">
        <f>IF(Tabla1[[#This Row],[Codigo_actividad]]&lt;&gt;2.5,IF(((Tabla1[[#This Row],[fin]]-Tabla1[[#This Row],[inicio]])/1000)=0,"",((Tabla1[[#This Row],[fin]]-Tabla1[[#This Row],[inicio]])/1000)),"")</f>
        <v>1.2E-2</v>
      </c>
      <c r="I206" s="57"/>
      <c r="J206" s="76">
        <v>2.6</v>
      </c>
      <c r="K206" s="57" t="str">
        <f>IF(_xlfn.XLOOKUP($J206,Catalogo!$B$7:$B$210,Catalogo!$I$7:$I$210,"",0)=0,"",_xlfn.XLOOKUP($J206,Catalogo!$B$7:$B$210,Catalogo!$I$7:$I$210,"",0))</f>
        <v>Localizacion</v>
      </c>
      <c r="L206" s="36">
        <v>1.2E-2</v>
      </c>
      <c r="M206" s="261">
        <f>IF(Tabla1[[#This Row],[Avance_km]]&lt;&gt;"",Tabla1[[#This Row],[Avance_km]],Tabla1[[#This Row],[Avance_Med]])*_xlfn.XLOOKUP(Tabla1[[#This Row],[Codigo_actividad]],Catalogo!$B$6:$B$51,Catalogo!$F$6:$F$51,0)</f>
        <v>27.089040000000001</v>
      </c>
    </row>
    <row r="207" spans="1:13" x14ac:dyDescent="0.25">
      <c r="A207" s="354">
        <v>46008</v>
      </c>
      <c r="B207" s="114" t="s">
        <v>12</v>
      </c>
      <c r="C207" s="155" t="s">
        <v>22</v>
      </c>
      <c r="D207" s="39" t="s">
        <v>64</v>
      </c>
      <c r="E207" s="40" t="s">
        <v>28</v>
      </c>
      <c r="F207" s="28">
        <v>0</v>
      </c>
      <c r="G207" s="28">
        <f>+Tabla1[[#This Row],[Length]]*1000</f>
        <v>17</v>
      </c>
      <c r="H207" s="53">
        <f>IF(Tabla1[[#This Row],[Codigo_actividad]]&lt;&gt;2.5,IF(((Tabla1[[#This Row],[fin]]-Tabla1[[#This Row],[inicio]])/1000)=0,"",((Tabla1[[#This Row],[fin]]-Tabla1[[#This Row],[inicio]])/1000)),"")</f>
        <v>1.7000000000000001E-2</v>
      </c>
      <c r="I207" s="57"/>
      <c r="J207" s="76">
        <v>2.1</v>
      </c>
      <c r="K207" s="57" t="str">
        <f>IF(_xlfn.XLOOKUP($J207,Catalogo!$B$7:$B$210,Catalogo!$I$7:$I$210,"",0)=0,"",_xlfn.XLOOKUP($J207,Catalogo!$B$7:$B$210,Catalogo!$I$7:$I$210,"",0))</f>
        <v>CIPS</v>
      </c>
      <c r="L207" s="36">
        <v>1.7000000000000001E-2</v>
      </c>
      <c r="M207" s="261">
        <f>IF(Tabla1[[#This Row],[Avance_km]]&lt;&gt;"",Tabla1[[#This Row],[Avance_km]],Tabla1[[#This Row],[Avance_Med]])*_xlfn.XLOOKUP(Tabla1[[#This Row],[Codigo_actividad]],Catalogo!$B$6:$B$51,Catalogo!$F$6:$F$51,0)</f>
        <v>246.86397000000002</v>
      </c>
    </row>
    <row r="208" spans="1:13" x14ac:dyDescent="0.25">
      <c r="A208" s="354">
        <v>46008</v>
      </c>
      <c r="B208" s="114" t="s">
        <v>12</v>
      </c>
      <c r="C208" s="155" t="s">
        <v>22</v>
      </c>
      <c r="D208" s="39" t="s">
        <v>55</v>
      </c>
      <c r="E208" s="40" t="s">
        <v>28</v>
      </c>
      <c r="F208" s="28">
        <v>0</v>
      </c>
      <c r="G208" s="28">
        <f>+Tabla1[[#This Row],[Length]]*1000</f>
        <v>11</v>
      </c>
      <c r="H208" s="53">
        <f>IF(Tabla1[[#This Row],[Codigo_actividad]]&lt;&gt;2.5,IF(((Tabla1[[#This Row],[fin]]-Tabla1[[#This Row],[inicio]])/1000)=0,"",((Tabla1[[#This Row],[fin]]-Tabla1[[#This Row],[inicio]])/1000)),"")</f>
        <v>1.0999999999999999E-2</v>
      </c>
      <c r="I208" s="57"/>
      <c r="J208" s="76">
        <v>2.1</v>
      </c>
      <c r="K208" s="57" t="str">
        <f>IF(_xlfn.XLOOKUP($J208,Catalogo!$B$7:$B$210,Catalogo!$I$7:$I$210,"",0)=0,"",_xlfn.XLOOKUP($J208,Catalogo!$B$7:$B$210,Catalogo!$I$7:$I$210,"",0))</f>
        <v>CIPS</v>
      </c>
      <c r="L208" s="36">
        <v>1.0999999999999999E-2</v>
      </c>
      <c r="M208" s="261">
        <f>IF(Tabla1[[#This Row],[Avance_km]]&lt;&gt;"",Tabla1[[#This Row],[Avance_km]],Tabla1[[#This Row],[Avance_Med]])*_xlfn.XLOOKUP(Tabla1[[#This Row],[Codigo_actividad]],Catalogo!$B$6:$B$51,Catalogo!$F$6:$F$51,0)</f>
        <v>159.73550999999998</v>
      </c>
    </row>
    <row r="209" spans="1:13" x14ac:dyDescent="0.25">
      <c r="A209" s="354">
        <v>46008</v>
      </c>
      <c r="B209" s="114" t="s">
        <v>12</v>
      </c>
      <c r="C209" s="155" t="s">
        <v>22</v>
      </c>
      <c r="D209" s="39" t="s">
        <v>54</v>
      </c>
      <c r="E209" s="40" t="s">
        <v>28</v>
      </c>
      <c r="F209" s="28">
        <v>0</v>
      </c>
      <c r="G209" s="28">
        <f>+Tabla1[[#This Row],[Length]]*1000</f>
        <v>13</v>
      </c>
      <c r="H209" s="53">
        <f>IF(Tabla1[[#This Row],[Codigo_actividad]]&lt;&gt;2.5,IF(((Tabla1[[#This Row],[fin]]-Tabla1[[#This Row],[inicio]])/1000)=0,"",((Tabla1[[#This Row],[fin]]-Tabla1[[#This Row],[inicio]])/1000)),"")</f>
        <v>1.2999999999999999E-2</v>
      </c>
      <c r="I209" s="57"/>
      <c r="J209" s="76">
        <v>2.1</v>
      </c>
      <c r="K209" s="57" t="str">
        <f>IF(_xlfn.XLOOKUP($J209,Catalogo!$B$7:$B$210,Catalogo!$I$7:$I$210,"",0)=0,"",_xlfn.XLOOKUP($J209,Catalogo!$B$7:$B$210,Catalogo!$I$7:$I$210,"",0))</f>
        <v>CIPS</v>
      </c>
      <c r="L209" s="36">
        <v>1.2999999999999999E-2</v>
      </c>
      <c r="M209" s="261">
        <f>IF(Tabla1[[#This Row],[Avance_km]]&lt;&gt;"",Tabla1[[#This Row],[Avance_km]],Tabla1[[#This Row],[Avance_Med]])*_xlfn.XLOOKUP(Tabla1[[#This Row],[Codigo_actividad]],Catalogo!$B$6:$B$51,Catalogo!$F$6:$F$51,0)</f>
        <v>188.77832999999998</v>
      </c>
    </row>
    <row r="210" spans="1:13" x14ac:dyDescent="0.25">
      <c r="A210" s="354">
        <v>46008</v>
      </c>
      <c r="B210" s="114" t="s">
        <v>12</v>
      </c>
      <c r="C210" s="155" t="s">
        <v>22</v>
      </c>
      <c r="D210" s="39" t="s">
        <v>34</v>
      </c>
      <c r="E210" s="40" t="s">
        <v>28</v>
      </c>
      <c r="F210" s="28">
        <v>0</v>
      </c>
      <c r="G210" s="28">
        <f>+Tabla1[[#This Row],[Length]]*1000</f>
        <v>120</v>
      </c>
      <c r="H210" s="53">
        <f>IF(Tabla1[[#This Row],[Codigo_actividad]]&lt;&gt;2.5,IF(((Tabla1[[#This Row],[fin]]-Tabla1[[#This Row],[inicio]])/1000)=0,"",((Tabla1[[#This Row],[fin]]-Tabla1[[#This Row],[inicio]])/1000)),"")</f>
        <v>0.12</v>
      </c>
      <c r="I210" s="57"/>
      <c r="J210" s="76">
        <v>2.1</v>
      </c>
      <c r="K210" s="57" t="str">
        <f>IF(_xlfn.XLOOKUP($J210,Catalogo!$B$7:$B$210,Catalogo!$I$7:$I$210,"",0)=0,"",_xlfn.XLOOKUP($J210,Catalogo!$B$7:$B$210,Catalogo!$I$7:$I$210,"",0))</f>
        <v>CIPS</v>
      </c>
      <c r="L210" s="36">
        <v>0.12</v>
      </c>
      <c r="M210" s="261">
        <f>IF(Tabla1[[#This Row],[Avance_km]]&lt;&gt;"",Tabla1[[#This Row],[Avance_km]],Tabla1[[#This Row],[Avance_Med]])*_xlfn.XLOOKUP(Tabla1[[#This Row],[Codigo_actividad]],Catalogo!$B$6:$B$51,Catalogo!$F$6:$F$51,0)</f>
        <v>1742.5691999999999</v>
      </c>
    </row>
    <row r="211" spans="1:13" x14ac:dyDescent="0.25">
      <c r="A211" s="354">
        <v>46008</v>
      </c>
      <c r="B211" s="114" t="s">
        <v>12</v>
      </c>
      <c r="C211" s="155" t="s">
        <v>22</v>
      </c>
      <c r="D211" s="39" t="s">
        <v>56</v>
      </c>
      <c r="E211" s="40" t="s">
        <v>28</v>
      </c>
      <c r="F211" s="28">
        <v>0</v>
      </c>
      <c r="G211" s="28">
        <f>+Tabla1[[#This Row],[Length]]*1000</f>
        <v>6</v>
      </c>
      <c r="H211" s="53">
        <f>IF(Tabla1[[#This Row],[Codigo_actividad]]&lt;&gt;2.5,IF(((Tabla1[[#This Row],[fin]]-Tabla1[[#This Row],[inicio]])/1000)=0,"",((Tabla1[[#This Row],[fin]]-Tabla1[[#This Row],[inicio]])/1000)),"")</f>
        <v>6.0000000000000001E-3</v>
      </c>
      <c r="I211" s="57"/>
      <c r="J211" s="76">
        <v>2.1</v>
      </c>
      <c r="K211" s="57" t="str">
        <f>IF(_xlfn.XLOOKUP($J211,Catalogo!$B$7:$B$210,Catalogo!$I$7:$I$210,"",0)=0,"",_xlfn.XLOOKUP($J211,Catalogo!$B$7:$B$210,Catalogo!$I$7:$I$210,"",0))</f>
        <v>CIPS</v>
      </c>
      <c r="L211" s="36">
        <v>6.0000000000000001E-3</v>
      </c>
      <c r="M211" s="261">
        <f>IF(Tabla1[[#This Row],[Avance_km]]&lt;&gt;"",Tabla1[[#This Row],[Avance_km]],Tabla1[[#This Row],[Avance_Med]])*_xlfn.XLOOKUP(Tabla1[[#This Row],[Codigo_actividad]],Catalogo!$B$6:$B$51,Catalogo!$F$6:$F$51,0)</f>
        <v>87.128460000000004</v>
      </c>
    </row>
    <row r="212" spans="1:13" x14ac:dyDescent="0.25">
      <c r="A212" s="354">
        <v>46008</v>
      </c>
      <c r="B212" s="114" t="s">
        <v>12</v>
      </c>
      <c r="C212" s="155" t="s">
        <v>22</v>
      </c>
      <c r="D212" s="39" t="s">
        <v>33</v>
      </c>
      <c r="E212" s="40" t="s">
        <v>28</v>
      </c>
      <c r="F212" s="28">
        <v>0</v>
      </c>
      <c r="G212" s="28">
        <f>+Tabla1[[#This Row],[Length]]*1000</f>
        <v>40</v>
      </c>
      <c r="H212" s="53">
        <f>IF(Tabla1[[#This Row],[Codigo_actividad]]&lt;&gt;2.5,IF(((Tabla1[[#This Row],[fin]]-Tabla1[[#This Row],[inicio]])/1000)=0,"",((Tabla1[[#This Row],[fin]]-Tabla1[[#This Row],[inicio]])/1000)),"")</f>
        <v>0.04</v>
      </c>
      <c r="I212" s="57"/>
      <c r="J212" s="76">
        <v>2.1</v>
      </c>
      <c r="K212" s="57" t="str">
        <f>IF(_xlfn.XLOOKUP($J212,Catalogo!$B$7:$B$210,Catalogo!$I$7:$I$210,"",0)=0,"",_xlfn.XLOOKUP($J212,Catalogo!$B$7:$B$210,Catalogo!$I$7:$I$210,"",0))</f>
        <v>CIPS</v>
      </c>
      <c r="L212" s="36">
        <v>0.04</v>
      </c>
      <c r="M212" s="261">
        <f>IF(Tabla1[[#This Row],[Avance_km]]&lt;&gt;"",Tabla1[[#This Row],[Avance_km]],Tabla1[[#This Row],[Avance_Med]])*_xlfn.XLOOKUP(Tabla1[[#This Row],[Codigo_actividad]],Catalogo!$B$6:$B$51,Catalogo!$F$6:$F$51,0)</f>
        <v>580.85640000000001</v>
      </c>
    </row>
    <row r="213" spans="1:13" x14ac:dyDescent="0.25">
      <c r="A213" s="354">
        <v>46008</v>
      </c>
      <c r="B213" s="114" t="s">
        <v>12</v>
      </c>
      <c r="C213" s="155" t="s">
        <v>22</v>
      </c>
      <c r="D213" s="39" t="s">
        <v>39</v>
      </c>
      <c r="E213" s="40" t="s">
        <v>28</v>
      </c>
      <c r="F213" s="28">
        <v>0</v>
      </c>
      <c r="G213" s="28">
        <f>+Tabla1[[#This Row],[Length]]*1000</f>
        <v>20</v>
      </c>
      <c r="H213" s="53">
        <f>IF(Tabla1[[#This Row],[Codigo_actividad]]&lt;&gt;2.5,IF(((Tabla1[[#This Row],[fin]]-Tabla1[[#This Row],[inicio]])/1000)=0,"",((Tabla1[[#This Row],[fin]]-Tabla1[[#This Row],[inicio]])/1000)),"")</f>
        <v>0.02</v>
      </c>
      <c r="I213" s="57"/>
      <c r="J213" s="76">
        <v>2.1</v>
      </c>
      <c r="K213" s="57" t="str">
        <f>IF(_xlfn.XLOOKUP($J213,Catalogo!$B$7:$B$210,Catalogo!$I$7:$I$210,"",0)=0,"",_xlfn.XLOOKUP($J213,Catalogo!$B$7:$B$210,Catalogo!$I$7:$I$210,"",0))</f>
        <v>CIPS</v>
      </c>
      <c r="L213" s="36">
        <v>0.02</v>
      </c>
      <c r="M213" s="261">
        <f>IF(Tabla1[[#This Row],[Avance_km]]&lt;&gt;"",Tabla1[[#This Row],[Avance_km]],Tabla1[[#This Row],[Avance_Med]])*_xlfn.XLOOKUP(Tabla1[[#This Row],[Codigo_actividad]],Catalogo!$B$6:$B$51,Catalogo!$F$6:$F$51,0)</f>
        <v>290.4282</v>
      </c>
    </row>
    <row r="214" spans="1:13" x14ac:dyDescent="0.25">
      <c r="A214" s="354">
        <v>46008</v>
      </c>
      <c r="B214" s="114" t="s">
        <v>12</v>
      </c>
      <c r="C214" s="155" t="s">
        <v>22</v>
      </c>
      <c r="D214" s="39" t="s">
        <v>25</v>
      </c>
      <c r="E214" s="40" t="s">
        <v>28</v>
      </c>
      <c r="F214" s="28">
        <v>0</v>
      </c>
      <c r="G214" s="28">
        <f>+Tabla1[[#This Row],[Length]]*1000</f>
        <v>125</v>
      </c>
      <c r="H214" s="53">
        <f>IF(Tabla1[[#This Row],[Codigo_actividad]]&lt;&gt;2.5,IF(((Tabla1[[#This Row],[fin]]-Tabla1[[#This Row],[inicio]])/1000)=0,"",((Tabla1[[#This Row],[fin]]-Tabla1[[#This Row],[inicio]])/1000)),"")</f>
        <v>0.125</v>
      </c>
      <c r="I214" s="57"/>
      <c r="J214" s="76">
        <v>2.1</v>
      </c>
      <c r="K214" s="57" t="str">
        <f>IF(_xlfn.XLOOKUP($J214,Catalogo!$B$7:$B$210,Catalogo!$I$7:$I$210,"",0)=0,"",_xlfn.XLOOKUP($J214,Catalogo!$B$7:$B$210,Catalogo!$I$7:$I$210,"",0))</f>
        <v>CIPS</v>
      </c>
      <c r="L214" s="36">
        <v>0.125</v>
      </c>
      <c r="M214" s="261">
        <f>IF(Tabla1[[#This Row],[Avance_km]]&lt;&gt;"",Tabla1[[#This Row],[Avance_km]],Tabla1[[#This Row],[Avance_Med]])*_xlfn.XLOOKUP(Tabla1[[#This Row],[Codigo_actividad]],Catalogo!$B$6:$B$51,Catalogo!$F$6:$F$51,0)</f>
        <v>1815.17625</v>
      </c>
    </row>
    <row r="215" spans="1:13" x14ac:dyDescent="0.25">
      <c r="A215" s="354">
        <v>46008</v>
      </c>
      <c r="B215" s="114" t="s">
        <v>29</v>
      </c>
      <c r="C215" s="155" t="s">
        <v>13</v>
      </c>
      <c r="D215" s="39" t="s">
        <v>50</v>
      </c>
      <c r="E215" s="40" t="s">
        <v>16</v>
      </c>
      <c r="F215" s="28">
        <v>0</v>
      </c>
      <c r="G215" s="28">
        <v>3600</v>
      </c>
      <c r="H215" s="53">
        <f>IF(Tabla1[[#This Row],[Codigo_actividad]]&lt;&gt;2.5,IF(((Tabla1[[#This Row],[fin]]-Tabla1[[#This Row],[inicio]])/1000)=0,"",((Tabla1[[#This Row],[fin]]-Tabla1[[#This Row],[inicio]])/1000)),"")</f>
        <v>3.6</v>
      </c>
      <c r="I215" s="57"/>
      <c r="J215" s="76">
        <v>2.6</v>
      </c>
      <c r="K215" s="57" t="str">
        <f>IF(_xlfn.XLOOKUP($J215,Catalogo!$B$7:$B$210,Catalogo!$I$7:$I$210,"",0)=0,"",_xlfn.XLOOKUP($J215,Catalogo!$B$7:$B$210,Catalogo!$I$7:$I$210,"",0))</f>
        <v>Localizacion</v>
      </c>
      <c r="L215" s="36">
        <v>12.657</v>
      </c>
      <c r="M215" s="261">
        <f>IF(Tabla1[[#This Row],[Avance_km]]&lt;&gt;"",Tabla1[[#This Row],[Avance_km]],Tabla1[[#This Row],[Avance_Med]])*_xlfn.XLOOKUP(Tabla1[[#This Row],[Codigo_actividad]],Catalogo!$B$6:$B$51,Catalogo!$F$6:$F$51,0)</f>
        <v>8126.7120000000004</v>
      </c>
    </row>
    <row r="216" spans="1:13" x14ac:dyDescent="0.25">
      <c r="A216" s="354"/>
      <c r="B216" s="114"/>
      <c r="C216" s="155"/>
      <c r="D216" s="39"/>
      <c r="F216" s="28"/>
      <c r="G216" s="28"/>
      <c r="H216" s="53" t="str">
        <f>IF(Tabla1[[#This Row],[Codigo_actividad]]&lt;&gt;2.5,IF(((Tabla1[[#This Row],[fin]]-Tabla1[[#This Row],[inicio]])/1000)=0,"",((Tabla1[[#This Row],[fin]]-Tabla1[[#This Row],[inicio]])/1000)),"")</f>
        <v/>
      </c>
      <c r="I216" s="57"/>
      <c r="J216" s="76"/>
      <c r="K216" s="57" t="str">
        <f>IF(_xlfn.XLOOKUP($J216,Catalogo!$B$7:$B$210,Catalogo!$I$7:$I$210,"",0)=0,"",_xlfn.XLOOKUP($J216,Catalogo!$B$7:$B$210,Catalogo!$I$7:$I$210,"",0))</f>
        <v/>
      </c>
      <c r="L216" s="36"/>
      <c r="M216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17" spans="1:13" x14ac:dyDescent="0.25">
      <c r="A217" s="354">
        <v>46009</v>
      </c>
      <c r="B217" s="114" t="s">
        <v>12</v>
      </c>
      <c r="C217" s="155" t="s">
        <v>13</v>
      </c>
      <c r="D217" s="39" t="s">
        <v>50</v>
      </c>
      <c r="E217" s="40" t="s">
        <v>16</v>
      </c>
      <c r="F217" s="28">
        <v>3600</v>
      </c>
      <c r="G217" s="28">
        <v>8600</v>
      </c>
      <c r="H217" s="53">
        <f>IF(Tabla1[[#This Row],[Codigo_actividad]]&lt;&gt;2.5,IF(((Tabla1[[#This Row],[fin]]-Tabla1[[#This Row],[inicio]])/1000)=0,"",((Tabla1[[#This Row],[fin]]-Tabla1[[#This Row],[inicio]])/1000)),"")</f>
        <v>5</v>
      </c>
      <c r="I217" s="57"/>
      <c r="J217" s="76">
        <v>2.6</v>
      </c>
      <c r="K217" s="57" t="str">
        <f>IF(_xlfn.XLOOKUP($J217,Catalogo!$B$7:$B$210,Catalogo!$I$7:$I$210,"",0)=0,"",_xlfn.XLOOKUP($J217,Catalogo!$B$7:$B$210,Catalogo!$I$7:$I$210,"",0))</f>
        <v>Localizacion</v>
      </c>
      <c r="L217" s="36">
        <f>+_xlfn.XLOOKUP(Tabla1[[#This Row],[Ducto]],$D$1:$D$163,$L$1:$L$163)</f>
        <v>12.657</v>
      </c>
      <c r="M217" s="261">
        <f>IF(Tabla1[[#This Row],[Avance_km]]&lt;&gt;"",Tabla1[[#This Row],[Avance_km]],Tabla1[[#This Row],[Avance_Med]])*_xlfn.XLOOKUP(Tabla1[[#This Row],[Codigo_actividad]],Catalogo!$B$6:$B$51,Catalogo!$F$6:$F$51,0)</f>
        <v>11287.1</v>
      </c>
    </row>
    <row r="218" spans="1:13" x14ac:dyDescent="0.25">
      <c r="A218" s="354"/>
      <c r="B218" s="114"/>
      <c r="C218" s="155"/>
      <c r="D218" s="39"/>
      <c r="F218" s="28"/>
      <c r="G218" s="28"/>
      <c r="H218" s="53" t="str">
        <f>IF(Tabla1[[#This Row],[Codigo_actividad]]&lt;&gt;2.5,IF(((Tabla1[[#This Row],[fin]]-Tabla1[[#This Row],[inicio]])/1000)=0,"",((Tabla1[[#This Row],[fin]]-Tabla1[[#This Row],[inicio]])/1000)),"")</f>
        <v/>
      </c>
      <c r="I218" s="57"/>
      <c r="J218" s="76"/>
      <c r="K218" s="57" t="str">
        <f>IF(_xlfn.XLOOKUP($J218,Catalogo!$B$7:$B$210,Catalogo!$I$7:$I$210,"",0)=0,"",_xlfn.XLOOKUP($J218,Catalogo!$B$7:$B$210,Catalogo!$I$7:$I$210,"",0))</f>
        <v/>
      </c>
      <c r="L218" s="36"/>
      <c r="M218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19" spans="1:13" x14ac:dyDescent="0.25">
      <c r="A219" s="354">
        <v>46010</v>
      </c>
      <c r="B219" s="114" t="s">
        <v>12</v>
      </c>
      <c r="C219" s="155" t="s">
        <v>22</v>
      </c>
      <c r="D219" s="39" t="s">
        <v>27</v>
      </c>
      <c r="E219" s="40" t="s">
        <v>28</v>
      </c>
      <c r="F219" s="28">
        <v>20374</v>
      </c>
      <c r="G219" s="28">
        <v>25400</v>
      </c>
      <c r="H219" s="53">
        <f>IF(Tabla1[[#This Row],[Codigo_actividad]]&lt;&gt;2.5,IF(((Tabla1[[#This Row],[fin]]-Tabla1[[#This Row],[inicio]])/1000)=0,"",((Tabla1[[#This Row],[fin]]-Tabla1[[#This Row],[inicio]])/1000)),"")</f>
        <v>5.0259999999999998</v>
      </c>
      <c r="I219" s="57"/>
      <c r="J219" s="76">
        <v>2.1</v>
      </c>
      <c r="K219" s="57" t="str">
        <f>IF(_xlfn.XLOOKUP($J219,Catalogo!$B$7:$B$210,Catalogo!$I$7:$I$210,"",0)=0,"",_xlfn.XLOOKUP($J219,Catalogo!$B$7:$B$210,Catalogo!$I$7:$I$210,"",0))</f>
        <v>CIPS</v>
      </c>
      <c r="L219" s="36">
        <f>+_xlfn.XLOOKUP(Tabla1[[#This Row],[Ducto]],$D$1:$D$163,$L$1:$L$163)</f>
        <v>25.4</v>
      </c>
      <c r="M219" s="261">
        <f>IF(Tabla1[[#This Row],[Avance_km]]&lt;&gt;"",Tabla1[[#This Row],[Avance_km]],Tabla1[[#This Row],[Avance_Med]])*_xlfn.XLOOKUP(Tabla1[[#This Row],[Codigo_actividad]],Catalogo!$B$6:$B$51,Catalogo!$F$6:$F$51,0)</f>
        <v>72984.60665999999</v>
      </c>
    </row>
    <row r="220" spans="1:13" x14ac:dyDescent="0.25">
      <c r="A220" s="354">
        <v>46010</v>
      </c>
      <c r="B220" s="114" t="s">
        <v>12</v>
      </c>
      <c r="C220" s="155" t="s">
        <v>22</v>
      </c>
      <c r="D220" s="39" t="s">
        <v>357</v>
      </c>
      <c r="E220" s="40" t="s">
        <v>28</v>
      </c>
      <c r="F220" s="28">
        <v>0</v>
      </c>
      <c r="G220" s="28">
        <v>741</v>
      </c>
      <c r="H220" s="53">
        <f>IF(Tabla1[[#This Row],[Codigo_actividad]]&lt;&gt;2.5,IF(((Tabla1[[#This Row],[fin]]-Tabla1[[#This Row],[inicio]])/1000)=0,"",((Tabla1[[#This Row],[fin]]-Tabla1[[#This Row],[inicio]])/1000)),"")</f>
        <v>0.74099999999999999</v>
      </c>
      <c r="I220" s="57"/>
      <c r="J220" s="76">
        <v>2.1</v>
      </c>
      <c r="K220" s="57" t="str">
        <f>IF(_xlfn.XLOOKUP($J220,Catalogo!$B$7:$B$210,Catalogo!$I$7:$I$210,"",0)=0,"",_xlfn.XLOOKUP($J220,Catalogo!$B$7:$B$210,Catalogo!$I$7:$I$210,"",0))</f>
        <v>CIPS</v>
      </c>
      <c r="L220" s="36">
        <f>+_xlfn.XLOOKUP(Tabla1[[#This Row],[Ducto]],$D$1:$D$163,$L$1:$L$163)</f>
        <v>0.74099999999999999</v>
      </c>
      <c r="M220" s="261">
        <f>IF(Tabla1[[#This Row],[Avance_km]]&lt;&gt;"",Tabla1[[#This Row],[Avance_km]],Tabla1[[#This Row],[Avance_Med]])*_xlfn.XLOOKUP(Tabla1[[#This Row],[Codigo_actividad]],Catalogo!$B$6:$B$51,Catalogo!$F$6:$F$51,0)</f>
        <v>10760.364809999999</v>
      </c>
    </row>
    <row r="221" spans="1:13" x14ac:dyDescent="0.25">
      <c r="A221" s="354">
        <v>46010</v>
      </c>
      <c r="B221" s="114" t="s">
        <v>12</v>
      </c>
      <c r="C221" s="155" t="s">
        <v>22</v>
      </c>
      <c r="D221" s="39" t="s">
        <v>73</v>
      </c>
      <c r="E221" s="40" t="s">
        <v>28</v>
      </c>
      <c r="F221" s="28">
        <v>0</v>
      </c>
      <c r="G221" s="28">
        <v>5</v>
      </c>
      <c r="H221" s="53">
        <f>IF(Tabla1[[#This Row],[Codigo_actividad]]&lt;&gt;2.5,IF(((Tabla1[[#This Row],[fin]]-Tabla1[[#This Row],[inicio]])/1000)=0,"",((Tabla1[[#This Row],[fin]]-Tabla1[[#This Row],[inicio]])/1000)),"")</f>
        <v>5.0000000000000001E-3</v>
      </c>
      <c r="I221" s="57"/>
      <c r="J221" s="76">
        <v>2.1</v>
      </c>
      <c r="K221" s="57" t="str">
        <f>IF(_xlfn.XLOOKUP($J221,Catalogo!$B$7:$B$210,Catalogo!$I$7:$I$210,"",0)=0,"",_xlfn.XLOOKUP($J221,Catalogo!$B$7:$B$210,Catalogo!$I$7:$I$210,"",0))</f>
        <v>CIPS</v>
      </c>
      <c r="L221" s="36">
        <f>+_xlfn.XLOOKUP(Tabla1[[#This Row],[Ducto]],$D$1:$D$163,$L$1:$L$163)</f>
        <v>5.0000000000000001E-3</v>
      </c>
      <c r="M221" s="261">
        <f>IF(Tabla1[[#This Row],[Avance_km]]&lt;&gt;"",Tabla1[[#This Row],[Avance_km]],Tabla1[[#This Row],[Avance_Med]])*_xlfn.XLOOKUP(Tabla1[[#This Row],[Codigo_actividad]],Catalogo!$B$6:$B$51,Catalogo!$F$6:$F$51,0)</f>
        <v>72.607050000000001</v>
      </c>
    </row>
    <row r="222" spans="1:13" x14ac:dyDescent="0.25">
      <c r="A222" s="354">
        <v>45982</v>
      </c>
      <c r="B222" s="38" t="s">
        <v>29</v>
      </c>
      <c r="C222" s="155" t="s">
        <v>22</v>
      </c>
      <c r="D222" s="39" t="s">
        <v>26</v>
      </c>
      <c r="E222" s="60" t="s">
        <v>28</v>
      </c>
      <c r="F222" s="28">
        <v>0</v>
      </c>
      <c r="G222" s="28">
        <v>9</v>
      </c>
      <c r="H222" s="53">
        <f>IF(Tabla1[[#This Row],[Codigo_actividad]]&lt;&gt;2.5,IF(((Tabla1[[#This Row],[fin]]-Tabla1[[#This Row],[inicio]])/1000)=0,"",((Tabla1[[#This Row],[fin]]-Tabla1[[#This Row],[inicio]])/1000)),"")</f>
        <v>8.9999999999999993E-3</v>
      </c>
      <c r="I222" s="57"/>
      <c r="J222" s="24">
        <v>2.1</v>
      </c>
      <c r="K222" s="57" t="str">
        <f>IF(_xlfn.XLOOKUP($J222,Catalogo!$B$7:$B$210,Catalogo!$I$7:$I$210,"",0)=0,"",_xlfn.XLOOKUP($J222,Catalogo!$B$7:$B$210,Catalogo!$I$7:$I$210,"",0))</f>
        <v>CIPS</v>
      </c>
      <c r="L222" s="36">
        <v>8.9999999999999993E-3</v>
      </c>
      <c r="M222" s="261">
        <f>IF(Tabla1[[#This Row],[Avance_km]]&lt;&gt;"",Tabla1[[#This Row],[Avance_km]],Tabla1[[#This Row],[Avance_Med]])*_xlfn.XLOOKUP(Tabla1[[#This Row],[Codigo_actividad]],Catalogo!$B$6:$B$51,Catalogo!$F$6:$F$51,0)</f>
        <v>130.69269</v>
      </c>
    </row>
    <row r="223" spans="1:13" x14ac:dyDescent="0.25">
      <c r="A223" s="354"/>
      <c r="B223" s="114"/>
      <c r="C223" s="155"/>
      <c r="D223" s="39"/>
      <c r="F223" s="28"/>
      <c r="G223" s="28"/>
      <c r="H223" s="53" t="str">
        <f>IF(Tabla1[[#This Row],[Codigo_actividad]]&lt;&gt;2.5,IF(((Tabla1[[#This Row],[fin]]-Tabla1[[#This Row],[inicio]])/1000)=0,"",((Tabla1[[#This Row],[fin]]-Tabla1[[#This Row],[inicio]])/1000)),"")</f>
        <v/>
      </c>
      <c r="I223" s="57"/>
      <c r="J223" s="76"/>
      <c r="K223" s="57" t="str">
        <f>IF(_xlfn.XLOOKUP($J223,Catalogo!$B$7:$B$210,Catalogo!$I$7:$I$210,"",0)=0,"",_xlfn.XLOOKUP($J223,Catalogo!$B$7:$B$210,Catalogo!$I$7:$I$210,"",0))</f>
        <v/>
      </c>
      <c r="L223" s="36"/>
      <c r="M223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24" spans="1:13" x14ac:dyDescent="0.25">
      <c r="A224" s="354">
        <v>46011</v>
      </c>
      <c r="B224" s="114" t="s">
        <v>12</v>
      </c>
      <c r="C224" s="155" t="s">
        <v>13</v>
      </c>
      <c r="D224" s="39" t="s">
        <v>17</v>
      </c>
      <c r="E224" s="40" t="s">
        <v>28</v>
      </c>
      <c r="F224" s="28">
        <v>0</v>
      </c>
      <c r="G224" s="28">
        <v>1982</v>
      </c>
      <c r="H224" s="53">
        <f>IF(Tabla1[[#This Row],[Codigo_actividad]]&lt;&gt;2.5,IF(((Tabla1[[#This Row],[fin]]-Tabla1[[#This Row],[inicio]])/1000)=0,"",((Tabla1[[#This Row],[fin]]-Tabla1[[#This Row],[inicio]])/1000)),"")</f>
        <v>1.982</v>
      </c>
      <c r="I224" s="57"/>
      <c r="J224" s="76">
        <v>2.1</v>
      </c>
      <c r="K224" s="57" t="str">
        <f>IF(_xlfn.XLOOKUP($J224,Catalogo!$B$7:$B$210,Catalogo!$I$7:$I$210,"",0)=0,"",_xlfn.XLOOKUP($J224,Catalogo!$B$7:$B$210,Catalogo!$I$7:$I$210,"",0))</f>
        <v>CIPS</v>
      </c>
      <c r="L224" s="36">
        <f>+_xlfn.XLOOKUP(Tabla1[[#This Row],[Ducto]],$D$1:$D$163,$L$1:$L$163)</f>
        <v>1.982</v>
      </c>
      <c r="M224" s="261">
        <f>IF(Tabla1[[#This Row],[Avance_km]]&lt;&gt;"",Tabla1[[#This Row],[Avance_km]],Tabla1[[#This Row],[Avance_Med]])*_xlfn.XLOOKUP(Tabla1[[#This Row],[Codigo_actividad]],Catalogo!$B$6:$B$51,Catalogo!$F$6:$F$51,0)</f>
        <v>28781.43462</v>
      </c>
    </row>
    <row r="225" spans="1:13" x14ac:dyDescent="0.25">
      <c r="A225" s="354">
        <v>46011</v>
      </c>
      <c r="B225" s="114" t="s">
        <v>12</v>
      </c>
      <c r="C225" s="155" t="s">
        <v>13</v>
      </c>
      <c r="D225" s="39" t="s">
        <v>18</v>
      </c>
      <c r="E225" s="40" t="s">
        <v>28</v>
      </c>
      <c r="F225" s="28">
        <v>0</v>
      </c>
      <c r="G225" s="28">
        <v>175</v>
      </c>
      <c r="H225" s="53">
        <f>IF(Tabla1[[#This Row],[Codigo_actividad]]&lt;&gt;2.5,IF(((Tabla1[[#This Row],[fin]]-Tabla1[[#This Row],[inicio]])/1000)=0,"",((Tabla1[[#This Row],[fin]]-Tabla1[[#This Row],[inicio]])/1000)),"")</f>
        <v>0.17499999999999999</v>
      </c>
      <c r="I225" s="57"/>
      <c r="J225" s="76">
        <v>2.1</v>
      </c>
      <c r="K225" s="57" t="str">
        <f>IF(_xlfn.XLOOKUP($J225,Catalogo!$B$7:$B$210,Catalogo!$I$7:$I$210,"",0)=0,"",_xlfn.XLOOKUP($J225,Catalogo!$B$7:$B$210,Catalogo!$I$7:$I$210,"",0))</f>
        <v>CIPS</v>
      </c>
      <c r="L225" s="36">
        <f>+_xlfn.XLOOKUP(Tabla1[[#This Row],[Ducto]],$D$1:$D$163,$L$1:$L$163)</f>
        <v>0.17499999999999999</v>
      </c>
      <c r="M225" s="261">
        <f>IF(Tabla1[[#This Row],[Avance_km]]&lt;&gt;"",Tabla1[[#This Row],[Avance_km]],Tabla1[[#This Row],[Avance_Med]])*_xlfn.XLOOKUP(Tabla1[[#This Row],[Codigo_actividad]],Catalogo!$B$6:$B$51,Catalogo!$F$6:$F$51,0)</f>
        <v>2541.2467499999998</v>
      </c>
    </row>
    <row r="226" spans="1:13" x14ac:dyDescent="0.25">
      <c r="A226" s="354">
        <v>46011</v>
      </c>
      <c r="B226" s="114" t="s">
        <v>12</v>
      </c>
      <c r="C226" s="155" t="s">
        <v>13</v>
      </c>
      <c r="D226" s="39" t="s">
        <v>19</v>
      </c>
      <c r="E226" s="40" t="s">
        <v>28</v>
      </c>
      <c r="F226" s="28">
        <v>0</v>
      </c>
      <c r="G226" s="28">
        <v>15</v>
      </c>
      <c r="H226" s="53">
        <f>IF(Tabla1[[#This Row],[Codigo_actividad]]&lt;&gt;2.5,IF(((Tabla1[[#This Row],[fin]]-Tabla1[[#This Row],[inicio]])/1000)=0,"",((Tabla1[[#This Row],[fin]]-Tabla1[[#This Row],[inicio]])/1000)),"")</f>
        <v>1.4999999999999999E-2</v>
      </c>
      <c r="I226" s="57"/>
      <c r="J226" s="76">
        <v>2.1</v>
      </c>
      <c r="K226" s="57" t="str">
        <f>IF(_xlfn.XLOOKUP($J226,Catalogo!$B$7:$B$210,Catalogo!$I$7:$I$210,"",0)=0,"",_xlfn.XLOOKUP($J226,Catalogo!$B$7:$B$210,Catalogo!$I$7:$I$210,"",0))</f>
        <v>CIPS</v>
      </c>
      <c r="L226" s="36">
        <f>+_xlfn.XLOOKUP(Tabla1[[#This Row],[Ducto]],$D$1:$D$163,$L$1:$L$163)</f>
        <v>1.4999999999999999E-2</v>
      </c>
      <c r="M226" s="261">
        <f>IF(Tabla1[[#This Row],[Avance_km]]&lt;&gt;"",Tabla1[[#This Row],[Avance_km]],Tabla1[[#This Row],[Avance_Med]])*_xlfn.XLOOKUP(Tabla1[[#This Row],[Codigo_actividad]],Catalogo!$B$6:$B$51,Catalogo!$F$6:$F$51,0)</f>
        <v>217.82114999999999</v>
      </c>
    </row>
    <row r="227" spans="1:13" x14ac:dyDescent="0.25">
      <c r="A227" s="354"/>
      <c r="B227" s="114"/>
      <c r="C227" s="155"/>
      <c r="D227" s="39"/>
      <c r="F227" s="28"/>
      <c r="G227" s="28"/>
      <c r="H227" s="53" t="str">
        <f>IF(Tabla1[[#This Row],[Codigo_actividad]]&lt;&gt;2.5,IF(((Tabla1[[#This Row],[fin]]-Tabla1[[#This Row],[inicio]])/1000)=0,"",((Tabla1[[#This Row],[fin]]-Tabla1[[#This Row],[inicio]])/1000)),"")</f>
        <v/>
      </c>
      <c r="I227" s="57"/>
      <c r="J227" s="76"/>
      <c r="K227" s="57" t="str">
        <f>IF(_xlfn.XLOOKUP($J227,Catalogo!$B$7:$B$210,Catalogo!$I$7:$I$210,"",0)=0,"",_xlfn.XLOOKUP($J227,Catalogo!$B$7:$B$210,Catalogo!$I$7:$I$210,"",0))</f>
        <v/>
      </c>
      <c r="L227" s="36"/>
      <c r="M227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28" spans="1:13" x14ac:dyDescent="0.25">
      <c r="A228" s="354">
        <v>46013</v>
      </c>
      <c r="B228" s="114" t="s">
        <v>12</v>
      </c>
      <c r="C228" s="155" t="s">
        <v>13</v>
      </c>
      <c r="D228" s="39" t="s">
        <v>21</v>
      </c>
      <c r="E228" s="40" t="s">
        <v>28</v>
      </c>
      <c r="F228" s="28">
        <v>0</v>
      </c>
      <c r="G228" s="28">
        <v>1055</v>
      </c>
      <c r="H228" s="53">
        <f>IF(Tabla1[[#This Row],[Codigo_actividad]]&lt;&gt;2.5,IF(((Tabla1[[#This Row],[fin]]-Tabla1[[#This Row],[inicio]])/1000)=0,"",((Tabla1[[#This Row],[fin]]-Tabla1[[#This Row],[inicio]])/1000)),"")</f>
        <v>1.0549999999999999</v>
      </c>
      <c r="I228" s="57"/>
      <c r="J228" s="76">
        <v>2.1</v>
      </c>
      <c r="K228" s="57" t="str">
        <f>IF(_xlfn.XLOOKUP($J228,Catalogo!$B$7:$B$210,Catalogo!$I$7:$I$210,"",0)=0,"",_xlfn.XLOOKUP($J228,Catalogo!$B$7:$B$210,Catalogo!$I$7:$I$210,"",0))</f>
        <v>CIPS</v>
      </c>
      <c r="L228" s="36">
        <f>+_xlfn.XLOOKUP(Tabla1[[#This Row],[Ducto]],$D$1:$D$163,$L$1:$L$163)</f>
        <v>1.0549999999999999</v>
      </c>
      <c r="M228" s="261">
        <f>IF(Tabla1[[#This Row],[Avance_km]]&lt;&gt;"",Tabla1[[#This Row],[Avance_km]],Tabla1[[#This Row],[Avance_Med]])*_xlfn.XLOOKUP(Tabla1[[#This Row],[Codigo_actividad]],Catalogo!$B$6:$B$51,Catalogo!$F$6:$F$51,0)</f>
        <v>15320.087549999998</v>
      </c>
    </row>
    <row r="229" spans="1:13" x14ac:dyDescent="0.25">
      <c r="A229" s="354">
        <v>46013</v>
      </c>
      <c r="B229" s="114" t="s">
        <v>12</v>
      </c>
      <c r="C229" s="155" t="s">
        <v>13</v>
      </c>
      <c r="D229" s="39" t="s">
        <v>37</v>
      </c>
      <c r="E229" s="40" t="s">
        <v>28</v>
      </c>
      <c r="F229" s="28">
        <v>0</v>
      </c>
      <c r="G229" s="28">
        <v>1488</v>
      </c>
      <c r="H229" s="53">
        <f>IF(Tabla1[[#This Row],[Codigo_actividad]]&lt;&gt;2.5,IF(((Tabla1[[#This Row],[fin]]-Tabla1[[#This Row],[inicio]])/1000)=0,"",((Tabla1[[#This Row],[fin]]-Tabla1[[#This Row],[inicio]])/1000)),"")</f>
        <v>1.488</v>
      </c>
      <c r="I229" s="57"/>
      <c r="J229" s="76">
        <v>2.1</v>
      </c>
      <c r="K229" s="57" t="str">
        <f>IF(_xlfn.XLOOKUP($J229,Catalogo!$B$7:$B$210,Catalogo!$I$7:$I$210,"",0)=0,"",_xlfn.XLOOKUP($J229,Catalogo!$B$7:$B$210,Catalogo!$I$7:$I$210,"",0))</f>
        <v>CIPS</v>
      </c>
      <c r="L229" s="36">
        <f>+_xlfn.XLOOKUP(Tabla1[[#This Row],[Ducto]],$D$1:$D$163,$L$1:$L$163)</f>
        <v>1.488</v>
      </c>
      <c r="M229" s="261">
        <f>IF(Tabla1[[#This Row],[Avance_km]]&lt;&gt;"",Tabla1[[#This Row],[Avance_km]],Tabla1[[#This Row],[Avance_Med]])*_xlfn.XLOOKUP(Tabla1[[#This Row],[Codigo_actividad]],Catalogo!$B$6:$B$51,Catalogo!$F$6:$F$51,0)</f>
        <v>21607.858079999998</v>
      </c>
    </row>
    <row r="230" spans="1:13" x14ac:dyDescent="0.25">
      <c r="A230" s="354">
        <v>46013</v>
      </c>
      <c r="B230" s="114" t="s">
        <v>12</v>
      </c>
      <c r="C230" s="155" t="s">
        <v>13</v>
      </c>
      <c r="D230" s="39" t="s">
        <v>71</v>
      </c>
      <c r="E230" s="40" t="s">
        <v>28</v>
      </c>
      <c r="F230" s="28">
        <v>0</v>
      </c>
      <c r="G230" s="28">
        <v>7</v>
      </c>
      <c r="H230" s="53">
        <f>IF(Tabla1[[#This Row],[Codigo_actividad]]&lt;&gt;2.5,IF(((Tabla1[[#This Row],[fin]]-Tabla1[[#This Row],[inicio]])/1000)=0,"",((Tabla1[[#This Row],[fin]]-Tabla1[[#This Row],[inicio]])/1000)),"")</f>
        <v>7.0000000000000001E-3</v>
      </c>
      <c r="I230" s="57"/>
      <c r="J230" s="76">
        <v>2.1</v>
      </c>
      <c r="K230" s="57" t="str">
        <f>IF(_xlfn.XLOOKUP($J230,Catalogo!$B$7:$B$210,Catalogo!$I$7:$I$210,"",0)=0,"",_xlfn.XLOOKUP($J230,Catalogo!$B$7:$B$210,Catalogo!$I$7:$I$210,"",0))</f>
        <v>CIPS</v>
      </c>
      <c r="L230" s="36">
        <f>+_xlfn.XLOOKUP(Tabla1[[#This Row],[Ducto]],$D$1:$D$163,$L$1:$L$163)</f>
        <v>7.0000000000000001E-3</v>
      </c>
      <c r="M230" s="261">
        <f>IF(Tabla1[[#This Row],[Avance_km]]&lt;&gt;"",Tabla1[[#This Row],[Avance_km]],Tabla1[[#This Row],[Avance_Med]])*_xlfn.XLOOKUP(Tabla1[[#This Row],[Codigo_actividad]],Catalogo!$B$6:$B$51,Catalogo!$F$6:$F$51,0)</f>
        <v>101.64987000000001</v>
      </c>
    </row>
    <row r="231" spans="1:13" x14ac:dyDescent="0.25">
      <c r="A231" s="354"/>
      <c r="B231" s="114"/>
      <c r="C231" s="155"/>
      <c r="D231" s="39"/>
      <c r="F231" s="28"/>
      <c r="G231" s="28"/>
      <c r="H231" s="53" t="str">
        <f>IF(Tabla1[[#This Row],[Codigo_actividad]]&lt;&gt;2.5,IF(((Tabla1[[#This Row],[fin]]-Tabla1[[#This Row],[inicio]])/1000)=0,"",((Tabla1[[#This Row],[fin]]-Tabla1[[#This Row],[inicio]])/1000)),"")</f>
        <v/>
      </c>
      <c r="I231" s="57"/>
      <c r="J231" s="76"/>
      <c r="K231" s="57" t="str">
        <f>IF(_xlfn.XLOOKUP($J231,Catalogo!$B$7:$B$210,Catalogo!$I$7:$I$210,"",0)=0,"",_xlfn.XLOOKUP($J231,Catalogo!$B$7:$B$210,Catalogo!$I$7:$I$210,"",0))</f>
        <v/>
      </c>
      <c r="L231" s="36"/>
      <c r="M231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32" spans="1:13" x14ac:dyDescent="0.25">
      <c r="A232" s="354">
        <v>46027</v>
      </c>
      <c r="B232" s="114" t="s">
        <v>12</v>
      </c>
      <c r="C232" s="155" t="s">
        <v>13</v>
      </c>
      <c r="D232" s="39" t="s">
        <v>61</v>
      </c>
      <c r="E232" s="40" t="s">
        <v>28</v>
      </c>
      <c r="F232" s="28">
        <v>0</v>
      </c>
      <c r="G232" s="28">
        <f>+Tabla1[[#This Row],[Length]]*1000</f>
        <v>55</v>
      </c>
      <c r="H232" s="53">
        <f>IF(Tabla1[[#This Row],[Codigo_actividad]]&lt;&gt;2.5,IF(((Tabla1[[#This Row],[fin]]-Tabla1[[#This Row],[inicio]])/1000)=0,"",((Tabla1[[#This Row],[fin]]-Tabla1[[#This Row],[inicio]])/1000)),"")</f>
        <v>5.5E-2</v>
      </c>
      <c r="I232" s="57"/>
      <c r="J232" s="76">
        <v>2.1</v>
      </c>
      <c r="K232" s="57" t="str">
        <f>IF(_xlfn.XLOOKUP($J232,Catalogo!$B$7:$B$210,Catalogo!$I$7:$I$210,"",0)=0,"",_xlfn.XLOOKUP($J232,Catalogo!$B$7:$B$210,Catalogo!$I$7:$I$210,"",0))</f>
        <v>CIPS</v>
      </c>
      <c r="L232" s="36">
        <f>+_xlfn.XLOOKUP(Tabla1[[#This Row],[Ducto]],$D$1:$D$163,$L$1:$L$163)</f>
        <v>5.5E-2</v>
      </c>
      <c r="M232" s="261">
        <f>IF(Tabla1[[#This Row],[Avance_km]]&lt;&gt;"",Tabla1[[#This Row],[Avance_km]],Tabla1[[#This Row],[Avance_Med]])*_xlfn.XLOOKUP(Tabla1[[#This Row],[Codigo_actividad]],Catalogo!$B$6:$B$51,Catalogo!$F$6:$F$51,0)</f>
        <v>798.67755</v>
      </c>
    </row>
    <row r="233" spans="1:13" x14ac:dyDescent="0.25">
      <c r="A233" s="354">
        <v>46027</v>
      </c>
      <c r="B233" s="114" t="s">
        <v>12</v>
      </c>
      <c r="C233" s="155" t="s">
        <v>13</v>
      </c>
      <c r="D233" s="39" t="s">
        <v>62</v>
      </c>
      <c r="E233" s="40" t="s">
        <v>28</v>
      </c>
      <c r="F233" s="28">
        <v>0</v>
      </c>
      <c r="G233" s="28">
        <f>+Tabla1[[#This Row],[Length]]*1000</f>
        <v>63</v>
      </c>
      <c r="H233" s="53">
        <f>IF(Tabla1[[#This Row],[Codigo_actividad]]&lt;&gt;2.5,IF(((Tabla1[[#This Row],[fin]]-Tabla1[[#This Row],[inicio]])/1000)=0,"",((Tabla1[[#This Row],[fin]]-Tabla1[[#This Row],[inicio]])/1000)),"")</f>
        <v>6.3E-2</v>
      </c>
      <c r="I233" s="57"/>
      <c r="J233" s="76">
        <v>2.1</v>
      </c>
      <c r="K233" s="57" t="str">
        <f>IF(_xlfn.XLOOKUP($J233,Catalogo!$B$7:$B$210,Catalogo!$I$7:$I$210,"",0)=0,"",_xlfn.XLOOKUP($J233,Catalogo!$B$7:$B$210,Catalogo!$I$7:$I$210,"",0))</f>
        <v>CIPS</v>
      </c>
      <c r="L233" s="36">
        <f>+_xlfn.XLOOKUP(Tabla1[[#This Row],[Ducto]],$D$1:$D$163,$L$1:$L$163)</f>
        <v>6.3E-2</v>
      </c>
      <c r="M233" s="261">
        <f>IF(Tabla1[[#This Row],[Avance_km]]&lt;&gt;"",Tabla1[[#This Row],[Avance_km]],Tabla1[[#This Row],[Avance_Med]])*_xlfn.XLOOKUP(Tabla1[[#This Row],[Codigo_actividad]],Catalogo!$B$6:$B$51,Catalogo!$F$6:$F$51,0)</f>
        <v>914.84883000000002</v>
      </c>
    </row>
    <row r="234" spans="1:13" x14ac:dyDescent="0.25">
      <c r="A234" s="354">
        <v>46027</v>
      </c>
      <c r="B234" s="114" t="s">
        <v>12</v>
      </c>
      <c r="C234" s="155" t="s">
        <v>13</v>
      </c>
      <c r="D234" s="39" t="s">
        <v>63</v>
      </c>
      <c r="E234" s="40" t="s">
        <v>28</v>
      </c>
      <c r="F234" s="28">
        <v>0</v>
      </c>
      <c r="G234" s="28">
        <f>+Tabla1[[#This Row],[Length]]*1000</f>
        <v>55</v>
      </c>
      <c r="H234" s="53">
        <f>IF(Tabla1[[#This Row],[Codigo_actividad]]&lt;&gt;2.5,IF(((Tabla1[[#This Row],[fin]]-Tabla1[[#This Row],[inicio]])/1000)=0,"",((Tabla1[[#This Row],[fin]]-Tabla1[[#This Row],[inicio]])/1000)),"")</f>
        <v>5.5E-2</v>
      </c>
      <c r="I234" s="57"/>
      <c r="J234" s="76">
        <v>2.1</v>
      </c>
      <c r="K234" s="57" t="str">
        <f>IF(_xlfn.XLOOKUP($J234,Catalogo!$B$7:$B$210,Catalogo!$I$7:$I$210,"",0)=0,"",_xlfn.XLOOKUP($J234,Catalogo!$B$7:$B$210,Catalogo!$I$7:$I$210,"",0))</f>
        <v>CIPS</v>
      </c>
      <c r="L234" s="36">
        <f>+_xlfn.XLOOKUP(Tabla1[[#This Row],[Ducto]],$D$1:$D$163,$L$1:$L$163)</f>
        <v>5.5E-2</v>
      </c>
      <c r="M234" s="261">
        <f>IF(Tabla1[[#This Row],[Avance_km]]&lt;&gt;"",Tabla1[[#This Row],[Avance_km]],Tabla1[[#This Row],[Avance_Med]])*_xlfn.XLOOKUP(Tabla1[[#This Row],[Codigo_actividad]],Catalogo!$B$6:$B$51,Catalogo!$F$6:$F$51,0)</f>
        <v>798.67755</v>
      </c>
    </row>
    <row r="235" spans="1:13" x14ac:dyDescent="0.25">
      <c r="A235" s="354">
        <v>46027</v>
      </c>
      <c r="B235" s="114" t="s">
        <v>12</v>
      </c>
      <c r="C235" s="155" t="s">
        <v>13</v>
      </c>
      <c r="D235" s="39" t="s">
        <v>46</v>
      </c>
      <c r="E235" s="40" t="s">
        <v>28</v>
      </c>
      <c r="F235" s="28">
        <v>0</v>
      </c>
      <c r="G235" s="28">
        <f>+Tabla1[[#This Row],[Length]]*1000</f>
        <v>267</v>
      </c>
      <c r="H235" s="53">
        <f>IF(Tabla1[[#This Row],[Codigo_actividad]]&lt;&gt;2.5,IF(((Tabla1[[#This Row],[fin]]-Tabla1[[#This Row],[inicio]])/1000)=0,"",((Tabla1[[#This Row],[fin]]-Tabla1[[#This Row],[inicio]])/1000)),"")</f>
        <v>0.26700000000000002</v>
      </c>
      <c r="I235" s="57"/>
      <c r="J235" s="76">
        <v>2.1</v>
      </c>
      <c r="K235" s="57" t="str">
        <f>IF(_xlfn.XLOOKUP($J235,Catalogo!$B$7:$B$210,Catalogo!$I$7:$I$210,"",0)=0,"",_xlfn.XLOOKUP($J235,Catalogo!$B$7:$B$210,Catalogo!$I$7:$I$210,"",0))</f>
        <v>CIPS</v>
      </c>
      <c r="L235" s="36">
        <f>+_xlfn.XLOOKUP(Tabla1[[#This Row],[Ducto]],$D$1:$D$163,$L$1:$L$163)</f>
        <v>0.26700000000000002</v>
      </c>
      <c r="M235" s="261">
        <f>IF(Tabla1[[#This Row],[Avance_km]]&lt;&gt;"",Tabla1[[#This Row],[Avance_km]],Tabla1[[#This Row],[Avance_Med]])*_xlfn.XLOOKUP(Tabla1[[#This Row],[Codigo_actividad]],Catalogo!$B$6:$B$51,Catalogo!$F$6:$F$51,0)</f>
        <v>3877.2164700000003</v>
      </c>
    </row>
    <row r="236" spans="1:13" x14ac:dyDescent="0.25">
      <c r="A236" s="354">
        <v>46027</v>
      </c>
      <c r="B236" s="114" t="s">
        <v>12</v>
      </c>
      <c r="C236" s="155" t="s">
        <v>13</v>
      </c>
      <c r="D236" s="39" t="s">
        <v>50</v>
      </c>
      <c r="E236" s="40" t="s">
        <v>16</v>
      </c>
      <c r="F236" s="28">
        <v>8600</v>
      </c>
      <c r="G236" s="28">
        <v>10750</v>
      </c>
      <c r="H236" s="53">
        <f>IF(Tabla1[[#This Row],[Codigo_actividad]]&lt;&gt;2.5,IF(((Tabla1[[#This Row],[fin]]-Tabla1[[#This Row],[inicio]])/1000)=0,"",((Tabla1[[#This Row],[fin]]-Tabla1[[#This Row],[inicio]])/1000)),"")</f>
        <v>2.15</v>
      </c>
      <c r="I236" s="57"/>
      <c r="J236" s="76">
        <v>2.6</v>
      </c>
      <c r="K236" s="57" t="str">
        <f>IF(_xlfn.XLOOKUP($J236,Catalogo!$B$7:$B$210,Catalogo!$I$7:$I$210,"",0)=0,"",_xlfn.XLOOKUP($J236,Catalogo!$B$7:$B$210,Catalogo!$I$7:$I$210,"",0))</f>
        <v>Localizacion</v>
      </c>
      <c r="L236" s="36">
        <f>+_xlfn.XLOOKUP(Tabla1[[#This Row],[Ducto]],$D$1:$D$163,$L$1:$L$163)</f>
        <v>12.657</v>
      </c>
      <c r="M236" s="261">
        <f>IF(Tabla1[[#This Row],[Avance_km]]&lt;&gt;"",Tabla1[[#This Row],[Avance_km]],Tabla1[[#This Row],[Avance_Med]])*_xlfn.XLOOKUP(Tabla1[[#This Row],[Codigo_actividad]],Catalogo!$B$6:$B$51,Catalogo!$F$6:$F$51,0)</f>
        <v>4853.4529999999995</v>
      </c>
    </row>
    <row r="237" spans="1:13" x14ac:dyDescent="0.25">
      <c r="A237" s="354"/>
      <c r="B237" s="114"/>
      <c r="C237" s="155"/>
      <c r="D237" s="39"/>
      <c r="F237" s="28"/>
      <c r="G237" s="28"/>
      <c r="H237" s="53" t="str">
        <f>IF(Tabla1[[#This Row],[Codigo_actividad]]&lt;&gt;2.5,IF(((Tabla1[[#This Row],[fin]]-Tabla1[[#This Row],[inicio]])/1000)=0,"",((Tabla1[[#This Row],[fin]]-Tabla1[[#This Row],[inicio]])/1000)),"")</f>
        <v/>
      </c>
      <c r="I237" s="57"/>
      <c r="J237" s="76"/>
      <c r="K237" s="57"/>
      <c r="L237" s="36"/>
      <c r="M237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38" spans="1:13" x14ac:dyDescent="0.25">
      <c r="A238" s="354">
        <v>46028</v>
      </c>
      <c r="B238" s="114" t="s">
        <v>12</v>
      </c>
      <c r="C238" s="155" t="s">
        <v>22</v>
      </c>
      <c r="D238" s="39" t="s">
        <v>23</v>
      </c>
      <c r="E238" s="40" t="s">
        <v>28</v>
      </c>
      <c r="F238" s="28">
        <v>0</v>
      </c>
      <c r="G238" s="28">
        <v>2200</v>
      </c>
      <c r="H238" s="53">
        <f>IF(Tabla1[[#This Row],[Codigo_actividad]]&lt;&gt;2.5,IF(((Tabla1[[#This Row],[fin]]-Tabla1[[#This Row],[inicio]])/1000)=0,"",((Tabla1[[#This Row],[fin]]-Tabla1[[#This Row],[inicio]])/1000)),"")</f>
        <v>2.2000000000000002</v>
      </c>
      <c r="I238" s="57"/>
      <c r="J238" s="76">
        <v>2.1</v>
      </c>
      <c r="K238" s="57" t="str">
        <f>IF(_xlfn.XLOOKUP($J238,Catalogo!$B$7:$B$210,Catalogo!$I$7:$I$210,"",0)=0,"",_xlfn.XLOOKUP($J238,Catalogo!$B$7:$B$210,Catalogo!$I$7:$I$210,"",0))</f>
        <v>CIPS</v>
      </c>
      <c r="L238" s="36">
        <f>+_xlfn.XLOOKUP(Tabla1[[#This Row],[Ducto]],$D$1:$D$163,$L$1:$L$163)</f>
        <v>2.2000000000000002</v>
      </c>
      <c r="M238" s="261">
        <f>IF(Tabla1[[#This Row],[Avance_km]]&lt;&gt;"",Tabla1[[#This Row],[Avance_km]],Tabla1[[#This Row],[Avance_Med]])*_xlfn.XLOOKUP(Tabla1[[#This Row],[Codigo_actividad]],Catalogo!$B$6:$B$51,Catalogo!$F$6:$F$51,0)</f>
        <v>31947.102000000003</v>
      </c>
    </row>
    <row r="239" spans="1:13" x14ac:dyDescent="0.25">
      <c r="A239" s="354">
        <v>46028</v>
      </c>
      <c r="B239" s="114" t="s">
        <v>12</v>
      </c>
      <c r="C239" s="155" t="s">
        <v>22</v>
      </c>
      <c r="D239" s="39" t="s">
        <v>24</v>
      </c>
      <c r="E239" s="40" t="s">
        <v>28</v>
      </c>
      <c r="F239" s="28">
        <v>0</v>
      </c>
      <c r="G239" s="28">
        <v>2576</v>
      </c>
      <c r="H239" s="53">
        <f>IF(Tabla1[[#This Row],[Codigo_actividad]]&lt;&gt;2.5,IF(((Tabla1[[#This Row],[fin]]-Tabla1[[#This Row],[inicio]])/1000)=0,"",((Tabla1[[#This Row],[fin]]-Tabla1[[#This Row],[inicio]])/1000)),"")</f>
        <v>2.5760000000000001</v>
      </c>
      <c r="I239" s="57"/>
      <c r="J239" s="76">
        <v>2.1</v>
      </c>
      <c r="K239" s="57" t="str">
        <f>IF(_xlfn.XLOOKUP($J239,Catalogo!$B$7:$B$210,Catalogo!$I$7:$I$210,"",0)=0,"",_xlfn.XLOOKUP($J239,Catalogo!$B$7:$B$210,Catalogo!$I$7:$I$210,"",0))</f>
        <v>CIPS</v>
      </c>
      <c r="L239" s="36">
        <f>+_xlfn.XLOOKUP(Tabla1[[#This Row],[Ducto]],$D$1:$D$163,$L$1:$L$163)</f>
        <v>2.5760000000000001</v>
      </c>
      <c r="M239" s="261">
        <f>IF(Tabla1[[#This Row],[Avance_km]]&lt;&gt;"",Tabla1[[#This Row],[Avance_km]],Tabla1[[#This Row],[Avance_Med]])*_xlfn.XLOOKUP(Tabla1[[#This Row],[Codigo_actividad]],Catalogo!$B$6:$B$51,Catalogo!$F$6:$F$51,0)</f>
        <v>37407.152159999998</v>
      </c>
    </row>
    <row r="240" spans="1:13" x14ac:dyDescent="0.25">
      <c r="A240" s="354">
        <v>46028</v>
      </c>
      <c r="B240" s="114" t="s">
        <v>12</v>
      </c>
      <c r="C240" s="155" t="s">
        <v>13</v>
      </c>
      <c r="D240" s="39" t="s">
        <v>50</v>
      </c>
      <c r="E240" s="40" t="s">
        <v>16</v>
      </c>
      <c r="F240" s="28">
        <v>10750</v>
      </c>
      <c r="G240" s="28">
        <v>12657</v>
      </c>
      <c r="H240" s="53">
        <f>IF(Tabla1[[#This Row],[Codigo_actividad]]&lt;&gt;2.5,IF(((Tabla1[[#This Row],[fin]]-Tabla1[[#This Row],[inicio]])/1000)=0,"",((Tabla1[[#This Row],[fin]]-Tabla1[[#This Row],[inicio]])/1000)),"")</f>
        <v>1.907</v>
      </c>
      <c r="I240" s="57"/>
      <c r="J240" s="76">
        <v>2.6</v>
      </c>
      <c r="K240" s="57" t="str">
        <f>IF(_xlfn.XLOOKUP($J240,Catalogo!$B$7:$B$210,Catalogo!$I$7:$I$210,"",0)=0,"",_xlfn.XLOOKUP($J240,Catalogo!$B$7:$B$210,Catalogo!$I$7:$I$210,"",0))</f>
        <v>Localizacion</v>
      </c>
      <c r="L240" s="36">
        <f>+_xlfn.XLOOKUP(Tabla1[[#This Row],[Ducto]],$D$1:$D$163,$L$1:$L$163)</f>
        <v>12.657</v>
      </c>
      <c r="M240" s="261">
        <f>IF(Tabla1[[#This Row],[Avance_km]]&lt;&gt;"",Tabla1[[#This Row],[Avance_km]],Tabla1[[#This Row],[Avance_Med]])*_xlfn.XLOOKUP(Tabla1[[#This Row],[Codigo_actividad]],Catalogo!$B$6:$B$51,Catalogo!$F$6:$F$51,0)</f>
        <v>4304.8999400000002</v>
      </c>
    </row>
    <row r="241" spans="1:13" x14ac:dyDescent="0.25">
      <c r="A241" s="354">
        <v>46028</v>
      </c>
      <c r="B241" s="114" t="s">
        <v>12</v>
      </c>
      <c r="C241" s="155" t="s">
        <v>13</v>
      </c>
      <c r="D241" s="39" t="s">
        <v>66</v>
      </c>
      <c r="E241" s="40" t="s">
        <v>16</v>
      </c>
      <c r="F241" s="28">
        <v>0</v>
      </c>
      <c r="G241" s="28">
        <v>2277</v>
      </c>
      <c r="H241" s="53">
        <f>IF(Tabla1[[#This Row],[Codigo_actividad]]&lt;&gt;2.5,IF(((Tabla1[[#This Row],[fin]]-Tabla1[[#This Row],[inicio]])/1000)=0,"",((Tabla1[[#This Row],[fin]]-Tabla1[[#This Row],[inicio]])/1000)),"")</f>
        <v>2.2770000000000001</v>
      </c>
      <c r="I241" s="57"/>
      <c r="J241" s="76">
        <v>2.6</v>
      </c>
      <c r="K241" s="57" t="str">
        <f>IF(_xlfn.XLOOKUP($J241,Catalogo!$B$7:$B$210,Catalogo!$I$7:$I$210,"",0)=0,"",_xlfn.XLOOKUP($J241,Catalogo!$B$7:$B$210,Catalogo!$I$7:$I$210,"",0))</f>
        <v>Localizacion</v>
      </c>
      <c r="L241" s="36">
        <f>+_xlfn.XLOOKUP(Tabla1[[#This Row],[Ducto]],$D$1:$D$163,$L$1:$L$163)</f>
        <v>2.2770000000000001</v>
      </c>
      <c r="M241" s="261">
        <f>IF(Tabla1[[#This Row],[Avance_km]]&lt;&gt;"",Tabla1[[#This Row],[Avance_km]],Tabla1[[#This Row],[Avance_Med]])*_xlfn.XLOOKUP(Tabla1[[#This Row],[Codigo_actividad]],Catalogo!$B$6:$B$51,Catalogo!$F$6:$F$51,0)</f>
        <v>5140.14534</v>
      </c>
    </row>
    <row r="242" spans="1:13" x14ac:dyDescent="0.25">
      <c r="A242" s="354"/>
      <c r="C242" s="155"/>
      <c r="D242" s="39"/>
      <c r="F242" s="28"/>
      <c r="G242" s="28"/>
      <c r="H242" s="54" t="str">
        <f>IF(Tabla1[[#This Row],[Codigo_actividad]]&lt;&gt;2.5,IF(((Tabla1[[#This Row],[fin]]-Tabla1[[#This Row],[inicio]])/1000)=0,"",((Tabla1[[#This Row],[fin]]-Tabla1[[#This Row],[inicio]])/1000)),"")</f>
        <v/>
      </c>
      <c r="I242" s="57"/>
      <c r="J242" s="76"/>
      <c r="K242" s="55" t="str">
        <f>IF(_xlfn.XLOOKUP($J242,Catalogo!$B$7:$B$210,Catalogo!$I$7:$I$210,"",0)=0,"",_xlfn.XLOOKUP($J242,Catalogo!$B$7:$B$210,Catalogo!$I$7:$I$210,"",0))</f>
        <v/>
      </c>
      <c r="L242" s="36"/>
      <c r="M242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43" spans="1:13" x14ac:dyDescent="0.25">
      <c r="A243" s="354">
        <v>46029</v>
      </c>
      <c r="B243" s="114" t="s">
        <v>12</v>
      </c>
      <c r="C243" s="155" t="s">
        <v>13</v>
      </c>
      <c r="D243" s="39" t="s">
        <v>50</v>
      </c>
      <c r="E243" s="40" t="s">
        <v>36</v>
      </c>
      <c r="F243" s="28">
        <v>0</v>
      </c>
      <c r="G243" s="28">
        <v>5500</v>
      </c>
      <c r="H243" s="53">
        <f>IF(Tabla1[[#This Row],[Codigo_actividad]]&lt;&gt;2.5,IF(((Tabla1[[#This Row],[fin]]-Tabla1[[#This Row],[inicio]])/1000)=0,"",((Tabla1[[#This Row],[fin]]-Tabla1[[#This Row],[inicio]])/1000)),"")</f>
        <v>5.5</v>
      </c>
      <c r="J243" s="76">
        <v>2.2999999999999998</v>
      </c>
      <c r="K243" s="57" t="str">
        <f>IF(_xlfn.XLOOKUP($J243,Catalogo!$B$7:$B$210,Catalogo!$I$7:$I$210,"",0)=0,"",_xlfn.XLOOKUP($J243,Catalogo!$B$7:$B$210,Catalogo!$I$7:$I$210,"",0))</f>
        <v>DCVG</v>
      </c>
      <c r="L243" s="36">
        <f>+_xlfn.XLOOKUP(Tabla1[[#This Row],[Ducto]],$D$1:$D$163,$L$1:$L$163)</f>
        <v>12.657</v>
      </c>
      <c r="M243" s="261">
        <f>IF(Tabla1[[#This Row],[Avance_km]]&lt;&gt;"",Tabla1[[#This Row],[Avance_km]],Tabla1[[#This Row],[Avance_Med]])*_xlfn.XLOOKUP(Tabla1[[#This Row],[Codigo_actividad]],Catalogo!$B$6:$B$51,Catalogo!$F$6:$F$51,0)</f>
        <v>74555.964999999997</v>
      </c>
    </row>
    <row r="244" spans="1:13" x14ac:dyDescent="0.25">
      <c r="A244" s="354">
        <v>46029</v>
      </c>
      <c r="B244" s="114" t="s">
        <v>29</v>
      </c>
      <c r="C244" s="155" t="s">
        <v>13</v>
      </c>
      <c r="D244" s="39" t="s">
        <v>50</v>
      </c>
      <c r="E244" s="40" t="s">
        <v>36</v>
      </c>
      <c r="F244" s="28">
        <v>5500</v>
      </c>
      <c r="G244" s="28">
        <v>9600</v>
      </c>
      <c r="H244" s="53">
        <f>IF(Tabla1[[#This Row],[Codigo_actividad]]&lt;&gt;2.5,IF(((Tabla1[[#This Row],[fin]]-Tabla1[[#This Row],[inicio]])/1000)=0,"",((Tabla1[[#This Row],[fin]]-Tabla1[[#This Row],[inicio]])/1000)),"")</f>
        <v>4.0999999999999996</v>
      </c>
      <c r="J244" s="76">
        <v>2.2999999999999998</v>
      </c>
      <c r="K244" s="57" t="str">
        <f>IF(_xlfn.XLOOKUP($J244,Catalogo!$B$7:$B$210,Catalogo!$I$7:$I$210,"",0)=0,"",_xlfn.XLOOKUP($J244,Catalogo!$B$7:$B$210,Catalogo!$I$7:$I$210,"",0))</f>
        <v>DCVG</v>
      </c>
      <c r="L244" s="36">
        <f>+_xlfn.XLOOKUP(Tabla1[[#This Row],[Ducto]],$D$1:$D$163,$L$1:$L$163)</f>
        <v>12.657</v>
      </c>
      <c r="M244" s="261">
        <f>IF(Tabla1[[#This Row],[Avance_km]]&lt;&gt;"",Tabla1[[#This Row],[Avance_km]],Tabla1[[#This Row],[Avance_Med]])*_xlfn.XLOOKUP(Tabla1[[#This Row],[Codigo_actividad]],Catalogo!$B$6:$B$51,Catalogo!$F$6:$F$51,0)</f>
        <v>55578.082999999991</v>
      </c>
    </row>
    <row r="245" spans="1:13" x14ac:dyDescent="0.25">
      <c r="A245" s="354">
        <v>46029</v>
      </c>
      <c r="B245" s="114" t="s">
        <v>30</v>
      </c>
      <c r="C245" s="155" t="s">
        <v>265</v>
      </c>
      <c r="D245" s="39" t="s">
        <v>265</v>
      </c>
      <c r="E245" s="40" t="s">
        <v>31</v>
      </c>
      <c r="F245" s="28">
        <v>0</v>
      </c>
      <c r="G245" s="173">
        <v>8</v>
      </c>
      <c r="H245" s="53" t="str">
        <f>IF(Tabla1[[#This Row],[Codigo_actividad]]&lt;&gt;2.5,IF(((Tabla1[[#This Row],[fin]]-Tabla1[[#This Row],[inicio]])/1000)=0,"",((Tabla1[[#This Row],[fin]]-Tabla1[[#This Row],[inicio]])/1000)),"")</f>
        <v/>
      </c>
      <c r="I245" s="66">
        <v>1</v>
      </c>
      <c r="J245" s="76">
        <v>2.5</v>
      </c>
      <c r="K245" s="55" t="str">
        <f>IF(_xlfn.XLOOKUP($J245,Catalogo!$B$7:$B$210,Catalogo!$I$7:$I$210,"",0)=0,"",_xlfn.XLOOKUP($J245,Catalogo!$B$7:$B$210,Catalogo!$I$7:$I$210,"",0))</f>
        <v>Resistividades pH BSR BPA</v>
      </c>
      <c r="L245" s="161">
        <v>8.0000000000000002E-3</v>
      </c>
      <c r="M245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246" spans="1:13" x14ac:dyDescent="0.25">
      <c r="A246" s="354">
        <v>46029</v>
      </c>
      <c r="B246" s="114" t="s">
        <v>30</v>
      </c>
      <c r="C246" s="155" t="s">
        <v>265</v>
      </c>
      <c r="D246" s="39" t="s">
        <v>333</v>
      </c>
      <c r="E246" s="40" t="s">
        <v>31</v>
      </c>
      <c r="F246" s="28">
        <v>0</v>
      </c>
      <c r="G246" s="28">
        <v>366</v>
      </c>
      <c r="H246" s="54" t="str">
        <f>IF(Tabla1[[#This Row],[Codigo_actividad]]&lt;&gt;2.5,IF(((Tabla1[[#This Row],[fin]]-Tabla1[[#This Row],[inicio]])/1000)=0,"",((Tabla1[[#This Row],[fin]]-Tabla1[[#This Row],[inicio]])/1000)),"")</f>
        <v/>
      </c>
      <c r="I246" s="66">
        <v>1</v>
      </c>
      <c r="J246" s="76">
        <v>2.5</v>
      </c>
      <c r="K246" s="55" t="str">
        <f>IF(_xlfn.XLOOKUP($J246,Catalogo!$B$7:$B$210,Catalogo!$I$7:$I$210,"",0)=0,"",_xlfn.XLOOKUP($J246,Catalogo!$B$7:$B$210,Catalogo!$I$7:$I$210,"",0))</f>
        <v>Resistividades pH BSR BPA</v>
      </c>
      <c r="L246" s="36">
        <v>0.36599999999999999</v>
      </c>
      <c r="M246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247" spans="1:13" x14ac:dyDescent="0.25">
      <c r="A247" s="354">
        <v>46029</v>
      </c>
      <c r="B247" s="114" t="s">
        <v>30</v>
      </c>
      <c r="C247" s="155" t="s">
        <v>265</v>
      </c>
      <c r="D247" s="39" t="s">
        <v>334</v>
      </c>
      <c r="E247" s="40" t="s">
        <v>31</v>
      </c>
      <c r="F247" s="28">
        <v>0</v>
      </c>
      <c r="G247" s="28">
        <v>1175</v>
      </c>
      <c r="H247" s="54" t="str">
        <f>IF(Tabla1[[#This Row],[Codigo_actividad]]&lt;&gt;2.5,IF(((Tabla1[[#This Row],[fin]]-Tabla1[[#This Row],[inicio]])/1000)=0,"",((Tabla1[[#This Row],[fin]]-Tabla1[[#This Row],[inicio]])/1000)),"")</f>
        <v/>
      </c>
      <c r="I247" s="66">
        <v>3</v>
      </c>
      <c r="J247" s="76">
        <v>2.5</v>
      </c>
      <c r="K247" s="55" t="str">
        <f>IF(_xlfn.XLOOKUP($J247,Catalogo!$B$7:$B$210,Catalogo!$I$7:$I$210,"",0)=0,"",_xlfn.XLOOKUP($J247,Catalogo!$B$7:$B$210,Catalogo!$I$7:$I$210,"",0))</f>
        <v>Resistividades pH BSR BPA</v>
      </c>
      <c r="L247" s="36">
        <v>1.175</v>
      </c>
      <c r="M247" s="261">
        <f>IF(Tabla1[[#This Row],[Avance_km]]&lt;&gt;"",Tabla1[[#This Row],[Avance_km]],Tabla1[[#This Row],[Avance_Med]])*_xlfn.XLOOKUP(Tabla1[[#This Row],[Codigo_actividad]],Catalogo!$B$6:$B$51,Catalogo!$F$6:$F$51,0)</f>
        <v>13974</v>
      </c>
    </row>
    <row r="248" spans="1:13" x14ac:dyDescent="0.25">
      <c r="A248" s="354"/>
      <c r="C248" s="155"/>
      <c r="D248" s="39"/>
      <c r="F248" s="28"/>
      <c r="G248" s="28"/>
      <c r="H248" s="54" t="str">
        <f>IF(Tabla1[[#This Row],[Codigo_actividad]]&lt;&gt;2.5,IF(((Tabla1[[#This Row],[fin]]-Tabla1[[#This Row],[inicio]])/1000)=0,"",((Tabla1[[#This Row],[fin]]-Tabla1[[#This Row],[inicio]])/1000)),"")</f>
        <v/>
      </c>
      <c r="I248" s="66"/>
      <c r="K248" s="55" t="str">
        <f>IF(_xlfn.XLOOKUP($J248,Catalogo!$B$7:$B$210,Catalogo!$I$7:$I$210,"",0)=0,"",_xlfn.XLOOKUP($J248,Catalogo!$B$7:$B$210,Catalogo!$I$7:$I$210,"",0))</f>
        <v/>
      </c>
      <c r="L248" s="36"/>
      <c r="M248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49" spans="1:13" x14ac:dyDescent="0.25">
      <c r="A249" s="354">
        <v>46030</v>
      </c>
      <c r="B249" s="114" t="s">
        <v>12</v>
      </c>
      <c r="C249" s="155" t="s">
        <v>13</v>
      </c>
      <c r="D249" s="39" t="s">
        <v>50</v>
      </c>
      <c r="E249" s="40" t="s">
        <v>36</v>
      </c>
      <c r="F249" s="28">
        <v>9600</v>
      </c>
      <c r="G249" s="28">
        <v>12657</v>
      </c>
      <c r="H249" s="53">
        <f>IF(Tabla1[[#This Row],[Codigo_actividad]]&lt;&gt;2.5,IF(((Tabla1[[#This Row],[fin]]-Tabla1[[#This Row],[inicio]])/1000)=0,"",((Tabla1[[#This Row],[fin]]-Tabla1[[#This Row],[inicio]])/1000)),"")</f>
        <v>3.0569999999999999</v>
      </c>
      <c r="I249" s="66"/>
      <c r="J249" s="76">
        <v>2.2999999999999998</v>
      </c>
      <c r="K249" s="57" t="str">
        <f>IF(_xlfn.XLOOKUP($J249,Catalogo!$B$7:$B$210,Catalogo!$I$7:$I$210,"",0)=0,"",_xlfn.XLOOKUP($J249,Catalogo!$B$7:$B$210,Catalogo!$I$7:$I$210,"",0))</f>
        <v>DCVG</v>
      </c>
      <c r="L249" s="36">
        <f>+_xlfn.XLOOKUP(Tabla1[[#This Row],[Ducto]],$D$1:$D$163,$L$1:$L$163)</f>
        <v>12.657</v>
      </c>
      <c r="M249" s="261">
        <f>IF(Tabla1[[#This Row],[Avance_km]]&lt;&gt;"",Tabla1[[#This Row],[Avance_km]],Tabla1[[#This Row],[Avance_Med]])*_xlfn.XLOOKUP(Tabla1[[#This Row],[Codigo_actividad]],Catalogo!$B$6:$B$51,Catalogo!$F$6:$F$51,0)</f>
        <v>41439.56091</v>
      </c>
    </row>
    <row r="250" spans="1:13" x14ac:dyDescent="0.25">
      <c r="A250" s="354">
        <v>46030</v>
      </c>
      <c r="B250" s="114" t="s">
        <v>29</v>
      </c>
      <c r="C250" s="155" t="s">
        <v>13</v>
      </c>
      <c r="D250" s="39" t="s">
        <v>66</v>
      </c>
      <c r="E250" s="40" t="s">
        <v>36</v>
      </c>
      <c r="F250" s="28">
        <v>0</v>
      </c>
      <c r="G250" s="28">
        <v>2277</v>
      </c>
      <c r="H250" s="53">
        <f>IF(Tabla1[[#This Row],[Codigo_actividad]]&lt;&gt;2.5,IF(((Tabla1[[#This Row],[fin]]-Tabla1[[#This Row],[inicio]])/1000)=0,"",((Tabla1[[#This Row],[fin]]-Tabla1[[#This Row],[inicio]])/1000)),"")</f>
        <v>2.2770000000000001</v>
      </c>
      <c r="I250" s="66"/>
      <c r="J250" s="76">
        <v>2.2999999999999998</v>
      </c>
      <c r="K250" s="57" t="str">
        <f>IF(_xlfn.XLOOKUP($J250,Catalogo!$B$7:$B$210,Catalogo!$I$7:$I$210,"",0)=0,"",_xlfn.XLOOKUP($J250,Catalogo!$B$7:$B$210,Catalogo!$I$7:$I$210,"",0))</f>
        <v>DCVG</v>
      </c>
      <c r="L250" s="36">
        <f>+_xlfn.XLOOKUP(Tabla1[[#This Row],[Ducto]],$D$1:$D$163,$L$1:$L$163)</f>
        <v>2.2770000000000001</v>
      </c>
      <c r="M250" s="261">
        <f>IF(Tabla1[[#This Row],[Avance_km]]&lt;&gt;"",Tabla1[[#This Row],[Avance_km]],Tabla1[[#This Row],[Avance_Med]])*_xlfn.XLOOKUP(Tabla1[[#This Row],[Codigo_actividad]],Catalogo!$B$6:$B$51,Catalogo!$F$6:$F$51,0)</f>
        <v>30866.16951</v>
      </c>
    </row>
    <row r="251" spans="1:13" x14ac:dyDescent="0.25">
      <c r="A251" s="354">
        <v>46030</v>
      </c>
      <c r="B251" s="114" t="s">
        <v>30</v>
      </c>
      <c r="C251" s="155" t="s">
        <v>335</v>
      </c>
      <c r="D251" s="39" t="s">
        <v>266</v>
      </c>
      <c r="E251" s="40" t="s">
        <v>31</v>
      </c>
      <c r="F251" s="28">
        <v>0</v>
      </c>
      <c r="G251" s="28">
        <v>3500</v>
      </c>
      <c r="H251" s="53" t="str">
        <f>IF(Tabla1[[#This Row],[Codigo_actividad]]&lt;&gt;2.5,IF(((Tabla1[[#This Row],[fin]]-Tabla1[[#This Row],[inicio]])/1000)=0,"",((Tabla1[[#This Row],[fin]]-Tabla1[[#This Row],[inicio]])/1000)),"")</f>
        <v/>
      </c>
      <c r="I251" s="66">
        <v>8</v>
      </c>
      <c r="J251" s="76">
        <v>2.5</v>
      </c>
      <c r="K251" s="57" t="str">
        <f>IF(_xlfn.XLOOKUP($J251,Catalogo!$B$7:$B$210,Catalogo!$I$7:$I$210,"",0)=0,"",_xlfn.XLOOKUP($J251,Catalogo!$B$7:$B$210,Catalogo!$I$7:$I$210,"",0))</f>
        <v>Resistividades pH BSR BPA</v>
      </c>
      <c r="L251" s="36">
        <v>3.5</v>
      </c>
      <c r="M251" s="261">
        <f>IF(Tabla1[[#This Row],[Avance_km]]&lt;&gt;"",Tabla1[[#This Row],[Avance_km]],Tabla1[[#This Row],[Avance_Med]])*_xlfn.XLOOKUP(Tabla1[[#This Row],[Codigo_actividad]],Catalogo!$B$6:$B$51,Catalogo!$F$6:$F$51,0)</f>
        <v>37264</v>
      </c>
    </row>
    <row r="252" spans="1:13" x14ac:dyDescent="0.25">
      <c r="A252" s="354">
        <v>46030</v>
      </c>
      <c r="B252" s="114" t="s">
        <v>30</v>
      </c>
      <c r="C252" s="155" t="s">
        <v>335</v>
      </c>
      <c r="D252" s="39" t="s">
        <v>336</v>
      </c>
      <c r="E252" s="40" t="s">
        <v>31</v>
      </c>
      <c r="F252" s="28">
        <v>0</v>
      </c>
      <c r="G252" s="173">
        <v>24</v>
      </c>
      <c r="H252" s="53" t="str">
        <f>IF(Tabla1[[#This Row],[Codigo_actividad]]&lt;&gt;2.5,IF(((Tabla1[[#This Row],[fin]]-Tabla1[[#This Row],[inicio]])/1000)=0,"",((Tabla1[[#This Row],[fin]]-Tabla1[[#This Row],[inicio]])/1000)),"")</f>
        <v/>
      </c>
      <c r="I252" s="66">
        <v>1</v>
      </c>
      <c r="J252" s="76">
        <v>2.5</v>
      </c>
      <c r="K252" s="57" t="str">
        <f>IF(_xlfn.XLOOKUP($J252,Catalogo!$B$7:$B$210,Catalogo!$I$7:$I$210,"",0)=0,"",_xlfn.XLOOKUP($J252,Catalogo!$B$7:$B$210,Catalogo!$I$7:$I$210,"",0))</f>
        <v>Resistividades pH BSR BPA</v>
      </c>
      <c r="L252" s="161">
        <v>2.4E-2</v>
      </c>
      <c r="M252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253" spans="1:13" x14ac:dyDescent="0.25">
      <c r="A253" s="354"/>
      <c r="C253" s="155"/>
      <c r="D253" s="39"/>
      <c r="F253" s="28"/>
      <c r="G253" s="28"/>
      <c r="H253" s="54" t="str">
        <f>IF(Tabla1[[#This Row],[Codigo_actividad]]&lt;&gt;2.5,IF(((Tabla1[[#This Row],[fin]]-Tabla1[[#This Row],[inicio]])/1000)=0,"",((Tabla1[[#This Row],[fin]]-Tabla1[[#This Row],[inicio]])/1000)),"")</f>
        <v/>
      </c>
      <c r="K253" s="55" t="str">
        <f>IF(_xlfn.XLOOKUP($J253,Catalogo!$B$7:$B$210,Catalogo!$I$7:$I$210,"",0)=0,"",_xlfn.XLOOKUP($J253,Catalogo!$B$7:$B$210,Catalogo!$I$7:$I$210,"",0))</f>
        <v/>
      </c>
      <c r="L253" s="36"/>
      <c r="M253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54" spans="1:13" x14ac:dyDescent="0.25">
      <c r="A254" s="354">
        <v>46031</v>
      </c>
      <c r="B254" s="114" t="s">
        <v>12</v>
      </c>
      <c r="C254" s="155" t="s">
        <v>13</v>
      </c>
      <c r="D254" s="39" t="s">
        <v>70</v>
      </c>
      <c r="E254" s="40" t="s">
        <v>28</v>
      </c>
      <c r="F254" s="28">
        <v>0</v>
      </c>
      <c r="G254" s="28">
        <v>287</v>
      </c>
      <c r="H254" s="53">
        <f>IF(Tabla1[[#This Row],[Codigo_actividad]]&lt;&gt;2.5,IF(((Tabla1[[#This Row],[fin]]-Tabla1[[#This Row],[inicio]])/1000)=0,"",((Tabla1[[#This Row],[fin]]-Tabla1[[#This Row],[inicio]])/1000)),"")</f>
        <v>0.28699999999999998</v>
      </c>
      <c r="I254" s="66"/>
      <c r="J254" s="76">
        <v>2.1</v>
      </c>
      <c r="K254" s="57" t="str">
        <f>IF(_xlfn.XLOOKUP($J254,Catalogo!$B$7:$B$210,Catalogo!$I$7:$I$210,"",0)=0,"",_xlfn.XLOOKUP($J254,Catalogo!$B$7:$B$210,Catalogo!$I$7:$I$210,"",0))</f>
        <v>CIPS</v>
      </c>
      <c r="L254" s="36">
        <v>0.28699999999999998</v>
      </c>
      <c r="M254" s="261">
        <f>IF(Tabla1[[#This Row],[Avance_km]]&lt;&gt;"",Tabla1[[#This Row],[Avance_km]],Tabla1[[#This Row],[Avance_Med]])*_xlfn.XLOOKUP(Tabla1[[#This Row],[Codigo_actividad]],Catalogo!$B$6:$B$51,Catalogo!$F$6:$F$51,0)</f>
        <v>4167.6446699999997</v>
      </c>
    </row>
    <row r="255" spans="1:13" x14ac:dyDescent="0.25">
      <c r="A255" s="354">
        <v>46031</v>
      </c>
      <c r="B255" s="114" t="s">
        <v>12</v>
      </c>
      <c r="C255" s="155" t="s">
        <v>22</v>
      </c>
      <c r="D255" s="39" t="s">
        <v>32</v>
      </c>
      <c r="E255" s="40" t="s">
        <v>28</v>
      </c>
      <c r="F255" s="28">
        <v>0</v>
      </c>
      <c r="G255" s="28">
        <v>479</v>
      </c>
      <c r="H255" s="53">
        <f>IF(Tabla1[[#This Row],[Codigo_actividad]]&lt;&gt;2.5,IF(((Tabla1[[#This Row],[fin]]-Tabla1[[#This Row],[inicio]])/1000)=0,"",((Tabla1[[#This Row],[fin]]-Tabla1[[#This Row],[inicio]])/1000)),"")</f>
        <v>0.47899999999999998</v>
      </c>
      <c r="I255" s="66"/>
      <c r="J255" s="76">
        <v>2.1</v>
      </c>
      <c r="K255" s="57" t="str">
        <f>IF(_xlfn.XLOOKUP($J255,Catalogo!$B$7:$B$210,Catalogo!$I$7:$I$210,"",0)=0,"",_xlfn.XLOOKUP($J255,Catalogo!$B$7:$B$210,Catalogo!$I$7:$I$210,"",0))</f>
        <v>CIPS</v>
      </c>
      <c r="L255" s="36">
        <f>+_xlfn.XLOOKUP(Tabla1[[#This Row],[Ducto]],$D$1:$D$163,$L$1:$L$163)</f>
        <v>0.47899999999999998</v>
      </c>
      <c r="M255" s="261">
        <f>IF(Tabla1[[#This Row],[Avance_km]]&lt;&gt;"",Tabla1[[#This Row],[Avance_km]],Tabla1[[#This Row],[Avance_Med]])*_xlfn.XLOOKUP(Tabla1[[#This Row],[Codigo_actividad]],Catalogo!$B$6:$B$51,Catalogo!$F$6:$F$51,0)</f>
        <v>6955.7553899999994</v>
      </c>
    </row>
    <row r="256" spans="1:13" x14ac:dyDescent="0.25">
      <c r="A256" s="354">
        <v>46031</v>
      </c>
      <c r="B256" s="114" t="s">
        <v>12</v>
      </c>
      <c r="C256" s="155" t="s">
        <v>22</v>
      </c>
      <c r="D256" s="39" t="s">
        <v>35</v>
      </c>
      <c r="E256" s="40" t="s">
        <v>28</v>
      </c>
      <c r="F256" s="28">
        <v>0</v>
      </c>
      <c r="G256" s="28">
        <v>1195</v>
      </c>
      <c r="H256" s="53">
        <f>IF(Tabla1[[#This Row],[Codigo_actividad]]&lt;&gt;2.5,IF(((Tabla1[[#This Row],[fin]]-Tabla1[[#This Row],[inicio]])/1000)=0,"",((Tabla1[[#This Row],[fin]]-Tabla1[[#This Row],[inicio]])/1000)),"")</f>
        <v>1.1950000000000001</v>
      </c>
      <c r="I256" s="66"/>
      <c r="J256" s="76">
        <v>2.1</v>
      </c>
      <c r="K256" s="57" t="str">
        <f>IF(_xlfn.XLOOKUP($J256,Catalogo!$B$7:$B$210,Catalogo!$I$7:$I$210,"",0)=0,"",_xlfn.XLOOKUP($J256,Catalogo!$B$7:$B$210,Catalogo!$I$7:$I$210,"",0))</f>
        <v>CIPS</v>
      </c>
      <c r="L256" s="36">
        <f>+_xlfn.XLOOKUP(Tabla1[[#This Row],[Ducto]],$D$1:$D$163,$L$1:$L$163)</f>
        <v>1.1950000000000001</v>
      </c>
      <c r="M256" s="261">
        <f>IF(Tabla1[[#This Row],[Avance_km]]&lt;&gt;"",Tabla1[[#This Row],[Avance_km]],Tabla1[[#This Row],[Avance_Med]])*_xlfn.XLOOKUP(Tabla1[[#This Row],[Codigo_actividad]],Catalogo!$B$6:$B$51,Catalogo!$F$6:$F$51,0)</f>
        <v>17353.08495</v>
      </c>
    </row>
    <row r="257" spans="1:13" x14ac:dyDescent="0.25">
      <c r="A257" s="354">
        <v>46031</v>
      </c>
      <c r="B257" s="114" t="s">
        <v>29</v>
      </c>
      <c r="C257" s="155" t="s">
        <v>13</v>
      </c>
      <c r="D257" s="39" t="s">
        <v>70</v>
      </c>
      <c r="E257" s="40" t="s">
        <v>16</v>
      </c>
      <c r="F257" s="28">
        <v>0</v>
      </c>
      <c r="G257" s="28">
        <v>287</v>
      </c>
      <c r="H257" s="53">
        <f>IF(Tabla1[[#This Row],[Codigo_actividad]]&lt;&gt;2.5,IF(((Tabla1[[#This Row],[fin]]-Tabla1[[#This Row],[inicio]])/1000)=0,"",((Tabla1[[#This Row],[fin]]-Tabla1[[#This Row],[inicio]])/1000)),"")</f>
        <v>0.28699999999999998</v>
      </c>
      <c r="I257" s="66"/>
      <c r="J257" s="76">
        <v>2.6</v>
      </c>
      <c r="K257" s="57" t="str">
        <f>IF(_xlfn.XLOOKUP($J257,Catalogo!$B$7:$B$210,Catalogo!$I$7:$I$210,"",0)=0,"",_xlfn.XLOOKUP($J257,Catalogo!$B$7:$B$210,Catalogo!$I$7:$I$210,"",0))</f>
        <v>Localizacion</v>
      </c>
      <c r="L257" s="36">
        <v>0.28699999999999998</v>
      </c>
      <c r="M257" s="261">
        <f>IF(Tabla1[[#This Row],[Avance_km]]&lt;&gt;"",Tabla1[[#This Row],[Avance_km]],Tabla1[[#This Row],[Avance_Med]])*_xlfn.XLOOKUP(Tabla1[[#This Row],[Codigo_actividad]],Catalogo!$B$6:$B$51,Catalogo!$F$6:$F$51,0)</f>
        <v>647.87954000000002</v>
      </c>
    </row>
    <row r="258" spans="1:13" x14ac:dyDescent="0.25">
      <c r="A258" s="354">
        <v>46031</v>
      </c>
      <c r="B258" s="114" t="s">
        <v>30</v>
      </c>
      <c r="C258" s="155" t="s">
        <v>329</v>
      </c>
      <c r="D258" s="39" t="s">
        <v>212</v>
      </c>
      <c r="E258" s="40" t="s">
        <v>31</v>
      </c>
      <c r="F258" s="28">
        <v>0</v>
      </c>
      <c r="G258" s="28">
        <v>3500</v>
      </c>
      <c r="H258" s="53" t="str">
        <f>IF(Tabla1[[#This Row],[Codigo_actividad]]&lt;&gt;2.5,IF(((Tabla1[[#This Row],[fin]]-Tabla1[[#This Row],[inicio]])/1000)=0,"",((Tabla1[[#This Row],[fin]]-Tabla1[[#This Row],[inicio]])/1000)),"")</f>
        <v/>
      </c>
      <c r="I258" s="66">
        <v>8</v>
      </c>
      <c r="J258" s="76">
        <v>2.5</v>
      </c>
      <c r="K258" s="57" t="str">
        <f>IF(_xlfn.XLOOKUP($J258,Catalogo!$B$7:$B$210,Catalogo!$I$7:$I$210,"",0)=0,"",_xlfn.XLOOKUP($J258,Catalogo!$B$7:$B$210,Catalogo!$I$7:$I$210,"",0))</f>
        <v>Resistividades pH BSR BPA</v>
      </c>
      <c r="L258" s="36">
        <v>23.864000000000001</v>
      </c>
      <c r="M258" s="261">
        <f>IF(Tabla1[[#This Row],[Avance_km]]&lt;&gt;"",Tabla1[[#This Row],[Avance_km]],Tabla1[[#This Row],[Avance_Med]])*_xlfn.XLOOKUP(Tabla1[[#This Row],[Codigo_actividad]],Catalogo!$B$6:$B$51,Catalogo!$F$6:$F$51,0)</f>
        <v>37264</v>
      </c>
    </row>
    <row r="259" spans="1:13" x14ac:dyDescent="0.25">
      <c r="A259" s="354"/>
      <c r="C259" s="155"/>
      <c r="D259" s="39"/>
      <c r="F259" s="28"/>
      <c r="G259" s="28"/>
      <c r="H259" s="53" t="str">
        <f>IF(Tabla1[[#This Row],[Codigo_actividad]]&lt;&gt;2.5,IF(((Tabla1[[#This Row],[fin]]-Tabla1[[#This Row],[inicio]])/1000)=0,"",((Tabla1[[#This Row],[fin]]-Tabla1[[#This Row],[inicio]])/1000)),"")</f>
        <v/>
      </c>
      <c r="I259" s="66"/>
      <c r="J259" s="76"/>
      <c r="K259" s="66" t="str">
        <f>IF(_xlfn.XLOOKUP($J259,Catalogo!$B$7:$B$210,Catalogo!$I$7:$I$210,"",0)=0,"",_xlfn.XLOOKUP($J259,Catalogo!$B$7:$B$210,Catalogo!$I$7:$I$210,"",0))</f>
        <v/>
      </c>
      <c r="L259" s="36"/>
      <c r="M259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60" spans="1:13" x14ac:dyDescent="0.25">
      <c r="A260" s="354">
        <v>46032</v>
      </c>
      <c r="B260" s="114" t="s">
        <v>12</v>
      </c>
      <c r="C260" s="155" t="s">
        <v>13</v>
      </c>
      <c r="D260" s="39" t="s">
        <v>20</v>
      </c>
      <c r="E260" s="40" t="s">
        <v>28</v>
      </c>
      <c r="F260" s="28">
        <v>0</v>
      </c>
      <c r="G260" s="28">
        <v>1008</v>
      </c>
      <c r="H260" s="53">
        <f>IF(Tabla1[[#This Row],[Codigo_actividad]]&lt;&gt;2.5,IF(((Tabla1[[#This Row],[fin]]-Tabla1[[#This Row],[inicio]])/1000)=0,"",((Tabla1[[#This Row],[fin]]-Tabla1[[#This Row],[inicio]])/1000)),"")</f>
        <v>1.008</v>
      </c>
      <c r="I260" s="66"/>
      <c r="J260" s="76">
        <v>2.1</v>
      </c>
      <c r="K260" s="66" t="str">
        <f>IF(_xlfn.XLOOKUP($J260,Catalogo!$B$7:$B$210,Catalogo!$I$7:$I$210,"",0)=0,"",_xlfn.XLOOKUP($J260,Catalogo!$B$7:$B$210,Catalogo!$I$7:$I$210,"",0))</f>
        <v>CIPS</v>
      </c>
      <c r="L260" s="36">
        <f>+_xlfn.XLOOKUP(Tabla1[[#This Row],[Ducto]],$D$1:$D$163,$L$1:$L$163)</f>
        <v>1.02</v>
      </c>
      <c r="M260" s="261">
        <f>IF(Tabla1[[#This Row],[Avance_km]]&lt;&gt;"",Tabla1[[#This Row],[Avance_km]],Tabla1[[#This Row],[Avance_Med]])*_xlfn.XLOOKUP(Tabla1[[#This Row],[Codigo_actividad]],Catalogo!$B$6:$B$51,Catalogo!$F$6:$F$51,0)</f>
        <v>14637.58128</v>
      </c>
    </row>
    <row r="261" spans="1:13" x14ac:dyDescent="0.25">
      <c r="A261" s="354">
        <v>46032</v>
      </c>
      <c r="B261" s="114" t="s">
        <v>12</v>
      </c>
      <c r="C261" s="155" t="s">
        <v>13</v>
      </c>
      <c r="D261" s="39" t="s">
        <v>58</v>
      </c>
      <c r="E261" s="40" t="s">
        <v>28</v>
      </c>
      <c r="F261" s="28">
        <v>0</v>
      </c>
      <c r="G261" s="28">
        <v>188</v>
      </c>
      <c r="H261" s="53">
        <f>IF(Tabla1[[#This Row],[Codigo_actividad]]&lt;&gt;2.5,IF(((Tabla1[[#This Row],[fin]]-Tabla1[[#This Row],[inicio]])/1000)=0,"",((Tabla1[[#This Row],[fin]]-Tabla1[[#This Row],[inicio]])/1000)),"")</f>
        <v>0.188</v>
      </c>
      <c r="I261" s="66"/>
      <c r="J261" s="76">
        <v>2.1</v>
      </c>
      <c r="K261" s="66" t="str">
        <f>IF(_xlfn.XLOOKUP($J261,Catalogo!$B$7:$B$210,Catalogo!$I$7:$I$210,"",0)=0,"",_xlfn.XLOOKUP($J261,Catalogo!$B$7:$B$210,Catalogo!$I$7:$I$210,"",0))</f>
        <v>CIPS</v>
      </c>
      <c r="L261" s="36">
        <f>+_xlfn.XLOOKUP(Tabla1[[#This Row],[Ducto]],$D$1:$D$163,$L$1:$L$163)</f>
        <v>0.188</v>
      </c>
      <c r="M261" s="261">
        <f>IF(Tabla1[[#This Row],[Avance_km]]&lt;&gt;"",Tabla1[[#This Row],[Avance_km]],Tabla1[[#This Row],[Avance_Med]])*_xlfn.XLOOKUP(Tabla1[[#This Row],[Codigo_actividad]],Catalogo!$B$6:$B$51,Catalogo!$F$6:$F$51,0)</f>
        <v>2730.0250799999999</v>
      </c>
    </row>
    <row r="262" spans="1:13" x14ac:dyDescent="0.25">
      <c r="A262" s="354"/>
      <c r="B262" s="114"/>
      <c r="C262" s="155"/>
      <c r="D262" s="39"/>
      <c r="F262" s="28"/>
      <c r="G262" s="28"/>
      <c r="H262" s="53" t="str">
        <f>IF(Tabla1[[#This Row],[Codigo_actividad]]&lt;&gt;2.5,IF(((Tabla1[[#This Row],[fin]]-Tabla1[[#This Row],[inicio]])/1000)=0,"",((Tabla1[[#This Row],[fin]]-Tabla1[[#This Row],[inicio]])/1000)),"")</f>
        <v/>
      </c>
      <c r="I262" s="66"/>
      <c r="K262" s="66" t="str">
        <f>IF(_xlfn.XLOOKUP($J262,Catalogo!$B$7:$B$210,Catalogo!$I$7:$I$210,"",0)=0,"",_xlfn.XLOOKUP($J262,Catalogo!$B$7:$B$210,Catalogo!$I$7:$I$210,"",0))</f>
        <v/>
      </c>
      <c r="L262" s="36"/>
      <c r="M262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63" spans="1:13" x14ac:dyDescent="0.25">
      <c r="A263" s="354">
        <v>46033</v>
      </c>
      <c r="B263" s="114" t="s">
        <v>12</v>
      </c>
      <c r="C263" s="155" t="s">
        <v>13</v>
      </c>
      <c r="D263" s="39" t="s">
        <v>57</v>
      </c>
      <c r="E263" s="40" t="s">
        <v>28</v>
      </c>
      <c r="F263" s="28">
        <v>0</v>
      </c>
      <c r="G263" s="28">
        <v>88</v>
      </c>
      <c r="H263" s="53">
        <f>IF(Tabla1[[#This Row],[Codigo_actividad]]&lt;&gt;2.5,IF(((Tabla1[[#This Row],[fin]]-Tabla1[[#This Row],[inicio]])/1000)=0,"",((Tabla1[[#This Row],[fin]]-Tabla1[[#This Row],[inicio]])/1000)),"")</f>
        <v>8.7999999999999995E-2</v>
      </c>
      <c r="I263" s="66"/>
      <c r="J263" s="76">
        <v>2.1</v>
      </c>
      <c r="K263" s="66" t="str">
        <f>IF(_xlfn.XLOOKUP($J263,Catalogo!$B$7:$B$210,Catalogo!$I$7:$I$210,"",0)=0,"",_xlfn.XLOOKUP($J263,Catalogo!$B$7:$B$210,Catalogo!$I$7:$I$210,"",0))</f>
        <v>CIPS</v>
      </c>
      <c r="L263" s="36">
        <f>+_xlfn.XLOOKUP(Tabla1[[#This Row],[Ducto]],$D$1:$D$163,$L$1:$L$163)</f>
        <v>8.7999999999999995E-2</v>
      </c>
      <c r="M263" s="261">
        <f>IF(Tabla1[[#This Row],[Avance_km]]&lt;&gt;"",Tabla1[[#This Row],[Avance_km]],Tabla1[[#This Row],[Avance_Med]])*_xlfn.XLOOKUP(Tabla1[[#This Row],[Codigo_actividad]],Catalogo!$B$6:$B$51,Catalogo!$F$6:$F$51,0)</f>
        <v>1277.8840799999998</v>
      </c>
    </row>
    <row r="264" spans="1:13" x14ac:dyDescent="0.25">
      <c r="A264" s="354">
        <v>46033</v>
      </c>
      <c r="B264" s="114" t="s">
        <v>12</v>
      </c>
      <c r="C264" s="155" t="s">
        <v>13</v>
      </c>
      <c r="D264" s="39" t="s">
        <v>51</v>
      </c>
      <c r="E264" s="40" t="s">
        <v>28</v>
      </c>
      <c r="F264" s="28">
        <v>0</v>
      </c>
      <c r="G264" s="28">
        <v>1054</v>
      </c>
      <c r="H264" s="53">
        <f>IF(Tabla1[[#This Row],[Codigo_actividad]]&lt;&gt;2.5,IF(((Tabla1[[#This Row],[fin]]-Tabla1[[#This Row],[inicio]])/1000)=0,"",((Tabla1[[#This Row],[fin]]-Tabla1[[#This Row],[inicio]])/1000)),"")</f>
        <v>1.054</v>
      </c>
      <c r="I264" s="66"/>
      <c r="J264" s="76">
        <v>2.1</v>
      </c>
      <c r="K264" s="66" t="str">
        <f>IF(_xlfn.XLOOKUP($J264,Catalogo!$B$7:$B$210,Catalogo!$I$7:$I$210,"",0)=0,"",_xlfn.XLOOKUP($J264,Catalogo!$B$7:$B$210,Catalogo!$I$7:$I$210,"",0))</f>
        <v>CIPS</v>
      </c>
      <c r="L264" s="36">
        <f>+_xlfn.XLOOKUP(Tabla1[[#This Row],[Ducto]],$D$1:$D$163,$L$1:$L$163)</f>
        <v>1.054</v>
      </c>
      <c r="M264" s="261">
        <f>IF(Tabla1[[#This Row],[Avance_km]]&lt;&gt;"",Tabla1[[#This Row],[Avance_km]],Tabla1[[#This Row],[Avance_Med]])*_xlfn.XLOOKUP(Tabla1[[#This Row],[Codigo_actividad]],Catalogo!$B$6:$B$51,Catalogo!$F$6:$F$51,0)</f>
        <v>15305.566140000001</v>
      </c>
    </row>
    <row r="265" spans="1:13" x14ac:dyDescent="0.25">
      <c r="A265" s="354"/>
      <c r="B265" s="114"/>
      <c r="C265" s="155"/>
      <c r="D265" s="39"/>
      <c r="F265" s="28"/>
      <c r="G265" s="28"/>
      <c r="H265" s="53" t="str">
        <f>IF(Tabla1[[#This Row],[Codigo_actividad]]&lt;&gt;2.5,IF(((Tabla1[[#This Row],[fin]]-Tabla1[[#This Row],[inicio]])/1000)=0,"",((Tabla1[[#This Row],[fin]]-Tabla1[[#This Row],[inicio]])/1000)),"")</f>
        <v/>
      </c>
      <c r="I265" s="66"/>
      <c r="K265" s="66" t="str">
        <f>IF(_xlfn.XLOOKUP($J265,Catalogo!$B$7:$B$210,Catalogo!$I$7:$I$210,"",0)=0,"",_xlfn.XLOOKUP($J265,Catalogo!$B$7:$B$210,Catalogo!$I$7:$I$210,"",0))</f>
        <v/>
      </c>
      <c r="L265" s="36"/>
      <c r="M265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66" spans="1:13" x14ac:dyDescent="0.25">
      <c r="A266" s="354">
        <v>46034</v>
      </c>
      <c r="B266" s="114" t="s">
        <v>12</v>
      </c>
      <c r="C266" s="155" t="s">
        <v>13</v>
      </c>
      <c r="D266" s="39" t="s">
        <v>50</v>
      </c>
      <c r="E266" s="40" t="s">
        <v>28</v>
      </c>
      <c r="F266" s="28">
        <v>0</v>
      </c>
      <c r="G266" s="28">
        <v>3600</v>
      </c>
      <c r="H266" s="53">
        <f>IF(Tabla1[[#This Row],[Codigo_actividad]]&lt;&gt;2.5,IF(((Tabla1[[#This Row],[fin]]-Tabla1[[#This Row],[inicio]])/1000)=0,"",((Tabla1[[#This Row],[fin]]-Tabla1[[#This Row],[inicio]])/1000)),"")</f>
        <v>3.6</v>
      </c>
      <c r="I266" s="66"/>
      <c r="J266" s="76">
        <v>2.1</v>
      </c>
      <c r="K266" s="66" t="str">
        <f>IF(_xlfn.XLOOKUP($J266,Catalogo!$B$7:$B$210,Catalogo!$I$7:$I$210,"",0)=0,"",_xlfn.XLOOKUP($J266,Catalogo!$B$7:$B$210,Catalogo!$I$7:$I$210,"",0))</f>
        <v>CIPS</v>
      </c>
      <c r="L266" s="36">
        <f>+_xlfn.XLOOKUP(Tabla1[[#This Row],[Ducto]],$D$1:$D$163,$L$1:$L$163)</f>
        <v>12.657</v>
      </c>
      <c r="M266" s="261">
        <f>IF(Tabla1[[#This Row],[Avance_km]]&lt;&gt;"",Tabla1[[#This Row],[Avance_km]],Tabla1[[#This Row],[Avance_Med]])*_xlfn.XLOOKUP(Tabla1[[#This Row],[Codigo_actividad]],Catalogo!$B$6:$B$51,Catalogo!$F$6:$F$51,0)</f>
        <v>52277.076000000001</v>
      </c>
    </row>
    <row r="267" spans="1:13" x14ac:dyDescent="0.25">
      <c r="A267" s="354">
        <v>46034</v>
      </c>
      <c r="B267" s="114" t="s">
        <v>30</v>
      </c>
      <c r="C267" s="155" t="s">
        <v>329</v>
      </c>
      <c r="D267" s="39" t="s">
        <v>212</v>
      </c>
      <c r="E267" s="40" t="s">
        <v>31</v>
      </c>
      <c r="F267" s="28">
        <v>3500</v>
      </c>
      <c r="G267" s="28">
        <v>7500</v>
      </c>
      <c r="H267" s="54" t="str">
        <f>IF(Tabla1[[#This Row],[Codigo_actividad]]&lt;&gt;2.5,IF(((Tabla1[[#This Row],[fin]]-Tabla1[[#This Row],[inicio]])/1000)=0,"",((Tabla1[[#This Row],[fin]]-Tabla1[[#This Row],[inicio]])/1000)),"")</f>
        <v/>
      </c>
      <c r="I267" s="66">
        <v>8</v>
      </c>
      <c r="J267" s="76">
        <v>2.5</v>
      </c>
      <c r="K267" s="66" t="str">
        <f>IF(_xlfn.XLOOKUP($J267,Catalogo!$B$7:$B$210,Catalogo!$I$7:$I$210,"",0)=0,"",_xlfn.XLOOKUP($J267,Catalogo!$B$7:$B$210,Catalogo!$I$7:$I$210,"",0))</f>
        <v>Resistividades pH BSR BPA</v>
      </c>
      <c r="L267" s="36">
        <f>+_xlfn.XLOOKUP(Tabla1[[#This Row],[Ducto]],$D$1:$D$995,$L$1:$L$995)</f>
        <v>23.864000000000001</v>
      </c>
      <c r="M267" s="261">
        <f>IF(Tabla1[[#This Row],[Avance_km]]&lt;&gt;"",Tabla1[[#This Row],[Avance_km]],Tabla1[[#This Row],[Avance_Med]])*_xlfn.XLOOKUP(Tabla1[[#This Row],[Codigo_actividad]],Catalogo!$B$6:$B$51,Catalogo!$F$6:$F$51,0)</f>
        <v>37264</v>
      </c>
    </row>
    <row r="268" spans="1:13" x14ac:dyDescent="0.25">
      <c r="A268" s="354"/>
      <c r="C268" s="155"/>
      <c r="D268" s="39"/>
      <c r="F268" s="28"/>
      <c r="G268" s="28"/>
      <c r="H268" s="54" t="str">
        <f>IF(Tabla1[[#This Row],[Codigo_actividad]]&lt;&gt;2.5,IF(((Tabla1[[#This Row],[fin]]-Tabla1[[#This Row],[inicio]])/1000)=0,"",((Tabla1[[#This Row],[fin]]-Tabla1[[#This Row],[inicio]])/1000)),"")</f>
        <v/>
      </c>
      <c r="K268" s="66" t="str">
        <f>IF(_xlfn.XLOOKUP($J268,Catalogo!$B$7:$B$210,Catalogo!$I$7:$I$210,"",0)=0,"",_xlfn.XLOOKUP($J268,Catalogo!$B$7:$B$210,Catalogo!$I$7:$I$210,"",0))</f>
        <v/>
      </c>
      <c r="L268" s="36"/>
      <c r="M268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69" spans="1:13" x14ac:dyDescent="0.25">
      <c r="A269" s="354">
        <v>46035</v>
      </c>
      <c r="B269" s="114" t="s">
        <v>12</v>
      </c>
      <c r="C269" s="155" t="s">
        <v>13</v>
      </c>
      <c r="D269" s="39" t="s">
        <v>70</v>
      </c>
      <c r="E269" s="40" t="s">
        <v>36</v>
      </c>
      <c r="F269" s="28">
        <v>0</v>
      </c>
      <c r="G269" s="28">
        <v>287</v>
      </c>
      <c r="H269" s="53">
        <f>IF(Tabla1[[#This Row],[Codigo_actividad]]&lt;&gt;2.5,IF(((Tabla1[[#This Row],[fin]]-Tabla1[[#This Row],[inicio]])/1000)=0,"",((Tabla1[[#This Row],[fin]]-Tabla1[[#This Row],[inicio]])/1000)),"")</f>
        <v>0.28699999999999998</v>
      </c>
      <c r="I269" s="66"/>
      <c r="J269" s="76">
        <v>2.2999999999999998</v>
      </c>
      <c r="K269" s="66" t="str">
        <f>IF(_xlfn.XLOOKUP($J269,Catalogo!$B$7:$B$210,Catalogo!$I$7:$I$210,"",0)=0,"",_xlfn.XLOOKUP($J269,Catalogo!$B$7:$B$210,Catalogo!$I$7:$I$210,"",0))</f>
        <v>DCVG</v>
      </c>
      <c r="L269" s="36">
        <f>+_xlfn.XLOOKUP(Tabla1[[#This Row],[Ducto]],$D$1:$D$995,$L$1:$L$995)</f>
        <v>0.28699999999999998</v>
      </c>
      <c r="M269" s="261">
        <f>IF(Tabla1[[#This Row],[Avance_km]]&lt;&gt;"",Tabla1[[#This Row],[Avance_km]],Tabla1[[#This Row],[Avance_Med]])*_xlfn.XLOOKUP(Tabla1[[#This Row],[Codigo_actividad]],Catalogo!$B$6:$B$51,Catalogo!$F$6:$F$51,0)</f>
        <v>3890.4658099999992</v>
      </c>
    </row>
    <row r="270" spans="1:13" x14ac:dyDescent="0.25">
      <c r="A270" s="354">
        <v>46035</v>
      </c>
      <c r="B270" s="114" t="s">
        <v>12</v>
      </c>
      <c r="C270" s="155" t="s">
        <v>13</v>
      </c>
      <c r="D270" s="39" t="s">
        <v>49</v>
      </c>
      <c r="E270" s="40" t="s">
        <v>36</v>
      </c>
      <c r="F270" s="28">
        <v>0</v>
      </c>
      <c r="G270" s="28">
        <v>12</v>
      </c>
      <c r="H270" s="53">
        <f>IF(Tabla1[[#This Row],[Codigo_actividad]]&lt;&gt;2.5,IF(((Tabla1[[#This Row],[fin]]-Tabla1[[#This Row],[inicio]])/1000)=0,"",((Tabla1[[#This Row],[fin]]-Tabla1[[#This Row],[inicio]])/1000)),"")</f>
        <v>1.2E-2</v>
      </c>
      <c r="I270" s="66"/>
      <c r="J270" s="76">
        <v>2.2999999999999998</v>
      </c>
      <c r="K270" s="66" t="str">
        <f>IF(_xlfn.XLOOKUP($J270,Catalogo!$B$7:$B$210,Catalogo!$I$7:$I$210,"",0)=0,"",_xlfn.XLOOKUP($J270,Catalogo!$B$7:$B$210,Catalogo!$I$7:$I$210,"",0))</f>
        <v>DCVG</v>
      </c>
      <c r="L270" s="36">
        <f>+_xlfn.XLOOKUP(Tabla1[[#This Row],[Ducto]],$D$1:$D$995,$L$1:$L$995)</f>
        <v>1.2E-2</v>
      </c>
      <c r="M270" s="261">
        <f>IF(Tabla1[[#This Row],[Avance_km]]&lt;&gt;"",Tabla1[[#This Row],[Avance_km]],Tabla1[[#This Row],[Avance_Med]])*_xlfn.XLOOKUP(Tabla1[[#This Row],[Codigo_actividad]],Catalogo!$B$6:$B$51,Catalogo!$F$6:$F$51,0)</f>
        <v>162.66755999999998</v>
      </c>
    </row>
    <row r="271" spans="1:13" x14ac:dyDescent="0.25">
      <c r="A271" s="354">
        <v>46035</v>
      </c>
      <c r="B271" s="114" t="s">
        <v>12</v>
      </c>
      <c r="C271" s="155" t="s">
        <v>13</v>
      </c>
      <c r="D271" s="39" t="s">
        <v>172</v>
      </c>
      <c r="E271" s="40" t="s">
        <v>28</v>
      </c>
      <c r="F271" s="28">
        <v>0</v>
      </c>
      <c r="G271" s="28">
        <v>12</v>
      </c>
      <c r="H271" s="53">
        <f>IF(Tabla1[[#This Row],[Codigo_actividad]]&lt;&gt;2.5,IF(((Tabla1[[#This Row],[fin]]-Tabla1[[#This Row],[inicio]])/1000)=0,"",((Tabla1[[#This Row],[fin]]-Tabla1[[#This Row],[inicio]])/1000)),"")</f>
        <v>1.2E-2</v>
      </c>
      <c r="I271" s="66"/>
      <c r="J271" s="76">
        <v>2.1</v>
      </c>
      <c r="K271" s="66" t="str">
        <f>IF(_xlfn.XLOOKUP($J271,Catalogo!$B$7:$B$210,Catalogo!$I$7:$I$210,"",0)=0,"",_xlfn.XLOOKUP($J271,Catalogo!$B$7:$B$210,Catalogo!$I$7:$I$210,"",0))</f>
        <v>CIPS</v>
      </c>
      <c r="L271" s="36">
        <v>1.2E-2</v>
      </c>
      <c r="M271" s="261">
        <f>IF(Tabla1[[#This Row],[Avance_km]]&lt;&gt;"",Tabla1[[#This Row],[Avance_km]],Tabla1[[#This Row],[Avance_Med]])*_xlfn.XLOOKUP(Tabla1[[#This Row],[Codigo_actividad]],Catalogo!$B$6:$B$51,Catalogo!$F$6:$F$51,0)</f>
        <v>174.25692000000001</v>
      </c>
    </row>
    <row r="272" spans="1:13" x14ac:dyDescent="0.25">
      <c r="A272" s="354">
        <v>46035</v>
      </c>
      <c r="B272" s="114" t="s">
        <v>12</v>
      </c>
      <c r="C272" s="155" t="s">
        <v>13</v>
      </c>
      <c r="D272" s="39" t="s">
        <v>172</v>
      </c>
      <c r="E272" s="40" t="s">
        <v>36</v>
      </c>
      <c r="F272" s="28">
        <v>0</v>
      </c>
      <c r="G272" s="28">
        <v>12</v>
      </c>
      <c r="H272" s="53">
        <f>IF(Tabla1[[#This Row],[Codigo_actividad]]&lt;&gt;2.5,IF(((Tabla1[[#This Row],[fin]]-Tabla1[[#This Row],[inicio]])/1000)=0,"",((Tabla1[[#This Row],[fin]]-Tabla1[[#This Row],[inicio]])/1000)),"")</f>
        <v>1.2E-2</v>
      </c>
      <c r="I272" s="66"/>
      <c r="J272" s="76">
        <v>2.2999999999999998</v>
      </c>
      <c r="K272" s="66" t="str">
        <f>IF(_xlfn.XLOOKUP($J272,Catalogo!$B$7:$B$210,Catalogo!$I$7:$I$210,"",0)=0,"",_xlfn.XLOOKUP($J272,Catalogo!$B$7:$B$210,Catalogo!$I$7:$I$210,"",0))</f>
        <v>DCVG</v>
      </c>
      <c r="L272" s="36">
        <v>1.2E-2</v>
      </c>
      <c r="M272" s="261">
        <f>IF(Tabla1[[#This Row],[Avance_km]]&lt;&gt;"",Tabla1[[#This Row],[Avance_km]],Tabla1[[#This Row],[Avance_Med]])*_xlfn.XLOOKUP(Tabla1[[#This Row],[Codigo_actividad]],Catalogo!$B$6:$B$51,Catalogo!$F$6:$F$51,0)</f>
        <v>162.66755999999998</v>
      </c>
    </row>
    <row r="273" spans="1:13" x14ac:dyDescent="0.25">
      <c r="A273" s="354">
        <v>46035</v>
      </c>
      <c r="B273" s="114" t="s">
        <v>12</v>
      </c>
      <c r="C273" s="155" t="s">
        <v>13</v>
      </c>
      <c r="D273" s="39" t="s">
        <v>172</v>
      </c>
      <c r="E273" s="40" t="s">
        <v>16</v>
      </c>
      <c r="F273" s="28">
        <v>0</v>
      </c>
      <c r="G273" s="28">
        <v>12</v>
      </c>
      <c r="H273" s="53">
        <f>IF(Tabla1[[#This Row],[Codigo_actividad]]&lt;&gt;2.5,IF(((Tabla1[[#This Row],[fin]]-Tabla1[[#This Row],[inicio]])/1000)=0,"",((Tabla1[[#This Row],[fin]]-Tabla1[[#This Row],[inicio]])/1000)),"")</f>
        <v>1.2E-2</v>
      </c>
      <c r="I273" s="66"/>
      <c r="J273" s="76">
        <v>2.6</v>
      </c>
      <c r="K273" s="66" t="str">
        <f>IF(_xlfn.XLOOKUP($J273,Catalogo!$B$7:$B$210,Catalogo!$I$7:$I$210,"",0)=0,"",_xlfn.XLOOKUP($J273,Catalogo!$B$7:$B$210,Catalogo!$I$7:$I$210,"",0))</f>
        <v>Localizacion</v>
      </c>
      <c r="L273" s="36">
        <f>+_xlfn.XLOOKUP(Tabla1[[#This Row],[Ducto]],$D$1:$D$995,$L$1:$L$995)</f>
        <v>1.2E-2</v>
      </c>
      <c r="M273" s="261">
        <f>IF(Tabla1[[#This Row],[Avance_km]]&lt;&gt;"",Tabla1[[#This Row],[Avance_km]],Tabla1[[#This Row],[Avance_Med]])*_xlfn.XLOOKUP(Tabla1[[#This Row],[Codigo_actividad]],Catalogo!$B$6:$B$51,Catalogo!$F$6:$F$51,0)</f>
        <v>27.089040000000001</v>
      </c>
    </row>
    <row r="274" spans="1:13" x14ac:dyDescent="0.25">
      <c r="A274" s="354">
        <v>46035</v>
      </c>
      <c r="B274" s="114" t="s">
        <v>12</v>
      </c>
      <c r="C274" s="155" t="s">
        <v>13</v>
      </c>
      <c r="D274" s="39" t="s">
        <v>20</v>
      </c>
      <c r="E274" s="40" t="s">
        <v>28</v>
      </c>
      <c r="F274" s="28">
        <v>1008</v>
      </c>
      <c r="G274" s="28">
        <v>1020</v>
      </c>
      <c r="H274" s="53">
        <f>IF(Tabla1[[#This Row],[Codigo_actividad]]&lt;&gt;2.5,IF(((Tabla1[[#This Row],[fin]]-Tabla1[[#This Row],[inicio]])/1000)=0,"",((Tabla1[[#This Row],[fin]]-Tabla1[[#This Row],[inicio]])/1000)),"")</f>
        <v>1.2E-2</v>
      </c>
      <c r="I274" s="66"/>
      <c r="J274" s="76">
        <v>2.1</v>
      </c>
      <c r="K274" s="66" t="str">
        <f>IF(_xlfn.XLOOKUP($J274,Catalogo!$B$7:$B$210,Catalogo!$I$7:$I$210,"",0)=0,"",_xlfn.XLOOKUP($J274,Catalogo!$B$7:$B$210,Catalogo!$I$7:$I$210,"",0))</f>
        <v>CIPS</v>
      </c>
      <c r="L274" s="36">
        <f>+_xlfn.XLOOKUP(Tabla1[[#This Row],[Ducto]],$D$1:$D$163,$L$1:$L$163)</f>
        <v>1.02</v>
      </c>
      <c r="M274" s="261">
        <f>IF(Tabla1[[#This Row],[Avance_km]]&lt;&gt;"",Tabla1[[#This Row],[Avance_km]],Tabla1[[#This Row],[Avance_Med]])*_xlfn.XLOOKUP(Tabla1[[#This Row],[Codigo_actividad]],Catalogo!$B$6:$B$51,Catalogo!$F$6:$F$51,0)</f>
        <v>174.25692000000001</v>
      </c>
    </row>
    <row r="275" spans="1:13" x14ac:dyDescent="0.25">
      <c r="A275" s="354">
        <v>46035</v>
      </c>
      <c r="B275" s="114" t="s">
        <v>12</v>
      </c>
      <c r="C275" s="155" t="s">
        <v>22</v>
      </c>
      <c r="D275" s="39" t="s">
        <v>74</v>
      </c>
      <c r="E275" s="40" t="s">
        <v>16</v>
      </c>
      <c r="F275" s="28">
        <v>0</v>
      </c>
      <c r="G275" s="28">
        <v>31</v>
      </c>
      <c r="H275" s="53">
        <f>IF(Tabla1[[#This Row],[Codigo_actividad]]&lt;&gt;2.5,IF(((Tabla1[[#This Row],[fin]]-Tabla1[[#This Row],[inicio]])/1000)=0,"",((Tabla1[[#This Row],[fin]]-Tabla1[[#This Row],[inicio]])/1000)),"")</f>
        <v>3.1E-2</v>
      </c>
      <c r="I275" s="66"/>
      <c r="J275" s="76">
        <v>2.6</v>
      </c>
      <c r="K275" s="66" t="str">
        <f>IF(_xlfn.XLOOKUP($J275,Catalogo!$B$7:$B$210,Catalogo!$I$7:$I$210,"",0)=0,"",_xlfn.XLOOKUP($J275,Catalogo!$B$7:$B$210,Catalogo!$I$7:$I$210,"",0))</f>
        <v>Localizacion</v>
      </c>
      <c r="L275" s="36">
        <v>3.1E-2</v>
      </c>
      <c r="M275" s="261">
        <f>IF(Tabla1[[#This Row],[Avance_km]]&lt;&gt;"",Tabla1[[#This Row],[Avance_km]],Tabla1[[#This Row],[Avance_Med]])*_xlfn.XLOOKUP(Tabla1[[#This Row],[Codigo_actividad]],Catalogo!$B$6:$B$51,Catalogo!$F$6:$F$51,0)</f>
        <v>69.980019999999996</v>
      </c>
    </row>
    <row r="276" spans="1:13" x14ac:dyDescent="0.25">
      <c r="A276" s="354">
        <v>46035</v>
      </c>
      <c r="B276" s="114" t="s">
        <v>12</v>
      </c>
      <c r="C276" s="155" t="s">
        <v>22</v>
      </c>
      <c r="D276" s="39" t="s">
        <v>74</v>
      </c>
      <c r="E276" s="40" t="s">
        <v>36</v>
      </c>
      <c r="F276" s="28">
        <v>0</v>
      </c>
      <c r="G276" s="28">
        <v>31</v>
      </c>
      <c r="H276" s="53">
        <f>IF(Tabla1[[#This Row],[Codigo_actividad]]&lt;&gt;2.5,IF(((Tabla1[[#This Row],[fin]]-Tabla1[[#This Row],[inicio]])/1000)=0,"",((Tabla1[[#This Row],[fin]]-Tabla1[[#This Row],[inicio]])/1000)),"")</f>
        <v>3.1E-2</v>
      </c>
      <c r="I276" s="66"/>
      <c r="J276" s="76">
        <v>2.2999999999999998</v>
      </c>
      <c r="K276" s="66" t="str">
        <f>IF(_xlfn.XLOOKUP($J276,Catalogo!$B$7:$B$210,Catalogo!$I$7:$I$210,"",0)=0,"",_xlfn.XLOOKUP($J276,Catalogo!$B$7:$B$210,Catalogo!$I$7:$I$210,"",0))</f>
        <v>DCVG</v>
      </c>
      <c r="L276" s="36">
        <v>3.1E-2</v>
      </c>
      <c r="M276" s="261">
        <f>IF(Tabla1[[#This Row],[Avance_km]]&lt;&gt;"",Tabla1[[#This Row],[Avance_km]],Tabla1[[#This Row],[Avance_Med]])*_xlfn.XLOOKUP(Tabla1[[#This Row],[Codigo_actividad]],Catalogo!$B$6:$B$51,Catalogo!$F$6:$F$51,0)</f>
        <v>420.22452999999996</v>
      </c>
    </row>
    <row r="277" spans="1:13" x14ac:dyDescent="0.25">
      <c r="A277" s="354">
        <v>46035</v>
      </c>
      <c r="B277" s="114" t="s">
        <v>12</v>
      </c>
      <c r="C277" s="155" t="s">
        <v>22</v>
      </c>
      <c r="D277" s="39" t="s">
        <v>74</v>
      </c>
      <c r="E277" s="40" t="s">
        <v>16</v>
      </c>
      <c r="F277" s="28">
        <v>0</v>
      </c>
      <c r="G277" s="28">
        <v>31</v>
      </c>
      <c r="H277" s="53">
        <f>IF(Tabla1[[#This Row],[Codigo_actividad]]&lt;&gt;2.5,IF(((Tabla1[[#This Row],[fin]]-Tabla1[[#This Row],[inicio]])/1000)=0,"",((Tabla1[[#This Row],[fin]]-Tabla1[[#This Row],[inicio]])/1000)),"")</f>
        <v>3.1E-2</v>
      </c>
      <c r="I277" s="66"/>
      <c r="J277" s="76">
        <v>2.1</v>
      </c>
      <c r="K277" s="66" t="str">
        <f>IF(_xlfn.XLOOKUP($J277,Catalogo!$B$7:$B$210,Catalogo!$I$7:$I$210,"",0)=0,"",_xlfn.XLOOKUP($J277,Catalogo!$B$7:$B$210,Catalogo!$I$7:$I$210,"",0))</f>
        <v>CIPS</v>
      </c>
      <c r="L277" s="36">
        <v>3.1E-2</v>
      </c>
      <c r="M277" s="261">
        <f>IF(Tabla1[[#This Row],[Avance_km]]&lt;&gt;"",Tabla1[[#This Row],[Avance_km]],Tabla1[[#This Row],[Avance_Med]])*_xlfn.XLOOKUP(Tabla1[[#This Row],[Codigo_actividad]],Catalogo!$B$6:$B$51,Catalogo!$F$6:$F$51,0)</f>
        <v>450.16370999999998</v>
      </c>
    </row>
    <row r="278" spans="1:13" x14ac:dyDescent="0.25">
      <c r="A278" s="354">
        <v>46035</v>
      </c>
      <c r="B278" s="114" t="s">
        <v>30</v>
      </c>
      <c r="C278" s="155" t="s">
        <v>329</v>
      </c>
      <c r="D278" s="39" t="s">
        <v>212</v>
      </c>
      <c r="E278" s="40" t="s">
        <v>31</v>
      </c>
      <c r="F278" s="28">
        <v>7500</v>
      </c>
      <c r="G278" s="28">
        <v>11500</v>
      </c>
      <c r="H278" s="54" t="str">
        <f>IF(Tabla1[[#This Row],[Codigo_actividad]]&lt;&gt;2.5,IF(((Tabla1[[#This Row],[fin]]-Tabla1[[#This Row],[inicio]])/1000)=0,"",((Tabla1[[#This Row],[fin]]-Tabla1[[#This Row],[inicio]])/1000)),"")</f>
        <v/>
      </c>
      <c r="I278" s="66">
        <v>8</v>
      </c>
      <c r="J278" s="76">
        <v>2.5</v>
      </c>
      <c r="K278" s="66" t="str">
        <f>IF(_xlfn.XLOOKUP($J278,Catalogo!$B$7:$B$210,Catalogo!$I$7:$I$210,"",0)=0,"",_xlfn.XLOOKUP($J278,Catalogo!$B$7:$B$210,Catalogo!$I$7:$I$210,"",0))</f>
        <v>Resistividades pH BSR BPA</v>
      </c>
      <c r="L278" s="36">
        <f>+_xlfn.XLOOKUP(Tabla1[[#This Row],[Ducto]],$D$1:$D$995,$L$1:$L$995)</f>
        <v>23.864000000000001</v>
      </c>
      <c r="M278" s="261">
        <f>IF(Tabla1[[#This Row],[Avance_km]]&lt;&gt;"",Tabla1[[#This Row],[Avance_km]],Tabla1[[#This Row],[Avance_Med]])*_xlfn.XLOOKUP(Tabla1[[#This Row],[Codigo_actividad]],Catalogo!$B$6:$B$51,Catalogo!$F$6:$F$51,0)</f>
        <v>37264</v>
      </c>
    </row>
    <row r="279" spans="1:13" x14ac:dyDescent="0.25">
      <c r="A279" s="354"/>
      <c r="C279" s="155"/>
      <c r="D279" s="39"/>
      <c r="F279" s="28"/>
      <c r="G279" s="28"/>
      <c r="H279" s="54" t="str">
        <f>IF(Tabla1[[#This Row],[Codigo_actividad]]&lt;&gt;2.5,IF(((Tabla1[[#This Row],[fin]]-Tabla1[[#This Row],[inicio]])/1000)=0,"",((Tabla1[[#This Row],[fin]]-Tabla1[[#This Row],[inicio]])/1000)),"")</f>
        <v/>
      </c>
      <c r="K279" s="66" t="str">
        <f>IF(_xlfn.XLOOKUP($J279,Catalogo!$B$7:$B$210,Catalogo!$I$7:$I$210,"",0)=0,"",_xlfn.XLOOKUP($J279,Catalogo!$B$7:$B$210,Catalogo!$I$7:$I$210,"",0))</f>
        <v/>
      </c>
      <c r="L279" s="36"/>
      <c r="M279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80" spans="1:13" x14ac:dyDescent="0.25">
      <c r="A280" s="354">
        <v>46036</v>
      </c>
      <c r="B280" s="114" t="s">
        <v>12</v>
      </c>
      <c r="C280" s="155" t="s">
        <v>13</v>
      </c>
      <c r="D280" s="39" t="s">
        <v>50</v>
      </c>
      <c r="E280" s="40" t="s">
        <v>28</v>
      </c>
      <c r="F280" s="28">
        <v>3600</v>
      </c>
      <c r="G280" s="28">
        <v>8100</v>
      </c>
      <c r="H280" s="53">
        <f>IF(Tabla1[[#This Row],[Codigo_actividad]]&lt;&gt;2.5,IF(((Tabla1[[#This Row],[fin]]-Tabla1[[#This Row],[inicio]])/1000)=0,"",((Tabla1[[#This Row],[fin]]-Tabla1[[#This Row],[inicio]])/1000)),"")</f>
        <v>4.5</v>
      </c>
      <c r="I280" s="66"/>
      <c r="J280" s="76">
        <v>2.1</v>
      </c>
      <c r="K280" s="66" t="str">
        <f>IF(_xlfn.XLOOKUP($J280,Catalogo!$B$7:$B$210,Catalogo!$I$7:$I$210,"",0)=0,"",_xlfn.XLOOKUP($J280,Catalogo!$B$7:$B$210,Catalogo!$I$7:$I$210,"",0))</f>
        <v>CIPS</v>
      </c>
      <c r="L280" s="36">
        <f>+_xlfn.XLOOKUP(Tabla1[[#This Row],[Ducto]],$D$1:$D$995,$L$1:$L$995)</f>
        <v>12.657</v>
      </c>
      <c r="M280" s="261">
        <f>IF(Tabla1[[#This Row],[Avance_km]]&lt;&gt;"",Tabla1[[#This Row],[Avance_km]],Tabla1[[#This Row],[Avance_Med]])*_xlfn.XLOOKUP(Tabla1[[#This Row],[Codigo_actividad]],Catalogo!$B$6:$B$51,Catalogo!$F$6:$F$51,0)</f>
        <v>65346.345000000001</v>
      </c>
    </row>
    <row r="281" spans="1:13" x14ac:dyDescent="0.25">
      <c r="A281" s="354">
        <v>46036</v>
      </c>
      <c r="B281" s="114" t="s">
        <v>30</v>
      </c>
      <c r="C281" s="155" t="s">
        <v>329</v>
      </c>
      <c r="D281" s="39" t="s">
        <v>212</v>
      </c>
      <c r="E281" s="40" t="s">
        <v>31</v>
      </c>
      <c r="F281" s="28">
        <v>11500</v>
      </c>
      <c r="G281" s="28">
        <v>14000</v>
      </c>
      <c r="H281" s="54" t="str">
        <f>IF(Tabla1[[#This Row],[Codigo_actividad]]&lt;&gt;2.5,IF(((Tabla1[[#This Row],[fin]]-Tabla1[[#This Row],[inicio]])/1000)=0,"",((Tabla1[[#This Row],[fin]]-Tabla1[[#This Row],[inicio]])/1000)),"")</f>
        <v/>
      </c>
      <c r="I281" s="66">
        <v>5</v>
      </c>
      <c r="J281" s="76">
        <v>2.5</v>
      </c>
      <c r="K281" s="66" t="str">
        <f>IF(_xlfn.XLOOKUP($J281,Catalogo!$B$7:$B$210,Catalogo!$I$7:$I$210,"",0)=0,"",_xlfn.XLOOKUP($J281,Catalogo!$B$7:$B$210,Catalogo!$I$7:$I$210,"",0))</f>
        <v>Resistividades pH BSR BPA</v>
      </c>
      <c r="L281" s="36">
        <f>+_xlfn.XLOOKUP(Tabla1[[#This Row],[Ducto]],$D$1:$D$995,$L$1:$L$995)</f>
        <v>23.864000000000001</v>
      </c>
      <c r="M281" s="261">
        <f>IF(Tabla1[[#This Row],[Avance_km]]&lt;&gt;"",Tabla1[[#This Row],[Avance_km]],Tabla1[[#This Row],[Avance_Med]])*_xlfn.XLOOKUP(Tabla1[[#This Row],[Codigo_actividad]],Catalogo!$B$6:$B$51,Catalogo!$F$6:$F$51,0)</f>
        <v>23290</v>
      </c>
    </row>
    <row r="282" spans="1:13" x14ac:dyDescent="0.25">
      <c r="A282" s="354"/>
      <c r="C282" s="155"/>
      <c r="D282" s="39"/>
      <c r="F282" s="28"/>
      <c r="G282" s="28"/>
      <c r="H282" s="54" t="str">
        <f>IF(Tabla1[[#This Row],[Codigo_actividad]]&lt;&gt;2.5,IF(((Tabla1[[#This Row],[fin]]-Tabla1[[#This Row],[inicio]])/1000)=0,"",((Tabla1[[#This Row],[fin]]-Tabla1[[#This Row],[inicio]])/1000)),"")</f>
        <v/>
      </c>
      <c r="K282" s="66" t="str">
        <f>IF(_xlfn.XLOOKUP($J282,Catalogo!$B$7:$B$210,Catalogo!$I$7:$I$210,"",0)=0,"",_xlfn.XLOOKUP($J282,Catalogo!$B$7:$B$210,Catalogo!$I$7:$I$210,"",0))</f>
        <v/>
      </c>
      <c r="L282" s="36"/>
      <c r="M282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83" spans="1:13" x14ac:dyDescent="0.25">
      <c r="A283" s="354">
        <v>46037</v>
      </c>
      <c r="B283" s="114" t="s">
        <v>12</v>
      </c>
      <c r="C283" s="155" t="s">
        <v>13</v>
      </c>
      <c r="D283" s="39" t="s">
        <v>50</v>
      </c>
      <c r="E283" s="40" t="s">
        <v>28</v>
      </c>
      <c r="F283" s="28">
        <v>8100</v>
      </c>
      <c r="G283" s="28">
        <v>10150</v>
      </c>
      <c r="H283" s="53">
        <f>IF(Tabla1[[#This Row],[Codigo_actividad]]&lt;&gt;2.5,IF(((Tabla1[[#This Row],[fin]]-Tabla1[[#This Row],[inicio]])/1000)=0,"",((Tabla1[[#This Row],[fin]]-Tabla1[[#This Row],[inicio]])/1000)),"")</f>
        <v>2.0499999999999998</v>
      </c>
      <c r="I283" s="66"/>
      <c r="J283" s="76">
        <v>2.1</v>
      </c>
      <c r="K283" s="66" t="str">
        <f>IF(_xlfn.XLOOKUP($J283,Catalogo!$B$7:$B$210,Catalogo!$I$7:$I$210,"",0)=0,"",_xlfn.XLOOKUP($J283,Catalogo!$B$7:$B$210,Catalogo!$I$7:$I$210,"",0))</f>
        <v>CIPS</v>
      </c>
      <c r="L283" s="36">
        <f>+_xlfn.XLOOKUP(Tabla1[[#This Row],[Ducto]],$D$1:$D$995,$L$1:$L$995)</f>
        <v>12.657</v>
      </c>
      <c r="M283" s="261">
        <f>IF(Tabla1[[#This Row],[Avance_km]]&lt;&gt;"",Tabla1[[#This Row],[Avance_km]],Tabla1[[#This Row],[Avance_Med]])*_xlfn.XLOOKUP(Tabla1[[#This Row],[Codigo_actividad]],Catalogo!$B$6:$B$51,Catalogo!$F$6:$F$51,0)</f>
        <v>29768.890499999998</v>
      </c>
    </row>
    <row r="284" spans="1:13" x14ac:dyDescent="0.25">
      <c r="A284" s="354">
        <v>46037</v>
      </c>
      <c r="B284" s="114" t="s">
        <v>30</v>
      </c>
      <c r="C284" s="155" t="s">
        <v>329</v>
      </c>
      <c r="D284" s="39" t="s">
        <v>212</v>
      </c>
      <c r="E284" s="40" t="s">
        <v>31</v>
      </c>
      <c r="F284" s="28">
        <v>11500</v>
      </c>
      <c r="G284" s="28">
        <v>18000</v>
      </c>
      <c r="H284" s="54" t="str">
        <f>IF(Tabla1[[#This Row],[Codigo_actividad]]&lt;&gt;2.5,IF(((Tabla1[[#This Row],[fin]]-Tabla1[[#This Row],[inicio]])/1000)=0,"",((Tabla1[[#This Row],[fin]]-Tabla1[[#This Row],[inicio]])/1000)),"")</f>
        <v/>
      </c>
      <c r="I284" s="66">
        <v>8</v>
      </c>
      <c r="J284" s="76">
        <v>2.5</v>
      </c>
      <c r="K284" s="66" t="str">
        <f>IF(_xlfn.XLOOKUP($J284,Catalogo!$B$7:$B$210,Catalogo!$I$7:$I$210,"",0)=0,"",_xlfn.XLOOKUP($J284,Catalogo!$B$7:$B$210,Catalogo!$I$7:$I$210,"",0))</f>
        <v>Resistividades pH BSR BPA</v>
      </c>
      <c r="L284" s="36">
        <f>+_xlfn.XLOOKUP(Tabla1[[#This Row],[Ducto]],$D$1:$D$995,$L$1:$L$995)</f>
        <v>23.864000000000001</v>
      </c>
      <c r="M284" s="261">
        <f>IF(Tabla1[[#This Row],[Avance_km]]&lt;&gt;"",Tabla1[[#This Row],[Avance_km]],Tabla1[[#This Row],[Avance_Med]])*_xlfn.XLOOKUP(Tabla1[[#This Row],[Codigo_actividad]],Catalogo!$B$6:$B$51,Catalogo!$F$6:$F$51,0)</f>
        <v>37264</v>
      </c>
    </row>
    <row r="285" spans="1:13" x14ac:dyDescent="0.25">
      <c r="A285" s="354"/>
      <c r="C285" s="155"/>
      <c r="D285" s="39"/>
      <c r="F285" s="28"/>
      <c r="G285" s="28"/>
      <c r="H285" s="54" t="str">
        <f>IF(Tabla1[[#This Row],[Codigo_actividad]]&lt;&gt;2.5,IF(((Tabla1[[#This Row],[fin]]-Tabla1[[#This Row],[inicio]])/1000)=0,"",((Tabla1[[#This Row],[fin]]-Tabla1[[#This Row],[inicio]])/1000)),"")</f>
        <v/>
      </c>
      <c r="K285" s="66" t="str">
        <f>IF(_xlfn.XLOOKUP($J285,Catalogo!$B$7:$B$210,Catalogo!$I$7:$I$210,"",0)=0,"",_xlfn.XLOOKUP($J285,Catalogo!$B$7:$B$210,Catalogo!$I$7:$I$210,"",0))</f>
        <v/>
      </c>
      <c r="L285" s="36"/>
      <c r="M285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86" spans="1:13" x14ac:dyDescent="0.25">
      <c r="A286" s="354">
        <v>46038</v>
      </c>
      <c r="B286" s="114" t="s">
        <v>12</v>
      </c>
      <c r="C286" s="155" t="s">
        <v>13</v>
      </c>
      <c r="D286" s="39" t="s">
        <v>50</v>
      </c>
      <c r="E286" s="40" t="s">
        <v>28</v>
      </c>
      <c r="F286" s="28">
        <v>10150</v>
      </c>
      <c r="G286" s="28">
        <v>12657</v>
      </c>
      <c r="H286" s="53">
        <f>IF(Tabla1[[#This Row],[Codigo_actividad]]&lt;&gt;2.5,IF(((Tabla1[[#This Row],[fin]]-Tabla1[[#This Row],[inicio]])/1000)=0,"",((Tabla1[[#This Row],[fin]]-Tabla1[[#This Row],[inicio]])/1000)),"")</f>
        <v>2.5070000000000001</v>
      </c>
      <c r="I286" s="66"/>
      <c r="J286" s="76">
        <v>2.1</v>
      </c>
      <c r="K286" s="66" t="str">
        <f>IF(_xlfn.XLOOKUP($J286,Catalogo!$B$7:$B$210,Catalogo!$I$7:$I$210,"",0)=0,"",_xlfn.XLOOKUP($J286,Catalogo!$B$7:$B$210,Catalogo!$I$7:$I$210,"",0))</f>
        <v>CIPS</v>
      </c>
      <c r="L286" s="36">
        <f>+_xlfn.XLOOKUP(Tabla1[[#This Row],[Ducto]],$D$1:$D$995,$L$1:$L$995)</f>
        <v>12.657</v>
      </c>
      <c r="M286" s="261">
        <f>IF(Tabla1[[#This Row],[Avance_km]]&lt;&gt;"",Tabla1[[#This Row],[Avance_km]],Tabla1[[#This Row],[Avance_Med]])*_xlfn.XLOOKUP(Tabla1[[#This Row],[Codigo_actividad]],Catalogo!$B$6:$B$51,Catalogo!$F$6:$F$51,0)</f>
        <v>36405.174870000003</v>
      </c>
    </row>
    <row r="287" spans="1:13" x14ac:dyDescent="0.25">
      <c r="A287" s="354">
        <v>46038</v>
      </c>
      <c r="B287" s="114" t="s">
        <v>12</v>
      </c>
      <c r="C287" s="155" t="s">
        <v>13</v>
      </c>
      <c r="D287" s="39" t="s">
        <v>66</v>
      </c>
      <c r="E287" s="40" t="s">
        <v>28</v>
      </c>
      <c r="F287" s="28">
        <v>0</v>
      </c>
      <c r="G287" s="28">
        <v>2277</v>
      </c>
      <c r="H287" s="53">
        <f>IF(Tabla1[[#This Row],[Codigo_actividad]]&lt;&gt;2.5,IF(((Tabla1[[#This Row],[fin]]-Tabla1[[#This Row],[inicio]])/1000)=0,"",((Tabla1[[#This Row],[fin]]-Tabla1[[#This Row],[inicio]])/1000)),"")</f>
        <v>2.2770000000000001</v>
      </c>
      <c r="I287" s="66"/>
      <c r="J287" s="76">
        <v>2.1</v>
      </c>
      <c r="K287" s="66" t="str">
        <f>IF(_xlfn.XLOOKUP($J287,Catalogo!$B$7:$B$210,Catalogo!$I$7:$I$210,"",0)=0,"",_xlfn.XLOOKUP($J287,Catalogo!$B$7:$B$210,Catalogo!$I$7:$I$210,"",0))</f>
        <v>CIPS</v>
      </c>
      <c r="L287" s="36">
        <f>+_xlfn.XLOOKUP(Tabla1[[#This Row],[Ducto]],$D$1:$D$995,$L$1:$L$995)</f>
        <v>2.2770000000000001</v>
      </c>
      <c r="M287" s="261">
        <f>IF(Tabla1[[#This Row],[Avance_km]]&lt;&gt;"",Tabla1[[#This Row],[Avance_km]],Tabla1[[#This Row],[Avance_Med]])*_xlfn.XLOOKUP(Tabla1[[#This Row],[Codigo_actividad]],Catalogo!$B$6:$B$51,Catalogo!$F$6:$F$51,0)</f>
        <v>33065.250570000004</v>
      </c>
    </row>
    <row r="288" spans="1:13" x14ac:dyDescent="0.25">
      <c r="A288" s="354">
        <v>46038</v>
      </c>
      <c r="B288" s="114" t="s">
        <v>30</v>
      </c>
      <c r="C288" s="155" t="s">
        <v>329</v>
      </c>
      <c r="D288" s="39" t="s">
        <v>212</v>
      </c>
      <c r="E288" s="40" t="s">
        <v>31</v>
      </c>
      <c r="F288" s="28">
        <v>18000</v>
      </c>
      <c r="G288" s="28">
        <v>21000</v>
      </c>
      <c r="H288" s="54" t="str">
        <f>IF(Tabla1[[#This Row],[Codigo_actividad]]&lt;&gt;2.5,IF(((Tabla1[[#This Row],[fin]]-Tabla1[[#This Row],[inicio]])/1000)=0,"",((Tabla1[[#This Row],[fin]]-Tabla1[[#This Row],[inicio]])/1000)),"")</f>
        <v/>
      </c>
      <c r="I288" s="66">
        <v>6</v>
      </c>
      <c r="J288" s="76">
        <v>2.5</v>
      </c>
      <c r="K288" s="66" t="str">
        <f>IF(_xlfn.XLOOKUP($J288,Catalogo!$B$7:$B$210,Catalogo!$I$7:$I$210,"",0)=0,"",_xlfn.XLOOKUP($J288,Catalogo!$B$7:$B$210,Catalogo!$I$7:$I$210,"",0))</f>
        <v>Resistividades pH BSR BPA</v>
      </c>
      <c r="L288" s="36">
        <f>+_xlfn.XLOOKUP(Tabla1[[#This Row],[Ducto]],$D$1:$D$995,$L$1:$L$995)</f>
        <v>23.864000000000001</v>
      </c>
      <c r="M288" s="261">
        <f>IF(Tabla1[[#This Row],[Avance_km]]&lt;&gt;"",Tabla1[[#This Row],[Avance_km]],Tabla1[[#This Row],[Avance_Med]])*_xlfn.XLOOKUP(Tabla1[[#This Row],[Codigo_actividad]],Catalogo!$B$6:$B$51,Catalogo!$F$6:$F$51,0)</f>
        <v>27948</v>
      </c>
    </row>
    <row r="289" spans="1:13" x14ac:dyDescent="0.25">
      <c r="A289" s="354">
        <v>46038</v>
      </c>
      <c r="B289" s="114" t="s">
        <v>30</v>
      </c>
      <c r="C289" s="155" t="s">
        <v>22</v>
      </c>
      <c r="D289" s="39" t="s">
        <v>74</v>
      </c>
      <c r="E289" s="40" t="s">
        <v>31</v>
      </c>
      <c r="F289" s="28">
        <v>0</v>
      </c>
      <c r="G289" s="28">
        <v>31</v>
      </c>
      <c r="H289" s="54" t="str">
        <f>IF(Tabla1[[#This Row],[Codigo_actividad]]&lt;&gt;2.5,IF(((Tabla1[[#This Row],[fin]]-Tabla1[[#This Row],[inicio]])/1000)=0,"",((Tabla1[[#This Row],[fin]]-Tabla1[[#This Row],[inicio]])/1000)),"")</f>
        <v/>
      </c>
      <c r="I289" s="66">
        <v>1</v>
      </c>
      <c r="J289" s="76">
        <v>2.5</v>
      </c>
      <c r="K289" s="66" t="str">
        <f>IF(_xlfn.XLOOKUP($J289,Catalogo!$B$7:$B$210,Catalogo!$I$7:$I$210,"",0)=0,"",_xlfn.XLOOKUP($J289,Catalogo!$B$7:$B$210,Catalogo!$I$7:$I$210,"",0))</f>
        <v>Resistividades pH BSR BPA</v>
      </c>
      <c r="L289" s="36">
        <f>+_xlfn.XLOOKUP(Tabla1[[#This Row],[Ducto]],$D$1:$D$995,$L$1:$L$995)</f>
        <v>3.1E-2</v>
      </c>
      <c r="M289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290" spans="1:13" x14ac:dyDescent="0.25">
      <c r="A290" s="354"/>
      <c r="B290" s="114"/>
      <c r="C290" s="155"/>
      <c r="D290" s="39"/>
      <c r="F290" s="28"/>
      <c r="G290" s="28"/>
      <c r="H290" s="53" t="str">
        <f>IF(Tabla1[[#This Row],[Codigo_actividad]]&lt;&gt;2.5,IF(((Tabla1[[#This Row],[fin]]-Tabla1[[#This Row],[inicio]])/1000)=0,"",((Tabla1[[#This Row],[fin]]-Tabla1[[#This Row],[inicio]])/1000)),"")</f>
        <v/>
      </c>
      <c r="I290" s="66"/>
      <c r="J290" s="76"/>
      <c r="K290" s="66" t="str">
        <f>IF(_xlfn.XLOOKUP($J290,Catalogo!$B$7:$B$210,Catalogo!$I$7:$I$210,"",0)=0,"",_xlfn.XLOOKUP($J290,Catalogo!$B$7:$B$210,Catalogo!$I$7:$I$210,"",0))</f>
        <v/>
      </c>
      <c r="L290" s="36"/>
      <c r="M290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91" spans="1:13" x14ac:dyDescent="0.25">
      <c r="A291" s="354">
        <v>46039</v>
      </c>
      <c r="B291" s="114" t="s">
        <v>12</v>
      </c>
      <c r="C291" s="155" t="s">
        <v>13</v>
      </c>
      <c r="D291" s="39" t="s">
        <v>38</v>
      </c>
      <c r="E291" s="40" t="s">
        <v>28</v>
      </c>
      <c r="F291" s="28">
        <v>0</v>
      </c>
      <c r="G291" s="28">
        <v>1855</v>
      </c>
      <c r="H291" s="53">
        <f>IF(Tabla1[[#This Row],[Codigo_actividad]]&lt;&gt;2.5,IF(((Tabla1[[#This Row],[fin]]-Tabla1[[#This Row],[inicio]])/1000)=0,"",((Tabla1[[#This Row],[fin]]-Tabla1[[#This Row],[inicio]])/1000)),"")</f>
        <v>1.855</v>
      </c>
      <c r="I291" s="66"/>
      <c r="J291" s="76">
        <v>2.1</v>
      </c>
      <c r="K291" s="66" t="str">
        <f>IF(_xlfn.XLOOKUP($J291,Catalogo!$B$7:$B$210,Catalogo!$I$7:$I$210,"",0)=0,"",_xlfn.XLOOKUP($J291,Catalogo!$B$7:$B$210,Catalogo!$I$7:$I$210,"",0))</f>
        <v>CIPS</v>
      </c>
      <c r="L291" s="36">
        <f>+_xlfn.XLOOKUP(Tabla1[[#This Row],[Ducto]],$D$1:$D$995,$L$1:$L$995)</f>
        <v>1.855</v>
      </c>
      <c r="M291" s="261">
        <f>IF(Tabla1[[#This Row],[Avance_km]]&lt;&gt;"",Tabla1[[#This Row],[Avance_km]],Tabla1[[#This Row],[Avance_Med]])*_xlfn.XLOOKUP(Tabla1[[#This Row],[Codigo_actividad]],Catalogo!$B$6:$B$51,Catalogo!$F$6:$F$51,0)</f>
        <v>26937.215550000001</v>
      </c>
    </row>
    <row r="292" spans="1:13" x14ac:dyDescent="0.25">
      <c r="A292" s="354">
        <v>46039</v>
      </c>
      <c r="B292" s="114" t="s">
        <v>30</v>
      </c>
      <c r="C292" s="155" t="s">
        <v>329</v>
      </c>
      <c r="D292" s="39" t="s">
        <v>212</v>
      </c>
      <c r="E292" s="40" t="s">
        <v>31</v>
      </c>
      <c r="F292" s="28">
        <v>21000</v>
      </c>
      <c r="G292" s="28">
        <v>24000</v>
      </c>
      <c r="H292" s="54" t="str">
        <f>IF(Tabla1[[#This Row],[Codigo_actividad]]&lt;&gt;2.5,IF(((Tabla1[[#This Row],[fin]]-Tabla1[[#This Row],[inicio]])/1000)=0,"",((Tabla1[[#This Row],[fin]]-Tabla1[[#This Row],[inicio]])/1000)),"")</f>
        <v/>
      </c>
      <c r="I292" s="66">
        <v>6</v>
      </c>
      <c r="J292" s="76">
        <v>2.5</v>
      </c>
      <c r="K292" s="66" t="str">
        <f>IF(_xlfn.XLOOKUP($J292,Catalogo!$B$7:$B$210,Catalogo!$I$7:$I$210,"",0)=0,"",_xlfn.XLOOKUP($J292,Catalogo!$B$7:$B$210,Catalogo!$I$7:$I$210,"",0))</f>
        <v>Resistividades pH BSR BPA</v>
      </c>
      <c r="L292" s="36">
        <f>+_xlfn.XLOOKUP(Tabla1[[#This Row],[Ducto]],$D$1:$D$995,$L$1:$L$995)</f>
        <v>23.864000000000001</v>
      </c>
      <c r="M292" s="261">
        <f>IF(Tabla1[[#This Row],[Avance_km]]&lt;&gt;"",Tabla1[[#This Row],[Avance_km]],Tabla1[[#This Row],[Avance_Med]])*_xlfn.XLOOKUP(Tabla1[[#This Row],[Codigo_actividad]],Catalogo!$B$6:$B$51,Catalogo!$F$6:$F$51,0)</f>
        <v>27948</v>
      </c>
    </row>
    <row r="293" spans="1:13" x14ac:dyDescent="0.25">
      <c r="A293" s="354"/>
      <c r="B293" s="114"/>
      <c r="C293" s="155"/>
      <c r="D293" s="39"/>
      <c r="F293" s="28"/>
      <c r="G293" s="28"/>
      <c r="H293" s="53" t="str">
        <f>IF(Tabla1[[#This Row],[Codigo_actividad]]&lt;&gt;2.5,IF(((Tabla1[[#This Row],[fin]]-Tabla1[[#This Row],[inicio]])/1000)=0,"",((Tabla1[[#This Row],[fin]]-Tabla1[[#This Row],[inicio]])/1000)),"")</f>
        <v/>
      </c>
      <c r="I293" s="66"/>
      <c r="J293" s="76"/>
      <c r="K293" s="66" t="str">
        <f>IF(_xlfn.XLOOKUP($J293,Catalogo!$B$7:$B$210,Catalogo!$I$7:$I$210,"",0)=0,"",_xlfn.XLOOKUP($J293,Catalogo!$B$7:$B$210,Catalogo!$I$7:$I$210,"",0))</f>
        <v/>
      </c>
      <c r="L293" s="36"/>
      <c r="M293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94" spans="1:13" x14ac:dyDescent="0.25">
      <c r="A294" s="354">
        <v>46040</v>
      </c>
      <c r="B294" s="114" t="s">
        <v>12</v>
      </c>
      <c r="C294" s="155" t="s">
        <v>13</v>
      </c>
      <c r="D294" s="39" t="s">
        <v>65</v>
      </c>
      <c r="E294" s="40" t="s">
        <v>28</v>
      </c>
      <c r="F294" s="28">
        <v>6000</v>
      </c>
      <c r="G294" s="28">
        <v>9640</v>
      </c>
      <c r="H294" s="53">
        <f>IF(Tabla1[[#This Row],[Codigo_actividad]]&lt;&gt;2.5,IF(((Tabla1[[#This Row],[fin]]-Tabla1[[#This Row],[inicio]])/1000)=0,"",((Tabla1[[#This Row],[fin]]-Tabla1[[#This Row],[inicio]])/1000)),"")</f>
        <v>3.64</v>
      </c>
      <c r="I294" s="66"/>
      <c r="J294" s="76">
        <v>2.1</v>
      </c>
      <c r="K294" s="66" t="str">
        <f>IF(_xlfn.XLOOKUP($J294,Catalogo!$B$7:$B$210,Catalogo!$I$7:$I$210,"",0)=0,"",_xlfn.XLOOKUP($J294,Catalogo!$B$7:$B$210,Catalogo!$I$7:$I$210,"",0))</f>
        <v>CIPS</v>
      </c>
      <c r="L294" s="36">
        <f>+_xlfn.XLOOKUP(Tabla1[[#This Row],[Ducto]],$D$1:$D$995,$L$1:$L$995)</f>
        <v>10.44422</v>
      </c>
      <c r="M294" s="261">
        <f>IF(Tabla1[[#This Row],[Avance_km]]&lt;&gt;"",Tabla1[[#This Row],[Avance_km]],Tabla1[[#This Row],[Avance_Med]])*_xlfn.XLOOKUP(Tabla1[[#This Row],[Codigo_actividad]],Catalogo!$B$6:$B$51,Catalogo!$F$6:$F$51,0)</f>
        <v>52857.932399999998</v>
      </c>
    </row>
    <row r="295" spans="1:13" x14ac:dyDescent="0.25">
      <c r="A295" s="354"/>
      <c r="B295" s="114"/>
      <c r="C295" s="155"/>
      <c r="D295" s="39"/>
      <c r="F295" s="28"/>
      <c r="G295" s="28"/>
      <c r="H295" s="53" t="str">
        <f>IF(Tabla1[[#This Row],[Codigo_actividad]]&lt;&gt;2.5,IF(((Tabla1[[#This Row],[fin]]-Tabla1[[#This Row],[inicio]])/1000)=0,"",((Tabla1[[#This Row],[fin]]-Tabla1[[#This Row],[inicio]])/1000)),"")</f>
        <v/>
      </c>
      <c r="I295" s="66"/>
      <c r="J295" s="76"/>
      <c r="K295" s="66" t="str">
        <f>IF(_xlfn.XLOOKUP($J295,Catalogo!$B$7:$B$210,Catalogo!$I$7:$I$210,"",0)=0,"",_xlfn.XLOOKUP($J295,Catalogo!$B$7:$B$210,Catalogo!$I$7:$I$210,"",0))</f>
        <v/>
      </c>
      <c r="L295" s="36"/>
      <c r="M295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96" spans="1:13" x14ac:dyDescent="0.25">
      <c r="A296" s="354">
        <v>46041</v>
      </c>
      <c r="B296" s="114" t="s">
        <v>12</v>
      </c>
      <c r="C296" s="155" t="s">
        <v>13</v>
      </c>
      <c r="D296" s="39" t="s">
        <v>65</v>
      </c>
      <c r="E296" s="40" t="s">
        <v>28</v>
      </c>
      <c r="F296" s="28">
        <v>1000</v>
      </c>
      <c r="G296" s="28">
        <v>6000</v>
      </c>
      <c r="H296" s="53">
        <f>IF(Tabla1[[#This Row],[Codigo_actividad]]&lt;&gt;2.5,IF(((Tabla1[[#This Row],[fin]]-Tabla1[[#This Row],[inicio]])/1000)=0,"",((Tabla1[[#This Row],[fin]]-Tabla1[[#This Row],[inicio]])/1000)),"")</f>
        <v>5</v>
      </c>
      <c r="I296" s="66"/>
      <c r="J296" s="76">
        <v>2.1</v>
      </c>
      <c r="K296" s="66" t="str">
        <f>IF(_xlfn.XLOOKUP($J296,Catalogo!$B$7:$B$210,Catalogo!$I$7:$I$210,"",0)=0,"",_xlfn.XLOOKUP($J296,Catalogo!$B$7:$B$210,Catalogo!$I$7:$I$210,"",0))</f>
        <v>CIPS</v>
      </c>
      <c r="L296" s="36">
        <f>+_xlfn.XLOOKUP(Tabla1[[#This Row],[Ducto]],$D$1:$D$995,$L$1:$L$995)</f>
        <v>10.44422</v>
      </c>
      <c r="M296" s="261">
        <f>IF(Tabla1[[#This Row],[Avance_km]]&lt;&gt;"",Tabla1[[#This Row],[Avance_km]],Tabla1[[#This Row],[Avance_Med]])*_xlfn.XLOOKUP(Tabla1[[#This Row],[Codigo_actividad]],Catalogo!$B$6:$B$51,Catalogo!$F$6:$F$51,0)</f>
        <v>72607.05</v>
      </c>
    </row>
    <row r="297" spans="1:13" x14ac:dyDescent="0.25">
      <c r="A297" s="354">
        <v>46041</v>
      </c>
      <c r="B297" s="114" t="s">
        <v>30</v>
      </c>
      <c r="C297" s="155" t="s">
        <v>329</v>
      </c>
      <c r="D297" s="39" t="s">
        <v>215</v>
      </c>
      <c r="E297" s="40" t="s">
        <v>31</v>
      </c>
      <c r="F297" s="28">
        <v>0</v>
      </c>
      <c r="G297" s="28">
        <v>1872</v>
      </c>
      <c r="H297" s="54" t="str">
        <f>IF(Tabla1[[#This Row],[Codigo_actividad]]&lt;&gt;2.5,IF(((Tabla1[[#This Row],[fin]]-Tabla1[[#This Row],[inicio]])/1000)=0,"",((Tabla1[[#This Row],[fin]]-Tabla1[[#This Row],[inicio]])/1000)),"")</f>
        <v/>
      </c>
      <c r="I297" s="66">
        <v>5</v>
      </c>
      <c r="J297" s="76">
        <v>2.5</v>
      </c>
      <c r="K297" s="66" t="str">
        <f>IF(_xlfn.XLOOKUP($J297,Catalogo!$B$7:$B$210,Catalogo!$I$7:$I$210,"",0)=0,"",_xlfn.XLOOKUP($J297,Catalogo!$B$7:$B$210,Catalogo!$I$7:$I$210,"",0))</f>
        <v>Resistividades pH BSR BPA</v>
      </c>
      <c r="L297" s="36">
        <v>1.8720000000000001</v>
      </c>
      <c r="M297" s="261">
        <f>IF(Tabla1[[#This Row],[Avance_km]]&lt;&gt;"",Tabla1[[#This Row],[Avance_km]],Tabla1[[#This Row],[Avance_Med]])*_xlfn.XLOOKUP(Tabla1[[#This Row],[Codigo_actividad]],Catalogo!$B$6:$B$51,Catalogo!$F$6:$F$51,0)</f>
        <v>23290</v>
      </c>
    </row>
    <row r="298" spans="1:13" x14ac:dyDescent="0.25">
      <c r="A298" s="354">
        <v>46041</v>
      </c>
      <c r="B298" s="114" t="s">
        <v>30</v>
      </c>
      <c r="C298" s="155" t="s">
        <v>329</v>
      </c>
      <c r="D298" s="39" t="s">
        <v>214</v>
      </c>
      <c r="E298" s="40" t="s">
        <v>31</v>
      </c>
      <c r="F298" s="28">
        <v>0</v>
      </c>
      <c r="G298" s="28">
        <v>9</v>
      </c>
      <c r="H298" s="54" t="str">
        <f>IF(Tabla1[[#This Row],[Codigo_actividad]]&lt;&gt;2.5,IF(((Tabla1[[#This Row],[fin]]-Tabla1[[#This Row],[inicio]])/1000)=0,"",((Tabla1[[#This Row],[fin]]-Tabla1[[#This Row],[inicio]])/1000)),"")</f>
        <v/>
      </c>
      <c r="I298" s="66">
        <v>1</v>
      </c>
      <c r="J298" s="76">
        <v>2.5</v>
      </c>
      <c r="K298" s="66" t="str">
        <f>IF(_xlfn.XLOOKUP($J298,Catalogo!$B$7:$B$210,Catalogo!$I$7:$I$210,"",0)=0,"",_xlfn.XLOOKUP($J298,Catalogo!$B$7:$B$210,Catalogo!$I$7:$I$210,"",0))</f>
        <v>Resistividades pH BSR BPA</v>
      </c>
      <c r="L298" s="36">
        <v>8.9999999999999993E-3</v>
      </c>
      <c r="M298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299" spans="1:13" x14ac:dyDescent="0.25">
      <c r="A299" s="354"/>
      <c r="B299" s="114"/>
      <c r="C299" s="155"/>
      <c r="D299" s="39"/>
      <c r="F299" s="28"/>
      <c r="G299" s="28"/>
      <c r="H299" s="54" t="str">
        <f>IF(Tabla1[[#This Row],[Codigo_actividad]]&lt;&gt;2.5,IF(((Tabla1[[#This Row],[fin]]-Tabla1[[#This Row],[inicio]])/1000)=0,"",((Tabla1[[#This Row],[fin]]-Tabla1[[#This Row],[inicio]])/1000)),"")</f>
        <v/>
      </c>
      <c r="I299" s="66"/>
      <c r="J299" s="76"/>
      <c r="K299" s="66" t="str">
        <f>IF(_xlfn.XLOOKUP($J299,Catalogo!$B$7:$B$210,Catalogo!$I$7:$I$210,"",0)=0,"",_xlfn.XLOOKUP($J299,Catalogo!$B$7:$B$210,Catalogo!$I$7:$I$210,"",0))</f>
        <v/>
      </c>
      <c r="L299" s="36"/>
      <c r="M299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00" spans="1:13" x14ac:dyDescent="0.25">
      <c r="A300" s="354">
        <v>46042</v>
      </c>
      <c r="B300" s="114" t="s">
        <v>12</v>
      </c>
      <c r="C300" s="155" t="s">
        <v>13</v>
      </c>
      <c r="D300" s="39" t="s">
        <v>65</v>
      </c>
      <c r="E300" s="40" t="s">
        <v>28</v>
      </c>
      <c r="F300" s="28">
        <v>0</v>
      </c>
      <c r="G300" s="28">
        <v>1000</v>
      </c>
      <c r="H300" s="53">
        <f>IF(Tabla1[[#This Row],[Codigo_actividad]]&lt;&gt;2.5,IF(((Tabla1[[#This Row],[fin]]-Tabla1[[#This Row],[inicio]])/1000)=0,"",((Tabla1[[#This Row],[fin]]-Tabla1[[#This Row],[inicio]])/1000)),"")</f>
        <v>1</v>
      </c>
      <c r="I300" s="66"/>
      <c r="J300" s="76">
        <v>2.1</v>
      </c>
      <c r="K300" s="66" t="str">
        <f>IF(_xlfn.XLOOKUP($J300,Catalogo!$B$7:$B$210,Catalogo!$I$7:$I$210,"",0)=0,"",_xlfn.XLOOKUP($J300,Catalogo!$B$7:$B$210,Catalogo!$I$7:$I$210,"",0))</f>
        <v>CIPS</v>
      </c>
      <c r="L300" s="36">
        <f>+_xlfn.XLOOKUP(Tabla1[[#This Row],[Ducto]],$D$1:$D$995,$L$1:$L$995)</f>
        <v>10.44422</v>
      </c>
      <c r="M300" s="261">
        <f>IF(Tabla1[[#This Row],[Avance_km]]&lt;&gt;"",Tabla1[[#This Row],[Avance_km]],Tabla1[[#This Row],[Avance_Med]])*_xlfn.XLOOKUP(Tabla1[[#This Row],[Codigo_actividad]],Catalogo!$B$6:$B$51,Catalogo!$F$6:$F$51,0)</f>
        <v>14521.41</v>
      </c>
    </row>
    <row r="301" spans="1:13" x14ac:dyDescent="0.25">
      <c r="A301" s="354">
        <v>46042</v>
      </c>
      <c r="B301" s="114" t="s">
        <v>12</v>
      </c>
      <c r="C301" s="155" t="s">
        <v>13</v>
      </c>
      <c r="D301" s="39" t="s">
        <v>65</v>
      </c>
      <c r="E301" s="40" t="s">
        <v>28</v>
      </c>
      <c r="F301" s="28">
        <v>9640</v>
      </c>
      <c r="G301" s="28">
        <v>10444</v>
      </c>
      <c r="H301" s="53">
        <f>IF(Tabla1[[#This Row],[Codigo_actividad]]&lt;&gt;2.5,IF(((Tabla1[[#This Row],[fin]]-Tabla1[[#This Row],[inicio]])/1000)=0,"",((Tabla1[[#This Row],[fin]]-Tabla1[[#This Row],[inicio]])/1000)),"")</f>
        <v>0.80400000000000005</v>
      </c>
      <c r="I301" s="66"/>
      <c r="J301" s="76">
        <v>2.1</v>
      </c>
      <c r="K301" s="66" t="str">
        <f>IF(_xlfn.XLOOKUP($J301,Catalogo!$B$7:$B$210,Catalogo!$I$7:$I$210,"",0)=0,"",_xlfn.XLOOKUP($J301,Catalogo!$B$7:$B$210,Catalogo!$I$7:$I$210,"",0))</f>
        <v>CIPS</v>
      </c>
      <c r="L301" s="36">
        <f>+_xlfn.XLOOKUP(Tabla1[[#This Row],[Ducto]],$D$1:$D$995,$L$1:$L$995)</f>
        <v>10.44422</v>
      </c>
      <c r="M301" s="261">
        <f>IF(Tabla1[[#This Row],[Avance_km]]&lt;&gt;"",Tabla1[[#This Row],[Avance_km]],Tabla1[[#This Row],[Avance_Med]])*_xlfn.XLOOKUP(Tabla1[[#This Row],[Codigo_actividad]],Catalogo!$B$6:$B$51,Catalogo!$F$6:$F$51,0)</f>
        <v>11675.21364</v>
      </c>
    </row>
    <row r="302" spans="1:13" x14ac:dyDescent="0.25">
      <c r="A302" s="354">
        <v>46042</v>
      </c>
      <c r="B302" s="114" t="s">
        <v>12</v>
      </c>
      <c r="C302" s="155" t="s">
        <v>13</v>
      </c>
      <c r="D302" s="39" t="s">
        <v>344</v>
      </c>
      <c r="E302" s="40" t="s">
        <v>28</v>
      </c>
      <c r="F302" s="28">
        <v>0</v>
      </c>
      <c r="G302" s="28">
        <v>37</v>
      </c>
      <c r="H302" s="53">
        <f>IF(Tabla1[[#This Row],[Codigo_actividad]]&lt;&gt;2.5,IF(((Tabla1[[#This Row],[fin]]-Tabla1[[#This Row],[inicio]])/1000)=0,"",((Tabla1[[#This Row],[fin]]-Tabla1[[#This Row],[inicio]])/1000)),"")</f>
        <v>3.6999999999999998E-2</v>
      </c>
      <c r="I302" s="66"/>
      <c r="J302" s="76">
        <v>2.1</v>
      </c>
      <c r="K302" s="66" t="str">
        <f>IF(_xlfn.XLOOKUP($J302,Catalogo!$B$7:$B$210,Catalogo!$I$7:$I$210,"",0)=0,"",_xlfn.XLOOKUP($J302,Catalogo!$B$7:$B$210,Catalogo!$I$7:$I$210,"",0))</f>
        <v>CIPS</v>
      </c>
      <c r="L302" s="36">
        <v>3.6999999999999998E-2</v>
      </c>
      <c r="M302" s="261">
        <f>IF(Tabla1[[#This Row],[Avance_km]]&lt;&gt;"",Tabla1[[#This Row],[Avance_km]],Tabla1[[#This Row],[Avance_Med]])*_xlfn.XLOOKUP(Tabla1[[#This Row],[Codigo_actividad]],Catalogo!$B$6:$B$51,Catalogo!$F$6:$F$51,0)</f>
        <v>537.29216999999994</v>
      </c>
    </row>
    <row r="303" spans="1:13" x14ac:dyDescent="0.25">
      <c r="A303" s="354">
        <v>46042</v>
      </c>
      <c r="B303" s="114" t="s">
        <v>12</v>
      </c>
      <c r="C303" s="155" t="s">
        <v>13</v>
      </c>
      <c r="D303" s="39" t="s">
        <v>344</v>
      </c>
      <c r="E303" s="40" t="s">
        <v>36</v>
      </c>
      <c r="F303" s="28">
        <v>0</v>
      </c>
      <c r="G303" s="28">
        <v>37</v>
      </c>
      <c r="H303" s="53">
        <f>IF(Tabla1[[#This Row],[Codigo_actividad]]&lt;&gt;2.5,IF(((Tabla1[[#This Row],[fin]]-Tabla1[[#This Row],[inicio]])/1000)=0,"",((Tabla1[[#This Row],[fin]]-Tabla1[[#This Row],[inicio]])/1000)),"")</f>
        <v>3.6999999999999998E-2</v>
      </c>
      <c r="I303" s="66"/>
      <c r="J303" s="76">
        <v>2.2999999999999998</v>
      </c>
      <c r="K303" s="66" t="str">
        <f>IF(_xlfn.XLOOKUP($J303,Catalogo!$B$7:$B$210,Catalogo!$I$7:$I$210,"",0)=0,"",_xlfn.XLOOKUP($J303,Catalogo!$B$7:$B$210,Catalogo!$I$7:$I$210,"",0))</f>
        <v>DCVG</v>
      </c>
      <c r="L303" s="36">
        <v>3.6999999999999998E-2</v>
      </c>
      <c r="M303" s="261">
        <f>IF(Tabla1[[#This Row],[Avance_km]]&lt;&gt;"",Tabla1[[#This Row],[Avance_km]],Tabla1[[#This Row],[Avance_Med]])*_xlfn.XLOOKUP(Tabla1[[#This Row],[Codigo_actividad]],Catalogo!$B$6:$B$51,Catalogo!$F$6:$F$51,0)</f>
        <v>501.55830999999995</v>
      </c>
    </row>
    <row r="304" spans="1:13" x14ac:dyDescent="0.25">
      <c r="A304" s="354">
        <v>46042</v>
      </c>
      <c r="B304" s="114" t="s">
        <v>12</v>
      </c>
      <c r="C304" s="155" t="s">
        <v>13</v>
      </c>
      <c r="D304" s="39" t="s">
        <v>344</v>
      </c>
      <c r="E304" s="40" t="s">
        <v>16</v>
      </c>
      <c r="F304" s="28">
        <v>0</v>
      </c>
      <c r="G304" s="28">
        <v>37</v>
      </c>
      <c r="H304" s="53">
        <f>IF(Tabla1[[#This Row],[Codigo_actividad]]&lt;&gt;2.5,IF(((Tabla1[[#This Row],[fin]]-Tabla1[[#This Row],[inicio]])/1000)=0,"",((Tabla1[[#This Row],[fin]]-Tabla1[[#This Row],[inicio]])/1000)),"")</f>
        <v>3.6999999999999998E-2</v>
      </c>
      <c r="I304" s="66"/>
      <c r="J304" s="76">
        <v>2.6</v>
      </c>
      <c r="K304" s="66" t="str">
        <f>IF(_xlfn.XLOOKUP($J304,Catalogo!$B$7:$B$210,Catalogo!$I$7:$I$210,"",0)=0,"",_xlfn.XLOOKUP($J304,Catalogo!$B$7:$B$210,Catalogo!$I$7:$I$210,"",0))</f>
        <v>Localizacion</v>
      </c>
      <c r="L304" s="36">
        <v>3.6999999999999998E-2</v>
      </c>
      <c r="M304" s="261">
        <f>IF(Tabla1[[#This Row],[Avance_km]]&lt;&gt;"",Tabla1[[#This Row],[Avance_km]],Tabla1[[#This Row],[Avance_Med]])*_xlfn.XLOOKUP(Tabla1[[#This Row],[Codigo_actividad]],Catalogo!$B$6:$B$51,Catalogo!$F$6:$F$51,0)</f>
        <v>83.524540000000002</v>
      </c>
    </row>
    <row r="305" spans="1:16" x14ac:dyDescent="0.25">
      <c r="A305" s="354">
        <v>46042</v>
      </c>
      <c r="B305" s="114" t="s">
        <v>30</v>
      </c>
      <c r="C305" s="155" t="s">
        <v>329</v>
      </c>
      <c r="D305" s="39" t="s">
        <v>213</v>
      </c>
      <c r="E305" s="40" t="s">
        <v>31</v>
      </c>
      <c r="F305" s="28">
        <v>0</v>
      </c>
      <c r="G305" s="28">
        <v>25</v>
      </c>
      <c r="H305" s="54"/>
      <c r="I305" s="66">
        <v>1</v>
      </c>
      <c r="J305" s="76">
        <v>2.5</v>
      </c>
      <c r="K305" s="66" t="str">
        <f>IF(_xlfn.XLOOKUP($J305,Catalogo!$B$7:$B$210,Catalogo!$I$7:$I$210,"",0)=0,"",_xlfn.XLOOKUP($J305,Catalogo!$B$7:$B$210,Catalogo!$I$7:$I$210,"",0))</f>
        <v>Resistividades pH BSR BPA</v>
      </c>
      <c r="L305" s="36">
        <v>2.5000000000000001E-2</v>
      </c>
      <c r="M305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06" spans="1:16" x14ac:dyDescent="0.25">
      <c r="A306" s="354">
        <v>46042</v>
      </c>
      <c r="B306" s="114" t="s">
        <v>30</v>
      </c>
      <c r="C306" s="155" t="s">
        <v>329</v>
      </c>
      <c r="D306" s="39" t="s">
        <v>216</v>
      </c>
      <c r="E306" s="40" t="s">
        <v>31</v>
      </c>
      <c r="F306" s="28">
        <v>0</v>
      </c>
      <c r="G306" s="28">
        <v>2</v>
      </c>
      <c r="H306" s="54"/>
      <c r="I306" s="66">
        <v>1</v>
      </c>
      <c r="J306" s="76">
        <v>2.5</v>
      </c>
      <c r="K306" s="66" t="str">
        <f>IF(_xlfn.XLOOKUP($J306,Catalogo!$B$7:$B$210,Catalogo!$I$7:$I$210,"",0)=0,"",_xlfn.XLOOKUP($J306,Catalogo!$B$7:$B$210,Catalogo!$I$7:$I$210,"",0))</f>
        <v>Resistividades pH BSR BPA</v>
      </c>
      <c r="L306" s="36">
        <v>2E-3</v>
      </c>
      <c r="M306" s="261">
        <f>IF(Tabla1[[#This Row],[Avance_km]]&lt;&gt;"",Tabla1[[#This Row],[Avance_km]],Tabla1[[#This Row],[Avance_Med]])*_xlfn.XLOOKUP(Tabla1[[#This Row],[Codigo_actividad]],Catalogo!$B$6:$B$51,Catalogo!$F$6:$F$51,0)</f>
        <v>4658</v>
      </c>
      <c r="N306" s="26"/>
      <c r="O306" s="26"/>
      <c r="P306" s="26"/>
    </row>
    <row r="307" spans="1:16" x14ac:dyDescent="0.25">
      <c r="A307" s="354">
        <v>46042</v>
      </c>
      <c r="B307" s="114" t="s">
        <v>30</v>
      </c>
      <c r="C307" s="155" t="s">
        <v>329</v>
      </c>
      <c r="D307" s="39" t="s">
        <v>339</v>
      </c>
      <c r="E307" s="40" t="s">
        <v>31</v>
      </c>
      <c r="F307" s="28">
        <v>0</v>
      </c>
      <c r="G307" s="28">
        <v>2</v>
      </c>
      <c r="H307" s="54"/>
      <c r="I307" s="66">
        <v>1</v>
      </c>
      <c r="J307" s="76">
        <v>2.5</v>
      </c>
      <c r="K307" s="66" t="str">
        <f>IF(_xlfn.XLOOKUP($J307,Catalogo!$B$7:$B$210,Catalogo!$I$7:$I$210,"",0)=0,"",_xlfn.XLOOKUP($J307,Catalogo!$B$7:$B$210,Catalogo!$I$7:$I$210,"",0))</f>
        <v>Resistividades pH BSR BPA</v>
      </c>
      <c r="L307" s="36">
        <v>2E-3</v>
      </c>
      <c r="M307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08" spans="1:16" x14ac:dyDescent="0.25">
      <c r="A308" s="354">
        <v>46042</v>
      </c>
      <c r="B308" s="114" t="s">
        <v>30</v>
      </c>
      <c r="C308" s="155" t="s">
        <v>329</v>
      </c>
      <c r="D308" s="39" t="s">
        <v>219</v>
      </c>
      <c r="E308" s="40" t="s">
        <v>31</v>
      </c>
      <c r="F308" s="28">
        <v>0</v>
      </c>
      <c r="G308" s="28">
        <v>372</v>
      </c>
      <c r="H308" s="54"/>
      <c r="I308" s="66">
        <v>2</v>
      </c>
      <c r="J308" s="76">
        <v>2.5</v>
      </c>
      <c r="K308" s="66" t="str">
        <f>IF(_xlfn.XLOOKUP($J308,Catalogo!$B$7:$B$210,Catalogo!$I$7:$I$210,"",0)=0,"",_xlfn.XLOOKUP($J308,Catalogo!$B$7:$B$210,Catalogo!$I$7:$I$210,"",0))</f>
        <v>Resistividades pH BSR BPA</v>
      </c>
      <c r="L308" s="36">
        <v>0.372</v>
      </c>
      <c r="M308" s="261">
        <f>IF(Tabla1[[#This Row],[Avance_km]]&lt;&gt;"",Tabla1[[#This Row],[Avance_km]],Tabla1[[#This Row],[Avance_Med]])*_xlfn.XLOOKUP(Tabla1[[#This Row],[Codigo_actividad]],Catalogo!$B$6:$B$51,Catalogo!$F$6:$F$51,0)</f>
        <v>9316</v>
      </c>
    </row>
    <row r="309" spans="1:16" x14ac:dyDescent="0.25">
      <c r="A309" s="354">
        <v>46042</v>
      </c>
      <c r="B309" s="114" t="s">
        <v>30</v>
      </c>
      <c r="C309" s="155" t="s">
        <v>329</v>
      </c>
      <c r="D309" s="39" t="s">
        <v>218</v>
      </c>
      <c r="E309" s="40" t="s">
        <v>31</v>
      </c>
      <c r="F309" s="28">
        <v>0</v>
      </c>
      <c r="G309" s="28">
        <v>1427</v>
      </c>
      <c r="H309" s="54"/>
      <c r="I309" s="66">
        <v>4</v>
      </c>
      <c r="J309" s="76">
        <v>2.5</v>
      </c>
      <c r="K309" s="66" t="str">
        <f>IF(_xlfn.XLOOKUP($J309,Catalogo!$B$7:$B$210,Catalogo!$I$7:$I$210,"",0)=0,"",_xlfn.XLOOKUP($J309,Catalogo!$B$7:$B$210,Catalogo!$I$7:$I$210,"",0))</f>
        <v>Resistividades pH BSR BPA</v>
      </c>
      <c r="L309" s="36">
        <v>1.472</v>
      </c>
      <c r="M309" s="261">
        <f>IF(Tabla1[[#This Row],[Avance_km]]&lt;&gt;"",Tabla1[[#This Row],[Avance_km]],Tabla1[[#This Row],[Avance_Med]])*_xlfn.XLOOKUP(Tabla1[[#This Row],[Codigo_actividad]],Catalogo!$B$6:$B$51,Catalogo!$F$6:$F$51,0)</f>
        <v>18632</v>
      </c>
    </row>
    <row r="310" spans="1:16" x14ac:dyDescent="0.25">
      <c r="A310" s="354"/>
      <c r="B310" s="114"/>
      <c r="C310" s="155"/>
      <c r="D310" s="39"/>
      <c r="F310" s="28"/>
      <c r="G310" s="28"/>
      <c r="H310" s="54"/>
      <c r="I310" s="66"/>
      <c r="J310" s="76"/>
      <c r="K310" s="66" t="str">
        <f>IF(_xlfn.XLOOKUP($J310,Catalogo!$B$7:$B$210,Catalogo!$I$7:$I$210,"",0)=0,"",_xlfn.XLOOKUP($J310,Catalogo!$B$7:$B$210,Catalogo!$I$7:$I$210,"",0))</f>
        <v/>
      </c>
      <c r="L310" s="36"/>
      <c r="M310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11" spans="1:16" x14ac:dyDescent="0.25">
      <c r="A311" s="354">
        <v>46043</v>
      </c>
      <c r="B311" s="114" t="s">
        <v>30</v>
      </c>
      <c r="C311" s="155" t="s">
        <v>329</v>
      </c>
      <c r="D311" s="39" t="s">
        <v>341</v>
      </c>
      <c r="E311" s="40" t="s">
        <v>31</v>
      </c>
      <c r="F311" s="28">
        <v>0</v>
      </c>
      <c r="G311" s="28">
        <v>7</v>
      </c>
      <c r="H311" s="54"/>
      <c r="I311" s="66">
        <v>1</v>
      </c>
      <c r="J311" s="76">
        <v>2.5</v>
      </c>
      <c r="K311" s="66" t="str">
        <f>IF(_xlfn.XLOOKUP($J311,Catalogo!$B$7:$B$210,Catalogo!$I$7:$I$210,"",0)=0,"",_xlfn.XLOOKUP($J311,Catalogo!$B$7:$B$210,Catalogo!$I$7:$I$210,"",0))</f>
        <v>Resistividades pH BSR BPA</v>
      </c>
      <c r="L311" s="36">
        <v>7.0000000000000001E-3</v>
      </c>
      <c r="M311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12" spans="1:16" x14ac:dyDescent="0.25">
      <c r="A312" s="354">
        <v>46043</v>
      </c>
      <c r="B312" s="114" t="s">
        <v>30</v>
      </c>
      <c r="C312" s="155" t="s">
        <v>329</v>
      </c>
      <c r="D312" s="39" t="s">
        <v>221</v>
      </c>
      <c r="E312" s="40" t="s">
        <v>31</v>
      </c>
      <c r="F312" s="28">
        <v>0</v>
      </c>
      <c r="G312" s="28">
        <v>10</v>
      </c>
      <c r="H312" s="54"/>
      <c r="I312" s="66">
        <v>1</v>
      </c>
      <c r="J312" s="76">
        <v>2.5</v>
      </c>
      <c r="K312" s="66" t="str">
        <f>IF(_xlfn.XLOOKUP($J312,Catalogo!$B$7:$B$210,Catalogo!$I$7:$I$210,"",0)=0,"",_xlfn.XLOOKUP($J312,Catalogo!$B$7:$B$210,Catalogo!$I$7:$I$210,"",0))</f>
        <v>Resistividades pH BSR BPA</v>
      </c>
      <c r="L312" s="36">
        <v>0.01</v>
      </c>
      <c r="M312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13" spans="1:16" x14ac:dyDescent="0.25">
      <c r="A313" s="354"/>
      <c r="B313" s="114"/>
      <c r="C313" s="155"/>
      <c r="D313" s="39"/>
      <c r="F313" s="28"/>
      <c r="G313" s="28"/>
      <c r="H313" s="54"/>
      <c r="I313" s="66"/>
      <c r="J313" s="76"/>
      <c r="K313" s="66" t="str">
        <f>IF(_xlfn.XLOOKUP($J313,Catalogo!$B$7:$B$210,Catalogo!$I$7:$I$210,"",0)=0,"",_xlfn.XLOOKUP($J313,Catalogo!$B$7:$B$210,Catalogo!$I$7:$I$210,"",0))</f>
        <v/>
      </c>
      <c r="L313" s="36"/>
      <c r="M313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14" spans="1:16" x14ac:dyDescent="0.25">
      <c r="A314" s="354">
        <v>46044</v>
      </c>
      <c r="B314" s="114" t="s">
        <v>30</v>
      </c>
      <c r="C314" s="155" t="s">
        <v>329</v>
      </c>
      <c r="D314" s="39" t="s">
        <v>224</v>
      </c>
      <c r="E314" s="40" t="s">
        <v>31</v>
      </c>
      <c r="F314" s="28">
        <v>0</v>
      </c>
      <c r="G314" s="28">
        <v>5</v>
      </c>
      <c r="H314" s="54"/>
      <c r="I314" s="66">
        <v>1</v>
      </c>
      <c r="J314" s="76">
        <v>2.5</v>
      </c>
      <c r="K314" s="66" t="str">
        <f>IF(_xlfn.XLOOKUP($J314,Catalogo!$B$7:$B$210,Catalogo!$I$7:$I$210,"",0)=0,"",_xlfn.XLOOKUP($J314,Catalogo!$B$7:$B$210,Catalogo!$I$7:$I$210,"",0))</f>
        <v>Resistividades pH BSR BPA</v>
      </c>
      <c r="L314" s="36">
        <v>5.0000000000000001E-3</v>
      </c>
      <c r="M314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15" spans="1:16" x14ac:dyDescent="0.25">
      <c r="A315" s="354">
        <v>46044</v>
      </c>
      <c r="B315" s="114" t="s">
        <v>30</v>
      </c>
      <c r="C315" s="155" t="s">
        <v>329</v>
      </c>
      <c r="D315" s="39" t="s">
        <v>244</v>
      </c>
      <c r="E315" s="40" t="s">
        <v>31</v>
      </c>
      <c r="F315" s="28">
        <v>0</v>
      </c>
      <c r="G315" s="28">
        <v>440</v>
      </c>
      <c r="H315" s="54"/>
      <c r="I315" s="66">
        <v>2</v>
      </c>
      <c r="J315" s="76">
        <v>2.5</v>
      </c>
      <c r="K315" s="66" t="str">
        <f>IF(_xlfn.XLOOKUP($J315,Catalogo!$B$7:$B$210,Catalogo!$I$7:$I$210,"",0)=0,"",_xlfn.XLOOKUP($J315,Catalogo!$B$7:$B$210,Catalogo!$I$7:$I$210,"",0))</f>
        <v>Resistividades pH BSR BPA</v>
      </c>
      <c r="L315" s="36">
        <v>0.44</v>
      </c>
      <c r="M315" s="261">
        <f>IF(Tabla1[[#This Row],[Avance_km]]&lt;&gt;"",Tabla1[[#This Row],[Avance_km]],Tabla1[[#This Row],[Avance_Med]])*_xlfn.XLOOKUP(Tabla1[[#This Row],[Codigo_actividad]],Catalogo!$B$6:$B$51,Catalogo!$F$6:$F$51,0)</f>
        <v>9316</v>
      </c>
    </row>
    <row r="316" spans="1:16" x14ac:dyDescent="0.25">
      <c r="A316" s="354">
        <v>46044</v>
      </c>
      <c r="B316" s="114" t="s">
        <v>30</v>
      </c>
      <c r="C316" s="155" t="s">
        <v>329</v>
      </c>
      <c r="D316" s="39" t="s">
        <v>217</v>
      </c>
      <c r="E316" s="40" t="s">
        <v>31</v>
      </c>
      <c r="F316" s="28">
        <v>0</v>
      </c>
      <c r="G316" s="28">
        <v>1000</v>
      </c>
      <c r="H316" s="54"/>
      <c r="I316" s="66">
        <v>3</v>
      </c>
      <c r="J316" s="76">
        <v>2.5</v>
      </c>
      <c r="K316" s="66" t="str">
        <f>IF(_xlfn.XLOOKUP($J316,Catalogo!$B$7:$B$210,Catalogo!$I$7:$I$210,"",0)=0,"",_xlfn.XLOOKUP($J316,Catalogo!$B$7:$B$210,Catalogo!$I$7:$I$210,"",0))</f>
        <v>Resistividades pH BSR BPA</v>
      </c>
      <c r="L316" s="36">
        <v>5.8479999999999999</v>
      </c>
      <c r="M316" s="261">
        <f>IF(Tabla1[[#This Row],[Avance_km]]&lt;&gt;"",Tabla1[[#This Row],[Avance_km]],Tabla1[[#This Row],[Avance_Med]])*_xlfn.XLOOKUP(Tabla1[[#This Row],[Codigo_actividad]],Catalogo!$B$6:$B$51,Catalogo!$F$6:$F$51,0)</f>
        <v>13974</v>
      </c>
    </row>
    <row r="317" spans="1:16" x14ac:dyDescent="0.25">
      <c r="A317" s="354"/>
      <c r="B317" s="114"/>
      <c r="C317" s="155"/>
      <c r="D317" s="39"/>
      <c r="F317" s="28"/>
      <c r="G317" s="28"/>
      <c r="H317" s="54"/>
      <c r="I317" s="66"/>
      <c r="J317" s="76"/>
      <c r="K317" s="66" t="str">
        <f>IF(_xlfn.XLOOKUP($J317,Catalogo!$B$7:$B$210,Catalogo!$I$7:$I$210,"",0)=0,"",_xlfn.XLOOKUP($J317,Catalogo!$B$7:$B$210,Catalogo!$I$7:$I$210,"",0))</f>
        <v/>
      </c>
      <c r="L317" s="36"/>
      <c r="M317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18" spans="1:16" x14ac:dyDescent="0.25">
      <c r="A318" s="354">
        <v>46045</v>
      </c>
      <c r="B318" s="114" t="s">
        <v>30</v>
      </c>
      <c r="C318" s="155" t="s">
        <v>329</v>
      </c>
      <c r="D318" s="39" t="s">
        <v>217</v>
      </c>
      <c r="E318" s="40" t="s">
        <v>31</v>
      </c>
      <c r="F318" s="28">
        <v>1000</v>
      </c>
      <c r="G318" s="28">
        <v>5500</v>
      </c>
      <c r="H318" s="54"/>
      <c r="I318" s="66">
        <v>9</v>
      </c>
      <c r="J318" s="76">
        <v>2.5</v>
      </c>
      <c r="K318" s="66" t="str">
        <f>IF(_xlfn.XLOOKUP($J318,Catalogo!$B$7:$B$210,Catalogo!$I$7:$I$210,"",0)=0,"",_xlfn.XLOOKUP($J318,Catalogo!$B$7:$B$210,Catalogo!$I$7:$I$210,"",0))</f>
        <v>Resistividades pH BSR BPA</v>
      </c>
      <c r="L318" s="36">
        <v>5.8479999999999999</v>
      </c>
      <c r="M318" s="261">
        <f>IF(Tabla1[[#This Row],[Avance_km]]&lt;&gt;"",Tabla1[[#This Row],[Avance_km]],Tabla1[[#This Row],[Avance_Med]])*_xlfn.XLOOKUP(Tabla1[[#This Row],[Codigo_actividad]],Catalogo!$B$6:$B$51,Catalogo!$F$6:$F$51,0)</f>
        <v>41922</v>
      </c>
    </row>
    <row r="319" spans="1:16" x14ac:dyDescent="0.25">
      <c r="A319" s="354"/>
      <c r="B319" s="114"/>
      <c r="C319" s="155"/>
      <c r="D319" s="39"/>
      <c r="F319" s="28"/>
      <c r="G319" s="28"/>
      <c r="H319" s="54"/>
      <c r="I319" s="66"/>
      <c r="J319" s="76"/>
      <c r="K319" s="66" t="str">
        <f>IF(_xlfn.XLOOKUP($J319,Catalogo!$B$7:$B$210,Catalogo!$I$7:$I$210,"",0)=0,"",_xlfn.XLOOKUP($J319,Catalogo!$B$7:$B$210,Catalogo!$I$7:$I$210,"",0))</f>
        <v/>
      </c>
      <c r="L319" s="36"/>
      <c r="M319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20" spans="1:16" x14ac:dyDescent="0.25">
      <c r="A320" s="354">
        <v>46048</v>
      </c>
      <c r="B320" s="114" t="s">
        <v>30</v>
      </c>
      <c r="C320" s="155" t="s">
        <v>329</v>
      </c>
      <c r="D320" s="39" t="s">
        <v>242</v>
      </c>
      <c r="E320" s="40" t="s">
        <v>31</v>
      </c>
      <c r="F320" s="28">
        <v>0</v>
      </c>
      <c r="G320" s="28">
        <v>44</v>
      </c>
      <c r="H320" s="54"/>
      <c r="I320" s="66">
        <v>1</v>
      </c>
      <c r="J320" s="76">
        <v>2.5</v>
      </c>
      <c r="K320" s="55" t="str">
        <f>IF(_xlfn.XLOOKUP($J320,Catalogo!$B$7:$B$210,Catalogo!$I$7:$I$210,"",0)=0,"",_xlfn.XLOOKUP($J320,Catalogo!$B$7:$B$210,Catalogo!$I$7:$I$210,"",0))</f>
        <v>Resistividades pH BSR BPA</v>
      </c>
      <c r="L320" s="36">
        <v>4.3999999999999997E-2</v>
      </c>
      <c r="M320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21" spans="1:13" x14ac:dyDescent="0.25">
      <c r="A321" s="354">
        <v>46048</v>
      </c>
      <c r="B321" s="114" t="s">
        <v>30</v>
      </c>
      <c r="C321" s="155" t="s">
        <v>329</v>
      </c>
      <c r="D321" s="39" t="s">
        <v>253</v>
      </c>
      <c r="E321" s="40" t="s">
        <v>31</v>
      </c>
      <c r="F321" s="28">
        <v>0</v>
      </c>
      <c r="G321" s="28">
        <v>1324</v>
      </c>
      <c r="H321" s="54" t="str">
        <f>IF(Tabla1[[#This Row],[Codigo_actividad]]&lt;&gt;2.5,IF(((Tabla1[[#This Row],[fin]]-Tabla1[[#This Row],[inicio]])/1000)=0,"",((Tabla1[[#This Row],[fin]]-Tabla1[[#This Row],[inicio]])/1000)),"")</f>
        <v/>
      </c>
      <c r="I321" s="66">
        <v>4</v>
      </c>
      <c r="J321" s="76">
        <v>2.5</v>
      </c>
      <c r="K321" s="55" t="str">
        <f>IF(_xlfn.XLOOKUP($J321,Catalogo!$B$7:$B$210,Catalogo!$I$7:$I$210,"",0)=0,"",_xlfn.XLOOKUP($J321,Catalogo!$B$7:$B$210,Catalogo!$I$7:$I$210,"",0))</f>
        <v>Resistividades pH BSR BPA</v>
      </c>
      <c r="L321" s="36">
        <v>1.3240000000000001</v>
      </c>
      <c r="M321" s="261">
        <f>IF(Tabla1[[#This Row],[Avance_km]]&lt;&gt;"",Tabla1[[#This Row],[Avance_km]],Tabla1[[#This Row],[Avance_Med]])*_xlfn.XLOOKUP(Tabla1[[#This Row],[Codigo_actividad]],Catalogo!$B$6:$B$51,Catalogo!$F$6:$F$51,0)</f>
        <v>18632</v>
      </c>
    </row>
    <row r="322" spans="1:13" x14ac:dyDescent="0.25">
      <c r="A322" s="354">
        <v>46048</v>
      </c>
      <c r="B322" s="114" t="s">
        <v>30</v>
      </c>
      <c r="C322" s="155" t="s">
        <v>329</v>
      </c>
      <c r="D322" s="39" t="s">
        <v>254</v>
      </c>
      <c r="E322" s="40" t="s">
        <v>31</v>
      </c>
      <c r="F322" s="28">
        <v>0</v>
      </c>
      <c r="G322" s="173">
        <v>0</v>
      </c>
      <c r="H322" s="54" t="str">
        <f>IF(Tabla1[[#This Row],[Codigo_actividad]]&lt;&gt;2.5,IF(((Tabla1[[#This Row],[fin]]-Tabla1[[#This Row],[inicio]])/1000)=0,"",((Tabla1[[#This Row],[fin]]-Tabla1[[#This Row],[inicio]])/1000)),"")</f>
        <v/>
      </c>
      <c r="I322" s="66">
        <v>1</v>
      </c>
      <c r="J322" s="76">
        <v>2.5</v>
      </c>
      <c r="K322" s="55" t="str">
        <f>IF(_xlfn.XLOOKUP($J322,Catalogo!$B$7:$B$210,Catalogo!$I$7:$I$210,"",0)=0,"",_xlfn.XLOOKUP($J322,Catalogo!$B$7:$B$210,Catalogo!$I$7:$I$210,"",0))</f>
        <v>Resistividades pH BSR BPA</v>
      </c>
      <c r="L322" s="161"/>
      <c r="M322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23" spans="1:13" x14ac:dyDescent="0.25">
      <c r="A323" s="354">
        <v>46048</v>
      </c>
      <c r="B323" s="114" t="s">
        <v>30</v>
      </c>
      <c r="C323" s="155" t="s">
        <v>329</v>
      </c>
      <c r="D323" s="39" t="s">
        <v>346</v>
      </c>
      <c r="E323" s="40" t="s">
        <v>31</v>
      </c>
      <c r="F323" s="28">
        <v>0</v>
      </c>
      <c r="G323" s="28">
        <v>694</v>
      </c>
      <c r="H323" s="54" t="str">
        <f>IF(Tabla1[[#This Row],[Codigo_actividad]]&lt;&gt;2.5,IF(((Tabla1[[#This Row],[fin]]-Tabla1[[#This Row],[inicio]])/1000)=0,"",((Tabla1[[#This Row],[fin]]-Tabla1[[#This Row],[inicio]])/1000)),"")</f>
        <v/>
      </c>
      <c r="I323" s="66">
        <v>2</v>
      </c>
      <c r="J323" s="76">
        <v>2.5</v>
      </c>
      <c r="K323" s="55" t="str">
        <f>IF(_xlfn.XLOOKUP($J323,Catalogo!$B$7:$B$210,Catalogo!$I$7:$I$210,"",0)=0,"",_xlfn.XLOOKUP($J323,Catalogo!$B$7:$B$210,Catalogo!$I$7:$I$210,"",0))</f>
        <v>Resistividades pH BSR BPA</v>
      </c>
      <c r="L323" s="36">
        <v>0.69399999999999995</v>
      </c>
      <c r="M323" s="261">
        <f>IF(Tabla1[[#This Row],[Avance_km]]&lt;&gt;"",Tabla1[[#This Row],[Avance_km]],Tabla1[[#This Row],[Avance_Med]])*_xlfn.XLOOKUP(Tabla1[[#This Row],[Codigo_actividad]],Catalogo!$B$6:$B$51,Catalogo!$F$6:$F$51,0)</f>
        <v>9316</v>
      </c>
    </row>
    <row r="324" spans="1:13" x14ac:dyDescent="0.25">
      <c r="A324" s="354"/>
      <c r="B324" s="114"/>
      <c r="C324" s="155"/>
      <c r="D324" s="39"/>
      <c r="F324" s="28"/>
      <c r="G324" s="28"/>
      <c r="H324" s="54"/>
      <c r="I324" s="66"/>
      <c r="J324" s="76"/>
      <c r="K324" s="66" t="str">
        <f>IF(_xlfn.XLOOKUP($J324,Catalogo!$B$7:$B$210,Catalogo!$I$7:$I$210,"",0)=0,"",_xlfn.XLOOKUP($J324,Catalogo!$B$7:$B$210,Catalogo!$I$7:$I$210,"",0))</f>
        <v/>
      </c>
      <c r="L324" s="36"/>
      <c r="M324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25" spans="1:13" x14ac:dyDescent="0.25">
      <c r="A325" s="354">
        <v>46049</v>
      </c>
      <c r="B325" s="114" t="s">
        <v>30</v>
      </c>
      <c r="C325" s="155" t="s">
        <v>329</v>
      </c>
      <c r="D325" s="39" t="s">
        <v>225</v>
      </c>
      <c r="E325" s="40" t="s">
        <v>31</v>
      </c>
      <c r="F325" s="28">
        <v>1500</v>
      </c>
      <c r="G325" s="28">
        <v>5788</v>
      </c>
      <c r="H325" s="54"/>
      <c r="I325" s="66">
        <v>10</v>
      </c>
      <c r="J325" s="76">
        <v>2.5</v>
      </c>
      <c r="K325" s="55" t="str">
        <f>IF(_xlfn.XLOOKUP($J325,Catalogo!$B$7:$B$210,Catalogo!$I$7:$I$210,"",0)=0,"",_xlfn.XLOOKUP($J325,Catalogo!$B$7:$B$210,Catalogo!$I$7:$I$210,"",0))</f>
        <v>Resistividades pH BSR BPA</v>
      </c>
      <c r="L325" s="36">
        <v>5.7880000000000003</v>
      </c>
      <c r="M325" s="261">
        <f>IF(Tabla1[[#This Row],[Avance_km]]&lt;&gt;"",Tabla1[[#This Row],[Avance_km]],Tabla1[[#This Row],[Avance_Med]])*_xlfn.XLOOKUP(Tabla1[[#This Row],[Codigo_actividad]],Catalogo!$B$6:$B$51,Catalogo!$F$6:$F$51,0)</f>
        <v>46580</v>
      </c>
    </row>
    <row r="326" spans="1:13" x14ac:dyDescent="0.25">
      <c r="A326" s="354"/>
      <c r="C326" s="155"/>
      <c r="D326" s="39"/>
      <c r="F326" s="28"/>
      <c r="G326" s="28"/>
      <c r="H326" s="54" t="str">
        <f>IF(Tabla1[[#This Row],[Codigo_actividad]]&lt;&gt;2.5,IF(((Tabla1[[#This Row],[fin]]-Tabla1[[#This Row],[inicio]])/1000)=0,"",((Tabla1[[#This Row],[fin]]-Tabla1[[#This Row],[inicio]])/1000)),"")</f>
        <v/>
      </c>
      <c r="K326" s="66" t="str">
        <f>IF(_xlfn.XLOOKUP($J326,Catalogo!$B$7:$B$210,Catalogo!$I$7:$I$210,"",0)=0,"",_xlfn.XLOOKUP($J326,Catalogo!$B$7:$B$210,Catalogo!$I$7:$I$210,"",0))</f>
        <v/>
      </c>
      <c r="L326" s="36"/>
      <c r="M326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27" spans="1:13" x14ac:dyDescent="0.25">
      <c r="A327" s="355">
        <v>46050</v>
      </c>
      <c r="B327" s="199" t="s">
        <v>30</v>
      </c>
      <c r="C327" s="200" t="s">
        <v>329</v>
      </c>
      <c r="D327" s="201" t="s">
        <v>240</v>
      </c>
      <c r="E327" s="376" t="s">
        <v>31</v>
      </c>
      <c r="F327" s="202">
        <v>0</v>
      </c>
      <c r="G327" s="173">
        <v>0</v>
      </c>
      <c r="H327" s="54"/>
      <c r="I327" s="66">
        <v>1</v>
      </c>
      <c r="J327" s="76">
        <v>2.5</v>
      </c>
      <c r="K327" s="55" t="str">
        <f>IF(_xlfn.XLOOKUP($J327,Catalogo!$B$7:$B$210,Catalogo!$I$7:$I$210,"",0)=0,"",_xlfn.XLOOKUP($J327,Catalogo!$B$7:$B$210,Catalogo!$I$7:$I$210,"",0))</f>
        <v>Resistividades pH BSR BPA</v>
      </c>
      <c r="L327" s="161"/>
      <c r="M327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28" spans="1:13" x14ac:dyDescent="0.25">
      <c r="A328" s="354">
        <v>46050</v>
      </c>
      <c r="B328" s="114" t="s">
        <v>30</v>
      </c>
      <c r="C328" s="155" t="s">
        <v>329</v>
      </c>
      <c r="D328" s="39" t="s">
        <v>231</v>
      </c>
      <c r="E328" s="40" t="s">
        <v>31</v>
      </c>
      <c r="F328" s="28">
        <v>0</v>
      </c>
      <c r="G328" s="28">
        <v>7</v>
      </c>
      <c r="H328" s="54"/>
      <c r="I328" s="66">
        <v>1</v>
      </c>
      <c r="J328" s="76">
        <v>2.5</v>
      </c>
      <c r="K328" s="55" t="str">
        <f>IF(_xlfn.XLOOKUP($J328,Catalogo!$B$7:$B$210,Catalogo!$I$7:$I$210,"",0)=0,"",_xlfn.XLOOKUP($J328,Catalogo!$B$7:$B$210,Catalogo!$I$7:$I$210,"",0))</f>
        <v>Resistividades pH BSR BPA</v>
      </c>
      <c r="L328" s="36">
        <f>+_xlfn.XLOOKUP(Tabla1[[#This Row],[Ducto]],'Summary S03'!A:A,'Summary S03'!G:G)/1000</f>
        <v>7.0000000000000001E-3</v>
      </c>
      <c r="M328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29" spans="1:13" x14ac:dyDescent="0.25">
      <c r="A329" s="354">
        <v>46050</v>
      </c>
      <c r="B329" s="114" t="s">
        <v>30</v>
      </c>
      <c r="C329" s="155" t="s">
        <v>329</v>
      </c>
      <c r="D329" s="39" t="s">
        <v>233</v>
      </c>
      <c r="E329" s="40" t="s">
        <v>31</v>
      </c>
      <c r="F329" s="28">
        <v>0</v>
      </c>
      <c r="G329" s="28">
        <v>2</v>
      </c>
      <c r="H329" s="54"/>
      <c r="I329" s="66">
        <v>1</v>
      </c>
      <c r="J329" s="76">
        <v>2.5</v>
      </c>
      <c r="K329" s="55" t="str">
        <f>IF(_xlfn.XLOOKUP($J329,Catalogo!$B$7:$B$210,Catalogo!$I$7:$I$210,"",0)=0,"",_xlfn.XLOOKUP($J329,Catalogo!$B$7:$B$210,Catalogo!$I$7:$I$210,"",0))</f>
        <v>Resistividades pH BSR BPA</v>
      </c>
      <c r="L329" s="36">
        <f>+_xlfn.XLOOKUP(Tabla1[[#This Row],[Ducto]],'Summary S03'!A:A,'Summary S03'!G:G)/1000</f>
        <v>2E-3</v>
      </c>
      <c r="M329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30" spans="1:13" x14ac:dyDescent="0.25">
      <c r="A330" s="354">
        <v>46050</v>
      </c>
      <c r="B330" s="114" t="s">
        <v>30</v>
      </c>
      <c r="C330" s="155" t="s">
        <v>329</v>
      </c>
      <c r="D330" s="39" t="s">
        <v>235</v>
      </c>
      <c r="E330" s="40" t="s">
        <v>31</v>
      </c>
      <c r="F330" s="28">
        <v>0</v>
      </c>
      <c r="G330" s="28">
        <v>2</v>
      </c>
      <c r="H330" s="54"/>
      <c r="I330" s="66">
        <v>1</v>
      </c>
      <c r="J330" s="76">
        <v>2.5</v>
      </c>
      <c r="K330" s="55" t="str">
        <f>IF(_xlfn.XLOOKUP($J330,Catalogo!$B$7:$B$210,Catalogo!$I$7:$I$210,"",0)=0,"",_xlfn.XLOOKUP($J330,Catalogo!$B$7:$B$210,Catalogo!$I$7:$I$210,"",0))</f>
        <v>Resistividades pH BSR BPA</v>
      </c>
      <c r="L330" s="36">
        <f>+_xlfn.XLOOKUP(Tabla1[[#This Row],[Ducto]],'Summary S03'!A:A,'Summary S03'!G:G)/1000</f>
        <v>2E-3</v>
      </c>
      <c r="M330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31" spans="1:13" x14ac:dyDescent="0.25">
      <c r="A331" s="354">
        <v>46050</v>
      </c>
      <c r="B331" s="114" t="s">
        <v>30</v>
      </c>
      <c r="C331" s="155" t="s">
        <v>329</v>
      </c>
      <c r="D331" s="39" t="s">
        <v>227</v>
      </c>
      <c r="E331" s="40" t="s">
        <v>31</v>
      </c>
      <c r="F331" s="28">
        <v>0</v>
      </c>
      <c r="G331" s="28">
        <v>18</v>
      </c>
      <c r="H331" s="54"/>
      <c r="I331" s="66">
        <v>1</v>
      </c>
      <c r="J331" s="76">
        <v>2.5</v>
      </c>
      <c r="K331" s="55" t="str">
        <f>IF(_xlfn.XLOOKUP($J331,Catalogo!$B$7:$B$210,Catalogo!$I$7:$I$210,"",0)=0,"",_xlfn.XLOOKUP($J331,Catalogo!$B$7:$B$210,Catalogo!$I$7:$I$210,"",0))</f>
        <v>Resistividades pH BSR BPA</v>
      </c>
      <c r="L331" s="36">
        <f>+_xlfn.XLOOKUP(Tabla1[[#This Row],[Ducto]],'Summary S03'!A:A,'Summary S03'!G:G)/1000</f>
        <v>1.7999999999999999E-2</v>
      </c>
      <c r="M331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32" spans="1:13" x14ac:dyDescent="0.25">
      <c r="A332" s="354">
        <v>46050</v>
      </c>
      <c r="B332" s="114" t="s">
        <v>30</v>
      </c>
      <c r="C332" s="155" t="s">
        <v>329</v>
      </c>
      <c r="D332" s="39" t="s">
        <v>225</v>
      </c>
      <c r="E332" s="40" t="s">
        <v>31</v>
      </c>
      <c r="F332" s="28">
        <v>500</v>
      </c>
      <c r="G332" s="28">
        <v>1500</v>
      </c>
      <c r="H332" s="54"/>
      <c r="I332" s="66">
        <v>2</v>
      </c>
      <c r="J332" s="76">
        <v>2.5</v>
      </c>
      <c r="K332" s="55" t="str">
        <f>IF(_xlfn.XLOOKUP($J332,Catalogo!$B$7:$B$210,Catalogo!$I$7:$I$210,"",0)=0,"",_xlfn.XLOOKUP($J332,Catalogo!$B$7:$B$210,Catalogo!$I$7:$I$210,"",0))</f>
        <v>Resistividades pH BSR BPA</v>
      </c>
      <c r="L332" s="36">
        <v>5.7880000000000003</v>
      </c>
      <c r="M332" s="261">
        <f>IF(Tabla1[[#This Row],[Avance_km]]&lt;&gt;"",Tabla1[[#This Row],[Avance_km]],Tabla1[[#This Row],[Avance_Med]])*_xlfn.XLOOKUP(Tabla1[[#This Row],[Codigo_actividad]],Catalogo!$B$6:$B$51,Catalogo!$F$6:$F$51,0)</f>
        <v>9316</v>
      </c>
    </row>
    <row r="333" spans="1:13" x14ac:dyDescent="0.25">
      <c r="A333" s="354"/>
      <c r="C333" s="155"/>
      <c r="D333" s="39"/>
      <c r="F333" s="28"/>
      <c r="G333" s="28"/>
      <c r="H333" s="54" t="str">
        <f>IF(Tabla1[[#This Row],[Codigo_actividad]]&lt;&gt;2.5,IF(((Tabla1[[#This Row],[fin]]-Tabla1[[#This Row],[inicio]])/1000)=0,"",((Tabla1[[#This Row],[fin]]-Tabla1[[#This Row],[inicio]])/1000)),"")</f>
        <v/>
      </c>
      <c r="K333" s="66" t="str">
        <f>IF(_xlfn.XLOOKUP($J333,Catalogo!$B$7:$B$210,Catalogo!$I$7:$I$210,"",0)=0,"",_xlfn.XLOOKUP($J333,Catalogo!$B$7:$B$210,Catalogo!$I$7:$I$210,"",0))</f>
        <v/>
      </c>
      <c r="L333" s="36"/>
      <c r="M333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34" spans="1:13" x14ac:dyDescent="0.25">
      <c r="A334" s="354">
        <v>46051</v>
      </c>
      <c r="B334" s="114" t="s">
        <v>30</v>
      </c>
      <c r="C334" s="155" t="s">
        <v>329</v>
      </c>
      <c r="D334" s="39" t="s">
        <v>245</v>
      </c>
      <c r="E334" s="40" t="s">
        <v>31</v>
      </c>
      <c r="F334" s="28">
        <v>0</v>
      </c>
      <c r="G334" s="28">
        <v>36</v>
      </c>
      <c r="H334" s="54"/>
      <c r="I334" s="66">
        <v>1</v>
      </c>
      <c r="J334" s="76">
        <v>2.5</v>
      </c>
      <c r="K334" s="55" t="str">
        <f>IF(_xlfn.XLOOKUP($J334,Catalogo!$B$7:$B$210,Catalogo!$I$7:$I$210,"",0)=0,"",_xlfn.XLOOKUP($J334,Catalogo!$B$7:$B$210,Catalogo!$I$7:$I$210,"",0))</f>
        <v>Resistividades pH BSR BPA</v>
      </c>
      <c r="L334" s="36">
        <f>+_xlfn.XLOOKUP(Tabla1[[#This Row],[Ducto]],'Summary S03'!A:A,'Summary S03'!G:G)/1000</f>
        <v>3.5999999999999997E-2</v>
      </c>
      <c r="M334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35" spans="1:13" x14ac:dyDescent="0.25">
      <c r="A335" s="354">
        <v>46051</v>
      </c>
      <c r="B335" s="114" t="s">
        <v>30</v>
      </c>
      <c r="C335" s="155" t="s">
        <v>329</v>
      </c>
      <c r="D335" s="39" t="s">
        <v>246</v>
      </c>
      <c r="E335" s="40" t="s">
        <v>31</v>
      </c>
      <c r="F335" s="28">
        <v>0</v>
      </c>
      <c r="G335" s="28">
        <v>6</v>
      </c>
      <c r="H335" s="54"/>
      <c r="I335" s="66">
        <v>1</v>
      </c>
      <c r="J335" s="76">
        <v>2.5</v>
      </c>
      <c r="K335" s="55" t="str">
        <f>IF(_xlfn.XLOOKUP($J335,Catalogo!$B$7:$B$210,Catalogo!$I$7:$I$210,"",0)=0,"",_xlfn.XLOOKUP($J335,Catalogo!$B$7:$B$210,Catalogo!$I$7:$I$210,"",0))</f>
        <v>Resistividades pH BSR BPA</v>
      </c>
      <c r="L335" s="36">
        <f>+_xlfn.XLOOKUP(Tabla1[[#This Row],[Ducto]],'Summary S03'!A:A,'Summary S03'!G:G)/1000</f>
        <v>6.0000000000000001E-3</v>
      </c>
      <c r="M335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36" spans="1:13" x14ac:dyDescent="0.25">
      <c r="A336" s="354">
        <v>46051</v>
      </c>
      <c r="B336" s="114" t="s">
        <v>30</v>
      </c>
      <c r="C336" s="155" t="s">
        <v>329</v>
      </c>
      <c r="D336" s="39" t="s">
        <v>248</v>
      </c>
      <c r="E336" s="40" t="s">
        <v>31</v>
      </c>
      <c r="F336" s="28">
        <v>0</v>
      </c>
      <c r="G336" s="28">
        <v>6</v>
      </c>
      <c r="H336" s="54"/>
      <c r="I336" s="66">
        <v>1</v>
      </c>
      <c r="J336" s="76">
        <v>2.5</v>
      </c>
      <c r="K336" s="55" t="str">
        <f>IF(_xlfn.XLOOKUP($J336,Catalogo!$B$7:$B$210,Catalogo!$I$7:$I$210,"",0)=0,"",_xlfn.XLOOKUP($J336,Catalogo!$B$7:$B$210,Catalogo!$I$7:$I$210,"",0))</f>
        <v>Resistividades pH BSR BPA</v>
      </c>
      <c r="L336" s="36">
        <f>+_xlfn.XLOOKUP(Tabla1[[#This Row],[Ducto]],'Summary S03'!A:A,'Summary S03'!G:G)/1000</f>
        <v>6.0000000000000001E-3</v>
      </c>
      <c r="M336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37" spans="1:13" x14ac:dyDescent="0.25">
      <c r="A337" s="354">
        <v>46051</v>
      </c>
      <c r="B337" s="114" t="s">
        <v>30</v>
      </c>
      <c r="C337" s="155" t="s">
        <v>329</v>
      </c>
      <c r="D337" s="39" t="s">
        <v>249</v>
      </c>
      <c r="E337" s="40" t="s">
        <v>31</v>
      </c>
      <c r="F337" s="28">
        <v>0</v>
      </c>
      <c r="G337" s="28">
        <v>12</v>
      </c>
      <c r="H337" s="54"/>
      <c r="I337" s="66">
        <v>1</v>
      </c>
      <c r="J337" s="76">
        <v>2.5</v>
      </c>
      <c r="K337" s="55" t="str">
        <f>IF(_xlfn.XLOOKUP($J337,Catalogo!$B$7:$B$210,Catalogo!$I$7:$I$210,"",0)=0,"",_xlfn.XLOOKUP($J337,Catalogo!$B$7:$B$210,Catalogo!$I$7:$I$210,"",0))</f>
        <v>Resistividades pH BSR BPA</v>
      </c>
      <c r="L337" s="36">
        <v>1.2E-2</v>
      </c>
      <c r="M337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38" spans="1:13" x14ac:dyDescent="0.25">
      <c r="A338" s="354">
        <v>46051</v>
      </c>
      <c r="B338" s="114" t="s">
        <v>30</v>
      </c>
      <c r="C338" s="155" t="s">
        <v>329</v>
      </c>
      <c r="D338" s="39" t="s">
        <v>252</v>
      </c>
      <c r="E338" s="40" t="s">
        <v>31</v>
      </c>
      <c r="F338" s="28">
        <v>0</v>
      </c>
      <c r="G338" s="28">
        <v>13</v>
      </c>
      <c r="H338" s="54"/>
      <c r="I338" s="66">
        <v>1</v>
      </c>
      <c r="J338" s="76">
        <v>2.5</v>
      </c>
      <c r="K338" s="55" t="str">
        <f>IF(_xlfn.XLOOKUP($J338,Catalogo!$B$7:$B$210,Catalogo!$I$7:$I$210,"",0)=0,"",_xlfn.XLOOKUP($J338,Catalogo!$B$7:$B$210,Catalogo!$I$7:$I$210,"",0))</f>
        <v>Resistividades pH BSR BPA</v>
      </c>
      <c r="L338" s="36">
        <v>1.2999999999999999E-2</v>
      </c>
      <c r="M338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39" spans="1:13" x14ac:dyDescent="0.25">
      <c r="A339" s="354">
        <v>46051</v>
      </c>
      <c r="B339" s="114" t="s">
        <v>30</v>
      </c>
      <c r="C339" s="155" t="s">
        <v>329</v>
      </c>
      <c r="D339" s="39" t="s">
        <v>255</v>
      </c>
      <c r="E339" s="40" t="s">
        <v>31</v>
      </c>
      <c r="F339" s="28">
        <v>0</v>
      </c>
      <c r="G339" s="28">
        <v>257</v>
      </c>
      <c r="H339" s="54"/>
      <c r="I339" s="66">
        <v>1</v>
      </c>
      <c r="J339" s="76">
        <v>2.5</v>
      </c>
      <c r="K339" s="55" t="str">
        <f>IF(_xlfn.XLOOKUP($J339,Catalogo!$B$7:$B$210,Catalogo!$I$7:$I$210,"",0)=0,"",_xlfn.XLOOKUP($J339,Catalogo!$B$7:$B$210,Catalogo!$I$7:$I$210,"",0))</f>
        <v>Resistividades pH BSR BPA</v>
      </c>
      <c r="L339" s="36">
        <f>+_xlfn.XLOOKUP(Tabla1[[#This Row],[Ducto]],'Summary S03'!A:A,'Summary S03'!G:G)/1000</f>
        <v>0.25700000000000001</v>
      </c>
      <c r="M339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40" spans="1:13" x14ac:dyDescent="0.25">
      <c r="A340" s="354">
        <v>46051</v>
      </c>
      <c r="B340" s="114" t="s">
        <v>30</v>
      </c>
      <c r="C340" s="155" t="s">
        <v>329</v>
      </c>
      <c r="D340" s="39" t="s">
        <v>250</v>
      </c>
      <c r="E340" s="40" t="s">
        <v>31</v>
      </c>
      <c r="F340" s="28">
        <v>0</v>
      </c>
      <c r="G340" s="28">
        <v>880</v>
      </c>
      <c r="H340" s="54"/>
      <c r="I340" s="66">
        <v>3</v>
      </c>
      <c r="J340" s="76">
        <v>2.5</v>
      </c>
      <c r="K340" s="55" t="str">
        <f>IF(_xlfn.XLOOKUP($J340,Catalogo!$B$7:$B$210,Catalogo!$I$7:$I$210,"",0)=0,"",_xlfn.XLOOKUP($J340,Catalogo!$B$7:$B$210,Catalogo!$I$7:$I$210,"",0))</f>
        <v>Resistividades pH BSR BPA</v>
      </c>
      <c r="L340" s="36">
        <v>0.85</v>
      </c>
      <c r="M340" s="261">
        <f>IF(Tabla1[[#This Row],[Avance_km]]&lt;&gt;"",Tabla1[[#This Row],[Avance_km]],Tabla1[[#This Row],[Avance_Med]])*_xlfn.XLOOKUP(Tabla1[[#This Row],[Codigo_actividad]],Catalogo!$B$6:$B$51,Catalogo!$F$6:$F$51,0)</f>
        <v>13974</v>
      </c>
    </row>
    <row r="341" spans="1:13" x14ac:dyDescent="0.25">
      <c r="A341" s="354"/>
      <c r="C341" s="155"/>
      <c r="D341" s="39"/>
      <c r="F341" s="28"/>
      <c r="G341" s="28"/>
      <c r="H341" s="224" t="str">
        <f>IF(Tabla1[[#This Row],[Codigo_actividad]]&lt;&gt;2.5,IF(((Tabla1[[#This Row],[fin]]-Tabla1[[#This Row],[inicio]])/1000)=0,"",((Tabla1[[#This Row],[fin]]-Tabla1[[#This Row],[inicio]])/1000)),"")</f>
        <v/>
      </c>
      <c r="K341" s="66" t="str">
        <f>IF(_xlfn.XLOOKUP($J341,Catalogo!$B$7:$B$210,Catalogo!$I$7:$I$210,"",0)=0,"",_xlfn.XLOOKUP($J341,Catalogo!$B$7:$B$210,Catalogo!$I$7:$I$210,"",0))</f>
        <v/>
      </c>
      <c r="L341" s="36"/>
      <c r="M341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42" spans="1:13" x14ac:dyDescent="0.25">
      <c r="A342" s="354">
        <v>46057</v>
      </c>
      <c r="B342" s="114" t="s">
        <v>30</v>
      </c>
      <c r="C342" s="155" t="s">
        <v>329</v>
      </c>
      <c r="D342" s="39" t="s">
        <v>217</v>
      </c>
      <c r="E342" s="40" t="s">
        <v>31</v>
      </c>
      <c r="F342" s="28">
        <v>5500</v>
      </c>
      <c r="G342" s="28">
        <v>5848</v>
      </c>
      <c r="H342" s="224"/>
      <c r="I342" s="66">
        <v>1</v>
      </c>
      <c r="J342" s="76">
        <v>2.5</v>
      </c>
      <c r="K342" s="55" t="str">
        <f>IF(_xlfn.XLOOKUP($J342,Catalogo!$B$7:$B$210,Catalogo!$I$7:$I$210,"",0)=0,"",_xlfn.XLOOKUP($J342,Catalogo!$B$7:$B$210,Catalogo!$I$7:$I$210,"",0))</f>
        <v>Resistividades pH BSR BPA</v>
      </c>
      <c r="L342" s="36">
        <v>5.8479999999999999</v>
      </c>
      <c r="M342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43" spans="1:13" x14ac:dyDescent="0.25">
      <c r="A343" s="355">
        <v>46057</v>
      </c>
      <c r="B343" s="199" t="s">
        <v>30</v>
      </c>
      <c r="C343" s="200" t="s">
        <v>329</v>
      </c>
      <c r="D343" s="201" t="s">
        <v>340</v>
      </c>
      <c r="E343" s="376" t="s">
        <v>31</v>
      </c>
      <c r="F343" s="202">
        <v>0</v>
      </c>
      <c r="G343" s="173">
        <v>0</v>
      </c>
      <c r="H343" s="224"/>
      <c r="I343" s="66">
        <v>1</v>
      </c>
      <c r="J343" s="76">
        <v>2.5</v>
      </c>
      <c r="K343" s="55" t="str">
        <f>IF(_xlfn.XLOOKUP($J343,Catalogo!$B$7:$B$210,Catalogo!$I$7:$I$210,"",0)=0,"",_xlfn.XLOOKUP($J343,Catalogo!$B$7:$B$210,Catalogo!$I$7:$I$210,"",0))</f>
        <v>Resistividades pH BSR BPA</v>
      </c>
      <c r="L343" s="161"/>
      <c r="M343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44" spans="1:13" x14ac:dyDescent="0.25">
      <c r="A344" s="354"/>
      <c r="C344" s="155"/>
      <c r="D344" s="39"/>
      <c r="F344" s="28"/>
      <c r="G344" s="28"/>
      <c r="H344" s="224" t="str">
        <f>IF(Tabla1[[#This Row],[Codigo_actividad]]&lt;&gt;2.5,IF(((Tabla1[[#This Row],[fin]]-Tabla1[[#This Row],[inicio]])/1000)=0,"",((Tabla1[[#This Row],[fin]]-Tabla1[[#This Row],[inicio]])/1000)),"")</f>
        <v/>
      </c>
      <c r="K344" s="66" t="str">
        <f>IF(_xlfn.XLOOKUP($J344,Catalogo!$B$7:$B$210,Catalogo!$I$7:$I$210,"",0)=0,"",_xlfn.XLOOKUP($J344,Catalogo!$B$7:$B$210,Catalogo!$I$7:$I$210,"",0))</f>
        <v/>
      </c>
      <c r="L344" s="36"/>
      <c r="M344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45" spans="1:13" x14ac:dyDescent="0.25">
      <c r="A345" s="354">
        <v>46058</v>
      </c>
      <c r="B345" s="114" t="s">
        <v>30</v>
      </c>
      <c r="C345" s="155" t="s">
        <v>329</v>
      </c>
      <c r="D345" s="39" t="s">
        <v>222</v>
      </c>
      <c r="E345" s="40" t="s">
        <v>31</v>
      </c>
      <c r="F345" s="28">
        <v>0</v>
      </c>
      <c r="G345" s="28">
        <v>12</v>
      </c>
      <c r="H345" s="224"/>
      <c r="I345" s="66">
        <v>1</v>
      </c>
      <c r="J345" s="76">
        <v>2.5</v>
      </c>
      <c r="K345" s="55" t="str">
        <f>IF(_xlfn.XLOOKUP($J345,Catalogo!$B$7:$B$210,Catalogo!$I$7:$I$210,"",0)=0,"",_xlfn.XLOOKUP($J345,Catalogo!$B$7:$B$210,Catalogo!$I$7:$I$210,"",0))</f>
        <v>Resistividades pH BSR BPA</v>
      </c>
      <c r="L345" s="36">
        <v>1.2E-2</v>
      </c>
      <c r="M345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46" spans="1:13" x14ac:dyDescent="0.25">
      <c r="A346" s="354">
        <v>46058</v>
      </c>
      <c r="B346" s="114" t="s">
        <v>30</v>
      </c>
      <c r="C346" s="155" t="s">
        <v>329</v>
      </c>
      <c r="D346" s="39" t="s">
        <v>223</v>
      </c>
      <c r="E346" s="40" t="s">
        <v>31</v>
      </c>
      <c r="F346" s="28">
        <v>0</v>
      </c>
      <c r="G346" s="28">
        <v>12</v>
      </c>
      <c r="H346" s="224"/>
      <c r="I346" s="66">
        <v>1</v>
      </c>
      <c r="J346" s="76">
        <v>2.5</v>
      </c>
      <c r="K346" s="55" t="str">
        <f>IF(_xlfn.XLOOKUP($J346,Catalogo!$B$7:$B$210,Catalogo!$I$7:$I$210,"",0)=0,"",_xlfn.XLOOKUP($J346,Catalogo!$B$7:$B$210,Catalogo!$I$7:$I$210,"",0))</f>
        <v>Resistividades pH BSR BPA</v>
      </c>
      <c r="L346" s="36">
        <v>1.2E-2</v>
      </c>
      <c r="M346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47" spans="1:13" x14ac:dyDescent="0.25">
      <c r="A347" s="354"/>
      <c r="C347" s="155"/>
      <c r="D347" s="39"/>
      <c r="F347" s="28"/>
      <c r="G347" s="28"/>
      <c r="H347" s="224" t="str">
        <f>IF(Tabla1[[#This Row],[Codigo_actividad]]&lt;&gt;2.5,IF(((Tabla1[[#This Row],[fin]]-Tabla1[[#This Row],[inicio]])/1000)=0,"",((Tabla1[[#This Row],[fin]]-Tabla1[[#This Row],[inicio]])/1000)),"")</f>
        <v/>
      </c>
      <c r="K347" s="66" t="str">
        <f>IF(_xlfn.XLOOKUP($J347,Catalogo!$B$7:$B$210,Catalogo!$I$7:$I$210,"",0)=0,"",_xlfn.XLOOKUP($J347,Catalogo!$B$7:$B$210,Catalogo!$I$7:$I$210,"",0))</f>
        <v/>
      </c>
      <c r="L347" s="36"/>
      <c r="M347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48" spans="1:13" x14ac:dyDescent="0.25">
      <c r="A348" s="354">
        <v>46062</v>
      </c>
      <c r="B348" s="114" t="s">
        <v>30</v>
      </c>
      <c r="C348" s="155" t="s">
        <v>329</v>
      </c>
      <c r="D348" s="39" t="s">
        <v>217</v>
      </c>
      <c r="E348" s="40" t="s">
        <v>31</v>
      </c>
      <c r="F348" s="28">
        <v>1000</v>
      </c>
      <c r="G348" s="28">
        <v>1000</v>
      </c>
      <c r="H348" s="224"/>
      <c r="I348" s="66">
        <v>1</v>
      </c>
      <c r="J348" s="76">
        <v>2.5</v>
      </c>
      <c r="K348" s="66" t="str">
        <f>IF(_xlfn.XLOOKUP($J348,Catalogo!$B$7:$B$210,Catalogo!$I$7:$I$210,"",0)=0,"",_xlfn.XLOOKUP($J348,Catalogo!$B$7:$B$210,Catalogo!$I$7:$I$210,"",0))</f>
        <v>Resistividades pH BSR BPA</v>
      </c>
      <c r="L348" s="36">
        <v>5.8479999999999999</v>
      </c>
      <c r="M348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49" spans="1:13" x14ac:dyDescent="0.25">
      <c r="A349" s="354"/>
      <c r="C349" s="155"/>
      <c r="D349" s="39"/>
      <c r="F349" s="28"/>
      <c r="G349" s="28"/>
      <c r="H349" s="224" t="str">
        <f>IF(Tabla1[[#This Row],[Codigo_actividad]]&lt;&gt;2.5,IF(((Tabla1[[#This Row],[fin]]-Tabla1[[#This Row],[inicio]])/1000)=0,"",((Tabla1[[#This Row],[fin]]-Tabla1[[#This Row],[inicio]])/1000)),"")</f>
        <v/>
      </c>
      <c r="K349" s="66" t="str">
        <f>IF(_xlfn.XLOOKUP($J349,Catalogo!$B$7:$B$210,Catalogo!$I$7:$I$210,"",0)=0,"",_xlfn.XLOOKUP($J349,Catalogo!$B$7:$B$210,Catalogo!$I$7:$I$210,"",0))</f>
        <v/>
      </c>
      <c r="L349" s="36"/>
      <c r="M349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50" spans="1:13" x14ac:dyDescent="0.25">
      <c r="A350" s="354">
        <v>46063</v>
      </c>
      <c r="B350" s="114" t="s">
        <v>30</v>
      </c>
      <c r="C350" s="155" t="s">
        <v>329</v>
      </c>
      <c r="D350" s="39" t="s">
        <v>239</v>
      </c>
      <c r="E350" s="40" t="s">
        <v>31</v>
      </c>
      <c r="F350" s="28">
        <v>0</v>
      </c>
      <c r="G350" s="28">
        <v>0</v>
      </c>
      <c r="H350" s="224"/>
      <c r="I350" s="66">
        <v>1</v>
      </c>
      <c r="J350" s="76">
        <v>2.5</v>
      </c>
      <c r="K350" s="55" t="str">
        <f>IF(_xlfn.XLOOKUP($J350,Catalogo!$B$7:$B$210,Catalogo!$I$7:$I$210,"",0)=0,"",_xlfn.XLOOKUP($J350,Catalogo!$B$7:$B$210,Catalogo!$I$7:$I$210,"",0))</f>
        <v>Resistividades pH BSR BPA</v>
      </c>
      <c r="L350" s="36">
        <f>+_xlfn.XLOOKUP(Tabla1[[#This Row],[Ducto]],'R (s03)'!B:B,'R (s03)'!C:C)</f>
        <v>0.27800000000000002</v>
      </c>
      <c r="M350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51" spans="1:13" x14ac:dyDescent="0.25">
      <c r="A351" s="354">
        <v>46063</v>
      </c>
      <c r="B351" s="114" t="s">
        <v>30</v>
      </c>
      <c r="C351" s="155" t="s">
        <v>329</v>
      </c>
      <c r="D351" s="39" t="s">
        <v>251</v>
      </c>
      <c r="E351" s="40" t="s">
        <v>31</v>
      </c>
      <c r="F351" s="28">
        <v>0</v>
      </c>
      <c r="G351" s="28">
        <v>310</v>
      </c>
      <c r="H351" s="224"/>
      <c r="I351" s="66">
        <v>2</v>
      </c>
      <c r="J351" s="76">
        <v>2.5</v>
      </c>
      <c r="K351" s="55" t="str">
        <f>IF(_xlfn.XLOOKUP($J351,Catalogo!$B$7:$B$210,Catalogo!$I$7:$I$210,"",0)=0,"",_xlfn.XLOOKUP($J351,Catalogo!$B$7:$B$210,Catalogo!$I$7:$I$210,"",0))</f>
        <v>Resistividades pH BSR BPA</v>
      </c>
      <c r="L351" s="36">
        <v>0.31</v>
      </c>
      <c r="M351" s="261">
        <f>IF(Tabla1[[#This Row],[Avance_km]]&lt;&gt;"",Tabla1[[#This Row],[Avance_km]],Tabla1[[#This Row],[Avance_Med]])*_xlfn.XLOOKUP(Tabla1[[#This Row],[Codigo_actividad]],Catalogo!$B$6:$B$51,Catalogo!$F$6:$F$51,0)</f>
        <v>9316</v>
      </c>
    </row>
    <row r="352" spans="1:13" x14ac:dyDescent="0.25">
      <c r="A352" s="355">
        <v>46063</v>
      </c>
      <c r="B352" s="199" t="s">
        <v>30</v>
      </c>
      <c r="C352" s="200" t="s">
        <v>329</v>
      </c>
      <c r="D352" s="201" t="s">
        <v>240</v>
      </c>
      <c r="E352" s="376" t="s">
        <v>31</v>
      </c>
      <c r="F352" s="202">
        <v>200</v>
      </c>
      <c r="G352" s="173">
        <v>200</v>
      </c>
      <c r="H352" s="224"/>
      <c r="I352" s="66">
        <v>1</v>
      </c>
      <c r="J352" s="76">
        <v>2.5</v>
      </c>
      <c r="K352" s="55" t="str">
        <f>IF(_xlfn.XLOOKUP($J352,Catalogo!$B$7:$B$210,Catalogo!$I$7:$I$210,"",0)=0,"",_xlfn.XLOOKUP($J352,Catalogo!$B$7:$B$210,Catalogo!$I$7:$I$210,"",0))</f>
        <v>Resistividades pH BSR BPA</v>
      </c>
      <c r="L352" s="161"/>
      <c r="M352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53" spans="1:13" x14ac:dyDescent="0.25">
      <c r="A353" s="354"/>
      <c r="C353" s="155"/>
      <c r="D353" s="39"/>
      <c r="F353" s="28"/>
      <c r="G353" s="28"/>
      <c r="H353" s="224" t="str">
        <f>IF(Tabla1[[#This Row],[Codigo_actividad]]&lt;&gt;2.5,IF(((Tabla1[[#This Row],[fin]]-Tabla1[[#This Row],[inicio]])/1000)=0,"",((Tabla1[[#This Row],[fin]]-Tabla1[[#This Row],[inicio]])/1000)),"")</f>
        <v/>
      </c>
      <c r="I353" s="66"/>
      <c r="K353" s="66" t="str">
        <f>IF(_xlfn.XLOOKUP($J353,Catalogo!$B$7:$B$210,Catalogo!$I$7:$I$210,"",0)=0,"",_xlfn.XLOOKUP($J353,Catalogo!$B$7:$B$210,Catalogo!$I$7:$I$210,"",0))</f>
        <v/>
      </c>
      <c r="L353" s="36"/>
      <c r="M353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54" spans="1:13" x14ac:dyDescent="0.25">
      <c r="A354" s="354">
        <v>46064</v>
      </c>
      <c r="B354" s="114" t="s">
        <v>30</v>
      </c>
      <c r="C354" s="155" t="s">
        <v>329</v>
      </c>
      <c r="D354" s="39" t="s">
        <v>225</v>
      </c>
      <c r="E354" s="40" t="s">
        <v>31</v>
      </c>
      <c r="F354" s="28">
        <v>0</v>
      </c>
      <c r="G354" s="28">
        <v>500</v>
      </c>
      <c r="H354" s="224"/>
      <c r="I354" s="66">
        <v>2</v>
      </c>
      <c r="J354" s="76">
        <v>2.5</v>
      </c>
      <c r="K354" s="55" t="str">
        <f>IF(_xlfn.XLOOKUP($J354,Catalogo!$B$7:$B$210,Catalogo!$I$7:$I$210,"",0)=0,"",_xlfn.XLOOKUP($J354,Catalogo!$B$7:$B$210,Catalogo!$I$7:$I$210,"",0))</f>
        <v>Resistividades pH BSR BPA</v>
      </c>
      <c r="L354" s="36">
        <v>5.7880000000000003</v>
      </c>
      <c r="M354" s="261">
        <f>IF(Tabla1[[#This Row],[Avance_km]]&lt;&gt;"",Tabla1[[#This Row],[Avance_km]],Tabla1[[#This Row],[Avance_Med]])*_xlfn.XLOOKUP(Tabla1[[#This Row],[Codigo_actividad]],Catalogo!$B$6:$B$51,Catalogo!$F$6:$F$51,0)</f>
        <v>9316</v>
      </c>
    </row>
    <row r="355" spans="1:13" x14ac:dyDescent="0.25">
      <c r="A355" s="354">
        <v>46064</v>
      </c>
      <c r="B355" s="114" t="s">
        <v>30</v>
      </c>
      <c r="C355" s="155" t="s">
        <v>329</v>
      </c>
      <c r="D355" s="39" t="s">
        <v>241</v>
      </c>
      <c r="E355" s="40" t="s">
        <v>31</v>
      </c>
      <c r="F355" s="28">
        <v>0</v>
      </c>
      <c r="G355" s="28">
        <v>45</v>
      </c>
      <c r="H355" s="224"/>
      <c r="I355" s="66">
        <v>1</v>
      </c>
      <c r="J355" s="76">
        <v>2.5</v>
      </c>
      <c r="K355" s="55" t="str">
        <f>IF(_xlfn.XLOOKUP($J355,Catalogo!$B$7:$B$210,Catalogo!$I$7:$I$210,"",0)=0,"",_xlfn.XLOOKUP($J355,Catalogo!$B$7:$B$210,Catalogo!$I$7:$I$210,"",0))</f>
        <v>Resistividades pH BSR BPA</v>
      </c>
      <c r="L355" s="36">
        <v>4.4999999999999998E-2</v>
      </c>
      <c r="M355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56" spans="1:13" x14ac:dyDescent="0.25">
      <c r="A356" s="355">
        <v>46064</v>
      </c>
      <c r="B356" s="199" t="s">
        <v>30</v>
      </c>
      <c r="C356" s="200" t="s">
        <v>329</v>
      </c>
      <c r="D356" s="201" t="s">
        <v>353</v>
      </c>
      <c r="E356" s="376" t="s">
        <v>31</v>
      </c>
      <c r="F356" s="202">
        <v>0</v>
      </c>
      <c r="G356" s="173">
        <v>0</v>
      </c>
      <c r="H356" s="224" t="str">
        <f>IF(Tabla1[[#This Row],[Codigo_actividad]]&lt;&gt;2.5,IF(((Tabla1[[#This Row],[fin]]-Tabla1[[#This Row],[inicio]])/1000)=0,"",((Tabla1[[#This Row],[fin]]-Tabla1[[#This Row],[inicio]])/1000)),"")</f>
        <v/>
      </c>
      <c r="I356" s="66">
        <v>1</v>
      </c>
      <c r="J356" s="76">
        <v>2.5</v>
      </c>
      <c r="K356" s="55" t="str">
        <f>IF(_xlfn.XLOOKUP($J356,Catalogo!$B$7:$B$210,Catalogo!$I$7:$I$210,"",0)=0,"",_xlfn.XLOOKUP($J356,Catalogo!$B$7:$B$210,Catalogo!$I$7:$I$210,"",0))</f>
        <v>Resistividades pH BSR BPA</v>
      </c>
      <c r="L356" s="161"/>
      <c r="M356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57" spans="1:13" x14ac:dyDescent="0.25">
      <c r="A357" s="354"/>
      <c r="C357" s="155"/>
      <c r="D357" s="39"/>
      <c r="F357" s="28"/>
      <c r="G357" s="28"/>
      <c r="H357" s="224" t="str">
        <f>IF(Tabla1[[#This Row],[Codigo_actividad]]&lt;&gt;2.5,IF(((Tabla1[[#This Row],[fin]]-Tabla1[[#This Row],[inicio]])/1000)=0,"",((Tabla1[[#This Row],[fin]]-Tabla1[[#This Row],[inicio]])/1000)),"")</f>
        <v/>
      </c>
      <c r="I357" s="66"/>
      <c r="K357" s="66" t="str">
        <f>IF(_xlfn.XLOOKUP($J357,Catalogo!$B$7:$B$210,Catalogo!$I$7:$I$210,"",0)=0,"",_xlfn.XLOOKUP($J357,Catalogo!$B$7:$B$210,Catalogo!$I$7:$I$210,"",0))</f>
        <v/>
      </c>
      <c r="L357" s="36"/>
      <c r="M357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58" spans="1:13" x14ac:dyDescent="0.25">
      <c r="A358" s="355">
        <v>46065</v>
      </c>
      <c r="B358" s="199" t="s">
        <v>30</v>
      </c>
      <c r="C358" s="200" t="s">
        <v>411</v>
      </c>
      <c r="D358" s="201" t="s">
        <v>264</v>
      </c>
      <c r="E358" s="376" t="s">
        <v>31</v>
      </c>
      <c r="F358" s="202">
        <v>0</v>
      </c>
      <c r="G358" s="202">
        <v>2077</v>
      </c>
      <c r="H358" s="224" t="str">
        <f>IF(Tabla1[[#This Row],[Codigo_actividad]]&lt;&gt;2.5,IF(((Tabla1[[#This Row],[fin]]-Tabla1[[#This Row],[inicio]])/1000)=0,"",((Tabla1[[#This Row],[fin]]-Tabla1[[#This Row],[inicio]])/1000)),"")</f>
        <v/>
      </c>
      <c r="I358" s="66">
        <v>5</v>
      </c>
      <c r="J358" s="76">
        <v>2.5</v>
      </c>
      <c r="K358" s="55" t="str">
        <f>IF(_xlfn.XLOOKUP($J358,Catalogo!$B$7:$B$210,Catalogo!$I$7:$I$210,"",0)=0,"",_xlfn.XLOOKUP($J358,Catalogo!$B$7:$B$210,Catalogo!$I$7:$I$210,"",0))</f>
        <v>Resistividades pH BSR BPA</v>
      </c>
      <c r="L358" s="36">
        <v>2.077</v>
      </c>
      <c r="M358" s="261">
        <f>IF(Tabla1[[#This Row],[Avance_km]]&lt;&gt;"",Tabla1[[#This Row],[Avance_km]],Tabla1[[#This Row],[Avance_Med]])*_xlfn.XLOOKUP(Tabla1[[#This Row],[Codigo_actividad]],Catalogo!$B$6:$B$51,Catalogo!$F$6:$F$51,0)</f>
        <v>23290</v>
      </c>
    </row>
    <row r="359" spans="1:13" x14ac:dyDescent="0.25">
      <c r="A359" s="354"/>
      <c r="C359" s="155"/>
      <c r="D359" s="39"/>
      <c r="F359" s="28"/>
      <c r="G359" s="28"/>
      <c r="H359" s="224" t="str">
        <f>IF(Tabla1[[#This Row],[Codigo_actividad]]&lt;&gt;2.5,IF(((Tabla1[[#This Row],[fin]]-Tabla1[[#This Row],[inicio]])/1000)=0,"",((Tabla1[[#This Row],[fin]]-Tabla1[[#This Row],[inicio]])/1000)),"")</f>
        <v/>
      </c>
      <c r="I359" s="66"/>
      <c r="J359" s="76"/>
      <c r="K359" s="66" t="str">
        <f>IF(_xlfn.XLOOKUP($J359,Catalogo!$B$7:$B$210,Catalogo!$I$7:$I$210,"",0)=0,"",_xlfn.XLOOKUP($J359,Catalogo!$B$7:$B$210,Catalogo!$I$7:$I$210,"",0))</f>
        <v/>
      </c>
      <c r="L359" s="36"/>
      <c r="M359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60" spans="1:13" x14ac:dyDescent="0.25">
      <c r="A360" s="354">
        <v>46111</v>
      </c>
      <c r="B360" s="114" t="s">
        <v>12</v>
      </c>
      <c r="C360" s="155" t="s">
        <v>329</v>
      </c>
      <c r="D360" s="39" t="s">
        <v>212</v>
      </c>
      <c r="E360" s="40" t="s">
        <v>16</v>
      </c>
      <c r="F360" s="28">
        <v>0</v>
      </c>
      <c r="G360" s="28">
        <v>2000</v>
      </c>
      <c r="H360" s="224">
        <f>IF(Tabla1[[#This Row],[Codigo_actividad]]&lt;&gt;2.5,IF(((Tabla1[[#This Row],[fin]]-Tabla1[[#This Row],[inicio]])/1000)=0,"",((Tabla1[[#This Row],[fin]]-Tabla1[[#This Row],[inicio]])/1000)),"")</f>
        <v>2</v>
      </c>
      <c r="I360" s="66"/>
      <c r="J360" s="76">
        <v>2.6</v>
      </c>
      <c r="K360" s="66" t="str">
        <f>IF(_xlfn.XLOOKUP($J360,Catalogo!$B$7:$B$210,Catalogo!$I$7:$I$210,"",0)=0,"",_xlfn.XLOOKUP($J360,Catalogo!$B$7:$B$210,Catalogo!$I$7:$I$210,"",0))</f>
        <v>Localizacion</v>
      </c>
      <c r="L360" s="36">
        <f>+_xlfn.XLOOKUP(Tabla1[[#This Row],[Ducto]],'R (s03)'!B:B,'R (s03)'!C:C)</f>
        <v>24.358000000000001</v>
      </c>
      <c r="M360" s="261">
        <f>IF(Tabla1[[#This Row],[Avance_km]]&lt;&gt;"",Tabla1[[#This Row],[Avance_km]],Tabla1[[#This Row],[Avance_Med]])*_xlfn.XLOOKUP(Tabla1[[#This Row],[Codigo_actividad]],Catalogo!$B$6:$B$51,Catalogo!$F$6:$F$51,0)</f>
        <v>4514.84</v>
      </c>
    </row>
    <row r="361" spans="1:13" x14ac:dyDescent="0.25">
      <c r="A361" s="354">
        <v>46112</v>
      </c>
      <c r="B361" s="114" t="s">
        <v>12</v>
      </c>
      <c r="C361" s="155" t="s">
        <v>329</v>
      </c>
      <c r="D361" s="39" t="s">
        <v>212</v>
      </c>
      <c r="E361" s="40" t="s">
        <v>16</v>
      </c>
      <c r="F361" s="28">
        <v>2000</v>
      </c>
      <c r="G361" s="28">
        <v>3600</v>
      </c>
      <c r="H361" s="224">
        <f>IF(Tabla1[[#This Row],[Codigo_actividad]]&lt;&gt;2.5,IF(((Tabla1[[#This Row],[fin]]-Tabla1[[#This Row],[inicio]])/1000)=0,"",((Tabla1[[#This Row],[fin]]-Tabla1[[#This Row],[inicio]])/1000)),"")</f>
        <v>1.6</v>
      </c>
      <c r="I361" s="66"/>
      <c r="J361" s="76">
        <v>2.6</v>
      </c>
      <c r="K361" s="66" t="str">
        <f>IF(_xlfn.XLOOKUP($J361,Catalogo!$B$7:$B$210,Catalogo!$I$7:$I$210,"",0)=0,"",_xlfn.XLOOKUP($J361,Catalogo!$B$7:$B$210,Catalogo!$I$7:$I$210,"",0))</f>
        <v>Localizacion</v>
      </c>
      <c r="L361" s="36">
        <f>+_xlfn.XLOOKUP(Tabla1[[#This Row],[Ducto]],'R (s03)'!B:B,'R (s03)'!C:C)</f>
        <v>24.358000000000001</v>
      </c>
      <c r="M361" s="261">
        <f>IF(Tabla1[[#This Row],[Avance_km]]&lt;&gt;"",Tabla1[[#This Row],[Avance_km]],Tabla1[[#This Row],[Avance_Med]])*_xlfn.XLOOKUP(Tabla1[[#This Row],[Codigo_actividad]],Catalogo!$B$6:$B$51,Catalogo!$F$6:$F$51,0)</f>
        <v>3611.8720000000003</v>
      </c>
    </row>
    <row r="362" spans="1:13" x14ac:dyDescent="0.25">
      <c r="A362" s="354">
        <v>46113</v>
      </c>
      <c r="B362" s="114" t="s">
        <v>12</v>
      </c>
      <c r="C362" s="155" t="s">
        <v>329</v>
      </c>
      <c r="D362" s="39" t="s">
        <v>212</v>
      </c>
      <c r="E362" s="40" t="s">
        <v>16</v>
      </c>
      <c r="F362" s="28">
        <v>3600</v>
      </c>
      <c r="G362" s="28">
        <v>5000</v>
      </c>
      <c r="H362" s="224">
        <f>IF(Tabla1[[#This Row],[Codigo_actividad]]&lt;&gt;2.5,IF(((Tabla1[[#This Row],[fin]]-Tabla1[[#This Row],[inicio]])/1000)=0,"",((Tabla1[[#This Row],[fin]]-Tabla1[[#This Row],[inicio]])/1000)),"")</f>
        <v>1.4</v>
      </c>
      <c r="I362" s="66"/>
      <c r="J362" s="76">
        <v>2.6</v>
      </c>
      <c r="K362" s="66" t="str">
        <f>IF(_xlfn.XLOOKUP($J362,Catalogo!$B$7:$B$210,Catalogo!$I$7:$I$210,"",0)=0,"",_xlfn.XLOOKUP($J362,Catalogo!$B$7:$B$210,Catalogo!$I$7:$I$210,"",0))</f>
        <v>Localizacion</v>
      </c>
      <c r="L362" s="36">
        <f>+_xlfn.XLOOKUP(Tabla1[[#This Row],[Ducto]],'R (s03)'!B:B,'R (s03)'!C:C)</f>
        <v>24.358000000000001</v>
      </c>
      <c r="M362" s="261">
        <f>IF(Tabla1[[#This Row],[Avance_km]]&lt;&gt;"",Tabla1[[#This Row],[Avance_km]],Tabla1[[#This Row],[Avance_Med]])*_xlfn.XLOOKUP(Tabla1[[#This Row],[Codigo_actividad]],Catalogo!$B$6:$B$51,Catalogo!$F$6:$F$51,0)</f>
        <v>3160.3879999999999</v>
      </c>
    </row>
    <row r="363" spans="1:13" x14ac:dyDescent="0.25">
      <c r="A363" s="354">
        <v>46114</v>
      </c>
      <c r="B363" s="114" t="s">
        <v>12</v>
      </c>
      <c r="C363" s="155" t="s">
        <v>329</v>
      </c>
      <c r="D363" s="39" t="s">
        <v>212</v>
      </c>
      <c r="E363" s="40" t="s">
        <v>16</v>
      </c>
      <c r="F363" s="28">
        <v>5256</v>
      </c>
      <c r="G363" s="28">
        <v>8000</v>
      </c>
      <c r="H363" s="224">
        <f>IF(Tabla1[[#This Row],[Codigo_actividad]]&lt;&gt;2.5,IF(((Tabla1[[#This Row],[fin]]-Tabla1[[#This Row],[inicio]])/1000)=0,"",((Tabla1[[#This Row],[fin]]-Tabla1[[#This Row],[inicio]])/1000)),"")</f>
        <v>2.7440000000000002</v>
      </c>
      <c r="I363" s="66"/>
      <c r="J363" s="76">
        <v>2.6</v>
      </c>
      <c r="K363" s="66" t="str">
        <f>IF(_xlfn.XLOOKUP($J363,Catalogo!$B$7:$B$210,Catalogo!$I$7:$I$210,"",0)=0,"",_xlfn.XLOOKUP($J363,Catalogo!$B$7:$B$210,Catalogo!$I$7:$I$210,"",0))</f>
        <v>Localizacion</v>
      </c>
      <c r="L363" s="36">
        <f>+_xlfn.XLOOKUP(Tabla1[[#This Row],[Ducto]],'R (s03)'!B:B,'R (s03)'!C:C)</f>
        <v>24.358000000000001</v>
      </c>
      <c r="M363" s="261">
        <f>IF(Tabla1[[#This Row],[Avance_km]]&lt;&gt;"",Tabla1[[#This Row],[Avance_km]],Tabla1[[#This Row],[Avance_Med]])*_xlfn.XLOOKUP(Tabla1[[#This Row],[Codigo_actividad]],Catalogo!$B$6:$B$51,Catalogo!$F$6:$F$51,0)</f>
        <v>6194.3604800000003</v>
      </c>
    </row>
    <row r="364" spans="1:13" x14ac:dyDescent="0.25">
      <c r="A364" s="354">
        <v>46115</v>
      </c>
      <c r="B364" s="114" t="s">
        <v>12</v>
      </c>
      <c r="C364" s="155" t="s">
        <v>329</v>
      </c>
      <c r="D364" s="39" t="s">
        <v>212</v>
      </c>
      <c r="E364" s="40" t="s">
        <v>16</v>
      </c>
      <c r="F364" s="28">
        <v>8000</v>
      </c>
      <c r="G364" s="28">
        <v>9000</v>
      </c>
      <c r="H364" s="224">
        <f>IF(Tabla1[[#This Row],[Codigo_actividad]]&lt;&gt;2.5,IF(((Tabla1[[#This Row],[fin]]-Tabla1[[#This Row],[inicio]])/1000)=0,"",((Tabla1[[#This Row],[fin]]-Tabla1[[#This Row],[inicio]])/1000)),"")</f>
        <v>1</v>
      </c>
      <c r="I364" s="66"/>
      <c r="J364" s="76">
        <v>2.6</v>
      </c>
      <c r="K364" s="66" t="str">
        <f>IF(_xlfn.XLOOKUP($J364,Catalogo!$B$7:$B$210,Catalogo!$I$7:$I$210,"",0)=0,"",_xlfn.XLOOKUP($J364,Catalogo!$B$7:$B$210,Catalogo!$I$7:$I$210,"",0))</f>
        <v>Localizacion</v>
      </c>
      <c r="L364" s="36">
        <f>+_xlfn.XLOOKUP(Tabla1[[#This Row],[Ducto]],'R (s03)'!B:B,'R (s03)'!C:C)</f>
        <v>24.358000000000001</v>
      </c>
      <c r="M364" s="261">
        <f>IF(Tabla1[[#This Row],[Avance_km]]&lt;&gt;"",Tabla1[[#This Row],[Avance_km]],Tabla1[[#This Row],[Avance_Med]])*_xlfn.XLOOKUP(Tabla1[[#This Row],[Codigo_actividad]],Catalogo!$B$6:$B$51,Catalogo!$F$6:$F$51,0)</f>
        <v>2257.42</v>
      </c>
    </row>
    <row r="365" spans="1:13" x14ac:dyDescent="0.25">
      <c r="A365" s="354">
        <v>46116</v>
      </c>
      <c r="B365" s="114" t="s">
        <v>12</v>
      </c>
      <c r="C365" s="155" t="s">
        <v>411</v>
      </c>
      <c r="D365" s="39" t="s">
        <v>359</v>
      </c>
      <c r="E365" s="40" t="s">
        <v>16</v>
      </c>
      <c r="F365" s="28">
        <v>0</v>
      </c>
      <c r="G365" s="28">
        <v>878</v>
      </c>
      <c r="H365" s="224">
        <f>IF(Tabla1[[#This Row],[Codigo_actividad]]&lt;&gt;2.5,IF(((Tabla1[[#This Row],[fin]]-Tabla1[[#This Row],[inicio]])/1000)=0,"",((Tabla1[[#This Row],[fin]]-Tabla1[[#This Row],[inicio]])/1000)),"")</f>
        <v>0.878</v>
      </c>
      <c r="I365" s="66"/>
      <c r="J365" s="76">
        <v>2.6</v>
      </c>
      <c r="K365" s="66" t="str">
        <f>IF(_xlfn.XLOOKUP($J365,Catalogo!$B$7:$B$210,Catalogo!$I$7:$I$210,"",0)=0,"",_xlfn.XLOOKUP($J365,Catalogo!$B$7:$B$210,Catalogo!$I$7:$I$210,"",0))</f>
        <v>Localizacion</v>
      </c>
      <c r="L365" s="36">
        <v>0.878</v>
      </c>
      <c r="M365" s="261">
        <f>IF(Tabla1[[#This Row],[Avance_km]]&lt;&gt;"",Tabla1[[#This Row],[Avance_km]],Tabla1[[#This Row],[Avance_Med]])*_xlfn.XLOOKUP(Tabla1[[#This Row],[Codigo_actividad]],Catalogo!$B$6:$B$51,Catalogo!$F$6:$F$51,0)</f>
        <v>1982.01476</v>
      </c>
    </row>
    <row r="366" spans="1:13" x14ac:dyDescent="0.25">
      <c r="A366" s="354">
        <v>46119</v>
      </c>
      <c r="B366" s="114" t="s">
        <v>12</v>
      </c>
      <c r="C366" s="155" t="s">
        <v>329</v>
      </c>
      <c r="D366" s="39" t="s">
        <v>212</v>
      </c>
      <c r="E366" s="40" t="s">
        <v>16</v>
      </c>
      <c r="F366" s="28">
        <v>11000</v>
      </c>
      <c r="G366" s="28">
        <v>12000</v>
      </c>
      <c r="H366" s="224">
        <f>IF(Tabla1[[#This Row],[Codigo_actividad]]&lt;&gt;2.5,IF(((Tabla1[[#This Row],[fin]]-Tabla1[[#This Row],[inicio]])/1000)=0,"",((Tabla1[[#This Row],[fin]]-Tabla1[[#This Row],[inicio]])/1000)),"")</f>
        <v>1</v>
      </c>
      <c r="I366" s="66"/>
      <c r="J366" s="76">
        <v>2.6</v>
      </c>
      <c r="K366" s="66" t="str">
        <f>IF(_xlfn.XLOOKUP($J366,Catalogo!$B$7:$B$210,Catalogo!$I$7:$I$210,"",0)=0,"",_xlfn.XLOOKUP($J366,Catalogo!$B$7:$B$210,Catalogo!$I$7:$I$210,"",0))</f>
        <v>Localizacion</v>
      </c>
      <c r="L366" s="36">
        <f>+_xlfn.XLOOKUP(Tabla1[[#This Row],[Ducto]],'R (s03)'!B:B,'R (s03)'!C:C)</f>
        <v>24.358000000000001</v>
      </c>
      <c r="M366" s="261">
        <f>IF(Tabla1[[#This Row],[Avance_km]]&lt;&gt;"",Tabla1[[#This Row],[Avance_km]],Tabla1[[#This Row],[Avance_Med]])*_xlfn.XLOOKUP(Tabla1[[#This Row],[Codigo_actividad]],Catalogo!$B$6:$B$51,Catalogo!$F$6:$F$51,0)</f>
        <v>2257.42</v>
      </c>
    </row>
    <row r="367" spans="1:13" x14ac:dyDescent="0.25">
      <c r="A367" s="354">
        <v>46120</v>
      </c>
      <c r="B367" s="114" t="s">
        <v>12</v>
      </c>
      <c r="C367" s="155" t="s">
        <v>329</v>
      </c>
      <c r="D367" s="39" t="s">
        <v>212</v>
      </c>
      <c r="E367" s="40" t="s">
        <v>16</v>
      </c>
      <c r="F367" s="28">
        <v>9000</v>
      </c>
      <c r="G367" s="28">
        <v>10000</v>
      </c>
      <c r="H367" s="224">
        <f>IF(Tabla1[[#This Row],[Codigo_actividad]]&lt;&gt;2.5,IF(((Tabla1[[#This Row],[fin]]-Tabla1[[#This Row],[inicio]])/1000)=0,"",((Tabla1[[#This Row],[fin]]-Tabla1[[#This Row],[inicio]])/1000)),"")</f>
        <v>1</v>
      </c>
      <c r="I367" s="66"/>
      <c r="J367" s="76">
        <v>2.6</v>
      </c>
      <c r="K367" s="66" t="str">
        <f>IF(_xlfn.XLOOKUP($J367,Catalogo!$B$7:$B$210,Catalogo!$I$7:$I$210,"",0)=0,"",_xlfn.XLOOKUP($J367,Catalogo!$B$7:$B$210,Catalogo!$I$7:$I$210,"",0))</f>
        <v>Localizacion</v>
      </c>
      <c r="L367" s="36">
        <f>+_xlfn.XLOOKUP(Tabla1[[#This Row],[Ducto]],'R (s03)'!B:B,'R (s03)'!C:C)</f>
        <v>24.358000000000001</v>
      </c>
      <c r="M367" s="261">
        <f>IF(Tabla1[[#This Row],[Avance_km]]&lt;&gt;"",Tabla1[[#This Row],[Avance_km]],Tabla1[[#This Row],[Avance_Med]])*_xlfn.XLOOKUP(Tabla1[[#This Row],[Codigo_actividad]],Catalogo!$B$6:$B$51,Catalogo!$F$6:$F$51,0)</f>
        <v>2257.42</v>
      </c>
    </row>
    <row r="368" spans="1:13" x14ac:dyDescent="0.25">
      <c r="A368" s="354">
        <v>46120</v>
      </c>
      <c r="B368" s="114" t="s">
        <v>12</v>
      </c>
      <c r="C368" s="155" t="s">
        <v>329</v>
      </c>
      <c r="D368" s="39" t="s">
        <v>212</v>
      </c>
      <c r="E368" s="40" t="s">
        <v>16</v>
      </c>
      <c r="F368" s="28">
        <v>12000</v>
      </c>
      <c r="G368" s="28">
        <v>13000</v>
      </c>
      <c r="H368" s="224">
        <f>IF(Tabla1[[#This Row],[Codigo_actividad]]&lt;&gt;2.5,IF(((Tabla1[[#This Row],[fin]]-Tabla1[[#This Row],[inicio]])/1000)=0,"",((Tabla1[[#This Row],[fin]]-Tabla1[[#This Row],[inicio]])/1000)),"")</f>
        <v>1</v>
      </c>
      <c r="I368" s="66"/>
      <c r="J368" s="76">
        <v>2.6</v>
      </c>
      <c r="K368" s="66" t="str">
        <f>IF(_xlfn.XLOOKUP($J368,Catalogo!$B$7:$B$210,Catalogo!$I$7:$I$210,"",0)=0,"",_xlfn.XLOOKUP($J368,Catalogo!$B$7:$B$210,Catalogo!$I$7:$I$210,"",0))</f>
        <v>Localizacion</v>
      </c>
      <c r="L368" s="36">
        <f>+_xlfn.XLOOKUP(Tabla1[[#This Row],[Ducto]],'R (s03)'!B:B,'R (s03)'!C:C)</f>
        <v>24.358000000000001</v>
      </c>
      <c r="M368" s="261">
        <f>IF(Tabla1[[#This Row],[Avance_km]]&lt;&gt;"",Tabla1[[#This Row],[Avance_km]],Tabla1[[#This Row],[Avance_Med]])*_xlfn.XLOOKUP(Tabla1[[#This Row],[Codigo_actividad]],Catalogo!$B$6:$B$51,Catalogo!$F$6:$F$51,0)</f>
        <v>2257.42</v>
      </c>
    </row>
    <row r="369" spans="1:23" x14ac:dyDescent="0.25">
      <c r="A369" s="354">
        <v>46121</v>
      </c>
      <c r="B369" s="114" t="s">
        <v>12</v>
      </c>
      <c r="C369" s="155" t="s">
        <v>329</v>
      </c>
      <c r="D369" s="39" t="s">
        <v>212</v>
      </c>
      <c r="E369" s="40" t="s">
        <v>16</v>
      </c>
      <c r="F369" s="28">
        <v>13000</v>
      </c>
      <c r="G369" s="28">
        <v>15750</v>
      </c>
      <c r="H369" s="224">
        <f>IF(Tabla1[[#This Row],[Codigo_actividad]]&lt;&gt;2.5,IF(((Tabla1[[#This Row],[fin]]-Tabla1[[#This Row],[inicio]])/1000)=0,"",((Tabla1[[#This Row],[fin]]-Tabla1[[#This Row],[inicio]])/1000)),"")</f>
        <v>2.75</v>
      </c>
      <c r="I369" s="66"/>
      <c r="J369" s="76">
        <v>2.6</v>
      </c>
      <c r="K369" s="66" t="str">
        <f>IF(_xlfn.XLOOKUP($J369,Catalogo!$B$7:$B$210,Catalogo!$I$7:$I$210,"",0)=0,"",_xlfn.XLOOKUP($J369,Catalogo!$B$7:$B$210,Catalogo!$I$7:$I$210,"",0))</f>
        <v>Localizacion</v>
      </c>
      <c r="L369" s="36">
        <f>+_xlfn.XLOOKUP(Tabla1[[#This Row],[Ducto]],'R (s03)'!B:B,'R (s03)'!C:C)</f>
        <v>24.358000000000001</v>
      </c>
      <c r="M369" s="261">
        <f>IF(Tabla1[[#This Row],[Avance_km]]&lt;&gt;"",Tabla1[[#This Row],[Avance_km]],Tabla1[[#This Row],[Avance_Med]])*_xlfn.XLOOKUP(Tabla1[[#This Row],[Codigo_actividad]],Catalogo!$B$6:$B$51,Catalogo!$F$6:$F$51,0)</f>
        <v>6207.9050000000007</v>
      </c>
    </row>
    <row r="370" spans="1:23" x14ac:dyDescent="0.25">
      <c r="A370" s="354">
        <v>46122</v>
      </c>
      <c r="B370" s="114" t="s">
        <v>12</v>
      </c>
      <c r="C370" s="155" t="s">
        <v>329</v>
      </c>
      <c r="D370" s="39" t="s">
        <v>212</v>
      </c>
      <c r="E370" s="40" t="s">
        <v>16</v>
      </c>
      <c r="F370" s="28">
        <v>15750</v>
      </c>
      <c r="G370" s="28">
        <v>18750</v>
      </c>
      <c r="H370" s="224">
        <f>IF(Tabla1[[#This Row],[Codigo_actividad]]&lt;&gt;2.5,IF(((Tabla1[[#This Row],[fin]]-Tabla1[[#This Row],[inicio]])/1000)=0,"",((Tabla1[[#This Row],[fin]]-Tabla1[[#This Row],[inicio]])/1000)),"")</f>
        <v>3</v>
      </c>
      <c r="I370" s="66"/>
      <c r="J370" s="76">
        <v>2.6</v>
      </c>
      <c r="K370" s="66" t="str">
        <f>IF(_xlfn.XLOOKUP($J370,Catalogo!$B$7:$B$210,Catalogo!$I$7:$I$210,"",0)=0,"",_xlfn.XLOOKUP($J370,Catalogo!$B$7:$B$210,Catalogo!$I$7:$I$210,"",0))</f>
        <v>Localizacion</v>
      </c>
      <c r="L370" s="36">
        <f>+_xlfn.XLOOKUP(Tabla1[[#This Row],[Ducto]],'R (s03)'!B:B,'R (s03)'!C:C)</f>
        <v>24.358000000000001</v>
      </c>
      <c r="M370" s="261">
        <f>IF(Tabla1[[#This Row],[Avance_km]]&lt;&gt;"",Tabla1[[#This Row],[Avance_km]],Tabla1[[#This Row],[Avance_Med]])*_xlfn.XLOOKUP(Tabla1[[#This Row],[Codigo_actividad]],Catalogo!$B$6:$B$51,Catalogo!$F$6:$F$51,0)</f>
        <v>6772.26</v>
      </c>
    </row>
    <row r="371" spans="1:23" x14ac:dyDescent="0.25">
      <c r="A371" s="354">
        <v>46123</v>
      </c>
      <c r="B371" s="114" t="s">
        <v>12</v>
      </c>
      <c r="C371" s="155" t="s">
        <v>329</v>
      </c>
      <c r="D371" s="39" t="s">
        <v>212</v>
      </c>
      <c r="E371" s="40" t="s">
        <v>16</v>
      </c>
      <c r="F371" s="28">
        <v>10000</v>
      </c>
      <c r="G371" s="28">
        <v>11000</v>
      </c>
      <c r="H371" s="224">
        <f>IF(Tabla1[[#This Row],[Codigo_actividad]]&lt;&gt;2.5,IF(((Tabla1[[#This Row],[fin]]-Tabla1[[#This Row],[inicio]])/1000)=0,"",((Tabla1[[#This Row],[fin]]-Tabla1[[#This Row],[inicio]])/1000)),"")</f>
        <v>1</v>
      </c>
      <c r="I371" s="66"/>
      <c r="J371" s="76">
        <v>2.6</v>
      </c>
      <c r="K371" s="66" t="str">
        <f>IF(_xlfn.XLOOKUP($J371,Catalogo!$B$7:$B$210,Catalogo!$I$7:$I$210,"",0)=0,"",_xlfn.XLOOKUP($J371,Catalogo!$B$7:$B$210,Catalogo!$I$7:$I$210,"",0))</f>
        <v>Localizacion</v>
      </c>
      <c r="L371" s="36">
        <f>+_xlfn.XLOOKUP(Tabla1[[#This Row],[Ducto]],'R (s03)'!B:B,'R (s03)'!C:C)</f>
        <v>24.358000000000001</v>
      </c>
      <c r="M371" s="261">
        <f>IF(Tabla1[[#This Row],[Avance_km]]&lt;&gt;"",Tabla1[[#This Row],[Avance_km]],Tabla1[[#This Row],[Avance_Med]])*_xlfn.XLOOKUP(Tabla1[[#This Row],[Codigo_actividad]],Catalogo!$B$6:$B$51,Catalogo!$F$6:$F$51,0)</f>
        <v>2257.42</v>
      </c>
    </row>
    <row r="372" spans="1:23" x14ac:dyDescent="0.25">
      <c r="A372" s="354">
        <v>46123</v>
      </c>
      <c r="B372" s="114" t="s">
        <v>12</v>
      </c>
      <c r="C372" s="155" t="s">
        <v>329</v>
      </c>
      <c r="D372" s="39" t="s">
        <v>212</v>
      </c>
      <c r="E372" s="40" t="s">
        <v>16</v>
      </c>
      <c r="F372" s="28">
        <v>18750</v>
      </c>
      <c r="G372" s="28">
        <v>19000</v>
      </c>
      <c r="H372" s="224">
        <f>IF(Tabla1[[#This Row],[Codigo_actividad]]&lt;&gt;2.5,IF(((Tabla1[[#This Row],[fin]]-Tabla1[[#This Row],[inicio]])/1000)=0,"",((Tabla1[[#This Row],[fin]]-Tabla1[[#This Row],[inicio]])/1000)),"")</f>
        <v>0.25</v>
      </c>
      <c r="I372" s="66"/>
      <c r="J372" s="76">
        <v>2.6</v>
      </c>
      <c r="K372" s="66" t="str">
        <f>IF(_xlfn.XLOOKUP($J372,Catalogo!$B$7:$B$210,Catalogo!$I$7:$I$210,"",0)=0,"",_xlfn.XLOOKUP($J372,Catalogo!$B$7:$B$210,Catalogo!$I$7:$I$210,"",0))</f>
        <v>Localizacion</v>
      </c>
      <c r="L372" s="36">
        <f>+_xlfn.XLOOKUP(Tabla1[[#This Row],[Ducto]],'R (s03)'!B:B,'R (s03)'!C:C)</f>
        <v>24.358000000000001</v>
      </c>
      <c r="M372" s="261">
        <f>IF(Tabla1[[#This Row],[Avance_km]]&lt;&gt;"",Tabla1[[#This Row],[Avance_km]],Tabla1[[#This Row],[Avance_Med]])*_xlfn.XLOOKUP(Tabla1[[#This Row],[Codigo_actividad]],Catalogo!$B$6:$B$51,Catalogo!$F$6:$F$51,0)</f>
        <v>564.35500000000002</v>
      </c>
    </row>
    <row r="373" spans="1:23" x14ac:dyDescent="0.25">
      <c r="A373" s="354">
        <v>46125</v>
      </c>
      <c r="B373" s="114" t="s">
        <v>12</v>
      </c>
      <c r="C373" s="155" t="s">
        <v>329</v>
      </c>
      <c r="D373" s="39" t="s">
        <v>212</v>
      </c>
      <c r="E373" s="40" t="s">
        <v>16</v>
      </c>
      <c r="F373" s="28">
        <v>19000</v>
      </c>
      <c r="G373" s="28">
        <v>20200</v>
      </c>
      <c r="H373" s="224">
        <f>IF(Tabla1[[#This Row],[Codigo_actividad]]&lt;&gt;2.5,IF(((Tabla1[[#This Row],[fin]]-Tabla1[[#This Row],[inicio]])/1000)=0,"",((Tabla1[[#This Row],[fin]]-Tabla1[[#This Row],[inicio]])/1000)),"")</f>
        <v>1.2</v>
      </c>
      <c r="I373" s="66"/>
      <c r="J373" s="76">
        <v>2.6</v>
      </c>
      <c r="K373" s="66" t="str">
        <f>IF(_xlfn.XLOOKUP($J373,Catalogo!$B$7:$B$210,Catalogo!$I$7:$I$210,"",0)=0,"",_xlfn.XLOOKUP($J373,Catalogo!$B$7:$B$210,Catalogo!$I$7:$I$210,"",0))</f>
        <v>Localizacion</v>
      </c>
      <c r="L373" s="36">
        <f>+_xlfn.XLOOKUP(Tabla1[[#This Row],[Ducto]],'R (s03)'!B:B,'R (s03)'!C:C)</f>
        <v>24.358000000000001</v>
      </c>
      <c r="M373" s="261">
        <f>IF(Tabla1[[#This Row],[Avance_km]]&lt;&gt;"",Tabla1[[#This Row],[Avance_km]],Tabla1[[#This Row],[Avance_Med]])*_xlfn.XLOOKUP(Tabla1[[#This Row],[Codigo_actividad]],Catalogo!$B$6:$B$51,Catalogo!$F$6:$F$51,0)</f>
        <v>2708.904</v>
      </c>
    </row>
    <row r="374" spans="1:23" x14ac:dyDescent="0.25">
      <c r="A374" s="354">
        <v>46126</v>
      </c>
      <c r="B374" s="114" t="s">
        <v>12</v>
      </c>
      <c r="C374" s="155" t="s">
        <v>329</v>
      </c>
      <c r="D374" s="39" t="s">
        <v>212</v>
      </c>
      <c r="E374" s="40" t="s">
        <v>16</v>
      </c>
      <c r="F374" s="28">
        <v>20200</v>
      </c>
      <c r="G374" s="28">
        <v>22500</v>
      </c>
      <c r="H374" s="224">
        <f>IF(Tabla1[[#This Row],[Codigo_actividad]]&lt;&gt;2.5,IF(((Tabla1[[#This Row],[fin]]-Tabla1[[#This Row],[inicio]])/1000)=0,"",((Tabla1[[#This Row],[fin]]-Tabla1[[#This Row],[inicio]])/1000)),"")</f>
        <v>2.2999999999999998</v>
      </c>
      <c r="I374" s="66"/>
      <c r="J374" s="76">
        <v>2.6</v>
      </c>
      <c r="K374" s="66" t="str">
        <f>IF(_xlfn.XLOOKUP($J374,Catalogo!$B$7:$B$210,Catalogo!$I$7:$I$210,"",0)=0,"",_xlfn.XLOOKUP($J374,Catalogo!$B$7:$B$210,Catalogo!$I$7:$I$210,"",0))</f>
        <v>Localizacion</v>
      </c>
      <c r="L374" s="36">
        <f>+_xlfn.XLOOKUP(Tabla1[[#This Row],[Ducto]],'R (s03)'!B:B,'R (s03)'!C:C)</f>
        <v>24.358000000000001</v>
      </c>
      <c r="M374" s="261">
        <f>IF(Tabla1[[#This Row],[Avance_km]]&lt;&gt;"",Tabla1[[#This Row],[Avance_km]],Tabla1[[#This Row],[Avance_Med]])*_xlfn.XLOOKUP(Tabla1[[#This Row],[Codigo_actividad]],Catalogo!$B$6:$B$51,Catalogo!$F$6:$F$51,0)</f>
        <v>5192.0659999999998</v>
      </c>
    </row>
    <row r="375" spans="1:23" x14ac:dyDescent="0.25">
      <c r="A375" s="354">
        <v>46127</v>
      </c>
      <c r="B375" s="114" t="s">
        <v>12</v>
      </c>
      <c r="C375" s="155" t="s">
        <v>329</v>
      </c>
      <c r="D375" s="39" t="s">
        <v>212</v>
      </c>
      <c r="E375" s="40" t="s">
        <v>16</v>
      </c>
      <c r="F375" s="28">
        <v>22500</v>
      </c>
      <c r="G375" s="28">
        <v>24358</v>
      </c>
      <c r="H375" s="224">
        <f>IF(Tabla1[[#This Row],[Codigo_actividad]]&lt;&gt;2.5,IF(((Tabla1[[#This Row],[fin]]-Tabla1[[#This Row],[inicio]])/1000)=0,"",((Tabla1[[#This Row],[fin]]-Tabla1[[#This Row],[inicio]])/1000)),"")</f>
        <v>1.8580000000000001</v>
      </c>
      <c r="I375" s="66"/>
      <c r="J375" s="76">
        <v>2.6</v>
      </c>
      <c r="K375" s="66" t="str">
        <f>IF(_xlfn.XLOOKUP($J375,Catalogo!$B$7:$B$210,Catalogo!$I$7:$I$210,"",0)=0,"",_xlfn.XLOOKUP($J375,Catalogo!$B$7:$B$210,Catalogo!$I$7:$I$210,"",0))</f>
        <v>Localizacion</v>
      </c>
      <c r="L375" s="36">
        <f>+_xlfn.XLOOKUP(Tabla1[[#This Row],[Ducto]],'R (s03)'!B:B,'R (s03)'!C:C)</f>
        <v>24.358000000000001</v>
      </c>
      <c r="M375" s="261">
        <f>IF(Tabla1[[#This Row],[Avance_km]]&lt;&gt;"",Tabla1[[#This Row],[Avance_km]],Tabla1[[#This Row],[Avance_Med]])*_xlfn.XLOOKUP(Tabla1[[#This Row],[Codigo_actividad]],Catalogo!$B$6:$B$51,Catalogo!$F$6:$F$51,0)</f>
        <v>4194.2863600000001</v>
      </c>
    </row>
    <row r="376" spans="1:23" x14ac:dyDescent="0.25">
      <c r="A376" s="354">
        <v>46128</v>
      </c>
      <c r="B376" s="114" t="s">
        <v>12</v>
      </c>
      <c r="C376" s="155" t="s">
        <v>329</v>
      </c>
      <c r="D376" s="39" t="s">
        <v>212</v>
      </c>
      <c r="E376" s="40" t="s">
        <v>16</v>
      </c>
      <c r="F376" s="28">
        <v>5000</v>
      </c>
      <c r="G376" s="28">
        <v>5256</v>
      </c>
      <c r="H376" s="224">
        <f>IF(Tabla1[[#This Row],[Codigo_actividad]]&lt;&gt;2.5,IF(((Tabla1[[#This Row],[fin]]-Tabla1[[#This Row],[inicio]])/1000)=0,"",((Tabla1[[#This Row],[fin]]-Tabla1[[#This Row],[inicio]])/1000)),"")</f>
        <v>0.25600000000000001</v>
      </c>
      <c r="I376" s="66"/>
      <c r="J376" s="76">
        <v>2.6</v>
      </c>
      <c r="K376" s="66" t="str">
        <f>IF(_xlfn.XLOOKUP($J376,Catalogo!$B$7:$B$210,Catalogo!$I$7:$I$210,"",0)=0,"",_xlfn.XLOOKUP($J376,Catalogo!$B$7:$B$210,Catalogo!$I$7:$I$210,"",0))</f>
        <v>Localizacion</v>
      </c>
      <c r="L376" s="36">
        <f>+_xlfn.XLOOKUP(Tabla1[[#This Row],[Ducto]],'R (s03)'!B:B,'R (s03)'!C:C)</f>
        <v>24.358000000000001</v>
      </c>
      <c r="M376" s="261">
        <f>IF(Tabla1[[#This Row],[Avance_km]]&lt;&gt;"",Tabla1[[#This Row],[Avance_km]],Tabla1[[#This Row],[Avance_Med]])*_xlfn.XLOOKUP(Tabla1[[#This Row],[Codigo_actividad]],Catalogo!$B$6:$B$51,Catalogo!$F$6:$F$51,0)</f>
        <v>577.89952000000005</v>
      </c>
    </row>
    <row r="377" spans="1:23" x14ac:dyDescent="0.25">
      <c r="A377" s="354"/>
      <c r="C377" s="155"/>
      <c r="D377" s="39"/>
      <c r="F377" s="28"/>
      <c r="G377" s="28"/>
      <c r="H377" s="224" t="str">
        <f>IF(Tabla1[[#This Row],[Codigo_actividad]]&lt;&gt;2.5,IF(((Tabla1[[#This Row],[fin]]-Tabla1[[#This Row],[inicio]])/1000)=0,"",((Tabla1[[#This Row],[fin]]-Tabla1[[#This Row],[inicio]])/1000)),"")</f>
        <v/>
      </c>
      <c r="J377" s="76"/>
      <c r="K377" s="66" t="str">
        <f>IF(_xlfn.XLOOKUP($J377,Catalogo!$B$7:$B$21,Catalogo!$I$7:$I$21,"",0)=0,"",_xlfn.XLOOKUP($J377,Catalogo!$B$7:$B$21,Catalogo!$I$7:$I$21,"",0))</f>
        <v/>
      </c>
      <c r="L377" s="36"/>
      <c r="M377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78" spans="1:23" x14ac:dyDescent="0.25">
      <c r="A378" s="354">
        <v>46135</v>
      </c>
      <c r="B378" s="114" t="s">
        <v>12</v>
      </c>
      <c r="C378" s="155" t="s">
        <v>329</v>
      </c>
      <c r="D378" s="39" t="s">
        <v>212</v>
      </c>
      <c r="E378" s="40" t="s">
        <v>36</v>
      </c>
      <c r="F378" s="28">
        <v>15605</v>
      </c>
      <c r="G378" s="28">
        <v>16617</v>
      </c>
      <c r="H378" s="224">
        <f>IF(Tabla1[[#This Row],[Codigo_actividad]]&lt;&gt;2.5,IF(((Tabla1[[#This Row],[fin]]-Tabla1[[#This Row],[inicio]])/1000)=0,"",((Tabla1[[#This Row],[fin]]-Tabla1[[#This Row],[inicio]])/1000)),"")</f>
        <v>1.012</v>
      </c>
      <c r="I378" s="66"/>
      <c r="J378" s="76">
        <v>2.2999999999999998</v>
      </c>
      <c r="K378" s="66" t="str">
        <f>IF(_xlfn.XLOOKUP($J378,Catalogo!$B$7:$B$210,Catalogo!$I$7:$I$210,"",0)=0,"",_xlfn.XLOOKUP($J378,Catalogo!$B$7:$B$210,Catalogo!$I$7:$I$210,"",0))</f>
        <v>DCVG</v>
      </c>
      <c r="L378" s="36">
        <f>+_xlfn.XLOOKUP(Tabla1[[#This Row],[Ducto]],'R (s03)'!B:B,'R (s03)'!C:C)</f>
        <v>24.358000000000001</v>
      </c>
      <c r="M378" s="261">
        <f>IF(Tabla1[[#This Row],[Avance_km]]&lt;&gt;"",Tabla1[[#This Row],[Avance_km]],Tabla1[[#This Row],[Avance_Med]])*_xlfn.XLOOKUP(Tabla1[[#This Row],[Codigo_actividad]],Catalogo!$B$6:$B$51,Catalogo!$F$6:$F$51,0)</f>
        <v>13718.297559999999</v>
      </c>
      <c r="P378" s="369" t="s">
        <v>462</v>
      </c>
      <c r="Q378" s="369" t="s">
        <v>463</v>
      </c>
      <c r="R378" s="369" t="s">
        <v>464</v>
      </c>
      <c r="S378" s="375" t="s">
        <v>465</v>
      </c>
      <c r="T378" s="375"/>
      <c r="U378" s="375"/>
      <c r="V378" s="375"/>
      <c r="W378" s="375"/>
    </row>
    <row r="379" spans="1:23" x14ac:dyDescent="0.25">
      <c r="A379" s="354">
        <v>46136</v>
      </c>
      <c r="B379" s="114" t="s">
        <v>12</v>
      </c>
      <c r="C379" s="155" t="s">
        <v>329</v>
      </c>
      <c r="D379" s="39" t="s">
        <v>212</v>
      </c>
      <c r="E379" s="40" t="s">
        <v>36</v>
      </c>
      <c r="F379" s="28">
        <v>16617</v>
      </c>
      <c r="G379" s="28">
        <v>18406</v>
      </c>
      <c r="H379" s="224">
        <f>IF(Tabla1[[#This Row],[Codigo_actividad]]&lt;&gt;2.5,IF(((Tabla1[[#This Row],[fin]]-Tabla1[[#This Row],[inicio]])/1000)=0,"",((Tabla1[[#This Row],[fin]]-Tabla1[[#This Row],[inicio]])/1000)),"")</f>
        <v>1.7889999999999999</v>
      </c>
      <c r="I379" s="66"/>
      <c r="J379" s="76">
        <v>2.2999999999999998</v>
      </c>
      <c r="K379" s="66" t="str">
        <f>IF(_xlfn.XLOOKUP($J379,Catalogo!$B$7:$B$210,Catalogo!$I$7:$I$210,"",0)=0,"",_xlfn.XLOOKUP($J379,Catalogo!$B$7:$B$210,Catalogo!$I$7:$I$210,"",0))</f>
        <v>DCVG</v>
      </c>
      <c r="L379" s="36">
        <f>+_xlfn.XLOOKUP(Tabla1[[#This Row],[Ducto]],'R (s03)'!B:B,'R (s03)'!C:C)</f>
        <v>24.358000000000001</v>
      </c>
      <c r="M379" s="261">
        <f>IF(Tabla1[[#This Row],[Avance_km]]&lt;&gt;"",Tabla1[[#This Row],[Avance_km]],Tabla1[[#This Row],[Avance_Med]])*_xlfn.XLOOKUP(Tabla1[[#This Row],[Codigo_actividad]],Catalogo!$B$6:$B$51,Catalogo!$F$6:$F$51,0)</f>
        <v>24251.022069999999</v>
      </c>
      <c r="P379" s="372">
        <v>2950</v>
      </c>
      <c r="Q379" s="372">
        <v>3463</v>
      </c>
      <c r="R379" s="373">
        <f>Q379-P379</f>
        <v>513</v>
      </c>
      <c r="S379" t="s">
        <v>466</v>
      </c>
      <c r="T379" t="str">
        <f>"SALTO del "&amp;TEXT(P379,"0+000")&amp;" al "&amp;TEXT(Q379,"0+000")&amp;" "&amp;S379</f>
        <v>SALTO del 2+950 al 3+463 ZONA DE CULTIVO DE BROCOLI</v>
      </c>
    </row>
    <row r="380" spans="1:23" x14ac:dyDescent="0.25">
      <c r="A380" s="354">
        <v>46137</v>
      </c>
      <c r="B380" s="114" t="s">
        <v>12</v>
      </c>
      <c r="C380" s="155" t="s">
        <v>329</v>
      </c>
      <c r="D380" s="39" t="s">
        <v>212</v>
      </c>
      <c r="E380" s="40" t="s">
        <v>36</v>
      </c>
      <c r="F380" s="28">
        <v>22858</v>
      </c>
      <c r="G380" s="28">
        <v>23234</v>
      </c>
      <c r="H380" s="224">
        <f>IF(Tabla1[[#This Row],[Codigo_actividad]]&lt;&gt;2.5,IF(((Tabla1[[#This Row],[fin]]-Tabla1[[#This Row],[inicio]])/1000)=0,"",((Tabla1[[#This Row],[fin]]-Tabla1[[#This Row],[inicio]])/1000)),"")</f>
        <v>0.376</v>
      </c>
      <c r="I380" s="66"/>
      <c r="J380" s="76">
        <v>2.2999999999999998</v>
      </c>
      <c r="K380" s="66" t="str">
        <f>IF(_xlfn.XLOOKUP($J380,Catalogo!$B$7:$B$210,Catalogo!$I$7:$I$210,"",0)=0,"",_xlfn.XLOOKUP($J380,Catalogo!$B$7:$B$210,Catalogo!$I$7:$I$210,"",0))</f>
        <v>DCVG</v>
      </c>
      <c r="L380" s="36">
        <f>+_xlfn.XLOOKUP(Tabla1[[#This Row],[Ducto]],'R (s03)'!B:B,'R (s03)'!C:C)</f>
        <v>24.358000000000001</v>
      </c>
      <c r="M380" s="261">
        <f>IF(Tabla1[[#This Row],[Avance_km]]&lt;&gt;"",Tabla1[[#This Row],[Avance_km]],Tabla1[[#This Row],[Avance_Med]])*_xlfn.XLOOKUP(Tabla1[[#This Row],[Codigo_actividad]],Catalogo!$B$6:$B$51,Catalogo!$F$6:$F$51,0)</f>
        <v>5096.9168799999998</v>
      </c>
      <c r="P380" s="372">
        <v>4210</v>
      </c>
      <c r="Q380" s="372">
        <v>4322</v>
      </c>
      <c r="R380" s="373">
        <f t="shared" ref="R380:R398" si="0">Q380-P380</f>
        <v>112</v>
      </c>
      <c r="S380" t="s">
        <v>467</v>
      </c>
      <c r="T380" t="str">
        <f t="shared" ref="T380:T398" si="1">"SALTO del "&amp;TEXT(P380,"0+000")&amp;" al "&amp;TEXT(Q380,"0+000")&amp;" "&amp;S380</f>
        <v>SALTO del 4+210 al 4+322 ZONA DE SEMBRADIO MILPA</v>
      </c>
    </row>
    <row r="381" spans="1:23" x14ac:dyDescent="0.25">
      <c r="A381" s="354">
        <v>46139</v>
      </c>
      <c r="B381" s="114" t="s">
        <v>12</v>
      </c>
      <c r="C381" s="155" t="s">
        <v>329</v>
      </c>
      <c r="D381" s="39" t="s">
        <v>212</v>
      </c>
      <c r="E381" s="40" t="s">
        <v>36</v>
      </c>
      <c r="F381" s="28">
        <v>18406</v>
      </c>
      <c r="G381" s="28">
        <v>19571</v>
      </c>
      <c r="H381" s="224">
        <f>IF(Tabla1[[#This Row],[Codigo_actividad]]&lt;&gt;2.5,IF(((Tabla1[[#This Row],[fin]]-Tabla1[[#This Row],[inicio]])/1000)=0,"",((Tabla1[[#This Row],[fin]]-Tabla1[[#This Row],[inicio]])/1000)),"")</f>
        <v>1.165</v>
      </c>
      <c r="I381" s="66"/>
      <c r="J381" s="76">
        <v>2.2999999999999998</v>
      </c>
      <c r="K381" s="66" t="str">
        <f>IF(_xlfn.XLOOKUP($J381,Catalogo!$B$7:$B$210,Catalogo!$I$7:$I$210,"",0)=0,"",_xlfn.XLOOKUP($J381,Catalogo!$B$7:$B$210,Catalogo!$I$7:$I$210,"",0))</f>
        <v>DCVG</v>
      </c>
      <c r="L381" s="36">
        <f>+_xlfn.XLOOKUP(Tabla1[[#This Row],[Ducto]],'R (s03)'!B:B,'R (s03)'!C:C)</f>
        <v>24.358000000000001</v>
      </c>
      <c r="M381" s="261">
        <f>IF(Tabla1[[#This Row],[Avance_km]]&lt;&gt;"",Tabla1[[#This Row],[Avance_km]],Tabla1[[#This Row],[Avance_Med]])*_xlfn.XLOOKUP(Tabla1[[#This Row],[Codigo_actividad]],Catalogo!$B$6:$B$51,Catalogo!$F$6:$F$51,0)</f>
        <v>15792.308949999999</v>
      </c>
      <c r="P381" s="372">
        <v>7076</v>
      </c>
      <c r="Q381" s="372">
        <v>7087</v>
      </c>
      <c r="R381" s="373">
        <f t="shared" si="0"/>
        <v>11</v>
      </c>
      <c r="S381" t="s">
        <v>468</v>
      </c>
      <c r="T381" t="str">
        <f t="shared" si="1"/>
        <v>SALTO del 7+076 al 7+087 CRUCE DE CUERPO DE AGUA</v>
      </c>
    </row>
    <row r="382" spans="1:23" x14ac:dyDescent="0.25">
      <c r="A382" s="354">
        <v>46139</v>
      </c>
      <c r="B382" s="114" t="s">
        <v>12</v>
      </c>
      <c r="C382" s="155" t="s">
        <v>329</v>
      </c>
      <c r="D382" s="39" t="s">
        <v>212</v>
      </c>
      <c r="E382" s="40" t="s">
        <v>36</v>
      </c>
      <c r="F382" s="367">
        <v>18707</v>
      </c>
      <c r="G382" s="367">
        <v>18675</v>
      </c>
      <c r="H382" s="368">
        <f>IF(Tabla1[[#This Row],[Codigo_actividad]]&lt;&gt;2.5,IF(((Tabla1[[#This Row],[fin]]-Tabla1[[#This Row],[inicio]])/1000)=0,"",((Tabla1[[#This Row],[fin]]-Tabla1[[#This Row],[inicio]])/1000)),"")</f>
        <v>-3.2000000000000001E-2</v>
      </c>
      <c r="I382" s="66"/>
      <c r="J382" s="76">
        <v>2.2999999999999998</v>
      </c>
      <c r="K382" s="66" t="str">
        <f>IF(_xlfn.XLOOKUP($J382,Catalogo!$B$7:$B$210,Catalogo!$I$7:$I$210,"",0)=0,"",_xlfn.XLOOKUP($J382,Catalogo!$B$7:$B$210,Catalogo!$I$7:$I$210,"",0))</f>
        <v>DCVG</v>
      </c>
      <c r="L382" s="36">
        <f>+_xlfn.XLOOKUP(Tabla1[[#This Row],[Ducto]],'R (s03)'!B:B,'R (s03)'!C:C)</f>
        <v>24.358000000000001</v>
      </c>
      <c r="M382" s="261">
        <f>IF(Tabla1[[#This Row],[Avance_km]]&lt;&gt;"",Tabla1[[#This Row],[Avance_km]],Tabla1[[#This Row],[Avance_Med]])*_xlfn.XLOOKUP(Tabla1[[#This Row],[Codigo_actividad]],Catalogo!$B$6:$B$51,Catalogo!$F$6:$F$51,0)</f>
        <v>-433.78015999999997</v>
      </c>
      <c r="N382" t="s">
        <v>480</v>
      </c>
      <c r="P382" s="372">
        <v>8105</v>
      </c>
      <c r="Q382" s="372">
        <v>8113</v>
      </c>
      <c r="R382" s="373">
        <f t="shared" si="0"/>
        <v>8</v>
      </c>
      <c r="S382" t="s">
        <v>469</v>
      </c>
      <c r="T382" t="str">
        <f t="shared" si="1"/>
        <v>SALTO del 8+105 al 8+113 PROPIEDAD PRIVADA</v>
      </c>
    </row>
    <row r="383" spans="1:23" x14ac:dyDescent="0.25">
      <c r="A383" s="354">
        <v>46139</v>
      </c>
      <c r="B383" s="114" t="s">
        <v>12</v>
      </c>
      <c r="C383" s="155" t="s">
        <v>329</v>
      </c>
      <c r="D383" s="39" t="s">
        <v>212</v>
      </c>
      <c r="E383" s="40" t="s">
        <v>36</v>
      </c>
      <c r="F383" s="367">
        <v>18786</v>
      </c>
      <c r="G383" s="367">
        <v>18716</v>
      </c>
      <c r="H383" s="368">
        <f>IF(Tabla1[[#This Row],[Codigo_actividad]]&lt;&gt;2.5,IF(((Tabla1[[#This Row],[fin]]-Tabla1[[#This Row],[inicio]])/1000)=0,"",((Tabla1[[#This Row],[fin]]-Tabla1[[#This Row],[inicio]])/1000)),"")</f>
        <v>-7.0000000000000007E-2</v>
      </c>
      <c r="I383" s="66"/>
      <c r="J383" s="76">
        <v>2.2999999999999998</v>
      </c>
      <c r="K383" s="66" t="str">
        <f>IF(_xlfn.XLOOKUP($J383,Catalogo!$B$7:$B$210,Catalogo!$I$7:$I$210,"",0)=0,"",_xlfn.XLOOKUP($J383,Catalogo!$B$7:$B$210,Catalogo!$I$7:$I$210,"",0))</f>
        <v>DCVG</v>
      </c>
      <c r="L383" s="36">
        <f>+_xlfn.XLOOKUP(Tabla1[[#This Row],[Ducto]],'R (s03)'!B:B,'R (s03)'!C:C)</f>
        <v>24.358000000000001</v>
      </c>
      <c r="M383" s="261">
        <f>IF(Tabla1[[#This Row],[Avance_km]]&lt;&gt;"",Tabla1[[#This Row],[Avance_km]],Tabla1[[#This Row],[Avance_Med]])*_xlfn.XLOOKUP(Tabla1[[#This Row],[Codigo_actividad]],Catalogo!$B$6:$B$51,Catalogo!$F$6:$F$51,0)</f>
        <v>-948.89409999999998</v>
      </c>
      <c r="N383" t="s">
        <v>481</v>
      </c>
      <c r="P383" s="372">
        <v>8522</v>
      </c>
      <c r="Q383" s="372">
        <v>8563</v>
      </c>
      <c r="R383" s="373">
        <f t="shared" si="0"/>
        <v>41</v>
      </c>
      <c r="S383" t="s">
        <v>469</v>
      </c>
      <c r="T383" t="str">
        <f t="shared" si="1"/>
        <v>SALTO del 8+522 al 8+563 PROPIEDAD PRIVADA</v>
      </c>
    </row>
    <row r="384" spans="1:23" x14ac:dyDescent="0.25">
      <c r="A384" s="354">
        <v>46139</v>
      </c>
      <c r="B384" s="114" t="s">
        <v>12</v>
      </c>
      <c r="C384" s="155" t="s">
        <v>329</v>
      </c>
      <c r="D384" s="39" t="s">
        <v>212</v>
      </c>
      <c r="E384" s="40" t="s">
        <v>36</v>
      </c>
      <c r="F384" s="367">
        <v>18942</v>
      </c>
      <c r="G384" s="367">
        <v>18911</v>
      </c>
      <c r="H384" s="368">
        <f>IF(Tabla1[[#This Row],[Codigo_actividad]]&lt;&gt;2.5,IF(((Tabla1[[#This Row],[fin]]-Tabla1[[#This Row],[inicio]])/1000)=0,"",((Tabla1[[#This Row],[fin]]-Tabla1[[#This Row],[inicio]])/1000)),"")</f>
        <v>-3.1E-2</v>
      </c>
      <c r="I384" s="66"/>
      <c r="J384" s="76">
        <v>2.2999999999999998</v>
      </c>
      <c r="K384" s="66" t="str">
        <f>IF(_xlfn.XLOOKUP($J384,Catalogo!$B$7:$B$210,Catalogo!$I$7:$I$210,"",0)=0,"",_xlfn.XLOOKUP($J384,Catalogo!$B$7:$B$210,Catalogo!$I$7:$I$210,"",0))</f>
        <v>DCVG</v>
      </c>
      <c r="L384" s="36">
        <f>+_xlfn.XLOOKUP(Tabla1[[#This Row],[Ducto]],'R (s03)'!B:B,'R (s03)'!C:C)</f>
        <v>24.358000000000001</v>
      </c>
      <c r="M384" s="261">
        <f>IF(Tabla1[[#This Row],[Avance_km]]&lt;&gt;"",Tabla1[[#This Row],[Avance_km]],Tabla1[[#This Row],[Avance_Med]])*_xlfn.XLOOKUP(Tabla1[[#This Row],[Codigo_actividad]],Catalogo!$B$6:$B$51,Catalogo!$F$6:$F$51,0)</f>
        <v>-420.22452999999996</v>
      </c>
      <c r="N384" t="s">
        <v>482</v>
      </c>
      <c r="P384" s="372">
        <v>8572</v>
      </c>
      <c r="Q384" s="372">
        <v>8654</v>
      </c>
      <c r="R384" s="373">
        <f t="shared" si="0"/>
        <v>82</v>
      </c>
      <c r="S384" t="s">
        <v>470</v>
      </c>
      <c r="T384" t="str">
        <f t="shared" si="1"/>
        <v>SALTO del 8+572 al 8+654 ZONA HABITACIONAL</v>
      </c>
    </row>
    <row r="385" spans="1:20" x14ac:dyDescent="0.25">
      <c r="A385" s="354">
        <v>46139</v>
      </c>
      <c r="B385" s="114" t="s">
        <v>12</v>
      </c>
      <c r="C385" s="155" t="s">
        <v>329</v>
      </c>
      <c r="D385" s="39" t="s">
        <v>212</v>
      </c>
      <c r="E385" s="40" t="s">
        <v>36</v>
      </c>
      <c r="F385" s="367">
        <v>19445</v>
      </c>
      <c r="G385" s="367">
        <v>19422</v>
      </c>
      <c r="H385" s="368">
        <f>IF(Tabla1[[#This Row],[Codigo_actividad]]&lt;&gt;2.5,IF(((Tabla1[[#This Row],[fin]]-Tabla1[[#This Row],[inicio]])/1000)=0,"",((Tabla1[[#This Row],[fin]]-Tabla1[[#This Row],[inicio]])/1000)),"")</f>
        <v>-2.3E-2</v>
      </c>
      <c r="I385" s="66"/>
      <c r="J385" s="76">
        <v>2.2999999999999998</v>
      </c>
      <c r="K385" s="66" t="str">
        <f>IF(_xlfn.XLOOKUP($J385,Catalogo!$B$7:$B$210,Catalogo!$I$7:$I$210,"",0)=0,"",_xlfn.XLOOKUP($J385,Catalogo!$B$7:$B$210,Catalogo!$I$7:$I$210,"",0))</f>
        <v>DCVG</v>
      </c>
      <c r="L385" s="36">
        <f>+_xlfn.XLOOKUP(Tabla1[[#This Row],[Ducto]],'R (s03)'!B:B,'R (s03)'!C:C)</f>
        <v>24.358000000000001</v>
      </c>
      <c r="M385" s="261">
        <f>IF(Tabla1[[#This Row],[Avance_km]]&lt;&gt;"",Tabla1[[#This Row],[Avance_km]],Tabla1[[#This Row],[Avance_Med]])*_xlfn.XLOOKUP(Tabla1[[#This Row],[Codigo_actividad]],Catalogo!$B$6:$B$51,Catalogo!$F$6:$F$51,0)</f>
        <v>-311.77948999999995</v>
      </c>
      <c r="N385" t="s">
        <v>483</v>
      </c>
      <c r="P385" s="372">
        <v>9915</v>
      </c>
      <c r="Q385" s="372">
        <v>10176</v>
      </c>
      <c r="R385" s="373">
        <f t="shared" si="0"/>
        <v>261</v>
      </c>
      <c r="S385" t="s">
        <v>470</v>
      </c>
      <c r="T385" t="str">
        <f t="shared" si="1"/>
        <v>SALTO del 9+915 al 10+176 ZONA HABITACIONAL</v>
      </c>
    </row>
    <row r="386" spans="1:20" x14ac:dyDescent="0.25">
      <c r="A386" s="354">
        <v>46140</v>
      </c>
      <c r="B386" s="114" t="s">
        <v>12</v>
      </c>
      <c r="C386" s="155" t="s">
        <v>329</v>
      </c>
      <c r="D386" s="39" t="s">
        <v>212</v>
      </c>
      <c r="E386" s="40" t="s">
        <v>36</v>
      </c>
      <c r="F386" s="28">
        <v>19571</v>
      </c>
      <c r="G386" s="28">
        <v>20703</v>
      </c>
      <c r="H386" s="224">
        <f>IF(Tabla1[[#This Row],[Codigo_actividad]]&lt;&gt;2.5,IF(((Tabla1[[#This Row],[fin]]-Tabla1[[#This Row],[inicio]])/1000)=0,"",((Tabla1[[#This Row],[fin]]-Tabla1[[#This Row],[inicio]])/1000)),"")</f>
        <v>1.1319999999999999</v>
      </c>
      <c r="I386" s="66"/>
      <c r="J386" s="76">
        <v>2.2999999999999998</v>
      </c>
      <c r="K386" s="66" t="str">
        <f>IF(_xlfn.XLOOKUP($J386,Catalogo!$B$7:$B$210,Catalogo!$I$7:$I$210,"",0)=0,"",_xlfn.XLOOKUP($J386,Catalogo!$B$7:$B$210,Catalogo!$I$7:$I$210,"",0))</f>
        <v>DCVG</v>
      </c>
      <c r="L386" s="36">
        <f>+_xlfn.XLOOKUP(Tabla1[[#This Row],[Ducto]],'R (s03)'!B:B,'R (s03)'!C:C)</f>
        <v>24.358000000000001</v>
      </c>
      <c r="M386" s="261">
        <f>IF(Tabla1[[#This Row],[Avance_km]]&lt;&gt;"",Tabla1[[#This Row],[Avance_km]],Tabla1[[#This Row],[Avance_Med]])*_xlfn.XLOOKUP(Tabla1[[#This Row],[Codigo_actividad]],Catalogo!$B$6:$B$51,Catalogo!$F$6:$F$51,0)</f>
        <v>15344.973159999998</v>
      </c>
      <c r="P386" s="372">
        <v>11788</v>
      </c>
      <c r="Q386" s="372">
        <v>11813</v>
      </c>
      <c r="R386" s="373">
        <f t="shared" si="0"/>
        <v>25</v>
      </c>
      <c r="S386" t="s">
        <v>470</v>
      </c>
      <c r="T386" t="str">
        <f t="shared" si="1"/>
        <v>SALTO del 11+788 al 11+813 ZONA HABITACIONAL</v>
      </c>
    </row>
    <row r="387" spans="1:20" x14ac:dyDescent="0.25">
      <c r="A387" s="354">
        <v>46142</v>
      </c>
      <c r="B387" s="114" t="s">
        <v>12</v>
      </c>
      <c r="C387" s="155" t="s">
        <v>329</v>
      </c>
      <c r="D387" s="39" t="s">
        <v>212</v>
      </c>
      <c r="E387" s="40" t="s">
        <v>36</v>
      </c>
      <c r="F387" s="28">
        <v>20703</v>
      </c>
      <c r="G387" s="28">
        <v>21184</v>
      </c>
      <c r="H387" s="224">
        <f>IF(Tabla1[[#This Row],[Codigo_actividad]]&lt;&gt;2.5,IF(((Tabla1[[#This Row],[fin]]-Tabla1[[#This Row],[inicio]])/1000)=0,"",((Tabla1[[#This Row],[fin]]-Tabla1[[#This Row],[inicio]])/1000)),"")</f>
        <v>0.48099999999999998</v>
      </c>
      <c r="I387" s="66"/>
      <c r="J387" s="76">
        <v>2.2999999999999998</v>
      </c>
      <c r="K387" s="66" t="str">
        <f>IF(_xlfn.XLOOKUP($J387,Catalogo!$B$7:$B$210,Catalogo!$I$7:$I$210,"",0)=0,"",_xlfn.XLOOKUP($J387,Catalogo!$B$7:$B$210,Catalogo!$I$7:$I$210,"",0))</f>
        <v>DCVG</v>
      </c>
      <c r="L387" s="36">
        <f>+_xlfn.XLOOKUP(Tabla1[[#This Row],[Ducto]],'R (s03)'!B:B,'R (s03)'!C:C)</f>
        <v>24.358000000000001</v>
      </c>
      <c r="M387" s="261">
        <f>IF(Tabla1[[#This Row],[Avance_km]]&lt;&gt;"",Tabla1[[#This Row],[Avance_km]],Tabla1[[#This Row],[Avance_Med]])*_xlfn.XLOOKUP(Tabla1[[#This Row],[Codigo_actividad]],Catalogo!$B$6:$B$51,Catalogo!$F$6:$F$51,0)</f>
        <v>6520.2580299999991</v>
      </c>
      <c r="P387" s="372">
        <v>18675</v>
      </c>
      <c r="Q387" s="372">
        <v>18707</v>
      </c>
      <c r="R387" s="373">
        <f t="shared" si="0"/>
        <v>32</v>
      </c>
      <c r="S387" t="s">
        <v>471</v>
      </c>
      <c r="T387" t="str">
        <f t="shared" si="1"/>
        <v>SALTO del 18+675 al 18+707 ZONA DE TALLER MECANICO CEA (COMISIÓN DEL AGUA)</v>
      </c>
    </row>
    <row r="388" spans="1:20" x14ac:dyDescent="0.25">
      <c r="A388" s="354">
        <v>46142</v>
      </c>
      <c r="B388" s="114" t="s">
        <v>12</v>
      </c>
      <c r="C388" s="155" t="s">
        <v>329</v>
      </c>
      <c r="D388" s="39" t="s">
        <v>212</v>
      </c>
      <c r="E388" s="40" t="s">
        <v>36</v>
      </c>
      <c r="F388" s="367">
        <v>20716</v>
      </c>
      <c r="G388" s="367">
        <v>20703</v>
      </c>
      <c r="H388" s="368">
        <f>IF(Tabla1[[#This Row],[Codigo_actividad]]&lt;&gt;2.5,IF(((Tabla1[[#This Row],[fin]]-Tabla1[[#This Row],[inicio]])/1000)=0,"",((Tabla1[[#This Row],[fin]]-Tabla1[[#This Row],[inicio]])/1000)),"")</f>
        <v>-1.2999999999999999E-2</v>
      </c>
      <c r="I388" s="66"/>
      <c r="J388" s="76">
        <v>2.2999999999999998</v>
      </c>
      <c r="K388" s="66" t="str">
        <f>IF(_xlfn.XLOOKUP($J388,Catalogo!$B$7:$B$210,Catalogo!$I$7:$I$210,"",0)=0,"",_xlfn.XLOOKUP($J388,Catalogo!$B$7:$B$210,Catalogo!$I$7:$I$210,"",0))</f>
        <v>DCVG</v>
      </c>
      <c r="L388" s="36">
        <f>+_xlfn.XLOOKUP(Tabla1[[#This Row],[Ducto]],'R (s03)'!B:B,'R (s03)'!C:C)</f>
        <v>24.358000000000001</v>
      </c>
      <c r="M388" s="261">
        <f>IF(Tabla1[[#This Row],[Avance_km]]&lt;&gt;"",Tabla1[[#This Row],[Avance_km]],Tabla1[[#This Row],[Avance_Med]])*_xlfn.XLOOKUP(Tabla1[[#This Row],[Codigo_actividad]],Catalogo!$B$6:$B$51,Catalogo!$F$6:$F$51,0)</f>
        <v>-176.22318999999999</v>
      </c>
      <c r="N388" t="s">
        <v>484</v>
      </c>
      <c r="P388" s="372">
        <v>18716</v>
      </c>
      <c r="Q388" s="372">
        <v>18786</v>
      </c>
      <c r="R388" s="373">
        <f t="shared" si="0"/>
        <v>70</v>
      </c>
      <c r="S388" t="s">
        <v>472</v>
      </c>
      <c r="T388" t="str">
        <f t="shared" si="1"/>
        <v>SALTO del 18+716 al 18+786 OFICINAS CEA (COMISIÓN DEL AGUA)</v>
      </c>
    </row>
    <row r="389" spans="1:20" x14ac:dyDescent="0.25">
      <c r="A389" s="354">
        <v>46142</v>
      </c>
      <c r="B389" s="114" t="s">
        <v>12</v>
      </c>
      <c r="C389" s="155" t="s">
        <v>329</v>
      </c>
      <c r="D389" s="39" t="s">
        <v>212</v>
      </c>
      <c r="E389" s="40" t="s">
        <v>36</v>
      </c>
      <c r="F389" s="367">
        <v>20780</v>
      </c>
      <c r="G389" s="367">
        <v>20730</v>
      </c>
      <c r="H389" s="368">
        <f>IF(Tabla1[[#This Row],[Codigo_actividad]]&lt;&gt;2.5,IF(((Tabla1[[#This Row],[fin]]-Tabla1[[#This Row],[inicio]])/1000)=0,"",((Tabla1[[#This Row],[fin]]-Tabla1[[#This Row],[inicio]])/1000)),"")</f>
        <v>-0.05</v>
      </c>
      <c r="I389" s="66"/>
      <c r="J389" s="76">
        <v>2.2999999999999998</v>
      </c>
      <c r="K389" s="66" t="str">
        <f>IF(_xlfn.XLOOKUP($J389,Catalogo!$B$7:$B$210,Catalogo!$I$7:$I$210,"",0)=0,"",_xlfn.XLOOKUP($J389,Catalogo!$B$7:$B$210,Catalogo!$I$7:$I$210,"",0))</f>
        <v>DCVG</v>
      </c>
      <c r="L389" s="36">
        <f>+_xlfn.XLOOKUP(Tabla1[[#This Row],[Ducto]],'R (s03)'!B:B,'R (s03)'!C:C)</f>
        <v>24.358000000000001</v>
      </c>
      <c r="M389" s="261">
        <f>IF(Tabla1[[#This Row],[Avance_km]]&lt;&gt;"",Tabla1[[#This Row],[Avance_km]],Tabla1[[#This Row],[Avance_Med]])*_xlfn.XLOOKUP(Tabla1[[#This Row],[Codigo_actividad]],Catalogo!$B$6:$B$51,Catalogo!$F$6:$F$51,0)</f>
        <v>-677.78150000000005</v>
      </c>
      <c r="N389" t="s">
        <v>485</v>
      </c>
      <c r="P389" s="372">
        <v>18911</v>
      </c>
      <c r="Q389" s="372">
        <v>18942</v>
      </c>
      <c r="R389" s="373">
        <f t="shared" si="0"/>
        <v>31</v>
      </c>
      <c r="S389" t="s">
        <v>473</v>
      </c>
      <c r="T389" t="str">
        <f t="shared" si="1"/>
        <v>SALTO del 18+911 al 18+942 CANAL DE AGUAS NEGRAS</v>
      </c>
    </row>
    <row r="390" spans="1:20" x14ac:dyDescent="0.25">
      <c r="A390" s="354">
        <v>46142</v>
      </c>
      <c r="B390" s="114" t="s">
        <v>12</v>
      </c>
      <c r="C390" s="155" t="s">
        <v>329</v>
      </c>
      <c r="D390" s="39" t="s">
        <v>212</v>
      </c>
      <c r="E390" s="40" t="s">
        <v>36</v>
      </c>
      <c r="F390" s="367">
        <v>20835</v>
      </c>
      <c r="G390" s="367">
        <v>20826</v>
      </c>
      <c r="H390" s="368">
        <f>IF(Tabla1[[#This Row],[Codigo_actividad]]&lt;&gt;2.5,IF(((Tabla1[[#This Row],[fin]]-Tabla1[[#This Row],[inicio]])/1000)=0,"",((Tabla1[[#This Row],[fin]]-Tabla1[[#This Row],[inicio]])/1000)),"")</f>
        <v>-8.9999999999999993E-3</v>
      </c>
      <c r="I390" s="66"/>
      <c r="J390" s="76">
        <v>2.2999999999999998</v>
      </c>
      <c r="K390" s="66" t="str">
        <f>IF(_xlfn.XLOOKUP($J390,Catalogo!$B$7:$B$210,Catalogo!$I$7:$I$210,"",0)=0,"",_xlfn.XLOOKUP($J390,Catalogo!$B$7:$B$210,Catalogo!$I$7:$I$210,"",0))</f>
        <v>DCVG</v>
      </c>
      <c r="L390" s="36">
        <f>+_xlfn.XLOOKUP(Tabla1[[#This Row],[Ducto]],'R (s03)'!B:B,'R (s03)'!C:C)</f>
        <v>24.358000000000001</v>
      </c>
      <c r="M390" s="261">
        <f>IF(Tabla1[[#This Row],[Avance_km]]&lt;&gt;"",Tabla1[[#This Row],[Avance_km]],Tabla1[[#This Row],[Avance_Med]])*_xlfn.XLOOKUP(Tabla1[[#This Row],[Codigo_actividad]],Catalogo!$B$6:$B$51,Catalogo!$F$6:$F$51,0)</f>
        <v>-122.00066999999999</v>
      </c>
      <c r="N390" t="s">
        <v>486</v>
      </c>
      <c r="P390" s="372">
        <v>19422</v>
      </c>
      <c r="Q390" s="372">
        <v>19445</v>
      </c>
      <c r="R390" s="373">
        <f t="shared" si="0"/>
        <v>23</v>
      </c>
      <c r="S390" t="s">
        <v>470</v>
      </c>
      <c r="T390" t="str">
        <f t="shared" si="1"/>
        <v>SALTO del 19+422 al 19+445 ZONA HABITACIONAL</v>
      </c>
    </row>
    <row r="391" spans="1:20" x14ac:dyDescent="0.25">
      <c r="A391" s="354">
        <v>46142</v>
      </c>
      <c r="B391" s="114" t="s">
        <v>12</v>
      </c>
      <c r="C391" s="155" t="s">
        <v>329</v>
      </c>
      <c r="D391" s="39" t="s">
        <v>212</v>
      </c>
      <c r="E391" s="40" t="s">
        <v>36</v>
      </c>
      <c r="F391" s="367">
        <v>21023</v>
      </c>
      <c r="G391" s="367">
        <v>20984</v>
      </c>
      <c r="H391" s="368">
        <f>IF(Tabla1[[#This Row],[Codigo_actividad]]&lt;&gt;2.5,IF(((Tabla1[[#This Row],[fin]]-Tabla1[[#This Row],[inicio]])/1000)=0,"",((Tabla1[[#This Row],[fin]]-Tabla1[[#This Row],[inicio]])/1000)),"")</f>
        <v>-3.9E-2</v>
      </c>
      <c r="I391" s="66"/>
      <c r="J391" s="76">
        <v>2.2999999999999998</v>
      </c>
      <c r="K391" s="66" t="str">
        <f>IF(_xlfn.XLOOKUP($J391,Catalogo!$B$7:$B$210,Catalogo!$I$7:$I$210,"",0)=0,"",_xlfn.XLOOKUP($J391,Catalogo!$B$7:$B$210,Catalogo!$I$7:$I$210,"",0))</f>
        <v>DCVG</v>
      </c>
      <c r="L391" s="36">
        <f>+_xlfn.XLOOKUP(Tabla1[[#This Row],[Ducto]],'R (s03)'!B:B,'R (s03)'!C:C)</f>
        <v>24.358000000000001</v>
      </c>
      <c r="M391" s="261">
        <f>IF(Tabla1[[#This Row],[Avance_km]]&lt;&gt;"",Tabla1[[#This Row],[Avance_km]],Tabla1[[#This Row],[Avance_Med]])*_xlfn.XLOOKUP(Tabla1[[#This Row],[Codigo_actividad]],Catalogo!$B$6:$B$51,Catalogo!$F$6:$F$51,0)</f>
        <v>-528.66957000000002</v>
      </c>
      <c r="N391" t="s">
        <v>487</v>
      </c>
      <c r="P391" s="372">
        <v>20703</v>
      </c>
      <c r="Q391" s="372">
        <v>20716</v>
      </c>
      <c r="R391" s="373">
        <f t="shared" si="0"/>
        <v>13</v>
      </c>
      <c r="S391" t="s">
        <v>474</v>
      </c>
      <c r="T391" t="str">
        <f t="shared" si="1"/>
        <v>SALTO del 20+703 al 20+716 ZONA DE MATERIAL Y CASETA GEN (PROMOTORA AMBIENTAL)</v>
      </c>
    </row>
    <row r="392" spans="1:20" x14ac:dyDescent="0.25">
      <c r="A392" s="354">
        <v>46142</v>
      </c>
      <c r="B392" s="114" t="s">
        <v>12</v>
      </c>
      <c r="C392" s="155" t="s">
        <v>329</v>
      </c>
      <c r="D392" s="39" t="s">
        <v>212</v>
      </c>
      <c r="E392" s="40" t="s">
        <v>36</v>
      </c>
      <c r="F392" s="367">
        <v>21184</v>
      </c>
      <c r="G392" s="367">
        <v>21127</v>
      </c>
      <c r="H392" s="368">
        <f>IF(Tabla1[[#This Row],[Codigo_actividad]]&lt;&gt;2.5,IF(((Tabla1[[#This Row],[fin]]-Tabla1[[#This Row],[inicio]])/1000)=0,"",((Tabla1[[#This Row],[fin]]-Tabla1[[#This Row],[inicio]])/1000)),"")</f>
        <v>-5.7000000000000002E-2</v>
      </c>
      <c r="I392" s="66"/>
      <c r="J392" s="76">
        <v>2.2999999999999998</v>
      </c>
      <c r="K392" s="66" t="str">
        <f>IF(_xlfn.XLOOKUP($J392,Catalogo!$B$7:$B$210,Catalogo!$I$7:$I$210,"",0)=0,"",_xlfn.XLOOKUP($J392,Catalogo!$B$7:$B$210,Catalogo!$I$7:$I$210,"",0))</f>
        <v>DCVG</v>
      </c>
      <c r="L392" s="36">
        <f>+_xlfn.XLOOKUP(Tabla1[[#This Row],[Ducto]],'R (s03)'!B:B,'R (s03)'!C:C)</f>
        <v>24.358000000000001</v>
      </c>
      <c r="M392" s="261">
        <f>IF(Tabla1[[#This Row],[Avance_km]]&lt;&gt;"",Tabla1[[#This Row],[Avance_km]],Tabla1[[#This Row],[Avance_Med]])*_xlfn.XLOOKUP(Tabla1[[#This Row],[Codigo_actividad]],Catalogo!$B$6:$B$51,Catalogo!$F$6:$F$51,0)</f>
        <v>-772.67090999999994</v>
      </c>
      <c r="N392" t="s">
        <v>488</v>
      </c>
      <c r="P392" s="372">
        <v>20730</v>
      </c>
      <c r="Q392" s="372">
        <v>20780</v>
      </c>
      <c r="R392" s="373">
        <f t="shared" si="0"/>
        <v>50</v>
      </c>
      <c r="S392" t="s">
        <v>475</v>
      </c>
      <c r="T392" t="str">
        <f t="shared" si="1"/>
        <v>SALTO del 20+730 al 20+780 ZONA DE CONTENEDORES GEN (PROMOTORA AMBIENTAL)</v>
      </c>
    </row>
    <row r="393" spans="1:20" x14ac:dyDescent="0.25">
      <c r="A393" s="354">
        <v>46143</v>
      </c>
      <c r="B393" s="114" t="s">
        <v>12</v>
      </c>
      <c r="C393" s="155" t="s">
        <v>329</v>
      </c>
      <c r="D393" s="39" t="s">
        <v>212</v>
      </c>
      <c r="E393" s="40" t="s">
        <v>36</v>
      </c>
      <c r="F393" s="28">
        <v>8040</v>
      </c>
      <c r="G393" s="28">
        <v>9461</v>
      </c>
      <c r="H393" s="224">
        <f>IF(Tabla1[[#This Row],[Codigo_actividad]]&lt;&gt;2.5,IF(((Tabla1[[#This Row],[fin]]-Tabla1[[#This Row],[inicio]])/1000)=0,"",((Tabla1[[#This Row],[fin]]-Tabla1[[#This Row],[inicio]])/1000)),"")</f>
        <v>1.421</v>
      </c>
      <c r="I393" s="66"/>
      <c r="J393" s="76">
        <v>2.2999999999999998</v>
      </c>
      <c r="K393" s="66" t="str">
        <f>IF(_xlfn.XLOOKUP($J393,Catalogo!$B$7:$B$210,Catalogo!$I$7:$I$210,"",0)=0,"",_xlfn.XLOOKUP($J393,Catalogo!$B$7:$B$210,Catalogo!$I$7:$I$210,"",0))</f>
        <v>DCVG</v>
      </c>
      <c r="L393" s="36">
        <f>+_xlfn.XLOOKUP(Tabla1[[#This Row],[Ducto]],'R (s03)'!B:B,'R (s03)'!C:C)</f>
        <v>24.358000000000001</v>
      </c>
      <c r="M393" s="261">
        <f>IF(Tabla1[[#This Row],[Avance_km]]&lt;&gt;"",Tabla1[[#This Row],[Avance_km]],Tabla1[[#This Row],[Avance_Med]])*_xlfn.XLOOKUP(Tabla1[[#This Row],[Codigo_actividad]],Catalogo!$B$6:$B$51,Catalogo!$F$6:$F$51,0)</f>
        <v>19262.550230000001</v>
      </c>
      <c r="P393" s="372">
        <v>20826</v>
      </c>
      <c r="Q393" s="372">
        <v>20835</v>
      </c>
      <c r="R393" s="373">
        <f t="shared" si="0"/>
        <v>9</v>
      </c>
      <c r="S393" t="s">
        <v>476</v>
      </c>
      <c r="T393" t="str">
        <f t="shared" si="1"/>
        <v>SALTO del 20+826 al 20+835 CANAL DE AGUA PLUVIAL</v>
      </c>
    </row>
    <row r="394" spans="1:20" x14ac:dyDescent="0.25">
      <c r="A394" s="354">
        <v>46143</v>
      </c>
      <c r="B394" s="114" t="s">
        <v>12</v>
      </c>
      <c r="C394" s="155" t="s">
        <v>329</v>
      </c>
      <c r="D394" s="39" t="s">
        <v>212</v>
      </c>
      <c r="E394" s="40" t="s">
        <v>36</v>
      </c>
      <c r="F394" s="367">
        <v>8113</v>
      </c>
      <c r="G394" s="367">
        <v>8105</v>
      </c>
      <c r="H394" s="368">
        <f>IF(Tabla1[[#This Row],[Codigo_actividad]]&lt;&gt;2.5,IF(((Tabla1[[#This Row],[fin]]-Tabla1[[#This Row],[inicio]])/1000)=0,"",((Tabla1[[#This Row],[fin]]-Tabla1[[#This Row],[inicio]])/1000)),"")</f>
        <v>-8.0000000000000002E-3</v>
      </c>
      <c r="I394" s="66"/>
      <c r="J394" s="76">
        <v>2.2999999999999998</v>
      </c>
      <c r="K394" s="66" t="str">
        <f>IF(_xlfn.XLOOKUP($J394,Catalogo!$B$7:$B$210,Catalogo!$I$7:$I$210,"",0)=0,"",_xlfn.XLOOKUP($J394,Catalogo!$B$7:$B$210,Catalogo!$I$7:$I$210,"",0))</f>
        <v>DCVG</v>
      </c>
      <c r="L394" s="36">
        <f>+_xlfn.XLOOKUP(Tabla1[[#This Row],[Ducto]],'R (s03)'!B:B,'R (s03)'!C:C)</f>
        <v>24.358000000000001</v>
      </c>
      <c r="M394" s="261">
        <f>IF(Tabla1[[#This Row],[Avance_km]]&lt;&gt;"",Tabla1[[#This Row],[Avance_km]],Tabla1[[#This Row],[Avance_Med]])*_xlfn.XLOOKUP(Tabla1[[#This Row],[Codigo_actividad]],Catalogo!$B$6:$B$51,Catalogo!$F$6:$F$51,0)</f>
        <v>-108.44503999999999</v>
      </c>
      <c r="N394" t="s">
        <v>489</v>
      </c>
      <c r="P394" s="372">
        <v>20984</v>
      </c>
      <c r="Q394" s="372">
        <v>21023</v>
      </c>
      <c r="R394" s="373">
        <f t="shared" si="0"/>
        <v>39</v>
      </c>
      <c r="S394" t="s">
        <v>476</v>
      </c>
      <c r="T394" t="str">
        <f t="shared" si="1"/>
        <v>SALTO del 20+984 al 21+023 CANAL DE AGUA PLUVIAL</v>
      </c>
    </row>
    <row r="395" spans="1:20" x14ac:dyDescent="0.25">
      <c r="A395" s="354">
        <v>46143</v>
      </c>
      <c r="B395" s="114" t="s">
        <v>12</v>
      </c>
      <c r="C395" s="155" t="s">
        <v>329</v>
      </c>
      <c r="D395" s="39" t="s">
        <v>212</v>
      </c>
      <c r="E395" s="40" t="s">
        <v>36</v>
      </c>
      <c r="F395" s="367">
        <v>8563</v>
      </c>
      <c r="G395" s="367">
        <v>8522</v>
      </c>
      <c r="H395" s="368">
        <f>IF(Tabla1[[#This Row],[Codigo_actividad]]&lt;&gt;2.5,IF(((Tabla1[[#This Row],[fin]]-Tabla1[[#This Row],[inicio]])/1000)=0,"",((Tabla1[[#This Row],[fin]]-Tabla1[[#This Row],[inicio]])/1000)),"")</f>
        <v>-4.1000000000000002E-2</v>
      </c>
      <c r="I395" s="66"/>
      <c r="J395" s="76">
        <v>2.2999999999999998</v>
      </c>
      <c r="K395" s="66" t="str">
        <f>IF(_xlfn.XLOOKUP($J395,Catalogo!$B$7:$B$210,Catalogo!$I$7:$I$210,"",0)=0,"",_xlfn.XLOOKUP($J395,Catalogo!$B$7:$B$210,Catalogo!$I$7:$I$210,"",0))</f>
        <v>DCVG</v>
      </c>
      <c r="L395" s="36">
        <f>+_xlfn.XLOOKUP(Tabla1[[#This Row],[Ducto]],'R (s03)'!B:B,'R (s03)'!C:C)</f>
        <v>24.358000000000001</v>
      </c>
      <c r="M395" s="261">
        <f>IF(Tabla1[[#This Row],[Avance_km]]&lt;&gt;"",Tabla1[[#This Row],[Avance_km]],Tabla1[[#This Row],[Avance_Med]])*_xlfn.XLOOKUP(Tabla1[[#This Row],[Codigo_actividad]],Catalogo!$B$6:$B$51,Catalogo!$F$6:$F$51,0)</f>
        <v>-555.78083000000004</v>
      </c>
      <c r="N395" t="s">
        <v>490</v>
      </c>
      <c r="P395" s="372">
        <v>21127</v>
      </c>
      <c r="Q395" s="372">
        <v>21184</v>
      </c>
      <c r="R395" s="373">
        <f t="shared" si="0"/>
        <v>57</v>
      </c>
      <c r="S395" t="s">
        <v>469</v>
      </c>
      <c r="T395" t="str">
        <f t="shared" si="1"/>
        <v>SALTO del 21+127 al 21+184 PROPIEDAD PRIVADA</v>
      </c>
    </row>
    <row r="396" spans="1:20" x14ac:dyDescent="0.25">
      <c r="A396" s="354">
        <v>46143</v>
      </c>
      <c r="B396" s="114" t="s">
        <v>12</v>
      </c>
      <c r="C396" s="155" t="s">
        <v>329</v>
      </c>
      <c r="D396" s="39" t="s">
        <v>212</v>
      </c>
      <c r="E396" s="40" t="s">
        <v>36</v>
      </c>
      <c r="F396" s="367">
        <v>8654</v>
      </c>
      <c r="G396" s="367">
        <v>8572</v>
      </c>
      <c r="H396" s="368">
        <f>IF(Tabla1[[#This Row],[Codigo_actividad]]&lt;&gt;2.5,IF(((Tabla1[[#This Row],[fin]]-Tabla1[[#This Row],[inicio]])/1000)=0,"",((Tabla1[[#This Row],[fin]]-Tabla1[[#This Row],[inicio]])/1000)),"")</f>
        <v>-8.2000000000000003E-2</v>
      </c>
      <c r="I396" s="66"/>
      <c r="J396" s="76">
        <v>2.2999999999999998</v>
      </c>
      <c r="K396" s="66" t="str">
        <f>IF(_xlfn.XLOOKUP($J396,Catalogo!$B$7:$B$210,Catalogo!$I$7:$I$210,"",0)=0,"",_xlfn.XLOOKUP($J396,Catalogo!$B$7:$B$210,Catalogo!$I$7:$I$210,"",0))</f>
        <v>DCVG</v>
      </c>
      <c r="L396" s="36">
        <f>+_xlfn.XLOOKUP(Tabla1[[#This Row],[Ducto]],'R (s03)'!B:B,'R (s03)'!C:C)</f>
        <v>24.358000000000001</v>
      </c>
      <c r="M396" s="261">
        <f>IF(Tabla1[[#This Row],[Avance_km]]&lt;&gt;"",Tabla1[[#This Row],[Avance_km]],Tabla1[[#This Row],[Avance_Med]])*_xlfn.XLOOKUP(Tabla1[[#This Row],[Codigo_actividad]],Catalogo!$B$6:$B$51,Catalogo!$F$6:$F$51,0)</f>
        <v>-1111.5616600000001</v>
      </c>
      <c r="N396" t="s">
        <v>491</v>
      </c>
      <c r="P396" s="372">
        <v>21253</v>
      </c>
      <c r="Q396" s="372">
        <v>21265</v>
      </c>
      <c r="R396" s="373">
        <f t="shared" si="0"/>
        <v>12</v>
      </c>
      <c r="S396" t="s">
        <v>477</v>
      </c>
      <c r="T396" t="str">
        <f t="shared" si="1"/>
        <v>SALTO del 21+253 al 21+265 CANAL DE AGUAS NEGRAS ENVALSADORA QUERETARO</v>
      </c>
    </row>
    <row r="397" spans="1:20" x14ac:dyDescent="0.25">
      <c r="A397" s="354"/>
      <c r="C397" s="155"/>
      <c r="D397" s="39"/>
      <c r="F397" s="28"/>
      <c r="G397" s="28"/>
      <c r="H397" s="224" t="str">
        <f>IF(Tabla1[[#This Row],[Codigo_actividad]]&lt;&gt;2.5,IF(((Tabla1[[#This Row],[fin]]-Tabla1[[#This Row],[inicio]])/1000)=0,"",((Tabla1[[#This Row],[fin]]-Tabla1[[#This Row],[inicio]])/1000)),"")</f>
        <v/>
      </c>
      <c r="J397" s="76"/>
      <c r="K397" s="66" t="str">
        <f>IF(_xlfn.XLOOKUP($J397,Catalogo!$B$7:$B$21,Catalogo!$I$7:$I$21,"",0)=0,"",_xlfn.XLOOKUP($J397,Catalogo!$B$7:$B$21,Catalogo!$I$7:$I$21,"",0))</f>
        <v/>
      </c>
      <c r="L397" s="36"/>
      <c r="M397" s="261">
        <f>IF(Tabla1[[#This Row],[Avance_km]]&lt;&gt;"",Tabla1[[#This Row],[Avance_km]],Tabla1[[#This Row],[Avance_Med]])*_xlfn.XLOOKUP(Tabla1[[#This Row],[Codigo_actividad]],Catalogo!$B$6:$B$51,Catalogo!$F$6:$F$51,0)</f>
        <v>0</v>
      </c>
      <c r="P397" s="372">
        <v>21462</v>
      </c>
      <c r="Q397" s="372">
        <v>21466</v>
      </c>
      <c r="R397" s="373">
        <f t="shared" si="0"/>
        <v>4</v>
      </c>
      <c r="S397" t="s">
        <v>478</v>
      </c>
      <c r="T397" t="str">
        <f t="shared" si="1"/>
        <v>SALTO del 21+462 al 21+466 CANAL DE AGUAS NEGRAS VIDRIERA QUERETARO</v>
      </c>
    </row>
    <row r="398" spans="1:20" x14ac:dyDescent="0.25">
      <c r="A398" s="354">
        <v>46146</v>
      </c>
      <c r="B398" s="114" t="s">
        <v>12</v>
      </c>
      <c r="C398" s="155" t="s">
        <v>329</v>
      </c>
      <c r="D398" s="39" t="s">
        <v>212</v>
      </c>
      <c r="E398" s="40" t="s">
        <v>36</v>
      </c>
      <c r="F398" s="28">
        <v>5265</v>
      </c>
      <c r="G398" s="28">
        <v>6908</v>
      </c>
      <c r="H398" s="224">
        <f>IF(Tabla1[[#This Row],[Codigo_actividad]]&lt;&gt;2.5,IF(((Tabla1[[#This Row],[fin]]-Tabla1[[#This Row],[inicio]])/1000)=0,"",((Tabla1[[#This Row],[fin]]-Tabla1[[#This Row],[inicio]])/1000)),"")</f>
        <v>1.643</v>
      </c>
      <c r="I398" s="66"/>
      <c r="J398" s="76">
        <v>2.2999999999999998</v>
      </c>
      <c r="K398" s="66" t="str">
        <f>IF(_xlfn.XLOOKUP($J398,Catalogo!$B$7:$B$210,Catalogo!$I$7:$I$210,"",0)=0,"",_xlfn.XLOOKUP($J398,Catalogo!$B$7:$B$210,Catalogo!$I$7:$I$210,"",0))</f>
        <v>DCVG</v>
      </c>
      <c r="L398" s="36">
        <f>+_xlfn.XLOOKUP(Tabla1[[#This Row],[Ducto]],'R (s03)'!B:B,'R (s03)'!C:C)</f>
        <v>24.358000000000001</v>
      </c>
      <c r="M398" s="261">
        <f>IF(Tabla1[[#This Row],[Avance_km]]&lt;&gt;"",Tabla1[[#This Row],[Avance_km]],Tabla1[[#This Row],[Avance_Med]])*_xlfn.XLOOKUP(Tabla1[[#This Row],[Codigo_actividad]],Catalogo!$B$6:$B$51,Catalogo!$F$6:$F$51,0)</f>
        <v>22271.900089999999</v>
      </c>
      <c r="P398" s="372">
        <v>24233</v>
      </c>
      <c r="Q398" s="372">
        <v>24240</v>
      </c>
      <c r="R398" s="373">
        <f t="shared" si="0"/>
        <v>7</v>
      </c>
      <c r="S398" t="s">
        <v>479</v>
      </c>
      <c r="T398" t="str">
        <f t="shared" si="1"/>
        <v>SALTO del 24+233 al 24+240 PRESA DE AGUAS NEGRAS (ITP)</v>
      </c>
    </row>
    <row r="399" spans="1:20" x14ac:dyDescent="0.25">
      <c r="A399" s="354">
        <v>46147</v>
      </c>
      <c r="B399" s="114" t="s">
        <v>12</v>
      </c>
      <c r="C399" s="155" t="s">
        <v>329</v>
      </c>
      <c r="D399" s="39" t="s">
        <v>212</v>
      </c>
      <c r="E399" s="40" t="s">
        <v>36</v>
      </c>
      <c r="F399" s="28">
        <v>6908</v>
      </c>
      <c r="G399" s="28">
        <v>8040</v>
      </c>
      <c r="H399" s="224">
        <f>IF(Tabla1[[#This Row],[Codigo_actividad]]&lt;&gt;2.5,IF(((Tabla1[[#This Row],[fin]]-Tabla1[[#This Row],[inicio]])/1000)=0,"",((Tabla1[[#This Row],[fin]]-Tabla1[[#This Row],[inicio]])/1000)),"")</f>
        <v>1.1319999999999999</v>
      </c>
      <c r="I399" s="66"/>
      <c r="J399" s="76">
        <v>2.2999999999999998</v>
      </c>
      <c r="K399" s="66" t="str">
        <f>IF(_xlfn.XLOOKUP($J399,Catalogo!$B$7:$B$210,Catalogo!$I$7:$I$210,"",0)=0,"",_xlfn.XLOOKUP($J399,Catalogo!$B$7:$B$210,Catalogo!$I$7:$I$210,"",0))</f>
        <v>DCVG</v>
      </c>
      <c r="L399" s="36">
        <f>+_xlfn.XLOOKUP(Tabla1[[#This Row],[Ducto]],'R (s03)'!B:B,'R (s03)'!C:C)</f>
        <v>24.358000000000001</v>
      </c>
      <c r="M399" s="261">
        <f>IF(Tabla1[[#This Row],[Avance_km]]&lt;&gt;"",Tabla1[[#This Row],[Avance_km]],Tabla1[[#This Row],[Avance_Med]])*_xlfn.XLOOKUP(Tabla1[[#This Row],[Codigo_actividad]],Catalogo!$B$6:$B$51,Catalogo!$F$6:$F$51,0)</f>
        <v>15344.973159999998</v>
      </c>
      <c r="P399" s="370"/>
      <c r="Q399" s="371" t="s">
        <v>93</v>
      </c>
      <c r="R399" s="374">
        <f>SUM(R379:R398)</f>
        <v>1400</v>
      </c>
    </row>
    <row r="400" spans="1:20" x14ac:dyDescent="0.25">
      <c r="A400" s="354">
        <v>46147</v>
      </c>
      <c r="B400" s="114" t="s">
        <v>12</v>
      </c>
      <c r="C400" s="155" t="s">
        <v>329</v>
      </c>
      <c r="D400" s="39" t="s">
        <v>212</v>
      </c>
      <c r="E400" s="40" t="s">
        <v>36</v>
      </c>
      <c r="F400" s="367">
        <v>7087</v>
      </c>
      <c r="G400" s="367">
        <v>7076</v>
      </c>
      <c r="H400" s="368">
        <f>IF(Tabla1[[#This Row],[Codigo_actividad]]&lt;&gt;2.5,IF(((Tabla1[[#This Row],[fin]]-Tabla1[[#This Row],[inicio]])/1000)=0,"",((Tabla1[[#This Row],[fin]]-Tabla1[[#This Row],[inicio]])/1000)),"")</f>
        <v>-1.0999999999999999E-2</v>
      </c>
      <c r="I400" s="66"/>
      <c r="J400" s="76">
        <v>2.2999999999999998</v>
      </c>
      <c r="K400" s="66" t="str">
        <f>IF(_xlfn.XLOOKUP($J400,Catalogo!$B$7:$B$210,Catalogo!$I$7:$I$210,"",0)=0,"",_xlfn.XLOOKUP($J400,Catalogo!$B$7:$B$210,Catalogo!$I$7:$I$210,"",0))</f>
        <v>DCVG</v>
      </c>
      <c r="L400" s="36">
        <f>+_xlfn.XLOOKUP(Tabla1[[#This Row],[Ducto]],'R (s03)'!B:B,'R (s03)'!C:C)</f>
        <v>24.358000000000001</v>
      </c>
      <c r="M400" s="261">
        <f>IF(Tabla1[[#This Row],[Avance_km]]&lt;&gt;"",Tabla1[[#This Row],[Avance_km]],Tabla1[[#This Row],[Avance_Med]])*_xlfn.XLOOKUP(Tabla1[[#This Row],[Codigo_actividad]],Catalogo!$B$6:$B$51,Catalogo!$F$6:$F$51,0)</f>
        <v>-149.11192999999997</v>
      </c>
      <c r="N400" t="s">
        <v>492</v>
      </c>
    </row>
    <row r="401" spans="1:18" x14ac:dyDescent="0.25">
      <c r="A401" s="354">
        <v>46148</v>
      </c>
      <c r="B401" s="114" t="s">
        <v>12</v>
      </c>
      <c r="C401" s="155" t="s">
        <v>329</v>
      </c>
      <c r="D401" s="39" t="s">
        <v>212</v>
      </c>
      <c r="E401" s="40" t="s">
        <v>36</v>
      </c>
      <c r="F401" s="28">
        <v>3469</v>
      </c>
      <c r="G401" s="28">
        <v>5265</v>
      </c>
      <c r="H401" s="224">
        <f>IF(Tabla1[[#This Row],[Codigo_actividad]]&lt;&gt;2.5,IF(((Tabla1[[#This Row],[fin]]-Tabla1[[#This Row],[inicio]])/1000)=0,"",((Tabla1[[#This Row],[fin]]-Tabla1[[#This Row],[inicio]])/1000)),"")</f>
        <v>1.796</v>
      </c>
      <c r="I401" s="66"/>
      <c r="J401" s="76">
        <v>2.2999999999999998</v>
      </c>
      <c r="K401" s="66" t="str">
        <f>IF(_xlfn.XLOOKUP($J401,Catalogo!$B$7:$B$210,Catalogo!$I$7:$I$210,"",0)=0,"",_xlfn.XLOOKUP($J401,Catalogo!$B$7:$B$210,Catalogo!$I$7:$I$210,"",0))</f>
        <v>DCVG</v>
      </c>
      <c r="L401" s="36">
        <f>+_xlfn.XLOOKUP(Tabla1[[#This Row],[Ducto]],'R (s03)'!B:B,'R (s03)'!C:C)</f>
        <v>24.358000000000001</v>
      </c>
      <c r="M401" s="261">
        <f>IF(Tabla1[[#This Row],[Avance_km]]&lt;&gt;"",Tabla1[[#This Row],[Avance_km]],Tabla1[[#This Row],[Avance_Med]])*_xlfn.XLOOKUP(Tabla1[[#This Row],[Codigo_actividad]],Catalogo!$B$6:$B$51,Catalogo!$F$6:$F$51,0)</f>
        <v>24345.911479999999</v>
      </c>
    </row>
    <row r="402" spans="1:18" x14ac:dyDescent="0.25">
      <c r="A402" s="354">
        <v>46148</v>
      </c>
      <c r="B402" s="114" t="s">
        <v>12</v>
      </c>
      <c r="C402" s="155" t="s">
        <v>329</v>
      </c>
      <c r="D402" s="39" t="s">
        <v>212</v>
      </c>
      <c r="E402" s="40" t="s">
        <v>36</v>
      </c>
      <c r="F402" s="367">
        <v>4322</v>
      </c>
      <c r="G402" s="367">
        <v>4210</v>
      </c>
      <c r="H402" s="368">
        <f>IF(Tabla1[[#This Row],[Codigo_actividad]]&lt;&gt;2.5,IF(((Tabla1[[#This Row],[fin]]-Tabla1[[#This Row],[inicio]])/1000)=0,"",((Tabla1[[#This Row],[fin]]-Tabla1[[#This Row],[inicio]])/1000)),"")</f>
        <v>-0.112</v>
      </c>
      <c r="I402" s="66"/>
      <c r="J402" s="76">
        <v>2.2999999999999998</v>
      </c>
      <c r="K402" s="66" t="str">
        <f>IF(_xlfn.XLOOKUP($J402,Catalogo!$B$7:$B$210,Catalogo!$I$7:$I$210,"",0)=0,"",_xlfn.XLOOKUP($J402,Catalogo!$B$7:$B$210,Catalogo!$I$7:$I$210,"",0))</f>
        <v>DCVG</v>
      </c>
      <c r="L402" s="36">
        <f>+_xlfn.XLOOKUP(Tabla1[[#This Row],[Ducto]],'R (s03)'!B:B,'R (s03)'!C:C)</f>
        <v>24.358000000000001</v>
      </c>
      <c r="M402" s="261">
        <f>IF(Tabla1[[#This Row],[Avance_km]]&lt;&gt;"",Tabla1[[#This Row],[Avance_km]],Tabla1[[#This Row],[Avance_Med]])*_xlfn.XLOOKUP(Tabla1[[#This Row],[Codigo_actividad]],Catalogo!$B$6:$B$51,Catalogo!$F$6:$F$51,0)</f>
        <v>-1518.23056</v>
      </c>
      <c r="N402" t="s">
        <v>493</v>
      </c>
    </row>
    <row r="403" spans="1:18" x14ac:dyDescent="0.25">
      <c r="A403" s="354"/>
      <c r="B403" s="114"/>
      <c r="C403" s="155"/>
      <c r="D403" s="39"/>
      <c r="F403" s="28"/>
      <c r="G403" s="28"/>
      <c r="H403" s="224" t="str">
        <f>IF(Tabla1[[#This Row],[Codigo_actividad]]&lt;&gt;2.5,IF(((Tabla1[[#This Row],[fin]]-Tabla1[[#This Row],[inicio]])/1000)=0,"",((Tabla1[[#This Row],[fin]]-Tabla1[[#This Row],[inicio]])/1000)),"")</f>
        <v/>
      </c>
      <c r="I403" s="66"/>
      <c r="J403" s="76"/>
      <c r="K403" s="66" t="str">
        <f>IF(_xlfn.XLOOKUP($J403,Catalogo!$B$7:$B$21,Catalogo!$I$7:$I$21,"",0)=0,"",_xlfn.XLOOKUP($J403,Catalogo!$B$7:$B$21,Catalogo!$I$7:$I$21,"",0))</f>
        <v/>
      </c>
      <c r="L403" s="36"/>
      <c r="M403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404" spans="1:18" x14ac:dyDescent="0.25">
      <c r="A404" s="354"/>
      <c r="B404" s="114"/>
      <c r="C404" s="155"/>
      <c r="D404" s="39"/>
      <c r="F404" s="28"/>
      <c r="G404" s="28"/>
      <c r="H404" s="224"/>
      <c r="I404" s="66"/>
      <c r="J404" s="76"/>
      <c r="K404" s="66" t="str">
        <f>IF(_xlfn.XLOOKUP($J404,Catalogo!$B$7:$B$21,Catalogo!$I$7:$I$21,"",0)=0,"",_xlfn.XLOOKUP($J404,Catalogo!$B$7:$B$21,Catalogo!$I$7:$I$21,"",0))</f>
        <v/>
      </c>
      <c r="L404" s="36"/>
      <c r="M404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405" spans="1:18" x14ac:dyDescent="0.25">
      <c r="A405" s="354">
        <v>46149</v>
      </c>
      <c r="B405" s="114" t="s">
        <v>12</v>
      </c>
      <c r="C405" s="155" t="s">
        <v>329</v>
      </c>
      <c r="D405" s="39" t="s">
        <v>212</v>
      </c>
      <c r="E405" s="40" t="s">
        <v>36</v>
      </c>
      <c r="F405" s="28">
        <v>1275</v>
      </c>
      <c r="G405" s="28">
        <v>3469</v>
      </c>
      <c r="H405" s="224">
        <f>IF(Tabla1[[#This Row],[Codigo_actividad]]&lt;&gt;2.5,IF(((Tabla1[[#This Row],[fin]]-Tabla1[[#This Row],[inicio]])/1000)=0,"",((Tabla1[[#This Row],[fin]]-Tabla1[[#This Row],[inicio]])/1000)),"")</f>
        <v>2.194</v>
      </c>
      <c r="I405" s="66"/>
      <c r="J405" s="76">
        <v>2.2999999999999998</v>
      </c>
      <c r="K405" s="66" t="str">
        <f>IF(_xlfn.XLOOKUP($J405,Catalogo!$B$7:$B$210,Catalogo!$I$7:$I$210,"",0)=0,"",_xlfn.XLOOKUP($J405,Catalogo!$B$7:$B$210,Catalogo!$I$7:$I$210,"",0))</f>
        <v>DCVG</v>
      </c>
      <c r="L405" s="36">
        <f>+_xlfn.XLOOKUP(Tabla1[[#This Row],[Ducto]],'R (s03)'!B:B,'R (s03)'!C:C)</f>
        <v>24.358000000000001</v>
      </c>
      <c r="M405" s="261">
        <f>IF(Tabla1[[#This Row],[Avance_km]]&lt;&gt;"",Tabla1[[#This Row],[Avance_km]],Tabla1[[#This Row],[Avance_Med]])*_xlfn.XLOOKUP(Tabla1[[#This Row],[Codigo_actividad]],Catalogo!$B$6:$B$51,Catalogo!$F$6:$F$51,0)</f>
        <v>29741.052219999998</v>
      </c>
    </row>
    <row r="406" spans="1:18" x14ac:dyDescent="0.25">
      <c r="A406" s="354">
        <v>46149</v>
      </c>
      <c r="B406" s="114" t="s">
        <v>12</v>
      </c>
      <c r="C406" s="155" t="s">
        <v>329</v>
      </c>
      <c r="D406" s="39" t="s">
        <v>212</v>
      </c>
      <c r="E406" s="40" t="s">
        <v>36</v>
      </c>
      <c r="F406" s="367">
        <v>3463</v>
      </c>
      <c r="G406" s="367">
        <v>2950</v>
      </c>
      <c r="H406" s="368">
        <f>IF(Tabla1[[#This Row],[Codigo_actividad]]&lt;&gt;2.5,IF(((Tabla1[[#This Row],[fin]]-Tabla1[[#This Row],[inicio]])/1000)=0,"",((Tabla1[[#This Row],[fin]]-Tabla1[[#This Row],[inicio]])/1000)),"")</f>
        <v>-0.51300000000000001</v>
      </c>
      <c r="I406" s="66"/>
      <c r="J406" s="76">
        <v>2.2999999999999998</v>
      </c>
      <c r="K406" s="66" t="str">
        <f>IF(_xlfn.XLOOKUP($J406,Catalogo!$B$7:$B$210,Catalogo!$I$7:$I$210,"",0)=0,"",_xlfn.XLOOKUP($J406,Catalogo!$B$7:$B$210,Catalogo!$I$7:$I$210,"",0))</f>
        <v>DCVG</v>
      </c>
      <c r="L406" s="36">
        <f>+_xlfn.XLOOKUP(Tabla1[[#This Row],[Ducto]],'R (s03)'!B:B,'R (s03)'!C:C)</f>
        <v>24.358000000000001</v>
      </c>
      <c r="M406" s="261">
        <f>IF(Tabla1[[#This Row],[Avance_km]]&lt;&gt;"",Tabla1[[#This Row],[Avance_km]],Tabla1[[#This Row],[Avance_Med]])*_xlfn.XLOOKUP(Tabla1[[#This Row],[Codigo_actividad]],Catalogo!$B$6:$B$51,Catalogo!$F$6:$F$51,0)</f>
        <v>-6954.0381899999993</v>
      </c>
      <c r="N406" t="s">
        <v>494</v>
      </c>
    </row>
    <row r="407" spans="1:18" x14ac:dyDescent="0.25">
      <c r="A407" s="354">
        <v>46150</v>
      </c>
      <c r="B407" s="114" t="s">
        <v>12</v>
      </c>
      <c r="C407" s="155" t="s">
        <v>329</v>
      </c>
      <c r="D407" s="39" t="s">
        <v>212</v>
      </c>
      <c r="E407" s="40" t="s">
        <v>36</v>
      </c>
      <c r="F407" s="28">
        <v>0</v>
      </c>
      <c r="G407" s="28">
        <v>1275</v>
      </c>
      <c r="H407" s="224">
        <f>IF(Tabla1[[#This Row],[Codigo_actividad]]&lt;&gt;2.5,IF(((Tabla1[[#This Row],[fin]]-Tabla1[[#This Row],[inicio]])/1000)=0,"",((Tabla1[[#This Row],[fin]]-Tabla1[[#This Row],[inicio]])/1000)),"")</f>
        <v>1.2749999999999999</v>
      </c>
      <c r="I407" s="66"/>
      <c r="J407" s="76">
        <v>2.2999999999999998</v>
      </c>
      <c r="K407" s="66" t="str">
        <f>IF(_xlfn.XLOOKUP($J407,Catalogo!$B$7:$B$210,Catalogo!$I$7:$I$210,"",0)=0,"",_xlfn.XLOOKUP($J407,Catalogo!$B$7:$B$210,Catalogo!$I$7:$I$210,"",0))</f>
        <v>DCVG</v>
      </c>
      <c r="L407" s="36">
        <f>+_xlfn.XLOOKUP(Tabla1[[#This Row],[Ducto]],'R (s03)'!B:B,'R (s03)'!C:C)</f>
        <v>24.358000000000001</v>
      </c>
      <c r="M407" s="261">
        <f>IF(Tabla1[[#This Row],[Avance_km]]&lt;&gt;"",Tabla1[[#This Row],[Avance_km]],Tabla1[[#This Row],[Avance_Med]])*_xlfn.XLOOKUP(Tabla1[[#This Row],[Codigo_actividad]],Catalogo!$B$6:$B$51,Catalogo!$F$6:$F$51,0)</f>
        <v>17283.428249999997</v>
      </c>
    </row>
    <row r="408" spans="1:18" x14ac:dyDescent="0.25">
      <c r="A408" s="354">
        <v>46150</v>
      </c>
      <c r="B408" s="114" t="s">
        <v>12</v>
      </c>
      <c r="C408" s="155" t="s">
        <v>329</v>
      </c>
      <c r="D408" s="39" t="s">
        <v>212</v>
      </c>
      <c r="E408" s="40" t="s">
        <v>36</v>
      </c>
      <c r="F408" s="28">
        <v>9461</v>
      </c>
      <c r="G408" s="28">
        <v>10850</v>
      </c>
      <c r="H408" s="224">
        <f>IF(Tabla1[[#This Row],[Codigo_actividad]]&lt;&gt;2.5,IF(((Tabla1[[#This Row],[fin]]-Tabla1[[#This Row],[inicio]])/1000)=0,"",((Tabla1[[#This Row],[fin]]-Tabla1[[#This Row],[inicio]])/1000)),"")</f>
        <v>1.389</v>
      </c>
      <c r="I408" s="66"/>
      <c r="J408" s="76">
        <v>2.2999999999999998</v>
      </c>
      <c r="K408" s="66" t="str">
        <f>IF(_xlfn.XLOOKUP($J408,Catalogo!$B$7:$B$210,Catalogo!$I$7:$I$210,"",0)=0,"",_xlfn.XLOOKUP($J408,Catalogo!$B$7:$B$210,Catalogo!$I$7:$I$210,"",0))</f>
        <v>DCVG</v>
      </c>
      <c r="L408" s="36">
        <f>+_xlfn.XLOOKUP(Tabla1[[#This Row],[Ducto]],'R (s03)'!B:B,'R (s03)'!C:C)</f>
        <v>24.358000000000001</v>
      </c>
      <c r="M408" s="261">
        <f>IF(Tabla1[[#This Row],[Avance_km]]&lt;&gt;"",Tabla1[[#This Row],[Avance_km]],Tabla1[[#This Row],[Avance_Med]])*_xlfn.XLOOKUP(Tabla1[[#This Row],[Codigo_actividad]],Catalogo!$B$6:$B$51,Catalogo!$F$6:$F$51,0)</f>
        <v>18828.770069999999</v>
      </c>
    </row>
    <row r="409" spans="1:18" x14ac:dyDescent="0.25">
      <c r="A409" s="354">
        <v>46150</v>
      </c>
      <c r="B409" s="114" t="s">
        <v>12</v>
      </c>
      <c r="C409" s="155" t="s">
        <v>329</v>
      </c>
      <c r="D409" s="39" t="s">
        <v>212</v>
      </c>
      <c r="E409" s="40" t="s">
        <v>36</v>
      </c>
      <c r="F409" s="367">
        <v>10176</v>
      </c>
      <c r="G409" s="367">
        <v>9915</v>
      </c>
      <c r="H409" s="368">
        <f>IF(Tabla1[[#This Row],[Codigo_actividad]]&lt;&gt;2.5,IF(((Tabla1[[#This Row],[fin]]-Tabla1[[#This Row],[inicio]])/1000)=0,"",((Tabla1[[#This Row],[fin]]-Tabla1[[#This Row],[inicio]])/1000)),"")</f>
        <v>-0.26100000000000001</v>
      </c>
      <c r="I409" s="66"/>
      <c r="J409" s="76">
        <v>2.2999999999999998</v>
      </c>
      <c r="K409" s="66" t="str">
        <f>IF(_xlfn.XLOOKUP($J409,Catalogo!$B$7:$B$210,Catalogo!$I$7:$I$210,"",0)=0,"",_xlfn.XLOOKUP($J409,Catalogo!$B$7:$B$210,Catalogo!$I$7:$I$210,"",0))</f>
        <v>DCVG</v>
      </c>
      <c r="L409" s="36">
        <f>+_xlfn.XLOOKUP(Tabla1[[#This Row],[Ducto]],'R (s03)'!B:B,'R (s03)'!C:C)</f>
        <v>24.358000000000001</v>
      </c>
      <c r="M409" s="261">
        <f>IF(Tabla1[[#This Row],[Avance_km]]&lt;&gt;"",Tabla1[[#This Row],[Avance_km]],Tabla1[[#This Row],[Avance_Med]])*_xlfn.XLOOKUP(Tabla1[[#This Row],[Codigo_actividad]],Catalogo!$B$6:$B$51,Catalogo!$F$6:$F$51,0)</f>
        <v>-3538.0194299999998</v>
      </c>
      <c r="N409" t="s">
        <v>495</v>
      </c>
    </row>
    <row r="410" spans="1:18" x14ac:dyDescent="0.25">
      <c r="A410" s="354">
        <v>46151</v>
      </c>
      <c r="B410" s="114" t="s">
        <v>12</v>
      </c>
      <c r="C410" s="155" t="s">
        <v>329</v>
      </c>
      <c r="D410" s="39" t="s">
        <v>212</v>
      </c>
      <c r="E410" s="40" t="s">
        <v>36</v>
      </c>
      <c r="F410" s="28">
        <v>10850</v>
      </c>
      <c r="G410" s="28">
        <v>11253</v>
      </c>
      <c r="H410" s="224">
        <f>IF(Tabla1[[#This Row],[Codigo_actividad]]&lt;&gt;2.5,IF(((Tabla1[[#This Row],[fin]]-Tabla1[[#This Row],[inicio]])/1000)=0,"",((Tabla1[[#This Row],[fin]]-Tabla1[[#This Row],[inicio]])/1000)),"")</f>
        <v>0.40300000000000002</v>
      </c>
      <c r="I410" s="66"/>
      <c r="J410" s="76">
        <v>2.2999999999999998</v>
      </c>
      <c r="K410" s="66" t="str">
        <f>IF(_xlfn.XLOOKUP($J410,Catalogo!$B$7:$B$210,Catalogo!$I$7:$I$210,"",0)=0,"",_xlfn.XLOOKUP($J410,Catalogo!$B$7:$B$210,Catalogo!$I$7:$I$210,"",0))</f>
        <v>DCVG</v>
      </c>
      <c r="L410" s="36">
        <f>+_xlfn.XLOOKUP(Tabla1[[#This Row],[Ducto]],'R (s03)'!B:B,'R (s03)'!C:C)</f>
        <v>24.358000000000001</v>
      </c>
      <c r="M410" s="261">
        <f>IF(Tabla1[[#This Row],[Avance_km]]&lt;&gt;"",Tabla1[[#This Row],[Avance_km]],Tabla1[[#This Row],[Avance_Med]])*_xlfn.XLOOKUP(Tabla1[[#This Row],[Codigo_actividad]],Catalogo!$B$6:$B$51,Catalogo!$F$6:$F$51,0)</f>
        <v>5462.9188899999999</v>
      </c>
    </row>
    <row r="411" spans="1:18" x14ac:dyDescent="0.25">
      <c r="A411" s="354"/>
      <c r="C411" s="155"/>
      <c r="D411" s="39"/>
      <c r="F411" s="28"/>
      <c r="G411" s="28"/>
      <c r="H411" s="224" t="str">
        <f>IF(Tabla1[[#This Row],[Codigo_actividad]]&lt;&gt;2.5,IF(((Tabla1[[#This Row],[fin]]-Tabla1[[#This Row],[inicio]])/1000)=0,"",((Tabla1[[#This Row],[fin]]-Tabla1[[#This Row],[inicio]])/1000)),"")</f>
        <v/>
      </c>
      <c r="J411" s="76"/>
      <c r="K411" s="66" t="str">
        <f>IF(_xlfn.XLOOKUP($J411,Catalogo!$B$7:$B$21,Catalogo!$I$7:$I$21,"",0)=0,"",_xlfn.XLOOKUP($J411,Catalogo!$B$7:$B$21,Catalogo!$I$7:$I$21,"",0))</f>
        <v/>
      </c>
      <c r="L411" s="36"/>
      <c r="M411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412" spans="1:18" x14ac:dyDescent="0.25">
      <c r="A412" s="354">
        <v>46153</v>
      </c>
      <c r="B412" s="114" t="s">
        <v>12</v>
      </c>
      <c r="C412" s="155" t="s">
        <v>329</v>
      </c>
      <c r="D412" s="39" t="s">
        <v>212</v>
      </c>
      <c r="E412" s="40" t="s">
        <v>36</v>
      </c>
      <c r="F412" s="28">
        <v>11253</v>
      </c>
      <c r="G412" s="28">
        <v>12483</v>
      </c>
      <c r="H412" s="224">
        <f>IF(Tabla1[[#This Row],[Codigo_actividad]]&lt;&gt;2.5,IF(((Tabla1[[#This Row],[fin]]-Tabla1[[#This Row],[inicio]])/1000)=0,"",((Tabla1[[#This Row],[fin]]-Tabla1[[#This Row],[inicio]])/1000)),"")</f>
        <v>1.23</v>
      </c>
      <c r="I412" s="66"/>
      <c r="J412" s="76">
        <v>2.2999999999999998</v>
      </c>
      <c r="K412" s="66" t="str">
        <f>IF(_xlfn.XLOOKUP($J412,Catalogo!$B$7:$B$210,Catalogo!$I$7:$I$210,"",0)=0,"",_xlfn.XLOOKUP($J412,Catalogo!$B$7:$B$210,Catalogo!$I$7:$I$210,"",0))</f>
        <v>DCVG</v>
      </c>
      <c r="L412" s="36">
        <f>+_xlfn.XLOOKUP(Tabla1[[#This Row],[Ducto]],'R (s03)'!B:B,'R (s03)'!C:C)</f>
        <v>24.358000000000001</v>
      </c>
      <c r="M412" s="261">
        <f>IF(Tabla1[[#This Row],[Avance_km]]&lt;&gt;"",Tabla1[[#This Row],[Avance_km]],Tabla1[[#This Row],[Avance_Med]])*_xlfn.XLOOKUP(Tabla1[[#This Row],[Codigo_actividad]],Catalogo!$B$6:$B$51,Catalogo!$F$6:$F$51,0)</f>
        <v>16673.424899999998</v>
      </c>
    </row>
    <row r="413" spans="1:18" x14ac:dyDescent="0.25">
      <c r="A413" s="354">
        <v>46153</v>
      </c>
      <c r="B413" s="114" t="s">
        <v>12</v>
      </c>
      <c r="C413" s="155" t="s">
        <v>329</v>
      </c>
      <c r="D413" s="39" t="s">
        <v>212</v>
      </c>
      <c r="E413" s="40" t="s">
        <v>36</v>
      </c>
      <c r="F413" s="367">
        <v>11813</v>
      </c>
      <c r="G413" s="367">
        <v>11788</v>
      </c>
      <c r="H413" s="368">
        <f>IF(Tabla1[[#This Row],[Codigo_actividad]]&lt;&gt;2.5,IF(((Tabla1[[#This Row],[fin]]-Tabla1[[#This Row],[inicio]])/1000)=0,"",((Tabla1[[#This Row],[fin]]-Tabla1[[#This Row],[inicio]])/1000)),"")</f>
        <v>-2.5000000000000001E-2</v>
      </c>
      <c r="I413" s="66"/>
      <c r="J413" s="76">
        <v>2.2999999999999998</v>
      </c>
      <c r="K413" s="66" t="str">
        <f>IF(_xlfn.XLOOKUP($J413,Catalogo!$B$7:$B$210,Catalogo!$I$7:$I$210,"",0)=0,"",_xlfn.XLOOKUP($J413,Catalogo!$B$7:$B$210,Catalogo!$I$7:$I$210,"",0))</f>
        <v>DCVG</v>
      </c>
      <c r="L413" s="36">
        <f>+_xlfn.XLOOKUP(Tabla1[[#This Row],[Ducto]],'R (s03)'!B:B,'R (s03)'!C:C)</f>
        <v>24.358000000000001</v>
      </c>
      <c r="M413" s="261">
        <f>IF(Tabla1[[#This Row],[Avance_km]]&lt;&gt;"",Tabla1[[#This Row],[Avance_km]],Tabla1[[#This Row],[Avance_Med]])*_xlfn.XLOOKUP(Tabla1[[#This Row],[Codigo_actividad]],Catalogo!$B$6:$B$51,Catalogo!$F$6:$F$51,0)</f>
        <v>-338.89075000000003</v>
      </c>
      <c r="N413" t="s">
        <v>496</v>
      </c>
    </row>
    <row r="414" spans="1:18" x14ac:dyDescent="0.25">
      <c r="A414" s="354">
        <v>46154</v>
      </c>
      <c r="B414" s="114" t="s">
        <v>12</v>
      </c>
      <c r="C414" s="155" t="s">
        <v>329</v>
      </c>
      <c r="D414" s="39" t="s">
        <v>212</v>
      </c>
      <c r="E414" s="40" t="s">
        <v>36</v>
      </c>
      <c r="F414" s="28">
        <v>12483</v>
      </c>
      <c r="G414" s="28">
        <v>13245</v>
      </c>
      <c r="H414" s="224">
        <f>IF(Tabla1[[#This Row],[Codigo_actividad]]&lt;&gt;2.5,IF(((Tabla1[[#This Row],[fin]]-Tabla1[[#This Row],[inicio]])/1000)=0,"",((Tabla1[[#This Row],[fin]]-Tabla1[[#This Row],[inicio]])/1000)),"")</f>
        <v>0.76200000000000001</v>
      </c>
      <c r="I414" s="66"/>
      <c r="J414" s="76">
        <v>2.2999999999999998</v>
      </c>
      <c r="K414" s="66" t="str">
        <f>IF(_xlfn.XLOOKUP($J414,Catalogo!$B$7:$B$210,Catalogo!$I$7:$I$210,"",0)=0,"",_xlfn.XLOOKUP($J414,Catalogo!$B$7:$B$210,Catalogo!$I$7:$I$210,"",0))</f>
        <v>DCVG</v>
      </c>
      <c r="L414" s="36">
        <f>+_xlfn.XLOOKUP(Tabla1[[#This Row],[Ducto]],'R (s03)'!B:B,'R (s03)'!C:C)</f>
        <v>24.358000000000001</v>
      </c>
      <c r="M414" s="261">
        <f>IF(Tabla1[[#This Row],[Avance_km]]&lt;&gt;"",Tabla1[[#This Row],[Avance_km]],Tabla1[[#This Row],[Avance_Med]])*_xlfn.XLOOKUP(Tabla1[[#This Row],[Codigo_actividad]],Catalogo!$B$6:$B$51,Catalogo!$F$6:$F$51,0)</f>
        <v>10329.39006</v>
      </c>
    </row>
    <row r="415" spans="1:18" x14ac:dyDescent="0.25">
      <c r="A415" s="354">
        <v>46155</v>
      </c>
      <c r="B415" s="114" t="s">
        <v>12</v>
      </c>
      <c r="C415" s="155" t="s">
        <v>329</v>
      </c>
      <c r="D415" s="39" t="s">
        <v>212</v>
      </c>
      <c r="E415" s="40" t="s">
        <v>36</v>
      </c>
      <c r="F415" s="28">
        <v>13245</v>
      </c>
      <c r="G415" s="28">
        <v>14596</v>
      </c>
      <c r="H415" s="224">
        <f>IF(Tabla1[[#This Row],[Codigo_actividad]]&lt;&gt;2.5,IF(((Tabla1[[#This Row],[fin]]-Tabla1[[#This Row],[inicio]])/1000)=0,"",((Tabla1[[#This Row],[fin]]-Tabla1[[#This Row],[inicio]])/1000)),"")</f>
        <v>1.351</v>
      </c>
      <c r="I415" s="66"/>
      <c r="J415" s="76">
        <v>2.2999999999999998</v>
      </c>
      <c r="K415" s="66" t="str">
        <f>IF(_xlfn.XLOOKUP($J415,Catalogo!$B$7:$B$210,Catalogo!$I$7:$I$210,"",0)=0,"",_xlfn.XLOOKUP($J415,Catalogo!$B$7:$B$210,Catalogo!$I$7:$I$210,"",0))</f>
        <v>DCVG</v>
      </c>
      <c r="L415" s="36">
        <f>+_xlfn.XLOOKUP(Tabla1[[#This Row],[Ducto]],'R (s03)'!B:B,'R (s03)'!C:C)</f>
        <v>24.358000000000001</v>
      </c>
      <c r="M415" s="261">
        <f>IF(Tabla1[[#This Row],[Avance_km]]&lt;&gt;"",Tabla1[[#This Row],[Avance_km]],Tabla1[[#This Row],[Avance_Med]])*_xlfn.XLOOKUP(Tabla1[[#This Row],[Codigo_actividad]],Catalogo!$B$6:$B$51,Catalogo!$F$6:$F$51,0)</f>
        <v>18313.656129999999</v>
      </c>
      <c r="Q415" s="352"/>
      <c r="R415" s="352"/>
    </row>
    <row r="416" spans="1:18" x14ac:dyDescent="0.25">
      <c r="A416" s="354">
        <v>46156</v>
      </c>
      <c r="B416" s="114" t="s">
        <v>12</v>
      </c>
      <c r="C416" s="155" t="s">
        <v>329</v>
      </c>
      <c r="D416" s="39" t="s">
        <v>212</v>
      </c>
      <c r="E416" s="40" t="s">
        <v>36</v>
      </c>
      <c r="F416" s="28">
        <v>14596</v>
      </c>
      <c r="G416" s="28">
        <v>15605</v>
      </c>
      <c r="H416" s="224">
        <f>IF(Tabla1[[#This Row],[Codigo_actividad]]&lt;&gt;2.5,IF(((Tabla1[[#This Row],[fin]]-Tabla1[[#This Row],[inicio]])/1000)=0,"",((Tabla1[[#This Row],[fin]]-Tabla1[[#This Row],[inicio]])/1000)),"")</f>
        <v>1.0089999999999999</v>
      </c>
      <c r="I416" s="66"/>
      <c r="J416" s="76">
        <v>2.2999999999999998</v>
      </c>
      <c r="K416" s="66" t="str">
        <f>IF(_xlfn.XLOOKUP($J416,Catalogo!$B$7:$B$210,Catalogo!$I$7:$I$210,"",0)=0,"",_xlfn.XLOOKUP($J416,Catalogo!$B$7:$B$210,Catalogo!$I$7:$I$210,"",0))</f>
        <v>DCVG</v>
      </c>
      <c r="L416" s="36">
        <f>+_xlfn.XLOOKUP(Tabla1[[#This Row],[Ducto]],'R (s03)'!B:B,'R (s03)'!C:C)</f>
        <v>24.358000000000001</v>
      </c>
      <c r="M416" s="261">
        <f>IF(Tabla1[[#This Row],[Avance_km]]&lt;&gt;"",Tabla1[[#This Row],[Avance_km]],Tabla1[[#This Row],[Avance_Med]])*_xlfn.XLOOKUP(Tabla1[[#This Row],[Codigo_actividad]],Catalogo!$B$6:$B$51,Catalogo!$F$6:$F$51,0)</f>
        <v>13677.630669999999</v>
      </c>
      <c r="R416" s="352"/>
    </row>
    <row r="417" spans="1:17" x14ac:dyDescent="0.25">
      <c r="A417" s="354">
        <v>46157</v>
      </c>
      <c r="B417" s="114" t="s">
        <v>12</v>
      </c>
      <c r="C417" s="155" t="s">
        <v>329</v>
      </c>
      <c r="D417" s="39" t="s">
        <v>212</v>
      </c>
      <c r="E417" s="40" t="s">
        <v>28</v>
      </c>
      <c r="F417" s="28">
        <v>0</v>
      </c>
      <c r="G417" s="28">
        <v>2410</v>
      </c>
      <c r="H417" s="224">
        <f>IF(Tabla1[[#This Row],[Codigo_actividad]]&lt;&gt;2.5,IF(((Tabla1[[#This Row],[fin]]-Tabla1[[#This Row],[inicio]])/1000)=0,"",((Tabla1[[#This Row],[fin]]-Tabla1[[#This Row],[inicio]])/1000)),"")</f>
        <v>2.41</v>
      </c>
      <c r="I417" s="66"/>
      <c r="J417" s="76">
        <v>2.1</v>
      </c>
      <c r="K417" s="66" t="str">
        <f>IF(_xlfn.XLOOKUP($J417,Catalogo!$B$7:$B$210,Catalogo!$I$7:$I$210,"",0)=0,"",_xlfn.XLOOKUP($J417,Catalogo!$B$7:$B$210,Catalogo!$I$7:$I$210,"",0))</f>
        <v>CIPS</v>
      </c>
      <c r="L417" s="36">
        <f>+_xlfn.XLOOKUP(Tabla1[[#This Row],[Ducto]],'R (s03)'!B:B,'R (s03)'!C:C)</f>
        <v>24.358000000000001</v>
      </c>
      <c r="M417" s="261">
        <f>IF(Tabla1[[#This Row],[Avance_km]]&lt;&gt;"",Tabla1[[#This Row],[Avance_km]],Tabla1[[#This Row],[Avance_Med]])*_xlfn.XLOOKUP(Tabla1[[#This Row],[Codigo_actividad]],Catalogo!$B$6:$B$51,Catalogo!$F$6:$F$51,0)</f>
        <v>34996.598100000003</v>
      </c>
    </row>
    <row r="418" spans="1:17" x14ac:dyDescent="0.25">
      <c r="A418" s="354">
        <v>46158</v>
      </c>
      <c r="B418" s="114" t="s">
        <v>12</v>
      </c>
      <c r="C418" s="155" t="s">
        <v>329</v>
      </c>
      <c r="D418" s="39" t="s">
        <v>212</v>
      </c>
      <c r="E418" s="40" t="s">
        <v>28</v>
      </c>
      <c r="F418" s="28">
        <v>2410</v>
      </c>
      <c r="G418" s="28">
        <v>4336</v>
      </c>
      <c r="H418" s="224">
        <f>IF(Tabla1[[#This Row],[Codigo_actividad]]&lt;&gt;2.5,IF(((Tabla1[[#This Row],[fin]]-Tabla1[[#This Row],[inicio]])/1000)=0,"",((Tabla1[[#This Row],[fin]]-Tabla1[[#This Row],[inicio]])/1000)),"")</f>
        <v>1.9259999999999999</v>
      </c>
      <c r="I418" s="66"/>
      <c r="J418" s="76">
        <v>2.1</v>
      </c>
      <c r="K418" s="66" t="str">
        <f>IF(_xlfn.XLOOKUP($J418,Catalogo!$B$7:$B$210,Catalogo!$I$7:$I$210,"",0)=0,"",_xlfn.XLOOKUP($J418,Catalogo!$B$7:$B$210,Catalogo!$I$7:$I$210,"",0))</f>
        <v>CIPS</v>
      </c>
      <c r="L418" s="36">
        <f>+_xlfn.XLOOKUP(Tabla1[[#This Row],[Ducto]],'R (s03)'!B:B,'R (s03)'!C:C)</f>
        <v>24.358000000000001</v>
      </c>
      <c r="M418" s="261">
        <f>IF(Tabla1[[#This Row],[Avance_km]]&lt;&gt;"",Tabla1[[#This Row],[Avance_km]],Tabla1[[#This Row],[Avance_Med]])*_xlfn.XLOOKUP(Tabla1[[#This Row],[Codigo_actividad]],Catalogo!$B$6:$B$51,Catalogo!$F$6:$F$51,0)</f>
        <v>27968.235659999998</v>
      </c>
    </row>
    <row r="419" spans="1:17" x14ac:dyDescent="0.25">
      <c r="A419" s="354"/>
      <c r="C419" s="155"/>
      <c r="D419" s="39"/>
      <c r="F419" s="28"/>
      <c r="G419" s="28"/>
      <c r="H419" s="224" t="str">
        <f>IF(Tabla1[[#This Row],[Codigo_actividad]]&lt;&gt;2.5,IF(((Tabla1[[#This Row],[fin]]-Tabla1[[#This Row],[inicio]])/1000)=0,"",((Tabla1[[#This Row],[fin]]-Tabla1[[#This Row],[inicio]])/1000)),"")</f>
        <v/>
      </c>
      <c r="J419" s="76"/>
      <c r="K419" s="66" t="str">
        <f>IF(_xlfn.XLOOKUP($J419,Catalogo!$B$7:$B$21,Catalogo!$I$7:$I$21,"",0)=0,"",_xlfn.XLOOKUP($J419,Catalogo!$B$7:$B$21,Catalogo!$I$7:$I$21,"",0))</f>
        <v/>
      </c>
      <c r="L419" s="36"/>
      <c r="M419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420" spans="1:17" x14ac:dyDescent="0.25">
      <c r="A420" s="354">
        <v>46160</v>
      </c>
      <c r="B420" s="114" t="s">
        <v>12</v>
      </c>
      <c r="C420" s="155" t="s">
        <v>329</v>
      </c>
      <c r="D420" s="39" t="s">
        <v>212</v>
      </c>
      <c r="E420" s="40" t="s">
        <v>36</v>
      </c>
      <c r="F420" s="28">
        <v>21184</v>
      </c>
      <c r="G420" s="28">
        <v>22255</v>
      </c>
      <c r="H420" s="224">
        <f>IF(Tabla1[[#This Row],[Codigo_actividad]]&lt;&gt;2.5,IF(((Tabla1[[#This Row],[fin]]-Tabla1[[#This Row],[inicio]])/1000)=0,"",((Tabla1[[#This Row],[fin]]-Tabla1[[#This Row],[inicio]])/1000)),"")</f>
        <v>1.071</v>
      </c>
      <c r="I420" s="66"/>
      <c r="J420" s="76">
        <v>2.2999999999999998</v>
      </c>
      <c r="K420" s="66" t="str">
        <f>IF(_xlfn.XLOOKUP($J420,Catalogo!$B$7:$B$210,Catalogo!$I$7:$I$210,"",0)=0,"",_xlfn.XLOOKUP($J420,Catalogo!$B$7:$B$210,Catalogo!$I$7:$I$210,"",0))</f>
        <v>DCVG</v>
      </c>
      <c r="L420" s="36">
        <f>+_xlfn.XLOOKUP(Tabla1[[#This Row],[Ducto]],'R (s03)'!B:B,'R (s03)'!C:C)</f>
        <v>24.358000000000001</v>
      </c>
      <c r="M420" s="261">
        <f>IF(Tabla1[[#This Row],[Avance_km]]&lt;&gt;"",Tabla1[[#This Row],[Avance_km]],Tabla1[[#This Row],[Avance_Med]])*_xlfn.XLOOKUP(Tabla1[[#This Row],[Codigo_actividad]],Catalogo!$B$6:$B$51,Catalogo!$F$6:$F$51,0)</f>
        <v>14518.079729999998</v>
      </c>
    </row>
    <row r="421" spans="1:17" x14ac:dyDescent="0.25">
      <c r="A421" s="354">
        <v>46160</v>
      </c>
      <c r="B421" s="114" t="s">
        <v>12</v>
      </c>
      <c r="C421" s="155" t="s">
        <v>329</v>
      </c>
      <c r="D421" s="39" t="s">
        <v>212</v>
      </c>
      <c r="E421" s="40" t="s">
        <v>36</v>
      </c>
      <c r="F421" s="367">
        <v>21265</v>
      </c>
      <c r="G421" s="367">
        <v>21253</v>
      </c>
      <c r="H421" s="368">
        <f>IF(Tabla1[[#This Row],[Codigo_actividad]]&lt;&gt;2.5,IF(((Tabla1[[#This Row],[fin]]-Tabla1[[#This Row],[inicio]])/1000)=0,"",((Tabla1[[#This Row],[fin]]-Tabla1[[#This Row],[inicio]])/1000)),"")</f>
        <v>-1.2E-2</v>
      </c>
      <c r="I421" s="66"/>
      <c r="J421" s="76">
        <v>2.2999999999999998</v>
      </c>
      <c r="K421" s="66" t="str">
        <f>IF(_xlfn.XLOOKUP($J421,Catalogo!$B$7:$B$210,Catalogo!$I$7:$I$210,"",0)=0,"",_xlfn.XLOOKUP($J421,Catalogo!$B$7:$B$210,Catalogo!$I$7:$I$210,"",0))</f>
        <v>DCVG</v>
      </c>
      <c r="L421" s="36">
        <f>+_xlfn.XLOOKUP(Tabla1[[#This Row],[Ducto]],'R (s03)'!B:B,'R (s03)'!C:C)</f>
        <v>24.358000000000001</v>
      </c>
      <c r="M421" s="261">
        <f>IF(Tabla1[[#This Row],[Avance_km]]&lt;&gt;"",Tabla1[[#This Row],[Avance_km]],Tabla1[[#This Row],[Avance_Med]])*_xlfn.XLOOKUP(Tabla1[[#This Row],[Codigo_actividad]],Catalogo!$B$6:$B$51,Catalogo!$F$6:$F$51,0)</f>
        <v>-162.66755999999998</v>
      </c>
      <c r="N421" t="s">
        <v>497</v>
      </c>
    </row>
    <row r="422" spans="1:17" x14ac:dyDescent="0.25">
      <c r="A422" s="354">
        <v>46160</v>
      </c>
      <c r="B422" s="114" t="s">
        <v>12</v>
      </c>
      <c r="C422" s="155" t="s">
        <v>329</v>
      </c>
      <c r="D422" s="39" t="s">
        <v>212</v>
      </c>
      <c r="E422" s="40" t="s">
        <v>36</v>
      </c>
      <c r="F422" s="367">
        <v>21466</v>
      </c>
      <c r="G422" s="367">
        <v>21462</v>
      </c>
      <c r="H422" s="368">
        <f>IF(Tabla1[[#This Row],[Codigo_actividad]]&lt;&gt;2.5,IF(((Tabla1[[#This Row],[fin]]-Tabla1[[#This Row],[inicio]])/1000)=0,"",((Tabla1[[#This Row],[fin]]-Tabla1[[#This Row],[inicio]])/1000)),"")</f>
        <v>-4.0000000000000001E-3</v>
      </c>
      <c r="I422" s="66"/>
      <c r="J422" s="76">
        <v>2.2999999999999998</v>
      </c>
      <c r="K422" s="66" t="str">
        <f>IF(_xlfn.XLOOKUP($J422,Catalogo!$B$7:$B$210,Catalogo!$I$7:$I$210,"",0)=0,"",_xlfn.XLOOKUP($J422,Catalogo!$B$7:$B$210,Catalogo!$I$7:$I$210,"",0))</f>
        <v>DCVG</v>
      </c>
      <c r="L422" s="36">
        <f>+_xlfn.XLOOKUP(Tabla1[[#This Row],[Ducto]],'R (s03)'!B:B,'R (s03)'!C:C)</f>
        <v>24.358000000000001</v>
      </c>
      <c r="M422" s="261">
        <f>IF(Tabla1[[#This Row],[Avance_km]]&lt;&gt;"",Tabla1[[#This Row],[Avance_km]],Tabla1[[#This Row],[Avance_Med]])*_xlfn.XLOOKUP(Tabla1[[#This Row],[Codigo_actividad]],Catalogo!$B$6:$B$51,Catalogo!$F$6:$F$51,0)</f>
        <v>-54.222519999999996</v>
      </c>
      <c r="N422" t="s">
        <v>498</v>
      </c>
    </row>
    <row r="423" spans="1:17" x14ac:dyDescent="0.25">
      <c r="A423" s="354">
        <v>46161</v>
      </c>
      <c r="B423" s="114" t="s">
        <v>12</v>
      </c>
      <c r="C423" s="155" t="s">
        <v>329</v>
      </c>
      <c r="D423" s="39" t="s">
        <v>212</v>
      </c>
      <c r="E423" s="40" t="s">
        <v>36</v>
      </c>
      <c r="F423" s="28">
        <v>22255</v>
      </c>
      <c r="G423" s="28">
        <v>22858</v>
      </c>
      <c r="H423" s="224">
        <f>IF(Tabla1[[#This Row],[Codigo_actividad]]&lt;&gt;2.5,IF(((Tabla1[[#This Row],[fin]]-Tabla1[[#This Row],[inicio]])/1000)=0,"",((Tabla1[[#This Row],[fin]]-Tabla1[[#This Row],[inicio]])/1000)),"")</f>
        <v>0.60299999999999998</v>
      </c>
      <c r="I423" s="66"/>
      <c r="J423" s="76">
        <v>2.2999999999999998</v>
      </c>
      <c r="K423" s="66" t="str">
        <f>IF(_xlfn.XLOOKUP($J423,Catalogo!$B$7:$B$210,Catalogo!$I$7:$I$210,"",0)=0,"",_xlfn.XLOOKUP($J423,Catalogo!$B$7:$B$210,Catalogo!$I$7:$I$210,"",0))</f>
        <v>DCVG</v>
      </c>
      <c r="L423" s="36">
        <f>+_xlfn.XLOOKUP(Tabla1[[#This Row],[Ducto]],'R (s03)'!B:B,'R (s03)'!C:C)</f>
        <v>24.358000000000001</v>
      </c>
      <c r="M423" s="261">
        <f>IF(Tabla1[[#This Row],[Avance_km]]&lt;&gt;"",Tabla1[[#This Row],[Avance_km]],Tabla1[[#This Row],[Avance_Med]])*_xlfn.XLOOKUP(Tabla1[[#This Row],[Codigo_actividad]],Catalogo!$B$6:$B$51,Catalogo!$F$6:$F$51,0)</f>
        <v>8174.0448899999992</v>
      </c>
    </row>
    <row r="424" spans="1:17" x14ac:dyDescent="0.25">
      <c r="A424" s="354">
        <v>46161</v>
      </c>
      <c r="B424" s="114" t="s">
        <v>12</v>
      </c>
      <c r="C424" s="155" t="s">
        <v>329</v>
      </c>
      <c r="D424" s="39" t="s">
        <v>212</v>
      </c>
      <c r="E424" s="40" t="s">
        <v>36</v>
      </c>
      <c r="F424" s="28">
        <v>23234</v>
      </c>
      <c r="G424" s="28">
        <v>23905</v>
      </c>
      <c r="H424" s="224">
        <f>IF(Tabla1[[#This Row],[Codigo_actividad]]&lt;&gt;2.5,IF(((Tabla1[[#This Row],[fin]]-Tabla1[[#This Row],[inicio]])/1000)=0,"",((Tabla1[[#This Row],[fin]]-Tabla1[[#This Row],[inicio]])/1000)),"")</f>
        <v>0.67100000000000004</v>
      </c>
      <c r="I424" s="66"/>
      <c r="J424" s="76">
        <v>2.2999999999999998</v>
      </c>
      <c r="K424" s="66" t="str">
        <f>IF(_xlfn.XLOOKUP($J424,Catalogo!$B$7:$B$210,Catalogo!$I$7:$I$210,"",0)=0,"",_xlfn.XLOOKUP($J424,Catalogo!$B$7:$B$210,Catalogo!$I$7:$I$210,"",0))</f>
        <v>DCVG</v>
      </c>
      <c r="L424" s="36">
        <f>+_xlfn.XLOOKUP(Tabla1[[#This Row],[Ducto]],'R (s03)'!B:B,'R (s03)'!C:C)</f>
        <v>24.358000000000001</v>
      </c>
      <c r="M424" s="261">
        <f>IF(Tabla1[[#This Row],[Avance_km]]&lt;&gt;"",Tabla1[[#This Row],[Avance_km]],Tabla1[[#This Row],[Avance_Med]])*_xlfn.XLOOKUP(Tabla1[[#This Row],[Codigo_actividad]],Catalogo!$B$6:$B$51,Catalogo!$F$6:$F$51,0)</f>
        <v>9095.8277300000009</v>
      </c>
    </row>
    <row r="425" spans="1:17" x14ac:dyDescent="0.25">
      <c r="A425" s="354">
        <v>46162</v>
      </c>
      <c r="B425" s="114" t="s">
        <v>12</v>
      </c>
      <c r="C425" s="155" t="s">
        <v>329</v>
      </c>
      <c r="D425" s="39" t="s">
        <v>212</v>
      </c>
      <c r="E425" s="40" t="s">
        <v>36</v>
      </c>
      <c r="F425" s="28">
        <v>23905</v>
      </c>
      <c r="G425" s="28">
        <v>24858</v>
      </c>
      <c r="H425" s="224">
        <f>IF(Tabla1[[#This Row],[Codigo_actividad]]&lt;&gt;2.5,IF(((Tabla1[[#This Row],[fin]]-Tabla1[[#This Row],[inicio]])/1000)=0,"",((Tabla1[[#This Row],[fin]]-Tabla1[[#This Row],[inicio]])/1000)),"")</f>
        <v>0.95299999999999996</v>
      </c>
      <c r="I425" s="66"/>
      <c r="J425" s="76">
        <v>2.2999999999999998</v>
      </c>
      <c r="K425" s="66" t="str">
        <f>IF(_xlfn.XLOOKUP($J425,Catalogo!$B$7:$B$210,Catalogo!$I$7:$I$210,"",0)=0,"",_xlfn.XLOOKUP($J425,Catalogo!$B$7:$B$210,Catalogo!$I$7:$I$210,"",0))</f>
        <v>DCVG</v>
      </c>
      <c r="L425" s="36">
        <f>+_xlfn.XLOOKUP(Tabla1[[#This Row],[Ducto]],'R (s03)'!B:B,'R (s03)'!C:C)</f>
        <v>24.358000000000001</v>
      </c>
      <c r="M425" s="261">
        <f>IF(Tabla1[[#This Row],[Avance_km]]&lt;&gt;"",Tabla1[[#This Row],[Avance_km]],Tabla1[[#This Row],[Avance_Med]])*_xlfn.XLOOKUP(Tabla1[[#This Row],[Codigo_actividad]],Catalogo!$B$6:$B$51,Catalogo!$F$6:$F$51,0)</f>
        <v>12918.515389999999</v>
      </c>
    </row>
    <row r="426" spans="1:17" x14ac:dyDescent="0.25">
      <c r="A426" s="354">
        <v>46162</v>
      </c>
      <c r="B426" s="114" t="s">
        <v>12</v>
      </c>
      <c r="C426" s="155" t="s">
        <v>329</v>
      </c>
      <c r="D426" s="39" t="s">
        <v>212</v>
      </c>
      <c r="E426" s="40" t="s">
        <v>36</v>
      </c>
      <c r="F426" s="367">
        <v>24240</v>
      </c>
      <c r="G426" s="367">
        <v>24233</v>
      </c>
      <c r="H426" s="368">
        <f>IF(Tabla1[[#This Row],[Codigo_actividad]]&lt;&gt;2.5,IF(((Tabla1[[#This Row],[fin]]-Tabla1[[#This Row],[inicio]])/1000)=0,"",((Tabla1[[#This Row],[fin]]-Tabla1[[#This Row],[inicio]])/1000)),"")</f>
        <v>-7.0000000000000001E-3</v>
      </c>
      <c r="I426" s="66"/>
      <c r="J426" s="76">
        <v>2.2999999999999998</v>
      </c>
      <c r="K426" s="66" t="str">
        <f>IF(_xlfn.XLOOKUP($J426,Catalogo!$B$7:$B$210,Catalogo!$I$7:$I$210,"",0)=0,"",_xlfn.XLOOKUP($J426,Catalogo!$B$7:$B$210,Catalogo!$I$7:$I$210,"",0))</f>
        <v>DCVG</v>
      </c>
      <c r="L426" s="36">
        <f>+_xlfn.XLOOKUP(Tabla1[[#This Row],[Ducto]],'R (s03)'!B:B,'R (s03)'!C:C)</f>
        <v>24.358000000000001</v>
      </c>
      <c r="M426" s="261">
        <f>IF(Tabla1[[#This Row],[Avance_km]]&lt;&gt;"",Tabla1[[#This Row],[Avance_km]],Tabla1[[#This Row],[Avance_Med]])*_xlfn.XLOOKUP(Tabla1[[#This Row],[Codigo_actividad]],Catalogo!$B$6:$B$51,Catalogo!$F$6:$F$51,0)</f>
        <v>-94.889409999999998</v>
      </c>
      <c r="N426" t="s">
        <v>499</v>
      </c>
    </row>
    <row r="427" spans="1:17" x14ac:dyDescent="0.25">
      <c r="A427" s="354">
        <v>46163</v>
      </c>
      <c r="B427" s="114" t="s">
        <v>12</v>
      </c>
      <c r="C427" s="155" t="s">
        <v>329</v>
      </c>
      <c r="D427" s="39" t="s">
        <v>212</v>
      </c>
      <c r="E427" s="40" t="s">
        <v>28</v>
      </c>
      <c r="F427" s="28">
        <v>4336</v>
      </c>
      <c r="G427" s="28">
        <v>6908</v>
      </c>
      <c r="H427" s="224">
        <f>IF(Tabla1[[#This Row],[Codigo_actividad]]&lt;&gt;2.5,IF(((Tabla1[[#This Row],[fin]]-Tabla1[[#This Row],[inicio]])/1000)=0,"",((Tabla1[[#This Row],[fin]]-Tabla1[[#This Row],[inicio]])/1000)),"")</f>
        <v>2.5720000000000001</v>
      </c>
      <c r="I427" s="66"/>
      <c r="J427" s="76">
        <v>2.1</v>
      </c>
      <c r="K427" s="66" t="str">
        <f>IF(_xlfn.XLOOKUP($J427,Catalogo!$B$7:$B$210,Catalogo!$I$7:$I$210,"",0)=0,"",_xlfn.XLOOKUP($J427,Catalogo!$B$7:$B$210,Catalogo!$I$7:$I$210,"",0))</f>
        <v>CIPS</v>
      </c>
      <c r="L427" s="36">
        <f>+_xlfn.XLOOKUP(Tabla1[[#This Row],[Ducto]],'R (s03)'!B:B,'R (s03)'!C:C)</f>
        <v>24.358000000000001</v>
      </c>
      <c r="M427" s="261">
        <f>IF(Tabla1[[#This Row],[Avance_km]]&lt;&gt;"",Tabla1[[#This Row],[Avance_km]],Tabla1[[#This Row],[Avance_Med]])*_xlfn.XLOOKUP(Tabla1[[#This Row],[Codigo_actividad]],Catalogo!$B$6:$B$51,Catalogo!$F$6:$F$51,0)</f>
        <v>37349.06652</v>
      </c>
    </row>
    <row r="428" spans="1:17" x14ac:dyDescent="0.25">
      <c r="A428" s="354">
        <v>46164</v>
      </c>
      <c r="B428" s="114" t="s">
        <v>12</v>
      </c>
      <c r="C428" s="155" t="s">
        <v>329</v>
      </c>
      <c r="D428" s="39" t="s">
        <v>212</v>
      </c>
      <c r="E428" s="40" t="s">
        <v>28</v>
      </c>
      <c r="F428" s="28">
        <v>6908</v>
      </c>
      <c r="G428" s="28">
        <v>9461</v>
      </c>
      <c r="H428" s="224">
        <f>IF(Tabla1[[#This Row],[Codigo_actividad]]&lt;&gt;2.5,IF(((Tabla1[[#This Row],[fin]]-Tabla1[[#This Row],[inicio]])/1000)=0,"",((Tabla1[[#This Row],[fin]]-Tabla1[[#This Row],[inicio]])/1000)),"")</f>
        <v>2.5529999999999999</v>
      </c>
      <c r="I428" s="66"/>
      <c r="J428" s="76">
        <v>2.1</v>
      </c>
      <c r="K428" s="66" t="str">
        <f>IF(_xlfn.XLOOKUP($J428,Catalogo!$B$7:$B$210,Catalogo!$I$7:$I$210,"",0)=0,"",_xlfn.XLOOKUP($J428,Catalogo!$B$7:$B$210,Catalogo!$I$7:$I$210,"",0))</f>
        <v>CIPS</v>
      </c>
      <c r="L428" s="36">
        <f>+_xlfn.XLOOKUP(Tabla1[[#This Row],[Ducto]],'R (s03)'!B:B,'R (s03)'!C:C)</f>
        <v>24.358000000000001</v>
      </c>
      <c r="M428" s="261">
        <f>IF(Tabla1[[#This Row],[Avance_km]]&lt;&gt;"",Tabla1[[#This Row],[Avance_km]],Tabla1[[#This Row],[Avance_Med]])*_xlfn.XLOOKUP(Tabla1[[#This Row],[Codigo_actividad]],Catalogo!$B$6:$B$51,Catalogo!$F$6:$F$51,0)</f>
        <v>37073.159729999999</v>
      </c>
    </row>
    <row r="429" spans="1:17" x14ac:dyDescent="0.25">
      <c r="A429" s="354">
        <v>46165</v>
      </c>
      <c r="B429" s="114" t="s">
        <v>12</v>
      </c>
      <c r="C429" s="155" t="s">
        <v>329</v>
      </c>
      <c r="D429" s="39" t="s">
        <v>212</v>
      </c>
      <c r="E429" s="40" t="s">
        <v>28</v>
      </c>
      <c r="F429" s="28">
        <v>9461</v>
      </c>
      <c r="G429" s="28">
        <v>11253</v>
      </c>
      <c r="H429" s="224">
        <f>IF(Tabla1[[#This Row],[Codigo_actividad]]&lt;&gt;2.5,IF(((Tabla1[[#This Row],[fin]]-Tabla1[[#This Row],[inicio]])/1000)=0,"",((Tabla1[[#This Row],[fin]]-Tabla1[[#This Row],[inicio]])/1000)),"")</f>
        <v>1.792</v>
      </c>
      <c r="I429" s="66"/>
      <c r="J429" s="76">
        <v>2.1</v>
      </c>
      <c r="K429" s="66" t="str">
        <f>IF(_xlfn.XLOOKUP($J429,Catalogo!$B$7:$B$210,Catalogo!$I$7:$I$210,"",0)=0,"",_xlfn.XLOOKUP($J429,Catalogo!$B$7:$B$210,Catalogo!$I$7:$I$210,"",0))</f>
        <v>CIPS</v>
      </c>
      <c r="L429" s="36">
        <f>+_xlfn.XLOOKUP(Tabla1[[#This Row],[Ducto]],'R (s03)'!B:B,'R (s03)'!C:C)</f>
        <v>24.358000000000001</v>
      </c>
      <c r="M429" s="261">
        <f>IF(Tabla1[[#This Row],[Avance_km]]&lt;&gt;"",Tabla1[[#This Row],[Avance_km]],Tabla1[[#This Row],[Avance_Med]])*_xlfn.XLOOKUP(Tabla1[[#This Row],[Codigo_actividad]],Catalogo!$B$6:$B$51,Catalogo!$F$6:$F$51,0)</f>
        <v>26022.366720000002</v>
      </c>
    </row>
    <row r="430" spans="1:17" x14ac:dyDescent="0.25">
      <c r="A430" s="354"/>
      <c r="C430" s="155"/>
      <c r="D430" s="39"/>
      <c r="F430" s="28"/>
      <c r="G430" s="28"/>
      <c r="H430" s="224" t="str">
        <f>IF(Tabla1[[#This Row],[Codigo_actividad]]&lt;&gt;2.5,IF(((Tabla1[[#This Row],[fin]]-Tabla1[[#This Row],[inicio]])/1000)=0,"",((Tabla1[[#This Row],[fin]]-Tabla1[[#This Row],[inicio]])/1000)),"")</f>
        <v/>
      </c>
      <c r="J430" s="76"/>
      <c r="K430" s="66" t="str">
        <f>IF(_xlfn.XLOOKUP($J430,Catalogo!$B$7:$B$21,Catalogo!$I$7:$I$21,"",0)=0,"",_xlfn.XLOOKUP($J430,Catalogo!$B$7:$B$21,Catalogo!$I$7:$I$21,"",0))</f>
        <v/>
      </c>
      <c r="L430" s="36"/>
      <c r="M430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431" spans="1:17" x14ac:dyDescent="0.25">
      <c r="A431" s="354">
        <v>46167</v>
      </c>
      <c r="B431" s="114" t="s">
        <v>12</v>
      </c>
      <c r="C431" s="155" t="s">
        <v>329</v>
      </c>
      <c r="D431" s="39" t="s">
        <v>213</v>
      </c>
      <c r="E431" s="40" t="s">
        <v>16</v>
      </c>
      <c r="F431" s="28">
        <v>0</v>
      </c>
      <c r="G431" s="28">
        <v>26</v>
      </c>
      <c r="H431" s="224">
        <f>IF(Tabla1[[#This Row],[Codigo_actividad]]&lt;&gt;2.5,IF(((Tabla1[[#This Row],[fin]]-Tabla1[[#This Row],[inicio]])/1000)=0,"",((Tabla1[[#This Row],[fin]]-Tabla1[[#This Row],[inicio]])/1000)),"")</f>
        <v>2.5999999999999999E-2</v>
      </c>
      <c r="I431" s="66"/>
      <c r="J431" s="76">
        <v>2.6</v>
      </c>
      <c r="K431" s="66" t="str">
        <f>IF(_xlfn.XLOOKUP($J431,Catalogo!$B$7:$B$210,Catalogo!$I$7:$I$210,"",0)=0,"",_xlfn.XLOOKUP($J431,Catalogo!$B$7:$B$210,Catalogo!$I$7:$I$210,"",0))</f>
        <v>Localizacion</v>
      </c>
      <c r="L431" s="36">
        <f>+_xlfn.XLOOKUP(Tabla1[[#This Row],[Ducto]],'R (s03)'!B:B,'R (s03)'!C:C)</f>
        <v>2.5999999999999999E-2</v>
      </c>
      <c r="M431" s="261">
        <f>IF(Tabla1[[#This Row],[Avance_km]]&lt;&gt;"",Tabla1[[#This Row],[Avance_km]],Tabla1[[#This Row],[Avance_Med]])*_xlfn.XLOOKUP(Tabla1[[#This Row],[Codigo_actividad]],Catalogo!$B$6:$B$51,Catalogo!$F$6:$F$51,0)</f>
        <v>58.692920000000001</v>
      </c>
      <c r="P431" s="389">
        <v>0</v>
      </c>
      <c r="Q431" s="389">
        <v>2410</v>
      </c>
    </row>
    <row r="432" spans="1:17" x14ac:dyDescent="0.25">
      <c r="A432" s="354">
        <v>46167</v>
      </c>
      <c r="B432" s="114" t="s">
        <v>12</v>
      </c>
      <c r="C432" s="155" t="s">
        <v>329</v>
      </c>
      <c r="D432" s="39" t="s">
        <v>213</v>
      </c>
      <c r="E432" s="40" t="s">
        <v>36</v>
      </c>
      <c r="F432" s="28">
        <v>0</v>
      </c>
      <c r="G432" s="28">
        <v>26</v>
      </c>
      <c r="H432" s="224">
        <f>IF(Tabla1[[#This Row],[Codigo_actividad]]&lt;&gt;2.5,IF(((Tabla1[[#This Row],[fin]]-Tabla1[[#This Row],[inicio]])/1000)=0,"",((Tabla1[[#This Row],[fin]]-Tabla1[[#This Row],[inicio]])/1000)),"")</f>
        <v>2.5999999999999999E-2</v>
      </c>
      <c r="I432" s="66"/>
      <c r="J432" s="76">
        <v>2.2999999999999998</v>
      </c>
      <c r="K432" s="66" t="str">
        <f>IF(_xlfn.XLOOKUP($J432,Catalogo!$B$7:$B$210,Catalogo!$I$7:$I$210,"",0)=0,"",_xlfn.XLOOKUP($J432,Catalogo!$B$7:$B$210,Catalogo!$I$7:$I$210,"",0))</f>
        <v>DCVG</v>
      </c>
      <c r="L432" s="36">
        <f>+_xlfn.XLOOKUP(Tabla1[[#This Row],[Ducto]],'R (s03)'!B:B,'R (s03)'!C:C)</f>
        <v>2.5999999999999999E-2</v>
      </c>
      <c r="M432" s="261">
        <f>IF(Tabla1[[#This Row],[Avance_km]]&lt;&gt;"",Tabla1[[#This Row],[Avance_km]],Tabla1[[#This Row],[Avance_Med]])*_xlfn.XLOOKUP(Tabla1[[#This Row],[Codigo_actividad]],Catalogo!$B$6:$B$51,Catalogo!$F$6:$F$51,0)</f>
        <v>352.44637999999998</v>
      </c>
      <c r="P432" s="389">
        <v>2410</v>
      </c>
      <c r="Q432" s="389">
        <v>4336</v>
      </c>
    </row>
    <row r="433" spans="1:18" x14ac:dyDescent="0.25">
      <c r="A433" s="354">
        <v>46167</v>
      </c>
      <c r="B433" s="114" t="s">
        <v>12</v>
      </c>
      <c r="C433" s="155" t="s">
        <v>411</v>
      </c>
      <c r="D433" s="39" t="s">
        <v>359</v>
      </c>
      <c r="E433" s="40" t="s">
        <v>36</v>
      </c>
      <c r="F433" s="28">
        <v>0</v>
      </c>
      <c r="G433" s="28">
        <v>878</v>
      </c>
      <c r="H433" s="224">
        <f>IF(Tabla1[[#This Row],[Codigo_actividad]]&lt;&gt;2.5,IF(((Tabla1[[#This Row],[fin]]-Tabla1[[#This Row],[inicio]])/1000)=0,"",((Tabla1[[#This Row],[fin]]-Tabla1[[#This Row],[inicio]])/1000)),"")</f>
        <v>0.878</v>
      </c>
      <c r="I433" s="66"/>
      <c r="J433" s="76">
        <v>2.2999999999999998</v>
      </c>
      <c r="K433" s="66" t="str">
        <f>IF(_xlfn.XLOOKUP($J433,Catalogo!$B$7:$B$210,Catalogo!$I$7:$I$210,"",0)=0,"",_xlfn.XLOOKUP($J433,Catalogo!$B$7:$B$210,Catalogo!$I$7:$I$210,"",0))</f>
        <v>DCVG</v>
      </c>
      <c r="L433" s="36">
        <f>+_xlfn.XLOOKUP(Tabla1[[#This Row],[Ducto]],'R (s04)'!B:B,'R (s04)'!C:C)</f>
        <v>0.878</v>
      </c>
      <c r="M433" s="261">
        <f>IF(Tabla1[[#This Row],[Avance_km]]&lt;&gt;"",Tabla1[[#This Row],[Avance_km]],Tabla1[[#This Row],[Avance_Med]])*_xlfn.XLOOKUP(Tabla1[[#This Row],[Codigo_actividad]],Catalogo!$B$6:$B$51,Catalogo!$F$6:$F$51,0)</f>
        <v>11901.843139999999</v>
      </c>
      <c r="P433" s="389">
        <v>4336</v>
      </c>
      <c r="Q433" s="389">
        <v>6908</v>
      </c>
    </row>
    <row r="434" spans="1:18" x14ac:dyDescent="0.25">
      <c r="A434" s="354">
        <v>46168</v>
      </c>
      <c r="B434" s="114" t="s">
        <v>12</v>
      </c>
      <c r="C434" s="155" t="s">
        <v>329</v>
      </c>
      <c r="D434" s="39" t="s">
        <v>215</v>
      </c>
      <c r="E434" s="40" t="s">
        <v>16</v>
      </c>
      <c r="F434" s="28">
        <v>0</v>
      </c>
      <c r="G434" s="28">
        <v>1920</v>
      </c>
      <c r="H434" s="224">
        <f>IF(Tabla1[[#This Row],[Codigo_actividad]]&lt;&gt;2.5,IF(((Tabla1[[#This Row],[fin]]-Tabla1[[#This Row],[inicio]])/1000)=0,"",((Tabla1[[#This Row],[fin]]-Tabla1[[#This Row],[inicio]])/1000)),"")</f>
        <v>1.92</v>
      </c>
      <c r="I434" s="66"/>
      <c r="J434" s="76">
        <v>2.6</v>
      </c>
      <c r="K434" s="66" t="str">
        <f>IF(_xlfn.XLOOKUP($J434,Catalogo!$B$7:$B$210,Catalogo!$I$7:$I$210,"",0)=0,"",_xlfn.XLOOKUP($J434,Catalogo!$B$7:$B$210,Catalogo!$I$7:$I$210,"",0))</f>
        <v>Localizacion</v>
      </c>
      <c r="L434" s="36">
        <f>+_xlfn.XLOOKUP(Tabla1[[#This Row],[Ducto]],'R (s03)'!B:B,'R (s03)'!C:C)</f>
        <v>1.92</v>
      </c>
      <c r="M434" s="261">
        <f>IF(Tabla1[[#This Row],[Avance_km]]&lt;&gt;"",Tabla1[[#This Row],[Avance_km]],Tabla1[[#This Row],[Avance_Med]])*_xlfn.XLOOKUP(Tabla1[[#This Row],[Codigo_actividad]],Catalogo!$B$6:$B$51,Catalogo!$F$6:$F$51,0)</f>
        <v>4334.2464</v>
      </c>
      <c r="P434" s="389">
        <v>6908</v>
      </c>
      <c r="Q434" s="389">
        <v>9461</v>
      </c>
    </row>
    <row r="435" spans="1:18" x14ac:dyDescent="0.25">
      <c r="A435" s="354">
        <v>46169</v>
      </c>
      <c r="B435" s="114" t="s">
        <v>12</v>
      </c>
      <c r="C435" s="155" t="s">
        <v>329</v>
      </c>
      <c r="D435" s="39" t="s">
        <v>245</v>
      </c>
      <c r="E435" s="40" t="s">
        <v>36</v>
      </c>
      <c r="F435" s="28">
        <v>0</v>
      </c>
      <c r="G435" s="28">
        <v>99</v>
      </c>
      <c r="H435" s="224">
        <f>IF(Tabla1[[#This Row],[Codigo_actividad]]&lt;&gt;2.5,IF(((Tabla1[[#This Row],[fin]]-Tabla1[[#This Row],[inicio]])/1000)=0,"",((Tabla1[[#This Row],[fin]]-Tabla1[[#This Row],[inicio]])/1000)),"")</f>
        <v>9.9000000000000005E-2</v>
      </c>
      <c r="I435" s="66"/>
      <c r="J435" s="76">
        <v>2.2999999999999998</v>
      </c>
      <c r="K435" s="66" t="str">
        <f>IF(_xlfn.XLOOKUP($J435,Catalogo!$B$7:$B$210,Catalogo!$I$7:$I$210,"",0)=0,"",_xlfn.XLOOKUP($J435,Catalogo!$B$7:$B$210,Catalogo!$I$7:$I$210,"",0))</f>
        <v>DCVG</v>
      </c>
      <c r="L435" s="36">
        <f>+_xlfn.XLOOKUP(Tabla1[[#This Row],[Ducto]],'R (s03)'!B:B,'R (s03)'!C:C)</f>
        <v>9.9000000000000005E-2</v>
      </c>
      <c r="M435" s="261">
        <f>IF(Tabla1[[#This Row],[Avance_km]]&lt;&gt;"",Tabla1[[#This Row],[Avance_km]],Tabla1[[#This Row],[Avance_Med]])*_xlfn.XLOOKUP(Tabla1[[#This Row],[Codigo_actividad]],Catalogo!$B$6:$B$51,Catalogo!$F$6:$F$51,0)</f>
        <v>1342.00737</v>
      </c>
      <c r="P435" s="389"/>
      <c r="Q435" s="389"/>
    </row>
    <row r="436" spans="1:18" x14ac:dyDescent="0.25">
      <c r="A436" s="354">
        <v>46170</v>
      </c>
      <c r="B436" s="114" t="s">
        <v>12</v>
      </c>
      <c r="C436" s="155" t="s">
        <v>329</v>
      </c>
      <c r="D436" s="39" t="s">
        <v>249</v>
      </c>
      <c r="E436" s="40" t="s">
        <v>16</v>
      </c>
      <c r="F436" s="28">
        <v>0</v>
      </c>
      <c r="G436" s="28">
        <v>15</v>
      </c>
      <c r="H436" s="224">
        <f>IF(Tabla1[[#This Row],[Codigo_actividad]]&lt;&gt;2.5,IF(((Tabla1[[#This Row],[fin]]-Tabla1[[#This Row],[inicio]])/1000)=0,"",((Tabla1[[#This Row],[fin]]-Tabla1[[#This Row],[inicio]])/1000)),"")</f>
        <v>1.4999999999999999E-2</v>
      </c>
      <c r="I436" s="66"/>
      <c r="J436" s="76">
        <v>2.6</v>
      </c>
      <c r="K436" s="66" t="str">
        <f>IF(_xlfn.XLOOKUP($J436,Catalogo!$B$7:$B$210,Catalogo!$I$7:$I$210,"",0)=0,"",_xlfn.XLOOKUP($J436,Catalogo!$B$7:$B$210,Catalogo!$I$7:$I$210,"",0))</f>
        <v>Localizacion</v>
      </c>
      <c r="L436" s="36">
        <f>+_xlfn.XLOOKUP(Tabla1[[#This Row],[Ducto]],nombres!D:D,nombres!E:E)/1000</f>
        <v>1.2E-2</v>
      </c>
      <c r="M436" s="261">
        <f>IF(Tabla1[[#This Row],[Avance_km]]&lt;&gt;"",Tabla1[[#This Row],[Avance_km]],Tabla1[[#This Row],[Avance_Med]])*_xlfn.XLOOKUP(Tabla1[[#This Row],[Codigo_actividad]],Catalogo!$B$6:$B$51,Catalogo!$F$6:$F$51,0)</f>
        <v>33.8613</v>
      </c>
      <c r="P436" s="389">
        <v>9461</v>
      </c>
      <c r="Q436" s="389">
        <v>11253</v>
      </c>
    </row>
    <row r="437" spans="1:18" x14ac:dyDescent="0.25">
      <c r="A437" s="354">
        <v>46170</v>
      </c>
      <c r="B437" s="114" t="s">
        <v>12</v>
      </c>
      <c r="C437" s="155" t="s">
        <v>329</v>
      </c>
      <c r="D437" s="39" t="s">
        <v>251</v>
      </c>
      <c r="E437" s="40" t="s">
        <v>16</v>
      </c>
      <c r="F437" s="28">
        <v>0</v>
      </c>
      <c r="G437" s="28">
        <v>314</v>
      </c>
      <c r="H437" s="224">
        <f>IF(Tabla1[[#This Row],[Codigo_actividad]]&lt;&gt;2.5,IF(((Tabla1[[#This Row],[fin]]-Tabla1[[#This Row],[inicio]])/1000)=0,"",((Tabla1[[#This Row],[fin]]-Tabla1[[#This Row],[inicio]])/1000)),"")</f>
        <v>0.314</v>
      </c>
      <c r="I437" s="66"/>
      <c r="J437" s="76">
        <v>2.6</v>
      </c>
      <c r="K437" s="66" t="str">
        <f>IF(_xlfn.XLOOKUP($J437,Catalogo!$B$7:$B$210,Catalogo!$I$7:$I$210,"",0)=0,"",_xlfn.XLOOKUP($J437,Catalogo!$B$7:$B$210,Catalogo!$I$7:$I$210,"",0))</f>
        <v>Localizacion</v>
      </c>
      <c r="L437" s="36">
        <f>+_xlfn.XLOOKUP(Tabla1[[#This Row],[Ducto]],nombres!D:D,nombres!E:E)/1000</f>
        <v>0.314</v>
      </c>
      <c r="M437" s="261">
        <f>IF(Tabla1[[#This Row],[Avance_km]]&lt;&gt;"",Tabla1[[#This Row],[Avance_km]],Tabla1[[#This Row],[Avance_Med]])*_xlfn.XLOOKUP(Tabla1[[#This Row],[Codigo_actividad]],Catalogo!$B$6:$B$51,Catalogo!$F$6:$F$51,0)</f>
        <v>708.82988</v>
      </c>
      <c r="P437" s="389">
        <v>11253</v>
      </c>
      <c r="Q437" s="389">
        <v>13245</v>
      </c>
    </row>
    <row r="438" spans="1:18" x14ac:dyDescent="0.25">
      <c r="A438" s="354">
        <v>46171</v>
      </c>
      <c r="B438" s="114" t="s">
        <v>12</v>
      </c>
      <c r="C438" s="155" t="s">
        <v>329</v>
      </c>
      <c r="D438" s="39" t="s">
        <v>252</v>
      </c>
      <c r="E438" s="40" t="s">
        <v>16</v>
      </c>
      <c r="F438" s="28">
        <v>0</v>
      </c>
      <c r="G438" s="28">
        <v>13</v>
      </c>
      <c r="H438" s="224">
        <f>IF(Tabla1[[#This Row],[Codigo_actividad]]&lt;&gt;2.5,IF(((Tabla1[[#This Row],[fin]]-Tabla1[[#This Row],[inicio]])/1000)=0,"",((Tabla1[[#This Row],[fin]]-Tabla1[[#This Row],[inicio]])/1000)),"")</f>
        <v>1.2999999999999999E-2</v>
      </c>
      <c r="I438" s="66"/>
      <c r="J438" s="76">
        <v>2.6</v>
      </c>
      <c r="K438" s="66" t="str">
        <f>IF(_xlfn.XLOOKUP($J438,Catalogo!$B$7:$B$210,Catalogo!$I$7:$I$210,"",0)=0,"",_xlfn.XLOOKUP($J438,Catalogo!$B$7:$B$210,Catalogo!$I$7:$I$210,"",0))</f>
        <v>Localizacion</v>
      </c>
      <c r="L438" s="36">
        <f>+_xlfn.XLOOKUP(Tabla1[[#This Row],[Ducto]],nombres!D:D,nombres!E:E)/1000</f>
        <v>1.2500000000000001E-2</v>
      </c>
      <c r="M438" s="261">
        <f>IF(Tabla1[[#This Row],[Avance_km]]&lt;&gt;"",Tabla1[[#This Row],[Avance_km]],Tabla1[[#This Row],[Avance_Med]])*_xlfn.XLOOKUP(Tabla1[[#This Row],[Codigo_actividad]],Catalogo!$B$6:$B$51,Catalogo!$F$6:$F$51,0)</f>
        <v>29.34646</v>
      </c>
      <c r="P438" s="389">
        <v>13245</v>
      </c>
      <c r="Q438" s="389">
        <v>15238</v>
      </c>
    </row>
    <row r="439" spans="1:18" x14ac:dyDescent="0.25">
      <c r="A439" s="354">
        <v>46171</v>
      </c>
      <c r="B439" s="114" t="s">
        <v>12</v>
      </c>
      <c r="C439" s="155" t="s">
        <v>329</v>
      </c>
      <c r="D439" s="39" t="s">
        <v>353</v>
      </c>
      <c r="E439" s="40" t="s">
        <v>16</v>
      </c>
      <c r="F439" s="28">
        <v>0</v>
      </c>
      <c r="G439" s="28">
        <v>18</v>
      </c>
      <c r="H439" s="224">
        <f>IF(Tabla1[[#This Row],[Codigo_actividad]]&lt;&gt;2.5,IF(((Tabla1[[#This Row],[fin]]-Tabla1[[#This Row],[inicio]])/1000)=0,"",((Tabla1[[#This Row],[fin]]-Tabla1[[#This Row],[inicio]])/1000)),"")</f>
        <v>1.7999999999999999E-2</v>
      </c>
      <c r="I439" s="66"/>
      <c r="J439" s="76">
        <v>2.6</v>
      </c>
      <c r="K439" s="66" t="str">
        <f>IF(_xlfn.XLOOKUP($J439,Catalogo!$B$7:$B$210,Catalogo!$I$7:$I$210,"",0)=0,"",_xlfn.XLOOKUP($J439,Catalogo!$B$7:$B$210,Catalogo!$I$7:$I$210,"",0))</f>
        <v>Localizacion</v>
      </c>
      <c r="L439" s="36">
        <f>+_xlfn.XLOOKUP(Tabla1[[#This Row],[Ducto]],nombres!D:D,nombres!E:E)/1000</f>
        <v>0.01</v>
      </c>
      <c r="M439" s="261">
        <f>IF(Tabla1[[#This Row],[Avance_km]]&lt;&gt;"",Tabla1[[#This Row],[Avance_km]],Tabla1[[#This Row],[Avance_Med]])*_xlfn.XLOOKUP(Tabla1[[#This Row],[Codigo_actividad]],Catalogo!$B$6:$B$51,Catalogo!$F$6:$F$51,0)</f>
        <v>40.633559999999996</v>
      </c>
      <c r="P439" s="389">
        <v>15238</v>
      </c>
      <c r="Q439" s="389">
        <v>15605</v>
      </c>
    </row>
    <row r="440" spans="1:18" x14ac:dyDescent="0.25">
      <c r="A440" s="354">
        <v>46171</v>
      </c>
      <c r="B440" s="114" t="s">
        <v>12</v>
      </c>
      <c r="C440" s="155" t="s">
        <v>329</v>
      </c>
      <c r="D440" s="39" t="s">
        <v>247</v>
      </c>
      <c r="E440" s="40" t="s">
        <v>16</v>
      </c>
      <c r="F440" s="28">
        <v>0</v>
      </c>
      <c r="G440" s="28">
        <v>8</v>
      </c>
      <c r="H440" s="224">
        <f>IF(Tabla1[[#This Row],[Codigo_actividad]]&lt;&gt;2.5,IF(((Tabla1[[#This Row],[fin]]-Tabla1[[#This Row],[inicio]])/1000)=0,"",((Tabla1[[#This Row],[fin]]-Tabla1[[#This Row],[inicio]])/1000)),"")</f>
        <v>8.0000000000000002E-3</v>
      </c>
      <c r="I440" s="66"/>
      <c r="J440" s="76">
        <v>2.6</v>
      </c>
      <c r="K440" s="66" t="str">
        <f>IF(_xlfn.XLOOKUP($J440,Catalogo!$B$7:$B$210,Catalogo!$I$7:$I$210,"",0)=0,"",_xlfn.XLOOKUP($J440,Catalogo!$B$7:$B$210,Catalogo!$I$7:$I$210,"",0))</f>
        <v>Localizacion</v>
      </c>
      <c r="L440" s="36">
        <f>+_xlfn.XLOOKUP(Tabla1[[#This Row],[Ducto]],nombres!D:D,nombres!E:E)/1000</f>
        <v>7.0000000000000001E-3</v>
      </c>
      <c r="M440" s="261">
        <f>IF(Tabla1[[#This Row],[Avance_km]]&lt;&gt;"",Tabla1[[#This Row],[Avance_km]],Tabla1[[#This Row],[Avance_Med]])*_xlfn.XLOOKUP(Tabla1[[#This Row],[Codigo_actividad]],Catalogo!$B$6:$B$51,Catalogo!$F$6:$F$51,0)</f>
        <v>18.059360000000002</v>
      </c>
      <c r="P440" s="389">
        <v>15605</v>
      </c>
      <c r="Q440" s="389">
        <v>16617</v>
      </c>
      <c r="R440" s="352"/>
    </row>
    <row r="441" spans="1:18" x14ac:dyDescent="0.25">
      <c r="A441" s="354">
        <v>46171</v>
      </c>
      <c r="B441" s="114" t="s">
        <v>12</v>
      </c>
      <c r="C441" s="155" t="s">
        <v>329</v>
      </c>
      <c r="D441" s="39" t="s">
        <v>250</v>
      </c>
      <c r="E441" s="40" t="s">
        <v>16</v>
      </c>
      <c r="F441" s="28">
        <v>0</v>
      </c>
      <c r="G441" s="28">
        <v>850</v>
      </c>
      <c r="H441" s="224">
        <f>IF(Tabla1[[#This Row],[Codigo_actividad]]&lt;&gt;2.5,IF(((Tabla1[[#This Row],[fin]]-Tabla1[[#This Row],[inicio]])/1000)=0,"",((Tabla1[[#This Row],[fin]]-Tabla1[[#This Row],[inicio]])/1000)),"")</f>
        <v>0.85</v>
      </c>
      <c r="I441" s="66"/>
      <c r="J441" s="76">
        <v>2.6</v>
      </c>
      <c r="K441" s="66" t="str">
        <f>IF(_xlfn.XLOOKUP($J441,Catalogo!$B$7:$B$210,Catalogo!$I$7:$I$210,"",0)=0,"",_xlfn.XLOOKUP($J441,Catalogo!$B$7:$B$210,Catalogo!$I$7:$I$210,"",0))</f>
        <v>Localizacion</v>
      </c>
      <c r="L441" s="36">
        <f>+_xlfn.XLOOKUP(Tabla1[[#This Row],[Ducto]],nombres!D:D,nombres!E:E)/1000</f>
        <v>0.85</v>
      </c>
      <c r="M441" s="261">
        <f>IF(Tabla1[[#This Row],[Avance_km]]&lt;&gt;"",Tabla1[[#This Row],[Avance_km]],Tabla1[[#This Row],[Avance_Med]])*_xlfn.XLOOKUP(Tabla1[[#This Row],[Codigo_actividad]],Catalogo!$B$6:$B$51,Catalogo!$F$6:$F$51,0)</f>
        <v>1918.807</v>
      </c>
      <c r="P441" s="389">
        <v>16617</v>
      </c>
      <c r="Q441" s="389">
        <v>17605</v>
      </c>
    </row>
    <row r="442" spans="1:18" x14ac:dyDescent="0.25">
      <c r="A442" s="354">
        <v>46172</v>
      </c>
      <c r="B442" s="114" t="s">
        <v>12</v>
      </c>
      <c r="C442" s="155" t="s">
        <v>329</v>
      </c>
      <c r="D442" s="39" t="s">
        <v>244</v>
      </c>
      <c r="E442" s="40" t="s">
        <v>16</v>
      </c>
      <c r="F442" s="28">
        <v>0</v>
      </c>
      <c r="G442" s="28">
        <v>463</v>
      </c>
      <c r="H442" s="224">
        <f>IF(Tabla1[[#This Row],[Codigo_actividad]]&lt;&gt;2.5,IF(((Tabla1[[#This Row],[fin]]-Tabla1[[#This Row],[inicio]])/1000)=0,"",((Tabla1[[#This Row],[fin]]-Tabla1[[#This Row],[inicio]])/1000)),"")</f>
        <v>0.46300000000000002</v>
      </c>
      <c r="I442" s="66"/>
      <c r="J442" s="76">
        <v>2.6</v>
      </c>
      <c r="K442" s="66" t="str">
        <f>IF(_xlfn.XLOOKUP($J442,Catalogo!$B$7:$B$210,Catalogo!$I$7:$I$210,"",0)=0,"",_xlfn.XLOOKUP($J442,Catalogo!$B$7:$B$210,Catalogo!$I$7:$I$210,"",0))</f>
        <v>Localizacion</v>
      </c>
      <c r="L442" s="36">
        <f>+_xlfn.XLOOKUP(Tabla1[[#This Row],[Ducto]],nombres!D:D,nombres!E:E)/1000</f>
        <v>0.46899999999999997</v>
      </c>
      <c r="M442" s="261">
        <f>IF(Tabla1[[#This Row],[Avance_km]]&lt;&gt;"",Tabla1[[#This Row],[Avance_km]],Tabla1[[#This Row],[Avance_Med]])*_xlfn.XLOOKUP(Tabla1[[#This Row],[Codigo_actividad]],Catalogo!$B$6:$B$51,Catalogo!$F$6:$F$51,0)</f>
        <v>1045.1854600000001</v>
      </c>
      <c r="P442" s="389">
        <v>17605</v>
      </c>
      <c r="Q442" s="389">
        <v>17932</v>
      </c>
    </row>
    <row r="443" spans="1:18" x14ac:dyDescent="0.25">
      <c r="A443" s="354"/>
      <c r="C443" s="155"/>
      <c r="D443" s="39"/>
      <c r="F443" s="28"/>
      <c r="G443" s="28"/>
      <c r="H443" s="224" t="str">
        <f>IF(Tabla1[[#This Row],[Codigo_actividad]]&lt;&gt;2.5,IF(((Tabla1[[#This Row],[fin]]-Tabla1[[#This Row],[inicio]])/1000)=0,"",((Tabla1[[#This Row],[fin]]-Tabla1[[#This Row],[inicio]])/1000)),"")</f>
        <v/>
      </c>
      <c r="J443" s="76"/>
      <c r="K443" s="66" t="str">
        <f>IF(_xlfn.XLOOKUP($J443,Catalogo!$B$7:$B$21,Catalogo!$I$7:$I$21,"",0)=0,"",_xlfn.XLOOKUP($J443,Catalogo!$B$7:$B$21,Catalogo!$I$7:$I$21,"",0))</f>
        <v/>
      </c>
      <c r="L443" s="36"/>
      <c r="M443" s="261">
        <f>IF(Tabla1[[#This Row],[Avance_km]]&lt;&gt;"",Tabla1[[#This Row],[Avance_km]],Tabla1[[#This Row],[Avance_Med]])*_xlfn.XLOOKUP(Tabla1[[#This Row],[Codigo_actividad]],Catalogo!$B$6:$B$51,Catalogo!$F$6:$F$51,0)</f>
        <v>0</v>
      </c>
      <c r="P443" s="389">
        <v>17932</v>
      </c>
      <c r="Q443" s="389">
        <v>18406</v>
      </c>
    </row>
    <row r="444" spans="1:18" x14ac:dyDescent="0.25">
      <c r="A444" s="354">
        <v>46174</v>
      </c>
      <c r="B444" s="114" t="s">
        <v>12</v>
      </c>
      <c r="C444" s="155" t="s">
        <v>329</v>
      </c>
      <c r="D444" s="39" t="s">
        <v>212</v>
      </c>
      <c r="E444" s="40" t="s">
        <v>28</v>
      </c>
      <c r="F444" s="28">
        <v>11253</v>
      </c>
      <c r="G444" s="28">
        <v>13245</v>
      </c>
      <c r="H444" s="224">
        <f>IF(Tabla1[[#This Row],[Codigo_actividad]]&lt;&gt;2.5,IF(((Tabla1[[#This Row],[fin]]-Tabla1[[#This Row],[inicio]])/1000)=0,"",((Tabla1[[#This Row],[fin]]-Tabla1[[#This Row],[inicio]])/1000)),"")</f>
        <v>1.992</v>
      </c>
      <c r="I444" s="66"/>
      <c r="J444" s="76">
        <v>2.1</v>
      </c>
      <c r="K444" s="66" t="str">
        <f>IF(_xlfn.XLOOKUP($J444,Catalogo!$B$7:$B$210,Catalogo!$I$7:$I$210,"",0)=0,"",_xlfn.XLOOKUP($J444,Catalogo!$B$7:$B$210,Catalogo!$I$7:$I$210,"",0))</f>
        <v>CIPS</v>
      </c>
      <c r="L444" s="36">
        <f>+_xlfn.XLOOKUP(Tabla1[[#This Row],[Ducto]],'R (s03)'!B:B,'R (s03)'!C:C)</f>
        <v>24.358000000000001</v>
      </c>
      <c r="M444" s="261">
        <f>IF(Tabla1[[#This Row],[Avance_km]]&lt;&gt;"",Tabla1[[#This Row],[Avance_km]],Tabla1[[#This Row],[Avance_Med]])*_xlfn.XLOOKUP(Tabla1[[#This Row],[Codigo_actividad]],Catalogo!$B$6:$B$51,Catalogo!$F$6:$F$51,0)</f>
        <v>28926.648720000001</v>
      </c>
      <c r="P444" s="389">
        <v>18406</v>
      </c>
      <c r="Q444" s="389">
        <v>18873</v>
      </c>
      <c r="R444" s="352"/>
    </row>
    <row r="445" spans="1:18" x14ac:dyDescent="0.25">
      <c r="A445" s="354">
        <v>46175</v>
      </c>
      <c r="B445" s="114" t="s">
        <v>12</v>
      </c>
      <c r="C445" s="155" t="s">
        <v>329</v>
      </c>
      <c r="D445" s="39" t="s">
        <v>212</v>
      </c>
      <c r="E445" s="40" t="s">
        <v>28</v>
      </c>
      <c r="F445" s="28">
        <v>13245</v>
      </c>
      <c r="G445" s="28">
        <v>15238</v>
      </c>
      <c r="H445" s="224">
        <f>IF(Tabla1[[#This Row],[Codigo_actividad]]&lt;&gt;2.5,IF(((Tabla1[[#This Row],[fin]]-Tabla1[[#This Row],[inicio]])/1000)=0,"",((Tabla1[[#This Row],[fin]]-Tabla1[[#This Row],[inicio]])/1000)),"")</f>
        <v>1.9930000000000001</v>
      </c>
      <c r="I445" s="66"/>
      <c r="J445" s="76">
        <v>2.1</v>
      </c>
      <c r="K445" s="66" t="str">
        <f>IF(_xlfn.XLOOKUP($J445,Catalogo!$B$7:$B$210,Catalogo!$I$7:$I$210,"",0)=0,"",_xlfn.XLOOKUP($J445,Catalogo!$B$7:$B$210,Catalogo!$I$7:$I$210,"",0))</f>
        <v>CIPS</v>
      </c>
      <c r="L445" s="36">
        <f>+_xlfn.XLOOKUP(Tabla1[[#This Row],[Ducto]],'R (s03)'!B:B,'R (s03)'!C:C)</f>
        <v>24.358000000000001</v>
      </c>
      <c r="M445" s="261">
        <f>IF(Tabla1[[#This Row],[Avance_km]]&lt;&gt;"",Tabla1[[#This Row],[Avance_km]],Tabla1[[#This Row],[Avance_Med]])*_xlfn.XLOOKUP(Tabla1[[#This Row],[Codigo_actividad]],Catalogo!$B$6:$B$51,Catalogo!$F$6:$F$51,0)</f>
        <v>28941.170130000002</v>
      </c>
      <c r="P445" s="389">
        <v>18873</v>
      </c>
      <c r="Q445" s="389">
        <v>19571</v>
      </c>
      <c r="R445" s="352"/>
    </row>
    <row r="446" spans="1:18" x14ac:dyDescent="0.25">
      <c r="A446" s="354">
        <v>46176</v>
      </c>
      <c r="B446" s="114" t="s">
        <v>12</v>
      </c>
      <c r="C446" s="155" t="s">
        <v>329</v>
      </c>
      <c r="D446" s="39" t="s">
        <v>212</v>
      </c>
      <c r="E446" s="40" t="s">
        <v>28</v>
      </c>
      <c r="F446" s="28">
        <v>15238</v>
      </c>
      <c r="G446" s="28">
        <v>15605</v>
      </c>
      <c r="H446" s="224">
        <f>IF(Tabla1[[#This Row],[Codigo_actividad]]&lt;&gt;2.5,IF(((Tabla1[[#This Row],[fin]]-Tabla1[[#This Row],[inicio]])/1000)=0,"",((Tabla1[[#This Row],[fin]]-Tabla1[[#This Row],[inicio]])/1000)),"")</f>
        <v>0.36699999999999999</v>
      </c>
      <c r="I446" s="66"/>
      <c r="J446" s="76">
        <v>2.1</v>
      </c>
      <c r="K446" s="66" t="str">
        <f>IF(_xlfn.XLOOKUP($J446,Catalogo!$B$7:$B$210,Catalogo!$I$7:$I$210,"",0)=0,"",_xlfn.XLOOKUP($J446,Catalogo!$B$7:$B$210,Catalogo!$I$7:$I$210,"",0))</f>
        <v>CIPS</v>
      </c>
      <c r="L446" s="36">
        <f>+_xlfn.XLOOKUP(Tabla1[[#This Row],[Ducto]],'R (s03)'!B:B,'R (s03)'!C:C)</f>
        <v>24.358000000000001</v>
      </c>
      <c r="M446" s="261">
        <f>IF(Tabla1[[#This Row],[Avance_km]]&lt;&gt;"",Tabla1[[#This Row],[Avance_km]],Tabla1[[#This Row],[Avance_Med]])*_xlfn.XLOOKUP(Tabla1[[#This Row],[Codigo_actividad]],Catalogo!$B$6:$B$51,Catalogo!$F$6:$F$51,0)</f>
        <v>5329.3574699999999</v>
      </c>
      <c r="P446" s="389">
        <v>19571</v>
      </c>
      <c r="Q446" s="389">
        <v>19731</v>
      </c>
    </row>
    <row r="447" spans="1:18" x14ac:dyDescent="0.25">
      <c r="A447" s="354">
        <v>46176</v>
      </c>
      <c r="B447" s="114" t="s">
        <v>12</v>
      </c>
      <c r="C447" s="155" t="s">
        <v>329</v>
      </c>
      <c r="D447" s="39" t="s">
        <v>212</v>
      </c>
      <c r="E447" s="40" t="s">
        <v>28</v>
      </c>
      <c r="F447" s="28">
        <v>17605</v>
      </c>
      <c r="G447" s="28">
        <v>17932</v>
      </c>
      <c r="H447" s="224">
        <f>IF(Tabla1[[#This Row],[Codigo_actividad]]&lt;&gt;2.5,IF(((Tabla1[[#This Row],[fin]]-Tabla1[[#This Row],[inicio]])/1000)=0,"",((Tabla1[[#This Row],[fin]]-Tabla1[[#This Row],[inicio]])/1000)),"")</f>
        <v>0.32700000000000001</v>
      </c>
      <c r="I447" s="66"/>
      <c r="J447" s="76">
        <v>2.1</v>
      </c>
      <c r="K447" s="66" t="str">
        <f>IF(_xlfn.XLOOKUP($J447,Catalogo!$B$7:$B$210,Catalogo!$I$7:$I$210,"",0)=0,"",_xlfn.XLOOKUP($J447,Catalogo!$B$7:$B$210,Catalogo!$I$7:$I$210,"",0))</f>
        <v>CIPS</v>
      </c>
      <c r="L447" s="36">
        <f>+_xlfn.XLOOKUP(Tabla1[[#This Row],[Ducto]],'R (s03)'!B:B,'R (s03)'!C:C)</f>
        <v>24.358000000000001</v>
      </c>
      <c r="M447" s="261">
        <f>IF(Tabla1[[#This Row],[Avance_km]]&lt;&gt;"",Tabla1[[#This Row],[Avance_km]],Tabla1[[#This Row],[Avance_Med]])*_xlfn.XLOOKUP(Tabla1[[#This Row],[Codigo_actividad]],Catalogo!$B$6:$B$51,Catalogo!$F$6:$F$51,0)</f>
        <v>4748.5010700000003</v>
      </c>
      <c r="P447" s="389">
        <v>19731</v>
      </c>
      <c r="Q447" s="389">
        <v>20170</v>
      </c>
    </row>
    <row r="448" spans="1:18" x14ac:dyDescent="0.25">
      <c r="A448" s="354">
        <v>46177</v>
      </c>
      <c r="B448" s="114" t="s">
        <v>12</v>
      </c>
      <c r="C448" s="155" t="s">
        <v>329</v>
      </c>
      <c r="D448" s="39" t="s">
        <v>212</v>
      </c>
      <c r="E448" s="40" t="s">
        <v>28</v>
      </c>
      <c r="F448" s="28">
        <v>17932</v>
      </c>
      <c r="G448" s="28">
        <v>18406</v>
      </c>
      <c r="H448" s="224">
        <f>IF(Tabla1[[#This Row],[Codigo_actividad]]&lt;&gt;2.5,IF(((Tabla1[[#This Row],[fin]]-Tabla1[[#This Row],[inicio]])/1000)=0,"",((Tabla1[[#This Row],[fin]]-Tabla1[[#This Row],[inicio]])/1000)),"")</f>
        <v>0.47399999999999998</v>
      </c>
      <c r="I448" s="66"/>
      <c r="J448" s="76">
        <v>2.1</v>
      </c>
      <c r="K448" s="66" t="str">
        <f>IF(_xlfn.XLOOKUP($J448,Catalogo!$B$7:$B$210,Catalogo!$I$7:$I$210,"",0)=0,"",_xlfn.XLOOKUP($J448,Catalogo!$B$7:$B$210,Catalogo!$I$7:$I$210,"",0))</f>
        <v>CIPS</v>
      </c>
      <c r="L448" s="36">
        <f>+_xlfn.XLOOKUP(Tabla1[[#This Row],[Ducto]],'R (s03)'!B:B,'R (s03)'!C:C)</f>
        <v>24.358000000000001</v>
      </c>
      <c r="M448" s="261">
        <f>IF(Tabla1[[#This Row],[Avance_km]]&lt;&gt;"",Tabla1[[#This Row],[Avance_km]],Tabla1[[#This Row],[Avance_Med]])*_xlfn.XLOOKUP(Tabla1[[#This Row],[Codigo_actividad]],Catalogo!$B$6:$B$51,Catalogo!$F$6:$F$51,0)</f>
        <v>6883.1483399999997</v>
      </c>
      <c r="P448" s="389">
        <v>20170</v>
      </c>
      <c r="Q448" s="389">
        <v>20312</v>
      </c>
    </row>
    <row r="449" spans="1:17" x14ac:dyDescent="0.25">
      <c r="A449" s="354">
        <v>46177</v>
      </c>
      <c r="B449" s="114" t="s">
        <v>12</v>
      </c>
      <c r="C449" s="155" t="s">
        <v>329</v>
      </c>
      <c r="D449" s="39" t="s">
        <v>212</v>
      </c>
      <c r="E449" s="40" t="s">
        <v>28</v>
      </c>
      <c r="F449" s="28">
        <v>16617</v>
      </c>
      <c r="G449" s="28">
        <v>17605</v>
      </c>
      <c r="H449" s="224">
        <f>IF(Tabla1[[#This Row],[Codigo_actividad]]&lt;&gt;2.5,IF(((Tabla1[[#This Row],[fin]]-Tabla1[[#This Row],[inicio]])/1000)=0,"",((Tabla1[[#This Row],[fin]]-Tabla1[[#This Row],[inicio]])/1000)),"")</f>
        <v>0.98799999999999999</v>
      </c>
      <c r="I449" s="66"/>
      <c r="J449" s="76">
        <v>2.1</v>
      </c>
      <c r="K449" s="66" t="str">
        <f>IF(_xlfn.XLOOKUP($J449,Catalogo!$B$7:$B$210,Catalogo!$I$7:$I$210,"",0)=0,"",_xlfn.XLOOKUP($J449,Catalogo!$B$7:$B$210,Catalogo!$I$7:$I$210,"",0))</f>
        <v>CIPS</v>
      </c>
      <c r="L449" s="36">
        <f>+_xlfn.XLOOKUP(Tabla1[[#This Row],[Ducto]],'R (s03)'!B:B,'R (s03)'!C:C)</f>
        <v>24.358000000000001</v>
      </c>
      <c r="M449" s="261">
        <f>IF(Tabla1[[#This Row],[Avance_km]]&lt;&gt;"",Tabla1[[#This Row],[Avance_km]],Tabla1[[#This Row],[Avance_Med]])*_xlfn.XLOOKUP(Tabla1[[#This Row],[Codigo_actividad]],Catalogo!$B$6:$B$51,Catalogo!$F$6:$F$51,0)</f>
        <v>14347.15308</v>
      </c>
      <c r="P449" s="389">
        <v>20312</v>
      </c>
      <c r="Q449" s="389">
        <v>21184</v>
      </c>
    </row>
    <row r="450" spans="1:17" x14ac:dyDescent="0.25">
      <c r="A450" s="354">
        <v>46178</v>
      </c>
      <c r="B450" s="114" t="s">
        <v>12</v>
      </c>
      <c r="C450" s="155" t="s">
        <v>329</v>
      </c>
      <c r="D450" s="39" t="s">
        <v>253</v>
      </c>
      <c r="E450" s="40" t="s">
        <v>16</v>
      </c>
      <c r="F450" s="28">
        <v>0</v>
      </c>
      <c r="G450" s="28">
        <v>1324</v>
      </c>
      <c r="H450" s="224">
        <f>IF(Tabla1[[#This Row],[Codigo_actividad]]&lt;&gt;2.5,IF(((Tabla1[[#This Row],[fin]]-Tabla1[[#This Row],[inicio]])/1000)=0,"",((Tabla1[[#This Row],[fin]]-Tabla1[[#This Row],[inicio]])/1000)),"")</f>
        <v>1.3240000000000001</v>
      </c>
      <c r="I450" s="66"/>
      <c r="J450" s="76">
        <v>2.6</v>
      </c>
      <c r="K450" s="66" t="str">
        <f>IF(_xlfn.XLOOKUP($J450,Catalogo!$B$7:$B$210,Catalogo!$I$7:$I$210,"",0)=0,"",_xlfn.XLOOKUP($J450,Catalogo!$B$7:$B$210,Catalogo!$I$7:$I$210,"",0))</f>
        <v>Localizacion</v>
      </c>
      <c r="L450" s="36">
        <f>+_xlfn.XLOOKUP(Tabla1[[#This Row],[Ducto]],nombres!D:D,nombres!E:E)/1000</f>
        <v>1.3240000000000001</v>
      </c>
      <c r="M450" s="261">
        <f>IF(Tabla1[[#This Row],[Avance_km]]&lt;&gt;"",Tabla1[[#This Row],[Avance_km]],Tabla1[[#This Row],[Avance_Med]])*_xlfn.XLOOKUP(Tabla1[[#This Row],[Codigo_actividad]],Catalogo!$B$6:$B$51,Catalogo!$F$6:$F$51,0)</f>
        <v>2988.8240800000003</v>
      </c>
      <c r="P450" s="389">
        <v>21184</v>
      </c>
      <c r="Q450" s="389">
        <v>21466</v>
      </c>
    </row>
    <row r="451" spans="1:17" x14ac:dyDescent="0.25">
      <c r="A451" s="354">
        <v>46178</v>
      </c>
      <c r="B451" s="114" t="s">
        <v>12</v>
      </c>
      <c r="C451" s="155" t="s">
        <v>329</v>
      </c>
      <c r="D451" s="39" t="s">
        <v>346</v>
      </c>
      <c r="E451" s="40" t="s">
        <v>16</v>
      </c>
      <c r="F451" s="28">
        <v>0</v>
      </c>
      <c r="G451" s="28">
        <v>703</v>
      </c>
      <c r="H451" s="224">
        <f>IF(Tabla1[[#This Row],[Codigo_actividad]]&lt;&gt;2.5,IF(((Tabla1[[#This Row],[fin]]-Tabla1[[#This Row],[inicio]])/1000)=0,"",((Tabla1[[#This Row],[fin]]-Tabla1[[#This Row],[inicio]])/1000)),"")</f>
        <v>0.70299999999999996</v>
      </c>
      <c r="I451" s="66"/>
      <c r="J451" s="76">
        <v>2.6</v>
      </c>
      <c r="K451" s="66" t="str">
        <f>IF(_xlfn.XLOOKUP($J451,Catalogo!$B$7:$B$210,Catalogo!$I$7:$I$210,"",0)=0,"",_xlfn.XLOOKUP($J451,Catalogo!$B$7:$B$210,Catalogo!$I$7:$I$210,"",0))</f>
        <v>Localizacion</v>
      </c>
      <c r="L451" s="36">
        <f>+_xlfn.XLOOKUP(Tabla1[[#This Row],[Ducto]],nombres!D:D,nombres!E:E)/1000</f>
        <v>0.70299999999999996</v>
      </c>
      <c r="M451" s="261">
        <f>IF(Tabla1[[#This Row],[Avance_km]]&lt;&gt;"",Tabla1[[#This Row],[Avance_km]],Tabla1[[#This Row],[Avance_Med]])*_xlfn.XLOOKUP(Tabla1[[#This Row],[Codigo_actividad]],Catalogo!$B$6:$B$51,Catalogo!$F$6:$F$51,0)</f>
        <v>1586.9662599999999</v>
      </c>
      <c r="P451" s="389">
        <v>21466</v>
      </c>
      <c r="Q451" s="389">
        <v>22255</v>
      </c>
    </row>
    <row r="452" spans="1:17" x14ac:dyDescent="0.25">
      <c r="A452" s="354">
        <v>46178</v>
      </c>
      <c r="B452" s="114" t="s">
        <v>12</v>
      </c>
      <c r="C452" s="155" t="s">
        <v>329</v>
      </c>
      <c r="D452" s="39" t="s">
        <v>255</v>
      </c>
      <c r="E452" s="40" t="s">
        <v>16</v>
      </c>
      <c r="F452" s="28">
        <v>0</v>
      </c>
      <c r="G452" s="28">
        <v>175</v>
      </c>
      <c r="H452" s="224">
        <f>IF(Tabla1[[#This Row],[Codigo_actividad]]&lt;&gt;2.5,IF(((Tabla1[[#This Row],[fin]]-Tabla1[[#This Row],[inicio]])/1000)=0,"",((Tabla1[[#This Row],[fin]]-Tabla1[[#This Row],[inicio]])/1000)),"")</f>
        <v>0.17499999999999999</v>
      </c>
      <c r="I452" s="66"/>
      <c r="J452" s="76">
        <v>2.6</v>
      </c>
      <c r="K452" s="66" t="str">
        <f>IF(_xlfn.XLOOKUP($J452,Catalogo!$B$7:$B$210,Catalogo!$I$7:$I$210,"",0)=0,"",_xlfn.XLOOKUP($J452,Catalogo!$B$7:$B$210,Catalogo!$I$7:$I$210,"",0))</f>
        <v>Localizacion</v>
      </c>
      <c r="L452" s="36">
        <f>+_xlfn.XLOOKUP(Tabla1[[#This Row],[Ducto]],nombres!D:D,nombres!E:E)/1000</f>
        <v>0.27500000000000002</v>
      </c>
      <c r="M452" s="261">
        <f>IF(Tabla1[[#This Row],[Avance_km]]&lt;&gt;"",Tabla1[[#This Row],[Avance_km]],Tabla1[[#This Row],[Avance_Med]])*_xlfn.XLOOKUP(Tabla1[[#This Row],[Codigo_actividad]],Catalogo!$B$6:$B$51,Catalogo!$F$6:$F$51,0)</f>
        <v>395.04849999999999</v>
      </c>
      <c r="P452" s="389">
        <v>22255</v>
      </c>
      <c r="Q452" s="389">
        <v>22858</v>
      </c>
    </row>
    <row r="453" spans="1:17" x14ac:dyDescent="0.25">
      <c r="A453" s="354">
        <v>46179</v>
      </c>
      <c r="B453" s="114" t="s">
        <v>12</v>
      </c>
      <c r="C453" s="155" t="s">
        <v>329</v>
      </c>
      <c r="D453" s="39" t="s">
        <v>215</v>
      </c>
      <c r="E453" s="40" t="s">
        <v>28</v>
      </c>
      <c r="F453" s="28">
        <v>0</v>
      </c>
      <c r="G453" s="28">
        <v>1880</v>
      </c>
      <c r="H453" s="224">
        <f>IF(Tabla1[[#This Row],[Codigo_actividad]]&lt;&gt;2.5,IF(((Tabla1[[#This Row],[fin]]-Tabla1[[#This Row],[inicio]])/1000)=0,"",((Tabla1[[#This Row],[fin]]-Tabla1[[#This Row],[inicio]])/1000)),"")</f>
        <v>1.88</v>
      </c>
      <c r="I453" s="66"/>
      <c r="J453" s="76">
        <v>2.1</v>
      </c>
      <c r="K453" s="66" t="str">
        <f>IF(_xlfn.XLOOKUP($J453,Catalogo!$B$7:$B$210,Catalogo!$I$7:$I$210,"",0)=0,"",_xlfn.XLOOKUP($J453,Catalogo!$B$7:$B$210,Catalogo!$I$7:$I$210,"",0))</f>
        <v>CIPS</v>
      </c>
      <c r="L453" s="36">
        <f>+_xlfn.XLOOKUP(Tabla1[[#This Row],[Ducto]],'R (s03)'!B:B,'R (s03)'!C:C)</f>
        <v>1.92</v>
      </c>
      <c r="M453" s="261">
        <f>IF(Tabla1[[#This Row],[Avance_km]]&lt;&gt;"",Tabla1[[#This Row],[Avance_km]],Tabla1[[#This Row],[Avance_Med]])*_xlfn.XLOOKUP(Tabla1[[#This Row],[Codigo_actividad]],Catalogo!$B$6:$B$51,Catalogo!$F$6:$F$51,0)</f>
        <v>27300.250799999998</v>
      </c>
      <c r="P453" s="389">
        <v>22858</v>
      </c>
      <c r="Q453" s="389">
        <v>24240</v>
      </c>
    </row>
    <row r="454" spans="1:17" x14ac:dyDescent="0.25">
      <c r="A454" s="354"/>
      <c r="C454" s="155"/>
      <c r="D454" s="39"/>
      <c r="F454" s="28"/>
      <c r="G454" s="28"/>
      <c r="H454" s="224" t="str">
        <f>IF(Tabla1[[#This Row],[Codigo_actividad]]&lt;&gt;2.5,IF(((Tabla1[[#This Row],[fin]]-Tabla1[[#This Row],[inicio]])/1000)=0,"",((Tabla1[[#This Row],[fin]]-Tabla1[[#This Row],[inicio]])/1000)),"")</f>
        <v/>
      </c>
      <c r="J454" s="76"/>
      <c r="K454" s="66" t="str">
        <f>IF(_xlfn.XLOOKUP($J454,Catalogo!$B$7:$B$21,Catalogo!$I$7:$I$21,"",0)=0,"",_xlfn.XLOOKUP($J454,Catalogo!$B$7:$B$21,Catalogo!$I$7:$I$21,"",0))</f>
        <v/>
      </c>
      <c r="L454" s="36"/>
      <c r="M454" s="261">
        <f>IF(Tabla1[[#This Row],[Avance_km]]&lt;&gt;"",Tabla1[[#This Row],[Avance_km]],Tabla1[[#This Row],[Avance_Med]])*_xlfn.XLOOKUP(Tabla1[[#This Row],[Codigo_actividad]],Catalogo!$B$6:$B$51,Catalogo!$F$6:$F$51,0)</f>
        <v>0</v>
      </c>
      <c r="P454" s="389">
        <v>24240</v>
      </c>
      <c r="Q454" s="389">
        <v>24842</v>
      </c>
    </row>
    <row r="455" spans="1:17" x14ac:dyDescent="0.25">
      <c r="A455" s="354">
        <v>46181</v>
      </c>
      <c r="B455" s="114" t="s">
        <v>12</v>
      </c>
      <c r="C455" s="155" t="s">
        <v>329</v>
      </c>
      <c r="D455" s="39" t="s">
        <v>212</v>
      </c>
      <c r="E455" s="40" t="s">
        <v>28</v>
      </c>
      <c r="F455" s="28">
        <v>22858</v>
      </c>
      <c r="G455" s="28">
        <v>24240</v>
      </c>
      <c r="H455" s="224">
        <f>IF(Tabla1[[#This Row],[Codigo_actividad]]&lt;&gt;2.5,IF(((Tabla1[[#This Row],[fin]]-Tabla1[[#This Row],[inicio]])/1000)=0,"",((Tabla1[[#This Row],[fin]]-Tabla1[[#This Row],[inicio]])/1000)),"")</f>
        <v>1.3819999999999999</v>
      </c>
      <c r="I455" s="66"/>
      <c r="J455" s="76">
        <v>2.1</v>
      </c>
      <c r="K455" s="66" t="str">
        <f>IF(_xlfn.XLOOKUP($J455,Catalogo!$B$7:$B$210,Catalogo!$I$7:$I$210,"",0)=0,"",_xlfn.XLOOKUP($J455,Catalogo!$B$7:$B$210,Catalogo!$I$7:$I$210,"",0))</f>
        <v>CIPS</v>
      </c>
      <c r="L455" s="36">
        <f>+_xlfn.XLOOKUP(Tabla1[[#This Row],[Ducto]],'R (s03)'!B:B,'R (s03)'!C:C)</f>
        <v>24.358000000000001</v>
      </c>
      <c r="M455" s="261">
        <f>IF(Tabla1[[#This Row],[Avance_km]]&lt;&gt;"",Tabla1[[#This Row],[Avance_km]],Tabla1[[#This Row],[Avance_Med]])*_xlfn.XLOOKUP(Tabla1[[#This Row],[Codigo_actividad]],Catalogo!$B$6:$B$51,Catalogo!$F$6:$F$51,0)</f>
        <v>20068.588619999999</v>
      </c>
    </row>
    <row r="456" spans="1:17" x14ac:dyDescent="0.25">
      <c r="A456" s="354">
        <v>46182</v>
      </c>
      <c r="B456" s="114" t="s">
        <v>12</v>
      </c>
      <c r="C456" s="155" t="s">
        <v>329</v>
      </c>
      <c r="D456" s="39" t="s">
        <v>212</v>
      </c>
      <c r="E456" s="40" t="s">
        <v>28</v>
      </c>
      <c r="F456" s="28">
        <v>21466</v>
      </c>
      <c r="G456" s="28">
        <v>22255</v>
      </c>
      <c r="H456" s="224">
        <f>IF(Tabla1[[#This Row],[Codigo_actividad]]&lt;&gt;2.5,IF(((Tabla1[[#This Row],[fin]]-Tabla1[[#This Row],[inicio]])/1000)=0,"",((Tabla1[[#This Row],[fin]]-Tabla1[[#This Row],[inicio]])/1000)),"")</f>
        <v>0.78900000000000003</v>
      </c>
      <c r="I456" s="66"/>
      <c r="J456" s="76">
        <v>2.1</v>
      </c>
      <c r="K456" s="66" t="str">
        <f>IF(_xlfn.XLOOKUP($J456,Catalogo!$B$7:$B$210,Catalogo!$I$7:$I$210,"",0)=0,"",_xlfn.XLOOKUP($J456,Catalogo!$B$7:$B$210,Catalogo!$I$7:$I$210,"",0))</f>
        <v>CIPS</v>
      </c>
      <c r="L456" s="36">
        <f>+_xlfn.XLOOKUP(Tabla1[[#This Row],[Ducto]],'R (s03)'!B:B,'R (s03)'!C:C)</f>
        <v>24.358000000000001</v>
      </c>
      <c r="M456" s="261">
        <f>IF(Tabla1[[#This Row],[Avance_km]]&lt;&gt;"",Tabla1[[#This Row],[Avance_km]],Tabla1[[#This Row],[Avance_Med]])*_xlfn.XLOOKUP(Tabla1[[#This Row],[Codigo_actividad]],Catalogo!$B$6:$B$51,Catalogo!$F$6:$F$51,0)</f>
        <v>11457.39249</v>
      </c>
    </row>
    <row r="457" spans="1:17" x14ac:dyDescent="0.25">
      <c r="A457" s="354">
        <v>46182</v>
      </c>
      <c r="B457" s="114" t="s">
        <v>12</v>
      </c>
      <c r="C457" s="155" t="s">
        <v>329</v>
      </c>
      <c r="D457" s="39" t="s">
        <v>212</v>
      </c>
      <c r="E457" s="40" t="s">
        <v>28</v>
      </c>
      <c r="F457" s="28">
        <v>24240</v>
      </c>
      <c r="G457" s="28">
        <v>24842</v>
      </c>
      <c r="H457" s="224">
        <f>IF(Tabla1[[#This Row],[Codigo_actividad]]&lt;&gt;2.5,IF(((Tabla1[[#This Row],[fin]]-Tabla1[[#This Row],[inicio]])/1000)=0,"",((Tabla1[[#This Row],[fin]]-Tabla1[[#This Row],[inicio]])/1000)),"")</f>
        <v>0.60199999999999998</v>
      </c>
      <c r="I457" s="66"/>
      <c r="J457" s="76">
        <v>2.1</v>
      </c>
      <c r="K457" s="66" t="str">
        <f>IF(_xlfn.XLOOKUP($J457,Catalogo!$B$7:$B$210,Catalogo!$I$7:$I$210,"",0)=0,"",_xlfn.XLOOKUP($J457,Catalogo!$B$7:$B$210,Catalogo!$I$7:$I$210,"",0))</f>
        <v>CIPS</v>
      </c>
      <c r="L457" s="36">
        <f>+_xlfn.XLOOKUP(Tabla1[[#This Row],[Ducto]],'R (s03)'!B:B,'R (s03)'!C:C)</f>
        <v>24.358000000000001</v>
      </c>
      <c r="M457" s="261">
        <f>IF(Tabla1[[#This Row],[Avance_km]]&lt;&gt;"",Tabla1[[#This Row],[Avance_km]],Tabla1[[#This Row],[Avance_Med]])*_xlfn.XLOOKUP(Tabla1[[#This Row],[Codigo_actividad]],Catalogo!$B$6:$B$51,Catalogo!$F$6:$F$51,0)</f>
        <v>8741.8888200000001</v>
      </c>
    </row>
    <row r="458" spans="1:17" x14ac:dyDescent="0.25">
      <c r="A458" s="354">
        <v>46183</v>
      </c>
      <c r="B458" s="114" t="s">
        <v>12</v>
      </c>
      <c r="C458" s="155" t="s">
        <v>329</v>
      </c>
      <c r="D458" s="39" t="s">
        <v>212</v>
      </c>
      <c r="E458" s="40" t="s">
        <v>28</v>
      </c>
      <c r="F458" s="28">
        <v>22255</v>
      </c>
      <c r="G458" s="28">
        <v>22858</v>
      </c>
      <c r="H458" s="224">
        <f>IF(Tabla1[[#This Row],[Codigo_actividad]]&lt;&gt;2.5,IF(((Tabla1[[#This Row],[fin]]-Tabla1[[#This Row],[inicio]])/1000)=0,"",((Tabla1[[#This Row],[fin]]-Tabla1[[#This Row],[inicio]])/1000)),"")</f>
        <v>0.60299999999999998</v>
      </c>
      <c r="I458" s="66"/>
      <c r="J458" s="76">
        <v>2.1</v>
      </c>
      <c r="K458" s="66" t="str">
        <f>IF(_xlfn.XLOOKUP($J458,Catalogo!$B$7:$B$210,Catalogo!$I$7:$I$210,"",0)=0,"",_xlfn.XLOOKUP($J458,Catalogo!$B$7:$B$210,Catalogo!$I$7:$I$210,"",0))</f>
        <v>CIPS</v>
      </c>
      <c r="L458" s="36">
        <f>+_xlfn.XLOOKUP(Tabla1[[#This Row],[Ducto]],'R (s03)'!B:B,'R (s03)'!C:C)</f>
        <v>24.358000000000001</v>
      </c>
      <c r="M458" s="261">
        <f>IF(Tabla1[[#This Row],[Avance_km]]&lt;&gt;"",Tabla1[[#This Row],[Avance_km]],Tabla1[[#This Row],[Avance_Med]])*_xlfn.XLOOKUP(Tabla1[[#This Row],[Codigo_actividad]],Catalogo!$B$6:$B$51,Catalogo!$F$6:$F$51,0)</f>
        <v>8756.4102299999995</v>
      </c>
    </row>
    <row r="459" spans="1:17" x14ac:dyDescent="0.25">
      <c r="A459" s="354">
        <v>46183</v>
      </c>
      <c r="B459" s="114" t="s">
        <v>12</v>
      </c>
      <c r="C459" s="155" t="s">
        <v>329</v>
      </c>
      <c r="D459" s="39" t="s">
        <v>212</v>
      </c>
      <c r="E459" s="40" t="s">
        <v>28</v>
      </c>
      <c r="F459" s="28">
        <v>21184</v>
      </c>
      <c r="G459" s="28">
        <v>21466</v>
      </c>
      <c r="H459" s="224">
        <f>IF(Tabla1[[#This Row],[Codigo_actividad]]&lt;&gt;2.5,IF(((Tabla1[[#This Row],[fin]]-Tabla1[[#This Row],[inicio]])/1000)=0,"",((Tabla1[[#This Row],[fin]]-Tabla1[[#This Row],[inicio]])/1000)),"")</f>
        <v>0.28199999999999997</v>
      </c>
      <c r="I459" s="66"/>
      <c r="J459" s="76">
        <v>2.1</v>
      </c>
      <c r="K459" s="66" t="str">
        <f>IF(_xlfn.XLOOKUP($J459,Catalogo!$B$7:$B$210,Catalogo!$I$7:$I$210,"",0)=0,"",_xlfn.XLOOKUP($J459,Catalogo!$B$7:$B$210,Catalogo!$I$7:$I$210,"",0))</f>
        <v>CIPS</v>
      </c>
      <c r="L459" s="36">
        <f>+_xlfn.XLOOKUP(Tabla1[[#This Row],[Ducto]],'R (s03)'!B:B,'R (s03)'!C:C)</f>
        <v>24.358000000000001</v>
      </c>
      <c r="M459" s="261">
        <f>IF(Tabla1[[#This Row],[Avance_km]]&lt;&gt;"",Tabla1[[#This Row],[Avance_km]],Tabla1[[#This Row],[Avance_Med]])*_xlfn.XLOOKUP(Tabla1[[#This Row],[Codigo_actividad]],Catalogo!$B$6:$B$51,Catalogo!$F$6:$F$51,0)</f>
        <v>4095.0376199999996</v>
      </c>
    </row>
    <row r="460" spans="1:17" x14ac:dyDescent="0.25">
      <c r="A460" s="354">
        <v>46183</v>
      </c>
      <c r="B460" s="114" t="s">
        <v>12</v>
      </c>
      <c r="C460" s="155" t="s">
        <v>329</v>
      </c>
      <c r="D460" s="39" t="s">
        <v>212</v>
      </c>
      <c r="E460" s="40" t="s">
        <v>28</v>
      </c>
      <c r="F460" s="28">
        <v>20170</v>
      </c>
      <c r="G460" s="28">
        <v>20312</v>
      </c>
      <c r="H460" s="224">
        <f>IF(Tabla1[[#This Row],[Codigo_actividad]]&lt;&gt;2.5,IF(((Tabla1[[#This Row],[fin]]-Tabla1[[#This Row],[inicio]])/1000)=0,"",((Tabla1[[#This Row],[fin]]-Tabla1[[#This Row],[inicio]])/1000)),"")</f>
        <v>0.14199999999999999</v>
      </c>
      <c r="I460" s="66"/>
      <c r="J460" s="76">
        <v>2.1</v>
      </c>
      <c r="K460" s="66" t="str">
        <f>IF(_xlfn.XLOOKUP($J460,Catalogo!$B$7:$B$210,Catalogo!$I$7:$I$210,"",0)=0,"",_xlfn.XLOOKUP($J460,Catalogo!$B$7:$B$210,Catalogo!$I$7:$I$210,"",0))</f>
        <v>CIPS</v>
      </c>
      <c r="L460" s="36">
        <f>+_xlfn.XLOOKUP(Tabla1[[#This Row],[Ducto]],'R (s03)'!B:B,'R (s03)'!C:C)</f>
        <v>24.358000000000001</v>
      </c>
      <c r="M460" s="261">
        <f>IF(Tabla1[[#This Row],[Avance_km]]&lt;&gt;"",Tabla1[[#This Row],[Avance_km]],Tabla1[[#This Row],[Avance_Med]])*_xlfn.XLOOKUP(Tabla1[[#This Row],[Codigo_actividad]],Catalogo!$B$6:$B$51,Catalogo!$F$6:$F$51,0)</f>
        <v>2062.0402199999999</v>
      </c>
    </row>
    <row r="461" spans="1:17" x14ac:dyDescent="0.25">
      <c r="A461" s="354">
        <v>46184</v>
      </c>
      <c r="B461" s="114" t="s">
        <v>12</v>
      </c>
      <c r="C461" s="155" t="s">
        <v>329</v>
      </c>
      <c r="D461" s="39" t="s">
        <v>213</v>
      </c>
      <c r="E461" s="40" t="s">
        <v>28</v>
      </c>
      <c r="F461" s="28">
        <v>0</v>
      </c>
      <c r="G461" s="28">
        <v>25</v>
      </c>
      <c r="H461" s="224">
        <f>IF(Tabla1[[#This Row],[Codigo_actividad]]&lt;&gt;2.5,IF(((Tabla1[[#This Row],[fin]]-Tabla1[[#This Row],[inicio]])/1000)=0,"",((Tabla1[[#This Row],[fin]]-Tabla1[[#This Row],[inicio]])/1000)),"")</f>
        <v>2.5000000000000001E-2</v>
      </c>
      <c r="I461" s="66"/>
      <c r="J461" s="76">
        <v>2.1</v>
      </c>
      <c r="K461" s="66" t="str">
        <f>IF(_xlfn.XLOOKUP($J461,Catalogo!$B$7:$B$210,Catalogo!$I$7:$I$210,"",0)=0,"",_xlfn.XLOOKUP($J461,Catalogo!$B$7:$B$210,Catalogo!$I$7:$I$210,"",0))</f>
        <v>CIPS</v>
      </c>
      <c r="L461" s="36">
        <f>+_xlfn.XLOOKUP(Tabla1[[#This Row],[Ducto]],'R (s03)'!B:B,'R (s03)'!C:C)</f>
        <v>2.5999999999999999E-2</v>
      </c>
      <c r="M461" s="261">
        <f>IF(Tabla1[[#This Row],[Avance_km]]&lt;&gt;"",Tabla1[[#This Row],[Avance_km]],Tabla1[[#This Row],[Avance_Med]])*_xlfn.XLOOKUP(Tabla1[[#This Row],[Codigo_actividad]],Catalogo!$B$6:$B$51,Catalogo!$F$6:$F$51,0)</f>
        <v>363.03525000000002</v>
      </c>
    </row>
    <row r="462" spans="1:17" x14ac:dyDescent="0.25">
      <c r="A462" s="354">
        <v>46184</v>
      </c>
      <c r="B462" s="114" t="s">
        <v>12</v>
      </c>
      <c r="C462" s="155" t="s">
        <v>411</v>
      </c>
      <c r="D462" s="39" t="s">
        <v>359</v>
      </c>
      <c r="E462" s="40" t="s">
        <v>28</v>
      </c>
      <c r="F462" s="28">
        <v>0</v>
      </c>
      <c r="G462" s="28">
        <v>878</v>
      </c>
      <c r="H462" s="224">
        <f>IF(Tabla1[[#This Row],[Codigo_actividad]]&lt;&gt;2.5,IF(((Tabla1[[#This Row],[fin]]-Tabla1[[#This Row],[inicio]])/1000)=0,"",((Tabla1[[#This Row],[fin]]-Tabla1[[#This Row],[inicio]])/1000)),"")</f>
        <v>0.878</v>
      </c>
      <c r="I462" s="66"/>
      <c r="J462" s="76">
        <v>2.1</v>
      </c>
      <c r="K462" s="66" t="str">
        <f>IF(_xlfn.XLOOKUP($J462,Catalogo!$B$7:$B$210,Catalogo!$I$7:$I$210,"",0)=0,"",_xlfn.XLOOKUP($J462,Catalogo!$B$7:$B$210,Catalogo!$I$7:$I$210,"",0))</f>
        <v>CIPS</v>
      </c>
      <c r="L462" s="36">
        <v>0.878</v>
      </c>
      <c r="M462" s="261">
        <f>IF(Tabla1[[#This Row],[Avance_km]]&lt;&gt;"",Tabla1[[#This Row],[Avance_km]],Tabla1[[#This Row],[Avance_Med]])*_xlfn.XLOOKUP(Tabla1[[#This Row],[Codigo_actividad]],Catalogo!$B$6:$B$51,Catalogo!$F$6:$F$51,0)</f>
        <v>12749.797979999999</v>
      </c>
    </row>
    <row r="463" spans="1:17" x14ac:dyDescent="0.25">
      <c r="A463" s="354">
        <v>46185</v>
      </c>
      <c r="B463" s="114" t="s">
        <v>12</v>
      </c>
      <c r="C463" s="155" t="s">
        <v>329</v>
      </c>
      <c r="D463" s="39" t="s">
        <v>212</v>
      </c>
      <c r="E463" s="40" t="s">
        <v>28</v>
      </c>
      <c r="F463" s="28">
        <v>20312</v>
      </c>
      <c r="G463" s="28">
        <v>21184</v>
      </c>
      <c r="H463" s="224">
        <f>IF(Tabla1[[#This Row],[Codigo_actividad]]&lt;&gt;2.5,IF(((Tabla1[[#This Row],[fin]]-Tabla1[[#This Row],[inicio]])/1000)=0,"",((Tabla1[[#This Row],[fin]]-Tabla1[[#This Row],[inicio]])/1000)),"")</f>
        <v>0.872</v>
      </c>
      <c r="I463" s="66"/>
      <c r="J463" s="76">
        <v>2.1</v>
      </c>
      <c r="K463" s="66" t="str">
        <f>IF(_xlfn.XLOOKUP($J463,Catalogo!$B$7:$B$210,Catalogo!$I$7:$I$210,"",0)=0,"",_xlfn.XLOOKUP($J463,Catalogo!$B$7:$B$210,Catalogo!$I$7:$I$210,"",0))</f>
        <v>CIPS</v>
      </c>
      <c r="L463" s="36">
        <f>+_xlfn.XLOOKUP(Tabla1[[#This Row],[Ducto]],'R (s03)'!B:B,'R (s03)'!C:C)</f>
        <v>24.358000000000001</v>
      </c>
      <c r="M463" s="261">
        <f>IF(Tabla1[[#This Row],[Avance_km]]&lt;&gt;"",Tabla1[[#This Row],[Avance_km]],Tabla1[[#This Row],[Avance_Med]])*_xlfn.XLOOKUP(Tabla1[[#This Row],[Codigo_actividad]],Catalogo!$B$6:$B$51,Catalogo!$F$6:$F$51,0)</f>
        <v>12662.669519999999</v>
      </c>
    </row>
    <row r="464" spans="1:17" x14ac:dyDescent="0.25">
      <c r="A464" s="354"/>
      <c r="C464" s="155"/>
      <c r="D464" s="39"/>
      <c r="F464" s="28"/>
      <c r="G464" s="28"/>
      <c r="H464" s="224" t="str">
        <f>IF(Tabla1[[#This Row],[Codigo_actividad]]&lt;&gt;2.5,IF(((Tabla1[[#This Row],[fin]]-Tabla1[[#This Row],[inicio]])/1000)=0,"",((Tabla1[[#This Row],[fin]]-Tabla1[[#This Row],[inicio]])/1000)),"")</f>
        <v/>
      </c>
      <c r="J464" s="76"/>
      <c r="K464" s="66" t="str">
        <f>IF(_xlfn.XLOOKUP($J464,Catalogo!$B$7:$B$21,Catalogo!$I$7:$I$21,"",0)=0,"",_xlfn.XLOOKUP($J464,Catalogo!$B$7:$B$21,Catalogo!$I$7:$I$21,"",0))</f>
        <v/>
      </c>
      <c r="L464" s="36"/>
      <c r="M464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465" spans="1:13" x14ac:dyDescent="0.25">
      <c r="A465" s="354">
        <v>46188</v>
      </c>
      <c r="B465" s="114" t="s">
        <v>12</v>
      </c>
      <c r="C465" s="155" t="s">
        <v>329</v>
      </c>
      <c r="D465" s="39" t="s">
        <v>212</v>
      </c>
      <c r="E465" s="40" t="s">
        <v>28</v>
      </c>
      <c r="F465" s="28">
        <v>18406</v>
      </c>
      <c r="G465" s="28">
        <v>18873</v>
      </c>
      <c r="H465" s="224">
        <f>IF(Tabla1[[#This Row],[Codigo_actividad]]&lt;&gt;2.5,IF(((Tabla1[[#This Row],[fin]]-Tabla1[[#This Row],[inicio]])/1000)=0,"",((Tabla1[[#This Row],[fin]]-Tabla1[[#This Row],[inicio]])/1000)),"")</f>
        <v>0.46700000000000003</v>
      </c>
      <c r="I465" s="66"/>
      <c r="J465" s="76">
        <v>2.1</v>
      </c>
      <c r="K465" s="66" t="str">
        <f>IF(_xlfn.XLOOKUP($J465,Catalogo!$B$7:$B$210,Catalogo!$I$7:$I$210,"",0)=0,"",_xlfn.XLOOKUP($J465,Catalogo!$B$7:$B$210,Catalogo!$I$7:$I$210,"",0))</f>
        <v>CIPS</v>
      </c>
      <c r="L465" s="36">
        <f>+_xlfn.XLOOKUP(Tabla1[[#This Row],[Ducto]],'R (s03)'!B:B,'R (s03)'!C:C)</f>
        <v>24.358000000000001</v>
      </c>
      <c r="M465" s="261">
        <f>IF(Tabla1[[#This Row],[Avance_km]]&lt;&gt;"",Tabla1[[#This Row],[Avance_km]],Tabla1[[#This Row],[Avance_Med]])*_xlfn.XLOOKUP(Tabla1[[#This Row],[Codigo_actividad]],Catalogo!$B$6:$B$51,Catalogo!$F$6:$F$51,0)</f>
        <v>6781.4984700000005</v>
      </c>
    </row>
    <row r="466" spans="1:13" x14ac:dyDescent="0.25">
      <c r="A466" s="354">
        <v>46189</v>
      </c>
      <c r="B466" s="114" t="s">
        <v>12</v>
      </c>
      <c r="C466" s="155" t="s">
        <v>329</v>
      </c>
      <c r="D466" s="39" t="s">
        <v>212</v>
      </c>
      <c r="E466" s="40" t="s">
        <v>28</v>
      </c>
      <c r="F466" s="28">
        <v>18873</v>
      </c>
      <c r="G466" s="28">
        <v>19571</v>
      </c>
      <c r="H466" s="224">
        <f>IF(Tabla1[[#This Row],[Codigo_actividad]]&lt;&gt;2.5,IF(((Tabla1[[#This Row],[fin]]-Tabla1[[#This Row],[inicio]])/1000)=0,"",((Tabla1[[#This Row],[fin]]-Tabla1[[#This Row],[inicio]])/1000)),"")</f>
        <v>0.69799999999999995</v>
      </c>
      <c r="I466" s="66"/>
      <c r="J466" s="76">
        <v>2.1</v>
      </c>
      <c r="K466" s="66" t="str">
        <f>IF(_xlfn.XLOOKUP($J466,Catalogo!$B$7:$B$210,Catalogo!$I$7:$I$210,"",0)=0,"",_xlfn.XLOOKUP($J466,Catalogo!$B$7:$B$210,Catalogo!$I$7:$I$210,"",0))</f>
        <v>CIPS</v>
      </c>
      <c r="L466" s="36">
        <f>+_xlfn.XLOOKUP(Tabla1[[#This Row],[Ducto]],'R (s03)'!B:B,'R (s03)'!C:C)</f>
        <v>24.358000000000001</v>
      </c>
      <c r="M466" s="261">
        <f>IF(Tabla1[[#This Row],[Avance_km]]&lt;&gt;"",Tabla1[[#This Row],[Avance_km]],Tabla1[[#This Row],[Avance_Med]])*_xlfn.XLOOKUP(Tabla1[[#This Row],[Codigo_actividad]],Catalogo!$B$6:$B$51,Catalogo!$F$6:$F$51,0)</f>
        <v>10135.944179999999</v>
      </c>
    </row>
    <row r="467" spans="1:13" x14ac:dyDescent="0.25">
      <c r="A467" s="354">
        <v>46190</v>
      </c>
      <c r="B467" s="114" t="s">
        <v>12</v>
      </c>
      <c r="C467" s="155" t="s">
        <v>329</v>
      </c>
      <c r="D467" s="39" t="s">
        <v>212</v>
      </c>
      <c r="E467" s="40" t="s">
        <v>28</v>
      </c>
      <c r="F467" s="28">
        <v>19731</v>
      </c>
      <c r="G467" s="28">
        <v>20170</v>
      </c>
      <c r="H467" s="224">
        <f>IF(Tabla1[[#This Row],[Codigo_actividad]]&lt;&gt;2.5,IF(((Tabla1[[#This Row],[fin]]-Tabla1[[#This Row],[inicio]])/1000)=0,"",((Tabla1[[#This Row],[fin]]-Tabla1[[#This Row],[inicio]])/1000)),"")</f>
        <v>0.439</v>
      </c>
      <c r="I467" s="66"/>
      <c r="J467" s="76">
        <v>2.1</v>
      </c>
      <c r="K467" s="66" t="str">
        <f>IF(_xlfn.XLOOKUP($J467,Catalogo!$B$7:$B$210,Catalogo!$I$7:$I$210,"",0)=0,"",_xlfn.XLOOKUP($J467,Catalogo!$B$7:$B$210,Catalogo!$I$7:$I$210,"",0))</f>
        <v>CIPS</v>
      </c>
      <c r="L467" s="36">
        <f>+_xlfn.XLOOKUP(Tabla1[[#This Row],[Ducto]],'R (s03)'!B:B,'R (s03)'!C:C)</f>
        <v>24.358000000000001</v>
      </c>
      <c r="M467" s="261">
        <f>IF(Tabla1[[#This Row],[Avance_km]]&lt;&gt;"",Tabla1[[#This Row],[Avance_km]],Tabla1[[#This Row],[Avance_Med]])*_xlfn.XLOOKUP(Tabla1[[#This Row],[Codigo_actividad]],Catalogo!$B$6:$B$51,Catalogo!$F$6:$F$51,0)</f>
        <v>6374.8989899999997</v>
      </c>
    </row>
    <row r="468" spans="1:13" x14ac:dyDescent="0.25">
      <c r="A468" s="354">
        <v>46191</v>
      </c>
      <c r="B468" s="114" t="s">
        <v>12</v>
      </c>
      <c r="C468" s="155" t="s">
        <v>329</v>
      </c>
      <c r="D468" s="39" t="s">
        <v>212</v>
      </c>
      <c r="E468" s="40" t="s">
        <v>28</v>
      </c>
      <c r="F468" s="28">
        <v>19571</v>
      </c>
      <c r="G468" s="28">
        <v>19731</v>
      </c>
      <c r="H468" s="224">
        <f>IF(Tabla1[[#This Row],[Codigo_actividad]]&lt;&gt;2.5,IF(((Tabla1[[#This Row],[fin]]-Tabla1[[#This Row],[inicio]])/1000)=0,"",((Tabla1[[#This Row],[fin]]-Tabla1[[#This Row],[inicio]])/1000)),"")</f>
        <v>0.16</v>
      </c>
      <c r="I468" s="66"/>
      <c r="J468" s="76">
        <v>2.1</v>
      </c>
      <c r="K468" s="66" t="str">
        <f>IF(_xlfn.XLOOKUP($J468,Catalogo!$B$7:$B$210,Catalogo!$I$7:$I$210,"",0)=0,"",_xlfn.XLOOKUP($J468,Catalogo!$B$7:$B$210,Catalogo!$I$7:$I$210,"",0))</f>
        <v>CIPS</v>
      </c>
      <c r="L468" s="36">
        <f>+_xlfn.XLOOKUP(Tabla1[[#This Row],[Ducto]],'R (s03)'!B:B,'R (s03)'!C:C)</f>
        <v>24.358000000000001</v>
      </c>
      <c r="M468" s="261">
        <f>IF(Tabla1[[#This Row],[Avance_km]]&lt;&gt;"",Tabla1[[#This Row],[Avance_km]],Tabla1[[#This Row],[Avance_Med]])*_xlfn.XLOOKUP(Tabla1[[#This Row],[Codigo_actividad]],Catalogo!$B$6:$B$51,Catalogo!$F$6:$F$51,0)</f>
        <v>2323.4256</v>
      </c>
    </row>
    <row r="469" spans="1:13" x14ac:dyDescent="0.25">
      <c r="A469" s="354">
        <v>46191</v>
      </c>
      <c r="B469" s="114" t="s">
        <v>12</v>
      </c>
      <c r="C469" s="155" t="s">
        <v>329</v>
      </c>
      <c r="D469" s="39" t="s">
        <v>212</v>
      </c>
      <c r="E469" s="40" t="s">
        <v>28</v>
      </c>
      <c r="F469" s="28">
        <v>15605</v>
      </c>
      <c r="G469" s="28">
        <v>16617</v>
      </c>
      <c r="H469" s="224">
        <f>IF(Tabla1[[#This Row],[Codigo_actividad]]&lt;&gt;2.5,IF(((Tabla1[[#This Row],[fin]]-Tabla1[[#This Row],[inicio]])/1000)=0,"",((Tabla1[[#This Row],[fin]]-Tabla1[[#This Row],[inicio]])/1000)),"")</f>
        <v>1.012</v>
      </c>
      <c r="I469" s="66"/>
      <c r="J469" s="76">
        <v>2.1</v>
      </c>
      <c r="K469" s="66" t="str">
        <f>IF(_xlfn.XLOOKUP($J469,Catalogo!$B$7:$B$210,Catalogo!$I$7:$I$210,"",0)=0,"",_xlfn.XLOOKUP($J469,Catalogo!$B$7:$B$210,Catalogo!$I$7:$I$210,"",0))</f>
        <v>CIPS</v>
      </c>
      <c r="L469" s="36">
        <f>+_xlfn.XLOOKUP(Tabla1[[#This Row],[Ducto]],'R (s03)'!B:B,'R (s03)'!C:C)</f>
        <v>24.358000000000001</v>
      </c>
      <c r="M469" s="261">
        <f>IF(Tabla1[[#This Row],[Avance_km]]&lt;&gt;"",Tabla1[[#This Row],[Avance_km]],Tabla1[[#This Row],[Avance_Med]])*_xlfn.XLOOKUP(Tabla1[[#This Row],[Codigo_actividad]],Catalogo!$B$6:$B$51,Catalogo!$F$6:$F$51,0)</f>
        <v>14695.66692</v>
      </c>
    </row>
    <row r="470" spans="1:13" x14ac:dyDescent="0.25">
      <c r="A470" s="354">
        <v>46192</v>
      </c>
      <c r="B470" s="114" t="s">
        <v>12</v>
      </c>
      <c r="C470" s="155" t="s">
        <v>329</v>
      </c>
      <c r="D470" s="39" t="s">
        <v>214</v>
      </c>
      <c r="E470" s="40" t="s">
        <v>16</v>
      </c>
      <c r="F470" s="28">
        <v>0</v>
      </c>
      <c r="G470" s="28">
        <v>13</v>
      </c>
      <c r="H470" s="224">
        <f>IF(Tabla1[[#This Row],[Codigo_actividad]]&lt;&gt;2.5,IF(((Tabla1[[#This Row],[fin]]-Tabla1[[#This Row],[inicio]])/1000)=0,"",((Tabla1[[#This Row],[fin]]-Tabla1[[#This Row],[inicio]])/1000)),"")</f>
        <v>1.2999999999999999E-2</v>
      </c>
      <c r="I470" s="66"/>
      <c r="J470" s="76">
        <v>2.6</v>
      </c>
      <c r="K470" s="66" t="str">
        <f>IF(_xlfn.XLOOKUP($J470,Catalogo!$B$7:$B$210,Catalogo!$I$7:$I$210,"",0)=0,"",_xlfn.XLOOKUP($J470,Catalogo!$B$7:$B$210,Catalogo!$I$7:$I$210,"",0))</f>
        <v>Localizacion</v>
      </c>
      <c r="L470" s="36">
        <v>1.2999999999999999E-2</v>
      </c>
      <c r="M470" s="261">
        <f>IF(Tabla1[[#This Row],[Avance_km]]&lt;&gt;"",Tabla1[[#This Row],[Avance_km]],Tabla1[[#This Row],[Avance_Med]])*_xlfn.XLOOKUP(Tabla1[[#This Row],[Codigo_actividad]],Catalogo!$B$6:$B$51,Catalogo!$F$6:$F$51,0)</f>
        <v>29.34646</v>
      </c>
    </row>
    <row r="471" spans="1:13" x14ac:dyDescent="0.25">
      <c r="A471" s="354">
        <v>46192</v>
      </c>
      <c r="B471" s="114" t="s">
        <v>12</v>
      </c>
      <c r="C471" s="155" t="s">
        <v>329</v>
      </c>
      <c r="D471" s="39" t="s">
        <v>216</v>
      </c>
      <c r="E471" s="40" t="s">
        <v>16</v>
      </c>
      <c r="F471" s="28">
        <v>0</v>
      </c>
      <c r="G471" s="28">
        <v>120</v>
      </c>
      <c r="H471" s="224">
        <f>IF(Tabla1[[#This Row],[Codigo_actividad]]&lt;&gt;2.5,IF(((Tabla1[[#This Row],[fin]]-Tabla1[[#This Row],[inicio]])/1000)=0,"",((Tabla1[[#This Row],[fin]]-Tabla1[[#This Row],[inicio]])/1000)),"")</f>
        <v>0.12</v>
      </c>
      <c r="I471" s="66"/>
      <c r="J471" s="76">
        <v>2.6</v>
      </c>
      <c r="K471" s="66" t="str">
        <f>IF(_xlfn.XLOOKUP($J471,Catalogo!$B$7:$B$210,Catalogo!$I$7:$I$210,"",0)=0,"",_xlfn.XLOOKUP($J471,Catalogo!$B$7:$B$210,Catalogo!$I$7:$I$210,"",0))</f>
        <v>Localizacion</v>
      </c>
      <c r="L471" s="36">
        <f>+_xlfn.XLOOKUP(Tabla1[[#This Row],[Ducto]],nombres!D:D,nombres!E:E)/1000</f>
        <v>0.1195</v>
      </c>
      <c r="M471" s="261">
        <f>IF(Tabla1[[#This Row],[Avance_km]]&lt;&gt;"",Tabla1[[#This Row],[Avance_km]],Tabla1[[#This Row],[Avance_Med]])*_xlfn.XLOOKUP(Tabla1[[#This Row],[Codigo_actividad]],Catalogo!$B$6:$B$51,Catalogo!$F$6:$F$51,0)</f>
        <v>270.8904</v>
      </c>
    </row>
    <row r="472" spans="1:13" x14ac:dyDescent="0.25">
      <c r="A472" s="354">
        <v>46192</v>
      </c>
      <c r="B472" s="114" t="s">
        <v>12</v>
      </c>
      <c r="C472" s="155" t="s">
        <v>329</v>
      </c>
      <c r="D472" s="39" t="s">
        <v>218</v>
      </c>
      <c r="E472" s="40" t="s">
        <v>16</v>
      </c>
      <c r="F472" s="28">
        <v>0</v>
      </c>
      <c r="G472" s="28">
        <v>1436</v>
      </c>
      <c r="H472" s="224">
        <f>IF(Tabla1[[#This Row],[Codigo_actividad]]&lt;&gt;2.5,IF(((Tabla1[[#This Row],[fin]]-Tabla1[[#This Row],[inicio]])/1000)=0,"",((Tabla1[[#This Row],[fin]]-Tabla1[[#This Row],[inicio]])/1000)),"")</f>
        <v>1.4359999999999999</v>
      </c>
      <c r="I472" s="66"/>
      <c r="J472" s="76">
        <v>2.6</v>
      </c>
      <c r="K472" s="66" t="str">
        <f>IF(_xlfn.XLOOKUP($J472,Catalogo!$B$7:$B$210,Catalogo!$I$7:$I$210,"",0)=0,"",_xlfn.XLOOKUP($J472,Catalogo!$B$7:$B$210,Catalogo!$I$7:$I$210,"",0))</f>
        <v>Localizacion</v>
      </c>
      <c r="L472" s="36">
        <f>+_xlfn.XLOOKUP(Tabla1[[#This Row],[Ducto]],nombres!D:D,nombres!E:E)/1000</f>
        <v>1.4359999999999999</v>
      </c>
      <c r="M472" s="261">
        <f>IF(Tabla1[[#This Row],[Avance_km]]&lt;&gt;"",Tabla1[[#This Row],[Avance_km]],Tabla1[[#This Row],[Avance_Med]])*_xlfn.XLOOKUP(Tabla1[[#This Row],[Codigo_actividad]],Catalogo!$B$6:$B$51,Catalogo!$F$6:$F$51,0)</f>
        <v>3241.6551199999999</v>
      </c>
    </row>
    <row r="473" spans="1:13" x14ac:dyDescent="0.25">
      <c r="A473" s="354">
        <v>46192</v>
      </c>
      <c r="B473" s="114" t="s">
        <v>12</v>
      </c>
      <c r="C473" s="155" t="s">
        <v>329</v>
      </c>
      <c r="D473" s="39" t="s">
        <v>214</v>
      </c>
      <c r="E473" s="40" t="s">
        <v>28</v>
      </c>
      <c r="F473" s="28">
        <v>0</v>
      </c>
      <c r="G473" s="28">
        <v>13</v>
      </c>
      <c r="H473" s="224">
        <f>IF(Tabla1[[#This Row],[Codigo_actividad]]&lt;&gt;2.5,IF(((Tabla1[[#This Row],[fin]]-Tabla1[[#This Row],[inicio]])/1000)=0,"",((Tabla1[[#This Row],[fin]]-Tabla1[[#This Row],[inicio]])/1000)),"")</f>
        <v>1.2999999999999999E-2</v>
      </c>
      <c r="I473" s="66"/>
      <c r="J473" s="76">
        <v>2.1</v>
      </c>
      <c r="K473" s="66" t="str">
        <f>IF(_xlfn.XLOOKUP($J473,Catalogo!$B$7:$B$210,Catalogo!$I$7:$I$210,"",0)=0,"",_xlfn.XLOOKUP($J473,Catalogo!$B$7:$B$210,Catalogo!$I$7:$I$210,"",0))</f>
        <v>CIPS</v>
      </c>
      <c r="L473" s="36">
        <v>1.2999999999999999E-2</v>
      </c>
      <c r="M473" s="261">
        <f>IF(Tabla1[[#This Row],[Avance_km]]&lt;&gt;"",Tabla1[[#This Row],[Avance_km]],Tabla1[[#This Row],[Avance_Med]])*_xlfn.XLOOKUP(Tabla1[[#This Row],[Codigo_actividad]],Catalogo!$B$6:$B$51,Catalogo!$F$6:$F$51,0)</f>
        <v>188.77832999999998</v>
      </c>
    </row>
    <row r="474" spans="1:13" x14ac:dyDescent="0.25">
      <c r="A474" s="354">
        <v>46192</v>
      </c>
      <c r="B474" s="114" t="s">
        <v>12</v>
      </c>
      <c r="C474" s="155" t="s">
        <v>329</v>
      </c>
      <c r="D474" s="39" t="s">
        <v>216</v>
      </c>
      <c r="E474" s="40" t="s">
        <v>28</v>
      </c>
      <c r="F474" s="28">
        <v>0</v>
      </c>
      <c r="G474" s="28">
        <v>120</v>
      </c>
      <c r="H474" s="224">
        <f>IF(Tabla1[[#This Row],[Codigo_actividad]]&lt;&gt;2.5,IF(((Tabla1[[#This Row],[fin]]-Tabla1[[#This Row],[inicio]])/1000)=0,"",((Tabla1[[#This Row],[fin]]-Tabla1[[#This Row],[inicio]])/1000)),"")</f>
        <v>0.12</v>
      </c>
      <c r="I474" s="66"/>
      <c r="J474" s="76">
        <v>2.1</v>
      </c>
      <c r="K474" s="66" t="str">
        <f>IF(_xlfn.XLOOKUP($J474,Catalogo!$B$7:$B$210,Catalogo!$I$7:$I$210,"",0)=0,"",_xlfn.XLOOKUP($J474,Catalogo!$B$7:$B$210,Catalogo!$I$7:$I$210,"",0))</f>
        <v>CIPS</v>
      </c>
      <c r="L474" s="36">
        <f>+_xlfn.XLOOKUP(Tabla1[[#This Row],[Ducto]],nombres!D:D,nombres!E:E)/1000</f>
        <v>0.1195</v>
      </c>
      <c r="M474" s="261">
        <f>IF(Tabla1[[#This Row],[Avance_km]]&lt;&gt;"",Tabla1[[#This Row],[Avance_km]],Tabla1[[#This Row],[Avance_Med]])*_xlfn.XLOOKUP(Tabla1[[#This Row],[Codigo_actividad]],Catalogo!$B$6:$B$51,Catalogo!$F$6:$F$51,0)</f>
        <v>1742.5691999999999</v>
      </c>
    </row>
    <row r="475" spans="1:13" x14ac:dyDescent="0.25">
      <c r="A475" s="354">
        <v>46193</v>
      </c>
      <c r="B475" s="114" t="s">
        <v>12</v>
      </c>
      <c r="C475" s="155" t="s">
        <v>329</v>
      </c>
      <c r="D475" s="39" t="s">
        <v>221</v>
      </c>
      <c r="E475" s="40" t="s">
        <v>28</v>
      </c>
      <c r="F475" s="28">
        <v>0</v>
      </c>
      <c r="G475" s="28">
        <v>14</v>
      </c>
      <c r="H475" s="224">
        <f>IF(Tabla1[[#This Row],[Codigo_actividad]]&lt;&gt;2.5,IF(((Tabla1[[#This Row],[fin]]-Tabla1[[#This Row],[inicio]])/1000)=0,"",((Tabla1[[#This Row],[fin]]-Tabla1[[#This Row],[inicio]])/1000)),"")</f>
        <v>1.4E-2</v>
      </c>
      <c r="I475" s="66"/>
      <c r="J475" s="76">
        <v>2.1</v>
      </c>
      <c r="K475" s="66" t="str">
        <f>IF(_xlfn.XLOOKUP($J475,Catalogo!$B$7:$B$210,Catalogo!$I$7:$I$210,"",0)=0,"",_xlfn.XLOOKUP($J475,Catalogo!$B$7:$B$210,Catalogo!$I$7:$I$210,"",0))</f>
        <v>CIPS</v>
      </c>
      <c r="L475" s="36">
        <v>1.4E-2</v>
      </c>
      <c r="M475" s="261">
        <f>IF(Tabla1[[#This Row],[Avance_km]]&lt;&gt;"",Tabla1[[#This Row],[Avance_km]],Tabla1[[#This Row],[Avance_Med]])*_xlfn.XLOOKUP(Tabla1[[#This Row],[Codigo_actividad]],Catalogo!$B$6:$B$51,Catalogo!$F$6:$F$51,0)</f>
        <v>203.29974000000001</v>
      </c>
    </row>
    <row r="476" spans="1:13" x14ac:dyDescent="0.25">
      <c r="A476" s="354">
        <v>46193</v>
      </c>
      <c r="B476" s="114" t="s">
        <v>12</v>
      </c>
      <c r="C476" s="155" t="s">
        <v>329</v>
      </c>
      <c r="D476" s="39" t="s">
        <v>221</v>
      </c>
      <c r="E476" s="40" t="s">
        <v>16</v>
      </c>
      <c r="F476" s="28">
        <v>0</v>
      </c>
      <c r="G476" s="28">
        <v>14</v>
      </c>
      <c r="H476" s="224">
        <f>IF(Tabla1[[#This Row],[Codigo_actividad]]&lt;&gt;2.5,IF(((Tabla1[[#This Row],[fin]]-Tabla1[[#This Row],[inicio]])/1000)=0,"",((Tabla1[[#This Row],[fin]]-Tabla1[[#This Row],[inicio]])/1000)),"")</f>
        <v>1.4E-2</v>
      </c>
      <c r="I476" s="66"/>
      <c r="J476" s="76">
        <v>2.6</v>
      </c>
      <c r="K476" s="66" t="str">
        <f>IF(_xlfn.XLOOKUP($J476,Catalogo!$B$7:$B$210,Catalogo!$I$7:$I$210,"",0)=0,"",_xlfn.XLOOKUP($J476,Catalogo!$B$7:$B$210,Catalogo!$I$7:$I$210,"",0))</f>
        <v>Localizacion</v>
      </c>
      <c r="L476" s="36">
        <f>+_xlfn.XLOOKUP(Tabla1[[#This Row],[Ducto]],nombres!D:D,nombres!E:E)/1000</f>
        <v>1.0999999999999999E-2</v>
      </c>
      <c r="M476" s="261">
        <f>IF(Tabla1[[#This Row],[Avance_km]]&lt;&gt;"",Tabla1[[#This Row],[Avance_km]],Tabla1[[#This Row],[Avance_Med]])*_xlfn.XLOOKUP(Tabla1[[#This Row],[Codigo_actividad]],Catalogo!$B$6:$B$51,Catalogo!$F$6:$F$51,0)</f>
        <v>31.60388</v>
      </c>
    </row>
    <row r="477" spans="1:13" x14ac:dyDescent="0.25">
      <c r="A477" s="354"/>
      <c r="C477" s="155"/>
      <c r="D477" s="39"/>
      <c r="F477" s="28"/>
      <c r="G477" s="28"/>
      <c r="H477" s="224" t="str">
        <f>IF(Tabla1[[#This Row],[Codigo_actividad]]&lt;&gt;2.5,IF(((Tabla1[[#This Row],[fin]]-Tabla1[[#This Row],[inicio]])/1000)=0,"",((Tabla1[[#This Row],[fin]]-Tabla1[[#This Row],[inicio]])/1000)),"")</f>
        <v/>
      </c>
      <c r="J477" s="76"/>
      <c r="K477" s="66" t="str">
        <f>IF(_xlfn.XLOOKUP($J477,Catalogo!$B$7:$B$21,Catalogo!$I$7:$I$21,"",0)=0,"",_xlfn.XLOOKUP($J477,Catalogo!$B$7:$B$21,Catalogo!$I$7:$I$21,"",0))</f>
        <v/>
      </c>
      <c r="L477" s="36"/>
      <c r="M477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478" spans="1:13" x14ac:dyDescent="0.25">
      <c r="A478" s="354">
        <v>46195</v>
      </c>
      <c r="B478" s="114" t="s">
        <v>12</v>
      </c>
      <c r="C478" s="155" t="s">
        <v>329</v>
      </c>
      <c r="D478" s="39" t="s">
        <v>251</v>
      </c>
      <c r="E478" s="40" t="s">
        <v>28</v>
      </c>
      <c r="F478" s="28">
        <v>0</v>
      </c>
      <c r="G478" s="28">
        <v>385</v>
      </c>
      <c r="H478" s="224">
        <f>IF(Tabla1[[#This Row],[Codigo_actividad]]&lt;&gt;2.5,IF(((Tabla1[[#This Row],[fin]]-Tabla1[[#This Row],[inicio]])/1000)=0,"",((Tabla1[[#This Row],[fin]]-Tabla1[[#This Row],[inicio]])/1000)),"")</f>
        <v>0.38500000000000001</v>
      </c>
      <c r="I478" s="66"/>
      <c r="J478" s="76">
        <v>2.1</v>
      </c>
      <c r="K478" s="66" t="str">
        <f>IF(_xlfn.XLOOKUP($J478,Catalogo!$B$7:$B$210,Catalogo!$I$7:$I$210,"",0)=0,"",_xlfn.XLOOKUP($J478,Catalogo!$B$7:$B$210,Catalogo!$I$7:$I$210,"",0))</f>
        <v>CIPS</v>
      </c>
      <c r="L478" s="36">
        <f>+_xlfn.XLOOKUP(Tabla1[[#This Row],[Ducto]],'R (s03)'!B:B,'R (s03)'!C:C)</f>
        <v>0.314</v>
      </c>
      <c r="M478" s="261">
        <f>IF(Tabla1[[#This Row],[Avance_km]]&lt;&gt;"",Tabla1[[#This Row],[Avance_km]],Tabla1[[#This Row],[Avance_Med]])*_xlfn.XLOOKUP(Tabla1[[#This Row],[Codigo_actividad]],Catalogo!$B$6:$B$51,Catalogo!$F$6:$F$51,0)</f>
        <v>5590.7428499999996</v>
      </c>
    </row>
    <row r="479" spans="1:13" x14ac:dyDescent="0.25">
      <c r="A479" s="354">
        <v>46195</v>
      </c>
      <c r="B479" s="114" t="s">
        <v>12</v>
      </c>
      <c r="C479" s="155" t="s">
        <v>329</v>
      </c>
      <c r="D479" s="39" t="s">
        <v>249</v>
      </c>
      <c r="E479" s="40" t="s">
        <v>28</v>
      </c>
      <c r="F479" s="28">
        <v>0</v>
      </c>
      <c r="G479" s="28">
        <v>12</v>
      </c>
      <c r="H479" s="224">
        <f>IF(Tabla1[[#This Row],[Codigo_actividad]]&lt;&gt;2.5,IF(((Tabla1[[#This Row],[fin]]-Tabla1[[#This Row],[inicio]])/1000)=0,"",((Tabla1[[#This Row],[fin]]-Tabla1[[#This Row],[inicio]])/1000)),"")</f>
        <v>1.2E-2</v>
      </c>
      <c r="I479" s="66"/>
      <c r="J479" s="76">
        <v>2.1</v>
      </c>
      <c r="K479" s="66" t="str">
        <f>IF(_xlfn.XLOOKUP($J479,Catalogo!$B$7:$B$210,Catalogo!$I$7:$I$210,"",0)=0,"",_xlfn.XLOOKUP($J479,Catalogo!$B$7:$B$210,Catalogo!$I$7:$I$210,"",0))</f>
        <v>CIPS</v>
      </c>
      <c r="L479" s="36">
        <f>+_xlfn.XLOOKUP(Tabla1[[#This Row],[Ducto]],'R (s03)'!B:B,'R (s03)'!C:C)</f>
        <v>1.2E-2</v>
      </c>
      <c r="M479" s="261">
        <f>IF(Tabla1[[#This Row],[Avance_km]]&lt;&gt;"",Tabla1[[#This Row],[Avance_km]],Tabla1[[#This Row],[Avance_Med]])*_xlfn.XLOOKUP(Tabla1[[#This Row],[Codigo_actividad]],Catalogo!$B$6:$B$51,Catalogo!$F$6:$F$51,0)</f>
        <v>174.25692000000001</v>
      </c>
    </row>
    <row r="480" spans="1:13" x14ac:dyDescent="0.25">
      <c r="A480" s="354">
        <v>46195</v>
      </c>
      <c r="B480" s="114" t="s">
        <v>12</v>
      </c>
      <c r="C480" s="155" t="s">
        <v>329</v>
      </c>
      <c r="D480" s="39" t="s">
        <v>245</v>
      </c>
      <c r="E480" s="40" t="s">
        <v>28</v>
      </c>
      <c r="F480" s="28">
        <v>0</v>
      </c>
      <c r="G480" s="28">
        <v>99</v>
      </c>
      <c r="H480" s="224">
        <f>IF(Tabla1[[#This Row],[Codigo_actividad]]&lt;&gt;2.5,IF(((Tabla1[[#This Row],[fin]]-Tabla1[[#This Row],[inicio]])/1000)=0,"",((Tabla1[[#This Row],[fin]]-Tabla1[[#This Row],[inicio]])/1000)),"")</f>
        <v>9.9000000000000005E-2</v>
      </c>
      <c r="I480" s="66"/>
      <c r="J480" s="76">
        <v>2.1</v>
      </c>
      <c r="K480" s="66" t="str">
        <f>IF(_xlfn.XLOOKUP($J480,Catalogo!$B$7:$B$210,Catalogo!$I$7:$I$210,"",0)=0,"",_xlfn.XLOOKUP($J480,Catalogo!$B$7:$B$210,Catalogo!$I$7:$I$210,"",0))</f>
        <v>CIPS</v>
      </c>
      <c r="L480" s="36">
        <f>+_xlfn.XLOOKUP(Tabla1[[#This Row],[Ducto]],'R (s03)'!B:B,'R (s03)'!C:C)</f>
        <v>9.9000000000000005E-2</v>
      </c>
      <c r="M480" s="261">
        <f>IF(Tabla1[[#This Row],[Avance_km]]&lt;&gt;"",Tabla1[[#This Row],[Avance_km]],Tabla1[[#This Row],[Avance_Med]])*_xlfn.XLOOKUP(Tabla1[[#This Row],[Codigo_actividad]],Catalogo!$B$6:$B$51,Catalogo!$F$6:$F$51,0)</f>
        <v>1437.61959</v>
      </c>
    </row>
    <row r="481" spans="1:14" x14ac:dyDescent="0.25">
      <c r="A481" s="354">
        <v>46196</v>
      </c>
      <c r="B481" s="114" t="s">
        <v>12</v>
      </c>
      <c r="C481" s="155" t="s">
        <v>329</v>
      </c>
      <c r="D481" s="39" t="s">
        <v>250</v>
      </c>
      <c r="E481" s="40" t="s">
        <v>28</v>
      </c>
      <c r="F481" s="28">
        <v>0</v>
      </c>
      <c r="G481" s="28">
        <v>850</v>
      </c>
      <c r="H481" s="224">
        <f>IF(Tabla1[[#This Row],[Codigo_actividad]]&lt;&gt;2.5,IF(((Tabla1[[#This Row],[fin]]-Tabla1[[#This Row],[inicio]])/1000)=0,"",((Tabla1[[#This Row],[fin]]-Tabla1[[#This Row],[inicio]])/1000)),"")</f>
        <v>0.85</v>
      </c>
      <c r="I481" s="66"/>
      <c r="J481" s="76">
        <v>2.1</v>
      </c>
      <c r="K481" s="66" t="str">
        <f>IF(_xlfn.XLOOKUP($J481,Catalogo!$B$7:$B$210,Catalogo!$I$7:$I$210,"",0)=0,"",_xlfn.XLOOKUP($J481,Catalogo!$B$7:$B$210,Catalogo!$I$7:$I$210,"",0))</f>
        <v>CIPS</v>
      </c>
      <c r="L481" s="36">
        <f>+_xlfn.XLOOKUP(Tabla1[[#This Row],[Ducto]],'R (s03)'!B:B,'R (s03)'!C:C)</f>
        <v>0.85</v>
      </c>
      <c r="M481" s="261">
        <f>IF(Tabla1[[#This Row],[Avance_km]]&lt;&gt;"",Tabla1[[#This Row],[Avance_km]],Tabla1[[#This Row],[Avance_Med]])*_xlfn.XLOOKUP(Tabla1[[#This Row],[Codigo_actividad]],Catalogo!$B$6:$B$51,Catalogo!$F$6:$F$51,0)</f>
        <v>12343.1985</v>
      </c>
    </row>
    <row r="482" spans="1:14" x14ac:dyDescent="0.25">
      <c r="A482" s="354">
        <v>46196</v>
      </c>
      <c r="B482" s="114" t="s">
        <v>12</v>
      </c>
      <c r="C482" s="155" t="s">
        <v>329</v>
      </c>
      <c r="D482" s="39" t="s">
        <v>252</v>
      </c>
      <c r="E482" s="40" t="s">
        <v>28</v>
      </c>
      <c r="F482" s="28">
        <v>0</v>
      </c>
      <c r="G482" s="28">
        <v>13</v>
      </c>
      <c r="H482" s="224">
        <f>IF(Tabla1[[#This Row],[Codigo_actividad]]&lt;&gt;2.5,IF(((Tabla1[[#This Row],[fin]]-Tabla1[[#This Row],[inicio]])/1000)=0,"",((Tabla1[[#This Row],[fin]]-Tabla1[[#This Row],[inicio]])/1000)),"")</f>
        <v>1.2999999999999999E-2</v>
      </c>
      <c r="I482" s="66"/>
      <c r="J482" s="76">
        <v>2.1</v>
      </c>
      <c r="K482" s="66" t="str">
        <f>IF(_xlfn.XLOOKUP($J482,Catalogo!$B$7:$B$210,Catalogo!$I$7:$I$210,"",0)=0,"",_xlfn.XLOOKUP($J482,Catalogo!$B$7:$B$210,Catalogo!$I$7:$I$210,"",0))</f>
        <v>CIPS</v>
      </c>
      <c r="L482" s="36">
        <f>+_xlfn.XLOOKUP(Tabla1[[#This Row],[Ducto]],'R (s03)'!B:B,'R (s03)'!C:C)</f>
        <v>1.2999999999999999E-2</v>
      </c>
      <c r="M482" s="261">
        <f>IF(Tabla1[[#This Row],[Avance_km]]&lt;&gt;"",Tabla1[[#This Row],[Avance_km]],Tabla1[[#This Row],[Avance_Med]])*_xlfn.XLOOKUP(Tabla1[[#This Row],[Codigo_actividad]],Catalogo!$B$6:$B$51,Catalogo!$F$6:$F$51,0)</f>
        <v>188.77832999999998</v>
      </c>
    </row>
    <row r="483" spans="1:14" x14ac:dyDescent="0.25">
      <c r="A483" s="354">
        <v>46196</v>
      </c>
      <c r="B483" s="114" t="s">
        <v>12</v>
      </c>
      <c r="C483" s="155" t="s">
        <v>329</v>
      </c>
      <c r="D483" s="39" t="s">
        <v>247</v>
      </c>
      <c r="E483" s="40" t="s">
        <v>28</v>
      </c>
      <c r="F483" s="28">
        <v>0</v>
      </c>
      <c r="G483" s="28">
        <v>8</v>
      </c>
      <c r="H483" s="224">
        <f>IF(Tabla1[[#This Row],[Codigo_actividad]]&lt;&gt;2.5,IF(((Tabla1[[#This Row],[fin]]-Tabla1[[#This Row],[inicio]])/1000)=0,"",((Tabla1[[#This Row],[fin]]-Tabla1[[#This Row],[inicio]])/1000)),"")</f>
        <v>8.0000000000000002E-3</v>
      </c>
      <c r="I483" s="66"/>
      <c r="J483" s="76">
        <v>2.1</v>
      </c>
      <c r="K483" s="66" t="str">
        <f>IF(_xlfn.XLOOKUP($J483,Catalogo!$B$7:$B$210,Catalogo!$I$7:$I$210,"",0)=0,"",_xlfn.XLOOKUP($J483,Catalogo!$B$7:$B$210,Catalogo!$I$7:$I$210,"",0))</f>
        <v>CIPS</v>
      </c>
      <c r="L483" s="36">
        <f>+_xlfn.XLOOKUP(Tabla1[[#This Row],[Ducto]],'R (s03)'!B:B,'R (s03)'!C:C)</f>
        <v>8.0000000000000002E-3</v>
      </c>
      <c r="M483" s="261">
        <f>IF(Tabla1[[#This Row],[Avance_km]]&lt;&gt;"",Tabla1[[#This Row],[Avance_km]],Tabla1[[#This Row],[Avance_Med]])*_xlfn.XLOOKUP(Tabla1[[#This Row],[Codigo_actividad]],Catalogo!$B$6:$B$51,Catalogo!$F$6:$F$51,0)</f>
        <v>116.17128</v>
      </c>
    </row>
    <row r="484" spans="1:14" x14ac:dyDescent="0.25">
      <c r="A484" s="354">
        <v>46198</v>
      </c>
      <c r="B484" s="114" t="s">
        <v>12</v>
      </c>
      <c r="C484" s="155" t="s">
        <v>329</v>
      </c>
      <c r="D484" s="39" t="s">
        <v>218</v>
      </c>
      <c r="E484" s="40" t="s">
        <v>28</v>
      </c>
      <c r="F484" s="28">
        <v>0</v>
      </c>
      <c r="G484" s="28">
        <v>1436</v>
      </c>
      <c r="H484" s="224">
        <f>IF(Tabla1[[#This Row],[Codigo_actividad]]&lt;&gt;2.5,IF(((Tabla1[[#This Row],[fin]]-Tabla1[[#This Row],[inicio]])/1000)=0,"",((Tabla1[[#This Row],[fin]]-Tabla1[[#This Row],[inicio]])/1000)),"")</f>
        <v>1.4359999999999999</v>
      </c>
      <c r="I484" s="66"/>
      <c r="J484" s="76">
        <v>2.1</v>
      </c>
      <c r="K484" s="66" t="str">
        <f>IF(_xlfn.XLOOKUP($J484,Catalogo!$B$7:$B$210,Catalogo!$I$7:$I$210,"",0)=0,"",_xlfn.XLOOKUP($J484,Catalogo!$B$7:$B$210,Catalogo!$I$7:$I$210,"",0))</f>
        <v>CIPS</v>
      </c>
      <c r="L484" s="36">
        <f>+_xlfn.XLOOKUP(Tabla1[[#This Row],[Ducto]],'R (s03)'!B:B,'R (s03)'!C:C)</f>
        <v>1.4359999999999999</v>
      </c>
      <c r="M484" s="261">
        <f>IF(Tabla1[[#This Row],[Avance_km]]&lt;&gt;"",Tabla1[[#This Row],[Avance_km]],Tabla1[[#This Row],[Avance_Med]])*_xlfn.XLOOKUP(Tabla1[[#This Row],[Codigo_actividad]],Catalogo!$B$6:$B$51,Catalogo!$F$6:$F$51,0)</f>
        <v>20852.744759999998</v>
      </c>
    </row>
    <row r="485" spans="1:14" x14ac:dyDescent="0.25">
      <c r="A485" s="354">
        <v>46198</v>
      </c>
      <c r="B485" s="114" t="s">
        <v>12</v>
      </c>
      <c r="C485" s="155" t="s">
        <v>329</v>
      </c>
      <c r="D485" s="39" t="s">
        <v>222</v>
      </c>
      <c r="E485" s="40" t="s">
        <v>28</v>
      </c>
      <c r="F485" s="28">
        <v>0</v>
      </c>
      <c r="G485" s="28">
        <v>22</v>
      </c>
      <c r="H485" s="224">
        <f>IF(Tabla1[[#This Row],[Codigo_actividad]]&lt;&gt;2.5,IF(((Tabla1[[#This Row],[fin]]-Tabla1[[#This Row],[inicio]])/1000)=0,"",((Tabla1[[#This Row],[fin]]-Tabla1[[#This Row],[inicio]])/1000)),"")</f>
        <v>2.1999999999999999E-2</v>
      </c>
      <c r="I485" s="66"/>
      <c r="J485" s="76">
        <v>2.1</v>
      </c>
      <c r="K485" s="66" t="str">
        <f>IF(_xlfn.XLOOKUP($J485,Catalogo!$B$7:$B$210,Catalogo!$I$7:$I$210,"",0)=0,"",_xlfn.XLOOKUP($J485,Catalogo!$B$7:$B$210,Catalogo!$I$7:$I$210,"",0))</f>
        <v>CIPS</v>
      </c>
      <c r="L485" s="36">
        <f>+_xlfn.XLOOKUP(Tabla1[[#This Row],[Ducto]],'R (s03)'!B:B,'R (s03)'!C:C)</f>
        <v>2.1999999999999999E-2</v>
      </c>
      <c r="M485" s="261">
        <f>IF(Tabla1[[#This Row],[Avance_km]]&lt;&gt;"",Tabla1[[#This Row],[Avance_km]],Tabla1[[#This Row],[Avance_Med]])*_xlfn.XLOOKUP(Tabla1[[#This Row],[Codigo_actividad]],Catalogo!$B$6:$B$51,Catalogo!$F$6:$F$51,0)</f>
        <v>319.47101999999995</v>
      </c>
    </row>
    <row r="486" spans="1:14" x14ac:dyDescent="0.25">
      <c r="A486" s="354">
        <v>46198</v>
      </c>
      <c r="B486" s="114" t="s">
        <v>12</v>
      </c>
      <c r="C486" s="155" t="s">
        <v>329</v>
      </c>
      <c r="D486" s="39" t="s">
        <v>223</v>
      </c>
      <c r="E486" s="40" t="s">
        <v>28</v>
      </c>
      <c r="F486" s="28">
        <v>0</v>
      </c>
      <c r="G486" s="28">
        <v>11</v>
      </c>
      <c r="H486" s="224">
        <f>IF(Tabla1[[#This Row],[Codigo_actividad]]&lt;&gt;2.5,IF(((Tabla1[[#This Row],[fin]]-Tabla1[[#This Row],[inicio]])/1000)=0,"",((Tabla1[[#This Row],[fin]]-Tabla1[[#This Row],[inicio]])/1000)),"")</f>
        <v>1.0999999999999999E-2</v>
      </c>
      <c r="I486" s="66"/>
      <c r="J486" s="76">
        <v>2.1</v>
      </c>
      <c r="K486" s="66" t="str">
        <f>IF(_xlfn.XLOOKUP($J486,Catalogo!$B$7:$B$210,Catalogo!$I$7:$I$210,"",0)=0,"",_xlfn.XLOOKUP($J486,Catalogo!$B$7:$B$210,Catalogo!$I$7:$I$210,"",0))</f>
        <v>CIPS</v>
      </c>
      <c r="L486" s="36">
        <f>+_xlfn.XLOOKUP(Tabla1[[#This Row],[Ducto]],'R (s03)'!B:B,'R (s03)'!C:C)</f>
        <v>1.0999999999999999E-2</v>
      </c>
      <c r="M486" s="261">
        <f>IF(Tabla1[[#This Row],[Avance_km]]&lt;&gt;"",Tabla1[[#This Row],[Avance_km]],Tabla1[[#This Row],[Avance_Med]])*_xlfn.XLOOKUP(Tabla1[[#This Row],[Codigo_actividad]],Catalogo!$B$6:$B$51,Catalogo!$F$6:$F$51,0)</f>
        <v>159.73550999999998</v>
      </c>
    </row>
    <row r="487" spans="1:14" x14ac:dyDescent="0.25">
      <c r="A487" s="354">
        <v>46198</v>
      </c>
      <c r="B487" s="114" t="s">
        <v>12</v>
      </c>
      <c r="C487" s="155" t="s">
        <v>329</v>
      </c>
      <c r="D487" s="39" t="s">
        <v>222</v>
      </c>
      <c r="E487" s="40" t="s">
        <v>16</v>
      </c>
      <c r="F487" s="28">
        <v>0</v>
      </c>
      <c r="G487" s="28">
        <v>22</v>
      </c>
      <c r="H487" s="224">
        <f>IF(Tabla1[[#This Row],[Codigo_actividad]]&lt;&gt;2.5,IF(((Tabla1[[#This Row],[fin]]-Tabla1[[#This Row],[inicio]])/1000)=0,"",((Tabla1[[#This Row],[fin]]-Tabla1[[#This Row],[inicio]])/1000)),"")</f>
        <v>2.1999999999999999E-2</v>
      </c>
      <c r="I487" s="66"/>
      <c r="J487" s="76">
        <v>2.6</v>
      </c>
      <c r="K487" s="66" t="str">
        <f>IF(_xlfn.XLOOKUP($J487,Catalogo!$B$7:$B$210,Catalogo!$I$7:$I$210,"",0)=0,"",_xlfn.XLOOKUP($J487,Catalogo!$B$7:$B$210,Catalogo!$I$7:$I$210,"",0))</f>
        <v>Localizacion</v>
      </c>
      <c r="L487" s="36">
        <f>+_xlfn.XLOOKUP(Tabla1[[#This Row],[Ducto]],nombres!D:D,nombres!E:E)/1000</f>
        <v>1.4E-2</v>
      </c>
      <c r="M487" s="261">
        <f>IF(Tabla1[[#This Row],[Avance_km]]&lt;&gt;"",Tabla1[[#This Row],[Avance_km]],Tabla1[[#This Row],[Avance_Med]])*_xlfn.XLOOKUP(Tabla1[[#This Row],[Codigo_actividad]],Catalogo!$B$6:$B$51,Catalogo!$F$6:$F$51,0)</f>
        <v>49.663240000000002</v>
      </c>
    </row>
    <row r="488" spans="1:14" x14ac:dyDescent="0.25">
      <c r="A488" s="354">
        <v>46198</v>
      </c>
      <c r="B488" s="114" t="s">
        <v>12</v>
      </c>
      <c r="C488" s="155" t="s">
        <v>329</v>
      </c>
      <c r="D488" s="39" t="s">
        <v>223</v>
      </c>
      <c r="E488" s="40" t="s">
        <v>16</v>
      </c>
      <c r="F488" s="28">
        <v>0</v>
      </c>
      <c r="G488" s="28">
        <v>11</v>
      </c>
      <c r="H488" s="224">
        <f>IF(Tabla1[[#This Row],[Codigo_actividad]]&lt;&gt;2.5,IF(((Tabla1[[#This Row],[fin]]-Tabla1[[#This Row],[inicio]])/1000)=0,"",((Tabla1[[#This Row],[fin]]-Tabla1[[#This Row],[inicio]])/1000)),"")</f>
        <v>1.0999999999999999E-2</v>
      </c>
      <c r="I488" s="66"/>
      <c r="J488" s="76">
        <v>2.6</v>
      </c>
      <c r="K488" s="66" t="str">
        <f>IF(_xlfn.XLOOKUP($J488,Catalogo!$B$7:$B$210,Catalogo!$I$7:$I$210,"",0)=0,"",_xlfn.XLOOKUP($J488,Catalogo!$B$7:$B$210,Catalogo!$I$7:$I$210,"",0))</f>
        <v>Localizacion</v>
      </c>
      <c r="L488" s="36">
        <f>+_xlfn.XLOOKUP(Tabla1[[#This Row],[Ducto]],nombres!D:D,nombres!E:E)/1000</f>
        <v>0.02</v>
      </c>
      <c r="M488" s="261">
        <f>IF(Tabla1[[#This Row],[Avance_km]]&lt;&gt;"",Tabla1[[#This Row],[Avance_km]],Tabla1[[#This Row],[Avance_Med]])*_xlfn.XLOOKUP(Tabla1[[#This Row],[Codigo_actividad]],Catalogo!$B$6:$B$51,Catalogo!$F$6:$F$51,0)</f>
        <v>24.831620000000001</v>
      </c>
    </row>
    <row r="489" spans="1:14" x14ac:dyDescent="0.25">
      <c r="A489" s="354">
        <v>46199</v>
      </c>
      <c r="B489" s="114" t="s">
        <v>12</v>
      </c>
      <c r="C489" s="155" t="s">
        <v>329</v>
      </c>
      <c r="D489" s="39" t="s">
        <v>224</v>
      </c>
      <c r="E489" s="40" t="s">
        <v>28</v>
      </c>
      <c r="F489" s="28">
        <v>0</v>
      </c>
      <c r="G489" s="28">
        <v>6</v>
      </c>
      <c r="H489" s="224">
        <f>IF(Tabla1[[#This Row],[Codigo_actividad]]&lt;&gt;2.5,IF(((Tabla1[[#This Row],[fin]]-Tabla1[[#This Row],[inicio]])/1000)=0,"",((Tabla1[[#This Row],[fin]]-Tabla1[[#This Row],[inicio]])/1000)),"")</f>
        <v>6.0000000000000001E-3</v>
      </c>
      <c r="I489" s="66"/>
      <c r="J489" s="76">
        <v>2.1</v>
      </c>
      <c r="K489" s="66" t="str">
        <f>IF(_xlfn.XLOOKUP($J489,Catalogo!$B$7:$B$210,Catalogo!$I$7:$I$210,"",0)=0,"",_xlfn.XLOOKUP($J489,Catalogo!$B$7:$B$210,Catalogo!$I$7:$I$210,"",0))</f>
        <v>CIPS</v>
      </c>
      <c r="L489" s="36">
        <f>+_xlfn.XLOOKUP(Tabla1[[#This Row],[Ducto]],'R (s03)'!B:B,'R (s03)'!C:C)</f>
        <v>6.0000000000000001E-3</v>
      </c>
      <c r="M489" s="261">
        <f>IF(Tabla1[[#This Row],[Avance_km]]&lt;&gt;"",Tabla1[[#This Row],[Avance_km]],Tabla1[[#This Row],[Avance_Med]])*_xlfn.XLOOKUP(Tabla1[[#This Row],[Codigo_actividad]],Catalogo!$B$6:$B$51,Catalogo!$F$6:$F$51,0)</f>
        <v>87.128460000000004</v>
      </c>
    </row>
    <row r="490" spans="1:14" x14ac:dyDescent="0.25">
      <c r="A490" s="354">
        <v>46199</v>
      </c>
      <c r="B490" s="114" t="s">
        <v>12</v>
      </c>
      <c r="C490" s="155" t="s">
        <v>329</v>
      </c>
      <c r="D490" s="39" t="s">
        <v>224</v>
      </c>
      <c r="E490" s="40" t="s">
        <v>16</v>
      </c>
      <c r="F490" s="28">
        <v>0</v>
      </c>
      <c r="G490" s="28">
        <v>6</v>
      </c>
      <c r="H490" s="224">
        <f>IF(Tabla1[[#This Row],[Codigo_actividad]]&lt;&gt;2.5,IF(((Tabla1[[#This Row],[fin]]-Tabla1[[#This Row],[inicio]])/1000)=0,"",((Tabla1[[#This Row],[fin]]-Tabla1[[#This Row],[inicio]])/1000)),"")</f>
        <v>6.0000000000000001E-3</v>
      </c>
      <c r="I490" s="66"/>
      <c r="J490" s="76">
        <v>2.6</v>
      </c>
      <c r="K490" s="66" t="str">
        <f>IF(_xlfn.XLOOKUP($J490,Catalogo!$B$7:$B$210,Catalogo!$I$7:$I$210,"",0)=0,"",_xlfn.XLOOKUP($J490,Catalogo!$B$7:$B$210,Catalogo!$I$7:$I$210,"",0))</f>
        <v>Localizacion</v>
      </c>
      <c r="L490" s="36">
        <f>+_xlfn.XLOOKUP(Tabla1[[#This Row],[Ducto]],nombres!D:D,nombres!E:E)/1000</f>
        <v>6.0000000000000001E-3</v>
      </c>
      <c r="M490" s="261">
        <f>IF(Tabla1[[#This Row],[Avance_km]]&lt;&gt;"",Tabla1[[#This Row],[Avance_km]],Tabla1[[#This Row],[Avance_Med]])*_xlfn.XLOOKUP(Tabla1[[#This Row],[Codigo_actividad]],Catalogo!$B$6:$B$51,Catalogo!$F$6:$F$51,0)</f>
        <v>13.54452</v>
      </c>
    </row>
    <row r="491" spans="1:14" x14ac:dyDescent="0.25">
      <c r="A491" s="354">
        <v>46199</v>
      </c>
      <c r="B491" s="114" t="s">
        <v>12</v>
      </c>
      <c r="C491" s="155" t="s">
        <v>329</v>
      </c>
      <c r="D491" s="39" t="s">
        <v>239</v>
      </c>
      <c r="E491" s="40" t="s">
        <v>16</v>
      </c>
      <c r="F491" s="28">
        <v>0</v>
      </c>
      <c r="G491" s="28">
        <v>278</v>
      </c>
      <c r="H491" s="224">
        <f>IF(Tabla1[[#This Row],[Codigo_actividad]]&lt;&gt;2.5,IF(((Tabla1[[#This Row],[fin]]-Tabla1[[#This Row],[inicio]])/1000)=0,"",((Tabla1[[#This Row],[fin]]-Tabla1[[#This Row],[inicio]])/1000)),"")</f>
        <v>0.27800000000000002</v>
      </c>
      <c r="I491" s="66"/>
      <c r="J491" s="76">
        <v>2.6</v>
      </c>
      <c r="K491" s="66" t="str">
        <f>IF(_xlfn.XLOOKUP($J491,Catalogo!$B$7:$B$210,Catalogo!$I$7:$I$210,"",0)=0,"",_xlfn.XLOOKUP($J491,Catalogo!$B$7:$B$210,Catalogo!$I$7:$I$210,"",0))</f>
        <v>Localizacion</v>
      </c>
      <c r="L491" s="36">
        <f>+_xlfn.XLOOKUP(Tabla1[[#This Row],[Ducto]],'R (s03)'!B:B,'R (s03)'!C:C)</f>
        <v>0.27800000000000002</v>
      </c>
      <c r="M491" s="261">
        <f>IF(Tabla1[[#This Row],[Avance_km]]&lt;&gt;"",Tabla1[[#This Row],[Avance_km]],Tabla1[[#This Row],[Avance_Med]])*_xlfn.XLOOKUP(Tabla1[[#This Row],[Codigo_actividad]],Catalogo!$B$6:$B$51,Catalogo!$F$6:$F$51,0)</f>
        <v>627.56276000000003</v>
      </c>
    </row>
    <row r="492" spans="1:14" x14ac:dyDescent="0.25">
      <c r="A492" s="354">
        <v>46199</v>
      </c>
      <c r="B492" s="114" t="s">
        <v>12</v>
      </c>
      <c r="C492" s="155" t="s">
        <v>329</v>
      </c>
      <c r="D492" s="39" t="s">
        <v>219</v>
      </c>
      <c r="E492" s="40" t="s">
        <v>16</v>
      </c>
      <c r="F492" s="28">
        <v>0</v>
      </c>
      <c r="G492" s="28">
        <v>373</v>
      </c>
      <c r="H492" s="224">
        <f>IF(Tabla1[[#This Row],[Codigo_actividad]]&lt;&gt;2.5,IF(((Tabla1[[#This Row],[fin]]-Tabla1[[#This Row],[inicio]])/1000)=0,"",((Tabla1[[#This Row],[fin]]-Tabla1[[#This Row],[inicio]])/1000)),"")</f>
        <v>0.373</v>
      </c>
      <c r="I492" s="66"/>
      <c r="J492" s="76">
        <v>2.6</v>
      </c>
      <c r="K492" s="66" t="str">
        <f>IF(_xlfn.XLOOKUP($J492,Catalogo!$B$7:$B$210,Catalogo!$I$7:$I$210,"",0)=0,"",_xlfn.XLOOKUP($J492,Catalogo!$B$7:$B$210,Catalogo!$I$7:$I$210,"",0))</f>
        <v>Localizacion</v>
      </c>
      <c r="L492" s="36">
        <f>+_xlfn.XLOOKUP(Tabla1[[#This Row],[Ducto]],nombres!D:D,nombres!E:E)/1000</f>
        <v>0.373</v>
      </c>
      <c r="M492" s="261">
        <f>IF(Tabla1[[#This Row],[Avance_km]]&lt;&gt;"",Tabla1[[#This Row],[Avance_km]],Tabla1[[#This Row],[Avance_Med]])*_xlfn.XLOOKUP(Tabla1[[#This Row],[Codigo_actividad]],Catalogo!$B$6:$B$51,Catalogo!$F$6:$F$51,0)</f>
        <v>842.01765999999998</v>
      </c>
    </row>
    <row r="493" spans="1:14" x14ac:dyDescent="0.25">
      <c r="A493" s="354">
        <v>46200</v>
      </c>
      <c r="B493" s="114" t="s">
        <v>12</v>
      </c>
      <c r="C493" s="155" t="s">
        <v>329</v>
      </c>
      <c r="D493" s="39" t="s">
        <v>225</v>
      </c>
      <c r="E493" s="40" t="s">
        <v>16</v>
      </c>
      <c r="F493" s="28">
        <v>0</v>
      </c>
      <c r="G493" s="28">
        <v>500</v>
      </c>
      <c r="H493" s="224">
        <f>IF(Tabla1[[#This Row],[Codigo_actividad]]&lt;&gt;2.5,IF(((Tabla1[[#This Row],[fin]]-Tabla1[[#This Row],[inicio]])/1000)=0,"",((Tabla1[[#This Row],[fin]]-Tabla1[[#This Row],[inicio]])/1000)),"")</f>
        <v>0.5</v>
      </c>
      <c r="I493" s="66"/>
      <c r="J493" s="76">
        <v>2.6</v>
      </c>
      <c r="K493" s="66" t="str">
        <f>IF(_xlfn.XLOOKUP($J493,Catalogo!$B$7:$B$210,Catalogo!$I$7:$I$210,"",0)=0,"",_xlfn.XLOOKUP($J493,Catalogo!$B$7:$B$210,Catalogo!$I$7:$I$210,"",0))</f>
        <v>Localizacion</v>
      </c>
      <c r="L493" s="36">
        <f>+_xlfn.XLOOKUP(Tabla1[[#This Row],[Ducto]],nombres!D:D,nombres!E:E)/1000</f>
        <v>5.7880000000000003</v>
      </c>
      <c r="M493" s="261">
        <f>IF(Tabla1[[#This Row],[Avance_km]]&lt;&gt;"",Tabla1[[#This Row],[Avance_km]],Tabla1[[#This Row],[Avance_Med]])*_xlfn.XLOOKUP(Tabla1[[#This Row],[Codigo_actividad]],Catalogo!$B$6:$B$51,Catalogo!$F$6:$F$51,0)</f>
        <v>1128.71</v>
      </c>
    </row>
    <row r="494" spans="1:14" x14ac:dyDescent="0.25">
      <c r="A494" s="354">
        <v>46200</v>
      </c>
      <c r="B494" s="114" t="s">
        <v>12</v>
      </c>
      <c r="C494" s="155" t="s">
        <v>329</v>
      </c>
      <c r="D494" s="39" t="s">
        <v>245</v>
      </c>
      <c r="E494" s="40" t="s">
        <v>16</v>
      </c>
      <c r="F494" s="28">
        <v>0</v>
      </c>
      <c r="G494" s="28">
        <v>99</v>
      </c>
      <c r="H494" s="224">
        <f>IF(Tabla1[[#This Row],[Codigo_actividad]]&lt;&gt;2.5,IF(((Tabla1[[#This Row],[fin]]-Tabla1[[#This Row],[inicio]])/1000)=0,"",((Tabla1[[#This Row],[fin]]-Tabla1[[#This Row],[inicio]])/1000)),"")</f>
        <v>9.9000000000000005E-2</v>
      </c>
      <c r="I494" s="66"/>
      <c r="J494" s="76">
        <v>2.6</v>
      </c>
      <c r="K494" s="66" t="str">
        <f>IF(_xlfn.XLOOKUP($J494,Catalogo!$B$7:$B$210,Catalogo!$I$7:$I$210,"",0)=0,"",_xlfn.XLOOKUP($J494,Catalogo!$B$7:$B$210,Catalogo!$I$7:$I$210,"",0))</f>
        <v>Localizacion</v>
      </c>
      <c r="L494" s="36">
        <f>+_xlfn.XLOOKUP(Tabla1[[#This Row],[Ducto]],nombres!D:D,nombres!E:E)/1000</f>
        <v>9.2999999999999999E-2</v>
      </c>
      <c r="M494" s="261">
        <f>IF(Tabla1[[#This Row],[Avance_km]]&lt;&gt;"",Tabla1[[#This Row],[Avance_km]],Tabla1[[#This Row],[Avance_Med]])*_xlfn.XLOOKUP(Tabla1[[#This Row],[Codigo_actividad]],Catalogo!$B$6:$B$51,Catalogo!$F$6:$F$51,0)</f>
        <v>223.48458000000002</v>
      </c>
    </row>
    <row r="495" spans="1:14" x14ac:dyDescent="0.25">
      <c r="A495" s="354">
        <v>46200</v>
      </c>
      <c r="B495" s="114" t="s">
        <v>12</v>
      </c>
      <c r="C495" s="155" t="s">
        <v>329</v>
      </c>
      <c r="D495" s="39" t="s">
        <v>504</v>
      </c>
      <c r="E495" s="40" t="s">
        <v>16</v>
      </c>
      <c r="F495" s="28">
        <v>0</v>
      </c>
      <c r="G495" s="28">
        <v>243</v>
      </c>
      <c r="H495" s="370">
        <f>IF(Tabla1[[#This Row],[Codigo_actividad]]&lt;&gt;2.5,IF(((Tabla1[[#This Row],[fin]]-Tabla1[[#This Row],[inicio]])/1000)=0,"",((Tabla1[[#This Row],[fin]]-Tabla1[[#This Row],[inicio]])/1000)),"")</f>
        <v>0.24299999999999999</v>
      </c>
      <c r="I495" s="76"/>
      <c r="J495" s="76">
        <v>2.6</v>
      </c>
      <c r="K495" s="76" t="str">
        <f>IF(_xlfn.XLOOKUP($J495,Catalogo!$B$7:$B$210,Catalogo!$I$7:$I$210,"",0)=0,"",_xlfn.XLOOKUP($J495,Catalogo!$B$7:$B$210,Catalogo!$I$7:$I$210,"",0))</f>
        <v>Localizacion</v>
      </c>
      <c r="L495" s="36">
        <f>+_xlfn.XLOOKUP(Tabla1[[#This Row],[Ducto]],'R (s03)'!B:B,'R (s03)'!C:C)</f>
        <v>0.24299999999999999</v>
      </c>
      <c r="M495" s="261">
        <f>IF(Tabla1[[#This Row],[Avance_km]]&lt;&gt;"",Tabla1[[#This Row],[Avance_km]],Tabla1[[#This Row],[Avance_Med]])*_xlfn.XLOOKUP(Tabla1[[#This Row],[Codigo_actividad]],Catalogo!$B$6:$B$51,Catalogo!$F$6:$F$51,0)</f>
        <v>548.55305999999996</v>
      </c>
      <c r="N495" t="s">
        <v>512</v>
      </c>
    </row>
    <row r="496" spans="1:14" x14ac:dyDescent="0.25">
      <c r="A496" s="354"/>
      <c r="C496" s="155"/>
      <c r="D496" s="39"/>
      <c r="F496" s="28"/>
      <c r="G496" s="28"/>
      <c r="H496" s="224" t="str">
        <f>IF(Tabla1[[#This Row],[Codigo_actividad]]&lt;&gt;2.5,IF(((Tabla1[[#This Row],[fin]]-Tabla1[[#This Row],[inicio]])/1000)=0,"",((Tabla1[[#This Row],[fin]]-Tabla1[[#This Row],[inicio]])/1000)),"")</f>
        <v/>
      </c>
      <c r="J496" s="76"/>
      <c r="K496" s="66" t="str">
        <f>IF(_xlfn.XLOOKUP($J496,Catalogo!$B$7:$B$21,Catalogo!$I$7:$I$21,"",0)=0,"",_xlfn.XLOOKUP($J496,Catalogo!$B$7:$B$21,Catalogo!$I$7:$I$21,"",0))</f>
        <v/>
      </c>
      <c r="L496" s="36"/>
      <c r="M496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497" spans="1:14" x14ac:dyDescent="0.25">
      <c r="A497" s="354">
        <v>46202</v>
      </c>
      <c r="B497" s="114" t="s">
        <v>12</v>
      </c>
      <c r="C497" s="155" t="s">
        <v>329</v>
      </c>
      <c r="D497" s="39" t="s">
        <v>346</v>
      </c>
      <c r="E497" s="40" t="s">
        <v>28</v>
      </c>
      <c r="F497" s="28">
        <v>0</v>
      </c>
      <c r="G497" s="28">
        <v>692</v>
      </c>
      <c r="H497" s="224">
        <f>IF(Tabla1[[#This Row],[Codigo_actividad]]&lt;&gt;2.5,IF(((Tabla1[[#This Row],[fin]]-Tabla1[[#This Row],[inicio]])/1000)=0,"",((Tabla1[[#This Row],[fin]]-Tabla1[[#This Row],[inicio]])/1000)),"")</f>
        <v>0.69199999999999995</v>
      </c>
      <c r="I497" s="66"/>
      <c r="J497" s="76">
        <v>2.1</v>
      </c>
      <c r="K497" s="66" t="str">
        <f>IF(_xlfn.XLOOKUP($J497,Catalogo!$B$7:$B$210,Catalogo!$I$7:$I$210,"",0)=0,"",_xlfn.XLOOKUP($J497,Catalogo!$B$7:$B$210,Catalogo!$I$7:$I$210,"",0))</f>
        <v>CIPS</v>
      </c>
      <c r="L497" s="36">
        <f>+_xlfn.XLOOKUP(Tabla1[[#This Row],[Ducto]],'R (s03)'!B:B,'R (s03)'!C:C)</f>
        <v>0.70299999999999996</v>
      </c>
      <c r="M497" s="261">
        <f>IF(Tabla1[[#This Row],[Avance_km]]&lt;&gt;"",Tabla1[[#This Row],[Avance_km]],Tabla1[[#This Row],[Avance_Med]])*_xlfn.XLOOKUP(Tabla1[[#This Row],[Codigo_actividad]],Catalogo!$B$6:$B$51,Catalogo!$F$6:$F$51,0)</f>
        <v>10048.815719999999</v>
      </c>
    </row>
    <row r="498" spans="1:14" x14ac:dyDescent="0.25">
      <c r="A498" s="354">
        <v>46203</v>
      </c>
      <c r="B498" s="114" t="s">
        <v>12</v>
      </c>
      <c r="C498" s="155" t="s">
        <v>329</v>
      </c>
      <c r="D498" s="39" t="s">
        <v>255</v>
      </c>
      <c r="E498" s="40" t="s">
        <v>28</v>
      </c>
      <c r="F498" s="28">
        <v>0</v>
      </c>
      <c r="G498" s="28">
        <v>275</v>
      </c>
      <c r="H498" s="224">
        <f>IF(Tabla1[[#This Row],[Codigo_actividad]]&lt;&gt;2.5,IF(((Tabla1[[#This Row],[fin]]-Tabla1[[#This Row],[inicio]])/1000)=0,"",((Tabla1[[#This Row],[fin]]-Tabla1[[#This Row],[inicio]])/1000)),"")</f>
        <v>0.27500000000000002</v>
      </c>
      <c r="I498" s="66"/>
      <c r="J498" s="76">
        <v>2.1</v>
      </c>
      <c r="K498" s="66" t="str">
        <f>IF(_xlfn.XLOOKUP($J498,Catalogo!$B$7:$B$210,Catalogo!$I$7:$I$210,"",0)=0,"",_xlfn.XLOOKUP($J498,Catalogo!$B$7:$B$210,Catalogo!$I$7:$I$210,"",0))</f>
        <v>CIPS</v>
      </c>
      <c r="L498" s="36">
        <f>+_xlfn.XLOOKUP(Tabla1[[#This Row],[Ducto]],'R (s03)'!B:B,'R (s03)'!C:C)</f>
        <v>0.27500000000000002</v>
      </c>
      <c r="M498" s="261">
        <f>IF(Tabla1[[#This Row],[Avance_km]]&lt;&gt;"",Tabla1[[#This Row],[Avance_km]],Tabla1[[#This Row],[Avance_Med]])*_xlfn.XLOOKUP(Tabla1[[#This Row],[Codigo_actividad]],Catalogo!$B$6:$B$51,Catalogo!$F$6:$F$51,0)</f>
        <v>3993.3877500000003</v>
      </c>
    </row>
    <row r="499" spans="1:14" x14ac:dyDescent="0.25">
      <c r="A499" s="354">
        <v>46203</v>
      </c>
      <c r="B499" s="114" t="s">
        <v>12</v>
      </c>
      <c r="C499" s="155" t="s">
        <v>329</v>
      </c>
      <c r="D499" s="39" t="s">
        <v>255</v>
      </c>
      <c r="E499" s="40" t="s">
        <v>16</v>
      </c>
      <c r="F499" s="28">
        <v>175</v>
      </c>
      <c r="G499" s="28">
        <v>275</v>
      </c>
      <c r="H499" s="224">
        <f>IF(Tabla1[[#This Row],[Codigo_actividad]]&lt;&gt;2.5,IF(((Tabla1[[#This Row],[fin]]-Tabla1[[#This Row],[inicio]])/1000)=0,"",((Tabla1[[#This Row],[fin]]-Tabla1[[#This Row],[inicio]])/1000)),"")</f>
        <v>0.1</v>
      </c>
      <c r="I499" s="66"/>
      <c r="J499" s="76">
        <v>2.6</v>
      </c>
      <c r="K499" s="66" t="str">
        <f>IF(_xlfn.XLOOKUP($J499,Catalogo!$B$7:$B$210,Catalogo!$I$7:$I$210,"",0)=0,"",_xlfn.XLOOKUP($J499,Catalogo!$B$7:$B$210,Catalogo!$I$7:$I$210,"",0))</f>
        <v>Localizacion</v>
      </c>
      <c r="L499" s="36">
        <f>+_xlfn.XLOOKUP(Tabla1[[#This Row],[Ducto]],nombres!D:D,nombres!E:E)/1000</f>
        <v>0.27500000000000002</v>
      </c>
      <c r="M499" s="261">
        <f>IF(Tabla1[[#This Row],[Avance_km]]&lt;&gt;"",Tabla1[[#This Row],[Avance_km]],Tabla1[[#This Row],[Avance_Med]])*_xlfn.XLOOKUP(Tabla1[[#This Row],[Codigo_actividad]],Catalogo!$B$6:$B$51,Catalogo!$F$6:$F$51,0)</f>
        <v>225.74200000000002</v>
      </c>
      <c r="N499" t="str">
        <f>_xlfn.IFNA(_xlfn.XLOOKUP(Tabla1[[#This Row],[fin]],$P$379:$P$398,$T$379:$T$398),"")</f>
        <v/>
      </c>
    </row>
    <row r="500" spans="1:14" x14ac:dyDescent="0.25">
      <c r="A500" s="354">
        <v>46204</v>
      </c>
      <c r="B500" s="114" t="s">
        <v>12</v>
      </c>
      <c r="C500" s="155" t="s">
        <v>329</v>
      </c>
      <c r="D500" s="39" t="s">
        <v>244</v>
      </c>
      <c r="E500" s="40" t="s">
        <v>28</v>
      </c>
      <c r="F500" s="28">
        <v>0</v>
      </c>
      <c r="G500" s="28">
        <v>469</v>
      </c>
      <c r="H500" s="224">
        <f>IF(Tabla1[[#This Row],[Codigo_actividad]]&lt;&gt;2.5,IF(((Tabla1[[#This Row],[fin]]-Tabla1[[#This Row],[inicio]])/1000)=0,"",((Tabla1[[#This Row],[fin]]-Tabla1[[#This Row],[inicio]])/1000)),"")</f>
        <v>0.46899999999999997</v>
      </c>
      <c r="I500" s="66"/>
      <c r="J500" s="76">
        <v>2.1</v>
      </c>
      <c r="K500" s="66" t="str">
        <f>IF(_xlfn.XLOOKUP($J500,Catalogo!$B$7:$B$210,Catalogo!$I$7:$I$210,"",0)=0,"",_xlfn.XLOOKUP($J500,Catalogo!$B$7:$B$210,Catalogo!$I$7:$I$210,"",0))</f>
        <v>CIPS</v>
      </c>
      <c r="L500" s="36">
        <f>+_xlfn.XLOOKUP(Tabla1[[#This Row],[Ducto]],'R (s03)'!B:B,'R (s03)'!C:C)</f>
        <v>0.46300000000000002</v>
      </c>
      <c r="M500" s="261">
        <f>IF(Tabla1[[#This Row],[Avance_km]]&lt;&gt;"",Tabla1[[#This Row],[Avance_km]],Tabla1[[#This Row],[Avance_Med]])*_xlfn.XLOOKUP(Tabla1[[#This Row],[Codigo_actividad]],Catalogo!$B$6:$B$51,Catalogo!$F$6:$F$51,0)</f>
        <v>6810.5412899999992</v>
      </c>
    </row>
    <row r="501" spans="1:14" x14ac:dyDescent="0.25">
      <c r="A501" s="354">
        <v>46204</v>
      </c>
      <c r="B501" s="114" t="s">
        <v>12</v>
      </c>
      <c r="C501" s="155" t="s">
        <v>329</v>
      </c>
      <c r="D501" s="39" t="s">
        <v>219</v>
      </c>
      <c r="E501" s="40" t="s">
        <v>28</v>
      </c>
      <c r="F501" s="28">
        <v>0</v>
      </c>
      <c r="G501" s="28">
        <v>373</v>
      </c>
      <c r="H501" s="224">
        <f>IF(Tabla1[[#This Row],[Codigo_actividad]]&lt;&gt;2.5,IF(((Tabla1[[#This Row],[fin]]-Tabla1[[#This Row],[inicio]])/1000)=0,"",((Tabla1[[#This Row],[fin]]-Tabla1[[#This Row],[inicio]])/1000)),"")</f>
        <v>0.373</v>
      </c>
      <c r="I501" s="66"/>
      <c r="J501" s="76">
        <v>2.1</v>
      </c>
      <c r="K501" s="66" t="str">
        <f>IF(_xlfn.XLOOKUP($J501,Catalogo!$B$7:$B$210,Catalogo!$I$7:$I$210,"",0)=0,"",_xlfn.XLOOKUP($J501,Catalogo!$B$7:$B$210,Catalogo!$I$7:$I$210,"",0))</f>
        <v>CIPS</v>
      </c>
      <c r="L501" s="36">
        <f>+_xlfn.XLOOKUP(Tabla1[[#This Row],[Ducto]],'R (s03)'!B:B,'R (s03)'!C:C)</f>
        <v>0.373</v>
      </c>
      <c r="M501" s="261">
        <f>IF(Tabla1[[#This Row],[Avance_km]]&lt;&gt;"",Tabla1[[#This Row],[Avance_km]],Tabla1[[#This Row],[Avance_Med]])*_xlfn.XLOOKUP(Tabla1[[#This Row],[Codigo_actividad]],Catalogo!$B$6:$B$51,Catalogo!$F$6:$F$51,0)</f>
        <v>5416.4859299999998</v>
      </c>
    </row>
    <row r="502" spans="1:14" x14ac:dyDescent="0.25">
      <c r="A502" s="354">
        <v>46204</v>
      </c>
      <c r="B502" s="114" t="s">
        <v>12</v>
      </c>
      <c r="C502" s="155" t="s">
        <v>329</v>
      </c>
      <c r="D502" s="39" t="s">
        <v>353</v>
      </c>
      <c r="E502" s="40" t="s">
        <v>28</v>
      </c>
      <c r="F502" s="28">
        <v>0</v>
      </c>
      <c r="G502" s="28">
        <v>18</v>
      </c>
      <c r="H502" s="224">
        <f>IF(Tabla1[[#This Row],[Codigo_actividad]]&lt;&gt;2.5,IF(((Tabla1[[#This Row],[fin]]-Tabla1[[#This Row],[inicio]])/1000)=0,"",((Tabla1[[#This Row],[fin]]-Tabla1[[#This Row],[inicio]])/1000)),"")</f>
        <v>1.7999999999999999E-2</v>
      </c>
      <c r="I502" s="66"/>
      <c r="J502" s="76">
        <v>2.1</v>
      </c>
      <c r="K502" s="66" t="str">
        <f>IF(_xlfn.XLOOKUP($J502,Catalogo!$B$7:$B$210,Catalogo!$I$7:$I$210,"",0)=0,"",_xlfn.XLOOKUP($J502,Catalogo!$B$7:$B$210,Catalogo!$I$7:$I$210,"",0))</f>
        <v>CIPS</v>
      </c>
      <c r="L502" s="36">
        <f>+_xlfn.XLOOKUP(Tabla1[[#This Row],[Ducto]],'R (s03)'!B:B,'R (s03)'!C:C)</f>
        <v>1.7999999999999999E-2</v>
      </c>
      <c r="M502" s="261">
        <f>IF(Tabla1[[#This Row],[Avance_km]]&lt;&gt;"",Tabla1[[#This Row],[Avance_km]],Tabla1[[#This Row],[Avance_Med]])*_xlfn.XLOOKUP(Tabla1[[#This Row],[Codigo_actividad]],Catalogo!$B$6:$B$51,Catalogo!$F$6:$F$51,0)</f>
        <v>261.38538</v>
      </c>
    </row>
    <row r="503" spans="1:14" x14ac:dyDescent="0.25">
      <c r="A503" s="354">
        <v>46205</v>
      </c>
      <c r="B503" s="114" t="s">
        <v>12</v>
      </c>
      <c r="C503" s="155" t="s">
        <v>329</v>
      </c>
      <c r="D503" s="39" t="s">
        <v>225</v>
      </c>
      <c r="E503" s="40" t="s">
        <v>16</v>
      </c>
      <c r="F503" s="28">
        <v>500</v>
      </c>
      <c r="G503" s="28">
        <v>1800</v>
      </c>
      <c r="H503" s="224">
        <f>IF(Tabla1[[#This Row],[Codigo_actividad]]&lt;&gt;2.5,IF(((Tabla1[[#This Row],[fin]]-Tabla1[[#This Row],[inicio]])/1000)=0,"",((Tabla1[[#This Row],[fin]]-Tabla1[[#This Row],[inicio]])/1000)),"")</f>
        <v>1.3</v>
      </c>
      <c r="I503" s="66"/>
      <c r="J503" s="76">
        <v>2.6</v>
      </c>
      <c r="K503" s="66" t="str">
        <f>IF(_xlfn.XLOOKUP($J503,Catalogo!$B$7:$B$210,Catalogo!$I$7:$I$210,"",0)=0,"",_xlfn.XLOOKUP($J503,Catalogo!$B$7:$B$210,Catalogo!$I$7:$I$210,"",0))</f>
        <v>Localizacion</v>
      </c>
      <c r="L503" s="36">
        <f>+_xlfn.XLOOKUP(Tabla1[[#This Row],[Ducto]],nombres!D:D,nombres!E:E)/1000</f>
        <v>5.7880000000000003</v>
      </c>
      <c r="M503" s="261">
        <f>IF(Tabla1[[#This Row],[Avance_km]]&lt;&gt;"",Tabla1[[#This Row],[Avance_km]],Tabla1[[#This Row],[Avance_Med]])*_xlfn.XLOOKUP(Tabla1[[#This Row],[Codigo_actividad]],Catalogo!$B$6:$B$51,Catalogo!$F$6:$F$51,0)</f>
        <v>2934.6460000000002</v>
      </c>
    </row>
    <row r="504" spans="1:14" x14ac:dyDescent="0.25">
      <c r="A504" s="354">
        <v>46205</v>
      </c>
      <c r="B504" s="114" t="s">
        <v>12</v>
      </c>
      <c r="C504" s="155" t="s">
        <v>329</v>
      </c>
      <c r="D504" s="39" t="s">
        <v>227</v>
      </c>
      <c r="E504" s="40" t="s">
        <v>16</v>
      </c>
      <c r="F504" s="28">
        <v>0</v>
      </c>
      <c r="G504" s="28">
        <v>40</v>
      </c>
      <c r="H504" s="224">
        <f>IF(Tabla1[[#This Row],[Codigo_actividad]]&lt;&gt;2.5,IF(((Tabla1[[#This Row],[fin]]-Tabla1[[#This Row],[inicio]])/1000)=0,"",((Tabla1[[#This Row],[fin]]-Tabla1[[#This Row],[inicio]])/1000)),"")</f>
        <v>0.04</v>
      </c>
      <c r="I504" s="66"/>
      <c r="J504" s="76">
        <v>2.6</v>
      </c>
      <c r="K504" s="66" t="str">
        <f>IF(_xlfn.XLOOKUP($J504,Catalogo!$B$7:$B$210,Catalogo!$I$7:$I$210,"",0)=0,"",_xlfn.XLOOKUP($J504,Catalogo!$B$7:$B$210,Catalogo!$I$7:$I$210,"",0))</f>
        <v>Localizacion</v>
      </c>
      <c r="L504" s="36">
        <v>0.04</v>
      </c>
      <c r="M504" s="261">
        <f>IF(Tabla1[[#This Row],[Avance_km]]&lt;&gt;"",Tabla1[[#This Row],[Avance_km]],Tabla1[[#This Row],[Avance_Med]])*_xlfn.XLOOKUP(Tabla1[[#This Row],[Codigo_actividad]],Catalogo!$B$6:$B$51,Catalogo!$F$6:$F$51,0)</f>
        <v>90.296800000000005</v>
      </c>
    </row>
    <row r="505" spans="1:14" x14ac:dyDescent="0.25">
      <c r="A505" s="354">
        <v>46206</v>
      </c>
      <c r="B505" s="114" t="s">
        <v>12</v>
      </c>
      <c r="C505" s="155" t="s">
        <v>329</v>
      </c>
      <c r="D505" s="39" t="s">
        <v>225</v>
      </c>
      <c r="E505" s="40" t="s">
        <v>16</v>
      </c>
      <c r="F505" s="28">
        <v>1800</v>
      </c>
      <c r="G505" s="28">
        <v>4500</v>
      </c>
      <c r="H505" s="224">
        <f>IF(Tabla1[[#This Row],[Codigo_actividad]]&lt;&gt;2.5,IF(((Tabla1[[#This Row],[fin]]-Tabla1[[#This Row],[inicio]])/1000)=0,"",((Tabla1[[#This Row],[fin]]-Tabla1[[#This Row],[inicio]])/1000)),"")</f>
        <v>2.7</v>
      </c>
      <c r="I505" s="66"/>
      <c r="J505" s="76">
        <v>2.6</v>
      </c>
      <c r="K505" s="66" t="str">
        <f>IF(_xlfn.XLOOKUP($J505,Catalogo!$B$7:$B$210,Catalogo!$I$7:$I$210,"",0)=0,"",_xlfn.XLOOKUP($J505,Catalogo!$B$7:$B$210,Catalogo!$I$7:$I$210,"",0))</f>
        <v>Localizacion</v>
      </c>
      <c r="L505" s="36">
        <f>+_xlfn.XLOOKUP(Tabla1[[#This Row],[Ducto]],nombres!D:D,nombres!E:E)/1000</f>
        <v>5.7880000000000003</v>
      </c>
      <c r="M505" s="261">
        <f>IF(Tabla1[[#This Row],[Avance_km]]&lt;&gt;"",Tabla1[[#This Row],[Avance_km]],Tabla1[[#This Row],[Avance_Med]])*_xlfn.XLOOKUP(Tabla1[[#This Row],[Codigo_actividad]],Catalogo!$B$6:$B$51,Catalogo!$F$6:$F$51,0)</f>
        <v>6095.0340000000006</v>
      </c>
    </row>
    <row r="506" spans="1:14" x14ac:dyDescent="0.25">
      <c r="A506" s="354">
        <v>46206</v>
      </c>
      <c r="B506" s="114" t="s">
        <v>12</v>
      </c>
      <c r="C506" s="155" t="s">
        <v>329</v>
      </c>
      <c r="D506" s="39" t="s">
        <v>233</v>
      </c>
      <c r="E506" s="40" t="s">
        <v>16</v>
      </c>
      <c r="F506" s="28">
        <v>0</v>
      </c>
      <c r="G506" s="28">
        <v>3</v>
      </c>
      <c r="H506" s="224">
        <f>IF(Tabla1[[#This Row],[Codigo_actividad]]&lt;&gt;2.5,IF(((Tabla1[[#This Row],[fin]]-Tabla1[[#This Row],[inicio]])/1000)=0,"",((Tabla1[[#This Row],[fin]]-Tabla1[[#This Row],[inicio]])/1000)),"")</f>
        <v>3.0000000000000001E-3</v>
      </c>
      <c r="I506" s="66"/>
      <c r="J506" s="76">
        <v>2.6</v>
      </c>
      <c r="K506" s="66" t="str">
        <f>IF(_xlfn.XLOOKUP($J506,Catalogo!$B$7:$B$210,Catalogo!$I$7:$I$210,"",0)=0,"",_xlfn.XLOOKUP($J506,Catalogo!$B$7:$B$210,Catalogo!$I$7:$I$210,"",0))</f>
        <v>Localizacion</v>
      </c>
      <c r="L506" s="36">
        <f>+_xlfn.XLOOKUP(Tabla1[[#This Row],[Ducto]],nombres!D:D,nombres!E:E)/1000</f>
        <v>2E-3</v>
      </c>
      <c r="M506" s="261">
        <f>IF(Tabla1[[#This Row],[Avance_km]]&lt;&gt;"",Tabla1[[#This Row],[Avance_km]],Tabla1[[#This Row],[Avance_Med]])*_xlfn.XLOOKUP(Tabla1[[#This Row],[Codigo_actividad]],Catalogo!$B$6:$B$51,Catalogo!$F$6:$F$51,0)</f>
        <v>6.7722600000000002</v>
      </c>
    </row>
    <row r="507" spans="1:14" x14ac:dyDescent="0.25">
      <c r="A507" s="354">
        <v>46207</v>
      </c>
      <c r="B507" s="114" t="s">
        <v>12</v>
      </c>
      <c r="C507" s="155" t="s">
        <v>329</v>
      </c>
      <c r="D507" s="39" t="s">
        <v>225</v>
      </c>
      <c r="E507" s="40" t="s">
        <v>16</v>
      </c>
      <c r="F507" s="28">
        <v>4500</v>
      </c>
      <c r="G507" s="28">
        <v>5970</v>
      </c>
      <c r="H507" s="224">
        <f>IF(Tabla1[[#This Row],[Codigo_actividad]]&lt;&gt;2.5,IF(((Tabla1[[#This Row],[fin]]-Tabla1[[#This Row],[inicio]])/1000)=0,"",((Tabla1[[#This Row],[fin]]-Tabla1[[#This Row],[inicio]])/1000)),"")</f>
        <v>1.47</v>
      </c>
      <c r="I507" s="66"/>
      <c r="J507" s="76">
        <v>2.6</v>
      </c>
      <c r="K507" s="66" t="str">
        <f>IF(_xlfn.XLOOKUP($J507,Catalogo!$B$7:$B$210,Catalogo!$I$7:$I$210,"",0)=0,"",_xlfn.XLOOKUP($J507,Catalogo!$B$7:$B$210,Catalogo!$I$7:$I$210,"",0))</f>
        <v>Localizacion</v>
      </c>
      <c r="L507" s="36">
        <f>+_xlfn.XLOOKUP(Tabla1[[#This Row],[Ducto]],nombres!D:D,nombres!E:E)/1000</f>
        <v>5.7880000000000003</v>
      </c>
      <c r="M507" s="261">
        <f>IF(Tabla1[[#This Row],[Avance_km]]&lt;&gt;"",Tabla1[[#This Row],[Avance_km]],Tabla1[[#This Row],[Avance_Med]])*_xlfn.XLOOKUP(Tabla1[[#This Row],[Codigo_actividad]],Catalogo!$B$6:$B$51,Catalogo!$F$6:$F$51,0)</f>
        <v>3318.4074000000001</v>
      </c>
    </row>
    <row r="508" spans="1:14" x14ac:dyDescent="0.25">
      <c r="A508" s="354"/>
      <c r="C508" s="155"/>
      <c r="D508" s="39"/>
      <c r="F508" s="28"/>
      <c r="G508" s="28"/>
      <c r="H508" s="224" t="str">
        <f>IF(Tabla1[[#This Row],[Codigo_actividad]]&lt;&gt;2.5,IF(((Tabla1[[#This Row],[fin]]-Tabla1[[#This Row],[inicio]])/1000)=0,"",((Tabla1[[#This Row],[fin]]-Tabla1[[#This Row],[inicio]])/1000)),"")</f>
        <v/>
      </c>
      <c r="J508" s="76"/>
      <c r="K508" s="66" t="str">
        <f>IF(_xlfn.XLOOKUP($J508,Catalogo!$B$7:$B$21,Catalogo!$I$7:$I$21,"",0)=0,"",_xlfn.XLOOKUP($J508,Catalogo!$B$7:$B$21,Catalogo!$I$7:$I$21,"",0))</f>
        <v/>
      </c>
      <c r="L508" s="36"/>
      <c r="M508" s="261">
        <f>IF(Tabla1[[#This Row],[Avance_km]]&lt;&gt;"",Tabla1[[#This Row],[Avance_km]],Tabla1[[#This Row],[Avance_Med]])*_xlfn.XLOOKUP(Tabla1[[#This Row],[Codigo_actividad]],Catalogo!$B$6:$B$51,Catalogo!$F$6:$F$51,0)</f>
        <v>0</v>
      </c>
      <c r="N508" t="str">
        <f>_xlfn.IFNA(_xlfn.XLOOKUP(Tabla1[[#This Row],[fin]],$P$379:$P$398,$T$379:$T$398),"")</f>
        <v/>
      </c>
    </row>
    <row r="509" spans="1:14" x14ac:dyDescent="0.25">
      <c r="A509" s="354"/>
      <c r="C509" s="155"/>
      <c r="D509" s="39"/>
      <c r="F509" s="28"/>
      <c r="G509" s="28"/>
      <c r="H509" s="224" t="str">
        <f>IF(Tabla1[[#This Row],[Codigo_actividad]]&lt;&gt;2.5,IF(((Tabla1[[#This Row],[fin]]-Tabla1[[#This Row],[inicio]])/1000)=0,"",((Tabla1[[#This Row],[fin]]-Tabla1[[#This Row],[inicio]])/1000)),"")</f>
        <v/>
      </c>
      <c r="J509" s="76"/>
      <c r="K509" s="66" t="str">
        <f>IF(_xlfn.XLOOKUP($J509,Catalogo!$B$7:$B$21,Catalogo!$I$7:$I$21,"",0)=0,"",_xlfn.XLOOKUP($J509,Catalogo!$B$7:$B$21,Catalogo!$I$7:$I$21,"",0))</f>
        <v/>
      </c>
      <c r="L509" s="36"/>
      <c r="M509" s="261">
        <f>IF(Tabla1[[#This Row],[Avance_km]]&lt;&gt;"",Tabla1[[#This Row],[Avance_km]],Tabla1[[#This Row],[Avance_Med]])*_xlfn.XLOOKUP(Tabla1[[#This Row],[Codigo_actividad]],Catalogo!$B$6:$B$51,Catalogo!$F$6:$F$51,0)</f>
        <v>0</v>
      </c>
      <c r="N509" t="str">
        <f>_xlfn.IFNA(_xlfn.XLOOKUP(Tabla1[[#This Row],[fin]],$P$379:$P$398,$T$379:$T$398),"")</f>
        <v/>
      </c>
    </row>
    <row r="510" spans="1:14" x14ac:dyDescent="0.25">
      <c r="A510" s="354">
        <v>46209</v>
      </c>
      <c r="B510" s="114" t="s">
        <v>12</v>
      </c>
      <c r="C510" s="155" t="s">
        <v>329</v>
      </c>
      <c r="D510" s="39" t="s">
        <v>217</v>
      </c>
      <c r="E510" s="40" t="s">
        <v>16</v>
      </c>
      <c r="F510" s="28">
        <v>0</v>
      </c>
      <c r="G510" s="28">
        <v>5872</v>
      </c>
      <c r="H510" s="224">
        <f>IF(Tabla1[[#This Row],[Codigo_actividad]]&lt;&gt;2.5,IF(((Tabla1[[#This Row],[fin]]-Tabla1[[#This Row],[inicio]])/1000)=0,"",((Tabla1[[#This Row],[fin]]-Tabla1[[#This Row],[inicio]])/1000)),"")</f>
        <v>5.8719999999999999</v>
      </c>
      <c r="I510" s="66"/>
      <c r="J510" s="76">
        <v>2.6</v>
      </c>
      <c r="K510" s="66" t="str">
        <f>IF(_xlfn.XLOOKUP($J510,Catalogo!$B$7:$B$210,Catalogo!$I$7:$I$210,"",0)=0,"",_xlfn.XLOOKUP($J510,Catalogo!$B$7:$B$210,Catalogo!$I$7:$I$210,"",0))</f>
        <v>Localizacion</v>
      </c>
      <c r="L510" s="36">
        <f>+_xlfn.XLOOKUP(Tabla1[[#This Row],[Ducto]],'R (s03)'!B:B,'R (s03)'!C:C)</f>
        <v>5.8719999999999999</v>
      </c>
      <c r="M510" s="261">
        <f>IF(Tabla1[[#This Row],[Avance_km]]&lt;&gt;"",Tabla1[[#This Row],[Avance_km]],Tabla1[[#This Row],[Avance_Med]])*_xlfn.XLOOKUP(Tabla1[[#This Row],[Codigo_actividad]],Catalogo!$B$6:$B$51,Catalogo!$F$6:$F$51,0)</f>
        <v>13255.570240000001</v>
      </c>
    </row>
    <row r="511" spans="1:14" x14ac:dyDescent="0.25">
      <c r="A511" s="354">
        <v>46210</v>
      </c>
      <c r="B511" s="114" t="s">
        <v>12</v>
      </c>
      <c r="C511" s="155" t="s">
        <v>329</v>
      </c>
      <c r="D511" s="39" t="s">
        <v>253</v>
      </c>
      <c r="E511" s="40" t="s">
        <v>28</v>
      </c>
      <c r="F511" s="28">
        <v>0</v>
      </c>
      <c r="G511" s="28">
        <v>1324</v>
      </c>
      <c r="H511" s="224">
        <f>IF(Tabla1[[#This Row],[Codigo_actividad]]&lt;&gt;2.5,IF(((Tabla1[[#This Row],[fin]]-Tabla1[[#This Row],[inicio]])/1000)=0,"",((Tabla1[[#This Row],[fin]]-Tabla1[[#This Row],[inicio]])/1000)),"")</f>
        <v>1.3240000000000001</v>
      </c>
      <c r="I511" s="66"/>
      <c r="J511" s="76">
        <v>2.1</v>
      </c>
      <c r="K511" s="66" t="str">
        <f>IF(_xlfn.XLOOKUP($J511,Catalogo!$B$7:$B$210,Catalogo!$I$7:$I$210,"",0)=0,"",_xlfn.XLOOKUP($J511,Catalogo!$B$7:$B$210,Catalogo!$I$7:$I$210,"",0))</f>
        <v>CIPS</v>
      </c>
      <c r="L511" s="36">
        <f>+_xlfn.XLOOKUP(Tabla1[[#This Row],[Ducto]],'R (s03)'!B:B,'R (s03)'!C:C)</f>
        <v>1.3240000000000001</v>
      </c>
      <c r="M511" s="261">
        <f>IF(Tabla1[[#This Row],[Avance_km]]&lt;&gt;"",Tabla1[[#This Row],[Avance_km]],Tabla1[[#This Row],[Avance_Med]])*_xlfn.XLOOKUP(Tabla1[[#This Row],[Codigo_actividad]],Catalogo!$B$6:$B$51,Catalogo!$F$6:$F$51,0)</f>
        <v>19226.346840000002</v>
      </c>
    </row>
    <row r="512" spans="1:14" x14ac:dyDescent="0.25">
      <c r="A512" s="354">
        <v>46211</v>
      </c>
      <c r="B512" s="114" t="s">
        <v>12</v>
      </c>
      <c r="C512" s="155" t="s">
        <v>329</v>
      </c>
      <c r="D512" s="39" t="s">
        <v>233</v>
      </c>
      <c r="E512" s="40" t="s">
        <v>28</v>
      </c>
      <c r="F512" s="28">
        <v>0</v>
      </c>
      <c r="G512" s="28">
        <v>3</v>
      </c>
      <c r="H512" s="224">
        <f>IF(Tabla1[[#This Row],[Codigo_actividad]]&lt;&gt;2.5,IF(((Tabla1[[#This Row],[fin]]-Tabla1[[#This Row],[inicio]])/1000)=0,"",((Tabla1[[#This Row],[fin]]-Tabla1[[#This Row],[inicio]])/1000)),"")</f>
        <v>3.0000000000000001E-3</v>
      </c>
      <c r="I512" s="66"/>
      <c r="J512" s="76">
        <v>2.1</v>
      </c>
      <c r="K512" s="66" t="str">
        <f>IF(_xlfn.XLOOKUP($J512,Catalogo!$B$7:$B$210,Catalogo!$I$7:$I$210,"",0)=0,"",_xlfn.XLOOKUP($J512,Catalogo!$B$7:$B$210,Catalogo!$I$7:$I$210,"",0))</f>
        <v>CIPS</v>
      </c>
      <c r="L512" s="36">
        <f>+_xlfn.XLOOKUP(Tabla1[[#This Row],[Ducto]],'R (s03)'!B:B,'R (s03)'!C:C)</f>
        <v>3.0000000000000001E-3</v>
      </c>
      <c r="M512" s="261">
        <f>IF(Tabla1[[#This Row],[Avance_km]]&lt;&gt;"",Tabla1[[#This Row],[Avance_km]],Tabla1[[#This Row],[Avance_Med]])*_xlfn.XLOOKUP(Tabla1[[#This Row],[Codigo_actividad]],Catalogo!$B$6:$B$51,Catalogo!$F$6:$F$51,0)</f>
        <v>43.564230000000002</v>
      </c>
    </row>
    <row r="513" spans="1:17" x14ac:dyDescent="0.25">
      <c r="A513" s="354">
        <v>46211</v>
      </c>
      <c r="B513" s="114" t="s">
        <v>12</v>
      </c>
      <c r="C513" s="155" t="s">
        <v>329</v>
      </c>
      <c r="D513" s="39" t="s">
        <v>227</v>
      </c>
      <c r="E513" s="40" t="s">
        <v>28</v>
      </c>
      <c r="F513" s="28">
        <v>0</v>
      </c>
      <c r="G513" s="28">
        <v>40</v>
      </c>
      <c r="H513" s="224">
        <f>IF(Tabla1[[#This Row],[Codigo_actividad]]&lt;&gt;2.5,IF(((Tabla1[[#This Row],[fin]]-Tabla1[[#This Row],[inicio]])/1000)=0,"",((Tabla1[[#This Row],[fin]]-Tabla1[[#This Row],[inicio]])/1000)),"")</f>
        <v>0.04</v>
      </c>
      <c r="I513" s="66"/>
      <c r="J513" s="76">
        <v>2.1</v>
      </c>
      <c r="K513" s="66" t="str">
        <f>IF(_xlfn.XLOOKUP($J513,Catalogo!$B$7:$B$210,Catalogo!$I$7:$I$210,"",0)=0,"",_xlfn.XLOOKUP($J513,Catalogo!$B$7:$B$210,Catalogo!$I$7:$I$210,"",0))</f>
        <v>CIPS</v>
      </c>
      <c r="L513" s="36">
        <f>+_xlfn.XLOOKUP(Tabla1[[#This Row],[Ducto]],'R (s03)'!B:B,'R (s03)'!C:C)</f>
        <v>0.04</v>
      </c>
      <c r="M513" s="261">
        <f>IF(Tabla1[[#This Row],[Avance_km]]&lt;&gt;"",Tabla1[[#This Row],[Avance_km]],Tabla1[[#This Row],[Avance_Med]])*_xlfn.XLOOKUP(Tabla1[[#This Row],[Codigo_actividad]],Catalogo!$B$6:$B$51,Catalogo!$F$6:$F$51,0)</f>
        <v>580.85640000000001</v>
      </c>
    </row>
    <row r="514" spans="1:17" x14ac:dyDescent="0.25">
      <c r="A514" s="354">
        <v>46212</v>
      </c>
      <c r="B514" s="114" t="s">
        <v>12</v>
      </c>
      <c r="C514" s="155" t="s">
        <v>329</v>
      </c>
      <c r="D514" s="39" t="s">
        <v>239</v>
      </c>
      <c r="E514" s="40" t="s">
        <v>28</v>
      </c>
      <c r="F514" s="28">
        <v>0</v>
      </c>
      <c r="G514" s="28">
        <v>278</v>
      </c>
      <c r="H514" s="224">
        <f>IF(Tabla1[[#This Row],[Codigo_actividad]]&lt;&gt;2.5,IF(((Tabla1[[#This Row],[fin]]-Tabla1[[#This Row],[inicio]])/1000)=0,"",((Tabla1[[#This Row],[fin]]-Tabla1[[#This Row],[inicio]])/1000)),"")</f>
        <v>0.27800000000000002</v>
      </c>
      <c r="I514" s="66"/>
      <c r="J514" s="76">
        <v>2.1</v>
      </c>
      <c r="K514" s="66" t="str">
        <f>IF(_xlfn.XLOOKUP($J514,Catalogo!$B$7:$B$210,Catalogo!$I$7:$I$210,"",0)=0,"",_xlfn.XLOOKUP($J514,Catalogo!$B$7:$B$210,Catalogo!$I$7:$I$210,"",0))</f>
        <v>CIPS</v>
      </c>
      <c r="L514" s="36">
        <f>+_xlfn.XLOOKUP(Tabla1[[#This Row],[Ducto]],'R (s03)'!B:B,'R (s03)'!C:C)</f>
        <v>0.27800000000000002</v>
      </c>
      <c r="M514" s="261">
        <f>IF(Tabla1[[#This Row],[Avance_km]]&lt;&gt;"",Tabla1[[#This Row],[Avance_km]],Tabla1[[#This Row],[Avance_Med]])*_xlfn.XLOOKUP(Tabla1[[#This Row],[Codigo_actividad]],Catalogo!$B$6:$B$51,Catalogo!$F$6:$F$51,0)</f>
        <v>4036.9519800000003</v>
      </c>
      <c r="N514" t="s">
        <v>511</v>
      </c>
    </row>
    <row r="515" spans="1:17" x14ac:dyDescent="0.25">
      <c r="A515" s="354">
        <v>46212</v>
      </c>
      <c r="B515" s="114" t="s">
        <v>12</v>
      </c>
      <c r="C515" s="155" t="s">
        <v>329</v>
      </c>
      <c r="D515" s="39" t="s">
        <v>504</v>
      </c>
      <c r="E515" s="40" t="s">
        <v>28</v>
      </c>
      <c r="F515" s="28">
        <v>0</v>
      </c>
      <c r="G515" s="28">
        <v>243</v>
      </c>
      <c r="H515" s="224">
        <f>IF(Tabla1[[#This Row],[Codigo_actividad]]&lt;&gt;2.5,IF(((Tabla1[[#This Row],[fin]]-Tabla1[[#This Row],[inicio]])/1000)=0,"",((Tabla1[[#This Row],[fin]]-Tabla1[[#This Row],[inicio]])/1000)),"")</f>
        <v>0.24299999999999999</v>
      </c>
      <c r="I515" s="66"/>
      <c r="J515" s="76">
        <v>2.1</v>
      </c>
      <c r="K515" s="66" t="str">
        <f>IF(_xlfn.XLOOKUP($J515,Catalogo!$B$7:$B$210,Catalogo!$I$7:$I$210,"",0)=0,"",_xlfn.XLOOKUP($J515,Catalogo!$B$7:$B$210,Catalogo!$I$7:$I$210,"",0))</f>
        <v>CIPS</v>
      </c>
      <c r="L515" s="36">
        <f>+_xlfn.XLOOKUP(Tabla1[[#This Row],[Ducto]],'R (s03)'!B:B,'R (s03)'!C:C)</f>
        <v>0.24299999999999999</v>
      </c>
      <c r="M515" s="261">
        <f>IF(Tabla1[[#This Row],[Avance_km]]&lt;&gt;"",Tabla1[[#This Row],[Avance_km]],Tabla1[[#This Row],[Avance_Med]])*_xlfn.XLOOKUP(Tabla1[[#This Row],[Codigo_actividad]],Catalogo!$B$6:$B$51,Catalogo!$F$6:$F$51,0)</f>
        <v>3528.7026299999998</v>
      </c>
      <c r="N515" t="s">
        <v>512</v>
      </c>
    </row>
    <row r="516" spans="1:17" x14ac:dyDescent="0.25">
      <c r="A516" s="354">
        <v>46212</v>
      </c>
      <c r="B516" s="114" t="s">
        <v>12</v>
      </c>
      <c r="C516" s="155" t="s">
        <v>329</v>
      </c>
      <c r="D516" s="39" t="s">
        <v>225</v>
      </c>
      <c r="E516" s="40" t="s">
        <v>28</v>
      </c>
      <c r="F516" s="28">
        <v>2200</v>
      </c>
      <c r="G516" s="28">
        <v>3400</v>
      </c>
      <c r="H516" s="224">
        <f>IF(Tabla1[[#This Row],[Codigo_actividad]]&lt;&gt;2.5,IF(((Tabla1[[#This Row],[fin]]-Tabla1[[#This Row],[inicio]])/1000)=0,"",((Tabla1[[#This Row],[fin]]-Tabla1[[#This Row],[inicio]])/1000)),"")</f>
        <v>1.2</v>
      </c>
      <c r="I516" s="66"/>
      <c r="J516" s="76">
        <v>2.1</v>
      </c>
      <c r="K516" s="66" t="str">
        <f>IF(_xlfn.XLOOKUP($J516,Catalogo!$B$7:$B$210,Catalogo!$I$7:$I$210,"",0)=0,"",_xlfn.XLOOKUP($J516,Catalogo!$B$7:$B$210,Catalogo!$I$7:$I$210,"",0))</f>
        <v>CIPS</v>
      </c>
      <c r="L516" s="36">
        <f>+_xlfn.XLOOKUP(Tabla1[[#This Row],[Ducto]],'R (s03)'!B:B,'R (s03)'!C:C)</f>
        <v>5.97</v>
      </c>
      <c r="M516" s="261">
        <f>IF(Tabla1[[#This Row],[Avance_km]]&lt;&gt;"",Tabla1[[#This Row],[Avance_km]],Tabla1[[#This Row],[Avance_Med]])*_xlfn.XLOOKUP(Tabla1[[#This Row],[Codigo_actividad]],Catalogo!$B$6:$B$51,Catalogo!$F$6:$F$51,0)</f>
        <v>17425.691999999999</v>
      </c>
    </row>
    <row r="517" spans="1:17" x14ac:dyDescent="0.25">
      <c r="A517" s="354">
        <v>46213</v>
      </c>
      <c r="B517" s="114" t="s">
        <v>12</v>
      </c>
      <c r="C517" s="155" t="s">
        <v>329</v>
      </c>
      <c r="D517" s="39" t="s">
        <v>225</v>
      </c>
      <c r="E517" s="40" t="s">
        <v>28</v>
      </c>
      <c r="F517" s="28">
        <v>3400</v>
      </c>
      <c r="G517" s="28">
        <v>5750</v>
      </c>
      <c r="H517" s="224">
        <f>IF(Tabla1[[#This Row],[Codigo_actividad]]&lt;&gt;2.5,IF(((Tabla1[[#This Row],[fin]]-Tabla1[[#This Row],[inicio]])/1000)=0,"",((Tabla1[[#This Row],[fin]]-Tabla1[[#This Row],[inicio]])/1000)),"")</f>
        <v>2.35</v>
      </c>
      <c r="I517" s="66"/>
      <c r="J517" s="76">
        <v>2.1</v>
      </c>
      <c r="K517" s="66" t="str">
        <f>IF(_xlfn.XLOOKUP($J517,Catalogo!$B$7:$B$210,Catalogo!$I$7:$I$210,"",0)=0,"",_xlfn.XLOOKUP($J517,Catalogo!$B$7:$B$210,Catalogo!$I$7:$I$210,"",0))</f>
        <v>CIPS</v>
      </c>
      <c r="L517" s="36">
        <f>+_xlfn.XLOOKUP(Tabla1[[#This Row],[Ducto]],'R (s03)'!B:B,'R (s03)'!C:C)</f>
        <v>5.97</v>
      </c>
      <c r="M517" s="261">
        <f>IF(Tabla1[[#This Row],[Avance_km]]&lt;&gt;"",Tabla1[[#This Row],[Avance_km]],Tabla1[[#This Row],[Avance_Med]])*_xlfn.XLOOKUP(Tabla1[[#This Row],[Codigo_actividad]],Catalogo!$B$6:$B$51,Catalogo!$F$6:$F$51,0)</f>
        <v>34125.313500000004</v>
      </c>
      <c r="P517" t="s">
        <v>225</v>
      </c>
    </row>
    <row r="518" spans="1:17" x14ac:dyDescent="0.25">
      <c r="A518" s="354">
        <v>46214</v>
      </c>
      <c r="B518" s="114" t="s">
        <v>12</v>
      </c>
      <c r="C518" s="155" t="s">
        <v>329</v>
      </c>
      <c r="D518" s="39" t="s">
        <v>225</v>
      </c>
      <c r="E518" s="40" t="s">
        <v>28</v>
      </c>
      <c r="F518" s="28">
        <v>5750</v>
      </c>
      <c r="G518" s="28">
        <v>5970</v>
      </c>
      <c r="H518" s="224">
        <f>IF(Tabla1[[#This Row],[Codigo_actividad]]&lt;&gt;2.5,IF(((Tabla1[[#This Row],[fin]]-Tabla1[[#This Row],[inicio]])/1000)=0,"",((Tabla1[[#This Row],[fin]]-Tabla1[[#This Row],[inicio]])/1000)),"")</f>
        <v>0.22</v>
      </c>
      <c r="I518" s="66"/>
      <c r="J518" s="76">
        <v>2.1</v>
      </c>
      <c r="K518" s="66" t="str">
        <f>IF(_xlfn.XLOOKUP($J518,Catalogo!$B$7:$B$210,Catalogo!$I$7:$I$210,"",0)=0,"",_xlfn.XLOOKUP($J518,Catalogo!$B$7:$B$210,Catalogo!$I$7:$I$210,"",0))</f>
        <v>CIPS</v>
      </c>
      <c r="L518" s="36">
        <f>+_xlfn.XLOOKUP(Tabla1[[#This Row],[Ducto]],'R (s03)'!B:B,'R (s03)'!C:C)</f>
        <v>5.97</v>
      </c>
      <c r="M518" s="261">
        <f>IF(Tabla1[[#This Row],[Avance_km]]&lt;&gt;"",Tabla1[[#This Row],[Avance_km]],Tabla1[[#This Row],[Avance_Med]])*_xlfn.XLOOKUP(Tabla1[[#This Row],[Codigo_actividad]],Catalogo!$B$6:$B$51,Catalogo!$F$6:$F$51,0)</f>
        <v>3194.7102</v>
      </c>
      <c r="P518" s="389">
        <v>0</v>
      </c>
      <c r="Q518" s="389">
        <v>500</v>
      </c>
    </row>
    <row r="519" spans="1:17" x14ac:dyDescent="0.25">
      <c r="A519" s="354">
        <v>46214</v>
      </c>
      <c r="B519" s="114" t="s">
        <v>12</v>
      </c>
      <c r="C519" s="155" t="s">
        <v>329</v>
      </c>
      <c r="D519" s="39" t="s">
        <v>225</v>
      </c>
      <c r="E519" s="40" t="s">
        <v>28</v>
      </c>
      <c r="F519" s="28">
        <v>0</v>
      </c>
      <c r="G519" s="28">
        <v>500</v>
      </c>
      <c r="H519" s="224">
        <f>IF(Tabla1[[#This Row],[Codigo_actividad]]&lt;&gt;2.5,IF(((Tabla1[[#This Row],[fin]]-Tabla1[[#This Row],[inicio]])/1000)=0,"",((Tabla1[[#This Row],[fin]]-Tabla1[[#This Row],[inicio]])/1000)),"")</f>
        <v>0.5</v>
      </c>
      <c r="I519" s="66"/>
      <c r="J519" s="76">
        <v>2.1</v>
      </c>
      <c r="K519" s="66" t="str">
        <f>IF(_xlfn.XLOOKUP($J519,Catalogo!$B$7:$B$210,Catalogo!$I$7:$I$210,"",0)=0,"",_xlfn.XLOOKUP($J519,Catalogo!$B$7:$B$210,Catalogo!$I$7:$I$210,"",0))</f>
        <v>CIPS</v>
      </c>
      <c r="L519" s="36">
        <f>+_xlfn.XLOOKUP(Tabla1[[#This Row],[Ducto]],'R (s03)'!B:B,'R (s03)'!C:C)</f>
        <v>5.97</v>
      </c>
      <c r="M519" s="261">
        <f>IF(Tabla1[[#This Row],[Avance_km]]&lt;&gt;"",Tabla1[[#This Row],[Avance_km]],Tabla1[[#This Row],[Avance_Med]])*_xlfn.XLOOKUP(Tabla1[[#This Row],[Codigo_actividad]],Catalogo!$B$6:$B$51,Catalogo!$F$6:$F$51,0)</f>
        <v>7260.7049999999999</v>
      </c>
      <c r="P519" s="389">
        <v>500</v>
      </c>
      <c r="Q519" s="389">
        <v>2200</v>
      </c>
    </row>
    <row r="520" spans="1:17" x14ac:dyDescent="0.25">
      <c r="A520" s="354">
        <v>46215</v>
      </c>
      <c r="B520" s="114" t="s">
        <v>12</v>
      </c>
      <c r="C520" s="155" t="s">
        <v>329</v>
      </c>
      <c r="D520" s="39" t="s">
        <v>225</v>
      </c>
      <c r="E520" s="40" t="s">
        <v>28</v>
      </c>
      <c r="F520" s="28">
        <v>500</v>
      </c>
      <c r="G520" s="28">
        <v>2200</v>
      </c>
      <c r="H520" s="224">
        <f>IF(Tabla1[[#This Row],[Codigo_actividad]]&lt;&gt;2.5,IF(((Tabla1[[#This Row],[fin]]-Tabla1[[#This Row],[inicio]])/1000)=0,"",((Tabla1[[#This Row],[fin]]-Tabla1[[#This Row],[inicio]])/1000)),"")</f>
        <v>1.7</v>
      </c>
      <c r="I520" s="66"/>
      <c r="J520" s="76">
        <v>2.1</v>
      </c>
      <c r="K520" s="66" t="str">
        <f>IF(_xlfn.XLOOKUP($J520,Catalogo!$B$7:$B$210,Catalogo!$I$7:$I$210,"",0)=0,"",_xlfn.XLOOKUP($J520,Catalogo!$B$7:$B$210,Catalogo!$I$7:$I$210,"",0))</f>
        <v>CIPS</v>
      </c>
      <c r="L520" s="36">
        <f>+_xlfn.XLOOKUP(Tabla1[[#This Row],[Ducto]],'R (s03)'!B:B,'R (s03)'!C:C)</f>
        <v>5.97</v>
      </c>
      <c r="M520" s="261">
        <f>IF(Tabla1[[#This Row],[Avance_km]]&lt;&gt;"",Tabla1[[#This Row],[Avance_km]],Tabla1[[#This Row],[Avance_Med]])*_xlfn.XLOOKUP(Tabla1[[#This Row],[Codigo_actividad]],Catalogo!$B$6:$B$51,Catalogo!$F$6:$F$51,0)</f>
        <v>24686.397000000001</v>
      </c>
      <c r="P520" s="389">
        <v>2200</v>
      </c>
      <c r="Q520" s="389">
        <v>3400</v>
      </c>
    </row>
    <row r="521" spans="1:17" x14ac:dyDescent="0.25">
      <c r="A521" s="354"/>
      <c r="C521" s="155"/>
      <c r="D521" s="39"/>
      <c r="F521" s="28"/>
      <c r="G521" s="28"/>
      <c r="H521" s="224" t="str">
        <f>IF(Tabla1[[#This Row],[Codigo_actividad]]&lt;&gt;2.5,IF(((Tabla1[[#This Row],[fin]]-Tabla1[[#This Row],[inicio]])/1000)=0,"",((Tabla1[[#This Row],[fin]]-Tabla1[[#This Row],[inicio]])/1000)),"")</f>
        <v/>
      </c>
      <c r="J521" s="76"/>
      <c r="K521" s="66" t="str">
        <f>IF(_xlfn.XLOOKUP($J521,Catalogo!$B$7:$B$21,Catalogo!$I$7:$I$21,"",0)=0,"",_xlfn.XLOOKUP($J521,Catalogo!$B$7:$B$21,Catalogo!$I$7:$I$21,"",0))</f>
        <v/>
      </c>
      <c r="L521" s="36"/>
      <c r="M521" s="261">
        <f>IF(Tabla1[[#This Row],[Avance_km]]&lt;&gt;"",Tabla1[[#This Row],[Avance_km]],Tabla1[[#This Row],[Avance_Med]])*_xlfn.XLOOKUP(Tabla1[[#This Row],[Codigo_actividad]],Catalogo!$B$6:$B$51,Catalogo!$F$6:$F$51,0)</f>
        <v>0</v>
      </c>
      <c r="N521" t="str">
        <f>_xlfn.IFNA(_xlfn.XLOOKUP(Tabla1[[#This Row],[fin]],$P$379:$P$398,$T$379:$T$398),"")</f>
        <v/>
      </c>
      <c r="P521" s="389">
        <v>3400</v>
      </c>
      <c r="Q521" s="389">
        <v>5750</v>
      </c>
    </row>
    <row r="522" spans="1:17" x14ac:dyDescent="0.25">
      <c r="A522" s="354">
        <v>46216</v>
      </c>
      <c r="B522" s="114" t="s">
        <v>12</v>
      </c>
      <c r="C522" s="155" t="s">
        <v>329</v>
      </c>
      <c r="D522" s="39" t="s">
        <v>217</v>
      </c>
      <c r="E522" s="40" t="s">
        <v>28</v>
      </c>
      <c r="F522" s="28">
        <v>0</v>
      </c>
      <c r="G522" s="28">
        <v>500</v>
      </c>
      <c r="H522" s="224">
        <f>IF(Tabla1[[#This Row],[Codigo_actividad]]&lt;&gt;2.5,IF(((Tabla1[[#This Row],[fin]]-Tabla1[[#This Row],[inicio]])/1000)=0,"",((Tabla1[[#This Row],[fin]]-Tabla1[[#This Row],[inicio]])/1000)),"")</f>
        <v>0.5</v>
      </c>
      <c r="I522" s="66"/>
      <c r="J522" s="76">
        <v>2.1</v>
      </c>
      <c r="K522" s="66" t="str">
        <f>IF(_xlfn.XLOOKUP($J522,Catalogo!$B$7:$B$210,Catalogo!$I$7:$I$210,"",0)=0,"",_xlfn.XLOOKUP($J522,Catalogo!$B$7:$B$210,Catalogo!$I$7:$I$210,"",0))</f>
        <v>CIPS</v>
      </c>
      <c r="L522" s="36">
        <f>+_xlfn.XLOOKUP(Tabla1[[#This Row],[Ducto]],'R (s03)'!B:B,'R (s03)'!C:C)</f>
        <v>5.8719999999999999</v>
      </c>
      <c r="M522" s="261">
        <f>IF(Tabla1[[#This Row],[Avance_km]]&lt;&gt;"",Tabla1[[#This Row],[Avance_km]],Tabla1[[#This Row],[Avance_Med]])*_xlfn.XLOOKUP(Tabla1[[#This Row],[Codigo_actividad]],Catalogo!$B$6:$B$51,Catalogo!$F$6:$F$51,0)</f>
        <v>7260.7049999999999</v>
      </c>
    </row>
    <row r="523" spans="1:17" x14ac:dyDescent="0.25">
      <c r="A523" s="354">
        <v>46217</v>
      </c>
      <c r="B523" s="114" t="s">
        <v>12</v>
      </c>
      <c r="C523" s="155" t="s">
        <v>329</v>
      </c>
      <c r="D523" s="39" t="s">
        <v>217</v>
      </c>
      <c r="E523" s="40" t="s">
        <v>28</v>
      </c>
      <c r="F523" s="28">
        <v>500</v>
      </c>
      <c r="G523" s="28">
        <v>1600</v>
      </c>
      <c r="H523" s="224">
        <f>IF(Tabla1[[#This Row],[Codigo_actividad]]&lt;&gt;2.5,IF(((Tabla1[[#This Row],[fin]]-Tabla1[[#This Row],[inicio]])/1000)=0,"",((Tabla1[[#This Row],[fin]]-Tabla1[[#This Row],[inicio]])/1000)),"")</f>
        <v>1.1000000000000001</v>
      </c>
      <c r="I523" s="66"/>
      <c r="J523" s="76">
        <v>2.1</v>
      </c>
      <c r="K523" s="66" t="str">
        <f>IF(_xlfn.XLOOKUP($J523,Catalogo!$B$7:$B$210,Catalogo!$I$7:$I$210,"",0)=0,"",_xlfn.XLOOKUP($J523,Catalogo!$B$7:$B$210,Catalogo!$I$7:$I$210,"",0))</f>
        <v>CIPS</v>
      </c>
      <c r="L523" s="36">
        <f>+_xlfn.XLOOKUP(Tabla1[[#This Row],[Ducto]],'R (s03)'!B:B,'R (s03)'!C:C)</f>
        <v>5.8719999999999999</v>
      </c>
      <c r="M523" s="261">
        <f>IF(Tabla1[[#This Row],[Avance_km]]&lt;&gt;"",Tabla1[[#This Row],[Avance_km]],Tabla1[[#This Row],[Avance_Med]])*_xlfn.XLOOKUP(Tabla1[[#This Row],[Codigo_actividad]],Catalogo!$B$6:$B$51,Catalogo!$F$6:$F$51,0)</f>
        <v>15973.551000000001</v>
      </c>
    </row>
    <row r="524" spans="1:17" x14ac:dyDescent="0.25">
      <c r="A524" s="354">
        <v>46218</v>
      </c>
      <c r="B524" s="114" t="s">
        <v>12</v>
      </c>
      <c r="C524" s="155" t="s">
        <v>329</v>
      </c>
      <c r="D524" s="39" t="s">
        <v>217</v>
      </c>
      <c r="E524" s="40" t="s">
        <v>28</v>
      </c>
      <c r="F524" s="28">
        <v>1600</v>
      </c>
      <c r="G524" s="28">
        <v>2300</v>
      </c>
      <c r="H524" s="224">
        <f>IF(Tabla1[[#This Row],[Codigo_actividad]]&lt;&gt;2.5,IF(((Tabla1[[#This Row],[fin]]-Tabla1[[#This Row],[inicio]])/1000)=0,"",((Tabla1[[#This Row],[fin]]-Tabla1[[#This Row],[inicio]])/1000)),"")</f>
        <v>0.7</v>
      </c>
      <c r="I524" s="66"/>
      <c r="J524" s="76">
        <v>2.1</v>
      </c>
      <c r="K524" s="66" t="str">
        <f>IF(_xlfn.XLOOKUP($J524,Catalogo!$B$7:$B$210,Catalogo!$I$7:$I$210,"",0)=0,"",_xlfn.XLOOKUP($J524,Catalogo!$B$7:$B$210,Catalogo!$I$7:$I$210,"",0))</f>
        <v>CIPS</v>
      </c>
      <c r="L524" s="36">
        <f>+_xlfn.XLOOKUP(Tabla1[[#This Row],[Ducto]],'R (s03)'!B:B,'R (s03)'!C:C)</f>
        <v>5.8719999999999999</v>
      </c>
      <c r="M524" s="261">
        <f>IF(Tabla1[[#This Row],[Avance_km]]&lt;&gt;"",Tabla1[[#This Row],[Avance_km]],Tabla1[[#This Row],[Avance_Med]])*_xlfn.XLOOKUP(Tabla1[[#This Row],[Codigo_actividad]],Catalogo!$B$6:$B$51,Catalogo!$F$6:$F$51,0)</f>
        <v>10164.986999999999</v>
      </c>
    </row>
    <row r="525" spans="1:17" x14ac:dyDescent="0.25">
      <c r="A525" s="354">
        <v>46219</v>
      </c>
      <c r="B525" s="114" t="s">
        <v>12</v>
      </c>
      <c r="C525" s="155" t="s">
        <v>329</v>
      </c>
      <c r="D525" s="39" t="s">
        <v>241</v>
      </c>
      <c r="E525" s="40" t="s">
        <v>28</v>
      </c>
      <c r="F525" s="28">
        <v>0</v>
      </c>
      <c r="G525" s="28">
        <v>45</v>
      </c>
      <c r="H525" s="224">
        <f>IF(Tabla1[[#This Row],[Codigo_actividad]]&lt;&gt;2.5,IF(((Tabla1[[#This Row],[fin]]-Tabla1[[#This Row],[inicio]])/1000)=0,"",((Tabla1[[#This Row],[fin]]-Tabla1[[#This Row],[inicio]])/1000)),"")</f>
        <v>4.4999999999999998E-2</v>
      </c>
      <c r="I525" s="66"/>
      <c r="J525" s="76">
        <v>2.1</v>
      </c>
      <c r="K525" s="66" t="str">
        <f>IF(_xlfn.XLOOKUP($J525,Catalogo!$B$7:$B$210,Catalogo!$I$7:$I$210,"",0)=0,"",_xlfn.XLOOKUP($J525,Catalogo!$B$7:$B$210,Catalogo!$I$7:$I$210,"",0))</f>
        <v>CIPS</v>
      </c>
      <c r="L525" s="36">
        <f>+_xlfn.XLOOKUP(Tabla1[[#This Row],[Ducto]],'R (s03)'!B:B,'R (s03)'!C:C)</f>
        <v>4.4999999999999998E-2</v>
      </c>
      <c r="M525" s="261">
        <f>IF(Tabla1[[#This Row],[Avance_km]]&lt;&gt;"",Tabla1[[#This Row],[Avance_km]],Tabla1[[#This Row],[Avance_Med]])*_xlfn.XLOOKUP(Tabla1[[#This Row],[Codigo_actividad]],Catalogo!$B$6:$B$51,Catalogo!$F$6:$F$51,0)</f>
        <v>653.46344999999997</v>
      </c>
    </row>
    <row r="526" spans="1:17" x14ac:dyDescent="0.25">
      <c r="A526" s="354">
        <v>46219</v>
      </c>
      <c r="B526" s="114" t="s">
        <v>12</v>
      </c>
      <c r="C526" s="155" t="s">
        <v>329</v>
      </c>
      <c r="D526" s="39" t="s">
        <v>243</v>
      </c>
      <c r="E526" s="40" t="s">
        <v>28</v>
      </c>
      <c r="F526" s="28">
        <v>0</v>
      </c>
      <c r="G526" s="28">
        <v>41</v>
      </c>
      <c r="H526" s="224">
        <f>IF(Tabla1[[#This Row],[Codigo_actividad]]&lt;&gt;2.5,IF(((Tabla1[[#This Row],[fin]]-Tabla1[[#This Row],[inicio]])/1000)=0,"",((Tabla1[[#This Row],[fin]]-Tabla1[[#This Row],[inicio]])/1000)),"")</f>
        <v>4.1000000000000002E-2</v>
      </c>
      <c r="I526" s="66"/>
      <c r="J526" s="76">
        <v>2.1</v>
      </c>
      <c r="K526" s="66" t="str">
        <f>IF(_xlfn.XLOOKUP($J526,Catalogo!$B$7:$B$210,Catalogo!$I$7:$I$210,"",0)=0,"",_xlfn.XLOOKUP($J526,Catalogo!$B$7:$B$210,Catalogo!$I$7:$I$210,"",0))</f>
        <v>CIPS</v>
      </c>
      <c r="L526" s="36">
        <f>+_xlfn.XLOOKUP(Tabla1[[#This Row],[Ducto]],'R (s03)'!B:B,'R (s03)'!C:C)</f>
        <v>4.1000000000000002E-2</v>
      </c>
      <c r="M526" s="261">
        <f>IF(Tabla1[[#This Row],[Avance_km]]&lt;&gt;"",Tabla1[[#This Row],[Avance_km]],Tabla1[[#This Row],[Avance_Med]])*_xlfn.XLOOKUP(Tabla1[[#This Row],[Codigo_actividad]],Catalogo!$B$6:$B$51,Catalogo!$F$6:$F$51,0)</f>
        <v>595.37781000000007</v>
      </c>
    </row>
    <row r="527" spans="1:17" x14ac:dyDescent="0.25">
      <c r="A527" s="354">
        <v>46219</v>
      </c>
      <c r="B527" s="114" t="s">
        <v>12</v>
      </c>
      <c r="C527" s="155" t="s">
        <v>329</v>
      </c>
      <c r="D527" s="39" t="s">
        <v>242</v>
      </c>
      <c r="E527" s="40" t="s">
        <v>28</v>
      </c>
      <c r="F527" s="28">
        <v>0</v>
      </c>
      <c r="G527" s="28">
        <v>47</v>
      </c>
      <c r="H527" s="224">
        <f>IF(Tabla1[[#This Row],[Codigo_actividad]]&lt;&gt;2.5,IF(((Tabla1[[#This Row],[fin]]-Tabla1[[#This Row],[inicio]])/1000)=0,"",((Tabla1[[#This Row],[fin]]-Tabla1[[#This Row],[inicio]])/1000)),"")</f>
        <v>4.7E-2</v>
      </c>
      <c r="I527" s="66"/>
      <c r="J527" s="76">
        <v>2.1</v>
      </c>
      <c r="K527" s="66" t="str">
        <f>IF(_xlfn.XLOOKUP($J527,Catalogo!$B$7:$B$210,Catalogo!$I$7:$I$210,"",0)=0,"",_xlfn.XLOOKUP($J527,Catalogo!$B$7:$B$210,Catalogo!$I$7:$I$210,"",0))</f>
        <v>CIPS</v>
      </c>
      <c r="L527" s="36">
        <f>+_xlfn.XLOOKUP(Tabla1[[#This Row],[Ducto]],'R (s03)'!B:B,'R (s03)'!C:C)</f>
        <v>6.2E-2</v>
      </c>
      <c r="M527" s="261">
        <f>IF(Tabla1[[#This Row],[Avance_km]]&lt;&gt;"",Tabla1[[#This Row],[Avance_km]],Tabla1[[#This Row],[Avance_Med]])*_xlfn.XLOOKUP(Tabla1[[#This Row],[Codigo_actividad]],Catalogo!$B$6:$B$51,Catalogo!$F$6:$F$51,0)</f>
        <v>682.50626999999997</v>
      </c>
    </row>
    <row r="528" spans="1:17" x14ac:dyDescent="0.25">
      <c r="A528" s="354">
        <v>46219</v>
      </c>
      <c r="B528" s="114" t="s">
        <v>12</v>
      </c>
      <c r="C528" s="155" t="s">
        <v>329</v>
      </c>
      <c r="D528" s="39" t="s">
        <v>241</v>
      </c>
      <c r="E528" s="40" t="s">
        <v>16</v>
      </c>
      <c r="F528" s="28">
        <v>0</v>
      </c>
      <c r="G528" s="28">
        <v>45</v>
      </c>
      <c r="H528" s="224">
        <f>IF(Tabla1[[#This Row],[Codigo_actividad]]&lt;&gt;2.5,IF(((Tabla1[[#This Row],[fin]]-Tabla1[[#This Row],[inicio]])/1000)=0,"",((Tabla1[[#This Row],[fin]]-Tabla1[[#This Row],[inicio]])/1000)),"")</f>
        <v>4.4999999999999998E-2</v>
      </c>
      <c r="I528" s="66"/>
      <c r="J528" s="76">
        <v>2.6</v>
      </c>
      <c r="K528" s="66" t="str">
        <f>IF(_xlfn.XLOOKUP($J528,Catalogo!$B$7:$B$210,Catalogo!$I$7:$I$210,"",0)=0,"",_xlfn.XLOOKUP($J528,Catalogo!$B$7:$B$210,Catalogo!$I$7:$I$210,"",0))</f>
        <v>Localizacion</v>
      </c>
      <c r="L528" s="36">
        <f>+_xlfn.XLOOKUP(Tabla1[[#This Row],[Ducto]],'R (s03)'!B:B,'R (s03)'!C:C)</f>
        <v>4.4999999999999998E-2</v>
      </c>
      <c r="M528" s="261">
        <f>IF(Tabla1[[#This Row],[Avance_km]]&lt;&gt;"",Tabla1[[#This Row],[Avance_km]],Tabla1[[#This Row],[Avance_Med]])*_xlfn.XLOOKUP(Tabla1[[#This Row],[Codigo_actividad]],Catalogo!$B$6:$B$51,Catalogo!$F$6:$F$51,0)</f>
        <v>101.5839</v>
      </c>
    </row>
    <row r="529" spans="1:13" x14ac:dyDescent="0.25">
      <c r="A529" s="354">
        <v>46219</v>
      </c>
      <c r="B529" s="114" t="s">
        <v>12</v>
      </c>
      <c r="C529" s="155" t="s">
        <v>329</v>
      </c>
      <c r="D529" s="39" t="s">
        <v>243</v>
      </c>
      <c r="E529" s="40" t="s">
        <v>16</v>
      </c>
      <c r="F529" s="28">
        <v>0</v>
      </c>
      <c r="G529" s="28">
        <v>41</v>
      </c>
      <c r="H529" s="224">
        <f>IF(Tabla1[[#This Row],[Codigo_actividad]]&lt;&gt;2.5,IF(((Tabla1[[#This Row],[fin]]-Tabla1[[#This Row],[inicio]])/1000)=0,"",((Tabla1[[#This Row],[fin]]-Tabla1[[#This Row],[inicio]])/1000)),"")</f>
        <v>4.1000000000000002E-2</v>
      </c>
      <c r="I529" s="66"/>
      <c r="J529" s="76">
        <v>2.6</v>
      </c>
      <c r="K529" s="66" t="str">
        <f>IF(_xlfn.XLOOKUP($J529,Catalogo!$B$7:$B$210,Catalogo!$I$7:$I$210,"",0)=0,"",_xlfn.XLOOKUP($J529,Catalogo!$B$7:$B$210,Catalogo!$I$7:$I$210,"",0))</f>
        <v>Localizacion</v>
      </c>
      <c r="L529" s="36">
        <f>+_xlfn.XLOOKUP(Tabla1[[#This Row],[Ducto]],'R (s03)'!B:B,'R (s03)'!C:C)</f>
        <v>4.1000000000000002E-2</v>
      </c>
      <c r="M529" s="261">
        <f>IF(Tabla1[[#This Row],[Avance_km]]&lt;&gt;"",Tabla1[[#This Row],[Avance_km]],Tabla1[[#This Row],[Avance_Med]])*_xlfn.XLOOKUP(Tabla1[[#This Row],[Codigo_actividad]],Catalogo!$B$6:$B$51,Catalogo!$F$6:$F$51,0)</f>
        <v>92.554220000000001</v>
      </c>
    </row>
    <row r="530" spans="1:13" x14ac:dyDescent="0.25">
      <c r="A530" s="354">
        <v>46219</v>
      </c>
      <c r="B530" s="114" t="s">
        <v>12</v>
      </c>
      <c r="C530" s="155" t="s">
        <v>329</v>
      </c>
      <c r="D530" s="39" t="s">
        <v>242</v>
      </c>
      <c r="E530" s="40" t="s">
        <v>16</v>
      </c>
      <c r="F530" s="28">
        <v>0</v>
      </c>
      <c r="G530" s="28">
        <v>47</v>
      </c>
      <c r="H530" s="224">
        <f>IF(Tabla1[[#This Row],[Codigo_actividad]]&lt;&gt;2.5,IF(((Tabla1[[#This Row],[fin]]-Tabla1[[#This Row],[inicio]])/1000)=0,"",((Tabla1[[#This Row],[fin]]-Tabla1[[#This Row],[inicio]])/1000)),"")</f>
        <v>4.7E-2</v>
      </c>
      <c r="I530" s="66"/>
      <c r="J530" s="76">
        <v>2.6</v>
      </c>
      <c r="K530" s="66" t="str">
        <f>IF(_xlfn.XLOOKUP($J530,Catalogo!$B$7:$B$210,Catalogo!$I$7:$I$210,"",0)=0,"",_xlfn.XLOOKUP($J530,Catalogo!$B$7:$B$210,Catalogo!$I$7:$I$210,"",0))</f>
        <v>Localizacion</v>
      </c>
      <c r="L530" s="36">
        <f>+_xlfn.XLOOKUP(Tabla1[[#This Row],[Ducto]],'R (s03)'!B:B,'R (s03)'!C:C)</f>
        <v>6.2E-2</v>
      </c>
      <c r="M530" s="261">
        <f>IF(Tabla1[[#This Row],[Avance_km]]&lt;&gt;"",Tabla1[[#This Row],[Avance_km]],Tabla1[[#This Row],[Avance_Med]])*_xlfn.XLOOKUP(Tabla1[[#This Row],[Codigo_actividad]],Catalogo!$B$6:$B$51,Catalogo!$F$6:$F$51,0)</f>
        <v>106.09874000000001</v>
      </c>
    </row>
    <row r="531" spans="1:13" x14ac:dyDescent="0.25">
      <c r="A531" s="354">
        <v>46220</v>
      </c>
      <c r="B531" s="114" t="s">
        <v>12</v>
      </c>
      <c r="C531" s="155" t="s">
        <v>329</v>
      </c>
      <c r="D531" s="39" t="s">
        <v>237</v>
      </c>
      <c r="E531" s="40" t="s">
        <v>28</v>
      </c>
      <c r="F531" s="28">
        <v>0</v>
      </c>
      <c r="G531" s="28">
        <v>52</v>
      </c>
      <c r="H531" s="224">
        <f>IF(Tabla1[[#This Row],[Codigo_actividad]]&lt;&gt;2.5,IF(((Tabla1[[#This Row],[fin]]-Tabla1[[#This Row],[inicio]])/1000)=0,"",((Tabla1[[#This Row],[fin]]-Tabla1[[#This Row],[inicio]])/1000)),"")</f>
        <v>5.1999999999999998E-2</v>
      </c>
      <c r="I531" s="66"/>
      <c r="J531" s="76">
        <v>2.1</v>
      </c>
      <c r="K531" s="66" t="str">
        <f>IF(_xlfn.XLOOKUP($J531,Catalogo!$B$7:$B$210,Catalogo!$I$7:$I$210,"",0)=0,"",_xlfn.XLOOKUP($J531,Catalogo!$B$7:$B$210,Catalogo!$I$7:$I$210,"",0))</f>
        <v>CIPS</v>
      </c>
      <c r="L531" s="36">
        <f>+_xlfn.XLOOKUP(Tabla1[[#This Row],[Ducto]],'R (s03)'!B:B,'R (s03)'!C:C)</f>
        <v>5.1999999999999998E-2</v>
      </c>
      <c r="M531" s="261">
        <f>IF(Tabla1[[#This Row],[Avance_km]]&lt;&gt;"",Tabla1[[#This Row],[Avance_km]],Tabla1[[#This Row],[Avance_Med]])*_xlfn.XLOOKUP(Tabla1[[#This Row],[Codigo_actividad]],Catalogo!$B$6:$B$51,Catalogo!$F$6:$F$51,0)</f>
        <v>755.11331999999993</v>
      </c>
    </row>
    <row r="532" spans="1:13" x14ac:dyDescent="0.25">
      <c r="A532" s="354">
        <v>46220</v>
      </c>
      <c r="B532" s="114" t="s">
        <v>12</v>
      </c>
      <c r="C532" s="155" t="s">
        <v>329</v>
      </c>
      <c r="D532" s="39" t="s">
        <v>231</v>
      </c>
      <c r="E532" s="40" t="s">
        <v>28</v>
      </c>
      <c r="F532" s="28">
        <v>0</v>
      </c>
      <c r="G532" s="28">
        <v>21</v>
      </c>
      <c r="H532" s="224">
        <f>IF(Tabla1[[#This Row],[Codigo_actividad]]&lt;&gt;2.5,IF(((Tabla1[[#This Row],[fin]]-Tabla1[[#This Row],[inicio]])/1000)=0,"",((Tabla1[[#This Row],[fin]]-Tabla1[[#This Row],[inicio]])/1000)),"")</f>
        <v>2.1000000000000001E-2</v>
      </c>
      <c r="I532" s="66"/>
      <c r="J532" s="76">
        <v>2.1</v>
      </c>
      <c r="K532" s="66" t="str">
        <f>IF(_xlfn.XLOOKUP($J532,Catalogo!$B$7:$B$210,Catalogo!$I$7:$I$210,"",0)=0,"",_xlfn.XLOOKUP($J532,Catalogo!$B$7:$B$210,Catalogo!$I$7:$I$210,"",0))</f>
        <v>CIPS</v>
      </c>
      <c r="L532" s="36">
        <f>+_xlfn.XLOOKUP(Tabla1[[#This Row],[Ducto]],'R (s03)'!B:B,'R (s03)'!C:C)</f>
        <v>2.1000000000000001E-2</v>
      </c>
      <c r="M532" s="261">
        <f>IF(Tabla1[[#This Row],[Avance_km]]&lt;&gt;"",Tabla1[[#This Row],[Avance_km]],Tabla1[[#This Row],[Avance_Med]])*_xlfn.XLOOKUP(Tabla1[[#This Row],[Codigo_actividad]],Catalogo!$B$6:$B$51,Catalogo!$F$6:$F$51,0)</f>
        <v>304.94961000000001</v>
      </c>
    </row>
    <row r="533" spans="1:13" x14ac:dyDescent="0.25">
      <c r="A533" s="354">
        <v>46220</v>
      </c>
      <c r="B533" s="114" t="s">
        <v>12</v>
      </c>
      <c r="C533" s="155" t="s">
        <v>329</v>
      </c>
      <c r="D533" s="39" t="s">
        <v>231</v>
      </c>
      <c r="E533" s="40" t="s">
        <v>16</v>
      </c>
      <c r="F533" s="28">
        <v>0</v>
      </c>
      <c r="G533" s="28">
        <v>21</v>
      </c>
      <c r="H533" s="224">
        <f>IF(Tabla1[[#This Row],[Codigo_actividad]]&lt;&gt;2.5,IF(((Tabla1[[#This Row],[fin]]-Tabla1[[#This Row],[inicio]])/1000)=0,"",((Tabla1[[#This Row],[fin]]-Tabla1[[#This Row],[inicio]])/1000)),"")</f>
        <v>2.1000000000000001E-2</v>
      </c>
      <c r="I533" s="66"/>
      <c r="J533" s="76">
        <v>2.6</v>
      </c>
      <c r="K533" s="66" t="str">
        <f>IF(_xlfn.XLOOKUP($J533,Catalogo!$B$7:$B$210,Catalogo!$I$7:$I$210,"",0)=0,"",_xlfn.XLOOKUP($J533,Catalogo!$B$7:$B$210,Catalogo!$I$7:$I$210,"",0))</f>
        <v>Localizacion</v>
      </c>
      <c r="L533" s="36">
        <f>+_xlfn.XLOOKUP(Tabla1[[#This Row],[Ducto]],'R (s03)'!B:B,'R (s03)'!C:C)</f>
        <v>2.1000000000000001E-2</v>
      </c>
      <c r="M533" s="261">
        <f>IF(Tabla1[[#This Row],[Avance_km]]&lt;&gt;"",Tabla1[[#This Row],[Avance_km]],Tabla1[[#This Row],[Avance_Med]])*_xlfn.XLOOKUP(Tabla1[[#This Row],[Codigo_actividad]],Catalogo!$B$6:$B$51,Catalogo!$F$6:$F$51,0)</f>
        <v>47.405820000000006</v>
      </c>
    </row>
    <row r="534" spans="1:13" x14ac:dyDescent="0.25">
      <c r="A534" s="354">
        <v>46220</v>
      </c>
      <c r="B534" s="114" t="s">
        <v>12</v>
      </c>
      <c r="C534" s="155" t="s">
        <v>329</v>
      </c>
      <c r="D534" s="39" t="s">
        <v>237</v>
      </c>
      <c r="E534" s="40" t="s">
        <v>16</v>
      </c>
      <c r="F534" s="28">
        <v>0</v>
      </c>
      <c r="G534" s="28">
        <v>52</v>
      </c>
      <c r="H534" s="224">
        <f>IF(Tabla1[[#This Row],[Codigo_actividad]]&lt;&gt;2.5,IF(((Tabla1[[#This Row],[fin]]-Tabla1[[#This Row],[inicio]])/1000)=0,"",((Tabla1[[#This Row],[fin]]-Tabla1[[#This Row],[inicio]])/1000)),"")</f>
        <v>5.1999999999999998E-2</v>
      </c>
      <c r="I534" s="66"/>
      <c r="J534" s="76">
        <v>2.6</v>
      </c>
      <c r="K534" s="66" t="str">
        <f>IF(_xlfn.XLOOKUP($J534,Catalogo!$B$7:$B$210,Catalogo!$I$7:$I$210,"",0)=0,"",_xlfn.XLOOKUP($J534,Catalogo!$B$7:$B$210,Catalogo!$I$7:$I$210,"",0))</f>
        <v>Localizacion</v>
      </c>
      <c r="L534" s="36">
        <f>+_xlfn.XLOOKUP(Tabla1[[#This Row],[Ducto]],'R (s03)'!B:B,'R (s03)'!C:C)</f>
        <v>5.1999999999999998E-2</v>
      </c>
      <c r="M534" s="261">
        <f>IF(Tabla1[[#This Row],[Avance_km]]&lt;&gt;"",Tabla1[[#This Row],[Avance_km]],Tabla1[[#This Row],[Avance_Med]])*_xlfn.XLOOKUP(Tabla1[[#This Row],[Codigo_actividad]],Catalogo!$B$6:$B$51,Catalogo!$F$6:$F$51,0)</f>
        <v>117.38584</v>
      </c>
    </row>
    <row r="535" spans="1:13" x14ac:dyDescent="0.25">
      <c r="A535" s="354">
        <v>46220</v>
      </c>
      <c r="B535" s="114" t="s">
        <v>12</v>
      </c>
      <c r="C535" s="155" t="s">
        <v>411</v>
      </c>
      <c r="D535" s="39" t="s">
        <v>360</v>
      </c>
      <c r="E535" s="40" t="s">
        <v>16</v>
      </c>
      <c r="F535" s="28">
        <v>0</v>
      </c>
      <c r="G535" s="28">
        <v>160</v>
      </c>
      <c r="H535" s="224">
        <f>IF(Tabla1[[#This Row],[Codigo_actividad]]&lt;&gt;2.5,IF(((Tabla1[[#This Row],[fin]]-Tabla1[[#This Row],[inicio]])/1000)=0,"",((Tabla1[[#This Row],[fin]]-Tabla1[[#This Row],[inicio]])/1000)),"")</f>
        <v>0.16</v>
      </c>
      <c r="I535" s="66"/>
      <c r="J535" s="76">
        <v>2.6</v>
      </c>
      <c r="K535" s="66" t="str">
        <f>IF(_xlfn.XLOOKUP($J535,Catalogo!$B$7:$B$210,Catalogo!$I$7:$I$210,"",0)=0,"",_xlfn.XLOOKUP($J535,Catalogo!$B$7:$B$210,Catalogo!$I$7:$I$210,"",0))</f>
        <v>Localizacion</v>
      </c>
      <c r="L535" s="36">
        <f>+_xlfn.XLOOKUP(Tabla1[[#This Row],[Ducto]],'R (s04)'!B:B,'R (s04)'!C:C)</f>
        <v>0.16</v>
      </c>
      <c r="M535" s="261">
        <f>IF(Tabla1[[#This Row],[Avance_km]]&lt;&gt;"",Tabla1[[#This Row],[Avance_km]],Tabla1[[#This Row],[Avance_Med]])*_xlfn.XLOOKUP(Tabla1[[#This Row],[Codigo_actividad]],Catalogo!$B$6:$B$51,Catalogo!$F$6:$F$51,0)</f>
        <v>361.18720000000002</v>
      </c>
    </row>
    <row r="536" spans="1:13" x14ac:dyDescent="0.25">
      <c r="A536" s="354">
        <v>46220</v>
      </c>
      <c r="B536" s="114" t="s">
        <v>12</v>
      </c>
      <c r="C536" s="155" t="s">
        <v>411</v>
      </c>
      <c r="D536" s="39" t="s">
        <v>360</v>
      </c>
      <c r="E536" s="40" t="s">
        <v>28</v>
      </c>
      <c r="F536" s="28">
        <v>0</v>
      </c>
      <c r="G536" s="28">
        <v>160</v>
      </c>
      <c r="H536" s="224">
        <f>IF(Tabla1[[#This Row],[Codigo_actividad]]&lt;&gt;2.5,IF(((Tabla1[[#This Row],[fin]]-Tabla1[[#This Row],[inicio]])/1000)=0,"",((Tabla1[[#This Row],[fin]]-Tabla1[[#This Row],[inicio]])/1000)),"")</f>
        <v>0.16</v>
      </c>
      <c r="I536" s="66"/>
      <c r="J536" s="76">
        <v>2.1</v>
      </c>
      <c r="K536" s="66" t="str">
        <f>IF(_xlfn.XLOOKUP($J536,Catalogo!$B$7:$B$210,Catalogo!$I$7:$I$210,"",0)=0,"",_xlfn.XLOOKUP($J536,Catalogo!$B$7:$B$210,Catalogo!$I$7:$I$210,"",0))</f>
        <v>CIPS</v>
      </c>
      <c r="L536" s="36">
        <f>+_xlfn.XLOOKUP(Tabla1[[#This Row],[Ducto]],'R (s04)'!B:B,'R (s04)'!C:C)</f>
        <v>0.16</v>
      </c>
      <c r="M536" s="261">
        <f>IF(Tabla1[[#This Row],[Avance_km]]&lt;&gt;"",Tabla1[[#This Row],[Avance_km]],Tabla1[[#This Row],[Avance_Med]])*_xlfn.XLOOKUP(Tabla1[[#This Row],[Codigo_actividad]],Catalogo!$B$6:$B$51,Catalogo!$F$6:$F$51,0)</f>
        <v>2323.4256</v>
      </c>
    </row>
    <row r="537" spans="1:13" x14ac:dyDescent="0.25">
      <c r="A537" s="354">
        <v>46220</v>
      </c>
      <c r="B537" s="114" t="s">
        <v>12</v>
      </c>
      <c r="C537" s="155" t="s">
        <v>411</v>
      </c>
      <c r="D537" s="39" t="s">
        <v>361</v>
      </c>
      <c r="E537" s="40" t="s">
        <v>16</v>
      </c>
      <c r="F537" s="28">
        <v>0</v>
      </c>
      <c r="G537" s="28">
        <v>7</v>
      </c>
      <c r="H537" s="224">
        <f>IF(Tabla1[[#This Row],[Codigo_actividad]]&lt;&gt;2.5,IF(((Tabla1[[#This Row],[fin]]-Tabla1[[#This Row],[inicio]])/1000)=0,"",((Tabla1[[#This Row],[fin]]-Tabla1[[#This Row],[inicio]])/1000)),"")</f>
        <v>7.0000000000000001E-3</v>
      </c>
      <c r="I537" s="66"/>
      <c r="J537" s="76">
        <v>2.6</v>
      </c>
      <c r="K537" s="66" t="str">
        <f>IF(_xlfn.XLOOKUP($J537,Catalogo!$B$7:$B$210,Catalogo!$I$7:$I$210,"",0)=0,"",_xlfn.XLOOKUP($J537,Catalogo!$B$7:$B$210,Catalogo!$I$7:$I$210,"",0))</f>
        <v>Localizacion</v>
      </c>
      <c r="L537" s="36">
        <f>+_xlfn.XLOOKUP(Tabla1[[#This Row],[Ducto]],'R (s04)'!B:B,'R (s04)'!C:C)</f>
        <v>7.0000000000000001E-3</v>
      </c>
      <c r="M537" s="261">
        <f>IF(Tabla1[[#This Row],[Avance_km]]&lt;&gt;"",Tabla1[[#This Row],[Avance_km]],Tabla1[[#This Row],[Avance_Med]])*_xlfn.XLOOKUP(Tabla1[[#This Row],[Codigo_actividad]],Catalogo!$B$6:$B$51,Catalogo!$F$6:$F$51,0)</f>
        <v>15.80194</v>
      </c>
    </row>
    <row r="538" spans="1:13" x14ac:dyDescent="0.25">
      <c r="A538" s="354">
        <v>46220</v>
      </c>
      <c r="B538" s="114" t="s">
        <v>12</v>
      </c>
      <c r="C538" s="155" t="s">
        <v>411</v>
      </c>
      <c r="D538" s="39" t="s">
        <v>361</v>
      </c>
      <c r="E538" s="40" t="s">
        <v>28</v>
      </c>
      <c r="F538" s="28">
        <v>0</v>
      </c>
      <c r="G538" s="28">
        <v>7</v>
      </c>
      <c r="H538" s="224">
        <f>IF(Tabla1[[#This Row],[Codigo_actividad]]&lt;&gt;2.5,IF(((Tabla1[[#This Row],[fin]]-Tabla1[[#This Row],[inicio]])/1000)=0,"",((Tabla1[[#This Row],[fin]]-Tabla1[[#This Row],[inicio]])/1000)),"")</f>
        <v>7.0000000000000001E-3</v>
      </c>
      <c r="I538" s="66"/>
      <c r="J538" s="76">
        <v>2.1</v>
      </c>
      <c r="K538" s="66" t="str">
        <f>IF(_xlfn.XLOOKUP($J538,Catalogo!$B$7:$B$210,Catalogo!$I$7:$I$210,"",0)=0,"",_xlfn.XLOOKUP($J538,Catalogo!$B$7:$B$210,Catalogo!$I$7:$I$210,"",0))</f>
        <v>CIPS</v>
      </c>
      <c r="L538" s="36">
        <f>+_xlfn.XLOOKUP(Tabla1[[#This Row],[Ducto]],'R (s04)'!B:B,'R (s04)'!C:C)</f>
        <v>7.0000000000000001E-3</v>
      </c>
      <c r="M538" s="261">
        <f>IF(Tabla1[[#This Row],[Avance_km]]&lt;&gt;"",Tabla1[[#This Row],[Avance_km]],Tabla1[[#This Row],[Avance_Med]])*_xlfn.XLOOKUP(Tabla1[[#This Row],[Codigo_actividad]],Catalogo!$B$6:$B$51,Catalogo!$F$6:$F$51,0)</f>
        <v>101.64987000000001</v>
      </c>
    </row>
    <row r="539" spans="1:13" x14ac:dyDescent="0.25">
      <c r="A539" s="354">
        <v>46221</v>
      </c>
      <c r="B539" s="114" t="s">
        <v>12</v>
      </c>
      <c r="C539" s="155" t="s">
        <v>329</v>
      </c>
      <c r="D539" s="39" t="s">
        <v>217</v>
      </c>
      <c r="E539" s="40" t="s">
        <v>28</v>
      </c>
      <c r="F539" s="28">
        <v>3300</v>
      </c>
      <c r="G539" s="28">
        <v>3400</v>
      </c>
      <c r="H539" s="224">
        <f>IF(Tabla1[[#This Row],[Codigo_actividad]]&lt;&gt;2.5,IF(((Tabla1[[#This Row],[fin]]-Tabla1[[#This Row],[inicio]])/1000)=0,"",((Tabla1[[#This Row],[fin]]-Tabla1[[#This Row],[inicio]])/1000)),"")</f>
        <v>0.1</v>
      </c>
      <c r="I539" s="66"/>
      <c r="J539" s="76">
        <v>2.1</v>
      </c>
      <c r="K539" s="66" t="str">
        <f>IF(_xlfn.XLOOKUP($J539,Catalogo!$B$7:$B$210,Catalogo!$I$7:$I$210,"",0)=0,"",_xlfn.XLOOKUP($J539,Catalogo!$B$7:$B$210,Catalogo!$I$7:$I$210,"",0))</f>
        <v>CIPS</v>
      </c>
      <c r="L539" s="36">
        <f>+_xlfn.XLOOKUP(Tabla1[[#This Row],[Ducto]],'R (s03)'!B:B,'R (s03)'!C:C)</f>
        <v>5.8719999999999999</v>
      </c>
      <c r="M539" s="261">
        <f>IF(Tabla1[[#This Row],[Avance_km]]&lt;&gt;"",Tabla1[[#This Row],[Avance_km]],Tabla1[[#This Row],[Avance_Med]])*_xlfn.XLOOKUP(Tabla1[[#This Row],[Codigo_actividad]],Catalogo!$B$6:$B$51,Catalogo!$F$6:$F$51,0)</f>
        <v>1452.1410000000001</v>
      </c>
    </row>
    <row r="540" spans="1:13" x14ac:dyDescent="0.25">
      <c r="A540" s="354"/>
      <c r="B540" s="114"/>
      <c r="C540" s="155"/>
      <c r="D540" s="39"/>
      <c r="F540" s="28"/>
      <c r="G540" s="28"/>
      <c r="H540" s="224"/>
      <c r="I540" s="66"/>
      <c r="J540" s="76"/>
      <c r="L540" s="36"/>
      <c r="M540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541" spans="1:13" x14ac:dyDescent="0.25">
      <c r="A541" s="354">
        <v>46223</v>
      </c>
      <c r="B541" s="114" t="s">
        <v>12</v>
      </c>
      <c r="C541" s="155" t="s">
        <v>411</v>
      </c>
      <c r="D541" s="39" t="s">
        <v>264</v>
      </c>
      <c r="E541" s="40" t="s">
        <v>16</v>
      </c>
      <c r="F541" s="28">
        <v>0</v>
      </c>
      <c r="G541" s="28">
        <v>2077</v>
      </c>
      <c r="H541" s="224">
        <f>IF(Tabla1[[#This Row],[Codigo_actividad]]&lt;&gt;2.5,IF(((Tabla1[[#This Row],[fin]]-Tabla1[[#This Row],[inicio]])/1000)=0,"",((Tabla1[[#This Row],[fin]]-Tabla1[[#This Row],[inicio]])/1000)),"")</f>
        <v>2.077</v>
      </c>
      <c r="I541" s="66"/>
      <c r="J541" s="76">
        <v>2.6</v>
      </c>
      <c r="K541" s="66" t="str">
        <f>IF(_xlfn.XLOOKUP($J541,Catalogo!$B$7:$B$210,Catalogo!$I$7:$I$210,"",0)=0,"",_xlfn.XLOOKUP($J541,Catalogo!$B$7:$B$210,Catalogo!$I$7:$I$210,"",0))</f>
        <v>Localizacion</v>
      </c>
      <c r="L541" s="36">
        <f>+_xlfn.XLOOKUP(Tabla1[[#This Row],[Ducto]],'R (s04)'!B:B,'R (s04)'!C:C)</f>
        <v>2.077</v>
      </c>
      <c r="M541" s="261">
        <f>IF(Tabla1[[#This Row],[Avance_km]]&lt;&gt;"",Tabla1[[#This Row],[Avance_km]],Tabla1[[#This Row],[Avance_Med]])*_xlfn.XLOOKUP(Tabla1[[#This Row],[Codigo_actividad]],Catalogo!$B$6:$B$51,Catalogo!$F$6:$F$51,0)</f>
        <v>4688.6613399999997</v>
      </c>
    </row>
    <row r="542" spans="1:13" x14ac:dyDescent="0.25">
      <c r="A542" s="354">
        <v>46225</v>
      </c>
      <c r="B542" s="114" t="s">
        <v>12</v>
      </c>
      <c r="C542" s="155" t="s">
        <v>329</v>
      </c>
      <c r="D542" s="39" t="s">
        <v>219</v>
      </c>
      <c r="E542" s="40" t="s">
        <v>36</v>
      </c>
      <c r="F542" s="28">
        <v>0</v>
      </c>
      <c r="G542" s="28">
        <v>373</v>
      </c>
      <c r="H542" s="224">
        <f>IF(Tabla1[[#This Row],[Codigo_actividad]]&lt;&gt;2.5,IF(((Tabla1[[#This Row],[fin]]-Tabla1[[#This Row],[inicio]])/1000)=0,"",((Tabla1[[#This Row],[fin]]-Tabla1[[#This Row],[inicio]])/1000)),"")</f>
        <v>0.373</v>
      </c>
      <c r="I542" s="66"/>
      <c r="J542" s="76">
        <v>2.2999999999999998</v>
      </c>
      <c r="K542" s="66" t="str">
        <f>IF(_xlfn.XLOOKUP($J542,Catalogo!$B$7:$B$210,Catalogo!$I$7:$I$210,"",0)=0,"",_xlfn.XLOOKUP($J542,Catalogo!$B$7:$B$210,Catalogo!$I$7:$I$210,"",0))</f>
        <v>DCVG</v>
      </c>
      <c r="L542" s="36">
        <f>+_xlfn.XLOOKUP(Tabla1[[#This Row],[Ducto]],'R (s03)'!B:B,'R (s03)'!C:C)</f>
        <v>0.373</v>
      </c>
      <c r="M542" s="261">
        <f>IF(Tabla1[[#This Row],[Avance_km]]&lt;&gt;"",Tabla1[[#This Row],[Avance_km]],Tabla1[[#This Row],[Avance_Med]])*_xlfn.XLOOKUP(Tabla1[[#This Row],[Codigo_actividad]],Catalogo!$B$6:$B$51,Catalogo!$F$6:$F$51,0)</f>
        <v>5056.2499899999993</v>
      </c>
    </row>
    <row r="543" spans="1:13" x14ac:dyDescent="0.25">
      <c r="A543" s="354">
        <v>46225</v>
      </c>
      <c r="B543" s="114" t="s">
        <v>12</v>
      </c>
      <c r="C543" s="155" t="s">
        <v>329</v>
      </c>
      <c r="D543" s="39" t="s">
        <v>216</v>
      </c>
      <c r="E543" s="40" t="s">
        <v>36</v>
      </c>
      <c r="F543" s="28">
        <v>0</v>
      </c>
      <c r="G543" s="28">
        <v>120</v>
      </c>
      <c r="H543" s="224">
        <f>IF(Tabla1[[#This Row],[Codigo_actividad]]&lt;&gt;2.5,IF(((Tabla1[[#This Row],[fin]]-Tabla1[[#This Row],[inicio]])/1000)=0,"",((Tabla1[[#This Row],[fin]]-Tabla1[[#This Row],[inicio]])/1000)),"")</f>
        <v>0.12</v>
      </c>
      <c r="I543" s="66"/>
      <c r="J543" s="76">
        <v>2.2999999999999998</v>
      </c>
      <c r="K543" s="66" t="str">
        <f>IF(_xlfn.XLOOKUP($J543,Catalogo!$B$7:$B$210,Catalogo!$I$7:$I$210,"",0)=0,"",_xlfn.XLOOKUP($J543,Catalogo!$B$7:$B$210,Catalogo!$I$7:$I$210,"",0))</f>
        <v>DCVG</v>
      </c>
      <c r="L543" s="36">
        <f>+_xlfn.XLOOKUP(Tabla1[[#This Row],[Ducto]],'R (s03)'!B:B,'R (s03)'!C:C)</f>
        <v>0.12</v>
      </c>
      <c r="M543" s="261">
        <f>IF(Tabla1[[#This Row],[Avance_km]]&lt;&gt;"",Tabla1[[#This Row],[Avance_km]],Tabla1[[#This Row],[Avance_Med]])*_xlfn.XLOOKUP(Tabla1[[#This Row],[Codigo_actividad]],Catalogo!$B$6:$B$51,Catalogo!$F$6:$F$51,0)</f>
        <v>1626.6755999999998</v>
      </c>
    </row>
    <row r="544" spans="1:13" x14ac:dyDescent="0.25">
      <c r="A544" s="354">
        <v>46225</v>
      </c>
      <c r="B544" s="114" t="s">
        <v>12</v>
      </c>
      <c r="C544" s="155" t="s">
        <v>329</v>
      </c>
      <c r="D544" s="39" t="s">
        <v>214</v>
      </c>
      <c r="E544" s="40" t="s">
        <v>36</v>
      </c>
      <c r="F544" s="28">
        <v>0</v>
      </c>
      <c r="G544" s="28">
        <v>13</v>
      </c>
      <c r="H544" s="224">
        <f>IF(Tabla1[[#This Row],[Codigo_actividad]]&lt;&gt;2.5,IF(((Tabla1[[#This Row],[fin]]-Tabla1[[#This Row],[inicio]])/1000)=0,"",((Tabla1[[#This Row],[fin]]-Tabla1[[#This Row],[inicio]])/1000)),"")</f>
        <v>1.2999999999999999E-2</v>
      </c>
      <c r="I544" s="66"/>
      <c r="J544" s="76">
        <v>2.2999999999999998</v>
      </c>
      <c r="K544" s="66" t="str">
        <f>IF(_xlfn.XLOOKUP($J544,Catalogo!$B$7:$B$210,Catalogo!$I$7:$I$210,"",0)=0,"",_xlfn.XLOOKUP($J544,Catalogo!$B$7:$B$210,Catalogo!$I$7:$I$210,"",0))</f>
        <v>DCVG</v>
      </c>
      <c r="L544" s="36">
        <f>+_xlfn.XLOOKUP(Tabla1[[#This Row],[Ducto]],'R (s03)'!B:B,'R (s03)'!C:C)</f>
        <v>1.2999999999999999E-2</v>
      </c>
      <c r="M544" s="261">
        <f>IF(Tabla1[[#This Row],[Avance_km]]&lt;&gt;"",Tabla1[[#This Row],[Avance_km]],Tabla1[[#This Row],[Avance_Med]])*_xlfn.XLOOKUP(Tabla1[[#This Row],[Codigo_actividad]],Catalogo!$B$6:$B$51,Catalogo!$F$6:$F$51,0)</f>
        <v>176.22318999999999</v>
      </c>
    </row>
    <row r="545" spans="1:14" x14ac:dyDescent="0.25">
      <c r="A545" s="354">
        <v>46226</v>
      </c>
      <c r="B545" s="114" t="s">
        <v>12</v>
      </c>
      <c r="C545" s="155" t="s">
        <v>329</v>
      </c>
      <c r="D545" s="39" t="s">
        <v>222</v>
      </c>
      <c r="E545" s="40" t="s">
        <v>36</v>
      </c>
      <c r="F545" s="28">
        <v>0</v>
      </c>
      <c r="G545" s="28">
        <v>22</v>
      </c>
      <c r="H545" s="224">
        <f>IF(Tabla1[[#This Row],[Codigo_actividad]]&lt;&gt;2.5,IF(((Tabla1[[#This Row],[fin]]-Tabla1[[#This Row],[inicio]])/1000)=0,"",((Tabla1[[#This Row],[fin]]-Tabla1[[#This Row],[inicio]])/1000)),"")</f>
        <v>2.1999999999999999E-2</v>
      </c>
      <c r="I545" s="66"/>
      <c r="J545" s="76">
        <v>2.2999999999999998</v>
      </c>
      <c r="K545" s="66" t="str">
        <f>IF(_xlfn.XLOOKUP($J545,Catalogo!$B$7:$B$210,Catalogo!$I$7:$I$210,"",0)=0,"",_xlfn.XLOOKUP($J545,Catalogo!$B$7:$B$210,Catalogo!$I$7:$I$210,"",0))</f>
        <v>DCVG</v>
      </c>
      <c r="L545" s="36">
        <f>+_xlfn.XLOOKUP(Tabla1[[#This Row],[Ducto]],'R (s03)'!B:B,'R (s03)'!C:C)</f>
        <v>2.1999999999999999E-2</v>
      </c>
      <c r="M545" s="261">
        <f>IF(Tabla1[[#This Row],[Avance_km]]&lt;&gt;"",Tabla1[[#This Row],[Avance_km]],Tabla1[[#This Row],[Avance_Med]])*_xlfn.XLOOKUP(Tabla1[[#This Row],[Codigo_actividad]],Catalogo!$B$6:$B$51,Catalogo!$F$6:$F$51,0)</f>
        <v>298.22385999999995</v>
      </c>
    </row>
    <row r="546" spans="1:14" x14ac:dyDescent="0.25">
      <c r="A546" s="354">
        <v>46226</v>
      </c>
      <c r="B546" s="114" t="s">
        <v>12</v>
      </c>
      <c r="C546" s="155" t="s">
        <v>329</v>
      </c>
      <c r="D546" s="39" t="s">
        <v>223</v>
      </c>
      <c r="E546" s="40" t="s">
        <v>36</v>
      </c>
      <c r="F546" s="28">
        <v>0</v>
      </c>
      <c r="G546" s="28">
        <v>11</v>
      </c>
      <c r="H546" s="224">
        <f>IF(Tabla1[[#This Row],[Codigo_actividad]]&lt;&gt;2.5,IF(((Tabla1[[#This Row],[fin]]-Tabla1[[#This Row],[inicio]])/1000)=0,"",((Tabla1[[#This Row],[fin]]-Tabla1[[#This Row],[inicio]])/1000)),"")</f>
        <v>1.0999999999999999E-2</v>
      </c>
      <c r="I546" s="66"/>
      <c r="J546" s="76">
        <v>2.2999999999999998</v>
      </c>
      <c r="K546" s="66" t="str">
        <f>IF(_xlfn.XLOOKUP($J546,Catalogo!$B$7:$B$210,Catalogo!$I$7:$I$210,"",0)=0,"",_xlfn.XLOOKUP($J546,Catalogo!$B$7:$B$210,Catalogo!$I$7:$I$210,"",0))</f>
        <v>DCVG</v>
      </c>
      <c r="L546" s="36">
        <f>+_xlfn.XLOOKUP(Tabla1[[#This Row],[Ducto]],'R (s03)'!B:B,'R (s03)'!C:C)</f>
        <v>1.0999999999999999E-2</v>
      </c>
      <c r="M546" s="261">
        <f>IF(Tabla1[[#This Row],[Avance_km]]&lt;&gt;"",Tabla1[[#This Row],[Avance_km]],Tabla1[[#This Row],[Avance_Med]])*_xlfn.XLOOKUP(Tabla1[[#This Row],[Codigo_actividad]],Catalogo!$B$6:$B$51,Catalogo!$F$6:$F$51,0)</f>
        <v>149.11192999999997</v>
      </c>
    </row>
    <row r="547" spans="1:14" x14ac:dyDescent="0.25">
      <c r="A547" s="354">
        <v>46226</v>
      </c>
      <c r="B547" s="114" t="s">
        <v>12</v>
      </c>
      <c r="C547" s="155" t="s">
        <v>329</v>
      </c>
      <c r="D547" s="39" t="s">
        <v>224</v>
      </c>
      <c r="E547" s="40" t="s">
        <v>36</v>
      </c>
      <c r="F547" s="28">
        <v>0</v>
      </c>
      <c r="G547" s="28">
        <v>6</v>
      </c>
      <c r="H547" s="224">
        <f>IF(Tabla1[[#This Row],[Codigo_actividad]]&lt;&gt;2.5,IF(((Tabla1[[#This Row],[fin]]-Tabla1[[#This Row],[inicio]])/1000)=0,"",((Tabla1[[#This Row],[fin]]-Tabla1[[#This Row],[inicio]])/1000)),"")</f>
        <v>6.0000000000000001E-3</v>
      </c>
      <c r="I547" s="66"/>
      <c r="J547" s="76">
        <v>2.2999999999999998</v>
      </c>
      <c r="K547" s="66" t="str">
        <f>IF(_xlfn.XLOOKUP($J547,Catalogo!$B$7:$B$210,Catalogo!$I$7:$I$210,"",0)=0,"",_xlfn.XLOOKUP($J547,Catalogo!$B$7:$B$210,Catalogo!$I$7:$I$210,"",0))</f>
        <v>DCVG</v>
      </c>
      <c r="L547" s="36">
        <f>+_xlfn.XLOOKUP(Tabla1[[#This Row],[Ducto]],'R (s03)'!B:B,'R (s03)'!C:C)</f>
        <v>6.0000000000000001E-3</v>
      </c>
      <c r="M547" s="261">
        <f>IF(Tabla1[[#This Row],[Avance_km]]&lt;&gt;"",Tabla1[[#This Row],[Avance_km]],Tabla1[[#This Row],[Avance_Med]])*_xlfn.XLOOKUP(Tabla1[[#This Row],[Codigo_actividad]],Catalogo!$B$6:$B$51,Catalogo!$F$6:$F$51,0)</f>
        <v>81.33377999999999</v>
      </c>
    </row>
    <row r="548" spans="1:14" x14ac:dyDescent="0.25">
      <c r="A548" s="354">
        <v>46226</v>
      </c>
      <c r="B548" s="114" t="s">
        <v>12</v>
      </c>
      <c r="C548" s="155" t="s">
        <v>329</v>
      </c>
      <c r="D548" s="39" t="s">
        <v>353</v>
      </c>
      <c r="E548" s="40" t="s">
        <v>36</v>
      </c>
      <c r="F548" s="28">
        <v>0</v>
      </c>
      <c r="G548" s="28">
        <v>18</v>
      </c>
      <c r="H548" s="224">
        <f>IF(Tabla1[[#This Row],[Codigo_actividad]]&lt;&gt;2.5,IF(((Tabla1[[#This Row],[fin]]-Tabla1[[#This Row],[inicio]])/1000)=0,"",((Tabla1[[#This Row],[fin]]-Tabla1[[#This Row],[inicio]])/1000)),"")</f>
        <v>1.7999999999999999E-2</v>
      </c>
      <c r="I548" s="66"/>
      <c r="J548" s="76">
        <v>2.2999999999999998</v>
      </c>
      <c r="K548" s="66" t="str">
        <f>IF(_xlfn.XLOOKUP($J548,Catalogo!$B$7:$B$210,Catalogo!$I$7:$I$210,"",0)=0,"",_xlfn.XLOOKUP($J548,Catalogo!$B$7:$B$210,Catalogo!$I$7:$I$210,"",0))</f>
        <v>DCVG</v>
      </c>
      <c r="L548" s="36">
        <f>+_xlfn.XLOOKUP(Tabla1[[#This Row],[Ducto]],'R (s03)'!B:B,'R (s03)'!C:C)</f>
        <v>1.7999999999999999E-2</v>
      </c>
      <c r="M548" s="261">
        <f>IF(Tabla1[[#This Row],[Avance_km]]&lt;&gt;"",Tabla1[[#This Row],[Avance_km]],Tabla1[[#This Row],[Avance_Med]])*_xlfn.XLOOKUP(Tabla1[[#This Row],[Codigo_actividad]],Catalogo!$B$6:$B$51,Catalogo!$F$6:$F$51,0)</f>
        <v>244.00133999999997</v>
      </c>
    </row>
    <row r="549" spans="1:14" x14ac:dyDescent="0.25">
      <c r="A549" s="354">
        <v>46226</v>
      </c>
      <c r="B549" s="114" t="s">
        <v>12</v>
      </c>
      <c r="C549" s="155" t="s">
        <v>329</v>
      </c>
      <c r="D549" s="39" t="s">
        <v>221</v>
      </c>
      <c r="E549" s="40" t="s">
        <v>36</v>
      </c>
      <c r="F549" s="28">
        <v>0</v>
      </c>
      <c r="G549" s="28">
        <v>14</v>
      </c>
      <c r="H549" s="224">
        <f>IF(Tabla1[[#This Row],[Codigo_actividad]]&lt;&gt;2.5,IF(((Tabla1[[#This Row],[fin]]-Tabla1[[#This Row],[inicio]])/1000)=0,"",((Tabla1[[#This Row],[fin]]-Tabla1[[#This Row],[inicio]])/1000)),"")</f>
        <v>1.4E-2</v>
      </c>
      <c r="I549" s="66"/>
      <c r="J549" s="76">
        <v>2.2999999999999998</v>
      </c>
      <c r="K549" s="66" t="str">
        <f>IF(_xlfn.XLOOKUP($J549,Catalogo!$B$7:$B$210,Catalogo!$I$7:$I$210,"",0)=0,"",_xlfn.XLOOKUP($J549,Catalogo!$B$7:$B$210,Catalogo!$I$7:$I$210,"",0))</f>
        <v>DCVG</v>
      </c>
      <c r="L549" s="36">
        <f>+_xlfn.XLOOKUP(Tabla1[[#This Row],[Ducto]],'R (s03)'!B:B,'R (s03)'!C:C)</f>
        <v>1.4E-2</v>
      </c>
      <c r="M549" s="261">
        <f>IF(Tabla1[[#This Row],[Avance_km]]&lt;&gt;"",Tabla1[[#This Row],[Avance_km]],Tabla1[[#This Row],[Avance_Med]])*_xlfn.XLOOKUP(Tabla1[[#This Row],[Codigo_actividad]],Catalogo!$B$6:$B$51,Catalogo!$F$6:$F$51,0)</f>
        <v>189.77882</v>
      </c>
    </row>
    <row r="550" spans="1:14" x14ac:dyDescent="0.25">
      <c r="A550" s="354">
        <v>46226</v>
      </c>
      <c r="B550" s="114" t="s">
        <v>12</v>
      </c>
      <c r="C550" s="155" t="s">
        <v>329</v>
      </c>
      <c r="D550" s="39" t="s">
        <v>247</v>
      </c>
      <c r="E550" s="40" t="s">
        <v>36</v>
      </c>
      <c r="F550" s="28">
        <v>0</v>
      </c>
      <c r="G550" s="28">
        <v>8</v>
      </c>
      <c r="H550" s="224">
        <f>IF(Tabla1[[#This Row],[Codigo_actividad]]&lt;&gt;2.5,IF(((Tabla1[[#This Row],[fin]]-Tabla1[[#This Row],[inicio]])/1000)=0,"",((Tabla1[[#This Row],[fin]]-Tabla1[[#This Row],[inicio]])/1000)),"")</f>
        <v>8.0000000000000002E-3</v>
      </c>
      <c r="I550" s="66"/>
      <c r="J550" s="76">
        <v>2.2999999999999998</v>
      </c>
      <c r="K550" s="66" t="str">
        <f>IF(_xlfn.XLOOKUP($J550,Catalogo!$B$7:$B$210,Catalogo!$I$7:$I$210,"",0)=0,"",_xlfn.XLOOKUP($J550,Catalogo!$B$7:$B$210,Catalogo!$I$7:$I$210,"",0))</f>
        <v>DCVG</v>
      </c>
      <c r="L550" s="36">
        <f>+_xlfn.XLOOKUP(Tabla1[[#This Row],[Ducto]],'R (s03)'!B:B,'R (s03)'!C:C)</f>
        <v>8.0000000000000002E-3</v>
      </c>
      <c r="M550" s="261">
        <f>IF(Tabla1[[#This Row],[Avance_km]]&lt;&gt;"",Tabla1[[#This Row],[Avance_km]],Tabla1[[#This Row],[Avance_Med]])*_xlfn.XLOOKUP(Tabla1[[#This Row],[Codigo_actividad]],Catalogo!$B$6:$B$51,Catalogo!$F$6:$F$51,0)</f>
        <v>108.44503999999999</v>
      </c>
    </row>
    <row r="551" spans="1:14" x14ac:dyDescent="0.25">
      <c r="A551" s="354">
        <v>46226</v>
      </c>
      <c r="B551" s="114" t="s">
        <v>12</v>
      </c>
      <c r="C551" s="155" t="s">
        <v>329</v>
      </c>
      <c r="D551" s="39" t="s">
        <v>249</v>
      </c>
      <c r="E551" s="40" t="s">
        <v>36</v>
      </c>
      <c r="F551" s="28">
        <v>0</v>
      </c>
      <c r="G551" s="28">
        <v>12</v>
      </c>
      <c r="H551" s="224">
        <f>IF(Tabla1[[#This Row],[Codigo_actividad]]&lt;&gt;2.5,IF(((Tabla1[[#This Row],[fin]]-Tabla1[[#This Row],[inicio]])/1000)=0,"",((Tabla1[[#This Row],[fin]]-Tabla1[[#This Row],[inicio]])/1000)),"")</f>
        <v>1.2E-2</v>
      </c>
      <c r="I551" s="66"/>
      <c r="J551" s="76">
        <v>2.2999999999999998</v>
      </c>
      <c r="K551" s="66" t="str">
        <f>IF(_xlfn.XLOOKUP($J551,Catalogo!$B$7:$B$210,Catalogo!$I$7:$I$210,"",0)=0,"",_xlfn.XLOOKUP($J551,Catalogo!$B$7:$B$210,Catalogo!$I$7:$I$210,"",0))</f>
        <v>DCVG</v>
      </c>
      <c r="L551" s="36">
        <f>+_xlfn.XLOOKUP(Tabla1[[#This Row],[Ducto]],'R (s03)'!B:B,'R (s03)'!C:C)</f>
        <v>1.2E-2</v>
      </c>
      <c r="M551" s="261">
        <f>IF(Tabla1[[#This Row],[Avance_km]]&lt;&gt;"",Tabla1[[#This Row],[Avance_km]],Tabla1[[#This Row],[Avance_Med]])*_xlfn.XLOOKUP(Tabla1[[#This Row],[Codigo_actividad]],Catalogo!$B$6:$B$51,Catalogo!$F$6:$F$51,0)</f>
        <v>162.66755999999998</v>
      </c>
    </row>
    <row r="552" spans="1:14" x14ac:dyDescent="0.25">
      <c r="A552" s="354">
        <v>46227</v>
      </c>
      <c r="B552" s="114" t="s">
        <v>12</v>
      </c>
      <c r="C552" s="155" t="s">
        <v>329</v>
      </c>
      <c r="D552" s="39" t="s">
        <v>251</v>
      </c>
      <c r="E552" s="40" t="s">
        <v>36</v>
      </c>
      <c r="F552" s="28">
        <v>0</v>
      </c>
      <c r="G552" s="28">
        <v>314</v>
      </c>
      <c r="H552" s="224">
        <f>IF(Tabla1[[#This Row],[Codigo_actividad]]&lt;&gt;2.5,IF(((Tabla1[[#This Row],[fin]]-Tabla1[[#This Row],[inicio]])/1000)=0,"",((Tabla1[[#This Row],[fin]]-Tabla1[[#This Row],[inicio]])/1000)),"")</f>
        <v>0.314</v>
      </c>
      <c r="I552" s="66"/>
      <c r="J552" s="76">
        <v>2.2999999999999998</v>
      </c>
      <c r="K552" s="66" t="str">
        <f>IF(_xlfn.XLOOKUP($J552,Catalogo!$B$7:$B$210,Catalogo!$I$7:$I$210,"",0)=0,"",_xlfn.XLOOKUP($J552,Catalogo!$B$7:$B$210,Catalogo!$I$7:$I$210,"",0))</f>
        <v>DCVG</v>
      </c>
      <c r="L552" s="36">
        <f>+_xlfn.XLOOKUP(Tabla1[[#This Row],[Ducto]],'R (s03)'!B:B,'R (s03)'!C:C)</f>
        <v>0.314</v>
      </c>
      <c r="M552" s="261">
        <f>IF(Tabla1[[#This Row],[Avance_km]]&lt;&gt;"",Tabla1[[#This Row],[Avance_km]],Tabla1[[#This Row],[Avance_Med]])*_xlfn.XLOOKUP(Tabla1[[#This Row],[Codigo_actividad]],Catalogo!$B$6:$B$51,Catalogo!$F$6:$F$51,0)</f>
        <v>4256.4678199999998</v>
      </c>
    </row>
    <row r="553" spans="1:14" x14ac:dyDescent="0.25">
      <c r="A553" s="354">
        <v>46227</v>
      </c>
      <c r="B553" s="114" t="s">
        <v>12</v>
      </c>
      <c r="C553" s="155" t="s">
        <v>329</v>
      </c>
      <c r="D553" s="39" t="s">
        <v>252</v>
      </c>
      <c r="E553" s="40" t="s">
        <v>36</v>
      </c>
      <c r="F553" s="28">
        <v>0</v>
      </c>
      <c r="G553" s="28">
        <v>13</v>
      </c>
      <c r="H553" s="224">
        <f>IF(Tabla1[[#This Row],[Codigo_actividad]]&lt;&gt;2.5,IF(((Tabla1[[#This Row],[fin]]-Tabla1[[#This Row],[inicio]])/1000)=0,"",((Tabla1[[#This Row],[fin]]-Tabla1[[#This Row],[inicio]])/1000)),"")</f>
        <v>1.2999999999999999E-2</v>
      </c>
      <c r="I553" s="66"/>
      <c r="J553" s="76">
        <v>2.2999999999999998</v>
      </c>
      <c r="K553" s="66" t="str">
        <f>IF(_xlfn.XLOOKUP($J553,Catalogo!$B$7:$B$210,Catalogo!$I$7:$I$210,"",0)=0,"",_xlfn.XLOOKUP($J553,Catalogo!$B$7:$B$210,Catalogo!$I$7:$I$210,"",0))</f>
        <v>DCVG</v>
      </c>
      <c r="L553" s="36">
        <f>+_xlfn.XLOOKUP(Tabla1[[#This Row],[Ducto]],'R (s03)'!B:B,'R (s03)'!C:C)</f>
        <v>1.2999999999999999E-2</v>
      </c>
      <c r="M553" s="261">
        <f>IF(Tabla1[[#This Row],[Avance_km]]&lt;&gt;"",Tabla1[[#This Row],[Avance_km]],Tabla1[[#This Row],[Avance_Med]])*_xlfn.XLOOKUP(Tabla1[[#This Row],[Codigo_actividad]],Catalogo!$B$6:$B$51,Catalogo!$F$6:$F$51,0)</f>
        <v>176.22318999999999</v>
      </c>
    </row>
    <row r="554" spans="1:14" x14ac:dyDescent="0.25">
      <c r="A554" s="354">
        <v>46227</v>
      </c>
      <c r="B554" s="114" t="s">
        <v>12</v>
      </c>
      <c r="C554" s="155" t="s">
        <v>329</v>
      </c>
      <c r="D554" s="39" t="s">
        <v>244</v>
      </c>
      <c r="E554" s="40" t="s">
        <v>36</v>
      </c>
      <c r="F554" s="28">
        <v>0</v>
      </c>
      <c r="G554" s="28">
        <v>463</v>
      </c>
      <c r="H554" s="224">
        <f>IF(Tabla1[[#This Row],[Codigo_actividad]]&lt;&gt;2.5,IF(((Tabla1[[#This Row],[fin]]-Tabla1[[#This Row],[inicio]])/1000)=0,"",((Tabla1[[#This Row],[fin]]-Tabla1[[#This Row],[inicio]])/1000)),"")</f>
        <v>0.46300000000000002</v>
      </c>
      <c r="I554" s="66"/>
      <c r="J554" s="76">
        <v>2.2999999999999998</v>
      </c>
      <c r="K554" s="66" t="str">
        <f>IF(_xlfn.XLOOKUP($J554,Catalogo!$B$7:$B$210,Catalogo!$I$7:$I$210,"",0)=0,"",_xlfn.XLOOKUP($J554,Catalogo!$B$7:$B$210,Catalogo!$I$7:$I$210,"",0))</f>
        <v>DCVG</v>
      </c>
      <c r="L554" s="36">
        <f>+_xlfn.XLOOKUP(Tabla1[[#This Row],[Ducto]],'R (s03)'!B:B,'R (s03)'!C:C)</f>
        <v>0.46300000000000002</v>
      </c>
      <c r="M554" s="261">
        <f>IF(Tabla1[[#This Row],[Avance_km]]&lt;&gt;"",Tabla1[[#This Row],[Avance_km]],Tabla1[[#This Row],[Avance_Med]])*_xlfn.XLOOKUP(Tabla1[[#This Row],[Codigo_actividad]],Catalogo!$B$6:$B$51,Catalogo!$F$6:$F$51,0)</f>
        <v>6276.2566900000002</v>
      </c>
    </row>
    <row r="555" spans="1:14" x14ac:dyDescent="0.25">
      <c r="A555" s="354">
        <v>46227</v>
      </c>
      <c r="B555" s="114" t="s">
        <v>12</v>
      </c>
      <c r="C555" s="155" t="s">
        <v>329</v>
      </c>
      <c r="D555" s="39" t="s">
        <v>250</v>
      </c>
      <c r="E555" s="40" t="s">
        <v>36</v>
      </c>
      <c r="F555" s="28">
        <v>0</v>
      </c>
      <c r="G555" s="28">
        <v>875</v>
      </c>
      <c r="H555" s="224">
        <f>IF(Tabla1[[#This Row],[Codigo_actividad]]&lt;&gt;2.5,IF(((Tabla1[[#This Row],[fin]]-Tabla1[[#This Row],[inicio]])/1000)=0,"",((Tabla1[[#This Row],[fin]]-Tabla1[[#This Row],[inicio]])/1000)),"")</f>
        <v>0.875</v>
      </c>
      <c r="I555" s="66"/>
      <c r="J555" s="76">
        <v>2.2999999999999998</v>
      </c>
      <c r="K555" s="66" t="str">
        <f>IF(_xlfn.XLOOKUP($J555,Catalogo!$B$7:$B$210,Catalogo!$I$7:$I$210,"",0)=0,"",_xlfn.XLOOKUP($J555,Catalogo!$B$7:$B$210,Catalogo!$I$7:$I$210,"",0))</f>
        <v>DCVG</v>
      </c>
      <c r="L555" s="36">
        <f>+_xlfn.XLOOKUP(Tabla1[[#This Row],[Ducto]],'R (s03)'!B:B,'R (s03)'!C:C)</f>
        <v>0.85</v>
      </c>
      <c r="M555" s="261">
        <f>IF(Tabla1[[#This Row],[Avance_km]]&lt;&gt;"",Tabla1[[#This Row],[Avance_km]],Tabla1[[#This Row],[Avance_Med]])*_xlfn.XLOOKUP(Tabla1[[#This Row],[Codigo_actividad]],Catalogo!$B$6:$B$51,Catalogo!$F$6:$F$51,0)</f>
        <v>11861.176249999999</v>
      </c>
    </row>
    <row r="556" spans="1:14" x14ac:dyDescent="0.25">
      <c r="A556" s="354">
        <v>46228</v>
      </c>
      <c r="B556" s="114" t="s">
        <v>12</v>
      </c>
      <c r="C556" s="155" t="s">
        <v>411</v>
      </c>
      <c r="D556" s="39" t="s">
        <v>264</v>
      </c>
      <c r="E556" s="40" t="s">
        <v>28</v>
      </c>
      <c r="F556" s="28">
        <v>0</v>
      </c>
      <c r="G556" s="28">
        <v>2077</v>
      </c>
      <c r="H556" s="224">
        <f>IF(Tabla1[[#This Row],[Codigo_actividad]]&lt;&gt;2.5,IF(((Tabla1[[#This Row],[fin]]-Tabla1[[#This Row],[inicio]])/1000)=0,"",((Tabla1[[#This Row],[fin]]-Tabla1[[#This Row],[inicio]])/1000)),"")</f>
        <v>2.077</v>
      </c>
      <c r="I556" s="66"/>
      <c r="J556" s="76">
        <v>2.1</v>
      </c>
      <c r="K556" s="66" t="str">
        <f>IF(_xlfn.XLOOKUP($J556,Catalogo!$B$7:$B$210,Catalogo!$I$7:$I$210,"",0)=0,"",_xlfn.XLOOKUP($J556,Catalogo!$B$7:$B$210,Catalogo!$I$7:$I$210,"",0))</f>
        <v>CIPS</v>
      </c>
      <c r="L556" s="36">
        <f>+_xlfn.XLOOKUP(Tabla1[[#This Row],[Ducto]],'R (s04)'!B:B,'R (s04)'!C:C)</f>
        <v>2.077</v>
      </c>
      <c r="M556" s="261">
        <f>IF(Tabla1[[#This Row],[Avance_km]]&lt;&gt;"",Tabla1[[#This Row],[Avance_km]],Tabla1[[#This Row],[Avance_Med]])*_xlfn.XLOOKUP(Tabla1[[#This Row],[Codigo_actividad]],Catalogo!$B$6:$B$51,Catalogo!$F$6:$F$51,0)</f>
        <v>30160.968569999997</v>
      </c>
    </row>
    <row r="557" spans="1:14" x14ac:dyDescent="0.25">
      <c r="A557" s="354"/>
      <c r="C557" s="155"/>
      <c r="D557" s="39"/>
      <c r="F557" s="28"/>
      <c r="G557" s="28"/>
      <c r="H557" s="224" t="str">
        <f>IF(Tabla1[[#This Row],[Codigo_actividad]]&lt;&gt;2.5,IF(((Tabla1[[#This Row],[fin]]-Tabla1[[#This Row],[inicio]])/1000)=0,"",((Tabla1[[#This Row],[fin]]-Tabla1[[#This Row],[inicio]])/1000)),"")</f>
        <v/>
      </c>
      <c r="J557" s="76"/>
      <c r="K557" s="66" t="str">
        <f>IF(_xlfn.XLOOKUP($J557,Catalogo!$B$7:$B$21,Catalogo!$I$7:$I$21,"",0)=0,"",_xlfn.XLOOKUP($J557,Catalogo!$B$7:$B$21,Catalogo!$I$7:$I$21,"",0))</f>
        <v/>
      </c>
      <c r="L557" s="36"/>
      <c r="M557" s="261">
        <f>IF(Tabla1[[#This Row],[Avance_km]]&lt;&gt;"",Tabla1[[#This Row],[Avance_km]],Tabla1[[#This Row],[Avance_Med]])*_xlfn.XLOOKUP(Tabla1[[#This Row],[Codigo_actividad]],Catalogo!$B$6:$B$51,Catalogo!$F$6:$F$51,0)</f>
        <v>0</v>
      </c>
      <c r="N557" t="str">
        <f>_xlfn.IFNA(_xlfn.XLOOKUP(Tabla1[[#This Row],[fin]],$P$379:$P$398,$T$379:$T$398),"")</f>
        <v/>
      </c>
    </row>
    <row r="558" spans="1:14" x14ac:dyDescent="0.25">
      <c r="A558" s="354">
        <v>46230</v>
      </c>
      <c r="B558" s="114" t="s">
        <v>12</v>
      </c>
      <c r="C558" s="155" t="s">
        <v>329</v>
      </c>
      <c r="D558" s="39" t="s">
        <v>255</v>
      </c>
      <c r="E558" s="40" t="s">
        <v>36</v>
      </c>
      <c r="F558" s="28">
        <v>0</v>
      </c>
      <c r="G558" s="28">
        <v>275</v>
      </c>
      <c r="H558" s="224">
        <f>IF(Tabla1[[#This Row],[Codigo_actividad]]&lt;&gt;2.5,IF(((Tabla1[[#This Row],[fin]]-Tabla1[[#This Row],[inicio]])/1000)=0,"",((Tabla1[[#This Row],[fin]]-Tabla1[[#This Row],[inicio]])/1000)),"")</f>
        <v>0.27500000000000002</v>
      </c>
      <c r="I558" s="66"/>
      <c r="J558" s="76">
        <v>2.2999999999999998</v>
      </c>
      <c r="K558" s="66" t="str">
        <f>IF(_xlfn.XLOOKUP($J558,Catalogo!$B$7:$B$210,Catalogo!$I$7:$I$210,"",0)=0,"",_xlfn.XLOOKUP($J558,Catalogo!$B$7:$B$210,Catalogo!$I$7:$I$210,"",0))</f>
        <v>DCVG</v>
      </c>
      <c r="L558" s="36">
        <f>+_xlfn.XLOOKUP(Tabla1[[#This Row],[Ducto]],'R (s03)'!B:B,'R (s03)'!C:C)</f>
        <v>0.27500000000000002</v>
      </c>
      <c r="M558" s="261">
        <f>IF(Tabla1[[#This Row],[Avance_km]]&lt;&gt;"",Tabla1[[#This Row],[Avance_km]],Tabla1[[#This Row],[Avance_Med]])*_xlfn.XLOOKUP(Tabla1[[#This Row],[Codigo_actividad]],Catalogo!$B$6:$B$51,Catalogo!$F$6:$F$51,0)</f>
        <v>3727.7982500000003</v>
      </c>
    </row>
    <row r="559" spans="1:14" x14ac:dyDescent="0.25">
      <c r="A559" s="354">
        <v>46230</v>
      </c>
      <c r="B559" s="114" t="s">
        <v>12</v>
      </c>
      <c r="C559" s="155" t="s">
        <v>329</v>
      </c>
      <c r="D559" s="39" t="s">
        <v>346</v>
      </c>
      <c r="E559" s="40" t="s">
        <v>36</v>
      </c>
      <c r="F559" s="28">
        <v>0</v>
      </c>
      <c r="G559" s="28">
        <v>703</v>
      </c>
      <c r="H559" s="224">
        <f>IF(Tabla1[[#This Row],[Codigo_actividad]]&lt;&gt;2.5,IF(((Tabla1[[#This Row],[fin]]-Tabla1[[#This Row],[inicio]])/1000)=0,"",((Tabla1[[#This Row],[fin]]-Tabla1[[#This Row],[inicio]])/1000)),"")</f>
        <v>0.70299999999999996</v>
      </c>
      <c r="I559" s="66"/>
      <c r="J559" s="76">
        <v>2.2999999999999998</v>
      </c>
      <c r="K559" s="66" t="str">
        <f>IF(_xlfn.XLOOKUP($J559,Catalogo!$B$7:$B$210,Catalogo!$I$7:$I$210,"",0)=0,"",_xlfn.XLOOKUP($J559,Catalogo!$B$7:$B$210,Catalogo!$I$7:$I$210,"",0))</f>
        <v>DCVG</v>
      </c>
      <c r="L559" s="36">
        <f>+_xlfn.XLOOKUP(Tabla1[[#This Row],[Ducto]],'R (s03)'!B:B,'R (s03)'!C:C)</f>
        <v>0.70299999999999996</v>
      </c>
      <c r="M559" s="261">
        <f>IF(Tabla1[[#This Row],[Avance_km]]&lt;&gt;"",Tabla1[[#This Row],[Avance_km]],Tabla1[[#This Row],[Avance_Med]])*_xlfn.XLOOKUP(Tabla1[[#This Row],[Codigo_actividad]],Catalogo!$B$6:$B$51,Catalogo!$F$6:$F$51,0)</f>
        <v>9529.6078899999993</v>
      </c>
    </row>
    <row r="560" spans="1:14" x14ac:dyDescent="0.25">
      <c r="A560" s="354">
        <v>46230</v>
      </c>
      <c r="B560" s="114" t="s">
        <v>12</v>
      </c>
      <c r="C560" s="155" t="s">
        <v>329</v>
      </c>
      <c r="D560" s="39" t="s">
        <v>253</v>
      </c>
      <c r="E560" s="40" t="s">
        <v>36</v>
      </c>
      <c r="F560" s="28">
        <v>0</v>
      </c>
      <c r="G560" s="28">
        <v>1324</v>
      </c>
      <c r="H560" s="224">
        <f>IF(Tabla1[[#This Row],[Codigo_actividad]]&lt;&gt;2.5,IF(((Tabla1[[#This Row],[fin]]-Tabla1[[#This Row],[inicio]])/1000)=0,"",((Tabla1[[#This Row],[fin]]-Tabla1[[#This Row],[inicio]])/1000)),"")</f>
        <v>1.3240000000000001</v>
      </c>
      <c r="I560" s="66"/>
      <c r="J560" s="76">
        <v>2.2999999999999998</v>
      </c>
      <c r="K560" s="66" t="str">
        <f>IF(_xlfn.XLOOKUP($J560,Catalogo!$B$7:$B$210,Catalogo!$I$7:$I$210,"",0)=0,"",_xlfn.XLOOKUP($J560,Catalogo!$B$7:$B$210,Catalogo!$I$7:$I$210,"",0))</f>
        <v>DCVG</v>
      </c>
      <c r="L560" s="36">
        <f>+_xlfn.XLOOKUP(Tabla1[[#This Row],[Ducto]],'R (s03)'!B:B,'R (s03)'!C:C)</f>
        <v>1.3240000000000001</v>
      </c>
      <c r="M560" s="261">
        <f>IF(Tabla1[[#This Row],[Avance_km]]&lt;&gt;"",Tabla1[[#This Row],[Avance_km]],Tabla1[[#This Row],[Avance_Med]])*_xlfn.XLOOKUP(Tabla1[[#This Row],[Codigo_actividad]],Catalogo!$B$6:$B$51,Catalogo!$F$6:$F$51,0)</f>
        <v>17947.654119999999</v>
      </c>
    </row>
    <row r="561" spans="1:17" x14ac:dyDescent="0.25">
      <c r="A561" s="354">
        <v>46231</v>
      </c>
      <c r="B561" s="114" t="s">
        <v>12</v>
      </c>
      <c r="C561" s="155" t="s">
        <v>329</v>
      </c>
      <c r="D561" s="39" t="s">
        <v>218</v>
      </c>
      <c r="E561" s="40" t="s">
        <v>36</v>
      </c>
      <c r="F561" s="28">
        <v>0</v>
      </c>
      <c r="G561" s="28">
        <v>1436</v>
      </c>
      <c r="H561" s="224">
        <f>IF(Tabla1[[#This Row],[Codigo_actividad]]&lt;&gt;2.5,IF(((Tabla1[[#This Row],[fin]]-Tabla1[[#This Row],[inicio]])/1000)=0,"",((Tabla1[[#This Row],[fin]]-Tabla1[[#This Row],[inicio]])/1000)),"")</f>
        <v>1.4359999999999999</v>
      </c>
      <c r="I561" s="66"/>
      <c r="J561" s="76">
        <v>2.2999999999999998</v>
      </c>
      <c r="K561" s="66" t="str">
        <f>IF(_xlfn.XLOOKUP($J561,Catalogo!$B$7:$B$210,Catalogo!$I$7:$I$210,"",0)=0,"",_xlfn.XLOOKUP($J561,Catalogo!$B$7:$B$210,Catalogo!$I$7:$I$210,"",0))</f>
        <v>DCVG</v>
      </c>
      <c r="L561" s="36">
        <f>+_xlfn.XLOOKUP(Tabla1[[#This Row],[Ducto]],'R (s03)'!B:B,'R (s03)'!C:C)</f>
        <v>1.4359999999999999</v>
      </c>
      <c r="M561" s="261">
        <f>IF(Tabla1[[#This Row],[Avance_km]]&lt;&gt;"",Tabla1[[#This Row],[Avance_km]],Tabla1[[#This Row],[Avance_Med]])*_xlfn.XLOOKUP(Tabla1[[#This Row],[Codigo_actividad]],Catalogo!$B$6:$B$51,Catalogo!$F$6:$F$51,0)</f>
        <v>19465.884679999999</v>
      </c>
    </row>
    <row r="562" spans="1:17" x14ac:dyDescent="0.25">
      <c r="A562" s="354">
        <v>46232</v>
      </c>
      <c r="B562" s="114" t="s">
        <v>12</v>
      </c>
      <c r="C562" s="155" t="s">
        <v>329</v>
      </c>
      <c r="D562" s="39" t="s">
        <v>241</v>
      </c>
      <c r="E562" s="40" t="s">
        <v>36</v>
      </c>
      <c r="F562" s="28">
        <v>0</v>
      </c>
      <c r="G562" s="28">
        <v>45</v>
      </c>
      <c r="H562" s="224">
        <f>IF(Tabla1[[#This Row],[Codigo_actividad]]&lt;&gt;2.5,IF(((Tabla1[[#This Row],[fin]]-Tabla1[[#This Row],[inicio]])/1000)=0,"",((Tabla1[[#This Row],[fin]]-Tabla1[[#This Row],[inicio]])/1000)),"")</f>
        <v>4.4999999999999998E-2</v>
      </c>
      <c r="I562" s="66"/>
      <c r="J562" s="76">
        <v>2.2999999999999998</v>
      </c>
      <c r="K562" s="66" t="str">
        <f>IF(_xlfn.XLOOKUP($J562,Catalogo!$B$7:$B$210,Catalogo!$I$7:$I$210,"",0)=0,"",_xlfn.XLOOKUP($J562,Catalogo!$B$7:$B$210,Catalogo!$I$7:$I$210,"",0))</f>
        <v>DCVG</v>
      </c>
      <c r="L562" s="36">
        <f>+_xlfn.XLOOKUP(Tabla1[[#This Row],[Ducto]],'R (s03)'!B:B,'R (s03)'!C:C)</f>
        <v>4.4999999999999998E-2</v>
      </c>
      <c r="M562" s="261">
        <f>IF(Tabla1[[#This Row],[Avance_km]]&lt;&gt;"",Tabla1[[#This Row],[Avance_km]],Tabla1[[#This Row],[Avance_Med]])*_xlfn.XLOOKUP(Tabla1[[#This Row],[Codigo_actividad]],Catalogo!$B$6:$B$51,Catalogo!$F$6:$F$51,0)</f>
        <v>610.00334999999995</v>
      </c>
    </row>
    <row r="563" spans="1:17" x14ac:dyDescent="0.25">
      <c r="A563" s="354">
        <v>46232</v>
      </c>
      <c r="B563" s="114" t="s">
        <v>12</v>
      </c>
      <c r="C563" s="155" t="s">
        <v>329</v>
      </c>
      <c r="D563" s="39" t="s">
        <v>243</v>
      </c>
      <c r="E563" s="40" t="s">
        <v>36</v>
      </c>
      <c r="F563" s="28">
        <v>0</v>
      </c>
      <c r="G563" s="28">
        <v>41</v>
      </c>
      <c r="H563" s="224">
        <f>IF(Tabla1[[#This Row],[Codigo_actividad]]&lt;&gt;2.5,IF(((Tabla1[[#This Row],[fin]]-Tabla1[[#This Row],[inicio]])/1000)=0,"",((Tabla1[[#This Row],[fin]]-Tabla1[[#This Row],[inicio]])/1000)),"")</f>
        <v>4.1000000000000002E-2</v>
      </c>
      <c r="I563" s="66"/>
      <c r="J563" s="76">
        <v>2.2999999999999998</v>
      </c>
      <c r="K563" s="66" t="str">
        <f>IF(_xlfn.XLOOKUP($J563,Catalogo!$B$7:$B$210,Catalogo!$I$7:$I$210,"",0)=0,"",_xlfn.XLOOKUP($J563,Catalogo!$B$7:$B$210,Catalogo!$I$7:$I$210,"",0))</f>
        <v>DCVG</v>
      </c>
      <c r="L563" s="36">
        <f>+_xlfn.XLOOKUP(Tabla1[[#This Row],[Ducto]],'R (s03)'!B:B,'R (s03)'!C:C)</f>
        <v>4.1000000000000002E-2</v>
      </c>
      <c r="M563" s="261">
        <f>IF(Tabla1[[#This Row],[Avance_km]]&lt;&gt;"",Tabla1[[#This Row],[Avance_km]],Tabla1[[#This Row],[Avance_Med]])*_xlfn.XLOOKUP(Tabla1[[#This Row],[Codigo_actividad]],Catalogo!$B$6:$B$51,Catalogo!$F$6:$F$51,0)</f>
        <v>555.78083000000004</v>
      </c>
    </row>
    <row r="564" spans="1:17" x14ac:dyDescent="0.25">
      <c r="A564" s="354">
        <v>46232</v>
      </c>
      <c r="B564" s="114" t="s">
        <v>12</v>
      </c>
      <c r="C564" s="155" t="s">
        <v>329</v>
      </c>
      <c r="D564" s="39" t="s">
        <v>233</v>
      </c>
      <c r="E564" s="40" t="s">
        <v>36</v>
      </c>
      <c r="F564" s="28">
        <v>0</v>
      </c>
      <c r="G564" s="28">
        <v>3</v>
      </c>
      <c r="H564" s="224">
        <f>IF(Tabla1[[#This Row],[Codigo_actividad]]&lt;&gt;2.5,IF(((Tabla1[[#This Row],[fin]]-Tabla1[[#This Row],[inicio]])/1000)=0,"",((Tabla1[[#This Row],[fin]]-Tabla1[[#This Row],[inicio]])/1000)),"")</f>
        <v>3.0000000000000001E-3</v>
      </c>
      <c r="I564" s="66"/>
      <c r="J564" s="76">
        <v>2.2999999999999998</v>
      </c>
      <c r="K564" s="66" t="str">
        <f>IF(_xlfn.XLOOKUP($J564,Catalogo!$B$7:$B$210,Catalogo!$I$7:$I$210,"",0)=0,"",_xlfn.XLOOKUP($J564,Catalogo!$B$7:$B$210,Catalogo!$I$7:$I$210,"",0))</f>
        <v>DCVG</v>
      </c>
      <c r="L564" s="36">
        <f>+_xlfn.XLOOKUP(Tabla1[[#This Row],[Ducto]],'R (s03)'!B:B,'R (s03)'!C:C)</f>
        <v>3.0000000000000001E-3</v>
      </c>
      <c r="M564" s="261">
        <f>IF(Tabla1[[#This Row],[Avance_km]]&lt;&gt;"",Tabla1[[#This Row],[Avance_km]],Tabla1[[#This Row],[Avance_Med]])*_xlfn.XLOOKUP(Tabla1[[#This Row],[Codigo_actividad]],Catalogo!$B$6:$B$51,Catalogo!$F$6:$F$51,0)</f>
        <v>40.666889999999995</v>
      </c>
    </row>
    <row r="565" spans="1:17" x14ac:dyDescent="0.25">
      <c r="A565" s="354">
        <v>46232</v>
      </c>
      <c r="B565" s="114" t="s">
        <v>12</v>
      </c>
      <c r="C565" s="155" t="s">
        <v>329</v>
      </c>
      <c r="D565" s="39" t="s">
        <v>227</v>
      </c>
      <c r="E565" s="40" t="s">
        <v>36</v>
      </c>
      <c r="F565" s="28">
        <v>0</v>
      </c>
      <c r="G565" s="28">
        <v>40</v>
      </c>
      <c r="H565" s="224">
        <f>IF(Tabla1[[#This Row],[Codigo_actividad]]&lt;&gt;2.5,IF(((Tabla1[[#This Row],[fin]]-Tabla1[[#This Row],[inicio]])/1000)=0,"",((Tabla1[[#This Row],[fin]]-Tabla1[[#This Row],[inicio]])/1000)),"")</f>
        <v>0.04</v>
      </c>
      <c r="I565" s="66"/>
      <c r="J565" s="76">
        <v>2.2999999999999998</v>
      </c>
      <c r="K565" s="66" t="str">
        <f>IF(_xlfn.XLOOKUP($J565,Catalogo!$B$7:$B$210,Catalogo!$I$7:$I$210,"",0)=0,"",_xlfn.XLOOKUP($J565,Catalogo!$B$7:$B$210,Catalogo!$I$7:$I$210,"",0))</f>
        <v>DCVG</v>
      </c>
      <c r="L565" s="36">
        <f>+_xlfn.XLOOKUP(Tabla1[[#This Row],[Ducto]],'R (s03)'!B:B,'R (s03)'!C:C)</f>
        <v>0.04</v>
      </c>
      <c r="M565" s="261">
        <f>IF(Tabla1[[#This Row],[Avance_km]]&lt;&gt;"",Tabla1[[#This Row],[Avance_km]],Tabla1[[#This Row],[Avance_Med]])*_xlfn.XLOOKUP(Tabla1[[#This Row],[Codigo_actividad]],Catalogo!$B$6:$B$51,Catalogo!$F$6:$F$51,0)</f>
        <v>542.22519999999997</v>
      </c>
    </row>
    <row r="566" spans="1:17" x14ac:dyDescent="0.25">
      <c r="A566" s="354">
        <v>46232</v>
      </c>
      <c r="B566" s="114" t="s">
        <v>12</v>
      </c>
      <c r="C566" s="155" t="s">
        <v>329</v>
      </c>
      <c r="D566" s="39" t="s">
        <v>504</v>
      </c>
      <c r="E566" s="40" t="s">
        <v>36</v>
      </c>
      <c r="F566" s="28">
        <v>0</v>
      </c>
      <c r="G566" s="28">
        <v>243</v>
      </c>
      <c r="H566" s="224">
        <f>IF(Tabla1[[#This Row],[Codigo_actividad]]&lt;&gt;2.5,IF(((Tabla1[[#This Row],[fin]]-Tabla1[[#This Row],[inicio]])/1000)=0,"",((Tabla1[[#This Row],[fin]]-Tabla1[[#This Row],[inicio]])/1000)),"")</f>
        <v>0.24299999999999999</v>
      </c>
      <c r="I566" s="66"/>
      <c r="J566" s="76">
        <v>2.2999999999999998</v>
      </c>
      <c r="K566" s="66" t="str">
        <f>IF(_xlfn.XLOOKUP($J566,Catalogo!$B$7:$B$210,Catalogo!$I$7:$I$210,"",0)=0,"",_xlfn.XLOOKUP($J566,Catalogo!$B$7:$B$210,Catalogo!$I$7:$I$210,"",0))</f>
        <v>DCVG</v>
      </c>
      <c r="L566" s="36">
        <f>+_xlfn.XLOOKUP(Tabla1[[#This Row],[Ducto]],'R (s03)'!B:B,'R (s03)'!C:C)</f>
        <v>0.24299999999999999</v>
      </c>
      <c r="M566" s="261">
        <f>IF(Tabla1[[#This Row],[Avance_km]]&lt;&gt;"",Tabla1[[#This Row],[Avance_km]],Tabla1[[#This Row],[Avance_Med]])*_xlfn.XLOOKUP(Tabla1[[#This Row],[Codigo_actividad]],Catalogo!$B$6:$B$51,Catalogo!$F$6:$F$51,0)</f>
        <v>3294.0180899999996</v>
      </c>
    </row>
    <row r="567" spans="1:17" x14ac:dyDescent="0.25">
      <c r="A567" s="354">
        <v>46232</v>
      </c>
      <c r="B567" s="114" t="s">
        <v>12</v>
      </c>
      <c r="C567" s="155" t="s">
        <v>329</v>
      </c>
      <c r="D567" s="39" t="s">
        <v>239</v>
      </c>
      <c r="E567" s="40" t="s">
        <v>36</v>
      </c>
      <c r="F567" s="28">
        <v>0</v>
      </c>
      <c r="G567" s="28">
        <v>278</v>
      </c>
      <c r="H567" s="224">
        <f>IF(Tabla1[[#This Row],[Codigo_actividad]]&lt;&gt;2.5,IF(((Tabla1[[#This Row],[fin]]-Tabla1[[#This Row],[inicio]])/1000)=0,"",((Tabla1[[#This Row],[fin]]-Tabla1[[#This Row],[inicio]])/1000)),"")</f>
        <v>0.27800000000000002</v>
      </c>
      <c r="I567" s="66"/>
      <c r="J567" s="76">
        <v>2.2999999999999998</v>
      </c>
      <c r="K567" s="66" t="str">
        <f>IF(_xlfn.XLOOKUP($J567,Catalogo!$B$7:$B$210,Catalogo!$I$7:$I$210,"",0)=0,"",_xlfn.XLOOKUP($J567,Catalogo!$B$7:$B$210,Catalogo!$I$7:$I$210,"",0))</f>
        <v>DCVG</v>
      </c>
      <c r="L567" s="36">
        <f>+_xlfn.XLOOKUP(Tabla1[[#This Row],[Ducto]],'R (s03)'!B:B,'R (s03)'!C:C)</f>
        <v>0.27800000000000002</v>
      </c>
      <c r="M567" s="261">
        <f>IF(Tabla1[[#This Row],[Avance_km]]&lt;&gt;"",Tabla1[[#This Row],[Avance_km]],Tabla1[[#This Row],[Avance_Med]])*_xlfn.XLOOKUP(Tabla1[[#This Row],[Codigo_actividad]],Catalogo!$B$6:$B$51,Catalogo!$F$6:$F$51,0)</f>
        <v>3768.4651400000002</v>
      </c>
    </row>
    <row r="568" spans="1:17" x14ac:dyDescent="0.25">
      <c r="A568" s="354">
        <v>46233</v>
      </c>
      <c r="B568" s="114" t="s">
        <v>12</v>
      </c>
      <c r="C568" s="155" t="s">
        <v>329</v>
      </c>
      <c r="D568" s="39" t="s">
        <v>225</v>
      </c>
      <c r="E568" s="40" t="s">
        <v>36</v>
      </c>
      <c r="F568" s="28">
        <v>2280</v>
      </c>
      <c r="G568" s="28">
        <v>4000</v>
      </c>
      <c r="H568" s="224">
        <f>IF(Tabla1[[#This Row],[Codigo_actividad]]&lt;&gt;2.5,IF(((Tabla1[[#This Row],[fin]]-Tabla1[[#This Row],[inicio]])/1000)=0,"",((Tabla1[[#This Row],[fin]]-Tabla1[[#This Row],[inicio]])/1000)),"")</f>
        <v>1.72</v>
      </c>
      <c r="I568" s="66"/>
      <c r="J568" s="76">
        <v>2.2999999999999998</v>
      </c>
      <c r="K568" s="66" t="str">
        <f>IF(_xlfn.XLOOKUP($J568,Catalogo!$B$7:$B$210,Catalogo!$I$7:$I$210,"",0)=0,"",_xlfn.XLOOKUP($J568,Catalogo!$B$7:$B$210,Catalogo!$I$7:$I$210,"",0))</f>
        <v>DCVG</v>
      </c>
      <c r="L568" s="36">
        <f>+_xlfn.XLOOKUP(Tabla1[[#This Row],[Ducto]],'R (s03)'!B:B,'R (s03)'!C:C)</f>
        <v>5.97</v>
      </c>
      <c r="M568" s="261">
        <f>IF(Tabla1[[#This Row],[Avance_km]]&lt;&gt;"",Tabla1[[#This Row],[Avance_km]],Tabla1[[#This Row],[Avance_Med]])*_xlfn.XLOOKUP(Tabla1[[#This Row],[Codigo_actividad]],Catalogo!$B$6:$B$51,Catalogo!$F$6:$F$51,0)</f>
        <v>23315.683599999997</v>
      </c>
    </row>
    <row r="569" spans="1:17" x14ac:dyDescent="0.25">
      <c r="A569" s="354">
        <v>46234</v>
      </c>
      <c r="B569" s="114" t="s">
        <v>12</v>
      </c>
      <c r="C569" s="155" t="s">
        <v>329</v>
      </c>
      <c r="D569" s="39" t="s">
        <v>225</v>
      </c>
      <c r="E569" s="40" t="s">
        <v>36</v>
      </c>
      <c r="F569" s="28">
        <v>4000</v>
      </c>
      <c r="G569" s="173">
        <v>6168</v>
      </c>
      <c r="H569" s="224">
        <f>IF(Tabla1[[#This Row],[Codigo_actividad]]&lt;&gt;2.5,IF(((Tabla1[[#This Row],[fin]]-Tabla1[[#This Row],[inicio]])/1000)=0,"",((Tabla1[[#This Row],[fin]]-Tabla1[[#This Row],[inicio]])/1000)),"")</f>
        <v>2.1680000000000001</v>
      </c>
      <c r="I569" s="66"/>
      <c r="J569" s="76">
        <v>2.2999999999999998</v>
      </c>
      <c r="K569" s="66" t="str">
        <f>IF(_xlfn.XLOOKUP($J569,Catalogo!$B$7:$B$210,Catalogo!$I$7:$I$210,"",0)=0,"",_xlfn.XLOOKUP($J569,Catalogo!$B$7:$B$210,Catalogo!$I$7:$I$210,"",0))</f>
        <v>DCVG</v>
      </c>
      <c r="L569" s="36">
        <f>+_xlfn.XLOOKUP(Tabla1[[#This Row],[Ducto]],'R (s03)'!B:B,'R (s03)'!C:C)</f>
        <v>5.97</v>
      </c>
      <c r="M569" s="261">
        <f>IF(Tabla1[[#This Row],[Avance_km]]&lt;&gt;"",Tabla1[[#This Row],[Avance_km]],Tabla1[[#This Row],[Avance_Med]])*_xlfn.XLOOKUP(Tabla1[[#This Row],[Codigo_actividad]],Catalogo!$B$6:$B$51,Catalogo!$F$6:$F$51,0)</f>
        <v>29388.60584</v>
      </c>
      <c r="N569" s="211" t="s">
        <v>517</v>
      </c>
    </row>
    <row r="570" spans="1:17" x14ac:dyDescent="0.25">
      <c r="A570" s="354">
        <v>46235</v>
      </c>
      <c r="B570" s="114" t="s">
        <v>12</v>
      </c>
      <c r="C570" s="155" t="s">
        <v>329</v>
      </c>
      <c r="D570" s="39" t="s">
        <v>225</v>
      </c>
      <c r="E570" s="40" t="s">
        <v>36</v>
      </c>
      <c r="F570" s="28">
        <v>1200</v>
      </c>
      <c r="G570" s="28">
        <v>2280</v>
      </c>
      <c r="H570" s="224">
        <f>IF(Tabla1[[#This Row],[Codigo_actividad]]&lt;&gt;2.5,IF(((Tabla1[[#This Row],[fin]]-Tabla1[[#This Row],[inicio]])/1000)=0,"",((Tabla1[[#This Row],[fin]]-Tabla1[[#This Row],[inicio]])/1000)),"")</f>
        <v>1.08</v>
      </c>
      <c r="I570" s="66"/>
      <c r="J570" s="76">
        <v>2.2999999999999998</v>
      </c>
      <c r="K570" s="66" t="str">
        <f>IF(_xlfn.XLOOKUP($J570,Catalogo!$B$7:$B$210,Catalogo!$I$7:$I$210,"",0)=0,"",_xlfn.XLOOKUP($J570,Catalogo!$B$7:$B$210,Catalogo!$I$7:$I$210,"",0))</f>
        <v>DCVG</v>
      </c>
      <c r="L570" s="36">
        <f>+_xlfn.XLOOKUP(Tabla1[[#This Row],[Ducto]],'R (s03)'!B:B,'R (s03)'!C:C)</f>
        <v>5.97</v>
      </c>
      <c r="M570" s="261">
        <f>IF(Tabla1[[#This Row],[Avance_km]]&lt;&gt;"",Tabla1[[#This Row],[Avance_km]],Tabla1[[#This Row],[Avance_Med]])*_xlfn.XLOOKUP(Tabla1[[#This Row],[Codigo_actividad]],Catalogo!$B$6:$B$51,Catalogo!$F$6:$F$51,0)</f>
        <v>14640.080400000001</v>
      </c>
    </row>
    <row r="571" spans="1:17" x14ac:dyDescent="0.25">
      <c r="A571" s="354"/>
      <c r="B571" s="114"/>
      <c r="C571" s="155"/>
      <c r="D571" s="39"/>
      <c r="F571" s="28"/>
      <c r="G571" s="28"/>
      <c r="H571" s="224" t="str">
        <f>IF(Tabla1[[#This Row],[Codigo_actividad]]&lt;&gt;2.5,IF(((Tabla1[[#This Row],[fin]]-Tabla1[[#This Row],[inicio]])/1000)=0,"",((Tabla1[[#This Row],[fin]]-Tabla1[[#This Row],[inicio]])/1000)),"")</f>
        <v/>
      </c>
      <c r="I571" s="66"/>
      <c r="J571" s="76"/>
      <c r="K571" s="66" t="str">
        <f>IF(_xlfn.XLOOKUP($J571,Catalogo!$B$7:$B$21,Catalogo!$I$7:$I$21,"",0)=0,"",_xlfn.XLOOKUP($J571,Catalogo!$B$7:$B$21,Catalogo!$I$7:$I$21,"",0))</f>
        <v/>
      </c>
      <c r="L571" s="36"/>
      <c r="M571" s="261">
        <f>IF(Tabla1[[#This Row],[Avance_km]]&lt;&gt;"",Tabla1[[#This Row],[Avance_km]],Tabla1[[#This Row],[Avance_Med]])*_xlfn.XLOOKUP(Tabla1[[#This Row],[Codigo_actividad]],Catalogo!$B$6:$B$51,Catalogo!$F$6:$F$51,0)</f>
        <v>0</v>
      </c>
      <c r="N571" t="str">
        <f>_xlfn.IFNA(_xlfn.XLOOKUP(Tabla1[[#This Row],[fin]],$P$379:$P$398,$T$379:$T$398),"")</f>
        <v/>
      </c>
    </row>
    <row r="572" spans="1:17" x14ac:dyDescent="0.25">
      <c r="A572" s="354">
        <v>46237</v>
      </c>
      <c r="B572" s="114" t="s">
        <v>12</v>
      </c>
      <c r="C572" s="155" t="s">
        <v>329</v>
      </c>
      <c r="D572" s="39" t="s">
        <v>225</v>
      </c>
      <c r="E572" s="40" t="s">
        <v>36</v>
      </c>
      <c r="F572" s="28">
        <v>0</v>
      </c>
      <c r="G572" s="28">
        <v>1200</v>
      </c>
      <c r="H572" s="224">
        <f>IF(Tabla1[[#This Row],[Codigo_actividad]]&lt;&gt;2.5,IF(((Tabla1[[#This Row],[fin]]-Tabla1[[#This Row],[inicio]])/1000)=0,"",((Tabla1[[#This Row],[fin]]-Tabla1[[#This Row],[inicio]])/1000)),"")</f>
        <v>1.2</v>
      </c>
      <c r="I572" s="66"/>
      <c r="J572" s="76">
        <v>2.2999999999999998</v>
      </c>
      <c r="K572" s="66" t="str">
        <f>IF(_xlfn.XLOOKUP($J572,Catalogo!$B$7:$B$210,Catalogo!$I$7:$I$210,"",0)=0,"",_xlfn.XLOOKUP($J572,Catalogo!$B$7:$B$210,Catalogo!$I$7:$I$210,"",0))</f>
        <v>DCVG</v>
      </c>
      <c r="L572" s="36">
        <f>+_xlfn.XLOOKUP(Tabla1[[#This Row],[Ducto]],'R (s03)'!B:B,'R (s03)'!C:C)</f>
        <v>5.97</v>
      </c>
      <c r="M572" s="261">
        <f>IF(Tabla1[[#This Row],[Avance_km]]&lt;&gt;"",Tabla1[[#This Row],[Avance_km]],Tabla1[[#This Row],[Avance_Med]])*_xlfn.XLOOKUP(Tabla1[[#This Row],[Codigo_actividad]],Catalogo!$B$6:$B$51,Catalogo!$F$6:$F$51,0)</f>
        <v>16266.755999999998</v>
      </c>
    </row>
    <row r="573" spans="1:17" x14ac:dyDescent="0.25">
      <c r="A573" s="354">
        <v>46238</v>
      </c>
      <c r="B573" s="114" t="s">
        <v>12</v>
      </c>
      <c r="C573" s="155" t="s">
        <v>329</v>
      </c>
      <c r="D573" s="39" t="s">
        <v>237</v>
      </c>
      <c r="E573" s="40" t="s">
        <v>36</v>
      </c>
      <c r="F573" s="28">
        <v>0</v>
      </c>
      <c r="G573" s="28">
        <v>52</v>
      </c>
      <c r="H573" s="224">
        <f>IF(Tabla1[[#This Row],[Codigo_actividad]]&lt;&gt;2.5,IF(((Tabla1[[#This Row],[fin]]-Tabla1[[#This Row],[inicio]])/1000)=0,"",((Tabla1[[#This Row],[fin]]-Tabla1[[#This Row],[inicio]])/1000)),"")</f>
        <v>5.1999999999999998E-2</v>
      </c>
      <c r="I573" s="66"/>
      <c r="J573" s="76">
        <v>2.2999999999999998</v>
      </c>
      <c r="K573" s="66" t="str">
        <f>IF(_xlfn.XLOOKUP($J573,Catalogo!$B$7:$B$210,Catalogo!$I$7:$I$210,"",0)=0,"",_xlfn.XLOOKUP($J573,Catalogo!$B$7:$B$210,Catalogo!$I$7:$I$210,"",0))</f>
        <v>DCVG</v>
      </c>
      <c r="L573" s="36">
        <f>+_xlfn.XLOOKUP(Tabla1[[#This Row],[Ducto]],'R (s03)'!B:B,'R (s03)'!C:C)</f>
        <v>5.1999999999999998E-2</v>
      </c>
      <c r="M573" s="261">
        <f>IF(Tabla1[[#This Row],[Avance_km]]&lt;&gt;"",Tabla1[[#This Row],[Avance_km]],Tabla1[[#This Row],[Avance_Med]])*_xlfn.XLOOKUP(Tabla1[[#This Row],[Codigo_actividad]],Catalogo!$B$6:$B$51,Catalogo!$F$6:$F$51,0)</f>
        <v>704.89275999999995</v>
      </c>
    </row>
    <row r="574" spans="1:17" x14ac:dyDescent="0.25">
      <c r="A574" s="354">
        <v>46238</v>
      </c>
      <c r="B574" s="114" t="s">
        <v>12</v>
      </c>
      <c r="C574" s="155" t="s">
        <v>411</v>
      </c>
      <c r="D574" s="39" t="s">
        <v>361</v>
      </c>
      <c r="E574" s="40" t="s">
        <v>36</v>
      </c>
      <c r="F574" s="28">
        <v>0</v>
      </c>
      <c r="G574" s="28">
        <v>7</v>
      </c>
      <c r="H574" s="224">
        <f>IF(Tabla1[[#This Row],[Codigo_actividad]]&lt;&gt;2.5,IF(((Tabla1[[#This Row],[fin]]-Tabla1[[#This Row],[inicio]])/1000)=0,"",((Tabla1[[#This Row],[fin]]-Tabla1[[#This Row],[inicio]])/1000)),"")</f>
        <v>7.0000000000000001E-3</v>
      </c>
      <c r="I574" s="66"/>
      <c r="J574" s="76">
        <v>2.2999999999999998</v>
      </c>
      <c r="K574" s="66" t="str">
        <f>IF(_xlfn.XLOOKUP($J574,Catalogo!$B$7:$B$210,Catalogo!$I$7:$I$210,"",0)=0,"",_xlfn.XLOOKUP($J574,Catalogo!$B$7:$B$210,Catalogo!$I$7:$I$210,"",0))</f>
        <v>DCVG</v>
      </c>
      <c r="L574" s="36">
        <f>+_xlfn.XLOOKUP(Tabla1[[#This Row],[Ducto]],'R (s04)'!B:B,'R (s04)'!C:C)</f>
        <v>7.0000000000000001E-3</v>
      </c>
      <c r="M574" s="261">
        <f>IF(Tabla1[[#This Row],[Avance_km]]&lt;&gt;"",Tabla1[[#This Row],[Avance_km]],Tabla1[[#This Row],[Avance_Med]])*_xlfn.XLOOKUP(Tabla1[[#This Row],[Codigo_actividad]],Catalogo!$B$6:$B$51,Catalogo!$F$6:$F$51,0)</f>
        <v>94.889409999999998</v>
      </c>
    </row>
    <row r="575" spans="1:17" x14ac:dyDescent="0.25">
      <c r="A575" s="354">
        <v>46238</v>
      </c>
      <c r="B575" s="114" t="s">
        <v>12</v>
      </c>
      <c r="C575" s="155" t="s">
        <v>411</v>
      </c>
      <c r="D575" s="39" t="s">
        <v>360</v>
      </c>
      <c r="E575" s="40" t="s">
        <v>36</v>
      </c>
      <c r="F575" s="28">
        <v>0</v>
      </c>
      <c r="G575" s="28">
        <v>160</v>
      </c>
      <c r="H575" s="224">
        <f>IF(Tabla1[[#This Row],[Codigo_actividad]]&lt;&gt;2.5,IF(((Tabla1[[#This Row],[fin]]-Tabla1[[#This Row],[inicio]])/1000)=0,"",((Tabla1[[#This Row],[fin]]-Tabla1[[#This Row],[inicio]])/1000)),"")</f>
        <v>0.16</v>
      </c>
      <c r="I575" s="66"/>
      <c r="J575" s="76">
        <v>2.2999999999999998</v>
      </c>
      <c r="K575" s="66" t="str">
        <f>IF(_xlfn.XLOOKUP($J575,Catalogo!$B$7:$B$210,Catalogo!$I$7:$I$210,"",0)=0,"",_xlfn.XLOOKUP($J575,Catalogo!$B$7:$B$210,Catalogo!$I$7:$I$210,"",0))</f>
        <v>DCVG</v>
      </c>
      <c r="L575" s="36">
        <f>+_xlfn.XLOOKUP(Tabla1[[#This Row],[Ducto]],'R (s04)'!B:B,'R (s04)'!C:C)</f>
        <v>0.16</v>
      </c>
      <c r="M575" s="261">
        <f>IF(Tabla1[[#This Row],[Avance_km]]&lt;&gt;"",Tabla1[[#This Row],[Avance_km]],Tabla1[[#This Row],[Avance_Med]])*_xlfn.XLOOKUP(Tabla1[[#This Row],[Codigo_actividad]],Catalogo!$B$6:$B$51,Catalogo!$F$6:$F$51,0)</f>
        <v>2168.9007999999999</v>
      </c>
      <c r="P575" t="s">
        <v>524</v>
      </c>
    </row>
    <row r="576" spans="1:17" x14ac:dyDescent="0.25">
      <c r="A576" s="354">
        <v>46239</v>
      </c>
      <c r="B576" s="114" t="s">
        <v>12</v>
      </c>
      <c r="C576" s="155" t="s">
        <v>329</v>
      </c>
      <c r="D576" s="39" t="s">
        <v>231</v>
      </c>
      <c r="E576" s="40" t="s">
        <v>36</v>
      </c>
      <c r="F576" s="28">
        <v>0</v>
      </c>
      <c r="G576" s="28">
        <v>21</v>
      </c>
      <c r="H576" s="224">
        <f>IF(Tabla1[[#This Row],[Codigo_actividad]]&lt;&gt;2.5,IF(((Tabla1[[#This Row],[fin]]-Tabla1[[#This Row],[inicio]])/1000)=0,"",((Tabla1[[#This Row],[fin]]-Tabla1[[#This Row],[inicio]])/1000)),"")</f>
        <v>2.1000000000000001E-2</v>
      </c>
      <c r="I576" s="66"/>
      <c r="J576" s="76">
        <v>2.2999999999999998</v>
      </c>
      <c r="K576" s="66" t="str">
        <f>IF(_xlfn.XLOOKUP($J576,Catalogo!$B$7:$B$210,Catalogo!$I$7:$I$210,"",0)=0,"",_xlfn.XLOOKUP($J576,Catalogo!$B$7:$B$210,Catalogo!$I$7:$I$210,"",0))</f>
        <v>DCVG</v>
      </c>
      <c r="L576" s="36">
        <f>+_xlfn.XLOOKUP(Tabla1[[#This Row],[Ducto]],'R (s03)'!B:B,'R (s03)'!C:C)</f>
        <v>2.1000000000000001E-2</v>
      </c>
      <c r="M576" s="261">
        <f>IF(Tabla1[[#This Row],[Avance_km]]&lt;&gt;"",Tabla1[[#This Row],[Avance_km]],Tabla1[[#This Row],[Avance_Med]])*_xlfn.XLOOKUP(Tabla1[[#This Row],[Codigo_actividad]],Catalogo!$B$6:$B$51,Catalogo!$F$6:$F$51,0)</f>
        <v>284.66822999999999</v>
      </c>
      <c r="P576" s="389">
        <v>0</v>
      </c>
      <c r="Q576" s="389">
        <v>500</v>
      </c>
    </row>
    <row r="577" spans="1:18" x14ac:dyDescent="0.25">
      <c r="A577" s="354">
        <v>46239</v>
      </c>
      <c r="B577" s="114" t="s">
        <v>12</v>
      </c>
      <c r="C577" s="155" t="s">
        <v>329</v>
      </c>
      <c r="D577" s="39" t="s">
        <v>242</v>
      </c>
      <c r="E577" s="40" t="s">
        <v>28</v>
      </c>
      <c r="F577" s="28">
        <v>47</v>
      </c>
      <c r="G577" s="28">
        <v>62</v>
      </c>
      <c r="H577" s="224">
        <f>IF(Tabla1[[#This Row],[Codigo_actividad]]&lt;&gt;2.5,IF(((Tabla1[[#This Row],[fin]]-Tabla1[[#This Row],[inicio]])/1000)=0,"",((Tabla1[[#This Row],[fin]]-Tabla1[[#This Row],[inicio]])/1000)),"")</f>
        <v>1.4999999999999999E-2</v>
      </c>
      <c r="I577" s="66"/>
      <c r="J577" s="76">
        <v>2.1</v>
      </c>
      <c r="K577" s="66" t="str">
        <f>IF(_xlfn.XLOOKUP($J577,Catalogo!$B$7:$B$210,Catalogo!$I$7:$I$210,"",0)=0,"",_xlfn.XLOOKUP($J577,Catalogo!$B$7:$B$210,Catalogo!$I$7:$I$210,"",0))</f>
        <v>CIPS</v>
      </c>
      <c r="L577" s="36">
        <f>+_xlfn.XLOOKUP(Tabla1[[#This Row],[Ducto]],'R (s03)'!B:B,'R (s03)'!C:C)</f>
        <v>6.2E-2</v>
      </c>
      <c r="M577" s="261">
        <f>IF(Tabla1[[#This Row],[Avance_km]]&lt;&gt;"",Tabla1[[#This Row],[Avance_km]],Tabla1[[#This Row],[Avance_Med]])*_xlfn.XLOOKUP(Tabla1[[#This Row],[Codigo_actividad]],Catalogo!$B$6:$B$51,Catalogo!$F$6:$F$51,0)</f>
        <v>217.82114999999999</v>
      </c>
      <c r="P577" s="389">
        <v>500</v>
      </c>
      <c r="Q577" s="389">
        <v>1600</v>
      </c>
    </row>
    <row r="578" spans="1:18" x14ac:dyDescent="0.25">
      <c r="A578" s="354">
        <v>46239</v>
      </c>
      <c r="B578" s="114" t="s">
        <v>12</v>
      </c>
      <c r="C578" s="155" t="s">
        <v>329</v>
      </c>
      <c r="D578" s="39" t="s">
        <v>242</v>
      </c>
      <c r="E578" s="40" t="s">
        <v>16</v>
      </c>
      <c r="F578" s="28">
        <v>47</v>
      </c>
      <c r="G578" s="28">
        <v>62</v>
      </c>
      <c r="H578" s="224">
        <f>IF(Tabla1[[#This Row],[Codigo_actividad]]&lt;&gt;2.5,IF(((Tabla1[[#This Row],[fin]]-Tabla1[[#This Row],[inicio]])/1000)=0,"",((Tabla1[[#This Row],[fin]]-Tabla1[[#This Row],[inicio]])/1000)),"")</f>
        <v>1.4999999999999999E-2</v>
      </c>
      <c r="I578" s="66"/>
      <c r="J578" s="76">
        <v>2.6</v>
      </c>
      <c r="K578" s="66" t="str">
        <f>IF(_xlfn.XLOOKUP($J578,Catalogo!$B$7:$B$210,Catalogo!$I$7:$I$210,"",0)=0,"",_xlfn.XLOOKUP($J578,Catalogo!$B$7:$B$210,Catalogo!$I$7:$I$210,"",0))</f>
        <v>Localizacion</v>
      </c>
      <c r="L578" s="36">
        <f>+_xlfn.XLOOKUP(Tabla1[[#This Row],[Ducto]],'R (s03)'!B:B,'R (s03)'!C:C)</f>
        <v>6.2E-2</v>
      </c>
      <c r="M578" s="261">
        <f>IF(Tabla1[[#This Row],[Avance_km]]&lt;&gt;"",Tabla1[[#This Row],[Avance_km]],Tabla1[[#This Row],[Avance_Med]])*_xlfn.XLOOKUP(Tabla1[[#This Row],[Codigo_actividad]],Catalogo!$B$6:$B$51,Catalogo!$F$6:$F$51,0)</f>
        <v>33.8613</v>
      </c>
      <c r="P578" s="389">
        <v>1600</v>
      </c>
      <c r="Q578" s="389">
        <v>2300</v>
      </c>
    </row>
    <row r="579" spans="1:18" x14ac:dyDescent="0.25">
      <c r="A579" s="354">
        <v>46240</v>
      </c>
      <c r="B579" s="114" t="s">
        <v>12</v>
      </c>
      <c r="C579" s="155" t="s">
        <v>329</v>
      </c>
      <c r="D579" s="39" t="s">
        <v>217</v>
      </c>
      <c r="E579" s="40" t="s">
        <v>36</v>
      </c>
      <c r="F579" s="28">
        <v>0</v>
      </c>
      <c r="G579" s="28">
        <v>3300</v>
      </c>
      <c r="H579" s="224">
        <f>IF(Tabla1[[#This Row],[Codigo_actividad]]&lt;&gt;2.5,IF(((Tabla1[[#This Row],[fin]]-Tabla1[[#This Row],[inicio]])/1000)=0,"",((Tabla1[[#This Row],[fin]]-Tabla1[[#This Row],[inicio]])/1000)),"")</f>
        <v>3.3</v>
      </c>
      <c r="I579" s="66"/>
      <c r="J579" s="76">
        <v>2.2999999999999998</v>
      </c>
      <c r="K579" s="66" t="str">
        <f>IF(_xlfn.XLOOKUP($J579,Catalogo!$B$7:$B$210,Catalogo!$I$7:$I$210,"",0)=0,"",_xlfn.XLOOKUP($J579,Catalogo!$B$7:$B$210,Catalogo!$I$7:$I$210,"",0))</f>
        <v>DCVG</v>
      </c>
      <c r="L579" s="36">
        <f>+_xlfn.XLOOKUP(Tabla1[[#This Row],[Ducto]],'R (s03)'!B:B,'R (s03)'!C:C)</f>
        <v>5.8719999999999999</v>
      </c>
      <c r="M579" s="261">
        <f>IF(Tabla1[[#This Row],[Avance_km]]&lt;&gt;"",Tabla1[[#This Row],[Avance_km]],Tabla1[[#This Row],[Avance_Med]])*_xlfn.XLOOKUP(Tabla1[[#This Row],[Codigo_actividad]],Catalogo!$B$6:$B$51,Catalogo!$F$6:$F$51,0)</f>
        <v>44733.578999999998</v>
      </c>
      <c r="R579" s="352">
        <f>+P580-Q578</f>
        <v>1000</v>
      </c>
    </row>
    <row r="580" spans="1:18" x14ac:dyDescent="0.25">
      <c r="A580" s="354">
        <v>46241</v>
      </c>
      <c r="B580" s="114" t="s">
        <v>12</v>
      </c>
      <c r="C580" s="155" t="s">
        <v>411</v>
      </c>
      <c r="D580" s="39" t="s">
        <v>264</v>
      </c>
      <c r="E580" s="40" t="s">
        <v>36</v>
      </c>
      <c r="F580" s="28">
        <v>0</v>
      </c>
      <c r="G580" s="28">
        <v>2077</v>
      </c>
      <c r="H580" s="224">
        <f>IF(Tabla1[[#This Row],[Codigo_actividad]]&lt;&gt;2.5,IF(((Tabla1[[#This Row],[fin]]-Tabla1[[#This Row],[inicio]])/1000)=0,"",((Tabla1[[#This Row],[fin]]-Tabla1[[#This Row],[inicio]])/1000)),"")</f>
        <v>2.077</v>
      </c>
      <c r="I580" s="66"/>
      <c r="J580" s="76">
        <v>2.2999999999999998</v>
      </c>
      <c r="K580" s="66" t="str">
        <f>IF(_xlfn.XLOOKUP($J580,Catalogo!$B$7:$B$210,Catalogo!$I$7:$I$210,"",0)=0,"",_xlfn.XLOOKUP($J580,Catalogo!$B$7:$B$210,Catalogo!$I$7:$I$210,"",0))</f>
        <v>DCVG</v>
      </c>
      <c r="L580" s="36">
        <f>+_xlfn.XLOOKUP(Tabla1[[#This Row],[Ducto]],'R (s04)'!B:B,'R (s04)'!C:C)</f>
        <v>2.077</v>
      </c>
      <c r="M580" s="261">
        <f>IF(Tabla1[[#This Row],[Avance_km]]&lt;&gt;"",Tabla1[[#This Row],[Avance_km]],Tabla1[[#This Row],[Avance_Med]])*_xlfn.XLOOKUP(Tabla1[[#This Row],[Codigo_actividad]],Catalogo!$B$6:$B$51,Catalogo!$F$6:$F$51,0)</f>
        <v>28155.04351</v>
      </c>
      <c r="P580" s="389">
        <v>3300</v>
      </c>
      <c r="Q580" s="389">
        <v>3400</v>
      </c>
    </row>
    <row r="581" spans="1:18" x14ac:dyDescent="0.25">
      <c r="A581" s="354">
        <v>46241</v>
      </c>
      <c r="B581" s="114" t="s">
        <v>12</v>
      </c>
      <c r="C581" s="155" t="s">
        <v>329</v>
      </c>
      <c r="D581" s="39" t="s">
        <v>215</v>
      </c>
      <c r="E581" s="40" t="s">
        <v>36</v>
      </c>
      <c r="F581" s="28">
        <v>0</v>
      </c>
      <c r="G581" s="28">
        <v>1920</v>
      </c>
      <c r="H581" s="224">
        <f>IF(Tabla1[[#This Row],[Codigo_actividad]]&lt;&gt;2.5,IF(((Tabla1[[#This Row],[fin]]-Tabla1[[#This Row],[inicio]])/1000)=0,"",((Tabla1[[#This Row],[fin]]-Tabla1[[#This Row],[inicio]])/1000)),"")</f>
        <v>1.92</v>
      </c>
      <c r="I581" s="66"/>
      <c r="J581" s="76">
        <v>2.2999999999999998</v>
      </c>
      <c r="K581" s="66" t="str">
        <f>IF(_xlfn.XLOOKUP($J581,Catalogo!$B$7:$B$210,Catalogo!$I$7:$I$210,"",0)=0,"",_xlfn.XLOOKUP($J581,Catalogo!$B$7:$B$210,Catalogo!$I$7:$I$210,"",0))</f>
        <v>DCVG</v>
      </c>
      <c r="L581" s="36">
        <f>+_xlfn.XLOOKUP(Tabla1[[#This Row],[Ducto]],'R (s03)'!B:B,'R (s03)'!C:C)</f>
        <v>1.92</v>
      </c>
      <c r="M581" s="261">
        <f>IF(Tabla1[[#This Row],[Avance_km]]&lt;&gt;"",Tabla1[[#This Row],[Avance_km]],Tabla1[[#This Row],[Avance_Med]])*_xlfn.XLOOKUP(Tabla1[[#This Row],[Codigo_actividad]],Catalogo!$B$6:$B$51,Catalogo!$F$6:$F$51,0)</f>
        <v>26026.809599999997</v>
      </c>
      <c r="P581" s="389">
        <v>3400</v>
      </c>
      <c r="Q581" s="389">
        <v>5872</v>
      </c>
      <c r="R581" s="352"/>
    </row>
    <row r="582" spans="1:18" x14ac:dyDescent="0.25">
      <c r="A582" s="354">
        <v>46243</v>
      </c>
      <c r="B582" s="114" t="s">
        <v>12</v>
      </c>
      <c r="C582" s="155" t="s">
        <v>329</v>
      </c>
      <c r="D582" s="39" t="s">
        <v>217</v>
      </c>
      <c r="E582" s="40" t="s">
        <v>28</v>
      </c>
      <c r="F582" s="28">
        <v>3400</v>
      </c>
      <c r="G582" s="28">
        <v>5872</v>
      </c>
      <c r="H582" s="224">
        <f>IF(Tabla1[[#This Row],[Codigo_actividad]]&lt;&gt;2.5,IF(((Tabla1[[#This Row],[fin]]-Tabla1[[#This Row],[inicio]])/1000)=0,"",((Tabla1[[#This Row],[fin]]-Tabla1[[#This Row],[inicio]])/1000)),"")</f>
        <v>2.472</v>
      </c>
      <c r="I582" s="66"/>
      <c r="J582" s="76">
        <v>2.1</v>
      </c>
      <c r="K582" s="66" t="str">
        <f>IF(_xlfn.XLOOKUP($J582,Catalogo!$B$7:$B$210,Catalogo!$I$7:$I$210,"",0)=0,"",_xlfn.XLOOKUP($J582,Catalogo!$B$7:$B$210,Catalogo!$I$7:$I$210,"",0))</f>
        <v>CIPS</v>
      </c>
      <c r="L582" s="36">
        <f>+_xlfn.XLOOKUP(Tabla1[[#This Row],[Ducto]],'R (s03)'!B:B,'R (s03)'!C:C)</f>
        <v>5.8719999999999999</v>
      </c>
      <c r="M582" s="261">
        <f>IF(Tabla1[[#This Row],[Avance_km]]&lt;&gt;"",Tabla1[[#This Row],[Avance_km]],Tabla1[[#This Row],[Avance_Med]])*_xlfn.XLOOKUP(Tabla1[[#This Row],[Codigo_actividad]],Catalogo!$B$6:$B$51,Catalogo!$F$6:$F$51,0)</f>
        <v>35896.925519999997</v>
      </c>
    </row>
    <row r="583" spans="1:18" x14ac:dyDescent="0.25">
      <c r="A583" s="354"/>
      <c r="C583" s="155"/>
      <c r="D583" s="39"/>
      <c r="F583" s="28"/>
      <c r="G583" s="28"/>
      <c r="H583" s="224" t="str">
        <f>IF(Tabla1[[#This Row],[Codigo_actividad]]&lt;&gt;2.5,IF(((Tabla1[[#This Row],[fin]]-Tabla1[[#This Row],[inicio]])/1000)=0,"",((Tabla1[[#This Row],[fin]]-Tabla1[[#This Row],[inicio]])/1000)),"")</f>
        <v/>
      </c>
      <c r="J583" s="76"/>
      <c r="K583" s="66" t="str">
        <f>IF(_xlfn.XLOOKUP($J583,Catalogo!$B$7:$B$21,Catalogo!$I$7:$I$21,"",0)=0,"",_xlfn.XLOOKUP($J583,Catalogo!$B$7:$B$21,Catalogo!$I$7:$I$21,"",0))</f>
        <v/>
      </c>
      <c r="L583" s="36"/>
      <c r="M583" s="261">
        <f>IF(Tabla1[[#This Row],[Avance_km]]&lt;&gt;"",Tabla1[[#This Row],[Avance_km]],Tabla1[[#This Row],[Avance_Med]])*_xlfn.XLOOKUP(Tabla1[[#This Row],[Codigo_actividad]],Catalogo!$B$6:$B$51,Catalogo!$F$6:$F$51,0)</f>
        <v>0</v>
      </c>
      <c r="N583" t="str">
        <f>_xlfn.IFNA(_xlfn.XLOOKUP(Tabla1[[#This Row],[fin]],$P$379:$P$398,$T$379:$T$398),"")</f>
        <v/>
      </c>
    </row>
    <row r="584" spans="1:18" x14ac:dyDescent="0.25">
      <c r="A584" s="354">
        <v>46247</v>
      </c>
      <c r="B584" s="114" t="s">
        <v>12</v>
      </c>
      <c r="C584" s="155" t="s">
        <v>329</v>
      </c>
      <c r="D584" s="39" t="s">
        <v>217</v>
      </c>
      <c r="E584" s="40" t="s">
        <v>36</v>
      </c>
      <c r="F584" s="28">
        <v>3300</v>
      </c>
      <c r="G584" s="28">
        <v>5872</v>
      </c>
      <c r="H584" s="224">
        <f>IF(Tabla1[[#This Row],[Codigo_actividad]]&lt;&gt;2.5,IF(((Tabla1[[#This Row],[fin]]-Tabla1[[#This Row],[inicio]])/1000)=0,"",((Tabla1[[#This Row],[fin]]-Tabla1[[#This Row],[inicio]])/1000)),"")</f>
        <v>2.5720000000000001</v>
      </c>
      <c r="I584" s="66"/>
      <c r="J584" s="76">
        <v>2.2999999999999998</v>
      </c>
      <c r="K584" s="66" t="str">
        <f>IF(_xlfn.XLOOKUP($J584,Catalogo!$B$7:$B$210,Catalogo!$I$7:$I$210,"",0)=0,"",_xlfn.XLOOKUP($J584,Catalogo!$B$7:$B$210,Catalogo!$I$7:$I$210,"",0))</f>
        <v>DCVG</v>
      </c>
      <c r="L584" s="36">
        <f>+_xlfn.XLOOKUP(Tabla1[[#This Row],[Ducto]],'R (s03)'!B:B,'R (s03)'!C:C)</f>
        <v>5.8719999999999999</v>
      </c>
      <c r="M584" s="261">
        <f>IF(Tabla1[[#This Row],[Avance_km]]&lt;&gt;"",Tabla1[[#This Row],[Avance_km]],Tabla1[[#This Row],[Avance_Med]])*_xlfn.XLOOKUP(Tabla1[[#This Row],[Codigo_actividad]],Catalogo!$B$6:$B$51,Catalogo!$F$6:$F$51,0)</f>
        <v>34865.08036</v>
      </c>
    </row>
    <row r="585" spans="1:18" x14ac:dyDescent="0.25">
      <c r="A585" s="354">
        <v>46248</v>
      </c>
      <c r="B585" s="114" t="s">
        <v>12</v>
      </c>
      <c r="C585" s="155" t="s">
        <v>329</v>
      </c>
      <c r="D585" s="39" t="s">
        <v>248</v>
      </c>
      <c r="E585" s="40" t="s">
        <v>16</v>
      </c>
      <c r="F585" s="28">
        <v>0</v>
      </c>
      <c r="G585" s="28">
        <v>6</v>
      </c>
      <c r="H585" s="224">
        <f>IF(Tabla1[[#This Row],[Codigo_actividad]]&lt;&gt;2.5,IF(((Tabla1[[#This Row],[fin]]-Tabla1[[#This Row],[inicio]])/1000)=0,"",((Tabla1[[#This Row],[fin]]-Tabla1[[#This Row],[inicio]])/1000)),"")</f>
        <v>6.0000000000000001E-3</v>
      </c>
      <c r="I585" s="66"/>
      <c r="J585" s="76">
        <v>2.6</v>
      </c>
      <c r="K585" s="66" t="str">
        <f>IF(_xlfn.XLOOKUP($J585,Catalogo!$B$7:$B$210,Catalogo!$I$7:$I$210,"",0)=0,"",_xlfn.XLOOKUP($J585,Catalogo!$B$7:$B$210,Catalogo!$I$7:$I$210,"",0))</f>
        <v>Localizacion</v>
      </c>
      <c r="L585" s="36">
        <f>+_xlfn.XLOOKUP(Tabla1[[#This Row],[Ducto]],'R (s03)'!B:B,'R (s03)'!C:C)</f>
        <v>6.0000000000000001E-3</v>
      </c>
      <c r="M585" s="261">
        <f>IF(Tabla1[[#This Row],[Avance_km]]&lt;&gt;"",Tabla1[[#This Row],[Avance_km]],Tabla1[[#This Row],[Avance_Med]])*_xlfn.XLOOKUP(Tabla1[[#This Row],[Codigo_actividad]],Catalogo!$B$6:$B$51,Catalogo!$F$6:$F$51,0)</f>
        <v>13.54452</v>
      </c>
    </row>
    <row r="586" spans="1:18" x14ac:dyDescent="0.25">
      <c r="A586" s="354">
        <v>46248</v>
      </c>
      <c r="B586" s="114" t="s">
        <v>12</v>
      </c>
      <c r="C586" s="155" t="s">
        <v>329</v>
      </c>
      <c r="D586" s="39" t="s">
        <v>248</v>
      </c>
      <c r="E586" s="40" t="s">
        <v>28</v>
      </c>
      <c r="F586" s="28">
        <v>0</v>
      </c>
      <c r="G586" s="28">
        <v>6</v>
      </c>
      <c r="H586" s="224">
        <f>IF(Tabla1[[#This Row],[Codigo_actividad]]&lt;&gt;2.5,IF(((Tabla1[[#This Row],[fin]]-Tabla1[[#This Row],[inicio]])/1000)=0,"",((Tabla1[[#This Row],[fin]]-Tabla1[[#This Row],[inicio]])/1000)),"")</f>
        <v>6.0000000000000001E-3</v>
      </c>
      <c r="I586" s="66"/>
      <c r="J586" s="76">
        <v>2.1</v>
      </c>
      <c r="K586" s="66" t="str">
        <f>IF(_xlfn.XLOOKUP($J586,Catalogo!$B$7:$B$210,Catalogo!$I$7:$I$210,"",0)=0,"",_xlfn.XLOOKUP($J586,Catalogo!$B$7:$B$210,Catalogo!$I$7:$I$210,"",0))</f>
        <v>CIPS</v>
      </c>
      <c r="L586" s="36">
        <f>+_xlfn.XLOOKUP(Tabla1[[#This Row],[Ducto]],'R (s03)'!B:B,'R (s03)'!C:C)</f>
        <v>6.0000000000000001E-3</v>
      </c>
      <c r="M586" s="261">
        <f>IF(Tabla1[[#This Row],[Avance_km]]&lt;&gt;"",Tabla1[[#This Row],[Avance_km]],Tabla1[[#This Row],[Avance_Med]])*_xlfn.XLOOKUP(Tabla1[[#This Row],[Codigo_actividad]],Catalogo!$B$6:$B$51,Catalogo!$F$6:$F$51,0)</f>
        <v>87.128460000000004</v>
      </c>
    </row>
    <row r="587" spans="1:18" x14ac:dyDescent="0.25">
      <c r="A587" s="354">
        <v>46249</v>
      </c>
      <c r="B587" s="114" t="s">
        <v>12</v>
      </c>
      <c r="C587" s="155" t="s">
        <v>411</v>
      </c>
      <c r="D587" s="39" t="s">
        <v>351</v>
      </c>
      <c r="E587" s="40" t="s">
        <v>16</v>
      </c>
      <c r="F587" s="28">
        <v>0</v>
      </c>
      <c r="G587" s="28">
        <v>845</v>
      </c>
      <c r="H587" s="224">
        <f>IF(Tabla1[[#This Row],[Codigo_actividad]]&lt;&gt;2.5,IF(((Tabla1[[#This Row],[fin]]-Tabla1[[#This Row],[inicio]])/1000)=0,"",((Tabla1[[#This Row],[fin]]-Tabla1[[#This Row],[inicio]])/1000)),"")</f>
        <v>0.84499999999999997</v>
      </c>
      <c r="I587" s="66"/>
      <c r="J587" s="76">
        <v>2.6</v>
      </c>
      <c r="K587" s="66" t="str">
        <f>IF(_xlfn.XLOOKUP($J587,Catalogo!$B$7:$B$210,Catalogo!$I$7:$I$210,"",0)=0,"",_xlfn.XLOOKUP($J587,Catalogo!$B$7:$B$210,Catalogo!$I$7:$I$210,"",0))</f>
        <v>Localizacion</v>
      </c>
      <c r="L587" s="36">
        <f>+_xlfn.XLOOKUP(Tabla1[[#This Row],[Ducto]],'R (s04)'!B:B,'R (s04)'!C:C)</f>
        <v>47.596499999999999</v>
      </c>
      <c r="M587" s="261">
        <f>IF(Tabla1[[#This Row],[Avance_km]]&lt;&gt;"",Tabla1[[#This Row],[Avance_km]],Tabla1[[#This Row],[Avance_Med]])*_xlfn.XLOOKUP(Tabla1[[#This Row],[Codigo_actividad]],Catalogo!$B$6:$B$51,Catalogo!$F$6:$F$51,0)</f>
        <v>1907.5199</v>
      </c>
    </row>
    <row r="588" spans="1:18" x14ac:dyDescent="0.25">
      <c r="A588" s="354">
        <v>46248</v>
      </c>
      <c r="B588" s="114" t="s">
        <v>12</v>
      </c>
      <c r="C588" s="155" t="s">
        <v>329</v>
      </c>
      <c r="D588" s="39" t="s">
        <v>248</v>
      </c>
      <c r="E588" s="40" t="s">
        <v>36</v>
      </c>
      <c r="F588" s="28">
        <v>0</v>
      </c>
      <c r="G588" s="28">
        <v>6</v>
      </c>
      <c r="H588" s="224">
        <v>6.0000000000000001E-3</v>
      </c>
      <c r="I588" s="66"/>
      <c r="J588" s="76">
        <v>2.2999999999999998</v>
      </c>
      <c r="K588" s="66" t="str">
        <f>IF(_xlfn.XLOOKUP($J588,Catalogo!$B$7:$B$210,Catalogo!$I$7:$I$210,"",0)=0,"",_xlfn.XLOOKUP($J588,Catalogo!$B$7:$B$210,Catalogo!$I$7:$I$210,"",0))</f>
        <v>DCVG</v>
      </c>
      <c r="L588" s="36">
        <v>6.0000000000000001E-3</v>
      </c>
      <c r="M588" s="261">
        <f>IF(Tabla1[[#This Row],[Avance_km]]&lt;&gt;"",Tabla1[[#This Row],[Avance_km]],Tabla1[[#This Row],[Avance_Med]])*_xlfn.XLOOKUP(Tabla1[[#This Row],[Codigo_actividad]],Catalogo!$B$6:$B$51,Catalogo!$F$6:$F$51,0)</f>
        <v>81.33377999999999</v>
      </c>
    </row>
    <row r="589" spans="1:18" x14ac:dyDescent="0.25">
      <c r="A589" s="354">
        <v>46250</v>
      </c>
      <c r="B589" s="114" t="s">
        <v>12</v>
      </c>
      <c r="C589" s="155" t="s">
        <v>411</v>
      </c>
      <c r="D589" s="39" t="s">
        <v>351</v>
      </c>
      <c r="E589" s="40" t="s">
        <v>16</v>
      </c>
      <c r="F589" s="28">
        <v>845</v>
      </c>
      <c r="G589" s="28">
        <v>1920</v>
      </c>
      <c r="H589" s="224">
        <f>IF(Tabla1[[#This Row],[Codigo_actividad]]&lt;&gt;2.5,IF(((Tabla1[[#This Row],[fin]]-Tabla1[[#This Row],[inicio]])/1000)=0,"",((Tabla1[[#This Row],[fin]]-Tabla1[[#This Row],[inicio]])/1000)),"")</f>
        <v>1.075</v>
      </c>
      <c r="I589" s="66"/>
      <c r="J589" s="76">
        <v>2.6</v>
      </c>
      <c r="K589" s="66" t="str">
        <f>IF(_xlfn.XLOOKUP($J589,Catalogo!$B$7:$B$210,Catalogo!$I$7:$I$210,"",0)=0,"",_xlfn.XLOOKUP($J589,Catalogo!$B$7:$B$210,Catalogo!$I$7:$I$210,"",0))</f>
        <v>Localizacion</v>
      </c>
      <c r="L589" s="36">
        <f>+_xlfn.XLOOKUP(Tabla1[[#This Row],[Ducto]],'R (s04)'!B:B,'R (s04)'!C:C)</f>
        <v>47.596499999999999</v>
      </c>
      <c r="M589" s="261">
        <f>IF(Tabla1[[#This Row],[Avance_km]]&lt;&gt;"",Tabla1[[#This Row],[Avance_km]],Tabla1[[#This Row],[Avance_Med]])*_xlfn.XLOOKUP(Tabla1[[#This Row],[Codigo_actividad]],Catalogo!$B$6:$B$51,Catalogo!$F$6:$F$51,0)</f>
        <v>2426.7264999999998</v>
      </c>
    </row>
    <row r="590" spans="1:18" x14ac:dyDescent="0.25">
      <c r="A590" s="354"/>
      <c r="C590" s="155"/>
      <c r="D590" s="39"/>
      <c r="F590" s="28"/>
      <c r="G590" s="28"/>
      <c r="H590" s="224" t="str">
        <f>IF(Tabla1[[#This Row],[Codigo_actividad]]&lt;&gt;2.5,IF(((Tabla1[[#This Row],[fin]]-Tabla1[[#This Row],[inicio]])/1000)=0,"",((Tabla1[[#This Row],[fin]]-Tabla1[[#This Row],[inicio]])/1000)),"")</f>
        <v/>
      </c>
      <c r="J590" s="76"/>
      <c r="K590" s="66" t="str">
        <f>IF(_xlfn.XLOOKUP($J590,Catalogo!$B$7:$B$21,Catalogo!$I$7:$I$21,"",0)=0,"",_xlfn.XLOOKUP($J590,Catalogo!$B$7:$B$21,Catalogo!$I$7:$I$21,"",0))</f>
        <v/>
      </c>
      <c r="L590" s="36"/>
      <c r="M590" s="261">
        <f>IF(Tabla1[[#This Row],[Avance_km]]&lt;&gt;"",Tabla1[[#This Row],[Avance_km]],Tabla1[[#This Row],[Avance_Med]])*_xlfn.XLOOKUP(Tabla1[[#This Row],[Codigo_actividad]],Catalogo!$B$6:$B$51,Catalogo!$F$6:$F$51,0)</f>
        <v>0</v>
      </c>
      <c r="N590" t="str">
        <f>_xlfn.IFNA(_xlfn.XLOOKUP(Tabla1[[#This Row],[fin]],$P$379:$P$398,$T$379:$T$398),"")</f>
        <v/>
      </c>
    </row>
    <row r="591" spans="1:18" x14ac:dyDescent="0.25">
      <c r="A591" s="354">
        <v>46251</v>
      </c>
      <c r="B591" s="114" t="s">
        <v>12</v>
      </c>
      <c r="C591" s="155" t="s">
        <v>411</v>
      </c>
      <c r="D591" s="39" t="s">
        <v>351</v>
      </c>
      <c r="E591" s="40" t="s">
        <v>16</v>
      </c>
      <c r="F591" s="28">
        <v>1920</v>
      </c>
      <c r="G591" s="28">
        <v>4300</v>
      </c>
      <c r="H591" s="224">
        <f>IF(Tabla1[[#This Row],[Codigo_actividad]]&lt;&gt;2.5,IF(((Tabla1[[#This Row],[fin]]-Tabla1[[#This Row],[inicio]])/1000)=0,"",((Tabla1[[#This Row],[fin]]-Tabla1[[#This Row],[inicio]])/1000)),"")</f>
        <v>2.38</v>
      </c>
      <c r="I591" s="66"/>
      <c r="J591" s="76">
        <v>2.6</v>
      </c>
      <c r="K591" s="66" t="str">
        <f>IF(_xlfn.XLOOKUP($J591,Catalogo!$B$7:$B$210,Catalogo!$I$7:$I$210,"",0)=0,"",_xlfn.XLOOKUP($J591,Catalogo!$B$7:$B$210,Catalogo!$I$7:$I$210,"",0))</f>
        <v>Localizacion</v>
      </c>
      <c r="L591" s="36">
        <f>+_xlfn.XLOOKUP(Tabla1[[#This Row],[Ducto]],'R (s04)'!B:B,'R (s04)'!C:C)</f>
        <v>47.596499999999999</v>
      </c>
      <c r="M591" s="261">
        <f>IF(Tabla1[[#This Row],[Avance_km]]&lt;&gt;"",Tabla1[[#This Row],[Avance_km]],Tabla1[[#This Row],[Avance_Med]])*_xlfn.XLOOKUP(Tabla1[[#This Row],[Codigo_actividad]],Catalogo!$B$6:$B$51,Catalogo!$F$6:$F$51,0)</f>
        <v>5372.6596</v>
      </c>
    </row>
    <row r="592" spans="1:18" x14ac:dyDescent="0.25">
      <c r="A592" s="354">
        <v>46252</v>
      </c>
      <c r="B592" s="114" t="s">
        <v>12</v>
      </c>
      <c r="C592" s="155" t="s">
        <v>411</v>
      </c>
      <c r="D592" s="39" t="s">
        <v>351</v>
      </c>
      <c r="E592" s="40" t="s">
        <v>28</v>
      </c>
      <c r="F592" s="28">
        <v>0</v>
      </c>
      <c r="G592" s="28">
        <v>2981</v>
      </c>
      <c r="H592" s="224">
        <f>IF(Tabla1[[#This Row],[Codigo_actividad]]&lt;&gt;2.5,IF(((Tabla1[[#This Row],[fin]]-Tabla1[[#This Row],[inicio]])/1000)=0,"",((Tabla1[[#This Row],[fin]]-Tabla1[[#This Row],[inicio]])/1000)),"")</f>
        <v>2.9809999999999999</v>
      </c>
      <c r="I592" s="66"/>
      <c r="J592" s="76">
        <v>2.1</v>
      </c>
      <c r="K592" s="66" t="str">
        <f>IF(_xlfn.XLOOKUP($J592,Catalogo!$B$7:$B$210,Catalogo!$I$7:$I$210,"",0)=0,"",_xlfn.XLOOKUP($J592,Catalogo!$B$7:$B$210,Catalogo!$I$7:$I$210,"",0))</f>
        <v>CIPS</v>
      </c>
      <c r="L592" s="36">
        <f>+_xlfn.XLOOKUP(Tabla1[[#This Row],[Ducto]],'R (s04)'!B:B,'R (s04)'!C:C)</f>
        <v>47.596499999999999</v>
      </c>
      <c r="M592" s="261">
        <f>IF(Tabla1[[#This Row],[Avance_km]]&lt;&gt;"",Tabla1[[#This Row],[Avance_km]],Tabla1[[#This Row],[Avance_Med]])*_xlfn.XLOOKUP(Tabla1[[#This Row],[Codigo_actividad]],Catalogo!$B$6:$B$51,Catalogo!$F$6:$F$51,0)</f>
        <v>43288.323209999995</v>
      </c>
    </row>
    <row r="593" spans="1:14" x14ac:dyDescent="0.25">
      <c r="A593" s="354">
        <v>46253</v>
      </c>
      <c r="B593" s="114" t="s">
        <v>12</v>
      </c>
      <c r="C593" s="155" t="s">
        <v>411</v>
      </c>
      <c r="D593" s="39" t="s">
        <v>351</v>
      </c>
      <c r="E593" s="40" t="s">
        <v>16</v>
      </c>
      <c r="F593" s="28">
        <v>4300</v>
      </c>
      <c r="G593" s="28">
        <v>5320</v>
      </c>
      <c r="H593" s="224">
        <f>IF(Tabla1[[#This Row],[Codigo_actividad]]&lt;&gt;2.5,IF(((Tabla1[[#This Row],[fin]]-Tabla1[[#This Row],[inicio]])/1000)=0,"",((Tabla1[[#This Row],[fin]]-Tabla1[[#This Row],[inicio]])/1000)),"")</f>
        <v>1.02</v>
      </c>
      <c r="I593" s="66"/>
      <c r="J593" s="76">
        <v>2.6</v>
      </c>
      <c r="K593" s="66" t="str">
        <f>IF(_xlfn.XLOOKUP($J593,Catalogo!$B$7:$B$210,Catalogo!$I$7:$I$210,"",0)=0,"",_xlfn.XLOOKUP($J593,Catalogo!$B$7:$B$210,Catalogo!$I$7:$I$210,"",0))</f>
        <v>Localizacion</v>
      </c>
      <c r="L593" s="36">
        <f>+_xlfn.XLOOKUP(Tabla1[[#This Row],[Ducto]],'R (s04)'!B:B,'R (s04)'!C:C)</f>
        <v>47.596499999999999</v>
      </c>
      <c r="M593" s="261">
        <f>IF(Tabla1[[#This Row],[Avance_km]]&lt;&gt;"",Tabla1[[#This Row],[Avance_km]],Tabla1[[#This Row],[Avance_Med]])*_xlfn.XLOOKUP(Tabla1[[#This Row],[Codigo_actividad]],Catalogo!$B$6:$B$51,Catalogo!$F$6:$F$51,0)</f>
        <v>2302.5684000000001</v>
      </c>
    </row>
    <row r="594" spans="1:14" x14ac:dyDescent="0.25">
      <c r="A594" s="354">
        <v>46253</v>
      </c>
      <c r="B594" s="114" t="s">
        <v>12</v>
      </c>
      <c r="C594" s="155" t="s">
        <v>411</v>
      </c>
      <c r="D594" s="39" t="s">
        <v>351</v>
      </c>
      <c r="E594" s="40" t="s">
        <v>16</v>
      </c>
      <c r="F594" s="28">
        <v>5930</v>
      </c>
      <c r="G594" s="28">
        <v>7540</v>
      </c>
      <c r="H594" s="224">
        <f>IF(Tabla1[[#This Row],[Codigo_actividad]]&lt;&gt;2.5,IF(((Tabla1[[#This Row],[fin]]-Tabla1[[#This Row],[inicio]])/1000)=0,"",((Tabla1[[#This Row],[fin]]-Tabla1[[#This Row],[inicio]])/1000)),"")</f>
        <v>1.61</v>
      </c>
      <c r="I594" s="66"/>
      <c r="J594" s="76">
        <v>2.6</v>
      </c>
      <c r="K594" s="66" t="str">
        <f>IF(_xlfn.XLOOKUP($J594,Catalogo!$B$7:$B$210,Catalogo!$I$7:$I$210,"",0)=0,"",_xlfn.XLOOKUP($J594,Catalogo!$B$7:$B$210,Catalogo!$I$7:$I$210,"",0))</f>
        <v>Localizacion</v>
      </c>
      <c r="L594" s="36">
        <f>+_xlfn.XLOOKUP(Tabla1[[#This Row],[Ducto]],'R (s04)'!B:B,'R (s04)'!C:C)</f>
        <v>47.596499999999999</v>
      </c>
      <c r="M594" s="261">
        <f>IF(Tabla1[[#This Row],[Avance_km]]&lt;&gt;"",Tabla1[[#This Row],[Avance_km]],Tabla1[[#This Row],[Avance_Med]])*_xlfn.XLOOKUP(Tabla1[[#This Row],[Codigo_actividad]],Catalogo!$B$6:$B$51,Catalogo!$F$6:$F$51,0)</f>
        <v>3634.4462000000003</v>
      </c>
    </row>
    <row r="595" spans="1:14" x14ac:dyDescent="0.25">
      <c r="A595" s="354">
        <v>46254</v>
      </c>
      <c r="B595" s="114" t="s">
        <v>12</v>
      </c>
      <c r="C595" s="155" t="s">
        <v>411</v>
      </c>
      <c r="D595" s="39" t="s">
        <v>351</v>
      </c>
      <c r="E595" s="40" t="s">
        <v>28</v>
      </c>
      <c r="F595" s="28">
        <v>2981</v>
      </c>
      <c r="G595" s="28">
        <v>4939</v>
      </c>
      <c r="H595" s="224">
        <f>IF(Tabla1[[#This Row],[Codigo_actividad]]&lt;&gt;2.5,IF(((Tabla1[[#This Row],[fin]]-Tabla1[[#This Row],[inicio]])/1000)=0,"",((Tabla1[[#This Row],[fin]]-Tabla1[[#This Row],[inicio]])/1000)),"")</f>
        <v>1.958</v>
      </c>
      <c r="I595" s="66"/>
      <c r="J595" s="76">
        <v>2.1</v>
      </c>
      <c r="K595" s="66" t="str">
        <f>IF(_xlfn.XLOOKUP($J595,Catalogo!$B$7:$B$210,Catalogo!$I$7:$I$210,"",0)=0,"",_xlfn.XLOOKUP($J595,Catalogo!$B$7:$B$210,Catalogo!$I$7:$I$210,"",0))</f>
        <v>CIPS</v>
      </c>
      <c r="L595" s="36">
        <f>+_xlfn.XLOOKUP(Tabla1[[#This Row],[Ducto]],'R (s04)'!B:B,'R (s04)'!C:C)</f>
        <v>47.596499999999999</v>
      </c>
      <c r="M595" s="261">
        <f>IF(Tabla1[[#This Row],[Avance_km]]&lt;&gt;"",Tabla1[[#This Row],[Avance_km]],Tabla1[[#This Row],[Avance_Med]])*_xlfn.XLOOKUP(Tabla1[[#This Row],[Codigo_actividad]],Catalogo!$B$6:$B$51,Catalogo!$F$6:$F$51,0)</f>
        <v>28432.92078</v>
      </c>
    </row>
    <row r="596" spans="1:14" x14ac:dyDescent="0.25">
      <c r="A596" s="354">
        <v>46255</v>
      </c>
      <c r="B596" s="114" t="s">
        <v>12</v>
      </c>
      <c r="C596" s="155" t="s">
        <v>411</v>
      </c>
      <c r="D596" s="39" t="s">
        <v>351</v>
      </c>
      <c r="E596" s="40" t="s">
        <v>28</v>
      </c>
      <c r="F596" s="28">
        <v>4939</v>
      </c>
      <c r="G596" s="28">
        <v>7540</v>
      </c>
      <c r="H596" s="224">
        <f>IF(Tabla1[[#This Row],[Codigo_actividad]]&lt;&gt;2.5,IF(((Tabla1[[#This Row],[fin]]-Tabla1[[#This Row],[inicio]])/1000)=0,"",((Tabla1[[#This Row],[fin]]-Tabla1[[#This Row],[inicio]])/1000)),"")</f>
        <v>2.601</v>
      </c>
      <c r="I596" s="66"/>
      <c r="J596" s="76">
        <v>2.1</v>
      </c>
      <c r="K596" s="66" t="str">
        <f>IF(_xlfn.XLOOKUP($J596,Catalogo!$B$7:$B$210,Catalogo!$I$7:$I$210,"",0)=0,"",_xlfn.XLOOKUP($J596,Catalogo!$B$7:$B$210,Catalogo!$I$7:$I$210,"",0))</f>
        <v>CIPS</v>
      </c>
      <c r="L596" s="36">
        <f>+_xlfn.XLOOKUP(Tabla1[[#This Row],[Ducto]],'R (s04)'!B:B,'R (s04)'!C:C)</f>
        <v>47.596499999999999</v>
      </c>
      <c r="M596" s="261">
        <f>IF(Tabla1[[#This Row],[Avance_km]]&lt;&gt;"",Tabla1[[#This Row],[Avance_km]],Tabla1[[#This Row],[Avance_Med]])*_xlfn.XLOOKUP(Tabla1[[#This Row],[Codigo_actividad]],Catalogo!$B$6:$B$51,Catalogo!$F$6:$F$51,0)</f>
        <v>37770.187409999999</v>
      </c>
    </row>
    <row r="597" spans="1:14" x14ac:dyDescent="0.25">
      <c r="A597" s="354">
        <v>46255</v>
      </c>
      <c r="B597" s="114" t="s">
        <v>12</v>
      </c>
      <c r="C597" s="155" t="s">
        <v>411</v>
      </c>
      <c r="D597" s="39" t="s">
        <v>351</v>
      </c>
      <c r="E597" s="40" t="s">
        <v>16</v>
      </c>
      <c r="F597" s="28">
        <v>5320</v>
      </c>
      <c r="G597" s="28">
        <v>5930</v>
      </c>
      <c r="H597" s="224">
        <f>IF(Tabla1[[#This Row],[Codigo_actividad]]&lt;&gt;2.5,IF(((Tabla1[[#This Row],[fin]]-Tabla1[[#This Row],[inicio]])/1000)=0,"",((Tabla1[[#This Row],[fin]]-Tabla1[[#This Row],[inicio]])/1000)),"")</f>
        <v>0.61</v>
      </c>
      <c r="I597" s="66"/>
      <c r="J597" s="76">
        <v>2.6</v>
      </c>
      <c r="K597" s="66" t="str">
        <f>IF(_xlfn.XLOOKUP($J597,Catalogo!$B$7:$B$210,Catalogo!$I$7:$I$210,"",0)=0,"",_xlfn.XLOOKUP($J597,Catalogo!$B$7:$B$210,Catalogo!$I$7:$I$210,"",0))</f>
        <v>Localizacion</v>
      </c>
      <c r="L597" s="36">
        <f>+_xlfn.XLOOKUP(Tabla1[[#This Row],[Ducto]],'R (s04)'!B:B,'R (s04)'!C:C)</f>
        <v>47.596499999999999</v>
      </c>
      <c r="M597" s="261">
        <f>IF(Tabla1[[#This Row],[Avance_km]]&lt;&gt;"",Tabla1[[#This Row],[Avance_km]],Tabla1[[#This Row],[Avance_Med]])*_xlfn.XLOOKUP(Tabla1[[#This Row],[Codigo_actividad]],Catalogo!$B$6:$B$51,Catalogo!$F$6:$F$51,0)</f>
        <v>1377.0262</v>
      </c>
    </row>
    <row r="598" spans="1:14" x14ac:dyDescent="0.25">
      <c r="A598" s="354">
        <v>46256</v>
      </c>
      <c r="B598" s="114" t="s">
        <v>12</v>
      </c>
      <c r="C598" s="155" t="s">
        <v>411</v>
      </c>
      <c r="D598" s="39" t="s">
        <v>351</v>
      </c>
      <c r="E598" s="40" t="s">
        <v>16</v>
      </c>
      <c r="F598" s="28">
        <v>7540</v>
      </c>
      <c r="G598" s="28">
        <v>8040</v>
      </c>
      <c r="H598" s="224">
        <f>IF(Tabla1[[#This Row],[Codigo_actividad]]&lt;&gt;2.5,IF(((Tabla1[[#This Row],[fin]]-Tabla1[[#This Row],[inicio]])/1000)=0,"",((Tabla1[[#This Row],[fin]]-Tabla1[[#This Row],[inicio]])/1000)),"")</f>
        <v>0.5</v>
      </c>
      <c r="I598" s="66"/>
      <c r="J598" s="76">
        <v>2.6</v>
      </c>
      <c r="K598" s="66" t="str">
        <f>IF(_xlfn.XLOOKUP($J598,Catalogo!$B$7:$B$210,Catalogo!$I$7:$I$210,"",0)=0,"",_xlfn.XLOOKUP($J598,Catalogo!$B$7:$B$210,Catalogo!$I$7:$I$210,"",0))</f>
        <v>Localizacion</v>
      </c>
      <c r="L598" s="36">
        <f>+_xlfn.XLOOKUP(Tabla1[[#This Row],[Ducto]],'R (s04)'!B:B,'R (s04)'!C:C)</f>
        <v>47.596499999999999</v>
      </c>
      <c r="M598" s="261">
        <f>IF(Tabla1[[#This Row],[Avance_km]]&lt;&gt;"",Tabla1[[#This Row],[Avance_km]],Tabla1[[#This Row],[Avance_Med]])*_xlfn.XLOOKUP(Tabla1[[#This Row],[Codigo_actividad]],Catalogo!$B$6:$B$51,Catalogo!$F$6:$F$51,0)</f>
        <v>1128.71</v>
      </c>
    </row>
    <row r="599" spans="1:14" x14ac:dyDescent="0.25">
      <c r="A599" s="354">
        <v>46256</v>
      </c>
      <c r="B599" s="114" t="s">
        <v>12</v>
      </c>
      <c r="C599" s="155" t="s">
        <v>411</v>
      </c>
      <c r="D599" s="39" t="s">
        <v>351</v>
      </c>
      <c r="E599" s="40" t="s">
        <v>16</v>
      </c>
      <c r="F599" s="28">
        <v>8720</v>
      </c>
      <c r="G599" s="28">
        <v>9070</v>
      </c>
      <c r="H599" s="224">
        <f>IF(Tabla1[[#This Row],[Codigo_actividad]]&lt;&gt;2.5,IF(((Tabla1[[#This Row],[fin]]-Tabla1[[#This Row],[inicio]])/1000)=0,"",((Tabla1[[#This Row],[fin]]-Tabla1[[#This Row],[inicio]])/1000)),"")</f>
        <v>0.35</v>
      </c>
      <c r="I599" s="66"/>
      <c r="J599" s="76">
        <v>2.6</v>
      </c>
      <c r="K599" s="66" t="str">
        <f>IF(_xlfn.XLOOKUP($J599,Catalogo!$B$7:$B$210,Catalogo!$I$7:$I$210,"",0)=0,"",_xlfn.XLOOKUP($J599,Catalogo!$B$7:$B$210,Catalogo!$I$7:$I$210,"",0))</f>
        <v>Localizacion</v>
      </c>
      <c r="L599" s="36">
        <f>+_xlfn.XLOOKUP(Tabla1[[#This Row],[Ducto]],'R (s04)'!B:B,'R (s04)'!C:C)</f>
        <v>47.596499999999999</v>
      </c>
      <c r="M599" s="261">
        <f>IF(Tabla1[[#This Row],[Avance_km]]&lt;&gt;"",Tabla1[[#This Row],[Avance_km]],Tabla1[[#This Row],[Avance_Med]])*_xlfn.XLOOKUP(Tabla1[[#This Row],[Codigo_actividad]],Catalogo!$B$6:$B$51,Catalogo!$F$6:$F$51,0)</f>
        <v>790.09699999999998</v>
      </c>
    </row>
    <row r="600" spans="1:14" x14ac:dyDescent="0.25">
      <c r="A600" s="354"/>
      <c r="C600" s="155"/>
      <c r="D600" s="39"/>
      <c r="F600" s="28"/>
      <c r="G600" s="28"/>
      <c r="H600" s="224" t="str">
        <f>IF(Tabla1[[#This Row],[Codigo_actividad]]&lt;&gt;2.5,IF(((Tabla1[[#This Row],[fin]]-Tabla1[[#This Row],[inicio]])/1000)=0,"",((Tabla1[[#This Row],[fin]]-Tabla1[[#This Row],[inicio]])/1000)),"")</f>
        <v/>
      </c>
      <c r="J600" s="76"/>
      <c r="K600" s="66" t="str">
        <f>IF(_xlfn.XLOOKUP($J600,Catalogo!$B$7:$B$21,Catalogo!$I$7:$I$21,"",0)=0,"",_xlfn.XLOOKUP($J600,Catalogo!$B$7:$B$21,Catalogo!$I$7:$I$21,"",0))</f>
        <v/>
      </c>
      <c r="L600" s="36"/>
      <c r="M600" s="261">
        <f>IF(Tabla1[[#This Row],[Avance_km]]&lt;&gt;"",Tabla1[[#This Row],[Avance_km]],Tabla1[[#This Row],[Avance_Med]])*_xlfn.XLOOKUP(Tabla1[[#This Row],[Codigo_actividad]],Catalogo!$B$6:$B$51,Catalogo!$F$6:$F$51,0)</f>
        <v>0</v>
      </c>
      <c r="N600" t="str">
        <f>_xlfn.IFNA(_xlfn.XLOOKUP(Tabla1[[#This Row],[fin]],$P$379:$P$398,$T$379:$T$398),"")</f>
        <v/>
      </c>
    </row>
    <row r="601" spans="1:14" x14ac:dyDescent="0.25">
      <c r="A601" s="354">
        <v>46258</v>
      </c>
      <c r="B601" s="114" t="s">
        <v>12</v>
      </c>
      <c r="C601" s="155" t="s">
        <v>411</v>
      </c>
      <c r="D601" s="39" t="s">
        <v>351</v>
      </c>
      <c r="E601" s="40" t="s">
        <v>16</v>
      </c>
      <c r="F601" s="28">
        <v>8040</v>
      </c>
      <c r="G601" s="28">
        <v>8720</v>
      </c>
      <c r="H601" s="224">
        <f>IF(Tabla1[[#This Row],[Codigo_actividad]]&lt;&gt;2.5,IF(((Tabla1[[#This Row],[fin]]-Tabla1[[#This Row],[inicio]])/1000)=0,"",((Tabla1[[#This Row],[fin]]-Tabla1[[#This Row],[inicio]])/1000)),"")</f>
        <v>0.68</v>
      </c>
      <c r="I601" s="66"/>
      <c r="J601" s="76">
        <v>2.6</v>
      </c>
      <c r="K601" s="66" t="str">
        <f>IF(_xlfn.XLOOKUP($J601,Catalogo!$B$7:$B$210,Catalogo!$I$7:$I$210,"",0)=0,"",_xlfn.XLOOKUP($J601,Catalogo!$B$7:$B$210,Catalogo!$I$7:$I$210,"",0))</f>
        <v>Localizacion</v>
      </c>
      <c r="L601" s="36">
        <f>+_xlfn.XLOOKUP(Tabla1[[#This Row],[Ducto]],'R (s04)'!B:B,'R (s04)'!C:C)</f>
        <v>47.596499999999999</v>
      </c>
      <c r="M601" s="261">
        <f>IF(Tabla1[[#This Row],[Avance_km]]&lt;&gt;"",Tabla1[[#This Row],[Avance_km]],Tabla1[[#This Row],[Avance_Med]])*_xlfn.XLOOKUP(Tabla1[[#This Row],[Codigo_actividad]],Catalogo!$B$6:$B$51,Catalogo!$F$6:$F$51,0)</f>
        <v>1535.0456000000001</v>
      </c>
    </row>
    <row r="602" spans="1:14" x14ac:dyDescent="0.25">
      <c r="A602" s="354">
        <v>46258</v>
      </c>
      <c r="B602" s="114" t="s">
        <v>12</v>
      </c>
      <c r="C602" s="155" t="s">
        <v>411</v>
      </c>
      <c r="D602" s="39" t="s">
        <v>351</v>
      </c>
      <c r="E602" s="40" t="s">
        <v>16</v>
      </c>
      <c r="F602" s="28">
        <v>9070</v>
      </c>
      <c r="G602" s="28">
        <v>10000</v>
      </c>
      <c r="H602" s="224">
        <f>IF(Tabla1[[#This Row],[Codigo_actividad]]&lt;&gt;2.5,IF(((Tabla1[[#This Row],[fin]]-Tabla1[[#This Row],[inicio]])/1000)=0,"",((Tabla1[[#This Row],[fin]]-Tabla1[[#This Row],[inicio]])/1000)),"")</f>
        <v>0.93</v>
      </c>
      <c r="I602" s="66"/>
      <c r="J602" s="76">
        <v>2.6</v>
      </c>
      <c r="K602" s="66" t="str">
        <f>IF(_xlfn.XLOOKUP($J602,Catalogo!$B$7:$B$210,Catalogo!$I$7:$I$210,"",0)=0,"",_xlfn.XLOOKUP($J602,Catalogo!$B$7:$B$210,Catalogo!$I$7:$I$210,"",0))</f>
        <v>Localizacion</v>
      </c>
      <c r="L602" s="36">
        <f>+_xlfn.XLOOKUP(Tabla1[[#This Row],[Ducto]],'R (s04)'!B:B,'R (s04)'!C:C)</f>
        <v>47.596499999999999</v>
      </c>
      <c r="M602" s="261">
        <f>IF(Tabla1[[#This Row],[Avance_km]]&lt;&gt;"",Tabla1[[#This Row],[Avance_km]],Tabla1[[#This Row],[Avance_Med]])*_xlfn.XLOOKUP(Tabla1[[#This Row],[Codigo_actividad]],Catalogo!$B$6:$B$51,Catalogo!$F$6:$F$51,0)</f>
        <v>2099.4006000000004</v>
      </c>
    </row>
    <row r="603" spans="1:14" x14ac:dyDescent="0.25">
      <c r="A603" s="354">
        <v>46262</v>
      </c>
      <c r="B603" s="114" t="s">
        <v>12</v>
      </c>
      <c r="C603" s="155" t="s">
        <v>411</v>
      </c>
      <c r="D603" s="39" t="s">
        <v>351</v>
      </c>
      <c r="E603" s="40" t="s">
        <v>16</v>
      </c>
      <c r="F603" s="28">
        <v>10800</v>
      </c>
      <c r="G603" s="28">
        <v>12149</v>
      </c>
      <c r="H603" s="224">
        <f>IF(Tabla1[[#This Row],[Codigo_actividad]]&lt;&gt;2.5,IF(((Tabla1[[#This Row],[fin]]-Tabla1[[#This Row],[inicio]])/1000)=0,"",((Tabla1[[#This Row],[fin]]-Tabla1[[#This Row],[inicio]])/1000)),"")</f>
        <v>1.349</v>
      </c>
      <c r="I603" s="66"/>
      <c r="J603" s="76">
        <v>2.6</v>
      </c>
      <c r="K603" s="66" t="str">
        <f>IF(_xlfn.XLOOKUP($J603,Catalogo!$B$7:$B$210,Catalogo!$I$7:$I$210,"",0)=0,"",_xlfn.XLOOKUP($J603,Catalogo!$B$7:$B$210,Catalogo!$I$7:$I$210,"",0))</f>
        <v>Localizacion</v>
      </c>
      <c r="L603" s="36">
        <f>+_xlfn.XLOOKUP(Tabla1[[#This Row],[Ducto]],'R (s04)'!B:B,'R (s04)'!C:C)</f>
        <v>47.596499999999999</v>
      </c>
      <c r="M603" s="261">
        <f>IF(Tabla1[[#This Row],[Avance_km]]&lt;&gt;"",Tabla1[[#This Row],[Avance_km]],Tabla1[[#This Row],[Avance_Med]])*_xlfn.XLOOKUP(Tabla1[[#This Row],[Codigo_actividad]],Catalogo!$B$6:$B$51,Catalogo!$F$6:$F$51,0)</f>
        <v>3045.2595799999999</v>
      </c>
    </row>
    <row r="604" spans="1:14" x14ac:dyDescent="0.25">
      <c r="A604" s="354"/>
      <c r="B604" s="114"/>
      <c r="C604" s="155"/>
      <c r="D604" s="39"/>
      <c r="F604" s="28"/>
      <c r="G604" s="28"/>
      <c r="H604" s="224" t="str">
        <f>IF(Tabla1[[#This Row],[Codigo_actividad]]&lt;&gt;2.5,IF(((Tabla1[[#This Row],[fin]]-Tabla1[[#This Row],[inicio]])/1000)=0,"",((Tabla1[[#This Row],[fin]]-Tabla1[[#This Row],[inicio]])/1000)),"")</f>
        <v/>
      </c>
      <c r="I604" s="66"/>
      <c r="J604" s="76"/>
      <c r="K604" s="66" t="str">
        <f>IF(_xlfn.XLOOKUP($J604,Catalogo!$B$7:$B$21,Catalogo!$I$7:$I$21,"",0)=0,"",_xlfn.XLOOKUP($J604,Catalogo!$B$7:$B$21,Catalogo!$I$7:$I$21,"",0))</f>
        <v/>
      </c>
      <c r="L604" s="36"/>
      <c r="M604" s="261">
        <f>IF(Tabla1[[#This Row],[Avance_km]]&lt;&gt;"",Tabla1[[#This Row],[Avance_km]],Tabla1[[#This Row],[Avance_Med]])*_xlfn.XLOOKUP(Tabla1[[#This Row],[Codigo_actividad]],Catalogo!$B$6:$B$51,Catalogo!$F$6:$F$51,0)</f>
        <v>0</v>
      </c>
      <c r="N604" t="str">
        <f>_xlfn.IFNA(_xlfn.XLOOKUP(Tabla1[[#This Row],[fin]],$P$379:$P$398,$T$379:$T$398),"")</f>
        <v/>
      </c>
    </row>
    <row r="605" spans="1:14" x14ac:dyDescent="0.25">
      <c r="A605" s="354">
        <v>46265</v>
      </c>
      <c r="B605" s="114" t="s">
        <v>12</v>
      </c>
      <c r="C605" s="155" t="s">
        <v>411</v>
      </c>
      <c r="D605" s="39" t="s">
        <v>351</v>
      </c>
      <c r="E605" s="40" t="s">
        <v>16</v>
      </c>
      <c r="F605" s="28">
        <v>10000</v>
      </c>
      <c r="G605" s="28">
        <v>10800</v>
      </c>
      <c r="H605" s="224">
        <f>IF(Tabla1[[#This Row],[Codigo_actividad]]&lt;&gt;2.5,IF(((Tabla1[[#This Row],[fin]]-Tabla1[[#This Row],[inicio]])/1000)=0,"",((Tabla1[[#This Row],[fin]]-Tabla1[[#This Row],[inicio]])/1000)),"")</f>
        <v>0.8</v>
      </c>
      <c r="I605" s="66"/>
      <c r="J605" s="76">
        <v>2.6</v>
      </c>
      <c r="K605" s="66" t="str">
        <f>IF(_xlfn.XLOOKUP($J605,Catalogo!$B$7:$B$210,Catalogo!$I$7:$I$210,"",0)=0,"",_xlfn.XLOOKUP($J605,Catalogo!$B$7:$B$210,Catalogo!$I$7:$I$210,"",0))</f>
        <v>Localizacion</v>
      </c>
      <c r="L605" s="36">
        <f>+_xlfn.XLOOKUP(Tabla1[[#This Row],[Ducto]],'R (s04)'!B:B,'R (s04)'!C:C)</f>
        <v>47.596499999999999</v>
      </c>
      <c r="M605" s="261">
        <f>IF(Tabla1[[#This Row],[Avance_km]]&lt;&gt;"",Tabla1[[#This Row],[Avance_km]],Tabla1[[#This Row],[Avance_Med]])*_xlfn.XLOOKUP(Tabla1[[#This Row],[Codigo_actividad]],Catalogo!$B$6:$B$51,Catalogo!$F$6:$F$51,0)</f>
        <v>1805.9360000000001</v>
      </c>
    </row>
    <row r="606" spans="1:14" x14ac:dyDescent="0.25">
      <c r="A606" s="354">
        <v>46266</v>
      </c>
      <c r="B606" s="114" t="s">
        <v>12</v>
      </c>
      <c r="C606" s="155" t="s">
        <v>411</v>
      </c>
      <c r="D606" s="39" t="s">
        <v>351</v>
      </c>
      <c r="E606" s="40" t="s">
        <v>16</v>
      </c>
      <c r="F606" s="28">
        <v>12149</v>
      </c>
      <c r="G606" s="28">
        <v>16914</v>
      </c>
      <c r="H606" s="224">
        <f>IF(Tabla1[[#This Row],[Codigo_actividad]]&lt;&gt;2.5,IF(((Tabla1[[#This Row],[fin]]-Tabla1[[#This Row],[inicio]])/1000)=0,"",((Tabla1[[#This Row],[fin]]-Tabla1[[#This Row],[inicio]])/1000)),"")</f>
        <v>4.7649999999999997</v>
      </c>
      <c r="I606" s="66"/>
      <c r="J606" s="76">
        <v>2.6</v>
      </c>
      <c r="K606" s="66" t="str">
        <f>IF(_xlfn.XLOOKUP($J606,Catalogo!$B$7:$B$210,Catalogo!$I$7:$I$210,"",0)=0,"",_xlfn.XLOOKUP($J606,Catalogo!$B$7:$B$210,Catalogo!$I$7:$I$210,"",0))</f>
        <v>Localizacion</v>
      </c>
      <c r="L606" s="36">
        <f>+_xlfn.XLOOKUP(Tabla1[[#This Row],[Ducto]],'R (s04)'!B:B,'R (s04)'!C:C)</f>
        <v>47.596499999999999</v>
      </c>
      <c r="M606" s="261">
        <f>IF(Tabla1[[#This Row],[Avance_km]]&lt;&gt;"",Tabla1[[#This Row],[Avance_km]],Tabla1[[#This Row],[Avance_Med]])*_xlfn.XLOOKUP(Tabla1[[#This Row],[Codigo_actividad]],Catalogo!$B$6:$B$51,Catalogo!$F$6:$F$51,0)</f>
        <v>10756.606299999999</v>
      </c>
    </row>
    <row r="607" spans="1:14" x14ac:dyDescent="0.25">
      <c r="A607" s="354">
        <v>46267</v>
      </c>
      <c r="B607" s="114" t="s">
        <v>12</v>
      </c>
      <c r="C607" s="155" t="s">
        <v>411</v>
      </c>
      <c r="D607" s="39" t="s">
        <v>351</v>
      </c>
      <c r="E607" s="40" t="s">
        <v>28</v>
      </c>
      <c r="F607" s="28">
        <v>7540</v>
      </c>
      <c r="G607" s="28">
        <v>9340</v>
      </c>
      <c r="H607" s="224">
        <f>IF(Tabla1[[#This Row],[Codigo_actividad]]&lt;&gt;2.5,IF(((Tabla1[[#This Row],[fin]]-Tabla1[[#This Row],[inicio]])/1000)=0,"",((Tabla1[[#This Row],[fin]]-Tabla1[[#This Row],[inicio]])/1000)),"")</f>
        <v>1.8</v>
      </c>
      <c r="I607" s="66"/>
      <c r="J607" s="76">
        <v>2.1</v>
      </c>
      <c r="K607" s="66" t="str">
        <f>IF(_xlfn.XLOOKUP($J607,Catalogo!$B$7:$B$210,Catalogo!$I$7:$I$210,"",0)=0,"",_xlfn.XLOOKUP($J607,Catalogo!$B$7:$B$210,Catalogo!$I$7:$I$210,"",0))</f>
        <v>CIPS</v>
      </c>
      <c r="L607" s="36">
        <f>+_xlfn.XLOOKUP(Tabla1[[#This Row],[Ducto]],'R (s04)'!B:B,'R (s04)'!C:C)</f>
        <v>47.596499999999999</v>
      </c>
      <c r="M607" s="261">
        <f>IF(Tabla1[[#This Row],[Avance_km]]&lt;&gt;"",Tabla1[[#This Row],[Avance_km]],Tabla1[[#This Row],[Avance_Med]])*_xlfn.XLOOKUP(Tabla1[[#This Row],[Codigo_actividad]],Catalogo!$B$6:$B$51,Catalogo!$F$6:$F$51,0)</f>
        <v>26138.538</v>
      </c>
    </row>
    <row r="608" spans="1:14" x14ac:dyDescent="0.25">
      <c r="A608" s="354">
        <v>46268</v>
      </c>
      <c r="B608" s="114" t="s">
        <v>12</v>
      </c>
      <c r="C608" s="155" t="s">
        <v>411</v>
      </c>
      <c r="D608" s="39" t="s">
        <v>351</v>
      </c>
      <c r="E608" s="40" t="s">
        <v>28</v>
      </c>
      <c r="F608" s="28">
        <v>9340</v>
      </c>
      <c r="G608" s="28">
        <v>10693</v>
      </c>
      <c r="H608" s="224">
        <f>IF(Tabla1[[#This Row],[Codigo_actividad]]&lt;&gt;2.5,IF(((Tabla1[[#This Row],[fin]]-Tabla1[[#This Row],[inicio]])/1000)=0,"",((Tabla1[[#This Row],[fin]]-Tabla1[[#This Row],[inicio]])/1000)),"")</f>
        <v>1.353</v>
      </c>
      <c r="I608" s="66"/>
      <c r="J608" s="76">
        <v>2.1</v>
      </c>
      <c r="K608" s="66" t="str">
        <f>IF(_xlfn.XLOOKUP($J608,Catalogo!$B$7:$B$210,Catalogo!$I$7:$I$210,"",0)=0,"",_xlfn.XLOOKUP($J608,Catalogo!$B$7:$B$210,Catalogo!$I$7:$I$210,"",0))</f>
        <v>CIPS</v>
      </c>
      <c r="L608" s="36">
        <f>+_xlfn.XLOOKUP(Tabla1[[#This Row],[Ducto]],'R (s04)'!B:B,'R (s04)'!C:C)</f>
        <v>47.596499999999999</v>
      </c>
      <c r="M608" s="261">
        <f>IF(Tabla1[[#This Row],[Avance_km]]&lt;&gt;"",Tabla1[[#This Row],[Avance_km]],Tabla1[[#This Row],[Avance_Med]])*_xlfn.XLOOKUP(Tabla1[[#This Row],[Codigo_actividad]],Catalogo!$B$6:$B$51,Catalogo!$F$6:$F$51,0)</f>
        <v>19647.46773</v>
      </c>
    </row>
    <row r="609" spans="1:14" x14ac:dyDescent="0.25">
      <c r="A609" s="354"/>
      <c r="B609" s="114"/>
      <c r="C609" s="155"/>
      <c r="D609" s="39"/>
      <c r="F609" s="28"/>
      <c r="G609" s="28"/>
      <c r="H609" s="224" t="str">
        <f>IF(Tabla1[[#This Row],[Codigo_actividad]]&lt;&gt;2.5,IF(((Tabla1[[#This Row],[fin]]-Tabla1[[#This Row],[inicio]])/1000)=0,"",((Tabla1[[#This Row],[fin]]-Tabla1[[#This Row],[inicio]])/1000)),"")</f>
        <v/>
      </c>
      <c r="I609" s="66"/>
      <c r="J609" s="76"/>
      <c r="K609" s="66" t="str">
        <f>IF(_xlfn.XLOOKUP($J609,Catalogo!$B$7:$B$21,Catalogo!$I$7:$I$21,"",0)=0,"",_xlfn.XLOOKUP($J609,Catalogo!$B$7:$B$21,Catalogo!$I$7:$I$21,"",0))</f>
        <v/>
      </c>
      <c r="L609" s="36"/>
      <c r="M609" s="261">
        <f>IF(Tabla1[[#This Row],[Avance_km]]&lt;&gt;"",Tabla1[[#This Row],[Avance_km]],Tabla1[[#This Row],[Avance_Med]])*_xlfn.XLOOKUP(Tabla1[[#This Row],[Codigo_actividad]],Catalogo!$B$6:$B$51,Catalogo!$F$6:$F$51,0)</f>
        <v>0</v>
      </c>
      <c r="N609" t="str">
        <f>_xlfn.IFNA(_xlfn.XLOOKUP(Tabla1[[#This Row],[fin]],$P$379:$P$398,$T$379:$T$398),"")</f>
        <v/>
      </c>
    </row>
    <row r="610" spans="1:14" x14ac:dyDescent="0.25">
      <c r="A610" s="354">
        <v>46272</v>
      </c>
      <c r="B610" s="114" t="s">
        <v>12</v>
      </c>
      <c r="C610" s="155" t="s">
        <v>411</v>
      </c>
      <c r="D610" s="39" t="s">
        <v>351</v>
      </c>
      <c r="E610" s="40" t="s">
        <v>28</v>
      </c>
      <c r="F610" s="28">
        <v>10693</v>
      </c>
      <c r="G610" s="28">
        <v>11425</v>
      </c>
      <c r="H610" s="224">
        <f>IF(Tabla1[[#This Row],[Codigo_actividad]]&lt;&gt;2.5,IF(((Tabla1[[#This Row],[fin]]-Tabla1[[#This Row],[inicio]])/1000)=0,"",((Tabla1[[#This Row],[fin]]-Tabla1[[#This Row],[inicio]])/1000)),"")</f>
        <v>0.73199999999999998</v>
      </c>
      <c r="I610" s="66"/>
      <c r="J610" s="76">
        <v>2.1</v>
      </c>
      <c r="K610" s="66" t="str">
        <f>IF(_xlfn.XLOOKUP($J610,Catalogo!$B$7:$B$210,Catalogo!$I$7:$I$210,"",0)=0,"",_xlfn.XLOOKUP($J610,Catalogo!$B$7:$B$210,Catalogo!$I$7:$I$210,"",0))</f>
        <v>CIPS</v>
      </c>
      <c r="L610" s="36">
        <f>+_xlfn.XLOOKUP(Tabla1[[#This Row],[Ducto]],'R (s04)'!B:B,'R (s04)'!C:C)</f>
        <v>47.596499999999999</v>
      </c>
      <c r="M610" s="261">
        <f>IF(Tabla1[[#This Row],[Avance_km]]&lt;&gt;"",Tabla1[[#This Row],[Avance_km]],Tabla1[[#This Row],[Avance_Med]])*_xlfn.XLOOKUP(Tabla1[[#This Row],[Codigo_actividad]],Catalogo!$B$6:$B$51,Catalogo!$F$6:$F$51,0)</f>
        <v>10629.672119999999</v>
      </c>
    </row>
    <row r="611" spans="1:14" x14ac:dyDescent="0.25">
      <c r="A611" s="354">
        <v>46273</v>
      </c>
      <c r="B611" s="114" t="s">
        <v>12</v>
      </c>
      <c r="C611" s="155" t="s">
        <v>411</v>
      </c>
      <c r="D611" s="39" t="s">
        <v>351</v>
      </c>
      <c r="E611" s="40" t="s">
        <v>28</v>
      </c>
      <c r="F611" s="28">
        <v>12133</v>
      </c>
      <c r="G611" s="28">
        <v>14014</v>
      </c>
      <c r="H611" s="224">
        <f>IF(Tabla1[[#This Row],[Codigo_actividad]]&lt;&gt;2.5,IF(((Tabla1[[#This Row],[fin]]-Tabla1[[#This Row],[inicio]])/1000)=0,"",((Tabla1[[#This Row],[fin]]-Tabla1[[#This Row],[inicio]])/1000)),"")</f>
        <v>1.881</v>
      </c>
      <c r="I611" s="66"/>
      <c r="J611" s="76">
        <v>2.1</v>
      </c>
      <c r="K611" s="66" t="str">
        <f>IF(_xlfn.XLOOKUP($J611,Catalogo!$B$7:$B$210,Catalogo!$I$7:$I$210,"",0)=0,"",_xlfn.XLOOKUP($J611,Catalogo!$B$7:$B$210,Catalogo!$I$7:$I$210,"",0))</f>
        <v>CIPS</v>
      </c>
      <c r="L611" s="36">
        <f>+_xlfn.XLOOKUP(Tabla1[[#This Row],[Ducto]],'R (s04)'!B:B,'R (s04)'!C:C)</f>
        <v>47.596499999999999</v>
      </c>
      <c r="M611" s="261">
        <f>IF(Tabla1[[#This Row],[Avance_km]]&lt;&gt;"",Tabla1[[#This Row],[Avance_km]],Tabla1[[#This Row],[Avance_Med]])*_xlfn.XLOOKUP(Tabla1[[#This Row],[Codigo_actividad]],Catalogo!$B$6:$B$51,Catalogo!$F$6:$F$51,0)</f>
        <v>27314.772209999999</v>
      </c>
    </row>
    <row r="612" spans="1:14" x14ac:dyDescent="0.25">
      <c r="A612" s="354">
        <v>46274</v>
      </c>
      <c r="B612" s="114" t="s">
        <v>12</v>
      </c>
      <c r="C612" s="155" t="s">
        <v>411</v>
      </c>
      <c r="D612" s="39" t="s">
        <v>351</v>
      </c>
      <c r="E612" s="40" t="s">
        <v>28</v>
      </c>
      <c r="F612" s="28">
        <v>14014</v>
      </c>
      <c r="G612" s="28">
        <v>14439</v>
      </c>
      <c r="H612" s="224">
        <f>IF(Tabla1[[#This Row],[Codigo_actividad]]&lt;&gt;2.5,IF(((Tabla1[[#This Row],[fin]]-Tabla1[[#This Row],[inicio]])/1000)=0,"",((Tabla1[[#This Row],[fin]]-Tabla1[[#This Row],[inicio]])/1000)),"")</f>
        <v>0.42499999999999999</v>
      </c>
      <c r="I612" s="66"/>
      <c r="J612" s="76">
        <v>2.1</v>
      </c>
      <c r="K612" s="66" t="str">
        <f>IF(_xlfn.XLOOKUP($J612,Catalogo!$B$7:$B$210,Catalogo!$I$7:$I$210,"",0)=0,"",_xlfn.XLOOKUP($J612,Catalogo!$B$7:$B$210,Catalogo!$I$7:$I$210,"",0))</f>
        <v>CIPS</v>
      </c>
      <c r="L612" s="36">
        <f>+_xlfn.XLOOKUP(Tabla1[[#This Row],[Ducto]],'R (s04)'!B:B,'R (s04)'!C:C)</f>
        <v>47.596499999999999</v>
      </c>
      <c r="M612" s="261">
        <f>IF(Tabla1[[#This Row],[Avance_km]]&lt;&gt;"",Tabla1[[#This Row],[Avance_km]],Tabla1[[#This Row],[Avance_Med]])*_xlfn.XLOOKUP(Tabla1[[#This Row],[Codigo_actividad]],Catalogo!$B$6:$B$51,Catalogo!$F$6:$F$51,0)</f>
        <v>6171.5992500000002</v>
      </c>
    </row>
    <row r="613" spans="1:14" x14ac:dyDescent="0.25">
      <c r="A613" s="354">
        <v>46274</v>
      </c>
      <c r="B613" s="114" t="s">
        <v>12</v>
      </c>
      <c r="C613" s="155" t="s">
        <v>411</v>
      </c>
      <c r="D613" s="39" t="s">
        <v>351</v>
      </c>
      <c r="E613" s="40" t="s">
        <v>28</v>
      </c>
      <c r="F613" s="28">
        <v>11425</v>
      </c>
      <c r="G613" s="28">
        <v>12133</v>
      </c>
      <c r="H613" s="224">
        <f>IF(Tabla1[[#This Row],[Codigo_actividad]]&lt;&gt;2.5,IF(((Tabla1[[#This Row],[fin]]-Tabla1[[#This Row],[inicio]])/1000)=0,"",((Tabla1[[#This Row],[fin]]-Tabla1[[#This Row],[inicio]])/1000)),"")</f>
        <v>0.70799999999999996</v>
      </c>
      <c r="I613" s="66"/>
      <c r="J613" s="76">
        <v>2.1</v>
      </c>
      <c r="K613" s="66" t="str">
        <f>IF(_xlfn.XLOOKUP($J613,Catalogo!$B$7:$B$210,Catalogo!$I$7:$I$210,"",0)=0,"",_xlfn.XLOOKUP($J613,Catalogo!$B$7:$B$210,Catalogo!$I$7:$I$210,"",0))</f>
        <v>CIPS</v>
      </c>
      <c r="L613" s="36">
        <f>+_xlfn.XLOOKUP(Tabla1[[#This Row],[Ducto]],'R (s04)'!B:B,'R (s04)'!C:C)</f>
        <v>47.596499999999999</v>
      </c>
      <c r="M613" s="261">
        <f>IF(Tabla1[[#This Row],[Avance_km]]&lt;&gt;"",Tabla1[[#This Row],[Avance_km]],Tabla1[[#This Row],[Avance_Med]])*_xlfn.XLOOKUP(Tabla1[[#This Row],[Codigo_actividad]],Catalogo!$B$6:$B$51,Catalogo!$F$6:$F$51,0)</f>
        <v>10281.15828</v>
      </c>
    </row>
    <row r="614" spans="1:14" x14ac:dyDescent="0.25">
      <c r="A614" s="354">
        <v>46275</v>
      </c>
      <c r="B614" s="114" t="s">
        <v>12</v>
      </c>
      <c r="C614" s="155" t="s">
        <v>411</v>
      </c>
      <c r="D614" s="39" t="s">
        <v>351</v>
      </c>
      <c r="E614" s="40" t="s">
        <v>16</v>
      </c>
      <c r="F614" s="28">
        <v>16914</v>
      </c>
      <c r="G614" s="28">
        <v>18260</v>
      </c>
      <c r="H614" s="224">
        <f>IF(Tabla1[[#This Row],[Codigo_actividad]]&lt;&gt;2.5,IF(((Tabla1[[#This Row],[fin]]-Tabla1[[#This Row],[inicio]])/1000)=0,"",((Tabla1[[#This Row],[fin]]-Tabla1[[#This Row],[inicio]])/1000)),"")</f>
        <v>1.3460000000000001</v>
      </c>
      <c r="I614" s="66"/>
      <c r="J614" s="76">
        <v>2.6</v>
      </c>
      <c r="K614" s="66" t="str">
        <f>IF(_xlfn.XLOOKUP($J614,Catalogo!$B$7:$B$210,Catalogo!$I$7:$I$210,"",0)=0,"",_xlfn.XLOOKUP($J614,Catalogo!$B$7:$B$210,Catalogo!$I$7:$I$210,"",0))</f>
        <v>Localizacion</v>
      </c>
      <c r="L614" s="36">
        <f>+_xlfn.XLOOKUP(Tabla1[[#This Row],[Ducto]],'R (s04)'!B:B,'R (s04)'!C:C)</f>
        <v>47.596499999999999</v>
      </c>
      <c r="M614" s="261">
        <f>IF(Tabla1[[#This Row],[Avance_km]]&lt;&gt;"",Tabla1[[#This Row],[Avance_km]],Tabla1[[#This Row],[Avance_Med]])*_xlfn.XLOOKUP(Tabla1[[#This Row],[Codigo_actividad]],Catalogo!$B$6:$B$51,Catalogo!$F$6:$F$51,0)</f>
        <v>3038.4873200000002</v>
      </c>
    </row>
    <row r="615" spans="1:14" x14ac:dyDescent="0.25">
      <c r="A615" s="354">
        <v>46276</v>
      </c>
      <c r="B615" s="114" t="s">
        <v>12</v>
      </c>
      <c r="C615" s="155" t="s">
        <v>411</v>
      </c>
      <c r="D615" s="39" t="s">
        <v>351</v>
      </c>
      <c r="E615" s="40" t="s">
        <v>28</v>
      </c>
      <c r="F615" s="28">
        <v>15132</v>
      </c>
      <c r="G615" s="28">
        <v>15700</v>
      </c>
      <c r="H615" s="224">
        <f>IF(Tabla1[[#This Row],[Codigo_actividad]]&lt;&gt;2.5,IF(((Tabla1[[#This Row],[fin]]-Tabla1[[#This Row],[inicio]])/1000)=0,"",((Tabla1[[#This Row],[fin]]-Tabla1[[#This Row],[inicio]])/1000)),"")</f>
        <v>0.56799999999999995</v>
      </c>
      <c r="I615" s="66"/>
      <c r="J615" s="76">
        <v>2.1</v>
      </c>
      <c r="K615" s="66" t="str">
        <f>IF(_xlfn.XLOOKUP($J615,Catalogo!$B$7:$B$210,Catalogo!$I$7:$I$210,"",0)=0,"",_xlfn.XLOOKUP($J615,Catalogo!$B$7:$B$210,Catalogo!$I$7:$I$210,"",0))</f>
        <v>CIPS</v>
      </c>
      <c r="L615" s="36">
        <f>+_xlfn.XLOOKUP(Tabla1[[#This Row],[Ducto]],'R (s04)'!B:B,'R (s04)'!C:C)</f>
        <v>47.596499999999999</v>
      </c>
      <c r="M615" s="261">
        <f>IF(Tabla1[[#This Row],[Avance_km]]&lt;&gt;"",Tabla1[[#This Row],[Avance_km]],Tabla1[[#This Row],[Avance_Med]])*_xlfn.XLOOKUP(Tabla1[[#This Row],[Codigo_actividad]],Catalogo!$B$6:$B$51,Catalogo!$F$6:$F$51,0)</f>
        <v>8248.1608799999995</v>
      </c>
    </row>
    <row r="616" spans="1:14" x14ac:dyDescent="0.25">
      <c r="A616" s="354">
        <v>46276</v>
      </c>
      <c r="B616" s="114" t="s">
        <v>12</v>
      </c>
      <c r="C616" s="155" t="s">
        <v>411</v>
      </c>
      <c r="D616" s="39" t="s">
        <v>351</v>
      </c>
      <c r="E616" s="40" t="s">
        <v>28</v>
      </c>
      <c r="F616" s="28">
        <v>15700</v>
      </c>
      <c r="G616" s="28">
        <v>16914</v>
      </c>
      <c r="H616" s="224">
        <f>IF(Tabla1[[#This Row],[Codigo_actividad]]&lt;&gt;2.5,IF(((Tabla1[[#This Row],[fin]]-Tabla1[[#This Row],[inicio]])/1000)=0,"",((Tabla1[[#This Row],[fin]]-Tabla1[[#This Row],[inicio]])/1000)),"")</f>
        <v>1.214</v>
      </c>
      <c r="I616" s="66"/>
      <c r="J616" s="76">
        <v>2.1</v>
      </c>
      <c r="K616" s="66" t="str">
        <f>IF(_xlfn.XLOOKUP($J616,Catalogo!$B$7:$B$210,Catalogo!$I$7:$I$210,"",0)=0,"",_xlfn.XLOOKUP($J616,Catalogo!$B$7:$B$210,Catalogo!$I$7:$I$210,"",0))</f>
        <v>CIPS</v>
      </c>
      <c r="L616" s="36">
        <f>+_xlfn.XLOOKUP(Tabla1[[#This Row],[Ducto]],'R (s04)'!B:B,'R (s04)'!C:C)</f>
        <v>47.596499999999999</v>
      </c>
      <c r="M616" s="261">
        <f>IF(Tabla1[[#This Row],[Avance_km]]&lt;&gt;"",Tabla1[[#This Row],[Avance_km]],Tabla1[[#This Row],[Avance_Med]])*_xlfn.XLOOKUP(Tabla1[[#This Row],[Codigo_actividad]],Catalogo!$B$6:$B$51,Catalogo!$F$6:$F$51,0)</f>
        <v>17628.991739999998</v>
      </c>
    </row>
    <row r="617" spans="1:14" x14ac:dyDescent="0.25">
      <c r="A617" s="354">
        <v>46277</v>
      </c>
      <c r="B617" s="114" t="s">
        <v>12</v>
      </c>
      <c r="C617" s="155" t="s">
        <v>411</v>
      </c>
      <c r="D617" s="39" t="s">
        <v>351</v>
      </c>
      <c r="E617" s="40" t="s">
        <v>28</v>
      </c>
      <c r="F617" s="28">
        <v>16914</v>
      </c>
      <c r="G617" s="28">
        <v>18260</v>
      </c>
      <c r="H617" s="224">
        <f>IF(Tabla1[[#This Row],[Codigo_actividad]]&lt;&gt;2.5,IF(((Tabla1[[#This Row],[fin]]-Tabla1[[#This Row],[inicio]])/1000)=0,"",((Tabla1[[#This Row],[fin]]-Tabla1[[#This Row],[inicio]])/1000)),"")</f>
        <v>1.3460000000000001</v>
      </c>
      <c r="I617" s="66"/>
      <c r="J617" s="76">
        <v>2.1</v>
      </c>
      <c r="K617" s="66" t="str">
        <f>IF(_xlfn.XLOOKUP($J617,Catalogo!$B$7:$B$210,Catalogo!$I$7:$I$210,"",0)=0,"",_xlfn.XLOOKUP($J617,Catalogo!$B$7:$B$210,Catalogo!$I$7:$I$210,"",0))</f>
        <v>CIPS</v>
      </c>
      <c r="L617" s="36">
        <f>+_xlfn.XLOOKUP(Tabla1[[#This Row],[Ducto]],'R (s04)'!B:B,'R (s04)'!C:C)</f>
        <v>47.596499999999999</v>
      </c>
      <c r="M617" s="261">
        <f>IF(Tabla1[[#This Row],[Avance_km]]&lt;&gt;"",Tabla1[[#This Row],[Avance_km]],Tabla1[[#This Row],[Avance_Med]])*_xlfn.XLOOKUP(Tabla1[[#This Row],[Codigo_actividad]],Catalogo!$B$6:$B$51,Catalogo!$F$6:$F$51,0)</f>
        <v>19545.817860000003</v>
      </c>
    </row>
    <row r="618" spans="1:14" x14ac:dyDescent="0.25">
      <c r="A618" s="354"/>
      <c r="B618" s="114"/>
      <c r="C618" s="155"/>
      <c r="D618" s="39"/>
      <c r="F618" s="28"/>
      <c r="G618" s="28"/>
      <c r="H618" s="224" t="str">
        <f>IF(Tabla1[[#This Row],[Codigo_actividad]]&lt;&gt;2.5,IF(((Tabla1[[#This Row],[fin]]-Tabla1[[#This Row],[inicio]])/1000)=0,"",((Tabla1[[#This Row],[fin]]-Tabla1[[#This Row],[inicio]])/1000)),"")</f>
        <v/>
      </c>
      <c r="I618" s="66"/>
      <c r="J618" s="76"/>
      <c r="K618" s="66" t="str">
        <f>IF(_xlfn.XLOOKUP($J618,Catalogo!$B$7:$B$21,Catalogo!$I$7:$I$21,"",0)=0,"",_xlfn.XLOOKUP($J618,Catalogo!$B$7:$B$21,Catalogo!$I$7:$I$21,"",0))</f>
        <v/>
      </c>
      <c r="L618" s="36"/>
      <c r="M618" s="261">
        <f>IF(Tabla1[[#This Row],[Avance_km]]&lt;&gt;"",Tabla1[[#This Row],[Avance_km]],Tabla1[[#This Row],[Avance_Med]])*_xlfn.XLOOKUP(Tabla1[[#This Row],[Codigo_actividad]],Catalogo!$B$6:$B$51,Catalogo!$F$6:$F$51,0)</f>
        <v>0</v>
      </c>
      <c r="N618" t="str">
        <f>_xlfn.IFNA(_xlfn.XLOOKUP(Tabla1[[#This Row],[fin]],$P$379:$P$398,$T$379:$T$398),"")</f>
        <v/>
      </c>
    </row>
    <row r="619" spans="1:14" x14ac:dyDescent="0.25">
      <c r="A619" s="354">
        <v>46279</v>
      </c>
      <c r="B619" s="114" t="s">
        <v>12</v>
      </c>
      <c r="C619" s="155" t="s">
        <v>411</v>
      </c>
      <c r="D619" s="39" t="s">
        <v>351</v>
      </c>
      <c r="E619" s="40" t="s">
        <v>28</v>
      </c>
      <c r="F619" s="28">
        <v>14439</v>
      </c>
      <c r="G619" s="28">
        <v>15132</v>
      </c>
      <c r="H619" s="224">
        <f>IF(Tabla1[[#This Row],[Codigo_actividad]]&lt;&gt;2.5,IF(((Tabla1[[#This Row],[fin]]-Tabla1[[#This Row],[inicio]])/1000)=0,"",((Tabla1[[#This Row],[fin]]-Tabla1[[#This Row],[inicio]])/1000)),"")</f>
        <v>0.69299999999999995</v>
      </c>
      <c r="I619" s="66"/>
      <c r="J619" s="76">
        <v>2.1</v>
      </c>
      <c r="K619" s="66" t="str">
        <f>IF(_xlfn.XLOOKUP($J619,Catalogo!$B$7:$B$210,Catalogo!$I$7:$I$210,"",0)=0,"",_xlfn.XLOOKUP($J619,Catalogo!$B$7:$B$210,Catalogo!$I$7:$I$210,"",0))</f>
        <v>CIPS</v>
      </c>
      <c r="L619" s="36">
        <f>+_xlfn.XLOOKUP(Tabla1[[#This Row],[Ducto]],'R (s04)'!B:B,'R (s04)'!C:C)</f>
        <v>47.596499999999999</v>
      </c>
      <c r="M619" s="261">
        <f>IF(Tabla1[[#This Row],[Avance_km]]&lt;&gt;"",Tabla1[[#This Row],[Avance_km]],Tabla1[[#This Row],[Avance_Med]])*_xlfn.XLOOKUP(Tabla1[[#This Row],[Codigo_actividad]],Catalogo!$B$6:$B$51,Catalogo!$F$6:$F$51,0)</f>
        <v>10063.33713</v>
      </c>
    </row>
    <row r="620" spans="1:14" x14ac:dyDescent="0.25">
      <c r="A620" s="354">
        <v>46280</v>
      </c>
      <c r="B620" s="114" t="s">
        <v>12</v>
      </c>
      <c r="C620" s="155" t="s">
        <v>411</v>
      </c>
      <c r="D620" s="39" t="s">
        <v>351</v>
      </c>
      <c r="E620" s="40" t="s">
        <v>16</v>
      </c>
      <c r="F620" s="28">
        <v>18260</v>
      </c>
      <c r="G620" s="28">
        <v>22600</v>
      </c>
      <c r="H620" s="224">
        <f>IF(Tabla1[[#This Row],[Codigo_actividad]]&lt;&gt;2.5,IF(((Tabla1[[#This Row],[fin]]-Tabla1[[#This Row],[inicio]])/1000)=0,"",((Tabla1[[#This Row],[fin]]-Tabla1[[#This Row],[inicio]])/1000)),"")</f>
        <v>4.34</v>
      </c>
      <c r="I620" s="66"/>
      <c r="J620" s="76">
        <v>2.6</v>
      </c>
      <c r="K620" s="66" t="str">
        <f>IF(_xlfn.XLOOKUP($J620,Catalogo!$B$7:$B$210,Catalogo!$I$7:$I$210,"",0)=0,"",_xlfn.XLOOKUP($J620,Catalogo!$B$7:$B$210,Catalogo!$I$7:$I$210,"",0))</f>
        <v>Localizacion</v>
      </c>
      <c r="L620" s="36">
        <f>+_xlfn.XLOOKUP(Tabla1[[#This Row],[Ducto]],'R (s04)'!B:B,'R (s04)'!C:C)</f>
        <v>47.596499999999999</v>
      </c>
      <c r="M620" s="261">
        <f>IF(Tabla1[[#This Row],[Avance_km]]&lt;&gt;"",Tabla1[[#This Row],[Avance_km]],Tabla1[[#This Row],[Avance_Med]])*_xlfn.XLOOKUP(Tabla1[[#This Row],[Codigo_actividad]],Catalogo!$B$6:$B$51,Catalogo!$F$6:$F$51,0)</f>
        <v>9797.2027999999991</v>
      </c>
    </row>
    <row r="621" spans="1:14" x14ac:dyDescent="0.25">
      <c r="A621" s="354">
        <v>46281</v>
      </c>
      <c r="B621" s="114" t="s">
        <v>30</v>
      </c>
      <c r="C621" s="155" t="s">
        <v>411</v>
      </c>
      <c r="D621" s="39" t="s">
        <v>359</v>
      </c>
      <c r="E621" s="40" t="s">
        <v>31</v>
      </c>
      <c r="F621" s="28"/>
      <c r="G621" s="28"/>
      <c r="H621" s="224"/>
      <c r="I621" s="66">
        <v>2</v>
      </c>
      <c r="J621" s="76">
        <v>2.5</v>
      </c>
      <c r="K621" s="55" t="str">
        <f>IF(_xlfn.XLOOKUP($J621,Catalogo!$B$7:$B$210,Catalogo!$I$7:$I$210,"",0)=0,"",_xlfn.XLOOKUP($J621,Catalogo!$B$7:$B$210,Catalogo!$I$7:$I$210,"",0))</f>
        <v>Resistividades pH BSR BPA</v>
      </c>
      <c r="L621" s="36"/>
      <c r="M621" s="261">
        <f>IF(Tabla1[[#This Row],[Avance_km]]&lt;&gt;"",Tabla1[[#This Row],[Avance_km]],Tabla1[[#This Row],[Avance_Med]])*_xlfn.XLOOKUP(Tabla1[[#This Row],[Codigo_actividad]],Catalogo!$B$6:$B$51,Catalogo!$F$6:$F$51,0)</f>
        <v>9316</v>
      </c>
      <c r="N621" t="str">
        <f>_xlfn.IFNA(_xlfn.XLOOKUP(Tabla1[[#This Row],[fin]],$P$379:$P$398,$T$379:$T$398),"")</f>
        <v/>
      </c>
    </row>
    <row r="622" spans="1:14" x14ac:dyDescent="0.25">
      <c r="A622" s="354">
        <v>46281</v>
      </c>
      <c r="B622" s="114" t="s">
        <v>30</v>
      </c>
      <c r="C622" s="155" t="s">
        <v>411</v>
      </c>
      <c r="D622" s="39" t="s">
        <v>361</v>
      </c>
      <c r="E622" s="40" t="s">
        <v>31</v>
      </c>
      <c r="F622" s="28"/>
      <c r="G622" s="28"/>
      <c r="H622" s="224"/>
      <c r="I622" s="66">
        <v>1</v>
      </c>
      <c r="J622" s="76">
        <v>2.5</v>
      </c>
      <c r="K622" s="55" t="str">
        <f>IF(_xlfn.XLOOKUP($J622,Catalogo!$B$7:$B$210,Catalogo!$I$7:$I$210,"",0)=0,"",_xlfn.XLOOKUP($J622,Catalogo!$B$7:$B$210,Catalogo!$I$7:$I$210,"",0))</f>
        <v>Resistividades pH BSR BPA</v>
      </c>
      <c r="L622" s="36"/>
      <c r="M622" s="261">
        <f>IF(Tabla1[[#This Row],[Avance_km]]&lt;&gt;"",Tabla1[[#This Row],[Avance_km]],Tabla1[[#This Row],[Avance_Med]])*_xlfn.XLOOKUP(Tabla1[[#This Row],[Codigo_actividad]],Catalogo!$B$6:$B$51,Catalogo!$F$6:$F$51,0)</f>
        <v>4658</v>
      </c>
      <c r="N622" t="str">
        <f>_xlfn.IFNA(_xlfn.XLOOKUP(Tabla1[[#This Row],[fin]],$P$379:$P$398,$T$379:$T$398),"")</f>
        <v/>
      </c>
    </row>
    <row r="623" spans="1:14" x14ac:dyDescent="0.25">
      <c r="A623" s="354">
        <v>46281</v>
      </c>
      <c r="B623" s="114" t="s">
        <v>30</v>
      </c>
      <c r="C623" s="155" t="s">
        <v>411</v>
      </c>
      <c r="D623" s="39" t="s">
        <v>360</v>
      </c>
      <c r="E623" s="40" t="s">
        <v>31</v>
      </c>
      <c r="F623" s="28"/>
      <c r="G623" s="28"/>
      <c r="H623" s="224"/>
      <c r="I623" s="66">
        <v>1</v>
      </c>
      <c r="J623" s="76">
        <v>2.5</v>
      </c>
      <c r="K623" s="55" t="str">
        <f>IF(_xlfn.XLOOKUP($J623,Catalogo!$B$7:$B$210,Catalogo!$I$7:$I$210,"",0)=0,"",_xlfn.XLOOKUP($J623,Catalogo!$B$7:$B$210,Catalogo!$I$7:$I$210,"",0))</f>
        <v>Resistividades pH BSR BPA</v>
      </c>
      <c r="L623" s="36"/>
      <c r="M623" s="261">
        <f>IF(Tabla1[[#This Row],[Avance_km]]&lt;&gt;"",Tabla1[[#This Row],[Avance_km]],Tabla1[[#This Row],[Avance_Med]])*_xlfn.XLOOKUP(Tabla1[[#This Row],[Codigo_actividad]],Catalogo!$B$6:$B$51,Catalogo!$F$6:$F$51,0)</f>
        <v>4658</v>
      </c>
      <c r="N623" t="str">
        <f>_xlfn.IFNA(_xlfn.XLOOKUP(Tabla1[[#This Row],[fin]],$P$379:$P$398,$T$379:$T$398),"")</f>
        <v/>
      </c>
    </row>
    <row r="624" spans="1:14" x14ac:dyDescent="0.25">
      <c r="A624" s="354">
        <v>46284</v>
      </c>
      <c r="B624" s="114" t="s">
        <v>30</v>
      </c>
      <c r="C624" s="155" t="s">
        <v>411</v>
      </c>
      <c r="D624" s="39" t="s">
        <v>359</v>
      </c>
      <c r="E624" s="40" t="s">
        <v>31</v>
      </c>
      <c r="F624" s="28"/>
      <c r="G624" s="28"/>
      <c r="H624" s="224"/>
      <c r="I624" s="66">
        <v>1</v>
      </c>
      <c r="J624" s="76">
        <v>2.5</v>
      </c>
      <c r="K624" s="55" t="str">
        <f>IF(_xlfn.XLOOKUP($J624,Catalogo!$B$7:$B$210,Catalogo!$I$7:$I$210,"",0)=0,"",_xlfn.XLOOKUP($J624,Catalogo!$B$7:$B$210,Catalogo!$I$7:$I$210,"",0))</f>
        <v>Resistividades pH BSR BPA</v>
      </c>
      <c r="L624" s="36"/>
      <c r="M624" s="261">
        <f>IF(Tabla1[[#This Row],[Avance_km]]&lt;&gt;"",Tabla1[[#This Row],[Avance_km]],Tabla1[[#This Row],[Avance_Med]])*_xlfn.XLOOKUP(Tabla1[[#This Row],[Codigo_actividad]],Catalogo!$B$6:$B$51,Catalogo!$F$6:$F$51,0)</f>
        <v>4658</v>
      </c>
      <c r="N624" t="str">
        <f>_xlfn.IFNA(_xlfn.XLOOKUP(Tabla1[[#This Row],[fin]],$P$379:$P$398,$T$379:$T$398),"")</f>
        <v/>
      </c>
    </row>
    <row r="625" spans="1:14" x14ac:dyDescent="0.25">
      <c r="A625" s="354"/>
      <c r="B625" s="114"/>
      <c r="C625" s="155"/>
      <c r="D625" s="39"/>
      <c r="F625" s="28"/>
      <c r="G625" s="28"/>
      <c r="H625" s="224" t="str">
        <f>IF(Tabla1[[#This Row],[Codigo_actividad]]&lt;&gt;2.5,IF(((Tabla1[[#This Row],[fin]]-Tabla1[[#This Row],[inicio]])/1000)=0,"",((Tabla1[[#This Row],[fin]]-Tabla1[[#This Row],[inicio]])/1000)),"")</f>
        <v/>
      </c>
      <c r="I625" s="66"/>
      <c r="J625" s="76"/>
      <c r="K625" s="66" t="str">
        <f>IF(_xlfn.XLOOKUP($J625,Catalogo!$B$7:$B$21,Catalogo!$I$7:$I$21,"",0)=0,"",_xlfn.XLOOKUP($J625,Catalogo!$B$7:$B$21,Catalogo!$I$7:$I$21,"",0))</f>
        <v/>
      </c>
      <c r="L625" s="36"/>
      <c r="M625" s="261">
        <f>IF(Tabla1[[#This Row],[Avance_km]]&lt;&gt;"",Tabla1[[#This Row],[Avance_km]],Tabla1[[#This Row],[Avance_Med]])*_xlfn.XLOOKUP(Tabla1[[#This Row],[Codigo_actividad]],Catalogo!$B$6:$B$51,Catalogo!$F$6:$F$51,0)</f>
        <v>0</v>
      </c>
      <c r="N625" t="str">
        <f>_xlfn.IFNA(_xlfn.XLOOKUP(Tabla1[[#This Row],[fin]],$P$379:$P$398,$T$379:$T$398),"")</f>
        <v/>
      </c>
    </row>
    <row r="626" spans="1:14" x14ac:dyDescent="0.25">
      <c r="A626" s="354">
        <v>46286</v>
      </c>
      <c r="B626" s="114" t="s">
        <v>30</v>
      </c>
      <c r="C626" s="155" t="s">
        <v>561</v>
      </c>
      <c r="D626" s="39" t="s">
        <v>377</v>
      </c>
      <c r="E626" s="40" t="s">
        <v>31</v>
      </c>
      <c r="F626" s="28">
        <v>0</v>
      </c>
      <c r="G626" s="28">
        <v>623</v>
      </c>
      <c r="H626" s="224"/>
      <c r="I626" s="66">
        <v>2</v>
      </c>
      <c r="J626" s="76">
        <v>2.5</v>
      </c>
      <c r="K626" s="55" t="str">
        <f>IF(_xlfn.XLOOKUP($J626,Catalogo!$B$7:$B$210,Catalogo!$I$7:$I$210,"",0)=0,"",_xlfn.XLOOKUP($J626,Catalogo!$B$7:$B$210,Catalogo!$I$7:$I$210,"",0))</f>
        <v>Resistividades pH BSR BPA</v>
      </c>
      <c r="L626" s="36"/>
      <c r="M626" s="261">
        <f>IF(Tabla1[[#This Row],[Avance_km]]&lt;&gt;"",Tabla1[[#This Row],[Avance_km]],Tabla1[[#This Row],[Avance_Med]])*_xlfn.XLOOKUP(Tabla1[[#This Row],[Codigo_actividad]],Catalogo!$B$6:$B$51,Catalogo!$F$6:$F$51,0)</f>
        <v>9316</v>
      </c>
      <c r="N626" t="str">
        <f>_xlfn.IFNA(_xlfn.XLOOKUP(Tabla1[[#This Row],[fin]],$P$379:$P$398,$T$379:$T$398),"")</f>
        <v/>
      </c>
    </row>
    <row r="627" spans="1:14" x14ac:dyDescent="0.25">
      <c r="A627" s="354">
        <v>46286</v>
      </c>
      <c r="B627" s="114" t="s">
        <v>30</v>
      </c>
      <c r="C627" s="155" t="s">
        <v>561</v>
      </c>
      <c r="D627" s="39" t="s">
        <v>375</v>
      </c>
      <c r="E627" s="40" t="s">
        <v>31</v>
      </c>
      <c r="F627" s="28">
        <v>0</v>
      </c>
      <c r="G627" s="28"/>
      <c r="H627" s="224"/>
      <c r="I627" s="66">
        <v>1</v>
      </c>
      <c r="J627" s="76">
        <v>2.5</v>
      </c>
      <c r="K627" s="55" t="str">
        <f>IF(_xlfn.XLOOKUP($J627,Catalogo!$B$7:$B$210,Catalogo!$I$7:$I$210,"",0)=0,"",_xlfn.XLOOKUP($J627,Catalogo!$B$7:$B$210,Catalogo!$I$7:$I$210,"",0))</f>
        <v>Resistividades pH BSR BPA</v>
      </c>
      <c r="L627" s="36"/>
      <c r="M627" s="261">
        <f>IF(Tabla1[[#This Row],[Avance_km]]&lt;&gt;"",Tabla1[[#This Row],[Avance_km]],Tabla1[[#This Row],[Avance_Med]])*_xlfn.XLOOKUP(Tabla1[[#This Row],[Codigo_actividad]],Catalogo!$B$6:$B$51,Catalogo!$F$6:$F$51,0)</f>
        <v>4658</v>
      </c>
      <c r="N627" t="str">
        <f>_xlfn.IFNA(_xlfn.XLOOKUP(Tabla1[[#This Row],[fin]],$P$379:$P$398,$T$379:$T$398),"")</f>
        <v/>
      </c>
    </row>
    <row r="628" spans="1:14" x14ac:dyDescent="0.25">
      <c r="A628" s="354">
        <v>46287</v>
      </c>
      <c r="B628" s="114" t="s">
        <v>30</v>
      </c>
      <c r="C628" s="155" t="s">
        <v>561</v>
      </c>
      <c r="D628" s="39" t="s">
        <v>374</v>
      </c>
      <c r="E628" s="40" t="s">
        <v>31</v>
      </c>
      <c r="F628" s="28">
        <v>0</v>
      </c>
      <c r="G628" s="28">
        <v>608</v>
      </c>
      <c r="H628" s="224"/>
      <c r="I628" s="66">
        <v>2</v>
      </c>
      <c r="J628" s="76">
        <v>2.5</v>
      </c>
      <c r="K628" s="55" t="str">
        <f>IF(_xlfn.XLOOKUP($J628,Catalogo!$B$7:$B$210,Catalogo!$I$7:$I$210,"",0)=0,"",_xlfn.XLOOKUP($J628,Catalogo!$B$7:$B$210,Catalogo!$I$7:$I$210,"",0))</f>
        <v>Resistividades pH BSR BPA</v>
      </c>
      <c r="L628" s="36"/>
      <c r="M628" s="261">
        <f>IF(Tabla1[[#This Row],[Avance_km]]&lt;&gt;"",Tabla1[[#This Row],[Avance_km]],Tabla1[[#This Row],[Avance_Med]])*_xlfn.XLOOKUP(Tabla1[[#This Row],[Codigo_actividad]],Catalogo!$B$6:$B$51,Catalogo!$F$6:$F$51,0)</f>
        <v>9316</v>
      </c>
      <c r="N628" t="str">
        <f>_xlfn.IFNA(_xlfn.XLOOKUP(Tabla1[[#This Row],[fin]],$P$379:$P$398,$T$379:$T$398),"")</f>
        <v/>
      </c>
    </row>
    <row r="629" spans="1:14" x14ac:dyDescent="0.25">
      <c r="A629" s="354">
        <v>46287</v>
      </c>
      <c r="B629" s="114" t="s">
        <v>30</v>
      </c>
      <c r="C629" s="155" t="s">
        <v>561</v>
      </c>
      <c r="D629" s="39" t="s">
        <v>373</v>
      </c>
      <c r="E629" s="40" t="s">
        <v>31</v>
      </c>
      <c r="F629" s="28">
        <v>0</v>
      </c>
      <c r="G629" s="28"/>
      <c r="H629" s="224"/>
      <c r="I629" s="66">
        <v>1</v>
      </c>
      <c r="J629" s="76">
        <v>2.5</v>
      </c>
      <c r="K629" s="55" t="str">
        <f>IF(_xlfn.XLOOKUP($J629,Catalogo!$B$7:$B$210,Catalogo!$I$7:$I$210,"",0)=0,"",_xlfn.XLOOKUP($J629,Catalogo!$B$7:$B$210,Catalogo!$I$7:$I$210,"",0))</f>
        <v>Resistividades pH BSR BPA</v>
      </c>
      <c r="L629" s="36"/>
      <c r="M629" s="261">
        <f>IF(Tabla1[[#This Row],[Avance_km]]&lt;&gt;"",Tabla1[[#This Row],[Avance_km]],Tabla1[[#This Row],[Avance_Med]])*_xlfn.XLOOKUP(Tabla1[[#This Row],[Codigo_actividad]],Catalogo!$B$6:$B$51,Catalogo!$F$6:$F$51,0)</f>
        <v>4658</v>
      </c>
      <c r="N629" t="str">
        <f>_xlfn.IFNA(_xlfn.XLOOKUP(Tabla1[[#This Row],[fin]],$P$379:$P$398,$T$379:$T$398),"")</f>
        <v/>
      </c>
    </row>
    <row r="630" spans="1:14" x14ac:dyDescent="0.25">
      <c r="A630" s="354">
        <v>46288</v>
      </c>
      <c r="B630" s="114" t="s">
        <v>30</v>
      </c>
      <c r="C630" s="155" t="s">
        <v>561</v>
      </c>
      <c r="D630" s="39" t="s">
        <v>372</v>
      </c>
      <c r="E630" s="40" t="s">
        <v>31</v>
      </c>
      <c r="F630" s="28">
        <v>0</v>
      </c>
      <c r="G630" s="28"/>
      <c r="H630" s="224"/>
      <c r="I630" s="66">
        <v>1</v>
      </c>
      <c r="J630" s="76">
        <v>2.5</v>
      </c>
      <c r="K630" s="55" t="str">
        <f>IF(_xlfn.XLOOKUP($J630,Catalogo!$B$7:$B$210,Catalogo!$I$7:$I$210,"",0)=0,"",_xlfn.XLOOKUP($J630,Catalogo!$B$7:$B$210,Catalogo!$I$7:$I$210,"",0))</f>
        <v>Resistividades pH BSR BPA</v>
      </c>
      <c r="L630" s="36"/>
      <c r="M630" s="261">
        <f>IF(Tabla1[[#This Row],[Avance_km]]&lt;&gt;"",Tabla1[[#This Row],[Avance_km]],Tabla1[[#This Row],[Avance_Med]])*_xlfn.XLOOKUP(Tabla1[[#This Row],[Codigo_actividad]],Catalogo!$B$6:$B$51,Catalogo!$F$6:$F$51,0)</f>
        <v>4658</v>
      </c>
      <c r="N630" t="str">
        <f>_xlfn.IFNA(_xlfn.XLOOKUP(Tabla1[[#This Row],[fin]],$P$379:$P$398,$T$379:$T$398),"")</f>
        <v/>
      </c>
    </row>
    <row r="631" spans="1:14" x14ac:dyDescent="0.25">
      <c r="A631" s="354">
        <v>46288</v>
      </c>
      <c r="B631" s="114" t="s">
        <v>30</v>
      </c>
      <c r="C631" s="155" t="s">
        <v>561</v>
      </c>
      <c r="D631" s="39" t="s">
        <v>370</v>
      </c>
      <c r="E631" s="40" t="s">
        <v>31</v>
      </c>
      <c r="F631" s="28">
        <v>0</v>
      </c>
      <c r="G631" s="28"/>
      <c r="H631" s="224"/>
      <c r="I631" s="66">
        <v>1</v>
      </c>
      <c r="J631" s="76">
        <v>2.5</v>
      </c>
      <c r="K631" s="55" t="str">
        <f>IF(_xlfn.XLOOKUP($J631,Catalogo!$B$7:$B$210,Catalogo!$I$7:$I$210,"",0)=0,"",_xlfn.XLOOKUP($J631,Catalogo!$B$7:$B$210,Catalogo!$I$7:$I$210,"",0))</f>
        <v>Resistividades pH BSR BPA</v>
      </c>
      <c r="L631" s="36"/>
      <c r="M631" s="261">
        <f>IF(Tabla1[[#This Row],[Avance_km]]&lt;&gt;"",Tabla1[[#This Row],[Avance_km]],Tabla1[[#This Row],[Avance_Med]])*_xlfn.XLOOKUP(Tabla1[[#This Row],[Codigo_actividad]],Catalogo!$B$6:$B$51,Catalogo!$F$6:$F$51,0)</f>
        <v>4658</v>
      </c>
      <c r="N631" t="str">
        <f>_xlfn.IFNA(_xlfn.XLOOKUP(Tabla1[[#This Row],[fin]],$P$379:$P$398,$T$379:$T$398),"")</f>
        <v/>
      </c>
    </row>
    <row r="632" spans="1:14" x14ac:dyDescent="0.25">
      <c r="A632" s="354">
        <v>46289</v>
      </c>
      <c r="B632" s="114" t="s">
        <v>30</v>
      </c>
      <c r="C632" s="155" t="s">
        <v>561</v>
      </c>
      <c r="D632" s="39" t="s">
        <v>368</v>
      </c>
      <c r="E632" s="40" t="s">
        <v>31</v>
      </c>
      <c r="F632" s="28">
        <v>0</v>
      </c>
      <c r="G632" s="28"/>
      <c r="H632" s="224"/>
      <c r="I632" s="66">
        <v>1</v>
      </c>
      <c r="J632" s="76">
        <v>2.5</v>
      </c>
      <c r="K632" s="55" t="str">
        <f>IF(_xlfn.XLOOKUP($J632,Catalogo!$B$7:$B$210,Catalogo!$I$7:$I$210,"",0)=0,"",_xlfn.XLOOKUP($J632,Catalogo!$B$7:$B$210,Catalogo!$I$7:$I$210,"",0))</f>
        <v>Resistividades pH BSR BPA</v>
      </c>
      <c r="L632" s="36"/>
      <c r="M632" s="261">
        <f>IF(Tabla1[[#This Row],[Avance_km]]&lt;&gt;"",Tabla1[[#This Row],[Avance_km]],Tabla1[[#This Row],[Avance_Med]])*_xlfn.XLOOKUP(Tabla1[[#This Row],[Codigo_actividad]],Catalogo!$B$6:$B$51,Catalogo!$F$6:$F$51,0)</f>
        <v>4658</v>
      </c>
      <c r="N632" t="str">
        <f>_xlfn.IFNA(_xlfn.XLOOKUP(Tabla1[[#This Row],[fin]],$P$379:$P$398,$T$379:$T$398),"")</f>
        <v/>
      </c>
    </row>
    <row r="633" spans="1:14" x14ac:dyDescent="0.25">
      <c r="A633" s="354">
        <v>46289</v>
      </c>
      <c r="B633" s="114" t="s">
        <v>30</v>
      </c>
      <c r="C633" s="155" t="s">
        <v>561</v>
      </c>
      <c r="D633" s="39" t="s">
        <v>378</v>
      </c>
      <c r="E633" s="40" t="s">
        <v>31</v>
      </c>
      <c r="F633" s="28">
        <v>0</v>
      </c>
      <c r="G633" s="28"/>
      <c r="H633" s="224"/>
      <c r="I633" s="66">
        <v>1</v>
      </c>
      <c r="J633" s="76">
        <v>2.5</v>
      </c>
      <c r="K633" s="55" t="str">
        <f>IF(_xlfn.XLOOKUP($J633,Catalogo!$B$7:$B$210,Catalogo!$I$7:$I$210,"",0)=0,"",_xlfn.XLOOKUP($J633,Catalogo!$B$7:$B$210,Catalogo!$I$7:$I$210,"",0))</f>
        <v>Resistividades pH BSR BPA</v>
      </c>
      <c r="L633" s="36"/>
      <c r="M633" s="261">
        <f>IF(Tabla1[[#This Row],[Avance_km]]&lt;&gt;"",Tabla1[[#This Row],[Avance_km]],Tabla1[[#This Row],[Avance_Med]])*_xlfn.XLOOKUP(Tabla1[[#This Row],[Codigo_actividad]],Catalogo!$B$6:$B$51,Catalogo!$F$6:$F$51,0)</f>
        <v>4658</v>
      </c>
      <c r="N633" t="str">
        <f>_xlfn.IFNA(_xlfn.XLOOKUP(Tabla1[[#This Row],[fin]],$P$379:$P$398,$T$379:$T$398),"")</f>
        <v/>
      </c>
    </row>
    <row r="634" spans="1:14" x14ac:dyDescent="0.25">
      <c r="A634" s="354">
        <v>46290</v>
      </c>
      <c r="B634" s="114" t="s">
        <v>30</v>
      </c>
      <c r="C634" s="155" t="s">
        <v>561</v>
      </c>
      <c r="D634" s="39" t="s">
        <v>376</v>
      </c>
      <c r="E634" s="40" t="s">
        <v>31</v>
      </c>
      <c r="F634" s="28">
        <v>0</v>
      </c>
      <c r="G634" s="28"/>
      <c r="H634" s="224"/>
      <c r="I634" s="66">
        <v>1</v>
      </c>
      <c r="J634" s="76">
        <v>2.5</v>
      </c>
      <c r="K634" s="55" t="str">
        <f>IF(_xlfn.XLOOKUP($J634,Catalogo!$B$7:$B$210,Catalogo!$I$7:$I$210,"",0)=0,"",_xlfn.XLOOKUP($J634,Catalogo!$B$7:$B$210,Catalogo!$I$7:$I$210,"",0))</f>
        <v>Resistividades pH BSR BPA</v>
      </c>
      <c r="L634" s="36"/>
      <c r="M634" s="261">
        <f>IF(Tabla1[[#This Row],[Avance_km]]&lt;&gt;"",Tabla1[[#This Row],[Avance_km]],Tabla1[[#This Row],[Avance_Med]])*_xlfn.XLOOKUP(Tabla1[[#This Row],[Codigo_actividad]],Catalogo!$B$6:$B$51,Catalogo!$F$6:$F$51,0)</f>
        <v>4658</v>
      </c>
      <c r="N634" t="str">
        <f>_xlfn.IFNA(_xlfn.XLOOKUP(Tabla1[[#This Row],[fin]],$P$379:$P$398,$T$379:$T$398),"")</f>
        <v/>
      </c>
    </row>
    <row r="635" spans="1:14" x14ac:dyDescent="0.25">
      <c r="A635" s="354">
        <v>46290</v>
      </c>
      <c r="B635" s="114" t="s">
        <v>30</v>
      </c>
      <c r="C635" s="155" t="s">
        <v>561</v>
      </c>
      <c r="D635" s="39" t="s">
        <v>371</v>
      </c>
      <c r="E635" s="40" t="s">
        <v>31</v>
      </c>
      <c r="F635" s="28">
        <v>0</v>
      </c>
      <c r="G635" s="28"/>
      <c r="H635" s="224"/>
      <c r="I635" s="66">
        <v>1</v>
      </c>
      <c r="J635" s="76">
        <v>2.5</v>
      </c>
      <c r="K635" s="55" t="str">
        <f>IF(_xlfn.XLOOKUP($J635,Catalogo!$B$7:$B$210,Catalogo!$I$7:$I$210,"",0)=0,"",_xlfn.XLOOKUP($J635,Catalogo!$B$7:$B$210,Catalogo!$I$7:$I$210,"",0))</f>
        <v>Resistividades pH BSR BPA</v>
      </c>
      <c r="L635" s="36"/>
      <c r="M635" s="261">
        <f>IF(Tabla1[[#This Row],[Avance_km]]&lt;&gt;"",Tabla1[[#This Row],[Avance_km]],Tabla1[[#This Row],[Avance_Med]])*_xlfn.XLOOKUP(Tabla1[[#This Row],[Codigo_actividad]],Catalogo!$B$6:$B$51,Catalogo!$F$6:$F$51,0)</f>
        <v>4658</v>
      </c>
      <c r="N635" t="str">
        <f>_xlfn.IFNA(_xlfn.XLOOKUP(Tabla1[[#This Row],[fin]],$P$379:$P$398,$T$379:$T$398),"")</f>
        <v/>
      </c>
    </row>
    <row r="636" spans="1:14" x14ac:dyDescent="0.25">
      <c r="A636" s="354">
        <v>46290</v>
      </c>
      <c r="B636" s="114" t="s">
        <v>30</v>
      </c>
      <c r="C636" s="155" t="s">
        <v>561</v>
      </c>
      <c r="D636" s="39" t="s">
        <v>369</v>
      </c>
      <c r="E636" s="40" t="s">
        <v>31</v>
      </c>
      <c r="F636" s="28">
        <v>0</v>
      </c>
      <c r="G636" s="28"/>
      <c r="H636" s="224"/>
      <c r="I636" s="66">
        <v>1</v>
      </c>
      <c r="J636" s="76">
        <v>2.5</v>
      </c>
      <c r="K636" s="55" t="str">
        <f>IF(_xlfn.XLOOKUP($J636,Catalogo!$B$7:$B$210,Catalogo!$I$7:$I$210,"",0)=0,"",_xlfn.XLOOKUP($J636,Catalogo!$B$7:$B$210,Catalogo!$I$7:$I$210,"",0))</f>
        <v>Resistividades pH BSR BPA</v>
      </c>
      <c r="L636" s="36"/>
      <c r="M636" s="261">
        <f>IF(Tabla1[[#This Row],[Avance_km]]&lt;&gt;"",Tabla1[[#This Row],[Avance_km]],Tabla1[[#This Row],[Avance_Med]])*_xlfn.XLOOKUP(Tabla1[[#This Row],[Codigo_actividad]],Catalogo!$B$6:$B$51,Catalogo!$F$6:$F$51,0)</f>
        <v>4658</v>
      </c>
      <c r="N636" t="str">
        <f>_xlfn.IFNA(_xlfn.XLOOKUP(Tabla1[[#This Row],[fin]],$P$379:$P$398,$T$379:$T$398),"")</f>
        <v/>
      </c>
    </row>
    <row r="637" spans="1:14" x14ac:dyDescent="0.25">
      <c r="A637" s="354">
        <v>46290</v>
      </c>
      <c r="B637" s="114" t="s">
        <v>30</v>
      </c>
      <c r="C637" s="155" t="s">
        <v>561</v>
      </c>
      <c r="D637" s="39" t="s">
        <v>367</v>
      </c>
      <c r="E637" s="40" t="s">
        <v>31</v>
      </c>
      <c r="F637" s="28">
        <v>0</v>
      </c>
      <c r="G637" s="28"/>
      <c r="H637" s="224"/>
      <c r="I637" s="66">
        <v>1</v>
      </c>
      <c r="J637" s="76">
        <v>2.5</v>
      </c>
      <c r="K637" s="55" t="str">
        <f>IF(_xlfn.XLOOKUP($J637,Catalogo!$B$7:$B$210,Catalogo!$I$7:$I$210,"",0)=0,"",_xlfn.XLOOKUP($J637,Catalogo!$B$7:$B$210,Catalogo!$I$7:$I$210,"",0))</f>
        <v>Resistividades pH BSR BPA</v>
      </c>
      <c r="L637" s="36"/>
      <c r="M637" s="261">
        <f>IF(Tabla1[[#This Row],[Avance_km]]&lt;&gt;"",Tabla1[[#This Row],[Avance_km]],Tabla1[[#This Row],[Avance_Med]])*_xlfn.XLOOKUP(Tabla1[[#This Row],[Codigo_actividad]],Catalogo!$B$6:$B$51,Catalogo!$F$6:$F$51,0)</f>
        <v>4658</v>
      </c>
      <c r="N637" t="str">
        <f>_xlfn.IFNA(_xlfn.XLOOKUP(Tabla1[[#This Row],[fin]],$P$379:$P$398,$T$379:$T$398),"")</f>
        <v/>
      </c>
    </row>
    <row r="638" spans="1:14" x14ac:dyDescent="0.25">
      <c r="A638" s="354">
        <v>46291</v>
      </c>
      <c r="B638" s="114" t="s">
        <v>30</v>
      </c>
      <c r="C638" s="155" t="s">
        <v>329</v>
      </c>
      <c r="D638" s="39" t="s">
        <v>504</v>
      </c>
      <c r="E638" s="40" t="s">
        <v>31</v>
      </c>
      <c r="F638" s="28">
        <v>0</v>
      </c>
      <c r="G638" s="28"/>
      <c r="H638" s="224"/>
      <c r="I638" s="66">
        <v>1</v>
      </c>
      <c r="J638" s="76">
        <v>2.5</v>
      </c>
      <c r="K638" s="55" t="str">
        <f>IF(_xlfn.XLOOKUP($J638,Catalogo!$B$7:$B$210,Catalogo!$I$7:$I$210,"",0)=0,"",_xlfn.XLOOKUP($J638,Catalogo!$B$7:$B$210,Catalogo!$I$7:$I$210,"",0))</f>
        <v>Resistividades pH BSR BPA</v>
      </c>
      <c r="L638" s="36"/>
      <c r="M638" s="261">
        <f>IF(Tabla1[[#This Row],[Avance_km]]&lt;&gt;"",Tabla1[[#This Row],[Avance_km]],Tabla1[[#This Row],[Avance_Med]])*_xlfn.XLOOKUP(Tabla1[[#This Row],[Codigo_actividad]],Catalogo!$B$6:$B$51,Catalogo!$F$6:$F$51,0)</f>
        <v>4658</v>
      </c>
      <c r="N638" t="str">
        <f>_xlfn.IFNA(_xlfn.XLOOKUP(Tabla1[[#This Row],[fin]],$P$379:$P$398,$T$379:$T$398),"")</f>
        <v/>
      </c>
    </row>
    <row r="639" spans="1:14" x14ac:dyDescent="0.25">
      <c r="A639" s="354"/>
      <c r="B639" s="114"/>
      <c r="C639" s="155"/>
      <c r="D639" s="39"/>
      <c r="F639" s="28"/>
      <c r="G639" s="28"/>
      <c r="H639" s="224" t="str">
        <f>IF(Tabla1[[#This Row],[Codigo_actividad]]&lt;&gt;2.5,IF(((Tabla1[[#This Row],[fin]]-Tabla1[[#This Row],[inicio]])/1000)=0,"",((Tabla1[[#This Row],[fin]]-Tabla1[[#This Row],[inicio]])/1000)),"")</f>
        <v/>
      </c>
      <c r="I639" s="66"/>
      <c r="J639" s="76"/>
      <c r="K639" s="55" t="str">
        <f>IF(_xlfn.XLOOKUP($J639,Catalogo!$B$7:$B$21,Catalogo!$I$7:$I$21,"",0)=0,"",_xlfn.XLOOKUP($J639,Catalogo!$B$7:$B$21,Catalogo!$I$7:$I$21,"",0))</f>
        <v/>
      </c>
      <c r="L639" s="36"/>
      <c r="M639" s="261">
        <f>IF(Tabla1[[#This Row],[Avance_km]]&lt;&gt;"",Tabla1[[#This Row],[Avance_km]],Tabla1[[#This Row],[Avance_Med]])*_xlfn.XLOOKUP(Tabla1[[#This Row],[Codigo_actividad]],Catalogo!$B$6:$B$51,Catalogo!$F$6:$F$51,0)</f>
        <v>0</v>
      </c>
      <c r="N639" t="str">
        <f>_xlfn.IFNA(_xlfn.XLOOKUP(Tabla1[[#This Row],[fin]],$P$379:$P$398,$T$379:$T$398),"")</f>
        <v/>
      </c>
    </row>
    <row r="640" spans="1:14" x14ac:dyDescent="0.25">
      <c r="A640" s="354">
        <v>46293</v>
      </c>
      <c r="B640" s="114" t="s">
        <v>12</v>
      </c>
      <c r="C640" s="155" t="s">
        <v>411</v>
      </c>
      <c r="D640" s="39" t="s">
        <v>351</v>
      </c>
      <c r="E640" s="40" t="s">
        <v>16</v>
      </c>
      <c r="F640" s="28">
        <v>22600</v>
      </c>
      <c r="G640" s="28">
        <v>25600</v>
      </c>
      <c r="H640" s="224">
        <f>IF(Tabla1[[#This Row],[Codigo_actividad]]&lt;&gt;2.5,IF(((Tabla1[[#This Row],[fin]]-Tabla1[[#This Row],[inicio]])/1000)=0,"",((Tabla1[[#This Row],[fin]]-Tabla1[[#This Row],[inicio]])/1000)),"")</f>
        <v>3</v>
      </c>
      <c r="I640" s="66"/>
      <c r="J640" s="76">
        <v>2.6</v>
      </c>
      <c r="K640" s="66" t="str">
        <f>IF(_xlfn.XLOOKUP($J640,Catalogo!$B$7:$B$210,Catalogo!$I$7:$I$210,"",0)=0,"",_xlfn.XLOOKUP($J640,Catalogo!$B$7:$B$210,Catalogo!$I$7:$I$210,"",0))</f>
        <v>Localizacion</v>
      </c>
      <c r="L640" s="36">
        <f>+_xlfn.XLOOKUP(Tabla1[[#This Row],[Ducto]],'R (s04)'!B:B,'R (s04)'!C:C)</f>
        <v>47.596499999999999</v>
      </c>
      <c r="M640" s="261">
        <f>IF(Tabla1[[#This Row],[Avance_km]]&lt;&gt;"",Tabla1[[#This Row],[Avance_km]],Tabla1[[#This Row],[Avance_Med]])*_xlfn.XLOOKUP(Tabla1[[#This Row],[Codigo_actividad]],Catalogo!$B$6:$B$51,Catalogo!$F$6:$F$51,0)</f>
        <v>6772.26</v>
      </c>
      <c r="N640" t="str">
        <f>_xlfn.IFNA(_xlfn.XLOOKUP(Tabla1[[#This Row],[fin]],$P$379:$P$398,$T$379:$T$398),"")</f>
        <v/>
      </c>
    </row>
    <row r="641" spans="1:14" x14ac:dyDescent="0.25">
      <c r="A641" s="354">
        <v>46294</v>
      </c>
      <c r="B641" s="114" t="s">
        <v>12</v>
      </c>
      <c r="C641" s="155" t="s">
        <v>411</v>
      </c>
      <c r="D641" s="39" t="s">
        <v>351</v>
      </c>
      <c r="E641" s="40" t="s">
        <v>16</v>
      </c>
      <c r="F641" s="28">
        <v>25600</v>
      </c>
      <c r="G641" s="28">
        <v>30250</v>
      </c>
      <c r="H641" s="224">
        <f>IF(Tabla1[[#This Row],[Codigo_actividad]]&lt;&gt;2.5,IF(((Tabla1[[#This Row],[fin]]-Tabla1[[#This Row],[inicio]])/1000)=0,"",((Tabla1[[#This Row],[fin]]-Tabla1[[#This Row],[inicio]])/1000)),"")</f>
        <v>4.6500000000000004</v>
      </c>
      <c r="I641" s="66"/>
      <c r="J641" s="76">
        <v>2.6</v>
      </c>
      <c r="K641" s="66" t="str">
        <f>IF(_xlfn.XLOOKUP($J641,Catalogo!$B$7:$B$210,Catalogo!$I$7:$I$210,"",0)=0,"",_xlfn.XLOOKUP($J641,Catalogo!$B$7:$B$210,Catalogo!$I$7:$I$210,"",0))</f>
        <v>Localizacion</v>
      </c>
      <c r="L641" s="36">
        <f>+_xlfn.XLOOKUP(Tabla1[[#This Row],[Ducto]],'R (s04)'!B:B,'R (s04)'!C:C)</f>
        <v>47.596499999999999</v>
      </c>
      <c r="M641" s="261">
        <f>IF(Tabla1[[#This Row],[Avance_km]]&lt;&gt;"",Tabla1[[#This Row],[Avance_km]],Tabla1[[#This Row],[Avance_Med]])*_xlfn.XLOOKUP(Tabla1[[#This Row],[Codigo_actividad]],Catalogo!$B$6:$B$51,Catalogo!$F$6:$F$51,0)</f>
        <v>10497.003000000001</v>
      </c>
      <c r="N641" t="str">
        <f>_xlfn.IFNA(_xlfn.XLOOKUP(Tabla1[[#This Row],[fin]],$P$379:$P$398,$T$379:$T$398),"")</f>
        <v/>
      </c>
    </row>
    <row r="642" spans="1:14" x14ac:dyDescent="0.25">
      <c r="A642" s="354">
        <v>46295</v>
      </c>
      <c r="B642" s="114" t="s">
        <v>12</v>
      </c>
      <c r="C642" s="155" t="s">
        <v>411</v>
      </c>
      <c r="D642" s="39" t="s">
        <v>351</v>
      </c>
      <c r="E642" s="40" t="s">
        <v>16</v>
      </c>
      <c r="F642" s="28">
        <v>30250</v>
      </c>
      <c r="G642" s="28">
        <v>32219</v>
      </c>
      <c r="H642" s="224">
        <f>IF(Tabla1[[#This Row],[Codigo_actividad]]&lt;&gt;2.5,IF(((Tabla1[[#This Row],[fin]]-Tabla1[[#This Row],[inicio]])/1000)=0,"",((Tabla1[[#This Row],[fin]]-Tabla1[[#This Row],[inicio]])/1000)),"")</f>
        <v>1.9690000000000001</v>
      </c>
      <c r="I642" s="66"/>
      <c r="J642" s="76">
        <v>2.6</v>
      </c>
      <c r="K642" s="66" t="str">
        <f>IF(_xlfn.XLOOKUP($J642,Catalogo!$B$7:$B$210,Catalogo!$I$7:$I$210,"",0)=0,"",_xlfn.XLOOKUP($J642,Catalogo!$B$7:$B$210,Catalogo!$I$7:$I$210,"",0))</f>
        <v>Localizacion</v>
      </c>
      <c r="L642" s="36">
        <f>+_xlfn.XLOOKUP(Tabla1[[#This Row],[Ducto]],'R (s04)'!B:B,'R (s04)'!C:C)</f>
        <v>47.596499999999999</v>
      </c>
      <c r="M642" s="261">
        <f>IF(Tabla1[[#This Row],[Avance_km]]&lt;&gt;"",Tabla1[[#This Row],[Avance_km]],Tabla1[[#This Row],[Avance_Med]])*_xlfn.XLOOKUP(Tabla1[[#This Row],[Codigo_actividad]],Catalogo!$B$6:$B$51,Catalogo!$F$6:$F$51,0)</f>
        <v>4444.8599800000002</v>
      </c>
      <c r="N642" t="str">
        <f>_xlfn.IFNA(_xlfn.XLOOKUP(Tabla1[[#This Row],[fin]],$P$379:$P$398,$T$379:$T$398),"")</f>
        <v/>
      </c>
    </row>
    <row r="643" spans="1:14" x14ac:dyDescent="0.25">
      <c r="A643" s="354">
        <v>46296</v>
      </c>
      <c r="B643" s="114" t="s">
        <v>12</v>
      </c>
      <c r="C643" s="155" t="s">
        <v>411</v>
      </c>
      <c r="D643" s="39" t="s">
        <v>351</v>
      </c>
      <c r="E643" s="40" t="s">
        <v>28</v>
      </c>
      <c r="F643" s="28">
        <v>18260</v>
      </c>
      <c r="G643" s="28">
        <v>19823</v>
      </c>
      <c r="H643" s="224">
        <f>IF(Tabla1[[#This Row],[Codigo_actividad]]&lt;&gt;2.5,IF(((Tabla1[[#This Row],[fin]]-Tabla1[[#This Row],[inicio]])/1000)=0,"",((Tabla1[[#This Row],[fin]]-Tabla1[[#This Row],[inicio]])/1000)),"")</f>
        <v>1.5629999999999999</v>
      </c>
      <c r="I643" s="66"/>
      <c r="J643" s="76">
        <v>2.1</v>
      </c>
      <c r="K643" s="66" t="str">
        <f>IF(_xlfn.XLOOKUP($J643,Catalogo!$B$7:$B$210,Catalogo!$I$7:$I$210,"",0)=0,"",_xlfn.XLOOKUP($J643,Catalogo!$B$7:$B$210,Catalogo!$I$7:$I$210,"",0))</f>
        <v>CIPS</v>
      </c>
      <c r="L643" s="36">
        <f>+_xlfn.XLOOKUP(Tabla1[[#This Row],[Ducto]],'R (s04)'!B:B,'R (s04)'!C:C)</f>
        <v>47.596499999999999</v>
      </c>
      <c r="M643" s="261">
        <f>IF(Tabla1[[#This Row],[Avance_km]]&lt;&gt;"",Tabla1[[#This Row],[Avance_km]],Tabla1[[#This Row],[Avance_Med]])*_xlfn.XLOOKUP(Tabla1[[#This Row],[Codigo_actividad]],Catalogo!$B$6:$B$51,Catalogo!$F$6:$F$51,0)</f>
        <v>22696.963830000001</v>
      </c>
    </row>
    <row r="644" spans="1:14" x14ac:dyDescent="0.25">
      <c r="A644" s="354">
        <v>46297</v>
      </c>
      <c r="B644" s="114" t="s">
        <v>12</v>
      </c>
      <c r="C644" s="155" t="s">
        <v>411</v>
      </c>
      <c r="D644" s="39" t="s">
        <v>351</v>
      </c>
      <c r="E644" s="40" t="s">
        <v>28</v>
      </c>
      <c r="F644" s="28">
        <v>19823</v>
      </c>
      <c r="G644" s="28">
        <v>22225</v>
      </c>
      <c r="H644" s="224">
        <f>IF(Tabla1[[#This Row],[Codigo_actividad]]&lt;&gt;2.5,IF(((Tabla1[[#This Row],[fin]]-Tabla1[[#This Row],[inicio]])/1000)=0,"",((Tabla1[[#This Row],[fin]]-Tabla1[[#This Row],[inicio]])/1000)),"")</f>
        <v>2.4020000000000001</v>
      </c>
      <c r="I644" s="66"/>
      <c r="J644" s="76">
        <v>2.1</v>
      </c>
      <c r="K644" s="66" t="str">
        <f>IF(_xlfn.XLOOKUP($J644,Catalogo!$B$7:$B$210,Catalogo!$I$7:$I$210,"",0)=0,"",_xlfn.XLOOKUP($J644,Catalogo!$B$7:$B$210,Catalogo!$I$7:$I$210,"",0))</f>
        <v>CIPS</v>
      </c>
      <c r="L644" s="36">
        <f>+_xlfn.XLOOKUP(Tabla1[[#This Row],[Ducto]],'R (s04)'!B:B,'R (s04)'!C:C)</f>
        <v>47.596499999999999</v>
      </c>
      <c r="M644" s="261">
        <f>IF(Tabla1[[#This Row],[Avance_km]]&lt;&gt;"",Tabla1[[#This Row],[Avance_km]],Tabla1[[#This Row],[Avance_Med]])*_xlfn.XLOOKUP(Tabla1[[#This Row],[Codigo_actividad]],Catalogo!$B$6:$B$51,Catalogo!$F$6:$F$51,0)</f>
        <v>34880.426820000001</v>
      </c>
    </row>
    <row r="645" spans="1:14" x14ac:dyDescent="0.25">
      <c r="A645" s="354"/>
      <c r="B645" s="114"/>
      <c r="C645" s="155"/>
      <c r="D645" s="39"/>
      <c r="F645" s="28"/>
      <c r="G645" s="28"/>
      <c r="H645" s="224" t="str">
        <f>IF(Tabla1[[#This Row],[Codigo_actividad]]&lt;&gt;2.5,IF(((Tabla1[[#This Row],[fin]]-Tabla1[[#This Row],[inicio]])/1000)=0,"",((Tabla1[[#This Row],[fin]]-Tabla1[[#This Row],[inicio]])/1000)),"")</f>
        <v/>
      </c>
      <c r="I645" s="66"/>
      <c r="J645" s="76"/>
      <c r="K645" s="55" t="str">
        <f>IF(_xlfn.XLOOKUP($J645,Catalogo!$B$7:$B$21,Catalogo!$I$7:$I$21,"",0)=0,"",_xlfn.XLOOKUP($J645,Catalogo!$B$7:$B$21,Catalogo!$I$7:$I$21,"",0))</f>
        <v/>
      </c>
      <c r="L645" s="36"/>
      <c r="M645" s="261">
        <f>IF(Tabla1[[#This Row],[Avance_km]]&lt;&gt;"",Tabla1[[#This Row],[Avance_km]],Tabla1[[#This Row],[Avance_Med]])*_xlfn.XLOOKUP(Tabla1[[#This Row],[Codigo_actividad]],Catalogo!$B$6:$B$51,Catalogo!$F$6:$F$51,0)</f>
        <v>0</v>
      </c>
      <c r="N645" t="str">
        <f>_xlfn.IFNA(_xlfn.XLOOKUP(Tabla1[[#This Row],[fin]],$P$379:$P$398,$T$379:$T$398),"")</f>
        <v/>
      </c>
    </row>
    <row r="646" spans="1:14" x14ac:dyDescent="0.25">
      <c r="A646" s="354">
        <v>46300</v>
      </c>
      <c r="B646" s="114" t="s">
        <v>12</v>
      </c>
      <c r="C646" s="155" t="s">
        <v>411</v>
      </c>
      <c r="D646" s="39" t="s">
        <v>351</v>
      </c>
      <c r="E646" s="40" t="s">
        <v>28</v>
      </c>
      <c r="F646" s="28">
        <v>22225</v>
      </c>
      <c r="G646" s="28">
        <v>23139</v>
      </c>
      <c r="H646" s="224">
        <f>IF(Tabla1[[#This Row],[Codigo_actividad]]&lt;&gt;2.5,IF(((Tabla1[[#This Row],[fin]]-Tabla1[[#This Row],[inicio]])/1000)=0,"",((Tabla1[[#This Row],[fin]]-Tabla1[[#This Row],[inicio]])/1000)),"")</f>
        <v>0.91400000000000003</v>
      </c>
      <c r="I646" s="66"/>
      <c r="J646" s="76">
        <v>2.1</v>
      </c>
      <c r="K646" s="66" t="str">
        <f>IF(_xlfn.XLOOKUP($J646,Catalogo!$B$7:$B$210,Catalogo!$I$7:$I$210,"",0)=0,"",_xlfn.XLOOKUP($J646,Catalogo!$B$7:$B$210,Catalogo!$I$7:$I$210,"",0))</f>
        <v>CIPS</v>
      </c>
      <c r="L646" s="36">
        <f>+_xlfn.XLOOKUP(Tabla1[[#This Row],[Ducto]],'R (s04)'!B:B,'R (s04)'!C:C)</f>
        <v>47.596499999999999</v>
      </c>
      <c r="M646" s="261">
        <f>IF(Tabla1[[#This Row],[Avance_km]]&lt;&gt;"",Tabla1[[#This Row],[Avance_km]],Tabla1[[#This Row],[Avance_Med]])*_xlfn.XLOOKUP(Tabla1[[#This Row],[Codigo_actividad]],Catalogo!$B$6:$B$51,Catalogo!$F$6:$F$51,0)</f>
        <v>13272.568740000001</v>
      </c>
    </row>
    <row r="647" spans="1:14" x14ac:dyDescent="0.25">
      <c r="A647" s="354">
        <v>46301</v>
      </c>
      <c r="B647" s="114" t="s">
        <v>12</v>
      </c>
      <c r="C647" s="155" t="s">
        <v>561</v>
      </c>
      <c r="D647" s="39" t="s">
        <v>377</v>
      </c>
      <c r="E647" s="40" t="s">
        <v>16</v>
      </c>
      <c r="F647" s="28">
        <v>0</v>
      </c>
      <c r="G647" s="28">
        <v>624</v>
      </c>
      <c r="H647" s="224">
        <f>IF(Tabla1[[#This Row],[Codigo_actividad]]&lt;&gt;2.5,IF(((Tabla1[[#This Row],[fin]]-Tabla1[[#This Row],[inicio]])/1000)=0,"",((Tabla1[[#This Row],[fin]]-Tabla1[[#This Row],[inicio]])/1000)),"")</f>
        <v>0.624</v>
      </c>
      <c r="I647" s="66"/>
      <c r="J647" s="76">
        <v>2.6</v>
      </c>
      <c r="K647" s="55" t="str">
        <f>IF(_xlfn.XLOOKUP($J647,Catalogo!$B$7:$B$21,Catalogo!$I$7:$I$21,"",0)=0,"",_xlfn.XLOOKUP($J647,Catalogo!$B$7:$B$21,Catalogo!$I$7:$I$21,"",0))</f>
        <v>Localizacion</v>
      </c>
      <c r="L647" s="36">
        <f>+_xlfn.XLOOKUP(Tabla1[[#This Row],[Ducto]],nombres!D:D,nombres!E:E)/1000</f>
        <v>0.62390000000000001</v>
      </c>
      <c r="M647" s="261">
        <f>IF(Tabla1[[#This Row],[Avance_km]]&lt;&gt;"",Tabla1[[#This Row],[Avance_km]],Tabla1[[#This Row],[Avance_Med]])*_xlfn.XLOOKUP(Tabla1[[#This Row],[Codigo_actividad]],Catalogo!$B$6:$B$51,Catalogo!$F$6:$F$51,0)</f>
        <v>1408.6300800000001</v>
      </c>
      <c r="N647" t="str">
        <f>_xlfn.IFNA(_xlfn.XLOOKUP(Tabla1[[#This Row],[fin]],$P$379:$P$398,$T$379:$T$398),"")</f>
        <v/>
      </c>
    </row>
    <row r="648" spans="1:14" x14ac:dyDescent="0.25">
      <c r="A648" s="354">
        <v>46301</v>
      </c>
      <c r="B648" s="114" t="s">
        <v>12</v>
      </c>
      <c r="C648" s="155" t="s">
        <v>561</v>
      </c>
      <c r="D648" s="39" t="s">
        <v>374</v>
      </c>
      <c r="E648" s="40" t="s">
        <v>16</v>
      </c>
      <c r="F648" s="28">
        <v>0</v>
      </c>
      <c r="G648" s="28">
        <v>608</v>
      </c>
      <c r="H648" s="224">
        <f>IF(Tabla1[[#This Row],[Codigo_actividad]]&lt;&gt;2.5,IF(((Tabla1[[#This Row],[fin]]-Tabla1[[#This Row],[inicio]])/1000)=0,"",((Tabla1[[#This Row],[fin]]-Tabla1[[#This Row],[inicio]])/1000)),"")</f>
        <v>0.60799999999999998</v>
      </c>
      <c r="I648" s="66"/>
      <c r="J648" s="76">
        <v>2.6</v>
      </c>
      <c r="K648" s="55" t="str">
        <f>IF(_xlfn.XLOOKUP($J648,Catalogo!$B$7:$B$21,Catalogo!$I$7:$I$21,"",0)=0,"",_xlfn.XLOOKUP($J648,Catalogo!$B$7:$B$21,Catalogo!$I$7:$I$21,"",0))</f>
        <v>Localizacion</v>
      </c>
      <c r="L648" s="36">
        <f>+_xlfn.XLOOKUP(Tabla1[[#This Row],[Ducto]],nombres!D:D,nombres!E:E)/1000</f>
        <v>0.60799999999999998</v>
      </c>
      <c r="M648" s="261">
        <f>IF(Tabla1[[#This Row],[Avance_km]]&lt;&gt;"",Tabla1[[#This Row],[Avance_km]],Tabla1[[#This Row],[Avance_Med]])*_xlfn.XLOOKUP(Tabla1[[#This Row],[Codigo_actividad]],Catalogo!$B$6:$B$51,Catalogo!$F$6:$F$51,0)</f>
        <v>1372.51136</v>
      </c>
      <c r="N648" t="str">
        <f>_xlfn.IFNA(_xlfn.XLOOKUP(Tabla1[[#This Row],[fin]],$P$379:$P$398,$T$379:$T$398),"")</f>
        <v/>
      </c>
    </row>
    <row r="649" spans="1:14" x14ac:dyDescent="0.25">
      <c r="A649" s="354">
        <v>46301</v>
      </c>
      <c r="B649" s="114" t="s">
        <v>12</v>
      </c>
      <c r="C649" s="155" t="s">
        <v>561</v>
      </c>
      <c r="D649" s="39" t="s">
        <v>367</v>
      </c>
      <c r="E649" s="40" t="s">
        <v>16</v>
      </c>
      <c r="F649" s="28">
        <v>0</v>
      </c>
      <c r="G649" s="28">
        <v>3</v>
      </c>
      <c r="H649" s="224">
        <f>IF(Tabla1[[#This Row],[Codigo_actividad]]&lt;&gt;2.5,IF(((Tabla1[[#This Row],[fin]]-Tabla1[[#This Row],[inicio]])/1000)=0,"",((Tabla1[[#This Row],[fin]]-Tabla1[[#This Row],[inicio]])/1000)),"")</f>
        <v>3.0000000000000001E-3</v>
      </c>
      <c r="I649" s="66"/>
      <c r="J649" s="76">
        <v>2.6</v>
      </c>
      <c r="K649" s="55" t="str">
        <f>IF(_xlfn.XLOOKUP($J649,Catalogo!$B$7:$B$21,Catalogo!$I$7:$I$21,"",0)=0,"",_xlfn.XLOOKUP($J649,Catalogo!$B$7:$B$21,Catalogo!$I$7:$I$21,"",0))</f>
        <v>Localizacion</v>
      </c>
      <c r="L649" s="36">
        <f>+_xlfn.XLOOKUP(Tabla1[[#This Row],[Ducto]],nombres!D:D,nombres!E:E)/1000</f>
        <v>3.0000000000000001E-3</v>
      </c>
      <c r="M649" s="261">
        <f>IF(Tabla1[[#This Row],[Avance_km]]&lt;&gt;"",Tabla1[[#This Row],[Avance_km]],Tabla1[[#This Row],[Avance_Med]])*_xlfn.XLOOKUP(Tabla1[[#This Row],[Codigo_actividad]],Catalogo!$B$6:$B$51,Catalogo!$F$6:$F$51,0)</f>
        <v>6.7722600000000002</v>
      </c>
      <c r="N649" t="str">
        <f>_xlfn.IFNA(_xlfn.XLOOKUP(Tabla1[[#This Row],[fin]],$P$379:$P$398,$T$379:$T$398),"")</f>
        <v/>
      </c>
    </row>
    <row r="650" spans="1:14" x14ac:dyDescent="0.25">
      <c r="A650" s="354">
        <v>46301</v>
      </c>
      <c r="B650" s="114" t="s">
        <v>12</v>
      </c>
      <c r="C650" s="155" t="s">
        <v>561</v>
      </c>
      <c r="D650" s="39" t="s">
        <v>369</v>
      </c>
      <c r="E650" s="40" t="s">
        <v>16</v>
      </c>
      <c r="F650" s="28">
        <v>0</v>
      </c>
      <c r="G650" s="28">
        <v>7</v>
      </c>
      <c r="H650" s="224">
        <f>IF(Tabla1[[#This Row],[Codigo_actividad]]&lt;&gt;2.5,IF(((Tabla1[[#This Row],[fin]]-Tabla1[[#This Row],[inicio]])/1000)=0,"",((Tabla1[[#This Row],[fin]]-Tabla1[[#This Row],[inicio]])/1000)),"")</f>
        <v>7.0000000000000001E-3</v>
      </c>
      <c r="I650" s="66"/>
      <c r="J650" s="76">
        <v>2.6</v>
      </c>
      <c r="K650" s="55" t="str">
        <f>IF(_xlfn.XLOOKUP($J650,Catalogo!$B$7:$B$21,Catalogo!$I$7:$I$21,"",0)=0,"",_xlfn.XLOOKUP($J650,Catalogo!$B$7:$B$21,Catalogo!$I$7:$I$21,"",0))</f>
        <v>Localizacion</v>
      </c>
      <c r="L650" s="36">
        <f>+_xlfn.XLOOKUP(Tabla1[[#This Row],[Ducto]],nombres!D:D,nombres!E:E)/1000</f>
        <v>7.0000000000000001E-3</v>
      </c>
      <c r="M650" s="261">
        <f>IF(Tabla1[[#This Row],[Avance_km]]&lt;&gt;"",Tabla1[[#This Row],[Avance_km]],Tabla1[[#This Row],[Avance_Med]])*_xlfn.XLOOKUP(Tabla1[[#This Row],[Codigo_actividad]],Catalogo!$B$6:$B$51,Catalogo!$F$6:$F$51,0)</f>
        <v>15.80194</v>
      </c>
      <c r="N650" t="str">
        <f>_xlfn.IFNA(_xlfn.XLOOKUP(Tabla1[[#This Row],[fin]],$P$379:$P$398,$T$379:$T$398),"")</f>
        <v/>
      </c>
    </row>
    <row r="651" spans="1:14" x14ac:dyDescent="0.25">
      <c r="A651" s="354">
        <v>46301</v>
      </c>
      <c r="B651" s="114" t="s">
        <v>12</v>
      </c>
      <c r="C651" s="155" t="s">
        <v>561</v>
      </c>
      <c r="D651" s="39" t="s">
        <v>370</v>
      </c>
      <c r="E651" s="40" t="s">
        <v>16</v>
      </c>
      <c r="F651" s="28">
        <v>0</v>
      </c>
      <c r="G651" s="28">
        <v>16</v>
      </c>
      <c r="H651" s="224">
        <f>IF(Tabla1[[#This Row],[Codigo_actividad]]&lt;&gt;2.5,IF(((Tabla1[[#This Row],[fin]]-Tabla1[[#This Row],[inicio]])/1000)=0,"",((Tabla1[[#This Row],[fin]]-Tabla1[[#This Row],[inicio]])/1000)),"")</f>
        <v>1.6E-2</v>
      </c>
      <c r="I651" s="66"/>
      <c r="J651" s="76">
        <v>2.6</v>
      </c>
      <c r="K651" s="55" t="str">
        <f>IF(_xlfn.XLOOKUP($J651,Catalogo!$B$7:$B$21,Catalogo!$I$7:$I$21,"",0)=0,"",_xlfn.XLOOKUP($J651,Catalogo!$B$7:$B$21,Catalogo!$I$7:$I$21,"",0))</f>
        <v>Localizacion</v>
      </c>
      <c r="L651" s="36">
        <f>+_xlfn.XLOOKUP(Tabla1[[#This Row],[Ducto]],nombres!D:D,nombres!E:E)/1000</f>
        <v>1.55E-2</v>
      </c>
      <c r="M651" s="261">
        <f>IF(Tabla1[[#This Row],[Avance_km]]&lt;&gt;"",Tabla1[[#This Row],[Avance_km]],Tabla1[[#This Row],[Avance_Med]])*_xlfn.XLOOKUP(Tabla1[[#This Row],[Codigo_actividad]],Catalogo!$B$6:$B$51,Catalogo!$F$6:$F$51,0)</f>
        <v>36.118720000000003</v>
      </c>
      <c r="N651" t="str">
        <f>_xlfn.IFNA(_xlfn.XLOOKUP(Tabla1[[#This Row],[fin]],$P$379:$P$398,$T$379:$T$398),"")</f>
        <v/>
      </c>
    </row>
    <row r="652" spans="1:14" x14ac:dyDescent="0.25">
      <c r="A652" s="354">
        <v>46301</v>
      </c>
      <c r="B652" s="114" t="s">
        <v>12</v>
      </c>
      <c r="C652" s="155" t="s">
        <v>561</v>
      </c>
      <c r="D652" s="39" t="s">
        <v>371</v>
      </c>
      <c r="E652" s="40" t="s">
        <v>16</v>
      </c>
      <c r="F652" s="28">
        <v>0</v>
      </c>
      <c r="G652" s="28">
        <v>17</v>
      </c>
      <c r="H652" s="224">
        <f>IF(Tabla1[[#This Row],[Codigo_actividad]]&lt;&gt;2.5,IF(((Tabla1[[#This Row],[fin]]-Tabla1[[#This Row],[inicio]])/1000)=0,"",((Tabla1[[#This Row],[fin]]-Tabla1[[#This Row],[inicio]])/1000)),"")</f>
        <v>1.7000000000000001E-2</v>
      </c>
      <c r="I652" s="66"/>
      <c r="J652" s="76">
        <v>2.6</v>
      </c>
      <c r="K652" s="55" t="str">
        <f>IF(_xlfn.XLOOKUP($J652,Catalogo!$B$7:$B$21,Catalogo!$I$7:$I$21,"",0)=0,"",_xlfn.XLOOKUP($J652,Catalogo!$B$7:$B$21,Catalogo!$I$7:$I$21,"",0))</f>
        <v>Localizacion</v>
      </c>
      <c r="L652" s="36">
        <f>+_xlfn.XLOOKUP(Tabla1[[#This Row],[Ducto]],nombres!D:D,nombres!E:E)/1000</f>
        <v>1.7000000000000001E-2</v>
      </c>
      <c r="M652" s="261">
        <f>IF(Tabla1[[#This Row],[Avance_km]]&lt;&gt;"",Tabla1[[#This Row],[Avance_km]],Tabla1[[#This Row],[Avance_Med]])*_xlfn.XLOOKUP(Tabla1[[#This Row],[Codigo_actividad]],Catalogo!$B$6:$B$51,Catalogo!$F$6:$F$51,0)</f>
        <v>38.376140000000007</v>
      </c>
      <c r="N652" t="str">
        <f>_xlfn.IFNA(_xlfn.XLOOKUP(Tabla1[[#This Row],[fin]],$P$379:$P$398,$T$379:$T$398),"")</f>
        <v/>
      </c>
    </row>
    <row r="653" spans="1:14" x14ac:dyDescent="0.25">
      <c r="A653" s="354">
        <v>46302</v>
      </c>
      <c r="B653" s="114" t="s">
        <v>12</v>
      </c>
      <c r="C653" s="155" t="s">
        <v>561</v>
      </c>
      <c r="D653" s="39" t="s">
        <v>375</v>
      </c>
      <c r="E653" s="40" t="s">
        <v>16</v>
      </c>
      <c r="F653" s="28">
        <v>0</v>
      </c>
      <c r="G653" s="28">
        <v>170</v>
      </c>
      <c r="H653" s="224">
        <f>IF(Tabla1[[#This Row],[Codigo_actividad]]&lt;&gt;2.5,IF(((Tabla1[[#This Row],[fin]]-Tabla1[[#This Row],[inicio]])/1000)=0,"",((Tabla1[[#This Row],[fin]]-Tabla1[[#This Row],[inicio]])/1000)),"")</f>
        <v>0.17</v>
      </c>
      <c r="I653" s="66"/>
      <c r="J653" s="76">
        <v>2.6</v>
      </c>
      <c r="K653" s="55" t="str">
        <f>IF(_xlfn.XLOOKUP($J653,Catalogo!$B$7:$B$21,Catalogo!$I$7:$I$21,"",0)=0,"",_xlfn.XLOOKUP($J653,Catalogo!$B$7:$B$21,Catalogo!$I$7:$I$21,"",0))</f>
        <v>Localizacion</v>
      </c>
      <c r="L653" s="36">
        <f>+_xlfn.XLOOKUP(Tabla1[[#This Row],[Ducto]],nombres!D:D,nombres!E:E)/1000</f>
        <v>0.17</v>
      </c>
      <c r="M653" s="261">
        <f>IF(Tabla1[[#This Row],[Avance_km]]&lt;&gt;"",Tabla1[[#This Row],[Avance_km]],Tabla1[[#This Row],[Avance_Med]])*_xlfn.XLOOKUP(Tabla1[[#This Row],[Codigo_actividad]],Catalogo!$B$6:$B$51,Catalogo!$F$6:$F$51,0)</f>
        <v>383.76140000000004</v>
      </c>
      <c r="N653" t="str">
        <f>_xlfn.IFNA(_xlfn.XLOOKUP(Tabla1[[#This Row],[fin]],$P$379:$P$398,$T$379:$T$398),"")</f>
        <v/>
      </c>
    </row>
    <row r="654" spans="1:14" x14ac:dyDescent="0.25">
      <c r="A654" s="354">
        <v>46302</v>
      </c>
      <c r="B654" s="114" t="s">
        <v>12</v>
      </c>
      <c r="C654" s="155" t="s">
        <v>561</v>
      </c>
      <c r="D654" s="39" t="s">
        <v>378</v>
      </c>
      <c r="E654" s="40" t="s">
        <v>16</v>
      </c>
      <c r="F654" s="28">
        <v>0</v>
      </c>
      <c r="G654" s="28">
        <v>8.5</v>
      </c>
      <c r="H654" s="224">
        <f>IF(Tabla1[[#This Row],[Codigo_actividad]]&lt;&gt;2.5,IF(((Tabla1[[#This Row],[fin]]-Tabla1[[#This Row],[inicio]])/1000)=0,"",((Tabla1[[#This Row],[fin]]-Tabla1[[#This Row],[inicio]])/1000)),"")</f>
        <v>8.5000000000000006E-3</v>
      </c>
      <c r="I654" s="66"/>
      <c r="J654" s="76">
        <v>2.6</v>
      </c>
      <c r="K654" s="55" t="str">
        <f>IF(_xlfn.XLOOKUP($J654,Catalogo!$B$7:$B$21,Catalogo!$I$7:$I$21,"",0)=0,"",_xlfn.XLOOKUP($J654,Catalogo!$B$7:$B$21,Catalogo!$I$7:$I$21,"",0))</f>
        <v>Localizacion</v>
      </c>
      <c r="L654" s="36">
        <f>+_xlfn.XLOOKUP(Tabla1[[#This Row],[Ducto]],nombres!D:D,nombres!E:E)/1000</f>
        <v>8.5000000000000006E-3</v>
      </c>
      <c r="M654" s="261">
        <f>IF(Tabla1[[#This Row],[Avance_km]]&lt;&gt;"",Tabla1[[#This Row],[Avance_km]],Tabla1[[#This Row],[Avance_Med]])*_xlfn.XLOOKUP(Tabla1[[#This Row],[Codigo_actividad]],Catalogo!$B$6:$B$51,Catalogo!$F$6:$F$51,0)</f>
        <v>19.188070000000003</v>
      </c>
      <c r="N654" t="str">
        <f>_xlfn.IFNA(_xlfn.XLOOKUP(Tabla1[[#This Row],[fin]],$P$379:$P$398,$T$379:$T$398),"")</f>
        <v/>
      </c>
    </row>
    <row r="655" spans="1:14" x14ac:dyDescent="0.25">
      <c r="A655" s="354">
        <v>46302</v>
      </c>
      <c r="B655" s="114" t="s">
        <v>12</v>
      </c>
      <c r="C655" s="155" t="s">
        <v>561</v>
      </c>
      <c r="D655" s="39" t="s">
        <v>376</v>
      </c>
      <c r="E655" s="40" t="s">
        <v>16</v>
      </c>
      <c r="F655" s="28">
        <v>0</v>
      </c>
      <c r="G655" s="28">
        <v>13</v>
      </c>
      <c r="H655" s="224">
        <f>IF(Tabla1[[#This Row],[Codigo_actividad]]&lt;&gt;2.5,IF(((Tabla1[[#This Row],[fin]]-Tabla1[[#This Row],[inicio]])/1000)=0,"",((Tabla1[[#This Row],[fin]]-Tabla1[[#This Row],[inicio]])/1000)),"")</f>
        <v>1.2999999999999999E-2</v>
      </c>
      <c r="I655" s="66"/>
      <c r="J655" s="76">
        <v>2.6</v>
      </c>
      <c r="K655" s="55" t="str">
        <f>IF(_xlfn.XLOOKUP($J655,Catalogo!$B$7:$B$21,Catalogo!$I$7:$I$21,"",0)=0,"",_xlfn.XLOOKUP($J655,Catalogo!$B$7:$B$21,Catalogo!$I$7:$I$21,"",0))</f>
        <v>Localizacion</v>
      </c>
      <c r="L655" s="36">
        <f>+_xlfn.XLOOKUP(Tabla1[[#This Row],[Ducto]],nombres!D:D,nombres!E:E)/1000</f>
        <v>1.2999999999999999E-2</v>
      </c>
      <c r="M655" s="261">
        <f>IF(Tabla1[[#This Row],[Avance_km]]&lt;&gt;"",Tabla1[[#This Row],[Avance_km]],Tabla1[[#This Row],[Avance_Med]])*_xlfn.XLOOKUP(Tabla1[[#This Row],[Codigo_actividad]],Catalogo!$B$6:$B$51,Catalogo!$F$6:$F$51,0)</f>
        <v>29.34646</v>
      </c>
      <c r="N655" t="str">
        <f>_xlfn.IFNA(_xlfn.XLOOKUP(Tabla1[[#This Row],[fin]],$P$379:$P$398,$T$379:$T$398),"")</f>
        <v/>
      </c>
    </row>
    <row r="656" spans="1:14" x14ac:dyDescent="0.25">
      <c r="A656" s="354">
        <v>46302</v>
      </c>
      <c r="B656" s="114" t="s">
        <v>12</v>
      </c>
      <c r="C656" s="155" t="s">
        <v>561</v>
      </c>
      <c r="D656" s="39" t="s">
        <v>373</v>
      </c>
      <c r="E656" s="40" t="s">
        <v>16</v>
      </c>
      <c r="F656" s="28">
        <v>0</v>
      </c>
      <c r="G656" s="28">
        <v>53</v>
      </c>
      <c r="H656" s="224">
        <f>IF(Tabla1[[#This Row],[Codigo_actividad]]&lt;&gt;2.5,IF(((Tabla1[[#This Row],[fin]]-Tabla1[[#This Row],[inicio]])/1000)=0,"",((Tabla1[[#This Row],[fin]]-Tabla1[[#This Row],[inicio]])/1000)),"")</f>
        <v>5.2999999999999999E-2</v>
      </c>
      <c r="I656" s="66"/>
      <c r="J656" s="76">
        <v>2.6</v>
      </c>
      <c r="K656" s="55" t="str">
        <f>IF(_xlfn.XLOOKUP($J656,Catalogo!$B$7:$B$21,Catalogo!$I$7:$I$21,"",0)=0,"",_xlfn.XLOOKUP($J656,Catalogo!$B$7:$B$21,Catalogo!$I$7:$I$21,"",0))</f>
        <v>Localizacion</v>
      </c>
      <c r="L656" s="36">
        <f>+_xlfn.XLOOKUP(Tabla1[[#This Row],[Ducto]],nombres!D:D,nombres!E:E)/1000</f>
        <v>5.2999999999999999E-2</v>
      </c>
      <c r="M656" s="261">
        <f>IF(Tabla1[[#This Row],[Avance_km]]&lt;&gt;"",Tabla1[[#This Row],[Avance_km]],Tabla1[[#This Row],[Avance_Med]])*_xlfn.XLOOKUP(Tabla1[[#This Row],[Codigo_actividad]],Catalogo!$B$6:$B$51,Catalogo!$F$6:$F$51,0)</f>
        <v>119.64326</v>
      </c>
      <c r="N656" t="str">
        <f>_xlfn.IFNA(_xlfn.XLOOKUP(Tabla1[[#This Row],[fin]],$P$379:$P$398,$T$379:$T$398),"")</f>
        <v/>
      </c>
    </row>
    <row r="657" spans="1:14" x14ac:dyDescent="0.25">
      <c r="A657" s="354">
        <v>46302</v>
      </c>
      <c r="B657" s="114" t="s">
        <v>12</v>
      </c>
      <c r="C657" s="155" t="s">
        <v>561</v>
      </c>
      <c r="D657" s="39" t="s">
        <v>372</v>
      </c>
      <c r="E657" s="40" t="s">
        <v>16</v>
      </c>
      <c r="F657" s="28">
        <v>0</v>
      </c>
      <c r="G657" s="28">
        <v>8</v>
      </c>
      <c r="H657" s="224">
        <f>IF(Tabla1[[#This Row],[Codigo_actividad]]&lt;&gt;2.5,IF(((Tabla1[[#This Row],[fin]]-Tabla1[[#This Row],[inicio]])/1000)=0,"",((Tabla1[[#This Row],[fin]]-Tabla1[[#This Row],[inicio]])/1000)),"")</f>
        <v>8.0000000000000002E-3</v>
      </c>
      <c r="I657" s="66"/>
      <c r="J657" s="76">
        <v>2.6</v>
      </c>
      <c r="K657" s="55" t="str">
        <f>IF(_xlfn.XLOOKUP($J657,Catalogo!$B$7:$B$21,Catalogo!$I$7:$I$21,"",0)=0,"",_xlfn.XLOOKUP($J657,Catalogo!$B$7:$B$21,Catalogo!$I$7:$I$21,"",0))</f>
        <v>Localizacion</v>
      </c>
      <c r="L657" s="36">
        <f>+_xlfn.XLOOKUP(Tabla1[[#This Row],[Ducto]],nombres!D:D,nombres!E:E)/1000</f>
        <v>8.0000000000000002E-3</v>
      </c>
      <c r="M657" s="261">
        <f>IF(Tabla1[[#This Row],[Avance_km]]&lt;&gt;"",Tabla1[[#This Row],[Avance_km]],Tabla1[[#This Row],[Avance_Med]])*_xlfn.XLOOKUP(Tabla1[[#This Row],[Codigo_actividad]],Catalogo!$B$6:$B$51,Catalogo!$F$6:$F$51,0)</f>
        <v>18.059360000000002</v>
      </c>
      <c r="N657" t="str">
        <f>_xlfn.IFNA(_xlfn.XLOOKUP(Tabla1[[#This Row],[fin]],$P$379:$P$398,$T$379:$T$398),"")</f>
        <v/>
      </c>
    </row>
    <row r="658" spans="1:14" x14ac:dyDescent="0.25">
      <c r="A658" s="354">
        <v>46303</v>
      </c>
      <c r="B658" s="114" t="s">
        <v>12</v>
      </c>
      <c r="C658" s="155" t="s">
        <v>561</v>
      </c>
      <c r="D658" s="39" t="s">
        <v>377</v>
      </c>
      <c r="E658" s="40" t="s">
        <v>36</v>
      </c>
      <c r="F658" s="28">
        <v>0</v>
      </c>
      <c r="G658" s="28">
        <v>624</v>
      </c>
      <c r="H658" s="224">
        <f>IF(Tabla1[[#This Row],[Codigo_actividad]]&lt;&gt;2.5,IF(((Tabla1[[#This Row],[fin]]-Tabla1[[#This Row],[inicio]])/1000)=0,"",((Tabla1[[#This Row],[fin]]-Tabla1[[#This Row],[inicio]])/1000)),"")</f>
        <v>0.624</v>
      </c>
      <c r="I658" s="66"/>
      <c r="J658" s="76">
        <v>2.2999999999999998</v>
      </c>
      <c r="K658" s="66" t="str">
        <f>IF(_xlfn.XLOOKUP($J658,Catalogo!$B$7:$B$210,Catalogo!$I$7:$I$210,"",0)=0,"",_xlfn.XLOOKUP($J658,Catalogo!$B$7:$B$210,Catalogo!$I$7:$I$210,"",0))</f>
        <v>DCVG</v>
      </c>
      <c r="L658" s="36">
        <f>+_xlfn.XLOOKUP(Tabla1[[#This Row],[Ducto]],nombres!D:D,nombres!E:E)/1000</f>
        <v>0.62390000000000001</v>
      </c>
      <c r="M658" s="261">
        <f>IF(Tabla1[[#This Row],[Avance_km]]&lt;&gt;"",Tabla1[[#This Row],[Avance_km]],Tabla1[[#This Row],[Avance_Med]])*_xlfn.XLOOKUP(Tabla1[[#This Row],[Codigo_actividad]],Catalogo!$B$6:$B$51,Catalogo!$F$6:$F$51,0)</f>
        <v>8458.7131200000003</v>
      </c>
    </row>
    <row r="659" spans="1:14" x14ac:dyDescent="0.25">
      <c r="A659" s="354">
        <v>46303</v>
      </c>
      <c r="B659" s="114" t="s">
        <v>12</v>
      </c>
      <c r="C659" s="155" t="s">
        <v>561</v>
      </c>
      <c r="D659" s="39" t="s">
        <v>374</v>
      </c>
      <c r="E659" s="40" t="s">
        <v>36</v>
      </c>
      <c r="F659" s="28">
        <v>0</v>
      </c>
      <c r="G659" s="28">
        <v>608</v>
      </c>
      <c r="H659" s="224">
        <f>IF(Tabla1[[#This Row],[Codigo_actividad]]&lt;&gt;2.5,IF(((Tabla1[[#This Row],[fin]]-Tabla1[[#This Row],[inicio]])/1000)=0,"",((Tabla1[[#This Row],[fin]]-Tabla1[[#This Row],[inicio]])/1000)),"")</f>
        <v>0.60799999999999998</v>
      </c>
      <c r="I659" s="66"/>
      <c r="J659" s="76">
        <v>2.2999999999999998</v>
      </c>
      <c r="K659" s="66" t="str">
        <f>IF(_xlfn.XLOOKUP($J659,Catalogo!$B$7:$B$21,Catalogo!$I$7:$I$21,"",0)=0,"",_xlfn.XLOOKUP($J659,Catalogo!$B$7:$B$21,Catalogo!$I$7:$I$21,"",0))</f>
        <v>DCVG</v>
      </c>
      <c r="L659" s="36">
        <f>+_xlfn.XLOOKUP(Tabla1[[#This Row],[Ducto]],nombres!D:D,nombres!E:E)/1000</f>
        <v>0.60799999999999998</v>
      </c>
      <c r="M659" s="261">
        <f>IF(Tabla1[[#This Row],[Avance_km]]&lt;&gt;"",Tabla1[[#This Row],[Avance_km]],Tabla1[[#This Row],[Avance_Med]])*_xlfn.XLOOKUP(Tabla1[[#This Row],[Codigo_actividad]],Catalogo!$B$6:$B$51,Catalogo!$F$6:$F$51,0)</f>
        <v>8241.8230399999993</v>
      </c>
      <c r="N659" t="str">
        <f>_xlfn.IFNA(_xlfn.XLOOKUP(Tabla1[[#This Row],[fin]],$P$379:$P$398,$T$379:$T$398),"")</f>
        <v/>
      </c>
    </row>
    <row r="660" spans="1:14" x14ac:dyDescent="0.25">
      <c r="A660" s="354">
        <v>46303</v>
      </c>
      <c r="B660" s="114" t="s">
        <v>12</v>
      </c>
      <c r="C660" s="155" t="s">
        <v>561</v>
      </c>
      <c r="D660" s="39" t="s">
        <v>367</v>
      </c>
      <c r="E660" s="40" t="s">
        <v>36</v>
      </c>
      <c r="F660" s="28">
        <v>0</v>
      </c>
      <c r="G660" s="28">
        <v>3</v>
      </c>
      <c r="H660" s="224">
        <f>IF(Tabla1[[#This Row],[Codigo_actividad]]&lt;&gt;2.5,IF(((Tabla1[[#This Row],[fin]]-Tabla1[[#This Row],[inicio]])/1000)=0,"",((Tabla1[[#This Row],[fin]]-Tabla1[[#This Row],[inicio]])/1000)),"")</f>
        <v>3.0000000000000001E-3</v>
      </c>
      <c r="I660" s="66"/>
      <c r="J660" s="76">
        <v>2.2999999999999998</v>
      </c>
      <c r="K660" s="66" t="str">
        <f>IF(_xlfn.XLOOKUP($J660,Catalogo!$B$7:$B$21,Catalogo!$I$7:$I$21,"",0)=0,"",_xlfn.XLOOKUP($J660,Catalogo!$B$7:$B$21,Catalogo!$I$7:$I$21,"",0))</f>
        <v>DCVG</v>
      </c>
      <c r="L660" s="36">
        <f>+_xlfn.XLOOKUP(Tabla1[[#This Row],[Ducto]],nombres!D:D,nombres!E:E)/1000</f>
        <v>3.0000000000000001E-3</v>
      </c>
      <c r="M660" s="261">
        <f>IF(Tabla1[[#This Row],[Avance_km]]&lt;&gt;"",Tabla1[[#This Row],[Avance_km]],Tabla1[[#This Row],[Avance_Med]])*_xlfn.XLOOKUP(Tabla1[[#This Row],[Codigo_actividad]],Catalogo!$B$6:$B$51,Catalogo!$F$6:$F$51,0)</f>
        <v>40.666889999999995</v>
      </c>
      <c r="N660" t="str">
        <f>_xlfn.IFNA(_xlfn.XLOOKUP(Tabla1[[#This Row],[fin]],$P$379:$P$398,$T$379:$T$398),"")</f>
        <v/>
      </c>
    </row>
    <row r="661" spans="1:14" x14ac:dyDescent="0.25">
      <c r="A661" s="354">
        <v>46303</v>
      </c>
      <c r="B661" s="114" t="s">
        <v>12</v>
      </c>
      <c r="C661" s="155" t="s">
        <v>561</v>
      </c>
      <c r="D661" s="39" t="s">
        <v>369</v>
      </c>
      <c r="E661" s="40" t="s">
        <v>36</v>
      </c>
      <c r="F661" s="28">
        <v>0</v>
      </c>
      <c r="G661" s="28">
        <v>7</v>
      </c>
      <c r="H661" s="224">
        <f>IF(Tabla1[[#This Row],[Codigo_actividad]]&lt;&gt;2.5,IF(((Tabla1[[#This Row],[fin]]-Tabla1[[#This Row],[inicio]])/1000)=0,"",((Tabla1[[#This Row],[fin]]-Tabla1[[#This Row],[inicio]])/1000)),"")</f>
        <v>7.0000000000000001E-3</v>
      </c>
      <c r="I661" s="66"/>
      <c r="J661" s="76">
        <v>2.2999999999999998</v>
      </c>
      <c r="K661" s="66" t="str">
        <f>IF(_xlfn.XLOOKUP($J661,Catalogo!$B$7:$B$21,Catalogo!$I$7:$I$21,"",0)=0,"",_xlfn.XLOOKUP($J661,Catalogo!$B$7:$B$21,Catalogo!$I$7:$I$21,"",0))</f>
        <v>DCVG</v>
      </c>
      <c r="L661" s="36">
        <f>+_xlfn.XLOOKUP(Tabla1[[#This Row],[Ducto]],nombres!D:D,nombres!E:E)/1000</f>
        <v>7.0000000000000001E-3</v>
      </c>
      <c r="M661" s="261">
        <f>IF(Tabla1[[#This Row],[Avance_km]]&lt;&gt;"",Tabla1[[#This Row],[Avance_km]],Tabla1[[#This Row],[Avance_Med]])*_xlfn.XLOOKUP(Tabla1[[#This Row],[Codigo_actividad]],Catalogo!$B$6:$B$51,Catalogo!$F$6:$F$51,0)</f>
        <v>94.889409999999998</v>
      </c>
      <c r="N661" t="str">
        <f>_xlfn.IFNA(_xlfn.XLOOKUP(Tabla1[[#This Row],[fin]],$P$379:$P$398,$T$379:$T$398),"")</f>
        <v/>
      </c>
    </row>
    <row r="662" spans="1:14" x14ac:dyDescent="0.25">
      <c r="A662" s="354">
        <v>46303</v>
      </c>
      <c r="B662" s="114" t="s">
        <v>12</v>
      </c>
      <c r="C662" s="155" t="s">
        <v>561</v>
      </c>
      <c r="D662" s="39" t="s">
        <v>370</v>
      </c>
      <c r="E662" s="40" t="s">
        <v>36</v>
      </c>
      <c r="F662" s="28">
        <v>0</v>
      </c>
      <c r="G662" s="28">
        <v>16</v>
      </c>
      <c r="H662" s="224">
        <f>IF(Tabla1[[#This Row],[Codigo_actividad]]&lt;&gt;2.5,IF(((Tabla1[[#This Row],[fin]]-Tabla1[[#This Row],[inicio]])/1000)=0,"",((Tabla1[[#This Row],[fin]]-Tabla1[[#This Row],[inicio]])/1000)),"")</f>
        <v>1.6E-2</v>
      </c>
      <c r="I662" s="66"/>
      <c r="J662" s="76">
        <v>2.2999999999999998</v>
      </c>
      <c r="K662" s="66" t="str">
        <f>IF(_xlfn.XLOOKUP($J662,Catalogo!$B$7:$B$21,Catalogo!$I$7:$I$21,"",0)=0,"",_xlfn.XLOOKUP($J662,Catalogo!$B$7:$B$21,Catalogo!$I$7:$I$21,"",0))</f>
        <v>DCVG</v>
      </c>
      <c r="L662" s="36">
        <f>+_xlfn.XLOOKUP(Tabla1[[#This Row],[Ducto]],nombres!D:D,nombres!E:E)/1000</f>
        <v>1.55E-2</v>
      </c>
      <c r="M662" s="261">
        <f>IF(Tabla1[[#This Row],[Avance_km]]&lt;&gt;"",Tabla1[[#This Row],[Avance_km]],Tabla1[[#This Row],[Avance_Med]])*_xlfn.XLOOKUP(Tabla1[[#This Row],[Codigo_actividad]],Catalogo!$B$6:$B$51,Catalogo!$F$6:$F$51,0)</f>
        <v>216.89007999999998</v>
      </c>
      <c r="N662" t="str">
        <f>_xlfn.IFNA(_xlfn.XLOOKUP(Tabla1[[#This Row],[fin]],$P$379:$P$398,$T$379:$T$398),"")</f>
        <v/>
      </c>
    </row>
    <row r="663" spans="1:14" x14ac:dyDescent="0.25">
      <c r="A663" s="354">
        <v>46303</v>
      </c>
      <c r="B663" s="114" t="s">
        <v>12</v>
      </c>
      <c r="C663" s="155" t="s">
        <v>561</v>
      </c>
      <c r="D663" s="39" t="s">
        <v>371</v>
      </c>
      <c r="E663" s="40" t="s">
        <v>36</v>
      </c>
      <c r="F663" s="28">
        <v>0</v>
      </c>
      <c r="G663" s="28">
        <v>17</v>
      </c>
      <c r="H663" s="224">
        <f>IF(Tabla1[[#This Row],[Codigo_actividad]]&lt;&gt;2.5,IF(((Tabla1[[#This Row],[fin]]-Tabla1[[#This Row],[inicio]])/1000)=0,"",((Tabla1[[#This Row],[fin]]-Tabla1[[#This Row],[inicio]])/1000)),"")</f>
        <v>1.7000000000000001E-2</v>
      </c>
      <c r="I663" s="66"/>
      <c r="J663" s="76">
        <v>2.2999999999999998</v>
      </c>
      <c r="K663" s="66" t="str">
        <f>IF(_xlfn.XLOOKUP($J663,Catalogo!$B$7:$B$21,Catalogo!$I$7:$I$21,"",0)=0,"",_xlfn.XLOOKUP($J663,Catalogo!$B$7:$B$21,Catalogo!$I$7:$I$21,"",0))</f>
        <v>DCVG</v>
      </c>
      <c r="L663" s="36">
        <f>+_xlfn.XLOOKUP(Tabla1[[#This Row],[Ducto]],nombres!D:D,nombres!E:E)/1000</f>
        <v>1.7000000000000001E-2</v>
      </c>
      <c r="M663" s="261">
        <f>IF(Tabla1[[#This Row],[Avance_km]]&lt;&gt;"",Tabla1[[#This Row],[Avance_km]],Tabla1[[#This Row],[Avance_Med]])*_xlfn.XLOOKUP(Tabla1[[#This Row],[Codigo_actividad]],Catalogo!$B$6:$B$51,Catalogo!$F$6:$F$51,0)</f>
        <v>230.44570999999999</v>
      </c>
      <c r="N663" t="str">
        <f>_xlfn.IFNA(_xlfn.XLOOKUP(Tabla1[[#This Row],[fin]],$P$379:$P$398,$T$379:$T$398),"")</f>
        <v/>
      </c>
    </row>
    <row r="664" spans="1:14" x14ac:dyDescent="0.25">
      <c r="A664" s="354">
        <v>46303</v>
      </c>
      <c r="B664" s="114" t="s">
        <v>12</v>
      </c>
      <c r="C664" s="155" t="s">
        <v>561</v>
      </c>
      <c r="D664" s="39" t="s">
        <v>375</v>
      </c>
      <c r="E664" s="40" t="s">
        <v>36</v>
      </c>
      <c r="F664" s="28">
        <v>0</v>
      </c>
      <c r="G664" s="28">
        <v>170</v>
      </c>
      <c r="H664" s="224">
        <f>IF(Tabla1[[#This Row],[Codigo_actividad]]&lt;&gt;2.5,IF(((Tabla1[[#This Row],[fin]]-Tabla1[[#This Row],[inicio]])/1000)=0,"",((Tabla1[[#This Row],[fin]]-Tabla1[[#This Row],[inicio]])/1000)),"")</f>
        <v>0.17</v>
      </c>
      <c r="I664" s="66"/>
      <c r="J664" s="76">
        <v>2.2999999999999998</v>
      </c>
      <c r="K664" s="66" t="str">
        <f>IF(_xlfn.XLOOKUP($J664,Catalogo!$B$7:$B$21,Catalogo!$I$7:$I$21,"",0)=0,"",_xlfn.XLOOKUP($J664,Catalogo!$B$7:$B$21,Catalogo!$I$7:$I$21,"",0))</f>
        <v>DCVG</v>
      </c>
      <c r="L664" s="36">
        <f>+_xlfn.XLOOKUP(Tabla1[[#This Row],[Ducto]],nombres!D:D,nombres!E:E)/1000</f>
        <v>0.17</v>
      </c>
      <c r="M664" s="261">
        <f>IF(Tabla1[[#This Row],[Avance_km]]&lt;&gt;"",Tabla1[[#This Row],[Avance_km]],Tabla1[[#This Row],[Avance_Med]])*_xlfn.XLOOKUP(Tabla1[[#This Row],[Codigo_actividad]],Catalogo!$B$6:$B$51,Catalogo!$F$6:$F$51,0)</f>
        <v>2304.4571000000001</v>
      </c>
      <c r="N664" t="str">
        <f>_xlfn.IFNA(_xlfn.XLOOKUP(Tabla1[[#This Row],[fin]],$P$379:$P$398,$T$379:$T$398),"")</f>
        <v/>
      </c>
    </row>
    <row r="665" spans="1:14" x14ac:dyDescent="0.25">
      <c r="A665" s="354">
        <v>46303</v>
      </c>
      <c r="B665" s="114" t="s">
        <v>12</v>
      </c>
      <c r="C665" s="155" t="s">
        <v>561</v>
      </c>
      <c r="D665" s="39" t="s">
        <v>378</v>
      </c>
      <c r="E665" s="40" t="s">
        <v>36</v>
      </c>
      <c r="F665" s="28">
        <v>0</v>
      </c>
      <c r="G665" s="28">
        <v>8.5</v>
      </c>
      <c r="H665" s="224">
        <f>IF(Tabla1[[#This Row],[Codigo_actividad]]&lt;&gt;2.5,IF(((Tabla1[[#This Row],[fin]]-Tabla1[[#This Row],[inicio]])/1000)=0,"",((Tabla1[[#This Row],[fin]]-Tabla1[[#This Row],[inicio]])/1000)),"")</f>
        <v>8.5000000000000006E-3</v>
      </c>
      <c r="I665" s="66"/>
      <c r="J665" s="76">
        <v>2.2999999999999998</v>
      </c>
      <c r="K665" s="66" t="str">
        <f>IF(_xlfn.XLOOKUP($J665,Catalogo!$B$7:$B$21,Catalogo!$I$7:$I$21,"",0)=0,"",_xlfn.XLOOKUP($J665,Catalogo!$B$7:$B$21,Catalogo!$I$7:$I$21,"",0))</f>
        <v>DCVG</v>
      </c>
      <c r="L665" s="36">
        <f>+_xlfn.XLOOKUP(Tabla1[[#This Row],[Ducto]],nombres!D:D,nombres!E:E)/1000</f>
        <v>8.5000000000000006E-3</v>
      </c>
      <c r="M665" s="261">
        <f>IF(Tabla1[[#This Row],[Avance_km]]&lt;&gt;"",Tabla1[[#This Row],[Avance_km]],Tabla1[[#This Row],[Avance_Med]])*_xlfn.XLOOKUP(Tabla1[[#This Row],[Codigo_actividad]],Catalogo!$B$6:$B$51,Catalogo!$F$6:$F$51,0)</f>
        <v>115.222855</v>
      </c>
      <c r="N665" t="str">
        <f>_xlfn.IFNA(_xlfn.XLOOKUP(Tabla1[[#This Row],[fin]],$P$379:$P$398,$T$379:$T$398),"")</f>
        <v/>
      </c>
    </row>
    <row r="666" spans="1:14" x14ac:dyDescent="0.25">
      <c r="A666" s="354">
        <v>46303</v>
      </c>
      <c r="B666" s="114" t="s">
        <v>12</v>
      </c>
      <c r="C666" s="155" t="s">
        <v>561</v>
      </c>
      <c r="D666" s="39" t="s">
        <v>376</v>
      </c>
      <c r="E666" s="40" t="s">
        <v>36</v>
      </c>
      <c r="F666" s="28">
        <v>0</v>
      </c>
      <c r="G666" s="28">
        <v>13</v>
      </c>
      <c r="H666" s="224">
        <f>IF(Tabla1[[#This Row],[Codigo_actividad]]&lt;&gt;2.5,IF(((Tabla1[[#This Row],[fin]]-Tabla1[[#This Row],[inicio]])/1000)=0,"",((Tabla1[[#This Row],[fin]]-Tabla1[[#This Row],[inicio]])/1000)),"")</f>
        <v>1.2999999999999999E-2</v>
      </c>
      <c r="I666" s="66"/>
      <c r="J666" s="76">
        <v>2.2999999999999998</v>
      </c>
      <c r="K666" s="66" t="str">
        <f>IF(_xlfn.XLOOKUP($J666,Catalogo!$B$7:$B$21,Catalogo!$I$7:$I$21,"",0)=0,"",_xlfn.XLOOKUP($J666,Catalogo!$B$7:$B$21,Catalogo!$I$7:$I$21,"",0))</f>
        <v>DCVG</v>
      </c>
      <c r="L666" s="36">
        <f>+_xlfn.XLOOKUP(Tabla1[[#This Row],[Ducto]],nombres!D:D,nombres!E:E)/1000</f>
        <v>1.2999999999999999E-2</v>
      </c>
      <c r="M666" s="261">
        <f>IF(Tabla1[[#This Row],[Avance_km]]&lt;&gt;"",Tabla1[[#This Row],[Avance_km]],Tabla1[[#This Row],[Avance_Med]])*_xlfn.XLOOKUP(Tabla1[[#This Row],[Codigo_actividad]],Catalogo!$B$6:$B$51,Catalogo!$F$6:$F$51,0)</f>
        <v>176.22318999999999</v>
      </c>
      <c r="N666" t="str">
        <f>_xlfn.IFNA(_xlfn.XLOOKUP(Tabla1[[#This Row],[fin]],$P$379:$P$398,$T$379:$T$398),"")</f>
        <v/>
      </c>
    </row>
    <row r="667" spans="1:14" x14ac:dyDescent="0.25">
      <c r="A667" s="354">
        <v>46303</v>
      </c>
      <c r="B667" s="114" t="s">
        <v>12</v>
      </c>
      <c r="C667" s="155" t="s">
        <v>561</v>
      </c>
      <c r="D667" s="39" t="s">
        <v>373</v>
      </c>
      <c r="E667" s="40" t="s">
        <v>36</v>
      </c>
      <c r="F667" s="28">
        <v>0</v>
      </c>
      <c r="G667" s="28">
        <v>53</v>
      </c>
      <c r="H667" s="224">
        <f>IF(Tabla1[[#This Row],[Codigo_actividad]]&lt;&gt;2.5,IF(((Tabla1[[#This Row],[fin]]-Tabla1[[#This Row],[inicio]])/1000)=0,"",((Tabla1[[#This Row],[fin]]-Tabla1[[#This Row],[inicio]])/1000)),"")</f>
        <v>5.2999999999999999E-2</v>
      </c>
      <c r="I667" s="66"/>
      <c r="J667" s="76">
        <v>2.2999999999999998</v>
      </c>
      <c r="K667" s="66" t="str">
        <f>IF(_xlfn.XLOOKUP($J667,Catalogo!$B$7:$B$21,Catalogo!$I$7:$I$21,"",0)=0,"",_xlfn.XLOOKUP($J667,Catalogo!$B$7:$B$21,Catalogo!$I$7:$I$21,"",0))</f>
        <v>DCVG</v>
      </c>
      <c r="L667" s="36">
        <f>+_xlfn.XLOOKUP(Tabla1[[#This Row],[Ducto]],nombres!D:D,nombres!E:E)/1000</f>
        <v>5.2999999999999999E-2</v>
      </c>
      <c r="M667" s="261">
        <f>IF(Tabla1[[#This Row],[Avance_km]]&lt;&gt;"",Tabla1[[#This Row],[Avance_km]],Tabla1[[#This Row],[Avance_Med]])*_xlfn.XLOOKUP(Tabla1[[#This Row],[Codigo_actividad]],Catalogo!$B$6:$B$51,Catalogo!$F$6:$F$51,0)</f>
        <v>718.4483899999999</v>
      </c>
      <c r="N667" t="str">
        <f>_xlfn.IFNA(_xlfn.XLOOKUP(Tabla1[[#This Row],[fin]],$P$379:$P$398,$T$379:$T$398),"")</f>
        <v/>
      </c>
    </row>
    <row r="668" spans="1:14" x14ac:dyDescent="0.25">
      <c r="A668" s="354">
        <v>46303</v>
      </c>
      <c r="B668" s="114" t="s">
        <v>12</v>
      </c>
      <c r="C668" s="155" t="s">
        <v>561</v>
      </c>
      <c r="D668" s="39" t="s">
        <v>372</v>
      </c>
      <c r="E668" s="40" t="s">
        <v>36</v>
      </c>
      <c r="F668" s="28">
        <v>0</v>
      </c>
      <c r="G668" s="28">
        <v>8</v>
      </c>
      <c r="H668" s="224">
        <f>IF(Tabla1[[#This Row],[Codigo_actividad]]&lt;&gt;2.5,IF(((Tabla1[[#This Row],[fin]]-Tabla1[[#This Row],[inicio]])/1000)=0,"",((Tabla1[[#This Row],[fin]]-Tabla1[[#This Row],[inicio]])/1000)),"")</f>
        <v>8.0000000000000002E-3</v>
      </c>
      <c r="I668" s="66"/>
      <c r="J668" s="76">
        <v>2.2999999999999998</v>
      </c>
      <c r="K668" s="66" t="str">
        <f>IF(_xlfn.XLOOKUP($J668,Catalogo!$B$7:$B$21,Catalogo!$I$7:$I$21,"",0)=0,"",_xlfn.XLOOKUP($J668,Catalogo!$B$7:$B$21,Catalogo!$I$7:$I$21,"",0))</f>
        <v>DCVG</v>
      </c>
      <c r="L668" s="36">
        <f>+_xlfn.XLOOKUP(Tabla1[[#This Row],[Ducto]],nombres!D:D,nombres!E:E)/1000</f>
        <v>8.0000000000000002E-3</v>
      </c>
      <c r="M668" s="261">
        <f>IF(Tabla1[[#This Row],[Avance_km]]&lt;&gt;"",Tabla1[[#This Row],[Avance_km]],Tabla1[[#This Row],[Avance_Med]])*_xlfn.XLOOKUP(Tabla1[[#This Row],[Codigo_actividad]],Catalogo!$B$6:$B$51,Catalogo!$F$6:$F$51,0)</f>
        <v>108.44503999999999</v>
      </c>
      <c r="N668" t="str">
        <f>_xlfn.IFNA(_xlfn.XLOOKUP(Tabla1[[#This Row],[fin]],$P$379:$P$398,$T$379:$T$398),"")</f>
        <v/>
      </c>
    </row>
    <row r="669" spans="1:14" x14ac:dyDescent="0.25">
      <c r="A669" s="354">
        <v>46303</v>
      </c>
      <c r="B669" s="114" t="s">
        <v>12</v>
      </c>
      <c r="C669" s="155" t="s">
        <v>561</v>
      </c>
      <c r="D669" s="39" t="s">
        <v>368</v>
      </c>
      <c r="E669" s="40" t="s">
        <v>36</v>
      </c>
      <c r="F669" s="28">
        <v>0</v>
      </c>
      <c r="G669" s="28">
        <v>97</v>
      </c>
      <c r="H669" s="224">
        <f>IF(Tabla1[[#This Row],[Codigo_actividad]]&lt;&gt;2.5,IF(((Tabla1[[#This Row],[fin]]-Tabla1[[#This Row],[inicio]])/1000)=0,"",((Tabla1[[#This Row],[fin]]-Tabla1[[#This Row],[inicio]])/1000)),"")</f>
        <v>9.7000000000000003E-2</v>
      </c>
      <c r="I669" s="66"/>
      <c r="J669" s="76">
        <v>2.2999999999999998</v>
      </c>
      <c r="K669" s="66" t="str">
        <f>IF(_xlfn.XLOOKUP($J669,Catalogo!$B$7:$B$21,Catalogo!$I$7:$I$21,"",0)=0,"",_xlfn.XLOOKUP($J669,Catalogo!$B$7:$B$21,Catalogo!$I$7:$I$21,"",0))</f>
        <v>DCVG</v>
      </c>
      <c r="L669" s="36">
        <f>+_xlfn.XLOOKUP(Tabla1[[#This Row],[Ducto]],nombres!D:D,nombres!E:E)/1000</f>
        <v>9.7000000000000003E-2</v>
      </c>
      <c r="M669" s="261">
        <f>IF(Tabla1[[#This Row],[Avance_km]]&lt;&gt;"",Tabla1[[#This Row],[Avance_km]],Tabla1[[#This Row],[Avance_Med]])*_xlfn.XLOOKUP(Tabla1[[#This Row],[Codigo_actividad]],Catalogo!$B$6:$B$51,Catalogo!$F$6:$F$51,0)</f>
        <v>1314.8961099999999</v>
      </c>
      <c r="N669" t="str">
        <f>_xlfn.IFNA(_xlfn.XLOOKUP(Tabla1[[#This Row],[fin]],$P$379:$P$398,$T$379:$T$398),"")</f>
        <v/>
      </c>
    </row>
    <row r="670" spans="1:14" x14ac:dyDescent="0.25">
      <c r="A670" s="354">
        <v>46303</v>
      </c>
      <c r="B670" s="114" t="s">
        <v>12</v>
      </c>
      <c r="C670" s="155" t="s">
        <v>561</v>
      </c>
      <c r="D670" s="39" t="s">
        <v>368</v>
      </c>
      <c r="E670" s="40" t="s">
        <v>16</v>
      </c>
      <c r="F670" s="28">
        <v>0</v>
      </c>
      <c r="G670" s="28">
        <v>97</v>
      </c>
      <c r="H670" s="224">
        <f>IF(Tabla1[[#This Row],[Codigo_actividad]]&lt;&gt;2.5,IF(((Tabla1[[#This Row],[fin]]-Tabla1[[#This Row],[inicio]])/1000)=0,"",((Tabla1[[#This Row],[fin]]-Tabla1[[#This Row],[inicio]])/1000)),"")</f>
        <v>9.7000000000000003E-2</v>
      </c>
      <c r="I670" s="66"/>
      <c r="J670" s="76">
        <v>2.6</v>
      </c>
      <c r="K670" s="66" t="str">
        <f>IF(_xlfn.XLOOKUP($J670,Catalogo!$B$7:$B$21,Catalogo!$I$7:$I$21,"",0)=0,"",_xlfn.XLOOKUP($J670,Catalogo!$B$7:$B$21,Catalogo!$I$7:$I$21,"",0))</f>
        <v>Localizacion</v>
      </c>
      <c r="L670" s="36">
        <f>+_xlfn.XLOOKUP(Tabla1[[#This Row],[Ducto]],nombres!D:D,nombres!E:E)/1000</f>
        <v>9.7000000000000003E-2</v>
      </c>
      <c r="M670" s="261">
        <f>IF(Tabla1[[#This Row],[Avance_km]]&lt;&gt;"",Tabla1[[#This Row],[Avance_km]],Tabla1[[#This Row],[Avance_Med]])*_xlfn.XLOOKUP(Tabla1[[#This Row],[Codigo_actividad]],Catalogo!$B$6:$B$51,Catalogo!$F$6:$F$51,0)</f>
        <v>218.96974</v>
      </c>
      <c r="N670" t="str">
        <f>_xlfn.IFNA(_xlfn.XLOOKUP(Tabla1[[#This Row],[fin]],$P$379:$P$398,$T$379:$T$398),"")</f>
        <v/>
      </c>
    </row>
    <row r="671" spans="1:14" x14ac:dyDescent="0.25">
      <c r="A671" s="354">
        <v>46304</v>
      </c>
      <c r="B671" s="114" t="s">
        <v>12</v>
      </c>
      <c r="C671" s="155" t="s">
        <v>561</v>
      </c>
      <c r="D671" s="39" t="s">
        <v>377</v>
      </c>
      <c r="E671" s="40" t="s">
        <v>28</v>
      </c>
      <c r="F671" s="28">
        <v>0</v>
      </c>
      <c r="G671" s="28">
        <v>624</v>
      </c>
      <c r="H671" s="224">
        <f>IF(Tabla1[[#This Row],[Codigo_actividad]]&lt;&gt;2.5,IF(((Tabla1[[#This Row],[fin]]-Tabla1[[#This Row],[inicio]])/1000)=0,"",((Tabla1[[#This Row],[fin]]-Tabla1[[#This Row],[inicio]])/1000)),"")</f>
        <v>0.624</v>
      </c>
      <c r="I671" s="66"/>
      <c r="J671" s="76">
        <v>2.1</v>
      </c>
      <c r="K671" s="66" t="str">
        <f>IF(_xlfn.XLOOKUP($J671,Catalogo!$B$7:$B$210,Catalogo!$I$7:$I$210,"",0)=0,"",_xlfn.XLOOKUP($J671,Catalogo!$B$7:$B$210,Catalogo!$I$7:$I$210,"",0))</f>
        <v>CIPS</v>
      </c>
      <c r="L671" s="36">
        <f>+_xlfn.XLOOKUP(Tabla1[[#This Row],[Ducto]],nombres!D:D,nombres!E:E)/1000</f>
        <v>0.62390000000000001</v>
      </c>
      <c r="M671" s="261">
        <f>IF(Tabla1[[#This Row],[Avance_km]]&lt;&gt;"",Tabla1[[#This Row],[Avance_km]],Tabla1[[#This Row],[Avance_Med]])*_xlfn.XLOOKUP(Tabla1[[#This Row],[Codigo_actividad]],Catalogo!$B$6:$B$51,Catalogo!$F$6:$F$51,0)</f>
        <v>9061.3598399999992</v>
      </c>
    </row>
    <row r="672" spans="1:14" x14ac:dyDescent="0.25">
      <c r="A672" s="354">
        <v>46304</v>
      </c>
      <c r="B672" s="114" t="s">
        <v>12</v>
      </c>
      <c r="C672" s="155" t="s">
        <v>561</v>
      </c>
      <c r="D672" s="39" t="s">
        <v>367</v>
      </c>
      <c r="E672" s="40" t="s">
        <v>28</v>
      </c>
      <c r="F672" s="28">
        <v>0</v>
      </c>
      <c r="G672" s="28">
        <v>3</v>
      </c>
      <c r="H672" s="224">
        <f>IF(Tabla1[[#This Row],[Codigo_actividad]]&lt;&gt;2.5,IF(((Tabla1[[#This Row],[fin]]-Tabla1[[#This Row],[inicio]])/1000)=0,"",((Tabla1[[#This Row],[fin]]-Tabla1[[#This Row],[inicio]])/1000)),"")</f>
        <v>3.0000000000000001E-3</v>
      </c>
      <c r="I672" s="66"/>
      <c r="J672" s="76">
        <v>2.1</v>
      </c>
      <c r="K672" s="66" t="str">
        <f>IF(_xlfn.XLOOKUP($J672,Catalogo!$B$7:$B$210,Catalogo!$I$7:$I$210,"",0)=0,"",_xlfn.XLOOKUP($J672,Catalogo!$B$7:$B$210,Catalogo!$I$7:$I$210,"",0))</f>
        <v>CIPS</v>
      </c>
      <c r="L672" s="36">
        <f>+_xlfn.XLOOKUP(Tabla1[[#This Row],[Ducto]],nombres!D:D,nombres!E:E)/1000</f>
        <v>3.0000000000000001E-3</v>
      </c>
      <c r="M672" s="261">
        <f>IF(Tabla1[[#This Row],[Avance_km]]&lt;&gt;"",Tabla1[[#This Row],[Avance_km]],Tabla1[[#This Row],[Avance_Med]])*_xlfn.XLOOKUP(Tabla1[[#This Row],[Codigo_actividad]],Catalogo!$B$6:$B$51,Catalogo!$F$6:$F$51,0)</f>
        <v>43.564230000000002</v>
      </c>
    </row>
    <row r="673" spans="1:14" x14ac:dyDescent="0.25">
      <c r="A673" s="354">
        <v>46304</v>
      </c>
      <c r="B673" s="114" t="s">
        <v>12</v>
      </c>
      <c r="C673" s="155" t="s">
        <v>561</v>
      </c>
      <c r="D673" s="39" t="s">
        <v>370</v>
      </c>
      <c r="E673" s="40" t="s">
        <v>28</v>
      </c>
      <c r="F673" s="28">
        <v>0</v>
      </c>
      <c r="G673" s="28">
        <v>16</v>
      </c>
      <c r="H673" s="224">
        <f>IF(Tabla1[[#This Row],[Codigo_actividad]]&lt;&gt;2.5,IF(((Tabla1[[#This Row],[fin]]-Tabla1[[#This Row],[inicio]])/1000)=0,"",((Tabla1[[#This Row],[fin]]-Tabla1[[#This Row],[inicio]])/1000)),"")</f>
        <v>1.6E-2</v>
      </c>
      <c r="I673" s="66"/>
      <c r="J673" s="76">
        <v>2.1</v>
      </c>
      <c r="K673" s="66" t="str">
        <f>IF(_xlfn.XLOOKUP($J673,Catalogo!$B$7:$B$210,Catalogo!$I$7:$I$210,"",0)=0,"",_xlfn.XLOOKUP($J673,Catalogo!$B$7:$B$210,Catalogo!$I$7:$I$210,"",0))</f>
        <v>CIPS</v>
      </c>
      <c r="L673" s="36">
        <f>+_xlfn.XLOOKUP(Tabla1[[#This Row],[Ducto]],nombres!D:D,nombres!E:E)/1000</f>
        <v>1.55E-2</v>
      </c>
      <c r="M673" s="261">
        <f>IF(Tabla1[[#This Row],[Avance_km]]&lt;&gt;"",Tabla1[[#This Row],[Avance_km]],Tabla1[[#This Row],[Avance_Med]])*_xlfn.XLOOKUP(Tabla1[[#This Row],[Codigo_actividad]],Catalogo!$B$6:$B$51,Catalogo!$F$6:$F$51,0)</f>
        <v>232.34255999999999</v>
      </c>
    </row>
    <row r="674" spans="1:14" x14ac:dyDescent="0.25">
      <c r="A674" s="354">
        <v>46304</v>
      </c>
      <c r="B674" s="114" t="s">
        <v>12</v>
      </c>
      <c r="C674" s="155" t="s">
        <v>561</v>
      </c>
      <c r="D674" s="39" t="s">
        <v>371</v>
      </c>
      <c r="E674" s="40" t="s">
        <v>28</v>
      </c>
      <c r="F674" s="28">
        <v>0</v>
      </c>
      <c r="G674" s="28">
        <v>17</v>
      </c>
      <c r="H674" s="224">
        <f>IF(Tabla1[[#This Row],[Codigo_actividad]]&lt;&gt;2.5,IF(((Tabla1[[#This Row],[fin]]-Tabla1[[#This Row],[inicio]])/1000)=0,"",((Tabla1[[#This Row],[fin]]-Tabla1[[#This Row],[inicio]])/1000)),"")</f>
        <v>1.7000000000000001E-2</v>
      </c>
      <c r="I674" s="66"/>
      <c r="J674" s="76">
        <v>2.1</v>
      </c>
      <c r="K674" s="66" t="str">
        <f>IF(_xlfn.XLOOKUP($J674,Catalogo!$B$7:$B$210,Catalogo!$I$7:$I$210,"",0)=0,"",_xlfn.XLOOKUP($J674,Catalogo!$B$7:$B$210,Catalogo!$I$7:$I$210,"",0))</f>
        <v>CIPS</v>
      </c>
      <c r="L674" s="36">
        <f>+_xlfn.XLOOKUP(Tabla1[[#This Row],[Ducto]],nombres!D:D,nombres!E:E)/1000</f>
        <v>1.7000000000000001E-2</v>
      </c>
      <c r="M674" s="261">
        <f>IF(Tabla1[[#This Row],[Avance_km]]&lt;&gt;"",Tabla1[[#This Row],[Avance_km]],Tabla1[[#This Row],[Avance_Med]])*_xlfn.XLOOKUP(Tabla1[[#This Row],[Codigo_actividad]],Catalogo!$B$6:$B$51,Catalogo!$F$6:$F$51,0)</f>
        <v>246.86397000000002</v>
      </c>
    </row>
    <row r="675" spans="1:14" x14ac:dyDescent="0.25">
      <c r="A675" s="354">
        <v>46304</v>
      </c>
      <c r="B675" s="114" t="s">
        <v>12</v>
      </c>
      <c r="C675" s="155" t="s">
        <v>561</v>
      </c>
      <c r="D675" s="39" t="s">
        <v>376</v>
      </c>
      <c r="E675" s="40" t="s">
        <v>28</v>
      </c>
      <c r="F675" s="28">
        <v>0</v>
      </c>
      <c r="G675" s="28">
        <v>13</v>
      </c>
      <c r="H675" s="224">
        <f>IF(Tabla1[[#This Row],[Codigo_actividad]]&lt;&gt;2.5,IF(((Tabla1[[#This Row],[fin]]-Tabla1[[#This Row],[inicio]])/1000)=0,"",((Tabla1[[#This Row],[fin]]-Tabla1[[#This Row],[inicio]])/1000)),"")</f>
        <v>1.2999999999999999E-2</v>
      </c>
      <c r="I675" s="66"/>
      <c r="J675" s="76">
        <v>2.1</v>
      </c>
      <c r="K675" s="66" t="str">
        <f>IF(_xlfn.XLOOKUP($J675,Catalogo!$B$7:$B$210,Catalogo!$I$7:$I$210,"",0)=0,"",_xlfn.XLOOKUP($J675,Catalogo!$B$7:$B$210,Catalogo!$I$7:$I$210,"",0))</f>
        <v>CIPS</v>
      </c>
      <c r="L675" s="36">
        <f>+_xlfn.XLOOKUP(Tabla1[[#This Row],[Ducto]],nombres!D:D,nombres!E:E)/1000</f>
        <v>1.2999999999999999E-2</v>
      </c>
      <c r="M675" s="261">
        <f>IF(Tabla1[[#This Row],[Avance_km]]&lt;&gt;"",Tabla1[[#This Row],[Avance_km]],Tabla1[[#This Row],[Avance_Med]])*_xlfn.XLOOKUP(Tabla1[[#This Row],[Codigo_actividad]],Catalogo!$B$6:$B$51,Catalogo!$F$6:$F$51,0)</f>
        <v>188.77832999999998</v>
      </c>
    </row>
    <row r="676" spans="1:14" x14ac:dyDescent="0.25">
      <c r="A676" s="354">
        <v>46304</v>
      </c>
      <c r="B676" s="114" t="s">
        <v>12</v>
      </c>
      <c r="C676" s="155" t="s">
        <v>561</v>
      </c>
      <c r="D676" s="39" t="s">
        <v>373</v>
      </c>
      <c r="E676" s="40" t="s">
        <v>28</v>
      </c>
      <c r="F676" s="28">
        <v>0</v>
      </c>
      <c r="G676" s="28">
        <v>53</v>
      </c>
      <c r="H676" s="224">
        <f>IF(Tabla1[[#This Row],[Codigo_actividad]]&lt;&gt;2.5,IF(((Tabla1[[#This Row],[fin]]-Tabla1[[#This Row],[inicio]])/1000)=0,"",((Tabla1[[#This Row],[fin]]-Tabla1[[#This Row],[inicio]])/1000)),"")</f>
        <v>5.2999999999999999E-2</v>
      </c>
      <c r="I676" s="66"/>
      <c r="J676" s="76">
        <v>2.1</v>
      </c>
      <c r="K676" s="66" t="str">
        <f>IF(_xlfn.XLOOKUP($J676,Catalogo!$B$7:$B$210,Catalogo!$I$7:$I$210,"",0)=0,"",_xlfn.XLOOKUP($J676,Catalogo!$B$7:$B$210,Catalogo!$I$7:$I$210,"",0))</f>
        <v>CIPS</v>
      </c>
      <c r="L676" s="36">
        <f>+_xlfn.XLOOKUP(Tabla1[[#This Row],[Ducto]],nombres!D:D,nombres!E:E)/1000</f>
        <v>5.2999999999999999E-2</v>
      </c>
      <c r="M676" s="261">
        <f>IF(Tabla1[[#This Row],[Avance_km]]&lt;&gt;"",Tabla1[[#This Row],[Avance_km]],Tabla1[[#This Row],[Avance_Med]])*_xlfn.XLOOKUP(Tabla1[[#This Row],[Codigo_actividad]],Catalogo!$B$6:$B$51,Catalogo!$F$6:$F$51,0)</f>
        <v>769.63472999999999</v>
      </c>
    </row>
    <row r="677" spans="1:14" x14ac:dyDescent="0.25">
      <c r="A677" s="354">
        <v>46304</v>
      </c>
      <c r="B677" s="114" t="s">
        <v>12</v>
      </c>
      <c r="C677" s="155" t="s">
        <v>561</v>
      </c>
      <c r="D677" s="39" t="s">
        <v>372</v>
      </c>
      <c r="E677" s="40" t="s">
        <v>28</v>
      </c>
      <c r="F677" s="28">
        <v>0</v>
      </c>
      <c r="G677" s="28">
        <v>8</v>
      </c>
      <c r="H677" s="224">
        <f>IF(Tabla1[[#This Row],[Codigo_actividad]]&lt;&gt;2.5,IF(((Tabla1[[#This Row],[fin]]-Tabla1[[#This Row],[inicio]])/1000)=0,"",((Tabla1[[#This Row],[fin]]-Tabla1[[#This Row],[inicio]])/1000)),"")</f>
        <v>8.0000000000000002E-3</v>
      </c>
      <c r="I677" s="66"/>
      <c r="J677" s="76">
        <v>2.1</v>
      </c>
      <c r="K677" s="66" t="str">
        <f>IF(_xlfn.XLOOKUP($J677,Catalogo!$B$7:$B$210,Catalogo!$I$7:$I$210,"",0)=0,"",_xlfn.XLOOKUP($J677,Catalogo!$B$7:$B$210,Catalogo!$I$7:$I$210,"",0))</f>
        <v>CIPS</v>
      </c>
      <c r="L677" s="36">
        <f>+_xlfn.XLOOKUP(Tabla1[[#This Row],[Ducto]],nombres!D:D,nombres!E:E)/1000</f>
        <v>8.0000000000000002E-3</v>
      </c>
      <c r="M677" s="261">
        <f>IF(Tabla1[[#This Row],[Avance_km]]&lt;&gt;"",Tabla1[[#This Row],[Avance_km]],Tabla1[[#This Row],[Avance_Med]])*_xlfn.XLOOKUP(Tabla1[[#This Row],[Codigo_actividad]],Catalogo!$B$6:$B$51,Catalogo!$F$6:$F$51,0)</f>
        <v>116.17128</v>
      </c>
    </row>
    <row r="678" spans="1:14" x14ac:dyDescent="0.25">
      <c r="A678" s="354"/>
      <c r="B678" s="114"/>
      <c r="C678" s="155"/>
      <c r="D678" s="39"/>
      <c r="F678" s="28"/>
      <c r="G678" s="28"/>
      <c r="H678" s="224"/>
      <c r="I678" s="66"/>
      <c r="J678" s="76"/>
      <c r="L678" s="36"/>
      <c r="M678" s="261"/>
    </row>
    <row r="679" spans="1:14" x14ac:dyDescent="0.25">
      <c r="A679" s="354">
        <v>46308</v>
      </c>
      <c r="B679" s="114" t="s">
        <v>12</v>
      </c>
      <c r="C679" s="155" t="s">
        <v>561</v>
      </c>
      <c r="D679" s="39" t="s">
        <v>368</v>
      </c>
      <c r="E679" s="40" t="s">
        <v>28</v>
      </c>
      <c r="F679" s="28">
        <v>0</v>
      </c>
      <c r="G679" s="28">
        <v>97</v>
      </c>
      <c r="H679" s="224">
        <f>IF(Tabla1[[#This Row],[Codigo_actividad]]&lt;&gt;2.5,IF(((Tabla1[[#This Row],[fin]]-Tabla1[[#This Row],[inicio]])/1000)=0,"",((Tabla1[[#This Row],[fin]]-Tabla1[[#This Row],[inicio]])/1000)),"")</f>
        <v>9.7000000000000003E-2</v>
      </c>
      <c r="I679" s="66"/>
      <c r="J679" s="76">
        <v>2.1</v>
      </c>
      <c r="K679" s="66" t="str">
        <f>IF(_xlfn.XLOOKUP($J679,Catalogo!$B$7:$B$210,Catalogo!$I$7:$I$210,"",0)=0,"",_xlfn.XLOOKUP($J679,Catalogo!$B$7:$B$210,Catalogo!$I$7:$I$210,"",0))</f>
        <v>CIPS</v>
      </c>
      <c r="L679" s="36">
        <f>+_xlfn.XLOOKUP(Tabla1[[#This Row],[Ducto]],nombres!D:D,nombres!E:E)/1000</f>
        <v>9.7000000000000003E-2</v>
      </c>
      <c r="M679" s="261">
        <f>IF(Tabla1[[#This Row],[Avance_km]]&lt;&gt;"",Tabla1[[#This Row],[Avance_km]],Tabla1[[#This Row],[Avance_Med]])*_xlfn.XLOOKUP(Tabla1[[#This Row],[Codigo_actividad]],Catalogo!$B$6:$B$51,Catalogo!$F$6:$F$51,0)</f>
        <v>1408.5767700000001</v>
      </c>
    </row>
    <row r="680" spans="1:14" x14ac:dyDescent="0.25">
      <c r="A680" s="354">
        <v>46308</v>
      </c>
      <c r="B680" s="114" t="s">
        <v>12</v>
      </c>
      <c r="C680" s="155" t="s">
        <v>561</v>
      </c>
      <c r="D680" s="39" t="s">
        <v>374</v>
      </c>
      <c r="E680" s="40" t="s">
        <v>28</v>
      </c>
      <c r="F680" s="28">
        <v>0</v>
      </c>
      <c r="G680" s="28">
        <v>608</v>
      </c>
      <c r="H680" s="224">
        <f>IF(Tabla1[[#This Row],[Codigo_actividad]]&lt;&gt;2.5,IF(((Tabla1[[#This Row],[fin]]-Tabla1[[#This Row],[inicio]])/1000)=0,"",((Tabla1[[#This Row],[fin]]-Tabla1[[#This Row],[inicio]])/1000)),"")</f>
        <v>0.60799999999999998</v>
      </c>
      <c r="I680" s="66"/>
      <c r="J680" s="76">
        <v>2.1</v>
      </c>
      <c r="K680" s="66" t="str">
        <f>IF(_xlfn.XLOOKUP($J680,Catalogo!$B$7:$B$210,Catalogo!$I$7:$I$210,"",0)=0,"",_xlfn.XLOOKUP($J680,Catalogo!$B$7:$B$210,Catalogo!$I$7:$I$210,"",0))</f>
        <v>CIPS</v>
      </c>
      <c r="L680" s="36">
        <f>+_xlfn.XLOOKUP(Tabla1[[#This Row],[Ducto]],nombres!D:D,nombres!E:E)/1000</f>
        <v>0.60799999999999998</v>
      </c>
      <c r="M680" s="261">
        <f>IF(Tabla1[[#This Row],[Avance_km]]&lt;&gt;"",Tabla1[[#This Row],[Avance_km]],Tabla1[[#This Row],[Avance_Med]])*_xlfn.XLOOKUP(Tabla1[[#This Row],[Codigo_actividad]],Catalogo!$B$6:$B$51,Catalogo!$F$6:$F$51,0)</f>
        <v>8829.01728</v>
      </c>
    </row>
    <row r="681" spans="1:14" x14ac:dyDescent="0.25">
      <c r="A681" s="354">
        <v>46308</v>
      </c>
      <c r="B681" s="114" t="s">
        <v>12</v>
      </c>
      <c r="C681" s="155" t="s">
        <v>561</v>
      </c>
      <c r="D681" s="39" t="s">
        <v>375</v>
      </c>
      <c r="E681" s="40" t="s">
        <v>28</v>
      </c>
      <c r="F681" s="28">
        <v>0</v>
      </c>
      <c r="G681" s="28">
        <v>170</v>
      </c>
      <c r="H681" s="224">
        <f>IF(Tabla1[[#This Row],[Codigo_actividad]]&lt;&gt;2.5,IF(((Tabla1[[#This Row],[fin]]-Tabla1[[#This Row],[inicio]])/1000)=0,"",((Tabla1[[#This Row],[fin]]-Tabla1[[#This Row],[inicio]])/1000)),"")</f>
        <v>0.17</v>
      </c>
      <c r="I681" s="66"/>
      <c r="J681" s="76">
        <v>2.1</v>
      </c>
      <c r="K681" s="66" t="str">
        <f>IF(_xlfn.XLOOKUP($J681,Catalogo!$B$7:$B$210,Catalogo!$I$7:$I$210,"",0)=0,"",_xlfn.XLOOKUP($J681,Catalogo!$B$7:$B$210,Catalogo!$I$7:$I$210,"",0))</f>
        <v>CIPS</v>
      </c>
      <c r="L681" s="36">
        <f>+_xlfn.XLOOKUP(Tabla1[[#This Row],[Ducto]],nombres!D:D,nombres!E:E)/1000</f>
        <v>0.17</v>
      </c>
      <c r="M681" s="261">
        <f>IF(Tabla1[[#This Row],[Avance_km]]&lt;&gt;"",Tabla1[[#This Row],[Avance_km]],Tabla1[[#This Row],[Avance_Med]])*_xlfn.XLOOKUP(Tabla1[[#This Row],[Codigo_actividad]],Catalogo!$B$6:$B$51,Catalogo!$F$6:$F$51,0)</f>
        <v>2468.6397000000002</v>
      </c>
    </row>
    <row r="682" spans="1:14" x14ac:dyDescent="0.25">
      <c r="A682" s="354">
        <v>46308</v>
      </c>
      <c r="B682" s="114" t="s">
        <v>12</v>
      </c>
      <c r="C682" s="155" t="s">
        <v>561</v>
      </c>
      <c r="D682" s="39" t="s">
        <v>378</v>
      </c>
      <c r="E682" s="40" t="s">
        <v>28</v>
      </c>
      <c r="F682" s="28">
        <v>0</v>
      </c>
      <c r="G682" s="28">
        <v>8.5</v>
      </c>
      <c r="H682" s="224">
        <f>IF(Tabla1[[#This Row],[Codigo_actividad]]&lt;&gt;2.5,IF(((Tabla1[[#This Row],[fin]]-Tabla1[[#This Row],[inicio]])/1000)=0,"",((Tabla1[[#This Row],[fin]]-Tabla1[[#This Row],[inicio]])/1000)),"")</f>
        <v>8.5000000000000006E-3</v>
      </c>
      <c r="I682" s="66"/>
      <c r="J682" s="76">
        <v>2.1</v>
      </c>
      <c r="K682" s="66" t="str">
        <f>IF(_xlfn.XLOOKUP($J682,Catalogo!$B$7:$B$210,Catalogo!$I$7:$I$210,"",0)=0,"",_xlfn.XLOOKUP($J682,Catalogo!$B$7:$B$210,Catalogo!$I$7:$I$210,"",0))</f>
        <v>CIPS</v>
      </c>
      <c r="L682" s="36">
        <f>+_xlfn.XLOOKUP(Tabla1[[#This Row],[Ducto]],nombres!D:D,nombres!E:E)/1000</f>
        <v>8.5000000000000006E-3</v>
      </c>
      <c r="M682" s="261">
        <f>IF(Tabla1[[#This Row],[Avance_km]]&lt;&gt;"",Tabla1[[#This Row],[Avance_km]],Tabla1[[#This Row],[Avance_Med]])*_xlfn.XLOOKUP(Tabla1[[#This Row],[Codigo_actividad]],Catalogo!$B$6:$B$51,Catalogo!$F$6:$F$51,0)</f>
        <v>123.43198500000001</v>
      </c>
    </row>
    <row r="683" spans="1:14" x14ac:dyDescent="0.25">
      <c r="A683" s="354"/>
      <c r="B683" s="114"/>
      <c r="C683" s="155"/>
      <c r="D683" s="39"/>
      <c r="F683" s="28"/>
      <c r="G683" s="28"/>
      <c r="H683" s="224" t="str">
        <f>IF(Tabla1[[#This Row],[Codigo_actividad]]&lt;&gt;2.5,IF(((Tabla1[[#This Row],[fin]]-Tabla1[[#This Row],[inicio]])/1000)=0,"",((Tabla1[[#This Row],[fin]]-Tabla1[[#This Row],[inicio]])/1000)),"")</f>
        <v/>
      </c>
      <c r="I683" s="66"/>
      <c r="J683" s="76"/>
      <c r="K683" s="55" t="str">
        <f>IF(_xlfn.XLOOKUP($J683,Catalogo!$B$7:$B$21,Catalogo!$I$7:$I$21,"",0)=0,"",_xlfn.XLOOKUP($J683,Catalogo!$B$7:$B$21,Catalogo!$I$7:$I$21,"",0))</f>
        <v/>
      </c>
      <c r="L683" s="36"/>
      <c r="M683" s="261">
        <f>IF(Tabla1[[#This Row],[Avance_km]]&lt;&gt;"",Tabla1[[#This Row],[Avance_km]],Tabla1[[#This Row],[Avance_Med]])*_xlfn.XLOOKUP(Tabla1[[#This Row],[Codigo_actividad]],Catalogo!$B$6:$B$51,Catalogo!$F$6:$F$51,0)</f>
        <v>0</v>
      </c>
      <c r="N683" t="str">
        <f>_xlfn.IFNA(_xlfn.XLOOKUP(Tabla1[[#This Row],[fin]],$P$379:$P$398,$T$379:$T$398),"")</f>
        <v/>
      </c>
    </row>
    <row r="684" spans="1:14" x14ac:dyDescent="0.25">
      <c r="A684" s="354">
        <v>46309</v>
      </c>
      <c r="B684" s="114" t="s">
        <v>12</v>
      </c>
      <c r="C684" s="155" t="s">
        <v>561</v>
      </c>
      <c r="D684" s="39" t="s">
        <v>369</v>
      </c>
      <c r="E684" s="40" t="s">
        <v>28</v>
      </c>
      <c r="F684" s="28">
        <v>0</v>
      </c>
      <c r="G684" s="28">
        <v>7</v>
      </c>
      <c r="H684" s="224">
        <f>IF(Tabla1[[#This Row],[Codigo_actividad]]&lt;&gt;2.5,IF(((Tabla1[[#This Row],[fin]]-Tabla1[[#This Row],[inicio]])/1000)=0,"",((Tabla1[[#This Row],[fin]]-Tabla1[[#This Row],[inicio]])/1000)),"")</f>
        <v>7.0000000000000001E-3</v>
      </c>
      <c r="I684" s="66"/>
      <c r="J684" s="76">
        <v>2.1</v>
      </c>
      <c r="K684" s="66" t="str">
        <f>IF(_xlfn.XLOOKUP($J684,Catalogo!$B$7:$B$210,Catalogo!$I$7:$I$210,"",0)=0,"",_xlfn.XLOOKUP($J684,Catalogo!$B$7:$B$210,Catalogo!$I$7:$I$210,"",0))</f>
        <v>CIPS</v>
      </c>
      <c r="L684" s="36">
        <f>+_xlfn.XLOOKUP(Tabla1[[#This Row],[Ducto]],nombres!D:D,nombres!E:E)/1000</f>
        <v>7.0000000000000001E-3</v>
      </c>
      <c r="M684" s="261">
        <f>IF(Tabla1[[#This Row],[Avance_km]]&lt;&gt;"",Tabla1[[#This Row],[Avance_km]],Tabla1[[#This Row],[Avance_Med]])*_xlfn.XLOOKUP(Tabla1[[#This Row],[Codigo_actividad]],Catalogo!$B$6:$B$51,Catalogo!$F$6:$F$51,0)</f>
        <v>101.64987000000001</v>
      </c>
    </row>
    <row r="685" spans="1:14" x14ac:dyDescent="0.25">
      <c r="A685" s="354">
        <v>46309</v>
      </c>
      <c r="B685" s="114" t="s">
        <v>12</v>
      </c>
      <c r="C685" s="155" t="s">
        <v>411</v>
      </c>
      <c r="D685" s="39" t="s">
        <v>351</v>
      </c>
      <c r="E685" s="40" t="s">
        <v>28</v>
      </c>
      <c r="F685" s="28">
        <v>23139</v>
      </c>
      <c r="G685" s="28">
        <v>23379</v>
      </c>
      <c r="H685" s="224">
        <f>IF(Tabla1[[#This Row],[Codigo_actividad]]&lt;&gt;2.5,IF(((Tabla1[[#This Row],[fin]]-Tabla1[[#This Row],[inicio]])/1000)=0,"",((Tabla1[[#This Row],[fin]]-Tabla1[[#This Row],[inicio]])/1000)),"")</f>
        <v>0.24</v>
      </c>
      <c r="I685" s="66"/>
      <c r="J685" s="76">
        <v>2.1</v>
      </c>
      <c r="K685" s="66" t="str">
        <f>IF(_xlfn.XLOOKUP($J685,Catalogo!$B$7:$B$210,Catalogo!$I$7:$I$210,"",0)=0,"",_xlfn.XLOOKUP($J685,Catalogo!$B$7:$B$210,Catalogo!$I$7:$I$210,"",0))</f>
        <v>CIPS</v>
      </c>
      <c r="L685" s="36">
        <f>+_xlfn.XLOOKUP(Tabla1[[#This Row],[Ducto]],'R (s04)'!B:B,'R (s04)'!C:C)</f>
        <v>47.596499999999999</v>
      </c>
      <c r="M685" s="261">
        <f>IF(Tabla1[[#This Row],[Avance_km]]&lt;&gt;"",Tabla1[[#This Row],[Avance_km]],Tabla1[[#This Row],[Avance_Med]])*_xlfn.XLOOKUP(Tabla1[[#This Row],[Codigo_actividad]],Catalogo!$B$6:$B$51,Catalogo!$F$6:$F$51,0)</f>
        <v>3485.1383999999998</v>
      </c>
    </row>
    <row r="686" spans="1:14" x14ac:dyDescent="0.25">
      <c r="A686" s="354">
        <v>46309</v>
      </c>
      <c r="B686" s="114" t="s">
        <v>12</v>
      </c>
      <c r="C686" s="155" t="s">
        <v>411</v>
      </c>
      <c r="D686" s="39" t="s">
        <v>351</v>
      </c>
      <c r="E686" s="40" t="s">
        <v>28</v>
      </c>
      <c r="F686" s="28">
        <v>24265</v>
      </c>
      <c r="G686" s="28">
        <v>25250</v>
      </c>
      <c r="H686" s="224">
        <f>IF(Tabla1[[#This Row],[Codigo_actividad]]&lt;&gt;2.5,IF(((Tabla1[[#This Row],[fin]]-Tabla1[[#This Row],[inicio]])/1000)=0,"",((Tabla1[[#This Row],[fin]]-Tabla1[[#This Row],[inicio]])/1000)),"")</f>
        <v>0.98499999999999999</v>
      </c>
      <c r="I686" s="66"/>
      <c r="J686" s="76">
        <v>2.1</v>
      </c>
      <c r="K686" s="66" t="str">
        <f>IF(_xlfn.XLOOKUP($J686,Catalogo!$B$7:$B$210,Catalogo!$I$7:$I$210,"",0)=0,"",_xlfn.XLOOKUP($J686,Catalogo!$B$7:$B$210,Catalogo!$I$7:$I$210,"",0))</f>
        <v>CIPS</v>
      </c>
      <c r="L686" s="36">
        <f>+_xlfn.XLOOKUP(Tabla1[[#This Row],[Ducto]],'R (s04)'!B:B,'R (s04)'!C:C)</f>
        <v>47.596499999999999</v>
      </c>
      <c r="M686" s="261">
        <f>IF(Tabla1[[#This Row],[Avance_km]]&lt;&gt;"",Tabla1[[#This Row],[Avance_km]],Tabla1[[#This Row],[Avance_Med]])*_xlfn.XLOOKUP(Tabla1[[#This Row],[Codigo_actividad]],Catalogo!$B$6:$B$51,Catalogo!$F$6:$F$51,0)</f>
        <v>14303.58885</v>
      </c>
    </row>
    <row r="687" spans="1:14" x14ac:dyDescent="0.25">
      <c r="A687" s="354">
        <v>46310</v>
      </c>
      <c r="B687" s="114" t="s">
        <v>12</v>
      </c>
      <c r="C687" s="155" t="s">
        <v>411</v>
      </c>
      <c r="D687" s="39" t="s">
        <v>351</v>
      </c>
      <c r="E687" s="40" t="s">
        <v>28</v>
      </c>
      <c r="F687" s="28">
        <v>25250</v>
      </c>
      <c r="G687" s="28">
        <v>27936</v>
      </c>
      <c r="H687" s="224">
        <f>IF(Tabla1[[#This Row],[Codigo_actividad]]&lt;&gt;2.5,IF(((Tabla1[[#This Row],[fin]]-Tabla1[[#This Row],[inicio]])/1000)=0,"",((Tabla1[[#This Row],[fin]]-Tabla1[[#This Row],[inicio]])/1000)),"")</f>
        <v>2.6859999999999999</v>
      </c>
      <c r="I687" s="66"/>
      <c r="J687" s="76">
        <v>2.1</v>
      </c>
      <c r="K687" s="66" t="str">
        <f>IF(_xlfn.XLOOKUP($J687,Catalogo!$B$7:$B$210,Catalogo!$I$7:$I$210,"",0)=0,"",_xlfn.XLOOKUP($J687,Catalogo!$B$7:$B$210,Catalogo!$I$7:$I$210,"",0))</f>
        <v>CIPS</v>
      </c>
      <c r="L687" s="36">
        <f>+_xlfn.XLOOKUP(Tabla1[[#This Row],[Ducto]],'R (s04)'!B:B,'R (s04)'!C:C)</f>
        <v>47.596499999999999</v>
      </c>
      <c r="M687" s="261">
        <f>IF(Tabla1[[#This Row],[Avance_km]]&lt;&gt;"",Tabla1[[#This Row],[Avance_km]],Tabla1[[#This Row],[Avance_Med]])*_xlfn.XLOOKUP(Tabla1[[#This Row],[Codigo_actividad]],Catalogo!$B$6:$B$51,Catalogo!$F$6:$F$51,0)</f>
        <v>39004.507259999998</v>
      </c>
    </row>
    <row r="688" spans="1:14" x14ac:dyDescent="0.25">
      <c r="A688" s="354">
        <v>46311</v>
      </c>
      <c r="B688" s="114" t="s">
        <v>12</v>
      </c>
      <c r="C688" s="155" t="s">
        <v>411</v>
      </c>
      <c r="D688" s="39" t="s">
        <v>351</v>
      </c>
      <c r="E688" s="40" t="s">
        <v>28</v>
      </c>
      <c r="F688" s="28">
        <v>27936</v>
      </c>
      <c r="G688" s="28">
        <v>30728</v>
      </c>
      <c r="H688" s="224">
        <f>IF(Tabla1[[#This Row],[Codigo_actividad]]&lt;&gt;2.5,IF(((Tabla1[[#This Row],[fin]]-Tabla1[[#This Row],[inicio]])/1000)=0,"",((Tabla1[[#This Row],[fin]]-Tabla1[[#This Row],[inicio]])/1000)),"")</f>
        <v>2.7919999999999998</v>
      </c>
      <c r="I688" s="66"/>
      <c r="J688" s="76">
        <v>2.1</v>
      </c>
      <c r="K688" s="66" t="str">
        <f>IF(_xlfn.XLOOKUP($J688,Catalogo!$B$7:$B$210,Catalogo!$I$7:$I$210,"",0)=0,"",_xlfn.XLOOKUP($J688,Catalogo!$B$7:$B$210,Catalogo!$I$7:$I$210,"",0))</f>
        <v>CIPS</v>
      </c>
      <c r="L688" s="36">
        <f>+_xlfn.XLOOKUP(Tabla1[[#This Row],[Ducto]],'R (s04)'!B:B,'R (s04)'!C:C)</f>
        <v>47.596499999999999</v>
      </c>
      <c r="M688" s="261">
        <f>IF(Tabla1[[#This Row],[Avance_km]]&lt;&gt;"",Tabla1[[#This Row],[Avance_km]],Tabla1[[#This Row],[Avance_Med]])*_xlfn.XLOOKUP(Tabla1[[#This Row],[Codigo_actividad]],Catalogo!$B$6:$B$51,Catalogo!$F$6:$F$51,0)</f>
        <v>40543.776719999994</v>
      </c>
    </row>
    <row r="689" spans="1:14" x14ac:dyDescent="0.25">
      <c r="A689" s="354">
        <v>46312</v>
      </c>
      <c r="B689" s="114" t="s">
        <v>12</v>
      </c>
      <c r="C689" s="155" t="s">
        <v>411</v>
      </c>
      <c r="D689" s="39" t="s">
        <v>351</v>
      </c>
      <c r="E689" s="40" t="s">
        <v>28</v>
      </c>
      <c r="F689" s="28">
        <v>23379</v>
      </c>
      <c r="G689" s="28">
        <v>24265</v>
      </c>
      <c r="H689" s="224">
        <f>IF(Tabla1[[#This Row],[Codigo_actividad]]&lt;&gt;2.5,IF(((Tabla1[[#This Row],[fin]]-Tabla1[[#This Row],[inicio]])/1000)=0,"",((Tabla1[[#This Row],[fin]]-Tabla1[[#This Row],[inicio]])/1000)),"")</f>
        <v>0.88600000000000001</v>
      </c>
      <c r="I689" s="66"/>
      <c r="J689" s="76">
        <v>2.1</v>
      </c>
      <c r="K689" s="66" t="str">
        <f>IF(_xlfn.XLOOKUP($J689,Catalogo!$B$7:$B$210,Catalogo!$I$7:$I$210,"",0)=0,"",_xlfn.XLOOKUP($J689,Catalogo!$B$7:$B$210,Catalogo!$I$7:$I$210,"",0))</f>
        <v>CIPS</v>
      </c>
      <c r="L689" s="36">
        <f>+_xlfn.XLOOKUP(Tabla1[[#This Row],[Ducto]],'R (s04)'!B:B,'R (s04)'!C:C)</f>
        <v>47.596499999999999</v>
      </c>
      <c r="M689" s="261">
        <f>IF(Tabla1[[#This Row],[Avance_km]]&lt;&gt;"",Tabla1[[#This Row],[Avance_km]],Tabla1[[#This Row],[Avance_Med]])*_xlfn.XLOOKUP(Tabla1[[#This Row],[Codigo_actividad]],Catalogo!$B$6:$B$51,Catalogo!$F$6:$F$51,0)</f>
        <v>12865.96926</v>
      </c>
    </row>
    <row r="690" spans="1:14" x14ac:dyDescent="0.25">
      <c r="A690" s="354">
        <v>46312</v>
      </c>
      <c r="B690" s="114" t="s">
        <v>12</v>
      </c>
      <c r="C690" s="155" t="s">
        <v>411</v>
      </c>
      <c r="D690" s="39" t="s">
        <v>351</v>
      </c>
      <c r="E690" s="40" t="s">
        <v>28</v>
      </c>
      <c r="F690" s="28">
        <v>30728</v>
      </c>
      <c r="G690" s="28">
        <v>31253</v>
      </c>
      <c r="H690" s="224">
        <f>IF(Tabla1[[#This Row],[Codigo_actividad]]&lt;&gt;2.5,IF(((Tabla1[[#This Row],[fin]]-Tabla1[[#This Row],[inicio]])/1000)=0,"",((Tabla1[[#This Row],[fin]]-Tabla1[[#This Row],[inicio]])/1000)),"")</f>
        <v>0.52500000000000002</v>
      </c>
      <c r="I690" s="66"/>
      <c r="J690" s="76">
        <v>2.1</v>
      </c>
      <c r="K690" s="66" t="str">
        <f>IF(_xlfn.XLOOKUP($J690,Catalogo!$B$7:$B$210,Catalogo!$I$7:$I$210,"",0)=0,"",_xlfn.XLOOKUP($J690,Catalogo!$B$7:$B$210,Catalogo!$I$7:$I$210,"",0))</f>
        <v>CIPS</v>
      </c>
      <c r="L690" s="36">
        <f>+_xlfn.XLOOKUP(Tabla1[[#This Row],[Ducto]],'R (s04)'!B:B,'R (s04)'!C:C)</f>
        <v>47.596499999999999</v>
      </c>
      <c r="M690" s="261">
        <f>IF(Tabla1[[#This Row],[Avance_km]]&lt;&gt;"",Tabla1[[#This Row],[Avance_km]],Tabla1[[#This Row],[Avance_Med]])*_xlfn.XLOOKUP(Tabla1[[#This Row],[Codigo_actividad]],Catalogo!$B$6:$B$51,Catalogo!$F$6:$F$51,0)</f>
        <v>7623.7402499999998</v>
      </c>
    </row>
    <row r="691" spans="1:14" x14ac:dyDescent="0.25">
      <c r="A691" s="354"/>
      <c r="B691" s="114"/>
      <c r="C691" s="155"/>
      <c r="D691" s="39"/>
      <c r="F691" s="28"/>
      <c r="G691" s="28"/>
      <c r="H691" s="224" t="str">
        <f>IF(Tabla1[[#This Row],[Codigo_actividad]]&lt;&gt;2.5,IF(((Tabla1[[#This Row],[fin]]-Tabla1[[#This Row],[inicio]])/1000)=0,"",((Tabla1[[#This Row],[fin]]-Tabla1[[#This Row],[inicio]])/1000)),"")</f>
        <v/>
      </c>
      <c r="I691" s="66"/>
      <c r="J691" s="76"/>
      <c r="K691" s="55" t="str">
        <f>IF(_xlfn.XLOOKUP($J691,Catalogo!$B$7:$B$21,Catalogo!$I$7:$I$21,"",0)=0,"",_xlfn.XLOOKUP($J691,Catalogo!$B$7:$B$21,Catalogo!$I$7:$I$21,"",0))</f>
        <v/>
      </c>
      <c r="L691" s="36"/>
      <c r="M691" s="261">
        <f>IF(Tabla1[[#This Row],[Avance_km]]&lt;&gt;"",Tabla1[[#This Row],[Avance_km]],Tabla1[[#This Row],[Avance_Med]])*_xlfn.XLOOKUP(Tabla1[[#This Row],[Codigo_actividad]],Catalogo!$B$6:$B$51,Catalogo!$F$6:$F$51,0)</f>
        <v>0</v>
      </c>
      <c r="N691" t="str">
        <f>_xlfn.IFNA(_xlfn.XLOOKUP(Tabla1[[#This Row],[fin]],$P$379:$P$398,$T$379:$T$398),"")</f>
        <v/>
      </c>
    </row>
    <row r="692" spans="1:14" x14ac:dyDescent="0.25">
      <c r="A692" s="354">
        <v>46319</v>
      </c>
      <c r="B692" s="114" t="s">
        <v>12</v>
      </c>
      <c r="C692" s="155" t="s">
        <v>411</v>
      </c>
      <c r="D692" s="39" t="s">
        <v>351</v>
      </c>
      <c r="E692" s="40" t="s">
        <v>28</v>
      </c>
      <c r="F692" s="28">
        <v>32219</v>
      </c>
      <c r="G692" s="28">
        <v>33719</v>
      </c>
      <c r="H692" s="224">
        <f>IF(Tabla1[[#This Row],[Codigo_actividad]]&lt;&gt;2.5,IF(((Tabla1[[#This Row],[fin]]-Tabla1[[#This Row],[inicio]])/1000)=0,"",((Tabla1[[#This Row],[fin]]-Tabla1[[#This Row],[inicio]])/1000)),"")</f>
        <v>1.5</v>
      </c>
      <c r="I692" s="66"/>
      <c r="J692" s="76">
        <v>2.1</v>
      </c>
      <c r="K692" s="66" t="str">
        <f>IF(_xlfn.XLOOKUP($J692,Catalogo!$B$7:$B$210,Catalogo!$I$7:$I$210,"",0)=0,"",_xlfn.XLOOKUP($J692,Catalogo!$B$7:$B$210,Catalogo!$I$7:$I$210,"",0))</f>
        <v>CIPS</v>
      </c>
      <c r="L692" s="36">
        <f>+_xlfn.XLOOKUP(Tabla1[[#This Row],[Ducto]],'R (s04)'!B:B,'R (s04)'!C:C)</f>
        <v>47.596499999999999</v>
      </c>
      <c r="M692" s="261">
        <f>IF(Tabla1[[#This Row],[Avance_km]]&lt;&gt;"",Tabla1[[#This Row],[Avance_km]],Tabla1[[#This Row],[Avance_Med]])*_xlfn.XLOOKUP(Tabla1[[#This Row],[Codigo_actividad]],Catalogo!$B$6:$B$51,Catalogo!$F$6:$F$51,0)</f>
        <v>21782.114999999998</v>
      </c>
    </row>
    <row r="693" spans="1:14" x14ac:dyDescent="0.25">
      <c r="A693" s="354"/>
      <c r="B693" s="114"/>
      <c r="C693" s="155"/>
      <c r="D693" s="39"/>
      <c r="F693" s="28"/>
      <c r="G693" s="28"/>
      <c r="H693" s="224" t="str">
        <f>IF(Tabla1[[#This Row],[Codigo_actividad]]&lt;&gt;2.5,IF(((Tabla1[[#This Row],[fin]]-Tabla1[[#This Row],[inicio]])/1000)=0,"",((Tabla1[[#This Row],[fin]]-Tabla1[[#This Row],[inicio]])/1000)),"")</f>
        <v/>
      </c>
      <c r="I693" s="66"/>
      <c r="J693" s="76"/>
      <c r="K693" s="55" t="str">
        <f>IF(_xlfn.XLOOKUP($J693,Catalogo!$B$7:$B$21,Catalogo!$I$7:$I$21,"",0)=0,"",_xlfn.XLOOKUP($J693,Catalogo!$B$7:$B$21,Catalogo!$I$7:$I$21,"",0))</f>
        <v/>
      </c>
      <c r="L693" s="36"/>
      <c r="M693" s="261">
        <f>IF(Tabla1[[#This Row],[Avance_km]]&lt;&gt;"",Tabla1[[#This Row],[Avance_km]],Tabla1[[#This Row],[Avance_Med]])*_xlfn.XLOOKUP(Tabla1[[#This Row],[Codigo_actividad]],Catalogo!$B$6:$B$51,Catalogo!$F$6:$F$51,0)</f>
        <v>0</v>
      </c>
      <c r="N693" t="str">
        <f>_xlfn.IFNA(_xlfn.XLOOKUP(Tabla1[[#This Row],[fin]],$P$379:$P$398,$T$379:$T$398),"")</f>
        <v/>
      </c>
    </row>
    <row r="694" spans="1:14" x14ac:dyDescent="0.25">
      <c r="A694" s="354"/>
      <c r="B694" s="114"/>
      <c r="C694" s="155"/>
      <c r="D694" s="39"/>
      <c r="F694" s="28"/>
      <c r="G694" s="28"/>
      <c r="H694" s="224" t="str">
        <f>IF(Tabla1[[#This Row],[Codigo_actividad]]&lt;&gt;2.5,IF(((Tabla1[[#This Row],[fin]]-Tabla1[[#This Row],[inicio]])/1000)=0,"",((Tabla1[[#This Row],[fin]]-Tabla1[[#This Row],[inicio]])/1000)),"")</f>
        <v/>
      </c>
      <c r="I694" s="66"/>
      <c r="J694" s="76"/>
      <c r="K694" s="55" t="str">
        <f>IF(_xlfn.XLOOKUP($J694,Catalogo!$B$7:$B$21,Catalogo!$I$7:$I$21,"",0)=0,"",_xlfn.XLOOKUP($J694,Catalogo!$B$7:$B$21,Catalogo!$I$7:$I$21,"",0))</f>
        <v/>
      </c>
      <c r="L694" s="36"/>
      <c r="M694" s="261">
        <f>IF(Tabla1[[#This Row],[Avance_km]]&lt;&gt;"",Tabla1[[#This Row],[Avance_km]],Tabla1[[#This Row],[Avance_Med]])*_xlfn.XLOOKUP(Tabla1[[#This Row],[Codigo_actividad]],Catalogo!$B$6:$B$51,Catalogo!$F$6:$F$51,0)</f>
        <v>0</v>
      </c>
      <c r="N694" t="str">
        <f>_xlfn.IFNA(_xlfn.XLOOKUP(Tabla1[[#This Row],[fin]],$P$379:$P$398,$T$379:$T$398),"")</f>
        <v/>
      </c>
    </row>
    <row r="695" spans="1:14" x14ac:dyDescent="0.25">
      <c r="A695" s="354"/>
      <c r="B695" s="114"/>
      <c r="C695" s="155"/>
      <c r="D695" s="39"/>
      <c r="F695" s="28"/>
      <c r="G695" s="28"/>
      <c r="H695" s="224" t="str">
        <f>IF(Tabla1[[#This Row],[Codigo_actividad]]&lt;&gt;2.5,IF(((Tabla1[[#This Row],[fin]]-Tabla1[[#This Row],[inicio]])/1000)=0,"",((Tabla1[[#This Row],[fin]]-Tabla1[[#This Row],[inicio]])/1000)),"")</f>
        <v/>
      </c>
      <c r="I695" s="66"/>
      <c r="J695" s="76"/>
      <c r="K695" s="55" t="str">
        <f>IF(_xlfn.XLOOKUP($J695,Catalogo!$B$7:$B$21,Catalogo!$I$7:$I$21,"",0)=0,"",_xlfn.XLOOKUP($J695,Catalogo!$B$7:$B$21,Catalogo!$I$7:$I$21,"",0))</f>
        <v/>
      </c>
      <c r="L695" s="36"/>
      <c r="M695" s="261">
        <f>IF(Tabla1[[#This Row],[Avance_km]]&lt;&gt;"",Tabla1[[#This Row],[Avance_km]],Tabla1[[#This Row],[Avance_Med]])*_xlfn.XLOOKUP(Tabla1[[#This Row],[Codigo_actividad]],Catalogo!$B$6:$B$51,Catalogo!$F$6:$F$51,0)</f>
        <v>0</v>
      </c>
      <c r="N695" t="str">
        <f>_xlfn.IFNA(_xlfn.XLOOKUP(Tabla1[[#This Row],[fin]],$P$379:$P$398,$T$379:$T$398),"")</f>
        <v/>
      </c>
    </row>
    <row r="696" spans="1:14" x14ac:dyDescent="0.25">
      <c r="A696" s="354"/>
      <c r="B696" s="114"/>
      <c r="C696" s="155"/>
      <c r="D696" s="39"/>
      <c r="F696" s="28"/>
      <c r="G696" s="28"/>
      <c r="H696" s="224" t="str">
        <f>IF(Tabla1[[#This Row],[Codigo_actividad]]&lt;&gt;2.5,IF(((Tabla1[[#This Row],[fin]]-Tabla1[[#This Row],[inicio]])/1000)=0,"",((Tabla1[[#This Row],[fin]]-Tabla1[[#This Row],[inicio]])/1000)),"")</f>
        <v/>
      </c>
      <c r="I696" s="66"/>
      <c r="J696" s="76"/>
      <c r="K696" s="55" t="str">
        <f>IF(_xlfn.XLOOKUP($J696,Catalogo!$B$7:$B$21,Catalogo!$I$7:$I$21,"",0)=0,"",_xlfn.XLOOKUP($J696,Catalogo!$B$7:$B$21,Catalogo!$I$7:$I$21,"",0))</f>
        <v/>
      </c>
      <c r="L696" s="36"/>
      <c r="M696" s="261">
        <f>IF(Tabla1[[#This Row],[Avance_km]]&lt;&gt;"",Tabla1[[#This Row],[Avance_km]],Tabla1[[#This Row],[Avance_Med]])*_xlfn.XLOOKUP(Tabla1[[#This Row],[Codigo_actividad]],Catalogo!$B$6:$B$51,Catalogo!$F$6:$F$51,0)</f>
        <v>0</v>
      </c>
      <c r="N696" t="str">
        <f>_xlfn.IFNA(_xlfn.XLOOKUP(Tabla1[[#This Row],[fin]],$P$379:$P$398,$T$379:$T$398),"")</f>
        <v/>
      </c>
    </row>
    <row r="697" spans="1:14" x14ac:dyDescent="0.25">
      <c r="A697" s="354"/>
      <c r="B697" s="114"/>
      <c r="C697" s="155"/>
      <c r="D697" s="39"/>
      <c r="F697" s="28"/>
      <c r="G697" s="28"/>
      <c r="H697" s="224" t="str">
        <f>IF(Tabla1[[#This Row],[Codigo_actividad]]&lt;&gt;2.5,IF(((Tabla1[[#This Row],[fin]]-Tabla1[[#This Row],[inicio]])/1000)=0,"",((Tabla1[[#This Row],[fin]]-Tabla1[[#This Row],[inicio]])/1000)),"")</f>
        <v/>
      </c>
      <c r="I697" s="66"/>
      <c r="J697" s="76"/>
      <c r="K697" s="55" t="str">
        <f>IF(_xlfn.XLOOKUP($J697,Catalogo!$B$7:$B$21,Catalogo!$I$7:$I$21,"",0)=0,"",_xlfn.XLOOKUP($J697,Catalogo!$B$7:$B$21,Catalogo!$I$7:$I$21,"",0))</f>
        <v/>
      </c>
      <c r="L697" s="36"/>
      <c r="M697" s="261">
        <f>IF(Tabla1[[#This Row],[Avance_km]]&lt;&gt;"",Tabla1[[#This Row],[Avance_km]],Tabla1[[#This Row],[Avance_Med]])*_xlfn.XLOOKUP(Tabla1[[#This Row],[Codigo_actividad]],Catalogo!$B$6:$B$51,Catalogo!$F$6:$F$51,0)</f>
        <v>0</v>
      </c>
      <c r="N697" t="str">
        <f>_xlfn.IFNA(_xlfn.XLOOKUP(Tabla1[[#This Row],[fin]],$P$379:$P$398,$T$379:$T$398),"")</f>
        <v/>
      </c>
    </row>
    <row r="698" spans="1:14" x14ac:dyDescent="0.25">
      <c r="A698" s="354"/>
      <c r="B698" s="114"/>
      <c r="C698" s="155"/>
      <c r="D698" s="39"/>
      <c r="F698" s="28"/>
      <c r="G698" s="28"/>
      <c r="H698" s="224" t="str">
        <f>IF(Tabla1[[#This Row],[Codigo_actividad]]&lt;&gt;2.5,IF(((Tabla1[[#This Row],[fin]]-Tabla1[[#This Row],[inicio]])/1000)=0,"",((Tabla1[[#This Row],[fin]]-Tabla1[[#This Row],[inicio]])/1000)),"")</f>
        <v/>
      </c>
      <c r="I698" s="66"/>
      <c r="J698" s="76"/>
      <c r="K698" s="55" t="str">
        <f>IF(_xlfn.XLOOKUP($J698,Catalogo!$B$7:$B$21,Catalogo!$I$7:$I$21,"",0)=0,"",_xlfn.XLOOKUP($J698,Catalogo!$B$7:$B$21,Catalogo!$I$7:$I$21,"",0))</f>
        <v/>
      </c>
      <c r="L698" s="36"/>
      <c r="M698" s="261">
        <f>IF(Tabla1[[#This Row],[Avance_km]]&lt;&gt;"",Tabla1[[#This Row],[Avance_km]],Tabla1[[#This Row],[Avance_Med]])*_xlfn.XLOOKUP(Tabla1[[#This Row],[Codigo_actividad]],Catalogo!$B$6:$B$51,Catalogo!$F$6:$F$51,0)</f>
        <v>0</v>
      </c>
      <c r="N698" t="str">
        <f>_xlfn.IFNA(_xlfn.XLOOKUP(Tabla1[[#This Row],[fin]],$P$379:$P$398,$T$379:$T$398),"")</f>
        <v/>
      </c>
    </row>
    <row r="699" spans="1:14" x14ac:dyDescent="0.25">
      <c r="A699" s="354"/>
      <c r="B699" s="114"/>
      <c r="C699" s="155"/>
      <c r="D699" s="39"/>
      <c r="F699" s="28"/>
      <c r="G699" s="28"/>
      <c r="H699" s="224" t="str">
        <f>IF(Tabla1[[#This Row],[Codigo_actividad]]&lt;&gt;2.5,IF(((Tabla1[[#This Row],[fin]]-Tabla1[[#This Row],[inicio]])/1000)=0,"",((Tabla1[[#This Row],[fin]]-Tabla1[[#This Row],[inicio]])/1000)),"")</f>
        <v/>
      </c>
      <c r="I699" s="66"/>
      <c r="J699" s="76"/>
      <c r="K699" s="55" t="str">
        <f>IF(_xlfn.XLOOKUP($J699,Catalogo!$B$7:$B$21,Catalogo!$I$7:$I$21,"",0)=0,"",_xlfn.XLOOKUP($J699,Catalogo!$B$7:$B$21,Catalogo!$I$7:$I$21,"",0))</f>
        <v/>
      </c>
      <c r="L699" s="36"/>
      <c r="M699" s="261">
        <f>IF(Tabla1[[#This Row],[Avance_km]]&lt;&gt;"",Tabla1[[#This Row],[Avance_km]],Tabla1[[#This Row],[Avance_Med]])*_xlfn.XLOOKUP(Tabla1[[#This Row],[Codigo_actividad]],Catalogo!$B$6:$B$51,Catalogo!$F$6:$F$51,0)</f>
        <v>0</v>
      </c>
      <c r="N699" t="str">
        <f>_xlfn.IFNA(_xlfn.XLOOKUP(Tabla1[[#This Row],[fin]],$P$379:$P$398,$T$379:$T$398),"")</f>
        <v/>
      </c>
    </row>
    <row r="700" spans="1:14" x14ac:dyDescent="0.25">
      <c r="A700" s="354"/>
      <c r="B700" s="114"/>
      <c r="C700" s="155"/>
      <c r="D700" s="39"/>
      <c r="F700" s="28"/>
      <c r="G700" s="28"/>
      <c r="H700" s="224" t="str">
        <f>IF(Tabla1[[#This Row],[Codigo_actividad]]&lt;&gt;2.5,IF(((Tabla1[[#This Row],[fin]]-Tabla1[[#This Row],[inicio]])/1000)=0,"",((Tabla1[[#This Row],[fin]]-Tabla1[[#This Row],[inicio]])/1000)),"")</f>
        <v/>
      </c>
      <c r="I700" s="66"/>
      <c r="J700" s="76"/>
      <c r="K700" s="55" t="str">
        <f>IF(_xlfn.XLOOKUP($J700,Catalogo!$B$7:$B$21,Catalogo!$I$7:$I$21,"",0)=0,"",_xlfn.XLOOKUP($J700,Catalogo!$B$7:$B$21,Catalogo!$I$7:$I$21,"",0))</f>
        <v/>
      </c>
      <c r="L700" s="36"/>
      <c r="M700" s="261">
        <f>IF(Tabla1[[#This Row],[Avance_km]]&lt;&gt;"",Tabla1[[#This Row],[Avance_km]],Tabla1[[#This Row],[Avance_Med]])*_xlfn.XLOOKUP(Tabla1[[#This Row],[Codigo_actividad]],Catalogo!$B$6:$B$51,Catalogo!$F$6:$F$51,0)</f>
        <v>0</v>
      </c>
      <c r="N700" t="str">
        <f>_xlfn.IFNA(_xlfn.XLOOKUP(Tabla1[[#This Row],[fin]],$P$379:$P$398,$T$379:$T$398),"")</f>
        <v/>
      </c>
    </row>
    <row r="701" spans="1:14" x14ac:dyDescent="0.25">
      <c r="A701" s="354"/>
      <c r="B701" s="114"/>
      <c r="C701" s="155"/>
      <c r="D701" s="39"/>
      <c r="F701" s="28"/>
      <c r="G701" s="28"/>
      <c r="H701" s="224" t="str">
        <f>IF(Tabla1[[#This Row],[Codigo_actividad]]&lt;&gt;2.5,IF(((Tabla1[[#This Row],[fin]]-Tabla1[[#This Row],[inicio]])/1000)=0,"",((Tabla1[[#This Row],[fin]]-Tabla1[[#This Row],[inicio]])/1000)),"")</f>
        <v/>
      </c>
      <c r="I701" s="66"/>
      <c r="J701" s="76"/>
      <c r="K701" s="55" t="str">
        <f>IF(_xlfn.XLOOKUP($J701,Catalogo!$B$7:$B$21,Catalogo!$I$7:$I$21,"",0)=0,"",_xlfn.XLOOKUP($J701,Catalogo!$B$7:$B$21,Catalogo!$I$7:$I$21,"",0))</f>
        <v/>
      </c>
      <c r="L701" s="36"/>
      <c r="M701" s="261">
        <f>IF(Tabla1[[#This Row],[Avance_km]]&lt;&gt;"",Tabla1[[#This Row],[Avance_km]],Tabla1[[#This Row],[Avance_Med]])*_xlfn.XLOOKUP(Tabla1[[#This Row],[Codigo_actividad]],Catalogo!$B$6:$B$51,Catalogo!$F$6:$F$51,0)</f>
        <v>0</v>
      </c>
      <c r="N701" t="str">
        <f>_xlfn.IFNA(_xlfn.XLOOKUP(Tabla1[[#This Row],[fin]],$P$379:$P$398,$T$379:$T$398),"")</f>
        <v/>
      </c>
    </row>
    <row r="702" spans="1:14" x14ac:dyDescent="0.25">
      <c r="A702" s="354"/>
      <c r="B702" s="114"/>
      <c r="C702" s="155"/>
      <c r="D702" s="39"/>
      <c r="F702" s="28"/>
      <c r="G702" s="28"/>
      <c r="H702" s="224" t="str">
        <f>IF(Tabla1[[#This Row],[Codigo_actividad]]&lt;&gt;2.5,IF(((Tabla1[[#This Row],[fin]]-Tabla1[[#This Row],[inicio]])/1000)=0,"",((Tabla1[[#This Row],[fin]]-Tabla1[[#This Row],[inicio]])/1000)),"")</f>
        <v/>
      </c>
      <c r="I702" s="66"/>
      <c r="J702" s="76"/>
      <c r="K702" s="55" t="str">
        <f>IF(_xlfn.XLOOKUP($J702,Catalogo!$B$7:$B$21,Catalogo!$I$7:$I$21,"",0)=0,"",_xlfn.XLOOKUP($J702,Catalogo!$B$7:$B$21,Catalogo!$I$7:$I$21,"",0))</f>
        <v/>
      </c>
      <c r="L702" s="36"/>
      <c r="M702" s="261">
        <f>IF(Tabla1[[#This Row],[Avance_km]]&lt;&gt;"",Tabla1[[#This Row],[Avance_km]],Tabla1[[#This Row],[Avance_Med]])*_xlfn.XLOOKUP(Tabla1[[#This Row],[Codigo_actividad]],Catalogo!$B$6:$B$51,Catalogo!$F$6:$F$51,0)</f>
        <v>0</v>
      </c>
      <c r="N702" t="str">
        <f>_xlfn.IFNA(_xlfn.XLOOKUP(Tabla1[[#This Row],[fin]],$P$379:$P$398,$T$379:$T$398),"")</f>
        <v/>
      </c>
    </row>
    <row r="703" spans="1:14" x14ac:dyDescent="0.25">
      <c r="A703" s="354"/>
      <c r="B703" s="114"/>
      <c r="C703" s="155"/>
      <c r="D703" s="39"/>
      <c r="F703" s="28"/>
      <c r="G703" s="28"/>
      <c r="H703" s="224" t="str">
        <f>IF(Tabla1[[#This Row],[Codigo_actividad]]&lt;&gt;2.5,IF(((Tabla1[[#This Row],[fin]]-Tabla1[[#This Row],[inicio]])/1000)=0,"",((Tabla1[[#This Row],[fin]]-Tabla1[[#This Row],[inicio]])/1000)),"")</f>
        <v/>
      </c>
      <c r="I703" s="66"/>
      <c r="J703" s="76"/>
      <c r="K703" s="55" t="str">
        <f>IF(_xlfn.XLOOKUP($J703,Catalogo!$B$7:$B$21,Catalogo!$I$7:$I$21,"",0)=0,"",_xlfn.XLOOKUP($J703,Catalogo!$B$7:$B$21,Catalogo!$I$7:$I$21,"",0))</f>
        <v/>
      </c>
      <c r="L703" s="36"/>
      <c r="M703" s="261">
        <f>IF(Tabla1[[#This Row],[Avance_km]]&lt;&gt;"",Tabla1[[#This Row],[Avance_km]],Tabla1[[#This Row],[Avance_Med]])*_xlfn.XLOOKUP(Tabla1[[#This Row],[Codigo_actividad]],Catalogo!$B$6:$B$51,Catalogo!$F$6:$F$51,0)</f>
        <v>0</v>
      </c>
      <c r="N703" t="str">
        <f>_xlfn.IFNA(_xlfn.XLOOKUP(Tabla1[[#This Row],[fin]],$P$379:$P$398,$T$379:$T$398),"")</f>
        <v/>
      </c>
    </row>
    <row r="704" spans="1:14" x14ac:dyDescent="0.25">
      <c r="A704" s="354"/>
      <c r="B704" s="114"/>
      <c r="C704" s="155"/>
      <c r="D704" s="39"/>
      <c r="F704" s="28"/>
      <c r="G704" s="28"/>
      <c r="H704" s="224" t="str">
        <f>IF(Tabla1[[#This Row],[Codigo_actividad]]&lt;&gt;2.5,IF(((Tabla1[[#This Row],[fin]]-Tabla1[[#This Row],[inicio]])/1000)=0,"",((Tabla1[[#This Row],[fin]]-Tabla1[[#This Row],[inicio]])/1000)),"")</f>
        <v/>
      </c>
      <c r="I704" s="66"/>
      <c r="J704" s="76"/>
      <c r="K704" s="55" t="str">
        <f>IF(_xlfn.XLOOKUP($J704,Catalogo!$B$7:$B$21,Catalogo!$I$7:$I$21,"",0)=0,"",_xlfn.XLOOKUP($J704,Catalogo!$B$7:$B$21,Catalogo!$I$7:$I$21,"",0))</f>
        <v/>
      </c>
      <c r="L704" s="36"/>
      <c r="M704" s="261">
        <f>IF(Tabla1[[#This Row],[Avance_km]]&lt;&gt;"",Tabla1[[#This Row],[Avance_km]],Tabla1[[#This Row],[Avance_Med]])*_xlfn.XLOOKUP(Tabla1[[#This Row],[Codigo_actividad]],Catalogo!$B$6:$B$51,Catalogo!$F$6:$F$51,0)</f>
        <v>0</v>
      </c>
      <c r="N704" t="str">
        <f>_xlfn.IFNA(_xlfn.XLOOKUP(Tabla1[[#This Row],[fin]],$P$379:$P$398,$T$379:$T$398),"")</f>
        <v/>
      </c>
    </row>
    <row r="705" spans="1:14" x14ac:dyDescent="0.25">
      <c r="A705" s="354"/>
      <c r="B705" s="114"/>
      <c r="C705" s="155"/>
      <c r="D705" s="39"/>
      <c r="F705" s="28"/>
      <c r="G705" s="28"/>
      <c r="H705" s="224" t="str">
        <f>IF(Tabla1[[#This Row],[Codigo_actividad]]&lt;&gt;2.5,IF(((Tabla1[[#This Row],[fin]]-Tabla1[[#This Row],[inicio]])/1000)=0,"",((Tabla1[[#This Row],[fin]]-Tabla1[[#This Row],[inicio]])/1000)),"")</f>
        <v/>
      </c>
      <c r="I705" s="66"/>
      <c r="J705" s="76"/>
      <c r="K705" s="55" t="str">
        <f>IF(_xlfn.XLOOKUP($J705,Catalogo!$B$7:$B$21,Catalogo!$I$7:$I$21,"",0)=0,"",_xlfn.XLOOKUP($J705,Catalogo!$B$7:$B$21,Catalogo!$I$7:$I$21,"",0))</f>
        <v/>
      </c>
      <c r="L705" s="36"/>
      <c r="M705" s="261">
        <f>IF(Tabla1[[#This Row],[Avance_km]]&lt;&gt;"",Tabla1[[#This Row],[Avance_km]],Tabla1[[#This Row],[Avance_Med]])*_xlfn.XLOOKUP(Tabla1[[#This Row],[Codigo_actividad]],Catalogo!$B$6:$B$51,Catalogo!$F$6:$F$51,0)</f>
        <v>0</v>
      </c>
      <c r="N705" t="str">
        <f>_xlfn.IFNA(_xlfn.XLOOKUP(Tabla1[[#This Row],[fin]],$P$379:$P$398,$T$379:$T$398),"")</f>
        <v/>
      </c>
    </row>
    <row r="706" spans="1:14" x14ac:dyDescent="0.25">
      <c r="A706" s="354"/>
      <c r="B706" s="114"/>
      <c r="C706" s="155"/>
      <c r="D706" s="39"/>
      <c r="F706" s="28"/>
      <c r="G706" s="28"/>
      <c r="H706" s="224" t="str">
        <f>IF(Tabla1[[#This Row],[Codigo_actividad]]&lt;&gt;2.5,IF(((Tabla1[[#This Row],[fin]]-Tabla1[[#This Row],[inicio]])/1000)=0,"",((Tabla1[[#This Row],[fin]]-Tabla1[[#This Row],[inicio]])/1000)),"")</f>
        <v/>
      </c>
      <c r="I706" s="66"/>
      <c r="J706" s="76"/>
      <c r="K706" s="55" t="str">
        <f>IF(_xlfn.XLOOKUP($J706,Catalogo!$B$7:$B$21,Catalogo!$I$7:$I$21,"",0)=0,"",_xlfn.XLOOKUP($J706,Catalogo!$B$7:$B$21,Catalogo!$I$7:$I$21,"",0))</f>
        <v/>
      </c>
      <c r="L706" s="36"/>
      <c r="M706" s="261">
        <f>IF(Tabla1[[#This Row],[Avance_km]]&lt;&gt;"",Tabla1[[#This Row],[Avance_km]],Tabla1[[#This Row],[Avance_Med]])*_xlfn.XLOOKUP(Tabla1[[#This Row],[Codigo_actividad]],Catalogo!$B$6:$B$51,Catalogo!$F$6:$F$51,0)</f>
        <v>0</v>
      </c>
      <c r="N706" t="str">
        <f>_xlfn.IFNA(_xlfn.XLOOKUP(Tabla1[[#This Row],[fin]],$P$379:$P$398,$T$379:$T$398),"")</f>
        <v/>
      </c>
    </row>
    <row r="707" spans="1:14" x14ac:dyDescent="0.25">
      <c r="A707" s="354"/>
      <c r="B707" s="114"/>
      <c r="C707" s="155"/>
      <c r="D707" s="39"/>
      <c r="F707" s="28"/>
      <c r="G707" s="28"/>
      <c r="H707" s="224" t="str">
        <f>IF(Tabla1[[#This Row],[Codigo_actividad]]&lt;&gt;2.5,IF(((Tabla1[[#This Row],[fin]]-Tabla1[[#This Row],[inicio]])/1000)=0,"",((Tabla1[[#This Row],[fin]]-Tabla1[[#This Row],[inicio]])/1000)),"")</f>
        <v/>
      </c>
      <c r="I707" s="66"/>
      <c r="J707" s="76"/>
      <c r="K707" s="55" t="str">
        <f>IF(_xlfn.XLOOKUP($J707,Catalogo!$B$7:$B$21,Catalogo!$I$7:$I$21,"",0)=0,"",_xlfn.XLOOKUP($J707,Catalogo!$B$7:$B$21,Catalogo!$I$7:$I$21,"",0))</f>
        <v/>
      </c>
      <c r="L707" s="36"/>
      <c r="M707" s="261">
        <f>IF(Tabla1[[#This Row],[Avance_km]]&lt;&gt;"",Tabla1[[#This Row],[Avance_km]],Tabla1[[#This Row],[Avance_Med]])*_xlfn.XLOOKUP(Tabla1[[#This Row],[Codigo_actividad]],Catalogo!$B$6:$B$51,Catalogo!$F$6:$F$51,0)</f>
        <v>0</v>
      </c>
      <c r="N707" t="str">
        <f>_xlfn.IFNA(_xlfn.XLOOKUP(Tabla1[[#This Row],[fin]],$P$379:$P$398,$T$379:$T$398),"")</f>
        <v/>
      </c>
    </row>
    <row r="708" spans="1:14" x14ac:dyDescent="0.25">
      <c r="A708" s="354"/>
      <c r="B708" s="114"/>
      <c r="C708" s="155"/>
      <c r="D708" s="39"/>
      <c r="F708" s="28"/>
      <c r="G708" s="28"/>
      <c r="H708" s="224" t="str">
        <f>IF(Tabla1[[#This Row],[Codigo_actividad]]&lt;&gt;2.5,IF(((Tabla1[[#This Row],[fin]]-Tabla1[[#This Row],[inicio]])/1000)=0,"",((Tabla1[[#This Row],[fin]]-Tabla1[[#This Row],[inicio]])/1000)),"")</f>
        <v/>
      </c>
      <c r="I708" s="66"/>
      <c r="J708" s="76"/>
      <c r="K708" s="55" t="str">
        <f>IF(_xlfn.XLOOKUP($J708,Catalogo!$B$7:$B$21,Catalogo!$I$7:$I$21,"",0)=0,"",_xlfn.XLOOKUP($J708,Catalogo!$B$7:$B$21,Catalogo!$I$7:$I$21,"",0))</f>
        <v/>
      </c>
      <c r="L708" s="36"/>
      <c r="M708" s="261">
        <f>IF(Tabla1[[#This Row],[Avance_km]]&lt;&gt;"",Tabla1[[#This Row],[Avance_km]],Tabla1[[#This Row],[Avance_Med]])*_xlfn.XLOOKUP(Tabla1[[#This Row],[Codigo_actividad]],Catalogo!$B$6:$B$51,Catalogo!$F$6:$F$51,0)</f>
        <v>0</v>
      </c>
      <c r="N708" t="str">
        <f>_xlfn.IFNA(_xlfn.XLOOKUP(Tabla1[[#This Row],[fin]],$P$379:$P$398,$T$379:$T$398),"")</f>
        <v/>
      </c>
    </row>
    <row r="709" spans="1:14" x14ac:dyDescent="0.25">
      <c r="A709" s="359"/>
      <c r="B709" s="283"/>
      <c r="C709" s="284"/>
      <c r="D709" s="285"/>
      <c r="E709" s="380"/>
      <c r="F709" s="286"/>
      <c r="G709" s="286"/>
      <c r="H709" s="515" t="str">
        <f>IF(Tabla1[[#This Row],[Codigo_actividad]]&lt;&gt;2.5,IF(((Tabla1[[#This Row],[fin]]-Tabla1[[#This Row],[inicio]])/1000)=0,"",((Tabla1[[#This Row],[fin]]-Tabla1[[#This Row],[inicio]])/1000)),"")</f>
        <v/>
      </c>
      <c r="I709" s="516"/>
      <c r="J709" s="516"/>
      <c r="K709" s="516" t="str">
        <f>IF(_xlfn.XLOOKUP($J709,Catalogo!$B$7:$B$21,Catalogo!$I$7:$I$21,"",0)=0,"",_xlfn.XLOOKUP($J709,Catalogo!$B$7:$B$21,Catalogo!$I$7:$I$21,"",0))</f>
        <v/>
      </c>
      <c r="L709" s="517"/>
      <c r="M709" s="518">
        <f>IF(Tabla1[[#This Row],[Avance_km]]&lt;&gt;"",Tabla1[[#This Row],[Avance_km]],Tabla1[[#This Row],[Avance_Med]])*_xlfn.XLOOKUP(Tabla1[[#This Row],[Codigo_actividad]],Catalogo!$B$6:$B$51,Catalogo!$F$6:$F$51,0)</f>
        <v>0</v>
      </c>
      <c r="N709" s="519" t="str">
        <f>_xlfn.IFNA(_xlfn.XLOOKUP(Tabla1[[#This Row],[fin]],$P$379:$P$398,$T$379:$T$398),"")</f>
        <v/>
      </c>
    </row>
    <row r="710" spans="1:14" x14ac:dyDescent="0.25">
      <c r="A710" s="354"/>
      <c r="B710" s="114"/>
      <c r="C710" s="155"/>
      <c r="D710" s="39"/>
      <c r="F710" s="28"/>
      <c r="G710" s="28"/>
      <c r="H710" s="224" t="str">
        <f>IF(Tabla1[[#This Row],[Codigo_actividad]]&lt;&gt;2.5,IF(((Tabla1[[#This Row],[fin]]-Tabla1[[#This Row],[inicio]])/1000)=0,"",((Tabla1[[#This Row],[fin]]-Tabla1[[#This Row],[inicio]])/1000)),"")</f>
        <v/>
      </c>
      <c r="I710" s="66"/>
      <c r="J710" s="76"/>
      <c r="K710" s="66" t="str">
        <f>IF(_xlfn.XLOOKUP($J710,Catalogo!$B$7:$B$21,Catalogo!$I$7:$I$21,"",0)=0,"",_xlfn.XLOOKUP($J710,Catalogo!$B$7:$B$21,Catalogo!$I$7:$I$21,"",0))</f>
        <v/>
      </c>
      <c r="L710" s="36"/>
      <c r="M710" s="261">
        <f>IF(Tabla1[[#This Row],[Avance_km]]&lt;&gt;"",Tabla1[[#This Row],[Avance_km]],Tabla1[[#This Row],[Avance_Med]])*_xlfn.XLOOKUP(Tabla1[[#This Row],[Codigo_actividad]],Catalogo!$B$6:$B$51,Catalogo!$F$6:$F$51,0)</f>
        <v>0</v>
      </c>
      <c r="N710" t="str">
        <f>_xlfn.IFNA(_xlfn.XLOOKUP(Tabla1[[#This Row],[fin]],$P$379:$P$398,$T$379:$T$398),"")</f>
        <v/>
      </c>
    </row>
    <row r="711" spans="1:14" x14ac:dyDescent="0.25">
      <c r="A711" s="354">
        <v>46280</v>
      </c>
      <c r="B711" s="114" t="s">
        <v>30</v>
      </c>
      <c r="C711" s="512" t="s">
        <v>13</v>
      </c>
      <c r="D711" s="39" t="s">
        <v>14</v>
      </c>
      <c r="E711" s="40" t="s">
        <v>119</v>
      </c>
      <c r="F711" s="493">
        <v>3901</v>
      </c>
      <c r="G711" s="28" t="s">
        <v>618</v>
      </c>
      <c r="H711" s="224"/>
      <c r="I711" s="501">
        <v>1</v>
      </c>
      <c r="J711" s="76">
        <v>3.2</v>
      </c>
      <c r="K711" s="66" t="str">
        <f>IF(_xlfn.XLOOKUP($J711,Catalogo!$B$7:$B$210,Catalogo!$I$7:$I$210,"",0)=0,"",_xlfn.XLOOKUP($J711,Catalogo!$B$7:$B$210,Catalogo!$I$7:$I$210,"",0))</f>
        <v>DATA EXC</v>
      </c>
      <c r="L711" s="36"/>
      <c r="M711" s="261">
        <f>IF(Tabla1[[#This Row],[Avance_km]]&lt;&gt;"",Tabla1[[#This Row],[Avance_km]],Tabla1[[#This Row],[Avance_Med]])*_xlfn.XLOOKUP(Tabla1[[#This Row],[Codigo_actividad]],Catalogo!$B$6:$B$51,Catalogo!$F$6:$F$51,0)</f>
        <v>7585.99</v>
      </c>
    </row>
    <row r="712" spans="1:14" x14ac:dyDescent="0.25">
      <c r="A712" s="354">
        <v>46280</v>
      </c>
      <c r="B712" s="114" t="s">
        <v>30</v>
      </c>
      <c r="C712" s="512" t="s">
        <v>13</v>
      </c>
      <c r="D712" s="39" t="s">
        <v>14</v>
      </c>
      <c r="E712" s="40" t="s">
        <v>531</v>
      </c>
      <c r="F712" s="493">
        <v>3901</v>
      </c>
      <c r="G712" s="28" t="s">
        <v>618</v>
      </c>
      <c r="H712" s="224"/>
      <c r="I712" s="501">
        <v>1</v>
      </c>
      <c r="J712" s="76" t="s">
        <v>122</v>
      </c>
      <c r="K712" s="66" t="str">
        <f>IF(_xlfn.XLOOKUP($J712,Catalogo!$B$7:$B$210,Catalogo!$I$7:$I$210,"",0)=0,"",_xlfn.XLOOKUP($J712,Catalogo!$B$7:$B$210,Catalogo!$I$7:$I$210,"",0))</f>
        <v>VT</v>
      </c>
      <c r="L712" s="36"/>
      <c r="M712" s="261">
        <f>IF(Tabla1[[#This Row],[Avance_km]]&lt;&gt;"",Tabla1[[#This Row],[Avance_km]],Tabla1[[#This Row],[Avance_Med]])*_xlfn.XLOOKUP(Tabla1[[#This Row],[Codigo_actividad]],Catalogo!$B$6:$B$51,Catalogo!$F$6:$F$51,0)</f>
        <v>1765.59</v>
      </c>
    </row>
    <row r="713" spans="1:14" x14ac:dyDescent="0.25">
      <c r="A713" s="354">
        <v>46280</v>
      </c>
      <c r="B713" s="114" t="s">
        <v>30</v>
      </c>
      <c r="C713" s="512" t="s">
        <v>13</v>
      </c>
      <c r="D713" s="39" t="s">
        <v>14</v>
      </c>
      <c r="E713" s="40" t="s">
        <v>125</v>
      </c>
      <c r="F713" s="493">
        <v>3901</v>
      </c>
      <c r="G713" s="28" t="s">
        <v>618</v>
      </c>
      <c r="H713" s="224"/>
      <c r="I713" s="501">
        <v>1</v>
      </c>
      <c r="J713" s="76" t="s">
        <v>124</v>
      </c>
      <c r="K713" s="66" t="str">
        <f>IF(_xlfn.XLOOKUP($J713,Catalogo!$B$7:$B$210,Catalogo!$I$7:$I$210,"",0)=0,"",_xlfn.XLOOKUP($J713,Catalogo!$B$7:$B$210,Catalogo!$I$7:$I$210,"",0))</f>
        <v>SANIDAD Y ESPESORES</v>
      </c>
      <c r="L713" s="36"/>
      <c r="M713" s="261">
        <f>IF(Tabla1[[#This Row],[Avance_km]]&lt;&gt;"",Tabla1[[#This Row],[Avance_km]],Tabla1[[#This Row],[Avance_Med]])*_xlfn.XLOOKUP(Tabla1[[#This Row],[Codigo_actividad]],Catalogo!$B$6:$B$51,Catalogo!$F$6:$F$51,0)</f>
        <v>1934.59</v>
      </c>
    </row>
    <row r="714" spans="1:14" x14ac:dyDescent="0.25">
      <c r="A714" s="354">
        <v>46280</v>
      </c>
      <c r="B714" s="114" t="s">
        <v>30</v>
      </c>
      <c r="C714" s="512" t="s">
        <v>13</v>
      </c>
      <c r="D714" s="39" t="s">
        <v>14</v>
      </c>
      <c r="E714" s="40" t="s">
        <v>128</v>
      </c>
      <c r="F714" s="493">
        <v>3901</v>
      </c>
      <c r="G714" s="28" t="s">
        <v>618</v>
      </c>
      <c r="H714" s="224"/>
      <c r="I714" s="501">
        <v>1</v>
      </c>
      <c r="J714" s="76" t="s">
        <v>127</v>
      </c>
      <c r="K714" s="66" t="str">
        <f>IF(_xlfn.XLOOKUP($J714,Catalogo!$B$7:$B$210,Catalogo!$I$7:$I$210,"",0)=0,"",_xlfn.XLOOKUP($J714,Catalogo!$B$7:$B$210,Catalogo!$I$7:$I$210,"",0))</f>
        <v>CARACTERIZACION</v>
      </c>
      <c r="L714" s="36"/>
      <c r="M714" s="261">
        <f>IF(Tabla1[[#This Row],[Avance_km]]&lt;&gt;"",Tabla1[[#This Row],[Avance_km]],Tabla1[[#This Row],[Avance_Med]])*_xlfn.XLOOKUP(Tabla1[[#This Row],[Codigo_actividad]],Catalogo!$B$6:$B$51,Catalogo!$F$6:$F$51,0)</f>
        <v>1960.59</v>
      </c>
    </row>
    <row r="715" spans="1:14" x14ac:dyDescent="0.25">
      <c r="A715" s="354">
        <v>46280</v>
      </c>
      <c r="B715" s="114" t="s">
        <v>30</v>
      </c>
      <c r="C715" s="512" t="s">
        <v>13</v>
      </c>
      <c r="D715" s="39" t="s">
        <v>14</v>
      </c>
      <c r="E715" s="40" t="s">
        <v>132</v>
      </c>
      <c r="F715" s="493">
        <v>3901</v>
      </c>
      <c r="G715" s="28" t="s">
        <v>618</v>
      </c>
      <c r="H715" s="224"/>
      <c r="I715" s="501">
        <v>1</v>
      </c>
      <c r="J715" s="76" t="s">
        <v>131</v>
      </c>
      <c r="K715" s="66" t="str">
        <f>IF(_xlfn.XLOOKUP($J715,Catalogo!$B$7:$B$210,Catalogo!$I$7:$I$210,"",0)=0,"",_xlfn.XLOOKUP($J715,Catalogo!$B$7:$B$210,Catalogo!$I$7:$I$210,"",0))</f>
        <v>UT RECTO</v>
      </c>
      <c r="L715" s="36"/>
      <c r="M715" s="261">
        <f>IF(Tabla1[[#This Row],[Avance_km]]&lt;&gt;"",Tabla1[[#This Row],[Avance_km]],Tabla1[[#This Row],[Avance_Med]])*_xlfn.XLOOKUP(Tabla1[[#This Row],[Codigo_actividad]],Catalogo!$B$6:$B$51,Catalogo!$F$6:$F$51,0)</f>
        <v>2220.59</v>
      </c>
    </row>
    <row r="716" spans="1:14" x14ac:dyDescent="0.25">
      <c r="A716" s="354">
        <v>46280</v>
      </c>
      <c r="B716" s="114" t="s">
        <v>30</v>
      </c>
      <c r="C716" s="512" t="s">
        <v>13</v>
      </c>
      <c r="D716" s="39" t="s">
        <v>14</v>
      </c>
      <c r="E716" s="40" t="s">
        <v>138</v>
      </c>
      <c r="F716" s="493">
        <v>3901</v>
      </c>
      <c r="G716" s="28" t="s">
        <v>618</v>
      </c>
      <c r="H716" s="224"/>
      <c r="I716" s="501">
        <v>1</v>
      </c>
      <c r="J716" s="76" t="s">
        <v>137</v>
      </c>
      <c r="K716" s="66" t="str">
        <f>IF(_xlfn.XLOOKUP($J716,Catalogo!$B$7:$B$210,Catalogo!$I$7:$I$210,"",0)=0,"",_xlfn.XLOOKUP($J716,Catalogo!$B$7:$B$210,Catalogo!$I$7:$I$210,"",0))</f>
        <v>PH EXC</v>
      </c>
      <c r="L716" s="36"/>
      <c r="M716" s="261">
        <f>IF(Tabla1[[#This Row],[Avance_km]]&lt;&gt;"",Tabla1[[#This Row],[Avance_km]],Tabla1[[#This Row],[Avance_Med]])*_xlfn.XLOOKUP(Tabla1[[#This Row],[Codigo_actividad]],Catalogo!$B$6:$B$51,Catalogo!$F$6:$F$51,0)</f>
        <v>656</v>
      </c>
    </row>
    <row r="717" spans="1:14" x14ac:dyDescent="0.25">
      <c r="A717" s="354">
        <v>46280</v>
      </c>
      <c r="B717" s="114" t="s">
        <v>30</v>
      </c>
      <c r="C717" s="512" t="s">
        <v>13</v>
      </c>
      <c r="D717" s="39" t="s">
        <v>14</v>
      </c>
      <c r="E717" s="40" t="s">
        <v>140</v>
      </c>
      <c r="F717" s="493">
        <v>3901</v>
      </c>
      <c r="G717" s="28" t="s">
        <v>618</v>
      </c>
      <c r="H717" s="224"/>
      <c r="I717" s="501">
        <v>1</v>
      </c>
      <c r="J717" s="76" t="s">
        <v>139</v>
      </c>
      <c r="K717" s="66" t="str">
        <f>IF(_xlfn.XLOOKUP($J717,Catalogo!$B$7:$B$210,Catalogo!$I$7:$I$210,"",0)=0,"",_xlfn.XLOOKUP($J717,Catalogo!$B$7:$B$210,Catalogo!$I$7:$I$210,"",0))</f>
        <v>BACTERIAS EXC</v>
      </c>
      <c r="L717" s="36"/>
      <c r="M717" s="261">
        <f>IF(Tabla1[[#This Row],[Avance_km]]&lt;&gt;"",Tabla1[[#This Row],[Avance_km]],Tabla1[[#This Row],[Avance_Med]])*_xlfn.XLOOKUP(Tabla1[[#This Row],[Codigo_actividad]],Catalogo!$B$6:$B$51,Catalogo!$F$6:$F$51,0)</f>
        <v>4676</v>
      </c>
    </row>
    <row r="718" spans="1:14" x14ac:dyDescent="0.25">
      <c r="A718" s="354"/>
      <c r="B718" s="114"/>
      <c r="C718" s="512"/>
      <c r="D718" s="39"/>
      <c r="F718" s="28"/>
      <c r="G718" s="28"/>
      <c r="H718" s="224" t="str">
        <f>IF(Tabla1[[#This Row],[Codigo_actividad]]&lt;&gt;2.5,IF(((Tabla1[[#This Row],[fin]]-Tabla1[[#This Row],[inicio]])/1000)=0,"",((Tabla1[[#This Row],[fin]]-Tabla1[[#This Row],[inicio]])/1000)),"")</f>
        <v/>
      </c>
      <c r="I718" s="66"/>
      <c r="J718" s="76"/>
      <c r="K718" s="66" t="str">
        <f>IF(_xlfn.XLOOKUP($J718,Catalogo!$B$7:$B$21,Catalogo!$I$7:$I$21,"",0)=0,"",_xlfn.XLOOKUP($J718,Catalogo!$B$7:$B$21,Catalogo!$I$7:$I$21,"",0))</f>
        <v/>
      </c>
      <c r="L718" s="36"/>
      <c r="M718" s="261">
        <f>IF(Tabla1[[#This Row],[Avance_km]]&lt;&gt;"",Tabla1[[#This Row],[Avance_km]],Tabla1[[#This Row],[Avance_Med]])*_xlfn.XLOOKUP(Tabla1[[#This Row],[Codigo_actividad]],Catalogo!$B$6:$B$51,Catalogo!$F$6:$F$51,0)</f>
        <v>0</v>
      </c>
      <c r="N718" t="str">
        <f>_xlfn.IFNA(_xlfn.XLOOKUP(Tabla1[[#This Row],[fin]],$P$379:$P$398,$T$379:$T$398),"")</f>
        <v/>
      </c>
    </row>
    <row r="719" spans="1:14" x14ac:dyDescent="0.25">
      <c r="A719" s="354">
        <v>46259</v>
      </c>
      <c r="B719" s="114" t="s">
        <v>30</v>
      </c>
      <c r="C719" s="512" t="s">
        <v>13</v>
      </c>
      <c r="D719" s="39" t="s">
        <v>14</v>
      </c>
      <c r="E719" s="40" t="s">
        <v>119</v>
      </c>
      <c r="F719" s="493">
        <v>12165.28</v>
      </c>
      <c r="G719" s="28" t="s">
        <v>618</v>
      </c>
      <c r="H719" s="224"/>
      <c r="I719" s="501">
        <v>1</v>
      </c>
      <c r="J719" s="76">
        <v>3.2</v>
      </c>
      <c r="K719" s="66" t="str">
        <f>IF(_xlfn.XLOOKUP($J719,Catalogo!$B$7:$B$210,Catalogo!$I$7:$I$210,"",0)=0,"",_xlfn.XLOOKUP($J719,Catalogo!$B$7:$B$210,Catalogo!$I$7:$I$210,"",0))</f>
        <v>DATA EXC</v>
      </c>
      <c r="L719" s="36"/>
      <c r="M719" s="261">
        <f>IF(Tabla1[[#This Row],[Avance_km]]&lt;&gt;"",Tabla1[[#This Row],[Avance_km]],Tabla1[[#This Row],[Avance_Med]])*_xlfn.XLOOKUP(Tabla1[[#This Row],[Codigo_actividad]],Catalogo!$B$6:$B$51,Catalogo!$F$6:$F$51,0)</f>
        <v>7585.99</v>
      </c>
      <c r="N719" t="s">
        <v>560</v>
      </c>
    </row>
    <row r="720" spans="1:14" x14ac:dyDescent="0.25">
      <c r="A720" s="354">
        <v>46259</v>
      </c>
      <c r="B720" s="114" t="s">
        <v>30</v>
      </c>
      <c r="C720" s="512" t="s">
        <v>13</v>
      </c>
      <c r="D720" s="39" t="s">
        <v>14</v>
      </c>
      <c r="E720" s="40" t="s">
        <v>531</v>
      </c>
      <c r="F720" s="493">
        <v>12165.28</v>
      </c>
      <c r="G720" s="28" t="s">
        <v>618</v>
      </c>
      <c r="H720" s="224"/>
      <c r="I720" s="501">
        <v>1</v>
      </c>
      <c r="J720" s="76" t="s">
        <v>122</v>
      </c>
      <c r="K720" s="66" t="str">
        <f>IF(_xlfn.XLOOKUP($J720,Catalogo!$B$7:$B$210,Catalogo!$I$7:$I$210,"",0)=0,"",_xlfn.XLOOKUP($J720,Catalogo!$B$7:$B$210,Catalogo!$I$7:$I$210,"",0))</f>
        <v>VT</v>
      </c>
      <c r="L720" s="36"/>
      <c r="M720" s="261">
        <f>IF(Tabla1[[#This Row],[Avance_km]]&lt;&gt;"",Tabla1[[#This Row],[Avance_km]],Tabla1[[#This Row],[Avance_Med]])*_xlfn.XLOOKUP(Tabla1[[#This Row],[Codigo_actividad]],Catalogo!$B$6:$B$51,Catalogo!$F$6:$F$51,0)</f>
        <v>1765.59</v>
      </c>
      <c r="N720" t="s">
        <v>560</v>
      </c>
    </row>
    <row r="721" spans="1:14" x14ac:dyDescent="0.25">
      <c r="A721" s="354">
        <v>46259</v>
      </c>
      <c r="B721" s="114" t="s">
        <v>30</v>
      </c>
      <c r="C721" s="512" t="s">
        <v>13</v>
      </c>
      <c r="D721" s="39" t="s">
        <v>14</v>
      </c>
      <c r="E721" s="40" t="s">
        <v>125</v>
      </c>
      <c r="F721" s="493">
        <v>12165.28</v>
      </c>
      <c r="G721" s="28" t="s">
        <v>618</v>
      </c>
      <c r="H721" s="224"/>
      <c r="I721" s="501">
        <v>1</v>
      </c>
      <c r="J721" s="76" t="s">
        <v>124</v>
      </c>
      <c r="K721" s="66" t="str">
        <f>IF(_xlfn.XLOOKUP($J721,Catalogo!$B$7:$B$210,Catalogo!$I$7:$I$210,"",0)=0,"",_xlfn.XLOOKUP($J721,Catalogo!$B$7:$B$210,Catalogo!$I$7:$I$210,"",0))</f>
        <v>SANIDAD Y ESPESORES</v>
      </c>
      <c r="L721" s="36"/>
      <c r="M721" s="261">
        <f>IF(Tabla1[[#This Row],[Avance_km]]&lt;&gt;"",Tabla1[[#This Row],[Avance_km]],Tabla1[[#This Row],[Avance_Med]])*_xlfn.XLOOKUP(Tabla1[[#This Row],[Codigo_actividad]],Catalogo!$B$6:$B$51,Catalogo!$F$6:$F$51,0)</f>
        <v>1934.59</v>
      </c>
      <c r="N721" t="s">
        <v>560</v>
      </c>
    </row>
    <row r="722" spans="1:14" x14ac:dyDescent="0.25">
      <c r="A722" s="354">
        <v>46259</v>
      </c>
      <c r="B722" s="114" t="s">
        <v>30</v>
      </c>
      <c r="C722" s="512" t="s">
        <v>13</v>
      </c>
      <c r="D722" s="39" t="s">
        <v>14</v>
      </c>
      <c r="E722" s="40" t="s">
        <v>128</v>
      </c>
      <c r="F722" s="493">
        <v>12165.28</v>
      </c>
      <c r="G722" s="28" t="s">
        <v>618</v>
      </c>
      <c r="H722" s="224"/>
      <c r="I722" s="501">
        <v>1</v>
      </c>
      <c r="J722" s="76" t="s">
        <v>127</v>
      </c>
      <c r="K722" s="66" t="str">
        <f>IF(_xlfn.XLOOKUP($J722,Catalogo!$B$7:$B$210,Catalogo!$I$7:$I$210,"",0)=0,"",_xlfn.XLOOKUP($J722,Catalogo!$B$7:$B$210,Catalogo!$I$7:$I$210,"",0))</f>
        <v>CARACTERIZACION</v>
      </c>
      <c r="L722" s="36"/>
      <c r="M722" s="261">
        <f>IF(Tabla1[[#This Row],[Avance_km]]&lt;&gt;"",Tabla1[[#This Row],[Avance_km]],Tabla1[[#This Row],[Avance_Med]])*_xlfn.XLOOKUP(Tabla1[[#This Row],[Codigo_actividad]],Catalogo!$B$6:$B$51,Catalogo!$F$6:$F$51,0)</f>
        <v>1960.59</v>
      </c>
      <c r="N722" t="s">
        <v>560</v>
      </c>
    </row>
    <row r="723" spans="1:14" x14ac:dyDescent="0.25">
      <c r="A723" s="354">
        <v>46259</v>
      </c>
      <c r="B723" s="114" t="s">
        <v>30</v>
      </c>
      <c r="C723" s="512" t="s">
        <v>13</v>
      </c>
      <c r="D723" s="39" t="s">
        <v>14</v>
      </c>
      <c r="E723" s="40" t="s">
        <v>132</v>
      </c>
      <c r="F723" s="493">
        <v>12165.28</v>
      </c>
      <c r="G723" s="28" t="s">
        <v>618</v>
      </c>
      <c r="H723" s="224"/>
      <c r="I723" s="501">
        <v>1</v>
      </c>
      <c r="J723" s="76" t="s">
        <v>131</v>
      </c>
      <c r="K723" s="66" t="str">
        <f>IF(_xlfn.XLOOKUP($J723,Catalogo!$B$7:$B$210,Catalogo!$I$7:$I$210,"",0)=0,"",_xlfn.XLOOKUP($J723,Catalogo!$B$7:$B$210,Catalogo!$I$7:$I$210,"",0))</f>
        <v>UT RECTO</v>
      </c>
      <c r="L723" s="36"/>
      <c r="M723" s="261">
        <f>IF(Tabla1[[#This Row],[Avance_km]]&lt;&gt;"",Tabla1[[#This Row],[Avance_km]],Tabla1[[#This Row],[Avance_Med]])*_xlfn.XLOOKUP(Tabla1[[#This Row],[Codigo_actividad]],Catalogo!$B$6:$B$51,Catalogo!$F$6:$F$51,0)</f>
        <v>2220.59</v>
      </c>
      <c r="N723" t="s">
        <v>560</v>
      </c>
    </row>
    <row r="724" spans="1:14" x14ac:dyDescent="0.25">
      <c r="A724" s="354">
        <v>46259</v>
      </c>
      <c r="B724" s="114" t="s">
        <v>30</v>
      </c>
      <c r="C724" s="512" t="s">
        <v>13</v>
      </c>
      <c r="D724" s="39" t="s">
        <v>14</v>
      </c>
      <c r="E724" s="40" t="s">
        <v>138</v>
      </c>
      <c r="F724" s="493">
        <v>12165.28</v>
      </c>
      <c r="G724" s="28" t="s">
        <v>618</v>
      </c>
      <c r="H724" s="224"/>
      <c r="I724" s="501">
        <v>1</v>
      </c>
      <c r="J724" s="76" t="s">
        <v>137</v>
      </c>
      <c r="K724" s="66" t="str">
        <f>IF(_xlfn.XLOOKUP($J724,Catalogo!$B$7:$B$210,Catalogo!$I$7:$I$210,"",0)=0,"",_xlfn.XLOOKUP($J724,Catalogo!$B$7:$B$210,Catalogo!$I$7:$I$210,"",0))</f>
        <v>PH EXC</v>
      </c>
      <c r="L724" s="36"/>
      <c r="M724" s="261">
        <f>IF(Tabla1[[#This Row],[Avance_km]]&lt;&gt;"",Tabla1[[#This Row],[Avance_km]],Tabla1[[#This Row],[Avance_Med]])*_xlfn.XLOOKUP(Tabla1[[#This Row],[Codigo_actividad]],Catalogo!$B$6:$B$51,Catalogo!$F$6:$F$51,0)</f>
        <v>656</v>
      </c>
      <c r="N724" t="s">
        <v>560</v>
      </c>
    </row>
    <row r="725" spans="1:14" x14ac:dyDescent="0.25">
      <c r="A725" s="354">
        <v>46259</v>
      </c>
      <c r="B725" s="114" t="s">
        <v>30</v>
      </c>
      <c r="C725" s="512" t="s">
        <v>13</v>
      </c>
      <c r="D725" s="39" t="s">
        <v>14</v>
      </c>
      <c r="E725" s="40" t="s">
        <v>140</v>
      </c>
      <c r="F725" s="493">
        <v>12165.28</v>
      </c>
      <c r="G725" s="28" t="s">
        <v>618</v>
      </c>
      <c r="H725" s="224"/>
      <c r="I725" s="501">
        <v>1</v>
      </c>
      <c r="J725" s="76" t="s">
        <v>139</v>
      </c>
      <c r="K725" s="66" t="str">
        <f>IF(_xlfn.XLOOKUP($J725,Catalogo!$B$7:$B$210,Catalogo!$I$7:$I$210,"",0)=0,"",_xlfn.XLOOKUP($J725,Catalogo!$B$7:$B$210,Catalogo!$I$7:$I$210,"",0))</f>
        <v>BACTERIAS EXC</v>
      </c>
      <c r="L725" s="36"/>
      <c r="M725" s="261">
        <f>IF(Tabla1[[#This Row],[Avance_km]]&lt;&gt;"",Tabla1[[#This Row],[Avance_km]],Tabla1[[#This Row],[Avance_Med]])*_xlfn.XLOOKUP(Tabla1[[#This Row],[Codigo_actividad]],Catalogo!$B$6:$B$51,Catalogo!$F$6:$F$51,0)</f>
        <v>4676</v>
      </c>
      <c r="N725" t="s">
        <v>560</v>
      </c>
    </row>
    <row r="726" spans="1:14" x14ac:dyDescent="0.25">
      <c r="A726" s="354"/>
      <c r="C726" s="512"/>
      <c r="D726" s="39"/>
      <c r="F726" s="28"/>
      <c r="G726" s="28"/>
      <c r="H726" s="224" t="str">
        <f>IF(Tabla1[[#This Row],[Codigo_actividad]]&lt;&gt;2.5,IF(((Tabla1[[#This Row],[fin]]-Tabla1[[#This Row],[inicio]])/1000)=0,"",((Tabla1[[#This Row],[fin]]-Tabla1[[#This Row],[inicio]])/1000)),"")</f>
        <v/>
      </c>
      <c r="J726" s="76"/>
      <c r="K726" s="66" t="str">
        <f>IF(_xlfn.XLOOKUP($J726,Catalogo!$B$7:$B$21,Catalogo!$I$7:$I$21,"",0)=0,"",_xlfn.XLOOKUP($J726,Catalogo!$B$7:$B$21,Catalogo!$I$7:$I$21,"",0))</f>
        <v/>
      </c>
      <c r="L726" s="36"/>
      <c r="M726" s="261">
        <f>IF(Tabla1[[#This Row],[Avance_km]]&lt;&gt;"",Tabla1[[#This Row],[Avance_km]],Tabla1[[#This Row],[Avance_Med]])*_xlfn.XLOOKUP(Tabla1[[#This Row],[Codigo_actividad]],Catalogo!$B$6:$B$51,Catalogo!$F$6:$F$51,0)</f>
        <v>0</v>
      </c>
      <c r="N726" t="str">
        <f>_xlfn.IFNA(_xlfn.XLOOKUP(Tabla1[[#This Row],[fin]],$P$379:$P$398,$T$379:$T$398),"")</f>
        <v/>
      </c>
    </row>
    <row r="727" spans="1:14" x14ac:dyDescent="0.25">
      <c r="A727" s="354">
        <v>46282</v>
      </c>
      <c r="B727" s="114" t="s">
        <v>30</v>
      </c>
      <c r="C727" s="512" t="s">
        <v>13</v>
      </c>
      <c r="D727" s="39" t="s">
        <v>14</v>
      </c>
      <c r="E727" s="40" t="s">
        <v>119</v>
      </c>
      <c r="F727" s="493">
        <v>12168</v>
      </c>
      <c r="G727" s="28" t="s">
        <v>618</v>
      </c>
      <c r="H727" s="224"/>
      <c r="I727" s="501">
        <v>1</v>
      </c>
      <c r="J727" s="76">
        <v>3.2</v>
      </c>
      <c r="K727" s="66" t="str">
        <f>IF(_xlfn.XLOOKUP($J727,Catalogo!$B$7:$B$210,Catalogo!$I$7:$I$210,"",0)=0,"",_xlfn.XLOOKUP($J727,Catalogo!$B$7:$B$210,Catalogo!$I$7:$I$210,"",0))</f>
        <v>DATA EXC</v>
      </c>
      <c r="L727" s="36"/>
      <c r="M727" s="261">
        <f>IF(Tabla1[[#This Row],[Avance_km]]&lt;&gt;"",Tabla1[[#This Row],[Avance_km]],Tabla1[[#This Row],[Avance_Med]])*_xlfn.XLOOKUP(Tabla1[[#This Row],[Codigo_actividad]],Catalogo!$B$6:$B$51,Catalogo!$F$6:$F$51,0)</f>
        <v>7585.99</v>
      </c>
      <c r="N727" t="s">
        <v>559</v>
      </c>
    </row>
    <row r="728" spans="1:14" x14ac:dyDescent="0.25">
      <c r="A728" s="354">
        <v>46282</v>
      </c>
      <c r="B728" s="114" t="s">
        <v>30</v>
      </c>
      <c r="C728" s="512" t="s">
        <v>13</v>
      </c>
      <c r="D728" s="39" t="s">
        <v>14</v>
      </c>
      <c r="E728" s="40" t="s">
        <v>531</v>
      </c>
      <c r="F728" s="493">
        <v>12168</v>
      </c>
      <c r="G728" s="28" t="s">
        <v>618</v>
      </c>
      <c r="H728" s="224"/>
      <c r="I728" s="501">
        <v>1</v>
      </c>
      <c r="J728" s="76" t="s">
        <v>122</v>
      </c>
      <c r="K728" s="66" t="str">
        <f>IF(_xlfn.XLOOKUP($J728,Catalogo!$B$7:$B$210,Catalogo!$I$7:$I$210,"",0)=0,"",_xlfn.XLOOKUP($J728,Catalogo!$B$7:$B$210,Catalogo!$I$7:$I$210,"",0))</f>
        <v>VT</v>
      </c>
      <c r="L728" s="36"/>
      <c r="M728" s="261">
        <f>IF(Tabla1[[#This Row],[Avance_km]]&lt;&gt;"",Tabla1[[#This Row],[Avance_km]],Tabla1[[#This Row],[Avance_Med]])*_xlfn.XLOOKUP(Tabla1[[#This Row],[Codigo_actividad]],Catalogo!$B$6:$B$51,Catalogo!$F$6:$F$51,0)</f>
        <v>1765.59</v>
      </c>
      <c r="N728" t="s">
        <v>559</v>
      </c>
    </row>
    <row r="729" spans="1:14" x14ac:dyDescent="0.25">
      <c r="A729" s="354">
        <v>46282</v>
      </c>
      <c r="B729" s="114" t="s">
        <v>30</v>
      </c>
      <c r="C729" s="512" t="s">
        <v>13</v>
      </c>
      <c r="D729" s="39" t="s">
        <v>14</v>
      </c>
      <c r="E729" s="40" t="s">
        <v>125</v>
      </c>
      <c r="F729" s="493">
        <v>12168</v>
      </c>
      <c r="G729" s="28" t="s">
        <v>618</v>
      </c>
      <c r="H729" s="224"/>
      <c r="I729" s="501">
        <v>1</v>
      </c>
      <c r="J729" s="76" t="s">
        <v>124</v>
      </c>
      <c r="K729" s="66" t="str">
        <f>IF(_xlfn.XLOOKUP($J729,Catalogo!$B$7:$B$210,Catalogo!$I$7:$I$210,"",0)=0,"",_xlfn.XLOOKUP($J729,Catalogo!$B$7:$B$210,Catalogo!$I$7:$I$210,"",0))</f>
        <v>SANIDAD Y ESPESORES</v>
      </c>
      <c r="L729" s="36"/>
      <c r="M729" s="261">
        <f>IF(Tabla1[[#This Row],[Avance_km]]&lt;&gt;"",Tabla1[[#This Row],[Avance_km]],Tabla1[[#This Row],[Avance_Med]])*_xlfn.XLOOKUP(Tabla1[[#This Row],[Codigo_actividad]],Catalogo!$B$6:$B$51,Catalogo!$F$6:$F$51,0)</f>
        <v>1934.59</v>
      </c>
      <c r="N729" t="s">
        <v>559</v>
      </c>
    </row>
    <row r="730" spans="1:14" x14ac:dyDescent="0.25">
      <c r="A730" s="354">
        <v>46282</v>
      </c>
      <c r="B730" s="114" t="s">
        <v>30</v>
      </c>
      <c r="C730" s="512" t="s">
        <v>13</v>
      </c>
      <c r="D730" s="39" t="s">
        <v>14</v>
      </c>
      <c r="E730" s="40" t="s">
        <v>128</v>
      </c>
      <c r="F730" s="493">
        <v>12168</v>
      </c>
      <c r="G730" s="28" t="s">
        <v>618</v>
      </c>
      <c r="H730" s="224"/>
      <c r="I730" s="501">
        <v>1</v>
      </c>
      <c r="J730" s="76" t="s">
        <v>127</v>
      </c>
      <c r="K730" s="66" t="str">
        <f>IF(_xlfn.XLOOKUP($J730,Catalogo!$B$7:$B$210,Catalogo!$I$7:$I$210,"",0)=0,"",_xlfn.XLOOKUP($J730,Catalogo!$B$7:$B$210,Catalogo!$I$7:$I$210,"",0))</f>
        <v>CARACTERIZACION</v>
      </c>
      <c r="L730" s="36"/>
      <c r="M730" s="261">
        <f>IF(Tabla1[[#This Row],[Avance_km]]&lt;&gt;"",Tabla1[[#This Row],[Avance_km]],Tabla1[[#This Row],[Avance_Med]])*_xlfn.XLOOKUP(Tabla1[[#This Row],[Codigo_actividad]],Catalogo!$B$6:$B$51,Catalogo!$F$6:$F$51,0)</f>
        <v>1960.59</v>
      </c>
      <c r="N730" t="s">
        <v>559</v>
      </c>
    </row>
    <row r="731" spans="1:14" x14ac:dyDescent="0.25">
      <c r="A731" s="354">
        <v>46282</v>
      </c>
      <c r="B731" s="114" t="s">
        <v>30</v>
      </c>
      <c r="C731" s="512" t="s">
        <v>13</v>
      </c>
      <c r="D731" s="39" t="s">
        <v>14</v>
      </c>
      <c r="E731" s="40" t="s">
        <v>132</v>
      </c>
      <c r="F731" s="493">
        <v>12168</v>
      </c>
      <c r="G731" s="28" t="s">
        <v>618</v>
      </c>
      <c r="H731" s="224"/>
      <c r="I731" s="501">
        <v>1</v>
      </c>
      <c r="J731" s="76" t="s">
        <v>131</v>
      </c>
      <c r="K731" s="66" t="str">
        <f>IF(_xlfn.XLOOKUP($J731,Catalogo!$B$7:$B$210,Catalogo!$I$7:$I$210,"",0)=0,"",_xlfn.XLOOKUP($J731,Catalogo!$B$7:$B$210,Catalogo!$I$7:$I$210,"",0))</f>
        <v>UT RECTO</v>
      </c>
      <c r="L731" s="36"/>
      <c r="M731" s="261">
        <f>IF(Tabla1[[#This Row],[Avance_km]]&lt;&gt;"",Tabla1[[#This Row],[Avance_km]],Tabla1[[#This Row],[Avance_Med]])*_xlfn.XLOOKUP(Tabla1[[#This Row],[Codigo_actividad]],Catalogo!$B$6:$B$51,Catalogo!$F$6:$F$51,0)</f>
        <v>2220.59</v>
      </c>
      <c r="N731" t="s">
        <v>559</v>
      </c>
    </row>
    <row r="732" spans="1:14" x14ac:dyDescent="0.25">
      <c r="A732" s="354">
        <v>46282</v>
      </c>
      <c r="B732" s="114" t="s">
        <v>30</v>
      </c>
      <c r="C732" s="512" t="s">
        <v>13</v>
      </c>
      <c r="D732" s="39" t="s">
        <v>14</v>
      </c>
      <c r="E732" s="40" t="s">
        <v>138</v>
      </c>
      <c r="F732" s="493">
        <v>12168</v>
      </c>
      <c r="G732" s="28" t="s">
        <v>618</v>
      </c>
      <c r="H732" s="224"/>
      <c r="I732" s="501">
        <v>1</v>
      </c>
      <c r="J732" s="76" t="s">
        <v>137</v>
      </c>
      <c r="K732" s="66" t="str">
        <f>IF(_xlfn.XLOOKUP($J732,Catalogo!$B$7:$B$210,Catalogo!$I$7:$I$210,"",0)=0,"",_xlfn.XLOOKUP($J732,Catalogo!$B$7:$B$210,Catalogo!$I$7:$I$210,"",0))</f>
        <v>PH EXC</v>
      </c>
      <c r="L732" s="36"/>
      <c r="M732" s="261">
        <f>IF(Tabla1[[#This Row],[Avance_km]]&lt;&gt;"",Tabla1[[#This Row],[Avance_km]],Tabla1[[#This Row],[Avance_Med]])*_xlfn.XLOOKUP(Tabla1[[#This Row],[Codigo_actividad]],Catalogo!$B$6:$B$51,Catalogo!$F$6:$F$51,0)</f>
        <v>656</v>
      </c>
      <c r="N732" t="s">
        <v>559</v>
      </c>
    </row>
    <row r="733" spans="1:14" x14ac:dyDescent="0.25">
      <c r="A733" s="354">
        <v>46282</v>
      </c>
      <c r="B733" s="114" t="s">
        <v>30</v>
      </c>
      <c r="C733" s="512" t="s">
        <v>13</v>
      </c>
      <c r="D733" s="39" t="s">
        <v>14</v>
      </c>
      <c r="E733" s="40" t="s">
        <v>140</v>
      </c>
      <c r="F733" s="493">
        <v>12168</v>
      </c>
      <c r="G733" s="28" t="s">
        <v>618</v>
      </c>
      <c r="H733" s="224"/>
      <c r="I733" s="501">
        <v>1</v>
      </c>
      <c r="J733" s="76" t="s">
        <v>139</v>
      </c>
      <c r="K733" s="66" t="str">
        <f>IF(_xlfn.XLOOKUP($J733,Catalogo!$B$7:$B$210,Catalogo!$I$7:$I$210,"",0)=0,"",_xlfn.XLOOKUP($J733,Catalogo!$B$7:$B$210,Catalogo!$I$7:$I$210,"",0))</f>
        <v>BACTERIAS EXC</v>
      </c>
      <c r="L733" s="36"/>
      <c r="M733" s="261">
        <f>IF(Tabla1[[#This Row],[Avance_km]]&lt;&gt;"",Tabla1[[#This Row],[Avance_km]],Tabla1[[#This Row],[Avance_Med]])*_xlfn.XLOOKUP(Tabla1[[#This Row],[Codigo_actividad]],Catalogo!$B$6:$B$51,Catalogo!$F$6:$F$51,0)</f>
        <v>4676</v>
      </c>
      <c r="N733" t="s">
        <v>559</v>
      </c>
    </row>
    <row r="734" spans="1:14" x14ac:dyDescent="0.25">
      <c r="A734" s="354"/>
      <c r="B734" s="114"/>
      <c r="C734" s="512"/>
      <c r="D734" s="39"/>
      <c r="F734" s="28"/>
      <c r="G734" s="28"/>
      <c r="H734" s="224" t="str">
        <f>IF(Tabla1[[#This Row],[Codigo_actividad]]&lt;&gt;2.5,IF(((Tabla1[[#This Row],[fin]]-Tabla1[[#This Row],[inicio]])/1000)=0,"",((Tabla1[[#This Row],[fin]]-Tabla1[[#This Row],[inicio]])/1000)),"")</f>
        <v/>
      </c>
      <c r="I734" s="66"/>
      <c r="J734" s="76"/>
      <c r="K734" s="66" t="str">
        <f>IF(_xlfn.XLOOKUP($J734,Catalogo!$B$7:$B$21,Catalogo!$I$7:$I$21,"",0)=0,"",_xlfn.XLOOKUP($J734,Catalogo!$B$7:$B$21,Catalogo!$I$7:$I$21,"",0))</f>
        <v/>
      </c>
      <c r="L734" s="36"/>
      <c r="M734" s="261">
        <f>IF(Tabla1[[#This Row],[Avance_km]]&lt;&gt;"",Tabla1[[#This Row],[Avance_km]],Tabla1[[#This Row],[Avance_Med]])*_xlfn.XLOOKUP(Tabla1[[#This Row],[Codigo_actividad]],Catalogo!$B$6:$B$51,Catalogo!$F$6:$F$51,0)</f>
        <v>0</v>
      </c>
      <c r="N734" t="str">
        <f>_xlfn.IFNA(_xlfn.XLOOKUP(Tabla1[[#This Row],[fin]],$P$379:$P$398,$T$379:$T$398),"")</f>
        <v/>
      </c>
    </row>
    <row r="735" spans="1:14" x14ac:dyDescent="0.25">
      <c r="A735" s="354">
        <v>46261</v>
      </c>
      <c r="B735" s="114" t="s">
        <v>30</v>
      </c>
      <c r="C735" s="512" t="s">
        <v>13</v>
      </c>
      <c r="D735" s="39" t="s">
        <v>14</v>
      </c>
      <c r="E735" s="40" t="s">
        <v>119</v>
      </c>
      <c r="F735" s="493">
        <v>15734.73</v>
      </c>
      <c r="G735" s="28" t="s">
        <v>618</v>
      </c>
      <c r="H735" s="224"/>
      <c r="I735" s="501">
        <v>1</v>
      </c>
      <c r="J735" s="76">
        <v>3.2</v>
      </c>
      <c r="K735" s="66" t="str">
        <f>IF(_xlfn.XLOOKUP($J735,Catalogo!$B$7:$B$210,Catalogo!$I$7:$I$210,"",0)=0,"",_xlfn.XLOOKUP($J735,Catalogo!$B$7:$B$210,Catalogo!$I$7:$I$210,"",0))</f>
        <v>DATA EXC</v>
      </c>
      <c r="L735" s="36"/>
      <c r="M735" s="261">
        <f>IF(Tabla1[[#This Row],[Avance_km]]&lt;&gt;"",Tabla1[[#This Row],[Avance_km]],Tabla1[[#This Row],[Avance_Med]])*_xlfn.XLOOKUP(Tabla1[[#This Row],[Codigo_actividad]],Catalogo!$B$6:$B$51,Catalogo!$F$6:$F$51,0)</f>
        <v>7585.99</v>
      </c>
      <c r="N735" t="str">
        <f>_xlfn.IFNA(_xlfn.XLOOKUP(Tabla1[[#This Row],[fin]],$P$379:$P$398,$T$379:$T$398),"")</f>
        <v/>
      </c>
    </row>
    <row r="736" spans="1:14" x14ac:dyDescent="0.25">
      <c r="A736" s="354">
        <v>46261</v>
      </c>
      <c r="B736" s="114" t="s">
        <v>30</v>
      </c>
      <c r="C736" s="512" t="s">
        <v>13</v>
      </c>
      <c r="D736" s="39" t="s">
        <v>14</v>
      </c>
      <c r="E736" s="40" t="s">
        <v>531</v>
      </c>
      <c r="F736" s="493">
        <v>15734.73</v>
      </c>
      <c r="G736" s="28" t="s">
        <v>618</v>
      </c>
      <c r="H736" s="224"/>
      <c r="I736" s="501">
        <v>1</v>
      </c>
      <c r="J736" s="76" t="s">
        <v>122</v>
      </c>
      <c r="K736" s="66" t="str">
        <f>IF(_xlfn.XLOOKUP($J736,Catalogo!$B$7:$B$210,Catalogo!$I$7:$I$210,"",0)=0,"",_xlfn.XLOOKUP($J736,Catalogo!$B$7:$B$210,Catalogo!$I$7:$I$210,"",0))</f>
        <v>VT</v>
      </c>
      <c r="L736" s="36"/>
      <c r="M736" s="261">
        <f>IF(Tabla1[[#This Row],[Avance_km]]&lt;&gt;"",Tabla1[[#This Row],[Avance_km]],Tabla1[[#This Row],[Avance_Med]])*_xlfn.XLOOKUP(Tabla1[[#This Row],[Codigo_actividad]],Catalogo!$B$6:$B$51,Catalogo!$F$6:$F$51,0)</f>
        <v>1765.59</v>
      </c>
      <c r="N736" t="str">
        <f>_xlfn.IFNA(_xlfn.XLOOKUP(Tabla1[[#This Row],[fin]],$P$379:$P$398,$T$379:$T$398),"")</f>
        <v/>
      </c>
    </row>
    <row r="737" spans="1:14" x14ac:dyDescent="0.25">
      <c r="A737" s="354">
        <v>46261</v>
      </c>
      <c r="B737" s="114" t="s">
        <v>30</v>
      </c>
      <c r="C737" s="512" t="s">
        <v>13</v>
      </c>
      <c r="D737" s="39" t="s">
        <v>14</v>
      </c>
      <c r="E737" s="40" t="s">
        <v>125</v>
      </c>
      <c r="F737" s="493">
        <v>15734.73</v>
      </c>
      <c r="G737" s="28" t="s">
        <v>618</v>
      </c>
      <c r="H737" s="224"/>
      <c r="I737" s="501">
        <v>1</v>
      </c>
      <c r="J737" s="76" t="s">
        <v>124</v>
      </c>
      <c r="K737" s="66" t="str">
        <f>IF(_xlfn.XLOOKUP($J737,Catalogo!$B$7:$B$210,Catalogo!$I$7:$I$210,"",0)=0,"",_xlfn.XLOOKUP($J737,Catalogo!$B$7:$B$210,Catalogo!$I$7:$I$210,"",0))</f>
        <v>SANIDAD Y ESPESORES</v>
      </c>
      <c r="L737" s="36"/>
      <c r="M737" s="261">
        <f>IF(Tabla1[[#This Row],[Avance_km]]&lt;&gt;"",Tabla1[[#This Row],[Avance_km]],Tabla1[[#This Row],[Avance_Med]])*_xlfn.XLOOKUP(Tabla1[[#This Row],[Codigo_actividad]],Catalogo!$B$6:$B$51,Catalogo!$F$6:$F$51,0)</f>
        <v>1934.59</v>
      </c>
      <c r="N737" t="str">
        <f>_xlfn.IFNA(_xlfn.XLOOKUP(Tabla1[[#This Row],[fin]],$P$379:$P$398,$T$379:$T$398),"")</f>
        <v/>
      </c>
    </row>
    <row r="738" spans="1:14" x14ac:dyDescent="0.25">
      <c r="A738" s="354">
        <v>46261</v>
      </c>
      <c r="B738" s="114" t="s">
        <v>30</v>
      </c>
      <c r="C738" s="512" t="s">
        <v>13</v>
      </c>
      <c r="D738" s="39" t="s">
        <v>14</v>
      </c>
      <c r="E738" s="40" t="s">
        <v>128</v>
      </c>
      <c r="F738" s="493">
        <v>15734.73</v>
      </c>
      <c r="G738" s="28" t="s">
        <v>618</v>
      </c>
      <c r="H738" s="224"/>
      <c r="I738" s="501">
        <v>1</v>
      </c>
      <c r="J738" s="76" t="s">
        <v>127</v>
      </c>
      <c r="K738" s="66" t="str">
        <f>IF(_xlfn.XLOOKUP($J738,Catalogo!$B$7:$B$210,Catalogo!$I$7:$I$210,"",0)=0,"",_xlfn.XLOOKUP($J738,Catalogo!$B$7:$B$210,Catalogo!$I$7:$I$210,"",0))</f>
        <v>CARACTERIZACION</v>
      </c>
      <c r="L738" s="36"/>
      <c r="M738" s="261">
        <f>IF(Tabla1[[#This Row],[Avance_km]]&lt;&gt;"",Tabla1[[#This Row],[Avance_km]],Tabla1[[#This Row],[Avance_Med]])*_xlfn.XLOOKUP(Tabla1[[#This Row],[Codigo_actividad]],Catalogo!$B$6:$B$51,Catalogo!$F$6:$F$51,0)</f>
        <v>1960.59</v>
      </c>
      <c r="N738" t="str">
        <f>_xlfn.IFNA(_xlfn.XLOOKUP(Tabla1[[#This Row],[fin]],$P$379:$P$398,$T$379:$T$398),"")</f>
        <v/>
      </c>
    </row>
    <row r="739" spans="1:14" x14ac:dyDescent="0.25">
      <c r="A739" s="354">
        <v>46261</v>
      </c>
      <c r="B739" s="114" t="s">
        <v>30</v>
      </c>
      <c r="C739" s="512" t="s">
        <v>13</v>
      </c>
      <c r="D739" s="39" t="s">
        <v>14</v>
      </c>
      <c r="E739" s="40" t="s">
        <v>132</v>
      </c>
      <c r="F739" s="493">
        <v>15734.73</v>
      </c>
      <c r="G739" s="28" t="s">
        <v>618</v>
      </c>
      <c r="H739" s="224"/>
      <c r="I739" s="501">
        <v>1</v>
      </c>
      <c r="J739" s="76" t="s">
        <v>131</v>
      </c>
      <c r="K739" s="66" t="str">
        <f>IF(_xlfn.XLOOKUP($J739,Catalogo!$B$7:$B$210,Catalogo!$I$7:$I$210,"",0)=0,"",_xlfn.XLOOKUP($J739,Catalogo!$B$7:$B$210,Catalogo!$I$7:$I$210,"",0))</f>
        <v>UT RECTO</v>
      </c>
      <c r="L739" s="36"/>
      <c r="M739" s="261">
        <f>IF(Tabla1[[#This Row],[Avance_km]]&lt;&gt;"",Tabla1[[#This Row],[Avance_km]],Tabla1[[#This Row],[Avance_Med]])*_xlfn.XLOOKUP(Tabla1[[#This Row],[Codigo_actividad]],Catalogo!$B$6:$B$51,Catalogo!$F$6:$F$51,0)</f>
        <v>2220.59</v>
      </c>
      <c r="N739" t="str">
        <f>_xlfn.IFNA(_xlfn.XLOOKUP(Tabla1[[#This Row],[fin]],$P$379:$P$398,$T$379:$T$398),"")</f>
        <v/>
      </c>
    </row>
    <row r="740" spans="1:14" x14ac:dyDescent="0.25">
      <c r="A740" s="354">
        <v>46261</v>
      </c>
      <c r="B740" s="114" t="s">
        <v>30</v>
      </c>
      <c r="C740" s="512" t="s">
        <v>13</v>
      </c>
      <c r="D740" s="39" t="s">
        <v>14</v>
      </c>
      <c r="E740" s="40" t="s">
        <v>138</v>
      </c>
      <c r="F740" s="493">
        <v>15734.73</v>
      </c>
      <c r="G740" s="28" t="s">
        <v>618</v>
      </c>
      <c r="H740" s="224"/>
      <c r="I740" s="501">
        <v>1</v>
      </c>
      <c r="J740" s="76" t="s">
        <v>137</v>
      </c>
      <c r="K740" s="66" t="str">
        <f>IF(_xlfn.XLOOKUP($J740,Catalogo!$B$7:$B$210,Catalogo!$I$7:$I$210,"",0)=0,"",_xlfn.XLOOKUP($J740,Catalogo!$B$7:$B$210,Catalogo!$I$7:$I$210,"",0))</f>
        <v>PH EXC</v>
      </c>
      <c r="L740" s="36"/>
      <c r="M740" s="261">
        <f>IF(Tabla1[[#This Row],[Avance_km]]&lt;&gt;"",Tabla1[[#This Row],[Avance_km]],Tabla1[[#This Row],[Avance_Med]])*_xlfn.XLOOKUP(Tabla1[[#This Row],[Codigo_actividad]],Catalogo!$B$6:$B$51,Catalogo!$F$6:$F$51,0)</f>
        <v>656</v>
      </c>
      <c r="N740" t="str">
        <f>_xlfn.IFNA(_xlfn.XLOOKUP(Tabla1[[#This Row],[fin]],$P$379:$P$398,$T$379:$T$398),"")</f>
        <v/>
      </c>
    </row>
    <row r="741" spans="1:14" x14ac:dyDescent="0.25">
      <c r="A741" s="354">
        <v>46261</v>
      </c>
      <c r="B741" s="114" t="s">
        <v>30</v>
      </c>
      <c r="C741" s="512" t="s">
        <v>13</v>
      </c>
      <c r="D741" s="39" t="s">
        <v>14</v>
      </c>
      <c r="E741" s="40" t="s">
        <v>140</v>
      </c>
      <c r="F741" s="493">
        <v>15734.73</v>
      </c>
      <c r="G741" s="28" t="s">
        <v>618</v>
      </c>
      <c r="H741" s="224"/>
      <c r="I741" s="501">
        <v>1</v>
      </c>
      <c r="J741" s="76" t="s">
        <v>139</v>
      </c>
      <c r="K741" s="66" t="str">
        <f>IF(_xlfn.XLOOKUP($J741,Catalogo!$B$7:$B$210,Catalogo!$I$7:$I$210,"",0)=0,"",_xlfn.XLOOKUP($J741,Catalogo!$B$7:$B$210,Catalogo!$I$7:$I$210,"",0))</f>
        <v>BACTERIAS EXC</v>
      </c>
      <c r="L741" s="36"/>
      <c r="M741" s="261">
        <f>IF(Tabla1[[#This Row],[Avance_km]]&lt;&gt;"",Tabla1[[#This Row],[Avance_km]],Tabla1[[#This Row],[Avance_Med]])*_xlfn.XLOOKUP(Tabla1[[#This Row],[Codigo_actividad]],Catalogo!$B$6:$B$51,Catalogo!$F$6:$F$51,0)</f>
        <v>4676</v>
      </c>
      <c r="N741" t="str">
        <f>_xlfn.IFNA(_xlfn.XLOOKUP(Tabla1[[#This Row],[fin]],$P$379:$P$398,$T$379:$T$398),"")</f>
        <v/>
      </c>
    </row>
    <row r="742" spans="1:14" x14ac:dyDescent="0.25">
      <c r="A742" s="354"/>
      <c r="B742" s="114"/>
      <c r="C742" s="512"/>
      <c r="D742" s="39"/>
      <c r="F742" s="28"/>
      <c r="G742" s="28"/>
      <c r="H742" s="224" t="str">
        <f>IF(Tabla1[[#This Row],[Codigo_actividad]]&lt;&gt;2.5,IF(((Tabla1[[#This Row],[fin]]-Tabla1[[#This Row],[inicio]])/1000)=0,"",((Tabla1[[#This Row],[fin]]-Tabla1[[#This Row],[inicio]])/1000)),"")</f>
        <v/>
      </c>
      <c r="I742" s="66"/>
      <c r="J742" s="76"/>
      <c r="K742" s="66" t="str">
        <f>IF(_xlfn.XLOOKUP($J742,Catalogo!$B$7:$B$21,Catalogo!$I$7:$I$21,"",0)=0,"",_xlfn.XLOOKUP($J742,Catalogo!$B$7:$B$21,Catalogo!$I$7:$I$21,"",0))</f>
        <v/>
      </c>
      <c r="L742" s="36"/>
      <c r="M742" s="261">
        <f>IF(Tabla1[[#This Row],[Avance_km]]&lt;&gt;"",Tabla1[[#This Row],[Avance_km]],Tabla1[[#This Row],[Avance_Med]])*_xlfn.XLOOKUP(Tabla1[[#This Row],[Codigo_actividad]],Catalogo!$B$6:$B$51,Catalogo!$F$6:$F$51,0)</f>
        <v>0</v>
      </c>
      <c r="N742" t="str">
        <f>_xlfn.IFNA(_xlfn.XLOOKUP(Tabla1[[#This Row],[fin]],$P$379:$P$398,$T$379:$T$398),"")</f>
        <v/>
      </c>
    </row>
    <row r="743" spans="1:14" x14ac:dyDescent="0.25">
      <c r="A743" s="354">
        <v>46296</v>
      </c>
      <c r="B743" s="114" t="s">
        <v>30</v>
      </c>
      <c r="C743" s="512" t="s">
        <v>13</v>
      </c>
      <c r="D743" s="39" t="s">
        <v>14</v>
      </c>
      <c r="E743" s="40" t="s">
        <v>119</v>
      </c>
      <c r="F743" s="493">
        <v>22765</v>
      </c>
      <c r="G743" s="524" t="s">
        <v>619</v>
      </c>
      <c r="H743" s="224"/>
      <c r="I743" s="501">
        <v>1</v>
      </c>
      <c r="J743" s="76">
        <v>3.2</v>
      </c>
      <c r="K743" s="66" t="str">
        <f>IF(_xlfn.XLOOKUP($J743,Catalogo!$B$7:$B$210,Catalogo!$I$7:$I$210,"",0)=0,"",_xlfn.XLOOKUP($J743,Catalogo!$B$7:$B$210,Catalogo!$I$7:$I$210,"",0))</f>
        <v>DATA EXC</v>
      </c>
      <c r="L743" s="36"/>
      <c r="M743" s="261">
        <f>IF(Tabla1[[#This Row],[Avance_km]]&lt;&gt;"",Tabla1[[#This Row],[Avance_km]],Tabla1[[#This Row],[Avance_Med]])*_xlfn.XLOOKUP(Tabla1[[#This Row],[Codigo_actividad]],Catalogo!$B$6:$B$51,Catalogo!$F$6:$F$51,0)</f>
        <v>7585.99</v>
      </c>
    </row>
    <row r="744" spans="1:14" x14ac:dyDescent="0.25">
      <c r="A744" s="354">
        <v>46296</v>
      </c>
      <c r="B744" s="114" t="s">
        <v>30</v>
      </c>
      <c r="C744" s="512" t="s">
        <v>13</v>
      </c>
      <c r="D744" s="39" t="s">
        <v>14</v>
      </c>
      <c r="E744" s="40" t="s">
        <v>531</v>
      </c>
      <c r="F744" s="493">
        <v>22765</v>
      </c>
      <c r="G744" s="524" t="s">
        <v>619</v>
      </c>
      <c r="H744" s="224"/>
      <c r="I744" s="501">
        <v>1</v>
      </c>
      <c r="J744" s="76" t="s">
        <v>122</v>
      </c>
      <c r="K744" s="66" t="str">
        <f>IF(_xlfn.XLOOKUP($J744,Catalogo!$B$7:$B$210,Catalogo!$I$7:$I$210,"",0)=0,"",_xlfn.XLOOKUP($J744,Catalogo!$B$7:$B$210,Catalogo!$I$7:$I$210,"",0))</f>
        <v>VT</v>
      </c>
      <c r="L744" s="36"/>
      <c r="M744" s="261">
        <f>IF(Tabla1[[#This Row],[Avance_km]]&lt;&gt;"",Tabla1[[#This Row],[Avance_km]],Tabla1[[#This Row],[Avance_Med]])*_xlfn.XLOOKUP(Tabla1[[#This Row],[Codigo_actividad]],Catalogo!$B$6:$B$51,Catalogo!$F$6:$F$51,0)</f>
        <v>1765.59</v>
      </c>
    </row>
    <row r="745" spans="1:14" x14ac:dyDescent="0.25">
      <c r="A745" s="444">
        <v>46296</v>
      </c>
      <c r="B745" s="445" t="s">
        <v>30</v>
      </c>
      <c r="C745" s="522" t="s">
        <v>13</v>
      </c>
      <c r="D745" s="446" t="s">
        <v>14</v>
      </c>
      <c r="E745" s="443" t="s">
        <v>125</v>
      </c>
      <c r="F745" s="173">
        <v>22765</v>
      </c>
      <c r="G745" s="523" t="s">
        <v>619</v>
      </c>
      <c r="H745" s="447"/>
      <c r="I745" s="282">
        <v>1</v>
      </c>
      <c r="J745" s="282" t="s">
        <v>124</v>
      </c>
      <c r="K745" s="282" t="str">
        <f>IF(_xlfn.XLOOKUP($J745,Catalogo!$B$7:$B$210,Catalogo!$I$7:$I$210,"",0)=0,"",_xlfn.XLOOKUP($J745,Catalogo!$B$7:$B$210,Catalogo!$I$7:$I$210,"",0))</f>
        <v>SANIDAD Y ESPESORES</v>
      </c>
      <c r="L745" s="161"/>
      <c r="M745" s="448">
        <f>IF(Tabla1[[#This Row],[Avance_km]]&lt;&gt;"",Tabla1[[#This Row],[Avance_km]],Tabla1[[#This Row],[Avance_Med]])*_xlfn.XLOOKUP(Tabla1[[#This Row],[Codigo_actividad]],Catalogo!$B$6:$B$51,Catalogo!$F$6:$F$51,0)</f>
        <v>1934.59</v>
      </c>
      <c r="N745" s="211"/>
    </row>
    <row r="746" spans="1:14" x14ac:dyDescent="0.25">
      <c r="A746" s="354">
        <v>46296</v>
      </c>
      <c r="B746" s="114" t="s">
        <v>30</v>
      </c>
      <c r="C746" s="512" t="s">
        <v>13</v>
      </c>
      <c r="D746" s="39" t="s">
        <v>14</v>
      </c>
      <c r="E746" s="40" t="s">
        <v>128</v>
      </c>
      <c r="F746" s="493">
        <v>22765</v>
      </c>
      <c r="G746" s="524" t="s">
        <v>619</v>
      </c>
      <c r="H746" s="224"/>
      <c r="I746" s="501">
        <v>1</v>
      </c>
      <c r="J746" s="76" t="s">
        <v>127</v>
      </c>
      <c r="K746" s="66" t="str">
        <f>IF(_xlfn.XLOOKUP($J746,Catalogo!$B$7:$B$210,Catalogo!$I$7:$I$210,"",0)=0,"",_xlfn.XLOOKUP($J746,Catalogo!$B$7:$B$210,Catalogo!$I$7:$I$210,"",0))</f>
        <v>CARACTERIZACION</v>
      </c>
      <c r="L746" s="36"/>
      <c r="M746" s="261">
        <f>IF(Tabla1[[#This Row],[Avance_km]]&lt;&gt;"",Tabla1[[#This Row],[Avance_km]],Tabla1[[#This Row],[Avance_Med]])*_xlfn.XLOOKUP(Tabla1[[#This Row],[Codigo_actividad]],Catalogo!$B$6:$B$51,Catalogo!$F$6:$F$51,0)</f>
        <v>1960.59</v>
      </c>
    </row>
    <row r="747" spans="1:14" x14ac:dyDescent="0.25">
      <c r="A747" s="444">
        <v>46296</v>
      </c>
      <c r="B747" s="445" t="s">
        <v>30</v>
      </c>
      <c r="C747" s="522" t="s">
        <v>13</v>
      </c>
      <c r="D747" s="446" t="s">
        <v>14</v>
      </c>
      <c r="E747" s="443" t="s">
        <v>132</v>
      </c>
      <c r="F747" s="173">
        <v>22765</v>
      </c>
      <c r="G747" s="523" t="s">
        <v>619</v>
      </c>
      <c r="H747" s="447"/>
      <c r="I747" s="282">
        <v>1</v>
      </c>
      <c r="J747" s="282" t="s">
        <v>131</v>
      </c>
      <c r="K747" s="282" t="str">
        <f>IF(_xlfn.XLOOKUP($J747,Catalogo!$B$7:$B$210,Catalogo!$I$7:$I$210,"",0)=0,"",_xlfn.XLOOKUP($J747,Catalogo!$B$7:$B$210,Catalogo!$I$7:$I$210,"",0))</f>
        <v>UT RECTO</v>
      </c>
      <c r="L747" s="161"/>
      <c r="M747" s="448">
        <f>IF(Tabla1[[#This Row],[Avance_km]]&lt;&gt;"",Tabla1[[#This Row],[Avance_km]],Tabla1[[#This Row],[Avance_Med]])*_xlfn.XLOOKUP(Tabla1[[#This Row],[Codigo_actividad]],Catalogo!$B$6:$B$51,Catalogo!$F$6:$F$51,0)</f>
        <v>2220.59</v>
      </c>
      <c r="N747" s="211"/>
    </row>
    <row r="748" spans="1:14" x14ac:dyDescent="0.25">
      <c r="A748" s="354">
        <v>46296</v>
      </c>
      <c r="B748" s="114" t="s">
        <v>30</v>
      </c>
      <c r="C748" s="512" t="s">
        <v>13</v>
      </c>
      <c r="D748" s="39" t="s">
        <v>14</v>
      </c>
      <c r="E748" s="40" t="s">
        <v>138</v>
      </c>
      <c r="F748" s="493">
        <v>22765</v>
      </c>
      <c r="G748" s="524" t="s">
        <v>619</v>
      </c>
      <c r="H748" s="224"/>
      <c r="I748" s="501">
        <v>1</v>
      </c>
      <c r="J748" s="76" t="s">
        <v>137</v>
      </c>
      <c r="K748" s="66" t="str">
        <f>IF(_xlfn.XLOOKUP($J748,Catalogo!$B$7:$B$210,Catalogo!$I$7:$I$210,"",0)=0,"",_xlfn.XLOOKUP($J748,Catalogo!$B$7:$B$210,Catalogo!$I$7:$I$210,"",0))</f>
        <v>PH EXC</v>
      </c>
      <c r="L748" s="36"/>
      <c r="M748" s="261">
        <f>IF(Tabla1[[#This Row],[Avance_km]]&lt;&gt;"",Tabla1[[#This Row],[Avance_km]],Tabla1[[#This Row],[Avance_Med]])*_xlfn.XLOOKUP(Tabla1[[#This Row],[Codigo_actividad]],Catalogo!$B$6:$B$51,Catalogo!$F$6:$F$51,0)</f>
        <v>656</v>
      </c>
    </row>
    <row r="749" spans="1:14" x14ac:dyDescent="0.25">
      <c r="A749" s="354">
        <v>46296</v>
      </c>
      <c r="B749" s="114" t="s">
        <v>30</v>
      </c>
      <c r="C749" s="512" t="s">
        <v>13</v>
      </c>
      <c r="D749" s="39" t="s">
        <v>14</v>
      </c>
      <c r="E749" s="40" t="s">
        <v>140</v>
      </c>
      <c r="F749" s="493">
        <v>22765</v>
      </c>
      <c r="G749" s="524" t="s">
        <v>619</v>
      </c>
      <c r="H749" s="224"/>
      <c r="I749" s="501">
        <v>1</v>
      </c>
      <c r="J749" s="76" t="s">
        <v>139</v>
      </c>
      <c r="K749" s="66" t="str">
        <f>IF(_xlfn.XLOOKUP($J749,Catalogo!$B$7:$B$210,Catalogo!$I$7:$I$210,"",0)=0,"",_xlfn.XLOOKUP($J749,Catalogo!$B$7:$B$210,Catalogo!$I$7:$I$210,"",0))</f>
        <v>BACTERIAS EXC</v>
      </c>
      <c r="L749" s="36"/>
      <c r="M749" s="261">
        <f>IF(Tabla1[[#This Row],[Avance_km]]&lt;&gt;"",Tabla1[[#This Row],[Avance_km]],Tabla1[[#This Row],[Avance_Med]])*_xlfn.XLOOKUP(Tabla1[[#This Row],[Codigo_actividad]],Catalogo!$B$6:$B$51,Catalogo!$F$6:$F$51,0)</f>
        <v>4676</v>
      </c>
    </row>
    <row r="750" spans="1:14" x14ac:dyDescent="0.25">
      <c r="A750" s="354"/>
      <c r="B750" s="114"/>
      <c r="C750" s="512"/>
      <c r="D750" s="39"/>
      <c r="F750" s="28"/>
      <c r="G750" s="28"/>
      <c r="H750" s="224" t="str">
        <f>IF(Tabla1[[#This Row],[Codigo_actividad]]&lt;&gt;2.5,IF(((Tabla1[[#This Row],[fin]]-Tabla1[[#This Row],[inicio]])/1000)=0,"",((Tabla1[[#This Row],[fin]]-Tabla1[[#This Row],[inicio]])/1000)),"")</f>
        <v/>
      </c>
      <c r="I750" s="66"/>
      <c r="J750" s="76"/>
      <c r="K750" s="66" t="str">
        <f>IF(_xlfn.XLOOKUP($J750,Catalogo!$B$7:$B$21,Catalogo!$I$7:$I$21,"",0)=0,"",_xlfn.XLOOKUP($J750,Catalogo!$B$7:$B$21,Catalogo!$I$7:$I$21,"",0))</f>
        <v/>
      </c>
      <c r="L750" s="36"/>
      <c r="M750" s="261">
        <f>IF(Tabla1[[#This Row],[Avance_km]]&lt;&gt;"",Tabla1[[#This Row],[Avance_km]],Tabla1[[#This Row],[Avance_Med]])*_xlfn.XLOOKUP(Tabla1[[#This Row],[Codigo_actividad]],Catalogo!$B$6:$B$51,Catalogo!$F$6:$F$51,0)</f>
        <v>0</v>
      </c>
      <c r="N750" t="str">
        <f>_xlfn.IFNA(_xlfn.XLOOKUP(Tabla1[[#This Row],[fin]],$P$379:$P$398,$T$379:$T$398),"")</f>
        <v/>
      </c>
    </row>
    <row r="751" spans="1:14" x14ac:dyDescent="0.25">
      <c r="A751" s="444">
        <v>46315</v>
      </c>
      <c r="B751" s="114" t="s">
        <v>30</v>
      </c>
      <c r="C751" s="512" t="s">
        <v>13</v>
      </c>
      <c r="D751" s="39" t="s">
        <v>14</v>
      </c>
      <c r="E751" s="40" t="s">
        <v>119</v>
      </c>
      <c r="F751" s="202">
        <v>28512</v>
      </c>
      <c r="G751" s="28"/>
      <c r="H751" s="224"/>
      <c r="I751" s="282"/>
      <c r="J751" s="76">
        <v>3.2</v>
      </c>
      <c r="K751" s="66" t="str">
        <f>IF(_xlfn.XLOOKUP($J751,Catalogo!$B$7:$B$210,Catalogo!$I$7:$I$210,"",0)=0,"",_xlfn.XLOOKUP($J751,Catalogo!$B$7:$B$210,Catalogo!$I$7:$I$210,"",0))</f>
        <v>DATA EXC</v>
      </c>
      <c r="L751" s="36"/>
      <c r="M751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752" spans="1:14" x14ac:dyDescent="0.25">
      <c r="A752" s="444">
        <v>46315</v>
      </c>
      <c r="B752" s="114" t="s">
        <v>30</v>
      </c>
      <c r="C752" s="512" t="s">
        <v>13</v>
      </c>
      <c r="D752" s="39" t="s">
        <v>14</v>
      </c>
      <c r="E752" s="40" t="s">
        <v>531</v>
      </c>
      <c r="F752" s="202">
        <v>28512</v>
      </c>
      <c r="G752" s="28"/>
      <c r="H752" s="224"/>
      <c r="I752" s="282"/>
      <c r="J752" s="76" t="s">
        <v>122</v>
      </c>
      <c r="K752" s="66" t="str">
        <f>IF(_xlfn.XLOOKUP($J752,Catalogo!$B$7:$B$210,Catalogo!$I$7:$I$210,"",0)=0,"",_xlfn.XLOOKUP($J752,Catalogo!$B$7:$B$210,Catalogo!$I$7:$I$210,"",0))</f>
        <v>VT</v>
      </c>
      <c r="L752" s="36"/>
      <c r="M752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753" spans="1:14" x14ac:dyDescent="0.25">
      <c r="A753" s="444">
        <v>46315</v>
      </c>
      <c r="B753" s="114" t="s">
        <v>30</v>
      </c>
      <c r="C753" s="512" t="s">
        <v>13</v>
      </c>
      <c r="D753" s="39" t="s">
        <v>14</v>
      </c>
      <c r="E753" s="40" t="s">
        <v>125</v>
      </c>
      <c r="F753" s="202">
        <v>28512</v>
      </c>
      <c r="G753" s="28"/>
      <c r="H753" s="224"/>
      <c r="I753" s="282"/>
      <c r="J753" s="76" t="s">
        <v>124</v>
      </c>
      <c r="K753" s="66" t="str">
        <f>IF(_xlfn.XLOOKUP($J753,Catalogo!$B$7:$B$210,Catalogo!$I$7:$I$210,"",0)=0,"",_xlfn.XLOOKUP($J753,Catalogo!$B$7:$B$210,Catalogo!$I$7:$I$210,"",0))</f>
        <v>SANIDAD Y ESPESORES</v>
      </c>
      <c r="L753" s="36"/>
      <c r="M753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754" spans="1:14" x14ac:dyDescent="0.25">
      <c r="A754" s="444">
        <v>46315</v>
      </c>
      <c r="B754" s="114" t="s">
        <v>30</v>
      </c>
      <c r="C754" s="512" t="s">
        <v>13</v>
      </c>
      <c r="D754" s="39" t="s">
        <v>14</v>
      </c>
      <c r="E754" s="40" t="s">
        <v>128</v>
      </c>
      <c r="F754" s="202">
        <v>28512</v>
      </c>
      <c r="G754" s="28"/>
      <c r="H754" s="224"/>
      <c r="I754" s="282"/>
      <c r="J754" s="76" t="s">
        <v>127</v>
      </c>
      <c r="K754" s="66" t="str">
        <f>IF(_xlfn.XLOOKUP($J754,Catalogo!$B$7:$B$210,Catalogo!$I$7:$I$210,"",0)=0,"",_xlfn.XLOOKUP($J754,Catalogo!$B$7:$B$210,Catalogo!$I$7:$I$210,"",0))</f>
        <v>CARACTERIZACION</v>
      </c>
      <c r="L754" s="36"/>
      <c r="M754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755" spans="1:14" x14ac:dyDescent="0.25">
      <c r="A755" s="444">
        <v>46315</v>
      </c>
      <c r="B755" s="114" t="s">
        <v>30</v>
      </c>
      <c r="C755" s="512" t="s">
        <v>13</v>
      </c>
      <c r="D755" s="39" t="s">
        <v>14</v>
      </c>
      <c r="E755" s="40" t="s">
        <v>132</v>
      </c>
      <c r="F755" s="202">
        <v>28512</v>
      </c>
      <c r="G755" s="28"/>
      <c r="H755" s="224"/>
      <c r="I755" s="282"/>
      <c r="J755" s="76" t="s">
        <v>131</v>
      </c>
      <c r="K755" s="66" t="str">
        <f>IF(_xlfn.XLOOKUP($J755,Catalogo!$B$7:$B$210,Catalogo!$I$7:$I$210,"",0)=0,"",_xlfn.XLOOKUP($J755,Catalogo!$B$7:$B$210,Catalogo!$I$7:$I$210,"",0))</f>
        <v>UT RECTO</v>
      </c>
      <c r="L755" s="36"/>
      <c r="M755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756" spans="1:14" x14ac:dyDescent="0.25">
      <c r="A756" s="444">
        <v>46315</v>
      </c>
      <c r="B756" s="114" t="s">
        <v>30</v>
      </c>
      <c r="C756" s="512" t="s">
        <v>13</v>
      </c>
      <c r="D756" s="39" t="s">
        <v>14</v>
      </c>
      <c r="E756" s="40" t="s">
        <v>138</v>
      </c>
      <c r="F756" s="202">
        <v>28512</v>
      </c>
      <c r="G756" s="28"/>
      <c r="H756" s="224"/>
      <c r="I756" s="282"/>
      <c r="J756" s="76" t="s">
        <v>137</v>
      </c>
      <c r="K756" s="66" t="str">
        <f>IF(_xlfn.XLOOKUP($J756,Catalogo!$B$7:$B$210,Catalogo!$I$7:$I$210,"",0)=0,"",_xlfn.XLOOKUP($J756,Catalogo!$B$7:$B$210,Catalogo!$I$7:$I$210,"",0))</f>
        <v>PH EXC</v>
      </c>
      <c r="L756" s="36"/>
      <c r="M756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757" spans="1:14" x14ac:dyDescent="0.25">
      <c r="A757" s="444">
        <v>46315</v>
      </c>
      <c r="B757" s="114" t="s">
        <v>30</v>
      </c>
      <c r="C757" s="512" t="s">
        <v>13</v>
      </c>
      <c r="D757" s="39" t="s">
        <v>14</v>
      </c>
      <c r="E757" s="40" t="s">
        <v>140</v>
      </c>
      <c r="F757" s="202">
        <v>28512</v>
      </c>
      <c r="G757" s="28"/>
      <c r="H757" s="224"/>
      <c r="I757" s="282"/>
      <c r="J757" s="76" t="s">
        <v>139</v>
      </c>
      <c r="K757" s="66" t="str">
        <f>IF(_xlfn.XLOOKUP($J757,Catalogo!$B$7:$B$210,Catalogo!$I$7:$I$210,"",0)=0,"",_xlfn.XLOOKUP($J757,Catalogo!$B$7:$B$210,Catalogo!$I$7:$I$210,"",0))</f>
        <v>BACTERIAS EXC</v>
      </c>
      <c r="L757" s="36"/>
      <c r="M757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758" spans="1:14" x14ac:dyDescent="0.25">
      <c r="A758" s="354"/>
      <c r="B758" s="114"/>
      <c r="C758" s="512"/>
      <c r="D758" s="39"/>
      <c r="F758" s="28"/>
      <c r="G758" s="28"/>
      <c r="H758" s="224" t="str">
        <f>IF(Tabla1[[#This Row],[Codigo_actividad]]&lt;&gt;2.5,IF(((Tabla1[[#This Row],[fin]]-Tabla1[[#This Row],[inicio]])/1000)=0,"",((Tabla1[[#This Row],[fin]]-Tabla1[[#This Row],[inicio]])/1000)),"")</f>
        <v/>
      </c>
      <c r="I758" s="66"/>
      <c r="J758" s="76"/>
      <c r="K758" s="66" t="str">
        <f>IF(_xlfn.XLOOKUP($J758,Catalogo!$B$7:$B$21,Catalogo!$I$7:$I$21,"",0)=0,"",_xlfn.XLOOKUP($J758,Catalogo!$B$7:$B$21,Catalogo!$I$7:$I$21,"",0))</f>
        <v/>
      </c>
      <c r="L758" s="36"/>
      <c r="M758" s="261">
        <f>IF(Tabla1[[#This Row],[Avance_km]]&lt;&gt;"",Tabla1[[#This Row],[Avance_km]],Tabla1[[#This Row],[Avance_Med]])*_xlfn.XLOOKUP(Tabla1[[#This Row],[Codigo_actividad]],Catalogo!$B$6:$B$51,Catalogo!$F$6:$F$51,0)</f>
        <v>0</v>
      </c>
      <c r="N758" t="str">
        <f>_xlfn.IFNA(_xlfn.XLOOKUP(Tabla1[[#This Row],[fin]],$P$379:$P$398,$T$379:$T$398),"")</f>
        <v/>
      </c>
    </row>
    <row r="759" spans="1:14" x14ac:dyDescent="0.25">
      <c r="A759" s="354">
        <v>46308</v>
      </c>
      <c r="B759" s="114" t="s">
        <v>30</v>
      </c>
      <c r="C759" s="512" t="s">
        <v>13</v>
      </c>
      <c r="D759" s="39" t="s">
        <v>14</v>
      </c>
      <c r="E759" s="40" t="s">
        <v>119</v>
      </c>
      <c r="F759" s="493">
        <v>28591</v>
      </c>
      <c r="G759" s="28" t="s">
        <v>618</v>
      </c>
      <c r="H759" s="224"/>
      <c r="I759" s="501">
        <v>1</v>
      </c>
      <c r="J759" s="76">
        <v>3.2</v>
      </c>
      <c r="K759" s="66" t="str">
        <f>IF(_xlfn.XLOOKUP($J759,Catalogo!$B$7:$B$210,Catalogo!$I$7:$I$210,"",0)=0,"",_xlfn.XLOOKUP($J759,Catalogo!$B$7:$B$210,Catalogo!$I$7:$I$210,"",0))</f>
        <v>DATA EXC</v>
      </c>
      <c r="L759" s="36"/>
      <c r="M759" s="261">
        <f>IF(Tabla1[[#This Row],[Avance_km]]&lt;&gt;"",Tabla1[[#This Row],[Avance_km]],Tabla1[[#This Row],[Avance_Med]])*_xlfn.XLOOKUP(Tabla1[[#This Row],[Codigo_actividad]],Catalogo!$B$6:$B$51,Catalogo!$F$6:$F$51,0)</f>
        <v>7585.99</v>
      </c>
    </row>
    <row r="760" spans="1:14" x14ac:dyDescent="0.25">
      <c r="A760" s="354">
        <v>46308</v>
      </c>
      <c r="B760" s="114" t="s">
        <v>30</v>
      </c>
      <c r="C760" s="512" t="s">
        <v>13</v>
      </c>
      <c r="D760" s="39" t="s">
        <v>14</v>
      </c>
      <c r="E760" s="40" t="s">
        <v>531</v>
      </c>
      <c r="F760" s="493">
        <v>28591</v>
      </c>
      <c r="G760" s="28" t="s">
        <v>618</v>
      </c>
      <c r="H760" s="224"/>
      <c r="I760" s="501">
        <v>1</v>
      </c>
      <c r="J760" s="76" t="s">
        <v>122</v>
      </c>
      <c r="K760" s="66" t="str">
        <f>IF(_xlfn.XLOOKUP($J760,Catalogo!$B$7:$B$210,Catalogo!$I$7:$I$210,"",0)=0,"",_xlfn.XLOOKUP($J760,Catalogo!$B$7:$B$210,Catalogo!$I$7:$I$210,"",0))</f>
        <v>VT</v>
      </c>
      <c r="L760" s="36"/>
      <c r="M760" s="261">
        <f>IF(Tabla1[[#This Row],[Avance_km]]&lt;&gt;"",Tabla1[[#This Row],[Avance_km]],Tabla1[[#This Row],[Avance_Med]])*_xlfn.XLOOKUP(Tabla1[[#This Row],[Codigo_actividad]],Catalogo!$B$6:$B$51,Catalogo!$F$6:$F$51,0)</f>
        <v>1765.59</v>
      </c>
    </row>
    <row r="761" spans="1:14" x14ac:dyDescent="0.25">
      <c r="A761" s="354">
        <v>46308</v>
      </c>
      <c r="B761" s="114" t="s">
        <v>30</v>
      </c>
      <c r="C761" s="512" t="s">
        <v>13</v>
      </c>
      <c r="D761" s="39" t="s">
        <v>14</v>
      </c>
      <c r="E761" s="40" t="s">
        <v>125</v>
      </c>
      <c r="F761" s="493">
        <v>28591</v>
      </c>
      <c r="G761" s="28" t="s">
        <v>618</v>
      </c>
      <c r="H761" s="224"/>
      <c r="I761" s="501">
        <v>1</v>
      </c>
      <c r="J761" s="76" t="s">
        <v>124</v>
      </c>
      <c r="K761" s="66" t="str">
        <f>IF(_xlfn.XLOOKUP($J761,Catalogo!$B$7:$B$210,Catalogo!$I$7:$I$210,"",0)=0,"",_xlfn.XLOOKUP($J761,Catalogo!$B$7:$B$210,Catalogo!$I$7:$I$210,"",0))</f>
        <v>SANIDAD Y ESPESORES</v>
      </c>
      <c r="L761" s="36"/>
      <c r="M761" s="261">
        <f>IF(Tabla1[[#This Row],[Avance_km]]&lt;&gt;"",Tabla1[[#This Row],[Avance_km]],Tabla1[[#This Row],[Avance_Med]])*_xlfn.XLOOKUP(Tabla1[[#This Row],[Codigo_actividad]],Catalogo!$B$6:$B$51,Catalogo!$F$6:$F$51,0)</f>
        <v>1934.59</v>
      </c>
    </row>
    <row r="762" spans="1:14" x14ac:dyDescent="0.25">
      <c r="A762" s="354">
        <v>46308</v>
      </c>
      <c r="B762" s="114" t="s">
        <v>30</v>
      </c>
      <c r="C762" s="512" t="s">
        <v>13</v>
      </c>
      <c r="D762" s="39" t="s">
        <v>14</v>
      </c>
      <c r="E762" s="40" t="s">
        <v>128</v>
      </c>
      <c r="F762" s="493">
        <v>28591</v>
      </c>
      <c r="G762" s="28" t="s">
        <v>618</v>
      </c>
      <c r="H762" s="224"/>
      <c r="I762" s="501">
        <v>1</v>
      </c>
      <c r="J762" s="76" t="s">
        <v>127</v>
      </c>
      <c r="K762" s="66" t="str">
        <f>IF(_xlfn.XLOOKUP($J762,Catalogo!$B$7:$B$210,Catalogo!$I$7:$I$210,"",0)=0,"",_xlfn.XLOOKUP($J762,Catalogo!$B$7:$B$210,Catalogo!$I$7:$I$210,"",0))</f>
        <v>CARACTERIZACION</v>
      </c>
      <c r="L762" s="36"/>
      <c r="M762" s="261">
        <f>IF(Tabla1[[#This Row],[Avance_km]]&lt;&gt;"",Tabla1[[#This Row],[Avance_km]],Tabla1[[#This Row],[Avance_Med]])*_xlfn.XLOOKUP(Tabla1[[#This Row],[Codigo_actividad]],Catalogo!$B$6:$B$51,Catalogo!$F$6:$F$51,0)</f>
        <v>1960.59</v>
      </c>
    </row>
    <row r="763" spans="1:14" x14ac:dyDescent="0.25">
      <c r="A763" s="354">
        <v>46308</v>
      </c>
      <c r="B763" s="114" t="s">
        <v>30</v>
      </c>
      <c r="C763" s="512" t="s">
        <v>13</v>
      </c>
      <c r="D763" s="39" t="s">
        <v>14</v>
      </c>
      <c r="E763" s="40" t="s">
        <v>132</v>
      </c>
      <c r="F763" s="493">
        <v>28591</v>
      </c>
      <c r="G763" s="28" t="s">
        <v>618</v>
      </c>
      <c r="H763" s="224"/>
      <c r="I763" s="501">
        <v>1</v>
      </c>
      <c r="J763" s="76" t="s">
        <v>131</v>
      </c>
      <c r="K763" s="66" t="str">
        <f>IF(_xlfn.XLOOKUP($J763,Catalogo!$B$7:$B$210,Catalogo!$I$7:$I$210,"",0)=0,"",_xlfn.XLOOKUP($J763,Catalogo!$B$7:$B$210,Catalogo!$I$7:$I$210,"",0))</f>
        <v>UT RECTO</v>
      </c>
      <c r="L763" s="36"/>
      <c r="M763" s="261">
        <f>IF(Tabla1[[#This Row],[Avance_km]]&lt;&gt;"",Tabla1[[#This Row],[Avance_km]],Tabla1[[#This Row],[Avance_Med]])*_xlfn.XLOOKUP(Tabla1[[#This Row],[Codigo_actividad]],Catalogo!$B$6:$B$51,Catalogo!$F$6:$F$51,0)</f>
        <v>2220.59</v>
      </c>
    </row>
    <row r="764" spans="1:14" x14ac:dyDescent="0.25">
      <c r="A764" s="354">
        <v>46308</v>
      </c>
      <c r="B764" s="114" t="s">
        <v>30</v>
      </c>
      <c r="C764" s="512" t="s">
        <v>13</v>
      </c>
      <c r="D764" s="39" t="s">
        <v>14</v>
      </c>
      <c r="E764" s="40" t="s">
        <v>138</v>
      </c>
      <c r="F764" s="493">
        <v>28591</v>
      </c>
      <c r="G764" s="28" t="s">
        <v>618</v>
      </c>
      <c r="H764" s="224"/>
      <c r="I764" s="501">
        <v>1</v>
      </c>
      <c r="J764" s="76" t="s">
        <v>137</v>
      </c>
      <c r="K764" s="66" t="str">
        <f>IF(_xlfn.XLOOKUP($J764,Catalogo!$B$7:$B$210,Catalogo!$I$7:$I$210,"",0)=0,"",_xlfn.XLOOKUP($J764,Catalogo!$B$7:$B$210,Catalogo!$I$7:$I$210,"",0))</f>
        <v>PH EXC</v>
      </c>
      <c r="L764" s="36"/>
      <c r="M764" s="261">
        <f>IF(Tabla1[[#This Row],[Avance_km]]&lt;&gt;"",Tabla1[[#This Row],[Avance_km]],Tabla1[[#This Row],[Avance_Med]])*_xlfn.XLOOKUP(Tabla1[[#This Row],[Codigo_actividad]],Catalogo!$B$6:$B$51,Catalogo!$F$6:$F$51,0)</f>
        <v>656</v>
      </c>
    </row>
    <row r="765" spans="1:14" x14ac:dyDescent="0.25">
      <c r="A765" s="354">
        <v>46308</v>
      </c>
      <c r="B765" s="114" t="s">
        <v>30</v>
      </c>
      <c r="C765" s="512" t="s">
        <v>13</v>
      </c>
      <c r="D765" s="39" t="s">
        <v>14</v>
      </c>
      <c r="E765" s="40" t="s">
        <v>140</v>
      </c>
      <c r="F765" s="493">
        <v>28591</v>
      </c>
      <c r="G765" s="28" t="s">
        <v>618</v>
      </c>
      <c r="H765" s="224"/>
      <c r="I765" s="501">
        <v>1</v>
      </c>
      <c r="J765" s="76" t="s">
        <v>139</v>
      </c>
      <c r="K765" s="66" t="str">
        <f>IF(_xlfn.XLOOKUP($J765,Catalogo!$B$7:$B$210,Catalogo!$I$7:$I$210,"",0)=0,"",_xlfn.XLOOKUP($J765,Catalogo!$B$7:$B$210,Catalogo!$I$7:$I$210,"",0))</f>
        <v>BACTERIAS EXC</v>
      </c>
      <c r="L765" s="36"/>
      <c r="M765" s="261">
        <f>IF(Tabla1[[#This Row],[Avance_km]]&lt;&gt;"",Tabla1[[#This Row],[Avance_km]],Tabla1[[#This Row],[Avance_Med]])*_xlfn.XLOOKUP(Tabla1[[#This Row],[Codigo_actividad]],Catalogo!$B$6:$B$51,Catalogo!$F$6:$F$51,0)</f>
        <v>4676</v>
      </c>
    </row>
    <row r="766" spans="1:14" x14ac:dyDescent="0.25">
      <c r="A766" s="354"/>
      <c r="B766" s="114"/>
      <c r="C766" s="512"/>
      <c r="D766" s="39"/>
      <c r="F766" s="28"/>
      <c r="G766" s="28"/>
      <c r="H766" s="224" t="str">
        <f>IF(Tabla1[[#This Row],[Codigo_actividad]]&lt;&gt;2.5,IF(((Tabla1[[#This Row],[fin]]-Tabla1[[#This Row],[inicio]])/1000)=0,"",((Tabla1[[#This Row],[fin]]-Tabla1[[#This Row],[inicio]])/1000)),"")</f>
        <v/>
      </c>
      <c r="I766" s="66"/>
      <c r="J766" s="76"/>
      <c r="K766" s="66" t="str">
        <f>IF(_xlfn.XLOOKUP($J766,Catalogo!$B$7:$B$21,Catalogo!$I$7:$I$21,"",0)=0,"",_xlfn.XLOOKUP($J766,Catalogo!$B$7:$B$21,Catalogo!$I$7:$I$21,"",0))</f>
        <v/>
      </c>
      <c r="L766" s="36"/>
      <c r="M766" s="261">
        <f>IF(Tabla1[[#This Row],[Avance_km]]&lt;&gt;"",Tabla1[[#This Row],[Avance_km]],Tabla1[[#This Row],[Avance_Med]])*_xlfn.XLOOKUP(Tabla1[[#This Row],[Codigo_actividad]],Catalogo!$B$6:$B$51,Catalogo!$F$6:$F$51,0)</f>
        <v>0</v>
      </c>
      <c r="N766" t="str">
        <f>_xlfn.IFNA(_xlfn.XLOOKUP(Tabla1[[#This Row],[fin]],$P$379:$P$398,$T$379:$T$398),"")</f>
        <v/>
      </c>
    </row>
    <row r="767" spans="1:14" x14ac:dyDescent="0.25">
      <c r="A767" s="354">
        <v>46307</v>
      </c>
      <c r="B767" s="114" t="s">
        <v>30</v>
      </c>
      <c r="C767" s="512" t="s">
        <v>13</v>
      </c>
      <c r="D767" s="39" t="s">
        <v>50</v>
      </c>
      <c r="E767" s="40" t="s">
        <v>119</v>
      </c>
      <c r="F767" s="493">
        <v>5713.29</v>
      </c>
      <c r="G767" s="28" t="s">
        <v>618</v>
      </c>
      <c r="H767" s="224"/>
      <c r="I767" s="501">
        <v>1</v>
      </c>
      <c r="J767" s="76">
        <v>3.2</v>
      </c>
      <c r="K767" s="66" t="str">
        <f>IF(_xlfn.XLOOKUP($J767,Catalogo!$B$7:$B$210,Catalogo!$I$7:$I$210,"",0)=0,"",_xlfn.XLOOKUP($J767,Catalogo!$B$7:$B$210,Catalogo!$I$7:$I$210,"",0))</f>
        <v>DATA EXC</v>
      </c>
      <c r="L767" s="36"/>
      <c r="M767" s="261">
        <f>IF(Tabla1[[#This Row],[Avance_km]]&lt;&gt;"",Tabla1[[#This Row],[Avance_km]],Tabla1[[#This Row],[Avance_Med]])*_xlfn.XLOOKUP(Tabla1[[#This Row],[Codigo_actividad]],Catalogo!$B$6:$B$51,Catalogo!$F$6:$F$51,0)</f>
        <v>7585.99</v>
      </c>
    </row>
    <row r="768" spans="1:14" x14ac:dyDescent="0.25">
      <c r="A768" s="354">
        <v>46307</v>
      </c>
      <c r="B768" s="114" t="s">
        <v>30</v>
      </c>
      <c r="C768" s="512" t="s">
        <v>13</v>
      </c>
      <c r="D768" s="39" t="s">
        <v>50</v>
      </c>
      <c r="E768" s="40" t="s">
        <v>531</v>
      </c>
      <c r="F768" s="493">
        <v>5713.29</v>
      </c>
      <c r="G768" s="28" t="s">
        <v>618</v>
      </c>
      <c r="H768" s="224"/>
      <c r="I768" s="501">
        <v>1</v>
      </c>
      <c r="J768" s="76" t="s">
        <v>122</v>
      </c>
      <c r="K768" s="66" t="str">
        <f>IF(_xlfn.XLOOKUP($J768,Catalogo!$B$7:$B$210,Catalogo!$I$7:$I$210,"",0)=0,"",_xlfn.XLOOKUP($J768,Catalogo!$B$7:$B$210,Catalogo!$I$7:$I$210,"",0))</f>
        <v>VT</v>
      </c>
      <c r="L768" s="36"/>
      <c r="M768" s="261">
        <f>IF(Tabla1[[#This Row],[Avance_km]]&lt;&gt;"",Tabla1[[#This Row],[Avance_km]],Tabla1[[#This Row],[Avance_Med]])*_xlfn.XLOOKUP(Tabla1[[#This Row],[Codigo_actividad]],Catalogo!$B$6:$B$51,Catalogo!$F$6:$F$51,0)</f>
        <v>1765.59</v>
      </c>
    </row>
    <row r="769" spans="1:14" x14ac:dyDescent="0.25">
      <c r="A769" s="354">
        <v>46307</v>
      </c>
      <c r="B769" s="114" t="s">
        <v>30</v>
      </c>
      <c r="C769" s="512" t="s">
        <v>13</v>
      </c>
      <c r="D769" s="39" t="s">
        <v>50</v>
      </c>
      <c r="E769" s="40" t="s">
        <v>125</v>
      </c>
      <c r="F769" s="493">
        <v>5713.29</v>
      </c>
      <c r="G769" s="28" t="s">
        <v>618</v>
      </c>
      <c r="H769" s="224"/>
      <c r="I769" s="501">
        <v>1</v>
      </c>
      <c r="J769" s="76" t="s">
        <v>124</v>
      </c>
      <c r="K769" s="66" t="str">
        <f>IF(_xlfn.XLOOKUP($J769,Catalogo!$B$7:$B$210,Catalogo!$I$7:$I$210,"",0)=0,"",_xlfn.XLOOKUP($J769,Catalogo!$B$7:$B$210,Catalogo!$I$7:$I$210,"",0))</f>
        <v>SANIDAD Y ESPESORES</v>
      </c>
      <c r="L769" s="36"/>
      <c r="M769" s="261">
        <f>IF(Tabla1[[#This Row],[Avance_km]]&lt;&gt;"",Tabla1[[#This Row],[Avance_km]],Tabla1[[#This Row],[Avance_Med]])*_xlfn.XLOOKUP(Tabla1[[#This Row],[Codigo_actividad]],Catalogo!$B$6:$B$51,Catalogo!$F$6:$F$51,0)</f>
        <v>1934.59</v>
      </c>
    </row>
    <row r="770" spans="1:14" x14ac:dyDescent="0.25">
      <c r="A770" s="354">
        <v>46307</v>
      </c>
      <c r="B770" s="114" t="s">
        <v>30</v>
      </c>
      <c r="C770" s="512" t="s">
        <v>13</v>
      </c>
      <c r="D770" s="39" t="s">
        <v>50</v>
      </c>
      <c r="E770" s="40" t="s">
        <v>128</v>
      </c>
      <c r="F770" s="493">
        <v>5713.29</v>
      </c>
      <c r="G770" s="28" t="s">
        <v>618</v>
      </c>
      <c r="H770" s="224"/>
      <c r="I770" s="501">
        <v>1</v>
      </c>
      <c r="J770" s="76" t="s">
        <v>127</v>
      </c>
      <c r="K770" s="66" t="str">
        <f>IF(_xlfn.XLOOKUP($J770,Catalogo!$B$7:$B$210,Catalogo!$I$7:$I$210,"",0)=0,"",_xlfn.XLOOKUP($J770,Catalogo!$B$7:$B$210,Catalogo!$I$7:$I$210,"",0))</f>
        <v>CARACTERIZACION</v>
      </c>
      <c r="L770" s="36"/>
      <c r="M770" s="261">
        <f>IF(Tabla1[[#This Row],[Avance_km]]&lt;&gt;"",Tabla1[[#This Row],[Avance_km]],Tabla1[[#This Row],[Avance_Med]])*_xlfn.XLOOKUP(Tabla1[[#This Row],[Codigo_actividad]],Catalogo!$B$6:$B$51,Catalogo!$F$6:$F$51,0)</f>
        <v>1960.59</v>
      </c>
    </row>
    <row r="771" spans="1:14" x14ac:dyDescent="0.25">
      <c r="A771" s="354">
        <v>46307</v>
      </c>
      <c r="B771" s="114" t="s">
        <v>30</v>
      </c>
      <c r="C771" s="512" t="s">
        <v>13</v>
      </c>
      <c r="D771" s="39" t="s">
        <v>50</v>
      </c>
      <c r="E771" s="40" t="s">
        <v>132</v>
      </c>
      <c r="F771" s="493">
        <v>5713.29</v>
      </c>
      <c r="G771" s="28" t="s">
        <v>618</v>
      </c>
      <c r="H771" s="224"/>
      <c r="I771" s="501">
        <v>1</v>
      </c>
      <c r="J771" s="76" t="s">
        <v>131</v>
      </c>
      <c r="K771" s="66" t="str">
        <f>IF(_xlfn.XLOOKUP($J771,Catalogo!$B$7:$B$210,Catalogo!$I$7:$I$210,"",0)=0,"",_xlfn.XLOOKUP($J771,Catalogo!$B$7:$B$210,Catalogo!$I$7:$I$210,"",0))</f>
        <v>UT RECTO</v>
      </c>
      <c r="L771" s="36"/>
      <c r="M771" s="261">
        <f>IF(Tabla1[[#This Row],[Avance_km]]&lt;&gt;"",Tabla1[[#This Row],[Avance_km]],Tabla1[[#This Row],[Avance_Med]])*_xlfn.XLOOKUP(Tabla1[[#This Row],[Codigo_actividad]],Catalogo!$B$6:$B$51,Catalogo!$F$6:$F$51,0)</f>
        <v>2220.59</v>
      </c>
    </row>
    <row r="772" spans="1:14" x14ac:dyDescent="0.25">
      <c r="A772" s="354">
        <v>46307</v>
      </c>
      <c r="B772" s="114" t="s">
        <v>30</v>
      </c>
      <c r="C772" s="512" t="s">
        <v>13</v>
      </c>
      <c r="D772" s="39" t="s">
        <v>50</v>
      </c>
      <c r="E772" s="40" t="s">
        <v>138</v>
      </c>
      <c r="F772" s="493">
        <v>5713.29</v>
      </c>
      <c r="G772" s="28" t="s">
        <v>618</v>
      </c>
      <c r="H772" s="224"/>
      <c r="I772" s="501">
        <v>1</v>
      </c>
      <c r="J772" s="76" t="s">
        <v>137</v>
      </c>
      <c r="K772" s="66" t="str">
        <f>IF(_xlfn.XLOOKUP($J772,Catalogo!$B$7:$B$210,Catalogo!$I$7:$I$210,"",0)=0,"",_xlfn.XLOOKUP($J772,Catalogo!$B$7:$B$210,Catalogo!$I$7:$I$210,"",0))</f>
        <v>PH EXC</v>
      </c>
      <c r="L772" s="36"/>
      <c r="M772" s="261">
        <f>IF(Tabla1[[#This Row],[Avance_km]]&lt;&gt;"",Tabla1[[#This Row],[Avance_km]],Tabla1[[#This Row],[Avance_Med]])*_xlfn.XLOOKUP(Tabla1[[#This Row],[Codigo_actividad]],Catalogo!$B$6:$B$51,Catalogo!$F$6:$F$51,0)</f>
        <v>656</v>
      </c>
    </row>
    <row r="773" spans="1:14" x14ac:dyDescent="0.25">
      <c r="A773" s="354">
        <v>46307</v>
      </c>
      <c r="B773" s="114" t="s">
        <v>30</v>
      </c>
      <c r="C773" s="512" t="s">
        <v>13</v>
      </c>
      <c r="D773" s="39" t="s">
        <v>50</v>
      </c>
      <c r="E773" s="40" t="s">
        <v>140</v>
      </c>
      <c r="F773" s="493">
        <v>5713.29</v>
      </c>
      <c r="G773" s="28" t="s">
        <v>618</v>
      </c>
      <c r="H773" s="224"/>
      <c r="I773" s="501">
        <v>1</v>
      </c>
      <c r="J773" s="76" t="s">
        <v>139</v>
      </c>
      <c r="K773" s="66" t="str">
        <f>IF(_xlfn.XLOOKUP($J773,Catalogo!$B$7:$B$210,Catalogo!$I$7:$I$210,"",0)=0,"",_xlfn.XLOOKUP($J773,Catalogo!$B$7:$B$210,Catalogo!$I$7:$I$210,"",0))</f>
        <v>BACTERIAS EXC</v>
      </c>
      <c r="L773" s="36"/>
      <c r="M773" s="261">
        <f>IF(Tabla1[[#This Row],[Avance_km]]&lt;&gt;"",Tabla1[[#This Row],[Avance_km]],Tabla1[[#This Row],[Avance_Med]])*_xlfn.XLOOKUP(Tabla1[[#This Row],[Codigo_actividad]],Catalogo!$B$6:$B$51,Catalogo!$F$6:$F$51,0)</f>
        <v>4676</v>
      </c>
    </row>
    <row r="774" spans="1:14" x14ac:dyDescent="0.25">
      <c r="A774" s="354"/>
      <c r="B774" s="114"/>
      <c r="C774" s="512"/>
      <c r="D774" s="39"/>
      <c r="F774" s="28"/>
      <c r="G774" s="28"/>
      <c r="H774" s="224" t="str">
        <f>IF(Tabla1[[#This Row],[Codigo_actividad]]&lt;&gt;2.5,IF(((Tabla1[[#This Row],[fin]]-Tabla1[[#This Row],[inicio]])/1000)=0,"",((Tabla1[[#This Row],[fin]]-Tabla1[[#This Row],[inicio]])/1000)),"")</f>
        <v/>
      </c>
      <c r="I774" s="66"/>
      <c r="J774" s="76"/>
      <c r="K774" s="66" t="str">
        <f>IF(_xlfn.XLOOKUP($J774,Catalogo!$B$7:$B$21,Catalogo!$I$7:$I$21,"",0)=0,"",_xlfn.XLOOKUP($J774,Catalogo!$B$7:$B$21,Catalogo!$I$7:$I$21,"",0))</f>
        <v/>
      </c>
      <c r="L774" s="36"/>
      <c r="M774" s="261">
        <f>IF(Tabla1[[#This Row],[Avance_km]]&lt;&gt;"",Tabla1[[#This Row],[Avance_km]],Tabla1[[#This Row],[Avance_Med]])*_xlfn.XLOOKUP(Tabla1[[#This Row],[Codigo_actividad]],Catalogo!$B$6:$B$51,Catalogo!$F$6:$F$51,0)</f>
        <v>0</v>
      </c>
      <c r="N774" t="str">
        <f>_xlfn.IFNA(_xlfn.XLOOKUP(Tabla1[[#This Row],[fin]],$P$379:$P$398,$T$379:$T$398),"")</f>
        <v/>
      </c>
    </row>
    <row r="775" spans="1:14" x14ac:dyDescent="0.25">
      <c r="A775" s="354">
        <v>46294</v>
      </c>
      <c r="B775" s="114" t="s">
        <v>30</v>
      </c>
      <c r="C775" s="512" t="s">
        <v>13</v>
      </c>
      <c r="D775" s="39" t="s">
        <v>65</v>
      </c>
      <c r="E775" s="40" t="s">
        <v>119</v>
      </c>
      <c r="F775" s="493">
        <v>9632</v>
      </c>
      <c r="G775" s="28" t="s">
        <v>618</v>
      </c>
      <c r="H775" s="224"/>
      <c r="I775" s="501">
        <v>1</v>
      </c>
      <c r="J775" s="76">
        <v>3.2</v>
      </c>
      <c r="K775" s="66" t="str">
        <f>IF(_xlfn.XLOOKUP($J775,Catalogo!$B$7:$B$210,Catalogo!$I$7:$I$210,"",0)=0,"",_xlfn.XLOOKUP($J775,Catalogo!$B$7:$B$210,Catalogo!$I$7:$I$210,"",0))</f>
        <v>DATA EXC</v>
      </c>
      <c r="L775" s="36"/>
      <c r="M775" s="261">
        <f>IF(Tabla1[[#This Row],[Avance_km]]&lt;&gt;"",Tabla1[[#This Row],[Avance_km]],Tabla1[[#This Row],[Avance_Med]])*_xlfn.XLOOKUP(Tabla1[[#This Row],[Codigo_actividad]],Catalogo!$B$6:$B$51,Catalogo!$F$6:$F$51,0)</f>
        <v>7585.99</v>
      </c>
    </row>
    <row r="776" spans="1:14" x14ac:dyDescent="0.25">
      <c r="A776" s="354">
        <v>46294</v>
      </c>
      <c r="B776" s="114" t="s">
        <v>30</v>
      </c>
      <c r="C776" s="512" t="s">
        <v>13</v>
      </c>
      <c r="D776" s="39" t="s">
        <v>65</v>
      </c>
      <c r="E776" s="40" t="s">
        <v>531</v>
      </c>
      <c r="F776" s="493">
        <v>9632</v>
      </c>
      <c r="G776" s="28" t="s">
        <v>618</v>
      </c>
      <c r="H776" s="224"/>
      <c r="I776" s="501">
        <v>1</v>
      </c>
      <c r="J776" s="76" t="s">
        <v>122</v>
      </c>
      <c r="K776" s="66" t="str">
        <f>IF(_xlfn.XLOOKUP($J776,Catalogo!$B$7:$B$210,Catalogo!$I$7:$I$210,"",0)=0,"",_xlfn.XLOOKUP($J776,Catalogo!$B$7:$B$210,Catalogo!$I$7:$I$210,"",0))</f>
        <v>VT</v>
      </c>
      <c r="L776" s="36"/>
      <c r="M776" s="261">
        <f>IF(Tabla1[[#This Row],[Avance_km]]&lt;&gt;"",Tabla1[[#This Row],[Avance_km]],Tabla1[[#This Row],[Avance_Med]])*_xlfn.XLOOKUP(Tabla1[[#This Row],[Codigo_actividad]],Catalogo!$B$6:$B$51,Catalogo!$F$6:$F$51,0)</f>
        <v>1765.59</v>
      </c>
    </row>
    <row r="777" spans="1:14" x14ac:dyDescent="0.25">
      <c r="A777" s="354">
        <v>46294</v>
      </c>
      <c r="B777" s="114" t="s">
        <v>30</v>
      </c>
      <c r="C777" s="512" t="s">
        <v>13</v>
      </c>
      <c r="D777" s="39" t="s">
        <v>65</v>
      </c>
      <c r="E777" s="40" t="s">
        <v>125</v>
      </c>
      <c r="F777" s="493">
        <v>9632</v>
      </c>
      <c r="G777" s="28" t="s">
        <v>618</v>
      </c>
      <c r="H777" s="224"/>
      <c r="I777" s="501">
        <v>1</v>
      </c>
      <c r="J777" s="76" t="s">
        <v>124</v>
      </c>
      <c r="K777" s="66" t="str">
        <f>IF(_xlfn.XLOOKUP($J777,Catalogo!$B$7:$B$210,Catalogo!$I$7:$I$210,"",0)=0,"",_xlfn.XLOOKUP($J777,Catalogo!$B$7:$B$210,Catalogo!$I$7:$I$210,"",0))</f>
        <v>SANIDAD Y ESPESORES</v>
      </c>
      <c r="L777" s="36"/>
      <c r="M777" s="261">
        <f>IF(Tabla1[[#This Row],[Avance_km]]&lt;&gt;"",Tabla1[[#This Row],[Avance_km]],Tabla1[[#This Row],[Avance_Med]])*_xlfn.XLOOKUP(Tabla1[[#This Row],[Codigo_actividad]],Catalogo!$B$6:$B$51,Catalogo!$F$6:$F$51,0)</f>
        <v>1934.59</v>
      </c>
    </row>
    <row r="778" spans="1:14" x14ac:dyDescent="0.25">
      <c r="A778" s="354">
        <v>46294</v>
      </c>
      <c r="B778" s="114" t="s">
        <v>30</v>
      </c>
      <c r="C778" s="512" t="s">
        <v>13</v>
      </c>
      <c r="D778" s="39" t="s">
        <v>65</v>
      </c>
      <c r="E778" s="40" t="s">
        <v>128</v>
      </c>
      <c r="F778" s="493">
        <v>9632</v>
      </c>
      <c r="G778" s="28" t="s">
        <v>618</v>
      </c>
      <c r="H778" s="224"/>
      <c r="I778" s="501">
        <v>1</v>
      </c>
      <c r="J778" s="76" t="s">
        <v>127</v>
      </c>
      <c r="K778" s="66" t="str">
        <f>IF(_xlfn.XLOOKUP($J778,Catalogo!$B$7:$B$210,Catalogo!$I$7:$I$210,"",0)=0,"",_xlfn.XLOOKUP($J778,Catalogo!$B$7:$B$210,Catalogo!$I$7:$I$210,"",0))</f>
        <v>CARACTERIZACION</v>
      </c>
      <c r="L778" s="36"/>
      <c r="M778" s="261">
        <f>IF(Tabla1[[#This Row],[Avance_km]]&lt;&gt;"",Tabla1[[#This Row],[Avance_km]],Tabla1[[#This Row],[Avance_Med]])*_xlfn.XLOOKUP(Tabla1[[#This Row],[Codigo_actividad]],Catalogo!$B$6:$B$51,Catalogo!$F$6:$F$51,0)</f>
        <v>1960.59</v>
      </c>
    </row>
    <row r="779" spans="1:14" x14ac:dyDescent="0.25">
      <c r="A779" s="354">
        <v>46294</v>
      </c>
      <c r="B779" s="114" t="s">
        <v>30</v>
      </c>
      <c r="C779" s="512" t="s">
        <v>13</v>
      </c>
      <c r="D779" s="39" t="s">
        <v>65</v>
      </c>
      <c r="E779" s="40" t="s">
        <v>132</v>
      </c>
      <c r="F779" s="493">
        <v>9632</v>
      </c>
      <c r="G779" s="28" t="s">
        <v>618</v>
      </c>
      <c r="H779" s="224"/>
      <c r="I779" s="501">
        <v>1</v>
      </c>
      <c r="J779" s="76" t="s">
        <v>131</v>
      </c>
      <c r="K779" s="66" t="str">
        <f>IF(_xlfn.XLOOKUP($J779,Catalogo!$B$7:$B$210,Catalogo!$I$7:$I$210,"",0)=0,"",_xlfn.XLOOKUP($J779,Catalogo!$B$7:$B$210,Catalogo!$I$7:$I$210,"",0))</f>
        <v>UT RECTO</v>
      </c>
      <c r="L779" s="36"/>
      <c r="M779" s="261">
        <f>IF(Tabla1[[#This Row],[Avance_km]]&lt;&gt;"",Tabla1[[#This Row],[Avance_km]],Tabla1[[#This Row],[Avance_Med]])*_xlfn.XLOOKUP(Tabla1[[#This Row],[Codigo_actividad]],Catalogo!$B$6:$B$51,Catalogo!$F$6:$F$51,0)</f>
        <v>2220.59</v>
      </c>
    </row>
    <row r="780" spans="1:14" x14ac:dyDescent="0.25">
      <c r="A780" s="354">
        <v>46294</v>
      </c>
      <c r="B780" s="114" t="s">
        <v>30</v>
      </c>
      <c r="C780" s="512" t="s">
        <v>13</v>
      </c>
      <c r="D780" s="39" t="s">
        <v>65</v>
      </c>
      <c r="E780" s="40" t="s">
        <v>138</v>
      </c>
      <c r="F780" s="493">
        <v>9632</v>
      </c>
      <c r="G780" s="28" t="s">
        <v>618</v>
      </c>
      <c r="H780" s="224"/>
      <c r="I780" s="501">
        <v>1</v>
      </c>
      <c r="J780" s="76" t="s">
        <v>137</v>
      </c>
      <c r="K780" s="66" t="str">
        <f>IF(_xlfn.XLOOKUP($J780,Catalogo!$B$7:$B$210,Catalogo!$I$7:$I$210,"",0)=0,"",_xlfn.XLOOKUP($J780,Catalogo!$B$7:$B$210,Catalogo!$I$7:$I$210,"",0))</f>
        <v>PH EXC</v>
      </c>
      <c r="L780" s="36"/>
      <c r="M780" s="261">
        <f>IF(Tabla1[[#This Row],[Avance_km]]&lt;&gt;"",Tabla1[[#This Row],[Avance_km]],Tabla1[[#This Row],[Avance_Med]])*_xlfn.XLOOKUP(Tabla1[[#This Row],[Codigo_actividad]],Catalogo!$B$6:$B$51,Catalogo!$F$6:$F$51,0)</f>
        <v>656</v>
      </c>
    </row>
    <row r="781" spans="1:14" x14ac:dyDescent="0.25">
      <c r="A781" s="354">
        <v>46294</v>
      </c>
      <c r="B781" s="114" t="s">
        <v>30</v>
      </c>
      <c r="C781" s="512" t="s">
        <v>13</v>
      </c>
      <c r="D781" s="39" t="s">
        <v>65</v>
      </c>
      <c r="E781" s="40" t="s">
        <v>140</v>
      </c>
      <c r="F781" s="493">
        <v>9632</v>
      </c>
      <c r="G781" s="28" t="s">
        <v>618</v>
      </c>
      <c r="H781" s="224"/>
      <c r="I781" s="501">
        <v>1</v>
      </c>
      <c r="J781" s="76" t="s">
        <v>139</v>
      </c>
      <c r="K781" s="66" t="str">
        <f>IF(_xlfn.XLOOKUP($J781,Catalogo!$B$7:$B$210,Catalogo!$I$7:$I$210,"",0)=0,"",_xlfn.XLOOKUP($J781,Catalogo!$B$7:$B$210,Catalogo!$I$7:$I$210,"",0))</f>
        <v>BACTERIAS EXC</v>
      </c>
      <c r="L781" s="36"/>
      <c r="M781" s="261">
        <f>IF(Tabla1[[#This Row],[Avance_km]]&lt;&gt;"",Tabla1[[#This Row],[Avance_km]],Tabla1[[#This Row],[Avance_Med]])*_xlfn.XLOOKUP(Tabla1[[#This Row],[Codigo_actividad]],Catalogo!$B$6:$B$51,Catalogo!$F$6:$F$51,0)</f>
        <v>4676</v>
      </c>
    </row>
    <row r="782" spans="1:14" x14ac:dyDescent="0.25">
      <c r="A782" s="354"/>
      <c r="B782" s="114"/>
      <c r="C782" s="512"/>
      <c r="D782" s="39"/>
      <c r="F782" s="28"/>
      <c r="G782" s="28"/>
      <c r="H782" s="224" t="str">
        <f>IF(Tabla1[[#This Row],[Codigo_actividad]]&lt;&gt;2.5,IF(((Tabla1[[#This Row],[fin]]-Tabla1[[#This Row],[inicio]])/1000)=0,"",((Tabla1[[#This Row],[fin]]-Tabla1[[#This Row],[inicio]])/1000)),"")</f>
        <v/>
      </c>
      <c r="I782" s="66"/>
      <c r="J782" s="76"/>
      <c r="K782" s="66" t="str">
        <f>IF(_xlfn.XLOOKUP($J782,Catalogo!$B$7:$B$21,Catalogo!$I$7:$I$21,"",0)=0,"",_xlfn.XLOOKUP($J782,Catalogo!$B$7:$B$21,Catalogo!$I$7:$I$21,"",0))</f>
        <v/>
      </c>
      <c r="L782" s="36"/>
      <c r="M782" s="261">
        <f>IF(Tabla1[[#This Row],[Avance_km]]&lt;&gt;"",Tabla1[[#This Row],[Avance_km]],Tabla1[[#This Row],[Avance_Med]])*_xlfn.XLOOKUP(Tabla1[[#This Row],[Codigo_actividad]],Catalogo!$B$6:$B$51,Catalogo!$F$6:$F$51,0)</f>
        <v>0</v>
      </c>
      <c r="N782" t="str">
        <f>_xlfn.IFNA(_xlfn.XLOOKUP(Tabla1[[#This Row],[fin]],$P$379:$P$398,$T$379:$T$398),"")</f>
        <v/>
      </c>
    </row>
    <row r="783" spans="1:14" x14ac:dyDescent="0.25">
      <c r="A783" s="354">
        <v>46274</v>
      </c>
      <c r="B783" s="114" t="s">
        <v>30</v>
      </c>
      <c r="C783" s="512" t="s">
        <v>13</v>
      </c>
      <c r="D783" s="39" t="s">
        <v>71</v>
      </c>
      <c r="E783" s="40" t="s">
        <v>119</v>
      </c>
      <c r="F783" s="493">
        <v>7</v>
      </c>
      <c r="G783" s="28" t="s">
        <v>618</v>
      </c>
      <c r="H783" s="224"/>
      <c r="I783" s="501">
        <v>1</v>
      </c>
      <c r="J783" s="76">
        <v>3.2</v>
      </c>
      <c r="K783" s="66" t="str">
        <f>IF(_xlfn.XLOOKUP($J783,Catalogo!$B$7:$B$210,Catalogo!$I$7:$I$210,"",0)=0,"",_xlfn.XLOOKUP($J783,Catalogo!$B$7:$B$210,Catalogo!$I$7:$I$210,"",0))</f>
        <v>DATA EXC</v>
      </c>
      <c r="L783" s="36"/>
      <c r="M783" s="261">
        <f>IF(Tabla1[[#This Row],[Avance_km]]&lt;&gt;"",Tabla1[[#This Row],[Avance_km]],Tabla1[[#This Row],[Avance_Med]])*_xlfn.XLOOKUP(Tabla1[[#This Row],[Codigo_actividad]],Catalogo!$B$6:$B$51,Catalogo!$F$6:$F$51,0)</f>
        <v>7585.99</v>
      </c>
      <c r="N783" t="str">
        <f>_xlfn.IFNA(_xlfn.XLOOKUP(Tabla1[[#This Row],[fin]],$P$379:$P$398,$T$379:$T$398),"")</f>
        <v/>
      </c>
    </row>
    <row r="784" spans="1:14" x14ac:dyDescent="0.25">
      <c r="A784" s="354">
        <v>46274</v>
      </c>
      <c r="B784" s="114" t="s">
        <v>30</v>
      </c>
      <c r="C784" s="512" t="s">
        <v>13</v>
      </c>
      <c r="D784" s="39" t="s">
        <v>71</v>
      </c>
      <c r="E784" s="40" t="s">
        <v>531</v>
      </c>
      <c r="F784" s="493">
        <v>7</v>
      </c>
      <c r="G784" s="28" t="s">
        <v>618</v>
      </c>
      <c r="H784" s="224"/>
      <c r="I784" s="501">
        <v>1</v>
      </c>
      <c r="J784" s="76" t="s">
        <v>122</v>
      </c>
      <c r="K784" s="66" t="str">
        <f>IF(_xlfn.XLOOKUP($J784,Catalogo!$B$7:$B$210,Catalogo!$I$7:$I$210,"",0)=0,"",_xlfn.XLOOKUP($J784,Catalogo!$B$7:$B$210,Catalogo!$I$7:$I$210,"",0))</f>
        <v>VT</v>
      </c>
      <c r="L784" s="36"/>
      <c r="M784" s="261">
        <f>IF(Tabla1[[#This Row],[Avance_km]]&lt;&gt;"",Tabla1[[#This Row],[Avance_km]],Tabla1[[#This Row],[Avance_Med]])*_xlfn.XLOOKUP(Tabla1[[#This Row],[Codigo_actividad]],Catalogo!$B$6:$B$51,Catalogo!$F$6:$F$51,0)</f>
        <v>1765.59</v>
      </c>
      <c r="N784" t="str">
        <f>_xlfn.IFNA(_xlfn.XLOOKUP(Tabla1[[#This Row],[fin]],$P$379:$P$398,$T$379:$T$398),"")</f>
        <v/>
      </c>
    </row>
    <row r="785" spans="1:14" x14ac:dyDescent="0.25">
      <c r="A785" s="354">
        <v>46274</v>
      </c>
      <c r="B785" s="114" t="s">
        <v>30</v>
      </c>
      <c r="C785" s="512" t="s">
        <v>13</v>
      </c>
      <c r="D785" s="39" t="s">
        <v>71</v>
      </c>
      <c r="E785" s="40" t="s">
        <v>125</v>
      </c>
      <c r="F785" s="493">
        <v>7</v>
      </c>
      <c r="G785" s="28" t="s">
        <v>618</v>
      </c>
      <c r="H785" s="224"/>
      <c r="I785" s="501">
        <v>1</v>
      </c>
      <c r="J785" s="76" t="s">
        <v>124</v>
      </c>
      <c r="K785" s="66" t="str">
        <f>IF(_xlfn.XLOOKUP($J785,Catalogo!$B$7:$B$210,Catalogo!$I$7:$I$210,"",0)=0,"",_xlfn.XLOOKUP($J785,Catalogo!$B$7:$B$210,Catalogo!$I$7:$I$210,"",0))</f>
        <v>SANIDAD Y ESPESORES</v>
      </c>
      <c r="L785" s="36"/>
      <c r="M785" s="261">
        <f>IF(Tabla1[[#This Row],[Avance_km]]&lt;&gt;"",Tabla1[[#This Row],[Avance_km]],Tabla1[[#This Row],[Avance_Med]])*_xlfn.XLOOKUP(Tabla1[[#This Row],[Codigo_actividad]],Catalogo!$B$6:$B$51,Catalogo!$F$6:$F$51,0)</f>
        <v>1934.59</v>
      </c>
      <c r="N785" t="str">
        <f>_xlfn.IFNA(_xlfn.XLOOKUP(Tabla1[[#This Row],[fin]],$P$379:$P$398,$T$379:$T$398),"")</f>
        <v/>
      </c>
    </row>
    <row r="786" spans="1:14" x14ac:dyDescent="0.25">
      <c r="A786" s="354">
        <v>46274</v>
      </c>
      <c r="B786" s="114" t="s">
        <v>30</v>
      </c>
      <c r="C786" s="512" t="s">
        <v>13</v>
      </c>
      <c r="D786" s="39" t="s">
        <v>71</v>
      </c>
      <c r="E786" s="40" t="s">
        <v>128</v>
      </c>
      <c r="F786" s="493">
        <v>7</v>
      </c>
      <c r="G786" s="28" t="s">
        <v>618</v>
      </c>
      <c r="H786" s="224"/>
      <c r="I786" s="501">
        <v>1</v>
      </c>
      <c r="J786" s="76" t="s">
        <v>127</v>
      </c>
      <c r="K786" s="66" t="str">
        <f>IF(_xlfn.XLOOKUP($J786,Catalogo!$B$7:$B$210,Catalogo!$I$7:$I$210,"",0)=0,"",_xlfn.XLOOKUP($J786,Catalogo!$B$7:$B$210,Catalogo!$I$7:$I$210,"",0))</f>
        <v>CARACTERIZACION</v>
      </c>
      <c r="L786" s="36"/>
      <c r="M786" s="261">
        <f>IF(Tabla1[[#This Row],[Avance_km]]&lt;&gt;"",Tabla1[[#This Row],[Avance_km]],Tabla1[[#This Row],[Avance_Med]])*_xlfn.XLOOKUP(Tabla1[[#This Row],[Codigo_actividad]],Catalogo!$B$6:$B$51,Catalogo!$F$6:$F$51,0)</f>
        <v>1960.59</v>
      </c>
      <c r="N786" t="str">
        <f>_xlfn.IFNA(_xlfn.XLOOKUP(Tabla1[[#This Row],[fin]],$P$379:$P$398,$T$379:$T$398),"")</f>
        <v/>
      </c>
    </row>
    <row r="787" spans="1:14" x14ac:dyDescent="0.25">
      <c r="A787" s="354">
        <v>46274</v>
      </c>
      <c r="B787" s="114" t="s">
        <v>30</v>
      </c>
      <c r="C787" s="512" t="s">
        <v>13</v>
      </c>
      <c r="D787" s="39" t="s">
        <v>71</v>
      </c>
      <c r="E787" s="40" t="s">
        <v>132</v>
      </c>
      <c r="F787" s="493">
        <v>7</v>
      </c>
      <c r="G787" s="28" t="s">
        <v>618</v>
      </c>
      <c r="H787" s="224"/>
      <c r="I787" s="501">
        <v>1</v>
      </c>
      <c r="J787" s="76" t="s">
        <v>131</v>
      </c>
      <c r="K787" s="66" t="str">
        <f>IF(_xlfn.XLOOKUP($J787,Catalogo!$B$7:$B$210,Catalogo!$I$7:$I$210,"",0)=0,"",_xlfn.XLOOKUP($J787,Catalogo!$B$7:$B$210,Catalogo!$I$7:$I$210,"",0))</f>
        <v>UT RECTO</v>
      </c>
      <c r="L787" s="36"/>
      <c r="M787" s="261">
        <f>IF(Tabla1[[#This Row],[Avance_km]]&lt;&gt;"",Tabla1[[#This Row],[Avance_km]],Tabla1[[#This Row],[Avance_Med]])*_xlfn.XLOOKUP(Tabla1[[#This Row],[Codigo_actividad]],Catalogo!$B$6:$B$51,Catalogo!$F$6:$F$51,0)</f>
        <v>2220.59</v>
      </c>
      <c r="N787" t="str">
        <f>_xlfn.IFNA(_xlfn.XLOOKUP(Tabla1[[#This Row],[fin]],$P$379:$P$398,$T$379:$T$398),"")</f>
        <v/>
      </c>
    </row>
    <row r="788" spans="1:14" x14ac:dyDescent="0.25">
      <c r="A788" s="354">
        <v>46274</v>
      </c>
      <c r="B788" s="114" t="s">
        <v>30</v>
      </c>
      <c r="C788" s="512" t="s">
        <v>13</v>
      </c>
      <c r="D788" s="39" t="s">
        <v>71</v>
      </c>
      <c r="E788" s="40" t="s">
        <v>136</v>
      </c>
      <c r="F788" s="493">
        <v>7</v>
      </c>
      <c r="G788" s="28" t="s">
        <v>618</v>
      </c>
      <c r="H788" s="224"/>
      <c r="I788" s="501">
        <v>1</v>
      </c>
      <c r="J788" s="76" t="s">
        <v>135</v>
      </c>
      <c r="K788" s="66" t="str">
        <f>IF(_xlfn.XLOOKUP($J788,Catalogo!$B$7:$B$210,Catalogo!$I$7:$I$210,"",0)=0,"",_xlfn.XLOOKUP($J788,Catalogo!$B$7:$B$210,Catalogo!$I$7:$I$210,"",0))</f>
        <v>LP</v>
      </c>
      <c r="L788" s="36"/>
      <c r="M788" s="261">
        <f>IF(Tabla1[[#This Row],[Avance_km]]&lt;&gt;"",Tabla1[[#This Row],[Avance_km]],Tabla1[[#This Row],[Avance_Med]])*_xlfn.XLOOKUP(Tabla1[[#This Row],[Codigo_actividad]],Catalogo!$B$6:$B$51,Catalogo!$F$6:$F$51,0)</f>
        <v>2090.59</v>
      </c>
      <c r="N788" t="str">
        <f>_xlfn.IFNA(_xlfn.XLOOKUP(Tabla1[[#This Row],[fin]],$P$379:$P$398,$T$379:$T$398),"")</f>
        <v/>
      </c>
    </row>
    <row r="789" spans="1:14" x14ac:dyDescent="0.25">
      <c r="A789" s="354">
        <v>46274</v>
      </c>
      <c r="B789" s="114" t="s">
        <v>30</v>
      </c>
      <c r="C789" s="512" t="s">
        <v>13</v>
      </c>
      <c r="D789" s="39" t="s">
        <v>71</v>
      </c>
      <c r="E789" s="40" t="s">
        <v>138</v>
      </c>
      <c r="F789" s="493">
        <v>7</v>
      </c>
      <c r="G789" s="28" t="s">
        <v>618</v>
      </c>
      <c r="H789" s="224"/>
      <c r="I789" s="501">
        <v>1</v>
      </c>
      <c r="J789" s="76" t="s">
        <v>137</v>
      </c>
      <c r="K789" s="66" t="str">
        <f>IF(_xlfn.XLOOKUP($J789,Catalogo!$B$7:$B$210,Catalogo!$I$7:$I$210,"",0)=0,"",_xlfn.XLOOKUP($J789,Catalogo!$B$7:$B$210,Catalogo!$I$7:$I$210,"",0))</f>
        <v>PH EXC</v>
      </c>
      <c r="L789" s="36"/>
      <c r="M789" s="261">
        <f>IF(Tabla1[[#This Row],[Avance_km]]&lt;&gt;"",Tabla1[[#This Row],[Avance_km]],Tabla1[[#This Row],[Avance_Med]])*_xlfn.XLOOKUP(Tabla1[[#This Row],[Codigo_actividad]],Catalogo!$B$6:$B$51,Catalogo!$F$6:$F$51,0)</f>
        <v>656</v>
      </c>
      <c r="N789" t="str">
        <f>_xlfn.IFNA(_xlfn.XLOOKUP(Tabla1[[#This Row],[fin]],$P$379:$P$398,$T$379:$T$398),"")</f>
        <v/>
      </c>
    </row>
    <row r="790" spans="1:14" x14ac:dyDescent="0.25">
      <c r="A790" s="354">
        <v>46274</v>
      </c>
      <c r="B790" s="114" t="s">
        <v>30</v>
      </c>
      <c r="C790" s="512" t="s">
        <v>13</v>
      </c>
      <c r="D790" s="39" t="s">
        <v>71</v>
      </c>
      <c r="E790" s="40" t="s">
        <v>140</v>
      </c>
      <c r="F790" s="493">
        <v>7</v>
      </c>
      <c r="G790" s="28" t="s">
        <v>618</v>
      </c>
      <c r="H790" s="224"/>
      <c r="I790" s="501">
        <v>1</v>
      </c>
      <c r="J790" s="76" t="s">
        <v>139</v>
      </c>
      <c r="K790" s="66" t="str">
        <f>IF(_xlfn.XLOOKUP($J790,Catalogo!$B$7:$B$210,Catalogo!$I$7:$I$210,"",0)=0,"",_xlfn.XLOOKUP($J790,Catalogo!$B$7:$B$210,Catalogo!$I$7:$I$210,"",0))</f>
        <v>BACTERIAS EXC</v>
      </c>
      <c r="L790" s="36"/>
      <c r="M790" s="261">
        <f>IF(Tabla1[[#This Row],[Avance_km]]&lt;&gt;"",Tabla1[[#This Row],[Avance_km]],Tabla1[[#This Row],[Avance_Med]])*_xlfn.XLOOKUP(Tabla1[[#This Row],[Codigo_actividad]],Catalogo!$B$6:$B$51,Catalogo!$F$6:$F$51,0)</f>
        <v>4676</v>
      </c>
      <c r="N790" t="str">
        <f>_xlfn.IFNA(_xlfn.XLOOKUP(Tabla1[[#This Row],[fin]],$P$379:$P$398,$T$379:$T$398),"")</f>
        <v/>
      </c>
    </row>
    <row r="791" spans="1:14" x14ac:dyDescent="0.25">
      <c r="A791" s="354"/>
      <c r="B791" s="114"/>
      <c r="C791" s="512"/>
      <c r="D791" s="39"/>
      <c r="F791" s="28"/>
      <c r="G791" s="28"/>
      <c r="H791" s="224" t="str">
        <f>IF(Tabla1[[#This Row],[Codigo_actividad]]&lt;&gt;2.5,IF(((Tabla1[[#This Row],[fin]]-Tabla1[[#This Row],[inicio]])/1000)=0,"",((Tabla1[[#This Row],[fin]]-Tabla1[[#This Row],[inicio]])/1000)),"")</f>
        <v/>
      </c>
      <c r="I791" s="66"/>
      <c r="J791" s="76"/>
      <c r="K791" s="66" t="str">
        <f>IF(_xlfn.XLOOKUP($J791,Catalogo!$B$7:$B$21,Catalogo!$I$7:$I$21,"",0)=0,"",_xlfn.XLOOKUP($J791,Catalogo!$B$7:$B$21,Catalogo!$I$7:$I$21,"",0))</f>
        <v/>
      </c>
      <c r="L791" s="36"/>
      <c r="M791" s="261">
        <f>IF(Tabla1[[#This Row],[Avance_km]]&lt;&gt;"",Tabla1[[#This Row],[Avance_km]],Tabla1[[#This Row],[Avance_Med]])*_xlfn.XLOOKUP(Tabla1[[#This Row],[Codigo_actividad]],Catalogo!$B$6:$B$51,Catalogo!$F$6:$F$51,0)</f>
        <v>0</v>
      </c>
      <c r="N791" t="str">
        <f>_xlfn.IFNA(_xlfn.XLOOKUP(Tabla1[[#This Row],[fin]],$P$379:$P$398,$T$379:$T$398),"")</f>
        <v/>
      </c>
    </row>
    <row r="792" spans="1:14" x14ac:dyDescent="0.25">
      <c r="A792" s="354">
        <v>46297</v>
      </c>
      <c r="B792" s="114" t="s">
        <v>30</v>
      </c>
      <c r="C792" s="512" t="s">
        <v>13</v>
      </c>
      <c r="D792" s="39" t="s">
        <v>46</v>
      </c>
      <c r="E792" s="40" t="s">
        <v>119</v>
      </c>
      <c r="F792" s="493">
        <v>271</v>
      </c>
      <c r="G792" s="28" t="s">
        <v>618</v>
      </c>
      <c r="H792" s="224"/>
      <c r="I792" s="501">
        <v>1</v>
      </c>
      <c r="J792" s="76">
        <v>3.2</v>
      </c>
      <c r="K792" s="66" t="str">
        <f>IF(_xlfn.XLOOKUP($J792,Catalogo!$B$7:$B$210,Catalogo!$I$7:$I$210,"",0)=0,"",_xlfn.XLOOKUP($J792,Catalogo!$B$7:$B$210,Catalogo!$I$7:$I$210,"",0))</f>
        <v>DATA EXC</v>
      </c>
      <c r="L792" s="36"/>
      <c r="M792" s="261">
        <f>IF(Tabla1[[#This Row],[Avance_km]]&lt;&gt;"",Tabla1[[#This Row],[Avance_km]],Tabla1[[#This Row],[Avance_Med]])*_xlfn.XLOOKUP(Tabla1[[#This Row],[Codigo_actividad]],Catalogo!$B$6:$B$51,Catalogo!$F$6:$F$51,0)</f>
        <v>7585.99</v>
      </c>
      <c r="N792" t="str">
        <f>_xlfn.IFNA(_xlfn.XLOOKUP(Tabla1[[#This Row],[fin]],$P$379:$P$398,$T$379:$T$398),"")</f>
        <v/>
      </c>
    </row>
    <row r="793" spans="1:14" x14ac:dyDescent="0.25">
      <c r="A793" s="354">
        <v>46297</v>
      </c>
      <c r="B793" s="114" t="s">
        <v>30</v>
      </c>
      <c r="C793" s="512" t="s">
        <v>13</v>
      </c>
      <c r="D793" s="39" t="s">
        <v>46</v>
      </c>
      <c r="E793" s="40" t="s">
        <v>531</v>
      </c>
      <c r="F793" s="493">
        <v>271</v>
      </c>
      <c r="G793" s="28" t="s">
        <v>618</v>
      </c>
      <c r="H793" s="224"/>
      <c r="I793" s="501">
        <v>1</v>
      </c>
      <c r="J793" s="76" t="s">
        <v>122</v>
      </c>
      <c r="K793" s="66" t="str">
        <f>IF(_xlfn.XLOOKUP($J793,Catalogo!$B$7:$B$210,Catalogo!$I$7:$I$210,"",0)=0,"",_xlfn.XLOOKUP($J793,Catalogo!$B$7:$B$210,Catalogo!$I$7:$I$210,"",0))</f>
        <v>VT</v>
      </c>
      <c r="L793" s="36"/>
      <c r="M793" s="261">
        <f>IF(Tabla1[[#This Row],[Avance_km]]&lt;&gt;"",Tabla1[[#This Row],[Avance_km]],Tabla1[[#This Row],[Avance_Med]])*_xlfn.XLOOKUP(Tabla1[[#This Row],[Codigo_actividad]],Catalogo!$B$6:$B$51,Catalogo!$F$6:$F$51,0)</f>
        <v>1765.59</v>
      </c>
      <c r="N793" t="str">
        <f>_xlfn.IFNA(_xlfn.XLOOKUP(Tabla1[[#This Row],[fin]],$P$379:$P$398,$T$379:$T$398),"")</f>
        <v/>
      </c>
    </row>
    <row r="794" spans="1:14" x14ac:dyDescent="0.25">
      <c r="A794" s="354">
        <v>46297</v>
      </c>
      <c r="B794" s="114" t="s">
        <v>30</v>
      </c>
      <c r="C794" s="512" t="s">
        <v>13</v>
      </c>
      <c r="D794" s="39" t="s">
        <v>46</v>
      </c>
      <c r="E794" s="40" t="s">
        <v>125</v>
      </c>
      <c r="F794" s="493">
        <v>271</v>
      </c>
      <c r="G794" s="28" t="s">
        <v>618</v>
      </c>
      <c r="H794" s="224"/>
      <c r="I794" s="501">
        <v>1</v>
      </c>
      <c r="J794" s="76" t="s">
        <v>124</v>
      </c>
      <c r="K794" s="66" t="str">
        <f>IF(_xlfn.XLOOKUP($J794,Catalogo!$B$7:$B$210,Catalogo!$I$7:$I$210,"",0)=0,"",_xlfn.XLOOKUP($J794,Catalogo!$B$7:$B$210,Catalogo!$I$7:$I$210,"",0))</f>
        <v>SANIDAD Y ESPESORES</v>
      </c>
      <c r="L794" s="36"/>
      <c r="M794" s="261">
        <f>IF(Tabla1[[#This Row],[Avance_km]]&lt;&gt;"",Tabla1[[#This Row],[Avance_km]],Tabla1[[#This Row],[Avance_Med]])*_xlfn.XLOOKUP(Tabla1[[#This Row],[Codigo_actividad]],Catalogo!$B$6:$B$51,Catalogo!$F$6:$F$51,0)</f>
        <v>1934.59</v>
      </c>
      <c r="N794" t="str">
        <f>_xlfn.IFNA(_xlfn.XLOOKUP(Tabla1[[#This Row],[fin]],$P$379:$P$398,$T$379:$T$398),"")</f>
        <v/>
      </c>
    </row>
    <row r="795" spans="1:14" x14ac:dyDescent="0.25">
      <c r="A795" s="354">
        <v>46297</v>
      </c>
      <c r="B795" s="114" t="s">
        <v>30</v>
      </c>
      <c r="C795" s="512" t="s">
        <v>13</v>
      </c>
      <c r="D795" s="39" t="s">
        <v>46</v>
      </c>
      <c r="E795" s="40" t="s">
        <v>128</v>
      </c>
      <c r="F795" s="493">
        <v>271</v>
      </c>
      <c r="G795" s="28" t="s">
        <v>618</v>
      </c>
      <c r="H795" s="224"/>
      <c r="I795" s="501">
        <v>1</v>
      </c>
      <c r="J795" s="76" t="s">
        <v>127</v>
      </c>
      <c r="K795" s="66" t="str">
        <f>IF(_xlfn.XLOOKUP($J795,Catalogo!$B$7:$B$210,Catalogo!$I$7:$I$210,"",0)=0,"",_xlfn.XLOOKUP($J795,Catalogo!$B$7:$B$210,Catalogo!$I$7:$I$210,"",0))</f>
        <v>CARACTERIZACION</v>
      </c>
      <c r="L795" s="36"/>
      <c r="M795" s="261">
        <f>IF(Tabla1[[#This Row],[Avance_km]]&lt;&gt;"",Tabla1[[#This Row],[Avance_km]],Tabla1[[#This Row],[Avance_Med]])*_xlfn.XLOOKUP(Tabla1[[#This Row],[Codigo_actividad]],Catalogo!$B$6:$B$51,Catalogo!$F$6:$F$51,0)</f>
        <v>1960.59</v>
      </c>
      <c r="N795" t="str">
        <f>_xlfn.IFNA(_xlfn.XLOOKUP(Tabla1[[#This Row],[fin]],$P$379:$P$398,$T$379:$T$398),"")</f>
        <v/>
      </c>
    </row>
    <row r="796" spans="1:14" x14ac:dyDescent="0.25">
      <c r="A796" s="354">
        <v>46297</v>
      </c>
      <c r="B796" s="114" t="s">
        <v>30</v>
      </c>
      <c r="C796" s="512" t="s">
        <v>13</v>
      </c>
      <c r="D796" s="39" t="s">
        <v>46</v>
      </c>
      <c r="E796" s="40" t="s">
        <v>132</v>
      </c>
      <c r="F796" s="493">
        <v>271</v>
      </c>
      <c r="G796" s="28" t="s">
        <v>618</v>
      </c>
      <c r="H796" s="224"/>
      <c r="I796" s="501">
        <v>1</v>
      </c>
      <c r="J796" s="76" t="s">
        <v>131</v>
      </c>
      <c r="K796" s="66" t="str">
        <f>IF(_xlfn.XLOOKUP($J796,Catalogo!$B$7:$B$210,Catalogo!$I$7:$I$210,"",0)=0,"",_xlfn.XLOOKUP($J796,Catalogo!$B$7:$B$210,Catalogo!$I$7:$I$210,"",0))</f>
        <v>UT RECTO</v>
      </c>
      <c r="L796" s="36"/>
      <c r="M796" s="261">
        <f>IF(Tabla1[[#This Row],[Avance_km]]&lt;&gt;"",Tabla1[[#This Row],[Avance_km]],Tabla1[[#This Row],[Avance_Med]])*_xlfn.XLOOKUP(Tabla1[[#This Row],[Codigo_actividad]],Catalogo!$B$6:$B$51,Catalogo!$F$6:$F$51,0)</f>
        <v>2220.59</v>
      </c>
      <c r="N796" t="str">
        <f>_xlfn.IFNA(_xlfn.XLOOKUP(Tabla1[[#This Row],[fin]],$P$379:$P$398,$T$379:$T$398),"")</f>
        <v/>
      </c>
    </row>
    <row r="797" spans="1:14" x14ac:dyDescent="0.25">
      <c r="A797" s="354">
        <v>46297</v>
      </c>
      <c r="B797" s="114" t="s">
        <v>30</v>
      </c>
      <c r="C797" s="512" t="s">
        <v>13</v>
      </c>
      <c r="D797" s="39" t="s">
        <v>46</v>
      </c>
      <c r="E797" s="40" t="s">
        <v>138</v>
      </c>
      <c r="F797" s="493">
        <v>271</v>
      </c>
      <c r="G797" s="28" t="s">
        <v>618</v>
      </c>
      <c r="H797" s="224"/>
      <c r="I797" s="501">
        <v>1</v>
      </c>
      <c r="J797" s="76" t="s">
        <v>137</v>
      </c>
      <c r="K797" s="66" t="str">
        <f>IF(_xlfn.XLOOKUP($J797,Catalogo!$B$7:$B$210,Catalogo!$I$7:$I$210,"",0)=0,"",_xlfn.XLOOKUP($J797,Catalogo!$B$7:$B$210,Catalogo!$I$7:$I$210,"",0))</f>
        <v>PH EXC</v>
      </c>
      <c r="L797" s="36"/>
      <c r="M797" s="261">
        <f>IF(Tabla1[[#This Row],[Avance_km]]&lt;&gt;"",Tabla1[[#This Row],[Avance_km]],Tabla1[[#This Row],[Avance_Med]])*_xlfn.XLOOKUP(Tabla1[[#This Row],[Codigo_actividad]],Catalogo!$B$6:$B$51,Catalogo!$F$6:$F$51,0)</f>
        <v>656</v>
      </c>
      <c r="N797" t="str">
        <f>_xlfn.IFNA(_xlfn.XLOOKUP(Tabla1[[#This Row],[fin]],$P$379:$P$398,$T$379:$T$398),"")</f>
        <v/>
      </c>
    </row>
    <row r="798" spans="1:14" x14ac:dyDescent="0.25">
      <c r="A798" s="354">
        <v>46297</v>
      </c>
      <c r="B798" s="114" t="s">
        <v>30</v>
      </c>
      <c r="C798" s="512" t="s">
        <v>13</v>
      </c>
      <c r="D798" s="39" t="s">
        <v>46</v>
      </c>
      <c r="E798" s="40" t="s">
        <v>140</v>
      </c>
      <c r="F798" s="493">
        <v>271</v>
      </c>
      <c r="G798" s="28" t="s">
        <v>618</v>
      </c>
      <c r="H798" s="224"/>
      <c r="I798" s="501">
        <v>1</v>
      </c>
      <c r="J798" s="76" t="s">
        <v>139</v>
      </c>
      <c r="K798" s="66" t="str">
        <f>IF(_xlfn.XLOOKUP($J798,Catalogo!$B$7:$B$210,Catalogo!$I$7:$I$210,"",0)=0,"",_xlfn.XLOOKUP($J798,Catalogo!$B$7:$B$210,Catalogo!$I$7:$I$210,"",0))</f>
        <v>BACTERIAS EXC</v>
      </c>
      <c r="L798" s="36"/>
      <c r="M798" s="261">
        <f>IF(Tabla1[[#This Row],[Avance_km]]&lt;&gt;"",Tabla1[[#This Row],[Avance_km]],Tabla1[[#This Row],[Avance_Med]])*_xlfn.XLOOKUP(Tabla1[[#This Row],[Codigo_actividad]],Catalogo!$B$6:$B$51,Catalogo!$F$6:$F$51,0)</f>
        <v>4676</v>
      </c>
      <c r="N798" t="str">
        <f>_xlfn.IFNA(_xlfn.XLOOKUP(Tabla1[[#This Row],[fin]],$P$379:$P$398,$T$379:$T$398),"")</f>
        <v/>
      </c>
    </row>
    <row r="799" spans="1:14" x14ac:dyDescent="0.25">
      <c r="A799" s="354"/>
      <c r="B799" s="114"/>
      <c r="C799" s="512"/>
      <c r="D799" s="39"/>
      <c r="F799" s="28"/>
      <c r="G799" s="28"/>
      <c r="H799" s="224" t="str">
        <f>IF(Tabla1[[#This Row],[Codigo_actividad]]&lt;&gt;2.5,IF(((Tabla1[[#This Row],[fin]]-Tabla1[[#This Row],[inicio]])/1000)=0,"",((Tabla1[[#This Row],[fin]]-Tabla1[[#This Row],[inicio]])/1000)),"")</f>
        <v/>
      </c>
      <c r="I799" s="66"/>
      <c r="J799" s="76"/>
      <c r="K799" s="66" t="str">
        <f>IF(_xlfn.XLOOKUP($J799,Catalogo!$B$7:$B$21,Catalogo!$I$7:$I$21,"",0)=0,"",_xlfn.XLOOKUP($J799,Catalogo!$B$7:$B$21,Catalogo!$I$7:$I$21,"",0))</f>
        <v/>
      </c>
      <c r="L799" s="36"/>
      <c r="M799" s="261">
        <f>IF(Tabla1[[#This Row],[Avance_km]]&lt;&gt;"",Tabla1[[#This Row],[Avance_km]],Tabla1[[#This Row],[Avance_Med]])*_xlfn.XLOOKUP(Tabla1[[#This Row],[Codigo_actividad]],Catalogo!$B$6:$B$51,Catalogo!$F$6:$F$51,0)</f>
        <v>0</v>
      </c>
      <c r="N799" t="str">
        <f>_xlfn.IFNA(_xlfn.XLOOKUP(Tabla1[[#This Row],[fin]],$P$379:$P$398,$T$379:$T$398),"")</f>
        <v/>
      </c>
    </row>
    <row r="800" spans="1:14" x14ac:dyDescent="0.25">
      <c r="A800" s="354">
        <v>46282</v>
      </c>
      <c r="B800" s="114" t="s">
        <v>30</v>
      </c>
      <c r="C800" s="512" t="s">
        <v>13</v>
      </c>
      <c r="D800" s="39" t="s">
        <v>38</v>
      </c>
      <c r="E800" s="40" t="s">
        <v>119</v>
      </c>
      <c r="F800" s="493">
        <v>517</v>
      </c>
      <c r="G800" s="28" t="s">
        <v>618</v>
      </c>
      <c r="H800" s="224"/>
      <c r="I800" s="501">
        <v>1</v>
      </c>
      <c r="J800" s="76">
        <v>3.2</v>
      </c>
      <c r="K800" s="66" t="str">
        <f>IF(_xlfn.XLOOKUP($J800,Catalogo!$B$7:$B$210,Catalogo!$I$7:$I$210,"",0)=0,"",_xlfn.XLOOKUP($J800,Catalogo!$B$7:$B$210,Catalogo!$I$7:$I$210,"",0))</f>
        <v>DATA EXC</v>
      </c>
      <c r="L800" s="36"/>
      <c r="M800" s="261">
        <f>IF(Tabla1[[#This Row],[Avance_km]]&lt;&gt;"",Tabla1[[#This Row],[Avance_km]],Tabla1[[#This Row],[Avance_Med]])*_xlfn.XLOOKUP(Tabla1[[#This Row],[Codigo_actividad]],Catalogo!$B$6:$B$51,Catalogo!$F$6:$F$51,0)</f>
        <v>7585.99</v>
      </c>
    </row>
    <row r="801" spans="1:14" x14ac:dyDescent="0.25">
      <c r="A801" s="354">
        <v>46282</v>
      </c>
      <c r="B801" s="114" t="s">
        <v>30</v>
      </c>
      <c r="C801" s="512" t="s">
        <v>13</v>
      </c>
      <c r="D801" s="39" t="s">
        <v>38</v>
      </c>
      <c r="E801" s="40" t="s">
        <v>531</v>
      </c>
      <c r="F801" s="493">
        <v>517</v>
      </c>
      <c r="G801" s="28" t="s">
        <v>618</v>
      </c>
      <c r="H801" s="224"/>
      <c r="I801" s="501">
        <v>1</v>
      </c>
      <c r="J801" s="76" t="s">
        <v>122</v>
      </c>
      <c r="K801" s="66" t="str">
        <f>IF(_xlfn.XLOOKUP($J801,Catalogo!$B$7:$B$210,Catalogo!$I$7:$I$210,"",0)=0,"",_xlfn.XLOOKUP($J801,Catalogo!$B$7:$B$210,Catalogo!$I$7:$I$210,"",0))</f>
        <v>VT</v>
      </c>
      <c r="L801" s="36"/>
      <c r="M801" s="261">
        <f>IF(Tabla1[[#This Row],[Avance_km]]&lt;&gt;"",Tabla1[[#This Row],[Avance_km]],Tabla1[[#This Row],[Avance_Med]])*_xlfn.XLOOKUP(Tabla1[[#This Row],[Codigo_actividad]],Catalogo!$B$6:$B$51,Catalogo!$F$6:$F$51,0)</f>
        <v>1765.59</v>
      </c>
    </row>
    <row r="802" spans="1:14" x14ac:dyDescent="0.25">
      <c r="A802" s="354">
        <v>46282</v>
      </c>
      <c r="B802" s="114" t="s">
        <v>30</v>
      </c>
      <c r="C802" s="512" t="s">
        <v>13</v>
      </c>
      <c r="D802" s="39" t="s">
        <v>38</v>
      </c>
      <c r="E802" s="40" t="s">
        <v>125</v>
      </c>
      <c r="F802" s="493">
        <v>517</v>
      </c>
      <c r="G802" s="28" t="s">
        <v>618</v>
      </c>
      <c r="H802" s="224"/>
      <c r="I802" s="501">
        <v>1</v>
      </c>
      <c r="J802" s="76" t="s">
        <v>124</v>
      </c>
      <c r="K802" s="66" t="str">
        <f>IF(_xlfn.XLOOKUP($J802,Catalogo!$B$7:$B$210,Catalogo!$I$7:$I$210,"",0)=0,"",_xlfn.XLOOKUP($J802,Catalogo!$B$7:$B$210,Catalogo!$I$7:$I$210,"",0))</f>
        <v>SANIDAD Y ESPESORES</v>
      </c>
      <c r="L802" s="36"/>
      <c r="M802" s="261">
        <f>IF(Tabla1[[#This Row],[Avance_km]]&lt;&gt;"",Tabla1[[#This Row],[Avance_km]],Tabla1[[#This Row],[Avance_Med]])*_xlfn.XLOOKUP(Tabla1[[#This Row],[Codigo_actividad]],Catalogo!$B$6:$B$51,Catalogo!$F$6:$F$51,0)</f>
        <v>1934.59</v>
      </c>
    </row>
    <row r="803" spans="1:14" x14ac:dyDescent="0.25">
      <c r="A803" s="354">
        <v>46282</v>
      </c>
      <c r="B803" s="114" t="s">
        <v>30</v>
      </c>
      <c r="C803" s="512" t="s">
        <v>13</v>
      </c>
      <c r="D803" s="39" t="s">
        <v>38</v>
      </c>
      <c r="E803" s="40" t="s">
        <v>128</v>
      </c>
      <c r="F803" s="493">
        <v>517</v>
      </c>
      <c r="G803" s="28" t="s">
        <v>618</v>
      </c>
      <c r="H803" s="224"/>
      <c r="I803" s="501">
        <v>1</v>
      </c>
      <c r="J803" s="76" t="s">
        <v>127</v>
      </c>
      <c r="K803" s="66" t="str">
        <f>IF(_xlfn.XLOOKUP($J803,Catalogo!$B$7:$B$210,Catalogo!$I$7:$I$210,"",0)=0,"",_xlfn.XLOOKUP($J803,Catalogo!$B$7:$B$210,Catalogo!$I$7:$I$210,"",0))</f>
        <v>CARACTERIZACION</v>
      </c>
      <c r="L803" s="36"/>
      <c r="M803" s="261">
        <f>IF(Tabla1[[#This Row],[Avance_km]]&lt;&gt;"",Tabla1[[#This Row],[Avance_km]],Tabla1[[#This Row],[Avance_Med]])*_xlfn.XLOOKUP(Tabla1[[#This Row],[Codigo_actividad]],Catalogo!$B$6:$B$51,Catalogo!$F$6:$F$51,0)</f>
        <v>1960.59</v>
      </c>
    </row>
    <row r="804" spans="1:14" x14ac:dyDescent="0.25">
      <c r="A804" s="354">
        <v>46282</v>
      </c>
      <c r="B804" s="114" t="s">
        <v>30</v>
      </c>
      <c r="C804" s="512" t="s">
        <v>13</v>
      </c>
      <c r="D804" s="39" t="s">
        <v>38</v>
      </c>
      <c r="E804" s="40" t="s">
        <v>132</v>
      </c>
      <c r="F804" s="493">
        <v>517</v>
      </c>
      <c r="G804" s="28" t="s">
        <v>618</v>
      </c>
      <c r="H804" s="224"/>
      <c r="I804" s="501">
        <v>1</v>
      </c>
      <c r="J804" s="76" t="s">
        <v>131</v>
      </c>
      <c r="K804" s="66" t="str">
        <f>IF(_xlfn.XLOOKUP($J804,Catalogo!$B$7:$B$210,Catalogo!$I$7:$I$210,"",0)=0,"",_xlfn.XLOOKUP($J804,Catalogo!$B$7:$B$210,Catalogo!$I$7:$I$210,"",0))</f>
        <v>UT RECTO</v>
      </c>
      <c r="L804" s="36"/>
      <c r="M804" s="261">
        <f>IF(Tabla1[[#This Row],[Avance_km]]&lt;&gt;"",Tabla1[[#This Row],[Avance_km]],Tabla1[[#This Row],[Avance_Med]])*_xlfn.XLOOKUP(Tabla1[[#This Row],[Codigo_actividad]],Catalogo!$B$6:$B$51,Catalogo!$F$6:$F$51,0)</f>
        <v>2220.59</v>
      </c>
    </row>
    <row r="805" spans="1:14" x14ac:dyDescent="0.25">
      <c r="A805" s="354">
        <v>46282</v>
      </c>
      <c r="B805" s="114" t="s">
        <v>30</v>
      </c>
      <c r="C805" s="512" t="s">
        <v>13</v>
      </c>
      <c r="D805" s="39" t="s">
        <v>38</v>
      </c>
      <c r="E805" s="40" t="s">
        <v>138</v>
      </c>
      <c r="F805" s="493">
        <v>517</v>
      </c>
      <c r="G805" s="28" t="s">
        <v>618</v>
      </c>
      <c r="H805" s="224"/>
      <c r="I805" s="501">
        <v>1</v>
      </c>
      <c r="J805" s="76" t="s">
        <v>137</v>
      </c>
      <c r="K805" s="66" t="str">
        <f>IF(_xlfn.XLOOKUP($J805,Catalogo!$B$7:$B$210,Catalogo!$I$7:$I$210,"",0)=0,"",_xlfn.XLOOKUP($J805,Catalogo!$B$7:$B$210,Catalogo!$I$7:$I$210,"",0))</f>
        <v>PH EXC</v>
      </c>
      <c r="L805" s="36"/>
      <c r="M805" s="261">
        <f>IF(Tabla1[[#This Row],[Avance_km]]&lt;&gt;"",Tabla1[[#This Row],[Avance_km]],Tabla1[[#This Row],[Avance_Med]])*_xlfn.XLOOKUP(Tabla1[[#This Row],[Codigo_actividad]],Catalogo!$B$6:$B$51,Catalogo!$F$6:$F$51,0)</f>
        <v>656</v>
      </c>
    </row>
    <row r="806" spans="1:14" x14ac:dyDescent="0.25">
      <c r="A806" s="354">
        <v>46282</v>
      </c>
      <c r="B806" s="114" t="s">
        <v>30</v>
      </c>
      <c r="C806" s="512" t="s">
        <v>13</v>
      </c>
      <c r="D806" s="39" t="s">
        <v>38</v>
      </c>
      <c r="E806" s="40" t="s">
        <v>140</v>
      </c>
      <c r="F806" s="493">
        <v>517</v>
      </c>
      <c r="G806" s="28" t="s">
        <v>618</v>
      </c>
      <c r="H806" s="224"/>
      <c r="I806" s="501">
        <v>1</v>
      </c>
      <c r="J806" s="76" t="s">
        <v>139</v>
      </c>
      <c r="K806" s="66" t="str">
        <f>IF(_xlfn.XLOOKUP($J806,Catalogo!$B$7:$B$210,Catalogo!$I$7:$I$210,"",0)=0,"",_xlfn.XLOOKUP($J806,Catalogo!$B$7:$B$210,Catalogo!$I$7:$I$210,"",0))</f>
        <v>BACTERIAS EXC</v>
      </c>
      <c r="L806" s="36"/>
      <c r="M806" s="261">
        <f>IF(Tabla1[[#This Row],[Avance_km]]&lt;&gt;"",Tabla1[[#This Row],[Avance_km]],Tabla1[[#This Row],[Avance_Med]])*_xlfn.XLOOKUP(Tabla1[[#This Row],[Codigo_actividad]],Catalogo!$B$6:$B$51,Catalogo!$F$6:$F$51,0)</f>
        <v>4676</v>
      </c>
    </row>
    <row r="807" spans="1:14" x14ac:dyDescent="0.25">
      <c r="A807" s="354"/>
      <c r="B807" s="114"/>
      <c r="C807" s="155"/>
      <c r="D807" s="39"/>
      <c r="F807" s="28"/>
      <c r="G807" s="28"/>
      <c r="H807" s="224" t="str">
        <f>IF(Tabla1[[#This Row],[Codigo_actividad]]&lt;&gt;2.5,IF(((Tabla1[[#This Row],[fin]]-Tabla1[[#This Row],[inicio]])/1000)=0,"",((Tabla1[[#This Row],[fin]]-Tabla1[[#This Row],[inicio]])/1000)),"")</f>
        <v/>
      </c>
      <c r="I807" s="66"/>
      <c r="J807" s="76"/>
      <c r="K807" s="66" t="str">
        <f>IF(_xlfn.XLOOKUP($J807,Catalogo!$B$7:$B$21,Catalogo!$I$7:$I$21,"",0)=0,"",_xlfn.XLOOKUP($J807,Catalogo!$B$7:$B$21,Catalogo!$I$7:$I$21,"",0))</f>
        <v/>
      </c>
      <c r="L807" s="36"/>
      <c r="M807" s="261">
        <f>IF(Tabla1[[#This Row],[Avance_km]]&lt;&gt;"",Tabla1[[#This Row],[Avance_km]],Tabla1[[#This Row],[Avance_Med]])*_xlfn.XLOOKUP(Tabla1[[#This Row],[Codigo_actividad]],Catalogo!$B$6:$B$51,Catalogo!$F$6:$F$51,0)</f>
        <v>0</v>
      </c>
      <c r="N807" t="str">
        <f>_xlfn.IFNA(_xlfn.XLOOKUP(Tabla1[[#This Row],[fin]],$P$379:$P$398,$T$379:$T$398),"")</f>
        <v/>
      </c>
    </row>
    <row r="808" spans="1:14" x14ac:dyDescent="0.25">
      <c r="A808" s="354">
        <v>46269</v>
      </c>
      <c r="B808" s="114" t="s">
        <v>30</v>
      </c>
      <c r="C808" s="513" t="s">
        <v>22</v>
      </c>
      <c r="D808" s="39" t="s">
        <v>35</v>
      </c>
      <c r="E808" s="40" t="s">
        <v>119</v>
      </c>
      <c r="F808" s="493">
        <v>1182</v>
      </c>
      <c r="G808" s="28" t="s">
        <v>618</v>
      </c>
      <c r="H808" s="224"/>
      <c r="I808" s="501">
        <v>1</v>
      </c>
      <c r="J808" s="76">
        <v>3.2</v>
      </c>
      <c r="K808" s="66" t="str">
        <f>IF(_xlfn.XLOOKUP($J808,Catalogo!$B$7:$B$210,Catalogo!$I$7:$I$210,"",0)=0,"",_xlfn.XLOOKUP($J808,Catalogo!$B$7:$B$210,Catalogo!$I$7:$I$210,"",0))</f>
        <v>DATA EXC</v>
      </c>
      <c r="L808" s="36"/>
      <c r="M808" s="261">
        <f>IF(Tabla1[[#This Row],[Avance_km]]&lt;&gt;"",Tabla1[[#This Row],[Avance_km]],Tabla1[[#This Row],[Avance_Med]])*_xlfn.XLOOKUP(Tabla1[[#This Row],[Codigo_actividad]],Catalogo!$B$6:$B$51,Catalogo!$F$6:$F$51,0)</f>
        <v>7585.99</v>
      </c>
      <c r="N808" t="str">
        <f>_xlfn.IFNA(_xlfn.XLOOKUP(Tabla1[[#This Row],[fin]],$P$379:$P$398,$T$379:$T$398),"")</f>
        <v/>
      </c>
    </row>
    <row r="809" spans="1:14" x14ac:dyDescent="0.25">
      <c r="A809" s="354">
        <v>46269</v>
      </c>
      <c r="B809" s="114" t="s">
        <v>30</v>
      </c>
      <c r="C809" s="513" t="s">
        <v>22</v>
      </c>
      <c r="D809" s="39" t="s">
        <v>35</v>
      </c>
      <c r="E809" s="40" t="s">
        <v>531</v>
      </c>
      <c r="F809" s="493">
        <v>1182</v>
      </c>
      <c r="G809" s="28" t="s">
        <v>618</v>
      </c>
      <c r="H809" s="224"/>
      <c r="I809" s="501">
        <v>1</v>
      </c>
      <c r="J809" s="76" t="s">
        <v>122</v>
      </c>
      <c r="K809" s="66" t="str">
        <f>IF(_xlfn.XLOOKUP($J809,Catalogo!$B$7:$B$210,Catalogo!$I$7:$I$210,"",0)=0,"",_xlfn.XLOOKUP($J809,Catalogo!$B$7:$B$210,Catalogo!$I$7:$I$210,"",0))</f>
        <v>VT</v>
      </c>
      <c r="L809" s="36"/>
      <c r="M809" s="261">
        <f>IF(Tabla1[[#This Row],[Avance_km]]&lt;&gt;"",Tabla1[[#This Row],[Avance_km]],Tabla1[[#This Row],[Avance_Med]])*_xlfn.XLOOKUP(Tabla1[[#This Row],[Codigo_actividad]],Catalogo!$B$6:$B$51,Catalogo!$F$6:$F$51,0)</f>
        <v>1765.59</v>
      </c>
      <c r="N809" t="str">
        <f>_xlfn.IFNA(_xlfn.XLOOKUP(Tabla1[[#This Row],[fin]],$P$379:$P$398,$T$379:$T$398),"")</f>
        <v/>
      </c>
    </row>
    <row r="810" spans="1:14" x14ac:dyDescent="0.25">
      <c r="A810" s="354">
        <v>46269</v>
      </c>
      <c r="B810" s="114" t="s">
        <v>30</v>
      </c>
      <c r="C810" s="513" t="s">
        <v>22</v>
      </c>
      <c r="D810" s="39" t="s">
        <v>35</v>
      </c>
      <c r="E810" s="40" t="s">
        <v>125</v>
      </c>
      <c r="F810" s="493">
        <v>1182</v>
      </c>
      <c r="G810" s="28" t="s">
        <v>618</v>
      </c>
      <c r="H810" s="224"/>
      <c r="I810" s="501">
        <v>1</v>
      </c>
      <c r="J810" s="76" t="s">
        <v>124</v>
      </c>
      <c r="K810" s="66" t="str">
        <f>IF(_xlfn.XLOOKUP($J810,Catalogo!$B$7:$B$210,Catalogo!$I$7:$I$210,"",0)=0,"",_xlfn.XLOOKUP($J810,Catalogo!$B$7:$B$210,Catalogo!$I$7:$I$210,"",0))</f>
        <v>SANIDAD Y ESPESORES</v>
      </c>
      <c r="L810" s="36"/>
      <c r="M810" s="261">
        <f>IF(Tabla1[[#This Row],[Avance_km]]&lt;&gt;"",Tabla1[[#This Row],[Avance_km]],Tabla1[[#This Row],[Avance_Med]])*_xlfn.XLOOKUP(Tabla1[[#This Row],[Codigo_actividad]],Catalogo!$B$6:$B$51,Catalogo!$F$6:$F$51,0)</f>
        <v>1934.59</v>
      </c>
      <c r="N810" t="str">
        <f>_xlfn.IFNA(_xlfn.XLOOKUP(Tabla1[[#This Row],[fin]],$P$379:$P$398,$T$379:$T$398),"")</f>
        <v/>
      </c>
    </row>
    <row r="811" spans="1:14" x14ac:dyDescent="0.25">
      <c r="A811" s="354">
        <v>46269</v>
      </c>
      <c r="B811" s="114" t="s">
        <v>30</v>
      </c>
      <c r="C811" s="513" t="s">
        <v>22</v>
      </c>
      <c r="D811" s="39" t="s">
        <v>35</v>
      </c>
      <c r="E811" s="40" t="s">
        <v>128</v>
      </c>
      <c r="F811" s="493">
        <v>1182</v>
      </c>
      <c r="G811" s="28" t="s">
        <v>618</v>
      </c>
      <c r="H811" s="224"/>
      <c r="I811" s="501">
        <v>1</v>
      </c>
      <c r="J811" s="76" t="s">
        <v>127</v>
      </c>
      <c r="K811" s="66" t="str">
        <f>IF(_xlfn.XLOOKUP($J811,Catalogo!$B$7:$B$210,Catalogo!$I$7:$I$210,"",0)=0,"",_xlfn.XLOOKUP($J811,Catalogo!$B$7:$B$210,Catalogo!$I$7:$I$210,"",0))</f>
        <v>CARACTERIZACION</v>
      </c>
      <c r="L811" s="36"/>
      <c r="M811" s="261">
        <f>IF(Tabla1[[#This Row],[Avance_km]]&lt;&gt;"",Tabla1[[#This Row],[Avance_km]],Tabla1[[#This Row],[Avance_Med]])*_xlfn.XLOOKUP(Tabla1[[#This Row],[Codigo_actividad]],Catalogo!$B$6:$B$51,Catalogo!$F$6:$F$51,0)</f>
        <v>1960.59</v>
      </c>
      <c r="N811" t="str">
        <f>_xlfn.IFNA(_xlfn.XLOOKUP(Tabla1[[#This Row],[fin]],$P$379:$P$398,$T$379:$T$398),"")</f>
        <v/>
      </c>
    </row>
    <row r="812" spans="1:14" x14ac:dyDescent="0.25">
      <c r="A812" s="354">
        <v>46269</v>
      </c>
      <c r="B812" s="114" t="s">
        <v>30</v>
      </c>
      <c r="C812" s="513" t="s">
        <v>22</v>
      </c>
      <c r="D812" s="39" t="s">
        <v>35</v>
      </c>
      <c r="E812" s="40" t="s">
        <v>130</v>
      </c>
      <c r="F812" s="493">
        <v>1182</v>
      </c>
      <c r="G812" s="28" t="s">
        <v>618</v>
      </c>
      <c r="H812" s="224"/>
      <c r="I812" s="501">
        <v>1</v>
      </c>
      <c r="J812" s="76" t="s">
        <v>129</v>
      </c>
      <c r="K812" s="66" t="str">
        <f>IF(_xlfn.XLOOKUP($J812,Catalogo!$B$7:$B$210,Catalogo!$I$7:$I$210,"",0)=0,"",_xlfn.XLOOKUP($J812,Catalogo!$B$7:$B$210,Catalogo!$I$7:$I$210,"",0))</f>
        <v>UTPA</v>
      </c>
      <c r="L812" s="36"/>
      <c r="M812" s="261">
        <f>IF(Tabla1[[#This Row],[Avance_km]]&lt;&gt;"",Tabla1[[#This Row],[Avance_km]],Tabla1[[#This Row],[Avance_Med]])*_xlfn.XLOOKUP(Tabla1[[#This Row],[Codigo_actividad]],Catalogo!$B$6:$B$51,Catalogo!$F$6:$F$51,0)</f>
        <v>2220.59</v>
      </c>
      <c r="N812" t="str">
        <f>_xlfn.IFNA(_xlfn.XLOOKUP(Tabla1[[#This Row],[fin]],$P$379:$P$398,$T$379:$T$398),"")</f>
        <v/>
      </c>
    </row>
    <row r="813" spans="1:14" x14ac:dyDescent="0.25">
      <c r="A813" s="354">
        <v>46269</v>
      </c>
      <c r="B813" s="114" t="s">
        <v>30</v>
      </c>
      <c r="C813" s="513" t="s">
        <v>22</v>
      </c>
      <c r="D813" s="39" t="s">
        <v>35</v>
      </c>
      <c r="E813" s="40" t="s">
        <v>132</v>
      </c>
      <c r="F813" s="493">
        <v>1182</v>
      </c>
      <c r="G813" s="28" t="s">
        <v>618</v>
      </c>
      <c r="H813" s="224"/>
      <c r="I813" s="501">
        <v>1</v>
      </c>
      <c r="J813" s="76" t="s">
        <v>131</v>
      </c>
      <c r="K813" s="66" t="str">
        <f>IF(_xlfn.XLOOKUP($J813,Catalogo!$B$7:$B$210,Catalogo!$I$7:$I$210,"",0)=0,"",_xlfn.XLOOKUP($J813,Catalogo!$B$7:$B$210,Catalogo!$I$7:$I$210,"",0))</f>
        <v>UT RECTO</v>
      </c>
      <c r="L813" s="36"/>
      <c r="M813" s="261">
        <f>IF(Tabla1[[#This Row],[Avance_km]]&lt;&gt;"",Tabla1[[#This Row],[Avance_km]],Tabla1[[#This Row],[Avance_Med]])*_xlfn.XLOOKUP(Tabla1[[#This Row],[Codigo_actividad]],Catalogo!$B$6:$B$51,Catalogo!$F$6:$F$51,0)</f>
        <v>2220.59</v>
      </c>
      <c r="N813" t="str">
        <f>_xlfn.IFNA(_xlfn.XLOOKUP(Tabla1[[#This Row],[fin]],$P$379:$P$398,$T$379:$T$398),"")</f>
        <v/>
      </c>
    </row>
    <row r="814" spans="1:14" x14ac:dyDescent="0.25">
      <c r="A814" s="354">
        <v>46269</v>
      </c>
      <c r="B814" s="114" t="s">
        <v>30</v>
      </c>
      <c r="C814" s="513" t="s">
        <v>22</v>
      </c>
      <c r="D814" s="39" t="s">
        <v>35</v>
      </c>
      <c r="E814" s="40" t="s">
        <v>134</v>
      </c>
      <c r="F814" s="493">
        <v>1182</v>
      </c>
      <c r="G814" s="28" t="s">
        <v>618</v>
      </c>
      <c r="H814" s="224"/>
      <c r="I814" s="501">
        <v>1</v>
      </c>
      <c r="J814" s="76" t="s">
        <v>133</v>
      </c>
      <c r="K814" s="66" t="str">
        <f>IF(_xlfn.XLOOKUP($J814,Catalogo!$B$7:$B$210,Catalogo!$I$7:$I$210,"",0)=0,"",_xlfn.XLOOKUP($J814,Catalogo!$B$7:$B$210,Catalogo!$I$7:$I$210,"",0))</f>
        <v>MT</v>
      </c>
      <c r="L814" s="36"/>
      <c r="M814" s="261">
        <f>IF(Tabla1[[#This Row],[Avance_km]]&lt;&gt;"",Tabla1[[#This Row],[Avance_km]],Tabla1[[#This Row],[Avance_Med]])*_xlfn.XLOOKUP(Tabla1[[#This Row],[Codigo_actividad]],Catalogo!$B$6:$B$51,Catalogo!$F$6:$F$51,0)</f>
        <v>2090.59</v>
      </c>
      <c r="N814" t="str">
        <f>_xlfn.IFNA(_xlfn.XLOOKUP(Tabla1[[#This Row],[fin]],$P$379:$P$398,$T$379:$T$398),"")</f>
        <v/>
      </c>
    </row>
    <row r="815" spans="1:14" x14ac:dyDescent="0.25">
      <c r="A815" s="354">
        <v>46269</v>
      </c>
      <c r="B815" s="114" t="s">
        <v>30</v>
      </c>
      <c r="C815" s="513" t="s">
        <v>22</v>
      </c>
      <c r="D815" s="39" t="s">
        <v>35</v>
      </c>
      <c r="E815" s="40" t="s">
        <v>136</v>
      </c>
      <c r="F815" s="493">
        <v>1182</v>
      </c>
      <c r="G815" s="28" t="s">
        <v>618</v>
      </c>
      <c r="H815" s="224"/>
      <c r="I815" s="501">
        <v>1</v>
      </c>
      <c r="J815" s="76" t="s">
        <v>135</v>
      </c>
      <c r="K815" s="66" t="str">
        <f>IF(_xlfn.XLOOKUP($J815,Catalogo!$B$7:$B$210,Catalogo!$I$7:$I$210,"",0)=0,"",_xlfn.XLOOKUP($J815,Catalogo!$B$7:$B$210,Catalogo!$I$7:$I$210,"",0))</f>
        <v>LP</v>
      </c>
      <c r="L815" s="36"/>
      <c r="M815" s="261">
        <f>IF(Tabla1[[#This Row],[Avance_km]]&lt;&gt;"",Tabla1[[#This Row],[Avance_km]],Tabla1[[#This Row],[Avance_Med]])*_xlfn.XLOOKUP(Tabla1[[#This Row],[Codigo_actividad]],Catalogo!$B$6:$B$51,Catalogo!$F$6:$F$51,0)</f>
        <v>2090.59</v>
      </c>
      <c r="N815" t="str">
        <f>_xlfn.IFNA(_xlfn.XLOOKUP(Tabla1[[#This Row],[fin]],$P$379:$P$398,$T$379:$T$398),"")</f>
        <v/>
      </c>
    </row>
    <row r="816" spans="1:14" x14ac:dyDescent="0.25">
      <c r="A816" s="354">
        <v>46269</v>
      </c>
      <c r="B816" s="114" t="s">
        <v>30</v>
      </c>
      <c r="C816" s="513" t="s">
        <v>22</v>
      </c>
      <c r="D816" s="39" t="s">
        <v>35</v>
      </c>
      <c r="E816" s="40" t="s">
        <v>138</v>
      </c>
      <c r="F816" s="493">
        <v>1182</v>
      </c>
      <c r="G816" s="28" t="s">
        <v>618</v>
      </c>
      <c r="H816" s="224"/>
      <c r="I816" s="501">
        <v>1</v>
      </c>
      <c r="J816" s="76" t="s">
        <v>137</v>
      </c>
      <c r="K816" s="66" t="str">
        <f>IF(_xlfn.XLOOKUP($J816,Catalogo!$B$7:$B$210,Catalogo!$I$7:$I$210,"",0)=0,"",_xlfn.XLOOKUP($J816,Catalogo!$B$7:$B$210,Catalogo!$I$7:$I$210,"",0))</f>
        <v>PH EXC</v>
      </c>
      <c r="L816" s="36"/>
      <c r="M816" s="261">
        <f>IF(Tabla1[[#This Row],[Avance_km]]&lt;&gt;"",Tabla1[[#This Row],[Avance_km]],Tabla1[[#This Row],[Avance_Med]])*_xlfn.XLOOKUP(Tabla1[[#This Row],[Codigo_actividad]],Catalogo!$B$6:$B$51,Catalogo!$F$6:$F$51,0)</f>
        <v>656</v>
      </c>
      <c r="N816" t="str">
        <f>_xlfn.IFNA(_xlfn.XLOOKUP(Tabla1[[#This Row],[fin]],$P$379:$P$398,$T$379:$T$398),"")</f>
        <v/>
      </c>
    </row>
    <row r="817" spans="1:16" x14ac:dyDescent="0.25">
      <c r="A817" s="354">
        <v>46269</v>
      </c>
      <c r="B817" s="114" t="s">
        <v>30</v>
      </c>
      <c r="C817" s="513" t="s">
        <v>22</v>
      </c>
      <c r="D817" s="39" t="s">
        <v>35</v>
      </c>
      <c r="E817" s="40" t="s">
        <v>140</v>
      </c>
      <c r="F817" s="493">
        <v>1182</v>
      </c>
      <c r="G817" s="28" t="s">
        <v>618</v>
      </c>
      <c r="H817" s="224"/>
      <c r="I817" s="501">
        <v>1</v>
      </c>
      <c r="J817" s="76" t="s">
        <v>139</v>
      </c>
      <c r="K817" s="66" t="str">
        <f>IF(_xlfn.XLOOKUP($J817,Catalogo!$B$7:$B$210,Catalogo!$I$7:$I$210,"",0)=0,"",_xlfn.XLOOKUP($J817,Catalogo!$B$7:$B$210,Catalogo!$I$7:$I$210,"",0))</f>
        <v>BACTERIAS EXC</v>
      </c>
      <c r="L817" s="36"/>
      <c r="M817" s="261">
        <f>IF(Tabla1[[#This Row],[Avance_km]]&lt;&gt;"",Tabla1[[#This Row],[Avance_km]],Tabla1[[#This Row],[Avance_Med]])*_xlfn.XLOOKUP(Tabla1[[#This Row],[Codigo_actividad]],Catalogo!$B$6:$B$51,Catalogo!$F$6:$F$51,0)</f>
        <v>4676</v>
      </c>
      <c r="N817" t="str">
        <f>_xlfn.IFNA(_xlfn.XLOOKUP(Tabla1[[#This Row],[fin]],$P$379:$P$398,$T$379:$T$398),"")</f>
        <v/>
      </c>
    </row>
    <row r="818" spans="1:16" x14ac:dyDescent="0.25">
      <c r="A818" s="354"/>
      <c r="B818" s="114"/>
      <c r="C818" s="155"/>
      <c r="D818" s="39"/>
      <c r="F818" s="28"/>
      <c r="G818" s="28"/>
      <c r="H818" s="224" t="str">
        <f>IF(Tabla1[[#This Row],[Codigo_actividad]]&lt;&gt;2.5,IF(((Tabla1[[#This Row],[fin]]-Tabla1[[#This Row],[inicio]])/1000)=0,"",((Tabla1[[#This Row],[fin]]-Tabla1[[#This Row],[inicio]])/1000)),"")</f>
        <v/>
      </c>
      <c r="I818" s="66"/>
      <c r="J818" s="76"/>
      <c r="K818" s="66" t="str">
        <f>IF(_xlfn.XLOOKUP($J818,Catalogo!$B$7:$B$21,Catalogo!$I$7:$I$21,"",0)=0,"",_xlfn.XLOOKUP($J818,Catalogo!$B$7:$B$21,Catalogo!$I$7:$I$21,"",0))</f>
        <v/>
      </c>
      <c r="L818" s="36"/>
      <c r="M818" s="261">
        <f>IF(Tabla1[[#This Row],[Avance_km]]&lt;&gt;"",Tabla1[[#This Row],[Avance_km]],Tabla1[[#This Row],[Avance_Med]])*_xlfn.XLOOKUP(Tabla1[[#This Row],[Codigo_actividad]],Catalogo!$B$6:$B$51,Catalogo!$F$6:$F$51,0)</f>
        <v>0</v>
      </c>
      <c r="N818" t="str">
        <f>_xlfn.IFNA(_xlfn.XLOOKUP(Tabla1[[#This Row],[fin]],$P$379:$P$398,$T$379:$T$398),"")</f>
        <v/>
      </c>
    </row>
    <row r="819" spans="1:16" x14ac:dyDescent="0.25">
      <c r="A819" s="354">
        <v>46272</v>
      </c>
      <c r="B819" s="114" t="s">
        <v>30</v>
      </c>
      <c r="C819" s="513" t="s">
        <v>22</v>
      </c>
      <c r="D819" s="39" t="s">
        <v>74</v>
      </c>
      <c r="E819" s="40" t="s">
        <v>119</v>
      </c>
      <c r="F819" s="493">
        <v>7</v>
      </c>
      <c r="G819" s="28" t="s">
        <v>618</v>
      </c>
      <c r="H819" s="224"/>
      <c r="I819" s="501">
        <v>1</v>
      </c>
      <c r="J819" s="76">
        <v>3.2</v>
      </c>
      <c r="K819" s="66" t="str">
        <f>IF(_xlfn.XLOOKUP($J819,Catalogo!$B$7:$B$210,Catalogo!$I$7:$I$210,"",0)=0,"",_xlfn.XLOOKUP($J819,Catalogo!$B$7:$B$210,Catalogo!$I$7:$I$210,"",0))</f>
        <v>DATA EXC</v>
      </c>
      <c r="L819" s="36"/>
      <c r="M819" s="261">
        <f>IF(Tabla1[[#This Row],[Avance_km]]&lt;&gt;"",Tabla1[[#This Row],[Avance_km]],Tabla1[[#This Row],[Avance_Med]])*_xlfn.XLOOKUP(Tabla1[[#This Row],[Codigo_actividad]],Catalogo!$B$6:$B$51,Catalogo!$F$6:$F$51,0)</f>
        <v>7585.99</v>
      </c>
      <c r="N819" t="str">
        <f>_xlfn.IFNA(_xlfn.XLOOKUP(Tabla1[[#This Row],[fin]],$P$379:$P$398,$T$379:$T$398),"")</f>
        <v/>
      </c>
    </row>
    <row r="820" spans="1:16" x14ac:dyDescent="0.25">
      <c r="A820" s="354">
        <v>46272</v>
      </c>
      <c r="B820" s="114" t="s">
        <v>30</v>
      </c>
      <c r="C820" s="513" t="s">
        <v>22</v>
      </c>
      <c r="D820" s="39" t="s">
        <v>74</v>
      </c>
      <c r="E820" s="40" t="s">
        <v>531</v>
      </c>
      <c r="F820" s="493">
        <v>7</v>
      </c>
      <c r="G820" s="28" t="s">
        <v>618</v>
      </c>
      <c r="H820" s="224"/>
      <c r="I820" s="501">
        <v>1</v>
      </c>
      <c r="J820" s="76" t="s">
        <v>122</v>
      </c>
      <c r="K820" s="66" t="str">
        <f>IF(_xlfn.XLOOKUP($J820,Catalogo!$B$7:$B$210,Catalogo!$I$7:$I$210,"",0)=0,"",_xlfn.XLOOKUP($J820,Catalogo!$B$7:$B$210,Catalogo!$I$7:$I$210,"",0))</f>
        <v>VT</v>
      </c>
      <c r="L820" s="36"/>
      <c r="M820" s="261">
        <f>IF(Tabla1[[#This Row],[Avance_km]]&lt;&gt;"",Tabla1[[#This Row],[Avance_km]],Tabla1[[#This Row],[Avance_Med]])*_xlfn.XLOOKUP(Tabla1[[#This Row],[Codigo_actividad]],Catalogo!$B$6:$B$51,Catalogo!$F$6:$F$51,0)</f>
        <v>1765.59</v>
      </c>
      <c r="N820" t="str">
        <f>_xlfn.IFNA(_xlfn.XLOOKUP(Tabla1[[#This Row],[fin]],$P$379:$P$398,$T$379:$T$398),"")</f>
        <v/>
      </c>
    </row>
    <row r="821" spans="1:16" x14ac:dyDescent="0.25">
      <c r="A821" s="354">
        <v>46272</v>
      </c>
      <c r="B821" s="114" t="s">
        <v>30</v>
      </c>
      <c r="C821" s="513" t="s">
        <v>22</v>
      </c>
      <c r="D821" s="39" t="s">
        <v>74</v>
      </c>
      <c r="E821" s="40" t="s">
        <v>125</v>
      </c>
      <c r="F821" s="493">
        <v>7</v>
      </c>
      <c r="G821" s="28" t="s">
        <v>618</v>
      </c>
      <c r="H821" s="224"/>
      <c r="I821" s="501">
        <v>1</v>
      </c>
      <c r="J821" s="76" t="s">
        <v>124</v>
      </c>
      <c r="K821" s="66" t="str">
        <f>IF(_xlfn.XLOOKUP($J821,Catalogo!$B$7:$B$210,Catalogo!$I$7:$I$210,"",0)=0,"",_xlfn.XLOOKUP($J821,Catalogo!$B$7:$B$210,Catalogo!$I$7:$I$210,"",0))</f>
        <v>SANIDAD Y ESPESORES</v>
      </c>
      <c r="L821" s="36"/>
      <c r="M821" s="261">
        <f>IF(Tabla1[[#This Row],[Avance_km]]&lt;&gt;"",Tabla1[[#This Row],[Avance_km]],Tabla1[[#This Row],[Avance_Med]])*_xlfn.XLOOKUP(Tabla1[[#This Row],[Codigo_actividad]],Catalogo!$B$6:$B$51,Catalogo!$F$6:$F$51,0)</f>
        <v>1934.59</v>
      </c>
      <c r="N821" t="str">
        <f>_xlfn.IFNA(_xlfn.XLOOKUP(Tabla1[[#This Row],[fin]],$P$379:$P$398,$T$379:$T$398),"")</f>
        <v/>
      </c>
    </row>
    <row r="822" spans="1:16" x14ac:dyDescent="0.25">
      <c r="A822" s="354">
        <v>46272</v>
      </c>
      <c r="B822" s="114" t="s">
        <v>30</v>
      </c>
      <c r="C822" s="513" t="s">
        <v>22</v>
      </c>
      <c r="D822" s="39" t="s">
        <v>74</v>
      </c>
      <c r="E822" s="40" t="s">
        <v>128</v>
      </c>
      <c r="F822" s="493">
        <v>7</v>
      </c>
      <c r="G822" s="28" t="s">
        <v>618</v>
      </c>
      <c r="H822" s="224"/>
      <c r="I822" s="501">
        <v>1</v>
      </c>
      <c r="J822" s="76" t="s">
        <v>127</v>
      </c>
      <c r="K822" s="66" t="str">
        <f>IF(_xlfn.XLOOKUP($J822,Catalogo!$B$7:$B$210,Catalogo!$I$7:$I$210,"",0)=0,"",_xlfn.XLOOKUP($J822,Catalogo!$B$7:$B$210,Catalogo!$I$7:$I$210,"",0))</f>
        <v>CARACTERIZACION</v>
      </c>
      <c r="L822" s="36"/>
      <c r="M822" s="261">
        <f>IF(Tabla1[[#This Row],[Avance_km]]&lt;&gt;"",Tabla1[[#This Row],[Avance_km]],Tabla1[[#This Row],[Avance_Med]])*_xlfn.XLOOKUP(Tabla1[[#This Row],[Codigo_actividad]],Catalogo!$B$6:$B$51,Catalogo!$F$6:$F$51,0)</f>
        <v>1960.59</v>
      </c>
      <c r="N822" t="str">
        <f>_xlfn.IFNA(_xlfn.XLOOKUP(Tabla1[[#This Row],[fin]],$P$379:$P$398,$T$379:$T$398),"")</f>
        <v/>
      </c>
    </row>
    <row r="823" spans="1:16" x14ac:dyDescent="0.25">
      <c r="A823" s="354">
        <v>46272</v>
      </c>
      <c r="B823" s="114" t="s">
        <v>30</v>
      </c>
      <c r="C823" s="513" t="s">
        <v>22</v>
      </c>
      <c r="D823" s="39" t="s">
        <v>74</v>
      </c>
      <c r="E823" s="40" t="s">
        <v>132</v>
      </c>
      <c r="F823" s="493">
        <v>7</v>
      </c>
      <c r="G823" s="28" t="s">
        <v>618</v>
      </c>
      <c r="H823" s="224"/>
      <c r="I823" s="501">
        <v>1</v>
      </c>
      <c r="J823" s="76" t="s">
        <v>131</v>
      </c>
      <c r="K823" s="66" t="str">
        <f>IF(_xlfn.XLOOKUP($J823,Catalogo!$B$7:$B$210,Catalogo!$I$7:$I$210,"",0)=0,"",_xlfn.XLOOKUP($J823,Catalogo!$B$7:$B$210,Catalogo!$I$7:$I$210,"",0))</f>
        <v>UT RECTO</v>
      </c>
      <c r="L823" s="36"/>
      <c r="M823" s="261">
        <f>IF(Tabla1[[#This Row],[Avance_km]]&lt;&gt;"",Tabla1[[#This Row],[Avance_km]],Tabla1[[#This Row],[Avance_Med]])*_xlfn.XLOOKUP(Tabla1[[#This Row],[Codigo_actividad]],Catalogo!$B$6:$B$51,Catalogo!$F$6:$F$51,0)</f>
        <v>2220.59</v>
      </c>
      <c r="N823" t="str">
        <f>_xlfn.IFNA(_xlfn.XLOOKUP(Tabla1[[#This Row],[fin]],$P$379:$P$398,$T$379:$T$398),"")</f>
        <v/>
      </c>
    </row>
    <row r="824" spans="1:16" x14ac:dyDescent="0.25">
      <c r="A824" s="354">
        <v>46272</v>
      </c>
      <c r="B824" s="114" t="s">
        <v>30</v>
      </c>
      <c r="C824" s="513" t="s">
        <v>22</v>
      </c>
      <c r="D824" s="39" t="s">
        <v>74</v>
      </c>
      <c r="E824" s="40" t="s">
        <v>138</v>
      </c>
      <c r="F824" s="493">
        <v>7</v>
      </c>
      <c r="G824" s="28" t="s">
        <v>618</v>
      </c>
      <c r="H824" s="224"/>
      <c r="I824" s="501">
        <v>1</v>
      </c>
      <c r="J824" s="76" t="s">
        <v>137</v>
      </c>
      <c r="K824" s="66" t="str">
        <f>IF(_xlfn.XLOOKUP($J824,Catalogo!$B$7:$B$210,Catalogo!$I$7:$I$210,"",0)=0,"",_xlfn.XLOOKUP($J824,Catalogo!$B$7:$B$210,Catalogo!$I$7:$I$210,"",0))</f>
        <v>PH EXC</v>
      </c>
      <c r="L824" s="36"/>
      <c r="M824" s="261">
        <f>IF(Tabla1[[#This Row],[Avance_km]]&lt;&gt;"",Tabla1[[#This Row],[Avance_km]],Tabla1[[#This Row],[Avance_Med]])*_xlfn.XLOOKUP(Tabla1[[#This Row],[Codigo_actividad]],Catalogo!$B$6:$B$51,Catalogo!$F$6:$F$51,0)</f>
        <v>656</v>
      </c>
      <c r="N824" t="str">
        <f>_xlfn.IFNA(_xlfn.XLOOKUP(Tabla1[[#This Row],[fin]],$P$379:$P$398,$T$379:$T$398),"")</f>
        <v/>
      </c>
    </row>
    <row r="825" spans="1:16" x14ac:dyDescent="0.25">
      <c r="A825" s="354">
        <v>46272</v>
      </c>
      <c r="B825" s="114" t="s">
        <v>30</v>
      </c>
      <c r="C825" s="513" t="s">
        <v>22</v>
      </c>
      <c r="D825" s="39" t="s">
        <v>74</v>
      </c>
      <c r="E825" s="40" t="s">
        <v>140</v>
      </c>
      <c r="F825" s="493">
        <v>7</v>
      </c>
      <c r="G825" s="28" t="s">
        <v>618</v>
      </c>
      <c r="H825" s="224"/>
      <c r="I825" s="501">
        <v>1</v>
      </c>
      <c r="J825" s="76" t="s">
        <v>139</v>
      </c>
      <c r="K825" s="66" t="str">
        <f>IF(_xlfn.XLOOKUP($J825,Catalogo!$B$7:$B$210,Catalogo!$I$7:$I$210,"",0)=0,"",_xlfn.XLOOKUP($J825,Catalogo!$B$7:$B$210,Catalogo!$I$7:$I$210,"",0))</f>
        <v>BACTERIAS EXC</v>
      </c>
      <c r="L825" s="36"/>
      <c r="M825" s="261">
        <f>IF(Tabla1[[#This Row],[Avance_km]]&lt;&gt;"",Tabla1[[#This Row],[Avance_km]],Tabla1[[#This Row],[Avance_Med]])*_xlfn.XLOOKUP(Tabla1[[#This Row],[Codigo_actividad]],Catalogo!$B$6:$B$51,Catalogo!$F$6:$F$51,0)</f>
        <v>4676</v>
      </c>
      <c r="N825" t="str">
        <f>_xlfn.IFNA(_xlfn.XLOOKUP(Tabla1[[#This Row],[fin]],$P$379:$P$398,$T$379:$T$398),"")</f>
        <v/>
      </c>
    </row>
    <row r="826" spans="1:16" x14ac:dyDescent="0.25">
      <c r="A826" s="354"/>
      <c r="B826" s="114"/>
      <c r="C826" s="155"/>
      <c r="D826" s="39"/>
      <c r="F826" s="28"/>
      <c r="G826" s="28"/>
      <c r="H826" s="224" t="str">
        <f>IF(Tabla1[[#This Row],[Codigo_actividad]]&lt;&gt;2.5,IF(((Tabla1[[#This Row],[fin]]-Tabla1[[#This Row],[inicio]])/1000)=0,"",((Tabla1[[#This Row],[fin]]-Tabla1[[#This Row],[inicio]])/1000)),"")</f>
        <v/>
      </c>
      <c r="I826" s="66"/>
      <c r="J826" s="76"/>
      <c r="K826" s="66" t="str">
        <f>IF(_xlfn.XLOOKUP($J826,Catalogo!$B$7:$B$21,Catalogo!$I$7:$I$21,"",0)=0,"",_xlfn.XLOOKUP($J826,Catalogo!$B$7:$B$21,Catalogo!$I$7:$I$21,"",0))</f>
        <v/>
      </c>
      <c r="L826" s="36"/>
      <c r="M826" s="261">
        <f>IF(Tabla1[[#This Row],[Avance_km]]&lt;&gt;"",Tabla1[[#This Row],[Avance_km]],Tabla1[[#This Row],[Avance_Med]])*_xlfn.XLOOKUP(Tabla1[[#This Row],[Codigo_actividad]],Catalogo!$B$6:$B$51,Catalogo!$F$6:$F$51,0)</f>
        <v>0</v>
      </c>
      <c r="N826" t="str">
        <f>_xlfn.IFNA(_xlfn.XLOOKUP(Tabla1[[#This Row],[fin]],$P$379:$P$398,$T$379:$T$398),"")</f>
        <v/>
      </c>
    </row>
    <row r="827" spans="1:16" x14ac:dyDescent="0.25">
      <c r="A827" s="354">
        <v>46272</v>
      </c>
      <c r="B827" s="114" t="s">
        <v>30</v>
      </c>
      <c r="C827" s="513" t="s">
        <v>22</v>
      </c>
      <c r="D827" s="39" t="s">
        <v>74</v>
      </c>
      <c r="E827" s="40" t="s">
        <v>119</v>
      </c>
      <c r="F827" s="493">
        <v>28</v>
      </c>
      <c r="G827" s="28" t="s">
        <v>618</v>
      </c>
      <c r="H827" s="224"/>
      <c r="I827" s="501">
        <v>1</v>
      </c>
      <c r="J827" s="76">
        <v>3.2</v>
      </c>
      <c r="K827" s="66" t="str">
        <f>IF(_xlfn.XLOOKUP($J827,Catalogo!$B$7:$B$210,Catalogo!$I$7:$I$210,"",0)=0,"",_xlfn.XLOOKUP($J827,Catalogo!$B$7:$B$210,Catalogo!$I$7:$I$210,"",0))</f>
        <v>DATA EXC</v>
      </c>
      <c r="L827" s="36"/>
      <c r="M827" s="261">
        <f>IF(Tabla1[[#This Row],[Avance_km]]&lt;&gt;"",Tabla1[[#This Row],[Avance_km]],Tabla1[[#This Row],[Avance_Med]])*_xlfn.XLOOKUP(Tabla1[[#This Row],[Codigo_actividad]],Catalogo!$B$6:$B$51,Catalogo!$F$6:$F$51,0)</f>
        <v>7585.99</v>
      </c>
      <c r="N827" t="str">
        <f>_xlfn.IFNA(_xlfn.XLOOKUP(Tabla1[[#This Row],[fin]],$P$379:$P$398,$T$379:$T$398),"")</f>
        <v/>
      </c>
    </row>
    <row r="828" spans="1:16" x14ac:dyDescent="0.25">
      <c r="A828" s="354">
        <v>46272</v>
      </c>
      <c r="B828" s="114" t="s">
        <v>30</v>
      </c>
      <c r="C828" s="513" t="s">
        <v>22</v>
      </c>
      <c r="D828" s="39" t="s">
        <v>74</v>
      </c>
      <c r="E828" s="40" t="s">
        <v>531</v>
      </c>
      <c r="F828" s="493">
        <v>28</v>
      </c>
      <c r="G828" s="28" t="s">
        <v>618</v>
      </c>
      <c r="H828" s="224"/>
      <c r="I828" s="501">
        <v>1</v>
      </c>
      <c r="J828" s="76" t="s">
        <v>122</v>
      </c>
      <c r="K828" s="66" t="str">
        <f>IF(_xlfn.XLOOKUP($J828,Catalogo!$B$7:$B$210,Catalogo!$I$7:$I$210,"",0)=0,"",_xlfn.XLOOKUP($J828,Catalogo!$B$7:$B$210,Catalogo!$I$7:$I$210,"",0))</f>
        <v>VT</v>
      </c>
      <c r="L828" s="36"/>
      <c r="M828" s="261">
        <f>IF(Tabla1[[#This Row],[Avance_km]]&lt;&gt;"",Tabla1[[#This Row],[Avance_km]],Tabla1[[#This Row],[Avance_Med]])*_xlfn.XLOOKUP(Tabla1[[#This Row],[Codigo_actividad]],Catalogo!$B$6:$B$51,Catalogo!$F$6:$F$51,0)</f>
        <v>1765.59</v>
      </c>
      <c r="N828" t="str">
        <f>_xlfn.IFNA(_xlfn.XLOOKUP(Tabla1[[#This Row],[fin]],$P$379:$P$398,$T$379:$T$398),"")</f>
        <v/>
      </c>
    </row>
    <row r="829" spans="1:16" x14ac:dyDescent="0.25">
      <c r="A829" s="354">
        <v>46272</v>
      </c>
      <c r="B829" s="114" t="s">
        <v>30</v>
      </c>
      <c r="C829" s="513" t="s">
        <v>22</v>
      </c>
      <c r="D829" s="39" t="s">
        <v>74</v>
      </c>
      <c r="E829" s="40" t="s">
        <v>125</v>
      </c>
      <c r="F829" s="493">
        <v>28</v>
      </c>
      <c r="G829" s="28" t="s">
        <v>618</v>
      </c>
      <c r="H829" s="224"/>
      <c r="I829" s="501">
        <v>1</v>
      </c>
      <c r="J829" s="76" t="s">
        <v>124</v>
      </c>
      <c r="K829" s="66" t="str">
        <f>IF(_xlfn.XLOOKUP($J829,Catalogo!$B$7:$B$210,Catalogo!$I$7:$I$210,"",0)=0,"",_xlfn.XLOOKUP($J829,Catalogo!$B$7:$B$210,Catalogo!$I$7:$I$210,"",0))</f>
        <v>SANIDAD Y ESPESORES</v>
      </c>
      <c r="L829" s="36"/>
      <c r="M829" s="261">
        <f>IF(Tabla1[[#This Row],[Avance_km]]&lt;&gt;"",Tabla1[[#This Row],[Avance_km]],Tabla1[[#This Row],[Avance_Med]])*_xlfn.XLOOKUP(Tabla1[[#This Row],[Codigo_actividad]],Catalogo!$B$6:$B$51,Catalogo!$F$6:$F$51,0)</f>
        <v>1934.59</v>
      </c>
      <c r="N829" t="str">
        <f>_xlfn.IFNA(_xlfn.XLOOKUP(Tabla1[[#This Row],[fin]],$P$379:$P$398,$T$379:$T$398),"")</f>
        <v/>
      </c>
    </row>
    <row r="830" spans="1:16" x14ac:dyDescent="0.25">
      <c r="A830" s="354">
        <v>46272</v>
      </c>
      <c r="B830" s="114" t="s">
        <v>30</v>
      </c>
      <c r="C830" s="513" t="s">
        <v>22</v>
      </c>
      <c r="D830" s="39" t="s">
        <v>74</v>
      </c>
      <c r="E830" s="40" t="s">
        <v>128</v>
      </c>
      <c r="F830" s="493">
        <v>28</v>
      </c>
      <c r="G830" s="28" t="s">
        <v>618</v>
      </c>
      <c r="H830" s="224"/>
      <c r="I830" s="501">
        <v>1</v>
      </c>
      <c r="J830" s="76" t="s">
        <v>127</v>
      </c>
      <c r="K830" s="66" t="str">
        <f>IF(_xlfn.XLOOKUP($J830,Catalogo!$B$7:$B$210,Catalogo!$I$7:$I$210,"",0)=0,"",_xlfn.XLOOKUP($J830,Catalogo!$B$7:$B$210,Catalogo!$I$7:$I$210,"",0))</f>
        <v>CARACTERIZACION</v>
      </c>
      <c r="L830" s="36"/>
      <c r="M830" s="261">
        <f>IF(Tabla1[[#This Row],[Avance_km]]&lt;&gt;"",Tabla1[[#This Row],[Avance_km]],Tabla1[[#This Row],[Avance_Med]])*_xlfn.XLOOKUP(Tabla1[[#This Row],[Codigo_actividad]],Catalogo!$B$6:$B$51,Catalogo!$F$6:$F$51,0)</f>
        <v>1960.59</v>
      </c>
      <c r="N830" t="str">
        <f>_xlfn.IFNA(_xlfn.XLOOKUP(Tabla1[[#This Row],[fin]],$P$379:$P$398,$T$379:$T$398),"")</f>
        <v/>
      </c>
      <c r="P830" s="227"/>
    </row>
    <row r="831" spans="1:16" x14ac:dyDescent="0.25">
      <c r="A831" s="354">
        <v>46272</v>
      </c>
      <c r="B831" s="114" t="s">
        <v>30</v>
      </c>
      <c r="C831" s="513" t="s">
        <v>22</v>
      </c>
      <c r="D831" s="39" t="s">
        <v>74</v>
      </c>
      <c r="E831" s="40" t="s">
        <v>130</v>
      </c>
      <c r="F831" s="493">
        <v>28</v>
      </c>
      <c r="G831" s="28" t="s">
        <v>618</v>
      </c>
      <c r="H831" s="224"/>
      <c r="I831" s="501">
        <v>1</v>
      </c>
      <c r="J831" s="76" t="s">
        <v>129</v>
      </c>
      <c r="K831" s="66" t="str">
        <f>IF(_xlfn.XLOOKUP($J831,Catalogo!$B$7:$B$210,Catalogo!$I$7:$I$210,"",0)=0,"",_xlfn.XLOOKUP($J831,Catalogo!$B$7:$B$210,Catalogo!$I$7:$I$210,"",0))</f>
        <v>UTPA</v>
      </c>
      <c r="L831" s="36"/>
      <c r="M831" s="261">
        <f>IF(Tabla1[[#This Row],[Avance_km]]&lt;&gt;"",Tabla1[[#This Row],[Avance_km]],Tabla1[[#This Row],[Avance_Med]])*_xlfn.XLOOKUP(Tabla1[[#This Row],[Codigo_actividad]],Catalogo!$B$6:$B$51,Catalogo!$F$6:$F$51,0)</f>
        <v>2220.59</v>
      </c>
      <c r="N831" t="str">
        <f>_xlfn.IFNA(_xlfn.XLOOKUP(Tabla1[[#This Row],[fin]],$P$379:$P$398,$T$379:$T$398),"")</f>
        <v/>
      </c>
    </row>
    <row r="832" spans="1:16" x14ac:dyDescent="0.25">
      <c r="A832" s="354">
        <v>46272</v>
      </c>
      <c r="B832" s="114" t="s">
        <v>30</v>
      </c>
      <c r="C832" s="513" t="s">
        <v>22</v>
      </c>
      <c r="D832" s="39" t="s">
        <v>74</v>
      </c>
      <c r="E832" s="40" t="s">
        <v>132</v>
      </c>
      <c r="F832" s="493">
        <v>28</v>
      </c>
      <c r="G832" s="28" t="s">
        <v>618</v>
      </c>
      <c r="H832" s="224"/>
      <c r="I832" s="501">
        <v>1</v>
      </c>
      <c r="J832" s="76" t="s">
        <v>131</v>
      </c>
      <c r="K832" s="66" t="str">
        <f>IF(_xlfn.XLOOKUP($J832,Catalogo!$B$7:$B$210,Catalogo!$I$7:$I$210,"",0)=0,"",_xlfn.XLOOKUP($J832,Catalogo!$B$7:$B$210,Catalogo!$I$7:$I$210,"",0))</f>
        <v>UT RECTO</v>
      </c>
      <c r="L832" s="36"/>
      <c r="M832" s="261">
        <f>IF(Tabla1[[#This Row],[Avance_km]]&lt;&gt;"",Tabla1[[#This Row],[Avance_km]],Tabla1[[#This Row],[Avance_Med]])*_xlfn.XLOOKUP(Tabla1[[#This Row],[Codigo_actividad]],Catalogo!$B$6:$B$51,Catalogo!$F$6:$F$51,0)</f>
        <v>2220.59</v>
      </c>
      <c r="N832" t="str">
        <f>_xlfn.IFNA(_xlfn.XLOOKUP(Tabla1[[#This Row],[fin]],$P$379:$P$398,$T$379:$T$398),"")</f>
        <v/>
      </c>
    </row>
    <row r="833" spans="1:14" x14ac:dyDescent="0.25">
      <c r="A833" s="354">
        <v>46272</v>
      </c>
      <c r="B833" s="114" t="s">
        <v>30</v>
      </c>
      <c r="C833" s="513" t="s">
        <v>22</v>
      </c>
      <c r="D833" s="39" t="s">
        <v>74</v>
      </c>
      <c r="E833" s="40" t="s">
        <v>134</v>
      </c>
      <c r="F833" s="493">
        <v>28</v>
      </c>
      <c r="G833" s="28" t="s">
        <v>618</v>
      </c>
      <c r="H833" s="224"/>
      <c r="I833" s="501">
        <v>1</v>
      </c>
      <c r="J833" s="76" t="s">
        <v>133</v>
      </c>
      <c r="K833" s="66" t="str">
        <f>IF(_xlfn.XLOOKUP($J833,Catalogo!$B$7:$B$210,Catalogo!$I$7:$I$210,"",0)=0,"",_xlfn.XLOOKUP($J833,Catalogo!$B$7:$B$210,Catalogo!$I$7:$I$210,"",0))</f>
        <v>MT</v>
      </c>
      <c r="L833" s="36"/>
      <c r="M833" s="261">
        <f>IF(Tabla1[[#This Row],[Avance_km]]&lt;&gt;"",Tabla1[[#This Row],[Avance_km]],Tabla1[[#This Row],[Avance_Med]])*_xlfn.XLOOKUP(Tabla1[[#This Row],[Codigo_actividad]],Catalogo!$B$6:$B$51,Catalogo!$F$6:$F$51,0)</f>
        <v>2090.59</v>
      </c>
      <c r="N833" t="str">
        <f>_xlfn.IFNA(_xlfn.XLOOKUP(Tabla1[[#This Row],[fin]],$P$379:$P$398,$T$379:$T$398),"")</f>
        <v/>
      </c>
    </row>
    <row r="834" spans="1:14" x14ac:dyDescent="0.25">
      <c r="A834" s="354">
        <v>46272</v>
      </c>
      <c r="B834" s="114" t="s">
        <v>30</v>
      </c>
      <c r="C834" s="513" t="s">
        <v>22</v>
      </c>
      <c r="D834" s="39" t="s">
        <v>74</v>
      </c>
      <c r="E834" s="40" t="s">
        <v>136</v>
      </c>
      <c r="F834" s="493">
        <v>28</v>
      </c>
      <c r="G834" s="28" t="s">
        <v>618</v>
      </c>
      <c r="H834" s="224"/>
      <c r="I834" s="501">
        <v>1</v>
      </c>
      <c r="J834" s="76" t="s">
        <v>135</v>
      </c>
      <c r="K834" s="66" t="str">
        <f>IF(_xlfn.XLOOKUP($J834,Catalogo!$B$7:$B$210,Catalogo!$I$7:$I$210,"",0)=0,"",_xlfn.XLOOKUP($J834,Catalogo!$B$7:$B$210,Catalogo!$I$7:$I$210,"",0))</f>
        <v>LP</v>
      </c>
      <c r="L834" s="36"/>
      <c r="M834" s="261">
        <f>IF(Tabla1[[#This Row],[Avance_km]]&lt;&gt;"",Tabla1[[#This Row],[Avance_km]],Tabla1[[#This Row],[Avance_Med]])*_xlfn.XLOOKUP(Tabla1[[#This Row],[Codigo_actividad]],Catalogo!$B$6:$B$51,Catalogo!$F$6:$F$51,0)</f>
        <v>2090.59</v>
      </c>
      <c r="N834" t="str">
        <f>_xlfn.IFNA(_xlfn.XLOOKUP(Tabla1[[#This Row],[fin]],$P$379:$P$398,$T$379:$T$398),"")</f>
        <v/>
      </c>
    </row>
    <row r="835" spans="1:14" x14ac:dyDescent="0.25">
      <c r="A835" s="354">
        <v>46272</v>
      </c>
      <c r="B835" s="114" t="s">
        <v>30</v>
      </c>
      <c r="C835" s="513" t="s">
        <v>22</v>
      </c>
      <c r="D835" s="39" t="s">
        <v>74</v>
      </c>
      <c r="E835" s="40" t="s">
        <v>138</v>
      </c>
      <c r="F835" s="493">
        <v>28</v>
      </c>
      <c r="G835" s="28" t="s">
        <v>618</v>
      </c>
      <c r="H835" s="224"/>
      <c r="I835" s="501">
        <v>1</v>
      </c>
      <c r="J835" s="76" t="s">
        <v>137</v>
      </c>
      <c r="K835" s="66" t="str">
        <f>IF(_xlfn.XLOOKUP($J835,Catalogo!$B$7:$B$210,Catalogo!$I$7:$I$210,"",0)=0,"",_xlfn.XLOOKUP($J835,Catalogo!$B$7:$B$210,Catalogo!$I$7:$I$210,"",0))</f>
        <v>PH EXC</v>
      </c>
      <c r="L835" s="36"/>
      <c r="M835" s="261">
        <f>IF(Tabla1[[#This Row],[Avance_km]]&lt;&gt;"",Tabla1[[#This Row],[Avance_km]],Tabla1[[#This Row],[Avance_Med]])*_xlfn.XLOOKUP(Tabla1[[#This Row],[Codigo_actividad]],Catalogo!$B$6:$B$51,Catalogo!$F$6:$F$51,0)</f>
        <v>656</v>
      </c>
      <c r="N835" t="str">
        <f>_xlfn.IFNA(_xlfn.XLOOKUP(Tabla1[[#This Row],[fin]],$P$379:$P$398,$T$379:$T$398),"")</f>
        <v/>
      </c>
    </row>
    <row r="836" spans="1:14" x14ac:dyDescent="0.25">
      <c r="A836" s="354">
        <v>46272</v>
      </c>
      <c r="B836" s="114" t="s">
        <v>30</v>
      </c>
      <c r="C836" s="513" t="s">
        <v>22</v>
      </c>
      <c r="D836" s="39" t="s">
        <v>74</v>
      </c>
      <c r="E836" s="40" t="s">
        <v>140</v>
      </c>
      <c r="F836" s="493">
        <v>28</v>
      </c>
      <c r="G836" s="28" t="s">
        <v>618</v>
      </c>
      <c r="H836" s="224"/>
      <c r="I836" s="501">
        <v>1</v>
      </c>
      <c r="J836" s="76" t="s">
        <v>139</v>
      </c>
      <c r="K836" s="66" t="str">
        <f>IF(_xlfn.XLOOKUP($J836,Catalogo!$B$7:$B$210,Catalogo!$I$7:$I$210,"",0)=0,"",_xlfn.XLOOKUP($J836,Catalogo!$B$7:$B$210,Catalogo!$I$7:$I$210,"",0))</f>
        <v>BACTERIAS EXC</v>
      </c>
      <c r="L836" s="36"/>
      <c r="M836" s="261">
        <f>IF(Tabla1[[#This Row],[Avance_km]]&lt;&gt;"",Tabla1[[#This Row],[Avance_km]],Tabla1[[#This Row],[Avance_Med]])*_xlfn.XLOOKUP(Tabla1[[#This Row],[Codigo_actividad]],Catalogo!$B$6:$B$51,Catalogo!$F$6:$F$51,0)</f>
        <v>4676</v>
      </c>
      <c r="N836" t="str">
        <f>_xlfn.IFNA(_xlfn.XLOOKUP(Tabla1[[#This Row],[fin]],$P$379:$P$398,$T$379:$T$398),"")</f>
        <v/>
      </c>
    </row>
    <row r="837" spans="1:14" x14ac:dyDescent="0.25">
      <c r="A837" s="354"/>
      <c r="B837" s="114"/>
      <c r="C837" s="155"/>
      <c r="D837" s="39"/>
      <c r="F837" s="28"/>
      <c r="G837" s="28"/>
      <c r="H837" s="224" t="str">
        <f>IF(Tabla1[[#This Row],[Codigo_actividad]]&lt;&gt;2.5,IF(((Tabla1[[#This Row],[fin]]-Tabla1[[#This Row],[inicio]])/1000)=0,"",((Tabla1[[#This Row],[fin]]-Tabla1[[#This Row],[inicio]])/1000)),"")</f>
        <v/>
      </c>
      <c r="I837" s="66"/>
      <c r="J837" s="76"/>
      <c r="K837" s="66" t="str">
        <f>IF(_xlfn.XLOOKUP($J837,Catalogo!$B$7:$B$21,Catalogo!$I$7:$I$21,"",0)=0,"",_xlfn.XLOOKUP($J837,Catalogo!$B$7:$B$21,Catalogo!$I$7:$I$21,"",0))</f>
        <v/>
      </c>
      <c r="L837" s="36"/>
      <c r="M837" s="261">
        <f>IF(Tabla1[[#This Row],[Avance_km]]&lt;&gt;"",Tabla1[[#This Row],[Avance_km]],Tabla1[[#This Row],[Avance_Med]])*_xlfn.XLOOKUP(Tabla1[[#This Row],[Codigo_actividad]],Catalogo!$B$6:$B$51,Catalogo!$F$6:$F$51,0)</f>
        <v>0</v>
      </c>
      <c r="N837" t="str">
        <f>_xlfn.IFNA(_xlfn.XLOOKUP(Tabla1[[#This Row],[fin]],$P$379:$P$398,$T$379:$T$398),"")</f>
        <v/>
      </c>
    </row>
    <row r="838" spans="1:14" x14ac:dyDescent="0.25">
      <c r="A838" s="354"/>
      <c r="B838" s="114"/>
      <c r="C838" s="155"/>
      <c r="D838" s="39"/>
      <c r="F838" s="28"/>
      <c r="G838" s="28"/>
      <c r="H838" s="224" t="str">
        <f>IF(Tabla1[[#This Row],[Codigo_actividad]]&lt;&gt;2.5,IF(((Tabla1[[#This Row],[fin]]-Tabla1[[#This Row],[inicio]])/1000)=0,"",((Tabla1[[#This Row],[fin]]-Tabla1[[#This Row],[inicio]])/1000)),"")</f>
        <v/>
      </c>
      <c r="I838" s="66"/>
      <c r="J838" s="76"/>
      <c r="K838" s="66" t="str">
        <f>IF(_xlfn.XLOOKUP($J838,Catalogo!$B$7:$B$21,Catalogo!$I$7:$I$21,"",0)=0,"",_xlfn.XLOOKUP($J838,Catalogo!$B$7:$B$21,Catalogo!$I$7:$I$21,"",0))</f>
        <v/>
      </c>
      <c r="L838" s="36"/>
      <c r="M838" s="261">
        <f>IF(Tabla1[[#This Row],[Avance_km]]&lt;&gt;"",Tabla1[[#This Row],[Avance_km]],Tabla1[[#This Row],[Avance_Med]])*_xlfn.XLOOKUP(Tabla1[[#This Row],[Codigo_actividad]],Catalogo!$B$6:$B$51,Catalogo!$F$6:$F$51,0)</f>
        <v>0</v>
      </c>
      <c r="N838" t="str">
        <f>_xlfn.IFNA(_xlfn.XLOOKUP(Tabla1[[#This Row],[fin]],$P$379:$P$398,$T$379:$T$398),"")</f>
        <v/>
      </c>
    </row>
    <row r="839" spans="1:14" x14ac:dyDescent="0.25">
      <c r="A839" s="359"/>
      <c r="B839" s="283"/>
      <c r="C839" s="284"/>
      <c r="D839" s="285"/>
      <c r="E839" s="380"/>
      <c r="F839" s="286"/>
      <c r="G839" s="286"/>
      <c r="H839" s="515" t="str">
        <f>IF(Tabla1[[#This Row],[Codigo_actividad]]&lt;&gt;2.5,IF(((Tabla1[[#This Row],[fin]]-Tabla1[[#This Row],[inicio]])/1000)=0,"",((Tabla1[[#This Row],[fin]]-Tabla1[[#This Row],[inicio]])/1000)),"")</f>
        <v/>
      </c>
      <c r="I839" s="516"/>
      <c r="J839" s="516"/>
      <c r="K839" s="516" t="str">
        <f>IF(_xlfn.XLOOKUP($J839,Catalogo!$B$7:$B$21,Catalogo!$I$7:$I$21,"",0)=0,"",_xlfn.XLOOKUP($J839,Catalogo!$B$7:$B$21,Catalogo!$I$7:$I$21,"",0))</f>
        <v/>
      </c>
      <c r="L839" s="517"/>
      <c r="M839" s="518">
        <f>IF(Tabla1[[#This Row],[Avance_km]]&lt;&gt;"",Tabla1[[#This Row],[Avance_km]],Tabla1[[#This Row],[Avance_Med]])*_xlfn.XLOOKUP(Tabla1[[#This Row],[Codigo_actividad]],Catalogo!$B$6:$B$51,Catalogo!$F$6:$F$51,0)</f>
        <v>0</v>
      </c>
      <c r="N839" s="519" t="str">
        <f>_xlfn.IFNA(_xlfn.XLOOKUP(Tabla1[[#This Row],[fin]],$P$379:$P$398,$T$379:$T$398),"")</f>
        <v/>
      </c>
    </row>
    <row r="840" spans="1:14" x14ac:dyDescent="0.25">
      <c r="A840" s="354"/>
      <c r="B840" s="114"/>
      <c r="C840" s="155"/>
      <c r="D840" s="39"/>
      <c r="F840" s="28"/>
      <c r="G840" s="28"/>
      <c r="H840" s="224" t="str">
        <f>IF(Tabla1[[#This Row],[Codigo_actividad]]&lt;&gt;2.5,IF(((Tabla1[[#This Row],[fin]]-Tabla1[[#This Row],[inicio]])/1000)=0,"",((Tabla1[[#This Row],[fin]]-Tabla1[[#This Row],[inicio]])/1000)),"")</f>
        <v/>
      </c>
      <c r="I840" s="66"/>
      <c r="J840" s="76"/>
      <c r="K840" s="66" t="str">
        <f>IF(_xlfn.XLOOKUP($J840,Catalogo!$B$7:$B$21,Catalogo!$I$7:$I$21,"",0)=0,"",_xlfn.XLOOKUP($J840,Catalogo!$B$7:$B$21,Catalogo!$I$7:$I$21,"",0))</f>
        <v/>
      </c>
      <c r="L840" s="36"/>
      <c r="M840" s="261">
        <f>IF(Tabla1[[#This Row],[Avance_km]]&lt;&gt;"",Tabla1[[#This Row],[Avance_km]],Tabla1[[#This Row],[Avance_Med]])*_xlfn.XLOOKUP(Tabla1[[#This Row],[Codigo_actividad]],Catalogo!$B$6:$B$51,Catalogo!$F$6:$F$51,0)</f>
        <v>0</v>
      </c>
      <c r="N840" t="str">
        <f>_xlfn.IFNA(_xlfn.XLOOKUP(Tabla1[[#This Row],[fin]],$P$379:$P$398,$T$379:$T$398),"")</f>
        <v/>
      </c>
    </row>
    <row r="841" spans="1:14" x14ac:dyDescent="0.25">
      <c r="A841" s="354">
        <v>46297</v>
      </c>
      <c r="B841" s="114" t="s">
        <v>30</v>
      </c>
      <c r="C841" s="514" t="s">
        <v>411</v>
      </c>
      <c r="D841" s="39" t="s">
        <v>351</v>
      </c>
      <c r="E841" s="40" t="s">
        <v>531</v>
      </c>
      <c r="F841" s="202">
        <v>3564</v>
      </c>
      <c r="G841" s="28"/>
      <c r="H841" s="224"/>
      <c r="I841" s="66">
        <v>1</v>
      </c>
      <c r="J841" s="76" t="s">
        <v>122</v>
      </c>
      <c r="K841" s="66" t="str">
        <f>IF(_xlfn.XLOOKUP($J841,Catalogo!$B$7:$B$210,Catalogo!$I$7:$I$210,"",0)=0,"",_xlfn.XLOOKUP($J841,Catalogo!$B$7:$B$210,Catalogo!$I$7:$I$210,"",0))</f>
        <v>VT</v>
      </c>
      <c r="L841" s="36"/>
      <c r="M841" s="261">
        <f>IF(Tabla1[[#This Row],[Avance_km]]&lt;&gt;"",Tabla1[[#This Row],[Avance_km]],Tabla1[[#This Row],[Avance_Med]])*_xlfn.XLOOKUP(Tabla1[[#This Row],[Codigo_actividad]],Catalogo!$B$6:$B$51,Catalogo!$F$6:$F$51,0)</f>
        <v>1765.59</v>
      </c>
      <c r="N841" t="str">
        <f>_xlfn.IFNA(_xlfn.XLOOKUP(Tabla1[[#This Row],[fin]],$P$379:$P$398,$T$379:$T$398),"")</f>
        <v/>
      </c>
    </row>
    <row r="842" spans="1:14" x14ac:dyDescent="0.25">
      <c r="A842" s="354">
        <v>46297</v>
      </c>
      <c r="B842" s="114" t="s">
        <v>30</v>
      </c>
      <c r="C842" s="514" t="s">
        <v>411</v>
      </c>
      <c r="D842" s="39" t="s">
        <v>351</v>
      </c>
      <c r="E842" s="40" t="s">
        <v>125</v>
      </c>
      <c r="F842" s="493">
        <v>3564</v>
      </c>
      <c r="G842" s="28" t="s">
        <v>618</v>
      </c>
      <c r="H842" s="224"/>
      <c r="I842" s="501">
        <v>1</v>
      </c>
      <c r="J842" s="76" t="s">
        <v>124</v>
      </c>
      <c r="K842" s="66" t="str">
        <f>IF(_xlfn.XLOOKUP($J842,Catalogo!$B$7:$B$210,Catalogo!$I$7:$I$210,"",0)=0,"",_xlfn.XLOOKUP($J842,Catalogo!$B$7:$B$210,Catalogo!$I$7:$I$210,"",0))</f>
        <v>SANIDAD Y ESPESORES</v>
      </c>
      <c r="L842" s="36"/>
      <c r="M842" s="261">
        <f>IF(Tabla1[[#This Row],[Avance_km]]&lt;&gt;"",Tabla1[[#This Row],[Avance_km]],Tabla1[[#This Row],[Avance_Med]])*_xlfn.XLOOKUP(Tabla1[[#This Row],[Codigo_actividad]],Catalogo!$B$6:$B$51,Catalogo!$F$6:$F$51,0)</f>
        <v>1934.59</v>
      </c>
      <c r="N842" t="str">
        <f>_xlfn.IFNA(_xlfn.XLOOKUP(Tabla1[[#This Row],[fin]],$P$379:$P$398,$T$379:$T$398),"")</f>
        <v/>
      </c>
    </row>
    <row r="843" spans="1:14" x14ac:dyDescent="0.25">
      <c r="A843" s="354">
        <v>46297</v>
      </c>
      <c r="B843" s="114" t="s">
        <v>30</v>
      </c>
      <c r="C843" s="514" t="s">
        <v>411</v>
      </c>
      <c r="D843" s="39" t="s">
        <v>351</v>
      </c>
      <c r="E843" s="40" t="s">
        <v>128</v>
      </c>
      <c r="F843" s="202">
        <v>3564</v>
      </c>
      <c r="G843" s="28"/>
      <c r="H843" s="224"/>
      <c r="I843" s="66">
        <v>1</v>
      </c>
      <c r="J843" s="76" t="s">
        <v>127</v>
      </c>
      <c r="K843" s="66" t="str">
        <f>IF(_xlfn.XLOOKUP($J843,Catalogo!$B$7:$B$210,Catalogo!$I$7:$I$210,"",0)=0,"",_xlfn.XLOOKUP($J843,Catalogo!$B$7:$B$210,Catalogo!$I$7:$I$210,"",0))</f>
        <v>CARACTERIZACION</v>
      </c>
      <c r="L843" s="36"/>
      <c r="M843" s="261">
        <f>IF(Tabla1[[#This Row],[Avance_km]]&lt;&gt;"",Tabla1[[#This Row],[Avance_km]],Tabla1[[#This Row],[Avance_Med]])*_xlfn.XLOOKUP(Tabla1[[#This Row],[Codigo_actividad]],Catalogo!$B$6:$B$51,Catalogo!$F$6:$F$51,0)</f>
        <v>1960.59</v>
      </c>
      <c r="N843" t="str">
        <f>_xlfn.IFNA(_xlfn.XLOOKUP(Tabla1[[#This Row],[fin]],$P$379:$P$398,$T$379:$T$398),"")</f>
        <v/>
      </c>
    </row>
    <row r="844" spans="1:14" x14ac:dyDescent="0.25">
      <c r="A844" s="354">
        <v>46297</v>
      </c>
      <c r="B844" s="114" t="s">
        <v>30</v>
      </c>
      <c r="C844" s="514" t="s">
        <v>411</v>
      </c>
      <c r="D844" s="39" t="s">
        <v>351</v>
      </c>
      <c r="E844" s="40" t="s">
        <v>132</v>
      </c>
      <c r="F844" s="493">
        <v>3564</v>
      </c>
      <c r="G844" s="28" t="s">
        <v>618</v>
      </c>
      <c r="H844" s="224"/>
      <c r="I844" s="501">
        <v>1</v>
      </c>
      <c r="J844" s="76" t="s">
        <v>131</v>
      </c>
      <c r="K844" s="66" t="str">
        <f>IF(_xlfn.XLOOKUP($J844,Catalogo!$B$7:$B$210,Catalogo!$I$7:$I$210,"",0)=0,"",_xlfn.XLOOKUP($J844,Catalogo!$B$7:$B$210,Catalogo!$I$7:$I$210,"",0))</f>
        <v>UT RECTO</v>
      </c>
      <c r="L844" s="36"/>
      <c r="M844" s="261">
        <f>IF(Tabla1[[#This Row],[Avance_km]]&lt;&gt;"",Tabla1[[#This Row],[Avance_km]],Tabla1[[#This Row],[Avance_Med]])*_xlfn.XLOOKUP(Tabla1[[#This Row],[Codigo_actividad]],Catalogo!$B$6:$B$51,Catalogo!$F$6:$F$51,0)</f>
        <v>2220.59</v>
      </c>
      <c r="N844" t="str">
        <f>_xlfn.IFNA(_xlfn.XLOOKUP(Tabla1[[#This Row],[fin]],$P$379:$P$398,$T$379:$T$398),"")</f>
        <v/>
      </c>
    </row>
    <row r="845" spans="1:14" x14ac:dyDescent="0.25">
      <c r="A845" s="354"/>
      <c r="B845" s="114"/>
      <c r="C845" s="155"/>
      <c r="D845" s="39"/>
      <c r="F845" s="28"/>
      <c r="G845" s="28"/>
      <c r="H845" s="224" t="str">
        <f>IF(Tabla1[[#This Row],[Codigo_actividad]]&lt;&gt;2.5,IF(((Tabla1[[#This Row],[fin]]-Tabla1[[#This Row],[inicio]])/1000)=0,"",((Tabla1[[#This Row],[fin]]-Tabla1[[#This Row],[inicio]])/1000)),"")</f>
        <v/>
      </c>
      <c r="I845" s="66"/>
      <c r="J845" s="76"/>
      <c r="K845" s="66" t="str">
        <f>IF(_xlfn.XLOOKUP($J845,Catalogo!$B$7:$B$21,Catalogo!$I$7:$I$21,"",0)=0,"",_xlfn.XLOOKUP($J845,Catalogo!$B$7:$B$21,Catalogo!$I$7:$I$21,"",0))</f>
        <v/>
      </c>
      <c r="L845" s="36"/>
      <c r="M845" s="261">
        <f>IF(Tabla1[[#This Row],[Avance_km]]&lt;&gt;"",Tabla1[[#This Row],[Avance_km]],Tabla1[[#This Row],[Avance_Med]])*_xlfn.XLOOKUP(Tabla1[[#This Row],[Codigo_actividad]],Catalogo!$B$6:$B$51,Catalogo!$F$6:$F$51,0)</f>
        <v>0</v>
      </c>
      <c r="N845" t="str">
        <f>_xlfn.IFNA(_xlfn.XLOOKUP(Tabla1[[#This Row],[fin]],$P$379:$P$398,$T$379:$T$398),"")</f>
        <v/>
      </c>
    </row>
    <row r="846" spans="1:14" x14ac:dyDescent="0.25">
      <c r="A846" s="354">
        <v>46317</v>
      </c>
      <c r="B846" s="114" t="s">
        <v>30</v>
      </c>
      <c r="C846" s="575" t="s">
        <v>536</v>
      </c>
      <c r="D846" s="39" t="s">
        <v>654</v>
      </c>
      <c r="E846" s="40" t="s">
        <v>119</v>
      </c>
      <c r="F846" s="493" t="s">
        <v>655</v>
      </c>
      <c r="G846" s="28" t="s">
        <v>618</v>
      </c>
      <c r="H846" s="224"/>
      <c r="I846" s="501">
        <v>1</v>
      </c>
      <c r="J846" s="76">
        <v>3.2</v>
      </c>
      <c r="K846" s="66" t="str">
        <f>IF(_xlfn.XLOOKUP($J846,Catalogo!$B$7:$B$210,Catalogo!$I$7:$I$210,"",0)=0,"",_xlfn.XLOOKUP($J846,Catalogo!$B$7:$B$210,Catalogo!$I$7:$I$210,"",0))</f>
        <v>DATA EXC</v>
      </c>
      <c r="L846" s="36"/>
      <c r="M846" s="261">
        <f>IF(Tabla1[[#This Row],[Avance_km]]&lt;&gt;"",Tabla1[[#This Row],[Avance_km]],Tabla1[[#This Row],[Avance_Med]])*_xlfn.XLOOKUP(Tabla1[[#This Row],[Codigo_actividad]],Catalogo!$B$6:$B$51,Catalogo!$F$6:$F$51,0)</f>
        <v>7585.99</v>
      </c>
      <c r="N846" t="str">
        <f>_xlfn.IFNA(_xlfn.XLOOKUP(Tabla1[[#This Row],[fin]],$P$379:$P$398,$T$379:$T$398),"")</f>
        <v/>
      </c>
    </row>
    <row r="847" spans="1:14" x14ac:dyDescent="0.25">
      <c r="A847" s="354">
        <v>46317</v>
      </c>
      <c r="B847" s="114" t="s">
        <v>30</v>
      </c>
      <c r="C847" s="575" t="s">
        <v>536</v>
      </c>
      <c r="D847" s="39" t="s">
        <v>654</v>
      </c>
      <c r="E847" s="40" t="s">
        <v>531</v>
      </c>
      <c r="F847" s="493" t="s">
        <v>655</v>
      </c>
      <c r="G847" s="28" t="s">
        <v>618</v>
      </c>
      <c r="H847" s="224"/>
      <c r="I847" s="501">
        <v>1</v>
      </c>
      <c r="J847" s="76" t="s">
        <v>122</v>
      </c>
      <c r="K847" s="66" t="str">
        <f>IF(_xlfn.XLOOKUP($J847,Catalogo!$B$7:$B$210,Catalogo!$I$7:$I$210,"",0)=0,"",_xlfn.XLOOKUP($J847,Catalogo!$B$7:$B$210,Catalogo!$I$7:$I$210,"",0))</f>
        <v>VT</v>
      </c>
      <c r="L847" s="36"/>
      <c r="M847" s="261">
        <f>IF(Tabla1[[#This Row],[Avance_km]]&lt;&gt;"",Tabla1[[#This Row],[Avance_km]],Tabla1[[#This Row],[Avance_Med]])*_xlfn.XLOOKUP(Tabla1[[#This Row],[Codigo_actividad]],Catalogo!$B$6:$B$51,Catalogo!$F$6:$F$51,0)</f>
        <v>1765.59</v>
      </c>
      <c r="N847" t="str">
        <f>_xlfn.IFNA(_xlfn.XLOOKUP(Tabla1[[#This Row],[fin]],$P$379:$P$398,$T$379:$T$398),"")</f>
        <v/>
      </c>
    </row>
    <row r="848" spans="1:14" x14ac:dyDescent="0.25">
      <c r="A848" s="354">
        <v>46317</v>
      </c>
      <c r="B848" s="114" t="s">
        <v>30</v>
      </c>
      <c r="C848" s="575" t="s">
        <v>536</v>
      </c>
      <c r="D848" s="39" t="s">
        <v>654</v>
      </c>
      <c r="E848" s="40" t="s">
        <v>125</v>
      </c>
      <c r="F848" s="493" t="s">
        <v>655</v>
      </c>
      <c r="G848" s="28" t="s">
        <v>618</v>
      </c>
      <c r="H848" s="224"/>
      <c r="I848" s="501">
        <v>1</v>
      </c>
      <c r="J848" s="76" t="s">
        <v>124</v>
      </c>
      <c r="K848" s="66" t="str">
        <f>IF(_xlfn.XLOOKUP($J848,Catalogo!$B$7:$B$210,Catalogo!$I$7:$I$210,"",0)=0,"",_xlfn.XLOOKUP($J848,Catalogo!$B$7:$B$210,Catalogo!$I$7:$I$210,"",0))</f>
        <v>SANIDAD Y ESPESORES</v>
      </c>
      <c r="L848" s="36"/>
      <c r="M848" s="261">
        <f>IF(Tabla1[[#This Row],[Avance_km]]&lt;&gt;"",Tabla1[[#This Row],[Avance_km]],Tabla1[[#This Row],[Avance_Med]])*_xlfn.XLOOKUP(Tabla1[[#This Row],[Codigo_actividad]],Catalogo!$B$6:$B$51,Catalogo!$F$6:$F$51,0)</f>
        <v>1934.59</v>
      </c>
      <c r="N848" t="str">
        <f>_xlfn.IFNA(_xlfn.XLOOKUP(Tabla1[[#This Row],[fin]],$P$379:$P$398,$T$379:$T$398),"")</f>
        <v/>
      </c>
    </row>
    <row r="849" spans="1:18" x14ac:dyDescent="0.25">
      <c r="A849" s="354">
        <v>46317</v>
      </c>
      <c r="B849" s="114" t="s">
        <v>30</v>
      </c>
      <c r="C849" s="575" t="s">
        <v>536</v>
      </c>
      <c r="D849" s="39" t="s">
        <v>654</v>
      </c>
      <c r="E849" s="40" t="s">
        <v>128</v>
      </c>
      <c r="F849" s="493" t="s">
        <v>655</v>
      </c>
      <c r="G849" s="28" t="s">
        <v>618</v>
      </c>
      <c r="H849" s="224"/>
      <c r="I849" s="501">
        <v>1</v>
      </c>
      <c r="J849" s="76" t="s">
        <v>127</v>
      </c>
      <c r="K849" s="66" t="str">
        <f>IF(_xlfn.XLOOKUP($J849,Catalogo!$B$7:$B$210,Catalogo!$I$7:$I$210,"",0)=0,"",_xlfn.XLOOKUP($J849,Catalogo!$B$7:$B$210,Catalogo!$I$7:$I$210,"",0))</f>
        <v>CARACTERIZACION</v>
      </c>
      <c r="L849" s="36"/>
      <c r="M849" s="261">
        <f>IF(Tabla1[[#This Row],[Avance_km]]&lt;&gt;"",Tabla1[[#This Row],[Avance_km]],Tabla1[[#This Row],[Avance_Med]])*_xlfn.XLOOKUP(Tabla1[[#This Row],[Codigo_actividad]],Catalogo!$B$6:$B$51,Catalogo!$F$6:$F$51,0)</f>
        <v>1960.59</v>
      </c>
      <c r="N849" t="str">
        <f>_xlfn.IFNA(_xlfn.XLOOKUP(Tabla1[[#This Row],[fin]],$P$379:$P$398,$T$379:$T$398),"")</f>
        <v/>
      </c>
    </row>
    <row r="850" spans="1:18" x14ac:dyDescent="0.25">
      <c r="A850" s="354">
        <v>46317</v>
      </c>
      <c r="B850" s="114" t="s">
        <v>30</v>
      </c>
      <c r="C850" s="575" t="s">
        <v>536</v>
      </c>
      <c r="D850" s="39" t="s">
        <v>654</v>
      </c>
      <c r="E850" s="40" t="s">
        <v>132</v>
      </c>
      <c r="F850" s="493" t="s">
        <v>655</v>
      </c>
      <c r="G850" s="28" t="s">
        <v>618</v>
      </c>
      <c r="H850" s="224"/>
      <c r="I850" s="501">
        <v>1</v>
      </c>
      <c r="J850" s="76" t="s">
        <v>131</v>
      </c>
      <c r="K850" s="66" t="str">
        <f>IF(_xlfn.XLOOKUP($J850,Catalogo!$B$7:$B$210,Catalogo!$I$7:$I$210,"",0)=0,"",_xlfn.XLOOKUP($J850,Catalogo!$B$7:$B$210,Catalogo!$I$7:$I$210,"",0))</f>
        <v>UT RECTO</v>
      </c>
      <c r="L850" s="36"/>
      <c r="M850" s="261">
        <f>IF(Tabla1[[#This Row],[Avance_km]]&lt;&gt;"",Tabla1[[#This Row],[Avance_km]],Tabla1[[#This Row],[Avance_Med]])*_xlfn.XLOOKUP(Tabla1[[#This Row],[Codigo_actividad]],Catalogo!$B$6:$B$51,Catalogo!$F$6:$F$51,0)</f>
        <v>2220.59</v>
      </c>
      <c r="N850" t="str">
        <f>_xlfn.IFNA(_xlfn.XLOOKUP(Tabla1[[#This Row],[fin]],$P$379:$P$398,$T$379:$T$398),"")</f>
        <v/>
      </c>
    </row>
    <row r="851" spans="1:18" x14ac:dyDescent="0.25">
      <c r="A851" s="354">
        <v>46317</v>
      </c>
      <c r="B851" s="114" t="s">
        <v>30</v>
      </c>
      <c r="C851" s="575" t="s">
        <v>536</v>
      </c>
      <c r="D851" s="39" t="s">
        <v>654</v>
      </c>
      <c r="E851" s="40" t="s">
        <v>134</v>
      </c>
      <c r="F851" s="493" t="s">
        <v>655</v>
      </c>
      <c r="G851" s="28" t="s">
        <v>618</v>
      </c>
      <c r="H851" s="224"/>
      <c r="I851" s="501">
        <v>1</v>
      </c>
      <c r="J851" s="76" t="s">
        <v>133</v>
      </c>
      <c r="K851" s="66" t="str">
        <f>IF(_xlfn.XLOOKUP($J851,Catalogo!$B$7:$B$210,Catalogo!$I$7:$I$210,"",0)=0,"",_xlfn.XLOOKUP($J851,Catalogo!$B$7:$B$210,Catalogo!$I$7:$I$210,"",0))</f>
        <v>MT</v>
      </c>
      <c r="L851" s="36"/>
      <c r="M851" s="261">
        <f>IF(Tabla1[[#This Row],[Avance_km]]&lt;&gt;"",Tabla1[[#This Row],[Avance_km]],Tabla1[[#This Row],[Avance_Med]])*_xlfn.XLOOKUP(Tabla1[[#This Row],[Codigo_actividad]],Catalogo!$B$6:$B$51,Catalogo!$F$6:$F$51,0)</f>
        <v>2090.59</v>
      </c>
      <c r="N851" t="str">
        <f>_xlfn.IFNA(_xlfn.XLOOKUP(Tabla1[[#This Row],[fin]],$P$379:$P$398,$T$379:$T$398),"")</f>
        <v/>
      </c>
    </row>
    <row r="852" spans="1:18" x14ac:dyDescent="0.25">
      <c r="A852" s="354">
        <v>46317</v>
      </c>
      <c r="B852" s="114" t="s">
        <v>30</v>
      </c>
      <c r="C852" s="575" t="s">
        <v>536</v>
      </c>
      <c r="D852" s="39" t="s">
        <v>654</v>
      </c>
      <c r="E852" s="40" t="s">
        <v>136</v>
      </c>
      <c r="F852" s="493" t="s">
        <v>655</v>
      </c>
      <c r="G852" s="28" t="s">
        <v>618</v>
      </c>
      <c r="H852" s="224"/>
      <c r="I852" s="501">
        <v>1</v>
      </c>
      <c r="J852" s="76" t="s">
        <v>135</v>
      </c>
      <c r="K852" s="66" t="str">
        <f>IF(_xlfn.XLOOKUP($J852,Catalogo!$B$7:$B$210,Catalogo!$I$7:$I$210,"",0)=0,"",_xlfn.XLOOKUP($J852,Catalogo!$B$7:$B$210,Catalogo!$I$7:$I$210,"",0))</f>
        <v>LP</v>
      </c>
      <c r="L852" s="36"/>
      <c r="M852" s="261">
        <f>IF(Tabla1[[#This Row],[Avance_km]]&lt;&gt;"",Tabla1[[#This Row],[Avance_km]],Tabla1[[#This Row],[Avance_Med]])*_xlfn.XLOOKUP(Tabla1[[#This Row],[Codigo_actividad]],Catalogo!$B$6:$B$51,Catalogo!$F$6:$F$51,0)</f>
        <v>2090.59</v>
      </c>
      <c r="N852" t="str">
        <f>_xlfn.IFNA(_xlfn.XLOOKUP(Tabla1[[#This Row],[fin]],$P$379:$P$398,$T$379:$T$398),"")</f>
        <v/>
      </c>
    </row>
    <row r="853" spans="1:18" x14ac:dyDescent="0.25">
      <c r="A853" s="354"/>
      <c r="B853" s="114"/>
      <c r="C853" s="155"/>
      <c r="D853" s="39"/>
      <c r="F853" s="28"/>
      <c r="G853" s="28"/>
      <c r="H853" s="224" t="str">
        <f>IF(Tabla1[[#This Row],[Codigo_actividad]]&lt;&gt;2.5,IF(((Tabla1[[#This Row],[fin]]-Tabla1[[#This Row],[inicio]])/1000)=0,"",((Tabla1[[#This Row],[fin]]-Tabla1[[#This Row],[inicio]])/1000)),"")</f>
        <v/>
      </c>
      <c r="I853" s="66"/>
      <c r="J853" s="76"/>
      <c r="K853" s="66" t="str">
        <f>IF(_xlfn.XLOOKUP($J853,Catalogo!$B$7:$B$21,Catalogo!$I$7:$I$21,"",0)=0,"",_xlfn.XLOOKUP($J853,Catalogo!$B$7:$B$21,Catalogo!$I$7:$I$21,"",0))</f>
        <v/>
      </c>
      <c r="L853" s="36"/>
      <c r="M853" s="261">
        <f>IF(Tabla1[[#This Row],[Avance_km]]&lt;&gt;"",Tabla1[[#This Row],[Avance_km]],Tabla1[[#This Row],[Avance_Med]])*_xlfn.XLOOKUP(Tabla1[[#This Row],[Codigo_actividad]],Catalogo!$B$6:$B$51,Catalogo!$F$6:$F$51,0)</f>
        <v>0</v>
      </c>
      <c r="N853" t="str">
        <f>_xlfn.IFNA(_xlfn.XLOOKUP(Tabla1[[#This Row],[fin]],$P$379:$P$398,$T$379:$T$398),"")</f>
        <v/>
      </c>
    </row>
    <row r="854" spans="1:18" x14ac:dyDescent="0.25">
      <c r="A854" s="359"/>
      <c r="B854" s="283"/>
      <c r="C854" s="284"/>
      <c r="D854" s="285"/>
      <c r="E854" s="380"/>
      <c r="F854" s="286"/>
      <c r="G854" s="286"/>
      <c r="H854" s="515" t="str">
        <f>IF(Tabla1[[#This Row],[Codigo_actividad]]&lt;&gt;2.5,IF(((Tabla1[[#This Row],[fin]]-Tabla1[[#This Row],[inicio]])/1000)=0,"",((Tabla1[[#This Row],[fin]]-Tabla1[[#This Row],[inicio]])/1000)),"")</f>
        <v/>
      </c>
      <c r="I854" s="516"/>
      <c r="J854" s="516"/>
      <c r="K854" s="516" t="str">
        <f>IF(_xlfn.XLOOKUP($J854,Catalogo!$B$7:$B$21,Catalogo!$I$7:$I$21,"",0)=0,"",_xlfn.XLOOKUP($J854,Catalogo!$B$7:$B$21,Catalogo!$I$7:$I$21,"",0))</f>
        <v/>
      </c>
      <c r="L854" s="517"/>
      <c r="M854" s="518">
        <f>IF(Tabla1[[#This Row],[Avance_km]]&lt;&gt;"",Tabla1[[#This Row],[Avance_km]],Tabla1[[#This Row],[Avance_Med]])*_xlfn.XLOOKUP(Tabla1[[#This Row],[Codigo_actividad]],Catalogo!$B$6:$B$51,Catalogo!$F$6:$F$51,0)</f>
        <v>0</v>
      </c>
      <c r="N854" s="519" t="str">
        <f>_xlfn.IFNA(_xlfn.XLOOKUP(Tabla1[[#This Row],[fin]],$P$379:$P$398,$T$379:$T$398),"")</f>
        <v/>
      </c>
    </row>
    <row r="855" spans="1:18" x14ac:dyDescent="0.25">
      <c r="A855" s="354"/>
      <c r="C855" s="155"/>
      <c r="D855" s="39"/>
      <c r="F855" s="28"/>
      <c r="G855" s="28"/>
      <c r="H855" s="224" t="str">
        <f>IF(Tabla1[[#This Row],[Codigo_actividad]]&lt;&gt;2.5,IF(((Tabla1[[#This Row],[fin]]-Tabla1[[#This Row],[inicio]])/1000)=0,"",((Tabla1[[#This Row],[fin]]-Tabla1[[#This Row],[inicio]])/1000)),"")</f>
        <v/>
      </c>
      <c r="J855" s="76"/>
      <c r="K855" s="66" t="str">
        <f>IF(_xlfn.XLOOKUP($J855,Catalogo!$B$7:$B$21,Catalogo!$I$7:$I$21,"",0)=0,"",_xlfn.XLOOKUP($J855,Catalogo!$B$7:$B$21,Catalogo!$I$7:$I$21,"",0))</f>
        <v/>
      </c>
      <c r="L855" s="36"/>
      <c r="M855" s="261">
        <f>IF(Tabla1[[#This Row],[Avance_km]]&lt;&gt;"",Tabla1[[#This Row],[Avance_km]],Tabla1[[#This Row],[Avance_Med]])*_xlfn.XLOOKUP(Tabla1[[#This Row],[Codigo_actividad]],Catalogo!$B$6:$B$51,Catalogo!$F$6:$F$51,0)</f>
        <v>0</v>
      </c>
      <c r="N855" t="str">
        <f>_xlfn.IFNA(_xlfn.XLOOKUP(Tabla1[[#This Row],[fin]],$P$379:$P$398,$T$379:$T$398),"")</f>
        <v/>
      </c>
      <c r="P855" s="486">
        <f>+SUM(M856:M869)</f>
        <v>682944.57</v>
      </c>
      <c r="Q855">
        <v>3</v>
      </c>
    </row>
    <row r="856" spans="1:18" x14ac:dyDescent="0.25">
      <c r="A856" s="354">
        <v>46259</v>
      </c>
      <c r="B856" s="114" t="s">
        <v>12</v>
      </c>
      <c r="C856" s="155" t="s">
        <v>411</v>
      </c>
      <c r="D856" s="39" t="s">
        <v>351</v>
      </c>
      <c r="E856" s="40" t="s">
        <v>564</v>
      </c>
      <c r="F856" s="493">
        <v>0</v>
      </c>
      <c r="G856" s="493">
        <v>47584</v>
      </c>
      <c r="H856" s="502">
        <f>(Catalogo!$J$55)*Tabla1[[#This Row],[Observaciones]]</f>
        <v>8.1010741602829377</v>
      </c>
      <c r="J856" s="76">
        <v>2.4</v>
      </c>
      <c r="K856" s="66" t="str">
        <f>IF(_xlfn.XLOOKUP($J856,Catalogo!$B$7:$B$210,Catalogo!$I$7:$I$210,"",0)=0,"",_xlfn.XLOOKUP($J856,Catalogo!$B$7:$B$210,Catalogo!$I$7:$I$210,"",0))</f>
        <v>PCM</v>
      </c>
      <c r="L856" s="562" t="s">
        <v>555</v>
      </c>
      <c r="M856" s="485">
        <f>IF(Tabla1[[#This Row],[Avance_km]]&lt;&gt;"",Tabla1[[#This Row],[Avance_km]],Tabla1[[#This Row],[Avance_Med]])*_xlfn.XLOOKUP(Tabla1[[#This Row],[Codigo_actividad]],Catalogo!$B$6:$B$57,Catalogo!$F$6:$F$57,0)</f>
        <v>110954.58</v>
      </c>
      <c r="N856" s="477">
        <v>58</v>
      </c>
      <c r="P856" s="486" t="e">
        <f>+#REF!-P855</f>
        <v>#REF!</v>
      </c>
    </row>
    <row r="857" spans="1:18" x14ac:dyDescent="0.25">
      <c r="A857" s="354">
        <v>46259</v>
      </c>
      <c r="B857" s="114" t="s">
        <v>29</v>
      </c>
      <c r="C857" s="155" t="s">
        <v>329</v>
      </c>
      <c r="D857" s="39" t="s">
        <v>212</v>
      </c>
      <c r="E857" s="40" t="s">
        <v>564</v>
      </c>
      <c r="F857" s="493">
        <v>0</v>
      </c>
      <c r="G857" s="493">
        <v>16250</v>
      </c>
      <c r="H857" s="502">
        <f>(Catalogo!$J$55)*Tabla1[[#This Row],[Observaciones]]</f>
        <v>2.3744527711174128</v>
      </c>
      <c r="J857" s="76">
        <v>2.4</v>
      </c>
      <c r="K857" s="66" t="str">
        <f>IF(_xlfn.XLOOKUP($J857,Catalogo!$B$7:$B$210,Catalogo!$I$7:$I$210,"",0)=0,"",_xlfn.XLOOKUP($J857,Catalogo!$B$7:$B$210,Catalogo!$I$7:$I$210,"",0))</f>
        <v>PCM</v>
      </c>
      <c r="L857" s="562" t="s">
        <v>555</v>
      </c>
      <c r="M857" s="261">
        <f>IF(Tabla1[[#This Row],[Avance_km]]&lt;&gt;"",Tabla1[[#This Row],[Avance_km]],Tabla1[[#This Row],[Avance_Med]])*_xlfn.XLOOKUP(Tabla1[[#This Row],[Codigo_actividad]],Catalogo!$B$6:$B$57,Catalogo!$F$6:$F$57,0)</f>
        <v>32521.170000000002</v>
      </c>
      <c r="N857" s="477">
        <v>17</v>
      </c>
    </row>
    <row r="858" spans="1:18" x14ac:dyDescent="0.25">
      <c r="A858" s="354">
        <v>46260</v>
      </c>
      <c r="B858" s="114" t="s">
        <v>12</v>
      </c>
      <c r="C858" s="155" t="s">
        <v>561</v>
      </c>
      <c r="D858" s="39" t="s">
        <v>529</v>
      </c>
      <c r="E858" s="40" t="s">
        <v>564</v>
      </c>
      <c r="F858" s="493">
        <v>0</v>
      </c>
      <c r="G858" s="493">
        <v>16000</v>
      </c>
      <c r="H858" s="502">
        <f>(Catalogo!$J$55)*Tabla1[[#This Row],[Observaciones]]</f>
        <v>1.676084309024056</v>
      </c>
      <c r="J858" s="76">
        <v>2.4</v>
      </c>
      <c r="K858" s="66" t="str">
        <f>IF(_xlfn.XLOOKUP($J858,Catalogo!$B$7:$B$210,Catalogo!$I$7:$I$210,"",0)=0,"",_xlfn.XLOOKUP($J858,Catalogo!$B$7:$B$210,Catalogo!$I$7:$I$210,"",0))</f>
        <v>PCM</v>
      </c>
      <c r="L858" s="562" t="s">
        <v>555</v>
      </c>
      <c r="M858" s="261">
        <f>IF(Tabla1[[#This Row],[Avance_km]]&lt;&gt;"",Tabla1[[#This Row],[Avance_km]],Tabla1[[#This Row],[Avance_Med]])*_xlfn.XLOOKUP(Tabla1[[#This Row],[Codigo_actividad]],Catalogo!$B$6:$B$57,Catalogo!$F$6:$F$57,0)</f>
        <v>22956.12</v>
      </c>
      <c r="N858" s="477">
        <v>12</v>
      </c>
    </row>
    <row r="859" spans="1:18" x14ac:dyDescent="0.25">
      <c r="A859" s="354">
        <v>46260</v>
      </c>
      <c r="B859" s="114" t="s">
        <v>29</v>
      </c>
      <c r="C859" s="155" t="s">
        <v>329</v>
      </c>
      <c r="D859" s="39" t="s">
        <v>212</v>
      </c>
      <c r="E859" s="40" t="s">
        <v>564</v>
      </c>
      <c r="F859" s="493">
        <v>16250</v>
      </c>
      <c r="G859" s="493">
        <v>27250</v>
      </c>
      <c r="H859" s="502">
        <f>(Catalogo!$J$55)*Tabla1[[#This Row],[Observaciones]]</f>
        <v>3.4918423104667835</v>
      </c>
      <c r="J859" s="76">
        <v>2.4</v>
      </c>
      <c r="K859" s="66" t="str">
        <f>IF(_xlfn.XLOOKUP($J859,Catalogo!$B$7:$B$210,Catalogo!$I$7:$I$210,"",0)=0,"",_xlfn.XLOOKUP($J859,Catalogo!$B$7:$B$210,Catalogo!$I$7:$I$210,"",0))</f>
        <v>PCM</v>
      </c>
      <c r="L859" s="562" t="s">
        <v>555</v>
      </c>
      <c r="M859" s="261">
        <f>IF(Tabla1[[#This Row],[Avance_km]]&lt;&gt;"",Tabla1[[#This Row],[Avance_km]],Tabla1[[#This Row],[Avance_Med]])*_xlfn.XLOOKUP(Tabla1[[#This Row],[Codigo_actividad]],Catalogo!$B$6:$B$57,Catalogo!$F$6:$F$57,0)</f>
        <v>47825.25</v>
      </c>
      <c r="N859" s="477">
        <v>25</v>
      </c>
    </row>
    <row r="860" spans="1:18" x14ac:dyDescent="0.25">
      <c r="A860" s="354">
        <v>46260</v>
      </c>
      <c r="B860" s="114" t="s">
        <v>29</v>
      </c>
      <c r="C860" s="155" t="s">
        <v>329</v>
      </c>
      <c r="D860" s="39" t="s">
        <v>225</v>
      </c>
      <c r="E860" s="40" t="s">
        <v>564</v>
      </c>
      <c r="F860" s="493">
        <v>0</v>
      </c>
      <c r="G860" s="493">
        <v>5970</v>
      </c>
      <c r="H860" s="502">
        <f>(Catalogo!$J$55)*Tabla1[[#This Row],[Observaciones]]</f>
        <v>1.3967369241867134</v>
      </c>
      <c r="J860" s="76">
        <v>2.4</v>
      </c>
      <c r="K860" s="66" t="str">
        <f>IF(_xlfn.XLOOKUP($J860,Catalogo!$B$7:$B$210,Catalogo!$I$7:$I$210,"",0)=0,"",_xlfn.XLOOKUP($J860,Catalogo!$B$7:$B$210,Catalogo!$I$7:$I$210,"",0))</f>
        <v>PCM</v>
      </c>
      <c r="L860" s="562" t="s">
        <v>555</v>
      </c>
      <c r="M860" s="261">
        <f>IF(Tabla1[[#This Row],[Avance_km]]&lt;&gt;"",Tabla1[[#This Row],[Avance_km]],Tabla1[[#This Row],[Avance_Med]])*_xlfn.XLOOKUP(Tabla1[[#This Row],[Codigo_actividad]],Catalogo!$B$6:$B$57,Catalogo!$F$6:$F$57,0)</f>
        <v>19130.099999999999</v>
      </c>
      <c r="N860" s="477">
        <v>10</v>
      </c>
    </row>
    <row r="861" spans="1:18" x14ac:dyDescent="0.25">
      <c r="A861" s="354">
        <v>46261</v>
      </c>
      <c r="B861" s="114" t="s">
        <v>12</v>
      </c>
      <c r="C861" s="155" t="s">
        <v>329</v>
      </c>
      <c r="D861" s="39" t="s">
        <v>212</v>
      </c>
      <c r="E861" s="40" t="s">
        <v>564</v>
      </c>
      <c r="F861" s="493" t="s">
        <v>530</v>
      </c>
      <c r="G861" s="493"/>
      <c r="H861" s="502">
        <f>(Catalogo!$J$55)*Tabla1[[#This Row],[Observaciones]]</f>
        <v>4.1902107725601399</v>
      </c>
      <c r="J861" s="76">
        <v>2.4</v>
      </c>
      <c r="K861" s="66" t="str">
        <f>IF(_xlfn.XLOOKUP($J861,Catalogo!$B$7:$B$210,Catalogo!$I$7:$I$210,"",0)=0,"",_xlfn.XLOOKUP($J861,Catalogo!$B$7:$B$210,Catalogo!$I$7:$I$210,"",0))</f>
        <v>PCM</v>
      </c>
      <c r="L861" s="562" t="s">
        <v>555</v>
      </c>
      <c r="M861" s="261">
        <f>IF(Tabla1[[#This Row],[Avance_km]]&lt;&gt;"",Tabla1[[#This Row],[Avance_km]],Tabla1[[#This Row],[Avance_Med]])*_xlfn.XLOOKUP(Tabla1[[#This Row],[Codigo_actividad]],Catalogo!$B$6:$B$57,Catalogo!$F$6:$F$57,0)</f>
        <v>57390.299999999996</v>
      </c>
      <c r="N861" s="477">
        <v>30</v>
      </c>
    </row>
    <row r="862" spans="1:18" x14ac:dyDescent="0.25">
      <c r="A862" s="354">
        <v>46261</v>
      </c>
      <c r="B862" s="114" t="s">
        <v>29</v>
      </c>
      <c r="C862" s="155" t="s">
        <v>329</v>
      </c>
      <c r="D862" s="39" t="s">
        <v>212</v>
      </c>
      <c r="E862" s="40" t="s">
        <v>564</v>
      </c>
      <c r="F862" s="493">
        <v>22250</v>
      </c>
      <c r="G862" s="493"/>
      <c r="H862" s="502">
        <f>(Catalogo!$J$55)*Tabla1[[#This Row],[Observaciones]]</f>
        <v>0.69836846209335668</v>
      </c>
      <c r="J862" s="76">
        <v>2.4</v>
      </c>
      <c r="K862" s="66" t="str">
        <f>IF(_xlfn.XLOOKUP($J862,Catalogo!$B$7:$B$210,Catalogo!$I$7:$I$210,"",0)=0,"",_xlfn.XLOOKUP($J862,Catalogo!$B$7:$B$210,Catalogo!$I$7:$I$210,"",0))</f>
        <v>PCM</v>
      </c>
      <c r="L862" s="562" t="s">
        <v>555</v>
      </c>
      <c r="M862" s="261">
        <f>IF(Tabla1[[#This Row],[Avance_km]]&lt;&gt;"",Tabla1[[#This Row],[Avance_km]],Tabla1[[#This Row],[Avance_Med]])*_xlfn.XLOOKUP(Tabla1[[#This Row],[Codigo_actividad]],Catalogo!$B$6:$B$57,Catalogo!$F$6:$F$57,0)</f>
        <v>9565.0499999999993</v>
      </c>
      <c r="N862" s="477">
        <v>5</v>
      </c>
      <c r="P862" t="s">
        <v>555</v>
      </c>
      <c r="Q862" t="s">
        <v>556</v>
      </c>
      <c r="R862" t="s">
        <v>557</v>
      </c>
    </row>
    <row r="863" spans="1:18" x14ac:dyDescent="0.25">
      <c r="A863" s="354"/>
      <c r="B863" s="114"/>
      <c r="C863" s="155"/>
      <c r="D863" s="39"/>
      <c r="F863" s="28"/>
      <c r="G863" s="28"/>
      <c r="H863" s="370"/>
      <c r="I863" s="370"/>
      <c r="J863" s="76">
        <v>2.4</v>
      </c>
      <c r="K863" s="76" t="str">
        <f>IF(_xlfn.XLOOKUP($J863,Catalogo!$B$7:$B$21,Catalogo!$I$7:$I$21,"",0)=0,"",_xlfn.XLOOKUP($J863,Catalogo!$B$7:$B$21,Catalogo!$I$7:$I$21,"",0))</f>
        <v>PCM</v>
      </c>
      <c r="L863" s="137"/>
      <c r="M863" s="261"/>
    </row>
    <row r="864" spans="1:18" x14ac:dyDescent="0.25">
      <c r="A864" s="354">
        <v>46269</v>
      </c>
      <c r="B864" s="114" t="s">
        <v>12</v>
      </c>
      <c r="C864" s="155" t="s">
        <v>13</v>
      </c>
      <c r="D864" s="39" t="s">
        <v>13</v>
      </c>
      <c r="E864" s="40" t="s">
        <v>565</v>
      </c>
      <c r="F864" s="493" t="s">
        <v>643</v>
      </c>
      <c r="G864" s="493" t="s">
        <v>643</v>
      </c>
      <c r="H864" s="502">
        <f>(Catalogo!$J$55)*Tabla1[[#This Row],[Observaciones]]</f>
        <v>5.4472740043281824</v>
      </c>
      <c r="J864" s="76">
        <v>2.4</v>
      </c>
      <c r="K864" s="66" t="str">
        <f>IF(_xlfn.XLOOKUP($J864,Catalogo!$B$7:$B$210,Catalogo!$I$7:$I$210,"",0)=0,"",_xlfn.XLOOKUP($J864,Catalogo!$B$7:$B$210,Catalogo!$I$7:$I$210,"",0))</f>
        <v>PCM</v>
      </c>
      <c r="L864" s="562" t="s">
        <v>555</v>
      </c>
      <c r="M864" s="261">
        <f>IF(Tabla1[[#This Row],[Avance_km]]&lt;&gt;"",Tabla1[[#This Row],[Avance_km]],Tabla1[[#This Row],[Avance_Med]])*_xlfn.XLOOKUP(Tabla1[[#This Row],[Codigo_actividad]],Catalogo!$B$6:$B$57,Catalogo!$F$6:$F$57,0)</f>
        <v>74607.39</v>
      </c>
      <c r="N864" s="477">
        <v>39</v>
      </c>
    </row>
    <row r="865" spans="1:16" x14ac:dyDescent="0.25">
      <c r="A865" s="354">
        <v>46269</v>
      </c>
      <c r="B865" s="114" t="s">
        <v>29</v>
      </c>
      <c r="C865" s="155" t="s">
        <v>22</v>
      </c>
      <c r="D865" s="39" t="s">
        <v>22</v>
      </c>
      <c r="E865" s="40" t="s">
        <v>565</v>
      </c>
      <c r="F865" s="493" t="s">
        <v>643</v>
      </c>
      <c r="G865" s="493" t="s">
        <v>643</v>
      </c>
      <c r="H865" s="502">
        <f>(Catalogo!$J$55)*Tabla1[[#This Row],[Observaciones]]</f>
        <v>7.123358313352238</v>
      </c>
      <c r="J865" s="76">
        <v>2.4</v>
      </c>
      <c r="K865" s="66" t="str">
        <f>IF(_xlfn.XLOOKUP($J865,Catalogo!$B$7:$B$210,Catalogo!$I$7:$I$210,"",0)=0,"",_xlfn.XLOOKUP($J865,Catalogo!$B$7:$B$210,Catalogo!$I$7:$I$210,"",0))</f>
        <v>PCM</v>
      </c>
      <c r="L865" s="562" t="s">
        <v>555</v>
      </c>
      <c r="M865" s="261">
        <f>IF(Tabla1[[#This Row],[Avance_km]]&lt;&gt;"",Tabla1[[#This Row],[Avance_km]],Tabla1[[#This Row],[Avance_Med]])*_xlfn.XLOOKUP(Tabla1[[#This Row],[Codigo_actividad]],Catalogo!$B$6:$B$57,Catalogo!$F$6:$F$57,0)</f>
        <v>97563.51</v>
      </c>
      <c r="N865" s="477">
        <v>51</v>
      </c>
    </row>
    <row r="866" spans="1:16" x14ac:dyDescent="0.25">
      <c r="A866" s="354">
        <v>46270</v>
      </c>
      <c r="B866" s="114" t="s">
        <v>12</v>
      </c>
      <c r="C866" s="155" t="s">
        <v>13</v>
      </c>
      <c r="D866" s="39" t="s">
        <v>13</v>
      </c>
      <c r="E866" s="40" t="s">
        <v>565</v>
      </c>
      <c r="F866" s="493" t="s">
        <v>643</v>
      </c>
      <c r="G866" s="493" t="s">
        <v>643</v>
      </c>
      <c r="H866" s="502">
        <f>(Catalogo!$J$55)*Tabla1[[#This Row],[Observaciones]]</f>
        <v>3.4918423104667835</v>
      </c>
      <c r="J866" s="76">
        <v>2.4</v>
      </c>
      <c r="K866" s="66" t="str">
        <f>IF(_xlfn.XLOOKUP($J866,Catalogo!$B$7:$B$210,Catalogo!$I$7:$I$210,"",0)=0,"",_xlfn.XLOOKUP($J866,Catalogo!$B$7:$B$210,Catalogo!$I$7:$I$210,"",0))</f>
        <v>PCM</v>
      </c>
      <c r="L866" s="562" t="s">
        <v>555</v>
      </c>
      <c r="M866" s="261">
        <f>IF(Tabla1[[#This Row],[Avance_km]]&lt;&gt;"",Tabla1[[#This Row],[Avance_km]],Tabla1[[#This Row],[Avance_Med]])*_xlfn.XLOOKUP(Tabla1[[#This Row],[Codigo_actividad]],Catalogo!$B$6:$B$57,Catalogo!$F$6:$F$57,0)</f>
        <v>47825.25</v>
      </c>
      <c r="N866" s="477">
        <v>25</v>
      </c>
    </row>
    <row r="867" spans="1:16" x14ac:dyDescent="0.25">
      <c r="A867" s="354">
        <v>46270</v>
      </c>
      <c r="B867" s="114" t="s">
        <v>29</v>
      </c>
      <c r="C867" s="155" t="s">
        <v>22</v>
      </c>
      <c r="D867" s="39" t="s">
        <v>22</v>
      </c>
      <c r="E867" s="40" t="s">
        <v>565</v>
      </c>
      <c r="F867" s="493" t="s">
        <v>643</v>
      </c>
      <c r="G867" s="493" t="s">
        <v>643</v>
      </c>
      <c r="H867" s="502">
        <f>(Catalogo!$J$55)*Tabla1[[#This Row],[Observaciones]]</f>
        <v>3.4918423104667835</v>
      </c>
      <c r="J867" s="76">
        <v>2.4</v>
      </c>
      <c r="K867" s="66" t="str">
        <f>IF(_xlfn.XLOOKUP($J867,Catalogo!$B$7:$B$210,Catalogo!$I$7:$I$210,"",0)=0,"",_xlfn.XLOOKUP($J867,Catalogo!$B$7:$B$210,Catalogo!$I$7:$I$210,"",0))</f>
        <v>PCM</v>
      </c>
      <c r="L867" s="562" t="s">
        <v>555</v>
      </c>
      <c r="M867" s="261">
        <f>IF(Tabla1[[#This Row],[Avance_km]]&lt;&gt;"",Tabla1[[#This Row],[Avance_km]],Tabla1[[#This Row],[Avance_Med]])*_xlfn.XLOOKUP(Tabla1[[#This Row],[Codigo_actividad]],Catalogo!$B$6:$B$57,Catalogo!$F$6:$F$57,0)</f>
        <v>47825.25</v>
      </c>
      <c r="N867" s="477">
        <v>25</v>
      </c>
    </row>
    <row r="868" spans="1:16" x14ac:dyDescent="0.25">
      <c r="A868" s="354">
        <v>46282</v>
      </c>
      <c r="B868" s="114" t="s">
        <v>12</v>
      </c>
      <c r="C868" s="155" t="s">
        <v>536</v>
      </c>
      <c r="D868" s="39" t="s">
        <v>536</v>
      </c>
      <c r="E868" s="40" t="s">
        <v>565</v>
      </c>
      <c r="F868" s="493" t="s">
        <v>643</v>
      </c>
      <c r="G868" s="493" t="s">
        <v>643</v>
      </c>
      <c r="H868" s="502">
        <f>(Catalogo!$J$55)*Tabla1[[#This Row],[Observaciones]]</f>
        <v>3.0728212332107692</v>
      </c>
      <c r="J868" s="76">
        <v>2.4</v>
      </c>
      <c r="K868" s="66" t="str">
        <f>IF(_xlfn.XLOOKUP($J868,Catalogo!$B$7:$B$210,Catalogo!$I$7:$I$210,"",0)=0,"",_xlfn.XLOOKUP($J868,Catalogo!$B$7:$B$210,Catalogo!$I$7:$I$210,"",0))</f>
        <v>PCM</v>
      </c>
      <c r="L868" s="562" t="s">
        <v>555</v>
      </c>
      <c r="M868" s="261">
        <f>IF(Tabla1[[#This Row],[Avance_km]]&lt;&gt;"",Tabla1[[#This Row],[Avance_km]],Tabla1[[#This Row],[Avance_Med]])*_xlfn.XLOOKUP(Tabla1[[#This Row],[Codigo_actividad]],Catalogo!$B$6:$B$57,Catalogo!$F$6:$F$57,0)</f>
        <v>42086.219999999994</v>
      </c>
      <c r="N868" s="477">
        <v>22</v>
      </c>
    </row>
    <row r="869" spans="1:16" x14ac:dyDescent="0.25">
      <c r="A869" s="354">
        <v>46283</v>
      </c>
      <c r="B869" s="114" t="s">
        <v>12</v>
      </c>
      <c r="C869" s="155" t="s">
        <v>536</v>
      </c>
      <c r="D869" s="39" t="s">
        <v>536</v>
      </c>
      <c r="E869" s="40" t="s">
        <v>565</v>
      </c>
      <c r="F869" s="493" t="s">
        <v>643</v>
      </c>
      <c r="G869" s="493" t="s">
        <v>643</v>
      </c>
      <c r="H869" s="502">
        <f>(Catalogo!$J$55)*Tabla1[[#This Row],[Observaciones]]</f>
        <v>5.3076003119095105</v>
      </c>
      <c r="J869" s="76">
        <v>2.4</v>
      </c>
      <c r="K869" s="66" t="str">
        <f>IF(_xlfn.XLOOKUP($J869,Catalogo!$B$7:$B$210,Catalogo!$I$7:$I$210,"",0)=0,"",_xlfn.XLOOKUP($J869,Catalogo!$B$7:$B$210,Catalogo!$I$7:$I$210,"",0))</f>
        <v>PCM</v>
      </c>
      <c r="L869" s="562" t="s">
        <v>555</v>
      </c>
      <c r="M869" s="261">
        <f>IF(Tabla1[[#This Row],[Avance_km]]&lt;&gt;"",Tabla1[[#This Row],[Avance_km]],Tabla1[[#This Row],[Avance_Med]])*_xlfn.XLOOKUP(Tabla1[[#This Row],[Codigo_actividad]],Catalogo!$B$6:$B$57,Catalogo!$F$6:$F$57,0)</f>
        <v>72694.37999999999</v>
      </c>
      <c r="N869" s="477">
        <v>38</v>
      </c>
    </row>
    <row r="870" spans="1:16" x14ac:dyDescent="0.25">
      <c r="A870" s="354"/>
      <c r="B870" s="114"/>
      <c r="C870" s="155"/>
      <c r="D870" s="39"/>
      <c r="F870" s="28"/>
      <c r="G870" s="28"/>
      <c r="H870" s="370" t="str">
        <f>IF(Tabla1[[#This Row],[Codigo_actividad]]&lt;&gt;2.5,IF(((Tabla1[[#This Row],[fin]]-Tabla1[[#This Row],[inicio]])/1000)=0,"",((Tabla1[[#This Row],[fin]]-Tabla1[[#This Row],[inicio]])/1000)),"")</f>
        <v/>
      </c>
      <c r="I870" s="370"/>
      <c r="J870" s="76"/>
      <c r="K870" s="76" t="str">
        <f>IF(_xlfn.XLOOKUP($J870,Catalogo!$B$7:$B$21,Catalogo!$I$7:$I$21,"",0)=0,"",_xlfn.XLOOKUP($J870,Catalogo!$B$7:$B$21,Catalogo!$I$7:$I$21,"",0))</f>
        <v/>
      </c>
      <c r="L870" s="137"/>
      <c r="M870" s="261"/>
      <c r="N870" t="str">
        <f>_xlfn.IFNA(_xlfn.XLOOKUP(Tabla1[[#This Row],[fin]],$P$379:$P$398,$T$379:$T$398),"")</f>
        <v/>
      </c>
    </row>
    <row r="871" spans="1:16" x14ac:dyDescent="0.25">
      <c r="A871" s="354">
        <v>46315</v>
      </c>
      <c r="B871" s="199" t="s">
        <v>12</v>
      </c>
      <c r="C871" s="200" t="s">
        <v>13</v>
      </c>
      <c r="D871" s="201" t="s">
        <v>650</v>
      </c>
      <c r="E871" s="376" t="s">
        <v>537</v>
      </c>
      <c r="F871" s="493" t="s">
        <v>643</v>
      </c>
      <c r="G871" s="493" t="s">
        <v>643</v>
      </c>
      <c r="H871" s="502">
        <f>+(Catalogo!$J$56)*Tabla1[[#This Row],[Observaciones]]</f>
        <v>3.0967824840029552</v>
      </c>
      <c r="J871" s="76">
        <v>2.4</v>
      </c>
      <c r="K871" s="66" t="str">
        <f>IF(_xlfn.XLOOKUP($J871,Catalogo!$B$7:$B$210,Catalogo!$I$7:$I$210,"",0)=0,"",_xlfn.XLOOKUP($J871,Catalogo!$B$7:$B$210,Catalogo!$I$7:$I$210,"",0))</f>
        <v>PCM</v>
      </c>
      <c r="L871" s="137" t="s">
        <v>556</v>
      </c>
      <c r="M871" s="261">
        <f>IF(Tabla1[[#This Row],[Avance_km]]&lt;&gt;"",Tabla1[[#This Row],[Avance_km]],Tabla1[[#This Row],[Avance_Med]])*_xlfn.XLOOKUP(Tabla1[[#This Row],[Codigo_actividad]],Catalogo!$B$6:$B$57,Catalogo!$F$6:$F$57,0)</f>
        <v>42414.399999999994</v>
      </c>
      <c r="N871" s="477">
        <v>14</v>
      </c>
      <c r="P871">
        <f>115-SUM(N871:N877)</f>
        <v>0</v>
      </c>
    </row>
    <row r="872" spans="1:16" x14ac:dyDescent="0.25">
      <c r="A872" s="354">
        <v>46316</v>
      </c>
      <c r="B872" s="199" t="s">
        <v>29</v>
      </c>
      <c r="C872" s="200" t="s">
        <v>22</v>
      </c>
      <c r="D872" s="201" t="s">
        <v>650</v>
      </c>
      <c r="E872" s="376" t="s">
        <v>537</v>
      </c>
      <c r="F872" s="493" t="s">
        <v>643</v>
      </c>
      <c r="G872" s="493" t="s">
        <v>643</v>
      </c>
      <c r="H872" s="502">
        <f>+(Catalogo!$J$56)*Tabla1[[#This Row],[Observaciones]]</f>
        <v>2.8755837351456011</v>
      </c>
      <c r="J872" s="76">
        <v>2.4</v>
      </c>
      <c r="K872" s="66" t="str">
        <f>IF(_xlfn.XLOOKUP($J872,Catalogo!$B$7:$B$210,Catalogo!$I$7:$I$210,"",0)=0,"",_xlfn.XLOOKUP($J872,Catalogo!$B$7:$B$210,Catalogo!$I$7:$I$210,"",0))</f>
        <v>PCM</v>
      </c>
      <c r="L872" s="137" t="s">
        <v>556</v>
      </c>
      <c r="M872" s="261">
        <f>IF(Tabla1[[#This Row],[Avance_km]]&lt;&gt;"",Tabla1[[#This Row],[Avance_km]],Tabla1[[#This Row],[Avance_Med]])*_xlfn.XLOOKUP(Tabla1[[#This Row],[Codigo_actividad]],Catalogo!$B$6:$B$57,Catalogo!$F$6:$F$57,0)</f>
        <v>39384.799999999996</v>
      </c>
      <c r="N872" s="477">
        <v>13</v>
      </c>
    </row>
    <row r="873" spans="1:16" x14ac:dyDescent="0.25">
      <c r="A873" s="354">
        <v>46316</v>
      </c>
      <c r="B873" s="199" t="s">
        <v>12</v>
      </c>
      <c r="C873" s="200" t="s">
        <v>13</v>
      </c>
      <c r="D873" s="201" t="s">
        <v>650</v>
      </c>
      <c r="E873" s="376" t="s">
        <v>537</v>
      </c>
      <c r="F873" s="493" t="s">
        <v>643</v>
      </c>
      <c r="G873" s="493" t="s">
        <v>643</v>
      </c>
      <c r="H873" s="502">
        <f>+(Catalogo!$J$56)*Tabla1[[#This Row],[Observaciones]]</f>
        <v>1.3271924931441237</v>
      </c>
      <c r="J873" s="76">
        <v>2.4</v>
      </c>
      <c r="K873" s="66" t="str">
        <f>IF(_xlfn.XLOOKUP($J873,Catalogo!$B$7:$B$210,Catalogo!$I$7:$I$210,"",0)=0,"",_xlfn.XLOOKUP($J873,Catalogo!$B$7:$B$210,Catalogo!$I$7:$I$210,"",0))</f>
        <v>PCM</v>
      </c>
      <c r="L873" s="137" t="s">
        <v>556</v>
      </c>
      <c r="M873" s="261">
        <f>IF(Tabla1[[#This Row],[Avance_km]]&lt;&gt;"",Tabla1[[#This Row],[Avance_km]],Tabla1[[#This Row],[Avance_Med]])*_xlfn.XLOOKUP(Tabla1[[#This Row],[Codigo_actividad]],Catalogo!$B$6:$B$57,Catalogo!$F$6:$F$57,0)</f>
        <v>18177.599999999999</v>
      </c>
      <c r="N873" s="477">
        <v>6</v>
      </c>
    </row>
    <row r="874" spans="1:16" x14ac:dyDescent="0.25">
      <c r="A874" s="354">
        <v>46317</v>
      </c>
      <c r="B874" s="199" t="s">
        <v>12</v>
      </c>
      <c r="C874" s="200" t="s">
        <v>22</v>
      </c>
      <c r="D874" s="201" t="s">
        <v>650</v>
      </c>
      <c r="E874" s="376" t="s">
        <v>537</v>
      </c>
      <c r="F874" s="493" t="s">
        <v>643</v>
      </c>
      <c r="G874" s="493" t="s">
        <v>643</v>
      </c>
      <c r="H874" s="502">
        <f>+(Catalogo!$J$56)*Tabla1[[#This Row],[Observaciones]]</f>
        <v>4.4239749771470791</v>
      </c>
      <c r="J874" s="76">
        <v>2.4</v>
      </c>
      <c r="K874" s="66" t="str">
        <f>IF(_xlfn.XLOOKUP($J874,Catalogo!$B$7:$B$210,Catalogo!$I$7:$I$210,"",0)=0,"",_xlfn.XLOOKUP($J874,Catalogo!$B$7:$B$210,Catalogo!$I$7:$I$210,"",0))</f>
        <v>PCM</v>
      </c>
      <c r="L874" s="137" t="s">
        <v>556</v>
      </c>
      <c r="M874" s="261">
        <f>IF(Tabla1[[#This Row],[Avance_km]]&lt;&gt;"",Tabla1[[#This Row],[Avance_km]],Tabla1[[#This Row],[Avance_Med]])*_xlfn.XLOOKUP(Tabla1[[#This Row],[Codigo_actividad]],Catalogo!$B$6:$B$57,Catalogo!$F$6:$F$57,0)</f>
        <v>60592</v>
      </c>
      <c r="N874" s="477">
        <v>20</v>
      </c>
    </row>
    <row r="875" spans="1:16" x14ac:dyDescent="0.25">
      <c r="A875" s="354">
        <v>46317</v>
      </c>
      <c r="B875" s="199" t="s">
        <v>29</v>
      </c>
      <c r="C875" s="200" t="s">
        <v>13</v>
      </c>
      <c r="D875" s="201" t="s">
        <v>650</v>
      </c>
      <c r="E875" s="376" t="s">
        <v>537</v>
      </c>
      <c r="F875" s="493" t="s">
        <v>643</v>
      </c>
      <c r="G875" s="493" t="s">
        <v>643</v>
      </c>
      <c r="H875" s="502">
        <f>+(Catalogo!$J$56)*Tabla1[[#This Row],[Observaciones]]</f>
        <v>4.4239749771470791</v>
      </c>
      <c r="J875" s="76">
        <v>2.4</v>
      </c>
      <c r="K875" s="66" t="str">
        <f>IF(_xlfn.XLOOKUP($J875,Catalogo!$B$7:$B$210,Catalogo!$I$7:$I$210,"",0)=0,"",_xlfn.XLOOKUP($J875,Catalogo!$B$7:$B$210,Catalogo!$I$7:$I$210,"",0))</f>
        <v>PCM</v>
      </c>
      <c r="L875" s="137" t="s">
        <v>556</v>
      </c>
      <c r="M875" s="261">
        <f>IF(Tabla1[[#This Row],[Avance_km]]&lt;&gt;"",Tabla1[[#This Row],[Avance_km]],Tabla1[[#This Row],[Avance_Med]])*_xlfn.XLOOKUP(Tabla1[[#This Row],[Codigo_actividad]],Catalogo!$B$6:$B$57,Catalogo!$F$6:$F$57,0)</f>
        <v>60592</v>
      </c>
      <c r="N875" s="477">
        <v>20</v>
      </c>
    </row>
    <row r="876" spans="1:16" x14ac:dyDescent="0.25">
      <c r="A876" s="354">
        <v>46318</v>
      </c>
      <c r="B876" s="199" t="s">
        <v>12</v>
      </c>
      <c r="C876" s="200" t="s">
        <v>22</v>
      </c>
      <c r="D876" s="201" t="s">
        <v>650</v>
      </c>
      <c r="E876" s="376" t="s">
        <v>537</v>
      </c>
      <c r="F876" s="493" t="s">
        <v>643</v>
      </c>
      <c r="G876" s="493" t="s">
        <v>643</v>
      </c>
      <c r="H876" s="502">
        <f>+(Catalogo!$J$56)*Tabla1[[#This Row],[Observaciones]]</f>
        <v>4.4239749771470791</v>
      </c>
      <c r="J876" s="76">
        <v>2.4</v>
      </c>
      <c r="K876" s="66" t="str">
        <f>IF(_xlfn.XLOOKUP($J876,Catalogo!$B$7:$B$210,Catalogo!$I$7:$I$210,"",0)=0,"",_xlfn.XLOOKUP($J876,Catalogo!$B$7:$B$210,Catalogo!$I$7:$I$210,"",0))</f>
        <v>PCM</v>
      </c>
      <c r="L876" s="137" t="s">
        <v>556</v>
      </c>
      <c r="M876" s="261">
        <f>IF(Tabla1[[#This Row],[Avance_km]]&lt;&gt;"",Tabla1[[#This Row],[Avance_km]],Tabla1[[#This Row],[Avance_Med]])*_xlfn.XLOOKUP(Tabla1[[#This Row],[Codigo_actividad]],Catalogo!$B$6:$B$57,Catalogo!$F$6:$F$57,0)</f>
        <v>60592</v>
      </c>
      <c r="N876" s="477">
        <v>20</v>
      </c>
    </row>
    <row r="877" spans="1:16" x14ac:dyDescent="0.25">
      <c r="A877" s="354">
        <v>46318</v>
      </c>
      <c r="B877" s="199" t="s">
        <v>29</v>
      </c>
      <c r="C877" s="200" t="s">
        <v>22</v>
      </c>
      <c r="D877" s="201" t="s">
        <v>650</v>
      </c>
      <c r="E877" s="376" t="s">
        <v>537</v>
      </c>
      <c r="F877" s="493" t="s">
        <v>643</v>
      </c>
      <c r="G877" s="493" t="s">
        <v>643</v>
      </c>
      <c r="H877" s="502">
        <f>+(Catalogo!$J$56)*Tabla1[[#This Row],[Observaciones]]</f>
        <v>4.8663724748617865</v>
      </c>
      <c r="J877" s="76">
        <v>2.4</v>
      </c>
      <c r="K877" s="66" t="str">
        <f>IF(_xlfn.XLOOKUP($J877,Catalogo!$B$7:$B$210,Catalogo!$I$7:$I$210,"",0)=0,"",_xlfn.XLOOKUP($J877,Catalogo!$B$7:$B$210,Catalogo!$I$7:$I$210,"",0))</f>
        <v>PCM</v>
      </c>
      <c r="L877" s="137" t="s">
        <v>556</v>
      </c>
      <c r="M877" s="261">
        <f>IF(Tabla1[[#This Row],[Avance_km]]&lt;&gt;"",Tabla1[[#This Row],[Avance_km]],Tabla1[[#This Row],[Avance_Med]])*_xlfn.XLOOKUP(Tabla1[[#This Row],[Codigo_actividad]],Catalogo!$B$6:$B$57,Catalogo!$F$6:$F$57,0)</f>
        <v>66651.199999999997</v>
      </c>
      <c r="N877" s="477">
        <v>22</v>
      </c>
    </row>
    <row r="878" spans="1:16" x14ac:dyDescent="0.25">
      <c r="A878" s="354">
        <v>46314</v>
      </c>
      <c r="B878" s="199" t="s">
        <v>12</v>
      </c>
      <c r="C878" s="200" t="s">
        <v>536</v>
      </c>
      <c r="D878" s="201" t="s">
        <v>536</v>
      </c>
      <c r="E878" s="376" t="s">
        <v>537</v>
      </c>
      <c r="F878" s="493" t="s">
        <v>643</v>
      </c>
      <c r="G878" s="493" t="s">
        <v>643</v>
      </c>
      <c r="H878" s="502">
        <f>+(Catalogo!$J$56)*Tabla1[[#This Row],[Observaciones]]</f>
        <v>3.3179812328603089</v>
      </c>
      <c r="J878" s="76">
        <v>2.4</v>
      </c>
      <c r="K878" s="66" t="str">
        <f>IF(_xlfn.XLOOKUP($J878,Catalogo!$B$7:$B$210,Catalogo!$I$7:$I$210,"",0)=0,"",_xlfn.XLOOKUP($J878,Catalogo!$B$7:$B$210,Catalogo!$I$7:$I$210,"",0))</f>
        <v>PCM</v>
      </c>
      <c r="L878" s="137" t="s">
        <v>556</v>
      </c>
      <c r="M878" s="261">
        <f>IF(Tabla1[[#This Row],[Avance_km]]&lt;&gt;"",Tabla1[[#This Row],[Avance_km]],Tabla1[[#This Row],[Avance_Med]])*_xlfn.XLOOKUP(Tabla1[[#This Row],[Codigo_actividad]],Catalogo!$B$6:$B$57,Catalogo!$F$6:$F$57,0)</f>
        <v>45443.999999999993</v>
      </c>
      <c r="N878" s="477">
        <v>15</v>
      </c>
    </row>
    <row r="879" spans="1:16" x14ac:dyDescent="0.25">
      <c r="A879" s="354">
        <v>46315</v>
      </c>
      <c r="B879" s="199" t="s">
        <v>29</v>
      </c>
      <c r="C879" s="200" t="s">
        <v>536</v>
      </c>
      <c r="D879" s="201" t="s">
        <v>536</v>
      </c>
      <c r="E879" s="376" t="s">
        <v>537</v>
      </c>
      <c r="F879" s="493" t="s">
        <v>643</v>
      </c>
      <c r="G879" s="493" t="s">
        <v>643</v>
      </c>
      <c r="H879" s="502">
        <f>+(Catalogo!$J$56)*Tabla1[[#This Row],[Observaciones]]</f>
        <v>3.7603787305750171</v>
      </c>
      <c r="J879" s="76">
        <v>2.4</v>
      </c>
      <c r="K879" s="66" t="str">
        <f>IF(_xlfn.XLOOKUP($J879,Catalogo!$B$7:$B$210,Catalogo!$I$7:$I$210,"",0)=0,"",_xlfn.XLOOKUP($J879,Catalogo!$B$7:$B$210,Catalogo!$I$7:$I$210,"",0))</f>
        <v>PCM</v>
      </c>
      <c r="L879" s="137" t="s">
        <v>556</v>
      </c>
      <c r="M879" s="261">
        <f>IF(Tabla1[[#This Row],[Avance_km]]&lt;&gt;"",Tabla1[[#This Row],[Avance_km]],Tabla1[[#This Row],[Avance_Med]])*_xlfn.XLOOKUP(Tabla1[[#This Row],[Codigo_actividad]],Catalogo!$B$6:$B$57,Catalogo!$F$6:$F$57,0)</f>
        <v>51503.199999999997</v>
      </c>
      <c r="N879" s="477">
        <v>17</v>
      </c>
    </row>
    <row r="880" spans="1:16" x14ac:dyDescent="0.25">
      <c r="A880" s="354"/>
      <c r="B880" s="114"/>
      <c r="C880" s="155"/>
      <c r="D880" s="39"/>
      <c r="F880" s="28"/>
      <c r="G880" s="28"/>
      <c r="H880" s="370" t="str">
        <f>IF(Tabla1[[#This Row],[Codigo_actividad]]&lt;&gt;2.5,IF(((Tabla1[[#This Row],[fin]]-Tabla1[[#This Row],[inicio]])/1000)=0,"",((Tabla1[[#This Row],[fin]]-Tabla1[[#This Row],[inicio]])/1000)),"")</f>
        <v/>
      </c>
      <c r="I880"/>
      <c r="J880" s="76"/>
      <c r="K880" s="76" t="str">
        <f>_xlfn.XLOOKUP($J880,Catalogo!$B$67:$B$69,Catalogo!$L$67:$L$69,"",0)</f>
        <v/>
      </c>
      <c r="L880" s="137"/>
      <c r="M880" s="261"/>
      <c r="N880" t="str">
        <f>_xlfn.IFNA(_xlfn.XLOOKUP(Tabla1[[#This Row],[fin]],$P$379:$P$398,$T$379:$T$398),"")</f>
        <v/>
      </c>
    </row>
    <row r="881" spans="1:14" x14ac:dyDescent="0.25">
      <c r="A881" s="354">
        <v>46305</v>
      </c>
      <c r="B881" s="199" t="s">
        <v>12</v>
      </c>
      <c r="C881" s="200" t="s">
        <v>13</v>
      </c>
      <c r="D881" s="201" t="s">
        <v>13</v>
      </c>
      <c r="E881" s="376" t="s">
        <v>538</v>
      </c>
      <c r="F881" s="493" t="s">
        <v>643</v>
      </c>
      <c r="G881" s="493" t="s">
        <v>643</v>
      </c>
      <c r="H881" s="502">
        <f>+(Catalogo!$J$57)*Tabla1[[#This Row],[Observaciones]]</f>
        <v>1.9944247635124281</v>
      </c>
      <c r="J881" s="76">
        <v>2.4</v>
      </c>
      <c r="K881" s="66" t="str">
        <f>IF(_xlfn.XLOOKUP($J881,Catalogo!$B$7:$B$210,Catalogo!$I$7:$I$210,"",0)=0,"",_xlfn.XLOOKUP($J881,Catalogo!$B$7:$B$210,Catalogo!$I$7:$I$210,"",0))</f>
        <v>PCM</v>
      </c>
      <c r="L881" s="137" t="s">
        <v>557</v>
      </c>
      <c r="M881" s="261">
        <f>IF(Tabla1[[#This Row],[Avance_km]]&lt;&gt;"",Tabla1[[#This Row],[Avance_km]],Tabla1[[#This Row],[Avance_Med]])*_xlfn.XLOOKUP(Tabla1[[#This Row],[Codigo_actividad]],Catalogo!$B$6:$B$57,Catalogo!$F$6:$F$57,0)</f>
        <v>27316.2</v>
      </c>
      <c r="N881" s="477">
        <v>15</v>
      </c>
    </row>
    <row r="882" spans="1:14" x14ac:dyDescent="0.25">
      <c r="A882" s="354">
        <v>46305</v>
      </c>
      <c r="B882" s="199" t="s">
        <v>29</v>
      </c>
      <c r="C882" s="200" t="s">
        <v>22</v>
      </c>
      <c r="D882" s="201" t="s">
        <v>22</v>
      </c>
      <c r="E882" s="376" t="s">
        <v>538</v>
      </c>
      <c r="F882" s="493" t="s">
        <v>643</v>
      </c>
      <c r="G882" s="493" t="s">
        <v>643</v>
      </c>
      <c r="H882" s="502">
        <f>+(Catalogo!$J$57)*Tabla1[[#This Row],[Observaciones]]</f>
        <v>3.457002923421542</v>
      </c>
      <c r="J882" s="76">
        <v>2.4</v>
      </c>
      <c r="K882" s="66" t="str">
        <f>IF(_xlfn.XLOOKUP($J882,Catalogo!$B$7:$B$210,Catalogo!$I$7:$I$210,"",0)=0,"",_xlfn.XLOOKUP($J882,Catalogo!$B$7:$B$210,Catalogo!$I$7:$I$210,"",0))</f>
        <v>PCM</v>
      </c>
      <c r="L882" s="137" t="s">
        <v>557</v>
      </c>
      <c r="M882" s="261">
        <f>IF(Tabla1[[#This Row],[Avance_km]]&lt;&gt;"",Tabla1[[#This Row],[Avance_km]],Tabla1[[#This Row],[Avance_Med]])*_xlfn.XLOOKUP(Tabla1[[#This Row],[Codigo_actividad]],Catalogo!$B$6:$B$57,Catalogo!$F$6:$F$57,0)</f>
        <v>47348.08</v>
      </c>
      <c r="N882" s="477">
        <f>41-15</f>
        <v>26</v>
      </c>
    </row>
    <row r="883" spans="1:14" x14ac:dyDescent="0.25">
      <c r="A883" s="354">
        <v>46306</v>
      </c>
      <c r="B883" s="199" t="s">
        <v>12</v>
      </c>
      <c r="C883" s="200" t="s">
        <v>13</v>
      </c>
      <c r="D883" s="201" t="s">
        <v>13</v>
      </c>
      <c r="E883" s="376" t="s">
        <v>538</v>
      </c>
      <c r="F883" s="493" t="s">
        <v>643</v>
      </c>
      <c r="G883" s="493" t="s">
        <v>643</v>
      </c>
      <c r="H883" s="502">
        <f>+(Catalogo!$J$57)*Tabla1[[#This Row],[Observaciones]]</f>
        <v>2.6592330180165709</v>
      </c>
      <c r="J883" s="76">
        <v>2.4</v>
      </c>
      <c r="K883" s="66" t="str">
        <f>IF(_xlfn.XLOOKUP($J883,Catalogo!$B$7:$B$210,Catalogo!$I$7:$I$210,"",0)=0,"",_xlfn.XLOOKUP($J883,Catalogo!$B$7:$B$210,Catalogo!$I$7:$I$210,"",0))</f>
        <v>PCM</v>
      </c>
      <c r="L883" s="137" t="s">
        <v>557</v>
      </c>
      <c r="M883" s="261">
        <f>IF(Tabla1[[#This Row],[Avance_km]]&lt;&gt;"",Tabla1[[#This Row],[Avance_km]],Tabla1[[#This Row],[Avance_Med]])*_xlfn.XLOOKUP(Tabla1[[#This Row],[Codigo_actividad]],Catalogo!$B$6:$B$57,Catalogo!$F$6:$F$57,0)</f>
        <v>36421.599999999999</v>
      </c>
      <c r="N883" s="477">
        <v>20</v>
      </c>
    </row>
    <row r="884" spans="1:14" x14ac:dyDescent="0.25">
      <c r="A884" s="354">
        <v>46306</v>
      </c>
      <c r="B884" s="199" t="s">
        <v>29</v>
      </c>
      <c r="C884" s="200" t="s">
        <v>22</v>
      </c>
      <c r="D884" s="201" t="s">
        <v>22</v>
      </c>
      <c r="E884" s="376" t="s">
        <v>538</v>
      </c>
      <c r="F884" s="493" t="s">
        <v>643</v>
      </c>
      <c r="G884" s="493" t="s">
        <v>643</v>
      </c>
      <c r="H884" s="502">
        <f>+(Catalogo!$J$57)*Tabla1[[#This Row],[Observaciones]]</f>
        <v>4.9195810833306561</v>
      </c>
      <c r="J884" s="76">
        <v>2.4</v>
      </c>
      <c r="K884" s="66" t="str">
        <f>IF(_xlfn.XLOOKUP($J884,Catalogo!$B$7:$B$210,Catalogo!$I$7:$I$210,"",0)=0,"",_xlfn.XLOOKUP($J884,Catalogo!$B$7:$B$210,Catalogo!$I$7:$I$210,"",0))</f>
        <v>PCM</v>
      </c>
      <c r="L884" s="137" t="s">
        <v>557</v>
      </c>
      <c r="M884" s="261">
        <f>IF(Tabla1[[#This Row],[Avance_km]]&lt;&gt;"",Tabla1[[#This Row],[Avance_km]],Tabla1[[#This Row],[Avance_Med]])*_xlfn.XLOOKUP(Tabla1[[#This Row],[Codigo_actividad]],Catalogo!$B$6:$B$57,Catalogo!$F$6:$F$57,0)</f>
        <v>67379.960000000006</v>
      </c>
      <c r="N884" s="477">
        <f>57-20</f>
        <v>37</v>
      </c>
    </row>
    <row r="885" spans="1:14" x14ac:dyDescent="0.25">
      <c r="A885" s="354">
        <v>46305</v>
      </c>
      <c r="B885" s="199" t="s">
        <v>12</v>
      </c>
      <c r="C885" s="200" t="s">
        <v>536</v>
      </c>
      <c r="D885" s="201" t="s">
        <v>536</v>
      </c>
      <c r="E885" s="376" t="s">
        <v>538</v>
      </c>
      <c r="F885" s="493" t="s">
        <v>643</v>
      </c>
      <c r="G885" s="493" t="s">
        <v>643</v>
      </c>
      <c r="H885" s="502">
        <f>+(Catalogo!$J$57)*Tabla1[[#This Row],[Observaciones]]</f>
        <v>3.1910796216198847</v>
      </c>
      <c r="J885" s="76">
        <v>2.4</v>
      </c>
      <c r="K885" s="66" t="str">
        <f>IF(_xlfn.XLOOKUP($J885,Catalogo!$B$7:$B$210,Catalogo!$I$7:$I$210,"",0)=0,"",_xlfn.XLOOKUP($J885,Catalogo!$B$7:$B$210,Catalogo!$I$7:$I$210,"",0))</f>
        <v>PCM</v>
      </c>
      <c r="L885" s="137" t="s">
        <v>557</v>
      </c>
      <c r="M885" s="261">
        <f>IF(Tabla1[[#This Row],[Avance_km]]&lt;&gt;"",Tabla1[[#This Row],[Avance_km]],Tabla1[[#This Row],[Avance_Med]])*_xlfn.XLOOKUP(Tabla1[[#This Row],[Codigo_actividad]],Catalogo!$B$6:$B$57,Catalogo!$F$6:$F$57,0)</f>
        <v>43705.919999999998</v>
      </c>
      <c r="N885" s="477">
        <v>24</v>
      </c>
    </row>
    <row r="886" spans="1:14" x14ac:dyDescent="0.25">
      <c r="A886" s="354">
        <v>46307</v>
      </c>
      <c r="B886" s="199" t="s">
        <v>12</v>
      </c>
      <c r="C886" s="200" t="s">
        <v>13</v>
      </c>
      <c r="D886" s="201" t="s">
        <v>13</v>
      </c>
      <c r="E886" s="376" t="s">
        <v>538</v>
      </c>
      <c r="F886" s="493" t="s">
        <v>643</v>
      </c>
      <c r="G886" s="493" t="s">
        <v>643</v>
      </c>
      <c r="H886" s="502">
        <f>+(Catalogo!$J$57)*Tabla1[[#This Row],[Observaciones]]</f>
        <v>3.8558878761240276</v>
      </c>
      <c r="J886" s="76">
        <v>2.4</v>
      </c>
      <c r="K886" s="66" t="str">
        <f>IF(_xlfn.XLOOKUP($J886,Catalogo!$B$7:$B$210,Catalogo!$I$7:$I$210,"",0)=0,"",_xlfn.XLOOKUP($J886,Catalogo!$B$7:$B$210,Catalogo!$I$7:$I$210,"",0))</f>
        <v>PCM</v>
      </c>
      <c r="L886" s="137" t="s">
        <v>557</v>
      </c>
      <c r="M886" s="261">
        <f>IF(Tabla1[[#This Row],[Avance_km]]&lt;&gt;"",Tabla1[[#This Row],[Avance_km]],Tabla1[[#This Row],[Avance_Med]])*_xlfn.XLOOKUP(Tabla1[[#This Row],[Codigo_actividad]],Catalogo!$B$6:$B$57,Catalogo!$F$6:$F$57,0)</f>
        <v>52811.32</v>
      </c>
      <c r="N886" s="477">
        <f>64-35</f>
        <v>29</v>
      </c>
    </row>
    <row r="887" spans="1:14" x14ac:dyDescent="0.25">
      <c r="A887" s="354">
        <v>46307</v>
      </c>
      <c r="B887" s="199" t="s">
        <v>12</v>
      </c>
      <c r="C887" s="200" t="s">
        <v>22</v>
      </c>
      <c r="D887" s="201" t="s">
        <v>22</v>
      </c>
      <c r="E887" s="376" t="s">
        <v>538</v>
      </c>
      <c r="F887" s="493" t="s">
        <v>643</v>
      </c>
      <c r="G887" s="493" t="s">
        <v>643</v>
      </c>
      <c r="H887" s="502">
        <f>+(Catalogo!$J$57)*Tabla1[[#This Row],[Observaciones]]</f>
        <v>1.728501461710771</v>
      </c>
      <c r="J887" s="76">
        <v>2.4</v>
      </c>
      <c r="K887" s="66" t="str">
        <f>IF(_xlfn.XLOOKUP($J887,Catalogo!$B$7:$B$210,Catalogo!$I$7:$I$210,"",0)=0,"",_xlfn.XLOOKUP($J887,Catalogo!$B$7:$B$210,Catalogo!$I$7:$I$210,"",0))</f>
        <v>PCM</v>
      </c>
      <c r="L887" s="137" t="s">
        <v>557</v>
      </c>
      <c r="M887" s="261">
        <f>IF(Tabla1[[#This Row],[Avance_km]]&lt;&gt;"",Tabla1[[#This Row],[Avance_km]],Tabla1[[#This Row],[Avance_Med]])*_xlfn.XLOOKUP(Tabla1[[#This Row],[Codigo_actividad]],Catalogo!$B$6:$B$57,Catalogo!$F$6:$F$57,0)</f>
        <v>23674.04</v>
      </c>
      <c r="N887" s="477">
        <f>42-29</f>
        <v>13</v>
      </c>
    </row>
    <row r="888" spans="1:14" x14ac:dyDescent="0.25">
      <c r="A888" s="354">
        <v>46307</v>
      </c>
      <c r="B888" s="199" t="s">
        <v>29</v>
      </c>
      <c r="C888" s="200" t="s">
        <v>536</v>
      </c>
      <c r="D888" s="201" t="s">
        <v>536</v>
      </c>
      <c r="E888" s="376" t="s">
        <v>538</v>
      </c>
      <c r="F888" s="493" t="s">
        <v>643</v>
      </c>
      <c r="G888" s="493" t="s">
        <v>643</v>
      </c>
      <c r="H888" s="502">
        <f>+(Catalogo!$J$57)*Tabla1[[#This Row],[Observaciones]]</f>
        <v>4.786619432429827</v>
      </c>
      <c r="J888" s="76">
        <v>2.4</v>
      </c>
      <c r="K888" s="66" t="str">
        <f>IF(_xlfn.XLOOKUP($J888,Catalogo!$B$7:$B$210,Catalogo!$I$7:$I$210,"",0)=0,"",_xlfn.XLOOKUP($J888,Catalogo!$B$7:$B$210,Catalogo!$I$7:$I$210,"",0))</f>
        <v>PCM</v>
      </c>
      <c r="L888" s="137" t="s">
        <v>557</v>
      </c>
      <c r="M888" s="261">
        <f>IF(Tabla1[[#This Row],[Avance_km]]&lt;&gt;"",Tabla1[[#This Row],[Avance_km]],Tabla1[[#This Row],[Avance_Med]])*_xlfn.XLOOKUP(Tabla1[[#This Row],[Codigo_actividad]],Catalogo!$B$6:$B$57,Catalogo!$F$6:$F$57,0)</f>
        <v>65558.87999999999</v>
      </c>
      <c r="N888" s="477">
        <v>36</v>
      </c>
    </row>
    <row r="889" spans="1:14" x14ac:dyDescent="0.25">
      <c r="A889" s="354"/>
      <c r="B889" s="114"/>
      <c r="C889" s="155"/>
      <c r="D889" s="39"/>
      <c r="F889" s="28"/>
      <c r="G889" s="28"/>
      <c r="H889" s="370" t="str">
        <f>IF(Tabla1[[#This Row],[Codigo_actividad]]&lt;&gt;2.5,IF(((Tabla1[[#This Row],[fin]]-Tabla1[[#This Row],[inicio]])/1000)=0,"",((Tabla1[[#This Row],[fin]]-Tabla1[[#This Row],[inicio]])/1000)),"")</f>
        <v/>
      </c>
      <c r="I889"/>
      <c r="J889" s="76"/>
      <c r="K889" s="76" t="str">
        <f>IF(_xlfn.XLOOKUP($J889,Catalogo!$B$7:$B$21,Catalogo!$I$7:$I$21,"",0)=0,"",_xlfn.XLOOKUP($J889,Catalogo!$B$7:$B$21,Catalogo!$I$7:$I$21,"",0))</f>
        <v/>
      </c>
      <c r="L889" s="137"/>
      <c r="M889" s="261"/>
      <c r="N889" t="str">
        <f>_xlfn.IFNA(_xlfn.XLOOKUP(Tabla1[[#This Row],[fin]],$P$379:$P$398,$T$379:$T$398),"")</f>
        <v/>
      </c>
    </row>
    <row r="890" spans="1:14" x14ac:dyDescent="0.25">
      <c r="A890" s="354"/>
      <c r="B890" s="199" t="s">
        <v>12</v>
      </c>
      <c r="C890" s="200" t="s">
        <v>329</v>
      </c>
      <c r="D890" s="201"/>
      <c r="E890" s="376" t="s">
        <v>539</v>
      </c>
      <c r="F890" s="28"/>
      <c r="G890" s="28"/>
      <c r="H890" s="224">
        <f>+(Catalogo!$J$56)*Tabla1[[#This Row],[Observaciones]]</f>
        <v>0</v>
      </c>
      <c r="J890" s="76">
        <v>2.4</v>
      </c>
      <c r="K890" s="66" t="str">
        <f>IF(_xlfn.XLOOKUP($J890,Catalogo!$B$7:$B$210,Catalogo!$I$7:$I$210,"",0)=0,"",_xlfn.XLOOKUP($J890,Catalogo!$B$7:$B$210,Catalogo!$I$7:$I$210,"",0))</f>
        <v>PCM</v>
      </c>
      <c r="L890" s="137" t="s">
        <v>556</v>
      </c>
      <c r="M890" s="261">
        <f>IF(Tabla1[[#This Row],[Avance_km]]&lt;&gt;"",Tabla1[[#This Row],[Avance_km]],Tabla1[[#This Row],[Avance_Med]])*_xlfn.XLOOKUP(Tabla1[[#This Row],[Codigo_actividad]],Catalogo!$B$6:$B$57,Catalogo!$F$6:$F$57,0)</f>
        <v>0</v>
      </c>
      <c r="N890" s="478"/>
    </row>
    <row r="891" spans="1:14" x14ac:dyDescent="0.25">
      <c r="A891" s="354"/>
      <c r="B891" s="199" t="s">
        <v>29</v>
      </c>
      <c r="C891" s="200" t="s">
        <v>411</v>
      </c>
      <c r="D891" s="201"/>
      <c r="E891" s="376" t="s">
        <v>539</v>
      </c>
      <c r="F891" s="28"/>
      <c r="G891" s="28"/>
      <c r="H891" s="224">
        <f>+(Catalogo!$J$56)*Tabla1[[#This Row],[Observaciones]]</f>
        <v>0</v>
      </c>
      <c r="J891" s="76">
        <v>2.4</v>
      </c>
      <c r="K891" s="66" t="str">
        <f>IF(_xlfn.XLOOKUP($J891,Catalogo!$B$7:$B$210,Catalogo!$I$7:$I$210,"",0)=0,"",_xlfn.XLOOKUP($J891,Catalogo!$B$7:$B$210,Catalogo!$I$7:$I$210,"",0))</f>
        <v>PCM</v>
      </c>
      <c r="L891" s="137" t="s">
        <v>556</v>
      </c>
      <c r="M891" s="261">
        <f>IF(Tabla1[[#This Row],[Avance_km]]&lt;&gt;"",Tabla1[[#This Row],[Avance_km]],Tabla1[[#This Row],[Avance_Med]])*_xlfn.XLOOKUP(Tabla1[[#This Row],[Codigo_actividad]],Catalogo!$B$6:$B$57,Catalogo!$F$6:$F$57,0)</f>
        <v>0</v>
      </c>
      <c r="N891" s="478"/>
    </row>
    <row r="892" spans="1:14" x14ac:dyDescent="0.25">
      <c r="A892" s="354"/>
      <c r="B892" s="199" t="s">
        <v>12</v>
      </c>
      <c r="C892" s="200" t="s">
        <v>329</v>
      </c>
      <c r="D892" s="201"/>
      <c r="E892" s="376" t="s">
        <v>539</v>
      </c>
      <c r="F892" s="28"/>
      <c r="G892" s="28"/>
      <c r="H892" s="224">
        <f>+(Catalogo!$J$56)*Tabla1[[#This Row],[Observaciones]]</f>
        <v>0</v>
      </c>
      <c r="J892" s="76">
        <v>2.4</v>
      </c>
      <c r="K892" s="66" t="str">
        <f>IF(_xlfn.XLOOKUP($J892,Catalogo!$B$7:$B$210,Catalogo!$I$7:$I$210,"",0)=0,"",_xlfn.XLOOKUP($J892,Catalogo!$B$7:$B$210,Catalogo!$I$7:$I$210,"",0))</f>
        <v>PCM</v>
      </c>
      <c r="L892" s="137" t="s">
        <v>556</v>
      </c>
      <c r="M892" s="261">
        <f>IF(Tabla1[[#This Row],[Avance_km]]&lt;&gt;"",Tabla1[[#This Row],[Avance_km]],Tabla1[[#This Row],[Avance_Med]])*_xlfn.XLOOKUP(Tabla1[[#This Row],[Codigo_actividad]],Catalogo!$B$6:$B$57,Catalogo!$F$6:$F$57,0)</f>
        <v>0</v>
      </c>
      <c r="N892" s="478"/>
    </row>
    <row r="893" spans="1:14" x14ac:dyDescent="0.25">
      <c r="A893" s="354"/>
      <c r="B893" s="199" t="s">
        <v>29</v>
      </c>
      <c r="C893" s="200" t="s">
        <v>411</v>
      </c>
      <c r="D893" s="201"/>
      <c r="E893" s="376" t="s">
        <v>539</v>
      </c>
      <c r="F893" s="28"/>
      <c r="G893" s="28"/>
      <c r="H893" s="224">
        <f>+(Catalogo!$J$56)*Tabla1[[#This Row],[Observaciones]]</f>
        <v>0</v>
      </c>
      <c r="J893" s="76">
        <v>2.4</v>
      </c>
      <c r="K893" s="66" t="str">
        <f>IF(_xlfn.XLOOKUP($J893,Catalogo!$B$7:$B$210,Catalogo!$I$7:$I$210,"",0)=0,"",_xlfn.XLOOKUP($J893,Catalogo!$B$7:$B$210,Catalogo!$I$7:$I$210,"",0))</f>
        <v>PCM</v>
      </c>
      <c r="L893" s="137" t="s">
        <v>556</v>
      </c>
      <c r="M893" s="261">
        <f>IF(Tabla1[[#This Row],[Avance_km]]&lt;&gt;"",Tabla1[[#This Row],[Avance_km]],Tabla1[[#This Row],[Avance_Med]])*_xlfn.XLOOKUP(Tabla1[[#This Row],[Codigo_actividad]],Catalogo!$B$6:$B$57,Catalogo!$F$6:$F$57,0)</f>
        <v>0</v>
      </c>
      <c r="N893" s="478"/>
    </row>
    <row r="894" spans="1:14" x14ac:dyDescent="0.25">
      <c r="A894" s="354"/>
      <c r="B894" s="199" t="s">
        <v>12</v>
      </c>
      <c r="C894" s="200" t="s">
        <v>561</v>
      </c>
      <c r="D894" s="201"/>
      <c r="E894" s="376" t="s">
        <v>539</v>
      </c>
      <c r="F894" s="28"/>
      <c r="G894" s="28"/>
      <c r="H894" s="224">
        <f>+(Catalogo!$J$56)*Tabla1[[#This Row],[Observaciones]]</f>
        <v>0</v>
      </c>
      <c r="J894" s="76">
        <v>2.4</v>
      </c>
      <c r="K894" s="66" t="str">
        <f>IF(_xlfn.XLOOKUP($J894,Catalogo!$B$7:$B$210,Catalogo!$I$7:$I$210,"",0)=0,"",_xlfn.XLOOKUP($J894,Catalogo!$B$7:$B$210,Catalogo!$I$7:$I$210,"",0))</f>
        <v>PCM</v>
      </c>
      <c r="L894" s="137" t="s">
        <v>556</v>
      </c>
      <c r="M894" s="261">
        <f>IF(Tabla1[[#This Row],[Avance_km]]&lt;&gt;"",Tabla1[[#This Row],[Avance_km]],Tabla1[[#This Row],[Avance_Med]])*_xlfn.XLOOKUP(Tabla1[[#This Row],[Codigo_actividad]],Catalogo!$B$6:$B$57,Catalogo!$F$6:$F$57,0)</f>
        <v>0</v>
      </c>
      <c r="N894" s="478"/>
    </row>
    <row r="895" spans="1:14" x14ac:dyDescent="0.25">
      <c r="A895" s="354"/>
      <c r="B895" s="199" t="s">
        <v>29</v>
      </c>
      <c r="C895" s="200" t="s">
        <v>561</v>
      </c>
      <c r="D895" s="201"/>
      <c r="E895" s="376" t="s">
        <v>539</v>
      </c>
      <c r="F895" s="28"/>
      <c r="G895" s="28"/>
      <c r="H895" s="224">
        <f>+(Catalogo!$J$56)*Tabla1[[#This Row],[Observaciones]]</f>
        <v>0</v>
      </c>
      <c r="J895" s="76">
        <v>2.4</v>
      </c>
      <c r="K895" s="66" t="str">
        <f>IF(_xlfn.XLOOKUP($J895,Catalogo!$B$7:$B$210,Catalogo!$I$7:$I$210,"",0)=0,"",_xlfn.XLOOKUP($J895,Catalogo!$B$7:$B$210,Catalogo!$I$7:$I$210,"",0))</f>
        <v>PCM</v>
      </c>
      <c r="L895" s="137" t="s">
        <v>556</v>
      </c>
      <c r="M895" s="261">
        <f>IF(Tabla1[[#This Row],[Avance_km]]&lt;&gt;"",Tabla1[[#This Row],[Avance_km]],Tabla1[[#This Row],[Avance_Med]])*_xlfn.XLOOKUP(Tabla1[[#This Row],[Codigo_actividad]],Catalogo!$B$6:$B$57,Catalogo!$F$6:$F$57,0)</f>
        <v>0</v>
      </c>
      <c r="N895" s="478"/>
    </row>
    <row r="896" spans="1:14" x14ac:dyDescent="0.25">
      <c r="A896" s="354"/>
      <c r="B896" s="114"/>
      <c r="C896" s="155"/>
      <c r="D896" s="39"/>
      <c r="F896" s="28"/>
      <c r="G896" s="28"/>
      <c r="H896" s="370" t="str">
        <f>IF(Tabla1[[#This Row],[Codigo_actividad]]&lt;&gt;2.5,IF(((Tabla1[[#This Row],[fin]]-Tabla1[[#This Row],[inicio]])/1000)=0,"",((Tabla1[[#This Row],[fin]]-Tabla1[[#This Row],[inicio]])/1000)),"")</f>
        <v/>
      </c>
      <c r="I896"/>
      <c r="J896" s="76"/>
      <c r="K896" s="76" t="str">
        <f>IF(_xlfn.XLOOKUP($J896,Catalogo!$B$7:$B$21,Catalogo!$I$7:$I$21,"",0)=0,"",_xlfn.XLOOKUP($J896,Catalogo!$B$7:$B$21,Catalogo!$I$7:$I$21,"",0))</f>
        <v/>
      </c>
      <c r="L896" s="137"/>
      <c r="M896" s="261"/>
    </row>
    <row r="897" spans="1:14" x14ac:dyDescent="0.25">
      <c r="A897" s="354"/>
      <c r="B897" s="199" t="s">
        <v>12</v>
      </c>
      <c r="C897" s="200" t="s">
        <v>329</v>
      </c>
      <c r="D897" s="201"/>
      <c r="E897" s="376" t="s">
        <v>540</v>
      </c>
      <c r="F897" s="28"/>
      <c r="G897" s="28"/>
      <c r="H897" s="224">
        <f>+(Catalogo!$J$57)*Tabla1[[#This Row],[Observaciones]]</f>
        <v>0</v>
      </c>
      <c r="J897" s="76">
        <v>2.4</v>
      </c>
      <c r="K897" s="66" t="str">
        <f>IF(_xlfn.XLOOKUP($J897,Catalogo!$B$7:$B$210,Catalogo!$I$7:$I$210,"",0)=0,"",_xlfn.XLOOKUP($J897,Catalogo!$B$7:$B$210,Catalogo!$I$7:$I$210,"",0))</f>
        <v>PCM</v>
      </c>
      <c r="L897" s="137" t="s">
        <v>557</v>
      </c>
      <c r="M897" s="261">
        <f>IF(Tabla1[[#This Row],[Avance_km]]&lt;&gt;"",Tabla1[[#This Row],[Avance_km]],Tabla1[[#This Row],[Avance_Med]])*_xlfn.XLOOKUP(Tabla1[[#This Row],[Codigo_actividad]],Catalogo!$B$6:$B$57,Catalogo!$F$6:$F$57,0)</f>
        <v>0</v>
      </c>
      <c r="N897" s="478"/>
    </row>
    <row r="898" spans="1:14" x14ac:dyDescent="0.25">
      <c r="A898" s="354"/>
      <c r="B898" s="199" t="s">
        <v>29</v>
      </c>
      <c r="C898" s="200" t="s">
        <v>411</v>
      </c>
      <c r="D898" s="201"/>
      <c r="E898" s="376" t="s">
        <v>540</v>
      </c>
      <c r="F898" s="28"/>
      <c r="G898" s="28"/>
      <c r="H898" s="224">
        <f>+(Catalogo!$J$57)*Tabla1[[#This Row],[Observaciones]]</f>
        <v>0</v>
      </c>
      <c r="J898" s="76">
        <v>2.4</v>
      </c>
      <c r="K898" s="66" t="str">
        <f>IF(_xlfn.XLOOKUP($J898,Catalogo!$B$7:$B$210,Catalogo!$I$7:$I$210,"",0)=0,"",_xlfn.XLOOKUP($J898,Catalogo!$B$7:$B$210,Catalogo!$I$7:$I$210,"",0))</f>
        <v>PCM</v>
      </c>
      <c r="L898" s="137" t="s">
        <v>557</v>
      </c>
      <c r="M898" s="261">
        <f>IF(Tabla1[[#This Row],[Avance_km]]&lt;&gt;"",Tabla1[[#This Row],[Avance_km]],Tabla1[[#This Row],[Avance_Med]])*_xlfn.XLOOKUP(Tabla1[[#This Row],[Codigo_actividad]],Catalogo!$B$6:$B$57,Catalogo!$F$6:$F$57,0)</f>
        <v>0</v>
      </c>
      <c r="N898" s="478"/>
    </row>
    <row r="899" spans="1:14" x14ac:dyDescent="0.25">
      <c r="A899" s="354"/>
      <c r="B899" s="199" t="s">
        <v>12</v>
      </c>
      <c r="C899" s="200" t="s">
        <v>329</v>
      </c>
      <c r="D899" s="201"/>
      <c r="E899" s="376" t="s">
        <v>540</v>
      </c>
      <c r="F899" s="28"/>
      <c r="G899" s="28"/>
      <c r="H899" s="224">
        <f>+(Catalogo!$J$57)*Tabla1[[#This Row],[Observaciones]]</f>
        <v>0</v>
      </c>
      <c r="J899" s="76">
        <v>2.4</v>
      </c>
      <c r="K899" s="66" t="str">
        <f>IF(_xlfn.XLOOKUP($J899,Catalogo!$B$7:$B$210,Catalogo!$I$7:$I$210,"",0)=0,"",_xlfn.XLOOKUP($J899,Catalogo!$B$7:$B$210,Catalogo!$I$7:$I$210,"",0))</f>
        <v>PCM</v>
      </c>
      <c r="L899" s="137" t="s">
        <v>557</v>
      </c>
      <c r="M899" s="261">
        <f>IF(Tabla1[[#This Row],[Avance_km]]&lt;&gt;"",Tabla1[[#This Row],[Avance_km]],Tabla1[[#This Row],[Avance_Med]])*_xlfn.XLOOKUP(Tabla1[[#This Row],[Codigo_actividad]],Catalogo!$B$6:$B$57,Catalogo!$F$6:$F$57,0)</f>
        <v>0</v>
      </c>
      <c r="N899" s="478"/>
    </row>
    <row r="900" spans="1:14" x14ac:dyDescent="0.25">
      <c r="A900" s="354"/>
      <c r="B900" s="199" t="s">
        <v>29</v>
      </c>
      <c r="C900" s="200" t="s">
        <v>411</v>
      </c>
      <c r="D900" s="201"/>
      <c r="E900" s="376" t="s">
        <v>540</v>
      </c>
      <c r="F900" s="28"/>
      <c r="G900" s="28"/>
      <c r="H900" s="224">
        <f>+(Catalogo!$J$57)*Tabla1[[#This Row],[Observaciones]]</f>
        <v>0</v>
      </c>
      <c r="J900" s="76">
        <v>2.4</v>
      </c>
      <c r="K900" s="66" t="str">
        <f>IF(_xlfn.XLOOKUP($J900,Catalogo!$B$7:$B$210,Catalogo!$I$7:$I$210,"",0)=0,"",_xlfn.XLOOKUP($J900,Catalogo!$B$7:$B$210,Catalogo!$I$7:$I$210,"",0))</f>
        <v>PCM</v>
      </c>
      <c r="L900" s="137" t="s">
        <v>557</v>
      </c>
      <c r="M900" s="261">
        <f>IF(Tabla1[[#This Row],[Avance_km]]&lt;&gt;"",Tabla1[[#This Row],[Avance_km]],Tabla1[[#This Row],[Avance_Med]])*_xlfn.XLOOKUP(Tabla1[[#This Row],[Codigo_actividad]],Catalogo!$B$6:$B$57,Catalogo!$F$6:$F$57,0)</f>
        <v>0</v>
      </c>
      <c r="N900" s="478"/>
    </row>
    <row r="901" spans="1:14" x14ac:dyDescent="0.25">
      <c r="A901" s="354"/>
      <c r="B901" s="199" t="s">
        <v>12</v>
      </c>
      <c r="C901" s="200" t="s">
        <v>561</v>
      </c>
      <c r="D901" s="201"/>
      <c r="E901" s="376" t="s">
        <v>540</v>
      </c>
      <c r="F901" s="28"/>
      <c r="G901" s="28"/>
      <c r="H901" s="224">
        <f>+(Catalogo!$J$57)*Tabla1[[#This Row],[Observaciones]]</f>
        <v>0</v>
      </c>
      <c r="J901" s="76">
        <v>2.4</v>
      </c>
      <c r="K901" s="66" t="str">
        <f>IF(_xlfn.XLOOKUP($J901,Catalogo!$B$7:$B$210,Catalogo!$I$7:$I$210,"",0)=0,"",_xlfn.XLOOKUP($J901,Catalogo!$B$7:$B$210,Catalogo!$I$7:$I$210,"",0))</f>
        <v>PCM</v>
      </c>
      <c r="L901" s="137" t="s">
        <v>557</v>
      </c>
      <c r="M901" s="261">
        <f>IF(Tabla1[[#This Row],[Avance_km]]&lt;&gt;"",Tabla1[[#This Row],[Avance_km]],Tabla1[[#This Row],[Avance_Med]])*_xlfn.XLOOKUP(Tabla1[[#This Row],[Codigo_actividad]],Catalogo!$B$6:$B$57,Catalogo!$F$6:$F$57,0)</f>
        <v>0</v>
      </c>
      <c r="N901" s="478"/>
    </row>
    <row r="902" spans="1:14" x14ac:dyDescent="0.25">
      <c r="A902" s="354"/>
      <c r="B902" s="199" t="s">
        <v>29</v>
      </c>
      <c r="C902" s="200" t="s">
        <v>561</v>
      </c>
      <c r="D902" s="201"/>
      <c r="E902" s="376" t="s">
        <v>540</v>
      </c>
      <c r="F902" s="28"/>
      <c r="G902" s="28"/>
      <c r="H902" s="224">
        <f>+(Catalogo!$J$57)*Tabla1[[#This Row],[Observaciones]]</f>
        <v>0</v>
      </c>
      <c r="J902" s="76">
        <v>2.4</v>
      </c>
      <c r="K902" s="66" t="str">
        <f>IF(_xlfn.XLOOKUP($J902,Catalogo!$B$7:$B$210,Catalogo!$I$7:$I$210,"",0)=0,"",_xlfn.XLOOKUP($J902,Catalogo!$B$7:$B$210,Catalogo!$I$7:$I$210,"",0))</f>
        <v>PCM</v>
      </c>
      <c r="L902" s="137" t="s">
        <v>557</v>
      </c>
      <c r="M902" s="261">
        <f>IF(Tabla1[[#This Row],[Avance_km]]&lt;&gt;"",Tabla1[[#This Row],[Avance_km]],Tabla1[[#This Row],[Avance_Med]])*_xlfn.XLOOKUP(Tabla1[[#This Row],[Codigo_actividad]],Catalogo!$B$6:$B$57,Catalogo!$F$6:$F$57,0)</f>
        <v>0</v>
      </c>
      <c r="N902" s="478"/>
    </row>
    <row r="903" spans="1:14" x14ac:dyDescent="0.25">
      <c r="A903" s="354"/>
      <c r="B903" s="114"/>
      <c r="C903" s="155"/>
      <c r="D903" s="39"/>
      <c r="F903" s="28"/>
      <c r="G903" s="28"/>
      <c r="H903" s="224" t="str">
        <f>IF(Tabla1[[#This Row],[Codigo_actividad]]&lt;&gt;2.5,IF(((Tabla1[[#This Row],[fin]]-Tabla1[[#This Row],[inicio]])/1000)=0,"",((Tabla1[[#This Row],[fin]]-Tabla1[[#This Row],[inicio]])/1000)),"")</f>
        <v/>
      </c>
      <c r="J903" s="76"/>
      <c r="K903" s="66" t="str">
        <f>IF(_xlfn.XLOOKUP($J903,Catalogo!$B$7:$B$21,Catalogo!$I$7:$I$21,"",0)=0,"",_xlfn.XLOOKUP($J903,Catalogo!$B$7:$B$21,Catalogo!$I$7:$I$21,"",0))</f>
        <v/>
      </c>
      <c r="L903" s="36"/>
      <c r="M903" s="261">
        <f>IF(Tabla1[[#This Row],[Avance_km]]&lt;&gt;"",Tabla1[[#This Row],[Avance_km]],Tabla1[[#This Row],[Avance_Med]])*_xlfn.XLOOKUP(Tabla1[[#This Row],[Codigo_actividad]],Catalogo!$B$6:$B$51,Catalogo!$F$6:$F$51,0)</f>
        <v>0</v>
      </c>
      <c r="N903" t="str">
        <f>_xlfn.IFNA(_xlfn.XLOOKUP(Tabla1[[#This Row],[fin]],$P$379:$P$398,$T$379:$T$398),"")</f>
        <v/>
      </c>
    </row>
    <row r="904" spans="1:14" x14ac:dyDescent="0.25">
      <c r="A904" s="359"/>
      <c r="B904" s="283"/>
      <c r="C904" s="284"/>
      <c r="D904" s="285"/>
      <c r="E904" s="380"/>
      <c r="F904" s="286"/>
      <c r="G904" s="286"/>
      <c r="H904" s="515" t="str">
        <f>IF(Tabla1[[#This Row],[Codigo_actividad]]&lt;&gt;2.5,IF(((Tabla1[[#This Row],[fin]]-Tabla1[[#This Row],[inicio]])/1000)=0,"",((Tabla1[[#This Row],[fin]]-Tabla1[[#This Row],[inicio]])/1000)),"")</f>
        <v/>
      </c>
      <c r="I904" s="519"/>
      <c r="J904" s="516"/>
      <c r="K904" s="516" t="str">
        <f>IF(_xlfn.XLOOKUP($J904,Catalogo!$B$7:$B$21,Catalogo!$I$7:$I$21,"",0)=0,"",_xlfn.XLOOKUP($J904,Catalogo!$B$7:$B$21,Catalogo!$I$7:$I$21,"",0))</f>
        <v/>
      </c>
      <c r="L904" s="517"/>
      <c r="M904" s="518">
        <f>IF(Tabla1[[#This Row],[Avance_km]]&lt;&gt;"",Tabla1[[#This Row],[Avance_km]],Tabla1[[#This Row],[Avance_Med]])*_xlfn.XLOOKUP(Tabla1[[#This Row],[Codigo_actividad]],Catalogo!$B$6:$B$51,Catalogo!$F$6:$F$51,0)</f>
        <v>0</v>
      </c>
      <c r="N904" s="519" t="str">
        <f>_xlfn.IFNA(_xlfn.XLOOKUP(Tabla1[[#This Row],[fin]],$P$379:$P$398,$T$379:$T$398),"")</f>
        <v/>
      </c>
    </row>
    <row r="905" spans="1:14" x14ac:dyDescent="0.25">
      <c r="A905" s="354"/>
      <c r="B905" s="114"/>
      <c r="C905" s="155"/>
      <c r="D905" s="39"/>
      <c r="F905" s="28"/>
      <c r="G905" s="28"/>
      <c r="H905" s="224" t="str">
        <f>IF(Tabla1[[#This Row],[Codigo_actividad]]&lt;&gt;2.5,IF(((Tabla1[[#This Row],[fin]]-Tabla1[[#This Row],[inicio]])/1000)=0,"",((Tabla1[[#This Row],[fin]]-Tabla1[[#This Row],[inicio]])/1000)),"")</f>
        <v/>
      </c>
      <c r="J905" s="76"/>
      <c r="K905" s="66" t="str">
        <f>IF(_xlfn.XLOOKUP($J905,Catalogo!$B$7:$B$21,Catalogo!$I$7:$I$21,"",0)=0,"",_xlfn.XLOOKUP($J905,Catalogo!$B$7:$B$21,Catalogo!$I$7:$I$21,"",0))</f>
        <v/>
      </c>
      <c r="L905" s="36"/>
      <c r="M905" s="261">
        <f>IF(Tabla1[[#This Row],[Avance_km]]&lt;&gt;"",Tabla1[[#This Row],[Avance_km]],Tabla1[[#This Row],[Avance_Med]])*_xlfn.XLOOKUP(Tabla1[[#This Row],[Codigo_actividad]],Catalogo!$B$6:$B$51,Catalogo!$F$6:$F$51,0)</f>
        <v>0</v>
      </c>
      <c r="N905" t="str">
        <f>_xlfn.IFNA(_xlfn.XLOOKUP(Tabla1[[#This Row],[fin]],$P$379:$P$398,$T$379:$T$398),"")</f>
        <v/>
      </c>
    </row>
    <row r="906" spans="1:14" x14ac:dyDescent="0.25">
      <c r="A906" s="354">
        <v>46294</v>
      </c>
      <c r="B906" s="114" t="s">
        <v>590</v>
      </c>
      <c r="C906" s="155" t="s">
        <v>13</v>
      </c>
      <c r="D906" s="506" t="s">
        <v>596</v>
      </c>
      <c r="E906" s="40" t="s">
        <v>589</v>
      </c>
      <c r="F906" s="493" t="s">
        <v>171</v>
      </c>
      <c r="G906" s="493" t="s">
        <v>171</v>
      </c>
      <c r="H906" s="502">
        <f>+Catalogo!$J$58*Tabla1[[#This Row],[Observaciones]]</f>
        <v>1.4028035349744601</v>
      </c>
      <c r="I906" s="66"/>
      <c r="J906" s="76">
        <v>2.4</v>
      </c>
      <c r="K906" s="66" t="str">
        <f>IF(_xlfn.XLOOKUP($J906,Catalogo!$B$7:$B$21,Catalogo!$I$7:$I$21,"",0)=0,"",_xlfn.XLOOKUP($J906,Catalogo!$B$7:$B$21,Catalogo!$I$7:$I$21,"",0))</f>
        <v>PCM</v>
      </c>
      <c r="L906" s="36"/>
      <c r="M906" s="261">
        <f>IF(Tabla1[[#This Row],[Avance_km]]&lt;&gt;"",Tabla1[[#This Row],[Avance_km]],Tabla1[[#This Row],[Avance_Med]])*_xlfn.XLOOKUP(Tabla1[[#This Row],[Codigo_actividad]],Catalogo!$B$6:$B$51,Catalogo!$F$6:$F$51,0)</f>
        <v>19213.189999999999</v>
      </c>
      <c r="N906" s="505">
        <v>1</v>
      </c>
    </row>
    <row r="907" spans="1:14" x14ac:dyDescent="0.25">
      <c r="A907" s="354">
        <v>46294</v>
      </c>
      <c r="B907" s="114" t="s">
        <v>590</v>
      </c>
      <c r="C907" s="155" t="s">
        <v>13</v>
      </c>
      <c r="D907" s="506" t="s">
        <v>42</v>
      </c>
      <c r="E907" s="40" t="s">
        <v>589</v>
      </c>
      <c r="F907" s="493" t="s">
        <v>171</v>
      </c>
      <c r="G907" s="493" t="s">
        <v>171</v>
      </c>
      <c r="H907" s="502">
        <f>+Catalogo!$J$58*Tabla1[[#This Row],[Observaciones]]</f>
        <v>1.4028035349744601</v>
      </c>
      <c r="I907" s="66"/>
      <c r="J907" s="76">
        <v>2.4</v>
      </c>
      <c r="K907" s="66" t="str">
        <f>IF(_xlfn.XLOOKUP($J907,Catalogo!$B$7:$B$21,Catalogo!$I$7:$I$21,"",0)=0,"",_xlfn.XLOOKUP($J907,Catalogo!$B$7:$B$21,Catalogo!$I$7:$I$21,"",0))</f>
        <v>PCM</v>
      </c>
      <c r="L907" s="36"/>
      <c r="M907" s="261">
        <f>IF(Tabla1[[#This Row],[Avance_km]]&lt;&gt;"",Tabla1[[#This Row],[Avance_km]],Tabla1[[#This Row],[Avance_Med]])*_xlfn.XLOOKUP(Tabla1[[#This Row],[Codigo_actividad]],Catalogo!$B$6:$B$51,Catalogo!$F$6:$F$51,0)</f>
        <v>19213.189999999999</v>
      </c>
      <c r="N907" s="505">
        <v>1</v>
      </c>
    </row>
    <row r="908" spans="1:14" x14ac:dyDescent="0.25">
      <c r="A908" s="354">
        <v>46294</v>
      </c>
      <c r="B908" s="114" t="s">
        <v>590</v>
      </c>
      <c r="C908" s="155" t="s">
        <v>411</v>
      </c>
      <c r="D908" s="506" t="s">
        <v>606</v>
      </c>
      <c r="E908" s="40" t="s">
        <v>589</v>
      </c>
      <c r="F908" s="493" t="s">
        <v>171</v>
      </c>
      <c r="G908" s="493" t="s">
        <v>171</v>
      </c>
      <c r="H908" s="502">
        <f>+Catalogo!$J$58*Tabla1[[#This Row],[Observaciones]]</f>
        <v>1.4028035349744601</v>
      </c>
      <c r="I908" s="66"/>
      <c r="J908" s="76">
        <v>2.4</v>
      </c>
      <c r="K908" s="66" t="str">
        <f>IF(_xlfn.XLOOKUP($J908,Catalogo!$B$7:$B$21,Catalogo!$I$7:$I$21,"",0)=0,"",_xlfn.XLOOKUP($J908,Catalogo!$B$7:$B$21,Catalogo!$I$7:$I$21,"",0))</f>
        <v>PCM</v>
      </c>
      <c r="L908" s="36"/>
      <c r="M908" s="261">
        <f>IF(Tabla1[[#This Row],[Avance_km]]&lt;&gt;"",Tabla1[[#This Row],[Avance_km]],Tabla1[[#This Row],[Avance_Med]])*_xlfn.XLOOKUP(Tabla1[[#This Row],[Codigo_actividad]],Catalogo!$B$6:$B$51,Catalogo!$F$6:$F$51,0)</f>
        <v>19213.189999999999</v>
      </c>
      <c r="N908" s="505">
        <v>1</v>
      </c>
    </row>
    <row r="909" spans="1:14" x14ac:dyDescent="0.25">
      <c r="A909" s="354">
        <v>46297</v>
      </c>
      <c r="B909" s="114" t="s">
        <v>590</v>
      </c>
      <c r="C909" s="155" t="s">
        <v>329</v>
      </c>
      <c r="D909" s="507" t="s">
        <v>601</v>
      </c>
      <c r="E909" s="40" t="s">
        <v>589</v>
      </c>
      <c r="F909" s="493" t="s">
        <v>171</v>
      </c>
      <c r="G909" s="493" t="s">
        <v>171</v>
      </c>
      <c r="H909" s="502">
        <f>+Catalogo!$J$58*Tabla1[[#This Row],[Observaciones]]</f>
        <v>1.4028035349744601</v>
      </c>
      <c r="I909" s="66"/>
      <c r="J909" s="76">
        <v>2.4</v>
      </c>
      <c r="K909" s="66" t="str">
        <f>IF(_xlfn.XLOOKUP($J909,Catalogo!$B$7:$B$21,Catalogo!$I$7:$I$21,"",0)=0,"",_xlfn.XLOOKUP($J909,Catalogo!$B$7:$B$21,Catalogo!$I$7:$I$21,"",0))</f>
        <v>PCM</v>
      </c>
      <c r="L909" s="36"/>
      <c r="M909" s="261">
        <f>IF(Tabla1[[#This Row],[Avance_km]]&lt;&gt;"",Tabla1[[#This Row],[Avance_km]],Tabla1[[#This Row],[Avance_Med]])*_xlfn.XLOOKUP(Tabla1[[#This Row],[Codigo_actividad]],Catalogo!$B$6:$B$51,Catalogo!$F$6:$F$51,0)</f>
        <v>19213.189999999999</v>
      </c>
      <c r="N909" s="505">
        <v>1</v>
      </c>
    </row>
    <row r="910" spans="1:14" x14ac:dyDescent="0.25">
      <c r="A910" s="354">
        <v>46296</v>
      </c>
      <c r="B910" s="114" t="s">
        <v>590</v>
      </c>
      <c r="C910" s="155" t="s">
        <v>329</v>
      </c>
      <c r="D910" s="507" t="s">
        <v>604</v>
      </c>
      <c r="E910" s="40" t="s">
        <v>589</v>
      </c>
      <c r="F910" s="493" t="s">
        <v>171</v>
      </c>
      <c r="G910" s="493" t="s">
        <v>171</v>
      </c>
      <c r="H910" s="502">
        <f>+Catalogo!$J$58*Tabla1[[#This Row],[Observaciones]]</f>
        <v>1.4028035349744601</v>
      </c>
      <c r="I910" s="66"/>
      <c r="J910" s="76">
        <v>2.4</v>
      </c>
      <c r="K910" s="66" t="str">
        <f>IF(_xlfn.XLOOKUP($J910,Catalogo!$B$7:$B$21,Catalogo!$I$7:$I$21,"",0)=0,"",_xlfn.XLOOKUP($J910,Catalogo!$B$7:$B$21,Catalogo!$I$7:$I$21,"",0))</f>
        <v>PCM</v>
      </c>
      <c r="L910" s="36"/>
      <c r="M910" s="261">
        <f>IF(Tabla1[[#This Row],[Avance_km]]&lt;&gt;"",Tabla1[[#This Row],[Avance_km]],Tabla1[[#This Row],[Avance_Med]])*_xlfn.XLOOKUP(Tabla1[[#This Row],[Codigo_actividad]],Catalogo!$B$6:$B$51,Catalogo!$F$6:$F$51,0)</f>
        <v>19213.189999999999</v>
      </c>
      <c r="N910" s="505">
        <v>1</v>
      </c>
    </row>
    <row r="911" spans="1:14" x14ac:dyDescent="0.25">
      <c r="A911" s="354">
        <v>46296</v>
      </c>
      <c r="B911" s="114" t="s">
        <v>590</v>
      </c>
      <c r="C911" s="155" t="s">
        <v>536</v>
      </c>
      <c r="D911" s="507" t="s">
        <v>608</v>
      </c>
      <c r="E911" s="40" t="s">
        <v>589</v>
      </c>
      <c r="F911" s="493" t="s">
        <v>171</v>
      </c>
      <c r="G911" s="493" t="s">
        <v>171</v>
      </c>
      <c r="H911" s="502">
        <f>+Catalogo!$J$58*Tabla1[[#This Row],[Observaciones]]</f>
        <v>1.4028035349744601</v>
      </c>
      <c r="I911" s="66"/>
      <c r="J911" s="76">
        <v>2.4</v>
      </c>
      <c r="K911" s="66" t="str">
        <f>IF(_xlfn.XLOOKUP($J911,Catalogo!$B$7:$B$21,Catalogo!$I$7:$I$21,"",0)=0,"",_xlfn.XLOOKUP($J911,Catalogo!$B$7:$B$21,Catalogo!$I$7:$I$21,"",0))</f>
        <v>PCM</v>
      </c>
      <c r="L911" s="36"/>
      <c r="M911" s="261">
        <f>IF(Tabla1[[#This Row],[Avance_km]]&lt;&gt;"",Tabla1[[#This Row],[Avance_km]],Tabla1[[#This Row],[Avance_Med]])*_xlfn.XLOOKUP(Tabla1[[#This Row],[Codigo_actividad]],Catalogo!$B$6:$B$51,Catalogo!$F$6:$F$51,0)</f>
        <v>19213.189999999999</v>
      </c>
      <c r="N911" s="505">
        <v>1</v>
      </c>
    </row>
    <row r="912" spans="1:14" x14ac:dyDescent="0.25">
      <c r="A912" s="354">
        <v>46297</v>
      </c>
      <c r="B912" s="114" t="s">
        <v>590</v>
      </c>
      <c r="C912" s="155" t="s">
        <v>536</v>
      </c>
      <c r="D912" s="507" t="s">
        <v>611</v>
      </c>
      <c r="E912" s="40" t="s">
        <v>589</v>
      </c>
      <c r="F912" s="493" t="s">
        <v>171</v>
      </c>
      <c r="G912" s="493" t="s">
        <v>171</v>
      </c>
      <c r="H912" s="502">
        <f>+Catalogo!$J$58*Tabla1[[#This Row],[Observaciones]]</f>
        <v>1.4028035349744601</v>
      </c>
      <c r="I912" s="66"/>
      <c r="J912" s="76">
        <v>2.4</v>
      </c>
      <c r="K912" s="66" t="str">
        <f>IF(_xlfn.XLOOKUP($J912,Catalogo!$B$7:$B$21,Catalogo!$I$7:$I$21,"",0)=0,"",_xlfn.XLOOKUP($J912,Catalogo!$B$7:$B$21,Catalogo!$I$7:$I$21,"",0))</f>
        <v>PCM</v>
      </c>
      <c r="L912" s="36"/>
      <c r="M912" s="261">
        <f>IF(Tabla1[[#This Row],[Avance_km]]&lt;&gt;"",Tabla1[[#This Row],[Avance_km]],Tabla1[[#This Row],[Avance_Med]])*_xlfn.XLOOKUP(Tabla1[[#This Row],[Codigo_actividad]],Catalogo!$B$6:$B$51,Catalogo!$F$6:$F$51,0)</f>
        <v>19213.189999999999</v>
      </c>
      <c r="N912" s="505">
        <v>1</v>
      </c>
    </row>
    <row r="913" spans="1:14" x14ac:dyDescent="0.25">
      <c r="A913" s="354"/>
      <c r="B913" s="114"/>
      <c r="C913" s="155"/>
      <c r="D913" s="39"/>
      <c r="F913" s="28"/>
      <c r="G913" s="28"/>
      <c r="H913" s="224" t="str">
        <f>IF(Tabla1[[#This Row],[Codigo_actividad]]&lt;&gt;2.5,IF(((Tabla1[[#This Row],[fin]]-Tabla1[[#This Row],[inicio]])/1000)=0,"",((Tabla1[[#This Row],[fin]]-Tabla1[[#This Row],[inicio]])/1000)),"")</f>
        <v/>
      </c>
      <c r="J913" s="76"/>
      <c r="K913" s="66" t="str">
        <f>IF(_xlfn.XLOOKUP($J913,Catalogo!$B$7:$B$21,Catalogo!$I$7:$I$21,"",0)=0,"",_xlfn.XLOOKUP($J913,Catalogo!$B$7:$B$21,Catalogo!$I$7:$I$21,"",0))</f>
        <v/>
      </c>
      <c r="L913" s="36"/>
      <c r="M913" s="261">
        <f>IF(Tabla1[[#This Row],[Avance_km]]&lt;&gt;"",Tabla1[[#This Row],[Avance_km]],Tabla1[[#This Row],[Avance_Med]])*_xlfn.XLOOKUP(Tabla1[[#This Row],[Codigo_actividad]],Catalogo!$B$6:$B$51,Catalogo!$F$6:$F$51,0)</f>
        <v>0</v>
      </c>
      <c r="N913" t="str">
        <f>_xlfn.IFNA(_xlfn.XLOOKUP(Tabla1[[#This Row],[fin]],$P$379:$P$398,$T$379:$T$398),"")</f>
        <v/>
      </c>
    </row>
    <row r="914" spans="1:14" x14ac:dyDescent="0.25">
      <c r="A914" s="359"/>
      <c r="B914" s="283"/>
      <c r="C914" s="284"/>
      <c r="D914" s="285"/>
      <c r="E914" s="380"/>
      <c r="F914" s="286"/>
      <c r="G914" s="286"/>
      <c r="H914" s="515" t="str">
        <f>IF(Tabla1[[#This Row],[Codigo_actividad]]&lt;&gt;2.5,IF(((Tabla1[[#This Row],[fin]]-Tabla1[[#This Row],[inicio]])/1000)=0,"",((Tabla1[[#This Row],[fin]]-Tabla1[[#This Row],[inicio]])/1000)),"")</f>
        <v/>
      </c>
      <c r="I914" s="519"/>
      <c r="J914" s="516"/>
      <c r="K914" s="516" t="str">
        <f>IF(_xlfn.XLOOKUP($J914,Catalogo!$B$7:$B$21,Catalogo!$I$7:$I$21,"",0)=0,"",_xlfn.XLOOKUP($J914,Catalogo!$B$7:$B$21,Catalogo!$I$7:$I$21,"",0))</f>
        <v/>
      </c>
      <c r="L914" s="517"/>
      <c r="M914" s="518">
        <f>IF(Tabla1[[#This Row],[Avance_km]]&lt;&gt;"",Tabla1[[#This Row],[Avance_km]],Tabla1[[#This Row],[Avance_Med]])*_xlfn.XLOOKUP(Tabla1[[#This Row],[Codigo_actividad]],Catalogo!$B$6:$B$51,Catalogo!$F$6:$F$51,0)</f>
        <v>0</v>
      </c>
      <c r="N914" s="519" t="str">
        <f>_xlfn.IFNA(_xlfn.XLOOKUP(Tabla1[[#This Row],[fin]],$P$379:$P$398,$T$379:$T$398),"")</f>
        <v/>
      </c>
    </row>
    <row r="915" spans="1:14" x14ac:dyDescent="0.25">
      <c r="A915" s="354"/>
      <c r="C915" s="155"/>
      <c r="D915" s="39"/>
      <c r="F915" s="28"/>
      <c r="G915" s="28"/>
      <c r="H915" s="224" t="str">
        <f>IF(Tabla1[[#This Row],[Codigo_actividad]]&lt;&gt;2.5,IF(((Tabla1[[#This Row],[fin]]-Tabla1[[#This Row],[inicio]])/1000)=0,"",((Tabla1[[#This Row],[fin]]-Tabla1[[#This Row],[inicio]])/1000)),"")</f>
        <v/>
      </c>
      <c r="J915" s="76"/>
      <c r="K915" s="66" t="str">
        <f>IF(_xlfn.XLOOKUP($J915,Catalogo!$B$7:$B$210,Catalogo!$I$7:$I$210,"",0)=0,"",_xlfn.XLOOKUP($J915,Catalogo!$B$7:$B$210,Catalogo!$I$7:$I$210,"",0))</f>
        <v/>
      </c>
      <c r="L915" s="36"/>
      <c r="M915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16" spans="1:14" x14ac:dyDescent="0.25">
      <c r="A916" s="356">
        <v>46111</v>
      </c>
      <c r="B916" s="262" t="s">
        <v>410</v>
      </c>
      <c r="C916" s="263" t="s">
        <v>13</v>
      </c>
      <c r="D916" s="264" t="s">
        <v>403</v>
      </c>
      <c r="E916" s="377" t="s">
        <v>404</v>
      </c>
      <c r="F916" s="265"/>
      <c r="G916" s="265"/>
      <c r="H916" s="224" t="str">
        <f>IF(Tabla1[[#This Row],[Codigo_actividad]]&lt;&gt;2.5,IF(((Tabla1[[#This Row],[fin]]-Tabla1[[#This Row],[inicio]])/1000)=0,"",((Tabla1[[#This Row],[fin]]-Tabla1[[#This Row],[inicio]])/1000)),"")</f>
        <v/>
      </c>
      <c r="I916" s="66">
        <v>37</v>
      </c>
      <c r="J916" s="76">
        <v>1.1000000000000001</v>
      </c>
      <c r="K916" s="66" t="str">
        <f>IF(_xlfn.XLOOKUP($J916,Catalogo!$B$7:$B$210,Catalogo!$I$7:$I$210,"",0)=0,"",_xlfn.XLOOKUP($J916,Catalogo!$B$7:$B$210,Catalogo!$I$7:$I$210,"",0))</f>
        <v>RECOPILACION</v>
      </c>
      <c r="L916" s="36"/>
      <c r="M916" s="261">
        <f>IF(Tabla1[[#This Row],[Avance_km]]&lt;&gt;"",Tabla1[[#This Row],[Avance_km]],Tabla1[[#This Row],[Avance_Med]])*_xlfn.XLOOKUP(Tabla1[[#This Row],[Codigo_actividad]],Catalogo!$B$6:$B$51,Catalogo!$F$6:$F$51,0)</f>
        <v>93713.97</v>
      </c>
    </row>
    <row r="917" spans="1:14" x14ac:dyDescent="0.25">
      <c r="A917" s="356">
        <v>46111</v>
      </c>
      <c r="B917" s="262" t="s">
        <v>410</v>
      </c>
      <c r="C917" s="263" t="s">
        <v>13</v>
      </c>
      <c r="D917" s="264" t="s">
        <v>403</v>
      </c>
      <c r="E917" s="377" t="s">
        <v>405</v>
      </c>
      <c r="F917" s="265"/>
      <c r="G917" s="265"/>
      <c r="H917" s="224" t="str">
        <f>IF(Tabla1[[#This Row],[Codigo_actividad]]&lt;&gt;2.5,IF(((Tabla1[[#This Row],[fin]]-Tabla1[[#This Row],[inicio]])/1000)=0,"",((Tabla1[[#This Row],[fin]]-Tabla1[[#This Row],[inicio]])/1000)),"")</f>
        <v/>
      </c>
      <c r="I917" s="66">
        <v>37</v>
      </c>
      <c r="J917" s="76">
        <v>1.2</v>
      </c>
      <c r="K917" s="66" t="str">
        <f>IF(_xlfn.XLOOKUP($J917,Catalogo!$B$7:$B$210,Catalogo!$I$7:$I$210,"",0)=0,"",_xlfn.XLOOKUP($J917,Catalogo!$B$7:$B$210,Catalogo!$I$7:$I$210,"",0))</f>
        <v>ANALISIS</v>
      </c>
      <c r="L917" s="36"/>
      <c r="M917" s="261">
        <f>IF(Tabla1[[#This Row],[Avance_km]]&lt;&gt;"",Tabla1[[#This Row],[Avance_km]],Tabla1[[#This Row],[Avance_Med]])*_xlfn.XLOOKUP(Tabla1[[#This Row],[Codigo_actividad]],Catalogo!$B$6:$B$51,Catalogo!$F$6:$F$51,0)</f>
        <v>120250.37000000001</v>
      </c>
    </row>
    <row r="918" spans="1:14" x14ac:dyDescent="0.25">
      <c r="A918" s="356">
        <v>46111</v>
      </c>
      <c r="B918" s="262" t="s">
        <v>410</v>
      </c>
      <c r="C918" s="263" t="s">
        <v>13</v>
      </c>
      <c r="D918" s="264" t="s">
        <v>403</v>
      </c>
      <c r="E918" s="377" t="s">
        <v>406</v>
      </c>
      <c r="F918" s="265"/>
      <c r="G918" s="265"/>
      <c r="H918" s="224" t="str">
        <f>IF(Tabla1[[#This Row],[Codigo_actividad]]&lt;&gt;2.5,IF(((Tabla1[[#This Row],[fin]]-Tabla1[[#This Row],[inicio]])/1000)=0,"",((Tabla1[[#This Row],[fin]]-Tabla1[[#This Row],[inicio]])/1000)),"")</f>
        <v/>
      </c>
      <c r="I918" s="66">
        <v>37</v>
      </c>
      <c r="J918" s="76">
        <v>1.3</v>
      </c>
      <c r="K918" s="66" t="str">
        <f>IF(_xlfn.XLOOKUP($J918,Catalogo!$B$7:$B$210,Catalogo!$I$7:$I$210,"",0)=0,"",_xlfn.XLOOKUP($J918,Catalogo!$B$7:$B$210,Catalogo!$I$7:$I$210,"",0))</f>
        <v>FACTIBILIDAD</v>
      </c>
      <c r="L918" s="36"/>
      <c r="M918" s="261">
        <f>IF(Tabla1[[#This Row],[Avance_km]]&lt;&gt;"",Tabla1[[#This Row],[Avance_km]],Tabla1[[#This Row],[Avance_Med]])*_xlfn.XLOOKUP(Tabla1[[#This Row],[Codigo_actividad]],Catalogo!$B$6:$B$51,Catalogo!$F$6:$F$51,0)</f>
        <v>36456.840000000004</v>
      </c>
    </row>
    <row r="919" spans="1:14" x14ac:dyDescent="0.25">
      <c r="A919" s="356">
        <v>46111</v>
      </c>
      <c r="B919" s="262" t="s">
        <v>410</v>
      </c>
      <c r="C919" s="263" t="s">
        <v>13</v>
      </c>
      <c r="D919" s="264" t="s">
        <v>403</v>
      </c>
      <c r="E919" s="377" t="s">
        <v>407</v>
      </c>
      <c r="F919" s="265"/>
      <c r="G919" s="265"/>
      <c r="H919" s="224" t="str">
        <f>IF(Tabla1[[#This Row],[Codigo_actividad]]&lt;&gt;2.5,IF(((Tabla1[[#This Row],[fin]]-Tabla1[[#This Row],[inicio]])/1000)=0,"",((Tabla1[[#This Row],[fin]]-Tabla1[[#This Row],[inicio]])/1000)),"")</f>
        <v/>
      </c>
      <c r="I919" s="66">
        <v>37</v>
      </c>
      <c r="J919" s="76">
        <v>1.4</v>
      </c>
      <c r="K919" s="66" t="str">
        <f>IF(_xlfn.XLOOKUP($J919,Catalogo!$B$7:$B$210,Catalogo!$I$7:$I$210,"",0)=0,"",_xlfn.XLOOKUP($J919,Catalogo!$B$7:$B$210,Catalogo!$I$7:$I$210,"",0))</f>
        <v>SELECCIÓN HERRAMIENTAS</v>
      </c>
      <c r="L919" s="36"/>
      <c r="M919" s="261">
        <f>IF(Tabla1[[#This Row],[Avance_km]]&lt;&gt;"",Tabla1[[#This Row],[Avance_km]],Tabla1[[#This Row],[Avance_Med]])*_xlfn.XLOOKUP(Tabla1[[#This Row],[Codigo_actividad]],Catalogo!$B$6:$B$51,Catalogo!$F$6:$F$51,0)</f>
        <v>39328.04</v>
      </c>
    </row>
    <row r="920" spans="1:14" x14ac:dyDescent="0.25">
      <c r="A920" s="356">
        <v>46111</v>
      </c>
      <c r="B920" s="262" t="s">
        <v>410</v>
      </c>
      <c r="C920" s="263" t="s">
        <v>13</v>
      </c>
      <c r="D920" s="264" t="s">
        <v>403</v>
      </c>
      <c r="E920" s="377" t="s">
        <v>408</v>
      </c>
      <c r="F920" s="265"/>
      <c r="G920" s="265"/>
      <c r="H920" s="224" t="str">
        <f>IF(Tabla1[[#This Row],[Codigo_actividad]]&lt;&gt;2.5,IF(((Tabla1[[#This Row],[fin]]-Tabla1[[#This Row],[inicio]])/1000)=0,"",((Tabla1[[#This Row],[fin]]-Tabla1[[#This Row],[inicio]])/1000)),"")</f>
        <v/>
      </c>
      <c r="I920" s="66">
        <v>37</v>
      </c>
      <c r="J920" s="76">
        <v>1.5</v>
      </c>
      <c r="K920" s="66" t="str">
        <f>IF(_xlfn.XLOOKUP($J920,Catalogo!$B$7:$B$210,Catalogo!$I$7:$I$210,"",0)=0,"",_xlfn.XLOOKUP($J920,Catalogo!$B$7:$B$210,Catalogo!$I$7:$I$210,"",0))</f>
        <v>REGIONES ECDA</v>
      </c>
      <c r="L920" s="36"/>
      <c r="M920" s="261">
        <f>IF(Tabla1[[#This Row],[Avance_km]]&lt;&gt;"",Tabla1[[#This Row],[Avance_km]],Tabla1[[#This Row],[Avance_Med]])*_xlfn.XLOOKUP(Tabla1[[#This Row],[Codigo_actividad]],Catalogo!$B$6:$B$51,Catalogo!$F$6:$F$51,0)</f>
        <v>49478.25</v>
      </c>
    </row>
    <row r="921" spans="1:14" x14ac:dyDescent="0.25">
      <c r="A921" s="356">
        <v>46111</v>
      </c>
      <c r="B921" s="262" t="s">
        <v>410</v>
      </c>
      <c r="C921" s="263" t="s">
        <v>13</v>
      </c>
      <c r="D921" s="264" t="s">
        <v>403</v>
      </c>
      <c r="E921" s="377" t="s">
        <v>409</v>
      </c>
      <c r="F921" s="265"/>
      <c r="G921" s="265"/>
      <c r="H921" s="224" t="str">
        <f>IF(Tabla1[[#This Row],[Codigo_actividad]]&lt;&gt;2.5,IF(((Tabla1[[#This Row],[fin]]-Tabla1[[#This Row],[inicio]])/1000)=0,"",((Tabla1[[#This Row],[fin]]-Tabla1[[#This Row],[inicio]])/1000)),"")</f>
        <v/>
      </c>
      <c r="I921" s="66">
        <v>37</v>
      </c>
      <c r="J921" s="76">
        <v>1.6</v>
      </c>
      <c r="K921" s="66" t="str">
        <f>IF(_xlfn.XLOOKUP($J921,Catalogo!$B$7:$B$210,Catalogo!$I$7:$I$210,"",0)=0,"",_xlfn.XLOOKUP($J921,Catalogo!$B$7:$B$210,Catalogo!$I$7:$I$210,"",0))</f>
        <v>REPORTE E1</v>
      </c>
      <c r="L921" s="36"/>
      <c r="M921" s="261">
        <f>IF(Tabla1[[#This Row],[Avance_km]]&lt;&gt;"",Tabla1[[#This Row],[Avance_km]],Tabla1[[#This Row],[Avance_Med]])*_xlfn.XLOOKUP(Tabla1[[#This Row],[Codigo_actividad]],Catalogo!$B$6:$B$51,Catalogo!$F$6:$F$51,0)</f>
        <v>58504.770000000004</v>
      </c>
    </row>
    <row r="922" spans="1:14" x14ac:dyDescent="0.25">
      <c r="A922" s="357">
        <v>46111</v>
      </c>
      <c r="B922" s="266" t="s">
        <v>410</v>
      </c>
      <c r="C922" s="267" t="s">
        <v>22</v>
      </c>
      <c r="D922" s="268" t="s">
        <v>403</v>
      </c>
      <c r="E922" s="378" t="s">
        <v>404</v>
      </c>
      <c r="F922" s="269"/>
      <c r="G922" s="269"/>
      <c r="H922" s="224" t="str">
        <f>IF(Tabla1[[#This Row],[Codigo_actividad]]&lt;&gt;2.5,IF(((Tabla1[[#This Row],[fin]]-Tabla1[[#This Row],[inicio]])/1000)=0,"",((Tabla1[[#This Row],[fin]]-Tabla1[[#This Row],[inicio]])/1000)),"")</f>
        <v/>
      </c>
      <c r="I922" s="66">
        <v>17</v>
      </c>
      <c r="J922" s="76">
        <v>1.1000000000000001</v>
      </c>
      <c r="K922" s="66" t="str">
        <f>IF(_xlfn.XLOOKUP($J922,Catalogo!$B$7:$B$210,Catalogo!$I$7:$I$210,"",0)=0,"",_xlfn.XLOOKUP($J922,Catalogo!$B$7:$B$210,Catalogo!$I$7:$I$210,"",0))</f>
        <v>RECOPILACION</v>
      </c>
      <c r="L922" s="36"/>
      <c r="M922" s="261">
        <f>IF(Tabla1[[#This Row],[Avance_km]]&lt;&gt;"",Tabla1[[#This Row],[Avance_km]],Tabla1[[#This Row],[Avance_Med]])*_xlfn.XLOOKUP(Tabla1[[#This Row],[Codigo_actividad]],Catalogo!$B$6:$B$51,Catalogo!$F$6:$F$51,0)</f>
        <v>43057.77</v>
      </c>
    </row>
    <row r="923" spans="1:14" x14ac:dyDescent="0.25">
      <c r="A923" s="357">
        <v>46111</v>
      </c>
      <c r="B923" s="266" t="s">
        <v>410</v>
      </c>
      <c r="C923" s="267" t="s">
        <v>22</v>
      </c>
      <c r="D923" s="268" t="s">
        <v>403</v>
      </c>
      <c r="E923" s="378" t="s">
        <v>405</v>
      </c>
      <c r="F923" s="269"/>
      <c r="G923" s="269"/>
      <c r="H923" s="224" t="str">
        <f>IF(Tabla1[[#This Row],[Codigo_actividad]]&lt;&gt;2.5,IF(((Tabla1[[#This Row],[fin]]-Tabla1[[#This Row],[inicio]])/1000)=0,"",((Tabla1[[#This Row],[fin]]-Tabla1[[#This Row],[inicio]])/1000)),"")</f>
        <v/>
      </c>
      <c r="I923" s="66">
        <v>17</v>
      </c>
      <c r="J923" s="76">
        <v>1.2</v>
      </c>
      <c r="K923" s="66" t="str">
        <f>IF(_xlfn.XLOOKUP($J923,Catalogo!$B$7:$B$210,Catalogo!$I$7:$I$210,"",0)=0,"",_xlfn.XLOOKUP($J923,Catalogo!$B$7:$B$210,Catalogo!$I$7:$I$210,"",0))</f>
        <v>ANALISIS</v>
      </c>
      <c r="L923" s="36"/>
      <c r="M923" s="261">
        <f>IF(Tabla1[[#This Row],[Avance_km]]&lt;&gt;"",Tabla1[[#This Row],[Avance_km]],Tabla1[[#This Row],[Avance_Med]])*_xlfn.XLOOKUP(Tabla1[[#This Row],[Codigo_actividad]],Catalogo!$B$6:$B$51,Catalogo!$F$6:$F$51,0)</f>
        <v>55250.170000000006</v>
      </c>
    </row>
    <row r="924" spans="1:14" x14ac:dyDescent="0.25">
      <c r="A924" s="357">
        <v>46111</v>
      </c>
      <c r="B924" s="266" t="s">
        <v>410</v>
      </c>
      <c r="C924" s="267" t="s">
        <v>22</v>
      </c>
      <c r="D924" s="268" t="s">
        <v>403</v>
      </c>
      <c r="E924" s="378" t="s">
        <v>406</v>
      </c>
      <c r="F924" s="269"/>
      <c r="G924" s="269"/>
      <c r="H924" s="224" t="str">
        <f>IF(Tabla1[[#This Row],[Codigo_actividad]]&lt;&gt;2.5,IF(((Tabla1[[#This Row],[fin]]-Tabla1[[#This Row],[inicio]])/1000)=0,"",((Tabla1[[#This Row],[fin]]-Tabla1[[#This Row],[inicio]])/1000)),"")</f>
        <v/>
      </c>
      <c r="I924" s="66">
        <v>17</v>
      </c>
      <c r="J924" s="76">
        <v>1.3</v>
      </c>
      <c r="K924" s="66" t="str">
        <f>IF(_xlfn.XLOOKUP($J924,Catalogo!$B$7:$B$210,Catalogo!$I$7:$I$210,"",0)=0,"",_xlfn.XLOOKUP($J924,Catalogo!$B$7:$B$210,Catalogo!$I$7:$I$210,"",0))</f>
        <v>FACTIBILIDAD</v>
      </c>
      <c r="L924" s="36"/>
      <c r="M924" s="261">
        <f>IF(Tabla1[[#This Row],[Avance_km]]&lt;&gt;"",Tabla1[[#This Row],[Avance_km]],Tabla1[[#This Row],[Avance_Med]])*_xlfn.XLOOKUP(Tabla1[[#This Row],[Codigo_actividad]],Catalogo!$B$6:$B$51,Catalogo!$F$6:$F$51,0)</f>
        <v>16750.440000000002</v>
      </c>
    </row>
    <row r="925" spans="1:14" x14ac:dyDescent="0.25">
      <c r="A925" s="357">
        <v>46111</v>
      </c>
      <c r="B925" s="266" t="s">
        <v>410</v>
      </c>
      <c r="C925" s="267" t="s">
        <v>22</v>
      </c>
      <c r="D925" s="268" t="s">
        <v>403</v>
      </c>
      <c r="E925" s="378" t="s">
        <v>407</v>
      </c>
      <c r="F925" s="269"/>
      <c r="G925" s="269"/>
      <c r="H925" s="224" t="str">
        <f>IF(Tabla1[[#This Row],[Codigo_actividad]]&lt;&gt;2.5,IF(((Tabla1[[#This Row],[fin]]-Tabla1[[#This Row],[inicio]])/1000)=0,"",((Tabla1[[#This Row],[fin]]-Tabla1[[#This Row],[inicio]])/1000)),"")</f>
        <v/>
      </c>
      <c r="I925" s="66">
        <v>17</v>
      </c>
      <c r="J925" s="76">
        <v>1.4</v>
      </c>
      <c r="K925" s="66" t="str">
        <f>IF(_xlfn.XLOOKUP($J925,Catalogo!$B$7:$B$210,Catalogo!$I$7:$I$210,"",0)=0,"",_xlfn.XLOOKUP($J925,Catalogo!$B$7:$B$210,Catalogo!$I$7:$I$210,"",0))</f>
        <v>SELECCIÓN HERRAMIENTAS</v>
      </c>
      <c r="L925" s="36"/>
      <c r="M925" s="261">
        <f>IF(Tabla1[[#This Row],[Avance_km]]&lt;&gt;"",Tabla1[[#This Row],[Avance_km]],Tabla1[[#This Row],[Avance_Med]])*_xlfn.XLOOKUP(Tabla1[[#This Row],[Codigo_actividad]],Catalogo!$B$6:$B$51,Catalogo!$F$6:$F$51,0)</f>
        <v>18069.64</v>
      </c>
    </row>
    <row r="926" spans="1:14" x14ac:dyDescent="0.25">
      <c r="A926" s="357">
        <v>46111</v>
      </c>
      <c r="B926" s="266" t="s">
        <v>410</v>
      </c>
      <c r="C926" s="267" t="s">
        <v>22</v>
      </c>
      <c r="D926" s="268" t="s">
        <v>403</v>
      </c>
      <c r="E926" s="378" t="s">
        <v>408</v>
      </c>
      <c r="F926" s="269"/>
      <c r="G926" s="269"/>
      <c r="H926" s="224" t="str">
        <f>IF(Tabla1[[#This Row],[Codigo_actividad]]&lt;&gt;2.5,IF(((Tabla1[[#This Row],[fin]]-Tabla1[[#This Row],[inicio]])/1000)=0,"",((Tabla1[[#This Row],[fin]]-Tabla1[[#This Row],[inicio]])/1000)),"")</f>
        <v/>
      </c>
      <c r="I926" s="66">
        <v>17</v>
      </c>
      <c r="J926" s="76">
        <v>1.5</v>
      </c>
      <c r="K926" s="66" t="str">
        <f>IF(_xlfn.XLOOKUP($J926,Catalogo!$B$7:$B$210,Catalogo!$I$7:$I$210,"",0)=0,"",_xlfn.XLOOKUP($J926,Catalogo!$B$7:$B$210,Catalogo!$I$7:$I$210,"",0))</f>
        <v>REGIONES ECDA</v>
      </c>
      <c r="L926" s="36"/>
      <c r="M926" s="261">
        <f>IF(Tabla1[[#This Row],[Avance_km]]&lt;&gt;"",Tabla1[[#This Row],[Avance_km]],Tabla1[[#This Row],[Avance_Med]])*_xlfn.XLOOKUP(Tabla1[[#This Row],[Codigo_actividad]],Catalogo!$B$6:$B$51,Catalogo!$F$6:$F$51,0)</f>
        <v>22733.25</v>
      </c>
    </row>
    <row r="927" spans="1:14" x14ac:dyDescent="0.25">
      <c r="A927" s="357">
        <v>46111</v>
      </c>
      <c r="B927" s="266" t="s">
        <v>410</v>
      </c>
      <c r="C927" s="267" t="s">
        <v>22</v>
      </c>
      <c r="D927" s="268" t="s">
        <v>403</v>
      </c>
      <c r="E927" s="378" t="s">
        <v>409</v>
      </c>
      <c r="F927" s="269"/>
      <c r="G927" s="269"/>
      <c r="H927" s="224" t="str">
        <f>IF(Tabla1[[#This Row],[Codigo_actividad]]&lt;&gt;2.5,IF(((Tabla1[[#This Row],[fin]]-Tabla1[[#This Row],[inicio]])/1000)=0,"",((Tabla1[[#This Row],[fin]]-Tabla1[[#This Row],[inicio]])/1000)),"")</f>
        <v/>
      </c>
      <c r="I927" s="66">
        <v>17</v>
      </c>
      <c r="J927" s="76">
        <v>1.6</v>
      </c>
      <c r="K927" s="66" t="str">
        <f>IF(_xlfn.XLOOKUP($J927,Catalogo!$B$7:$B$210,Catalogo!$I$7:$I$210,"",0)=0,"",_xlfn.XLOOKUP($J927,Catalogo!$B$7:$B$210,Catalogo!$I$7:$I$210,"",0))</f>
        <v>REPORTE E1</v>
      </c>
      <c r="L927" s="36"/>
      <c r="M927" s="261">
        <f>IF(Tabla1[[#This Row],[Avance_km]]&lt;&gt;"",Tabla1[[#This Row],[Avance_km]],Tabla1[[#This Row],[Avance_Med]])*_xlfn.XLOOKUP(Tabla1[[#This Row],[Codigo_actividad]],Catalogo!$B$6:$B$51,Catalogo!$F$6:$F$51,0)</f>
        <v>26880.57</v>
      </c>
    </row>
    <row r="928" spans="1:14" x14ac:dyDescent="0.25">
      <c r="A928" s="358">
        <v>46111</v>
      </c>
      <c r="B928" s="270" t="s">
        <v>410</v>
      </c>
      <c r="C928" s="271" t="s">
        <v>329</v>
      </c>
      <c r="D928" s="272" t="s">
        <v>403</v>
      </c>
      <c r="E928" s="379" t="s">
        <v>404</v>
      </c>
      <c r="F928" s="273"/>
      <c r="G928" s="273"/>
      <c r="H928" s="224" t="str">
        <f>IF(Tabla1[[#This Row],[Codigo_actividad]]&lt;&gt;2.5,IF(((Tabla1[[#This Row],[fin]]-Tabla1[[#This Row],[inicio]])/1000)=0,"",((Tabla1[[#This Row],[fin]]-Tabla1[[#This Row],[inicio]])/1000)),"")</f>
        <v/>
      </c>
      <c r="I928" s="66">
        <v>40</v>
      </c>
      <c r="J928" s="76">
        <v>1.1000000000000001</v>
      </c>
      <c r="K928" s="66" t="str">
        <f>IF(_xlfn.XLOOKUP($J928,Catalogo!$B$7:$B$210,Catalogo!$I$7:$I$210,"",0)=0,"",_xlfn.XLOOKUP($J928,Catalogo!$B$7:$B$210,Catalogo!$I$7:$I$210,"",0))</f>
        <v>RECOPILACION</v>
      </c>
      <c r="L928" s="36"/>
      <c r="M928" s="261">
        <f>IF(Tabla1[[#This Row],[Avance_km]]&lt;&gt;"",Tabla1[[#This Row],[Avance_km]],Tabla1[[#This Row],[Avance_Med]])*_xlfn.XLOOKUP(Tabla1[[#This Row],[Codigo_actividad]],Catalogo!$B$6:$B$51,Catalogo!$F$6:$F$51,0)</f>
        <v>101312.4</v>
      </c>
    </row>
    <row r="929" spans="1:13" x14ac:dyDescent="0.25">
      <c r="A929" s="358">
        <v>46111</v>
      </c>
      <c r="B929" s="270" t="s">
        <v>410</v>
      </c>
      <c r="C929" s="271" t="s">
        <v>329</v>
      </c>
      <c r="D929" s="272" t="s">
        <v>403</v>
      </c>
      <c r="E929" s="379" t="s">
        <v>405</v>
      </c>
      <c r="F929" s="273"/>
      <c r="G929" s="273"/>
      <c r="H929" s="224" t="str">
        <f>IF(Tabla1[[#This Row],[Codigo_actividad]]&lt;&gt;2.5,IF(((Tabla1[[#This Row],[fin]]-Tabla1[[#This Row],[inicio]])/1000)=0,"",((Tabla1[[#This Row],[fin]]-Tabla1[[#This Row],[inicio]])/1000)),"")</f>
        <v/>
      </c>
      <c r="I929" s="66">
        <v>40</v>
      </c>
      <c r="J929" s="76">
        <v>1.2</v>
      </c>
      <c r="K929" s="66" t="str">
        <f>IF(_xlfn.XLOOKUP($J929,Catalogo!$B$7:$B$210,Catalogo!$I$7:$I$210,"",0)=0,"",_xlfn.XLOOKUP($J929,Catalogo!$B$7:$B$210,Catalogo!$I$7:$I$210,"",0))</f>
        <v>ANALISIS</v>
      </c>
      <c r="L929" s="36"/>
      <c r="M929" s="261">
        <f>IF(Tabla1[[#This Row],[Avance_km]]&lt;&gt;"",Tabla1[[#This Row],[Avance_km]],Tabla1[[#This Row],[Avance_Med]])*_xlfn.XLOOKUP(Tabla1[[#This Row],[Codigo_actividad]],Catalogo!$B$6:$B$51,Catalogo!$F$6:$F$51,0)</f>
        <v>130000.40000000001</v>
      </c>
    </row>
    <row r="930" spans="1:13" x14ac:dyDescent="0.25">
      <c r="A930" s="358">
        <v>46111</v>
      </c>
      <c r="B930" s="270" t="s">
        <v>410</v>
      </c>
      <c r="C930" s="271" t="s">
        <v>329</v>
      </c>
      <c r="D930" s="272" t="s">
        <v>403</v>
      </c>
      <c r="E930" s="379" t="s">
        <v>406</v>
      </c>
      <c r="F930" s="273"/>
      <c r="G930" s="273"/>
      <c r="H930" s="224" t="str">
        <f>IF(Tabla1[[#This Row],[Codigo_actividad]]&lt;&gt;2.5,IF(((Tabla1[[#This Row],[fin]]-Tabla1[[#This Row],[inicio]])/1000)=0,"",((Tabla1[[#This Row],[fin]]-Tabla1[[#This Row],[inicio]])/1000)),"")</f>
        <v/>
      </c>
      <c r="I930" s="66">
        <v>40</v>
      </c>
      <c r="J930" s="76">
        <v>1.3</v>
      </c>
      <c r="K930" s="66" t="str">
        <f>IF(_xlfn.XLOOKUP($J930,Catalogo!$B$7:$B$210,Catalogo!$I$7:$I$210,"",0)=0,"",_xlfn.XLOOKUP($J930,Catalogo!$B$7:$B$210,Catalogo!$I$7:$I$210,"",0))</f>
        <v>FACTIBILIDAD</v>
      </c>
      <c r="L930" s="36"/>
      <c r="M930" s="261">
        <f>IF(Tabla1[[#This Row],[Avance_km]]&lt;&gt;"",Tabla1[[#This Row],[Avance_km]],Tabla1[[#This Row],[Avance_Med]])*_xlfn.XLOOKUP(Tabla1[[#This Row],[Codigo_actividad]],Catalogo!$B$6:$B$51,Catalogo!$F$6:$F$51,0)</f>
        <v>39412.800000000003</v>
      </c>
    </row>
    <row r="931" spans="1:13" x14ac:dyDescent="0.25">
      <c r="A931" s="358">
        <v>46111</v>
      </c>
      <c r="B931" s="270" t="s">
        <v>410</v>
      </c>
      <c r="C931" s="271" t="s">
        <v>329</v>
      </c>
      <c r="D931" s="272" t="s">
        <v>403</v>
      </c>
      <c r="E931" s="379" t="s">
        <v>407</v>
      </c>
      <c r="F931" s="273"/>
      <c r="G931" s="273"/>
      <c r="H931" s="224" t="str">
        <f>IF(Tabla1[[#This Row],[Codigo_actividad]]&lt;&gt;2.5,IF(((Tabla1[[#This Row],[fin]]-Tabla1[[#This Row],[inicio]])/1000)=0,"",((Tabla1[[#This Row],[fin]]-Tabla1[[#This Row],[inicio]])/1000)),"")</f>
        <v/>
      </c>
      <c r="I931" s="66">
        <v>40</v>
      </c>
      <c r="J931" s="76">
        <v>1.4</v>
      </c>
      <c r="K931" s="66" t="str">
        <f>IF(_xlfn.XLOOKUP($J931,Catalogo!$B$7:$B$210,Catalogo!$I$7:$I$210,"",0)=0,"",_xlfn.XLOOKUP($J931,Catalogo!$B$7:$B$210,Catalogo!$I$7:$I$210,"",0))</f>
        <v>SELECCIÓN HERRAMIENTAS</v>
      </c>
      <c r="L931" s="36"/>
      <c r="M931" s="261">
        <f>IF(Tabla1[[#This Row],[Avance_km]]&lt;&gt;"",Tabla1[[#This Row],[Avance_km]],Tabla1[[#This Row],[Avance_Med]])*_xlfn.XLOOKUP(Tabla1[[#This Row],[Codigo_actividad]],Catalogo!$B$6:$B$51,Catalogo!$F$6:$F$51,0)</f>
        <v>42516.800000000003</v>
      </c>
    </row>
    <row r="932" spans="1:13" x14ac:dyDescent="0.25">
      <c r="A932" s="358">
        <v>46111</v>
      </c>
      <c r="B932" s="270" t="s">
        <v>410</v>
      </c>
      <c r="C932" s="271" t="s">
        <v>329</v>
      </c>
      <c r="D932" s="272" t="s">
        <v>403</v>
      </c>
      <c r="E932" s="379" t="s">
        <v>408</v>
      </c>
      <c r="F932" s="273"/>
      <c r="G932" s="273"/>
      <c r="H932" s="224" t="str">
        <f>IF(Tabla1[[#This Row],[Codigo_actividad]]&lt;&gt;2.5,IF(((Tabla1[[#This Row],[fin]]-Tabla1[[#This Row],[inicio]])/1000)=0,"",((Tabla1[[#This Row],[fin]]-Tabla1[[#This Row],[inicio]])/1000)),"")</f>
        <v/>
      </c>
      <c r="I932" s="66">
        <v>40</v>
      </c>
      <c r="J932" s="76">
        <v>1.5</v>
      </c>
      <c r="K932" s="66" t="str">
        <f>IF(_xlfn.XLOOKUP($J932,Catalogo!$B$7:$B$210,Catalogo!$I$7:$I$210,"",0)=0,"",_xlfn.XLOOKUP($J932,Catalogo!$B$7:$B$210,Catalogo!$I$7:$I$210,"",0))</f>
        <v>REGIONES ECDA</v>
      </c>
      <c r="L932" s="36"/>
      <c r="M932" s="261">
        <f>IF(Tabla1[[#This Row],[Avance_km]]&lt;&gt;"",Tabla1[[#This Row],[Avance_km]],Tabla1[[#This Row],[Avance_Med]])*_xlfn.XLOOKUP(Tabla1[[#This Row],[Codigo_actividad]],Catalogo!$B$6:$B$51,Catalogo!$F$6:$F$51,0)</f>
        <v>53490</v>
      </c>
    </row>
    <row r="933" spans="1:13" x14ac:dyDescent="0.25">
      <c r="A933" s="358">
        <v>46111</v>
      </c>
      <c r="B933" s="270" t="s">
        <v>410</v>
      </c>
      <c r="C933" s="271" t="s">
        <v>329</v>
      </c>
      <c r="D933" s="272" t="s">
        <v>403</v>
      </c>
      <c r="E933" s="379" t="s">
        <v>409</v>
      </c>
      <c r="F933" s="273"/>
      <c r="G933" s="273"/>
      <c r="H933" s="224" t="str">
        <f>IF(Tabla1[[#This Row],[Codigo_actividad]]&lt;&gt;2.5,IF(((Tabla1[[#This Row],[fin]]-Tabla1[[#This Row],[inicio]])/1000)=0,"",((Tabla1[[#This Row],[fin]]-Tabla1[[#This Row],[inicio]])/1000)),"")</f>
        <v/>
      </c>
      <c r="I933" s="66">
        <v>40</v>
      </c>
      <c r="J933" s="76">
        <v>1.6</v>
      </c>
      <c r="K933" s="66" t="str">
        <f>IF(_xlfn.XLOOKUP($J933,Catalogo!$B$7:$B$210,Catalogo!$I$7:$I$210,"",0)=0,"",_xlfn.XLOOKUP($J933,Catalogo!$B$7:$B$210,Catalogo!$I$7:$I$210,"",0))</f>
        <v>REPORTE E1</v>
      </c>
      <c r="L933" s="36"/>
      <c r="M933" s="261">
        <f>IF(Tabla1[[#This Row],[Avance_km]]&lt;&gt;"",Tabla1[[#This Row],[Avance_km]],Tabla1[[#This Row],[Avance_Med]])*_xlfn.XLOOKUP(Tabla1[[#This Row],[Codigo_actividad]],Catalogo!$B$6:$B$51,Catalogo!$F$6:$F$51,0)</f>
        <v>63248.4</v>
      </c>
    </row>
    <row r="934" spans="1:13" x14ac:dyDescent="0.25">
      <c r="A934" s="359">
        <v>46134</v>
      </c>
      <c r="B934" s="283" t="s">
        <v>410</v>
      </c>
      <c r="C934" s="284" t="s">
        <v>411</v>
      </c>
      <c r="D934" s="285" t="s">
        <v>403</v>
      </c>
      <c r="E934" s="380" t="s">
        <v>404</v>
      </c>
      <c r="F934" s="286"/>
      <c r="G934" s="286"/>
      <c r="H934" s="224" t="str">
        <f>IF(Tabla1[[#This Row],[Codigo_actividad]]&lt;&gt;2.5,IF(((Tabla1[[#This Row],[fin]]-Tabla1[[#This Row],[inicio]])/1000)=0,"",((Tabla1[[#This Row],[fin]]-Tabla1[[#This Row],[inicio]])/1000)),"")</f>
        <v/>
      </c>
      <c r="I934" s="66">
        <v>4</v>
      </c>
      <c r="J934" s="76">
        <v>1.1000000000000001</v>
      </c>
      <c r="K934" s="66" t="str">
        <f>IF(_xlfn.XLOOKUP($J934,Catalogo!$B$7:$B$210,Catalogo!$I$7:$I$210,"",0)=0,"",_xlfn.XLOOKUP($J934,Catalogo!$B$7:$B$210,Catalogo!$I$7:$I$210,"",0))</f>
        <v>RECOPILACION</v>
      </c>
      <c r="L934" s="36"/>
      <c r="M934" s="261">
        <f>IF(Tabla1[[#This Row],[Avance_km]]&lt;&gt;"",Tabla1[[#This Row],[Avance_km]],Tabla1[[#This Row],[Avance_Med]])*_xlfn.XLOOKUP(Tabla1[[#This Row],[Codigo_actividad]],Catalogo!$B$6:$B$51,Catalogo!$F$6:$F$51,0)</f>
        <v>10131.24</v>
      </c>
    </row>
    <row r="935" spans="1:13" x14ac:dyDescent="0.25">
      <c r="A935" s="359">
        <v>46134</v>
      </c>
      <c r="B935" s="283" t="s">
        <v>410</v>
      </c>
      <c r="C935" s="284" t="s">
        <v>411</v>
      </c>
      <c r="D935" s="285" t="s">
        <v>403</v>
      </c>
      <c r="E935" s="380" t="s">
        <v>405</v>
      </c>
      <c r="F935" s="286"/>
      <c r="G935" s="286"/>
      <c r="H935" s="224" t="str">
        <f>IF(Tabla1[[#This Row],[Codigo_actividad]]&lt;&gt;2.5,IF(((Tabla1[[#This Row],[fin]]-Tabla1[[#This Row],[inicio]])/1000)=0,"",((Tabla1[[#This Row],[fin]]-Tabla1[[#This Row],[inicio]])/1000)),"")</f>
        <v/>
      </c>
      <c r="I935" s="66">
        <v>4</v>
      </c>
      <c r="J935" s="76">
        <v>1.2</v>
      </c>
      <c r="K935" s="66" t="str">
        <f>IF(_xlfn.XLOOKUP($J935,Catalogo!$B$7:$B$210,Catalogo!$I$7:$I$210,"",0)=0,"",_xlfn.XLOOKUP($J935,Catalogo!$B$7:$B$210,Catalogo!$I$7:$I$210,"",0))</f>
        <v>ANALISIS</v>
      </c>
      <c r="L935" s="36"/>
      <c r="M935" s="261">
        <f>IF(Tabla1[[#This Row],[Avance_km]]&lt;&gt;"",Tabla1[[#This Row],[Avance_km]],Tabla1[[#This Row],[Avance_Med]])*_xlfn.XLOOKUP(Tabla1[[#This Row],[Codigo_actividad]],Catalogo!$B$6:$B$51,Catalogo!$F$6:$F$51,0)</f>
        <v>13000.04</v>
      </c>
    </row>
    <row r="936" spans="1:13" x14ac:dyDescent="0.25">
      <c r="A936" s="359">
        <v>46134</v>
      </c>
      <c r="B936" s="283" t="s">
        <v>410</v>
      </c>
      <c r="C936" s="284" t="s">
        <v>411</v>
      </c>
      <c r="D936" s="285" t="s">
        <v>403</v>
      </c>
      <c r="E936" s="380" t="s">
        <v>406</v>
      </c>
      <c r="F936" s="286"/>
      <c r="G936" s="286"/>
      <c r="H936" s="224" t="str">
        <f>IF(Tabla1[[#This Row],[Codigo_actividad]]&lt;&gt;2.5,IF(((Tabla1[[#This Row],[fin]]-Tabla1[[#This Row],[inicio]])/1000)=0,"",((Tabla1[[#This Row],[fin]]-Tabla1[[#This Row],[inicio]])/1000)),"")</f>
        <v/>
      </c>
      <c r="I936" s="66">
        <v>4</v>
      </c>
      <c r="J936" s="76">
        <v>1.3</v>
      </c>
      <c r="K936" s="66" t="str">
        <f>IF(_xlfn.XLOOKUP($J936,Catalogo!$B$7:$B$210,Catalogo!$I$7:$I$210,"",0)=0,"",_xlfn.XLOOKUP($J936,Catalogo!$B$7:$B$210,Catalogo!$I$7:$I$210,"",0))</f>
        <v>FACTIBILIDAD</v>
      </c>
      <c r="L936" s="36"/>
      <c r="M936" s="261">
        <f>IF(Tabla1[[#This Row],[Avance_km]]&lt;&gt;"",Tabla1[[#This Row],[Avance_km]],Tabla1[[#This Row],[Avance_Med]])*_xlfn.XLOOKUP(Tabla1[[#This Row],[Codigo_actividad]],Catalogo!$B$6:$B$51,Catalogo!$F$6:$F$51,0)</f>
        <v>3941.28</v>
      </c>
    </row>
    <row r="937" spans="1:13" x14ac:dyDescent="0.25">
      <c r="A937" s="359">
        <v>46134</v>
      </c>
      <c r="B937" s="283" t="s">
        <v>410</v>
      </c>
      <c r="C937" s="284" t="s">
        <v>411</v>
      </c>
      <c r="D937" s="285" t="s">
        <v>403</v>
      </c>
      <c r="E937" s="380" t="s">
        <v>407</v>
      </c>
      <c r="F937" s="286"/>
      <c r="G937" s="286"/>
      <c r="H937" s="224" t="str">
        <f>IF(Tabla1[[#This Row],[Codigo_actividad]]&lt;&gt;2.5,IF(((Tabla1[[#This Row],[fin]]-Tabla1[[#This Row],[inicio]])/1000)=0,"",((Tabla1[[#This Row],[fin]]-Tabla1[[#This Row],[inicio]])/1000)),"")</f>
        <v/>
      </c>
      <c r="I937" s="66">
        <v>4</v>
      </c>
      <c r="J937" s="76">
        <v>1.4</v>
      </c>
      <c r="K937" s="66" t="str">
        <f>IF(_xlfn.XLOOKUP($J937,Catalogo!$B$7:$B$210,Catalogo!$I$7:$I$210,"",0)=0,"",_xlfn.XLOOKUP($J937,Catalogo!$B$7:$B$210,Catalogo!$I$7:$I$210,"",0))</f>
        <v>SELECCIÓN HERRAMIENTAS</v>
      </c>
      <c r="L937" s="36"/>
      <c r="M937" s="261">
        <f>IF(Tabla1[[#This Row],[Avance_km]]&lt;&gt;"",Tabla1[[#This Row],[Avance_km]],Tabla1[[#This Row],[Avance_Med]])*_xlfn.XLOOKUP(Tabla1[[#This Row],[Codigo_actividad]],Catalogo!$B$6:$B$51,Catalogo!$F$6:$F$51,0)</f>
        <v>4251.68</v>
      </c>
    </row>
    <row r="938" spans="1:13" x14ac:dyDescent="0.25">
      <c r="A938" s="359">
        <v>46134</v>
      </c>
      <c r="B938" s="283" t="s">
        <v>410</v>
      </c>
      <c r="C938" s="284" t="s">
        <v>411</v>
      </c>
      <c r="D938" s="285" t="s">
        <v>403</v>
      </c>
      <c r="E938" s="380" t="s">
        <v>408</v>
      </c>
      <c r="F938" s="286"/>
      <c r="G938" s="286"/>
      <c r="H938" s="224" t="str">
        <f>IF(Tabla1[[#This Row],[Codigo_actividad]]&lt;&gt;2.5,IF(((Tabla1[[#This Row],[fin]]-Tabla1[[#This Row],[inicio]])/1000)=0,"",((Tabla1[[#This Row],[fin]]-Tabla1[[#This Row],[inicio]])/1000)),"")</f>
        <v/>
      </c>
      <c r="I938" s="66">
        <v>4</v>
      </c>
      <c r="J938" s="76">
        <v>1.5</v>
      </c>
      <c r="K938" s="66" t="str">
        <f>IF(_xlfn.XLOOKUP($J938,Catalogo!$B$7:$B$210,Catalogo!$I$7:$I$210,"",0)=0,"",_xlfn.XLOOKUP($J938,Catalogo!$B$7:$B$210,Catalogo!$I$7:$I$210,"",0))</f>
        <v>REGIONES ECDA</v>
      </c>
      <c r="L938" s="36"/>
      <c r="M938" s="261">
        <f>IF(Tabla1[[#This Row],[Avance_km]]&lt;&gt;"",Tabla1[[#This Row],[Avance_km]],Tabla1[[#This Row],[Avance_Med]])*_xlfn.XLOOKUP(Tabla1[[#This Row],[Codigo_actividad]],Catalogo!$B$6:$B$51,Catalogo!$F$6:$F$51,0)</f>
        <v>5349</v>
      </c>
    </row>
    <row r="939" spans="1:13" x14ac:dyDescent="0.25">
      <c r="A939" s="359">
        <v>46134</v>
      </c>
      <c r="B939" s="283" t="s">
        <v>410</v>
      </c>
      <c r="C939" s="284" t="s">
        <v>411</v>
      </c>
      <c r="D939" s="285" t="s">
        <v>403</v>
      </c>
      <c r="E939" s="380" t="s">
        <v>409</v>
      </c>
      <c r="F939" s="286"/>
      <c r="G939" s="286"/>
      <c r="H939" s="224" t="str">
        <f>IF(Tabla1[[#This Row],[Codigo_actividad]]&lt;&gt;2.5,IF(((Tabla1[[#This Row],[fin]]-Tabla1[[#This Row],[inicio]])/1000)=0,"",((Tabla1[[#This Row],[fin]]-Tabla1[[#This Row],[inicio]])/1000)),"")</f>
        <v/>
      </c>
      <c r="I939" s="66">
        <v>4</v>
      </c>
      <c r="J939" s="76">
        <v>1.6</v>
      </c>
      <c r="K939" s="66" t="str">
        <f>IF(_xlfn.XLOOKUP($J939,Catalogo!$B$7:$B$210,Catalogo!$I$7:$I$210,"",0)=0,"",_xlfn.XLOOKUP($J939,Catalogo!$B$7:$B$210,Catalogo!$I$7:$I$210,"",0))</f>
        <v>REPORTE E1</v>
      </c>
      <c r="L939" s="36"/>
      <c r="M939" s="261">
        <f>IF(Tabla1[[#This Row],[Avance_km]]&lt;&gt;"",Tabla1[[#This Row],[Avance_km]],Tabla1[[#This Row],[Avance_Med]])*_xlfn.XLOOKUP(Tabla1[[#This Row],[Codigo_actividad]],Catalogo!$B$6:$B$51,Catalogo!$F$6:$F$51,0)</f>
        <v>6324.84</v>
      </c>
    </row>
    <row r="940" spans="1:13" x14ac:dyDescent="0.25">
      <c r="A940" s="360">
        <v>46135</v>
      </c>
      <c r="B940" s="287" t="s">
        <v>410</v>
      </c>
      <c r="C940" s="288" t="s">
        <v>561</v>
      </c>
      <c r="D940" s="289" t="s">
        <v>403</v>
      </c>
      <c r="E940" s="381" t="s">
        <v>404</v>
      </c>
      <c r="F940" s="290"/>
      <c r="G940" s="290"/>
      <c r="H940" s="224" t="str">
        <f>IF(Tabla1[[#This Row],[Codigo_actividad]]&lt;&gt;2.5,IF(((Tabla1[[#This Row],[fin]]-Tabla1[[#This Row],[inicio]])/1000)=0,"",((Tabla1[[#This Row],[fin]]-Tabla1[[#This Row],[inicio]])/1000)),"")</f>
        <v/>
      </c>
      <c r="I940" s="66">
        <v>13</v>
      </c>
      <c r="J940" s="76">
        <v>1.1000000000000001</v>
      </c>
      <c r="K940" s="66" t="str">
        <f>IF(_xlfn.XLOOKUP($J940,Catalogo!$B$7:$B$210,Catalogo!$I$7:$I$210,"",0)=0,"",_xlfn.XLOOKUP($J940,Catalogo!$B$7:$B$210,Catalogo!$I$7:$I$210,"",0))</f>
        <v>RECOPILACION</v>
      </c>
      <c r="L940" s="36"/>
      <c r="M940" s="261">
        <f>IF(Tabla1[[#This Row],[Avance_km]]&lt;&gt;"",Tabla1[[#This Row],[Avance_km]],Tabla1[[#This Row],[Avance_Med]])*_xlfn.XLOOKUP(Tabla1[[#This Row],[Codigo_actividad]],Catalogo!$B$6:$B$51,Catalogo!$F$6:$F$51,0)</f>
        <v>32926.53</v>
      </c>
    </row>
    <row r="941" spans="1:13" x14ac:dyDescent="0.25">
      <c r="A941" s="360">
        <v>46135</v>
      </c>
      <c r="B941" s="287" t="s">
        <v>410</v>
      </c>
      <c r="C941" s="288" t="s">
        <v>561</v>
      </c>
      <c r="D941" s="289" t="s">
        <v>403</v>
      </c>
      <c r="E941" s="381" t="s">
        <v>405</v>
      </c>
      <c r="F941" s="290"/>
      <c r="G941" s="290"/>
      <c r="H941" s="224" t="str">
        <f>IF(Tabla1[[#This Row],[Codigo_actividad]]&lt;&gt;2.5,IF(((Tabla1[[#This Row],[fin]]-Tabla1[[#This Row],[inicio]])/1000)=0,"",((Tabla1[[#This Row],[fin]]-Tabla1[[#This Row],[inicio]])/1000)),"")</f>
        <v/>
      </c>
      <c r="I941" s="66">
        <v>13</v>
      </c>
      <c r="J941" s="76">
        <v>1.2</v>
      </c>
      <c r="K941" s="66" t="str">
        <f>IF(_xlfn.XLOOKUP($J941,Catalogo!$B$7:$B$210,Catalogo!$I$7:$I$210,"",0)=0,"",_xlfn.XLOOKUP($J941,Catalogo!$B$7:$B$210,Catalogo!$I$7:$I$210,"",0))</f>
        <v>ANALISIS</v>
      </c>
      <c r="L941" s="36"/>
      <c r="M941" s="261">
        <f>IF(Tabla1[[#This Row],[Avance_km]]&lt;&gt;"",Tabla1[[#This Row],[Avance_km]],Tabla1[[#This Row],[Avance_Med]])*_xlfn.XLOOKUP(Tabla1[[#This Row],[Codigo_actividad]],Catalogo!$B$6:$B$51,Catalogo!$F$6:$F$51,0)</f>
        <v>42250.130000000005</v>
      </c>
    </row>
    <row r="942" spans="1:13" x14ac:dyDescent="0.25">
      <c r="A942" s="360">
        <v>46135</v>
      </c>
      <c r="B942" s="287" t="s">
        <v>410</v>
      </c>
      <c r="C942" s="288" t="s">
        <v>561</v>
      </c>
      <c r="D942" s="289" t="s">
        <v>403</v>
      </c>
      <c r="E942" s="381" t="s">
        <v>406</v>
      </c>
      <c r="F942" s="290"/>
      <c r="G942" s="290"/>
      <c r="H942" s="224" t="str">
        <f>IF(Tabla1[[#This Row],[Codigo_actividad]]&lt;&gt;2.5,IF(((Tabla1[[#This Row],[fin]]-Tabla1[[#This Row],[inicio]])/1000)=0,"",((Tabla1[[#This Row],[fin]]-Tabla1[[#This Row],[inicio]])/1000)),"")</f>
        <v/>
      </c>
      <c r="I942" s="66">
        <v>13</v>
      </c>
      <c r="J942" s="76">
        <v>1.3</v>
      </c>
      <c r="K942" s="66" t="str">
        <f>IF(_xlfn.XLOOKUP($J942,Catalogo!$B$7:$B$210,Catalogo!$I$7:$I$210,"",0)=0,"",_xlfn.XLOOKUP($J942,Catalogo!$B$7:$B$210,Catalogo!$I$7:$I$210,"",0))</f>
        <v>FACTIBILIDAD</v>
      </c>
      <c r="L942" s="36"/>
      <c r="M942" s="261">
        <f>IF(Tabla1[[#This Row],[Avance_km]]&lt;&gt;"",Tabla1[[#This Row],[Avance_km]],Tabla1[[#This Row],[Avance_Med]])*_xlfn.XLOOKUP(Tabla1[[#This Row],[Codigo_actividad]],Catalogo!$B$6:$B$51,Catalogo!$F$6:$F$51,0)</f>
        <v>12809.16</v>
      </c>
    </row>
    <row r="943" spans="1:13" x14ac:dyDescent="0.25">
      <c r="A943" s="360">
        <v>46135</v>
      </c>
      <c r="B943" s="287" t="s">
        <v>410</v>
      </c>
      <c r="C943" s="288" t="s">
        <v>561</v>
      </c>
      <c r="D943" s="289" t="s">
        <v>403</v>
      </c>
      <c r="E943" s="381" t="s">
        <v>407</v>
      </c>
      <c r="F943" s="290"/>
      <c r="G943" s="290"/>
      <c r="H943" s="224" t="str">
        <f>IF(Tabla1[[#This Row],[Codigo_actividad]]&lt;&gt;2.5,IF(((Tabla1[[#This Row],[fin]]-Tabla1[[#This Row],[inicio]])/1000)=0,"",((Tabla1[[#This Row],[fin]]-Tabla1[[#This Row],[inicio]])/1000)),"")</f>
        <v/>
      </c>
      <c r="I943" s="66">
        <v>13</v>
      </c>
      <c r="J943" s="76">
        <v>1.4</v>
      </c>
      <c r="K943" s="66" t="str">
        <f>IF(_xlfn.XLOOKUP($J943,Catalogo!$B$7:$B$210,Catalogo!$I$7:$I$210,"",0)=0,"",_xlfn.XLOOKUP($J943,Catalogo!$B$7:$B$210,Catalogo!$I$7:$I$210,"",0))</f>
        <v>SELECCIÓN HERRAMIENTAS</v>
      </c>
      <c r="L943" s="36"/>
      <c r="M943" s="261">
        <f>IF(Tabla1[[#This Row],[Avance_km]]&lt;&gt;"",Tabla1[[#This Row],[Avance_km]],Tabla1[[#This Row],[Avance_Med]])*_xlfn.XLOOKUP(Tabla1[[#This Row],[Codigo_actividad]],Catalogo!$B$6:$B$51,Catalogo!$F$6:$F$51,0)</f>
        <v>13817.960000000001</v>
      </c>
    </row>
    <row r="944" spans="1:13" x14ac:dyDescent="0.25">
      <c r="A944" s="360">
        <v>46135</v>
      </c>
      <c r="B944" s="287" t="s">
        <v>410</v>
      </c>
      <c r="C944" s="288" t="s">
        <v>561</v>
      </c>
      <c r="D944" s="289" t="s">
        <v>403</v>
      </c>
      <c r="E944" s="381" t="s">
        <v>408</v>
      </c>
      <c r="F944" s="290"/>
      <c r="G944" s="290"/>
      <c r="H944" s="224" t="str">
        <f>IF(Tabla1[[#This Row],[Codigo_actividad]]&lt;&gt;2.5,IF(((Tabla1[[#This Row],[fin]]-Tabla1[[#This Row],[inicio]])/1000)=0,"",((Tabla1[[#This Row],[fin]]-Tabla1[[#This Row],[inicio]])/1000)),"")</f>
        <v/>
      </c>
      <c r="I944" s="66">
        <v>13</v>
      </c>
      <c r="J944" s="76">
        <v>1.5</v>
      </c>
      <c r="K944" s="66" t="str">
        <f>IF(_xlfn.XLOOKUP($J944,Catalogo!$B$7:$B$210,Catalogo!$I$7:$I$210,"",0)=0,"",_xlfn.XLOOKUP($J944,Catalogo!$B$7:$B$210,Catalogo!$I$7:$I$210,"",0))</f>
        <v>REGIONES ECDA</v>
      </c>
      <c r="L944" s="36"/>
      <c r="M944" s="261">
        <f>IF(Tabla1[[#This Row],[Avance_km]]&lt;&gt;"",Tabla1[[#This Row],[Avance_km]],Tabla1[[#This Row],[Avance_Med]])*_xlfn.XLOOKUP(Tabla1[[#This Row],[Codigo_actividad]],Catalogo!$B$6:$B$51,Catalogo!$F$6:$F$51,0)</f>
        <v>17384.25</v>
      </c>
    </row>
    <row r="945" spans="1:13" x14ac:dyDescent="0.25">
      <c r="A945" s="360">
        <v>46135</v>
      </c>
      <c r="B945" s="287" t="s">
        <v>410</v>
      </c>
      <c r="C945" s="288" t="s">
        <v>561</v>
      </c>
      <c r="D945" s="289" t="s">
        <v>403</v>
      </c>
      <c r="E945" s="381" t="s">
        <v>409</v>
      </c>
      <c r="F945" s="290"/>
      <c r="G945" s="290"/>
      <c r="H945" s="224" t="str">
        <f>IF(Tabla1[[#This Row],[Codigo_actividad]]&lt;&gt;2.5,IF(((Tabla1[[#This Row],[fin]]-Tabla1[[#This Row],[inicio]])/1000)=0,"",((Tabla1[[#This Row],[fin]]-Tabla1[[#This Row],[inicio]])/1000)),"")</f>
        <v/>
      </c>
      <c r="I945" s="66">
        <v>13</v>
      </c>
      <c r="J945" s="76">
        <v>1.6</v>
      </c>
      <c r="K945" s="66" t="str">
        <f>IF(_xlfn.XLOOKUP($J945,Catalogo!$B$7:$B$210,Catalogo!$I$7:$I$210,"",0)=0,"",_xlfn.XLOOKUP($J945,Catalogo!$B$7:$B$210,Catalogo!$I$7:$I$210,"",0))</f>
        <v>REPORTE E1</v>
      </c>
      <c r="L945" s="36"/>
      <c r="M945" s="261">
        <f>IF(Tabla1[[#This Row],[Avance_km]]&lt;&gt;"",Tabla1[[#This Row],[Avance_km]],Tabla1[[#This Row],[Avance_Med]])*_xlfn.XLOOKUP(Tabla1[[#This Row],[Codigo_actividad]],Catalogo!$B$6:$B$51,Catalogo!$F$6:$F$51,0)</f>
        <v>20555.73</v>
      </c>
    </row>
    <row r="946" spans="1:13" x14ac:dyDescent="0.25">
      <c r="A946" s="361">
        <v>46111</v>
      </c>
      <c r="B946" s="274" t="s">
        <v>410</v>
      </c>
      <c r="C946" s="275" t="s">
        <v>265</v>
      </c>
      <c r="D946" s="276" t="s">
        <v>403</v>
      </c>
      <c r="E946" s="382" t="s">
        <v>404</v>
      </c>
      <c r="F946" s="277"/>
      <c r="G946" s="277"/>
      <c r="H946" s="224" t="str">
        <f>IF(Tabla1[[#This Row],[Codigo_actividad]]&lt;&gt;2.5,IF(((Tabla1[[#This Row],[fin]]-Tabla1[[#This Row],[inicio]])/1000)=0,"",((Tabla1[[#This Row],[fin]]-Tabla1[[#This Row],[inicio]])/1000)),"")</f>
        <v/>
      </c>
      <c r="I946" s="66">
        <v>3</v>
      </c>
      <c r="J946" s="76">
        <v>1.1000000000000001</v>
      </c>
      <c r="K946" s="66" t="str">
        <f>IF(_xlfn.XLOOKUP($J946,Catalogo!$B$7:$B$210,Catalogo!$I$7:$I$210,"",0)=0,"",_xlfn.XLOOKUP($J946,Catalogo!$B$7:$B$210,Catalogo!$I$7:$I$210,"",0))</f>
        <v>RECOPILACION</v>
      </c>
      <c r="L946" s="36"/>
      <c r="M946" s="261">
        <f>IF(Tabla1[[#This Row],[Avance_km]]&lt;&gt;"",Tabla1[[#This Row],[Avance_km]],Tabla1[[#This Row],[Avance_Med]])*_xlfn.XLOOKUP(Tabla1[[#This Row],[Codigo_actividad]],Catalogo!$B$6:$B$51,Catalogo!$F$6:$F$51,0)</f>
        <v>7598.43</v>
      </c>
    </row>
    <row r="947" spans="1:13" x14ac:dyDescent="0.25">
      <c r="A947" s="361">
        <v>46111</v>
      </c>
      <c r="B947" s="274" t="s">
        <v>410</v>
      </c>
      <c r="C947" s="275" t="s">
        <v>265</v>
      </c>
      <c r="D947" s="276" t="s">
        <v>403</v>
      </c>
      <c r="E947" s="382" t="s">
        <v>405</v>
      </c>
      <c r="F947" s="277"/>
      <c r="G947" s="277"/>
      <c r="H947" s="224" t="str">
        <f>IF(Tabla1[[#This Row],[Codigo_actividad]]&lt;&gt;2.5,IF(((Tabla1[[#This Row],[fin]]-Tabla1[[#This Row],[inicio]])/1000)=0,"",((Tabla1[[#This Row],[fin]]-Tabla1[[#This Row],[inicio]])/1000)),"")</f>
        <v/>
      </c>
      <c r="I947" s="66">
        <v>3</v>
      </c>
      <c r="J947" s="76">
        <v>1.2</v>
      </c>
      <c r="K947" s="66" t="str">
        <f>IF(_xlfn.XLOOKUP($J947,Catalogo!$B$7:$B$210,Catalogo!$I$7:$I$210,"",0)=0,"",_xlfn.XLOOKUP($J947,Catalogo!$B$7:$B$210,Catalogo!$I$7:$I$210,"",0))</f>
        <v>ANALISIS</v>
      </c>
      <c r="L947" s="36"/>
      <c r="M947" s="261">
        <f>IF(Tabla1[[#This Row],[Avance_km]]&lt;&gt;"",Tabla1[[#This Row],[Avance_km]],Tabla1[[#This Row],[Avance_Med]])*_xlfn.XLOOKUP(Tabla1[[#This Row],[Codigo_actividad]],Catalogo!$B$6:$B$51,Catalogo!$F$6:$F$51,0)</f>
        <v>9750.0300000000007</v>
      </c>
    </row>
    <row r="948" spans="1:13" x14ac:dyDescent="0.25">
      <c r="A948" s="361">
        <v>46111</v>
      </c>
      <c r="B948" s="274" t="s">
        <v>410</v>
      </c>
      <c r="C948" s="275" t="s">
        <v>265</v>
      </c>
      <c r="D948" s="276" t="s">
        <v>403</v>
      </c>
      <c r="E948" s="382" t="s">
        <v>406</v>
      </c>
      <c r="F948" s="277"/>
      <c r="G948" s="277"/>
      <c r="H948" s="224" t="str">
        <f>IF(Tabla1[[#This Row],[Codigo_actividad]]&lt;&gt;2.5,IF(((Tabla1[[#This Row],[fin]]-Tabla1[[#This Row],[inicio]])/1000)=0,"",((Tabla1[[#This Row],[fin]]-Tabla1[[#This Row],[inicio]])/1000)),"")</f>
        <v/>
      </c>
      <c r="I948" s="66">
        <v>3</v>
      </c>
      <c r="J948" s="76">
        <v>1.3</v>
      </c>
      <c r="K948" s="66" t="str">
        <f>IF(_xlfn.XLOOKUP($J948,Catalogo!$B$7:$B$210,Catalogo!$I$7:$I$210,"",0)=0,"",_xlfn.XLOOKUP($J948,Catalogo!$B$7:$B$210,Catalogo!$I$7:$I$210,"",0))</f>
        <v>FACTIBILIDAD</v>
      </c>
      <c r="L948" s="36"/>
      <c r="M948" s="261">
        <f>IF(Tabla1[[#This Row],[Avance_km]]&lt;&gt;"",Tabla1[[#This Row],[Avance_km]],Tabla1[[#This Row],[Avance_Med]])*_xlfn.XLOOKUP(Tabla1[[#This Row],[Codigo_actividad]],Catalogo!$B$6:$B$51,Catalogo!$F$6:$F$51,0)</f>
        <v>2955.96</v>
      </c>
    </row>
    <row r="949" spans="1:13" x14ac:dyDescent="0.25">
      <c r="A949" s="361">
        <v>46111</v>
      </c>
      <c r="B949" s="274" t="s">
        <v>410</v>
      </c>
      <c r="C949" s="275" t="s">
        <v>265</v>
      </c>
      <c r="D949" s="276" t="s">
        <v>403</v>
      </c>
      <c r="E949" s="382" t="s">
        <v>407</v>
      </c>
      <c r="F949" s="277"/>
      <c r="G949" s="277"/>
      <c r="H949" s="224" t="str">
        <f>IF(Tabla1[[#This Row],[Codigo_actividad]]&lt;&gt;2.5,IF(((Tabla1[[#This Row],[fin]]-Tabla1[[#This Row],[inicio]])/1000)=0,"",((Tabla1[[#This Row],[fin]]-Tabla1[[#This Row],[inicio]])/1000)),"")</f>
        <v/>
      </c>
      <c r="I949" s="66">
        <v>3</v>
      </c>
      <c r="J949" s="76">
        <v>1.4</v>
      </c>
      <c r="K949" s="66" t="str">
        <f>IF(_xlfn.XLOOKUP($J949,Catalogo!$B$7:$B$210,Catalogo!$I$7:$I$210,"",0)=0,"",_xlfn.XLOOKUP($J949,Catalogo!$B$7:$B$210,Catalogo!$I$7:$I$210,"",0))</f>
        <v>SELECCIÓN HERRAMIENTAS</v>
      </c>
      <c r="L949" s="36"/>
      <c r="M949" s="261">
        <f>IF(Tabla1[[#This Row],[Avance_km]]&lt;&gt;"",Tabla1[[#This Row],[Avance_km]],Tabla1[[#This Row],[Avance_Med]])*_xlfn.XLOOKUP(Tabla1[[#This Row],[Codigo_actividad]],Catalogo!$B$6:$B$51,Catalogo!$F$6:$F$51,0)</f>
        <v>3188.76</v>
      </c>
    </row>
    <row r="950" spans="1:13" x14ac:dyDescent="0.25">
      <c r="A950" s="361">
        <v>46111</v>
      </c>
      <c r="B950" s="274" t="s">
        <v>410</v>
      </c>
      <c r="C950" s="275" t="s">
        <v>265</v>
      </c>
      <c r="D950" s="276" t="s">
        <v>403</v>
      </c>
      <c r="E950" s="382" t="s">
        <v>408</v>
      </c>
      <c r="F950" s="277"/>
      <c r="G950" s="277"/>
      <c r="H950" s="224" t="str">
        <f>IF(Tabla1[[#This Row],[Codigo_actividad]]&lt;&gt;2.5,IF(((Tabla1[[#This Row],[fin]]-Tabla1[[#This Row],[inicio]])/1000)=0,"",((Tabla1[[#This Row],[fin]]-Tabla1[[#This Row],[inicio]])/1000)),"")</f>
        <v/>
      </c>
      <c r="I950" s="66">
        <v>3</v>
      </c>
      <c r="J950" s="76">
        <v>1.5</v>
      </c>
      <c r="K950" s="66" t="str">
        <f>IF(_xlfn.XLOOKUP($J950,Catalogo!$B$7:$B$210,Catalogo!$I$7:$I$210,"",0)=0,"",_xlfn.XLOOKUP($J950,Catalogo!$B$7:$B$210,Catalogo!$I$7:$I$210,"",0))</f>
        <v>REGIONES ECDA</v>
      </c>
      <c r="L950" s="36"/>
      <c r="M950" s="261">
        <f>IF(Tabla1[[#This Row],[Avance_km]]&lt;&gt;"",Tabla1[[#This Row],[Avance_km]],Tabla1[[#This Row],[Avance_Med]])*_xlfn.XLOOKUP(Tabla1[[#This Row],[Codigo_actividad]],Catalogo!$B$6:$B$51,Catalogo!$F$6:$F$51,0)</f>
        <v>4011.75</v>
      </c>
    </row>
    <row r="951" spans="1:13" x14ac:dyDescent="0.25">
      <c r="A951" s="361">
        <v>46111</v>
      </c>
      <c r="B951" s="274" t="s">
        <v>410</v>
      </c>
      <c r="C951" s="275" t="s">
        <v>265</v>
      </c>
      <c r="D951" s="276" t="s">
        <v>403</v>
      </c>
      <c r="E951" s="382" t="s">
        <v>409</v>
      </c>
      <c r="F951" s="277"/>
      <c r="G951" s="277"/>
      <c r="H951" s="224" t="str">
        <f>IF(Tabla1[[#This Row],[Codigo_actividad]]&lt;&gt;2.5,IF(((Tabla1[[#This Row],[fin]]-Tabla1[[#This Row],[inicio]])/1000)=0,"",((Tabla1[[#This Row],[fin]]-Tabla1[[#This Row],[inicio]])/1000)),"")</f>
        <v/>
      </c>
      <c r="I951" s="66">
        <v>3</v>
      </c>
      <c r="J951" s="76">
        <v>1.6</v>
      </c>
      <c r="K951" s="66" t="str">
        <f>IF(_xlfn.XLOOKUP($J951,Catalogo!$B$7:$B$210,Catalogo!$I$7:$I$210,"",0)=0,"",_xlfn.XLOOKUP($J951,Catalogo!$B$7:$B$210,Catalogo!$I$7:$I$210,"",0))</f>
        <v>REPORTE E1</v>
      </c>
      <c r="L951" s="36"/>
      <c r="M951" s="261">
        <f>IF(Tabla1[[#This Row],[Avance_km]]&lt;&gt;"",Tabla1[[#This Row],[Avance_km]],Tabla1[[#This Row],[Avance_Med]])*_xlfn.XLOOKUP(Tabla1[[#This Row],[Codigo_actividad]],Catalogo!$B$6:$B$51,Catalogo!$F$6:$F$51,0)</f>
        <v>4743.63</v>
      </c>
    </row>
    <row r="952" spans="1:13" x14ac:dyDescent="0.25">
      <c r="A952" s="362">
        <v>46111</v>
      </c>
      <c r="B952" s="278" t="s">
        <v>410</v>
      </c>
      <c r="C952" s="279" t="s">
        <v>335</v>
      </c>
      <c r="D952" s="280" t="s">
        <v>403</v>
      </c>
      <c r="E952" s="383" t="s">
        <v>404</v>
      </c>
      <c r="F952" s="281"/>
      <c r="G952" s="281"/>
      <c r="H952" s="224" t="str">
        <f>IF(Tabla1[[#This Row],[Codigo_actividad]]&lt;&gt;2.5,IF(((Tabla1[[#This Row],[fin]]-Tabla1[[#This Row],[inicio]])/1000)=0,"",((Tabla1[[#This Row],[fin]]-Tabla1[[#This Row],[inicio]])/1000)),"")</f>
        <v/>
      </c>
      <c r="I952" s="66">
        <v>2</v>
      </c>
      <c r="J952" s="76">
        <v>1.1000000000000001</v>
      </c>
      <c r="K952" s="66" t="str">
        <f>IF(_xlfn.XLOOKUP($J952,Catalogo!$B$7:$B$210,Catalogo!$I$7:$I$210,"",0)=0,"",_xlfn.XLOOKUP($J952,Catalogo!$B$7:$B$210,Catalogo!$I$7:$I$210,"",0))</f>
        <v>RECOPILACION</v>
      </c>
      <c r="L952" s="36"/>
      <c r="M952" s="261">
        <f>IF(Tabla1[[#This Row],[Avance_km]]&lt;&gt;"",Tabla1[[#This Row],[Avance_km]],Tabla1[[#This Row],[Avance_Med]])*_xlfn.XLOOKUP(Tabla1[[#This Row],[Codigo_actividad]],Catalogo!$B$6:$B$51,Catalogo!$F$6:$F$51,0)</f>
        <v>5065.62</v>
      </c>
    </row>
    <row r="953" spans="1:13" x14ac:dyDescent="0.25">
      <c r="A953" s="362">
        <v>46111</v>
      </c>
      <c r="B953" s="278" t="s">
        <v>410</v>
      </c>
      <c r="C953" s="279" t="s">
        <v>335</v>
      </c>
      <c r="D953" s="280" t="s">
        <v>403</v>
      </c>
      <c r="E953" s="383" t="s">
        <v>405</v>
      </c>
      <c r="F953" s="281"/>
      <c r="G953" s="281"/>
      <c r="H953" s="224" t="str">
        <f>IF(Tabla1[[#This Row],[Codigo_actividad]]&lt;&gt;2.5,IF(((Tabla1[[#This Row],[fin]]-Tabla1[[#This Row],[inicio]])/1000)=0,"",((Tabla1[[#This Row],[fin]]-Tabla1[[#This Row],[inicio]])/1000)),"")</f>
        <v/>
      </c>
      <c r="I953" s="66">
        <v>2</v>
      </c>
      <c r="J953" s="76">
        <v>1.2</v>
      </c>
      <c r="K953" s="66" t="str">
        <f>IF(_xlfn.XLOOKUP($J953,Catalogo!$B$7:$B$210,Catalogo!$I$7:$I$210,"",0)=0,"",_xlfn.XLOOKUP($J953,Catalogo!$B$7:$B$210,Catalogo!$I$7:$I$210,"",0))</f>
        <v>ANALISIS</v>
      </c>
      <c r="L953" s="36"/>
      <c r="M953" s="261">
        <f>IF(Tabla1[[#This Row],[Avance_km]]&lt;&gt;"",Tabla1[[#This Row],[Avance_km]],Tabla1[[#This Row],[Avance_Med]])*_xlfn.XLOOKUP(Tabla1[[#This Row],[Codigo_actividad]],Catalogo!$B$6:$B$51,Catalogo!$F$6:$F$51,0)</f>
        <v>6500.02</v>
      </c>
    </row>
    <row r="954" spans="1:13" x14ac:dyDescent="0.25">
      <c r="A954" s="362">
        <v>46111</v>
      </c>
      <c r="B954" s="278" t="s">
        <v>410</v>
      </c>
      <c r="C954" s="279" t="s">
        <v>335</v>
      </c>
      <c r="D954" s="280" t="s">
        <v>403</v>
      </c>
      <c r="E954" s="383" t="s">
        <v>406</v>
      </c>
      <c r="F954" s="281"/>
      <c r="G954" s="281"/>
      <c r="H954" s="224" t="str">
        <f>IF(Tabla1[[#This Row],[Codigo_actividad]]&lt;&gt;2.5,IF(((Tabla1[[#This Row],[fin]]-Tabla1[[#This Row],[inicio]])/1000)=0,"",((Tabla1[[#This Row],[fin]]-Tabla1[[#This Row],[inicio]])/1000)),"")</f>
        <v/>
      </c>
      <c r="I954" s="66">
        <v>2</v>
      </c>
      <c r="J954" s="76">
        <v>1.3</v>
      </c>
      <c r="K954" s="66" t="str">
        <f>IF(_xlfn.XLOOKUP($J954,Catalogo!$B$7:$B$210,Catalogo!$I$7:$I$210,"",0)=0,"",_xlfn.XLOOKUP($J954,Catalogo!$B$7:$B$210,Catalogo!$I$7:$I$210,"",0))</f>
        <v>FACTIBILIDAD</v>
      </c>
      <c r="L954" s="36"/>
      <c r="M954" s="261">
        <f>IF(Tabla1[[#This Row],[Avance_km]]&lt;&gt;"",Tabla1[[#This Row],[Avance_km]],Tabla1[[#This Row],[Avance_Med]])*_xlfn.XLOOKUP(Tabla1[[#This Row],[Codigo_actividad]],Catalogo!$B$6:$B$51,Catalogo!$F$6:$F$51,0)</f>
        <v>1970.64</v>
      </c>
    </row>
    <row r="955" spans="1:13" x14ac:dyDescent="0.25">
      <c r="A955" s="362">
        <v>46111</v>
      </c>
      <c r="B955" s="278" t="s">
        <v>410</v>
      </c>
      <c r="C955" s="279" t="s">
        <v>335</v>
      </c>
      <c r="D955" s="280" t="s">
        <v>403</v>
      </c>
      <c r="E955" s="383" t="s">
        <v>407</v>
      </c>
      <c r="F955" s="281"/>
      <c r="G955" s="281"/>
      <c r="H955" s="224" t="str">
        <f>IF(Tabla1[[#This Row],[Codigo_actividad]]&lt;&gt;2.5,IF(((Tabla1[[#This Row],[fin]]-Tabla1[[#This Row],[inicio]])/1000)=0,"",((Tabla1[[#This Row],[fin]]-Tabla1[[#This Row],[inicio]])/1000)),"")</f>
        <v/>
      </c>
      <c r="I955" s="66">
        <v>2</v>
      </c>
      <c r="J955" s="76">
        <v>1.4</v>
      </c>
      <c r="K955" s="66" t="str">
        <f>IF(_xlfn.XLOOKUP($J955,Catalogo!$B$7:$B$210,Catalogo!$I$7:$I$210,"",0)=0,"",_xlfn.XLOOKUP($J955,Catalogo!$B$7:$B$210,Catalogo!$I$7:$I$210,"",0))</f>
        <v>SELECCIÓN HERRAMIENTAS</v>
      </c>
      <c r="L955" s="36"/>
      <c r="M955" s="261">
        <f>IF(Tabla1[[#This Row],[Avance_km]]&lt;&gt;"",Tabla1[[#This Row],[Avance_km]],Tabla1[[#This Row],[Avance_Med]])*_xlfn.XLOOKUP(Tabla1[[#This Row],[Codigo_actividad]],Catalogo!$B$6:$B$51,Catalogo!$F$6:$F$51,0)</f>
        <v>2125.84</v>
      </c>
    </row>
    <row r="956" spans="1:13" x14ac:dyDescent="0.25">
      <c r="A956" s="362">
        <v>46111</v>
      </c>
      <c r="B956" s="278" t="s">
        <v>410</v>
      </c>
      <c r="C956" s="279" t="s">
        <v>335</v>
      </c>
      <c r="D956" s="280" t="s">
        <v>403</v>
      </c>
      <c r="E956" s="383" t="s">
        <v>408</v>
      </c>
      <c r="F956" s="281"/>
      <c r="G956" s="281"/>
      <c r="H956" s="224" t="str">
        <f>IF(Tabla1[[#This Row],[Codigo_actividad]]&lt;&gt;2.5,IF(((Tabla1[[#This Row],[fin]]-Tabla1[[#This Row],[inicio]])/1000)=0,"",((Tabla1[[#This Row],[fin]]-Tabla1[[#This Row],[inicio]])/1000)),"")</f>
        <v/>
      </c>
      <c r="I956" s="66">
        <v>2</v>
      </c>
      <c r="J956" s="76">
        <v>1.5</v>
      </c>
      <c r="K956" s="66" t="str">
        <f>IF(_xlfn.XLOOKUP($J956,Catalogo!$B$7:$B$210,Catalogo!$I$7:$I$210,"",0)=0,"",_xlfn.XLOOKUP($J956,Catalogo!$B$7:$B$210,Catalogo!$I$7:$I$210,"",0))</f>
        <v>REGIONES ECDA</v>
      </c>
      <c r="L956" s="36"/>
      <c r="M956" s="261">
        <f>IF(Tabla1[[#This Row],[Avance_km]]&lt;&gt;"",Tabla1[[#This Row],[Avance_km]],Tabla1[[#This Row],[Avance_Med]])*_xlfn.XLOOKUP(Tabla1[[#This Row],[Codigo_actividad]],Catalogo!$B$6:$B$51,Catalogo!$F$6:$F$51,0)</f>
        <v>2674.5</v>
      </c>
    </row>
    <row r="957" spans="1:13" x14ac:dyDescent="0.25">
      <c r="A957" s="362">
        <v>46111</v>
      </c>
      <c r="B957" s="278" t="s">
        <v>410</v>
      </c>
      <c r="C957" s="279" t="s">
        <v>335</v>
      </c>
      <c r="D957" s="280" t="s">
        <v>403</v>
      </c>
      <c r="E957" s="383" t="s">
        <v>409</v>
      </c>
      <c r="F957" s="281"/>
      <c r="G957" s="281"/>
      <c r="H957" s="224" t="str">
        <f>IF(Tabla1[[#This Row],[Codigo_actividad]]&lt;&gt;2.5,IF(((Tabla1[[#This Row],[fin]]-Tabla1[[#This Row],[inicio]])/1000)=0,"",((Tabla1[[#This Row],[fin]]-Tabla1[[#This Row],[inicio]])/1000)),"")</f>
        <v/>
      </c>
      <c r="I957" s="66">
        <v>2</v>
      </c>
      <c r="J957" s="76">
        <v>1.6</v>
      </c>
      <c r="K957" s="66" t="str">
        <f>IF(_xlfn.XLOOKUP($J957,Catalogo!$B$7:$B$210,Catalogo!$I$7:$I$210,"",0)=0,"",_xlfn.XLOOKUP($J957,Catalogo!$B$7:$B$210,Catalogo!$I$7:$I$210,"",0))</f>
        <v>REPORTE E1</v>
      </c>
      <c r="L957" s="36"/>
      <c r="M957" s="261">
        <f>IF(Tabla1[[#This Row],[Avance_km]]&lt;&gt;"",Tabla1[[#This Row],[Avance_km]],Tabla1[[#This Row],[Avance_Med]])*_xlfn.XLOOKUP(Tabla1[[#This Row],[Codigo_actividad]],Catalogo!$B$6:$B$51,Catalogo!$F$6:$F$51,0)</f>
        <v>3162.42</v>
      </c>
    </row>
    <row r="958" spans="1:13" x14ac:dyDescent="0.25">
      <c r="A958" s="354"/>
      <c r="C958" s="155"/>
      <c r="D958" s="39"/>
      <c r="F958" s="28"/>
      <c r="G958" s="28"/>
      <c r="H958" s="224" t="str">
        <f>IF(Tabla1[[#This Row],[Codigo_actividad]]&lt;&gt;2.5,IF(((Tabla1[[#This Row],[fin]]-Tabla1[[#This Row],[inicio]])/1000)=0,"",((Tabla1[[#This Row],[fin]]-Tabla1[[#This Row],[inicio]])/1000)),"")</f>
        <v/>
      </c>
      <c r="K958" s="55" t="str">
        <f>IF(_xlfn.XLOOKUP($J958,Catalogo!$B$7:$B$210,Catalogo!$I$7:$I$210,"",0)=0,"",_xlfn.XLOOKUP($J958,Catalogo!$B$7:$B$210,Catalogo!$I$7:$I$210,"",0))</f>
        <v/>
      </c>
      <c r="L958" s="36"/>
      <c r="M958" s="292">
        <f>IF(Tabla1[[#This Row],[Avance_km]]&lt;&gt;"",Tabla1[[#This Row],[Avance_km]],Tabla1[[#This Row],[Avance_Med]])*_xlfn.XLOOKUP(Tabla1[[#This Row],[Codigo_actividad]],Catalogo!$B$6:$B$51,Catalogo!$F$6:$F$51,0)</f>
        <v>0</v>
      </c>
    </row>
    <row r="959" spans="1:13" x14ac:dyDescent="0.25">
      <c r="A959" s="356">
        <v>46111</v>
      </c>
      <c r="B959" s="262" t="s">
        <v>410</v>
      </c>
      <c r="C959" s="263" t="s">
        <v>13</v>
      </c>
      <c r="D959" s="264" t="s">
        <v>403</v>
      </c>
      <c r="E959" s="377" t="s">
        <v>412</v>
      </c>
      <c r="F959" s="265"/>
      <c r="G959" s="265"/>
      <c r="H959" s="224" t="str">
        <f>IF(Tabla1[[#This Row],[Codigo_actividad]]&lt;&gt;2.5,IF(((Tabla1[[#This Row],[fin]]-Tabla1[[#This Row],[inicio]])/1000)=0,"",((Tabla1[[#This Row],[fin]]-Tabla1[[#This Row],[inicio]])/1000)),"")</f>
        <v/>
      </c>
      <c r="I959" s="66">
        <v>37</v>
      </c>
      <c r="J959" s="76">
        <v>2.7</v>
      </c>
      <c r="K959" s="66" t="str">
        <f>IF(_xlfn.XLOOKUP($J959,Catalogo!$B$7:$B$210,Catalogo!$I$7:$I$210,"",0)=0,"",_xlfn.XLOOKUP($J959,Catalogo!$B$7:$B$210,Catalogo!$I$7:$I$210,"",0))</f>
        <v>SEVERIDAD</v>
      </c>
      <c r="L959" s="36"/>
      <c r="M959" s="261">
        <f>IF(Tabla1[[#This Row],[Avance_km]]&lt;&gt;"",Tabla1[[#This Row],[Avance_km]],Tabla1[[#This Row],[Avance_Med]])*_xlfn.XLOOKUP(Tabla1[[#This Row],[Codigo_actividad]],Catalogo!$B$6:$B$51,Catalogo!$F$6:$F$51,0)</f>
        <v>130984.44</v>
      </c>
    </row>
    <row r="960" spans="1:13" x14ac:dyDescent="0.25">
      <c r="A960" s="356">
        <v>46111</v>
      </c>
      <c r="B960" s="262" t="s">
        <v>410</v>
      </c>
      <c r="C960" s="263" t="s">
        <v>13</v>
      </c>
      <c r="D960" s="264" t="s">
        <v>403</v>
      </c>
      <c r="E960" s="377" t="s">
        <v>400</v>
      </c>
      <c r="F960" s="265"/>
      <c r="G960" s="265"/>
      <c r="H960" s="224" t="str">
        <f>IF(Tabla1[[#This Row],[Codigo_actividad]]&lt;&gt;2.5,IF(((Tabla1[[#This Row],[fin]]-Tabla1[[#This Row],[inicio]])/1000)=0,"",((Tabla1[[#This Row],[fin]]-Tabla1[[#This Row],[inicio]])/1000)),"")</f>
        <v/>
      </c>
      <c r="I960" s="66">
        <v>37</v>
      </c>
      <c r="J960" s="76">
        <v>2.8</v>
      </c>
      <c r="K960" s="66" t="str">
        <f>IF(_xlfn.XLOOKUP($J960,Catalogo!$B$7:$B$210,Catalogo!$I$7:$I$210,"",0)=0,"",_xlfn.XLOOKUP($J960,Catalogo!$B$7:$B$210,Catalogo!$I$7:$I$210,"",0))</f>
        <v>REPORTE E2</v>
      </c>
      <c r="L960" s="36"/>
      <c r="M960" s="261">
        <f>IF(Tabla1[[#This Row],[Avance_km]]&lt;&gt;"",Tabla1[[#This Row],[Avance_km]],Tabla1[[#This Row],[Avance_Med]])*_xlfn.XLOOKUP(Tabla1[[#This Row],[Codigo_actividad]],Catalogo!$B$6:$B$51,Catalogo!$F$6:$F$51,0)</f>
        <v>97912.36</v>
      </c>
    </row>
    <row r="961" spans="1:13" x14ac:dyDescent="0.25">
      <c r="A961" s="357">
        <v>46111</v>
      </c>
      <c r="B961" s="266" t="s">
        <v>410</v>
      </c>
      <c r="C961" s="267" t="s">
        <v>22</v>
      </c>
      <c r="D961" s="268" t="s">
        <v>403</v>
      </c>
      <c r="E961" s="378" t="s">
        <v>412</v>
      </c>
      <c r="F961" s="269"/>
      <c r="G961" s="269"/>
      <c r="H961" s="224" t="str">
        <f>IF(Tabla1[[#This Row],[Codigo_actividad]]&lt;&gt;2.5,IF(((Tabla1[[#This Row],[fin]]-Tabla1[[#This Row],[inicio]])/1000)=0,"",((Tabla1[[#This Row],[fin]]-Tabla1[[#This Row],[inicio]])/1000)),"")</f>
        <v/>
      </c>
      <c r="I961" s="66">
        <v>17</v>
      </c>
      <c r="J961" s="76">
        <v>2.7</v>
      </c>
      <c r="K961" s="66" t="str">
        <f>IF(_xlfn.XLOOKUP($J961,Catalogo!$B$7:$B$210,Catalogo!$I$7:$I$210,"",0)=0,"",_xlfn.XLOOKUP($J961,Catalogo!$B$7:$B$210,Catalogo!$I$7:$I$210,"",0))</f>
        <v>SEVERIDAD</v>
      </c>
      <c r="L961" s="36"/>
      <c r="M961" s="261">
        <f>IF(Tabla1[[#This Row],[Avance_km]]&lt;&gt;"",Tabla1[[#This Row],[Avance_km]],Tabla1[[#This Row],[Avance_Med]])*_xlfn.XLOOKUP(Tabla1[[#This Row],[Codigo_actividad]],Catalogo!$B$6:$B$51,Catalogo!$F$6:$F$51,0)</f>
        <v>60182.04</v>
      </c>
    </row>
    <row r="962" spans="1:13" x14ac:dyDescent="0.25">
      <c r="A962" s="357">
        <v>46111</v>
      </c>
      <c r="B962" s="266" t="s">
        <v>410</v>
      </c>
      <c r="C962" s="267" t="s">
        <v>22</v>
      </c>
      <c r="D962" s="268" t="s">
        <v>403</v>
      </c>
      <c r="E962" s="378" t="s">
        <v>400</v>
      </c>
      <c r="F962" s="269"/>
      <c r="G962" s="269"/>
      <c r="H962" s="224" t="str">
        <f>IF(Tabla1[[#This Row],[Codigo_actividad]]&lt;&gt;2.5,IF(((Tabla1[[#This Row],[fin]]-Tabla1[[#This Row],[inicio]])/1000)=0,"",((Tabla1[[#This Row],[fin]]-Tabla1[[#This Row],[inicio]])/1000)),"")</f>
        <v/>
      </c>
      <c r="I962" s="66">
        <v>17</v>
      </c>
      <c r="J962" s="76">
        <v>2.8</v>
      </c>
      <c r="K962" s="66" t="str">
        <f>IF(_xlfn.XLOOKUP($J962,Catalogo!$B$7:$B$210,Catalogo!$I$7:$I$210,"",0)=0,"",_xlfn.XLOOKUP($J962,Catalogo!$B$7:$B$210,Catalogo!$I$7:$I$210,"",0))</f>
        <v>REPORTE E2</v>
      </c>
      <c r="L962" s="36"/>
      <c r="M962" s="261">
        <f>IF(Tabla1[[#This Row],[Avance_km]]&lt;&gt;"",Tabla1[[#This Row],[Avance_km]],Tabla1[[#This Row],[Avance_Med]])*_xlfn.XLOOKUP(Tabla1[[#This Row],[Codigo_actividad]],Catalogo!$B$6:$B$51,Catalogo!$F$6:$F$51,0)</f>
        <v>44986.76</v>
      </c>
    </row>
    <row r="963" spans="1:13" x14ac:dyDescent="0.25">
      <c r="A963" s="404">
        <v>46291</v>
      </c>
      <c r="B963" s="270" t="s">
        <v>410</v>
      </c>
      <c r="C963" s="271" t="s">
        <v>329</v>
      </c>
      <c r="D963" s="272" t="s">
        <v>403</v>
      </c>
      <c r="E963" s="379" t="s">
        <v>412</v>
      </c>
      <c r="F963" s="273"/>
      <c r="G963" s="273"/>
      <c r="H963" s="224" t="str">
        <f>IF(Tabla1[[#This Row],[Codigo_actividad]]&lt;&gt;2.5,IF(((Tabla1[[#This Row],[fin]]-Tabla1[[#This Row],[inicio]])/1000)=0,"",((Tabla1[[#This Row],[fin]]-Tabla1[[#This Row],[inicio]])/1000)),"")</f>
        <v/>
      </c>
      <c r="I963" s="66">
        <v>34</v>
      </c>
      <c r="J963" s="76">
        <v>2.7</v>
      </c>
      <c r="K963" s="66" t="str">
        <f>IF(_xlfn.XLOOKUP($J963,Catalogo!$B$7:$B$210,Catalogo!$I$7:$I$210,"",0)=0,"",_xlfn.XLOOKUP($J963,Catalogo!$B$7:$B$210,Catalogo!$I$7:$I$210,"",0))</f>
        <v>SEVERIDAD</v>
      </c>
      <c r="L963" s="36"/>
      <c r="M963" s="261">
        <f>IF(Tabla1[[#This Row],[Avance_km]]&lt;&gt;"",Tabla1[[#This Row],[Avance_km]],Tabla1[[#This Row],[Avance_Med]])*_xlfn.XLOOKUP(Tabla1[[#This Row],[Codigo_actividad]],Catalogo!$B$6:$B$51,Catalogo!$F$6:$F$51,0)</f>
        <v>120364.08</v>
      </c>
    </row>
    <row r="964" spans="1:13" x14ac:dyDescent="0.25">
      <c r="A964" s="404">
        <v>46291</v>
      </c>
      <c r="B964" s="270" t="s">
        <v>410</v>
      </c>
      <c r="C964" s="271" t="s">
        <v>329</v>
      </c>
      <c r="D964" s="272" t="s">
        <v>403</v>
      </c>
      <c r="E964" s="379" t="s">
        <v>400</v>
      </c>
      <c r="F964" s="273"/>
      <c r="G964" s="273"/>
      <c r="H964" s="224" t="str">
        <f>IF(Tabla1[[#This Row],[Codigo_actividad]]&lt;&gt;2.5,IF(((Tabla1[[#This Row],[fin]]-Tabla1[[#This Row],[inicio]])/1000)=0,"",((Tabla1[[#This Row],[fin]]-Tabla1[[#This Row],[inicio]])/1000)),"")</f>
        <v/>
      </c>
      <c r="I964" s="66">
        <v>34</v>
      </c>
      <c r="J964" s="76">
        <v>2.8</v>
      </c>
      <c r="K964" s="66" t="str">
        <f>IF(_xlfn.XLOOKUP($J964,Catalogo!$B$7:$B$210,Catalogo!$I$7:$I$210,"",0)=0,"",_xlfn.XLOOKUP($J964,Catalogo!$B$7:$B$210,Catalogo!$I$7:$I$210,"",0))</f>
        <v>REPORTE E2</v>
      </c>
      <c r="L964" s="36"/>
      <c r="M964" s="261">
        <f>IF(Tabla1[[#This Row],[Avance_km]]&lt;&gt;"",Tabla1[[#This Row],[Avance_km]],Tabla1[[#This Row],[Avance_Med]])*_xlfn.XLOOKUP(Tabla1[[#This Row],[Codigo_actividad]],Catalogo!$B$6:$B$51,Catalogo!$F$6:$F$51,0)</f>
        <v>89973.52</v>
      </c>
    </row>
    <row r="965" spans="1:13" x14ac:dyDescent="0.25">
      <c r="A965" s="405">
        <v>46311</v>
      </c>
      <c r="B965" s="283" t="s">
        <v>410</v>
      </c>
      <c r="C965" s="284" t="s">
        <v>411</v>
      </c>
      <c r="D965" s="285" t="s">
        <v>403</v>
      </c>
      <c r="E965" s="380" t="s">
        <v>412</v>
      </c>
      <c r="F965" s="286"/>
      <c r="G965" s="286"/>
      <c r="H965" s="224" t="str">
        <f>IF(Tabla1[[#This Row],[Codigo_actividad]]&lt;&gt;2.5,IF(((Tabla1[[#This Row],[fin]]-Tabla1[[#This Row],[inicio]])/1000)=0,"",((Tabla1[[#This Row],[fin]]-Tabla1[[#This Row],[inicio]])/1000)),"")</f>
        <v/>
      </c>
      <c r="I965" s="66">
        <v>4</v>
      </c>
      <c r="J965" s="76">
        <v>2.7</v>
      </c>
      <c r="K965" s="66" t="str">
        <f>IF(_xlfn.XLOOKUP($J965,Catalogo!$B$7:$B$210,Catalogo!$I$7:$I$210,"",0)=0,"",_xlfn.XLOOKUP($J965,Catalogo!$B$7:$B$210,Catalogo!$I$7:$I$210,"",0))</f>
        <v>SEVERIDAD</v>
      </c>
      <c r="L965" s="36"/>
      <c r="M965" s="261">
        <f>IF(Tabla1[[#This Row],[Avance_km]]&lt;&gt;"",Tabla1[[#This Row],[Avance_km]],Tabla1[[#This Row],[Avance_Med]])*_xlfn.XLOOKUP(Tabla1[[#This Row],[Codigo_actividad]],Catalogo!$B$6:$B$51,Catalogo!$F$6:$F$51,0)</f>
        <v>14160.48</v>
      </c>
    </row>
    <row r="966" spans="1:13" x14ac:dyDescent="0.25">
      <c r="A966" s="405">
        <v>46311</v>
      </c>
      <c r="B966" s="283" t="s">
        <v>410</v>
      </c>
      <c r="C966" s="284" t="s">
        <v>411</v>
      </c>
      <c r="D966" s="285" t="s">
        <v>403</v>
      </c>
      <c r="E966" s="380" t="s">
        <v>400</v>
      </c>
      <c r="F966" s="286"/>
      <c r="G966" s="286"/>
      <c r="H966" s="224" t="str">
        <f>IF(Tabla1[[#This Row],[Codigo_actividad]]&lt;&gt;2.5,IF(((Tabla1[[#This Row],[fin]]-Tabla1[[#This Row],[inicio]])/1000)=0,"",((Tabla1[[#This Row],[fin]]-Tabla1[[#This Row],[inicio]])/1000)),"")</f>
        <v/>
      </c>
      <c r="I966" s="66">
        <v>4</v>
      </c>
      <c r="J966" s="76">
        <v>2.8</v>
      </c>
      <c r="K966" s="66" t="str">
        <f>IF(_xlfn.XLOOKUP($J966,Catalogo!$B$7:$B$210,Catalogo!$I$7:$I$210,"",0)=0,"",_xlfn.XLOOKUP($J966,Catalogo!$B$7:$B$210,Catalogo!$I$7:$I$210,"",0))</f>
        <v>REPORTE E2</v>
      </c>
      <c r="L966" s="36"/>
      <c r="M966" s="261">
        <f>IF(Tabla1[[#This Row],[Avance_km]]&lt;&gt;"",Tabla1[[#This Row],[Avance_km]],Tabla1[[#This Row],[Avance_Med]])*_xlfn.XLOOKUP(Tabla1[[#This Row],[Codigo_actividad]],Catalogo!$B$6:$B$51,Catalogo!$F$6:$F$51,0)</f>
        <v>10585.12</v>
      </c>
    </row>
    <row r="967" spans="1:13" x14ac:dyDescent="0.25">
      <c r="A967" s="406"/>
      <c r="B967" s="287" t="s">
        <v>410</v>
      </c>
      <c r="C967" s="288" t="s">
        <v>561</v>
      </c>
      <c r="D967" s="289" t="s">
        <v>403</v>
      </c>
      <c r="E967" s="381" t="s">
        <v>412</v>
      </c>
      <c r="F967" s="290"/>
      <c r="G967" s="290"/>
      <c r="H967" s="224" t="str">
        <f>IF(Tabla1[[#This Row],[Codigo_actividad]]&lt;&gt;2.5,IF(((Tabla1[[#This Row],[fin]]-Tabla1[[#This Row],[inicio]])/1000)=0,"",((Tabla1[[#This Row],[fin]]-Tabla1[[#This Row],[inicio]])/1000)),"")</f>
        <v/>
      </c>
      <c r="I967" s="282"/>
      <c r="J967" s="76">
        <v>2.7</v>
      </c>
      <c r="K967" s="66" t="str">
        <f>IF(_xlfn.XLOOKUP($J967,Catalogo!$B$7:$B$210,Catalogo!$I$7:$I$210,"",0)=0,"",_xlfn.XLOOKUP($J967,Catalogo!$B$7:$B$210,Catalogo!$I$7:$I$210,"",0))</f>
        <v>SEVERIDAD</v>
      </c>
      <c r="L967" s="36"/>
      <c r="M967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68" spans="1:13" x14ac:dyDescent="0.25">
      <c r="A968" s="406"/>
      <c r="B968" s="287" t="s">
        <v>410</v>
      </c>
      <c r="C968" s="288" t="s">
        <v>561</v>
      </c>
      <c r="D968" s="289" t="s">
        <v>403</v>
      </c>
      <c r="E968" s="381" t="s">
        <v>400</v>
      </c>
      <c r="F968" s="290"/>
      <c r="G968" s="290"/>
      <c r="H968" s="224" t="str">
        <f>IF(Tabla1[[#This Row],[Codigo_actividad]]&lt;&gt;2.5,IF(((Tabla1[[#This Row],[fin]]-Tabla1[[#This Row],[inicio]])/1000)=0,"",((Tabla1[[#This Row],[fin]]-Tabla1[[#This Row],[inicio]])/1000)),"")</f>
        <v/>
      </c>
      <c r="I968" s="282"/>
      <c r="J968" s="76">
        <v>2.8</v>
      </c>
      <c r="K968" s="66" t="str">
        <f>IF(_xlfn.XLOOKUP($J968,Catalogo!$B$7:$B$210,Catalogo!$I$7:$I$210,"",0)=0,"",_xlfn.XLOOKUP($J968,Catalogo!$B$7:$B$210,Catalogo!$I$7:$I$210,"",0))</f>
        <v>REPORTE E2</v>
      </c>
      <c r="L968" s="36"/>
      <c r="M968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69" spans="1:13" x14ac:dyDescent="0.25">
      <c r="A969" s="361">
        <v>46111</v>
      </c>
      <c r="B969" s="274" t="s">
        <v>410</v>
      </c>
      <c r="C969" s="275" t="s">
        <v>265</v>
      </c>
      <c r="D969" s="276" t="s">
        <v>403</v>
      </c>
      <c r="E969" s="382" t="s">
        <v>412</v>
      </c>
      <c r="F969" s="277"/>
      <c r="G969" s="277"/>
      <c r="H969" s="224" t="str">
        <f>IF(Tabla1[[#This Row],[Codigo_actividad]]&lt;&gt;2.5,IF(((Tabla1[[#This Row],[fin]]-Tabla1[[#This Row],[inicio]])/1000)=0,"",((Tabla1[[#This Row],[fin]]-Tabla1[[#This Row],[inicio]])/1000)),"")</f>
        <v/>
      </c>
      <c r="I969" s="282"/>
      <c r="J969" s="76">
        <v>2.7</v>
      </c>
      <c r="K969" s="66" t="str">
        <f>IF(_xlfn.XLOOKUP($J969,Catalogo!$B$7:$B$210,Catalogo!$I$7:$I$210,"",0)=0,"",_xlfn.XLOOKUP($J969,Catalogo!$B$7:$B$210,Catalogo!$I$7:$I$210,"",0))</f>
        <v>SEVERIDAD</v>
      </c>
      <c r="L969" s="36"/>
      <c r="M969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70" spans="1:13" x14ac:dyDescent="0.25">
      <c r="A970" s="361">
        <v>46111</v>
      </c>
      <c r="B970" s="274" t="s">
        <v>410</v>
      </c>
      <c r="C970" s="275" t="s">
        <v>265</v>
      </c>
      <c r="D970" s="276" t="s">
        <v>403</v>
      </c>
      <c r="E970" s="382" t="s">
        <v>400</v>
      </c>
      <c r="F970" s="277"/>
      <c r="G970" s="277"/>
      <c r="H970" s="224" t="str">
        <f>IF(Tabla1[[#This Row],[Codigo_actividad]]&lt;&gt;2.5,IF(((Tabla1[[#This Row],[fin]]-Tabla1[[#This Row],[inicio]])/1000)=0,"",((Tabla1[[#This Row],[fin]]-Tabla1[[#This Row],[inicio]])/1000)),"")</f>
        <v/>
      </c>
      <c r="I970" s="282"/>
      <c r="J970" s="76">
        <v>2.8</v>
      </c>
      <c r="K970" s="66" t="str">
        <f>IF(_xlfn.XLOOKUP($J970,Catalogo!$B$7:$B$210,Catalogo!$I$7:$I$210,"",0)=0,"",_xlfn.XLOOKUP($J970,Catalogo!$B$7:$B$210,Catalogo!$I$7:$I$210,"",0))</f>
        <v>REPORTE E2</v>
      </c>
      <c r="L970" s="36"/>
      <c r="M970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71" spans="1:13" x14ac:dyDescent="0.25">
      <c r="A971" s="362">
        <v>46111</v>
      </c>
      <c r="B971" s="278" t="s">
        <v>410</v>
      </c>
      <c r="C971" s="279" t="s">
        <v>335</v>
      </c>
      <c r="D971" s="280" t="s">
        <v>403</v>
      </c>
      <c r="E971" s="383" t="s">
        <v>412</v>
      </c>
      <c r="F971" s="281"/>
      <c r="G971" s="281"/>
      <c r="H971" s="224" t="str">
        <f>IF(Tabla1[[#This Row],[Codigo_actividad]]&lt;&gt;2.5,IF(((Tabla1[[#This Row],[fin]]-Tabla1[[#This Row],[inicio]])/1000)=0,"",((Tabla1[[#This Row],[fin]]-Tabla1[[#This Row],[inicio]])/1000)),"")</f>
        <v/>
      </c>
      <c r="I971" s="282"/>
      <c r="J971" s="76">
        <v>2.7</v>
      </c>
      <c r="K971" s="66" t="str">
        <f>IF(_xlfn.XLOOKUP($J971,Catalogo!$B$7:$B$210,Catalogo!$I$7:$I$210,"",0)=0,"",_xlfn.XLOOKUP($J971,Catalogo!$B$7:$B$210,Catalogo!$I$7:$I$210,"",0))</f>
        <v>SEVERIDAD</v>
      </c>
      <c r="L971" s="36"/>
      <c r="M971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72" spans="1:13" x14ac:dyDescent="0.25">
      <c r="A972" s="362">
        <v>46111</v>
      </c>
      <c r="B972" s="278" t="s">
        <v>410</v>
      </c>
      <c r="C972" s="279" t="s">
        <v>335</v>
      </c>
      <c r="D972" s="280" t="s">
        <v>403</v>
      </c>
      <c r="E972" s="383" t="s">
        <v>400</v>
      </c>
      <c r="F972" s="281"/>
      <c r="G972" s="281"/>
      <c r="H972" s="224" t="str">
        <f>IF(Tabla1[[#This Row],[Codigo_actividad]]&lt;&gt;2.5,IF(((Tabla1[[#This Row],[fin]]-Tabla1[[#This Row],[inicio]])/1000)=0,"",((Tabla1[[#This Row],[fin]]-Tabla1[[#This Row],[inicio]])/1000)),"")</f>
        <v/>
      </c>
      <c r="I972" s="282"/>
      <c r="J972" s="76">
        <v>2.8</v>
      </c>
      <c r="K972" s="66" t="str">
        <f>IF(_xlfn.XLOOKUP($J972,Catalogo!$B$7:$B$210,Catalogo!$I$7:$I$210,"",0)=0,"",_xlfn.XLOOKUP($J972,Catalogo!$B$7:$B$210,Catalogo!$I$7:$I$210,"",0))</f>
        <v>REPORTE E2</v>
      </c>
      <c r="L972" s="36"/>
      <c r="M972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73" spans="1:13" x14ac:dyDescent="0.25">
      <c r="A973" s="354"/>
      <c r="C973" s="155"/>
      <c r="D973" s="39"/>
      <c r="F973" s="28"/>
      <c r="G973" s="28"/>
      <c r="H973" s="224" t="str">
        <f>IF(Tabla1[[#This Row],[Codigo_actividad]]&lt;&gt;2.5,IF(((Tabla1[[#This Row],[fin]]-Tabla1[[#This Row],[inicio]])/1000)=0,"",((Tabla1[[#This Row],[fin]]-Tabla1[[#This Row],[inicio]])/1000)),"")</f>
        <v/>
      </c>
      <c r="K973" s="55" t="str">
        <f>IF(_xlfn.XLOOKUP($J973,Catalogo!$B$7:$B$210,Catalogo!$I$7:$I$210,"",0)=0,"",_xlfn.XLOOKUP($J973,Catalogo!$B$7:$B$210,Catalogo!$I$7:$I$210,"",0))</f>
        <v/>
      </c>
      <c r="L973" s="36"/>
      <c r="M973" s="292">
        <f>IF(Tabla1[[#This Row],[Avance_km]]&lt;&gt;"",Tabla1[[#This Row],[Avance_km]],Tabla1[[#This Row],[Avance_Med]])*_xlfn.XLOOKUP(Tabla1[[#This Row],[Codigo_actividad]],Catalogo!$B$6:$B$51,Catalogo!$F$6:$F$51,0)</f>
        <v>0</v>
      </c>
    </row>
    <row r="974" spans="1:13" x14ac:dyDescent="0.25">
      <c r="A974" s="356">
        <v>46111</v>
      </c>
      <c r="B974" s="262" t="s">
        <v>410</v>
      </c>
      <c r="C974" s="263" t="s">
        <v>13</v>
      </c>
      <c r="D974" s="264" t="s">
        <v>403</v>
      </c>
      <c r="E974" s="377" t="s">
        <v>413</v>
      </c>
      <c r="F974" s="265"/>
      <c r="G974" s="265"/>
      <c r="H974" s="224" t="str">
        <f>IF(Tabla1[[#This Row],[Codigo_actividad]]&lt;&gt;2.5,IF(((Tabla1[[#This Row],[fin]]-Tabla1[[#This Row],[inicio]])/1000)=0,"",((Tabla1[[#This Row],[fin]]-Tabla1[[#This Row],[inicio]])/1000)),"")</f>
        <v/>
      </c>
      <c r="I974" s="66">
        <v>37</v>
      </c>
      <c r="J974" s="76">
        <v>3.1</v>
      </c>
      <c r="K974" s="66" t="str">
        <f>IF(_xlfn.XLOOKUP($J974,Catalogo!$B$7:$B$210,Catalogo!$I$7:$I$210,"",0)=0,"",_xlfn.XLOOKUP($J974,Catalogo!$B$7:$B$210,Catalogo!$I$7:$I$210,"",0))</f>
        <v>PRIORIZACION</v>
      </c>
      <c r="L974" s="36"/>
      <c r="M974" s="261">
        <f>IF(Tabla1[[#This Row],[Avance_km]]&lt;&gt;"",Tabla1[[#This Row],[Avance_km]],Tabla1[[#This Row],[Avance_Med]])*_xlfn.XLOOKUP(Tabla1[[#This Row],[Codigo_actividad]],Catalogo!$B$6:$B$51,Catalogo!$F$6:$F$51,0)</f>
        <v>72914.05</v>
      </c>
    </row>
    <row r="975" spans="1:13" x14ac:dyDescent="0.25">
      <c r="A975" s="357">
        <v>46111</v>
      </c>
      <c r="B975" s="266" t="s">
        <v>410</v>
      </c>
      <c r="C975" s="267" t="s">
        <v>22</v>
      </c>
      <c r="D975" s="268" t="s">
        <v>403</v>
      </c>
      <c r="E975" s="378" t="s">
        <v>413</v>
      </c>
      <c r="F975" s="269"/>
      <c r="G975" s="269"/>
      <c r="H975" s="224" t="str">
        <f>IF(Tabla1[[#This Row],[Codigo_actividad]]&lt;&gt;2.5,IF(((Tabla1[[#This Row],[fin]]-Tabla1[[#This Row],[inicio]])/1000)=0,"",((Tabla1[[#This Row],[fin]]-Tabla1[[#This Row],[inicio]])/1000)),"")</f>
        <v/>
      </c>
      <c r="I975" s="66">
        <v>17</v>
      </c>
      <c r="J975" s="76">
        <v>3.1</v>
      </c>
      <c r="K975" s="66" t="str">
        <f>IF(_xlfn.XLOOKUP($J975,Catalogo!$B$7:$B$210,Catalogo!$I$7:$I$210,"",0)=0,"",_xlfn.XLOOKUP($J975,Catalogo!$B$7:$B$210,Catalogo!$I$7:$I$210,"",0))</f>
        <v>PRIORIZACION</v>
      </c>
      <c r="L975" s="36"/>
      <c r="M975" s="261">
        <f>IF(Tabla1[[#This Row],[Avance_km]]&lt;&gt;"",Tabla1[[#This Row],[Avance_km]],Tabla1[[#This Row],[Avance_Med]])*_xlfn.XLOOKUP(Tabla1[[#This Row],[Codigo_actividad]],Catalogo!$B$6:$B$51,Catalogo!$F$6:$F$51,0)</f>
        <v>33501.050000000003</v>
      </c>
    </row>
    <row r="976" spans="1:13" x14ac:dyDescent="0.25">
      <c r="A976" s="404">
        <v>46291</v>
      </c>
      <c r="B976" s="270" t="s">
        <v>410</v>
      </c>
      <c r="C976" s="271" t="s">
        <v>329</v>
      </c>
      <c r="D976" s="272" t="s">
        <v>403</v>
      </c>
      <c r="E976" s="379" t="s">
        <v>413</v>
      </c>
      <c r="F976" s="273"/>
      <c r="G976" s="273"/>
      <c r="H976" s="224" t="str">
        <f>IF(Tabla1[[#This Row],[Codigo_actividad]]&lt;&gt;2.5,IF(((Tabla1[[#This Row],[fin]]-Tabla1[[#This Row],[inicio]])/1000)=0,"",((Tabla1[[#This Row],[fin]]-Tabla1[[#This Row],[inicio]])/1000)),"")</f>
        <v/>
      </c>
      <c r="I976" s="66">
        <v>34</v>
      </c>
      <c r="J976" s="76">
        <v>3.1</v>
      </c>
      <c r="K976" s="66" t="str">
        <f>IF(_xlfn.XLOOKUP($J976,Catalogo!$B$7:$B$210,Catalogo!$I$7:$I$210,"",0)=0,"",_xlfn.XLOOKUP($J976,Catalogo!$B$7:$B$210,Catalogo!$I$7:$I$210,"",0))</f>
        <v>PRIORIZACION</v>
      </c>
      <c r="L976" s="36"/>
      <c r="M976" s="261">
        <f>IF(Tabla1[[#This Row],[Avance_km]]&lt;&gt;"",Tabla1[[#This Row],[Avance_km]],Tabla1[[#This Row],[Avance_Med]])*_xlfn.XLOOKUP(Tabla1[[#This Row],[Codigo_actividad]],Catalogo!$B$6:$B$51,Catalogo!$F$6:$F$51,0)</f>
        <v>67002.100000000006</v>
      </c>
    </row>
    <row r="977" spans="1:14" x14ac:dyDescent="0.25">
      <c r="A977" s="405">
        <v>46311</v>
      </c>
      <c r="B977" s="283" t="s">
        <v>410</v>
      </c>
      <c r="C977" s="284" t="s">
        <v>411</v>
      </c>
      <c r="D977" s="285" t="s">
        <v>403</v>
      </c>
      <c r="E977" s="380" t="s">
        <v>413</v>
      </c>
      <c r="F977" s="286"/>
      <c r="G977" s="286"/>
      <c r="H977" s="224" t="str">
        <f>IF(Tabla1[[#This Row],[Codigo_actividad]]&lt;&gt;2.5,IF(((Tabla1[[#This Row],[fin]]-Tabla1[[#This Row],[inicio]])/1000)=0,"",((Tabla1[[#This Row],[fin]]-Tabla1[[#This Row],[inicio]])/1000)),"")</f>
        <v/>
      </c>
      <c r="I977" s="66">
        <v>4</v>
      </c>
      <c r="J977" s="76">
        <v>3.1</v>
      </c>
      <c r="K977" s="66" t="str">
        <f>IF(_xlfn.XLOOKUP($J977,Catalogo!$B$7:$B$210,Catalogo!$I$7:$I$210,"",0)=0,"",_xlfn.XLOOKUP($J977,Catalogo!$B$7:$B$210,Catalogo!$I$7:$I$210,"",0))</f>
        <v>PRIORIZACION</v>
      </c>
      <c r="L977" s="36"/>
      <c r="M977" s="261">
        <f>IF(Tabla1[[#This Row],[Avance_km]]&lt;&gt;"",Tabla1[[#This Row],[Avance_km]],Tabla1[[#This Row],[Avance_Med]])*_xlfn.XLOOKUP(Tabla1[[#This Row],[Codigo_actividad]],Catalogo!$B$6:$B$51,Catalogo!$F$6:$F$51,0)</f>
        <v>7882.6</v>
      </c>
    </row>
    <row r="978" spans="1:14" x14ac:dyDescent="0.25">
      <c r="A978" s="406"/>
      <c r="B978" s="287" t="s">
        <v>410</v>
      </c>
      <c r="C978" s="288" t="s">
        <v>561</v>
      </c>
      <c r="D978" s="289" t="s">
        <v>403</v>
      </c>
      <c r="E978" s="381" t="s">
        <v>413</v>
      </c>
      <c r="F978" s="290"/>
      <c r="G978" s="290"/>
      <c r="H978" s="224" t="str">
        <f>IF(Tabla1[[#This Row],[Codigo_actividad]]&lt;&gt;2.5,IF(((Tabla1[[#This Row],[fin]]-Tabla1[[#This Row],[inicio]])/1000)=0,"",((Tabla1[[#This Row],[fin]]-Tabla1[[#This Row],[inicio]])/1000)),"")</f>
        <v/>
      </c>
      <c r="I978" s="282"/>
      <c r="J978" s="76">
        <v>3.1</v>
      </c>
      <c r="K978" s="66" t="str">
        <f>IF(_xlfn.XLOOKUP($J978,Catalogo!$B$7:$B$210,Catalogo!$I$7:$I$210,"",0)=0,"",_xlfn.XLOOKUP($J978,Catalogo!$B$7:$B$210,Catalogo!$I$7:$I$210,"",0))</f>
        <v>PRIORIZACION</v>
      </c>
      <c r="L978" s="36"/>
      <c r="M978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79" spans="1:14" x14ac:dyDescent="0.25">
      <c r="A979" s="407"/>
      <c r="B979" s="274" t="s">
        <v>410</v>
      </c>
      <c r="C979" s="275" t="s">
        <v>265</v>
      </c>
      <c r="D979" s="276" t="s">
        <v>403</v>
      </c>
      <c r="E979" s="382" t="s">
        <v>413</v>
      </c>
      <c r="F979" s="277"/>
      <c r="G979" s="277"/>
      <c r="H979" s="224" t="str">
        <f>IF(Tabla1[[#This Row],[Codigo_actividad]]&lt;&gt;2.5,IF(((Tabla1[[#This Row],[fin]]-Tabla1[[#This Row],[inicio]])/1000)=0,"",((Tabla1[[#This Row],[fin]]-Tabla1[[#This Row],[inicio]])/1000)),"")</f>
        <v/>
      </c>
      <c r="I979" s="282"/>
      <c r="J979" s="76">
        <v>3.1</v>
      </c>
      <c r="K979" s="66" t="str">
        <f>IF(_xlfn.XLOOKUP($J979,Catalogo!$B$7:$B$210,Catalogo!$I$7:$I$210,"",0)=0,"",_xlfn.XLOOKUP($J979,Catalogo!$B$7:$B$210,Catalogo!$I$7:$I$210,"",0))</f>
        <v>PRIORIZACION</v>
      </c>
      <c r="L979" s="36"/>
      <c r="M979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80" spans="1:14" x14ac:dyDescent="0.25">
      <c r="A980" s="362"/>
      <c r="B980" s="278" t="s">
        <v>410</v>
      </c>
      <c r="C980" s="279" t="s">
        <v>335</v>
      </c>
      <c r="D980" s="280" t="s">
        <v>403</v>
      </c>
      <c r="E980" s="383" t="s">
        <v>413</v>
      </c>
      <c r="F980" s="281"/>
      <c r="G980" s="281"/>
      <c r="H980" s="224" t="str">
        <f>IF(Tabla1[[#This Row],[Codigo_actividad]]&lt;&gt;2.5,IF(((Tabla1[[#This Row],[fin]]-Tabla1[[#This Row],[inicio]])/1000)=0,"",((Tabla1[[#This Row],[fin]]-Tabla1[[#This Row],[inicio]])/1000)),"")</f>
        <v/>
      </c>
      <c r="I980" s="282"/>
      <c r="J980" s="76">
        <v>3.1</v>
      </c>
      <c r="K980" s="66" t="str">
        <f>IF(_xlfn.XLOOKUP($J980,Catalogo!$B$7:$B$210,Catalogo!$I$7:$I$210,"",0)=0,"",_xlfn.XLOOKUP($J980,Catalogo!$B$7:$B$210,Catalogo!$I$7:$I$210,"",0))</f>
        <v>PRIORIZACION</v>
      </c>
      <c r="L980" s="36"/>
      <c r="M980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81" spans="1:14" x14ac:dyDescent="0.25">
      <c r="A981" s="354"/>
      <c r="C981" s="155"/>
      <c r="D981" s="39"/>
      <c r="F981" s="28"/>
      <c r="G981" s="28"/>
      <c r="H981" s="224" t="str">
        <f>IF(Tabla1[[#This Row],[Codigo_actividad]]&lt;&gt;2.5,IF(((Tabla1[[#This Row],[fin]]-Tabla1[[#This Row],[inicio]])/1000)=0,"",((Tabla1[[#This Row],[fin]]-Tabla1[[#This Row],[inicio]])/1000)),"")</f>
        <v/>
      </c>
      <c r="I981" s="66"/>
      <c r="J981" s="76"/>
      <c r="K981" s="55" t="str">
        <f>IF(_xlfn.XLOOKUP($J981,Catalogo!$B$7:$B$210,Catalogo!$I$7:$I$210,"",0)=0,"",_xlfn.XLOOKUP($J981,Catalogo!$B$7:$B$210,Catalogo!$I$7:$I$210,"",0))</f>
        <v/>
      </c>
      <c r="L981" s="36"/>
      <c r="M981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82" spans="1:14" x14ac:dyDescent="0.25">
      <c r="A982" s="356"/>
      <c r="B982" s="262" t="s">
        <v>410</v>
      </c>
      <c r="C982" s="263" t="s">
        <v>13</v>
      </c>
      <c r="D982" s="264" t="s">
        <v>403</v>
      </c>
      <c r="E982" s="377" t="s">
        <v>651</v>
      </c>
      <c r="F982" s="265"/>
      <c r="G982" s="265"/>
      <c r="H982" s="224" t="str">
        <f>IF(Tabla1[[#This Row],[Codigo_actividad]]&lt;&gt;2.5,IF(((Tabla1[[#This Row],[fin]]-Tabla1[[#This Row],[inicio]])/1000)=0,"",((Tabla1[[#This Row],[fin]]-Tabla1[[#This Row],[inicio]])/1000)),"")</f>
        <v/>
      </c>
      <c r="I982" s="66"/>
      <c r="J982" s="76">
        <v>3.4</v>
      </c>
      <c r="K982" s="66" t="str">
        <f>IF(_xlfn.XLOOKUP($J982,Catalogo!$B$7:$B$210,Catalogo!$I$7:$I$210,"",0)=0,"",_xlfn.XLOOKUP($J982,Catalogo!$B$7:$B$210,Catalogo!$I$7:$I$210,"",0))</f>
        <v>REPORTE E3</v>
      </c>
      <c r="L982" s="36"/>
      <c r="M982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83" spans="1:14" x14ac:dyDescent="0.25">
      <c r="A983" s="357"/>
      <c r="B983" s="266" t="s">
        <v>410</v>
      </c>
      <c r="C983" s="267" t="s">
        <v>22</v>
      </c>
      <c r="D983" s="268" t="s">
        <v>403</v>
      </c>
      <c r="E983" s="378" t="s">
        <v>651</v>
      </c>
      <c r="F983" s="269"/>
      <c r="G983" s="269"/>
      <c r="H983" s="224" t="str">
        <f>IF(Tabla1[[#This Row],[Codigo_actividad]]&lt;&gt;2.5,IF(((Tabla1[[#This Row],[fin]]-Tabla1[[#This Row],[inicio]])/1000)=0,"",((Tabla1[[#This Row],[fin]]-Tabla1[[#This Row],[inicio]])/1000)),"")</f>
        <v/>
      </c>
      <c r="I983" s="66"/>
      <c r="J983" s="76">
        <v>3.4</v>
      </c>
      <c r="K983" s="66" t="str">
        <f>IF(_xlfn.XLOOKUP($J983,Catalogo!$B$7:$B$210,Catalogo!$I$7:$I$210,"",0)=0,"",_xlfn.XLOOKUP($J983,Catalogo!$B$7:$B$210,Catalogo!$I$7:$I$210,"",0))</f>
        <v>REPORTE E3</v>
      </c>
      <c r="L983" s="36"/>
      <c r="M983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84" spans="1:14" x14ac:dyDescent="0.25">
      <c r="A984" s="404"/>
      <c r="B984" s="270" t="s">
        <v>410</v>
      </c>
      <c r="C984" s="271" t="s">
        <v>329</v>
      </c>
      <c r="D984" s="272" t="s">
        <v>403</v>
      </c>
      <c r="E984" s="379" t="s">
        <v>651</v>
      </c>
      <c r="F984" s="273"/>
      <c r="G984" s="273"/>
      <c r="H984" s="224" t="str">
        <f>IF(Tabla1[[#This Row],[Codigo_actividad]]&lt;&gt;2.5,IF(((Tabla1[[#This Row],[fin]]-Tabla1[[#This Row],[inicio]])/1000)=0,"",((Tabla1[[#This Row],[fin]]-Tabla1[[#This Row],[inicio]])/1000)),"")</f>
        <v/>
      </c>
      <c r="I984" s="66"/>
      <c r="J984" s="76">
        <v>3.4</v>
      </c>
      <c r="K984" s="66" t="str">
        <f>IF(_xlfn.XLOOKUP($J984,Catalogo!$B$7:$B$210,Catalogo!$I$7:$I$210,"",0)=0,"",_xlfn.XLOOKUP($J984,Catalogo!$B$7:$B$210,Catalogo!$I$7:$I$210,"",0))</f>
        <v>REPORTE E3</v>
      </c>
      <c r="L984" s="36"/>
      <c r="M984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85" spans="1:14" x14ac:dyDescent="0.25">
      <c r="A985" s="405"/>
      <c r="B985" s="283" t="s">
        <v>410</v>
      </c>
      <c r="C985" s="284" t="s">
        <v>411</v>
      </c>
      <c r="D985" s="285" t="s">
        <v>403</v>
      </c>
      <c r="E985" s="380" t="s">
        <v>651</v>
      </c>
      <c r="F985" s="286"/>
      <c r="G985" s="286"/>
      <c r="H985" s="224" t="str">
        <f>IF(Tabla1[[#This Row],[Codigo_actividad]]&lt;&gt;2.5,IF(((Tabla1[[#This Row],[fin]]-Tabla1[[#This Row],[inicio]])/1000)=0,"",((Tabla1[[#This Row],[fin]]-Tabla1[[#This Row],[inicio]])/1000)),"")</f>
        <v/>
      </c>
      <c r="I985" s="66"/>
      <c r="J985" s="76">
        <v>3.4</v>
      </c>
      <c r="K985" s="66" t="str">
        <f>IF(_xlfn.XLOOKUP($J985,Catalogo!$B$7:$B$210,Catalogo!$I$7:$I$210,"",0)=0,"",_xlfn.XLOOKUP($J985,Catalogo!$B$7:$B$210,Catalogo!$I$7:$I$210,"",0))</f>
        <v>REPORTE E3</v>
      </c>
      <c r="L985" s="36"/>
      <c r="M985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86" spans="1:14" x14ac:dyDescent="0.25">
      <c r="A986" s="406"/>
      <c r="B986" s="287" t="s">
        <v>410</v>
      </c>
      <c r="C986" s="288" t="s">
        <v>561</v>
      </c>
      <c r="D986" s="289" t="s">
        <v>403</v>
      </c>
      <c r="E986" s="381" t="s">
        <v>651</v>
      </c>
      <c r="F986" s="290"/>
      <c r="G986" s="290"/>
      <c r="H986" s="224" t="str">
        <f>IF(Tabla1[[#This Row],[Codigo_actividad]]&lt;&gt;2.5,IF(((Tabla1[[#This Row],[fin]]-Tabla1[[#This Row],[inicio]])/1000)=0,"",((Tabla1[[#This Row],[fin]]-Tabla1[[#This Row],[inicio]])/1000)),"")</f>
        <v/>
      </c>
      <c r="I986" s="66"/>
      <c r="J986" s="76">
        <v>3.4</v>
      </c>
      <c r="K986" s="66" t="str">
        <f>IF(_xlfn.XLOOKUP($J986,Catalogo!$B$7:$B$210,Catalogo!$I$7:$I$210,"",0)=0,"",_xlfn.XLOOKUP($J986,Catalogo!$B$7:$B$210,Catalogo!$I$7:$I$210,"",0))</f>
        <v>REPORTE E3</v>
      </c>
      <c r="L986" s="36"/>
      <c r="M986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87" spans="1:14" x14ac:dyDescent="0.25">
      <c r="A987" s="407"/>
      <c r="B987" s="274" t="s">
        <v>410</v>
      </c>
      <c r="C987" s="275" t="s">
        <v>265</v>
      </c>
      <c r="D987" s="276" t="s">
        <v>403</v>
      </c>
      <c r="E987" s="382" t="s">
        <v>651</v>
      </c>
      <c r="F987" s="277"/>
      <c r="G987" s="277"/>
      <c r="H987" s="224" t="str">
        <f>IF(Tabla1[[#This Row],[Codigo_actividad]]&lt;&gt;2.5,IF(((Tabla1[[#This Row],[fin]]-Tabla1[[#This Row],[inicio]])/1000)=0,"",((Tabla1[[#This Row],[fin]]-Tabla1[[#This Row],[inicio]])/1000)),"")</f>
        <v/>
      </c>
      <c r="I987" s="66"/>
      <c r="J987" s="76">
        <v>3.4</v>
      </c>
      <c r="K987" s="66" t="str">
        <f>IF(_xlfn.XLOOKUP($J987,Catalogo!$B$7:$B$210,Catalogo!$I$7:$I$210,"",0)=0,"",_xlfn.XLOOKUP($J987,Catalogo!$B$7:$B$210,Catalogo!$I$7:$I$210,"",0))</f>
        <v>REPORTE E3</v>
      </c>
      <c r="L987" s="36"/>
      <c r="M987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88" spans="1:14" x14ac:dyDescent="0.25">
      <c r="A988" s="362"/>
      <c r="B988" s="278" t="s">
        <v>410</v>
      </c>
      <c r="C988" s="279" t="s">
        <v>335</v>
      </c>
      <c r="D988" s="280" t="s">
        <v>403</v>
      </c>
      <c r="E988" s="383" t="s">
        <v>651</v>
      </c>
      <c r="F988" s="281"/>
      <c r="G988" s="281"/>
      <c r="H988" s="224" t="str">
        <f>IF(Tabla1[[#This Row],[Codigo_actividad]]&lt;&gt;2.5,IF(((Tabla1[[#This Row],[fin]]-Tabla1[[#This Row],[inicio]])/1000)=0,"",((Tabla1[[#This Row],[fin]]-Tabla1[[#This Row],[inicio]])/1000)),"")</f>
        <v/>
      </c>
      <c r="I988" s="66"/>
      <c r="J988" s="76">
        <v>3.4</v>
      </c>
      <c r="K988" s="66" t="str">
        <f>IF(_xlfn.XLOOKUP($J988,Catalogo!$B$7:$B$210,Catalogo!$I$7:$I$210,"",0)=0,"",_xlfn.XLOOKUP($J988,Catalogo!$B$7:$B$210,Catalogo!$I$7:$I$210,"",0))</f>
        <v>REPORTE E3</v>
      </c>
      <c r="L988" s="36"/>
      <c r="M988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89" spans="1:14" x14ac:dyDescent="0.25">
      <c r="A989" s="354"/>
      <c r="C989" s="155"/>
      <c r="D989" s="39"/>
      <c r="F989" s="28"/>
      <c r="G989" s="28"/>
      <c r="H989" s="224" t="str">
        <f>IF(Tabla1[[#This Row],[Codigo_actividad]]&lt;&gt;2.5,IF(((Tabla1[[#This Row],[fin]]-Tabla1[[#This Row],[inicio]])/1000)=0,"",((Tabla1[[#This Row],[fin]]-Tabla1[[#This Row],[inicio]])/1000)),"")</f>
        <v/>
      </c>
      <c r="I989" s="66"/>
      <c r="J989" s="76"/>
      <c r="K989" s="55" t="str">
        <f>IF(_xlfn.XLOOKUP($J989,Catalogo!$B$7:$B$21,Catalogo!$I$7:$I$21,"",0)=0,"",_xlfn.XLOOKUP($J989,Catalogo!$B$7:$B$21,Catalogo!$I$7:$I$21,"",0))</f>
        <v/>
      </c>
      <c r="L989" s="36"/>
      <c r="M989" s="261">
        <f>IF(Tabla1[[#This Row],[Avance_km]]&lt;&gt;"",Tabla1[[#This Row],[Avance_km]],Tabla1[[#This Row],[Avance_Med]])*_xlfn.XLOOKUP(Tabla1[[#This Row],[Codigo_actividad]],Catalogo!$B$6:$B$51,Catalogo!$F$6:$F$51,0)</f>
        <v>0</v>
      </c>
      <c r="N989" t="str">
        <f>_xlfn.IFNA(_xlfn.XLOOKUP(Tabla1[[#This Row],[fin]],$P$379:$P$398,$T$379:$T$398),"")</f>
        <v/>
      </c>
    </row>
    <row r="990" spans="1:14" x14ac:dyDescent="0.25">
      <c r="A990" s="354"/>
      <c r="C990" s="155"/>
      <c r="D990" s="39"/>
      <c r="F990" s="28"/>
      <c r="G990" s="28"/>
      <c r="H990" s="224" t="str">
        <f>IF(Tabla1[[#This Row],[Codigo_actividad]]&lt;&gt;2.5,IF(((Tabla1[[#This Row],[fin]]-Tabla1[[#This Row],[inicio]])/1000)=0,"",((Tabla1[[#This Row],[fin]]-Tabla1[[#This Row],[inicio]])/1000)),"")</f>
        <v/>
      </c>
      <c r="I990" s="66"/>
      <c r="J990" s="76"/>
      <c r="K990" s="55" t="str">
        <f>IF(_xlfn.XLOOKUP($J990,Catalogo!$B$7:$B$21,Catalogo!$I$7:$I$21,"",0)=0,"",_xlfn.XLOOKUP($J990,Catalogo!$B$7:$B$21,Catalogo!$I$7:$I$21,"",0))</f>
        <v/>
      </c>
      <c r="L990" s="36"/>
      <c r="M990" s="261">
        <f>IF(Tabla1[[#This Row],[Avance_km]]&lt;&gt;"",Tabla1[[#This Row],[Avance_km]],Tabla1[[#This Row],[Avance_Med]])*_xlfn.XLOOKUP(Tabla1[[#This Row],[Codigo_actividad]],Catalogo!$B$6:$B$51,Catalogo!$F$6:$F$51,0)</f>
        <v>0</v>
      </c>
      <c r="N990" t="str">
        <f>_xlfn.IFNA(_xlfn.XLOOKUP(Tabla1[[#This Row],[fin]],$P$379:$P$398,$T$379:$T$398),"")</f>
        <v/>
      </c>
    </row>
    <row r="991" spans="1:14" x14ac:dyDescent="0.25">
      <c r="A991" s="359"/>
      <c r="B991" s="380"/>
      <c r="C991" s="284"/>
      <c r="D991" s="285"/>
      <c r="E991" s="380"/>
      <c r="F991" s="286"/>
      <c r="G991" s="286"/>
      <c r="H991" s="515" t="str">
        <f>IF(Tabla1[[#This Row],[Codigo_actividad]]&lt;&gt;2.5,IF(((Tabla1[[#This Row],[fin]]-Tabla1[[#This Row],[inicio]])/1000)=0,"",((Tabla1[[#This Row],[fin]]-Tabla1[[#This Row],[inicio]])/1000)),"")</f>
        <v/>
      </c>
      <c r="I991" s="516"/>
      <c r="J991" s="516"/>
      <c r="K991" s="519" t="str">
        <f>IF(_xlfn.XLOOKUP($J991,Catalogo!$B$7:$B$21,Catalogo!$I$7:$I$21,"",0)=0,"",_xlfn.XLOOKUP($J991,Catalogo!$B$7:$B$21,Catalogo!$I$7:$I$21,"",0))</f>
        <v/>
      </c>
      <c r="L991" s="517"/>
      <c r="M991" s="518">
        <f>IF(Tabla1[[#This Row],[Avance_km]]&lt;&gt;"",Tabla1[[#This Row],[Avance_km]],Tabla1[[#This Row],[Avance_Med]])*_xlfn.XLOOKUP(Tabla1[[#This Row],[Codigo_actividad]],Catalogo!$B$6:$B$51,Catalogo!$F$6:$F$51,0)</f>
        <v>0</v>
      </c>
      <c r="N991" s="519" t="str">
        <f>_xlfn.IFNA(_xlfn.XLOOKUP(Tabla1[[#This Row],[fin]],$P$379:$P$398,$T$379:$T$398),"")</f>
        <v/>
      </c>
    </row>
    <row r="992" spans="1:14" x14ac:dyDescent="0.25">
      <c r="A992" s="354"/>
      <c r="C992" s="155"/>
      <c r="D992" s="39"/>
      <c r="F992" s="28"/>
      <c r="G992" s="28"/>
      <c r="H992" s="224" t="str">
        <f>IF(Tabla1[[#This Row],[Codigo_actividad]]&lt;&gt;2.5,IF(((Tabla1[[#This Row],[fin]]-Tabla1[[#This Row],[inicio]])/1000)=0,"",((Tabla1[[#This Row],[fin]]-Tabla1[[#This Row],[inicio]])/1000)),"")</f>
        <v/>
      </c>
      <c r="I992" s="66"/>
      <c r="J992" s="76"/>
      <c r="K992" s="55" t="str">
        <f>IF(_xlfn.XLOOKUP($J992,Catalogo!$B$7:$B$210,Catalogo!$I$7:$I$210,"",0)=0,"",_xlfn.XLOOKUP($J992,Catalogo!$B$7:$B$210,Catalogo!$I$7:$I$210,"",0))</f>
        <v/>
      </c>
      <c r="L992" s="36"/>
      <c r="M992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93" spans="1:14" x14ac:dyDescent="0.25">
      <c r="A993" s="354">
        <v>46258</v>
      </c>
      <c r="B993" s="40" t="s">
        <v>522</v>
      </c>
      <c r="C993" s="155" t="s">
        <v>13</v>
      </c>
      <c r="D993" s="39" t="s">
        <v>403</v>
      </c>
      <c r="E993" s="40" t="s">
        <v>434</v>
      </c>
      <c r="F993" s="28"/>
      <c r="G993" s="28"/>
      <c r="H993" s="224" t="str">
        <f>IF(Tabla1[[#This Row],[Codigo_actividad]]&lt;&gt;2.5,IF(((Tabla1[[#This Row],[fin]]-Tabla1[[#This Row],[inicio]])/1000)=0,"",((Tabla1[[#This Row],[fin]]-Tabla1[[#This Row],[inicio]])/1000)),"")</f>
        <v/>
      </c>
      <c r="I993" s="66">
        <v>24</v>
      </c>
      <c r="J993" s="76">
        <v>4.9000000000000004</v>
      </c>
      <c r="K993" s="66" t="str">
        <f>IF(_xlfn.XLOOKUP($J993,Catalogo!$B$7:$B$210,Catalogo!$I$7:$I$210,"",0)=0,"",_xlfn.XLOOKUP($J993,Catalogo!$B$7:$B$210,Catalogo!$I$7:$I$210,"",0))</f>
        <v>COATING 2-4</v>
      </c>
      <c r="L993" s="36"/>
      <c r="M993" s="261">
        <f>IF(Tabla1[[#This Row],[Avance_km]]&lt;&gt;"",Tabla1[[#This Row],[Avance_km]],Tabla1[[#This Row],[Avance_Med]])*_xlfn.XLOOKUP(Tabla1[[#This Row],[Codigo_actividad]],Catalogo!$B$6:$B$51,Catalogo!$F$6:$F$51,0)</f>
        <v>173864.40000000002</v>
      </c>
      <c r="N993" t="str">
        <f>_xlfn.IFNA(_xlfn.XLOOKUP(Tabla1[[#This Row],[fin]],$P$379:$P$398,$T$379:$T$398),"")</f>
        <v/>
      </c>
    </row>
    <row r="994" spans="1:14" x14ac:dyDescent="0.25">
      <c r="A994" s="354">
        <v>46258</v>
      </c>
      <c r="B994" s="40" t="s">
        <v>522</v>
      </c>
      <c r="C994" s="155" t="s">
        <v>22</v>
      </c>
      <c r="D994" s="39" t="s">
        <v>403</v>
      </c>
      <c r="E994" s="40" t="s">
        <v>435</v>
      </c>
      <c r="F994" s="28"/>
      <c r="G994" s="28"/>
      <c r="H994" s="224" t="str">
        <f>IF(Tabla1[[#This Row],[Codigo_actividad]]&lt;&gt;2.5,IF(((Tabla1[[#This Row],[fin]]-Tabla1[[#This Row],[inicio]])/1000)=0,"",((Tabla1[[#This Row],[fin]]-Tabla1[[#This Row],[inicio]])/1000)),"")</f>
        <v/>
      </c>
      <c r="I994" s="66">
        <v>24</v>
      </c>
      <c r="J994" s="437" t="s">
        <v>523</v>
      </c>
      <c r="K994" s="66" t="str">
        <f>IF(_xlfn.XLOOKUP($J994,Catalogo!$B$7:$B$210,Catalogo!$I$7:$I$210,"",0)=0,"",_xlfn.XLOOKUP($J994,Catalogo!$B$7:$B$210,Catalogo!$I$7:$I$210,"",0))</f>
        <v>COATING 6-8</v>
      </c>
      <c r="L994" s="36"/>
      <c r="M994" s="261">
        <f>IF(Tabla1[[#This Row],[Avance_km]]&lt;&gt;"",Tabla1[[#This Row],[Avance_km]],Tabla1[[#This Row],[Avance_Med]])*_xlfn.XLOOKUP(Tabla1[[#This Row],[Codigo_actividad]],Catalogo!$B$6:$B$51,Catalogo!$F$6:$F$51,0)</f>
        <v>167470.32</v>
      </c>
      <c r="N994" t="str">
        <f>_xlfn.IFNA(_xlfn.XLOOKUP(Tabla1[[#This Row],[fin]],$P$379:$P$398,$T$379:$T$398),"")</f>
        <v/>
      </c>
    </row>
    <row r="995" spans="1:14" x14ac:dyDescent="0.25">
      <c r="A995" s="354"/>
      <c r="C995" s="155"/>
      <c r="D995" s="39"/>
      <c r="F995" s="28"/>
      <c r="G995" s="28"/>
      <c r="H995" s="224" t="str">
        <f>IF(Tabla1[[#This Row],[Codigo_actividad]]&lt;&gt;2.5,IF(((Tabla1[[#This Row],[fin]]-Tabla1[[#This Row],[inicio]])/1000)=0,"",((Tabla1[[#This Row],[fin]]-Tabla1[[#This Row],[inicio]])/1000)),"")</f>
        <v/>
      </c>
      <c r="I995" s="66"/>
      <c r="J995" s="76"/>
      <c r="K995" s="55" t="str">
        <f>IF(_xlfn.XLOOKUP($J995,Catalogo!$B$7:$B$210,Catalogo!$I$7:$I$210,"",0)=0,"",_xlfn.XLOOKUP($J995,Catalogo!$B$7:$B$210,Catalogo!$I$7:$I$210,"",0))</f>
        <v/>
      </c>
      <c r="L995" s="36"/>
      <c r="M995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96" spans="1:14" x14ac:dyDescent="0.25">
      <c r="A996" s="354"/>
      <c r="C996" s="155"/>
      <c r="D996" s="39"/>
      <c r="F996" s="28"/>
      <c r="G996" s="28"/>
      <c r="H996" s="224">
        <f>SUBTOTAL(109,Tabla1[Avance_km])</f>
        <v>631.52717920048383</v>
      </c>
      <c r="I996" s="224"/>
      <c r="L996" s="36"/>
      <c r="M996" s="292">
        <f>+SUBTOTAL(9,Tabla1[EV])</f>
        <v>11215086.820299985</v>
      </c>
    </row>
  </sheetData>
  <sortState xmlns:xlrd2="http://schemas.microsoft.com/office/spreadsheetml/2017/richdata2" ref="U386:X412">
    <sortCondition ref="W386:W412"/>
  </sortState>
  <phoneticPr fontId="25" type="noConversion"/>
  <conditionalFormatting sqref="M2:M995">
    <cfRule type="cellIs" dxfId="39" priority="1" operator="lessThan">
      <formula>0</formula>
    </cfRule>
  </conditionalFormatting>
  <dataValidations count="3">
    <dataValidation type="list" allowBlank="1" showInputMessage="1" showErrorMessage="1" sqref="D2:D14" xr:uid="{F5AB340B-0F16-474C-A32A-146EA2A5FA5A}">
      <formula1>INDIRECT($C$2)</formula1>
    </dataValidation>
    <dataValidation type="list" allowBlank="1" showInputMessage="1" showErrorMessage="1" sqref="D57:D59 D61:D63 D78:D140 D269:D278 D152:D159 D52:D55 D143:D150 D65:D76 D244:D267 D286:D306 D283:D284 D280:D281 D163:D239 D308:D309 D348 D318 D312:D316 D15:D17 D19:D50" xr:uid="{003E7203-49C9-4845-A563-AF74E9BCDBA9}">
      <formula1>INDIRECT(C15)</formula1>
    </dataValidation>
    <dataValidation type="list" allowBlank="1" sqref="D307 D317 D319:D325 D327:D332 D334:D340 D342:D343 D345:D346 D310:D311 D350:D352 D354:D356 D358 D18 D360:D376 D398:D410 D412:D418 D378:D396 D420:D429 D444:D453 D455:D463 D558:D582 D465:D476 D497:D507 D510:D520 D584:D589 D431:D442 D591:D599 D857 D478:D495 D522:D556 D727:D854 D859:D914 D601:D725" xr:uid="{8D7E8BD5-A003-4DBA-8B3C-7B683B9E03D4}">
      <formula1>INDIRECT(C18)</formula1>
    </dataValidation>
  </dataValidations>
  <pageMargins left="0.7" right="0.7" top="0.75" bottom="0.75" header="0.3" footer="0.3"/>
  <pageSetup paperSize="119" orientation="portrait" horizontalDpi="1200" verticalDpi="120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F0AAC20-720D-4540-BED6-7E5BBE7A628B}">
          <x14:formula1>
            <xm:f>'Catálogo de conceptos'!$B$6:$B$51</xm:f>
          </x14:formula1>
          <xm:sqref>J2:J10</xm:sqref>
        </x14:dataValidation>
        <x14:dataValidation type="list" allowBlank="1" showInputMessage="1" showErrorMessage="1" xr:uid="{54C13E0B-67A7-46C2-9200-4ED5E4E95EAE}">
          <x14:formula1>
            <xm:f>Catalogo!$B$6:$B$51</xm:f>
          </x14:formula1>
          <xm:sqref>J138:J140 J152:J160 J162:J163 J237:J238 J175 J185 J143:J150 J222 J11:J124</xm:sqref>
        </x14:dataValidation>
        <x14:dataValidation type="list" allowBlank="1" showInputMessage="1" showErrorMessage="1" xr:uid="{2792AF1F-7C57-4E6A-8D51-78FACF1DB628}">
          <x14:formula1>
            <xm:f>nombres!$N$2:$N$5</xm:f>
          </x14:formula1>
          <xm:sqref>C245:C247</xm:sqref>
        </x14:dataValidation>
        <x14:dataValidation type="list" allowBlank="1" showInputMessage="1" showErrorMessage="1" xr:uid="{7F08793B-6023-4CC5-9D0D-BB20D320C258}">
          <x14:formula1>
            <xm:f>nombres!$N$2:$N$6</xm:f>
          </x14:formula1>
          <xm:sqref>C248:C266 C269:C277 C290:C291 C293:C296 C280 C286:C287 C283 C300:C304</xm:sqref>
        </x14:dataValidation>
        <x14:dataValidation type="list" allowBlank="1" showInputMessage="1" showErrorMessage="1" xr:uid="{BC6A72A2-5CDC-4A3F-ADA1-8551F32AE030}">
          <x14:formula1>
            <xm:f>nombres!$N$2:$N$4</xm:f>
          </x14:formula1>
          <xm:sqref>C2:C244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56723-1148-4986-A78C-AA264093AC28}">
  <sheetPr codeName="Hoja2"/>
  <dimension ref="A1:L130"/>
  <sheetViews>
    <sheetView workbookViewId="0"/>
  </sheetViews>
  <sheetFormatPr baseColWidth="10" defaultColWidth="11.42578125" defaultRowHeight="15" outlineLevelCol="1" x14ac:dyDescent="0.25"/>
  <cols>
    <col min="1" max="1" width="15" customWidth="1"/>
    <col min="2" max="2" width="33.28515625" customWidth="1"/>
    <col min="3" max="3" width="8.42578125" style="26" customWidth="1"/>
    <col min="4" max="4" width="16" customWidth="1"/>
    <col min="5" max="5" width="14.85546875" customWidth="1"/>
    <col min="6" max="6" width="16.42578125" customWidth="1"/>
    <col min="7" max="7" width="17" customWidth="1"/>
    <col min="8" max="9" width="14.85546875" hidden="1" customWidth="1" outlineLevel="1"/>
    <col min="10" max="10" width="11.42578125" collapsed="1"/>
    <col min="11" max="11" width="7.28515625" style="1" customWidth="1"/>
    <col min="12" max="12" width="20.85546875" bestFit="1" customWidth="1"/>
    <col min="13" max="13" width="20.42578125" bestFit="1" customWidth="1"/>
    <col min="14" max="14" width="28.28515625" bestFit="1" customWidth="1"/>
  </cols>
  <sheetData>
    <row r="1" spans="1:12" s="1" customFormat="1" ht="30.75" customHeight="1" x14ac:dyDescent="0.25">
      <c r="A1" s="1" t="s">
        <v>2</v>
      </c>
      <c r="B1" s="33" t="s">
        <v>76</v>
      </c>
      <c r="C1" s="110" t="s">
        <v>77</v>
      </c>
      <c r="D1" s="33" t="s">
        <v>78</v>
      </c>
      <c r="E1" s="33" t="s">
        <v>79</v>
      </c>
      <c r="F1" s="33" t="s">
        <v>80</v>
      </c>
      <c r="G1" s="65" t="s">
        <v>81</v>
      </c>
      <c r="H1" s="33" t="s">
        <v>82</v>
      </c>
      <c r="I1" s="33" t="s">
        <v>83</v>
      </c>
      <c r="L1"/>
    </row>
    <row r="2" spans="1:12" ht="26.25" x14ac:dyDescent="0.25">
      <c r="A2" s="34" t="str">
        <f>+_xlfn.XLOOKUP(B2,Tabla1[Ducto],Tabla1[Sistema],"")</f>
        <v>LIRA_GALERAS</v>
      </c>
      <c r="B2" s="34" t="str" cm="1">
        <f t="array" ref="B2:B130">_xlfn._xlws.FILTER(_xlfn.UNIQUE(Tabla1[Ducto]), _xlfn.UNIQUE(Tabla1[Ducto])&lt;&gt;0)</f>
        <v>AC 8-6-4 in La Lira-Galeras</v>
      </c>
      <c r="C2" s="110">
        <f>+_xlfn.XLOOKUP(B2,Tabla1[Ducto],Tabla1[Length])</f>
        <v>31.54</v>
      </c>
      <c r="D2" s="79">
        <f>IFERROR(SUMIFS(Tabla1[Avance_km],Tabla1[Ducto],Resumen!$B2,Tabla1[nombre_actividad],D$1)/$C2,0)</f>
        <v>1</v>
      </c>
      <c r="E2" s="79">
        <f>IFERROR(SUMIFS(Tabla1[Avance_km],Tabla1[Ducto],Resumen!$B2,Tabla1[nombre_actividad],E$1)/$C2,0)</f>
        <v>1</v>
      </c>
      <c r="F2" s="79">
        <f>IFERROR(SUMIFS(Tabla1[Avance_km],Tabla1[Ducto],Resumen!$B2,Tabla1[nombre_actividad],F$1)/$C2,0)</f>
        <v>1</v>
      </c>
      <c r="G2" s="79">
        <f>IFERROR(SUMIFS(Tabla1[Avance_Med],Tabla1[Ducto],Resumen!$B2,Tabla1[nombre_actividad],G$1)/64,0)</f>
        <v>1</v>
      </c>
      <c r="H2" s="79">
        <f>+SUMIFS(Tabla1[Avance_km],Tabla1[Ducto],Resumen!$B2,Tabla1[nombre_actividad],H$1)/$C2</f>
        <v>0</v>
      </c>
      <c r="I2" s="79">
        <f>+SUMIFS(Tabla1[Avance_km],Tabla1[Ducto],Resumen!$B2,Tabla1[nombre_actividad],I$1)/$C2</f>
        <v>0</v>
      </c>
      <c r="J2" s="142">
        <f>+_xlfn.XLOOKUP(B2,'R (s01)'!B:B,'R (s01)'!J:J)</f>
        <v>0</v>
      </c>
    </row>
    <row r="3" spans="1:12" ht="26.25" x14ac:dyDescent="0.25">
      <c r="A3" s="34" t="str">
        <f>+_xlfn.XLOOKUP(B3,Tabla1[Ducto],Tabla1[Sistema],"")</f>
        <v>LIRA_GALERAS</v>
      </c>
      <c r="B3" s="34" t="str">
        <v>ALESTRA</v>
      </c>
      <c r="C3" s="110">
        <f>+_xlfn.XLOOKUP(B3,Tabla1[Ducto],Tabla1[Length])</f>
        <v>1.982</v>
      </c>
      <c r="D3" s="79">
        <f>IFERROR(SUMIFS(Tabla1[Avance_km],Tabla1[Ducto],Resumen!$B3,Tabla1[nombre_actividad],D$1)/$C3,0)</f>
        <v>1</v>
      </c>
      <c r="E3" s="79">
        <f>IFERROR(SUMIFS(Tabla1[Avance_km],Tabla1[Ducto],Resumen!$B3,Tabla1[nombre_actividad],E$1)/$C3,0)</f>
        <v>1</v>
      </c>
      <c r="F3" s="79">
        <f>IFERROR(SUMIFS(Tabla1[Avance_km],Tabla1[Ducto],Resumen!$B3,Tabla1[nombre_actividad],F$1)/$C3,0)</f>
        <v>1</v>
      </c>
      <c r="G3" s="79">
        <f>IFERROR(SUMIFS(Tabla1[Avance_Med],Tabla1[Ducto],Resumen!$B3,Tabla1[nombre_actividad],G$1)/(ROUNDUP(C3,0)*2),0)</f>
        <v>1</v>
      </c>
      <c r="H3" s="79">
        <f>+SUMIFS(Tabla1[Avance_km],Tabla1[Ducto],Resumen!$B3,Tabla1[nombre_actividad],H$1)/$C3</f>
        <v>0</v>
      </c>
      <c r="I3" s="79">
        <f>+SUMIFS(Tabla1[Avance_km],Tabla1[Ducto],Resumen!$B3,Tabla1[nombre_actividad],I$1)/$C3</f>
        <v>0</v>
      </c>
      <c r="J3" s="142">
        <f>+_xlfn.XLOOKUP(B3,'R (s01)'!B:B,'R (s01)'!J:J)</f>
        <v>4</v>
      </c>
    </row>
    <row r="4" spans="1:12" ht="26.25" x14ac:dyDescent="0.25">
      <c r="A4" s="34" t="str">
        <f>+_xlfn.XLOOKUP(B4,Tabla1[Ducto],Tabla1[Sistema],"")</f>
        <v>LIRA_GALERAS</v>
      </c>
      <c r="B4" s="34" t="str">
        <v>HUAWEI</v>
      </c>
      <c r="C4" s="110">
        <f>+_xlfn.XLOOKUP(B4,Tabla1[Ducto],Tabla1[Length])</f>
        <v>0.17499999999999999</v>
      </c>
      <c r="D4" s="79">
        <f>IFERROR(SUMIFS(Tabla1[Avance_km],Tabla1[Ducto],Resumen!$B4,Tabla1[nombre_actividad],D$1)/$C4,0)</f>
        <v>1</v>
      </c>
      <c r="E4" s="79">
        <f>IFERROR(SUMIFS(Tabla1[Avance_km],Tabla1[Ducto],Resumen!$B4,Tabla1[nombre_actividad],E$1)/$C4,0)</f>
        <v>1</v>
      </c>
      <c r="F4" s="79">
        <f>IFERROR(SUMIFS(Tabla1[Avance_km],Tabla1[Ducto],Resumen!$B4,Tabla1[nombre_actividad],F$1)/$C4,0)</f>
        <v>1</v>
      </c>
      <c r="G4" s="79">
        <f>IFERROR(SUMIFS(Tabla1[Avance_Med],Tabla1[Ducto],Resumen!$B4,Tabla1[nombre_actividad],G$1)/(ROUNDUP(C4,0)*2),0)</f>
        <v>1</v>
      </c>
      <c r="H4" s="79">
        <f>+SUMIFS(Tabla1[Avance_km],Tabla1[Ducto],Resumen!$B4,Tabla1[nombre_actividad],H$1)/$C4</f>
        <v>0</v>
      </c>
      <c r="I4" s="79">
        <f>+SUMIFS(Tabla1[Avance_km],Tabla1[Ducto],Resumen!$B4,Tabla1[nombre_actividad],I$1)/$C4</f>
        <v>0</v>
      </c>
      <c r="J4" s="142">
        <f>+_xlfn.XLOOKUP(B4,'R (s01)'!B:B,'R (s01)'!J:J)</f>
        <v>2</v>
      </c>
    </row>
    <row r="5" spans="1:12" ht="26.25" x14ac:dyDescent="0.25">
      <c r="A5" s="34" t="str">
        <f>+_xlfn.XLOOKUP(B5,Tabla1[Ducto],Tabla1[Sistema],"")</f>
        <v>LIRA_GALERAS</v>
      </c>
      <c r="B5" s="34" t="str">
        <v>ITASA</v>
      </c>
      <c r="C5" s="110">
        <f>+_xlfn.XLOOKUP(B5,Tabla1[Ducto],Tabla1[Length])</f>
        <v>1.4999999999999999E-2</v>
      </c>
      <c r="D5" s="79">
        <f>IFERROR(SUMIFS(Tabla1[Avance_km],Tabla1[Ducto],Resumen!$B5,Tabla1[nombre_actividad],D$1)/$C5,0)</f>
        <v>1</v>
      </c>
      <c r="E5" s="79">
        <f>IFERROR(SUMIFS(Tabla1[Avance_km],Tabla1[Ducto],Resumen!$B5,Tabla1[nombre_actividad],E$1)/$C5,0)</f>
        <v>1</v>
      </c>
      <c r="F5" s="79">
        <f>IFERROR(SUMIFS(Tabla1[Avance_km],Tabla1[Ducto],Resumen!$B5,Tabla1[nombre_actividad],F$1)/$C5,0)</f>
        <v>1</v>
      </c>
      <c r="G5" s="139"/>
      <c r="H5" s="79">
        <f>+SUMIFS(Tabla1[Avance_km],Tabla1[Ducto],Resumen!$B5,Tabla1[nombre_actividad],H$1)/$C5</f>
        <v>0</v>
      </c>
      <c r="I5" s="79">
        <f>+SUMIFS(Tabla1[Avance_km],Tabla1[Ducto],Resumen!$B5,Tabla1[nombre_actividad],I$1)/$C5</f>
        <v>0</v>
      </c>
      <c r="J5" s="142">
        <f>+_xlfn.XLOOKUP(B5,'R (s01)'!B:B,'R (s01)'!J:J)</f>
        <v>0</v>
      </c>
    </row>
    <row r="6" spans="1:12" ht="26.25" x14ac:dyDescent="0.25">
      <c r="A6" s="34" t="str">
        <f>+_xlfn.XLOOKUP(B6,Tabla1[Ducto],Tabla1[Sistema],"")</f>
        <v>LIRA_GALERAS</v>
      </c>
      <c r="B6" s="34" t="str">
        <v>ED PARQUE INDUSTRIAL FINSA II</v>
      </c>
      <c r="C6" s="110">
        <f>+_xlfn.XLOOKUP(B6,Tabla1[Ducto],Tabla1[Length])</f>
        <v>1.02</v>
      </c>
      <c r="D6" s="79">
        <f>IFERROR(SUMIFS(Tabla1[Avance_km],Tabla1[Ducto],Resumen!$B6,Tabla1[nombre_actividad],D$1)/$C6,0)</f>
        <v>1</v>
      </c>
      <c r="E6" s="79">
        <f>IFERROR(SUMIFS(Tabla1[Avance_km],Tabla1[Ducto],Resumen!$B6,Tabla1[nombre_actividad],E$1)/$C6,0)</f>
        <v>1</v>
      </c>
      <c r="F6" s="79">
        <f>IFERROR(SUMIFS(Tabla1[Avance_km],Tabla1[Ducto],Resumen!$B6,Tabla1[nombre_actividad],F$1)/$C6,0)</f>
        <v>1</v>
      </c>
      <c r="G6" s="79">
        <f>IFERROR(SUMIFS(Tabla1[Avance_Med],Tabla1[Ducto],Resumen!$B6,Tabla1[nombre_actividad],G$1)/(3),0)</f>
        <v>1</v>
      </c>
      <c r="H6" s="79">
        <f>+SUMIFS(Tabla1[Avance_km],Tabla1[Ducto],Resumen!$B6,Tabla1[nombre_actividad],H$1)/$C6</f>
        <v>0</v>
      </c>
      <c r="I6" s="79">
        <f>+SUMIFS(Tabla1[Avance_km],Tabla1[Ducto],Resumen!$B6,Tabla1[nombre_actividad],I$1)/$C6</f>
        <v>0</v>
      </c>
      <c r="J6" s="142">
        <f>+_xlfn.XLOOKUP(B6,'R (s01)'!B:B,'R (s01)'!J:J)</f>
        <v>3</v>
      </c>
    </row>
    <row r="7" spans="1:12" ht="26.25" x14ac:dyDescent="0.25">
      <c r="A7" s="34" t="str">
        <f>+_xlfn.XLOOKUP(B7,Tabla1[Ducto],Tabla1[Sistema],"")</f>
        <v>LIRA_GALERAS</v>
      </c>
      <c r="B7" s="34" t="str">
        <v>NUTRIBAQ</v>
      </c>
      <c r="C7" s="110">
        <f>+_xlfn.XLOOKUP(B7,Tabla1[Ducto],Tabla1[Length])</f>
        <v>1.0549999999999999</v>
      </c>
      <c r="D7" s="79">
        <f>IFERROR(SUMIFS(Tabla1[Avance_km],Tabla1[Ducto],Resumen!$B7,Tabla1[nombre_actividad],D$1)/$C7,0)</f>
        <v>1</v>
      </c>
      <c r="E7" s="79">
        <f>IFERROR(SUMIFS(Tabla1[Avance_km],Tabla1[Ducto],Resumen!$B7,Tabla1[nombre_actividad],E$1)/$C7,0)</f>
        <v>1</v>
      </c>
      <c r="F7" s="79">
        <f>IFERROR(SUMIFS(Tabla1[Avance_km],Tabla1[Ducto],Resumen!$B7,Tabla1[nombre_actividad],F$1)/$C7,0)</f>
        <v>1</v>
      </c>
      <c r="G7" s="79">
        <f>IFERROR(SUMIFS(Tabla1[Avance_Med],Tabla1[Ducto],Resumen!$B7,Tabla1[nombre_actividad],G$1)/(3),0)</f>
        <v>1</v>
      </c>
      <c r="H7" s="79">
        <f>+SUMIFS(Tabla1[Avance_km],Tabla1[Ducto],Resumen!$B7,Tabla1[nombre_actividad],H$1)/$C7</f>
        <v>0</v>
      </c>
      <c r="I7" s="79">
        <f>+SUMIFS(Tabla1[Avance_km],Tabla1[Ducto],Resumen!$B7,Tabla1[nombre_actividad],I$1)/$C7</f>
        <v>0</v>
      </c>
      <c r="J7" s="142">
        <f>+_xlfn.XLOOKUP(B7,'R (s01)'!B:B,'R (s01)'!J:J)</f>
        <v>3</v>
      </c>
    </row>
    <row r="8" spans="1:12" ht="26.25" x14ac:dyDescent="0.25">
      <c r="A8" s="34" t="str">
        <f>+_xlfn.XLOOKUP(B8,Tabla1[Ducto],Tabla1[Sistema],"")</f>
        <v>PECO_AGROS</v>
      </c>
      <c r="B8" s="34" t="str">
        <v>AGROS</v>
      </c>
      <c r="C8" s="110">
        <f>+_xlfn.XLOOKUP(B8,Tabla1[Ducto],Tabla1[Length])</f>
        <v>2.2000000000000002</v>
      </c>
      <c r="D8" s="79">
        <f>IFERROR(SUMIFS(Tabla1[Avance_km],Tabla1[Ducto],Resumen!$B8,Tabla1[nombre_actividad],D$1)/$C8,0)</f>
        <v>1</v>
      </c>
      <c r="E8" s="79">
        <f>IFERROR(SUMIFS(Tabla1[Avance_km],Tabla1[Ducto],Resumen!$B8,Tabla1[nombre_actividad],E$1)/$C8,0)</f>
        <v>1</v>
      </c>
      <c r="F8" s="79">
        <f>IFERROR(SUMIFS(Tabla1[Avance_km],Tabla1[Ducto],Resumen!$B8,Tabla1[nombre_actividad],F$1)/$C8,0)</f>
        <v>1</v>
      </c>
      <c r="G8" s="79">
        <f>IFERROR(SUMIFS(Tabla1[Avance_Med],Tabla1[Ducto],Resumen!$B8,Tabla1[nombre_actividad],G$1)/(ROUNDUP(C8,0)*2),0)</f>
        <v>1</v>
      </c>
      <c r="H8" s="79">
        <f>+SUMIFS(Tabla1[Avance_km],Tabla1[Ducto],Resumen!$B8,Tabla1[nombre_actividad],H$1)/$C8</f>
        <v>0</v>
      </c>
      <c r="I8" s="79">
        <f>+SUMIFS(Tabla1[Avance_km],Tabla1[Ducto],Resumen!$B8,Tabla1[nombre_actividad],I$1)/$C8</f>
        <v>0</v>
      </c>
      <c r="J8" s="142" t="e">
        <f>+_xlfn.XLOOKUP(B8,'R (s01)'!B:B,'R (s01)'!J:J)</f>
        <v>#N/A</v>
      </c>
    </row>
    <row r="9" spans="1:12" ht="26.25" x14ac:dyDescent="0.25">
      <c r="A9" s="34" t="str">
        <f>+_xlfn.XLOOKUP(B9,Tabla1[Ducto],Tabla1[Sistema],"")</f>
        <v>PECO_AGROS</v>
      </c>
      <c r="B9" s="34" t="str">
        <v>SUNNY FIELDS</v>
      </c>
      <c r="C9" s="110">
        <f>+_xlfn.XLOOKUP(B9,Tabla1[Ducto],Tabla1[Length])</f>
        <v>2.5760000000000001</v>
      </c>
      <c r="D9" s="79">
        <f>IFERROR(SUMIFS(Tabla1[Avance_km],Tabla1[Ducto],Resumen!$B9,Tabla1[nombre_actividad],D$1)/$C9,0)</f>
        <v>1</v>
      </c>
      <c r="E9" s="79">
        <f>IFERROR(SUMIFS(Tabla1[Avance_km],Tabla1[Ducto],Resumen!$B9,Tabla1[nombre_actividad],E$1)/$C9,0)</f>
        <v>1</v>
      </c>
      <c r="F9" s="79">
        <f>IFERROR(SUMIFS(Tabla1[Avance_km],Tabla1[Ducto],Resumen!$B9,Tabla1[nombre_actividad],F$1)/$C9,0)</f>
        <v>1</v>
      </c>
      <c r="G9" s="79">
        <f>IFERROR(SUMIFS(Tabla1[Avance_Med],Tabla1[Ducto],Resumen!$B9,Tabla1[nombre_actividad],G$1)/(ROUNDUP(C9,0)*2),0)</f>
        <v>1</v>
      </c>
      <c r="H9" s="79">
        <f>+SUMIFS(Tabla1[Avance_km],Tabla1[Ducto],Resumen!$B9,Tabla1[nombre_actividad],H$1)/$C9</f>
        <v>0</v>
      </c>
      <c r="I9" s="79">
        <f>+SUMIFS(Tabla1[Avance_km],Tabla1[Ducto],Resumen!$B9,Tabla1[nombre_actividad],I$1)/$C9</f>
        <v>0</v>
      </c>
      <c r="J9" s="142" t="e">
        <f>+_xlfn.XLOOKUP(B9,'R (s01)'!B:B,'R (s01)'!J:J)</f>
        <v>#N/A</v>
      </c>
    </row>
    <row r="10" spans="1:12" ht="26.25" x14ac:dyDescent="0.25">
      <c r="A10" s="34" t="str">
        <f>+_xlfn.XLOOKUP(B10,Tabla1[Ducto],Tabla1[Sistema],"")</f>
        <v>PECO_AGROS</v>
      </c>
      <c r="B10" s="34" t="str">
        <v>BEL GIARDINO</v>
      </c>
      <c r="C10" s="110">
        <f>+_xlfn.XLOOKUP(B10,Tabla1[Ducto],Tabla1[Length])</f>
        <v>0.125</v>
      </c>
      <c r="D10" s="79">
        <f>IFERROR(SUMIFS(Tabla1[Avance_km],Tabla1[Ducto],Resumen!$B10,Tabla1[nombre_actividad],D$1)/$C10,0)</f>
        <v>1</v>
      </c>
      <c r="E10" s="79">
        <f>IFERROR(SUMIFS(Tabla1[Avance_km],Tabla1[Ducto],Resumen!$B10,Tabla1[nombre_actividad],E$1)/$C10,0)</f>
        <v>1</v>
      </c>
      <c r="F10" s="79">
        <f>IFERROR(SUMIFS(Tabla1[Avance_km],Tabla1[Ducto],Resumen!$B10,Tabla1[nombre_actividad],F$1)/$C10,0)</f>
        <v>1</v>
      </c>
      <c r="G10" s="139"/>
      <c r="H10" s="79">
        <f>+SUMIFS(Tabla1[Avance_km],Tabla1[Ducto],Resumen!$B10,Tabla1[nombre_actividad],H$1)/$C10</f>
        <v>0</v>
      </c>
      <c r="I10" s="79">
        <f>+SUMIFS(Tabla1[Avance_km],Tabla1[Ducto],Resumen!$B10,Tabla1[nombre_actividad],I$1)/$C10</f>
        <v>0</v>
      </c>
      <c r="J10" s="142" t="e">
        <f>+_xlfn.XLOOKUP(B10,'R (s01)'!B:B,'R (s01)'!J:J)</f>
        <v>#N/A</v>
      </c>
    </row>
    <row r="11" spans="1:12" ht="26.25" x14ac:dyDescent="0.25">
      <c r="A11" s="34" t="str">
        <f>+_xlfn.XLOOKUP(B11,Tabla1[Ducto],Tabla1[Sistema],"")</f>
        <v>PECO_AGROS</v>
      </c>
      <c r="B11" s="34" t="str">
        <v>PRIME HASRVEST</v>
      </c>
      <c r="C11" s="110">
        <f>+_xlfn.XLOOKUP(B11,Tabla1[Ducto],Tabla1[Length])</f>
        <v>0.74099999999999999</v>
      </c>
      <c r="D11" s="79">
        <f>IFERROR(SUMIFS(Tabla1[Avance_km],Tabla1[Ducto],Resumen!$B11,Tabla1[nombre_actividad],D$1)/$C11,0)</f>
        <v>1</v>
      </c>
      <c r="E11" s="79">
        <f>IFERROR(SUMIFS(Tabla1[Avance_km],Tabla1[Ducto],Resumen!$B11,Tabla1[nombre_actividad],E$1)/$C11,0)</f>
        <v>1</v>
      </c>
      <c r="F11" s="79">
        <f>IFERROR(SUMIFS(Tabla1[Avance_km],Tabla1[Ducto],Resumen!$B11,Tabla1[nombre_actividad],F$1)/$C11,0)</f>
        <v>1</v>
      </c>
      <c r="G11" s="79">
        <f>IFERROR(SUMIFS(Tabla1[Avance_Med],Tabla1[Ducto],Resumen!$B11,Tabla1[nombre_actividad],G$1)/(ROUNDUP(C11,0)*2),0)</f>
        <v>1</v>
      </c>
      <c r="H11" s="79">
        <f>+SUMIFS(Tabla1[Avance_km],Tabla1[Ducto],Resumen!$B11,Tabla1[nombre_actividad],H$1)/$C11</f>
        <v>0</v>
      </c>
      <c r="I11" s="79">
        <f>+SUMIFS(Tabla1[Avance_km],Tabla1[Ducto],Resumen!$B11,Tabla1[nombre_actividad],I$1)/$C11</f>
        <v>0</v>
      </c>
      <c r="J11" s="142" t="e">
        <f>+_xlfn.XLOOKUP(B11,'R (s01)'!B:B,'R (s01)'!J:J)</f>
        <v>#N/A</v>
      </c>
    </row>
    <row r="12" spans="1:12" ht="26.25" x14ac:dyDescent="0.25">
      <c r="A12" s="34" t="str">
        <f>+_xlfn.XLOOKUP(B12,Tabla1[Ducto],Tabla1[Sistema],"")</f>
        <v>PECO_AGROS</v>
      </c>
      <c r="B12" s="34" t="str">
        <v>PECO II - GALERAS 10</v>
      </c>
      <c r="C12" s="110">
        <f>+_xlfn.XLOOKUP(B12,Tabla1[Ducto],Tabla1[Length])</f>
        <v>25.4</v>
      </c>
      <c r="D12" s="79">
        <f>IFERROR(SUMIFS(Tabla1[Avance_km],Tabla1[Ducto],Resumen!$B12,Tabla1[nombre_actividad],D$1)/$C12,0)</f>
        <v>1</v>
      </c>
      <c r="E12" s="79">
        <f>IFERROR(SUMIFS(Tabla1[Avance_km],Tabla1[Ducto],Resumen!$B12,Tabla1[nombre_actividad],E$1)/$C12,0)</f>
        <v>1</v>
      </c>
      <c r="F12" s="79">
        <f>IFERROR(SUMIFS(Tabla1[Avance_km],Tabla1[Ducto],Resumen!$B12,Tabla1[nombre_actividad],F$1)/$C12,0)</f>
        <v>1</v>
      </c>
      <c r="G12" s="79">
        <f>IFERROR(SUMIFS(Tabla1[Avance_Med],Tabla1[Ducto],Resumen!$B12,Tabla1[nombre_actividad],G$1)/52,0)</f>
        <v>1</v>
      </c>
      <c r="H12" s="79">
        <f>+SUMIFS(Tabla1[Avance_km],Tabla1[Ducto],Resumen!$B12,Tabla1[nombre_actividad],H$1)/$C12</f>
        <v>0</v>
      </c>
      <c r="I12" s="79">
        <f>+SUMIFS(Tabla1[Avance_km],Tabla1[Ducto],Resumen!$B12,Tabla1[nombre_actividad],I$1)/$C12</f>
        <v>0</v>
      </c>
      <c r="J12" s="142" t="e">
        <f>+_xlfn.XLOOKUP(B12,'R (s01)'!B:B,'R (s01)'!J:J)</f>
        <v>#N/A</v>
      </c>
    </row>
    <row r="13" spans="1:12" ht="26.25" x14ac:dyDescent="0.25">
      <c r="A13" s="34" t="str">
        <f>+_xlfn.XLOOKUP(B13,Tabla1[Ducto],Tabla1[Sistema],"")</f>
        <v>PECO_AGROS</v>
      </c>
      <c r="B13" s="34" t="str">
        <v>ED AGROPARK II (GAS PRIMO)</v>
      </c>
      <c r="C13" s="110">
        <f>+_xlfn.XLOOKUP(B13,Tabla1[Ducto],Tabla1[Length])</f>
        <v>8.9999999999999993E-3</v>
      </c>
      <c r="D13" s="79">
        <f>IFERROR(SUMIFS(Tabla1[Avance_km],Tabla1[Ducto],Resumen!$B13,Tabla1[nombre_actividad],D$1)/$C13,0)</f>
        <v>1</v>
      </c>
      <c r="E13" s="79">
        <f>IFERROR(SUMIFS(Tabla1[Avance_km],Tabla1[Ducto],Resumen!$B13,Tabla1[nombre_actividad],E$1)/$C13,0)</f>
        <v>1</v>
      </c>
      <c r="F13" s="79">
        <f>IFERROR(SUMIFS(Tabla1[Avance_km],Tabla1[Ducto],Resumen!$B13,Tabla1[nombre_actividad],F$1)/$C13,0)</f>
        <v>1</v>
      </c>
      <c r="G13" s="79">
        <f>IFERROR(SUMIFS(Tabla1[Avance_Med],Tabla1[Ducto],Resumen!$B13,Tabla1[nombre_actividad],G$1)/(1),0)</f>
        <v>0</v>
      </c>
      <c r="H13" s="79">
        <f>+SUMIFS(Tabla1[Avance_km],Tabla1[Ducto],Resumen!$B13,Tabla1[nombre_actividad],H$1)/$C13</f>
        <v>0</v>
      </c>
      <c r="I13" s="79">
        <f>+SUMIFS(Tabla1[Avance_km],Tabla1[Ducto],Resumen!$B13,Tabla1[nombre_actividad],I$1)/$C13</f>
        <v>0</v>
      </c>
      <c r="J13" s="142" t="e">
        <f>+_xlfn.XLOOKUP(B13,'R (s01)'!B:B,'R (s01)'!J:J)</f>
        <v>#N/A</v>
      </c>
    </row>
    <row r="14" spans="1:12" ht="26.25" x14ac:dyDescent="0.25">
      <c r="A14" s="34" t="str">
        <f>+_xlfn.XLOOKUP(B14,Tabla1[Ducto],Tabla1[Sistema],"")</f>
        <v>PECO_AGROS</v>
      </c>
      <c r="B14" s="34" t="str">
        <v>LA BONITA</v>
      </c>
      <c r="C14" s="110">
        <f>+_xlfn.XLOOKUP(B14,Tabla1[Ducto],Tabla1[Length])</f>
        <v>0.47899999999999998</v>
      </c>
      <c r="D14" s="79">
        <f>IFERROR(SUMIFS(Tabla1[Avance_km],Tabla1[Ducto],Resumen!$B14,Tabla1[nombre_actividad],D$1)/$C14,0)</f>
        <v>1</v>
      </c>
      <c r="E14" s="79">
        <f>IFERROR(SUMIFS(Tabla1[Avance_km],Tabla1[Ducto],Resumen!$B14,Tabla1[nombre_actividad],E$1)/$C14,0)</f>
        <v>1</v>
      </c>
      <c r="F14" s="79">
        <f>IFERROR(SUMIFS(Tabla1[Avance_km],Tabla1[Ducto],Resumen!$B14,Tabla1[nombre_actividad],F$1)/$C14,0)</f>
        <v>1</v>
      </c>
      <c r="G14" s="139"/>
      <c r="H14" s="79">
        <f>+SUMIFS(Tabla1[Avance_km],Tabla1[Ducto],Resumen!$B14,Tabla1[nombre_actividad],H$1)/$C14</f>
        <v>0</v>
      </c>
      <c r="I14" s="79">
        <f>+SUMIFS(Tabla1[Avance_km],Tabla1[Ducto],Resumen!$B14,Tabla1[nombre_actividad],I$1)/$C14</f>
        <v>0</v>
      </c>
      <c r="J14" s="142" t="e">
        <f>+_xlfn.XLOOKUP(B14,'R (s01)'!B:B,'R (s01)'!J:J)</f>
        <v>#N/A</v>
      </c>
    </row>
    <row r="15" spans="1:12" ht="26.25" x14ac:dyDescent="0.25">
      <c r="A15" s="34" t="str">
        <f>+_xlfn.XLOOKUP(B15,Tabla1[Ducto],Tabla1[Sistema],"")</f>
        <v>PECO_AGROS</v>
      </c>
      <c r="B15" s="34" t="str">
        <v>ERM FH FIBRAS</v>
      </c>
      <c r="C15" s="110">
        <f>+_xlfn.XLOOKUP(B15,Tabla1[Ducto],Tabla1[Length])</f>
        <v>0.04</v>
      </c>
      <c r="D15" s="79">
        <f>IFERROR(SUMIFS(Tabla1[Avance_km],Tabla1[Ducto],Resumen!$B15,Tabla1[nombre_actividad],D$1)/$C15,0)</f>
        <v>1</v>
      </c>
      <c r="E15" s="79">
        <f>IFERROR(SUMIFS(Tabla1[Avance_km],Tabla1[Ducto],Resumen!$B15,Tabla1[nombre_actividad],E$1)/$C15,0)</f>
        <v>1</v>
      </c>
      <c r="F15" s="79">
        <f>IFERROR(SUMIFS(Tabla1[Avance_km],Tabla1[Ducto],Resumen!$B15,Tabla1[nombre_actividad],F$1)/$C15,0)</f>
        <v>1</v>
      </c>
      <c r="G15" s="79">
        <f>IFERROR(SUMIFS(Tabla1[Avance_Med],Tabla1[Ducto],Resumen!$B15,Tabla1[nombre_actividad],G$1)/(1),0)</f>
        <v>0</v>
      </c>
      <c r="H15" s="79">
        <f>+SUMIFS(Tabla1[Avance_km],Tabla1[Ducto],Resumen!$B15,Tabla1[nombre_actividad],H$1)/$C15</f>
        <v>0</v>
      </c>
      <c r="I15" s="79">
        <f>+SUMIFS(Tabla1[Avance_km],Tabla1[Ducto],Resumen!$B15,Tabla1[nombre_actividad],I$1)/$C15</f>
        <v>0</v>
      </c>
      <c r="J15" s="142" t="e">
        <f>+_xlfn.XLOOKUP(B15,'R (s01)'!B:B,'R (s01)'!J:J)</f>
        <v>#N/A</v>
      </c>
    </row>
    <row r="16" spans="1:12" ht="26.25" x14ac:dyDescent="0.25">
      <c r="A16" s="34" t="str">
        <f>+_xlfn.XLOOKUP(B16,Tabla1[Ducto],Tabla1[Sistema],"")</f>
        <v>PECO_AGROS</v>
      </c>
      <c r="B16" s="34" t="str">
        <v>ERM DESHITEC</v>
      </c>
      <c r="C16" s="110">
        <f>+_xlfn.XLOOKUP(B16,Tabla1[Ducto],Tabla1[Length])</f>
        <v>0.12</v>
      </c>
      <c r="D16" s="79">
        <f>IFERROR(SUMIFS(Tabla1[Avance_km],Tabla1[Ducto],Resumen!$B16,Tabla1[nombre_actividad],D$1)/$C16,0)</f>
        <v>1</v>
      </c>
      <c r="E16" s="79">
        <f>IFERROR(SUMIFS(Tabla1[Avance_km],Tabla1[Ducto],Resumen!$B16,Tabla1[nombre_actividad],E$1)/$C16,0)</f>
        <v>1</v>
      </c>
      <c r="F16" s="79">
        <f>IFERROR(SUMIFS(Tabla1[Avance_km],Tabla1[Ducto],Resumen!$B16,Tabla1[nombre_actividad],F$1)/$C16,0)</f>
        <v>1</v>
      </c>
      <c r="G16" s="79">
        <f>IFERROR(SUMIFS(Tabla1[Avance_Med],Tabla1[Ducto],Resumen!$B16,Tabla1[nombre_actividad],G$1)/(3),0)</f>
        <v>0.33333333333333331</v>
      </c>
      <c r="H16" s="79"/>
      <c r="I16" s="79"/>
      <c r="J16" s="142" t="e">
        <f>+_xlfn.XLOOKUP(B16,'R (s01)'!B:B,'R (s01)'!J:J)</f>
        <v>#N/A</v>
      </c>
    </row>
    <row r="17" spans="1:10" ht="26.25" x14ac:dyDescent="0.25">
      <c r="A17" s="34" t="str">
        <f>+_xlfn.XLOOKUP(B17,Tabla1[Ducto],Tabla1[Sistema],"")</f>
        <v>PECO_AGROS</v>
      </c>
      <c r="B17" s="34" t="str">
        <v>ED ARKANSAS</v>
      </c>
      <c r="C17" s="110">
        <f>+_xlfn.XLOOKUP(B17,Tabla1[Ducto],Tabla1[Length])</f>
        <v>1.1950000000000001</v>
      </c>
      <c r="D17" s="79">
        <f>IFERROR(SUMIFS(Tabla1[Avance_km],Tabla1[Ducto],Resumen!$B17,Tabla1[nombre_actividad],D$1)/$C17,0)</f>
        <v>1</v>
      </c>
      <c r="E17" s="79">
        <f>IFERROR(SUMIFS(Tabla1[Avance_km],Tabla1[Ducto],Resumen!$B17,Tabla1[nombre_actividad],E$1)/$C17,0)</f>
        <v>1</v>
      </c>
      <c r="F17" s="79">
        <f>IFERROR(SUMIFS(Tabla1[Avance_km],Tabla1[Ducto],Resumen!$B17,Tabla1[nombre_actividad],F$1)/$C17,0)</f>
        <v>1</v>
      </c>
      <c r="G17" s="79">
        <f>IFERROR(SUMIFS(Tabla1[Avance_Med],Tabla1[Ducto],Resumen!$B17,Tabla1[nombre_actividad],G$1)/(ROUNDUP(C17,0)*2),0)</f>
        <v>0.75</v>
      </c>
      <c r="H17" s="79"/>
      <c r="I17" s="79"/>
      <c r="J17" s="142" t="e">
        <f>+_xlfn.XLOOKUP(B17,'R (s01)'!B:B,'R (s01)'!J:J)</f>
        <v>#N/A</v>
      </c>
    </row>
    <row r="18" spans="1:10" ht="26.25" x14ac:dyDescent="0.25">
      <c r="A18" s="34" t="str">
        <f>+_xlfn.XLOOKUP(B18,Tabla1[Ducto],Tabla1[Sistema],"")</f>
        <v>LIRA_GALERAS</v>
      </c>
      <c r="B18" s="34" t="str">
        <v>VIBORILLAS</v>
      </c>
      <c r="C18" s="110">
        <f>+_xlfn.XLOOKUP(B18,Tabla1[Ducto],Tabla1[Length])</f>
        <v>1.488</v>
      </c>
      <c r="D18" s="79">
        <f>IFERROR(SUMIFS(Tabla1[Avance_km],Tabla1[Ducto],Resumen!$B18,Tabla1[nombre_actividad],D$1)/$C18,0)</f>
        <v>1</v>
      </c>
      <c r="E18" s="79">
        <f>IFERROR(SUMIFS(Tabla1[Avance_km],Tabla1[Ducto],Resumen!$B18,Tabla1[nombre_actividad],E$1)/$C18,0)</f>
        <v>1</v>
      </c>
      <c r="F18" s="79">
        <f>IFERROR(SUMIFS(Tabla1[Avance_km],Tabla1[Ducto],Resumen!$B18,Tabla1[nombre_actividad],F$1)/$C18,0)</f>
        <v>1</v>
      </c>
      <c r="G18" s="79">
        <f>IFERROR(SUMIFS(Tabla1[Avance_Med],Tabla1[Ducto],Resumen!$B18,Tabla1[nombre_actividad],G$1)/(ROUNDUP(C18,0)*2),0)</f>
        <v>1</v>
      </c>
      <c r="H18" s="79"/>
      <c r="I18" s="79"/>
      <c r="J18" s="142">
        <f>+_xlfn.XLOOKUP(B18,'R (s01)'!B:B,'R (s01)'!J:J)</f>
        <v>4</v>
      </c>
    </row>
    <row r="19" spans="1:10" ht="26.25" x14ac:dyDescent="0.25">
      <c r="A19" s="34" t="str">
        <f>+_xlfn.XLOOKUP(B19,Tabla1[Ducto],Tabla1[Sistema],"")</f>
        <v>LIRA_GALERAS</v>
      </c>
      <c r="B19" s="34" t="str">
        <v>ERM VIBORILLAS</v>
      </c>
      <c r="C19" s="110">
        <f>+_xlfn.XLOOKUP(B19,Tabla1[Ducto],Tabla1[Length])</f>
        <v>7.0000000000000001E-3</v>
      </c>
      <c r="D19" s="79">
        <f>IFERROR(SUMIFS(Tabla1[Avance_km],Tabla1[Ducto],Resumen!$B19,Tabla1[nombre_actividad],D$1)/$C19,0)</f>
        <v>1</v>
      </c>
      <c r="E19" s="79">
        <f>IFERROR(SUMIFS(Tabla1[Avance_km],Tabla1[Ducto],Resumen!$B19,Tabla1[nombre_actividad],E$1)/$C19,0)</f>
        <v>1</v>
      </c>
      <c r="F19" s="79">
        <f>IFERROR(SUMIFS(Tabla1[Avance_km],Tabla1[Ducto],Resumen!$B19,Tabla1[nombre_actividad],F$1)/$C19,0)</f>
        <v>1</v>
      </c>
      <c r="G19" s="79">
        <f>IFERROR(SUMIFS(Tabla1[Avance_Med],Tabla1[Ducto],Resumen!$B19,Tabla1[nombre_actividad],G$1)/1,0)</f>
        <v>0</v>
      </c>
      <c r="H19" s="79"/>
      <c r="I19" s="79"/>
      <c r="J19" s="142">
        <f>+_xlfn.XLOOKUP(B19,'R (s01)'!B:B,'R (s01)'!J:J)</f>
        <v>0</v>
      </c>
    </row>
    <row r="20" spans="1:10" ht="26.25" x14ac:dyDescent="0.25">
      <c r="A20" s="34" t="str">
        <f>+_xlfn.XLOOKUP(B20,Tabla1[Ducto],Tabla1[Sistema],"")</f>
        <v>LIRA_GALERAS</v>
      </c>
      <c r="B20" s="34" t="str">
        <v>ED BOMBARDIER</v>
      </c>
      <c r="C20" s="110">
        <f>+_xlfn.XLOOKUP(B20,Tabla1[Ducto],Tabla1[Length])</f>
        <v>1.855</v>
      </c>
      <c r="D20" s="79">
        <f>IFERROR(SUMIFS(Tabla1[Avance_km],Tabla1[Ducto],Resumen!$B20,Tabla1[nombre_actividad],D$1)/$C20,0)</f>
        <v>1</v>
      </c>
      <c r="E20" s="79">
        <f>IFERROR(SUMIFS(Tabla1[Avance_km],Tabla1[Ducto],Resumen!$B20,Tabla1[nombre_actividad],E$1)/$C20,0)</f>
        <v>1</v>
      </c>
      <c r="F20" s="79">
        <f>IFERROR(SUMIFS(Tabla1[Avance_km],Tabla1[Ducto],Resumen!$B20,Tabla1[nombre_actividad],F$1)/$C20,0)</f>
        <v>1</v>
      </c>
      <c r="G20" s="79">
        <f>IFERROR(SUMIFS(Tabla1[Avance_Med],Tabla1[Ducto],Resumen!$B20,Tabla1[nombre_actividad],G$1)/(1),0)</f>
        <v>4</v>
      </c>
      <c r="H20" s="79"/>
      <c r="I20" s="79"/>
      <c r="J20" s="142">
        <f>+_xlfn.XLOOKUP(B20,'R (s01)'!B:B,'R (s01)'!J:J)</f>
        <v>4</v>
      </c>
    </row>
    <row r="21" spans="1:10" ht="26.25" x14ac:dyDescent="0.25">
      <c r="A21" s="34" t="str">
        <f>+_xlfn.XLOOKUP(B21,Tabla1[Ducto],Tabla1[Sistema],"")</f>
        <v>PECO_AGROS</v>
      </c>
      <c r="B21" s="34" t="str">
        <v>MOLINOS ANAHUAC</v>
      </c>
      <c r="C21" s="110">
        <f>+_xlfn.XLOOKUP(B21,Tabla1[Ducto],Tabla1[Length])</f>
        <v>0.02</v>
      </c>
      <c r="D21" s="79">
        <f>IFERROR(SUMIFS(Tabla1[Avance_km],Tabla1[Ducto],Resumen!$B21,Tabla1[nombre_actividad],D$1)/$C21,0)</f>
        <v>1</v>
      </c>
      <c r="E21" s="79">
        <f>IFERROR(SUMIFS(Tabla1[Avance_km],Tabla1[Ducto],Resumen!$B21,Tabla1[nombre_actividad],E$1)/$C21,0)</f>
        <v>1</v>
      </c>
      <c r="F21" s="79">
        <f>IFERROR(SUMIFS(Tabla1[Avance_km],Tabla1[Ducto],Resumen!$B21,Tabla1[nombre_actividad],F$1)/$C21,0)</f>
        <v>1</v>
      </c>
      <c r="G21" s="139"/>
      <c r="H21" s="79"/>
      <c r="I21" s="79"/>
      <c r="J21" s="142" t="e">
        <f>+_xlfn.XLOOKUP(B21,'R (s01)'!B:B,'R (s01)'!J:J)</f>
        <v>#N/A</v>
      </c>
    </row>
    <row r="22" spans="1:10" ht="26.25" x14ac:dyDescent="0.25">
      <c r="A22" s="34" t="str">
        <f>+_xlfn.XLOOKUP(B22,Tabla1[Ducto],Tabla1[Sistema],"")</f>
        <v>LIRA_GALERAS</v>
      </c>
      <c r="B22" s="34" t="str">
        <v>FRESHLLACA</v>
      </c>
      <c r="C22" s="110">
        <f>+_xlfn.XLOOKUP(B22,Tabla1[Ducto],Tabla1[Length])</f>
        <v>0.02</v>
      </c>
      <c r="D22" s="79">
        <f>IFERROR(SUMIFS(Tabla1[Avance_km],Tabla1[Ducto],Resumen!$B22,Tabla1[nombre_actividad],D$1)/$C22,0)</f>
        <v>1</v>
      </c>
      <c r="E22" s="79">
        <f>IFERROR(SUMIFS(Tabla1[Avance_km],Tabla1[Ducto],Resumen!$B22,Tabla1[nombre_actividad],E$1)/$C22,0)</f>
        <v>1</v>
      </c>
      <c r="F22" s="79">
        <f>IFERROR(SUMIFS(Tabla1[Avance_km],Tabla1[Ducto],Resumen!$B22,Tabla1[nombre_actividad],F$1)/$C22,0)</f>
        <v>1</v>
      </c>
      <c r="G22" s="79">
        <f>IFERROR(SUMIFS(Tabla1[Avance_Med],Tabla1[Ducto],Resumen!$B22,Tabla1[nombre_actividad],G$1)/(1),0)</f>
        <v>1</v>
      </c>
      <c r="H22" s="79"/>
      <c r="I22" s="79"/>
      <c r="J22" s="142">
        <f>+_xlfn.XLOOKUP(B22,'R (s01)'!B:B,'R (s01)'!J:J)</f>
        <v>1</v>
      </c>
    </row>
    <row r="23" spans="1:10" ht="26.25" x14ac:dyDescent="0.25">
      <c r="A23" s="34" t="str">
        <f>+_xlfn.XLOOKUP(B23,Tabla1[Ducto],Tabla1[Sistema],"")</f>
        <v>LIRA_GALERAS</v>
      </c>
      <c r="B23" s="34" t="str">
        <v>RANCHO HUMUS</v>
      </c>
      <c r="C23" s="110">
        <f>+_xlfn.XLOOKUP(B23,Tabla1[Ducto],Tabla1[Length])</f>
        <v>7.0000000000000007E-2</v>
      </c>
      <c r="D23" s="79">
        <f>IFERROR(SUMIFS(Tabla1[Avance_km],Tabla1[Ducto],Resumen!$B23,Tabla1[nombre_actividad],D$1)/$C23,0)</f>
        <v>1</v>
      </c>
      <c r="E23" s="79">
        <f>IFERROR(SUMIFS(Tabla1[Avance_km],Tabla1[Ducto],Resumen!$B23,Tabla1[nombre_actividad],E$1)/$C23,0)</f>
        <v>1</v>
      </c>
      <c r="F23" s="79">
        <f>IFERROR(SUMIFS(Tabla1[Avance_km],Tabla1[Ducto],Resumen!$B23,Tabla1[nombre_actividad],F$1)/$C23,0)</f>
        <v>1</v>
      </c>
      <c r="G23" s="79">
        <f>IFERROR(SUMIFS(Tabla1[Avance_Med],Tabla1[Ducto],Resumen!$B23,Tabla1[nombre_actividad],G$1)/(1),0)</f>
        <v>0</v>
      </c>
      <c r="H23" s="79"/>
      <c r="I23" s="79"/>
      <c r="J23" s="142">
        <f>+_xlfn.XLOOKUP(B23,'R (s01)'!B:B,'R (s01)'!J:J)</f>
        <v>0</v>
      </c>
    </row>
    <row r="24" spans="1:10" ht="26.25" x14ac:dyDescent="0.25">
      <c r="A24" s="34" t="str">
        <f>+_xlfn.XLOOKUP(B24,Tabla1[Ducto],Tabla1[Sistema],"")</f>
        <v>LIRA_GALERAS</v>
      </c>
      <c r="B24" s="34" t="str">
        <v>GPO. PRODUCTIVO LA LIRA</v>
      </c>
      <c r="C24" s="110">
        <f>+_xlfn.XLOOKUP(B24,Tabla1[Ducto],Tabla1[Length])</f>
        <v>7.0000000000000007E-2</v>
      </c>
      <c r="D24" s="79">
        <f>IFERROR(SUMIFS(Tabla1[Avance_km],Tabla1[Ducto],Resumen!$B24,Tabla1[nombre_actividad],D$1)/$C24,0)</f>
        <v>1</v>
      </c>
      <c r="E24" s="79">
        <f>IFERROR(SUMIFS(Tabla1[Avance_km],Tabla1[Ducto],Resumen!$B24,Tabla1[nombre_actividad],E$1)/$C24,0)</f>
        <v>1</v>
      </c>
      <c r="F24" s="79">
        <f>IFERROR(SUMIFS(Tabla1[Avance_km],Tabla1[Ducto],Resumen!$B24,Tabla1[nombre_actividad],F$1)/$C24,0)</f>
        <v>1</v>
      </c>
      <c r="G24" s="79">
        <f>IFERROR(SUMIFS(Tabla1[Avance_Med],Tabla1[Ducto],Resumen!$B24,Tabla1[nombre_actividad],G$1)/(1),0)</f>
        <v>1</v>
      </c>
      <c r="H24" s="79"/>
      <c r="I24" s="79"/>
      <c r="J24" s="142">
        <f>+_xlfn.XLOOKUP(B24,'R (s01)'!B:B,'R (s01)'!J:J)</f>
        <v>1</v>
      </c>
    </row>
    <row r="25" spans="1:10" ht="26.25" x14ac:dyDescent="0.25">
      <c r="A25" s="34" t="str">
        <f>+_xlfn.XLOOKUP(B25,Tabla1[Ducto],Tabla1[Sistema],"")</f>
        <v>LIRA_GALERAS</v>
      </c>
      <c r="B25" s="34" t="str">
        <v>ED PARQUE INDUSTRIAL PYME</v>
      </c>
      <c r="C25" s="110">
        <f>+_xlfn.XLOOKUP(B25,Tabla1[Ducto],Tabla1[Length])</f>
        <v>1.4999999999999999E-2</v>
      </c>
      <c r="D25" s="79">
        <f>IFERROR(SUMIFS(Tabla1[Avance_km],Tabla1[Ducto],Resumen!$B25,Tabla1[nombre_actividad],D$1)/$C25,0)</f>
        <v>1</v>
      </c>
      <c r="E25" s="79">
        <f>IFERROR(SUMIFS(Tabla1[Avance_km],Tabla1[Ducto],Resumen!$B25,Tabla1[nombre_actividad],E$1)/$C25,0)</f>
        <v>1</v>
      </c>
      <c r="F25" s="79">
        <f>IFERROR(SUMIFS(Tabla1[Avance_km],Tabla1[Ducto],Resumen!$B25,Tabla1[nombre_actividad],F$1)/$C25,0)</f>
        <v>1</v>
      </c>
      <c r="G25" s="79">
        <f>IFERROR(SUMIFS(Tabla1[Avance_Med],Tabla1[Ducto],Resumen!$B25,Tabla1[nombre_actividad],G$1)/(1),0)</f>
        <v>1</v>
      </c>
      <c r="H25" s="79"/>
      <c r="I25" s="79"/>
      <c r="J25" s="142">
        <f>+_xlfn.XLOOKUP(B25,'R (s01)'!B:B,'R (s01)'!J:J)</f>
        <v>1</v>
      </c>
    </row>
    <row r="26" spans="1:10" ht="26.25" x14ac:dyDescent="0.25">
      <c r="A26" s="34" t="str">
        <f>+_xlfn.XLOOKUP(B26,Tabla1[Ducto],Tabla1[Sistema],"")</f>
        <v>LIRA_GALERAS</v>
      </c>
      <c r="B26" s="34" t="str">
        <v>ED EL COLORADO</v>
      </c>
      <c r="C26" s="110">
        <f>+_xlfn.XLOOKUP(B26,Tabla1[Ducto],Tabla1[Length])</f>
        <v>1.9E-2</v>
      </c>
      <c r="D26" s="79">
        <f>IFERROR(SUMIFS(Tabla1[Avance_km],Tabla1[Ducto],Resumen!$B26,Tabla1[nombre_actividad],D$1)/$C26,0)</f>
        <v>1</v>
      </c>
      <c r="E26" s="79">
        <f>IFERROR(SUMIFS(Tabla1[Avance_km],Tabla1[Ducto],Resumen!$B26,Tabla1[nombre_actividad],E$1)/$C26,0)</f>
        <v>1</v>
      </c>
      <c r="F26" s="79">
        <f>IFERROR(SUMIFS(Tabla1[Avance_km],Tabla1[Ducto],Resumen!$B26,Tabla1[nombre_actividad],F$1)/$C26,0)</f>
        <v>1</v>
      </c>
      <c r="G26" s="79">
        <f>IFERROR(SUMIFS(Tabla1[Avance_Med],Tabla1[Ducto],Resumen!$B26,Tabla1[nombre_actividad],G$1)/(ROUNDUP(C26,0)*2),0)</f>
        <v>0.5</v>
      </c>
      <c r="H26" s="79"/>
      <c r="I26" s="79"/>
      <c r="J26" s="142">
        <f>+_xlfn.XLOOKUP(B26,'R (s01)'!B:B,'R (s01)'!J:J)</f>
        <v>1</v>
      </c>
    </row>
    <row r="27" spans="1:10" ht="26.25" x14ac:dyDescent="0.25">
      <c r="A27" s="34" t="str">
        <f>+_xlfn.XLOOKUP(B27,Tabla1[Ducto],Tabla1[Sistema],"")</f>
        <v>LIRA_GALERAS</v>
      </c>
      <c r="B27" s="34" t="str">
        <v>PILGRIMS LOS CUES</v>
      </c>
      <c r="C27" s="110">
        <f>+_xlfn.XLOOKUP(B27,Tabla1[Ducto],Tabla1[Length])</f>
        <v>0.01</v>
      </c>
      <c r="D27" s="79">
        <f>IFERROR(SUMIFS(Tabla1[Avance_km],Tabla1[Ducto],Resumen!$B27,Tabla1[nombre_actividad],D$1)/$C27,0)</f>
        <v>1</v>
      </c>
      <c r="E27" s="79">
        <f>IFERROR(SUMIFS(Tabla1[Avance_km],Tabla1[Ducto],Resumen!$B27,Tabla1[nombre_actividad],E$1)/$C27,0)</f>
        <v>1</v>
      </c>
      <c r="F27" s="79">
        <f>IFERROR(SUMIFS(Tabla1[Avance_km],Tabla1[Ducto],Resumen!$B27,Tabla1[nombre_actividad],F$1)/$C27,0)</f>
        <v>1</v>
      </c>
      <c r="G27" s="79">
        <f>IFERROR(SUMIFS(Tabla1[Avance_Med],Tabla1[Ducto],Resumen!$B27,Tabla1[nombre_actividad],G$1)/(1),0)</f>
        <v>1</v>
      </c>
      <c r="H27" s="79"/>
      <c r="I27" s="79"/>
      <c r="J27" s="142">
        <f>+_xlfn.XLOOKUP(B27,'R (s01)'!B:B,'R (s01)'!J:J)</f>
        <v>1</v>
      </c>
    </row>
    <row r="28" spans="1:10" ht="26.25" x14ac:dyDescent="0.25">
      <c r="A28" s="34" t="str">
        <f>+_xlfn.XLOOKUP(B28,Tabla1[Ducto],Tabla1[Sistema],"")</f>
        <v>LIRA_GALERAS</v>
      </c>
      <c r="B28" s="34" t="str">
        <v>ED AEROTECH</v>
      </c>
      <c r="C28" s="110">
        <f>+_xlfn.XLOOKUP(B28,Tabla1[Ducto],Tabla1[Length])</f>
        <v>0.26700000000000002</v>
      </c>
      <c r="D28" s="79">
        <f>IFERROR(SUMIFS(Tabla1[Avance_km],Tabla1[Ducto],Resumen!$B28,Tabla1[nombre_actividad],D$1)/$C28,0)</f>
        <v>1</v>
      </c>
      <c r="E28" s="79">
        <f>IFERROR(SUMIFS(Tabla1[Avance_km],Tabla1[Ducto],Resumen!$B28,Tabla1[nombre_actividad],E$1)/$C28,0)</f>
        <v>1</v>
      </c>
      <c r="F28" s="79">
        <f>IFERROR(SUMIFS(Tabla1[Avance_km],Tabla1[Ducto],Resumen!$B28,Tabla1[nombre_actividad],F$1)/$C28,0)</f>
        <v>1</v>
      </c>
      <c r="G28" s="139"/>
      <c r="H28" s="79"/>
      <c r="I28" s="79"/>
      <c r="J28" s="142">
        <f>+_xlfn.XLOOKUP(B28,'R (s01)'!B:B,'R (s01)'!J:J)</f>
        <v>2</v>
      </c>
    </row>
    <row r="29" spans="1:10" ht="26.25" x14ac:dyDescent="0.25">
      <c r="A29" s="34" t="str">
        <f>+_xlfn.XLOOKUP(B29,Tabla1[Ducto],Tabla1[Sistema],"")</f>
        <v>LIRA_GALERAS</v>
      </c>
      <c r="B29" s="34" t="str">
        <v>FINSA II</v>
      </c>
      <c r="C29" s="110">
        <f>+_xlfn.XLOOKUP(B29,Tabla1[Ducto],Tabla1[Length])</f>
        <v>0.01</v>
      </c>
      <c r="D29" s="79">
        <f>IFERROR(SUMIFS(Tabla1[Avance_km],Tabla1[Ducto],Resumen!$B29,Tabla1[nombre_actividad],D$1)/$C29,0)</f>
        <v>1</v>
      </c>
      <c r="E29" s="79">
        <f>IFERROR(SUMIFS(Tabla1[Avance_km],Tabla1[Ducto],Resumen!$B29,Tabla1[nombre_actividad],E$1)/$C29,0)</f>
        <v>1</v>
      </c>
      <c r="F29" s="79">
        <f>IFERROR(SUMIFS(Tabla1[Avance_km],Tabla1[Ducto],Resumen!$B29,Tabla1[nombre_actividad],F$1)/$C29,0)</f>
        <v>1</v>
      </c>
      <c r="G29" s="79">
        <f>IFERROR(SUMIFS(Tabla1[Avance_Med],Tabla1[Ducto],Resumen!$B29,Tabla1[nombre_actividad],G$1)/(27),0)</f>
        <v>3.7037037037037035E-2</v>
      </c>
      <c r="H29" s="79"/>
      <c r="I29" s="79"/>
      <c r="J29" s="142">
        <f>+_xlfn.XLOOKUP(B29,'R (s01)'!B:B,'R (s01)'!J:J)</f>
        <v>1</v>
      </c>
    </row>
    <row r="30" spans="1:10" ht="26.25" x14ac:dyDescent="0.25">
      <c r="A30" s="34" t="str">
        <f>+_xlfn.XLOOKUP(B30,Tabla1[Ducto],Tabla1[Sistema],"")</f>
        <v>LIRA_GALERAS</v>
      </c>
      <c r="B30" s="34" t="str">
        <v>STEERINGMEX</v>
      </c>
      <c r="C30" s="110">
        <f>+_xlfn.XLOOKUP(B30,Tabla1[Ducto],Tabla1[Length])</f>
        <v>1.2E-2</v>
      </c>
      <c r="D30" s="79">
        <f>IFERROR(SUMIFS(Tabla1[Avance_km],Tabla1[Ducto],Resumen!$B30,Tabla1[nombre_actividad],D$1)/$C30,0)</f>
        <v>1</v>
      </c>
      <c r="E30" s="79">
        <f>IFERROR(SUMIFS(Tabla1[Avance_km],Tabla1[Ducto],Resumen!$B30,Tabla1[nombre_actividad],E$1)/$C30,0)</f>
        <v>1</v>
      </c>
      <c r="F30" s="79">
        <f>IFERROR(SUMIFS(Tabla1[Avance_km],Tabla1[Ducto],Resumen!$B30,Tabla1[nombre_actividad],F$1)/$C30,0)</f>
        <v>1</v>
      </c>
      <c r="G30" s="79">
        <f>IFERROR(SUMIFS(Tabla1[Avance_Med],Tabla1[Ducto],Resumen!$B30,Tabla1[nombre_actividad],G$1)/(2),0)</f>
        <v>0</v>
      </c>
      <c r="J30" s="142">
        <f>+_xlfn.XLOOKUP(B30,'R (s01)'!B:B,'R (s01)'!J:J)</f>
        <v>0</v>
      </c>
    </row>
    <row r="31" spans="1:10" ht="26.25" x14ac:dyDescent="0.25">
      <c r="A31" s="34" t="str">
        <f>+_xlfn.XLOOKUP(B31,Tabla1[Ducto],Tabla1[Sistema],"")</f>
        <v>LIRA_GALERAS</v>
      </c>
      <c r="B31" s="34" t="str">
        <v>ATONGO</v>
      </c>
      <c r="C31" s="110">
        <f>+_xlfn.XLOOKUP(B31,Tabla1[Ducto],Tabla1[Length])</f>
        <v>12.657</v>
      </c>
      <c r="D31" s="79">
        <f>IFERROR(SUMIFS(Tabla1[Avance_km],Tabla1[Ducto],Resumen!$B31,Tabla1[nombre_actividad],D$1)/$C31,0)</f>
        <v>1</v>
      </c>
      <c r="E31" s="79">
        <f>IFERROR(SUMIFS(Tabla1[Avance_km],Tabla1[Ducto],Resumen!$B31,Tabla1[nombre_actividad],E$1)/$C31,0)</f>
        <v>0.99999999999999989</v>
      </c>
      <c r="F31" s="79">
        <f>IFERROR(SUMIFS(Tabla1[Avance_km],Tabla1[Ducto],Resumen!$B31,Tabla1[nombre_actividad],F$1)/$C31,0)</f>
        <v>1</v>
      </c>
      <c r="G31" s="79">
        <f>IFERROR(SUMIFS(Tabla1[Avance_Med],Tabla1[Ducto],Resumen!$B31,Tabla1[nombre_actividad],G$1)/(1),0)</f>
        <v>27</v>
      </c>
      <c r="J31" s="142">
        <f>+_xlfn.XLOOKUP(B31,'R (s01)'!B:B,'R (s01)'!J:J)</f>
        <v>27</v>
      </c>
    </row>
    <row r="32" spans="1:10" ht="26.25" x14ac:dyDescent="0.25">
      <c r="A32" s="34" t="str">
        <f>+_xlfn.XLOOKUP(B32,Tabla1[Ducto],Tabla1[Sistema],"")</f>
        <v>LIRA_GALERAS</v>
      </c>
      <c r="B32" s="34" t="str">
        <v>NATGAS EL MARQUES</v>
      </c>
      <c r="C32" s="110">
        <f>+_xlfn.XLOOKUP(B32,Tabla1[Ducto],Tabla1[Length])</f>
        <v>1.054</v>
      </c>
      <c r="D32" s="79">
        <f>IFERROR(SUMIFS(Tabla1[Avance_km],Tabla1[Ducto],Resumen!$B32,Tabla1[nombre_actividad],D$1)/$C32,0)</f>
        <v>1</v>
      </c>
      <c r="E32" s="79">
        <f>IFERROR(SUMIFS(Tabla1[Avance_km],Tabla1[Ducto],Resumen!$B32,Tabla1[nombre_actividad],E$1)/$C32,0)</f>
        <v>1</v>
      </c>
      <c r="F32" s="79">
        <f>IFERROR(SUMIFS(Tabla1[Avance_km],Tabla1[Ducto],Resumen!$B32,Tabla1[nombre_actividad],F$1)/$C32,0)</f>
        <v>1</v>
      </c>
      <c r="G32" s="139"/>
      <c r="J32" s="142">
        <f>+_xlfn.XLOOKUP(B32,'R (s01)'!B:B,'R (s01)'!J:J)</f>
        <v>2</v>
      </c>
    </row>
    <row r="33" spans="1:10" ht="26.25" x14ac:dyDescent="0.25">
      <c r="A33" s="34" t="str">
        <f>+_xlfn.XLOOKUP(B33,Tabla1[Ducto],Tabla1[Sistema],"")</f>
        <v>LIRA_GALERAS</v>
      </c>
      <c r="B33" s="34" t="str">
        <v>IACNA DE MEXICO</v>
      </c>
      <c r="C33" s="110">
        <f>+_xlfn.XLOOKUP(B33,Tabla1[Ducto],Tabla1[Length])</f>
        <v>0.01</v>
      </c>
      <c r="D33" s="79">
        <f>IFERROR(SUMIFS(Tabla1[Avance_km],Tabla1[Ducto],Resumen!$B33,Tabla1[nombre_actividad],D$1)/$C33,0)</f>
        <v>1</v>
      </c>
      <c r="E33" s="79">
        <f>IFERROR(SUMIFS(Tabla1[Avance_km],Tabla1[Ducto],Resumen!$B33,Tabla1[nombre_actividad],E$1)/$C33,0)</f>
        <v>1</v>
      </c>
      <c r="F33" s="79">
        <f>IFERROR(SUMIFS(Tabla1[Avance_km],Tabla1[Ducto],Resumen!$B33,Tabla1[nombre_actividad],F$1)/$C33,0)</f>
        <v>1</v>
      </c>
      <c r="G33" s="139"/>
      <c r="J33" s="142">
        <f>+_xlfn.XLOOKUP(B33,'R (s01)'!B:B,'R (s01)'!J:J)</f>
        <v>1</v>
      </c>
    </row>
    <row r="34" spans="1:10" ht="26.25" x14ac:dyDescent="0.25">
      <c r="A34" s="34" t="str">
        <f>+_xlfn.XLOOKUP(B34,Tabla1[Ducto],Tabla1[Sistema],"")</f>
        <v>LIRA_GALERAS</v>
      </c>
      <c r="B34" s="34" t="str">
        <v>KOPPERT</v>
      </c>
      <c r="C34" s="110">
        <f>+_xlfn.XLOOKUP(B34,Tabla1[Ducto],Tabla1[Length])</f>
        <v>1.4999999999999999E-2</v>
      </c>
      <c r="D34" s="79">
        <f>IFERROR(SUMIFS(Tabla1[Avance_km],Tabla1[Ducto],Resumen!$B34,Tabla1[nombre_actividad],D$1)/$C34,0)</f>
        <v>1</v>
      </c>
      <c r="E34" s="79">
        <f>IFERROR(SUMIFS(Tabla1[Avance_km],Tabla1[Ducto],Resumen!$B34,Tabla1[nombre_actividad],E$1)/$C34,0)</f>
        <v>1</v>
      </c>
      <c r="F34" s="79">
        <f>IFERROR(SUMIFS(Tabla1[Avance_km],Tabla1[Ducto],Resumen!$B34,Tabla1[nombre_actividad],F$1)/$C34,0)</f>
        <v>1</v>
      </c>
      <c r="G34" s="139"/>
      <c r="J34" s="142">
        <f>+_xlfn.XLOOKUP(B34,'R (s01)'!B:B,'R (s01)'!J:J)</f>
        <v>0</v>
      </c>
    </row>
    <row r="35" spans="1:10" ht="26.25" x14ac:dyDescent="0.25">
      <c r="A35" s="34" t="str">
        <f>+_xlfn.XLOOKUP(B35,Tabla1[Ducto],Tabla1[Sistema],"")</f>
        <v>PECO_AGROS</v>
      </c>
      <c r="B35" s="34" t="str">
        <v>POLLOS QUERÉTARO</v>
      </c>
      <c r="C35" s="110">
        <f>+_xlfn.XLOOKUP(B35,Tabla1[Ducto],Tabla1[Length])</f>
        <v>1.2999999999999999E-2</v>
      </c>
      <c r="D35" s="79">
        <f>IFERROR(SUMIFS(Tabla1[Avance_km],Tabla1[Ducto],Resumen!$B35,Tabla1[nombre_actividad],D$1)/$C35,0)</f>
        <v>1</v>
      </c>
      <c r="E35" s="79">
        <f>IFERROR(SUMIFS(Tabla1[Avance_km],Tabla1[Ducto],Resumen!$B35,Tabla1[nombre_actividad],E$1)/$C35,0)</f>
        <v>1</v>
      </c>
      <c r="F35" s="79">
        <f>IFERROR(SUMIFS(Tabla1[Avance_km],Tabla1[Ducto],Resumen!$B35,Tabla1[nombre_actividad],F$1)/$C35,0)</f>
        <v>1</v>
      </c>
      <c r="G35" s="139"/>
      <c r="J35" s="142" t="e">
        <f>+_xlfn.XLOOKUP(B35,'R (s01)'!B:B,'R (s01)'!J:J)</f>
        <v>#N/A</v>
      </c>
    </row>
    <row r="36" spans="1:10" ht="26.25" x14ac:dyDescent="0.25">
      <c r="A36" s="34" t="str">
        <f>+_xlfn.XLOOKUP(B36,Tabla1[Ducto],Tabla1[Sistema],"")</f>
        <v>PECO_AGROS</v>
      </c>
      <c r="B36" s="34" t="str">
        <v>NUTEC LOS OLIVOS</v>
      </c>
      <c r="C36" s="110">
        <f>+_xlfn.XLOOKUP(B36,Tabla1[Ducto],Tabla1[Length])</f>
        <v>1.0999999999999999E-2</v>
      </c>
      <c r="D36" s="79">
        <f>IFERROR(SUMIFS(Tabla1[Avance_km],Tabla1[Ducto],Resumen!$B36,Tabla1[nombre_actividad],D$1)/$C36,0)</f>
        <v>1</v>
      </c>
      <c r="E36" s="79">
        <f>IFERROR(SUMIFS(Tabla1[Avance_km],Tabla1[Ducto],Resumen!$B36,Tabla1[nombre_actividad],E$1)/$C36,0)</f>
        <v>1</v>
      </c>
      <c r="F36" s="79">
        <f>IFERROR(SUMIFS(Tabla1[Avance_km],Tabla1[Ducto],Resumen!$B36,Tabla1[nombre_actividad],F$1)/$C36,0)</f>
        <v>1</v>
      </c>
      <c r="G36" s="79">
        <f>IFERROR(SUMIFS(Tabla1[Avance_Med],Tabla1[Ducto],Resumen!$B36,Tabla1[nombre_actividad],G$1)/(1),0)</f>
        <v>0</v>
      </c>
      <c r="J36" s="142" t="e">
        <f>+_xlfn.XLOOKUP(B36,'R (s01)'!B:B,'R (s01)'!J:J)</f>
        <v>#N/A</v>
      </c>
    </row>
    <row r="37" spans="1:10" ht="26.25" x14ac:dyDescent="0.25">
      <c r="A37" s="34" t="str">
        <f>+_xlfn.XLOOKUP(B37,Tabla1[Ducto],Tabla1[Sistema],"")</f>
        <v>PECO_AGROS</v>
      </c>
      <c r="B37" s="34" t="str">
        <v>ERM LA PERLA</v>
      </c>
      <c r="C37" s="110">
        <f>+_xlfn.XLOOKUP(B37,Tabla1[Ducto],Tabla1[Length])</f>
        <v>6.0000000000000001E-3</v>
      </c>
      <c r="D37" s="79">
        <f>IFERROR(SUMIFS(Tabla1[Avance_km],Tabla1[Ducto],Resumen!$B37,Tabla1[nombre_actividad],D$1)/$C37,0)</f>
        <v>1</v>
      </c>
      <c r="E37" s="79">
        <f>IFERROR(SUMIFS(Tabla1[Avance_km],Tabla1[Ducto],Resumen!$B37,Tabla1[nombre_actividad],E$1)/$C37,0)</f>
        <v>1</v>
      </c>
      <c r="F37" s="79">
        <f>IFERROR(SUMIFS(Tabla1[Avance_km],Tabla1[Ducto],Resumen!$B37,Tabla1[nombre_actividad],F$1)/$C37,0)</f>
        <v>1</v>
      </c>
      <c r="G37" s="139"/>
      <c r="J37" s="142" t="e">
        <f>+_xlfn.XLOOKUP(B37,'R (s01)'!B:B,'R (s01)'!J:J)</f>
        <v>#N/A</v>
      </c>
    </row>
    <row r="38" spans="1:10" ht="26.25" x14ac:dyDescent="0.25">
      <c r="A38" s="34" t="str">
        <f>+_xlfn.XLOOKUP(B38,Tabla1[Ducto],Tabla1[Sistema],"")</f>
        <v>LIRA_GALERAS</v>
      </c>
      <c r="B38" s="34" t="str">
        <v>ED PARQUE INDUSTRIAL LA BOMBA</v>
      </c>
      <c r="C38" s="110">
        <f>+_xlfn.XLOOKUP(B38,Tabla1[Ducto],Tabla1[Length])</f>
        <v>8.7999999999999995E-2</v>
      </c>
      <c r="D38" s="79">
        <f>IFERROR(SUMIFS(Tabla1[Avance_km],Tabla1[Ducto],Resumen!$B38,Tabla1[nombre_actividad],D$1)/$C38,0)</f>
        <v>1</v>
      </c>
      <c r="E38" s="79">
        <f>IFERROR(SUMIFS(Tabla1[Avance_km],Tabla1[Ducto],Resumen!$B38,Tabla1[nombre_actividad],E$1)/$C38,0)</f>
        <v>1</v>
      </c>
      <c r="F38" s="79">
        <f>IFERROR(SUMIFS(Tabla1[Avance_km],Tabla1[Ducto],Resumen!$B38,Tabla1[nombre_actividad],F$1)/$C38,0)</f>
        <v>1</v>
      </c>
      <c r="G38" s="139"/>
      <c r="J38" s="142">
        <f>+_xlfn.XLOOKUP(B38,'R (s01)'!B:B,'R (s01)'!J:J)</f>
        <v>1</v>
      </c>
    </row>
    <row r="39" spans="1:10" ht="26.25" x14ac:dyDescent="0.25">
      <c r="A39" s="34" t="str">
        <f>+_xlfn.XLOOKUP(B39,Tabla1[Ducto],Tabla1[Sistema],"")</f>
        <v>LIRA_GALERAS</v>
      </c>
      <c r="B39" s="34" t="str">
        <v>STERLING BURDS</v>
      </c>
      <c r="C39" s="110">
        <f>+_xlfn.XLOOKUP(B39,Tabla1[Ducto],Tabla1[Length])</f>
        <v>0.188</v>
      </c>
      <c r="D39" s="79">
        <f>IFERROR(SUMIFS(Tabla1[Avance_km],Tabla1[Ducto],Resumen!$B39,Tabla1[nombre_actividad],D$1)/$C39,0)</f>
        <v>1</v>
      </c>
      <c r="E39" s="79">
        <f>IFERROR(SUMIFS(Tabla1[Avance_km],Tabla1[Ducto],Resumen!$B39,Tabla1[nombre_actividad],E$1)/$C39,0)</f>
        <v>1</v>
      </c>
      <c r="F39" s="79">
        <f>IFERROR(SUMIFS(Tabla1[Avance_km],Tabla1[Ducto],Resumen!$B39,Tabla1[nombre_actividad],F$1)/$C39,0)</f>
        <v>1</v>
      </c>
      <c r="G39" s="139"/>
      <c r="J39" s="142">
        <f>+_xlfn.XLOOKUP(B39,'R (s01)'!B:B,'R (s01)'!J:J)</f>
        <v>0</v>
      </c>
    </row>
    <row r="40" spans="1:10" ht="26.25" x14ac:dyDescent="0.25">
      <c r="A40" s="34" t="str">
        <f>+_xlfn.XLOOKUP(B40,Tabla1[Ducto],Tabla1[Sistema],"")</f>
        <v>LIRA_GALERAS</v>
      </c>
      <c r="B40" s="34" t="str">
        <v>FABRICA DE JABON LA CORONA</v>
      </c>
      <c r="C40" s="110">
        <f>+_xlfn.XLOOKUP(B40,Tabla1[Ducto],Tabla1[Length])</f>
        <v>7.0000000000000001E-3</v>
      </c>
      <c r="D40" s="79">
        <f>IFERROR(SUMIFS(Tabla1[Avance_km],Tabla1[Ducto],Resumen!$B40,Tabla1[nombre_actividad],D$1)/$C40,0)</f>
        <v>1</v>
      </c>
      <c r="E40" s="79">
        <f>IFERROR(SUMIFS(Tabla1[Avance_km],Tabla1[Ducto],Resumen!$B40,Tabla1[nombre_actividad],E$1)/$C40,0)</f>
        <v>1</v>
      </c>
      <c r="F40" s="79">
        <f>IFERROR(SUMIFS(Tabla1[Avance_km],Tabla1[Ducto],Resumen!$B40,Tabla1[nombre_actividad],F$1)/$C40,0)</f>
        <v>1</v>
      </c>
      <c r="G40" s="79">
        <f>IFERROR(SUMIFS(Tabla1[Avance_Med],Tabla1[Ducto],Resumen!$B40,Tabla1[nombre_actividad],G$1)/(1),0)</f>
        <v>0</v>
      </c>
      <c r="J40" s="142">
        <f>+_xlfn.XLOOKUP(B40,'R (s01)'!B:B,'R (s01)'!J:J)</f>
        <v>0</v>
      </c>
    </row>
    <row r="41" spans="1:10" ht="26.25" x14ac:dyDescent="0.25">
      <c r="A41" s="34" t="str">
        <f>+_xlfn.XLOOKUP(B41,Tabla1[Ducto],Tabla1[Sistema],"")</f>
        <v>LIRA_GALERAS</v>
      </c>
      <c r="B41" s="34" t="str">
        <v>GRAMOSA ALIMENTOS</v>
      </c>
      <c r="C41" s="110">
        <f>+_xlfn.XLOOKUP(B41,Tabla1[Ducto],Tabla1[Length])</f>
        <v>1.9E-2</v>
      </c>
      <c r="D41" s="79">
        <f>IFERROR(SUMIFS(Tabla1[Avance_km],Tabla1[Ducto],Resumen!$B41,Tabla1[nombre_actividad],D$1)/$C41,0)</f>
        <v>1</v>
      </c>
      <c r="E41" s="79">
        <f>IFERROR(SUMIFS(Tabla1[Avance_km],Tabla1[Ducto],Resumen!$B41,Tabla1[nombre_actividad],E$1)/$C41,0)</f>
        <v>1</v>
      </c>
      <c r="F41" s="79">
        <f>IFERROR(SUMIFS(Tabla1[Avance_km],Tabla1[Ducto],Resumen!$B41,Tabla1[nombre_actividad],F$1)/$C41,0)</f>
        <v>1</v>
      </c>
      <c r="G41" s="79">
        <f>IFERROR(SUMIFS(Tabla1[Avance_Med],Tabla1[Ducto],Resumen!$B41,Tabla1[nombre_actividad],G$1)/(1),0)</f>
        <v>0</v>
      </c>
      <c r="J41" s="142">
        <f>+_xlfn.XLOOKUP(B41,'R (s01)'!B:B,'R (s01)'!J:J)</f>
        <v>0</v>
      </c>
    </row>
    <row r="42" spans="1:10" ht="26.25" x14ac:dyDescent="0.25">
      <c r="A42" s="34" t="str">
        <f>+_xlfn.XLOOKUP(B42,Tabla1[Ducto],Tabla1[Sistema],"")</f>
        <v>LIRA_GALERAS</v>
      </c>
      <c r="B42" s="34" t="str">
        <v>ED O´DONELL</v>
      </c>
      <c r="C42" s="110">
        <f>+_xlfn.XLOOKUP(B42,Tabla1[Ducto],Tabla1[Length])</f>
        <v>5.5E-2</v>
      </c>
      <c r="D42" s="79">
        <f>IFERROR(SUMIFS(Tabla1[Avance_km],Tabla1[Ducto],Resumen!$B42,Tabla1[nombre_actividad],D$1)/$C42,0)</f>
        <v>1</v>
      </c>
      <c r="E42" s="79">
        <f>IFERROR(SUMIFS(Tabla1[Avance_km],Tabla1[Ducto],Resumen!$B42,Tabla1[nombre_actividad],E$1)/$C42,0)</f>
        <v>1</v>
      </c>
      <c r="F42" s="79">
        <f>IFERROR(SUMIFS(Tabla1[Avance_km],Tabla1[Ducto],Resumen!$B42,Tabla1[nombre_actividad],F$1)/$C42,0)</f>
        <v>1</v>
      </c>
      <c r="G42" s="139"/>
      <c r="J42" s="142">
        <f>+_xlfn.XLOOKUP(B42,'R (s01)'!B:B,'R (s01)'!J:J)</f>
        <v>1</v>
      </c>
    </row>
    <row r="43" spans="1:10" ht="26.25" x14ac:dyDescent="0.25">
      <c r="A43" s="34" t="str">
        <f>+_xlfn.XLOOKUP(B43,Tabla1[Ducto],Tabla1[Sistema],"")</f>
        <v>LIRA_GALERAS</v>
      </c>
      <c r="B43" s="34" t="str">
        <v>EFFEM</v>
      </c>
      <c r="C43" s="110">
        <f>+_xlfn.XLOOKUP(B43,Tabla1[Ducto],Tabla1[Length])</f>
        <v>6.3E-2</v>
      </c>
      <c r="D43" s="79">
        <f>IFERROR(SUMIFS(Tabla1[Avance_km],Tabla1[Ducto],Resumen!$B43,Tabla1[nombre_actividad],D$1)/$C43,0)</f>
        <v>1</v>
      </c>
      <c r="E43" s="79">
        <f>IFERROR(SUMIFS(Tabla1[Avance_km],Tabla1[Ducto],Resumen!$B43,Tabla1[nombre_actividad],E$1)/$C43,0)</f>
        <v>1</v>
      </c>
      <c r="F43" s="79">
        <f>IFERROR(SUMIFS(Tabla1[Avance_km],Tabla1[Ducto],Resumen!$B43,Tabla1[nombre_actividad],F$1)/$C43,0)</f>
        <v>1</v>
      </c>
      <c r="G43" s="139"/>
      <c r="J43" s="142">
        <f>+_xlfn.XLOOKUP(B43,'R (s01)'!B:B,'R (s01)'!J:J)</f>
        <v>1</v>
      </c>
    </row>
    <row r="44" spans="1:10" ht="26.25" x14ac:dyDescent="0.25">
      <c r="A44" s="34" t="str">
        <f>+_xlfn.XLOOKUP(B44,Tabla1[Ducto],Tabla1[Sistema],"")</f>
        <v>LIRA_GALERAS</v>
      </c>
      <c r="B44" s="34" t="str">
        <v>PAPSA</v>
      </c>
      <c r="C44" s="110">
        <f>+_xlfn.XLOOKUP(B44,Tabla1[Ducto],Tabla1[Length])</f>
        <v>5.5E-2</v>
      </c>
      <c r="D44" s="79">
        <f>IFERROR(SUMIFS(Tabla1[Avance_km],Tabla1[Ducto],Resumen!$B44,Tabla1[nombre_actividad],D$1)/$C44,0)</f>
        <v>1</v>
      </c>
      <c r="E44" s="79">
        <f>IFERROR(SUMIFS(Tabla1[Avance_km],Tabla1[Ducto],Resumen!$B44,Tabla1[nombre_actividad],E$1)/$C44,0)</f>
        <v>1</v>
      </c>
      <c r="F44" s="79">
        <f>IFERROR(SUMIFS(Tabla1[Avance_km],Tabla1[Ducto],Resumen!$B44,Tabla1[nombre_actividad],F$1)/$C44,0)</f>
        <v>1</v>
      </c>
      <c r="G44" s="79">
        <f>IFERROR(SUMIFS(Tabla1[Avance_Med],Tabla1[Ducto],Resumen!$B44,Tabla1[nombre_actividad],G$1)/(22),0)</f>
        <v>0</v>
      </c>
      <c r="J44" s="142">
        <f>+_xlfn.XLOOKUP(B44,'R (s01)'!B:B,'R (s01)'!J:J)</f>
        <v>0</v>
      </c>
    </row>
    <row r="45" spans="1:10" ht="26.25" x14ac:dyDescent="0.25">
      <c r="A45" s="34" t="str">
        <f>+_xlfn.XLOOKUP(B45,Tabla1[Ducto],Tabla1[Sistema],"")</f>
        <v>PECO_AGROS</v>
      </c>
      <c r="B45" s="34" t="str">
        <v>ERM VIMIFUS</v>
      </c>
      <c r="C45" s="110">
        <f>+_xlfn.XLOOKUP(B45,Tabla1[Ducto],Tabla1[Length])</f>
        <v>1.7000000000000001E-2</v>
      </c>
      <c r="D45" s="79">
        <f>IFERROR(SUMIFS(Tabla1[Avance_km],Tabla1[Ducto],Resumen!$B45,Tabla1[nombre_actividad],D$1)/$C45,0)</f>
        <v>1</v>
      </c>
      <c r="E45" s="79">
        <f>IFERROR(SUMIFS(Tabla1[Avance_km],Tabla1[Ducto],Resumen!$B45,Tabla1[nombre_actividad],E$1)/$C45,0)</f>
        <v>1</v>
      </c>
      <c r="F45" s="79">
        <f>IFERROR(SUMIFS(Tabla1[Avance_km],Tabla1[Ducto],Resumen!$B45,Tabla1[nombre_actividad],F$1)/$C45,0)</f>
        <v>1</v>
      </c>
      <c r="G45" s="79">
        <f>IFERROR(SUMIFS(Tabla1[Avance_Med],Tabla1[Ducto],Resumen!$B45,Tabla1[nombre_actividad],G$1)/(ROUNDUP(C45,0)*2),0)</f>
        <v>0</v>
      </c>
      <c r="J45" s="142" t="e">
        <f>+_xlfn.XLOOKUP(B45,'R (s01)'!B:B,'R (s01)'!J:J)</f>
        <v>#N/A</v>
      </c>
    </row>
    <row r="46" spans="1:10" ht="26.25" x14ac:dyDescent="0.25">
      <c r="A46" s="34" t="str">
        <f>+_xlfn.XLOOKUP(B46,Tabla1[Ducto],Tabla1[Sistema],"")</f>
        <v>LIRA_GALERAS</v>
      </c>
      <c r="B46" s="34" t="str">
        <v>GUARDIAN</v>
      </c>
      <c r="C46" s="110">
        <f>+_xlfn.XLOOKUP(B46,Tabla1[Ducto],Tabla1[Length])</f>
        <v>10.44422</v>
      </c>
      <c r="D46" s="79">
        <f>IFERROR(SUMIFS(Tabla1[Avance_km],Tabla1[Ducto],Resumen!$B46,Tabla1[nombre_actividad],D$1)/$C46,0)</f>
        <v>0.99997893571755492</v>
      </c>
      <c r="E46" s="79">
        <f>IFERROR(SUMIFS(Tabla1[Avance_km],Tabla1[Ducto],Resumen!$B46,Tabla1[nombre_actividad],E$1)/$C46,0)</f>
        <v>0.99997893571755492</v>
      </c>
      <c r="F46" s="79">
        <f>IFERROR(SUMIFS(Tabla1[Avance_km],Tabla1[Ducto],Resumen!$B46,Tabla1[nombre_actividad],F$1)/$C46,0)</f>
        <v>0.9999789357175547</v>
      </c>
      <c r="G46" s="79">
        <f>IFERROR(SUMIFS(Tabla1[Avance_Med],Tabla1[Ducto],Resumen!$B46,Tabla1[nombre_actividad],G$1)/(1),0)</f>
        <v>22</v>
      </c>
      <c r="J46" s="142">
        <f>+_xlfn.XLOOKUP(B46,'R (s01)'!B:B,'R (s01)'!J:J)</f>
        <v>22</v>
      </c>
    </row>
    <row r="47" spans="1:10" ht="26.25" x14ac:dyDescent="0.25">
      <c r="A47" s="34" t="str">
        <f>+_xlfn.XLOOKUP(B47,Tabla1[Ducto],Tabla1[Sistema],"")</f>
        <v>LIRA_GALERAS</v>
      </c>
      <c r="B47" s="34" t="str">
        <v>REFUERZO ATONGO</v>
      </c>
      <c r="C47" s="110">
        <f>+_xlfn.XLOOKUP(B47,Tabla1[Ducto],Tabla1[Length])</f>
        <v>2.2770000000000001</v>
      </c>
      <c r="D47" s="79">
        <f>IFERROR(SUMIFS(Tabla1[Avance_km],Tabla1[Ducto],Resumen!$B47,Tabla1[nombre_actividad],D$1)/$C47,0)</f>
        <v>1</v>
      </c>
      <c r="E47" s="79">
        <f>IFERROR(SUMIFS(Tabla1[Avance_km],Tabla1[Ducto],Resumen!$B47,Tabla1[nombre_actividad],E$1)/$C47,0)</f>
        <v>1</v>
      </c>
      <c r="F47" s="79">
        <f>IFERROR(SUMIFS(Tabla1[Avance_km],Tabla1[Ducto],Resumen!$B47,Tabla1[nombre_actividad],F$1)/$C47,0)</f>
        <v>1</v>
      </c>
      <c r="G47" s="139"/>
      <c r="J47" s="142">
        <f>+_xlfn.XLOOKUP(B47,'R (s01)'!B:B,'R (s01)'!J:J)</f>
        <v>6</v>
      </c>
    </row>
    <row r="48" spans="1:10" ht="26.25" x14ac:dyDescent="0.25">
      <c r="A48" s="34" t="str">
        <f>+_xlfn.XLOOKUP(B48,Tabla1[Ducto],Tabla1[Sistema],"")</f>
        <v>LIRA_GALERAS</v>
      </c>
      <c r="B48" s="34" t="str">
        <v>INDUSTRIAS KI</v>
      </c>
      <c r="C48" s="110">
        <f>+_xlfn.XLOOKUP(B48,Tabla1[Ducto],Tabla1[Length])</f>
        <v>8.0000000000000002E-3</v>
      </c>
      <c r="D48" s="79">
        <f>IFERROR(SUMIFS(Tabla1[Avance_km],Tabla1[Ducto],Resumen!$B48,Tabla1[nombre_actividad],D$1)/$C48,0)</f>
        <v>1</v>
      </c>
      <c r="E48" s="79">
        <f>IFERROR(SUMIFS(Tabla1[Avance_km],Tabla1[Ducto],Resumen!$B48,Tabla1[nombre_actividad],E$1)/$C48,0)</f>
        <v>1</v>
      </c>
      <c r="F48" s="79">
        <f>IFERROR(SUMIFS(Tabla1[Avance_km],Tabla1[Ducto],Resumen!$B48,Tabla1[nombre_actividad],F$1)/$C48,0)</f>
        <v>1</v>
      </c>
      <c r="G48" s="79">
        <f>IFERROR(SUMIFS(Tabla1[Avance_Med],Tabla1[Ducto],Resumen!$B48,Tabla1[nombre_actividad],G$1)/(1),0)</f>
        <v>1</v>
      </c>
      <c r="J48" s="142">
        <f>+_xlfn.XLOOKUP(B48,'R (s01)'!B:B,'R (s01)'!J:J)</f>
        <v>1</v>
      </c>
    </row>
    <row r="49" spans="1:10" ht="26.25" x14ac:dyDescent="0.25">
      <c r="A49" s="34" t="str">
        <f>+_xlfn.XLOOKUP(B49,Tabla1[Ducto],Tabla1[Sistema],"")</f>
        <v>PECO_AGROS</v>
      </c>
      <c r="B49" s="34" t="str">
        <v>ED PIA</v>
      </c>
      <c r="C49" s="110">
        <f>+_xlfn.XLOOKUP(B49,Tabla1[Ducto],Tabla1[Length])</f>
        <v>5.0000000000000001E-3</v>
      </c>
      <c r="D49" s="79">
        <f>IFERROR(SUMIFS(Tabla1[Avance_km],Tabla1[Ducto],Resumen!$B49,Tabla1[nombre_actividad],D$1)/$C49,0)</f>
        <v>1</v>
      </c>
      <c r="E49" s="79">
        <f>IFERROR(SUMIFS(Tabla1[Avance_km],Tabla1[Ducto],Resumen!$B49,Tabla1[nombre_actividad],E$1)/$C49,0)</f>
        <v>1</v>
      </c>
      <c r="F49" s="79">
        <f>IFERROR(SUMIFS(Tabla1[Avance_km],Tabla1[Ducto],Resumen!$B49,Tabla1[nombre_actividad],F$1)/$C49,0)</f>
        <v>1</v>
      </c>
      <c r="G49" s="79">
        <f>IFERROR(SUMIFS(Tabla1[Avance_Med],Tabla1[Ducto],Resumen!$B49,Tabla1[nombre_actividad],G$1)/(1),0)</f>
        <v>0</v>
      </c>
      <c r="J49" s="142" t="e">
        <f>+_xlfn.XLOOKUP(B49,'R (s01)'!B:B,'R (s01)'!J:J)</f>
        <v>#N/A</v>
      </c>
    </row>
    <row r="50" spans="1:10" ht="26.25" x14ac:dyDescent="0.25">
      <c r="A50" s="34" t="str">
        <f>+_xlfn.XLOOKUP(B50,Tabla1[Ducto],Tabla1[Sistema],"")</f>
        <v>LIRA_GALERAS</v>
      </c>
      <c r="B50" s="34" t="str">
        <v>SYNTEK ASPHALT</v>
      </c>
      <c r="C50" s="110">
        <f>+_xlfn.XLOOKUP(B50,Tabla1[Ducto],Tabla1[Length])</f>
        <v>1.2E-2</v>
      </c>
      <c r="D50" s="79">
        <f>IFERROR(SUMIFS(Tabla1[Avance_km],Tabla1[Ducto],Resumen!$B50,Tabla1[nombre_actividad],D$1)/$C50,0)</f>
        <v>1</v>
      </c>
      <c r="E50" s="79">
        <f>IFERROR(SUMIFS(Tabla1[Avance_km],Tabla1[Ducto],Resumen!$B50,Tabla1[nombre_actividad],E$1)/$C50,0)</f>
        <v>1</v>
      </c>
      <c r="F50" s="79">
        <f>IFERROR(SUMIFS(Tabla1[Avance_km],Tabla1[Ducto],Resumen!$B50,Tabla1[nombre_actividad],F$1)/$C50,0)</f>
        <v>1</v>
      </c>
      <c r="G50" s="139"/>
      <c r="J50" s="142">
        <f>+_xlfn.XLOOKUP(B50,'R (s01)'!B:B,'R (s01)'!J:J)</f>
        <v>1</v>
      </c>
    </row>
    <row r="51" spans="1:10" ht="26.25" x14ac:dyDescent="0.25">
      <c r="A51" s="34" t="str">
        <f>+_xlfn.XLOOKUP(B51,Tabla1[Ducto],Tabla1[Sistema],"")</f>
        <v>LIRA_GALERAS</v>
      </c>
      <c r="B51" s="34" t="str">
        <v>ED LA BARCA</v>
      </c>
      <c r="C51" s="110">
        <f>+_xlfn.XLOOKUP(B51,Tabla1[Ducto],Tabla1[Length])</f>
        <v>0.28699999999999998</v>
      </c>
      <c r="D51" s="79">
        <f>IFERROR(SUMIFS(Tabla1[Avance_km],Tabla1[Ducto],Resumen!$B51,Tabla1[nombre_actividad],D$1)/$C51,0)</f>
        <v>1</v>
      </c>
      <c r="E51" s="79">
        <f>IFERROR(SUMIFS(Tabla1[Avance_km],Tabla1[Ducto],Resumen!$B51,Tabla1[nombre_actividad],E$1)/$C51,0)</f>
        <v>1</v>
      </c>
      <c r="F51" s="79">
        <f>IFERROR(SUMIFS(Tabla1[Avance_km],Tabla1[Ducto],Resumen!$B51,Tabla1[nombre_actividad],F$1)/$C51,0)</f>
        <v>1</v>
      </c>
      <c r="G51" s="139"/>
      <c r="J51" s="142">
        <f>+_xlfn.XLOOKUP(B51,'R (s01)'!B:B,'R (s01)'!J:J)</f>
        <v>1</v>
      </c>
    </row>
    <row r="52" spans="1:10" ht="26.25" x14ac:dyDescent="0.25">
      <c r="A52" s="34" t="str">
        <f>+_xlfn.XLOOKUP(B52,Tabla1[Ducto],Tabla1[Sistema],"")</f>
        <v>GIVAUDAN</v>
      </c>
      <c r="B52" s="34" t="str">
        <v>GIVAUDAN</v>
      </c>
      <c r="C52" s="110">
        <f>+_xlfn.XLOOKUP(B52,Tabla1[Ducto],Tabla1[Length])</f>
        <v>8.0000000000000002E-3</v>
      </c>
      <c r="D52" s="79">
        <f>IFERROR(SUMIFS(Tabla1[Avance_km],Tabla1[Ducto],Resumen!$B52,Tabla1[nombre_actividad],D$1)/$C52,0)</f>
        <v>0</v>
      </c>
      <c r="E52" s="79">
        <f>IFERROR(SUMIFS(Tabla1[Avance_km],Tabla1[Ducto],Resumen!$B52,Tabla1[nombre_actividad],E$1)/$C52,0)</f>
        <v>0</v>
      </c>
      <c r="F52" s="79">
        <f>IFERROR(SUMIFS(Tabla1[Avance_km],Tabla1[Ducto],Resumen!$B52,Tabla1[nombre_actividad],F$1)/$C52,0)</f>
        <v>0</v>
      </c>
      <c r="G52" s="139"/>
      <c r="J52" s="142" t="e">
        <f>+_xlfn.XLOOKUP(B52,'R (s01)'!B:B,'R (s01)'!J:J)</f>
        <v>#N/A</v>
      </c>
    </row>
    <row r="53" spans="1:10" ht="26.25" x14ac:dyDescent="0.25">
      <c r="A53" s="34" t="str">
        <f>+_xlfn.XLOOKUP(B53,Tabla1[Ducto],Tabla1[Sistema],"")</f>
        <v>GIVAUDAN</v>
      </c>
      <c r="B53" s="34" t="str">
        <v>NOWPACK</v>
      </c>
      <c r="C53" s="110">
        <f>+_xlfn.XLOOKUP(B53,Tabla1[Ducto],Tabla1[Length])</f>
        <v>0.36599999999999999</v>
      </c>
      <c r="D53" s="79">
        <f>IFERROR(SUMIFS(Tabla1[Avance_km],Tabla1[Ducto],Resumen!$B53,Tabla1[nombre_actividad],D$1)/$C53,0)</f>
        <v>0</v>
      </c>
      <c r="E53" s="79">
        <f>IFERROR(SUMIFS(Tabla1[Avance_km],Tabla1[Ducto],Resumen!$B53,Tabla1[nombre_actividad],E$1)/$C53,0)</f>
        <v>0</v>
      </c>
      <c r="F53" s="79">
        <f>IFERROR(SUMIFS(Tabla1[Avance_km],Tabla1[Ducto],Resumen!$B53,Tabla1[nombre_actividad],F$1)/$C53,0)</f>
        <v>0</v>
      </c>
      <c r="G53" s="139"/>
      <c r="J53" s="142" t="e">
        <f>+_xlfn.XLOOKUP(B53,'R (s01)'!B:B,'R (s01)'!J:J)</f>
        <v>#N/A</v>
      </c>
    </row>
    <row r="54" spans="1:10" ht="26.25" x14ac:dyDescent="0.25">
      <c r="A54" s="34" t="str">
        <f>+_xlfn.XLOOKUP(B54,Tabla1[Ducto],Tabla1[Sistema],"")</f>
        <v>GIVAUDAN</v>
      </c>
      <c r="B54" s="34" t="str">
        <v>PUREMIN</v>
      </c>
      <c r="C54" s="110">
        <f>+_xlfn.XLOOKUP(B54,Tabla1[Ducto],Tabla1[Length])</f>
        <v>1.175</v>
      </c>
      <c r="D54" s="164">
        <f>IFERROR(SUMIFS(Tabla1[Avance_km],Tabla1[Ducto],Resumen!$B54,Tabla1[nombre_actividad],D$1)/$C54,0)</f>
        <v>0</v>
      </c>
      <c r="E54" s="164">
        <f>IFERROR(SUMIFS(Tabla1[Avance_km],Tabla1[Ducto],Resumen!$B54,Tabla1[nombre_actividad],E$1)/$C54,0)</f>
        <v>0</v>
      </c>
      <c r="F54" s="164">
        <f>IFERROR(SUMIFS(Tabla1[Avance_km],Tabla1[Ducto],Resumen!$B54,Tabla1[nombre_actividad],F$1)/$C54,0)</f>
        <v>0</v>
      </c>
      <c r="G54" s="79">
        <f>IFERROR(SUMIFS(Tabla1[Avance_Med],Tabla1[Ducto],Resumen!$B54,Tabla1[nombre_actividad],G$1)/(1),0)</f>
        <v>3</v>
      </c>
      <c r="J54" s="142" t="e">
        <f>+_xlfn.XLOOKUP(B54,'R (s01)'!B:B,'R (s01)'!J:J)</f>
        <v>#N/A</v>
      </c>
    </row>
    <row r="55" spans="1:10" ht="26.25" x14ac:dyDescent="0.25">
      <c r="A55" s="34" t="str">
        <f>+_xlfn.XLOOKUP(B55,Tabla1[Ducto],Tabla1[Sistema],"")</f>
        <v>SAN_GIL</v>
      </c>
      <c r="B55" s="34" t="str">
        <v>SAN GIL</v>
      </c>
      <c r="C55" s="110">
        <f>+_xlfn.XLOOKUP(B55,Tabla1[Ducto],Tabla1[Length])</f>
        <v>3.5</v>
      </c>
      <c r="D55" s="164">
        <f>IFERROR(SUMIFS(Tabla1[Avance_km],Tabla1[Ducto],Resumen!$B55,Tabla1[nombre_actividad],D$1)/$C55,0)</f>
        <v>0</v>
      </c>
      <c r="E55" s="164">
        <f>IFERROR(SUMIFS(Tabla1[Avance_km],Tabla1[Ducto],Resumen!$B55,Tabla1[nombre_actividad],E$1)/$C55,0)</f>
        <v>0</v>
      </c>
      <c r="F55" s="164">
        <f>IFERROR(SUMIFS(Tabla1[Avance_km],Tabla1[Ducto],Resumen!$B55,Tabla1[nombre_actividad],F$1)/$C55,0)</f>
        <v>0</v>
      </c>
      <c r="G55" s="79">
        <f>IFERROR(SUMIFS(Tabla1[Avance_Med],Tabla1[Ducto],Resumen!$B55,Tabla1[nombre_actividad],G$1)/(1),0)</f>
        <v>8</v>
      </c>
      <c r="J55" s="142" t="e">
        <f>+_xlfn.XLOOKUP(B55,'R (s01)'!B:B,'R (s01)'!J:J)</f>
        <v>#N/A</v>
      </c>
    </row>
    <row r="56" spans="1:10" ht="26.25" x14ac:dyDescent="0.25">
      <c r="A56" s="34" t="str">
        <f>+_xlfn.XLOOKUP(B56,Tabla1[Ducto],Tabla1[Sistema],"")</f>
        <v>SAN_GIL</v>
      </c>
      <c r="B56" s="34" t="str">
        <v>FINKA AHUEHUETE</v>
      </c>
      <c r="C56" s="110">
        <f>+_xlfn.XLOOKUP(B56,Tabla1[Ducto],Tabla1[Length])</f>
        <v>2.4E-2</v>
      </c>
      <c r="D56" s="79">
        <f>IFERROR(SUMIFS(Tabla1[Avance_km],Tabla1[Ducto],Resumen!$B58,Tabla1[nombre_actividad],D$1)/$C56,0)</f>
        <v>0.5</v>
      </c>
      <c r="E56" s="79">
        <f>IFERROR(SUMIFS(Tabla1[Avance_km],Tabla1[Ducto],Resumen!$B58,Tabla1[nombre_actividad],E$1)/$C56,0)</f>
        <v>0.5</v>
      </c>
      <c r="F56" s="79">
        <f>IFERROR(SUMIFS(Tabla1[Avance_km],Tabla1[Ducto],Resumen!$B58,Tabla1[nombre_actividad],F$1)/$C56,0)</f>
        <v>0.5</v>
      </c>
      <c r="G56" s="79">
        <f>IFERROR(SUMIFS(Tabla1[Avance_Med],Tabla1[Ducto],Resumen!$B56,Tabla1[nombre_actividad],G$1)/(3),0)</f>
        <v>0.33333333333333331</v>
      </c>
      <c r="J56" s="142">
        <f>+_xlfn.XLOOKUP(B58,'R (s01)'!B:B,'R (s01)'!J:J)</f>
        <v>0</v>
      </c>
    </row>
    <row r="57" spans="1:10" ht="26.25" x14ac:dyDescent="0.25">
      <c r="A57" s="34" t="str">
        <f>+_xlfn.XLOOKUP(B57,Tabla1[Ducto],Tabla1[Sistema],"")</f>
        <v>HUIMILPAN</v>
      </c>
      <c r="B57" s="34" t="str">
        <v>HUIMILPAN - CERRO DEL TAMBOR 10</v>
      </c>
      <c r="C57" s="110">
        <f>+_xlfn.XLOOKUP(B57,Tabla1[Ducto],Tabla1[Length])</f>
        <v>23.864000000000001</v>
      </c>
      <c r="D57" s="79">
        <f>IFERROR(SUMIFS(Tabla1[Avance_km],Tabla1[Ducto],Resumen!#REF!,Tabla1[nombre_actividad],D$1)/$C57,0)</f>
        <v>0</v>
      </c>
      <c r="E57" s="79">
        <f>IFERROR(SUMIFS(Tabla1[Avance_km],Tabla1[Ducto],Resumen!#REF!,Tabla1[nombre_actividad],E$1)/$C57,0)</f>
        <v>0</v>
      </c>
      <c r="F57" s="79">
        <f>IFERROR(SUMIFS(Tabla1[Avance_km],Tabla1[Ducto],Resumen!#REF!,Tabla1[nombre_actividad],F$1)/$C57,0)</f>
        <v>0</v>
      </c>
      <c r="G57" s="79">
        <f>IFERROR(SUMIFS(Tabla1[Avance_Med],Tabla1[Ducto],Resumen!$B57,Tabla1[nombre_actividad],G$1)/(8),0)</f>
        <v>6.125</v>
      </c>
      <c r="J57" s="142" t="e">
        <f>+_xlfn.XLOOKUP(#REF!,'R (s01)'!B:B,'R (s01)'!J:J)</f>
        <v>#REF!</v>
      </c>
    </row>
    <row r="58" spans="1:10" ht="26.25" x14ac:dyDescent="0.25">
      <c r="A58" s="34" t="str">
        <f>+_xlfn.XLOOKUP(B58,Tabla1[Ducto],Tabla1[Sistema],"")</f>
        <v>LIRA_GALERAS</v>
      </c>
      <c r="B58" s="34" t="str">
        <v>WIINERS MARK</v>
      </c>
      <c r="C58" s="110">
        <f>+_xlfn.XLOOKUP(B58,Tabla1[Ducto],Tabla1[Length])</f>
        <v>1.2E-2</v>
      </c>
      <c r="D58" s="164">
        <f>IFERROR(SUMIFS(Tabla1[Avance_km],Tabla1[Ducto],Resumen!#REF!,Tabla1[nombre_actividad],D$1)/$C58,0)</f>
        <v>0</v>
      </c>
      <c r="E58" s="164">
        <f>IFERROR(SUMIFS(Tabla1[Avance_km],Tabla1[Ducto],Resumen!#REF!,Tabla1[nombre_actividad],E$1)/$C58,0)</f>
        <v>0</v>
      </c>
      <c r="F58" s="164">
        <f>IFERROR(SUMIFS(Tabla1[Avance_km],Tabla1[Ducto],Resumen!#REF!,Tabla1[nombre_actividad],F$1)/$C58,0)</f>
        <v>0</v>
      </c>
      <c r="G58" s="79">
        <f>IFERROR(SUMIFS(Tabla1[Avance_Med],Tabla1[Ducto],Resumen!$B58,Tabla1[nombre_actividad],G$1)/(1),0)</f>
        <v>0</v>
      </c>
      <c r="J58" s="142" t="e">
        <f>+_xlfn.XLOOKUP(#REF!,'R (s01)'!B:B,'R (s01)'!J:J)</f>
        <v>#REF!</v>
      </c>
    </row>
    <row r="59" spans="1:10" ht="26.25" x14ac:dyDescent="0.25">
      <c r="A59" s="34" t="str">
        <f>+_xlfn.XLOOKUP(B59,Tabla1[Ducto],Tabla1[Sistema],"")</f>
        <v>PECO_AGROS</v>
      </c>
      <c r="B59" s="34" t="str">
        <v>MICROSOFT</v>
      </c>
      <c r="C59" s="110">
        <f>+_xlfn.XLOOKUP(B59,Tabla1[Ducto],Tabla1[Length])</f>
        <v>3.1E-2</v>
      </c>
      <c r="D59" s="164">
        <f>IFERROR(SUMIFS(Tabla1[Avance_km],Tabla1[Ducto],Resumen!$B59,Tabla1[nombre_actividad],D$1)/$C59,0)</f>
        <v>1</v>
      </c>
      <c r="E59" s="164">
        <f>IFERROR(SUMIFS(Tabla1[Avance_km],Tabla1[Ducto],Resumen!$B59,Tabla1[nombre_actividad],E$1)/$C59,0)</f>
        <v>1</v>
      </c>
      <c r="F59" s="164">
        <f>IFERROR(SUMIFS(Tabla1[Avance_km],Tabla1[Ducto],Resumen!$B59,Tabla1[nombre_actividad],F$1)/$C59,0)</f>
        <v>1</v>
      </c>
      <c r="G59" s="79">
        <f>IFERROR(SUMIFS(Tabla1[Avance_Med],Tabla1[Ducto],Resumen!$B59,Tabla1[nombre_actividad],G$1)/(49),0)</f>
        <v>2.0408163265306121E-2</v>
      </c>
      <c r="J59" s="142" t="e">
        <f>+_xlfn.XLOOKUP(B59,'R (s01)'!B:B,'R (s01)'!J:J)</f>
        <v>#N/A</v>
      </c>
    </row>
    <row r="60" spans="1:10" ht="26.25" x14ac:dyDescent="0.25">
      <c r="A60" s="34" t="str">
        <f>+_xlfn.XLOOKUP(B60,Tabla1[Ducto],Tabla1[Sistema],"")</f>
        <v>HUIMILPAN</v>
      </c>
      <c r="B60" s="34" t="str">
        <v>BALVANERA</v>
      </c>
      <c r="C60" s="110">
        <f>+_xlfn.XLOOKUP(B60,Tabla1[Ducto],Tabla1[Length])</f>
        <v>1.8720000000000001</v>
      </c>
      <c r="D60" s="164">
        <f>IFERROR(SUMIFS(Tabla1[Avance_km],Tabla1[Ducto],Resumen!$B60,Tabla1[nombre_actividad],D$1)/$C60,0)</f>
        <v>1.0256410256410255</v>
      </c>
      <c r="E60" s="164">
        <f>IFERROR(SUMIFS(Tabla1[Avance_km],Tabla1[Ducto],Resumen!$B60,Tabla1[nombre_actividad],E$1)/$C60,0)</f>
        <v>1.0042735042735043</v>
      </c>
      <c r="F60" s="164">
        <f>IFERROR(SUMIFS(Tabla1[Avance_km],Tabla1[Ducto],Resumen!$B60,Tabla1[nombre_actividad],F$1)/$C60,0)</f>
        <v>1.0256410256410255</v>
      </c>
      <c r="G60" s="79">
        <f>IFERROR(SUMIFS(Tabla1[Avance_Med],Tabla1[Ducto],Resumen!$B60,Tabla1[nombre_actividad],G$1)/(1),0)</f>
        <v>5</v>
      </c>
      <c r="J60" s="142" t="e">
        <f>+_xlfn.XLOOKUP(B60,'R (s01)'!B:B,'R (s01)'!J:J)</f>
        <v>#N/A</v>
      </c>
    </row>
    <row r="61" spans="1:10" ht="26.25" x14ac:dyDescent="0.25">
      <c r="A61" s="34" t="s">
        <v>329</v>
      </c>
      <c r="B61" s="34" t="str">
        <v>CANDILES</v>
      </c>
      <c r="C61" s="110">
        <f>+_xlfn.XLOOKUP(B61,Tabla1[Ducto],Tabla1[Length])</f>
        <v>8.9999999999999993E-3</v>
      </c>
      <c r="D61" s="164">
        <f>IFERROR(SUMIFS(Tabla1[Avance_km],Tabla1[Ducto],Resumen!$B61,Tabla1[nombre_actividad],D$1)/$C61,0)</f>
        <v>1.4444444444444444</v>
      </c>
      <c r="E61" s="164">
        <f>IFERROR(SUMIFS(Tabla1[Avance_km],Tabla1[Ducto],Resumen!$B61,Tabla1[nombre_actividad],E$1)/$C61,0)</f>
        <v>1.4444444444444444</v>
      </c>
      <c r="F61" s="164">
        <f>IFERROR(SUMIFS(Tabla1[Avance_km],Tabla1[Ducto],Resumen!$B61,Tabla1[nombre_actividad],F$1)/$C61,0)</f>
        <v>1.4444444444444444</v>
      </c>
      <c r="G61" s="79">
        <f>IFERROR(SUMIFS(Tabla1[Avance_Med],Tabla1[Ducto],Resumen!$B61,Tabla1[nombre_actividad],G$1)/(5),0)</f>
        <v>0.2</v>
      </c>
      <c r="J61" s="142"/>
    </row>
    <row r="62" spans="1:10" ht="26.25" x14ac:dyDescent="0.25">
      <c r="A62" s="34" t="s">
        <v>329</v>
      </c>
      <c r="B62" s="34" t="str">
        <v>ESTACION ATONGO</v>
      </c>
      <c r="C62" s="110">
        <f>+_xlfn.XLOOKUP(B62,Tabla1[Ducto],Tabla1[Length])</f>
        <v>3.6999999999999998E-2</v>
      </c>
      <c r="D62" s="164">
        <f>IFERROR(SUMIFS(Tabla1[Avance_km],Tabla1[Ducto],Resumen!$B62,Tabla1[nombre_actividad],D$1)/$C62,0)</f>
        <v>1</v>
      </c>
      <c r="E62" s="164">
        <f>IFERROR(SUMIFS(Tabla1[Avance_km],Tabla1[Ducto],Resumen!$B62,Tabla1[nombre_actividad],E$1)/$C62,0)</f>
        <v>1</v>
      </c>
      <c r="F62" s="164">
        <f>IFERROR(SUMIFS(Tabla1[Avance_km],Tabla1[Ducto],Resumen!$B62,Tabla1[nombre_actividad],F$1)/$C62,0)</f>
        <v>1</v>
      </c>
      <c r="G62" s="79">
        <f>IFERROR(SUMIFS(Tabla1[Avance_Med],Tabla1[Ducto],Resumen!$B62,Tabla1[nombre_actividad],G$1)/(1),0)</f>
        <v>0</v>
      </c>
      <c r="J62" s="142"/>
    </row>
    <row r="63" spans="1:10" x14ac:dyDescent="0.25">
      <c r="B63" t="str">
        <v>TOM FROG</v>
      </c>
    </row>
    <row r="64" spans="1:10" x14ac:dyDescent="0.25">
      <c r="B64" t="str">
        <v>NATGAS CELAYA CUOTA</v>
      </c>
    </row>
    <row r="65" spans="2:2" x14ac:dyDescent="0.25">
      <c r="B65" t="str">
        <v>ERM NATGAS CELAYA CUOTA</v>
      </c>
    </row>
    <row r="66" spans="2:2" x14ac:dyDescent="0.25">
      <c r="B66" t="str">
        <v>KELLOG´S</v>
      </c>
    </row>
    <row r="67" spans="2:2" x14ac:dyDescent="0.25">
      <c r="B67" t="str">
        <v>TECNOLÓGICO</v>
      </c>
    </row>
    <row r="68" spans="2:2" x14ac:dyDescent="0.25">
      <c r="B68" t="str">
        <v>ED TECNOLÓGICO</v>
      </c>
    </row>
    <row r="69" spans="2:2" x14ac:dyDescent="0.25">
      <c r="B69" t="str">
        <v>EMBOTELLADORA VICTORIA</v>
      </c>
    </row>
    <row r="70" spans="2:2" x14ac:dyDescent="0.25">
      <c r="B70" t="str">
        <v>ED CARRILLO PUERTO</v>
      </c>
    </row>
    <row r="71" spans="2:2" x14ac:dyDescent="0.25">
      <c r="B71" t="str">
        <v>NATGAS OBRERA</v>
      </c>
    </row>
    <row r="72" spans="2:2" x14ac:dyDescent="0.25">
      <c r="B72" t="str">
        <v>AGROGEN</v>
      </c>
    </row>
    <row r="73" spans="2:2" x14ac:dyDescent="0.25">
      <c r="B73" t="str">
        <v>GERRESHEIMER</v>
      </c>
    </row>
    <row r="74" spans="2:2" x14ac:dyDescent="0.25">
      <c r="B74" t="str">
        <v>ED SATELITE</v>
      </c>
    </row>
    <row r="75" spans="2:2" x14ac:dyDescent="0.25">
      <c r="B75" t="str">
        <v>KONTES</v>
      </c>
    </row>
    <row r="76" spans="2:2" x14ac:dyDescent="0.25">
      <c r="B76" t="str">
        <v>MICROPARQUE SANTIAGO</v>
      </c>
    </row>
    <row r="77" spans="2:2" x14ac:dyDescent="0.25">
      <c r="B77" t="str">
        <v>ED CASETA GENERAL ALAMOS</v>
      </c>
    </row>
    <row r="78" spans="2:2" x14ac:dyDescent="0.25">
      <c r="B78" t="str">
        <v>MABE 5 FEBRERO</v>
      </c>
    </row>
    <row r="79" spans="2:2" x14ac:dyDescent="0.25">
      <c r="B79" t="str">
        <v>GERBER</v>
      </c>
    </row>
    <row r="80" spans="2:2" x14ac:dyDescent="0.25">
      <c r="B80" t="str">
        <v>ED TECNOLÓGICO MONTERREY</v>
      </c>
    </row>
    <row r="81" spans="2:2" x14ac:dyDescent="0.25">
      <c r="B81" t="str">
        <v>ED ALAMOS</v>
      </c>
    </row>
    <row r="82" spans="2:2" x14ac:dyDescent="0.25">
      <c r="B82" t="str">
        <v>BONAFON</v>
      </c>
    </row>
    <row r="83" spans="2:2" x14ac:dyDescent="0.25">
      <c r="B83" t="str">
        <v>CARDANES</v>
      </c>
    </row>
    <row r="84" spans="2:2" x14ac:dyDescent="0.25">
      <c r="B84" t="str">
        <v>MICHELLIN</v>
      </c>
    </row>
    <row r="85" spans="2:2" x14ac:dyDescent="0.25">
      <c r="B85" t="str">
        <v>TREMEC</v>
      </c>
    </row>
    <row r="86" spans="2:2" x14ac:dyDescent="0.25">
      <c r="B86" t="str">
        <v>FANDELLI</v>
      </c>
    </row>
    <row r="87" spans="2:2" x14ac:dyDescent="0.25">
      <c r="B87" t="str">
        <v>TURBOREACTORES (ITP)</v>
      </c>
    </row>
    <row r="88" spans="2:2" x14ac:dyDescent="0.25">
      <c r="B88" t="str">
        <v>INDORAMA</v>
      </c>
    </row>
    <row r="89" spans="2:2" x14ac:dyDescent="0.25">
      <c r="B89" t="str">
        <v>NEW HOLLAND</v>
      </c>
    </row>
    <row r="90" spans="2:2" x14ac:dyDescent="0.25">
      <c r="B90" t="str">
        <v>ERM AGROGEN</v>
      </c>
    </row>
    <row r="91" spans="2:2" x14ac:dyDescent="0.25">
      <c r="B91" t="str">
        <v>PORCELANITE</v>
      </c>
    </row>
    <row r="92" spans="2:2" x14ac:dyDescent="0.25">
      <c r="B92" t="str">
        <v>ITALGRES</v>
      </c>
    </row>
    <row r="93" spans="2:2" x14ac:dyDescent="0.25">
      <c r="B93" t="str">
        <v>PILGRIM´S</v>
      </c>
    </row>
    <row r="94" spans="2:2" x14ac:dyDescent="0.25">
      <c r="B94" t="str">
        <v>MABE COMPONENTES</v>
      </c>
    </row>
    <row r="95" spans="2:2" x14ac:dyDescent="0.25">
      <c r="B95" t="str">
        <v>VIDRIERA DE QUERÉTARO</v>
      </c>
    </row>
    <row r="96" spans="2:2" x14ac:dyDescent="0.25">
      <c r="B96" t="str">
        <v>ROCKTENN</v>
      </c>
    </row>
    <row r="97" spans="2:2" x14ac:dyDescent="0.25">
      <c r="B97" t="str">
        <v>NATGAS CORREGIDORA</v>
      </c>
    </row>
    <row r="98" spans="2:2" x14ac:dyDescent="0.25">
      <c r="B98" t="str">
        <v>BACHOCO</v>
      </c>
    </row>
    <row r="99" spans="2:2" x14ac:dyDescent="0.25">
      <c r="B99" t="str">
        <v>ED BENITO JUAREZ</v>
      </c>
    </row>
    <row r="100" spans="2:2" x14ac:dyDescent="0.25">
      <c r="B100" t="str">
        <v>NAT GAS EPIGMENIO GONZALEZ</v>
      </c>
    </row>
    <row r="101" spans="2:2" x14ac:dyDescent="0.25">
      <c r="B101" t="str">
        <v>REXAM</v>
      </c>
    </row>
    <row r="102" spans="2:2" x14ac:dyDescent="0.25">
      <c r="B102" t="str">
        <v>NESTLE</v>
      </c>
    </row>
    <row r="103" spans="2:2" x14ac:dyDescent="0.25">
      <c r="B103" t="str">
        <v>NATGAS ARCÁNGEL</v>
      </c>
    </row>
    <row r="104" spans="2:2" x14ac:dyDescent="0.25">
      <c r="B104" t="str">
        <v>VIÑEDOS</v>
      </c>
    </row>
    <row r="105" spans="2:2" x14ac:dyDescent="0.25">
      <c r="B105" t="str">
        <v>HUIMILPAN - BUENA VISTA 16</v>
      </c>
    </row>
    <row r="106" spans="2:2" x14ac:dyDescent="0.25">
      <c r="B106" t="str">
        <v>ERM WELCOAT</v>
      </c>
    </row>
    <row r="107" spans="2:2" x14ac:dyDescent="0.25">
      <c r="B107" t="str">
        <v>NATGAS LA SOLANA</v>
      </c>
    </row>
    <row r="108" spans="2:2" x14ac:dyDescent="0.25">
      <c r="B108" t="str">
        <v>ED JURIQUILLA</v>
      </c>
    </row>
    <row r="109" spans="2:2" x14ac:dyDescent="0.25">
      <c r="B109" t="str">
        <v xml:space="preserve">HOME 2 SUITES </v>
      </c>
    </row>
    <row r="110" spans="2:2" x14ac:dyDescent="0.25">
      <c r="B110" t="str">
        <v>INMOBILIARIA PETEGA (MOTEL PARAÍSO)</v>
      </c>
    </row>
    <row r="111" spans="2:2" x14ac:dyDescent="0.25">
      <c r="B111" t="str">
        <v>ENCORE RAMADA ( ED TEXAS)</v>
      </c>
    </row>
    <row r="112" spans="2:2" x14ac:dyDescent="0.25">
      <c r="B112" t="str">
        <v>MABE JURICA</v>
      </c>
    </row>
    <row r="113" spans="2:2" x14ac:dyDescent="0.25">
      <c r="B113" t="str">
        <v>ED TEXAS</v>
      </c>
    </row>
    <row r="114" spans="2:2" x14ac:dyDescent="0.25">
      <c r="B114" t="str">
        <v>ED RESIDENCIAL JURIQUILLA</v>
      </c>
    </row>
    <row r="115" spans="2:2" x14ac:dyDescent="0.25">
      <c r="B115" t="str">
        <v>ED ANTEA</v>
      </c>
    </row>
    <row r="116" spans="2:2" x14ac:dyDescent="0.25">
      <c r="B116" t="str">
        <v>ED STAY BRIDGE</v>
      </c>
    </row>
    <row r="117" spans="2:2" x14ac:dyDescent="0.25">
      <c r="B117" t="str">
        <v>ED JURICA</v>
      </c>
    </row>
    <row r="118" spans="2:2" x14ac:dyDescent="0.25">
      <c r="B118" t="str">
        <v>CITY GATE SJR-OMYA</v>
      </c>
    </row>
    <row r="119" spans="2:2" x14ac:dyDescent="0.25">
      <c r="B119" t="str">
        <v>CERRO DEL TAMBOR-PIE DE GALLO</v>
      </c>
    </row>
    <row r="120" spans="2:2" x14ac:dyDescent="0.25">
      <c r="B120" t="str">
        <v>LIRA_GALERAS</v>
      </c>
    </row>
    <row r="121" spans="2:2" x14ac:dyDescent="0.25">
      <c r="B121" t="str">
        <v>PECO_AGROS</v>
      </c>
    </row>
    <row r="122" spans="2:2" x14ac:dyDescent="0.25">
      <c r="B122" t="str">
        <v>SAN JUAN DEL RIO</v>
      </c>
    </row>
    <row r="123" spans="2:2" x14ac:dyDescent="0.25">
      <c r="B123" t="str">
        <v>LIRA_GALERAS_PECO</v>
      </c>
    </row>
    <row r="124" spans="2:2" x14ac:dyDescent="0.25">
      <c r="B124" t="str">
        <v>Gasoducto 1"  de abasto a la ERM Viborillas</v>
      </c>
    </row>
    <row r="125" spans="2:2" x14ac:dyDescent="0.25">
      <c r="B125" t="str">
        <v>Gasoducto 2" de abasto a la ERM Bachoco</v>
      </c>
    </row>
    <row r="126" spans="2:2" x14ac:dyDescent="0.25">
      <c r="B126" t="str">
        <v xml:space="preserve"> Gasoducto 3" de abasto a la ERM Porcelanite</v>
      </c>
    </row>
    <row r="127" spans="2:2" x14ac:dyDescent="0.25">
      <c r="B127" t="str">
        <v>Gasoducto 2" de abasto a la ERM Italgres</v>
      </c>
    </row>
    <row r="128" spans="2:2" x14ac:dyDescent="0.25">
      <c r="B128" t="str">
        <v>Gasoducto 2" de abasto a la ERM Artigraf</v>
      </c>
    </row>
    <row r="129" spans="2:2" x14ac:dyDescent="0.25">
      <c r="B129" t="str">
        <v>Gasoducto 6" de abasto a la ERM Kimberly</v>
      </c>
    </row>
    <row r="130" spans="2:2" x14ac:dyDescent="0.25">
      <c r="B130" t="str">
        <v>todos</v>
      </c>
    </row>
  </sheetData>
  <conditionalFormatting sqref="D2:I2 G3:I11 H12:I15 D3:F54 G4:G54 D55:G62">
    <cfRule type="dataBar" priority="18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{749B3A47-4212-4B4D-BF6D-A12CA82B33A7}</x14:id>
        </ext>
      </extLst>
    </cfRule>
  </conditionalFormatting>
  <conditionalFormatting sqref="H16:I18">
    <cfRule type="dataBar" priority="13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{F05E34D8-E6CD-4829-921E-0CD9DA8FF71B}</x14:id>
        </ext>
      </extLst>
    </cfRule>
  </conditionalFormatting>
  <conditionalFormatting sqref="H19:I19">
    <cfRule type="dataBar" priority="1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{392E339D-9CD7-4A07-ADE1-A3F7FD7413B8}</x14:id>
        </ext>
      </extLst>
    </cfRule>
  </conditionalFormatting>
  <conditionalFormatting sqref="H20:I20">
    <cfRule type="dataBar" priority="10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{1E874778-5AA9-4D02-992E-24C0CF1CDA2F}</x14:id>
        </ext>
      </extLst>
    </cfRule>
  </conditionalFormatting>
  <conditionalFormatting sqref="H21:I28">
    <cfRule type="dataBar" priority="8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{51A7E452-9440-4F00-87E0-4DA256DF12BB}</x14:id>
        </ext>
      </extLst>
    </cfRule>
  </conditionalFormatting>
  <conditionalFormatting sqref="H29:I29">
    <cfRule type="dataBar" priority="6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{A4E0FD29-27DF-48EE-A402-B6979E826693}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9B3A47-4212-4B4D-BF6D-A12CA82B33A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D2:I2 G3:I11 H12:I15 D3:F54 G4:G54 D55:G62</xm:sqref>
        </x14:conditionalFormatting>
        <x14:conditionalFormatting xmlns:xm="http://schemas.microsoft.com/office/excel/2006/main">
          <x14:cfRule type="dataBar" id="{F05E34D8-E6CD-4829-921E-0CD9DA8FF71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H16:I18</xm:sqref>
        </x14:conditionalFormatting>
        <x14:conditionalFormatting xmlns:xm="http://schemas.microsoft.com/office/excel/2006/main">
          <x14:cfRule type="dataBar" id="{392E339D-9CD7-4A07-ADE1-A3F7FD7413B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H19:I19</xm:sqref>
        </x14:conditionalFormatting>
        <x14:conditionalFormatting xmlns:xm="http://schemas.microsoft.com/office/excel/2006/main">
          <x14:cfRule type="dataBar" id="{1E874778-5AA9-4D02-992E-24C0CF1CDA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H20:I20</xm:sqref>
        </x14:conditionalFormatting>
        <x14:conditionalFormatting xmlns:xm="http://schemas.microsoft.com/office/excel/2006/main">
          <x14:cfRule type="dataBar" id="{51A7E452-9440-4F00-87E0-4DA256DF12B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H21:I28</xm:sqref>
        </x14:conditionalFormatting>
        <x14:conditionalFormatting xmlns:xm="http://schemas.microsoft.com/office/excel/2006/main">
          <x14:cfRule type="dataBar" id="{A4E0FD29-27DF-48EE-A402-B6979E8266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H29:I29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38F99-29A5-4FB2-871C-44D263DEA4AE}">
  <sheetPr codeName="Hoja3"/>
  <dimension ref="B1:O72"/>
  <sheetViews>
    <sheetView workbookViewId="0"/>
  </sheetViews>
  <sheetFormatPr baseColWidth="10" defaultColWidth="11.42578125" defaultRowHeight="15" x14ac:dyDescent="0.25"/>
  <cols>
    <col min="1" max="1" width="4" customWidth="1"/>
    <col min="2" max="2" width="13.140625" customWidth="1"/>
    <col min="3" max="5" width="16.28515625" customWidth="1"/>
    <col min="6" max="6" width="13.85546875" customWidth="1"/>
    <col min="7" max="7" width="12.85546875" customWidth="1"/>
    <col min="8" max="8" width="14.85546875" customWidth="1"/>
    <col min="9" max="9" width="19.140625" customWidth="1"/>
    <col min="10" max="10" width="17.42578125" customWidth="1"/>
    <col min="11" max="11" width="8.140625" bestFit="1" customWidth="1"/>
    <col min="13" max="13" width="15.140625" bestFit="1" customWidth="1"/>
  </cols>
  <sheetData>
    <row r="1" spans="2:15" ht="42.75" customHeight="1" x14ac:dyDescent="0.25">
      <c r="B1" s="2"/>
      <c r="C1" s="2"/>
      <c r="D1" s="587" t="s">
        <v>84</v>
      </c>
      <c r="E1" s="588"/>
      <c r="F1" s="588"/>
      <c r="G1" s="588"/>
      <c r="H1" s="588"/>
      <c r="I1" s="588"/>
      <c r="J1" s="588"/>
      <c r="K1" s="588"/>
      <c r="L1" s="2"/>
    </row>
    <row r="2" spans="2:15" ht="42.75" customHeight="1" x14ac:dyDescent="0.25">
      <c r="B2" s="2"/>
      <c r="C2" s="2"/>
      <c r="D2" s="588"/>
      <c r="E2" s="588"/>
      <c r="F2" s="588"/>
      <c r="G2" s="588"/>
      <c r="H2" s="588"/>
      <c r="I2" s="588"/>
      <c r="J2" s="588"/>
      <c r="K2" s="588"/>
      <c r="L2" s="2"/>
    </row>
    <row r="3" spans="2:15" x14ac:dyDescent="0.25">
      <c r="B3" s="580" t="s">
        <v>85</v>
      </c>
      <c r="C3" s="580"/>
      <c r="D3" s="580"/>
      <c r="E3" s="580"/>
      <c r="F3" s="580"/>
      <c r="G3" s="580" t="s">
        <v>86</v>
      </c>
      <c r="H3" s="580"/>
      <c r="I3" s="580"/>
      <c r="J3" s="580"/>
      <c r="K3" s="580"/>
      <c r="L3" s="3"/>
    </row>
    <row r="4" spans="2:15" x14ac:dyDescent="0.25">
      <c r="B4" s="589"/>
      <c r="C4" s="589"/>
      <c r="D4" s="589"/>
      <c r="E4" s="589"/>
      <c r="F4" s="589"/>
      <c r="G4" s="590" t="s">
        <v>87</v>
      </c>
      <c r="H4" s="590"/>
      <c r="I4" s="590"/>
      <c r="J4" s="590"/>
      <c r="K4" s="590"/>
      <c r="L4" s="3"/>
    </row>
    <row r="5" spans="2:15" ht="27" x14ac:dyDescent="0.25">
      <c r="B5" s="152" t="s">
        <v>88</v>
      </c>
      <c r="C5" s="580" t="s">
        <v>89</v>
      </c>
      <c r="D5" s="581"/>
      <c r="E5" s="581"/>
      <c r="F5" s="581"/>
      <c r="G5" s="152" t="s">
        <v>90</v>
      </c>
      <c r="H5" s="152" t="s">
        <v>91</v>
      </c>
      <c r="I5" s="4" t="s">
        <v>92</v>
      </c>
      <c r="J5" s="4" t="s">
        <v>93</v>
      </c>
      <c r="K5" s="4" t="s">
        <v>94</v>
      </c>
      <c r="L5" s="3"/>
    </row>
    <row r="6" spans="2:15" x14ac:dyDescent="0.25">
      <c r="B6" s="152">
        <v>1</v>
      </c>
      <c r="C6" s="583" t="s">
        <v>95</v>
      </c>
      <c r="D6" s="583"/>
      <c r="E6" s="583"/>
      <c r="F6" s="583"/>
      <c r="G6" s="152"/>
      <c r="H6" s="152"/>
      <c r="I6" s="4"/>
      <c r="J6" s="4"/>
      <c r="K6" s="4"/>
      <c r="L6" s="3"/>
    </row>
    <row r="7" spans="2:15" x14ac:dyDescent="0.25">
      <c r="B7" s="5">
        <v>1.1000000000000001</v>
      </c>
      <c r="C7" s="579" t="s">
        <v>96</v>
      </c>
      <c r="D7" s="579"/>
      <c r="E7" s="579"/>
      <c r="F7" s="579"/>
      <c r="G7" s="6">
        <v>105</v>
      </c>
      <c r="H7" s="7" t="s">
        <v>97</v>
      </c>
      <c r="I7" s="8">
        <v>0</v>
      </c>
      <c r="J7" s="9">
        <f>I7*G7</f>
        <v>0</v>
      </c>
      <c r="K7" s="10" t="s">
        <v>98</v>
      </c>
      <c r="L7" s="3"/>
    </row>
    <row r="8" spans="2:15" x14ac:dyDescent="0.25">
      <c r="B8" s="5">
        <v>1.2</v>
      </c>
      <c r="C8" s="579" t="s">
        <v>99</v>
      </c>
      <c r="D8" s="579"/>
      <c r="E8" s="579"/>
      <c r="F8" s="579"/>
      <c r="G8" s="6">
        <v>105</v>
      </c>
      <c r="H8" s="7" t="s">
        <v>97</v>
      </c>
      <c r="I8" s="8">
        <v>0</v>
      </c>
      <c r="J8" s="9">
        <f t="shared" ref="J8:J12" si="0">I8*G8</f>
        <v>0</v>
      </c>
      <c r="K8" s="10" t="s">
        <v>98</v>
      </c>
      <c r="L8" s="3"/>
    </row>
    <row r="9" spans="2:15" x14ac:dyDescent="0.25">
      <c r="B9" s="5">
        <v>1.3</v>
      </c>
      <c r="C9" s="579" t="s">
        <v>100</v>
      </c>
      <c r="D9" s="579"/>
      <c r="E9" s="579"/>
      <c r="F9" s="579"/>
      <c r="G9" s="6">
        <v>105</v>
      </c>
      <c r="H9" s="7" t="s">
        <v>97</v>
      </c>
      <c r="I9" s="8">
        <v>0</v>
      </c>
      <c r="J9" s="9">
        <f t="shared" si="0"/>
        <v>0</v>
      </c>
      <c r="K9" s="10" t="s">
        <v>98</v>
      </c>
      <c r="L9" s="3"/>
    </row>
    <row r="10" spans="2:15" x14ac:dyDescent="0.25">
      <c r="B10" s="5" t="s">
        <v>101</v>
      </c>
      <c r="C10" s="586" t="s">
        <v>102</v>
      </c>
      <c r="D10" s="586"/>
      <c r="E10" s="586"/>
      <c r="F10" s="586"/>
      <c r="G10" s="6">
        <v>105</v>
      </c>
      <c r="H10" s="7" t="s">
        <v>97</v>
      </c>
      <c r="I10" s="8">
        <v>0</v>
      </c>
      <c r="J10" s="9">
        <f t="shared" si="0"/>
        <v>0</v>
      </c>
      <c r="K10" s="10" t="s">
        <v>98</v>
      </c>
      <c r="L10" s="3"/>
    </row>
    <row r="11" spans="2:15" x14ac:dyDescent="0.25">
      <c r="B11" s="5">
        <v>1.5</v>
      </c>
      <c r="C11" s="579" t="s">
        <v>103</v>
      </c>
      <c r="D11" s="579"/>
      <c r="E11" s="579"/>
      <c r="F11" s="579"/>
      <c r="G11" s="6">
        <v>105</v>
      </c>
      <c r="H11" s="7" t="s">
        <v>97</v>
      </c>
      <c r="I11" s="8">
        <v>0</v>
      </c>
      <c r="J11" s="9">
        <f t="shared" si="0"/>
        <v>0</v>
      </c>
      <c r="K11" s="10" t="s">
        <v>98</v>
      </c>
      <c r="L11" s="3"/>
    </row>
    <row r="12" spans="2:15" ht="39.950000000000003" customHeight="1" x14ac:dyDescent="0.25">
      <c r="B12" s="5">
        <v>1.6</v>
      </c>
      <c r="C12" s="579" t="s">
        <v>104</v>
      </c>
      <c r="D12" s="579"/>
      <c r="E12" s="579"/>
      <c r="F12" s="579"/>
      <c r="G12" s="6">
        <v>105</v>
      </c>
      <c r="H12" s="7" t="s">
        <v>97</v>
      </c>
      <c r="I12" s="8">
        <v>0</v>
      </c>
      <c r="J12" s="9">
        <f t="shared" si="0"/>
        <v>0</v>
      </c>
      <c r="K12" s="10" t="s">
        <v>98</v>
      </c>
      <c r="L12" s="3"/>
    </row>
    <row r="13" spans="2:15" x14ac:dyDescent="0.25">
      <c r="B13" s="152">
        <v>2</v>
      </c>
      <c r="C13" s="583" t="s">
        <v>105</v>
      </c>
      <c r="D13" s="583"/>
      <c r="E13" s="583"/>
      <c r="F13" s="583"/>
      <c r="G13" s="152"/>
      <c r="H13" s="152"/>
      <c r="I13" s="11" t="s">
        <v>106</v>
      </c>
      <c r="J13" s="12">
        <f>SUM(J7:J12)</f>
        <v>0</v>
      </c>
      <c r="K13" s="4"/>
      <c r="L13" s="3"/>
    </row>
    <row r="14" spans="2:15" ht="14.25" customHeight="1" x14ac:dyDescent="0.25">
      <c r="B14" s="5">
        <v>2.1</v>
      </c>
      <c r="C14" s="579" t="s">
        <v>107</v>
      </c>
      <c r="D14" s="579"/>
      <c r="E14" s="579"/>
      <c r="F14" s="579"/>
      <c r="G14" s="7">
        <v>200</v>
      </c>
      <c r="H14" s="7" t="s">
        <v>108</v>
      </c>
      <c r="I14" s="8">
        <v>0</v>
      </c>
      <c r="J14" s="9">
        <f t="shared" ref="J14:J21" si="1">I14*G14</f>
        <v>0</v>
      </c>
      <c r="K14" s="10" t="s">
        <v>98</v>
      </c>
      <c r="L14" s="3"/>
      <c r="O14" s="13"/>
    </row>
    <row r="15" spans="2:15" ht="14.25" customHeight="1" x14ac:dyDescent="0.25">
      <c r="B15" s="5">
        <v>2.2000000000000002</v>
      </c>
      <c r="C15" s="579" t="s">
        <v>109</v>
      </c>
      <c r="D15" s="579"/>
      <c r="E15" s="579"/>
      <c r="F15" s="579"/>
      <c r="G15" s="7">
        <v>200</v>
      </c>
      <c r="H15" s="7" t="s">
        <v>108</v>
      </c>
      <c r="I15" s="8">
        <v>0</v>
      </c>
      <c r="J15" s="9">
        <f t="shared" si="1"/>
        <v>0</v>
      </c>
      <c r="K15" s="10" t="s">
        <v>98</v>
      </c>
      <c r="L15" s="3"/>
      <c r="O15" s="13"/>
    </row>
    <row r="16" spans="2:15" ht="14.25" customHeight="1" x14ac:dyDescent="0.25">
      <c r="B16" s="5">
        <v>2.2999999999999998</v>
      </c>
      <c r="C16" s="579" t="s">
        <v>110</v>
      </c>
      <c r="D16" s="579"/>
      <c r="E16" s="579"/>
      <c r="F16" s="579"/>
      <c r="G16" s="7">
        <v>200</v>
      </c>
      <c r="H16" s="7" t="s">
        <v>108</v>
      </c>
      <c r="I16" s="8">
        <v>0</v>
      </c>
      <c r="J16" s="9">
        <f t="shared" si="1"/>
        <v>0</v>
      </c>
      <c r="K16" s="10" t="s">
        <v>98</v>
      </c>
      <c r="L16" s="3"/>
      <c r="O16" s="13"/>
    </row>
    <row r="17" spans="2:15" ht="14.25" customHeight="1" x14ac:dyDescent="0.25">
      <c r="B17" s="5">
        <v>2.4</v>
      </c>
      <c r="C17" s="585" t="s">
        <v>111</v>
      </c>
      <c r="D17" s="585"/>
      <c r="E17" s="585"/>
      <c r="F17" s="585"/>
      <c r="G17" s="7">
        <v>200</v>
      </c>
      <c r="H17" s="7" t="s">
        <v>108</v>
      </c>
      <c r="I17" s="8">
        <v>0</v>
      </c>
      <c r="J17" s="9">
        <f t="shared" si="1"/>
        <v>0</v>
      </c>
      <c r="K17" s="10" t="s">
        <v>98</v>
      </c>
      <c r="L17" s="3"/>
      <c r="O17" s="13"/>
    </row>
    <row r="18" spans="2:15" ht="23.25" customHeight="1" x14ac:dyDescent="0.25">
      <c r="B18" s="14">
        <v>2.5</v>
      </c>
      <c r="C18" s="579" t="s">
        <v>112</v>
      </c>
      <c r="D18" s="579"/>
      <c r="E18" s="579"/>
      <c r="F18" s="579"/>
      <c r="G18" s="7">
        <v>500</v>
      </c>
      <c r="H18" s="7" t="s">
        <v>113</v>
      </c>
      <c r="I18" s="8">
        <v>0</v>
      </c>
      <c r="J18" s="9">
        <f t="shared" si="1"/>
        <v>0</v>
      </c>
      <c r="K18" s="10" t="s">
        <v>98</v>
      </c>
      <c r="L18" s="3"/>
      <c r="O18" s="13"/>
    </row>
    <row r="19" spans="2:15" ht="14.25" customHeight="1" x14ac:dyDescent="0.25">
      <c r="B19" s="5">
        <v>2.6</v>
      </c>
      <c r="C19" s="579" t="s">
        <v>114</v>
      </c>
      <c r="D19" s="579"/>
      <c r="E19" s="579"/>
      <c r="F19" s="579"/>
      <c r="G19" s="7">
        <v>200</v>
      </c>
      <c r="H19" s="7" t="s">
        <v>108</v>
      </c>
      <c r="I19" s="8">
        <v>0</v>
      </c>
      <c r="J19" s="9">
        <f t="shared" si="1"/>
        <v>0</v>
      </c>
      <c r="K19" s="10" t="s">
        <v>98</v>
      </c>
      <c r="L19" s="3"/>
      <c r="O19" s="13"/>
    </row>
    <row r="20" spans="2:15" ht="14.25" customHeight="1" x14ac:dyDescent="0.25">
      <c r="B20" s="5">
        <v>2.7</v>
      </c>
      <c r="C20" s="579" t="s">
        <v>115</v>
      </c>
      <c r="D20" s="579"/>
      <c r="E20" s="579"/>
      <c r="F20" s="579"/>
      <c r="G20" s="7">
        <v>105</v>
      </c>
      <c r="H20" s="7" t="s">
        <v>97</v>
      </c>
      <c r="I20" s="8">
        <v>0</v>
      </c>
      <c r="J20" s="9">
        <f t="shared" si="1"/>
        <v>0</v>
      </c>
      <c r="K20" s="10" t="s">
        <v>98</v>
      </c>
      <c r="L20" s="3"/>
      <c r="O20" s="13"/>
    </row>
    <row r="21" spans="2:15" ht="44.45" customHeight="1" x14ac:dyDescent="0.25">
      <c r="B21" s="5">
        <v>2.8</v>
      </c>
      <c r="C21" s="579" t="s">
        <v>104</v>
      </c>
      <c r="D21" s="579"/>
      <c r="E21" s="579"/>
      <c r="F21" s="579"/>
      <c r="G21" s="7">
        <v>105</v>
      </c>
      <c r="H21" s="7" t="s">
        <v>97</v>
      </c>
      <c r="I21" s="8">
        <v>0</v>
      </c>
      <c r="J21" s="9">
        <f t="shared" si="1"/>
        <v>0</v>
      </c>
      <c r="K21" s="10" t="s">
        <v>98</v>
      </c>
      <c r="L21" s="3"/>
      <c r="O21" s="13"/>
    </row>
    <row r="22" spans="2:15" x14ac:dyDescent="0.25">
      <c r="B22" s="152">
        <v>3</v>
      </c>
      <c r="C22" s="583" t="s">
        <v>116</v>
      </c>
      <c r="D22" s="583"/>
      <c r="E22" s="583"/>
      <c r="F22" s="583"/>
      <c r="G22" s="152"/>
      <c r="H22" s="152"/>
      <c r="I22" s="11" t="s">
        <v>106</v>
      </c>
      <c r="J22" s="12">
        <f>SUM(J14:J21)</f>
        <v>0</v>
      </c>
      <c r="K22" s="4"/>
      <c r="L22" s="3"/>
      <c r="O22" s="13"/>
    </row>
    <row r="23" spans="2:15" x14ac:dyDescent="0.25">
      <c r="B23" s="5">
        <v>3.1</v>
      </c>
      <c r="C23" s="579" t="s">
        <v>117</v>
      </c>
      <c r="D23" s="579"/>
      <c r="E23" s="579"/>
      <c r="F23" s="579"/>
      <c r="G23" s="7">
        <v>105</v>
      </c>
      <c r="H23" s="7" t="s">
        <v>118</v>
      </c>
      <c r="I23" s="8">
        <v>0</v>
      </c>
      <c r="J23" s="9">
        <f t="shared" ref="J23:J35" si="2">I23*G23</f>
        <v>0</v>
      </c>
      <c r="K23" s="10" t="s">
        <v>98</v>
      </c>
      <c r="L23" s="3"/>
      <c r="O23" s="13"/>
    </row>
    <row r="24" spans="2:15" x14ac:dyDescent="0.25">
      <c r="B24" s="5">
        <v>3.2</v>
      </c>
      <c r="C24" s="579" t="s">
        <v>119</v>
      </c>
      <c r="D24" s="579"/>
      <c r="E24" s="579"/>
      <c r="F24" s="579"/>
      <c r="G24" s="7">
        <v>55</v>
      </c>
      <c r="H24" s="7" t="s">
        <v>120</v>
      </c>
      <c r="I24" s="8">
        <v>0</v>
      </c>
      <c r="J24" s="9">
        <f t="shared" si="2"/>
        <v>0</v>
      </c>
      <c r="K24" s="10" t="s">
        <v>98</v>
      </c>
      <c r="L24" s="3"/>
      <c r="O24" s="13"/>
    </row>
    <row r="25" spans="2:15" x14ac:dyDescent="0.25">
      <c r="B25" s="5">
        <v>3.3</v>
      </c>
      <c r="C25" s="584" t="s">
        <v>121</v>
      </c>
      <c r="D25" s="584"/>
      <c r="E25" s="584"/>
      <c r="F25" s="584"/>
      <c r="G25" s="7"/>
      <c r="H25" s="5"/>
      <c r="I25" s="8">
        <v>0</v>
      </c>
      <c r="J25" s="9">
        <f t="shared" si="2"/>
        <v>0</v>
      </c>
      <c r="K25" s="10" t="s">
        <v>98</v>
      </c>
      <c r="L25" s="3"/>
      <c r="O25" s="13"/>
    </row>
    <row r="26" spans="2:15" x14ac:dyDescent="0.25">
      <c r="B26" s="5" t="s">
        <v>122</v>
      </c>
      <c r="C26" s="579" t="s">
        <v>123</v>
      </c>
      <c r="D26" s="579"/>
      <c r="E26" s="579"/>
      <c r="F26" s="579"/>
      <c r="G26" s="7">
        <v>55</v>
      </c>
      <c r="H26" s="7" t="s">
        <v>120</v>
      </c>
      <c r="I26" s="8">
        <v>0</v>
      </c>
      <c r="J26" s="9">
        <f t="shared" si="2"/>
        <v>0</v>
      </c>
      <c r="K26" s="10" t="s">
        <v>98</v>
      </c>
      <c r="L26" s="3"/>
      <c r="O26" s="13"/>
    </row>
    <row r="27" spans="2:15" x14ac:dyDescent="0.25">
      <c r="B27" s="5" t="s">
        <v>124</v>
      </c>
      <c r="C27" s="579" t="s">
        <v>125</v>
      </c>
      <c r="D27" s="579"/>
      <c r="E27" s="579"/>
      <c r="F27" s="579"/>
      <c r="G27" s="7">
        <v>100</v>
      </c>
      <c r="H27" s="5" t="s">
        <v>126</v>
      </c>
      <c r="I27" s="8">
        <v>0</v>
      </c>
      <c r="J27" s="9">
        <f t="shared" si="2"/>
        <v>0</v>
      </c>
      <c r="K27" s="10" t="s">
        <v>98</v>
      </c>
      <c r="L27" s="3"/>
      <c r="O27" s="13"/>
    </row>
    <row r="28" spans="2:15" x14ac:dyDescent="0.25">
      <c r="B28" s="5" t="s">
        <v>127</v>
      </c>
      <c r="C28" s="579" t="s">
        <v>128</v>
      </c>
      <c r="D28" s="579"/>
      <c r="E28" s="579"/>
      <c r="F28" s="579"/>
      <c r="G28" s="7">
        <v>100</v>
      </c>
      <c r="H28" s="5" t="s">
        <v>126</v>
      </c>
      <c r="I28" s="8">
        <v>0</v>
      </c>
      <c r="J28" s="9">
        <f t="shared" si="2"/>
        <v>0</v>
      </c>
      <c r="K28" s="10" t="s">
        <v>98</v>
      </c>
      <c r="L28" s="3"/>
      <c r="O28" s="13"/>
    </row>
    <row r="29" spans="2:15" x14ac:dyDescent="0.25">
      <c r="B29" s="5" t="s">
        <v>129</v>
      </c>
      <c r="C29" s="579" t="s">
        <v>130</v>
      </c>
      <c r="D29" s="579"/>
      <c r="E29" s="579"/>
      <c r="F29" s="579"/>
      <c r="G29" s="7">
        <v>170</v>
      </c>
      <c r="H29" s="5" t="s">
        <v>126</v>
      </c>
      <c r="I29" s="8">
        <v>0</v>
      </c>
      <c r="J29" s="9">
        <f t="shared" si="2"/>
        <v>0</v>
      </c>
      <c r="K29" s="10" t="s">
        <v>98</v>
      </c>
      <c r="L29" s="3"/>
      <c r="O29" s="13"/>
    </row>
    <row r="30" spans="2:15" x14ac:dyDescent="0.25">
      <c r="B30" s="5" t="s">
        <v>131</v>
      </c>
      <c r="C30" s="579" t="s">
        <v>132</v>
      </c>
      <c r="D30" s="579"/>
      <c r="E30" s="579"/>
      <c r="F30" s="579"/>
      <c r="G30" s="7">
        <v>170</v>
      </c>
      <c r="H30" s="5" t="s">
        <v>126</v>
      </c>
      <c r="I30" s="8">
        <v>0</v>
      </c>
      <c r="J30" s="9">
        <f t="shared" si="2"/>
        <v>0</v>
      </c>
      <c r="K30" s="10" t="s">
        <v>98</v>
      </c>
      <c r="L30" s="3"/>
      <c r="O30" s="13"/>
    </row>
    <row r="31" spans="2:15" x14ac:dyDescent="0.25">
      <c r="B31" s="5" t="s">
        <v>133</v>
      </c>
      <c r="C31" s="579" t="s">
        <v>134</v>
      </c>
      <c r="D31" s="579"/>
      <c r="E31" s="579"/>
      <c r="F31" s="579"/>
      <c r="G31" s="7">
        <v>100</v>
      </c>
      <c r="H31" s="5" t="s">
        <v>126</v>
      </c>
      <c r="I31" s="8">
        <v>0</v>
      </c>
      <c r="J31" s="9">
        <f t="shared" si="2"/>
        <v>0</v>
      </c>
      <c r="K31" s="10" t="s">
        <v>98</v>
      </c>
      <c r="L31" s="3"/>
      <c r="O31" s="13"/>
    </row>
    <row r="32" spans="2:15" x14ac:dyDescent="0.25">
      <c r="B32" s="5" t="s">
        <v>135</v>
      </c>
      <c r="C32" s="579" t="s">
        <v>136</v>
      </c>
      <c r="D32" s="579"/>
      <c r="E32" s="579"/>
      <c r="F32" s="579"/>
      <c r="G32" s="7">
        <v>100</v>
      </c>
      <c r="H32" s="5" t="s">
        <v>126</v>
      </c>
      <c r="I32" s="8">
        <v>0</v>
      </c>
      <c r="J32" s="9">
        <f t="shared" si="2"/>
        <v>0</v>
      </c>
      <c r="K32" s="10" t="s">
        <v>98</v>
      </c>
      <c r="L32" s="3"/>
      <c r="O32" s="13"/>
    </row>
    <row r="33" spans="2:15" x14ac:dyDescent="0.25">
      <c r="B33" s="5" t="s">
        <v>137</v>
      </c>
      <c r="C33" s="579" t="s">
        <v>138</v>
      </c>
      <c r="D33" s="579"/>
      <c r="E33" s="579"/>
      <c r="F33" s="579"/>
      <c r="G33" s="7">
        <v>55</v>
      </c>
      <c r="H33" s="5" t="s">
        <v>126</v>
      </c>
      <c r="I33" s="8">
        <v>0</v>
      </c>
      <c r="J33" s="9">
        <f t="shared" si="2"/>
        <v>0</v>
      </c>
      <c r="K33" s="10" t="s">
        <v>98</v>
      </c>
      <c r="L33" s="3"/>
      <c r="O33" s="13"/>
    </row>
    <row r="34" spans="2:15" ht="24.6" customHeight="1" x14ac:dyDescent="0.25">
      <c r="B34" s="5" t="s">
        <v>139</v>
      </c>
      <c r="C34" s="579" t="s">
        <v>140</v>
      </c>
      <c r="D34" s="579"/>
      <c r="E34" s="579"/>
      <c r="F34" s="579"/>
      <c r="G34" s="7">
        <v>55</v>
      </c>
      <c r="H34" s="5" t="s">
        <v>126</v>
      </c>
      <c r="I34" s="8">
        <v>0</v>
      </c>
      <c r="J34" s="9">
        <f t="shared" si="2"/>
        <v>0</v>
      </c>
      <c r="K34" s="10" t="s">
        <v>98</v>
      </c>
      <c r="L34" s="3"/>
      <c r="O34" s="13"/>
    </row>
    <row r="35" spans="2:15" ht="36" customHeight="1" x14ac:dyDescent="0.25">
      <c r="B35" s="5">
        <v>3.3</v>
      </c>
      <c r="C35" s="579" t="s">
        <v>141</v>
      </c>
      <c r="D35" s="579"/>
      <c r="E35" s="579"/>
      <c r="F35" s="579"/>
      <c r="G35" s="7">
        <v>105</v>
      </c>
      <c r="H35" s="5" t="s">
        <v>97</v>
      </c>
      <c r="I35" s="8">
        <v>0</v>
      </c>
      <c r="J35" s="9">
        <f t="shared" si="2"/>
        <v>0</v>
      </c>
      <c r="K35" s="10" t="s">
        <v>98</v>
      </c>
      <c r="L35" s="3"/>
      <c r="O35" s="13"/>
    </row>
    <row r="36" spans="2:15" x14ac:dyDescent="0.25">
      <c r="B36" s="152">
        <v>4</v>
      </c>
      <c r="C36" s="583" t="s">
        <v>142</v>
      </c>
      <c r="D36" s="583"/>
      <c r="E36" s="583"/>
      <c r="F36" s="583"/>
      <c r="G36" s="152"/>
      <c r="H36" s="152"/>
      <c r="I36" s="11" t="s">
        <v>106</v>
      </c>
      <c r="J36" s="12">
        <f>SUM(J23:J35)</f>
        <v>0</v>
      </c>
      <c r="K36" s="4"/>
      <c r="L36" s="3"/>
      <c r="O36" s="13"/>
    </row>
    <row r="37" spans="2:15" x14ac:dyDescent="0.25">
      <c r="B37" s="5">
        <v>4.0999999999999996</v>
      </c>
      <c r="C37" s="579" t="s">
        <v>143</v>
      </c>
      <c r="D37" s="579"/>
      <c r="E37" s="579"/>
      <c r="F37" s="579"/>
      <c r="G37" s="7">
        <v>105</v>
      </c>
      <c r="H37" s="5" t="s">
        <v>97</v>
      </c>
      <c r="I37" s="8">
        <v>0</v>
      </c>
      <c r="J37" s="9">
        <f t="shared" ref="J37:J48" si="3">I37*G37</f>
        <v>0</v>
      </c>
      <c r="K37" s="10" t="s">
        <v>98</v>
      </c>
      <c r="L37" s="3"/>
      <c r="O37" s="13"/>
    </row>
    <row r="38" spans="2:15" x14ac:dyDescent="0.25">
      <c r="B38" s="5">
        <v>4.2</v>
      </c>
      <c r="C38" s="579" t="s">
        <v>144</v>
      </c>
      <c r="D38" s="579"/>
      <c r="E38" s="579"/>
      <c r="F38" s="579"/>
      <c r="G38" s="7">
        <v>105</v>
      </c>
      <c r="H38" s="5" t="s">
        <v>97</v>
      </c>
      <c r="I38" s="8">
        <v>0</v>
      </c>
      <c r="J38" s="9">
        <f t="shared" si="3"/>
        <v>0</v>
      </c>
      <c r="K38" s="10" t="s">
        <v>98</v>
      </c>
      <c r="L38" s="3"/>
      <c r="O38" s="13"/>
    </row>
    <row r="39" spans="2:15" x14ac:dyDescent="0.25">
      <c r="B39" s="5">
        <v>4.3</v>
      </c>
      <c r="C39" s="579" t="s">
        <v>145</v>
      </c>
      <c r="D39" s="579"/>
      <c r="E39" s="579"/>
      <c r="F39" s="579"/>
      <c r="G39" s="7">
        <v>105</v>
      </c>
      <c r="H39" s="5" t="s">
        <v>97</v>
      </c>
      <c r="I39" s="8">
        <v>0</v>
      </c>
      <c r="J39" s="9">
        <f t="shared" si="3"/>
        <v>0</v>
      </c>
      <c r="K39" s="10" t="s">
        <v>98</v>
      </c>
      <c r="L39" s="3"/>
      <c r="O39" s="13"/>
    </row>
    <row r="40" spans="2:15" ht="14.45" customHeight="1" x14ac:dyDescent="0.25">
      <c r="B40" s="5">
        <v>4.4000000000000004</v>
      </c>
      <c r="C40" s="579" t="s">
        <v>146</v>
      </c>
      <c r="D40" s="579"/>
      <c r="E40" s="579"/>
      <c r="F40" s="579"/>
      <c r="G40" s="7">
        <v>105</v>
      </c>
      <c r="H40" s="5" t="s">
        <v>97</v>
      </c>
      <c r="I40" s="8">
        <v>0</v>
      </c>
      <c r="J40" s="9">
        <f t="shared" si="3"/>
        <v>0</v>
      </c>
      <c r="K40" s="10" t="s">
        <v>98</v>
      </c>
      <c r="L40" s="3"/>
      <c r="O40" s="13"/>
    </row>
    <row r="41" spans="2:15" ht="14.45" customHeight="1" x14ac:dyDescent="0.25">
      <c r="B41" s="5">
        <v>4.5</v>
      </c>
      <c r="C41" s="579" t="s">
        <v>147</v>
      </c>
      <c r="D41" s="579"/>
      <c r="E41" s="579"/>
      <c r="F41" s="579"/>
      <c r="G41" s="7">
        <v>105</v>
      </c>
      <c r="H41" s="5" t="s">
        <v>97</v>
      </c>
      <c r="I41" s="8">
        <v>0</v>
      </c>
      <c r="J41" s="9">
        <f t="shared" si="3"/>
        <v>0</v>
      </c>
      <c r="K41" s="10" t="s">
        <v>98</v>
      </c>
      <c r="L41" s="3"/>
      <c r="M41" s="15"/>
      <c r="O41" s="13"/>
    </row>
    <row r="42" spans="2:15" ht="14.45" customHeight="1" x14ac:dyDescent="0.25">
      <c r="B42" s="5">
        <v>4.5999999999999996</v>
      </c>
      <c r="C42" s="579" t="s">
        <v>148</v>
      </c>
      <c r="D42" s="579"/>
      <c r="E42" s="579"/>
      <c r="F42" s="579"/>
      <c r="G42" s="7">
        <v>105</v>
      </c>
      <c r="H42" s="5" t="s">
        <v>97</v>
      </c>
      <c r="I42" s="8">
        <v>0</v>
      </c>
      <c r="J42" s="9">
        <f t="shared" si="3"/>
        <v>0</v>
      </c>
      <c r="K42" s="10" t="s">
        <v>98</v>
      </c>
      <c r="L42" s="3"/>
      <c r="O42" s="13"/>
    </row>
    <row r="43" spans="2:15" ht="14.45" customHeight="1" x14ac:dyDescent="0.25">
      <c r="B43" s="5">
        <v>4.7</v>
      </c>
      <c r="C43" s="579" t="s">
        <v>149</v>
      </c>
      <c r="D43" s="579"/>
      <c r="E43" s="579"/>
      <c r="F43" s="579"/>
      <c r="G43" s="7">
        <v>105</v>
      </c>
      <c r="H43" s="5" t="s">
        <v>97</v>
      </c>
      <c r="I43" s="8">
        <v>0</v>
      </c>
      <c r="J43" s="9">
        <f t="shared" si="3"/>
        <v>0</v>
      </c>
      <c r="K43" s="10" t="s">
        <v>98</v>
      </c>
      <c r="L43" s="3"/>
      <c r="O43" s="13"/>
    </row>
    <row r="44" spans="2:15" ht="14.45" customHeight="1" x14ac:dyDescent="0.25">
      <c r="B44" s="5">
        <v>4.8</v>
      </c>
      <c r="C44" s="579" t="s">
        <v>150</v>
      </c>
      <c r="D44" s="579"/>
      <c r="E44" s="579"/>
      <c r="F44" s="579"/>
      <c r="G44" s="7">
        <v>105</v>
      </c>
      <c r="H44" s="5" t="s">
        <v>97</v>
      </c>
      <c r="I44" s="8">
        <v>0</v>
      </c>
      <c r="J44" s="9">
        <f t="shared" si="3"/>
        <v>0</v>
      </c>
      <c r="K44" s="10" t="s">
        <v>98</v>
      </c>
      <c r="L44" s="3"/>
      <c r="O44" s="13"/>
    </row>
    <row r="45" spans="2:15" ht="43.5" customHeight="1" x14ac:dyDescent="0.25">
      <c r="B45" s="5">
        <v>4.9000000000000004</v>
      </c>
      <c r="C45" s="579" t="s">
        <v>151</v>
      </c>
      <c r="D45" s="579"/>
      <c r="E45" s="579"/>
      <c r="F45" s="579"/>
      <c r="G45" s="7">
        <v>100</v>
      </c>
      <c r="H45" s="16" t="s">
        <v>152</v>
      </c>
      <c r="I45" s="8">
        <v>0</v>
      </c>
      <c r="J45" s="9">
        <f t="shared" si="3"/>
        <v>0</v>
      </c>
      <c r="K45" s="10" t="s">
        <v>98</v>
      </c>
      <c r="L45" s="3"/>
      <c r="O45" s="13"/>
    </row>
    <row r="46" spans="2:15" ht="48.75" customHeight="1" x14ac:dyDescent="0.25">
      <c r="B46" s="17">
        <v>4.0999999999999996</v>
      </c>
      <c r="C46" s="579" t="s">
        <v>153</v>
      </c>
      <c r="D46" s="579"/>
      <c r="E46" s="579"/>
      <c r="F46" s="579"/>
      <c r="G46" s="7">
        <v>500</v>
      </c>
      <c r="H46" s="16" t="s">
        <v>152</v>
      </c>
      <c r="I46" s="8">
        <v>0</v>
      </c>
      <c r="J46" s="9">
        <f t="shared" si="3"/>
        <v>0</v>
      </c>
      <c r="K46" s="10" t="s">
        <v>98</v>
      </c>
      <c r="L46" s="3"/>
      <c r="O46" s="13"/>
    </row>
    <row r="47" spans="2:15" ht="51" customHeight="1" x14ac:dyDescent="0.25">
      <c r="B47" s="17">
        <v>4.1100000000000003</v>
      </c>
      <c r="C47" s="579" t="s">
        <v>154</v>
      </c>
      <c r="D47" s="579"/>
      <c r="E47" s="579"/>
      <c r="F47" s="579"/>
      <c r="G47" s="7">
        <v>800</v>
      </c>
      <c r="H47" s="16" t="s">
        <v>152</v>
      </c>
      <c r="I47" s="8">
        <v>0</v>
      </c>
      <c r="J47" s="9">
        <f t="shared" si="3"/>
        <v>0</v>
      </c>
      <c r="K47" s="10" t="s">
        <v>98</v>
      </c>
      <c r="L47" s="3"/>
      <c r="O47" s="13"/>
    </row>
    <row r="48" spans="2:15" ht="24.6" customHeight="1" x14ac:dyDescent="0.25">
      <c r="B48" s="17">
        <v>4.12</v>
      </c>
      <c r="C48" s="579" t="s">
        <v>155</v>
      </c>
      <c r="D48" s="579"/>
      <c r="E48" s="579"/>
      <c r="F48" s="579"/>
      <c r="G48" s="7">
        <v>105</v>
      </c>
      <c r="H48" s="7" t="s">
        <v>97</v>
      </c>
      <c r="I48" s="8">
        <v>0</v>
      </c>
      <c r="J48" s="9">
        <f t="shared" si="3"/>
        <v>0</v>
      </c>
      <c r="K48" s="10" t="s">
        <v>98</v>
      </c>
      <c r="L48" s="3"/>
      <c r="O48" s="13"/>
    </row>
    <row r="49" spans="2:12" x14ac:dyDescent="0.25">
      <c r="B49" s="152">
        <v>5</v>
      </c>
      <c r="C49" s="583" t="s">
        <v>156</v>
      </c>
      <c r="D49" s="583"/>
      <c r="E49" s="583"/>
      <c r="F49" s="583"/>
      <c r="G49" s="152"/>
      <c r="H49" s="152"/>
      <c r="I49" s="11" t="s">
        <v>106</v>
      </c>
      <c r="J49" s="12">
        <f>SUM(J37:J48)</f>
        <v>0</v>
      </c>
      <c r="K49" s="4"/>
    </row>
    <row r="50" spans="2:12" x14ac:dyDescent="0.25">
      <c r="B50" s="5">
        <v>5.0999999999999996</v>
      </c>
      <c r="C50" s="579" t="s">
        <v>157</v>
      </c>
      <c r="D50" s="579"/>
      <c r="E50" s="579"/>
      <c r="F50" s="579"/>
      <c r="G50" s="6"/>
      <c r="H50" s="6" t="s">
        <v>158</v>
      </c>
      <c r="I50" s="8">
        <v>0</v>
      </c>
      <c r="J50" s="9">
        <f t="shared" ref="J50:J51" si="4">I50*G50</f>
        <v>0</v>
      </c>
      <c r="K50" s="10" t="s">
        <v>98</v>
      </c>
    </row>
    <row r="51" spans="2:12" x14ac:dyDescent="0.25">
      <c r="B51" s="5">
        <v>5.2</v>
      </c>
      <c r="C51" s="579" t="s">
        <v>159</v>
      </c>
      <c r="D51" s="579"/>
      <c r="E51" s="579"/>
      <c r="F51" s="579"/>
      <c r="G51" s="6"/>
      <c r="H51" s="6" t="s">
        <v>158</v>
      </c>
      <c r="I51" s="8">
        <v>0</v>
      </c>
      <c r="J51" s="9">
        <f t="shared" si="4"/>
        <v>0</v>
      </c>
      <c r="K51" s="10" t="s">
        <v>98</v>
      </c>
    </row>
    <row r="52" spans="2:12" ht="17.25" x14ac:dyDescent="0.3">
      <c r="I52" s="18" t="s">
        <v>160</v>
      </c>
      <c r="J52" s="19">
        <f>SUM(J13+J22+J36+J49+J50+J51)</f>
        <v>0</v>
      </c>
      <c r="K52" s="20" t="s">
        <v>98</v>
      </c>
      <c r="L52" s="3"/>
    </row>
    <row r="53" spans="2:12" ht="17.25" x14ac:dyDescent="0.3">
      <c r="I53" s="18"/>
      <c r="J53" s="19"/>
      <c r="K53" s="20"/>
      <c r="L53" s="3"/>
    </row>
    <row r="54" spans="2:12" ht="17.25" x14ac:dyDescent="0.3">
      <c r="I54" s="18"/>
      <c r="J54" s="19"/>
      <c r="K54" s="20"/>
      <c r="L54" s="3"/>
    </row>
    <row r="55" spans="2:12" ht="17.25" x14ac:dyDescent="0.3">
      <c r="B55" s="21" t="s">
        <v>161</v>
      </c>
      <c r="I55" s="18"/>
      <c r="J55" s="19"/>
      <c r="K55" s="20"/>
      <c r="L55" s="3"/>
    </row>
    <row r="56" spans="2:12" ht="20.100000000000001" customHeight="1" x14ac:dyDescent="0.25">
      <c r="B56" s="582"/>
      <c r="C56" s="582"/>
      <c r="D56" s="582"/>
      <c r="E56" s="582"/>
      <c r="F56" s="582"/>
      <c r="G56" s="582"/>
      <c r="H56" s="582"/>
      <c r="I56" s="582"/>
      <c r="J56" s="582"/>
      <c r="K56" s="582"/>
      <c r="L56" s="3"/>
    </row>
    <row r="57" spans="2:12" ht="20.100000000000001" customHeight="1" x14ac:dyDescent="0.25">
      <c r="B57" s="582"/>
      <c r="C57" s="582"/>
      <c r="D57" s="582"/>
      <c r="E57" s="582"/>
      <c r="F57" s="582"/>
      <c r="G57" s="582"/>
      <c r="H57" s="582"/>
      <c r="I57" s="582"/>
      <c r="J57" s="582"/>
      <c r="K57" s="582"/>
      <c r="L57" s="3"/>
    </row>
    <row r="58" spans="2:12" ht="20.100000000000001" customHeight="1" x14ac:dyDescent="0.25">
      <c r="B58" s="582"/>
      <c r="C58" s="582"/>
      <c r="D58" s="582"/>
      <c r="E58" s="582"/>
      <c r="F58" s="582"/>
      <c r="G58" s="582"/>
      <c r="H58" s="582"/>
      <c r="I58" s="582"/>
      <c r="J58" s="582"/>
      <c r="K58" s="582"/>
      <c r="L58" s="3"/>
    </row>
    <row r="59" spans="2:12" ht="17.100000000000001" customHeight="1" x14ac:dyDescent="0.25"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3"/>
    </row>
    <row r="60" spans="2:12" ht="17.100000000000001" customHeight="1" x14ac:dyDescent="0.3">
      <c r="B60" s="21" t="s">
        <v>162</v>
      </c>
      <c r="I60" s="18"/>
      <c r="J60" s="19"/>
      <c r="K60" s="20"/>
      <c r="L60" s="3"/>
    </row>
    <row r="61" spans="2:12" ht="20.100000000000001" customHeight="1" x14ac:dyDescent="0.25">
      <c r="B61" s="582"/>
      <c r="C61" s="582"/>
      <c r="D61" s="582"/>
      <c r="E61" s="582"/>
      <c r="F61" s="582"/>
      <c r="G61" s="582"/>
      <c r="H61" s="582"/>
      <c r="I61" s="582"/>
      <c r="J61" s="582"/>
      <c r="K61" s="582"/>
      <c r="L61" s="3"/>
    </row>
    <row r="62" spans="2:12" ht="20.100000000000001" customHeight="1" x14ac:dyDescent="0.25">
      <c r="B62" s="582"/>
      <c r="C62" s="582"/>
      <c r="D62" s="582"/>
      <c r="E62" s="582"/>
      <c r="F62" s="582"/>
      <c r="G62" s="582"/>
      <c r="H62" s="582"/>
      <c r="I62" s="582"/>
      <c r="J62" s="582"/>
      <c r="K62" s="582"/>
      <c r="L62" s="3"/>
    </row>
    <row r="63" spans="2:12" ht="20.100000000000001" customHeight="1" x14ac:dyDescent="0.25"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3"/>
    </row>
    <row r="64" spans="2:12" x14ac:dyDescent="0.25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3"/>
    </row>
    <row r="65" spans="2:12" x14ac:dyDescent="0.25">
      <c r="L65" s="3"/>
    </row>
    <row r="66" spans="2:12" x14ac:dyDescent="0.25">
      <c r="B66" s="152">
        <v>6</v>
      </c>
      <c r="C66" s="580" t="s">
        <v>163</v>
      </c>
      <c r="D66" s="581"/>
      <c r="E66" s="581"/>
      <c r="F66" s="581"/>
    </row>
    <row r="67" spans="2:12" x14ac:dyDescent="0.25">
      <c r="B67" s="5">
        <v>6.1</v>
      </c>
      <c r="C67" s="579" t="s">
        <v>164</v>
      </c>
      <c r="D67" s="579"/>
      <c r="E67" s="579"/>
      <c r="F67" s="579"/>
    </row>
    <row r="68" spans="2:12" x14ac:dyDescent="0.25">
      <c r="B68" s="5">
        <v>6.2</v>
      </c>
      <c r="C68" s="579" t="s">
        <v>165</v>
      </c>
      <c r="D68" s="579"/>
      <c r="E68" s="579"/>
      <c r="F68" s="579"/>
    </row>
    <row r="69" spans="2:12" x14ac:dyDescent="0.25">
      <c r="B69" s="5">
        <v>6.3</v>
      </c>
      <c r="C69" s="579" t="s">
        <v>166</v>
      </c>
      <c r="D69" s="579"/>
      <c r="E69" s="579"/>
      <c r="F69" s="579"/>
    </row>
    <row r="70" spans="2:12" x14ac:dyDescent="0.25">
      <c r="B70" s="5">
        <v>6.4</v>
      </c>
      <c r="C70" s="579" t="s">
        <v>167</v>
      </c>
      <c r="D70" s="579"/>
      <c r="E70" s="579"/>
      <c r="F70" s="579"/>
    </row>
    <row r="71" spans="2:12" x14ac:dyDescent="0.25">
      <c r="B71" s="5">
        <v>6.5</v>
      </c>
      <c r="C71" s="579" t="s">
        <v>168</v>
      </c>
      <c r="D71" s="579"/>
      <c r="E71" s="579"/>
      <c r="F71" s="579"/>
    </row>
    <row r="72" spans="2:12" x14ac:dyDescent="0.25">
      <c r="B72" s="5">
        <v>6.6</v>
      </c>
      <c r="C72" s="579" t="s">
        <v>169</v>
      </c>
      <c r="D72" s="579"/>
      <c r="E72" s="579"/>
      <c r="F72" s="579"/>
    </row>
  </sheetData>
  <sheetProtection algorithmName="SHA-512" hashValue="UpdlQTLt+Nm7Fp54ZREL8hD/EEw9JPS46WmkVzN226vYhQVvR2U7aEE1AgKZ8CdC4B2qsdXQWV/kqmE1NY4jEA==" saltValue="lb1pQSjadCoQPhFx4e46lw==" spinCount="100000" sheet="1" objects="1" scenarios="1"/>
  <mergeCells count="61">
    <mergeCell ref="C5:F5"/>
    <mergeCell ref="D1:K2"/>
    <mergeCell ref="B3:F3"/>
    <mergeCell ref="G3:K3"/>
    <mergeCell ref="B4:F4"/>
    <mergeCell ref="G4:K4"/>
    <mergeCell ref="C17:F17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29:F29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41:F41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B61:K63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B56:K58"/>
    <mergeCell ref="C72:F72"/>
    <mergeCell ref="C66:F66"/>
    <mergeCell ref="C67:F67"/>
    <mergeCell ref="C68:F68"/>
    <mergeCell ref="C69:F69"/>
    <mergeCell ref="C70:F70"/>
    <mergeCell ref="C71:F7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A7BE4-7E2E-4367-97A0-70D9B3965168}">
  <sheetPr codeName="Hoja24">
    <outlinePr summaryBelow="0" summaryRight="0"/>
  </sheetPr>
  <dimension ref="A1:T24"/>
  <sheetViews>
    <sheetView workbookViewId="0"/>
  </sheetViews>
  <sheetFormatPr baseColWidth="10" defaultRowHeight="15" outlineLevelCol="1" x14ac:dyDescent="0.25"/>
  <cols>
    <col min="2" max="3" width="12.85546875" bestFit="1" customWidth="1"/>
    <col min="4" max="4" width="11.7109375" bestFit="1" customWidth="1"/>
    <col min="5" max="7" width="12.85546875" bestFit="1" customWidth="1"/>
    <col min="8" max="8" width="12.7109375" customWidth="1"/>
    <col min="9" max="9" width="6.85546875" customWidth="1" outlineLevel="1"/>
    <col min="10" max="10" width="13.140625" customWidth="1"/>
    <col min="11" max="11" width="5.42578125" customWidth="1" outlineLevel="1"/>
    <col min="12" max="12" width="15.140625" customWidth="1"/>
    <col min="13" max="13" width="13.28515625" customWidth="1"/>
    <col min="14" max="16" width="12.42578125" bestFit="1" customWidth="1"/>
    <col min="17" max="17" width="15.7109375" customWidth="1"/>
    <col min="18" max="18" width="14.85546875" bestFit="1" customWidth="1"/>
    <col min="19" max="20" width="18.140625" bestFit="1" customWidth="1"/>
  </cols>
  <sheetData>
    <row r="1" spans="1:19" s="232" customFormat="1" ht="66.75" customHeight="1" x14ac:dyDescent="0.25">
      <c r="B1" s="233">
        <v>2532.81</v>
      </c>
      <c r="C1" s="233">
        <v>3250.01</v>
      </c>
      <c r="D1" s="233">
        <v>985.32</v>
      </c>
      <c r="E1" s="233">
        <v>1062.92</v>
      </c>
      <c r="F1" s="233">
        <v>1337.25</v>
      </c>
      <c r="G1" s="233">
        <v>1581.21</v>
      </c>
      <c r="H1" s="233">
        <v>14521.41</v>
      </c>
      <c r="I1" s="234">
        <v>13555.63</v>
      </c>
      <c r="J1" s="233">
        <v>13555.63</v>
      </c>
      <c r="K1" s="234">
        <v>13696.28</v>
      </c>
      <c r="L1" s="233">
        <v>4658</v>
      </c>
      <c r="M1" s="233">
        <v>2257.42</v>
      </c>
      <c r="N1" s="233">
        <v>3540.12</v>
      </c>
      <c r="O1" s="233">
        <v>2646.28</v>
      </c>
      <c r="P1" s="233">
        <v>1970.65</v>
      </c>
      <c r="Q1" s="249">
        <v>1</v>
      </c>
    </row>
    <row r="2" spans="1:19" x14ac:dyDescent="0.25">
      <c r="B2" s="315">
        <v>1.1000000000000001</v>
      </c>
      <c r="C2" s="315">
        <v>1.2</v>
      </c>
      <c r="D2" s="315">
        <v>1.3</v>
      </c>
      <c r="E2" s="315">
        <v>1.4</v>
      </c>
      <c r="F2" s="315">
        <v>1.5</v>
      </c>
      <c r="G2" s="315">
        <v>1.6</v>
      </c>
      <c r="H2" s="317">
        <v>2.1</v>
      </c>
      <c r="I2" s="318">
        <v>2.2000000000000002</v>
      </c>
      <c r="J2" s="317">
        <v>2.2999999999999998</v>
      </c>
      <c r="K2" s="318">
        <v>2.4</v>
      </c>
      <c r="L2" s="319">
        <v>2.5</v>
      </c>
      <c r="M2" s="317">
        <v>2.6</v>
      </c>
      <c r="N2" s="317">
        <v>2.7</v>
      </c>
      <c r="O2" s="317">
        <v>2.8</v>
      </c>
      <c r="P2" s="317">
        <v>3.1</v>
      </c>
    </row>
    <row r="3" spans="1:19" s="1" customFormat="1" x14ac:dyDescent="0.25">
      <c r="B3" s="591" t="s">
        <v>398</v>
      </c>
      <c r="C3" s="591"/>
      <c r="D3" s="591"/>
      <c r="E3" s="591"/>
      <c r="F3" s="591"/>
      <c r="G3" s="591"/>
      <c r="H3" s="33" t="s">
        <v>79</v>
      </c>
      <c r="I3" s="33" t="s">
        <v>82</v>
      </c>
      <c r="J3" s="33" t="s">
        <v>80</v>
      </c>
      <c r="K3" s="33" t="s">
        <v>83</v>
      </c>
      <c r="L3" s="250" t="s">
        <v>81</v>
      </c>
      <c r="M3" s="33" t="s">
        <v>78</v>
      </c>
      <c r="N3" s="33" t="s">
        <v>399</v>
      </c>
      <c r="O3" s="33" t="s">
        <v>400</v>
      </c>
      <c r="P3" s="33" t="s">
        <v>413</v>
      </c>
      <c r="Q3" s="1" t="s">
        <v>396</v>
      </c>
      <c r="R3" s="1" t="s">
        <v>343</v>
      </c>
    </row>
    <row r="4" spans="1:19" x14ac:dyDescent="0.25">
      <c r="A4" s="226" t="s">
        <v>397</v>
      </c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20"/>
      <c r="N4" s="316"/>
      <c r="O4" s="316"/>
      <c r="P4" s="316"/>
      <c r="Q4" s="236">
        <v>-11162921.84</v>
      </c>
      <c r="R4" s="13">
        <f>+SUMPRODUCT(B4:Q4,$B$1:$Q$1)</f>
        <v>-11162921.84</v>
      </c>
      <c r="S4" s="13"/>
    </row>
    <row r="5" spans="1:19" x14ac:dyDescent="0.25">
      <c r="A5" s="242">
        <v>45931</v>
      </c>
      <c r="B5" s="231">
        <f>+SUMIFS(Tabla1[Avance_Med],Tabla1[Fecha],"&gt;="&amp;$A5,Tabla1[Fecha],"&lt;="&amp;EOMONTH($A5,0),Tabla1[Codigo_actividad],B$2)</f>
        <v>0</v>
      </c>
      <c r="C5" s="231">
        <f>+SUMIFS(Tabla1[Avance_Med],Tabla1[Fecha],"&gt;="&amp;$A5,Tabla1[Fecha],"&lt;="&amp;EOMONTH($A5,0),Tabla1[Codigo_actividad],C$2)</f>
        <v>0</v>
      </c>
      <c r="D5" s="231">
        <f>+SUMIFS(Tabla1[Avance_Med],Tabla1[Fecha],"&gt;="&amp;$A5,Tabla1[Fecha],"&lt;="&amp;EOMONTH($A5,0),Tabla1[Codigo_actividad],D$2)</f>
        <v>0</v>
      </c>
      <c r="E5" s="231">
        <f>+SUMIFS(Tabla1[Avance_Med],Tabla1[Fecha],"&gt;="&amp;$A5,Tabla1[Fecha],"&lt;="&amp;EOMONTH($A5,0),Tabla1[Codigo_actividad],E$2)</f>
        <v>0</v>
      </c>
      <c r="F5" s="231">
        <f>+SUMIFS(Tabla1[Avance_Med],Tabla1[Fecha],"&gt;="&amp;$A5,Tabla1[Fecha],"&lt;="&amp;EOMONTH($A5,0),Tabla1[Codigo_actividad],F$2)</f>
        <v>0</v>
      </c>
      <c r="G5" s="231">
        <f>+SUMIFS(Tabla1[Avance_Med],Tabla1[Fecha],"&gt;="&amp;$A5,Tabla1[Fecha],"&lt;="&amp;EOMONTH($A5,0),Tabla1[Codigo_actividad],G$2)</f>
        <v>0</v>
      </c>
      <c r="H5" s="231">
        <f>+SUMIFS(Tabla1[Avance_km],Tabla1[Fecha],"&gt;="&amp;$A5,Tabla1[Fecha],"&lt;="&amp;EOMONTH($A5,0),Tabla1[nombre_actividad],H$3)</f>
        <v>0</v>
      </c>
      <c r="I5" s="33"/>
      <c r="J5" s="231">
        <f>+SUMIFS(Tabla1[Avance_km],Tabla1[Fecha],"&gt;="&amp;$A5,Tabla1[Fecha],"&lt;="&amp;EOMONTH($A5,0),Tabla1[nombre_actividad],$J$3,Tabla1[Avance_km],"&gt;0")</f>
        <v>0</v>
      </c>
      <c r="K5" s="33"/>
      <c r="L5" s="231">
        <f>+SUMIFS(Tabla1[Avance_Med],Tabla1[Fecha],"&gt;="&amp;$A5,Tabla1[Fecha],"&lt;="&amp;EOMONTH($A5,0),Tabla1[Codigo_actividad],L$2)</f>
        <v>0</v>
      </c>
      <c r="M5" s="231">
        <f>+SUMIFS(Tabla1[Avance_km],Tabla1[Fecha],"&gt;="&amp;$A5,Tabla1[Fecha],"&lt;="&amp;EOMONTH($A5,0),Tabla1[nombre_actividad],$M$3)</f>
        <v>0</v>
      </c>
      <c r="N5" s="231">
        <f>+SUMIFS(Tabla1[Avance_Med],Tabla1[Fecha],"&gt;="&amp;$A5,Tabla1[Fecha],"&lt;="&amp;EOMONTH($A5,0),Tabla1[Codigo_actividad],N$2)</f>
        <v>0</v>
      </c>
      <c r="O5" s="231">
        <f>+SUMIFS(Tabla1[Avance_Med],Tabla1[Fecha],"&gt;="&amp;$A5,Tabla1[Fecha],"&lt;="&amp;EOMONTH($A5,0),Tabla1[Codigo_actividad],O$2)</f>
        <v>0</v>
      </c>
      <c r="P5" s="231">
        <f>+SUMIFS(Tabla1[Avance_Med],Tabla1[Fecha],"&gt;="&amp;$A5,Tabla1[Fecha],"&lt;="&amp;EOMONTH($A5,0),Tabla1[Codigo_actividad],P$2)</f>
        <v>0</v>
      </c>
      <c r="Q5" s="236"/>
      <c r="R5" s="13">
        <f>+SUMPRODUCT(B5:P5,$B$1:$P$1)</f>
        <v>0</v>
      </c>
    </row>
    <row r="6" spans="1:19" x14ac:dyDescent="0.25">
      <c r="A6" s="242">
        <v>45962</v>
      </c>
      <c r="B6" s="231">
        <f>+SUMIFS(Tabla1[Avance_Med],Tabla1[Fecha],"&gt;="&amp;$A6,Tabla1[Fecha],"&lt;="&amp;EOMONTH($A6,0),Tabla1[Codigo_actividad],B$2)</f>
        <v>0</v>
      </c>
      <c r="C6" s="231">
        <f>+SUMIFS(Tabla1[Avance_Med],Tabla1[Fecha],"&gt;="&amp;$A6,Tabla1[Fecha],"&lt;="&amp;EOMONTH($A6,0),Tabla1[Codigo_actividad],C$2)</f>
        <v>0</v>
      </c>
      <c r="D6" s="231">
        <f>+SUMIFS(Tabla1[Avance_Med],Tabla1[Fecha],"&gt;="&amp;$A6,Tabla1[Fecha],"&lt;="&amp;EOMONTH($A6,0),Tabla1[Codigo_actividad],D$2)</f>
        <v>0</v>
      </c>
      <c r="E6" s="231">
        <f>+SUMIFS(Tabla1[Avance_Med],Tabla1[Fecha],"&gt;="&amp;$A6,Tabla1[Fecha],"&lt;="&amp;EOMONTH($A6,0),Tabla1[Codigo_actividad],E$2)</f>
        <v>0</v>
      </c>
      <c r="F6" s="231">
        <f>+SUMIFS(Tabla1[Avance_Med],Tabla1[Fecha],"&gt;="&amp;$A6,Tabla1[Fecha],"&lt;="&amp;EOMONTH($A6,0),Tabla1[Codigo_actividad],F$2)</f>
        <v>0</v>
      </c>
      <c r="G6" s="231">
        <f>+SUMIFS(Tabla1[Avance_Med],Tabla1[Fecha],"&gt;="&amp;$A6,Tabla1[Fecha],"&lt;="&amp;EOMONTH($A6,0),Tabla1[Codigo_actividad],G$2)</f>
        <v>0</v>
      </c>
      <c r="H6" s="231">
        <f>+SUMIFS(Tabla1[Avance_km],Tabla1[Fecha],"&gt;="&amp;$A6,Tabla1[Fecha],"&lt;="&amp;EOMONTH($A6,0),Tabla1[nombre_actividad],H$3)</f>
        <v>31.548999999999999</v>
      </c>
      <c r="I6" s="33"/>
      <c r="J6" s="231">
        <f>+SUMIFS(Tabla1[Avance_km],Tabla1[Fecha],"&gt;="&amp;$A6,Tabla1[Fecha],"&lt;="&amp;EOMONTH($A6,0),Tabla1[nombre_actividad],$J$3,Tabla1[Avance_km],"&gt;0")</f>
        <v>53.048999999999999</v>
      </c>
      <c r="K6" s="33"/>
      <c r="L6" s="231">
        <f>+SUMIFS(Tabla1[Avance_Med],Tabla1[Fecha],"&gt;="&amp;$A6,Tabla1[Fecha],"&lt;="&amp;EOMONTH($A6,0),Tabla1[Codigo_actividad],L$2)</f>
        <v>98</v>
      </c>
      <c r="M6" s="231">
        <f>+SUMIFS(Tabla1[Avance_km],Tabla1[Fecha],"&gt;="&amp;$A6,Tabla1[Fecha],"&lt;="&amp;EOMONTH($A6,0),Tabla1[nombre_actividad],$M$3)</f>
        <v>72.02200000000002</v>
      </c>
      <c r="N6" s="231">
        <f>+SUMIFS(Tabla1[Avance_Med],Tabla1[Fecha],"&gt;="&amp;$A6,Tabla1[Fecha],"&lt;="&amp;EOMONTH($A6,0),Tabla1[Codigo_actividad],N$2)</f>
        <v>0</v>
      </c>
      <c r="O6" s="231">
        <f>+SUMIFS(Tabla1[Avance_Med],Tabla1[Fecha],"&gt;="&amp;$A6,Tabla1[Fecha],"&lt;="&amp;EOMONTH($A6,0),Tabla1[Codigo_actividad],O$2)</f>
        <v>0</v>
      </c>
      <c r="P6" s="231">
        <f>+SUMIFS(Tabla1[Avance_Med],Tabla1[Fecha],"&gt;="&amp;$A6,Tabla1[Fecha],"&lt;="&amp;EOMONTH($A6,0),Tabla1[Codigo_actividad],P$2)</f>
        <v>0</v>
      </c>
      <c r="Q6" s="236"/>
      <c r="R6" s="13">
        <f t="shared" ref="R6:R19" si="0">+SUMPRODUCT(B6:P6,$B$1:$P$1)</f>
        <v>1796316.4832000001</v>
      </c>
    </row>
    <row r="7" spans="1:19" x14ac:dyDescent="0.25">
      <c r="A7" s="242">
        <v>45992</v>
      </c>
      <c r="B7" s="231">
        <f>+SUMIFS(Tabla1[Avance_Med],Tabla1[Fecha],"&gt;="&amp;$A7,Tabla1[Fecha],"&lt;="&amp;EOMONTH($A7,0),Tabla1[Codigo_actividad],B$2)</f>
        <v>0</v>
      </c>
      <c r="C7" s="231">
        <f>+SUMIFS(Tabla1[Avance_Med],Tabla1[Fecha],"&gt;="&amp;$A7,Tabla1[Fecha],"&lt;="&amp;EOMONTH($A7,0),Tabla1[Codigo_actividad],C$2)</f>
        <v>0</v>
      </c>
      <c r="D7" s="231">
        <f>+SUMIFS(Tabla1[Avance_Med],Tabla1[Fecha],"&gt;="&amp;$A7,Tabla1[Fecha],"&lt;="&amp;EOMONTH($A7,0),Tabla1[Codigo_actividad],D$2)</f>
        <v>0</v>
      </c>
      <c r="E7" s="231">
        <f>+SUMIFS(Tabla1[Avance_Med],Tabla1[Fecha],"&gt;="&amp;$A7,Tabla1[Fecha],"&lt;="&amp;EOMONTH($A7,0),Tabla1[Codigo_actividad],E$2)</f>
        <v>0</v>
      </c>
      <c r="F7" s="231">
        <f>+SUMIFS(Tabla1[Avance_Med],Tabla1[Fecha],"&gt;="&amp;$A7,Tabla1[Fecha],"&lt;="&amp;EOMONTH($A7,0),Tabla1[Codigo_actividad],F$2)</f>
        <v>0</v>
      </c>
      <c r="G7" s="231">
        <f>+SUMIFS(Tabla1[Avance_Med],Tabla1[Fecha],"&gt;="&amp;$A7,Tabla1[Fecha],"&lt;="&amp;EOMONTH($A7,0),Tabla1[Codigo_actividad],G$2)</f>
        <v>0</v>
      </c>
      <c r="H7" s="231">
        <f>+SUMIFS(Tabla1[Avance_km],Tabla1[Fecha],"&gt;="&amp;$A7,Tabla1[Fecha],"&lt;="&amp;EOMONTH($A7,0),Tabla1[nombre_actividad],H$3)</f>
        <v>31.517000000000003</v>
      </c>
      <c r="I7" s="33"/>
      <c r="J7" s="231">
        <f>+SUMIFS(Tabla1[Avance_km],Tabla1[Fecha],"&gt;="&amp;$A7,Tabla1[Fecha],"&lt;="&amp;EOMONTH($A7,0),Tabla1[nombre_actividad],$J$3,Tabla1[Avance_km],"&gt;0")</f>
        <v>31.543999999999993</v>
      </c>
      <c r="K7" s="33"/>
      <c r="L7" s="231">
        <f>+SUMIFS(Tabla1[Avance_Med],Tabla1[Fecha],"&gt;="&amp;$A7,Tabla1[Fecha],"&lt;="&amp;EOMONTH($A7,0),Tabla1[Codigo_actividad],L$2)</f>
        <v>130</v>
      </c>
      <c r="M7" s="231">
        <f>+SUMIFS(Tabla1[Avance_km],Tabla1[Fecha],"&gt;="&amp;$A7,Tabla1[Fecha],"&lt;="&amp;EOMONTH($A7,0),Tabla1[nombre_actividad],$M$3)</f>
        <v>21.183</v>
      </c>
      <c r="N7" s="231">
        <f>+SUMIFS(Tabla1[Avance_Med],Tabla1[Fecha],"&gt;="&amp;$A7,Tabla1[Fecha],"&lt;="&amp;EOMONTH($A7,0),Tabla1[Codigo_actividad],N$2)</f>
        <v>0</v>
      </c>
      <c r="O7" s="231">
        <f>+SUMIFS(Tabla1[Avance_Med],Tabla1[Fecha],"&gt;="&amp;$A7,Tabla1[Fecha],"&lt;="&amp;EOMONTH($A7,0),Tabla1[Codigo_actividad],O$2)</f>
        <v>0</v>
      </c>
      <c r="P7" s="231">
        <f>+SUMIFS(Tabla1[Avance_Med],Tabla1[Fecha],"&gt;="&amp;$A7,Tabla1[Fecha],"&lt;="&amp;EOMONTH($A7,0),Tabla1[Codigo_actividad],P$2)</f>
        <v>0</v>
      </c>
      <c r="Q7" s="236"/>
      <c r="R7" s="13">
        <f t="shared" si="0"/>
        <v>1538628.9995499998</v>
      </c>
    </row>
    <row r="8" spans="1:19" x14ac:dyDescent="0.25">
      <c r="A8" s="242">
        <v>46023</v>
      </c>
      <c r="B8" s="231">
        <f>+SUMIFS(Tabla1[Avance_Med],Tabla1[Fecha],"&gt;="&amp;$A8,Tabla1[Fecha],"&lt;="&amp;EOMONTH($A8,0),Tabla1[Codigo_actividad],B$2)</f>
        <v>0</v>
      </c>
      <c r="C8" s="231">
        <f>+SUMIFS(Tabla1[Avance_Med],Tabla1[Fecha],"&gt;="&amp;$A8,Tabla1[Fecha],"&lt;="&amp;EOMONTH($A8,0),Tabla1[Codigo_actividad],C$2)</f>
        <v>0</v>
      </c>
      <c r="D8" s="231">
        <f>+SUMIFS(Tabla1[Avance_Med],Tabla1[Fecha],"&gt;="&amp;$A8,Tabla1[Fecha],"&lt;="&amp;EOMONTH($A8,0),Tabla1[Codigo_actividad],D$2)</f>
        <v>0</v>
      </c>
      <c r="E8" s="231">
        <f>+SUMIFS(Tabla1[Avance_Med],Tabla1[Fecha],"&gt;="&amp;$A8,Tabla1[Fecha],"&lt;="&amp;EOMONTH($A8,0),Tabla1[Codigo_actividad],E$2)</f>
        <v>0</v>
      </c>
      <c r="F8" s="231">
        <f>+SUMIFS(Tabla1[Avance_Med],Tabla1[Fecha],"&gt;="&amp;$A8,Tabla1[Fecha],"&lt;="&amp;EOMONTH($A8,0),Tabla1[Codigo_actividad],F$2)</f>
        <v>0</v>
      </c>
      <c r="G8" s="231">
        <f>+SUMIFS(Tabla1[Avance_Med],Tabla1[Fecha],"&gt;="&amp;$A8,Tabla1[Fecha],"&lt;="&amp;EOMONTH($A8,0),Tabla1[Codigo_actividad],G$2)</f>
        <v>0</v>
      </c>
      <c r="H8" s="231">
        <f>+SUMIFS(Tabla1[Avance_km],Tabla1[Fecha],"&gt;="&amp;$A8,Tabla1[Fecha],"&lt;="&amp;EOMONTH($A8,0),Tabla1[nombre_actividad],H$3)</f>
        <v>36.840000000000011</v>
      </c>
      <c r="I8" s="33"/>
      <c r="J8" s="231">
        <f>+SUMIFS(Tabla1[Avance_km],Tabla1[Fecha],"&gt;="&amp;$A8,Tabla1[Fecha],"&lt;="&amp;EOMONTH($A8,0),Tabla1[nombre_actividad],$J$3,Tabla1[Avance_km],"&gt;0")</f>
        <v>15.313000000000004</v>
      </c>
      <c r="K8" s="33"/>
      <c r="L8" s="231">
        <f>+SUMIFS(Tabla1[Avance_Med],Tabla1[Fecha],"&gt;="&amp;$A8,Tabla1[Fecha],"&lt;="&amp;EOMONTH($A8,0),Tabla1[Codigo_actividad],L$2)</f>
        <v>130</v>
      </c>
      <c r="M8" s="231">
        <f>+SUMIFS(Tabla1[Avance_km],Tabla1[Fecha],"&gt;="&amp;$A8,Tabla1[Fecha],"&lt;="&amp;EOMONTH($A8,0),Tabla1[nombre_actividad],$M$3)</f>
        <v>6.7009999999999996</v>
      </c>
      <c r="N8" s="231">
        <f>+SUMIFS(Tabla1[Avance_Med],Tabla1[Fecha],"&gt;="&amp;$A8,Tabla1[Fecha],"&lt;="&amp;EOMONTH($A8,0),Tabla1[Codigo_actividad],N$2)</f>
        <v>0</v>
      </c>
      <c r="O8" s="231">
        <f>+SUMIFS(Tabla1[Avance_Med],Tabla1[Fecha],"&gt;="&amp;$A8,Tabla1[Fecha],"&lt;="&amp;EOMONTH($A8,0),Tabla1[Codigo_actividad],O$2)</f>
        <v>0</v>
      </c>
      <c r="P8" s="231">
        <f>+SUMIFS(Tabla1[Avance_Med],Tabla1[Fecha],"&gt;="&amp;$A8,Tabla1[Fecha],"&lt;="&amp;EOMONTH($A8,0),Tabla1[Codigo_actividad],P$2)</f>
        <v>0</v>
      </c>
      <c r="Q8" s="236"/>
      <c r="R8" s="13">
        <f t="shared" si="0"/>
        <v>1363213.0780100003</v>
      </c>
    </row>
    <row r="9" spans="1:19" x14ac:dyDescent="0.25">
      <c r="A9" s="242">
        <v>46054</v>
      </c>
      <c r="B9" s="231">
        <f>+SUMIFS(Tabla1[Avance_Med],Tabla1[Fecha],"&gt;="&amp;$A9,Tabla1[Fecha],"&lt;="&amp;EOMONTH($A9,0),Tabla1[Codigo_actividad],B$2)</f>
        <v>0</v>
      </c>
      <c r="C9" s="231">
        <f>+SUMIFS(Tabla1[Avance_Med],Tabla1[Fecha],"&gt;="&amp;$A9,Tabla1[Fecha],"&lt;="&amp;EOMONTH($A9,0),Tabla1[Codigo_actividad],C$2)</f>
        <v>0</v>
      </c>
      <c r="D9" s="231">
        <f>+SUMIFS(Tabla1[Avance_Med],Tabla1[Fecha],"&gt;="&amp;$A9,Tabla1[Fecha],"&lt;="&amp;EOMONTH($A9,0),Tabla1[Codigo_actividad],D$2)</f>
        <v>0</v>
      </c>
      <c r="E9" s="231">
        <f>+SUMIFS(Tabla1[Avance_Med],Tabla1[Fecha],"&gt;="&amp;$A9,Tabla1[Fecha],"&lt;="&amp;EOMONTH($A9,0),Tabla1[Codigo_actividad],E$2)</f>
        <v>0</v>
      </c>
      <c r="F9" s="231">
        <f>+SUMIFS(Tabla1[Avance_Med],Tabla1[Fecha],"&gt;="&amp;$A9,Tabla1[Fecha],"&lt;="&amp;EOMONTH($A9,0),Tabla1[Codigo_actividad],F$2)</f>
        <v>0</v>
      </c>
      <c r="G9" s="231">
        <f>+SUMIFS(Tabla1[Avance_Med],Tabla1[Fecha],"&gt;="&amp;$A9,Tabla1[Fecha],"&lt;="&amp;EOMONTH($A9,0),Tabla1[Codigo_actividad],G$2)</f>
        <v>0</v>
      </c>
      <c r="H9" s="231">
        <f>+SUMIFS(Tabla1[Avance_km],Tabla1[Fecha],"&gt;="&amp;$A9,Tabla1[Fecha],"&lt;="&amp;EOMONTH($A9,0),Tabla1[nombre_actividad],H$3)</f>
        <v>0</v>
      </c>
      <c r="I9" s="33"/>
      <c r="J9" s="231">
        <f>+SUMIFS(Tabla1[Avance_km],Tabla1[Fecha],"&gt;="&amp;$A9,Tabla1[Fecha],"&lt;="&amp;EOMONTH($A9,0),Tabla1[nombre_actividad],$J$3,Tabla1[Avance_km],"&gt;0")</f>
        <v>0</v>
      </c>
      <c r="K9" s="33"/>
      <c r="L9" s="231">
        <f>+SUMIFS(Tabla1[Avance_Med],Tabla1[Fecha],"&gt;="&amp;$A9,Tabla1[Fecha],"&lt;="&amp;EOMONTH($A9,0),Tabla1[Codigo_actividad],L$2)</f>
        <v>18</v>
      </c>
      <c r="M9" s="231">
        <f>+SUMIFS(Tabla1[Avance_km],Tabla1[Fecha],"&gt;="&amp;$A9,Tabla1[Fecha],"&lt;="&amp;EOMONTH($A9,0),Tabla1[nombre_actividad],$M$3)</f>
        <v>0</v>
      </c>
      <c r="N9" s="231">
        <f>+SUMIFS(Tabla1[Avance_Med],Tabla1[Fecha],"&gt;="&amp;$A9,Tabla1[Fecha],"&lt;="&amp;EOMONTH($A9,0),Tabla1[Codigo_actividad],N$2)</f>
        <v>0</v>
      </c>
      <c r="O9" s="231">
        <f>+SUMIFS(Tabla1[Avance_Med],Tabla1[Fecha],"&gt;="&amp;$A9,Tabla1[Fecha],"&lt;="&amp;EOMONTH($A9,0),Tabla1[Codigo_actividad],O$2)</f>
        <v>0</v>
      </c>
      <c r="P9" s="231">
        <f>+SUMIFS(Tabla1[Avance_Med],Tabla1[Fecha],"&gt;="&amp;$A9,Tabla1[Fecha],"&lt;="&amp;EOMONTH($A9,0),Tabla1[Codigo_actividad],P$2)</f>
        <v>0</v>
      </c>
      <c r="Q9" s="236"/>
      <c r="R9" s="13">
        <f t="shared" si="0"/>
        <v>83844</v>
      </c>
    </row>
    <row r="10" spans="1:19" x14ac:dyDescent="0.25">
      <c r="A10" s="242">
        <v>46082</v>
      </c>
      <c r="B10" s="231">
        <f>+SUMIFS(Tabla1[Avance_Med],Tabla1[Fecha],"&gt;="&amp;$A10,Tabla1[Fecha],"&lt;="&amp;EOMONTH($A10,0),Tabla1[Codigo_actividad],B$2)</f>
        <v>99</v>
      </c>
      <c r="C10" s="231">
        <f>+SUMIFS(Tabla1[Avance_Med],Tabla1[Fecha],"&gt;="&amp;$A10,Tabla1[Fecha],"&lt;="&amp;EOMONTH($A10,0),Tabla1[Codigo_actividad],C$2)</f>
        <v>99</v>
      </c>
      <c r="D10" s="231">
        <f>+SUMIFS(Tabla1[Avance_Med],Tabla1[Fecha],"&gt;="&amp;$A10,Tabla1[Fecha],"&lt;="&amp;EOMONTH($A10,0),Tabla1[Codigo_actividad],D$2)</f>
        <v>99</v>
      </c>
      <c r="E10" s="231">
        <f>+SUMIFS(Tabla1[Avance_Med],Tabla1[Fecha],"&gt;="&amp;$A10,Tabla1[Fecha],"&lt;="&amp;EOMONTH($A10,0),Tabla1[Codigo_actividad],E$2)</f>
        <v>99</v>
      </c>
      <c r="F10" s="231">
        <f>+SUMIFS(Tabla1[Avance_Med],Tabla1[Fecha],"&gt;="&amp;$A10,Tabla1[Fecha],"&lt;="&amp;EOMONTH($A10,0),Tabla1[Codigo_actividad],F$2)</f>
        <v>99</v>
      </c>
      <c r="G10" s="231">
        <f>+SUMIFS(Tabla1[Avance_Med],Tabla1[Fecha],"&gt;="&amp;$A10,Tabla1[Fecha],"&lt;="&amp;EOMONTH($A10,0),Tabla1[Codigo_actividad],G$2)</f>
        <v>99</v>
      </c>
      <c r="H10" s="231">
        <f>+SUMIFS(Tabla1[Avance_km],Tabla1[Fecha],"&gt;="&amp;$A10,Tabla1[Fecha],"&lt;="&amp;EOMONTH($A10,0),Tabla1[nombre_actividad],H$3)</f>
        <v>0</v>
      </c>
      <c r="I10" s="33"/>
      <c r="J10" s="231">
        <f>+SUMIFS(Tabla1[Avance_km],Tabla1[Fecha],"&gt;="&amp;$A10,Tabla1[Fecha],"&lt;="&amp;EOMONTH($A10,0),Tabla1[nombre_actividad],$J$3,Tabla1[Avance_km],"&gt;0")</f>
        <v>0</v>
      </c>
      <c r="K10" s="33"/>
      <c r="L10" s="231">
        <f>+SUMIFS(Tabla1[Avance_Med],Tabla1[Fecha],"&gt;="&amp;$A10,Tabla1[Fecha],"&lt;="&amp;EOMONTH($A10,0),Tabla1[Codigo_actividad],L$2)</f>
        <v>0</v>
      </c>
      <c r="M10" s="231">
        <f>+SUMIFS(Tabla1[Avance_km],Tabla1[Fecha],"&gt;="&amp;$A10,Tabla1[Fecha],"&lt;="&amp;EOMONTH($A10,0),Tabla1[nombre_actividad],$M$3)</f>
        <v>3.6</v>
      </c>
      <c r="N10" s="231">
        <f>+SUMIFS(Tabla1[Avance_Med],Tabla1[Fecha],"&gt;="&amp;$A10,Tabla1[Fecha],"&lt;="&amp;EOMONTH($A10,0),Tabla1[Codigo_actividad],N$2)</f>
        <v>54</v>
      </c>
      <c r="O10" s="231">
        <f>+SUMIFS(Tabla1[Avance_Med],Tabla1[Fecha],"&gt;="&amp;$A10,Tabla1[Fecha],"&lt;="&amp;EOMONTH($A10,0),Tabla1[Codigo_actividad],O$2)</f>
        <v>54</v>
      </c>
      <c r="P10" s="231">
        <f>+SUMIFS(Tabla1[Avance_Med],Tabla1[Fecha],"&gt;="&amp;$A10,Tabla1[Fecha],"&lt;="&amp;EOMONTH($A10,0),Tabla1[Codigo_actividad],P$2)</f>
        <v>54</v>
      </c>
      <c r="Q10" s="236"/>
      <c r="R10" s="13">
        <f t="shared" si="0"/>
        <v>1512809.8920000002</v>
      </c>
    </row>
    <row r="11" spans="1:19" x14ac:dyDescent="0.25">
      <c r="A11" s="242">
        <v>46113</v>
      </c>
      <c r="B11" s="231">
        <f>+SUMIFS(Tabla1[Avance_Med],Tabla1[Fecha],"&gt;="&amp;$A11,Tabla1[Fecha],"&lt;="&amp;EOMONTH($A11,0),Tabla1[Codigo_actividad],B$2)</f>
        <v>17</v>
      </c>
      <c r="C11" s="231">
        <f>+SUMIFS(Tabla1[Avance_Med],Tabla1[Fecha],"&gt;="&amp;$A11,Tabla1[Fecha],"&lt;="&amp;EOMONTH($A11,0),Tabla1[Codigo_actividad],C$2)</f>
        <v>17</v>
      </c>
      <c r="D11" s="231">
        <f>+SUMIFS(Tabla1[Avance_Med],Tabla1[Fecha],"&gt;="&amp;$A11,Tabla1[Fecha],"&lt;="&amp;EOMONTH($A11,0),Tabla1[Codigo_actividad],D$2)</f>
        <v>17</v>
      </c>
      <c r="E11" s="231">
        <f>+SUMIFS(Tabla1[Avance_Med],Tabla1[Fecha],"&gt;="&amp;$A11,Tabla1[Fecha],"&lt;="&amp;EOMONTH($A11,0),Tabla1[Codigo_actividad],E$2)</f>
        <v>17</v>
      </c>
      <c r="F11" s="231">
        <f>+SUMIFS(Tabla1[Avance_Med],Tabla1[Fecha],"&gt;="&amp;$A11,Tabla1[Fecha],"&lt;="&amp;EOMONTH($A11,0),Tabla1[Codigo_actividad],F$2)</f>
        <v>17</v>
      </c>
      <c r="G11" s="231">
        <f>+SUMIFS(Tabla1[Avance_Med],Tabla1[Fecha],"&gt;="&amp;$A11,Tabla1[Fecha],"&lt;="&amp;EOMONTH($A11,0),Tabla1[Codigo_actividad],G$2)</f>
        <v>17</v>
      </c>
      <c r="H11" s="231">
        <f>+SUMIFS(Tabla1[Avance_km],Tabla1[Fecha],"&gt;="&amp;$A11,Tabla1[Fecha],"&lt;="&amp;EOMONTH($A11,0),Tabla1[nombre_actividad],H$3)</f>
        <v>0</v>
      </c>
      <c r="I11" s="33"/>
      <c r="J11" s="231">
        <f>+SUMIFS(Tabla1[Avance_km],Tabla1[Fecha],"&gt;="&amp;$A11,Tabla1[Fecha],"&lt;="&amp;EOMONTH($A11,0),Tabla1[nombre_actividad],$J$3,Tabla1[Avance_km],"&gt;0")</f>
        <v>5.9550000000000001</v>
      </c>
      <c r="K11" s="33"/>
      <c r="L11" s="231">
        <f>+SUMIFS(Tabla1[Avance_Med],Tabla1[Fecha],"&gt;="&amp;$A11,Tabla1[Fecha],"&lt;="&amp;EOMONTH($A11,0),Tabla1[Codigo_actividad],L$2)</f>
        <v>0</v>
      </c>
      <c r="M11" s="231">
        <f>+SUMIFS(Tabla1[Avance_km],Tabla1[Fecha],"&gt;="&amp;$A11,Tabla1[Fecha],"&lt;="&amp;EOMONTH($A11,0),Tabla1[nombre_actividad],$M$3)</f>
        <v>21.635999999999999</v>
      </c>
      <c r="N11" s="231">
        <f>+SUMIFS(Tabla1[Avance_Med],Tabla1[Fecha],"&gt;="&amp;$A11,Tabla1[Fecha],"&lt;="&amp;EOMONTH($A11,0),Tabla1[Codigo_actividad],N$2)</f>
        <v>0</v>
      </c>
      <c r="O11" s="231">
        <f>+SUMIFS(Tabla1[Avance_Med],Tabla1[Fecha],"&gt;="&amp;$A11,Tabla1[Fecha],"&lt;="&amp;EOMONTH($A11,0),Tabla1[Codigo_actividad],O$2)</f>
        <v>0</v>
      </c>
      <c r="P11" s="231">
        <f>+SUMIFS(Tabla1[Avance_Med],Tabla1[Fecha],"&gt;="&amp;$A11,Tabla1[Fecha],"&lt;="&amp;EOMONTH($A11,0),Tabla1[Codigo_actividad],P$2)</f>
        <v>0</v>
      </c>
      <c r="Q11" s="236"/>
      <c r="R11" s="13">
        <f t="shared" si="0"/>
        <v>312307.15577000007</v>
      </c>
    </row>
    <row r="12" spans="1:19" x14ac:dyDescent="0.25">
      <c r="A12" s="242">
        <v>46143</v>
      </c>
      <c r="B12" s="231">
        <f>+SUMIFS(Tabla1[Avance_Med],Tabla1[Fecha],"&gt;="&amp;$A12,Tabla1[Fecha],"&lt;="&amp;EOMONTH($A12,0),Tabla1[Codigo_actividad],B$2)</f>
        <v>0</v>
      </c>
      <c r="C12" s="231">
        <f>+SUMIFS(Tabla1[Avance_Med],Tabla1[Fecha],"&gt;="&amp;$A12,Tabla1[Fecha],"&lt;="&amp;EOMONTH($A12,0),Tabla1[Codigo_actividad],C$2)</f>
        <v>0</v>
      </c>
      <c r="D12" s="231">
        <f>+SUMIFS(Tabla1[Avance_Med],Tabla1[Fecha],"&gt;="&amp;$A12,Tabla1[Fecha],"&lt;="&amp;EOMONTH($A12,0),Tabla1[Codigo_actividad],D$2)</f>
        <v>0</v>
      </c>
      <c r="E12" s="231">
        <f>+SUMIFS(Tabla1[Avance_Med],Tabla1[Fecha],"&gt;="&amp;$A12,Tabla1[Fecha],"&lt;="&amp;EOMONTH($A12,0),Tabla1[Codigo_actividad],E$2)</f>
        <v>0</v>
      </c>
      <c r="F12" s="231">
        <f>+SUMIFS(Tabla1[Avance_Med],Tabla1[Fecha],"&gt;="&amp;$A12,Tabla1[Fecha],"&lt;="&amp;EOMONTH($A12,0),Tabla1[Codigo_actividad],F$2)</f>
        <v>0</v>
      </c>
      <c r="G12" s="231">
        <f>+SUMIFS(Tabla1[Avance_Med],Tabla1[Fecha],"&gt;="&amp;$A12,Tabla1[Fecha],"&lt;="&amp;EOMONTH($A12,0),Tabla1[Codigo_actividad],G$2)</f>
        <v>0</v>
      </c>
      <c r="H12" s="231">
        <f>+SUMIFS(Tabla1[Avance_km],Tabla1[Fecha],"&gt;="&amp;$A12,Tabla1[Fecha],"&lt;="&amp;EOMONTH($A12,0),Tabla1[nombre_actividad],H$3)</f>
        <v>11.253</v>
      </c>
      <c r="I12" s="33"/>
      <c r="J12" s="231">
        <f>+SUMIFS(Tabla1[Avance_km],Tabla1[Fecha],"&gt;="&amp;$A12,Tabla1[Fecha],"&lt;="&amp;EOMONTH($A12,0),Tabla1[nombre_actividad],$J$3,Tabla1[Avance_km],"&gt;0")</f>
        <v>19.906000000000002</v>
      </c>
      <c r="K12" s="33"/>
      <c r="L12" s="231">
        <f>+SUMIFS(Tabla1[Avance_Med],Tabla1[Fecha],"&gt;="&amp;$A12,Tabla1[Fecha],"&lt;="&amp;EOMONTH($A12,0),Tabla1[Codigo_actividad],L$2)</f>
        <v>0</v>
      </c>
      <c r="M12" s="231">
        <f>+SUMIFS(Tabla1[Avance_km],Tabla1[Fecha],"&gt;="&amp;$A12,Tabla1[Fecha],"&lt;="&amp;EOMONTH($A12,0),Tabla1[nombre_actividad],$M$3)</f>
        <v>3.6269999999999998</v>
      </c>
      <c r="N12" s="231">
        <f>+SUMIFS(Tabla1[Avance_Med],Tabla1[Fecha],"&gt;="&amp;$A12,Tabla1[Fecha],"&lt;="&amp;EOMONTH($A12,0),Tabla1[Codigo_actividad],N$2)</f>
        <v>0</v>
      </c>
      <c r="O12" s="231">
        <f>+SUMIFS(Tabla1[Avance_Med],Tabla1[Fecha],"&gt;="&amp;$A12,Tabla1[Fecha],"&lt;="&amp;EOMONTH($A12,0),Tabla1[Codigo_actividad],O$2)</f>
        <v>0</v>
      </c>
      <c r="P12" s="231">
        <f>+SUMIFS(Tabla1[Avance_Med],Tabla1[Fecha],"&gt;="&amp;$A12,Tabla1[Fecha],"&lt;="&amp;EOMONTH($A12,0),Tabla1[Codigo_actividad],P$2)</f>
        <v>0</v>
      </c>
      <c r="Q12" s="236"/>
      <c r="R12" s="13">
        <f t="shared" si="0"/>
        <v>441435.45984999998</v>
      </c>
    </row>
    <row r="13" spans="1:19" x14ac:dyDescent="0.25">
      <c r="A13" s="242">
        <v>46174</v>
      </c>
      <c r="B13" s="231">
        <f>+SUMIFS(Tabla1[Avance_Med],Tabla1[Fecha],"&gt;="&amp;$A13,Tabla1[Fecha],"&lt;="&amp;EOMONTH($A13,0),Tabla1[Codigo_actividad],B$2)</f>
        <v>0</v>
      </c>
      <c r="C13" s="231">
        <f>+SUMIFS(Tabla1[Avance_Med],Tabla1[Fecha],"&gt;="&amp;$A13,Tabla1[Fecha],"&lt;="&amp;EOMONTH($A13,0),Tabla1[Codigo_actividad],C$2)</f>
        <v>0</v>
      </c>
      <c r="D13" s="231">
        <f>+SUMIFS(Tabla1[Avance_Med],Tabla1[Fecha],"&gt;="&amp;$A13,Tabla1[Fecha],"&lt;="&amp;EOMONTH($A13,0),Tabla1[Codigo_actividad],D$2)</f>
        <v>0</v>
      </c>
      <c r="E13" s="231">
        <f>+SUMIFS(Tabla1[Avance_Med],Tabla1[Fecha],"&gt;="&amp;$A13,Tabla1[Fecha],"&lt;="&amp;EOMONTH($A13,0),Tabla1[Codigo_actividad],E$2)</f>
        <v>0</v>
      </c>
      <c r="F13" s="231">
        <f>+SUMIFS(Tabla1[Avance_Med],Tabla1[Fecha],"&gt;="&amp;$A13,Tabla1[Fecha],"&lt;="&amp;EOMONTH($A13,0),Tabla1[Codigo_actividad],F$2)</f>
        <v>0</v>
      </c>
      <c r="G13" s="231">
        <f>+SUMIFS(Tabla1[Avance_Med],Tabla1[Fecha],"&gt;="&amp;$A13,Tabla1[Fecha],"&lt;="&amp;EOMONTH($A13,0),Tabla1[Codigo_actividad],G$2)</f>
        <v>0</v>
      </c>
      <c r="H13" s="231">
        <f>+SUMIFS(Tabla1[Avance_km],Tabla1[Fecha],"&gt;="&amp;$A13,Tabla1[Fecha],"&lt;="&amp;EOMONTH($A13,0),Tabla1[nombre_actividad],H$3)</f>
        <v>20.328000000000003</v>
      </c>
      <c r="I13" s="33"/>
      <c r="J13" s="231">
        <f>+SUMIFS(Tabla1[Avance_km],Tabla1[Fecha],"&gt;="&amp;$A13,Tabla1[Fecha],"&lt;="&amp;EOMONTH($A13,0),Tabla1[nombre_actividad],$J$3,Tabla1[Avance_km],"&gt;0")</f>
        <v>0</v>
      </c>
      <c r="K13" s="33"/>
      <c r="L13" s="231">
        <f>+SUMIFS(Tabla1[Avance_Med],Tabla1[Fecha],"&gt;="&amp;$A13,Tabla1[Fecha],"&lt;="&amp;EOMONTH($A13,0),Tabla1[Codigo_actividad],L$2)</f>
        <v>0</v>
      </c>
      <c r="M13" s="231">
        <f>+SUMIFS(Tabla1[Avance_km],Tabla1[Fecha],"&gt;="&amp;$A13,Tabla1[Fecha],"&lt;="&amp;EOMONTH($A13,0),Tabla1[nombre_actividad],$M$3)</f>
        <v>5.4169999999999998</v>
      </c>
      <c r="N13" s="231">
        <f>+SUMIFS(Tabla1[Avance_Med],Tabla1[Fecha],"&gt;="&amp;$A13,Tabla1[Fecha],"&lt;="&amp;EOMONTH($A13,0),Tabla1[Codigo_actividad],N$2)</f>
        <v>0</v>
      </c>
      <c r="O13" s="231">
        <f>+SUMIFS(Tabla1[Avance_Med],Tabla1[Fecha],"&gt;="&amp;$A13,Tabla1[Fecha],"&lt;="&amp;EOMONTH($A13,0),Tabla1[Codigo_actividad],O$2)</f>
        <v>0</v>
      </c>
      <c r="P13" s="231">
        <f>+SUMIFS(Tabla1[Avance_Med],Tabla1[Fecha],"&gt;="&amp;$A13,Tabla1[Fecha],"&lt;="&amp;EOMONTH($A13,0),Tabla1[Codigo_actividad],P$2)</f>
        <v>0</v>
      </c>
      <c r="Q13" s="236"/>
      <c r="R13" s="13">
        <f t="shared" si="0"/>
        <v>307419.66662000003</v>
      </c>
    </row>
    <row r="14" spans="1:19" x14ac:dyDescent="0.25">
      <c r="A14" s="242">
        <v>46204</v>
      </c>
      <c r="B14" s="231">
        <f>+SUMIFS(Tabla1[Avance_Med],Tabla1[Fecha],"&gt;="&amp;$A14,Tabla1[Fecha],"&lt;="&amp;EOMONTH($A14,0),Tabla1[Codigo_actividad],B$2)</f>
        <v>0</v>
      </c>
      <c r="C14" s="231">
        <f>+SUMIFS(Tabla1[Avance_Med],Tabla1[Fecha],"&gt;="&amp;$A14,Tabla1[Fecha],"&lt;="&amp;EOMONTH($A14,0),Tabla1[Codigo_actividad],C$2)</f>
        <v>0</v>
      </c>
      <c r="D14" s="231">
        <f>+SUMIFS(Tabla1[Avance_Med],Tabla1[Fecha],"&gt;="&amp;$A14,Tabla1[Fecha],"&lt;="&amp;EOMONTH($A14,0),Tabla1[Codigo_actividad],D$2)</f>
        <v>0</v>
      </c>
      <c r="E14" s="231">
        <f>+SUMIFS(Tabla1[Avance_Med],Tabla1[Fecha],"&gt;="&amp;$A14,Tabla1[Fecha],"&lt;="&amp;EOMONTH($A14,0),Tabla1[Codigo_actividad],E$2)</f>
        <v>0</v>
      </c>
      <c r="F14" s="231">
        <f>+SUMIFS(Tabla1[Avance_Med],Tabla1[Fecha],"&gt;="&amp;$A14,Tabla1[Fecha],"&lt;="&amp;EOMONTH($A14,0),Tabla1[Codigo_actividad],F$2)</f>
        <v>0</v>
      </c>
      <c r="G14" s="231">
        <f>+SUMIFS(Tabla1[Avance_Med],Tabla1[Fecha],"&gt;="&amp;$A14,Tabla1[Fecha],"&lt;="&amp;EOMONTH($A14,0),Tabla1[Codigo_actividad],G$2)</f>
        <v>0</v>
      </c>
      <c r="H14" s="231">
        <f>+SUMIFS(Tabla1[Avance_km],Tabla1[Fecha],"&gt;="&amp;$A14,Tabla1[Fecha],"&lt;="&amp;EOMONTH($A14,0),Tabla1[nombre_actividad],H$3)</f>
        <v>13.568</v>
      </c>
      <c r="I14" s="33"/>
      <c r="J14" s="231">
        <f>+SUMIFS(Tabla1[Avance_km],Tabla1[Fecha],"&gt;="&amp;$A14,Tabla1[Fecha],"&lt;="&amp;EOMONTH($A14,0),Tabla1[nombre_actividad],$J$3,Tabla1[Avance_km],"&gt;0")</f>
        <v>10.538</v>
      </c>
      <c r="K14" s="33"/>
      <c r="L14" s="231">
        <f>+SUMIFS(Tabla1[Avance_Med],Tabla1[Fecha],"&gt;="&amp;$A14,Tabla1[Fecha],"&lt;="&amp;EOMONTH($A14,0),Tabla1[Codigo_actividad],L$2)</f>
        <v>0</v>
      </c>
      <c r="M14" s="231">
        <f>+SUMIFS(Tabla1[Avance_km],Tabla1[Fecha],"&gt;="&amp;$A14,Tabla1[Fecha],"&lt;="&amp;EOMONTH($A14,0),Tabla1[nombre_actividad],$M$3)</f>
        <v>13.835000000000001</v>
      </c>
      <c r="N14" s="231">
        <f>+SUMIFS(Tabla1[Avance_Med],Tabla1[Fecha],"&gt;="&amp;$A14,Tabla1[Fecha],"&lt;="&amp;EOMONTH($A14,0),Tabla1[Codigo_actividad],N$2)</f>
        <v>0</v>
      </c>
      <c r="O14" s="231">
        <f>+SUMIFS(Tabla1[Avance_Med],Tabla1[Fecha],"&gt;="&amp;$A14,Tabla1[Fecha],"&lt;="&amp;EOMONTH($A14,0),Tabla1[Codigo_actividad],O$2)</f>
        <v>0</v>
      </c>
      <c r="P14" s="231">
        <f>+SUMIFS(Tabla1[Avance_Med],Tabla1[Fecha],"&gt;="&amp;$A14,Tabla1[Fecha],"&lt;="&amp;EOMONTH($A14,0),Tabla1[Codigo_actividad],P$2)</f>
        <v>0</v>
      </c>
      <c r="Q14" s="236"/>
      <c r="R14" s="13">
        <f t="shared" si="0"/>
        <v>371107.12552</v>
      </c>
    </row>
    <row r="15" spans="1:19" x14ac:dyDescent="0.25">
      <c r="A15" s="242">
        <v>46235</v>
      </c>
      <c r="B15" s="231">
        <f>+SUMIFS(Tabla1[Avance_Med],Tabla1[Fecha],"&gt;="&amp;$A15,Tabla1[Fecha],"&lt;="&amp;EOMONTH($A15,0),Tabla1[Codigo_actividad],B$2)</f>
        <v>0</v>
      </c>
      <c r="C15" s="231">
        <f>+SUMIFS(Tabla1[Avance_Med],Tabla1[Fecha],"&gt;="&amp;$A15,Tabla1[Fecha],"&lt;="&amp;EOMONTH($A15,0),Tabla1[Codigo_actividad],C$2)</f>
        <v>0</v>
      </c>
      <c r="D15" s="231">
        <f>+SUMIFS(Tabla1[Avance_Med],Tabla1[Fecha],"&gt;="&amp;$A15,Tabla1[Fecha],"&lt;="&amp;EOMONTH($A15,0),Tabla1[Codigo_actividad],D$2)</f>
        <v>0</v>
      </c>
      <c r="E15" s="231">
        <f>+SUMIFS(Tabla1[Avance_Med],Tabla1[Fecha],"&gt;="&amp;$A15,Tabla1[Fecha],"&lt;="&amp;EOMONTH($A15,0),Tabla1[Codigo_actividad],E$2)</f>
        <v>0</v>
      </c>
      <c r="F15" s="231">
        <f>+SUMIFS(Tabla1[Avance_Med],Tabla1[Fecha],"&gt;="&amp;$A15,Tabla1[Fecha],"&lt;="&amp;EOMONTH($A15,0),Tabla1[Codigo_actividad],F$2)</f>
        <v>0</v>
      </c>
      <c r="G15" s="231">
        <f>+SUMIFS(Tabla1[Avance_Med],Tabla1[Fecha],"&gt;="&amp;$A15,Tabla1[Fecha],"&lt;="&amp;EOMONTH($A15,0),Tabla1[Codigo_actividad],G$2)</f>
        <v>0</v>
      </c>
      <c r="H15" s="231">
        <f>+SUMIFS(Tabla1[Avance_km],Tabla1[Fecha],"&gt;="&amp;$A15,Tabla1[Fecha],"&lt;="&amp;EOMONTH($A15,0),Tabla1[nombre_actividad],H$3)</f>
        <v>10.033000000000001</v>
      </c>
      <c r="I15" s="33"/>
      <c r="J15" s="231">
        <f>+SUMIFS(Tabla1[Avance_km],Tabla1[Fecha],"&gt;="&amp;$A15,Tabla1[Fecha],"&lt;="&amp;EOMONTH($A15,0),Tabla1[nombre_actividad],$J$3,Tabla1[Avance_km],"&gt;0")</f>
        <v>12.395</v>
      </c>
      <c r="K15" s="33"/>
      <c r="L15" s="231">
        <f>+SUMIFS(Tabla1[Avance_Med],Tabla1[Fecha],"&gt;="&amp;$A15,Tabla1[Fecha],"&lt;="&amp;EOMONTH($A15,0),Tabla1[Codigo_actividad],L$2)</f>
        <v>0</v>
      </c>
      <c r="M15" s="231">
        <f>+SUMIFS(Tabla1[Avance_km],Tabla1[Fecha],"&gt;="&amp;$A15,Tabla1[Fecha],"&lt;="&amp;EOMONTH($A15,0),Tabla1[nombre_actividad],$M$3)</f>
        <v>12.17</v>
      </c>
      <c r="N15" s="231">
        <f>+SUMIFS(Tabla1[Avance_Med],Tabla1[Fecha],"&gt;="&amp;$A15,Tabla1[Fecha],"&lt;="&amp;EOMONTH($A15,0),Tabla1[Codigo_actividad],N$2)</f>
        <v>0</v>
      </c>
      <c r="O15" s="231">
        <f>+SUMIFS(Tabla1[Avance_Med],Tabla1[Fecha],"&gt;="&amp;$A15,Tabla1[Fecha],"&lt;="&amp;EOMONTH($A15,0),Tabla1[Codigo_actividad],O$2)</f>
        <v>0</v>
      </c>
      <c r="P15" s="231">
        <f>+SUMIFS(Tabla1[Avance_Med],Tabla1[Fecha],"&gt;="&amp;$A15,Tabla1[Fecha],"&lt;="&amp;EOMONTH($A15,0),Tabla1[Codigo_actividad],P$2)</f>
        <v>0</v>
      </c>
      <c r="Q15" s="236"/>
      <c r="R15" s="13">
        <f t="shared" si="0"/>
        <v>341188.14178000001</v>
      </c>
    </row>
    <row r="16" spans="1:19" x14ac:dyDescent="0.25">
      <c r="A16" s="242">
        <v>46266</v>
      </c>
      <c r="B16" s="231">
        <f>+SUMIFS(Tabla1[Avance_Med],Tabla1[Fecha],"&gt;="&amp;$A16,Tabla1[Fecha],"&lt;="&amp;EOMONTH($A16,0),Tabla1[Codigo_actividad],B$2)</f>
        <v>0</v>
      </c>
      <c r="C16" s="231">
        <f>+SUMIFS(Tabla1[Avance_Med],Tabla1[Fecha],"&gt;="&amp;$A16,Tabla1[Fecha],"&lt;="&amp;EOMONTH($A16,0),Tabla1[Codigo_actividad],C$2)</f>
        <v>0</v>
      </c>
      <c r="D16" s="231">
        <f>+SUMIFS(Tabla1[Avance_Med],Tabla1[Fecha],"&gt;="&amp;$A16,Tabla1[Fecha],"&lt;="&amp;EOMONTH($A16,0),Tabla1[Codigo_actividad],D$2)</f>
        <v>0</v>
      </c>
      <c r="E16" s="231">
        <f>+SUMIFS(Tabla1[Avance_Med],Tabla1[Fecha],"&gt;="&amp;$A16,Tabla1[Fecha],"&lt;="&amp;EOMONTH($A16,0),Tabla1[Codigo_actividad],E$2)</f>
        <v>0</v>
      </c>
      <c r="F16" s="231">
        <f>+SUMIFS(Tabla1[Avance_Med],Tabla1[Fecha],"&gt;="&amp;$A16,Tabla1[Fecha],"&lt;="&amp;EOMONTH($A16,0),Tabla1[Codigo_actividad],F$2)</f>
        <v>0</v>
      </c>
      <c r="G16" s="231">
        <f>+SUMIFS(Tabla1[Avance_Med],Tabla1[Fecha],"&gt;="&amp;$A16,Tabla1[Fecha],"&lt;="&amp;EOMONTH($A16,0),Tabla1[Codigo_actividad],G$2)</f>
        <v>0</v>
      </c>
      <c r="H16" s="231">
        <f>+SUMIFS(Tabla1[Avance_km],Tabla1[Fecha],"&gt;="&amp;$A16,Tabla1[Fecha],"&lt;="&amp;EOMONTH($A16,0),Tabla1[nombre_actividad],H$3)</f>
        <v>10.719999999999999</v>
      </c>
      <c r="I16" s="33"/>
      <c r="J16" s="231">
        <f>+SUMIFS(Tabla1[Avance_km],Tabla1[Fecha],"&gt;="&amp;$A16,Tabla1[Fecha],"&lt;="&amp;EOMONTH($A16,0),Tabla1[nombre_actividad],$J$3,Tabla1[Avance_km],"&gt;0")</f>
        <v>0</v>
      </c>
      <c r="K16" s="33"/>
      <c r="L16" s="231">
        <f>+SUMIFS(Tabla1[Avance_Med],Tabla1[Fecha],"&gt;="&amp;$A16,Tabla1[Fecha],"&lt;="&amp;EOMONTH($A16,0),Tabla1[Codigo_actividad],L$2)</f>
        <v>20</v>
      </c>
      <c r="M16" s="231">
        <f>+SUMIFS(Tabla1[Avance_km],Tabla1[Fecha],"&gt;="&amp;$A16,Tabla1[Fecha],"&lt;="&amp;EOMONTH($A16,0),Tabla1[nombre_actividad],$M$3)</f>
        <v>20.07</v>
      </c>
      <c r="N16" s="231">
        <f>+SUMIFS(Tabla1[Avance_Med],Tabla1[Fecha],"&gt;="&amp;$A16,Tabla1[Fecha],"&lt;="&amp;EOMONTH($A16,0),Tabla1[Codigo_actividad],N$2)</f>
        <v>34</v>
      </c>
      <c r="O16" s="231">
        <f>+SUMIFS(Tabla1[Avance_Med],Tabla1[Fecha],"&gt;="&amp;$A16,Tabla1[Fecha],"&lt;="&amp;EOMONTH($A16,0),Tabla1[Codigo_actividad],O$2)</f>
        <v>34</v>
      </c>
      <c r="P16" s="231">
        <f>+SUMIFS(Tabla1[Avance_Med],Tabla1[Fecha],"&gt;="&amp;$A16,Tabla1[Fecha],"&lt;="&amp;EOMONTH($A16,0),Tabla1[Codigo_actividad],P$2)</f>
        <v>34</v>
      </c>
      <c r="Q16" s="236"/>
      <c r="R16" s="13">
        <f t="shared" si="0"/>
        <v>571475.63459999999</v>
      </c>
    </row>
    <row r="17" spans="1:20" x14ac:dyDescent="0.25">
      <c r="A17" s="242">
        <v>46296</v>
      </c>
      <c r="B17" s="231">
        <f>+SUMIFS(Tabla1[Avance_Med],Tabla1[Fecha],"&gt;="&amp;$A17,Tabla1[Fecha],"&lt;="&amp;EOMONTH($A17,0),Tabla1[Codigo_actividad],B$2)</f>
        <v>0</v>
      </c>
      <c r="C17" s="231">
        <f>+SUMIFS(Tabla1[Avance_Med],Tabla1[Fecha],"&gt;="&amp;$A17,Tabla1[Fecha],"&lt;="&amp;EOMONTH($A17,0),Tabla1[Codigo_actividad],C$2)</f>
        <v>0</v>
      </c>
      <c r="D17" s="231">
        <f>+SUMIFS(Tabla1[Avance_Med],Tabla1[Fecha],"&gt;="&amp;$A17,Tabla1[Fecha],"&lt;="&amp;EOMONTH($A17,0),Tabla1[Codigo_actividad],D$2)</f>
        <v>0</v>
      </c>
      <c r="E17" s="231">
        <f>+SUMIFS(Tabla1[Avance_Med],Tabla1[Fecha],"&gt;="&amp;$A17,Tabla1[Fecha],"&lt;="&amp;EOMONTH($A17,0),Tabla1[Codigo_actividad],E$2)</f>
        <v>0</v>
      </c>
      <c r="F17" s="231">
        <f>+SUMIFS(Tabla1[Avance_Med],Tabla1[Fecha],"&gt;="&amp;$A17,Tabla1[Fecha],"&lt;="&amp;EOMONTH($A17,0),Tabla1[Codigo_actividad],F$2)</f>
        <v>0</v>
      </c>
      <c r="G17" s="231">
        <f>+SUMIFS(Tabla1[Avance_Med],Tabla1[Fecha],"&gt;="&amp;$A17,Tabla1[Fecha],"&lt;="&amp;EOMONTH($A17,0),Tabla1[Codigo_actividad],G$2)</f>
        <v>0</v>
      </c>
      <c r="H17" s="231">
        <f>+SUMIFS(Tabla1[Avance_km],Tabla1[Fecha],"&gt;="&amp;$A17,Tabla1[Fecha],"&lt;="&amp;EOMONTH($A17,0),Tabla1[nombre_actividad],H$3)</f>
        <v>16.1175</v>
      </c>
      <c r="I17" s="33"/>
      <c r="J17" s="231">
        <f>+SUMIFS(Tabla1[Avance_km],Tabla1[Fecha],"&gt;="&amp;$A17,Tabla1[Fecha],"&lt;="&amp;EOMONTH($A17,0),Tabla1[nombre_actividad],$J$3,Tabla1[Avance_km],"&gt;0")</f>
        <v>1.6244999999999994</v>
      </c>
      <c r="K17" s="33"/>
      <c r="L17" s="231">
        <f>+SUMIFS(Tabla1[Avance_Med],Tabla1[Fecha],"&gt;="&amp;$A17,Tabla1[Fecha],"&lt;="&amp;EOMONTH($A17,0),Tabla1[Codigo_actividad],L$2)</f>
        <v>0</v>
      </c>
      <c r="M17" s="231">
        <f>+SUMIFS(Tabla1[Avance_km],Tabla1[Fecha],"&gt;="&amp;$A17,Tabla1[Fecha],"&lt;="&amp;EOMONTH($A17,0),Tabla1[nombre_actividad],$M$3)</f>
        <v>1.6244999999999994</v>
      </c>
      <c r="N17" s="231">
        <f>+SUMIFS(Tabla1[Avance_Med],Tabla1[Fecha],"&gt;="&amp;$A17,Tabla1[Fecha],"&lt;="&amp;EOMONTH($A17,0),Tabla1[Codigo_actividad],N$2)</f>
        <v>4</v>
      </c>
      <c r="O17" s="231">
        <f>+SUMIFS(Tabla1[Avance_Med],Tabla1[Fecha],"&gt;="&amp;$A17,Tabla1[Fecha],"&lt;="&amp;EOMONTH($A17,0),Tabla1[Codigo_actividad],O$2)</f>
        <v>4</v>
      </c>
      <c r="P17" s="231">
        <f>+SUMIFS(Tabla1[Avance_Med],Tabla1[Fecha],"&gt;="&amp;$A17,Tabla1[Fecha],"&lt;="&amp;EOMONTH($A17,0),Tabla1[Codigo_actividad],P$2)</f>
        <v>4</v>
      </c>
      <c r="Q17" s="236"/>
      <c r="R17" s="13">
        <f t="shared" si="0"/>
        <v>292365.32539999997</v>
      </c>
    </row>
    <row r="18" spans="1:20" x14ac:dyDescent="0.25">
      <c r="A18" s="242">
        <v>46327</v>
      </c>
      <c r="B18" s="231">
        <f>+SUMIFS(Tabla1[Avance_Med],Tabla1[Fecha],"&gt;="&amp;$A18,Tabla1[Fecha],"&lt;="&amp;EOMONTH($A18,0),Tabla1[Codigo_actividad],B$2)</f>
        <v>0</v>
      </c>
      <c r="C18" s="231">
        <f>+SUMIFS(Tabla1[Avance_Med],Tabla1[Fecha],"&gt;="&amp;$A18,Tabla1[Fecha],"&lt;="&amp;EOMONTH($A18,0),Tabla1[Codigo_actividad],C$2)</f>
        <v>0</v>
      </c>
      <c r="D18" s="231">
        <f>+SUMIFS(Tabla1[Avance_Med],Tabla1[Fecha],"&gt;="&amp;$A18,Tabla1[Fecha],"&lt;="&amp;EOMONTH($A18,0),Tabla1[Codigo_actividad],D$2)</f>
        <v>0</v>
      </c>
      <c r="E18" s="231">
        <f>+SUMIFS(Tabla1[Avance_Med],Tabla1[Fecha],"&gt;="&amp;$A18,Tabla1[Fecha],"&lt;="&amp;EOMONTH($A18,0),Tabla1[Codigo_actividad],E$2)</f>
        <v>0</v>
      </c>
      <c r="F18" s="231">
        <f>+SUMIFS(Tabla1[Avance_Med],Tabla1[Fecha],"&gt;="&amp;$A18,Tabla1[Fecha],"&lt;="&amp;EOMONTH($A18,0),Tabla1[Codigo_actividad],F$2)</f>
        <v>0</v>
      </c>
      <c r="G18" s="231">
        <f>+SUMIFS(Tabla1[Avance_Med],Tabla1[Fecha],"&gt;="&amp;$A18,Tabla1[Fecha],"&lt;="&amp;EOMONTH($A18,0),Tabla1[Codigo_actividad],G$2)</f>
        <v>0</v>
      </c>
      <c r="H18" s="231">
        <f>+SUMIFS(Tabla1[Avance_km],Tabla1[Fecha],"&gt;="&amp;$A18,Tabla1[Fecha],"&lt;="&amp;EOMONTH($A18,0),Tabla1[nombre_actividad],H$3)</f>
        <v>0</v>
      </c>
      <c r="I18" s="33"/>
      <c r="J18" s="231">
        <f>+SUMIFS(Tabla1[Avance_km],Tabla1[Fecha],"&gt;="&amp;$A18,Tabla1[Fecha],"&lt;="&amp;EOMONTH($A18,0),Tabla1[nombre_actividad],$J$3,Tabla1[Avance_km],"&gt;0")</f>
        <v>0</v>
      </c>
      <c r="K18" s="33"/>
      <c r="L18" s="231">
        <f>+SUMIFS(Tabla1[Avance_Med],Tabla1[Fecha],"&gt;="&amp;$A18,Tabla1[Fecha],"&lt;="&amp;EOMONTH($A18,0),Tabla1[Codigo_actividad],L$2)</f>
        <v>0</v>
      </c>
      <c r="M18" s="231">
        <f>+SUMIFS(Tabla1[Avance_km],Tabla1[Fecha],"&gt;="&amp;$A18,Tabla1[Fecha],"&lt;="&amp;EOMONTH($A18,0),Tabla1[nombre_actividad],$M$3)</f>
        <v>0</v>
      </c>
      <c r="N18" s="231">
        <f>+SUMIFS(Tabla1[Avance_Med],Tabla1[Fecha],"&gt;="&amp;$A18,Tabla1[Fecha],"&lt;="&amp;EOMONTH($A18,0),Tabla1[Codigo_actividad],N$2)</f>
        <v>0</v>
      </c>
      <c r="O18" s="231">
        <f>+SUMIFS(Tabla1[Avance_Med],Tabla1[Fecha],"&gt;="&amp;$A18,Tabla1[Fecha],"&lt;="&amp;EOMONTH($A18,0),Tabla1[Codigo_actividad],O$2)</f>
        <v>0</v>
      </c>
      <c r="P18" s="231">
        <f>+SUMIFS(Tabla1[Avance_Med],Tabla1[Fecha],"&gt;="&amp;$A18,Tabla1[Fecha],"&lt;="&amp;EOMONTH($A18,0),Tabla1[Codigo_actividad],P$2)</f>
        <v>0</v>
      </c>
      <c r="Q18" s="236"/>
      <c r="R18" s="13">
        <f t="shared" si="0"/>
        <v>0</v>
      </c>
    </row>
    <row r="19" spans="1:20" x14ac:dyDescent="0.25">
      <c r="A19" s="242">
        <v>46357</v>
      </c>
      <c r="B19" s="231">
        <f>+SUMIFS(Tabla1[Avance_Med],Tabla1[Fecha],"&gt;="&amp;$A19,Tabla1[Fecha],"&lt;="&amp;EOMONTH($A19,0),Tabla1[Codigo_actividad],B$2)</f>
        <v>0</v>
      </c>
      <c r="C19" s="231">
        <f>+SUMIFS(Tabla1[Avance_Med],Tabla1[Fecha],"&gt;="&amp;$A19,Tabla1[Fecha],"&lt;="&amp;EOMONTH($A19,0),Tabla1[Codigo_actividad],C$2)</f>
        <v>0</v>
      </c>
      <c r="D19" s="231">
        <f>+SUMIFS(Tabla1[Avance_Med],Tabla1[Fecha],"&gt;="&amp;$A19,Tabla1[Fecha],"&lt;="&amp;EOMONTH($A19,0),Tabla1[Codigo_actividad],D$2)</f>
        <v>0</v>
      </c>
      <c r="E19" s="231">
        <f>+SUMIFS(Tabla1[Avance_Med],Tabla1[Fecha],"&gt;="&amp;$A19,Tabla1[Fecha],"&lt;="&amp;EOMONTH($A19,0),Tabla1[Codigo_actividad],E$2)</f>
        <v>0</v>
      </c>
      <c r="F19" s="231">
        <f>+SUMIFS(Tabla1[Avance_Med],Tabla1[Fecha],"&gt;="&amp;$A19,Tabla1[Fecha],"&lt;="&amp;EOMONTH($A19,0),Tabla1[Codigo_actividad],F$2)</f>
        <v>0</v>
      </c>
      <c r="G19" s="231">
        <f>+SUMIFS(Tabla1[Avance_Med],Tabla1[Fecha],"&gt;="&amp;$A19,Tabla1[Fecha],"&lt;="&amp;EOMONTH($A19,0),Tabla1[Codigo_actividad],G$2)</f>
        <v>0</v>
      </c>
      <c r="H19" s="231">
        <f>+SUMIFS(Tabla1[Avance_km],Tabla1[Fecha],"&gt;="&amp;$A19,Tabla1[Fecha],"&lt;="&amp;EOMONTH($A19,0),Tabla1[nombre_actividad],H$3)</f>
        <v>0</v>
      </c>
      <c r="I19" s="33"/>
      <c r="J19" s="231">
        <f>+SUMIFS(Tabla1[Avance_km],Tabla1[Fecha],"&gt;="&amp;$A19,Tabla1[Fecha],"&lt;="&amp;EOMONTH($A19,0),Tabla1[nombre_actividad],$J$3,Tabla1[Avance_km],"&gt;0")</f>
        <v>0</v>
      </c>
      <c r="K19" s="33"/>
      <c r="L19" s="231">
        <f>+SUMIFS(Tabla1[Avance_Med],Tabla1[Fecha],"&gt;="&amp;$A19,Tabla1[Fecha],"&lt;="&amp;EOMONTH($A19,0),Tabla1[Codigo_actividad],L$2)</f>
        <v>0</v>
      </c>
      <c r="M19" s="231">
        <f>+SUMIFS(Tabla1[Avance_km],Tabla1[Fecha],"&gt;="&amp;$A19,Tabla1[Fecha],"&lt;="&amp;EOMONTH($A19,0),Tabla1[nombre_actividad],$M$3)</f>
        <v>0</v>
      </c>
      <c r="N19" s="231">
        <f>+SUMIFS(Tabla1[Avance_Med],Tabla1[Fecha],"&gt;="&amp;$A19,Tabla1[Fecha],"&lt;="&amp;EOMONTH($A19,0),Tabla1[Codigo_actividad],N$2)</f>
        <v>0</v>
      </c>
      <c r="O19" s="231">
        <f>+SUMIFS(Tabla1[Avance_Med],Tabla1[Fecha],"&gt;="&amp;$A19,Tabla1[Fecha],"&lt;="&amp;EOMONTH($A19,0),Tabla1[Codigo_actividad],O$2)</f>
        <v>0</v>
      </c>
      <c r="P19" s="231">
        <f>+SUMIFS(Tabla1[Avance_Med],Tabla1[Fecha],"&gt;="&amp;$A19,Tabla1[Fecha],"&lt;="&amp;EOMONTH($A19,0),Tabla1[Codigo_actividad],P$2)</f>
        <v>0</v>
      </c>
      <c r="Q19" s="236"/>
      <c r="R19" s="13">
        <f t="shared" si="0"/>
        <v>0</v>
      </c>
    </row>
    <row r="20" spans="1:20" ht="21" x14ac:dyDescent="0.35">
      <c r="A20" s="226" t="s">
        <v>401</v>
      </c>
      <c r="B20" s="1">
        <f>SUM(B4:B19)</f>
        <v>116</v>
      </c>
      <c r="C20" s="1">
        <f t="shared" ref="C20:O20" si="1">SUM(C4:C19)</f>
        <v>116</v>
      </c>
      <c r="D20" s="1">
        <f t="shared" si="1"/>
        <v>116</v>
      </c>
      <c r="E20" s="1">
        <f t="shared" si="1"/>
        <v>116</v>
      </c>
      <c r="F20" s="1">
        <f t="shared" si="1"/>
        <v>116</v>
      </c>
      <c r="G20" s="1">
        <f t="shared" si="1"/>
        <v>116</v>
      </c>
      <c r="H20" s="1">
        <f t="shared" si="1"/>
        <v>181.92550000000003</v>
      </c>
      <c r="I20" s="1">
        <f t="shared" si="1"/>
        <v>0</v>
      </c>
      <c r="J20" s="1">
        <f t="shared" si="1"/>
        <v>150.32450000000003</v>
      </c>
      <c r="K20" s="1">
        <f t="shared" si="1"/>
        <v>0</v>
      </c>
      <c r="L20" s="1">
        <f t="shared" si="1"/>
        <v>396</v>
      </c>
      <c r="M20" s="1">
        <f t="shared" si="1"/>
        <v>181.88550000000001</v>
      </c>
      <c r="N20" s="1">
        <f t="shared" si="1"/>
        <v>92</v>
      </c>
      <c r="O20" s="1">
        <f t="shared" si="1"/>
        <v>92</v>
      </c>
      <c r="P20" s="1"/>
      <c r="Q20" s="237"/>
      <c r="R20" s="13">
        <f>SUM(R4:R19)</f>
        <v>-2230810.8776999982</v>
      </c>
      <c r="S20" s="13">
        <f>+R4-R20</f>
        <v>-8932110.9623000026</v>
      </c>
      <c r="T20" s="251">
        <f>$S$20/$R$4</f>
        <v>0.80015887330623847</v>
      </c>
    </row>
    <row r="21" spans="1:20" x14ac:dyDescent="0.25">
      <c r="A21" s="226"/>
      <c r="H21" s="230"/>
      <c r="J21" s="76"/>
      <c r="K21" s="61"/>
      <c r="L21" s="76"/>
      <c r="M21" s="230"/>
      <c r="Q21" s="237"/>
    </row>
    <row r="24" spans="1:20" x14ac:dyDescent="0.25">
      <c r="S24" s="393"/>
    </row>
  </sheetData>
  <mergeCells count="1">
    <mergeCell ref="B3:G3"/>
  </mergeCells>
  <conditionalFormatting sqref="B5:H19">
    <cfRule type="expression" dxfId="38" priority="4">
      <formula>B5=0</formula>
    </cfRule>
  </conditionalFormatting>
  <conditionalFormatting sqref="J5:J19">
    <cfRule type="expression" dxfId="37" priority="3">
      <formula>J5=0</formula>
    </cfRule>
  </conditionalFormatting>
  <conditionalFormatting sqref="L5:P19">
    <cfRule type="expression" dxfId="36" priority="1">
      <formula>L5=0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66ECA-5E00-4FBD-87DD-66F62E8D1C77}">
  <sheetPr codeName="Hoja5"/>
  <dimension ref="A1:Z72"/>
  <sheetViews>
    <sheetView showGridLines="0" topLeftCell="A18" zoomScaleNormal="100" workbookViewId="0">
      <selection activeCell="E26" sqref="C26:E35"/>
    </sheetView>
  </sheetViews>
  <sheetFormatPr baseColWidth="10" defaultColWidth="11.42578125" defaultRowHeight="15" outlineLevelRow="1" outlineLevelCol="1" x14ac:dyDescent="0.25"/>
  <cols>
    <col min="1" max="1" width="11.42578125" style="1"/>
    <col min="2" max="2" width="8" customWidth="1"/>
    <col min="3" max="3" width="68.28515625" customWidth="1"/>
    <col min="4" max="4" width="9" bestFit="1" customWidth="1"/>
    <col min="5" max="5" width="13.85546875" bestFit="1" customWidth="1"/>
    <col min="6" max="6" width="11" customWidth="1" outlineLevel="1"/>
    <col min="7" max="7" width="17.85546875" customWidth="1" outlineLevel="1" collapsed="1"/>
    <col min="8" max="8" width="9.28515625" customWidth="1" outlineLevel="1" collapsed="1"/>
    <col min="9" max="9" width="24.42578125" bestFit="1" customWidth="1"/>
    <col min="10" max="10" width="12.5703125" bestFit="1" customWidth="1" outlineLevel="1"/>
    <col min="11" max="11" width="10.5703125" bestFit="1" customWidth="1"/>
    <col min="12" max="15" width="6.7109375" customWidth="1"/>
    <col min="16" max="16" width="5.42578125" customWidth="1"/>
    <col min="17" max="17" width="4.42578125" bestFit="1" customWidth="1"/>
    <col min="18" max="18" width="15.140625" customWidth="1"/>
    <col min="19" max="19" width="12.85546875" customWidth="1" outlineLevel="1"/>
    <col min="20" max="20" width="12.42578125" bestFit="1" customWidth="1"/>
    <col min="21" max="21" width="12.7109375" bestFit="1" customWidth="1"/>
    <col min="22" max="22" width="12.42578125" bestFit="1" customWidth="1"/>
    <col min="23" max="23" width="15.140625" customWidth="1"/>
    <col min="24" max="24" width="12" bestFit="1" customWidth="1"/>
    <col min="25" max="25" width="15.42578125" customWidth="1"/>
    <col min="26" max="26" width="16.28515625" customWidth="1"/>
  </cols>
  <sheetData>
    <row r="1" spans="1:21" ht="36" customHeight="1" x14ac:dyDescent="0.25">
      <c r="B1" s="2"/>
      <c r="C1" s="592" t="s">
        <v>84</v>
      </c>
      <c r="D1" s="592"/>
      <c r="E1" s="592"/>
      <c r="F1" s="592"/>
      <c r="G1" s="592"/>
      <c r="H1" s="592"/>
    </row>
    <row r="2" spans="1:21" ht="15" customHeight="1" x14ac:dyDescent="0.25">
      <c r="B2" s="2"/>
      <c r="C2" s="2"/>
      <c r="D2" s="32"/>
      <c r="E2" s="32"/>
      <c r="F2" s="32"/>
      <c r="G2" s="32"/>
      <c r="H2" s="32"/>
    </row>
    <row r="3" spans="1:21" x14ac:dyDescent="0.25">
      <c r="B3" s="580" t="s">
        <v>85</v>
      </c>
      <c r="C3" s="580"/>
      <c r="D3" s="580" t="s">
        <v>86</v>
      </c>
      <c r="E3" s="580"/>
      <c r="F3" s="580"/>
      <c r="G3" s="580"/>
      <c r="H3" s="580"/>
    </row>
    <row r="4" spans="1:21" x14ac:dyDescent="0.25">
      <c r="B4" s="589"/>
      <c r="C4" s="589"/>
      <c r="D4" s="590" t="s">
        <v>87</v>
      </c>
      <c r="E4" s="590"/>
      <c r="F4" s="590"/>
      <c r="G4" s="590"/>
      <c r="H4" s="590"/>
    </row>
    <row r="5" spans="1:21" ht="27" x14ac:dyDescent="0.25">
      <c r="B5" s="152" t="s">
        <v>88</v>
      </c>
      <c r="C5" s="30" t="s">
        <v>89</v>
      </c>
      <c r="D5" s="152" t="s">
        <v>90</v>
      </c>
      <c r="E5" s="152" t="s">
        <v>91</v>
      </c>
      <c r="F5" s="4" t="s">
        <v>92</v>
      </c>
      <c r="G5" s="4" t="s">
        <v>395</v>
      </c>
      <c r="H5" s="4" t="s">
        <v>94</v>
      </c>
    </row>
    <row r="6" spans="1:21" x14ac:dyDescent="0.25">
      <c r="B6" s="152">
        <v>1</v>
      </c>
      <c r="C6" s="30" t="s">
        <v>95</v>
      </c>
      <c r="D6" s="152"/>
      <c r="E6" s="152"/>
      <c r="F6" s="4"/>
      <c r="G6" s="12">
        <f>SUM(G7:G12)</f>
        <v>1246944.32</v>
      </c>
      <c r="H6" s="4"/>
      <c r="K6" s="1" t="s">
        <v>180</v>
      </c>
      <c r="L6" s="1" t="s">
        <v>181</v>
      </c>
      <c r="M6" s="1" t="s">
        <v>211</v>
      </c>
      <c r="N6" s="1" t="s">
        <v>352</v>
      </c>
      <c r="O6" s="1" t="s">
        <v>380</v>
      </c>
      <c r="P6" s="1" t="s">
        <v>272</v>
      </c>
      <c r="Q6" s="1" t="s">
        <v>273</v>
      </c>
      <c r="S6" s="120"/>
      <c r="T6" s="1" t="s">
        <v>274</v>
      </c>
    </row>
    <row r="7" spans="1:21" x14ac:dyDescent="0.25">
      <c r="A7" s="1" t="s">
        <v>275</v>
      </c>
      <c r="B7" s="5">
        <v>1.1000000000000001</v>
      </c>
      <c r="C7" s="29" t="s">
        <v>96</v>
      </c>
      <c r="D7" s="6">
        <v>105</v>
      </c>
      <c r="E7" s="7" t="s">
        <v>97</v>
      </c>
      <c r="F7" s="8">
        <v>2532.81</v>
      </c>
      <c r="G7" s="9">
        <f t="shared" ref="G7:G12" si="0">+F7*R7</f>
        <v>293805.96000000002</v>
      </c>
      <c r="H7" s="10" t="s">
        <v>98</v>
      </c>
      <c r="I7" s="71" t="s">
        <v>276</v>
      </c>
      <c r="K7" s="182">
        <v>37</v>
      </c>
      <c r="L7" s="182">
        <v>17</v>
      </c>
      <c r="M7" s="305">
        <v>40</v>
      </c>
      <c r="N7" s="182">
        <v>4</v>
      </c>
      <c r="O7" s="182">
        <v>13</v>
      </c>
      <c r="P7" s="182">
        <v>3</v>
      </c>
      <c r="Q7" s="182">
        <v>2</v>
      </c>
      <c r="R7" s="118">
        <f>SUM(K7:Q7)</f>
        <v>116</v>
      </c>
      <c r="S7" s="121">
        <f>+D7*0.9</f>
        <v>94.5</v>
      </c>
      <c r="T7" s="125">
        <f>+D7-S7-(R7-S7)</f>
        <v>-11</v>
      </c>
      <c r="U7">
        <f>+R7/105</f>
        <v>1.1047619047619048</v>
      </c>
    </row>
    <row r="8" spans="1:21" x14ac:dyDescent="0.25">
      <c r="A8" s="1" t="s">
        <v>277</v>
      </c>
      <c r="B8" s="5">
        <v>1.2</v>
      </c>
      <c r="C8" s="29" t="s">
        <v>99</v>
      </c>
      <c r="D8" s="6">
        <v>105</v>
      </c>
      <c r="E8" s="7" t="s">
        <v>97</v>
      </c>
      <c r="F8" s="8">
        <v>3250.01</v>
      </c>
      <c r="G8" s="9">
        <f t="shared" si="0"/>
        <v>377001.16000000003</v>
      </c>
      <c r="H8" s="10" t="s">
        <v>98</v>
      </c>
      <c r="I8" s="71" t="s">
        <v>278</v>
      </c>
      <c r="K8" s="182">
        <v>37</v>
      </c>
      <c r="L8" s="182">
        <v>17</v>
      </c>
      <c r="M8" s="305">
        <v>40</v>
      </c>
      <c r="N8" s="182">
        <v>4</v>
      </c>
      <c r="O8" s="182">
        <v>13</v>
      </c>
      <c r="P8" s="182">
        <v>3</v>
      </c>
      <c r="Q8" s="182">
        <v>2</v>
      </c>
      <c r="R8" s="118">
        <f t="shared" ref="R8:R11" si="1">SUM(K8:Q8)</f>
        <v>116</v>
      </c>
      <c r="S8" s="121">
        <f t="shared" ref="S8:S11" si="2">+D8*0.9</f>
        <v>94.5</v>
      </c>
      <c r="T8" s="125">
        <f t="shared" ref="T8:T11" si="3">+D8-S8-(R8-S8)</f>
        <v>-11</v>
      </c>
    </row>
    <row r="9" spans="1:21" x14ac:dyDescent="0.25">
      <c r="A9" s="1" t="s">
        <v>279</v>
      </c>
      <c r="B9" s="5">
        <v>1.3</v>
      </c>
      <c r="C9" s="29" t="s">
        <v>100</v>
      </c>
      <c r="D9" s="6">
        <v>105</v>
      </c>
      <c r="E9" s="7" t="s">
        <v>97</v>
      </c>
      <c r="F9" s="8">
        <v>985.32</v>
      </c>
      <c r="G9" s="9">
        <f t="shared" si="0"/>
        <v>114297.12000000001</v>
      </c>
      <c r="H9" s="10" t="s">
        <v>98</v>
      </c>
      <c r="I9" s="71" t="s">
        <v>280</v>
      </c>
      <c r="K9" s="182">
        <v>37</v>
      </c>
      <c r="L9" s="182">
        <v>17</v>
      </c>
      <c r="M9" s="305">
        <v>40</v>
      </c>
      <c r="N9" s="182">
        <v>4</v>
      </c>
      <c r="O9" s="182">
        <v>13</v>
      </c>
      <c r="P9" s="182">
        <v>3</v>
      </c>
      <c r="Q9" s="182">
        <v>2</v>
      </c>
      <c r="R9" s="118">
        <f t="shared" si="1"/>
        <v>116</v>
      </c>
      <c r="S9" s="121">
        <f t="shared" si="2"/>
        <v>94.5</v>
      </c>
      <c r="T9" s="125">
        <f t="shared" si="3"/>
        <v>-11</v>
      </c>
    </row>
    <row r="10" spans="1:21" x14ac:dyDescent="0.25">
      <c r="A10" s="1" t="s">
        <v>281</v>
      </c>
      <c r="B10" s="5">
        <v>1.4</v>
      </c>
      <c r="C10" s="31" t="s">
        <v>102</v>
      </c>
      <c r="D10" s="6">
        <v>105</v>
      </c>
      <c r="E10" s="7" t="s">
        <v>97</v>
      </c>
      <c r="F10" s="8">
        <v>1062.92</v>
      </c>
      <c r="G10" s="9">
        <f t="shared" si="0"/>
        <v>123298.72</v>
      </c>
      <c r="H10" s="10" t="s">
        <v>98</v>
      </c>
      <c r="I10" s="71" t="s">
        <v>282</v>
      </c>
      <c r="K10" s="182">
        <v>37</v>
      </c>
      <c r="L10" s="182">
        <v>17</v>
      </c>
      <c r="M10" s="305">
        <v>40</v>
      </c>
      <c r="N10" s="182">
        <v>4</v>
      </c>
      <c r="O10" s="182">
        <v>13</v>
      </c>
      <c r="P10" s="182">
        <v>3</v>
      </c>
      <c r="Q10" s="182">
        <v>2</v>
      </c>
      <c r="R10" s="118">
        <f t="shared" si="1"/>
        <v>116</v>
      </c>
      <c r="S10" s="121">
        <f t="shared" si="2"/>
        <v>94.5</v>
      </c>
      <c r="T10" s="125">
        <f t="shared" si="3"/>
        <v>-11</v>
      </c>
    </row>
    <row r="11" spans="1:21" x14ac:dyDescent="0.25">
      <c r="A11" s="1" t="s">
        <v>283</v>
      </c>
      <c r="B11" s="5">
        <v>1.5</v>
      </c>
      <c r="C11" s="29" t="s">
        <v>103</v>
      </c>
      <c r="D11" s="6">
        <v>105</v>
      </c>
      <c r="E11" s="7" t="s">
        <v>97</v>
      </c>
      <c r="F11" s="8">
        <v>1337.25</v>
      </c>
      <c r="G11" s="9">
        <f t="shared" si="0"/>
        <v>155121</v>
      </c>
      <c r="H11" s="10" t="s">
        <v>98</v>
      </c>
      <c r="I11" s="71" t="s">
        <v>284</v>
      </c>
      <c r="K11" s="182">
        <v>37</v>
      </c>
      <c r="L11" s="182">
        <v>17</v>
      </c>
      <c r="M11" s="305">
        <v>40</v>
      </c>
      <c r="N11" s="182">
        <v>4</v>
      </c>
      <c r="O11" s="182">
        <v>13</v>
      </c>
      <c r="P11" s="182">
        <v>3</v>
      </c>
      <c r="Q11" s="182">
        <v>2</v>
      </c>
      <c r="R11" s="118">
        <f t="shared" si="1"/>
        <v>116</v>
      </c>
      <c r="S11" s="121">
        <f t="shared" si="2"/>
        <v>94.5</v>
      </c>
      <c r="T11" s="125">
        <f t="shared" si="3"/>
        <v>-11</v>
      </c>
    </row>
    <row r="12" spans="1:21" ht="40.5" x14ac:dyDescent="0.25">
      <c r="A12" s="1" t="s">
        <v>285</v>
      </c>
      <c r="B12" s="5">
        <v>1.6</v>
      </c>
      <c r="C12" s="29" t="s">
        <v>104</v>
      </c>
      <c r="D12" s="6">
        <v>105</v>
      </c>
      <c r="E12" s="7" t="s">
        <v>97</v>
      </c>
      <c r="F12" s="8">
        <v>1581.21</v>
      </c>
      <c r="G12" s="9">
        <f t="shared" si="0"/>
        <v>183420.36000000002</v>
      </c>
      <c r="H12" s="10" t="s">
        <v>98</v>
      </c>
      <c r="I12" s="71" t="s">
        <v>286</v>
      </c>
      <c r="K12" s="182">
        <v>37</v>
      </c>
      <c r="L12" s="182">
        <v>17</v>
      </c>
      <c r="M12" s="305">
        <v>40</v>
      </c>
      <c r="N12" s="182">
        <v>4</v>
      </c>
      <c r="O12" s="182">
        <v>13</v>
      </c>
      <c r="P12" s="182">
        <v>3</v>
      </c>
      <c r="Q12" s="182">
        <v>2</v>
      </c>
      <c r="R12" s="118">
        <f t="shared" ref="R12" si="4">SUM(K12:Q12)</f>
        <v>116</v>
      </c>
      <c r="S12" s="215">
        <f t="shared" ref="S12" si="5">+D12*0.9</f>
        <v>94.5</v>
      </c>
      <c r="T12" s="125">
        <f t="shared" ref="T12" si="6">+D12-S12-(R12-S12)</f>
        <v>-11</v>
      </c>
    </row>
    <row r="13" spans="1:21" x14ac:dyDescent="0.25">
      <c r="B13" s="152">
        <v>2</v>
      </c>
      <c r="C13" s="30" t="s">
        <v>105</v>
      </c>
      <c r="D13" s="152"/>
      <c r="E13" s="152"/>
      <c r="F13" s="11" t="s">
        <v>106</v>
      </c>
      <c r="G13" s="12">
        <f>SUM(G14:G21)</f>
        <v>7609035.6423000004</v>
      </c>
      <c r="H13" s="4"/>
      <c r="I13" s="216"/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8"/>
    </row>
    <row r="14" spans="1:21" x14ac:dyDescent="0.25">
      <c r="A14" s="1" t="s">
        <v>287</v>
      </c>
      <c r="B14" s="5">
        <v>2.1</v>
      </c>
      <c r="C14" s="80" t="s">
        <v>107</v>
      </c>
      <c r="D14" s="81">
        <v>200</v>
      </c>
      <c r="E14" s="7" t="s">
        <v>108</v>
      </c>
      <c r="F14" s="8">
        <v>14521.41</v>
      </c>
      <c r="G14" s="9">
        <f t="shared" ref="G14:G21" si="7">+F14*R14</f>
        <v>2641814.7749549998</v>
      </c>
      <c r="H14" s="10" t="s">
        <v>98</v>
      </c>
      <c r="I14" s="71" t="s">
        <v>79</v>
      </c>
      <c r="J14" s="82">
        <v>7800</v>
      </c>
      <c r="K14" s="247">
        <f>+SUM('Summary S01'!I2:I41)</f>
        <v>66.918000000000006</v>
      </c>
      <c r="L14" s="247">
        <f>+SUM('Summary S02'!I2:I18)</f>
        <v>32.987999999999992</v>
      </c>
      <c r="M14" s="247">
        <f>+SUM('Summary S03'!I2:I45)</f>
        <v>44.519999999999996</v>
      </c>
      <c r="N14" s="248">
        <f>+SUM('Summary S04'!I2:I6)</f>
        <v>35.874999999999993</v>
      </c>
      <c r="O14" s="137">
        <f>+SUM('Summary S06'!I2:I13)</f>
        <v>1.6245000000000001</v>
      </c>
      <c r="P14" s="127">
        <f>+SUM('Summary S07'!I2:I4)</f>
        <v>0</v>
      </c>
      <c r="Q14" s="127">
        <f>+SUM('Summary S08'!I2:I3)</f>
        <v>0</v>
      </c>
      <c r="R14" s="119">
        <f>SUM(K14:Q14)</f>
        <v>181.9255</v>
      </c>
      <c r="S14" s="122">
        <f>+D14*0.7</f>
        <v>140</v>
      </c>
      <c r="T14" s="126">
        <f>+D14-S14-(R14-S14)</f>
        <v>18.0745</v>
      </c>
      <c r="U14" s="13"/>
    </row>
    <row r="15" spans="1:21" outlineLevel="1" x14ac:dyDescent="0.25">
      <c r="A15" s="1" t="s">
        <v>288</v>
      </c>
      <c r="B15" s="131">
        <v>2.2000000000000002</v>
      </c>
      <c r="C15" s="72" t="s">
        <v>109</v>
      </c>
      <c r="D15" s="73">
        <v>200</v>
      </c>
      <c r="E15" s="73" t="s">
        <v>108</v>
      </c>
      <c r="F15" s="132">
        <v>13555.63</v>
      </c>
      <c r="G15" s="133">
        <f t="shared" si="7"/>
        <v>0</v>
      </c>
      <c r="H15" s="134" t="s">
        <v>98</v>
      </c>
      <c r="I15" s="71" t="s">
        <v>82</v>
      </c>
      <c r="J15" s="82">
        <v>8200</v>
      </c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"/>
    </row>
    <row r="16" spans="1:21" x14ac:dyDescent="0.25">
      <c r="A16" s="1" t="s">
        <v>289</v>
      </c>
      <c r="B16" s="5">
        <v>2.2999999999999998</v>
      </c>
      <c r="C16" s="80" t="s">
        <v>110</v>
      </c>
      <c r="D16" s="81">
        <v>200</v>
      </c>
      <c r="E16" s="7" t="s">
        <v>108</v>
      </c>
      <c r="F16" s="8">
        <v>13555.63</v>
      </c>
      <c r="G16" s="9">
        <f t="shared" si="7"/>
        <v>2037743.3019350003</v>
      </c>
      <c r="H16" s="10" t="s">
        <v>98</v>
      </c>
      <c r="I16" s="71" t="s">
        <v>80</v>
      </c>
      <c r="J16" s="82">
        <v>8200</v>
      </c>
      <c r="K16" s="248">
        <f>+SUM('Summary S01'!J2:J41)</f>
        <v>66.918000000000006</v>
      </c>
      <c r="L16" s="248">
        <f>+SUM('Summary S02'!J2:J18)</f>
        <v>32.987999999999992</v>
      </c>
      <c r="M16" s="248">
        <f>+SUM('Summary S03'!J2:J45)</f>
        <v>45.671999999999997</v>
      </c>
      <c r="N16" s="248">
        <f>+SUM('Summary S04'!J2:J6)</f>
        <v>3.1220000000000003</v>
      </c>
      <c r="O16" s="248">
        <f>+SUM('Summary S06'!J2:J13)</f>
        <v>1.6245000000000001</v>
      </c>
      <c r="P16" s="127">
        <f>+SUM('Summary S07'!J2:J4)</f>
        <v>0</v>
      </c>
      <c r="Q16" s="127">
        <f>+SUM('Summary S08'!J2:J3)</f>
        <v>0</v>
      </c>
      <c r="R16" s="119">
        <f>SUM(K16:Q16)</f>
        <v>150.32450000000003</v>
      </c>
      <c r="S16" s="122">
        <f>+D16*0.7</f>
        <v>140</v>
      </c>
      <c r="T16" s="126">
        <f>+D16-S16-(R16-S16)</f>
        <v>49.675499999999971</v>
      </c>
      <c r="U16" s="13"/>
    </row>
    <row r="17" spans="1:22" outlineLevel="1" x14ac:dyDescent="0.25">
      <c r="A17" s="1" t="s">
        <v>290</v>
      </c>
      <c r="B17" s="131">
        <v>2.4</v>
      </c>
      <c r="C17" s="72" t="s">
        <v>111</v>
      </c>
      <c r="D17" s="73">
        <v>200</v>
      </c>
      <c r="E17" s="73" t="s">
        <v>108</v>
      </c>
      <c r="F17" s="132">
        <v>13696.28</v>
      </c>
      <c r="G17" s="133">
        <f t="shared" si="7"/>
        <v>0</v>
      </c>
      <c r="H17" s="134" t="s">
        <v>98</v>
      </c>
      <c r="I17" s="71" t="s">
        <v>83</v>
      </c>
      <c r="J17" s="82">
        <v>6780</v>
      </c>
      <c r="K17" s="135"/>
      <c r="L17" s="136"/>
      <c r="M17" s="136"/>
      <c r="N17" s="136"/>
      <c r="O17" s="136"/>
      <c r="P17" s="136"/>
      <c r="Q17" s="136"/>
      <c r="R17" s="136"/>
      <c r="S17" s="136"/>
      <c r="T17" s="136"/>
    </row>
    <row r="18" spans="1:22" ht="27" x14ac:dyDescent="0.25">
      <c r="A18" s="1" t="s">
        <v>291</v>
      </c>
      <c r="B18" s="14">
        <v>2.5</v>
      </c>
      <c r="C18" s="80" t="s">
        <v>112</v>
      </c>
      <c r="D18" s="81">
        <v>500</v>
      </c>
      <c r="E18" s="7" t="s">
        <v>113</v>
      </c>
      <c r="F18" s="8">
        <v>4658</v>
      </c>
      <c r="G18" s="9">
        <f t="shared" si="7"/>
        <v>1844568</v>
      </c>
      <c r="H18" s="10" t="s">
        <v>98</v>
      </c>
      <c r="I18" s="71" t="s">
        <v>81</v>
      </c>
      <c r="J18" s="82">
        <v>4230</v>
      </c>
      <c r="K18" s="182">
        <f>+SUM('Summary S01'!K2:K41)</f>
        <v>156</v>
      </c>
      <c r="L18" s="182">
        <f>+SUM('Summary S02'!K2:K18)</f>
        <v>73</v>
      </c>
      <c r="M18" s="182">
        <f>+SUM('Summary S03'!K2:K45)</f>
        <v>129</v>
      </c>
      <c r="N18" s="182">
        <f>+SUM('Summary S04'!K2:K6)</f>
        <v>10</v>
      </c>
      <c r="O18" s="182">
        <f>+SUM('Summary S06'!K2:K13)</f>
        <v>14</v>
      </c>
      <c r="P18" s="182">
        <f>+SUM('Summary S07'!K2:K4)</f>
        <v>5</v>
      </c>
      <c r="Q18" s="182">
        <f>+SUM('Summary S08'!K2:K3)</f>
        <v>9</v>
      </c>
      <c r="R18" s="118">
        <f>SUM(K18:Q18)</f>
        <v>396</v>
      </c>
      <c r="S18" s="123">
        <f>+D18*0.7</f>
        <v>350</v>
      </c>
      <c r="T18" s="124">
        <f>+D18-S18-(R18-S18)</f>
        <v>104</v>
      </c>
      <c r="V18" s="208"/>
    </row>
    <row r="19" spans="1:22" x14ac:dyDescent="0.25">
      <c r="A19" s="1" t="s">
        <v>292</v>
      </c>
      <c r="B19" s="5">
        <v>2.6</v>
      </c>
      <c r="C19" s="80" t="s">
        <v>114</v>
      </c>
      <c r="D19" s="81">
        <v>200</v>
      </c>
      <c r="E19" s="7" t="s">
        <v>108</v>
      </c>
      <c r="F19" s="8">
        <v>2257.42</v>
      </c>
      <c r="G19" s="9">
        <f t="shared" si="7"/>
        <v>410591.96541000012</v>
      </c>
      <c r="H19" s="10" t="s">
        <v>98</v>
      </c>
      <c r="I19" s="71" t="s">
        <v>78</v>
      </c>
      <c r="J19" s="82">
        <v>1600</v>
      </c>
      <c r="K19" s="248">
        <f>+SUM('Summary S01'!H2:H41)</f>
        <v>66.918000000000006</v>
      </c>
      <c r="L19" s="248">
        <f>+SUM('Summary S02'!H2:H18)</f>
        <v>32.987999999999992</v>
      </c>
      <c r="M19" s="248">
        <f>+SUM('Summary S03'!H2:H45)</f>
        <v>45.013999999999996</v>
      </c>
      <c r="N19" s="248">
        <f>+SUM('Summary S04'!H2:H6)</f>
        <v>35.340999999999994</v>
      </c>
      <c r="O19" s="248">
        <f>+SUM('Summary S06'!H2:H13)</f>
        <v>1.6245000000000001</v>
      </c>
      <c r="P19" s="127">
        <f>+SUM('Summary S07'!H2:H4)</f>
        <v>0</v>
      </c>
      <c r="Q19" s="127">
        <f>+SUM('Summary S08'!H2:H3)</f>
        <v>0</v>
      </c>
      <c r="R19" s="119">
        <f>SUM(K19:Q19)</f>
        <v>181.88550000000004</v>
      </c>
      <c r="S19" s="122">
        <f>+D19*0.7</f>
        <v>140</v>
      </c>
      <c r="T19" s="126">
        <f>+D19-S19-(R19-S19)</f>
        <v>18.114499999999964</v>
      </c>
      <c r="U19" s="13"/>
    </row>
    <row r="20" spans="1:22" x14ac:dyDescent="0.25">
      <c r="A20" s="1" t="s">
        <v>293</v>
      </c>
      <c r="B20" s="5">
        <v>2.7</v>
      </c>
      <c r="C20" s="29" t="s">
        <v>115</v>
      </c>
      <c r="D20" s="7">
        <v>105</v>
      </c>
      <c r="E20" s="7" t="s">
        <v>97</v>
      </c>
      <c r="F20" s="8">
        <v>3540.12</v>
      </c>
      <c r="G20" s="9">
        <f t="shared" si="7"/>
        <v>385873.08</v>
      </c>
      <c r="H20" s="10" t="s">
        <v>98</v>
      </c>
      <c r="I20" s="71" t="s">
        <v>294</v>
      </c>
      <c r="J20" s="82">
        <v>2200</v>
      </c>
      <c r="K20" s="182">
        <v>37</v>
      </c>
      <c r="L20" s="182">
        <v>17</v>
      </c>
      <c r="M20" s="182">
        <v>34</v>
      </c>
      <c r="N20" s="182">
        <v>4</v>
      </c>
      <c r="O20" s="182">
        <v>12</v>
      </c>
      <c r="P20" s="182">
        <v>3</v>
      </c>
      <c r="Q20" s="182">
        <v>2</v>
      </c>
      <c r="R20" s="118">
        <f>SUM(K20:Q20)</f>
        <v>109</v>
      </c>
      <c r="S20" s="128">
        <f t="shared" ref="S20:S21" si="8">+D20*0.7</f>
        <v>73.5</v>
      </c>
      <c r="T20" s="124">
        <f>+D20-S20-(R20-S20)</f>
        <v>-4</v>
      </c>
    </row>
    <row r="21" spans="1:22" ht="40.5" x14ac:dyDescent="0.25">
      <c r="A21" s="1" t="s">
        <v>295</v>
      </c>
      <c r="B21" s="5">
        <v>2.8</v>
      </c>
      <c r="C21" s="29" t="s">
        <v>104</v>
      </c>
      <c r="D21" s="7">
        <v>105</v>
      </c>
      <c r="E21" s="7" t="s">
        <v>97</v>
      </c>
      <c r="F21" s="8">
        <v>2646.28</v>
      </c>
      <c r="G21" s="9">
        <f t="shared" si="7"/>
        <v>288444.52</v>
      </c>
      <c r="H21" s="10" t="s">
        <v>98</v>
      </c>
      <c r="I21" s="71" t="s">
        <v>296</v>
      </c>
      <c r="K21" s="182">
        <v>37</v>
      </c>
      <c r="L21" s="182">
        <v>17</v>
      </c>
      <c r="M21" s="182">
        <v>34</v>
      </c>
      <c r="N21" s="182">
        <v>4</v>
      </c>
      <c r="O21" s="182">
        <v>12</v>
      </c>
      <c r="P21" s="182">
        <v>3</v>
      </c>
      <c r="Q21" s="182">
        <v>2</v>
      </c>
      <c r="R21" s="118">
        <f t="shared" ref="R21:R23" si="9">SUM(K21:Q21)</f>
        <v>109</v>
      </c>
      <c r="S21" s="128">
        <f t="shared" si="8"/>
        <v>73.5</v>
      </c>
      <c r="T21" s="124">
        <f t="shared" ref="T21" si="10">+D21-S21-(R21-S21)</f>
        <v>-4</v>
      </c>
    </row>
    <row r="22" spans="1:22" x14ac:dyDescent="0.25">
      <c r="B22" s="152">
        <v>3</v>
      </c>
      <c r="C22" s="30" t="s">
        <v>116</v>
      </c>
      <c r="D22" s="152"/>
      <c r="E22" s="152"/>
      <c r="F22" s="11" t="s">
        <v>106</v>
      </c>
      <c r="G22" s="12">
        <f>SUM(G23:G35)</f>
        <v>214800.85</v>
      </c>
      <c r="H22" s="4"/>
      <c r="I22" s="216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8"/>
    </row>
    <row r="23" spans="1:22" x14ac:dyDescent="0.25">
      <c r="A23" s="1" t="s">
        <v>297</v>
      </c>
      <c r="B23" s="5">
        <v>3.1</v>
      </c>
      <c r="C23" s="29" t="s">
        <v>117</v>
      </c>
      <c r="D23" s="7">
        <v>105</v>
      </c>
      <c r="E23" s="7" t="s">
        <v>118</v>
      </c>
      <c r="F23" s="8">
        <v>1970.65</v>
      </c>
      <c r="G23" s="9">
        <f>+F23*R23</f>
        <v>214800.85</v>
      </c>
      <c r="H23" s="10" t="s">
        <v>98</v>
      </c>
      <c r="I23" s="71" t="s">
        <v>298</v>
      </c>
      <c r="K23" s="182">
        <v>37</v>
      </c>
      <c r="L23" s="182">
        <v>17</v>
      </c>
      <c r="M23" s="182">
        <v>34</v>
      </c>
      <c r="N23" s="182">
        <v>4</v>
      </c>
      <c r="O23" s="182">
        <v>12</v>
      </c>
      <c r="P23" s="182">
        <v>3</v>
      </c>
      <c r="Q23" s="182">
        <v>2</v>
      </c>
      <c r="R23" s="118">
        <f t="shared" si="9"/>
        <v>109</v>
      </c>
    </row>
    <row r="24" spans="1:22" x14ac:dyDescent="0.25">
      <c r="A24" s="1" t="s">
        <v>299</v>
      </c>
      <c r="B24" s="5">
        <v>3.2</v>
      </c>
      <c r="C24" s="29" t="s">
        <v>119</v>
      </c>
      <c r="D24" s="7">
        <v>55</v>
      </c>
      <c r="E24" s="7" t="s">
        <v>120</v>
      </c>
      <c r="F24" s="8">
        <v>7585.99</v>
      </c>
      <c r="G24" s="9">
        <v>0</v>
      </c>
      <c r="H24" s="10" t="s">
        <v>98</v>
      </c>
      <c r="I24" s="71" t="s">
        <v>415</v>
      </c>
      <c r="K24" s="127">
        <f>+SUMIFS(Tabla1[Avance_Med],Tabla1[nombre_actividad],$I24,Tabla1[Sistema],"LIRA_GALERAS")</f>
        <v>11</v>
      </c>
      <c r="L24" s="127">
        <f>+SUMIFS(Tabla1[Avance_Med],Tabla1[nombre_actividad],$I24,Tabla1[Sistema],"PECO_AGROS")</f>
        <v>3</v>
      </c>
      <c r="M24" s="76">
        <f>+SUMIFS(Tabla1[Avance_Med],Tabla1[nombre_actividad],$I24,Tabla1[Sistema],"HUIMILPAN")</f>
        <v>0</v>
      </c>
      <c r="N24" s="1">
        <f>+SUMIFS(Tabla1[Avance_Med],Tabla1[nombre_actividad],$I24,Tabla1[Sistema],"BUENAVISTA")</f>
        <v>0</v>
      </c>
      <c r="O24" s="1">
        <f>+SUMIFS(Tabla1[Avance_Med],Tabla1[nombre_actividad],$I24,Tabla1[Sistema],"SAN JUAN DEL RIO")</f>
        <v>1</v>
      </c>
      <c r="P24" s="1">
        <f>+SUMIFS(Tabla1[Avance_Med],Tabla1[nombre_actividad],$I24,Tabla1[Sistema],"GIVAUDAN")</f>
        <v>0</v>
      </c>
      <c r="Q24" s="1">
        <f>+SUMIFS(Tabla1[Avance_Med],Tabla1[nombre_actividad],$I24,Tabla1[Sistema],"SAN_GIL")</f>
        <v>0</v>
      </c>
      <c r="R24" s="151"/>
    </row>
    <row r="25" spans="1:22" x14ac:dyDescent="0.25">
      <c r="A25" s="414"/>
      <c r="B25" s="412">
        <v>3.3</v>
      </c>
      <c r="C25" s="413" t="s">
        <v>121</v>
      </c>
      <c r="D25" s="73"/>
      <c r="E25" s="131"/>
      <c r="F25" s="132"/>
      <c r="G25" s="133"/>
      <c r="H25" s="134"/>
      <c r="I25" s="71"/>
      <c r="K25" s="127"/>
      <c r="L25" s="127"/>
      <c r="M25" s="76">
        <f>+SUMIFS(Tabla1[Avance_Med],Tabla1[nombre_actividad],$I25,Tabla1[Sistema],"HUIMILPAN")</f>
        <v>0</v>
      </c>
      <c r="N25" s="1">
        <f>+SUMIFS(Tabla1[Avance_Med],Tabla1[nombre_actividad],$I25,Tabla1[Sistema],"BUENAVISTA")</f>
        <v>0</v>
      </c>
      <c r="O25" s="1">
        <f>+SUMIFS(Tabla1[Avance_Med],Tabla1[nombre_actividad],$I25,Tabla1[Sistema],"SAN JUAN DEL RIO")</f>
        <v>0</v>
      </c>
      <c r="P25" s="1">
        <f>+SUMIFS(Tabla1[Avance_Med],Tabla1[nombre_actividad],$I25,Tabla1[Sistema],"GIVAUDAN")</f>
        <v>0</v>
      </c>
      <c r="Q25" s="1">
        <f>+SUMIFS(Tabla1[Avance_Med],Tabla1[nombre_actividad],$I25,Tabla1[Sistema],"SAN_GIL")</f>
        <v>0</v>
      </c>
    </row>
    <row r="26" spans="1:22" x14ac:dyDescent="0.25">
      <c r="A26" s="1" t="s">
        <v>300</v>
      </c>
      <c r="B26" s="5" t="s">
        <v>122</v>
      </c>
      <c r="C26" s="29" t="s">
        <v>123</v>
      </c>
      <c r="D26" s="7">
        <v>55</v>
      </c>
      <c r="E26" s="7" t="s">
        <v>120</v>
      </c>
      <c r="F26" s="8">
        <v>1765.59</v>
      </c>
      <c r="G26" s="9">
        <v>0</v>
      </c>
      <c r="H26" s="10" t="s">
        <v>98</v>
      </c>
      <c r="I26" s="71" t="s">
        <v>416</v>
      </c>
      <c r="K26" s="127">
        <f>+SUMIFS(Tabla1[Avance_Med],Tabla1[nombre_actividad],$I26,Tabla1[Sistema],"LIRA_GALERAS")</f>
        <v>11</v>
      </c>
      <c r="L26" s="127">
        <f>+SUMIFS(Tabla1[Avance_Med],Tabla1[nombre_actividad],$I26,Tabla1[Sistema],"PECO_AGROS")</f>
        <v>3</v>
      </c>
      <c r="M26" s="76">
        <f>+SUMIFS(Tabla1[Avance_Med],Tabla1[nombre_actividad],$I26,Tabla1[Sistema],"HUIMILPAN")</f>
        <v>0</v>
      </c>
      <c r="N26" s="1">
        <f>+SUMIFS(Tabla1[Avance_Med],Tabla1[nombre_actividad],$I26,Tabla1[Sistema],"BUENAVISTA")</f>
        <v>1</v>
      </c>
      <c r="O26" s="1">
        <f>+SUMIFS(Tabla1[Avance_Med],Tabla1[nombre_actividad],$I26,Tabla1[Sistema],"SAN JUAN DEL RIO")</f>
        <v>1</v>
      </c>
      <c r="P26" s="1">
        <f>+SUMIFS(Tabla1[Avance_Med],Tabla1[nombre_actividad],$I26,Tabla1[Sistema],"GIVAUDAN")</f>
        <v>0</v>
      </c>
      <c r="Q26" s="1">
        <f>+SUMIFS(Tabla1[Avance_Med],Tabla1[nombre_actividad],$I26,Tabla1[Sistema],"SAN_GIL")</f>
        <v>0</v>
      </c>
    </row>
    <row r="27" spans="1:22" x14ac:dyDescent="0.25">
      <c r="A27" s="1" t="s">
        <v>301</v>
      </c>
      <c r="B27" s="5" t="s">
        <v>124</v>
      </c>
      <c r="C27" s="29" t="s">
        <v>125</v>
      </c>
      <c r="D27" s="7">
        <v>100</v>
      </c>
      <c r="E27" s="5" t="s">
        <v>126</v>
      </c>
      <c r="F27" s="8">
        <v>1934.59</v>
      </c>
      <c r="G27" s="9">
        <v>0</v>
      </c>
      <c r="H27" s="10" t="s">
        <v>98</v>
      </c>
      <c r="I27" s="71" t="s">
        <v>423</v>
      </c>
      <c r="K27" s="127">
        <f>+SUMIFS(Tabla1[Avance_Med],Tabla1[nombre_actividad],$I27,Tabla1[Sistema],"LIRA_GALERAS")</f>
        <v>11</v>
      </c>
      <c r="L27" s="127">
        <f>+SUMIFS(Tabla1[Avance_Med],Tabla1[nombre_actividad],$I27,Tabla1[Sistema],"PECO_AGROS")</f>
        <v>3</v>
      </c>
      <c r="M27" s="76">
        <f>+SUMIFS(Tabla1[Avance_Med],Tabla1[nombre_actividad],$I27,Tabla1[Sistema],"HUIMILPAN")</f>
        <v>0</v>
      </c>
      <c r="N27" s="1">
        <f>+SUMIFS(Tabla1[Avance_Med],Tabla1[nombre_actividad],$I27,Tabla1[Sistema],"BUENAVISTA")</f>
        <v>1</v>
      </c>
      <c r="O27" s="1">
        <f>+SUMIFS(Tabla1[Avance_Med],Tabla1[nombre_actividad],$I27,Tabla1[Sistema],"SAN JUAN DEL RIO")</f>
        <v>1</v>
      </c>
      <c r="P27" s="1">
        <f>+SUMIFS(Tabla1[Avance_Med],Tabla1[nombre_actividad],$I27,Tabla1[Sistema],"GIVAUDAN")</f>
        <v>0</v>
      </c>
      <c r="Q27" s="1">
        <f>+SUMIFS(Tabla1[Avance_Med],Tabla1[nombre_actividad],$I27,Tabla1[Sistema],"SAN_GIL")</f>
        <v>0</v>
      </c>
    </row>
    <row r="28" spans="1:22" x14ac:dyDescent="0.25">
      <c r="A28" s="1" t="s">
        <v>302</v>
      </c>
      <c r="B28" s="5" t="s">
        <v>127</v>
      </c>
      <c r="C28" s="29" t="s">
        <v>128</v>
      </c>
      <c r="D28" s="7">
        <v>100</v>
      </c>
      <c r="E28" s="5" t="s">
        <v>126</v>
      </c>
      <c r="F28" s="8">
        <v>1960.59</v>
      </c>
      <c r="G28" s="9">
        <v>0</v>
      </c>
      <c r="H28" s="10" t="s">
        <v>98</v>
      </c>
      <c r="I28" s="71" t="s">
        <v>417</v>
      </c>
      <c r="K28" s="127">
        <f>+SUMIFS(Tabla1[Avance_Med],Tabla1[nombre_actividad],$I28,Tabla1[Sistema],"LIRA_GALERAS")</f>
        <v>11</v>
      </c>
      <c r="L28" s="127">
        <f>+SUMIFS(Tabla1[Avance_Med],Tabla1[nombre_actividad],$I28,Tabla1[Sistema],"PECO_AGROS")</f>
        <v>3</v>
      </c>
      <c r="M28" s="76">
        <f>+SUMIFS(Tabla1[Avance_Med],Tabla1[nombre_actividad],$I28,Tabla1[Sistema],"HUIMILPAN")</f>
        <v>0</v>
      </c>
      <c r="N28" s="1">
        <f>+SUMIFS(Tabla1[Avance_Med],Tabla1[nombre_actividad],$I28,Tabla1[Sistema],"BUENAVISTA")</f>
        <v>1</v>
      </c>
      <c r="O28" s="1">
        <f>+SUMIFS(Tabla1[Avance_Med],Tabla1[nombre_actividad],$I28,Tabla1[Sistema],"SAN JUAN DEL RIO")</f>
        <v>1</v>
      </c>
      <c r="P28" s="1">
        <f>+SUMIFS(Tabla1[Avance_Med],Tabla1[nombre_actividad],$I28,Tabla1[Sistema],"GIVAUDAN")</f>
        <v>0</v>
      </c>
      <c r="Q28" s="1">
        <f>+SUMIFS(Tabla1[Avance_Med],Tabla1[nombre_actividad],$I28,Tabla1[Sistema],"SAN_GIL")</f>
        <v>0</v>
      </c>
    </row>
    <row r="29" spans="1:22" x14ac:dyDescent="0.25">
      <c r="A29" s="1" t="s">
        <v>303</v>
      </c>
      <c r="B29" s="5" t="s">
        <v>129</v>
      </c>
      <c r="C29" s="29" t="s">
        <v>130</v>
      </c>
      <c r="D29" s="7">
        <v>170</v>
      </c>
      <c r="E29" s="5" t="s">
        <v>126</v>
      </c>
      <c r="F29" s="8">
        <v>2220.59</v>
      </c>
      <c r="G29" s="9">
        <v>0</v>
      </c>
      <c r="H29" s="10" t="s">
        <v>98</v>
      </c>
      <c r="I29" s="71" t="s">
        <v>424</v>
      </c>
      <c r="K29" s="127">
        <f>+SUMIFS(Tabla1[Avance_Med],Tabla1[nombre_actividad],$I29,Tabla1[Sistema],"LIRA_GALERAS")</f>
        <v>0</v>
      </c>
      <c r="L29" s="127">
        <f>+SUMIFS(Tabla1[Avance_Med],Tabla1[nombre_actividad],$I29,Tabla1[Sistema],"PECO_AGROS")</f>
        <v>2</v>
      </c>
      <c r="M29" s="76">
        <f>+SUMIFS(Tabla1[Avance_Med],Tabla1[nombre_actividad],$I29,Tabla1[Sistema],"HUIMILPAN")</f>
        <v>0</v>
      </c>
      <c r="N29" s="1">
        <f>+SUMIFS(Tabla1[Avance_Med],Tabla1[nombre_actividad],$I29,Tabla1[Sistema],"BUENAVISTA")</f>
        <v>0</v>
      </c>
      <c r="O29" s="1">
        <f>+SUMIFS(Tabla1[Avance_Med],Tabla1[nombre_actividad],$I29,Tabla1[Sistema],"SAN JUAN DEL RIO")</f>
        <v>0</v>
      </c>
      <c r="P29" s="1">
        <f>+SUMIFS(Tabla1[Avance_Med],Tabla1[nombre_actividad],$I29,Tabla1[Sistema],"GIVAUDAN")</f>
        <v>0</v>
      </c>
      <c r="Q29" s="1">
        <f>+SUMIFS(Tabla1[Avance_Med],Tabla1[nombre_actividad],$I29,Tabla1[Sistema],"SAN_GIL")</f>
        <v>0</v>
      </c>
    </row>
    <row r="30" spans="1:22" x14ac:dyDescent="0.25">
      <c r="A30" s="1" t="s">
        <v>304</v>
      </c>
      <c r="B30" s="5" t="s">
        <v>131</v>
      </c>
      <c r="C30" s="29" t="s">
        <v>132</v>
      </c>
      <c r="D30" s="7">
        <v>170</v>
      </c>
      <c r="E30" s="5" t="s">
        <v>126</v>
      </c>
      <c r="F30" s="8">
        <v>2220.59</v>
      </c>
      <c r="G30" s="9">
        <v>0</v>
      </c>
      <c r="H30" s="10" t="s">
        <v>98</v>
      </c>
      <c r="I30" s="71" t="s">
        <v>422</v>
      </c>
      <c r="K30" s="127">
        <f>+SUMIFS(Tabla1[Avance_Med],Tabla1[nombre_actividad],$I30,Tabla1[Sistema],"LIRA_GALERAS")</f>
        <v>11</v>
      </c>
      <c r="L30" s="127">
        <f>+SUMIFS(Tabla1[Avance_Med],Tabla1[nombre_actividad],$I30,Tabla1[Sistema],"PECO_AGROS")</f>
        <v>3</v>
      </c>
      <c r="M30" s="76">
        <f>+SUMIFS(Tabla1[Avance_Med],Tabla1[nombre_actividad],$I30,Tabla1[Sistema],"HUIMILPAN")</f>
        <v>0</v>
      </c>
      <c r="N30" s="1">
        <f>+SUMIFS(Tabla1[Avance_Med],Tabla1[nombre_actividad],$I30,Tabla1[Sistema],"BUENAVISTA")</f>
        <v>1</v>
      </c>
      <c r="O30" s="1">
        <f>+SUMIFS(Tabla1[Avance_Med],Tabla1[nombre_actividad],$I30,Tabla1[Sistema],"SAN JUAN DEL RIO")</f>
        <v>1</v>
      </c>
      <c r="P30" s="1">
        <f>+SUMIFS(Tabla1[Avance_Med],Tabla1[nombre_actividad],$I30,Tabla1[Sistema],"GIVAUDAN")</f>
        <v>0</v>
      </c>
      <c r="Q30" s="1">
        <f>+SUMIFS(Tabla1[Avance_Med],Tabla1[nombre_actividad],$I30,Tabla1[Sistema],"SAN_GIL")</f>
        <v>0</v>
      </c>
    </row>
    <row r="31" spans="1:22" x14ac:dyDescent="0.25">
      <c r="A31" s="1" t="s">
        <v>305</v>
      </c>
      <c r="B31" s="5" t="s">
        <v>133</v>
      </c>
      <c r="C31" s="29" t="s">
        <v>134</v>
      </c>
      <c r="D31" s="7">
        <v>100</v>
      </c>
      <c r="E31" s="5" t="s">
        <v>126</v>
      </c>
      <c r="F31" s="8">
        <v>2090.59</v>
      </c>
      <c r="G31" s="9">
        <v>0</v>
      </c>
      <c r="H31" s="10" t="s">
        <v>98</v>
      </c>
      <c r="I31" s="71" t="s">
        <v>418</v>
      </c>
      <c r="K31" s="127">
        <f>+SUMIFS(Tabla1[Avance_Med],Tabla1[nombre_actividad],$I31,Tabla1[Sistema],"LIRA_GALERAS")</f>
        <v>0</v>
      </c>
      <c r="L31" s="127">
        <f>+SUMIFS(Tabla1[Avance_Med],Tabla1[nombre_actividad],$I31,Tabla1[Sistema],"PECO_AGROS")</f>
        <v>2</v>
      </c>
      <c r="M31" s="76">
        <f>+SUMIFS(Tabla1[Avance_Med],Tabla1[nombre_actividad],$I31,Tabla1[Sistema],"HUIMILPAN")</f>
        <v>0</v>
      </c>
      <c r="N31" s="1">
        <f>+SUMIFS(Tabla1[Avance_Med],Tabla1[nombre_actividad],$I31,Tabla1[Sistema],"BUENAVISTA")</f>
        <v>0</v>
      </c>
      <c r="O31" s="1">
        <f>+SUMIFS(Tabla1[Avance_Med],Tabla1[nombre_actividad],$I31,Tabla1[Sistema],"SAN JUAN DEL RIO")</f>
        <v>1</v>
      </c>
      <c r="P31" s="1">
        <f>+SUMIFS(Tabla1[Avance_Med],Tabla1[nombre_actividad],$I31,Tabla1[Sistema],"GIVAUDAN")</f>
        <v>0</v>
      </c>
      <c r="Q31" s="1">
        <f>+SUMIFS(Tabla1[Avance_Med],Tabla1[nombre_actividad],$I31,Tabla1[Sistema],"SAN_GIL")</f>
        <v>0</v>
      </c>
    </row>
    <row r="32" spans="1:22" x14ac:dyDescent="0.25">
      <c r="A32" s="1" t="s">
        <v>306</v>
      </c>
      <c r="B32" s="5" t="s">
        <v>135</v>
      </c>
      <c r="C32" s="29" t="s">
        <v>136</v>
      </c>
      <c r="D32" s="7">
        <v>100</v>
      </c>
      <c r="E32" s="5" t="s">
        <v>126</v>
      </c>
      <c r="F32" s="8">
        <v>2090.59</v>
      </c>
      <c r="G32" s="9">
        <v>0</v>
      </c>
      <c r="H32" s="10" t="s">
        <v>98</v>
      </c>
      <c r="I32" s="71" t="s">
        <v>425</v>
      </c>
      <c r="K32" s="127">
        <f>+SUMIFS(Tabla1[Avance_Med],Tabla1[nombre_actividad],$I32,Tabla1[Sistema],"LIRA_GALERAS")</f>
        <v>1</v>
      </c>
      <c r="L32" s="127">
        <f>+SUMIFS(Tabla1[Avance_Med],Tabla1[nombre_actividad],$I32,Tabla1[Sistema],"PECO_AGROS")</f>
        <v>2</v>
      </c>
      <c r="M32" s="76">
        <f>+SUMIFS(Tabla1[Avance_Med],Tabla1[nombre_actividad],$I32,Tabla1[Sistema],"HUIMILPAN")</f>
        <v>0</v>
      </c>
      <c r="N32" s="1">
        <f>+SUMIFS(Tabla1[Avance_Med],Tabla1[nombre_actividad],$I32,Tabla1[Sistema],"BUENAVISTA")</f>
        <v>0</v>
      </c>
      <c r="O32" s="1">
        <f>+SUMIFS(Tabla1[Avance_Med],Tabla1[nombre_actividad],$I32,Tabla1[Sistema],"SAN JUAN DEL RIO")</f>
        <v>1</v>
      </c>
      <c r="P32" s="1">
        <f>+SUMIFS(Tabla1[Avance_Med],Tabla1[nombre_actividad],$I32,Tabla1[Sistema],"GIVAUDAN")</f>
        <v>0</v>
      </c>
      <c r="Q32" s="1">
        <f>+SUMIFS(Tabla1[Avance_Med],Tabla1[nombre_actividad],$I32,Tabla1[Sistema],"SAN_GIL")</f>
        <v>0</v>
      </c>
    </row>
    <row r="33" spans="1:26" x14ac:dyDescent="0.25">
      <c r="A33" s="1" t="s">
        <v>307</v>
      </c>
      <c r="B33" s="5" t="s">
        <v>137</v>
      </c>
      <c r="C33" s="29" t="s">
        <v>138</v>
      </c>
      <c r="D33" s="7">
        <v>55</v>
      </c>
      <c r="E33" s="5" t="s">
        <v>126</v>
      </c>
      <c r="F33" s="8">
        <v>656</v>
      </c>
      <c r="G33" s="9">
        <v>0</v>
      </c>
      <c r="H33" s="10" t="s">
        <v>98</v>
      </c>
      <c r="I33" s="71" t="s">
        <v>420</v>
      </c>
      <c r="K33" s="127">
        <f>+SUMIFS(Tabla1[Avance_Med],Tabla1[nombre_actividad],$I33,Tabla1[Sistema],"LIRA_GALERAS")</f>
        <v>11</v>
      </c>
      <c r="L33" s="127">
        <f>+SUMIFS(Tabla1[Avance_Med],Tabla1[nombre_actividad],$I33,Tabla1[Sistema],"PECO_AGROS")</f>
        <v>3</v>
      </c>
      <c r="M33" s="76">
        <f>+SUMIFS(Tabla1[Avance_Med],Tabla1[nombre_actividad],$I33,Tabla1[Sistema],"HUIMILPAN")</f>
        <v>0</v>
      </c>
      <c r="N33" s="1">
        <f>+SUMIFS(Tabla1[Avance_Med],Tabla1[nombre_actividad],$I33,Tabla1[Sistema],"BUENAVISTA")</f>
        <v>0</v>
      </c>
      <c r="O33" s="1">
        <f>+SUMIFS(Tabla1[Avance_Med],Tabla1[nombre_actividad],$I33,Tabla1[Sistema],"SAN JUAN DEL RIO")</f>
        <v>0</v>
      </c>
      <c r="P33" s="1">
        <f>+SUMIFS(Tabla1[Avance_Med],Tabla1[nombre_actividad],$I33,Tabla1[Sistema],"GIVAUDAN")</f>
        <v>0</v>
      </c>
      <c r="Q33" s="1">
        <f>+SUMIFS(Tabla1[Avance_Med],Tabla1[nombre_actividad],$I33,Tabla1[Sistema],"SAN_GIL")</f>
        <v>0</v>
      </c>
    </row>
    <row r="34" spans="1:26" x14ac:dyDescent="0.25">
      <c r="A34" s="1" t="s">
        <v>308</v>
      </c>
      <c r="B34" s="5" t="s">
        <v>139</v>
      </c>
      <c r="C34" s="29" t="s">
        <v>140</v>
      </c>
      <c r="D34" s="7">
        <v>55</v>
      </c>
      <c r="E34" s="5" t="s">
        <v>126</v>
      </c>
      <c r="F34" s="8">
        <v>4676</v>
      </c>
      <c r="G34" s="9">
        <v>0</v>
      </c>
      <c r="H34" s="10" t="s">
        <v>98</v>
      </c>
      <c r="I34" s="71" t="s">
        <v>419</v>
      </c>
      <c r="K34" s="127">
        <f>+SUMIFS(Tabla1[Avance_Med],Tabla1[nombre_actividad],$I34,Tabla1[Sistema],"LIRA_GALERAS")</f>
        <v>11</v>
      </c>
      <c r="L34" s="127">
        <f>+SUMIFS(Tabla1[Avance_Med],Tabla1[nombre_actividad],$I34,Tabla1[Sistema],"PECO_AGROS")</f>
        <v>3</v>
      </c>
      <c r="M34" s="76">
        <f>+SUMIFS(Tabla1[Avance_Med],Tabla1[nombre_actividad],$I34,Tabla1[Sistema],"HUIMILPAN")</f>
        <v>0</v>
      </c>
      <c r="N34" s="1">
        <f>+SUMIFS(Tabla1[Avance_Med],Tabla1[nombre_actividad],$I34,Tabla1[Sistema],"BUENAVISTA")</f>
        <v>0</v>
      </c>
      <c r="O34" s="1">
        <f>+SUMIFS(Tabla1[Avance_Med],Tabla1[nombre_actividad],$I34,Tabla1[Sistema],"SAN JUAN DEL RIO")</f>
        <v>0</v>
      </c>
      <c r="P34" s="1">
        <f>+SUMIFS(Tabla1[Avance_Med],Tabla1[nombre_actividad],$I34,Tabla1[Sistema],"GIVAUDAN")</f>
        <v>0</v>
      </c>
      <c r="Q34" s="1">
        <f>+SUMIFS(Tabla1[Avance_Med],Tabla1[nombre_actividad],$I34,Tabla1[Sistema],"SAN_GIL")</f>
        <v>0</v>
      </c>
    </row>
    <row r="35" spans="1:26" ht="34.5" customHeight="1" x14ac:dyDescent="0.25">
      <c r="A35" s="1" t="s">
        <v>309</v>
      </c>
      <c r="B35" s="5">
        <v>3.4</v>
      </c>
      <c r="C35" s="29" t="s">
        <v>141</v>
      </c>
      <c r="D35" s="7">
        <v>105</v>
      </c>
      <c r="E35" s="5" t="s">
        <v>97</v>
      </c>
      <c r="F35" s="8">
        <v>4124.2700000000004</v>
      </c>
      <c r="G35" s="9">
        <v>0</v>
      </c>
      <c r="H35" s="10" t="s">
        <v>98</v>
      </c>
      <c r="I35" s="71" t="s">
        <v>421</v>
      </c>
      <c r="K35" s="127"/>
    </row>
    <row r="36" spans="1:26" x14ac:dyDescent="0.25">
      <c r="B36" s="152">
        <v>4</v>
      </c>
      <c r="C36" s="30" t="s">
        <v>142</v>
      </c>
      <c r="D36" s="152"/>
      <c r="E36" s="152"/>
      <c r="F36" s="11" t="s">
        <v>106</v>
      </c>
      <c r="G36" s="12">
        <v>0</v>
      </c>
      <c r="H36" s="4"/>
      <c r="I36" s="216"/>
      <c r="J36" s="217"/>
      <c r="K36" s="217"/>
      <c r="L36" s="217"/>
      <c r="M36" s="217"/>
      <c r="N36" s="217"/>
      <c r="O36" s="217"/>
      <c r="P36" s="217"/>
      <c r="Q36" s="217"/>
      <c r="R36" s="217"/>
      <c r="S36" s="217"/>
      <c r="T36" s="218"/>
    </row>
    <row r="37" spans="1:26" x14ac:dyDescent="0.25">
      <c r="A37" s="1" t="s">
        <v>310</v>
      </c>
      <c r="B37" s="5">
        <v>4.0999999999999996</v>
      </c>
      <c r="C37" s="29" t="s">
        <v>143</v>
      </c>
      <c r="D37" s="7">
        <v>105</v>
      </c>
      <c r="E37" s="5" t="s">
        <v>97</v>
      </c>
      <c r="F37" s="8">
        <v>5020.99</v>
      </c>
      <c r="G37" s="9">
        <v>0</v>
      </c>
      <c r="H37" s="10" t="s">
        <v>98</v>
      </c>
      <c r="I37" s="71" t="s">
        <v>426</v>
      </c>
    </row>
    <row r="38" spans="1:26" x14ac:dyDescent="0.25">
      <c r="A38" s="1" t="s">
        <v>311</v>
      </c>
      <c r="B38" s="5">
        <v>4.2</v>
      </c>
      <c r="C38" s="29" t="s">
        <v>144</v>
      </c>
      <c r="D38" s="7">
        <v>105</v>
      </c>
      <c r="E38" s="5" t="s">
        <v>97</v>
      </c>
      <c r="F38" s="8">
        <v>3652.99</v>
      </c>
      <c r="G38" s="9">
        <v>0</v>
      </c>
      <c r="H38" s="10" t="s">
        <v>98</v>
      </c>
      <c r="I38" s="71" t="s">
        <v>427</v>
      </c>
    </row>
    <row r="39" spans="1:26" x14ac:dyDescent="0.25">
      <c r="A39" s="1" t="s">
        <v>312</v>
      </c>
      <c r="B39" s="5">
        <v>4.3</v>
      </c>
      <c r="C39" s="29" t="s">
        <v>145</v>
      </c>
      <c r="D39" s="7">
        <v>105</v>
      </c>
      <c r="E39" s="5" t="s">
        <v>97</v>
      </c>
      <c r="F39" s="8">
        <v>3201.98</v>
      </c>
      <c r="G39" s="9">
        <v>0</v>
      </c>
      <c r="H39" s="10" t="s">
        <v>98</v>
      </c>
      <c r="I39" s="71" t="s">
        <v>428</v>
      </c>
    </row>
    <row r="40" spans="1:26" x14ac:dyDescent="0.25">
      <c r="A40" s="1" t="s">
        <v>313</v>
      </c>
      <c r="B40" s="5">
        <v>4.4000000000000004</v>
      </c>
      <c r="C40" s="29" t="s">
        <v>146</v>
      </c>
      <c r="D40" s="7">
        <v>105</v>
      </c>
      <c r="E40" s="5" t="s">
        <v>97</v>
      </c>
      <c r="F40" s="8">
        <v>6840</v>
      </c>
      <c r="G40" s="9">
        <v>0</v>
      </c>
      <c r="H40" s="10" t="s">
        <v>98</v>
      </c>
      <c r="I40" s="71" t="s">
        <v>429</v>
      </c>
    </row>
    <row r="41" spans="1:26" x14ac:dyDescent="0.25">
      <c r="A41" s="1" t="s">
        <v>314</v>
      </c>
      <c r="B41" s="5">
        <v>4.5</v>
      </c>
      <c r="C41" s="29" t="s">
        <v>147</v>
      </c>
      <c r="D41" s="7">
        <v>105</v>
      </c>
      <c r="E41" s="5" t="s">
        <v>97</v>
      </c>
      <c r="F41" s="8">
        <v>2052</v>
      </c>
      <c r="G41" s="9">
        <v>0</v>
      </c>
      <c r="H41" s="10" t="s">
        <v>98</v>
      </c>
      <c r="I41" s="71" t="s">
        <v>430</v>
      </c>
    </row>
    <row r="42" spans="1:26" x14ac:dyDescent="0.25">
      <c r="A42" s="1" t="s">
        <v>315</v>
      </c>
      <c r="B42" s="5">
        <v>4.5999999999999996</v>
      </c>
      <c r="C42" s="29" t="s">
        <v>148</v>
      </c>
      <c r="D42" s="7">
        <v>105</v>
      </c>
      <c r="E42" s="5" t="s">
        <v>97</v>
      </c>
      <c r="F42" s="8">
        <v>3420</v>
      </c>
      <c r="G42" s="9">
        <v>0</v>
      </c>
      <c r="H42" s="10" t="s">
        <v>98</v>
      </c>
      <c r="I42" s="71" t="s">
        <v>431</v>
      </c>
    </row>
    <row r="43" spans="1:26" x14ac:dyDescent="0.25">
      <c r="A43" s="1" t="s">
        <v>316</v>
      </c>
      <c r="B43" s="5">
        <v>4.7</v>
      </c>
      <c r="C43" s="29" t="s">
        <v>149</v>
      </c>
      <c r="D43" s="7">
        <v>105</v>
      </c>
      <c r="E43" s="5" t="s">
        <v>97</v>
      </c>
      <c r="F43" s="8">
        <v>4212.3599999999997</v>
      </c>
      <c r="G43" s="9">
        <v>0</v>
      </c>
      <c r="H43" s="10" t="s">
        <v>98</v>
      </c>
      <c r="I43" s="71" t="s">
        <v>432</v>
      </c>
    </row>
    <row r="44" spans="1:26" ht="18.75" x14ac:dyDescent="0.25">
      <c r="A44" s="1" t="s">
        <v>317</v>
      </c>
      <c r="B44" s="5">
        <v>4.8</v>
      </c>
      <c r="C44" s="29" t="s">
        <v>150</v>
      </c>
      <c r="D44" s="7">
        <v>105</v>
      </c>
      <c r="E44" s="5" t="s">
        <v>97</v>
      </c>
      <c r="F44" s="8">
        <v>1368</v>
      </c>
      <c r="G44" s="9">
        <v>0</v>
      </c>
      <c r="H44" s="10" t="s">
        <v>98</v>
      </c>
      <c r="I44" s="71" t="s">
        <v>433</v>
      </c>
      <c r="U44" s="61"/>
      <c r="V44" s="61"/>
      <c r="W44" s="431">
        <v>17.399999999999999</v>
      </c>
      <c r="X44" s="61"/>
      <c r="Y44" s="61"/>
      <c r="Z44" s="61"/>
    </row>
    <row r="45" spans="1:26" ht="44.1" customHeight="1" x14ac:dyDescent="0.25">
      <c r="A45" s="1" t="s">
        <v>318</v>
      </c>
      <c r="B45" s="5">
        <v>4.9000000000000004</v>
      </c>
      <c r="C45" s="29" t="s">
        <v>151</v>
      </c>
      <c r="D45" s="7">
        <v>100</v>
      </c>
      <c r="E45" s="16" t="s">
        <v>152</v>
      </c>
      <c r="F45" s="8">
        <v>7244.35</v>
      </c>
      <c r="G45" s="9">
        <v>0</v>
      </c>
      <c r="H45" s="10" t="s">
        <v>98</v>
      </c>
      <c r="I45" s="71" t="s">
        <v>434</v>
      </c>
      <c r="K45" s="1">
        <v>12</v>
      </c>
      <c r="L45" s="1">
        <v>12</v>
      </c>
      <c r="M45" s="1"/>
      <c r="N45" s="1"/>
      <c r="O45" s="1"/>
      <c r="P45" s="1"/>
      <c r="Q45" s="1"/>
      <c r="R45" s="1"/>
      <c r="S45" s="1"/>
      <c r="T45" s="1"/>
      <c r="U45" s="1">
        <v>24</v>
      </c>
      <c r="V45" s="428">
        <f>+F45*U45</f>
        <v>173864.40000000002</v>
      </c>
      <c r="W45" s="430">
        <v>638.5</v>
      </c>
      <c r="X45" s="428">
        <f>+W45*$W$44</f>
        <v>11109.9</v>
      </c>
      <c r="Y45" s="229"/>
      <c r="Z45" s="61"/>
    </row>
    <row r="46" spans="1:26" ht="44.1" customHeight="1" x14ac:dyDescent="0.25">
      <c r="A46" s="1" t="s">
        <v>319</v>
      </c>
      <c r="B46" s="434" t="s">
        <v>523</v>
      </c>
      <c r="C46" s="29" t="s">
        <v>153</v>
      </c>
      <c r="D46" s="7">
        <v>500</v>
      </c>
      <c r="E46" s="16" t="s">
        <v>152</v>
      </c>
      <c r="F46" s="8">
        <v>6977.93</v>
      </c>
      <c r="G46" s="9">
        <v>0</v>
      </c>
      <c r="H46" s="10" t="s">
        <v>98</v>
      </c>
      <c r="I46" s="71" t="s">
        <v>435</v>
      </c>
      <c r="K46" s="1">
        <v>12</v>
      </c>
      <c r="L46" s="1">
        <v>12</v>
      </c>
      <c r="M46" s="1"/>
      <c r="N46" s="1"/>
      <c r="O46" s="1"/>
      <c r="P46" s="1"/>
      <c r="Q46" s="1"/>
      <c r="R46" s="1"/>
      <c r="S46" s="1"/>
      <c r="T46" s="1"/>
      <c r="U46" s="1">
        <v>24</v>
      </c>
      <c r="V46" s="428">
        <f>+F46*U46</f>
        <v>167470.32</v>
      </c>
      <c r="W46" s="430">
        <v>1210.95</v>
      </c>
      <c r="X46" s="432">
        <f>+W46*$W$44</f>
        <v>21070.53</v>
      </c>
      <c r="Y46" s="61"/>
      <c r="Z46" s="61"/>
    </row>
    <row r="47" spans="1:26" ht="44.1" customHeight="1" x14ac:dyDescent="0.25">
      <c r="A47" s="1" t="s">
        <v>320</v>
      </c>
      <c r="B47" s="17">
        <v>4.1100000000000003</v>
      </c>
      <c r="C47" s="29" t="s">
        <v>154</v>
      </c>
      <c r="D47" s="7">
        <v>800</v>
      </c>
      <c r="E47" s="16" t="s">
        <v>152</v>
      </c>
      <c r="F47" s="8">
        <v>8275.99</v>
      </c>
      <c r="G47" s="9"/>
      <c r="H47" s="10" t="s">
        <v>98</v>
      </c>
      <c r="I47" s="71" t="s">
        <v>436</v>
      </c>
      <c r="U47" s="61"/>
      <c r="V47" s="61"/>
      <c r="W47" s="61"/>
      <c r="X47" s="433"/>
    </row>
    <row r="48" spans="1:26" ht="27" x14ac:dyDescent="0.25">
      <c r="A48" s="1" t="s">
        <v>321</v>
      </c>
      <c r="B48" s="17">
        <v>4.12</v>
      </c>
      <c r="C48" s="29" t="s">
        <v>155</v>
      </c>
      <c r="D48" s="7">
        <v>105</v>
      </c>
      <c r="E48" s="7" t="s">
        <v>97</v>
      </c>
      <c r="F48" s="8">
        <v>4409.2299999999996</v>
      </c>
      <c r="G48" s="9">
        <v>0</v>
      </c>
      <c r="H48" s="10" t="s">
        <v>98</v>
      </c>
      <c r="I48" s="71" t="s">
        <v>437</v>
      </c>
      <c r="U48" s="61"/>
      <c r="V48" s="61"/>
      <c r="W48" s="61"/>
      <c r="X48" s="229">
        <f>SUM(X45:X47)</f>
        <v>32180.43</v>
      </c>
      <c r="Y48" s="229">
        <f>+X48*0.16</f>
        <v>5148.8688000000002</v>
      </c>
      <c r="Z48" s="429">
        <f>SUM(X48:Y48)</f>
        <v>37329.298800000004</v>
      </c>
    </row>
    <row r="49" spans="1:11" x14ac:dyDescent="0.25">
      <c r="B49" s="152">
        <v>5</v>
      </c>
      <c r="C49" s="30" t="s">
        <v>156</v>
      </c>
      <c r="D49" s="152"/>
      <c r="E49" s="152"/>
      <c r="F49" s="11" t="s">
        <v>106</v>
      </c>
      <c r="G49" s="12">
        <v>0</v>
      </c>
      <c r="H49" s="4"/>
    </row>
    <row r="50" spans="1:11" x14ac:dyDescent="0.25">
      <c r="B50" s="5">
        <v>5.0999999999999996</v>
      </c>
      <c r="C50" s="29" t="s">
        <v>157</v>
      </c>
      <c r="D50" s="6"/>
      <c r="E50" s="6" t="s">
        <v>158</v>
      </c>
      <c r="F50" s="8">
        <v>0</v>
      </c>
      <c r="G50" s="9">
        <v>0</v>
      </c>
      <c r="H50" s="10" t="s">
        <v>98</v>
      </c>
    </row>
    <row r="51" spans="1:11" x14ac:dyDescent="0.25">
      <c r="B51" s="5">
        <v>5.2</v>
      </c>
      <c r="C51" s="29" t="s">
        <v>159</v>
      </c>
      <c r="D51" s="6"/>
      <c r="E51" s="6" t="s">
        <v>158</v>
      </c>
      <c r="F51" s="8">
        <v>0</v>
      </c>
      <c r="G51" s="9">
        <v>0</v>
      </c>
      <c r="H51" s="10" t="s">
        <v>98</v>
      </c>
    </row>
    <row r="52" spans="1:11" ht="17.25" x14ac:dyDescent="0.3">
      <c r="F52" s="18" t="s">
        <v>160</v>
      </c>
      <c r="G52" s="246">
        <f>SUM(G6+G13+G22+G36+G49+G50+G51)</f>
        <v>9070780.8123000003</v>
      </c>
      <c r="H52" s="20" t="s">
        <v>98</v>
      </c>
    </row>
    <row r="53" spans="1:11" x14ac:dyDescent="0.25">
      <c r="B53" s="22"/>
      <c r="C53" s="22"/>
      <c r="D53" s="22"/>
      <c r="E53" s="22"/>
      <c r="F53" s="22"/>
      <c r="G53" s="22"/>
      <c r="H53" s="22"/>
    </row>
    <row r="55" spans="1:11" x14ac:dyDescent="0.25">
      <c r="A55" s="1" t="s">
        <v>563</v>
      </c>
      <c r="B55" s="5" t="s">
        <v>586</v>
      </c>
      <c r="C55" s="29" t="s">
        <v>548</v>
      </c>
      <c r="D55" s="6">
        <v>357</v>
      </c>
      <c r="E55" s="6" t="s">
        <v>562</v>
      </c>
      <c r="F55" s="8">
        <v>1913.01</v>
      </c>
      <c r="G55" s="9">
        <f>+D55*F55</f>
        <v>682944.57</v>
      </c>
      <c r="H55" s="10" t="s">
        <v>98</v>
      </c>
      <c r="I55" s="26" t="s">
        <v>555</v>
      </c>
      <c r="J55" s="473">
        <f>F55/$F$17</f>
        <v>0.13967369241867134</v>
      </c>
      <c r="K55" s="26">
        <f>+J55*F17</f>
        <v>1913.01</v>
      </c>
    </row>
    <row r="56" spans="1:11" x14ac:dyDescent="0.25">
      <c r="A56" s="1" t="s">
        <v>563</v>
      </c>
      <c r="B56" s="5" t="s">
        <v>587</v>
      </c>
      <c r="C56" s="29" t="s">
        <v>550</v>
      </c>
      <c r="D56" s="6">
        <v>252</v>
      </c>
      <c r="E56" s="6" t="s">
        <v>562</v>
      </c>
      <c r="F56" s="8">
        <v>3029.6</v>
      </c>
      <c r="G56" s="9">
        <f t="shared" ref="G56:G58" si="11">+D56*F56</f>
        <v>763459.2</v>
      </c>
      <c r="H56" s="10" t="s">
        <v>98</v>
      </c>
      <c r="I56" t="s">
        <v>556</v>
      </c>
      <c r="J56" s="473">
        <f t="shared" ref="J56:J58" si="12">F56/$F$17</f>
        <v>0.22119874885735394</v>
      </c>
    </row>
    <row r="57" spans="1:11" x14ac:dyDescent="0.25">
      <c r="A57" s="1" t="s">
        <v>563</v>
      </c>
      <c r="B57" s="5" t="s">
        <v>588</v>
      </c>
      <c r="C57" s="29" t="s">
        <v>551</v>
      </c>
      <c r="D57" s="6">
        <v>372</v>
      </c>
      <c r="E57" s="6" t="s">
        <v>562</v>
      </c>
      <c r="F57" s="8">
        <v>1821.08</v>
      </c>
      <c r="G57" s="9">
        <f t="shared" si="11"/>
        <v>677441.76</v>
      </c>
      <c r="H57" s="10" t="s">
        <v>98</v>
      </c>
      <c r="I57" t="s">
        <v>557</v>
      </c>
      <c r="J57" s="473">
        <f t="shared" si="12"/>
        <v>0.13296165090082854</v>
      </c>
    </row>
    <row r="58" spans="1:11" x14ac:dyDescent="0.25">
      <c r="B58" s="5"/>
      <c r="C58" s="29" t="s">
        <v>591</v>
      </c>
      <c r="D58" s="6">
        <v>7</v>
      </c>
      <c r="E58" s="6" t="s">
        <v>126</v>
      </c>
      <c r="F58" s="8">
        <v>19213.189999999999</v>
      </c>
      <c r="G58" s="9">
        <f t="shared" si="11"/>
        <v>134492.32999999999</v>
      </c>
      <c r="H58" s="10" t="s">
        <v>98</v>
      </c>
      <c r="I58" t="s">
        <v>589</v>
      </c>
      <c r="J58" s="473">
        <f t="shared" si="12"/>
        <v>1.4028035349744601</v>
      </c>
    </row>
    <row r="65" spans="2:12" ht="15.75" thickBot="1" x14ac:dyDescent="0.3">
      <c r="C65" s="451">
        <v>46258</v>
      </c>
      <c r="E65" s="465">
        <f>+$E$67*$J$67</f>
        <v>55735</v>
      </c>
      <c r="F65" s="465">
        <f>+$F$67*$J$67</f>
        <v>71000</v>
      </c>
      <c r="G65" s="465">
        <f>+$G$68*$J$68+$G$69*$J$69</f>
        <v>215000</v>
      </c>
      <c r="H65" s="465">
        <f>+$H$68*$J$68+$H$69*$J$69</f>
        <v>272740</v>
      </c>
    </row>
    <row r="66" spans="2:12" ht="16.5" thickBot="1" x14ac:dyDescent="0.3">
      <c r="C66" s="453" t="s">
        <v>541</v>
      </c>
      <c r="D66" s="455" t="s">
        <v>542</v>
      </c>
      <c r="E66" s="455" t="s">
        <v>543</v>
      </c>
      <c r="F66" s="455" t="s">
        <v>544</v>
      </c>
      <c r="G66" s="455" t="s">
        <v>545</v>
      </c>
      <c r="H66" s="455" t="s">
        <v>546</v>
      </c>
      <c r="I66" s="455" t="s">
        <v>93</v>
      </c>
      <c r="J66" s="455" t="s">
        <v>547</v>
      </c>
      <c r="K66" s="455" t="s">
        <v>93</v>
      </c>
    </row>
    <row r="67" spans="2:12" ht="16.5" thickBot="1" x14ac:dyDescent="0.3">
      <c r="B67" s="76" t="s">
        <v>552</v>
      </c>
      <c r="C67" s="454" t="s">
        <v>548</v>
      </c>
      <c r="D67" s="456" t="s">
        <v>549</v>
      </c>
      <c r="E67" s="460">
        <v>157</v>
      </c>
      <c r="F67" s="460">
        <v>200</v>
      </c>
      <c r="G67" s="456"/>
      <c r="H67" s="456"/>
      <c r="I67" s="457">
        <v>357</v>
      </c>
      <c r="J67" s="459">
        <v>355</v>
      </c>
      <c r="K67" s="458">
        <f>+J67*I67</f>
        <v>126735</v>
      </c>
      <c r="L67" t="s">
        <v>555</v>
      </c>
    </row>
    <row r="68" spans="2:12" ht="16.5" thickBot="1" x14ac:dyDescent="0.3">
      <c r="B68" s="76" t="s">
        <v>553</v>
      </c>
      <c r="C68" s="454" t="s">
        <v>550</v>
      </c>
      <c r="D68" s="456" t="s">
        <v>549</v>
      </c>
      <c r="E68" s="456"/>
      <c r="F68" s="456"/>
      <c r="G68" s="456">
        <v>104</v>
      </c>
      <c r="H68" s="456">
        <v>148</v>
      </c>
      <c r="I68" s="457">
        <v>252</v>
      </c>
      <c r="J68" s="459">
        <v>1500</v>
      </c>
      <c r="K68" s="458">
        <f t="shared" ref="K68:K69" si="13">+J68*I68</f>
        <v>378000</v>
      </c>
      <c r="L68" t="s">
        <v>556</v>
      </c>
    </row>
    <row r="69" spans="2:12" ht="16.5" thickBot="1" x14ac:dyDescent="0.3">
      <c r="B69" s="76" t="s">
        <v>554</v>
      </c>
      <c r="C69" s="454" t="s">
        <v>551</v>
      </c>
      <c r="D69" s="456" t="s">
        <v>549</v>
      </c>
      <c r="E69" s="456"/>
      <c r="F69" s="456"/>
      <c r="G69" s="460">
        <v>200</v>
      </c>
      <c r="H69" s="456">
        <v>172</v>
      </c>
      <c r="I69" s="457">
        <v>372</v>
      </c>
      <c r="J69" s="459">
        <v>295</v>
      </c>
      <c r="K69" s="458">
        <f t="shared" si="13"/>
        <v>109740</v>
      </c>
      <c r="L69" t="s">
        <v>557</v>
      </c>
    </row>
    <row r="71" spans="2:12" x14ac:dyDescent="0.25">
      <c r="D71">
        <f>+J67/F17</f>
        <v>2.5919446740282761E-2</v>
      </c>
      <c r="E71">
        <f>+I67*D71</f>
        <v>9.2532424862809464</v>
      </c>
    </row>
    <row r="72" spans="2:12" x14ac:dyDescent="0.25">
      <c r="I72" s="435"/>
    </row>
  </sheetData>
  <mergeCells count="5">
    <mergeCell ref="C1:H1"/>
    <mergeCell ref="B3:C3"/>
    <mergeCell ref="D3:H3"/>
    <mergeCell ref="B4:C4"/>
    <mergeCell ref="D4:H4"/>
  </mergeCells>
  <phoneticPr fontId="25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867D-B53E-4772-9372-3D5BD77D3F6F}">
  <dimension ref="A1:I39"/>
  <sheetViews>
    <sheetView showGridLines="0" zoomScaleNormal="100" workbookViewId="0">
      <selection activeCell="B43" sqref="B43"/>
    </sheetView>
  </sheetViews>
  <sheetFormatPr baseColWidth="10" defaultColWidth="11.42578125" defaultRowHeight="15" outlineLevelRow="1" x14ac:dyDescent="0.25"/>
  <cols>
    <col min="1" max="1" width="9.28515625" customWidth="1"/>
    <col min="2" max="2" width="85.85546875" customWidth="1"/>
    <col min="3" max="3" width="9" bestFit="1" customWidth="1"/>
    <col min="4" max="4" width="14.5703125" customWidth="1"/>
    <col min="5" max="5" width="11" customWidth="1"/>
    <col min="6" max="6" width="17.85546875" customWidth="1" collapsed="1"/>
    <col min="7" max="7" width="9.28515625" customWidth="1" collapsed="1"/>
    <col min="8" max="9" width="22.42578125" bestFit="1" customWidth="1" collapsed="1"/>
  </cols>
  <sheetData>
    <row r="1" spans="1:9" s="76" customFormat="1" ht="27" x14ac:dyDescent="0.25">
      <c r="A1" s="152" t="s">
        <v>88</v>
      </c>
      <c r="B1" s="152" t="s">
        <v>89</v>
      </c>
      <c r="C1" s="152" t="s">
        <v>90</v>
      </c>
      <c r="D1" s="152" t="s">
        <v>91</v>
      </c>
      <c r="E1" s="4" t="s">
        <v>92</v>
      </c>
      <c r="F1" s="4" t="s">
        <v>395</v>
      </c>
      <c r="G1" s="4" t="s">
        <v>94</v>
      </c>
      <c r="H1" s="4" t="s">
        <v>652</v>
      </c>
      <c r="I1" s="4" t="s">
        <v>653</v>
      </c>
    </row>
    <row r="2" spans="1:9" x14ac:dyDescent="0.25">
      <c r="A2" s="5">
        <v>1.1000000000000001</v>
      </c>
      <c r="B2" s="570" t="s">
        <v>96</v>
      </c>
      <c r="C2" s="6">
        <v>105</v>
      </c>
      <c r="D2" s="7" t="s">
        <v>97</v>
      </c>
      <c r="E2" s="8">
        <v>2532.81</v>
      </c>
      <c r="F2" s="9">
        <f>+C2*E2</f>
        <v>265945.05</v>
      </c>
      <c r="G2" s="10" t="s">
        <v>98</v>
      </c>
      <c r="H2" s="573" t="s">
        <v>276</v>
      </c>
      <c r="I2" s="573" t="s">
        <v>95</v>
      </c>
    </row>
    <row r="3" spans="1:9" x14ac:dyDescent="0.25">
      <c r="A3" s="5">
        <v>1.2</v>
      </c>
      <c r="B3" s="570" t="s">
        <v>99</v>
      </c>
      <c r="C3" s="6">
        <v>105</v>
      </c>
      <c r="D3" s="7" t="s">
        <v>97</v>
      </c>
      <c r="E3" s="8">
        <v>3250.01</v>
      </c>
      <c r="F3" s="9">
        <f t="shared" ref="F3:F17" si="0">+C3*E3</f>
        <v>341251.05000000005</v>
      </c>
      <c r="G3" s="10" t="s">
        <v>98</v>
      </c>
      <c r="H3" s="573" t="s">
        <v>278</v>
      </c>
      <c r="I3" s="573" t="s">
        <v>95</v>
      </c>
    </row>
    <row r="4" spans="1:9" x14ac:dyDescent="0.25">
      <c r="A4" s="5">
        <v>1.3</v>
      </c>
      <c r="B4" s="570" t="s">
        <v>100</v>
      </c>
      <c r="C4" s="6">
        <v>105</v>
      </c>
      <c r="D4" s="7" t="s">
        <v>97</v>
      </c>
      <c r="E4" s="8">
        <v>985.32</v>
      </c>
      <c r="F4" s="9">
        <f t="shared" si="0"/>
        <v>103458.6</v>
      </c>
      <c r="G4" s="10" t="s">
        <v>98</v>
      </c>
      <c r="H4" s="573" t="s">
        <v>280</v>
      </c>
      <c r="I4" s="573" t="s">
        <v>95</v>
      </c>
    </row>
    <row r="5" spans="1:9" x14ac:dyDescent="0.25">
      <c r="A5" s="5">
        <v>1.4</v>
      </c>
      <c r="B5" s="571" t="s">
        <v>102</v>
      </c>
      <c r="C5" s="6">
        <v>105</v>
      </c>
      <c r="D5" s="7" t="s">
        <v>97</v>
      </c>
      <c r="E5" s="8">
        <v>1062.92</v>
      </c>
      <c r="F5" s="9">
        <f t="shared" si="0"/>
        <v>111606.6</v>
      </c>
      <c r="G5" s="10" t="s">
        <v>98</v>
      </c>
      <c r="H5" s="573" t="s">
        <v>282</v>
      </c>
      <c r="I5" s="573" t="s">
        <v>95</v>
      </c>
    </row>
    <row r="6" spans="1:9" x14ac:dyDescent="0.25">
      <c r="A6" s="5">
        <v>1.5</v>
      </c>
      <c r="B6" s="570" t="s">
        <v>103</v>
      </c>
      <c r="C6" s="6">
        <v>105</v>
      </c>
      <c r="D6" s="7" t="s">
        <v>97</v>
      </c>
      <c r="E6" s="8">
        <v>1337.25</v>
      </c>
      <c r="F6" s="9">
        <f t="shared" si="0"/>
        <v>140411.25</v>
      </c>
      <c r="G6" s="10" t="s">
        <v>98</v>
      </c>
      <c r="H6" s="573" t="s">
        <v>284</v>
      </c>
      <c r="I6" s="573" t="s">
        <v>95</v>
      </c>
    </row>
    <row r="7" spans="1:9" x14ac:dyDescent="0.25">
      <c r="A7" s="5">
        <v>1.6</v>
      </c>
      <c r="B7" s="570" t="s">
        <v>104</v>
      </c>
      <c r="C7" s="6">
        <v>105</v>
      </c>
      <c r="D7" s="7" t="s">
        <v>97</v>
      </c>
      <c r="E7" s="8">
        <v>1581.21</v>
      </c>
      <c r="F7" s="9">
        <f t="shared" si="0"/>
        <v>166027.05000000002</v>
      </c>
      <c r="G7" s="10" t="s">
        <v>98</v>
      </c>
      <c r="H7" s="573" t="s">
        <v>286</v>
      </c>
      <c r="I7" s="573" t="s">
        <v>95</v>
      </c>
    </row>
    <row r="8" spans="1:9" x14ac:dyDescent="0.25">
      <c r="A8" s="5">
        <v>2.1</v>
      </c>
      <c r="B8" s="570" t="s">
        <v>107</v>
      </c>
      <c r="C8" s="6">
        <v>200</v>
      </c>
      <c r="D8" s="7" t="s">
        <v>108</v>
      </c>
      <c r="E8" s="8">
        <v>14521.41</v>
      </c>
      <c r="F8" s="9">
        <f t="shared" si="0"/>
        <v>2904282</v>
      </c>
      <c r="G8" s="10" t="s">
        <v>98</v>
      </c>
      <c r="H8" s="573" t="s">
        <v>79</v>
      </c>
      <c r="I8" s="573" t="s">
        <v>105</v>
      </c>
    </row>
    <row r="9" spans="1:9" outlineLevel="1" x14ac:dyDescent="0.25">
      <c r="A9" s="131">
        <v>2.2000000000000002</v>
      </c>
      <c r="B9" s="572" t="s">
        <v>109</v>
      </c>
      <c r="C9" s="73">
        <v>200</v>
      </c>
      <c r="D9" s="73" t="s">
        <v>108</v>
      </c>
      <c r="E9" s="132">
        <v>13555.63</v>
      </c>
      <c r="F9" s="133">
        <f t="shared" si="0"/>
        <v>2711126</v>
      </c>
      <c r="G9" s="134" t="s">
        <v>98</v>
      </c>
      <c r="H9" s="574" t="s">
        <v>82</v>
      </c>
      <c r="I9" s="574" t="s">
        <v>105</v>
      </c>
    </row>
    <row r="10" spans="1:9" x14ac:dyDescent="0.25">
      <c r="A10" s="5">
        <v>2.2999999999999998</v>
      </c>
      <c r="B10" s="570" t="s">
        <v>110</v>
      </c>
      <c r="C10" s="6">
        <v>200</v>
      </c>
      <c r="D10" s="7" t="s">
        <v>108</v>
      </c>
      <c r="E10" s="8">
        <v>13555.63</v>
      </c>
      <c r="F10" s="9">
        <f t="shared" si="0"/>
        <v>2711126</v>
      </c>
      <c r="G10" s="10" t="s">
        <v>98</v>
      </c>
      <c r="H10" s="573" t="s">
        <v>80</v>
      </c>
      <c r="I10" s="573" t="s">
        <v>105</v>
      </c>
    </row>
    <row r="11" spans="1:9" outlineLevel="1" x14ac:dyDescent="0.25">
      <c r="A11" s="131">
        <v>2.4</v>
      </c>
      <c r="B11" s="572" t="s">
        <v>111</v>
      </c>
      <c r="C11" s="73">
        <v>200</v>
      </c>
      <c r="D11" s="73" t="s">
        <v>108</v>
      </c>
      <c r="E11" s="132">
        <v>13696.28</v>
      </c>
      <c r="F11" s="133">
        <f t="shared" si="0"/>
        <v>2739256</v>
      </c>
      <c r="G11" s="134" t="s">
        <v>98</v>
      </c>
      <c r="H11" s="574" t="s">
        <v>83</v>
      </c>
      <c r="I11" s="574" t="s">
        <v>105</v>
      </c>
    </row>
    <row r="12" spans="1:9" x14ac:dyDescent="0.25">
      <c r="A12" s="5">
        <v>2.5</v>
      </c>
      <c r="B12" s="570" t="s">
        <v>112</v>
      </c>
      <c r="C12" s="6">
        <v>500</v>
      </c>
      <c r="D12" s="7" t="s">
        <v>113</v>
      </c>
      <c r="E12" s="8">
        <v>4658</v>
      </c>
      <c r="F12" s="9">
        <f t="shared" si="0"/>
        <v>2329000</v>
      </c>
      <c r="G12" s="10" t="s">
        <v>98</v>
      </c>
      <c r="H12" s="573" t="s">
        <v>81</v>
      </c>
      <c r="I12" s="573" t="s">
        <v>105</v>
      </c>
    </row>
    <row r="13" spans="1:9" x14ac:dyDescent="0.25">
      <c r="A13" s="5">
        <v>2.6</v>
      </c>
      <c r="B13" s="570" t="s">
        <v>114</v>
      </c>
      <c r="C13" s="6">
        <v>200</v>
      </c>
      <c r="D13" s="7" t="s">
        <v>108</v>
      </c>
      <c r="E13" s="8">
        <v>2257.42</v>
      </c>
      <c r="F13" s="9">
        <f t="shared" si="0"/>
        <v>451484</v>
      </c>
      <c r="G13" s="10" t="s">
        <v>98</v>
      </c>
      <c r="H13" s="573" t="s">
        <v>78</v>
      </c>
      <c r="I13" s="573" t="s">
        <v>105</v>
      </c>
    </row>
    <row r="14" spans="1:9" x14ac:dyDescent="0.25">
      <c r="A14" s="5">
        <v>2.7</v>
      </c>
      <c r="B14" s="570" t="s">
        <v>115</v>
      </c>
      <c r="C14" s="6">
        <v>105</v>
      </c>
      <c r="D14" s="7" t="s">
        <v>97</v>
      </c>
      <c r="E14" s="8">
        <v>3540.12</v>
      </c>
      <c r="F14" s="9">
        <f t="shared" si="0"/>
        <v>371712.6</v>
      </c>
      <c r="G14" s="10" t="s">
        <v>98</v>
      </c>
      <c r="H14" s="573" t="s">
        <v>294</v>
      </c>
      <c r="I14" s="573" t="s">
        <v>105</v>
      </c>
    </row>
    <row r="15" spans="1:9" x14ac:dyDescent="0.25">
      <c r="A15" s="5">
        <v>2.8</v>
      </c>
      <c r="B15" s="570" t="s">
        <v>104</v>
      </c>
      <c r="C15" s="6">
        <v>105</v>
      </c>
      <c r="D15" s="7" t="s">
        <v>97</v>
      </c>
      <c r="E15" s="8">
        <v>2646.28</v>
      </c>
      <c r="F15" s="9">
        <f t="shared" si="0"/>
        <v>277859.40000000002</v>
      </c>
      <c r="G15" s="10" t="s">
        <v>98</v>
      </c>
      <c r="H15" s="573" t="s">
        <v>296</v>
      </c>
      <c r="I15" s="573" t="s">
        <v>105</v>
      </c>
    </row>
    <row r="16" spans="1:9" x14ac:dyDescent="0.25">
      <c r="A16" s="5">
        <v>3.1</v>
      </c>
      <c r="B16" s="570" t="s">
        <v>117</v>
      </c>
      <c r="C16" s="7">
        <v>105</v>
      </c>
      <c r="D16" s="7" t="s">
        <v>118</v>
      </c>
      <c r="E16" s="8">
        <v>1970.65</v>
      </c>
      <c r="F16" s="9">
        <f t="shared" si="0"/>
        <v>206918.25</v>
      </c>
      <c r="G16" s="10" t="s">
        <v>98</v>
      </c>
      <c r="H16" s="573" t="s">
        <v>298</v>
      </c>
      <c r="I16" s="573" t="s">
        <v>116</v>
      </c>
    </row>
    <row r="17" spans="1:9" x14ac:dyDescent="0.25">
      <c r="A17" s="5">
        <v>3.2</v>
      </c>
      <c r="B17" s="570" t="s">
        <v>119</v>
      </c>
      <c r="C17" s="7">
        <v>55</v>
      </c>
      <c r="D17" s="7" t="s">
        <v>120</v>
      </c>
      <c r="E17" s="8">
        <v>7585.99</v>
      </c>
      <c r="F17" s="9">
        <f t="shared" si="0"/>
        <v>417229.45</v>
      </c>
      <c r="G17" s="10" t="s">
        <v>98</v>
      </c>
      <c r="H17" s="573" t="s">
        <v>415</v>
      </c>
      <c r="I17" s="573" t="s">
        <v>116</v>
      </c>
    </row>
    <row r="18" spans="1:9" x14ac:dyDescent="0.25">
      <c r="A18" s="5" t="s">
        <v>122</v>
      </c>
      <c r="B18" s="570" t="s">
        <v>123</v>
      </c>
      <c r="C18" s="7">
        <v>55</v>
      </c>
      <c r="D18" s="7" t="s">
        <v>120</v>
      </c>
      <c r="E18" s="8">
        <v>1765.59</v>
      </c>
      <c r="F18" s="9">
        <f t="shared" ref="F18:F37" si="1">+C18*E18</f>
        <v>97107.45</v>
      </c>
      <c r="G18" s="10" t="s">
        <v>98</v>
      </c>
      <c r="H18" s="573" t="s">
        <v>416</v>
      </c>
      <c r="I18" s="573" t="s">
        <v>116</v>
      </c>
    </row>
    <row r="19" spans="1:9" x14ac:dyDescent="0.25">
      <c r="A19" s="5" t="s">
        <v>124</v>
      </c>
      <c r="B19" s="570" t="s">
        <v>125</v>
      </c>
      <c r="C19" s="7">
        <v>100</v>
      </c>
      <c r="D19" s="5" t="s">
        <v>126</v>
      </c>
      <c r="E19" s="8">
        <v>1934.59</v>
      </c>
      <c r="F19" s="9">
        <f t="shared" si="1"/>
        <v>193459</v>
      </c>
      <c r="G19" s="10" t="s">
        <v>98</v>
      </c>
      <c r="H19" s="573" t="s">
        <v>423</v>
      </c>
      <c r="I19" s="573" t="s">
        <v>116</v>
      </c>
    </row>
    <row r="20" spans="1:9" x14ac:dyDescent="0.25">
      <c r="A20" s="5" t="s">
        <v>127</v>
      </c>
      <c r="B20" s="570" t="s">
        <v>128</v>
      </c>
      <c r="C20" s="7">
        <v>100</v>
      </c>
      <c r="D20" s="5" t="s">
        <v>126</v>
      </c>
      <c r="E20" s="8">
        <v>1960.59</v>
      </c>
      <c r="F20" s="9">
        <f t="shared" si="1"/>
        <v>196059</v>
      </c>
      <c r="G20" s="10" t="s">
        <v>98</v>
      </c>
      <c r="H20" s="573" t="s">
        <v>417</v>
      </c>
      <c r="I20" s="573" t="s">
        <v>116</v>
      </c>
    </row>
    <row r="21" spans="1:9" x14ac:dyDescent="0.25">
      <c r="A21" s="5" t="s">
        <v>129</v>
      </c>
      <c r="B21" s="570" t="s">
        <v>130</v>
      </c>
      <c r="C21" s="7">
        <v>170</v>
      </c>
      <c r="D21" s="5" t="s">
        <v>126</v>
      </c>
      <c r="E21" s="8">
        <v>2220.59</v>
      </c>
      <c r="F21" s="9">
        <f t="shared" si="1"/>
        <v>377500.30000000005</v>
      </c>
      <c r="G21" s="10" t="s">
        <v>98</v>
      </c>
      <c r="H21" s="573" t="s">
        <v>424</v>
      </c>
      <c r="I21" s="573" t="s">
        <v>116</v>
      </c>
    </row>
    <row r="22" spans="1:9" x14ac:dyDescent="0.25">
      <c r="A22" s="5" t="s">
        <v>131</v>
      </c>
      <c r="B22" s="570" t="s">
        <v>132</v>
      </c>
      <c r="C22" s="7">
        <v>170</v>
      </c>
      <c r="D22" s="5" t="s">
        <v>126</v>
      </c>
      <c r="E22" s="8">
        <v>2220.59</v>
      </c>
      <c r="F22" s="9">
        <f t="shared" si="1"/>
        <v>377500.30000000005</v>
      </c>
      <c r="G22" s="10" t="s">
        <v>98</v>
      </c>
      <c r="H22" s="573" t="s">
        <v>422</v>
      </c>
      <c r="I22" s="573" t="s">
        <v>116</v>
      </c>
    </row>
    <row r="23" spans="1:9" x14ac:dyDescent="0.25">
      <c r="A23" s="5" t="s">
        <v>133</v>
      </c>
      <c r="B23" s="570" t="s">
        <v>134</v>
      </c>
      <c r="C23" s="7">
        <v>100</v>
      </c>
      <c r="D23" s="5" t="s">
        <v>126</v>
      </c>
      <c r="E23" s="8">
        <v>2090.59</v>
      </c>
      <c r="F23" s="9">
        <f t="shared" si="1"/>
        <v>209059</v>
      </c>
      <c r="G23" s="10" t="s">
        <v>98</v>
      </c>
      <c r="H23" s="573" t="s">
        <v>418</v>
      </c>
      <c r="I23" s="573" t="s">
        <v>116</v>
      </c>
    </row>
    <row r="24" spans="1:9" x14ac:dyDescent="0.25">
      <c r="A24" s="5" t="s">
        <v>135</v>
      </c>
      <c r="B24" s="570" t="s">
        <v>136</v>
      </c>
      <c r="C24" s="7">
        <v>100</v>
      </c>
      <c r="D24" s="5" t="s">
        <v>126</v>
      </c>
      <c r="E24" s="8">
        <v>2090.59</v>
      </c>
      <c r="F24" s="9">
        <f t="shared" si="1"/>
        <v>209059</v>
      </c>
      <c r="G24" s="10" t="s">
        <v>98</v>
      </c>
      <c r="H24" s="573" t="s">
        <v>425</v>
      </c>
      <c r="I24" s="573" t="s">
        <v>116</v>
      </c>
    </row>
    <row r="25" spans="1:9" x14ac:dyDescent="0.25">
      <c r="A25" s="5" t="s">
        <v>137</v>
      </c>
      <c r="B25" s="570" t="s">
        <v>138</v>
      </c>
      <c r="C25" s="7">
        <v>55</v>
      </c>
      <c r="D25" s="5" t="s">
        <v>126</v>
      </c>
      <c r="E25" s="8">
        <v>656</v>
      </c>
      <c r="F25" s="9">
        <f t="shared" si="1"/>
        <v>36080</v>
      </c>
      <c r="G25" s="10" t="s">
        <v>98</v>
      </c>
      <c r="H25" s="573" t="s">
        <v>420</v>
      </c>
      <c r="I25" s="573" t="s">
        <v>116</v>
      </c>
    </row>
    <row r="26" spans="1:9" x14ac:dyDescent="0.25">
      <c r="A26" s="5" t="s">
        <v>139</v>
      </c>
      <c r="B26" s="570" t="s">
        <v>140</v>
      </c>
      <c r="C26" s="7">
        <v>55</v>
      </c>
      <c r="D26" s="5" t="s">
        <v>126</v>
      </c>
      <c r="E26" s="8">
        <v>4676</v>
      </c>
      <c r="F26" s="9">
        <f t="shared" si="1"/>
        <v>257180</v>
      </c>
      <c r="G26" s="10" t="s">
        <v>98</v>
      </c>
      <c r="H26" s="573" t="s">
        <v>419</v>
      </c>
      <c r="I26" s="573" t="s">
        <v>116</v>
      </c>
    </row>
    <row r="27" spans="1:9" x14ac:dyDescent="0.25">
      <c r="A27" s="5">
        <v>3.4</v>
      </c>
      <c r="B27" s="570" t="s">
        <v>141</v>
      </c>
      <c r="C27" s="7">
        <v>105</v>
      </c>
      <c r="D27" s="5" t="s">
        <v>97</v>
      </c>
      <c r="E27" s="8">
        <v>4124.2700000000004</v>
      </c>
      <c r="F27" s="9">
        <f t="shared" si="1"/>
        <v>433048.35000000003</v>
      </c>
      <c r="G27" s="10" t="s">
        <v>98</v>
      </c>
      <c r="H27" s="573" t="s">
        <v>421</v>
      </c>
      <c r="I27" s="573" t="s">
        <v>116</v>
      </c>
    </row>
    <row r="28" spans="1:9" x14ac:dyDescent="0.25">
      <c r="A28" s="5">
        <v>4.0999999999999996</v>
      </c>
      <c r="B28" s="570" t="s">
        <v>143</v>
      </c>
      <c r="C28" s="7">
        <v>105</v>
      </c>
      <c r="D28" s="5" t="s">
        <v>97</v>
      </c>
      <c r="E28" s="8">
        <v>5020.99</v>
      </c>
      <c r="F28" s="9">
        <f t="shared" si="1"/>
        <v>527203.94999999995</v>
      </c>
      <c r="G28" s="10" t="s">
        <v>98</v>
      </c>
      <c r="H28" s="573" t="s">
        <v>426</v>
      </c>
      <c r="I28" s="573" t="s">
        <v>142</v>
      </c>
    </row>
    <row r="29" spans="1:9" x14ac:dyDescent="0.25">
      <c r="A29" s="5">
        <v>4.2</v>
      </c>
      <c r="B29" s="570" t="s">
        <v>144</v>
      </c>
      <c r="C29" s="7">
        <v>105</v>
      </c>
      <c r="D29" s="5" t="s">
        <v>97</v>
      </c>
      <c r="E29" s="8">
        <v>3652.99</v>
      </c>
      <c r="F29" s="9">
        <f t="shared" si="1"/>
        <v>383563.94999999995</v>
      </c>
      <c r="G29" s="10" t="s">
        <v>98</v>
      </c>
      <c r="H29" s="573" t="s">
        <v>427</v>
      </c>
      <c r="I29" s="573" t="s">
        <v>142</v>
      </c>
    </row>
    <row r="30" spans="1:9" x14ac:dyDescent="0.25">
      <c r="A30" s="5">
        <v>4.3</v>
      </c>
      <c r="B30" s="570" t="s">
        <v>145</v>
      </c>
      <c r="C30" s="7">
        <v>105</v>
      </c>
      <c r="D30" s="5" t="s">
        <v>97</v>
      </c>
      <c r="E30" s="8">
        <v>3201.98</v>
      </c>
      <c r="F30" s="9">
        <f t="shared" si="1"/>
        <v>336207.9</v>
      </c>
      <c r="G30" s="10" t="s">
        <v>98</v>
      </c>
      <c r="H30" s="573" t="s">
        <v>428</v>
      </c>
      <c r="I30" s="573" t="s">
        <v>142</v>
      </c>
    </row>
    <row r="31" spans="1:9" x14ac:dyDescent="0.25">
      <c r="A31" s="5">
        <v>4.4000000000000004</v>
      </c>
      <c r="B31" s="570" t="s">
        <v>146</v>
      </c>
      <c r="C31" s="7">
        <v>105</v>
      </c>
      <c r="D31" s="5" t="s">
        <v>97</v>
      </c>
      <c r="E31" s="8">
        <v>6840</v>
      </c>
      <c r="F31" s="9">
        <f t="shared" si="1"/>
        <v>718200</v>
      </c>
      <c r="G31" s="10" t="s">
        <v>98</v>
      </c>
      <c r="H31" s="573" t="s">
        <v>429</v>
      </c>
      <c r="I31" s="573" t="s">
        <v>142</v>
      </c>
    </row>
    <row r="32" spans="1:9" x14ac:dyDescent="0.25">
      <c r="A32" s="5">
        <v>4.5</v>
      </c>
      <c r="B32" s="570" t="s">
        <v>147</v>
      </c>
      <c r="C32" s="7">
        <v>105</v>
      </c>
      <c r="D32" s="5" t="s">
        <v>97</v>
      </c>
      <c r="E32" s="8">
        <v>2052</v>
      </c>
      <c r="F32" s="9">
        <f t="shared" si="1"/>
        <v>215460</v>
      </c>
      <c r="G32" s="10" t="s">
        <v>98</v>
      </c>
      <c r="H32" s="573" t="s">
        <v>430</v>
      </c>
      <c r="I32" s="573" t="s">
        <v>142</v>
      </c>
    </row>
    <row r="33" spans="1:9" x14ac:dyDescent="0.25">
      <c r="A33" s="5">
        <v>4.5999999999999996</v>
      </c>
      <c r="B33" s="570" t="s">
        <v>148</v>
      </c>
      <c r="C33" s="7">
        <v>105</v>
      </c>
      <c r="D33" s="5" t="s">
        <v>97</v>
      </c>
      <c r="E33" s="8">
        <v>3420</v>
      </c>
      <c r="F33" s="9">
        <f t="shared" si="1"/>
        <v>359100</v>
      </c>
      <c r="G33" s="10" t="s">
        <v>98</v>
      </c>
      <c r="H33" s="573" t="s">
        <v>431</v>
      </c>
      <c r="I33" s="573" t="s">
        <v>142</v>
      </c>
    </row>
    <row r="34" spans="1:9" x14ac:dyDescent="0.25">
      <c r="A34" s="5">
        <v>4.7</v>
      </c>
      <c r="B34" s="570" t="s">
        <v>149</v>
      </c>
      <c r="C34" s="7">
        <v>105</v>
      </c>
      <c r="D34" s="5" t="s">
        <v>97</v>
      </c>
      <c r="E34" s="8">
        <v>4212.3599999999997</v>
      </c>
      <c r="F34" s="9">
        <f t="shared" si="1"/>
        <v>442297.8</v>
      </c>
      <c r="G34" s="10" t="s">
        <v>98</v>
      </c>
      <c r="H34" s="573" t="s">
        <v>432</v>
      </c>
      <c r="I34" s="573" t="s">
        <v>142</v>
      </c>
    </row>
    <row r="35" spans="1:9" x14ac:dyDescent="0.25">
      <c r="A35" s="5">
        <v>4.8</v>
      </c>
      <c r="B35" s="570" t="s">
        <v>150</v>
      </c>
      <c r="C35" s="7">
        <v>105</v>
      </c>
      <c r="D35" s="5" t="s">
        <v>97</v>
      </c>
      <c r="E35" s="8">
        <v>1368</v>
      </c>
      <c r="F35" s="9">
        <f t="shared" si="1"/>
        <v>143640</v>
      </c>
      <c r="G35" s="10" t="s">
        <v>98</v>
      </c>
      <c r="H35" s="573" t="s">
        <v>433</v>
      </c>
      <c r="I35" s="573" t="s">
        <v>142</v>
      </c>
    </row>
    <row r="36" spans="1:9" x14ac:dyDescent="0.25">
      <c r="A36" s="5">
        <v>4.9000000000000004</v>
      </c>
      <c r="B36" s="570" t="s">
        <v>151</v>
      </c>
      <c r="C36" s="7">
        <v>100</v>
      </c>
      <c r="D36" s="569" t="s">
        <v>152</v>
      </c>
      <c r="E36" s="8">
        <v>7244.35</v>
      </c>
      <c r="F36" s="9">
        <f t="shared" si="1"/>
        <v>724435</v>
      </c>
      <c r="G36" s="10" t="s">
        <v>98</v>
      </c>
      <c r="H36" s="573" t="s">
        <v>434</v>
      </c>
      <c r="I36" s="573" t="s">
        <v>142</v>
      </c>
    </row>
    <row r="37" spans="1:9" x14ac:dyDescent="0.25">
      <c r="A37" s="434" t="s">
        <v>523</v>
      </c>
      <c r="B37" s="570" t="s">
        <v>153</v>
      </c>
      <c r="C37" s="7">
        <v>500</v>
      </c>
      <c r="D37" s="569" t="s">
        <v>152</v>
      </c>
      <c r="E37" s="8">
        <v>6977.93</v>
      </c>
      <c r="F37" s="9">
        <f t="shared" si="1"/>
        <v>3488965</v>
      </c>
      <c r="G37" s="10" t="s">
        <v>98</v>
      </c>
      <c r="H37" s="573" t="s">
        <v>435</v>
      </c>
      <c r="I37" s="573" t="s">
        <v>142</v>
      </c>
    </row>
    <row r="38" spans="1:9" x14ac:dyDescent="0.25">
      <c r="A38" s="17">
        <v>4.1100000000000003</v>
      </c>
      <c r="B38" s="570" t="s">
        <v>154</v>
      </c>
      <c r="C38" s="7">
        <v>800</v>
      </c>
      <c r="D38" s="569" t="s">
        <v>152</v>
      </c>
      <c r="E38" s="8">
        <v>8275.99</v>
      </c>
      <c r="F38" s="9">
        <f>+C38*E38</f>
        <v>6620792</v>
      </c>
      <c r="G38" s="10" t="s">
        <v>98</v>
      </c>
      <c r="H38" s="573" t="s">
        <v>436</v>
      </c>
      <c r="I38" s="573" t="s">
        <v>142</v>
      </c>
    </row>
    <row r="39" spans="1:9" x14ac:dyDescent="0.25">
      <c r="A39" s="17">
        <v>4.12</v>
      </c>
      <c r="B39" s="570" t="s">
        <v>155</v>
      </c>
      <c r="C39" s="7">
        <v>105</v>
      </c>
      <c r="D39" s="7" t="s">
        <v>97</v>
      </c>
      <c r="E39" s="8">
        <v>4409.2299999999996</v>
      </c>
      <c r="F39" s="9">
        <f>+C39*E39</f>
        <v>462969.14999999997</v>
      </c>
      <c r="G39" s="10" t="s">
        <v>98</v>
      </c>
      <c r="H39" s="573" t="s">
        <v>437</v>
      </c>
      <c r="I39" s="573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E2FD9-FC4E-4D44-B39C-A938C3DB701F}">
  <sheetPr codeName="Hoja12">
    <tabColor rgb="FF00B050"/>
    <outlinePr summaryBelow="0" summaryRight="0"/>
  </sheetPr>
  <dimension ref="A1:L41"/>
  <sheetViews>
    <sheetView showGridLines="0" zoomScaleNormal="100" workbookViewId="0">
      <selection activeCell="D2" sqref="D2"/>
    </sheetView>
  </sheetViews>
  <sheetFormatPr baseColWidth="10" defaultColWidth="11.42578125" defaultRowHeight="15" outlineLevelRow="1" outlineLevelCol="1" x14ac:dyDescent="0.25"/>
  <cols>
    <col min="1" max="1" width="16.85546875" bestFit="1" customWidth="1"/>
    <col min="2" max="2" width="29.140625" bestFit="1" customWidth="1"/>
    <col min="3" max="3" width="8.42578125" style="26" customWidth="1"/>
    <col min="4" max="4" width="16" customWidth="1"/>
    <col min="5" max="5" width="14.85546875" customWidth="1"/>
    <col min="6" max="6" width="16.42578125" customWidth="1"/>
    <col min="7" max="7" width="18.42578125" customWidth="1" collapsed="1"/>
    <col min="8" max="9" width="14.85546875" hidden="1" customWidth="1" outlineLevel="1"/>
    <col min="10" max="10" width="11.42578125" style="143" collapsed="1"/>
    <col min="11" max="11" width="7.28515625" style="1" customWidth="1"/>
    <col min="12" max="12" width="20.85546875" bestFit="1" customWidth="1"/>
    <col min="13" max="13" width="20.42578125" bestFit="1" customWidth="1"/>
    <col min="14" max="14" width="28.28515625" bestFit="1" customWidth="1"/>
  </cols>
  <sheetData>
    <row r="1" spans="1:12" s="1" customFormat="1" ht="30.75" customHeight="1" x14ac:dyDescent="0.25">
      <c r="A1" s="1" t="s">
        <v>2</v>
      </c>
      <c r="B1" s="33" t="s">
        <v>76</v>
      </c>
      <c r="C1" s="110" t="s">
        <v>77</v>
      </c>
      <c r="D1" s="33" t="s">
        <v>78</v>
      </c>
      <c r="E1" s="33" t="s">
        <v>79</v>
      </c>
      <c r="F1" s="33" t="s">
        <v>80</v>
      </c>
      <c r="G1" s="65" t="s">
        <v>81</v>
      </c>
      <c r="H1" s="33" t="s">
        <v>82</v>
      </c>
      <c r="I1" s="33" t="s">
        <v>83</v>
      </c>
      <c r="J1" s="141"/>
      <c r="L1"/>
    </row>
    <row r="2" spans="1:12" ht="26.25" x14ac:dyDescent="0.25">
      <c r="A2" s="34" t="s">
        <v>13</v>
      </c>
      <c r="B2" s="147" t="s">
        <v>14</v>
      </c>
      <c r="C2" s="110">
        <f>+_xlfn.XLOOKUP(B2,Tabla1[Ducto],Tabla1[Length])</f>
        <v>31.54</v>
      </c>
      <c r="D2" s="79">
        <f>IFERROR(SUMIFS(Tabla1[Avance_km],Tabla1[Ducto],'R (s01)'!$B2,Tabla1[nombre_actividad],D$1,Tabla1[Sistema],"LIRA_GALERAS")/$C2,0)</f>
        <v>1</v>
      </c>
      <c r="E2" s="79">
        <f>IFERROR(SUMIFS(Tabla1[Avance_km],Tabla1[Ducto],'R (s01)'!$B2,Tabla1[nombre_actividad],E$1,Tabla1[Sistema],"LIRA_GALERAS")/$C2,0)</f>
        <v>1</v>
      </c>
      <c r="F2" s="79">
        <f>IFERROR(SUMIFS(Tabla1[Avance_km],Tabla1[Ducto],'R (s01)'!$B2,Tabla1[nombre_actividad],F$1,Tabla1[Sistema],"LIRA_GALERAS")/$C2,0)</f>
        <v>1</v>
      </c>
      <c r="G2" s="79">
        <f>IFERROR(SUMIFS(Tabla1[Avance_Med],Tabla1[Ducto],'R (s01)'!$B2,Tabla1[nombre_actividad],G$1)/64,0)</f>
        <v>1</v>
      </c>
      <c r="H2" s="79">
        <f>+SUMIFS(Tabla1[Avance_km],Tabla1[Ducto],'R (s01)'!$B2,Tabla1[nombre_actividad],H$1)/$C2</f>
        <v>0</v>
      </c>
      <c r="I2" s="79">
        <f>+SUMIFS(Tabla1[Avance_km],Tabla1[Ducto],'R (s01)'!$B2,Tabla1[nombre_actividad],I$1)/$C2</f>
        <v>0</v>
      </c>
      <c r="J2" s="142"/>
    </row>
    <row r="3" spans="1:12" ht="26.25" x14ac:dyDescent="0.25">
      <c r="A3" s="34" t="s">
        <v>13</v>
      </c>
      <c r="B3" s="147" t="s">
        <v>40</v>
      </c>
      <c r="C3" s="110">
        <f>+_xlfn.XLOOKUP(B3,Tabla1[Ducto],Tabla1[Length])</f>
        <v>0.02</v>
      </c>
      <c r="D3" s="79">
        <f>IFERROR(SUMIFS(Tabla1[Avance_km],Tabla1[Ducto],'R (s01)'!$B3,Tabla1[nombre_actividad],D$1,Tabla1[Sistema],"LIRA_GALERAS")/$C3,0)</f>
        <v>1</v>
      </c>
      <c r="E3" s="79">
        <f>IFERROR(SUMIFS(Tabla1[Avance_km],Tabla1[Ducto],'R (s01)'!$B3,Tabla1[nombre_actividad],E$1,Tabla1[Sistema],"LIRA_GALERAS")/$C3,0)</f>
        <v>1</v>
      </c>
      <c r="F3" s="79">
        <f>IFERROR(SUMIFS(Tabla1[Avance_km],Tabla1[Ducto],'R (s01)'!$B3,Tabla1[nombre_actividad],F$1,Tabla1[Sistema],"LIRA_GALERAS")/$C3,0)</f>
        <v>1</v>
      </c>
      <c r="G3" s="79">
        <f>IFERROR(SUMIFS(Tabla1[Avance_Med],Tabla1[Ducto],'R (s01)'!$B3,Tabla1[nombre_actividad],G$1)/(1),0)</f>
        <v>1</v>
      </c>
      <c r="H3" s="79">
        <f>+SUMIFS(Tabla1[Avance_km],Tabla1[Ducto],'R (s01)'!$B3,Tabla1[nombre_actividad],H$1)/$C3</f>
        <v>0</v>
      </c>
      <c r="I3" s="79">
        <f>+SUMIFS(Tabla1[Avance_km],Tabla1[Ducto],'R (s01)'!$B3,Tabla1[nombre_actividad],I$1)/$C3</f>
        <v>0</v>
      </c>
      <c r="J3" s="142">
        <f>IFERROR(SUMIFS(Tabla1[Avance_Med],Tabla1[Ducto],$B3,Tabla1[nombre_actividad],G$1),0)</f>
        <v>1</v>
      </c>
    </row>
    <row r="4" spans="1:12" ht="26.25" x14ac:dyDescent="0.25">
      <c r="A4" s="34" t="s">
        <v>13</v>
      </c>
      <c r="B4" s="147" t="s">
        <v>41</v>
      </c>
      <c r="C4" s="110">
        <f>+_xlfn.XLOOKUP(B4,Tabla1[Ducto],Tabla1[Length])</f>
        <v>7.0000000000000007E-2</v>
      </c>
      <c r="D4" s="79">
        <f>IFERROR(SUMIFS(Tabla1[Avance_km],Tabla1[Ducto],'R (s01)'!$B4,Tabla1[nombre_actividad],D$1,Tabla1[Sistema],"LIRA_GALERAS")/$C4,0)</f>
        <v>1</v>
      </c>
      <c r="E4" s="79">
        <f>IFERROR(SUMIFS(Tabla1[Avance_km],Tabla1[Ducto],'R (s01)'!$B4,Tabla1[nombre_actividad],E$1,Tabla1[Sistema],"LIRA_GALERAS")/$C4,0)</f>
        <v>1</v>
      </c>
      <c r="F4" s="79">
        <f>IFERROR(SUMIFS(Tabla1[Avance_km],Tabla1[Ducto],'R (s01)'!$B4,Tabla1[nombre_actividad],F$1,Tabla1[Sistema],"LIRA_GALERAS")/$C4,0)</f>
        <v>1</v>
      </c>
      <c r="G4" s="139"/>
      <c r="H4" s="79">
        <f>+SUMIFS(Tabla1[Avance_km],Tabla1[Ducto],'R (s01)'!$B4,Tabla1[nombre_actividad],H$1)/$C4</f>
        <v>0</v>
      </c>
      <c r="I4" s="79">
        <f>+SUMIFS(Tabla1[Avance_km],Tabla1[Ducto],'R (s01)'!$B4,Tabla1[nombre_actividad],I$1)/$C4</f>
        <v>0</v>
      </c>
      <c r="J4" s="142"/>
    </row>
    <row r="5" spans="1:12" ht="26.25" x14ac:dyDescent="0.25">
      <c r="A5" s="34" t="s">
        <v>13</v>
      </c>
      <c r="B5" s="147" t="s">
        <v>42</v>
      </c>
      <c r="C5" s="110">
        <f>+_xlfn.XLOOKUP(B5,Tabla1[Ducto],Tabla1[Length])</f>
        <v>7.0000000000000007E-2</v>
      </c>
      <c r="D5" s="79">
        <f>IFERROR(SUMIFS(Tabla1[Avance_km],Tabla1[Ducto],'R (s01)'!$B5,Tabla1[nombre_actividad],D$1,Tabla1[Sistema],"LIRA_GALERAS")/$C5,0)</f>
        <v>1</v>
      </c>
      <c r="E5" s="79">
        <f>IFERROR(SUMIFS(Tabla1[Avance_km],Tabla1[Ducto],'R (s01)'!$B5,Tabla1[nombre_actividad],E$1,Tabla1[Sistema],"LIRA_GALERAS")/$C5,0)</f>
        <v>1</v>
      </c>
      <c r="F5" s="79">
        <f>IFERROR(SUMIFS(Tabla1[Avance_km],Tabla1[Ducto],'R (s01)'!$B5,Tabla1[nombre_actividad],F$1,Tabla1[Sistema],"LIRA_GALERAS")/$C5,0)</f>
        <v>1</v>
      </c>
      <c r="G5" s="79">
        <f>IFERROR(SUMIFS(Tabla1[Avance_Med],Tabla1[Ducto],'R (s01)'!$B5,Tabla1[nombre_actividad],G$1)/(1),0)</f>
        <v>1</v>
      </c>
      <c r="H5" s="79">
        <f>+SUMIFS(Tabla1[Avance_km],Tabla1[Ducto],'R (s01)'!$B5,Tabla1[nombre_actividad],H$1)/$C5</f>
        <v>0</v>
      </c>
      <c r="I5" s="79">
        <f>+SUMIFS(Tabla1[Avance_km],Tabla1[Ducto],'R (s01)'!$B5,Tabla1[nombre_actividad],I$1)/$C5</f>
        <v>20.040050499635143</v>
      </c>
      <c r="J5" s="142">
        <f>IFERROR(SUMIFS(Tabla1[Avance_Med],Tabla1[Ducto],$B5,Tabla1[nombre_actividad],G$1),0)</f>
        <v>1</v>
      </c>
    </row>
    <row r="6" spans="1:12" ht="26.25" x14ac:dyDescent="0.25">
      <c r="A6" s="34" t="s">
        <v>13</v>
      </c>
      <c r="B6" s="147" t="s">
        <v>43</v>
      </c>
      <c r="C6" s="110">
        <f>+_xlfn.XLOOKUP(B6,Tabla1[Ducto],Tabla1[Length])</f>
        <v>1.4999999999999999E-2</v>
      </c>
      <c r="D6" s="79">
        <f>IFERROR(SUMIFS(Tabla1[Avance_km],Tabla1[Ducto],'R (s01)'!$B6,Tabla1[nombre_actividad],D$1,Tabla1[Sistema],"LIRA_GALERAS")/$C6,0)</f>
        <v>1</v>
      </c>
      <c r="E6" s="79">
        <f>IFERROR(SUMIFS(Tabla1[Avance_km],Tabla1[Ducto],'R (s01)'!$B6,Tabla1[nombre_actividad],E$1,Tabla1[Sistema],"LIRA_GALERAS")/$C6,0)</f>
        <v>1</v>
      </c>
      <c r="F6" s="79">
        <f>IFERROR(SUMIFS(Tabla1[Avance_km],Tabla1[Ducto],'R (s01)'!$B6,Tabla1[nombre_actividad],F$1,Tabla1[Sistema],"LIRA_GALERAS")/$C6,0)</f>
        <v>1</v>
      </c>
      <c r="G6" s="79">
        <f>IFERROR(SUMIFS(Tabla1[Avance_Med],Tabla1[Ducto],'R (s01)'!$B6,Tabla1[nombre_actividad],G$1)/(1),0)</f>
        <v>1</v>
      </c>
      <c r="H6" s="79">
        <f>+SUMIFS(Tabla1[Avance_km],Tabla1[Ducto],'R (s01)'!$B6,Tabla1[nombre_actividad],H$1)/$C6</f>
        <v>0</v>
      </c>
      <c r="I6" s="79">
        <f>+SUMIFS(Tabla1[Avance_km],Tabla1[Ducto],'R (s01)'!$B6,Tabla1[nombre_actividad],I$1)/$C6</f>
        <v>0</v>
      </c>
      <c r="J6" s="142">
        <f>IFERROR(SUMIFS(Tabla1[Avance_Med],Tabla1[Ducto],$B6,Tabla1[nombre_actividad],G$1),0)</f>
        <v>1</v>
      </c>
    </row>
    <row r="7" spans="1:12" ht="26.25" x14ac:dyDescent="0.25">
      <c r="A7" s="34" t="s">
        <v>13</v>
      </c>
      <c r="B7" s="147" t="s">
        <v>45</v>
      </c>
      <c r="C7" s="110">
        <f>+_xlfn.XLOOKUP(B7,Tabla1[Ducto],Tabla1[Length])</f>
        <v>0.01</v>
      </c>
      <c r="D7" s="79">
        <f>IFERROR(SUMIFS(Tabla1[Avance_km],Tabla1[Ducto],'R (s01)'!$B7,Tabla1[nombre_actividad],D$1,Tabla1[Sistema],"LIRA_GALERAS")/$C7,0)</f>
        <v>1</v>
      </c>
      <c r="E7" s="79">
        <f>IFERROR(SUMIFS(Tabla1[Avance_km],Tabla1[Ducto],'R (s01)'!$B7,Tabla1[nombre_actividad],E$1,Tabla1[Sistema],"LIRA_GALERAS")/$C7,0)</f>
        <v>1</v>
      </c>
      <c r="F7" s="79">
        <f>IFERROR(SUMIFS(Tabla1[Avance_km],Tabla1[Ducto],'R (s01)'!$B7,Tabla1[nombre_actividad],F$1,Tabla1[Sistema],"LIRA_GALERAS")/$C7,0)</f>
        <v>1</v>
      </c>
      <c r="G7" s="79">
        <f>IFERROR(SUMIFS(Tabla1[Avance_Med],Tabla1[Ducto],'R (s01)'!$B7,Tabla1[nombre_actividad],G$1)/(1),0)</f>
        <v>1</v>
      </c>
      <c r="H7" s="79">
        <f>+SUMIFS(Tabla1[Avance_km],Tabla1[Ducto],'R (s01)'!$B7,Tabla1[nombre_actividad],H$1)/$C7</f>
        <v>0</v>
      </c>
      <c r="I7" s="79">
        <f>+SUMIFS(Tabla1[Avance_km],Tabla1[Ducto],'R (s01)'!$B7,Tabla1[nombre_actividad],I$1)/$C7</f>
        <v>0</v>
      </c>
      <c r="J7" s="142">
        <f>IFERROR(SUMIFS(Tabla1[Avance_Med],Tabla1[Ducto],$B7,Tabla1[nombre_actividad],G$1),0)</f>
        <v>1</v>
      </c>
    </row>
    <row r="8" spans="1:12" ht="26.25" x14ac:dyDescent="0.25">
      <c r="A8" s="34" t="s">
        <v>13</v>
      </c>
      <c r="B8" s="147" t="s">
        <v>17</v>
      </c>
      <c r="C8" s="110">
        <f>+_xlfn.XLOOKUP(B8,Tabla1[Ducto],Tabla1[Length])</f>
        <v>1.982</v>
      </c>
      <c r="D8" s="79">
        <f>IFERROR(SUMIFS(Tabla1[Avance_km],Tabla1[Ducto],'R (s01)'!$B8,Tabla1[nombre_actividad],D$1,Tabla1[Sistema],"LIRA_GALERAS")/$C8,0)</f>
        <v>1</v>
      </c>
      <c r="E8" s="79">
        <f>IFERROR(SUMIFS(Tabla1[Avance_km],Tabla1[Ducto],'R (s01)'!$B8,Tabla1[nombre_actividad],E$1,Tabla1[Sistema],"LIRA_GALERAS")/$C8,0)</f>
        <v>1</v>
      </c>
      <c r="F8" s="79">
        <f>IFERROR(SUMIFS(Tabla1[Avance_km],Tabla1[Ducto],'R (s01)'!$B8,Tabla1[nombre_actividad],F$1,Tabla1[Sistema],"LIRA_GALERAS")/$C8,0)</f>
        <v>1</v>
      </c>
      <c r="G8" s="79">
        <f>IFERROR(SUMIFS(Tabla1[Avance_Med],Tabla1[Ducto],'R (s01)'!$B8,Tabla1[nombre_actividad],G$1)/(ROUNDUP(C8,0)*2),0)</f>
        <v>1</v>
      </c>
      <c r="H8" s="79">
        <f>+SUMIFS(Tabla1[Avance_km],Tabla1[Ducto],'R (s01)'!$B8,Tabla1[nombre_actividad],H$1)/$C8</f>
        <v>0</v>
      </c>
      <c r="I8" s="79">
        <f>+SUMIFS(Tabla1[Avance_km],Tabla1[Ducto],'R (s01)'!$B8,Tabla1[nombre_actividad],I$1)/$C8</f>
        <v>0</v>
      </c>
      <c r="J8" s="142">
        <f>IFERROR(SUMIFS(Tabla1[Avance_Med],Tabla1[Ducto],$B8,Tabla1[nombre_actividad],G$1),0)</f>
        <v>4</v>
      </c>
    </row>
    <row r="9" spans="1:12" ht="26.25" x14ac:dyDescent="0.25">
      <c r="A9" s="34" t="s">
        <v>13</v>
      </c>
      <c r="B9" s="147" t="s">
        <v>18</v>
      </c>
      <c r="C9" s="110">
        <f>+_xlfn.XLOOKUP(B9,Tabla1[Ducto],Tabla1[Length])</f>
        <v>0.17499999999999999</v>
      </c>
      <c r="D9" s="79">
        <f>IFERROR(SUMIFS(Tabla1[Avance_km],Tabla1[Ducto],'R (s01)'!$B9,Tabla1[nombre_actividad],D$1,Tabla1[Sistema],"LIRA_GALERAS")/$C9,0)</f>
        <v>1</v>
      </c>
      <c r="E9" s="79">
        <f>IFERROR(SUMIFS(Tabla1[Avance_km],Tabla1[Ducto],'R (s01)'!$B9,Tabla1[nombre_actividad],E$1,Tabla1[Sistema],"LIRA_GALERAS")/$C9,0)</f>
        <v>1</v>
      </c>
      <c r="F9" s="79">
        <f>IFERROR(SUMIFS(Tabla1[Avance_km],Tabla1[Ducto],'R (s01)'!$B9,Tabla1[nombre_actividad],F$1,Tabla1[Sistema],"LIRA_GALERAS")/$C9,0)</f>
        <v>1</v>
      </c>
      <c r="G9" s="79">
        <f>IFERROR(SUMIFS(Tabla1[Avance_Med],Tabla1[Ducto],'R (s01)'!$B9,Tabla1[nombre_actividad],G$1)/(ROUNDUP(C9,0)*2),0)</f>
        <v>1</v>
      </c>
      <c r="H9" s="79">
        <f>+SUMIFS(Tabla1[Avance_km],Tabla1[Ducto],'R (s01)'!$B9,Tabla1[nombre_actividad],H$1)/$C9</f>
        <v>0</v>
      </c>
      <c r="I9" s="79">
        <f>+SUMIFS(Tabla1[Avance_km],Tabla1[Ducto],'R (s01)'!$B9,Tabla1[nombre_actividad],I$1)/$C9</f>
        <v>0</v>
      </c>
      <c r="J9" s="142">
        <f>IFERROR(SUMIFS(Tabla1[Avance_Med],Tabla1[Ducto],$B9,Tabla1[nombre_actividad],G$1),0)</f>
        <v>2</v>
      </c>
    </row>
    <row r="10" spans="1:12" ht="26.25" x14ac:dyDescent="0.25">
      <c r="A10" s="34" t="s">
        <v>13</v>
      </c>
      <c r="B10" s="147" t="s">
        <v>19</v>
      </c>
      <c r="C10" s="110">
        <f>+_xlfn.XLOOKUP(B10,Tabla1[Ducto],Tabla1[Length])</f>
        <v>1.4999999999999999E-2</v>
      </c>
      <c r="D10" s="79">
        <f>IFERROR(SUMIFS(Tabla1[Avance_km],Tabla1[Ducto],'R (s01)'!$B10,Tabla1[nombre_actividad],D$1,Tabla1[Sistema],"LIRA_GALERAS")/$C10,0)</f>
        <v>1</v>
      </c>
      <c r="E10" s="79">
        <f>IFERROR(SUMIFS(Tabla1[Avance_km],Tabla1[Ducto],'R (s01)'!$B10,Tabla1[nombre_actividad],E$1,Tabla1[Sistema],"LIRA_GALERAS")/$C10,0)</f>
        <v>1</v>
      </c>
      <c r="F10" s="79">
        <f>IFERROR(SUMIFS(Tabla1[Avance_km],Tabla1[Ducto],'R (s01)'!$B10,Tabla1[nombre_actividad],F$1,Tabla1[Sistema],"LIRA_GALERAS")/$C10,0)</f>
        <v>1</v>
      </c>
      <c r="G10" s="139"/>
      <c r="H10" s="79">
        <f>+SUMIFS(Tabla1[Avance_km],Tabla1[Ducto],'R (s01)'!$B10,Tabla1[nombre_actividad],H$1)/$C10</f>
        <v>0</v>
      </c>
      <c r="I10" s="79">
        <f>+SUMIFS(Tabla1[Avance_km],Tabla1[Ducto],'R (s01)'!$B10,Tabla1[nombre_actividad],I$1)/$C10</f>
        <v>0</v>
      </c>
      <c r="J10" s="142"/>
    </row>
    <row r="11" spans="1:12" ht="26.25" x14ac:dyDescent="0.25">
      <c r="A11" s="34" t="s">
        <v>13</v>
      </c>
      <c r="B11" s="147" t="s">
        <v>52</v>
      </c>
      <c r="C11" s="110">
        <f>+_xlfn.XLOOKUP(B11,Tabla1[Ducto],Tabla1[Length])</f>
        <v>0.01</v>
      </c>
      <c r="D11" s="79">
        <f>IFERROR(SUMIFS(Tabla1[Avance_km],Tabla1[Ducto],'R (s01)'!$B11,Tabla1[nombre_actividad],D$1,Tabla1[Sistema],"LIRA_GALERAS")/$C11,0)</f>
        <v>1</v>
      </c>
      <c r="E11" s="79">
        <f>IFERROR(SUMIFS(Tabla1[Avance_km],Tabla1[Ducto],'R (s01)'!$B11,Tabla1[nombre_actividad],E$1,Tabla1[Sistema],"LIRA_GALERAS")/$C11,0)</f>
        <v>1</v>
      </c>
      <c r="F11" s="79">
        <f>IFERROR(SUMIFS(Tabla1[Avance_km],Tabla1[Ducto],'R (s01)'!$B11,Tabla1[nombre_actividad],F$1,Tabla1[Sistema],"LIRA_GALERAS")/$C11,0)</f>
        <v>1</v>
      </c>
      <c r="G11" s="79">
        <f>IFERROR(SUMIFS(Tabla1[Avance_Med],Tabla1[Ducto],'R (s01)'!$B11,Tabla1[nombre_actividad],G$1)/(1),0)</f>
        <v>1</v>
      </c>
      <c r="H11" s="79">
        <f>+SUMIFS(Tabla1[Avance_km],Tabla1[Ducto],'R (s01)'!$B11,Tabla1[nombre_actividad],H$1)/$C11</f>
        <v>0</v>
      </c>
      <c r="I11" s="79">
        <f>+SUMIFS(Tabla1[Avance_km],Tabla1[Ducto],'R (s01)'!$B11,Tabla1[nombre_actividad],I$1)/$C11</f>
        <v>0</v>
      </c>
      <c r="J11" s="142">
        <f>IFERROR(SUMIFS(Tabla1[Avance_Med],Tabla1[Ducto],$B11,Tabla1[nombre_actividad],G$1),0)</f>
        <v>1</v>
      </c>
    </row>
    <row r="12" spans="1:12" ht="26.25" x14ac:dyDescent="0.25">
      <c r="A12" s="34" t="s">
        <v>13</v>
      </c>
      <c r="B12" s="147" t="s">
        <v>53</v>
      </c>
      <c r="C12" s="110">
        <f>+_xlfn.XLOOKUP(B12,Tabla1[Ducto],Tabla1[Length])</f>
        <v>1.4999999999999999E-2</v>
      </c>
      <c r="D12" s="79">
        <f>IFERROR(SUMIFS(Tabla1[Avance_km],Tabla1[Ducto],'R (s01)'!$B12,Tabla1[nombre_actividad],D$1,Tabla1[Sistema],"LIRA_GALERAS")/$C12,0)</f>
        <v>1</v>
      </c>
      <c r="E12" s="79">
        <f>IFERROR(SUMIFS(Tabla1[Avance_km],Tabla1[Ducto],'R (s01)'!$B12,Tabla1[nombre_actividad],E$1,Tabla1[Sistema],"LIRA_GALERAS")/$C12,0)</f>
        <v>1</v>
      </c>
      <c r="F12" s="79">
        <f>IFERROR(SUMIFS(Tabla1[Avance_km],Tabla1[Ducto],'R (s01)'!$B12,Tabla1[nombre_actividad],F$1,Tabla1[Sistema],"LIRA_GALERAS")/$C12,0)</f>
        <v>1</v>
      </c>
      <c r="G12" s="139"/>
      <c r="H12" s="79">
        <f>+SUMIFS(Tabla1[Avance_km],Tabla1[Ducto],'R (s01)'!$B12,Tabla1[nombre_actividad],H$1)/$C12</f>
        <v>0</v>
      </c>
      <c r="I12" s="79">
        <f>+SUMIFS(Tabla1[Avance_km],Tabla1[Ducto],'R (s01)'!$B12,Tabla1[nombre_actividad],I$1)/$C12</f>
        <v>0</v>
      </c>
      <c r="J12" s="142"/>
    </row>
    <row r="13" spans="1:12" ht="26.25" x14ac:dyDescent="0.25">
      <c r="A13" s="34" t="s">
        <v>13</v>
      </c>
      <c r="B13" s="147" t="s">
        <v>44</v>
      </c>
      <c r="C13" s="110">
        <f>+_xlfn.XLOOKUP(B13,Tabla1[Ducto],Tabla1[Length])</f>
        <v>1.9E-2</v>
      </c>
      <c r="D13" s="79">
        <f>IFERROR(SUMIFS(Tabla1[Avance_km],Tabla1[Ducto],'R (s01)'!$B13,Tabla1[nombre_actividad],D$1,Tabla1[Sistema],"LIRA_GALERAS")/$C13,0)</f>
        <v>1</v>
      </c>
      <c r="E13" s="79">
        <f>IFERROR(SUMIFS(Tabla1[Avance_km],Tabla1[Ducto],'R (s01)'!$B13,Tabla1[nombre_actividad],E$1,Tabla1[Sistema],"LIRA_GALERAS")/$C13,0)</f>
        <v>1</v>
      </c>
      <c r="F13" s="79">
        <f>IFERROR(SUMIFS(Tabla1[Avance_km],Tabla1[Ducto],'R (s01)'!$B13,Tabla1[nombre_actividad],F$1,Tabla1[Sistema],"LIRA_GALERAS")/$C13,0)</f>
        <v>1</v>
      </c>
      <c r="G13" s="79">
        <f>IFERROR(SUMIFS(Tabla1[Avance_Med],Tabla1[Ducto],'R (s01)'!$B13,Tabla1[nombre_actividad],G$1)/(1),0)</f>
        <v>1</v>
      </c>
      <c r="H13" s="79">
        <f>+SUMIFS(Tabla1[Avance_km],Tabla1[Ducto],'R (s01)'!$B13,Tabla1[nombre_actividad],H$1)/$C13</f>
        <v>0</v>
      </c>
      <c r="I13" s="79">
        <f>+SUMIFS(Tabla1[Avance_km],Tabla1[Ducto],'R (s01)'!$B13,Tabla1[nombre_actividad],I$1)/$C13</f>
        <v>0</v>
      </c>
      <c r="J13" s="142">
        <f>IFERROR(SUMIFS(Tabla1[Avance_Med],Tabla1[Ducto],$B13,Tabla1[nombre_actividad],G$1),0)</f>
        <v>1</v>
      </c>
    </row>
    <row r="14" spans="1:12" ht="26.25" x14ac:dyDescent="0.25">
      <c r="A14" s="34" t="s">
        <v>13</v>
      </c>
      <c r="B14" s="147" t="s">
        <v>67</v>
      </c>
      <c r="C14" s="110">
        <f>+_xlfn.XLOOKUP(B14,Tabla1[Ducto],Tabla1[Length])</f>
        <v>8.0000000000000002E-3</v>
      </c>
      <c r="D14" s="79">
        <f>IFERROR(SUMIFS(Tabla1[Avance_km],Tabla1[Ducto],'R (s01)'!$B14,Tabla1[nombre_actividad],D$1,Tabla1[Sistema],"LIRA_GALERAS")/$C14,0)</f>
        <v>1</v>
      </c>
      <c r="E14" s="79">
        <f>IFERROR(SUMIFS(Tabla1[Avance_km],Tabla1[Ducto],'R (s01)'!$B14,Tabla1[nombre_actividad],E$1,Tabla1[Sistema],"LIRA_GALERAS")/$C14,0)</f>
        <v>1</v>
      </c>
      <c r="F14" s="79">
        <f>IFERROR(SUMIFS(Tabla1[Avance_km],Tabla1[Ducto],'R (s01)'!$B14,Tabla1[nombre_actividad],F$1,Tabla1[Sistema],"LIRA_GALERAS")/$C14,0)</f>
        <v>1</v>
      </c>
      <c r="G14" s="79">
        <f>IFERROR(SUMIFS(Tabla1[Avance_Med],Tabla1[Ducto],'R (s01)'!$B14,Tabla1[nombre_actividad],G$1)/(1),0)</f>
        <v>1</v>
      </c>
      <c r="H14" s="79">
        <f>+SUMIFS(Tabla1[Avance_km],Tabla1[Ducto],'R (s01)'!$B14,Tabla1[nombre_actividad],H$1)/$C14</f>
        <v>0</v>
      </c>
      <c r="I14" s="79">
        <f>+SUMIFS(Tabla1[Avance_km],Tabla1[Ducto],'R (s01)'!$B14,Tabla1[nombre_actividad],I$1)/$C14</f>
        <v>0</v>
      </c>
      <c r="J14" s="142">
        <f>IFERROR(SUMIFS(Tabla1[Avance_Med],Tabla1[Ducto],$B14,Tabla1[nombre_actividad],G$1),0)</f>
        <v>1</v>
      </c>
    </row>
    <row r="15" spans="1:12" ht="26.25" collapsed="1" x14ac:dyDescent="0.25">
      <c r="A15" s="34" t="s">
        <v>13</v>
      </c>
      <c r="B15" s="147" t="s">
        <v>51</v>
      </c>
      <c r="C15" s="110">
        <f>+_xlfn.XLOOKUP(B15,Tabla1[Ducto],Tabla1[Length])</f>
        <v>1.054</v>
      </c>
      <c r="D15" s="79">
        <f>IFERROR(SUMIFS(Tabla1[Avance_km],Tabla1[Ducto],'R (s01)'!$B15,Tabla1[nombre_actividad],D$1,Tabla1[Sistema],"LIRA_GALERAS")/$C15,0)</f>
        <v>1</v>
      </c>
      <c r="E15" s="79">
        <f>IFERROR(SUMIFS(Tabla1[Avance_km],Tabla1[Ducto],'R (s01)'!$B15,Tabla1[nombre_actividad],E$1,Tabla1[Sistema],"LIRA_GALERAS")/$C15,0)</f>
        <v>1</v>
      </c>
      <c r="F15" s="79">
        <f>IFERROR(SUMIFS(Tabla1[Avance_km],Tabla1[Ducto],'R (s01)'!$B15,Tabla1[nombre_actividad],F$1,Tabla1[Sistema],"LIRA_GALERAS")/$C15,0)</f>
        <v>1</v>
      </c>
      <c r="G15" s="79">
        <f>IFERROR(SUMIFS(Tabla1[Avance_Med],Tabla1[Ducto],'R (s01)'!$B15,Tabla1[nombre_actividad],G$1)/(2),0)</f>
        <v>1</v>
      </c>
      <c r="H15" s="79">
        <f>+SUMIFS(Tabla1[Avance_km],Tabla1[Ducto],'R (s01)'!$B15,Tabla1[nombre_actividad],H$1)/$C15</f>
        <v>0</v>
      </c>
      <c r="I15" s="79">
        <f>+SUMIFS(Tabla1[Avance_km],Tabla1[Ducto],'R (s01)'!$B15,Tabla1[nombre_actividad],I$1)/$C15</f>
        <v>0</v>
      </c>
      <c r="J15" s="142">
        <f>IFERROR(SUMIFS(Tabla1[Avance_Med],Tabla1[Ducto],$B15,Tabla1[nombre_actividad],G$1),0)</f>
        <v>2</v>
      </c>
    </row>
    <row r="16" spans="1:12" ht="26.25" hidden="1" outlineLevel="1" x14ac:dyDescent="0.25">
      <c r="A16" s="144" t="s">
        <v>13</v>
      </c>
      <c r="B16" s="148" t="s">
        <v>170</v>
      </c>
      <c r="C16" s="145" t="e">
        <f>+_xlfn.XLOOKUP(B16,Tabla1[Ducto],Tabla1[Length])</f>
        <v>#N/A</v>
      </c>
      <c r="D16" s="146" t="s">
        <v>171</v>
      </c>
      <c r="E16" s="146" t="s">
        <v>171</v>
      </c>
      <c r="F16" s="146" t="s">
        <v>171</v>
      </c>
      <c r="G16" s="146" t="s">
        <v>171</v>
      </c>
      <c r="H16" s="79"/>
      <c r="I16" s="79"/>
      <c r="J16" s="142">
        <f>IFERROR(SUMIFS(Tabla1[Avance_Med],Tabla1[Ducto],$B16,Tabla1[nombre_actividad],G$1),0)</f>
        <v>0</v>
      </c>
    </row>
    <row r="17" spans="1:10" ht="26.25" x14ac:dyDescent="0.25">
      <c r="A17" s="34" t="s">
        <v>13</v>
      </c>
      <c r="B17" s="147" t="s">
        <v>57</v>
      </c>
      <c r="C17" s="110">
        <f>+_xlfn.XLOOKUP(B17,Tabla1[Ducto],Tabla1[Length])</f>
        <v>8.7999999999999995E-2</v>
      </c>
      <c r="D17" s="79">
        <f>IFERROR(SUMIFS(Tabla1[Avance_km],Tabla1[Ducto],'R (s01)'!$B17,Tabla1[nombre_actividad],D$1,Tabla1[Sistema],"LIRA_GALERAS")/$C17,0)</f>
        <v>1</v>
      </c>
      <c r="E17" s="79">
        <f>IFERROR(SUMIFS(Tabla1[Avance_km],Tabla1[Ducto],'R (s01)'!$B17,Tabla1[nombre_actividad],E$1,Tabla1[Sistema],"LIRA_GALERAS")/$C17,0)</f>
        <v>1</v>
      </c>
      <c r="F17" s="79">
        <f>IFERROR(SUMIFS(Tabla1[Avance_km],Tabla1[Ducto],'R (s01)'!$B17,Tabla1[nombre_actividad],F$1,Tabla1[Sistema],"LIRA_GALERAS")/$C17,0)</f>
        <v>1</v>
      </c>
      <c r="G17" s="79">
        <f>IFERROR(SUMIFS(Tabla1[Avance_Med],Tabla1[Ducto],'R (s01)'!$B17,Tabla1[nombre_actividad],G$1)/(1),0)</f>
        <v>1</v>
      </c>
      <c r="H17" s="79"/>
      <c r="I17" s="79"/>
      <c r="J17" s="142">
        <f>IFERROR(SUMIFS(Tabla1[Avance_Med],Tabla1[Ducto],$B17,Tabla1[nombre_actividad],G$1),0)</f>
        <v>1</v>
      </c>
    </row>
    <row r="18" spans="1:10" ht="26.25" x14ac:dyDescent="0.25">
      <c r="A18" s="34" t="s">
        <v>13</v>
      </c>
      <c r="B18" s="147" t="s">
        <v>58</v>
      </c>
      <c r="C18" s="110">
        <f>+_xlfn.XLOOKUP(B18,Tabla1[Ducto],Tabla1[Length])</f>
        <v>0.188</v>
      </c>
      <c r="D18" s="79">
        <f>IFERROR(SUMIFS(Tabla1[Avance_km],Tabla1[Ducto],'R (s01)'!$B18,Tabla1[nombre_actividad],D$1,Tabla1[Sistema],"LIRA_GALERAS")/$C18,0)</f>
        <v>1</v>
      </c>
      <c r="E18" s="79">
        <f>IFERROR(SUMIFS(Tabla1[Avance_km],Tabla1[Ducto],'R (s01)'!$B18,Tabla1[nombre_actividad],E$1,Tabla1[Sistema],"LIRA_GALERAS")/$C18,0)</f>
        <v>1</v>
      </c>
      <c r="F18" s="79">
        <f>IFERROR(SUMIFS(Tabla1[Avance_km],Tabla1[Ducto],'R (s01)'!$B18,Tabla1[nombre_actividad],F$1,Tabla1[Sistema],"LIRA_GALERAS")/$C18,0)</f>
        <v>1</v>
      </c>
      <c r="G18" s="139"/>
      <c r="H18" s="79"/>
      <c r="I18" s="79"/>
      <c r="J18" s="142"/>
    </row>
    <row r="19" spans="1:10" ht="26.25" x14ac:dyDescent="0.25">
      <c r="A19" s="34" t="s">
        <v>13</v>
      </c>
      <c r="B19" s="147" t="s">
        <v>20</v>
      </c>
      <c r="C19" s="110">
        <f>+_xlfn.XLOOKUP(B19,Tabla1[Ducto],Tabla1[Length])</f>
        <v>1.02</v>
      </c>
      <c r="D19" s="79">
        <f>IFERROR(SUMIFS(Tabla1[Avance_km],Tabla1[Ducto],'R (s01)'!$B19,Tabla1[nombre_actividad],D$1,Tabla1[Sistema],"LIRA_GALERAS")/$C19,0)</f>
        <v>1</v>
      </c>
      <c r="E19" s="79">
        <f>IFERROR(SUMIFS(Tabla1[Avance_km],Tabla1[Ducto],'R (s01)'!$B19,Tabla1[nombre_actividad],E$1,Tabla1[Sistema],"LIRA_GALERAS")/$C19,0)</f>
        <v>1</v>
      </c>
      <c r="F19" s="79">
        <f>IFERROR(SUMIFS(Tabla1[Avance_km],Tabla1[Ducto],'R (s01)'!$B19,Tabla1[nombre_actividad],F$1,Tabla1[Sistema],"LIRA_GALERAS")/$C19,0)</f>
        <v>1</v>
      </c>
      <c r="G19" s="79">
        <f>IFERROR(SUMIFS(Tabla1[Avance_Med],Tabla1[Ducto],'R (s01)'!$B19,Tabla1[nombre_actividad],G$1)/(3),0)</f>
        <v>1</v>
      </c>
      <c r="H19" s="79"/>
      <c r="I19" s="79"/>
      <c r="J19" s="142">
        <f>IFERROR(SUMIFS(Tabla1[Avance_Med],Tabla1[Ducto],$B19,Tabla1[nombre_actividad],G$1),0)</f>
        <v>3</v>
      </c>
    </row>
    <row r="20" spans="1:10" ht="26.25" x14ac:dyDescent="0.25">
      <c r="A20" s="34" t="s">
        <v>13</v>
      </c>
      <c r="B20" s="147" t="s">
        <v>47</v>
      </c>
      <c r="C20" s="110">
        <f>+_xlfn.XLOOKUP(B20,Tabla1[Ducto],Tabla1[Length])</f>
        <v>0.01</v>
      </c>
      <c r="D20" s="79">
        <f>IFERROR(SUMIFS(Tabla1[Avance_km],Tabla1[Ducto],'R (s01)'!$B20,Tabla1[nombre_actividad],D$1,Tabla1[Sistema],"LIRA_GALERAS")/$C20,0)</f>
        <v>1</v>
      </c>
      <c r="E20" s="79">
        <f>IFERROR(SUMIFS(Tabla1[Avance_km],Tabla1[Ducto],'R (s01)'!$B20,Tabla1[nombre_actividad],E$1,Tabla1[Sistema],"LIRA_GALERAS")/$C20,0)</f>
        <v>1</v>
      </c>
      <c r="F20" s="79">
        <f>IFERROR(SUMIFS(Tabla1[Avance_km],Tabla1[Ducto],'R (s01)'!$B20,Tabla1[nombre_actividad],F$1,Tabla1[Sistema],"LIRA_GALERAS")/$C20,0)</f>
        <v>1</v>
      </c>
      <c r="G20" s="79">
        <f>IFERROR(SUMIFS(Tabla1[Avance_Med],Tabla1[Ducto],'R (s01)'!$B20,Tabla1[nombre_actividad],G$1)/(1),0)</f>
        <v>1</v>
      </c>
      <c r="H20" s="79"/>
      <c r="I20" s="79"/>
      <c r="J20" s="142">
        <f>IFERROR(SUMIFS(Tabla1[Avance_Med],Tabla1[Ducto],$B20,Tabla1[nombre_actividad],G$1),0)</f>
        <v>1</v>
      </c>
    </row>
    <row r="21" spans="1:10" ht="26.25" x14ac:dyDescent="0.25">
      <c r="A21" s="34" t="s">
        <v>13</v>
      </c>
      <c r="B21" s="147" t="s">
        <v>48</v>
      </c>
      <c r="C21" s="110">
        <f>+_xlfn.XLOOKUP(B21,Tabla1[Ducto],Tabla1[Length])</f>
        <v>1.2E-2</v>
      </c>
      <c r="D21" s="79">
        <f>IFERROR(SUMIFS(Tabla1[Avance_km],Tabla1[Ducto],'R (s01)'!$B21,Tabla1[nombre_actividad],D$1,Tabla1[Sistema],"LIRA_GALERAS")/$C21,0)</f>
        <v>1</v>
      </c>
      <c r="E21" s="79">
        <f>IFERROR(SUMIFS(Tabla1[Avance_km],Tabla1[Ducto],'R (s01)'!$B21,Tabla1[nombre_actividad],E$1,Tabla1[Sistema],"LIRA_GALERAS")/$C21,0)</f>
        <v>1</v>
      </c>
      <c r="F21" s="79">
        <f>IFERROR(SUMIFS(Tabla1[Avance_km],Tabla1[Ducto],'R (s01)'!$B21,Tabla1[nombre_actividad],F$1,Tabla1[Sistema],"LIRA_GALERAS")/$C21,0)</f>
        <v>1</v>
      </c>
      <c r="G21" s="139"/>
      <c r="H21" s="79"/>
      <c r="I21" s="79"/>
      <c r="J21" s="142"/>
    </row>
    <row r="22" spans="1:10" ht="26.25" x14ac:dyDescent="0.25">
      <c r="A22" s="34" t="s">
        <v>13</v>
      </c>
      <c r="B22" s="147" t="s">
        <v>49</v>
      </c>
      <c r="C22" s="110">
        <f>+_xlfn.XLOOKUP(B22,Tabla1[Ducto],Tabla1[Length])</f>
        <v>1.2E-2</v>
      </c>
      <c r="D22" s="79">
        <f>IFERROR(SUMIFS(Tabla1[Avance_km],Tabla1[Ducto],'R (s01)'!$B22,Tabla1[nombre_actividad],D$1,Tabla1[Sistema],"LIRA_GALERAS")/$C22,0)</f>
        <v>1</v>
      </c>
      <c r="E22" s="79">
        <f>IFERROR(SUMIFS(Tabla1[Avance_km],Tabla1[Ducto],'R (s01)'!$B22,Tabla1[nombre_actividad],E$1,Tabla1[Sistema],"LIRA_GALERAS")/$C22,0)</f>
        <v>1</v>
      </c>
      <c r="F22" s="79">
        <f>IFERROR(SUMIFS(Tabla1[Avance_km],Tabla1[Ducto],'R (s01)'!$B22,Tabla1[nombre_actividad],F$1,Tabla1[Sistema],"LIRA_GALERAS")/$C22,0)</f>
        <v>1</v>
      </c>
      <c r="G22" s="79">
        <f>IFERROR(SUMIFS(Tabla1[Avance_Med],Tabla1[Ducto],'R (s01)'!$B22,Tabla1[nombre_actividad],G$1)/(1),0)</f>
        <v>1</v>
      </c>
      <c r="H22" s="79"/>
      <c r="I22" s="79"/>
      <c r="J22" s="142">
        <f>IFERROR(SUMIFS(Tabla1[Avance_Med],Tabla1[Ducto],$B22,Tabla1[nombre_actividad],G$1),0)</f>
        <v>1</v>
      </c>
    </row>
    <row r="23" spans="1:10" ht="26.25" outlineLevel="1" x14ac:dyDescent="0.25">
      <c r="A23" s="34" t="s">
        <v>13</v>
      </c>
      <c r="B23" s="147" t="s">
        <v>172</v>
      </c>
      <c r="C23" s="110">
        <v>1.2E-2</v>
      </c>
      <c r="D23" s="79">
        <f>IFERROR(SUMIFS(Tabla1[Avance_km],Tabla1[Ducto],'R (s01)'!$B23,Tabla1[nombre_actividad],D$1,Tabla1[Sistema],"LIRA_GALERAS")/$C23,0)</f>
        <v>1</v>
      </c>
      <c r="E23" s="79">
        <f>IFERROR(SUMIFS(Tabla1[Avance_km],Tabla1[Ducto],'R (s01)'!$B23,Tabla1[nombre_actividad],E$1,Tabla1[Sistema],"LIRA_GALERAS")/$C23,0)</f>
        <v>1</v>
      </c>
      <c r="F23" s="79">
        <f>IFERROR(SUMIFS(Tabla1[Avance_km],Tabla1[Ducto],'R (s01)'!$B23,Tabla1[nombre_actividad],F$1,Tabla1[Sistema],"LIRA_GALERAS")/$C23,0)</f>
        <v>1</v>
      </c>
      <c r="G23" s="139"/>
      <c r="H23" s="79"/>
      <c r="I23" s="79"/>
      <c r="J23" s="142"/>
    </row>
    <row r="24" spans="1:10" ht="26.25" x14ac:dyDescent="0.25">
      <c r="A24" s="34" t="s">
        <v>13</v>
      </c>
      <c r="B24" s="147" t="s">
        <v>65</v>
      </c>
      <c r="C24" s="110">
        <f>+_xlfn.XLOOKUP(B24,Tabla1[Ducto],Tabla1[Length])</f>
        <v>10.44422</v>
      </c>
      <c r="D24" s="79">
        <f>IFERROR(SUMIFS(Tabla1[Avance_km],Tabla1[Ducto],'R (s01)'!$B24,Tabla1[nombre_actividad],D$1,Tabla1[Sistema],"LIRA_GALERAS")/$C24,0)</f>
        <v>0.99997893571755492</v>
      </c>
      <c r="E24" s="79">
        <f>IFERROR(SUMIFS(Tabla1[Avance_km],Tabla1[Ducto],'R (s01)'!$B24,Tabla1[nombre_actividad],E$1,Tabla1[Sistema],"LIRA_GALERAS")/$C24,0)</f>
        <v>0.99997893571755492</v>
      </c>
      <c r="F24" s="79">
        <f>IFERROR(SUMIFS(Tabla1[Avance_km],Tabla1[Ducto],'R (s01)'!$B24,Tabla1[nombre_actividad],F$1,Tabla1[Sistema],"LIRA_GALERAS")/$C24,0)</f>
        <v>0.9999789357175547</v>
      </c>
      <c r="G24" s="79">
        <f>IFERROR(SUMIFS(Tabla1[Avance_Med],Tabla1[Ducto],'R (s01)'!$B24,Tabla1[nombre_actividad],G$1)/(ROUNDUP(C24,0)*2),0)</f>
        <v>1</v>
      </c>
      <c r="H24" s="79"/>
      <c r="I24" s="79"/>
      <c r="J24" s="142">
        <f>IFERROR(SUMIFS(Tabla1[Avance_Med],Tabla1[Ducto],$B24,Tabla1[nombre_actividad],G$1),0)</f>
        <v>22</v>
      </c>
    </row>
    <row r="25" spans="1:10" ht="26.25" x14ac:dyDescent="0.25">
      <c r="A25" s="34" t="s">
        <v>13</v>
      </c>
      <c r="B25" s="147" t="s">
        <v>61</v>
      </c>
      <c r="C25" s="110">
        <f>+_xlfn.XLOOKUP(B25,Tabla1[Ducto],Tabla1[Length])</f>
        <v>5.5E-2</v>
      </c>
      <c r="D25" s="79">
        <f>IFERROR(SUMIFS(Tabla1[Avance_km],Tabla1[Ducto],'R (s01)'!$B25,Tabla1[nombre_actividad],D$1,Tabla1[Sistema],"LIRA_GALERAS")/$C25,0)</f>
        <v>1</v>
      </c>
      <c r="E25" s="79">
        <f>IFERROR(SUMIFS(Tabla1[Avance_km],Tabla1[Ducto],'R (s01)'!$B25,Tabla1[nombre_actividad],E$1,Tabla1[Sistema],"LIRA_GALERAS")/$C25,0)</f>
        <v>1</v>
      </c>
      <c r="F25" s="79">
        <f>IFERROR(SUMIFS(Tabla1[Avance_km],Tabla1[Ducto],'R (s01)'!$B25,Tabla1[nombre_actividad],F$1,Tabla1[Sistema],"LIRA_GALERAS")/$C25,0)</f>
        <v>1</v>
      </c>
      <c r="G25" s="79">
        <f>IFERROR(SUMIFS(Tabla1[Avance_Med],Tabla1[Ducto],'R (s01)'!$B25,Tabla1[nombre_actividad],G$1)/(1),0)</f>
        <v>1</v>
      </c>
      <c r="H25" s="79"/>
      <c r="I25" s="79"/>
      <c r="J25" s="142">
        <f>IFERROR(SUMIFS(Tabla1[Avance_Med],Tabla1[Ducto],$B25,Tabla1[nombre_actividad],G$1),0)</f>
        <v>1</v>
      </c>
    </row>
    <row r="26" spans="1:10" ht="26.25" x14ac:dyDescent="0.25">
      <c r="A26" s="34" t="s">
        <v>13</v>
      </c>
      <c r="B26" s="147" t="s">
        <v>62</v>
      </c>
      <c r="C26" s="110">
        <f>+_xlfn.XLOOKUP(B26,Tabla1[Ducto],Tabla1[Length])</f>
        <v>6.3E-2</v>
      </c>
      <c r="D26" s="79">
        <f>IFERROR(SUMIFS(Tabla1[Avance_km],Tabla1[Ducto],'R (s01)'!$B26,Tabla1[nombre_actividad],D$1,Tabla1[Sistema],"LIRA_GALERAS")/$C26,0)</f>
        <v>1</v>
      </c>
      <c r="E26" s="79">
        <f>IFERROR(SUMIFS(Tabla1[Avance_km],Tabla1[Ducto],'R (s01)'!$B26,Tabla1[nombre_actividad],E$1,Tabla1[Sistema],"LIRA_GALERAS")/$C26,0)</f>
        <v>1</v>
      </c>
      <c r="F26" s="79">
        <f>IFERROR(SUMIFS(Tabla1[Avance_km],Tabla1[Ducto],'R (s01)'!$B26,Tabla1[nombre_actividad],F$1,Tabla1[Sistema],"LIRA_GALERAS")/$C26,0)</f>
        <v>1</v>
      </c>
      <c r="G26" s="79">
        <f>IFERROR(SUMIFS(Tabla1[Avance_Med],Tabla1[Ducto],'R (s01)'!$B26,Tabla1[nombre_actividad],G$1)/(1),0)</f>
        <v>1</v>
      </c>
      <c r="H26" s="79"/>
      <c r="I26" s="79"/>
      <c r="J26" s="142">
        <f>IFERROR(SUMIFS(Tabla1[Avance_Med],Tabla1[Ducto],$B26,Tabla1[nombre_actividad],G$1),0)</f>
        <v>1</v>
      </c>
    </row>
    <row r="27" spans="1:10" ht="26.25" x14ac:dyDescent="0.25">
      <c r="A27" s="34" t="s">
        <v>13</v>
      </c>
      <c r="B27" s="147" t="s">
        <v>63</v>
      </c>
      <c r="C27" s="110">
        <f>+_xlfn.XLOOKUP(B27,Tabla1[Ducto],Tabla1[Length])</f>
        <v>5.5E-2</v>
      </c>
      <c r="D27" s="79">
        <f>IFERROR(SUMIFS(Tabla1[Avance_km],Tabla1[Ducto],'R (s01)'!$B27,Tabla1[nombre_actividad],D$1,Tabla1[Sistema],"LIRA_GALERAS")/$C27,0)</f>
        <v>1</v>
      </c>
      <c r="E27" s="79">
        <f>IFERROR(SUMIFS(Tabla1[Avance_km],Tabla1[Ducto],'R (s01)'!$B27,Tabla1[nombre_actividad],E$1,Tabla1[Sistema],"LIRA_GALERAS")/$C27,0)</f>
        <v>1</v>
      </c>
      <c r="F27" s="79">
        <f>IFERROR(SUMIFS(Tabla1[Avance_km],Tabla1[Ducto],'R (s01)'!$B27,Tabla1[nombre_actividad],F$1,Tabla1[Sistema],"LIRA_GALERAS")/$C27,0)</f>
        <v>1</v>
      </c>
      <c r="G27" s="139"/>
      <c r="H27" s="79"/>
      <c r="I27" s="79"/>
      <c r="J27" s="142"/>
    </row>
    <row r="28" spans="1:10" ht="26.25" x14ac:dyDescent="0.25">
      <c r="A28" s="34" t="s">
        <v>13</v>
      </c>
      <c r="B28" s="147" t="s">
        <v>70</v>
      </c>
      <c r="C28" s="110">
        <f>+_xlfn.XLOOKUP(B28,Tabla1[Ducto],Tabla1[Length])</f>
        <v>0.28699999999999998</v>
      </c>
      <c r="D28" s="79">
        <f>IFERROR(SUMIFS(Tabla1[Avance_km],Tabla1[Ducto],'R (s01)'!$B28,Tabla1[nombre_actividad],D$1,Tabla1[Sistema],"LIRA_GALERAS")/$C28,0)</f>
        <v>1</v>
      </c>
      <c r="E28" s="79">
        <f>IFERROR(SUMIFS(Tabla1[Avance_km],Tabla1[Ducto],'R (s01)'!$B28,Tabla1[nombre_actividad],E$1,Tabla1[Sistema],"LIRA_GALERAS")/$C28,0)</f>
        <v>1</v>
      </c>
      <c r="F28" s="79">
        <f>IFERROR(SUMIFS(Tabla1[Avance_km],Tabla1[Ducto],'R (s01)'!$B28,Tabla1[nombre_actividad],F$1,Tabla1[Sistema],"LIRA_GALERAS")/$C28,0)</f>
        <v>1</v>
      </c>
      <c r="G28" s="79">
        <f>IFERROR(SUMIFS(Tabla1[Avance_Med],Tabla1[Ducto],'R (s01)'!$B28,Tabla1[nombre_actividad],G$1)/(1),0)</f>
        <v>1</v>
      </c>
      <c r="H28" s="79"/>
      <c r="I28" s="79"/>
      <c r="J28" s="142">
        <f>IFERROR(SUMIFS(Tabla1[Avance_Med],Tabla1[Ducto],$B28,Tabla1[nombre_actividad],G$1),0)</f>
        <v>1</v>
      </c>
    </row>
    <row r="29" spans="1:10" ht="26.25" x14ac:dyDescent="0.25">
      <c r="A29" s="34" t="s">
        <v>13</v>
      </c>
      <c r="B29" s="147" t="s">
        <v>50</v>
      </c>
      <c r="C29" s="110">
        <f>+_xlfn.XLOOKUP(B29,Tabla1[Ducto],Tabla1[Length])</f>
        <v>12.657</v>
      </c>
      <c r="D29" s="79">
        <f>IFERROR(SUMIFS(Tabla1[Avance_km],Tabla1[Ducto],'R (s01)'!$B29,Tabla1[nombre_actividad],D$1,Tabla1[Sistema],"LIRA_GALERAS")/$C29,0)</f>
        <v>1</v>
      </c>
      <c r="E29" s="79">
        <f>IFERROR(SUMIFS(Tabla1[Avance_km],Tabla1[Ducto],'R (s01)'!$B29,Tabla1[nombre_actividad],E$1,Tabla1[Sistema],"LIRA_GALERAS")/$C29,0)</f>
        <v>0.99999999999999989</v>
      </c>
      <c r="F29" s="79">
        <f>IFERROR(SUMIFS(Tabla1[Avance_km],Tabla1[Ducto],'R (s01)'!$B29,Tabla1[nombre_actividad],F$1,Tabla1[Sistema],"LIRA_GALERAS")/$C29,0)</f>
        <v>1</v>
      </c>
      <c r="G29" s="79">
        <f>IFERROR(SUMIFS(Tabla1[Avance_Med],Tabla1[Ducto],'R (s01)'!$B29,Tabla1[nombre_actividad],G$1)/(27),0)</f>
        <v>1</v>
      </c>
      <c r="H29" s="79"/>
      <c r="I29" s="79"/>
      <c r="J29" s="142">
        <f>IFERROR(SUMIFS(Tabla1[Avance_Med],Tabla1[Ducto],$B29,Tabla1[nombre_actividad],G$1),0)</f>
        <v>27</v>
      </c>
    </row>
    <row r="30" spans="1:10" ht="26.25" x14ac:dyDescent="0.25">
      <c r="A30" s="34" t="s">
        <v>13</v>
      </c>
      <c r="B30" s="147" t="s">
        <v>344</v>
      </c>
      <c r="C30" s="110">
        <f>+_xlfn.XLOOKUP(B30,Tabla1[Ducto],Tabla1[Length])</f>
        <v>3.6999999999999998E-2</v>
      </c>
      <c r="D30" s="79">
        <f>IFERROR(SUMIFS(Tabla1[Avance_km],Tabla1[Ducto],'R (s01)'!$B30,Tabla1[nombre_actividad],D$1,Tabla1[Sistema],"LIRA_GALERAS")/$C30,0)</f>
        <v>1</v>
      </c>
      <c r="E30" s="79">
        <f>IFERROR(SUMIFS(Tabla1[Avance_km],Tabla1[Ducto],'R (s01)'!$B30,Tabla1[nombre_actividad],E$1,Tabla1[Sistema],"LIRA_GALERAS")/$C30,0)</f>
        <v>1</v>
      </c>
      <c r="F30" s="79">
        <f>IFERROR(SUMIFS(Tabla1[Avance_km],Tabla1[Ducto],'R (s01)'!$B30,Tabla1[nombre_actividad],F$1,Tabla1[Sistema],"LIRA_GALERAS")/$C30,0)</f>
        <v>1</v>
      </c>
      <c r="G30" s="139"/>
      <c r="H30" s="219"/>
      <c r="I30" s="219"/>
      <c r="J30" s="142"/>
    </row>
    <row r="31" spans="1:10" ht="26.25" collapsed="1" x14ac:dyDescent="0.25">
      <c r="A31" s="34" t="s">
        <v>13</v>
      </c>
      <c r="B31" s="147" t="s">
        <v>66</v>
      </c>
      <c r="C31" s="110">
        <f>+_xlfn.XLOOKUP(B31,Tabla1[Ducto],Tabla1[Length])</f>
        <v>2.2770000000000001</v>
      </c>
      <c r="D31" s="79">
        <f>IFERROR(SUMIFS(Tabla1[Avance_km],Tabla1[Ducto],'R (s01)'!$B31,Tabla1[nombre_actividad],D$1,Tabla1[Sistema],"LIRA_GALERAS")/$C31,0)</f>
        <v>1</v>
      </c>
      <c r="E31" s="79">
        <f>IFERROR(SUMIFS(Tabla1[Avance_km],Tabla1[Ducto],'R (s01)'!$B31,Tabla1[nombre_actividad],E$1,Tabla1[Sistema],"LIRA_GALERAS")/$C31,0)</f>
        <v>1</v>
      </c>
      <c r="F31" s="79">
        <f>IFERROR(SUMIFS(Tabla1[Avance_km],Tabla1[Ducto],'R (s01)'!$B31,Tabla1[nombre_actividad],F$1,Tabla1[Sistema],"LIRA_GALERAS")/$C31,0)</f>
        <v>1</v>
      </c>
      <c r="G31" s="79">
        <f>IFERROR(SUMIFS(Tabla1[Avance_Med],Tabla1[Ducto],'R (s01)'!$B31,Tabla1[nombre_actividad],G$1)/(ROUNDUP(C31,0)*2),0)</f>
        <v>1</v>
      </c>
      <c r="J31" s="142">
        <f>IFERROR(SUMIFS(Tabla1[Avance_Med],Tabla1[Ducto],$B31,Tabla1[nombre_actividad],G$1),0)</f>
        <v>6</v>
      </c>
    </row>
    <row r="32" spans="1:10" ht="26.25" hidden="1" outlineLevel="1" x14ac:dyDescent="0.25">
      <c r="A32" s="144" t="s">
        <v>13</v>
      </c>
      <c r="B32" s="148" t="s">
        <v>173</v>
      </c>
      <c r="C32" s="145" t="e">
        <f>+_xlfn.XLOOKUP(B32,Tabla1[Ducto],Tabla1[Length])</f>
        <v>#N/A</v>
      </c>
      <c r="D32" s="146" t="s">
        <v>171</v>
      </c>
      <c r="E32" s="146" t="s">
        <v>171</v>
      </c>
      <c r="F32" s="146" t="s">
        <v>171</v>
      </c>
      <c r="G32" s="146" t="s">
        <v>171</v>
      </c>
      <c r="J32" s="142">
        <f>IFERROR(SUMIFS(Tabla1[Avance_Med],Tabla1[Ducto],$B32,Tabla1[nombre_actividad],G$1),0)</f>
        <v>0</v>
      </c>
    </row>
    <row r="33" spans="1:10" ht="26.25" x14ac:dyDescent="0.25">
      <c r="A33" s="183" t="s">
        <v>13</v>
      </c>
      <c r="B33" s="184" t="s">
        <v>68</v>
      </c>
      <c r="C33" s="185" t="e">
        <f>+_xlfn.XLOOKUP(B33,Tabla1[Ducto],Tabla1[Length])</f>
        <v>#N/A</v>
      </c>
      <c r="D33" s="186">
        <f>IFERROR(SUMIFS(Tabla1[Avance_km],Tabla1[Ducto],'R (s01)'!$B33,Tabla1[nombre_actividad],D$1,Tabla1[Sistema],"LIRA_GALERAS")/$C33,0)</f>
        <v>0</v>
      </c>
      <c r="E33" s="186">
        <f>IFERROR(SUMIFS(Tabla1[Avance_km],Tabla1[Ducto],'R (s01)'!$B33,Tabla1[nombre_actividad],E$1,Tabla1[Sistema],"LIRA_GALERAS")/$C33,0)</f>
        <v>0</v>
      </c>
      <c r="F33" s="186">
        <f>IFERROR(SUMIFS(Tabla1[Avance_km],Tabla1[Ducto],'R (s01)'!$B33,Tabla1[nombre_actividad],F$1,Tabla1[Sistema],"LIRA_GALERAS")/$C33,0)</f>
        <v>0</v>
      </c>
      <c r="G33" s="139"/>
      <c r="J33" s="142"/>
    </row>
    <row r="34" spans="1:10" ht="26.25" x14ac:dyDescent="0.25">
      <c r="A34" s="183" t="s">
        <v>13</v>
      </c>
      <c r="B34" s="184" t="s">
        <v>69</v>
      </c>
      <c r="C34" s="185" t="e">
        <f>+_xlfn.XLOOKUP(B34,Tabla1[Ducto],Tabla1[Length])</f>
        <v>#N/A</v>
      </c>
      <c r="D34" s="186">
        <f>IFERROR(SUMIFS(Tabla1[Avance_km],Tabla1[Ducto],'R (s01)'!$B34,Tabla1[nombre_actividad],D$1,Tabla1[Sistema],"LIRA_GALERAS")/$C34,0)</f>
        <v>0</v>
      </c>
      <c r="E34" s="186">
        <f>IFERROR(SUMIFS(Tabla1[Avance_km],Tabla1[Ducto],'R (s01)'!$B34,Tabla1[nombre_actividad],E$1,Tabla1[Sistema],"LIRA_GALERAS")/$C34,0)</f>
        <v>0</v>
      </c>
      <c r="F34" s="186">
        <f>IFERROR(SUMIFS(Tabla1[Avance_km],Tabla1[Ducto],'R (s01)'!$B34,Tabla1[nombre_actividad],F$1,Tabla1[Sistema],"LIRA_GALERAS")/$C34,0)</f>
        <v>0</v>
      </c>
      <c r="G34" s="139"/>
      <c r="J34" s="142"/>
    </row>
    <row r="35" spans="1:10" ht="26.25" x14ac:dyDescent="0.25">
      <c r="A35" s="34" t="s">
        <v>13</v>
      </c>
      <c r="B35" s="147" t="s">
        <v>59</v>
      </c>
      <c r="C35" s="110">
        <f>+_xlfn.XLOOKUP(B35,Tabla1[Ducto],Tabla1[Length])</f>
        <v>7.0000000000000001E-3</v>
      </c>
      <c r="D35" s="79">
        <f>IFERROR(SUMIFS(Tabla1[Avance_km],Tabla1[Ducto],'R (s01)'!$B35,Tabla1[nombre_actividad],D$1,Tabla1[Sistema],"LIRA_GALERAS")/$C35,0)</f>
        <v>1</v>
      </c>
      <c r="E35" s="79">
        <f>IFERROR(SUMIFS(Tabla1[Avance_km],Tabla1[Ducto],'R (s01)'!$B35,Tabla1[nombre_actividad],E$1,Tabla1[Sistema],"LIRA_GALERAS")/$C35,0)</f>
        <v>1</v>
      </c>
      <c r="F35" s="79">
        <f>IFERROR(SUMIFS(Tabla1[Avance_km],Tabla1[Ducto],'R (s01)'!$B35,Tabla1[nombre_actividad],F$1,Tabla1[Sistema],"LIRA_GALERAS")/$C35,0)</f>
        <v>1</v>
      </c>
      <c r="G35" s="139"/>
      <c r="J35" s="142"/>
    </row>
    <row r="36" spans="1:10" ht="26.25" x14ac:dyDescent="0.25">
      <c r="A36" s="34" t="s">
        <v>13</v>
      </c>
      <c r="B36" s="147" t="s">
        <v>60</v>
      </c>
      <c r="C36" s="110">
        <f>+_xlfn.XLOOKUP(B36,Tabla1[Ducto],Tabla1[Length])</f>
        <v>1.9E-2</v>
      </c>
      <c r="D36" s="79">
        <f>IFERROR(SUMIFS(Tabla1[Avance_km],Tabla1[Ducto],'R (s01)'!$B36,Tabla1[nombre_actividad],D$1,Tabla1[Sistema],"LIRA_GALERAS")/$C36,0)</f>
        <v>1</v>
      </c>
      <c r="E36" s="79">
        <f>IFERROR(SUMIFS(Tabla1[Avance_km],Tabla1[Ducto],'R (s01)'!$B36,Tabla1[nombre_actividad],E$1,Tabla1[Sistema],"LIRA_GALERAS")/$C36,0)</f>
        <v>1</v>
      </c>
      <c r="F36" s="79">
        <f>IFERROR(SUMIFS(Tabla1[Avance_km],Tabla1[Ducto],'R (s01)'!$B36,Tabla1[nombre_actividad],F$1,Tabla1[Sistema],"LIRA_GALERAS")/$C36,0)</f>
        <v>1</v>
      </c>
      <c r="G36" s="139"/>
      <c r="J36" s="142"/>
    </row>
    <row r="37" spans="1:10" ht="26.25" x14ac:dyDescent="0.25">
      <c r="A37" s="34" t="s">
        <v>13</v>
      </c>
      <c r="B37" s="147" t="s">
        <v>21</v>
      </c>
      <c r="C37" s="110">
        <f>+_xlfn.XLOOKUP(B37,Tabla1[Ducto],Tabla1[Length])</f>
        <v>1.0549999999999999</v>
      </c>
      <c r="D37" s="79">
        <f>IFERROR(SUMIFS(Tabla1[Avance_km],Tabla1[Ducto],'R (s01)'!$B37,Tabla1[nombre_actividad],D$1,Tabla1[Sistema],"LIRA_GALERAS")/$C37,0)</f>
        <v>1</v>
      </c>
      <c r="E37" s="79">
        <f>IFERROR(SUMIFS(Tabla1[Avance_km],Tabla1[Ducto],'R (s01)'!$B37,Tabla1[nombre_actividad],E$1,Tabla1[Sistema],"LIRA_GALERAS")/$C37,0)</f>
        <v>1</v>
      </c>
      <c r="F37" s="79">
        <f>IFERROR(SUMIFS(Tabla1[Avance_km],Tabla1[Ducto],'R (s01)'!$B37,Tabla1[nombre_actividad],F$1,Tabla1[Sistema],"LIRA_GALERAS")/$C37,0)</f>
        <v>1</v>
      </c>
      <c r="G37" s="79">
        <f>IFERROR(SUMIFS(Tabla1[Avance_Med],Tabla1[Ducto],'R (s01)'!$B37,Tabla1[nombre_actividad],G$1)/(3),0)</f>
        <v>1</v>
      </c>
      <c r="J37" s="142">
        <f>IFERROR(SUMIFS(Tabla1[Avance_Med],Tabla1[Ducto],$B37,Tabla1[nombre_actividad],G$1),0)</f>
        <v>3</v>
      </c>
    </row>
    <row r="38" spans="1:10" ht="26.25" x14ac:dyDescent="0.25">
      <c r="A38" s="34" t="s">
        <v>13</v>
      </c>
      <c r="B38" s="147" t="s">
        <v>37</v>
      </c>
      <c r="C38" s="110">
        <f>+_xlfn.XLOOKUP(B38,Tabla1[Ducto],Tabla1[Length])</f>
        <v>1.488</v>
      </c>
      <c r="D38" s="79">
        <f>IFERROR(SUMIFS(Tabla1[Avance_km],Tabla1[Ducto],'R (s01)'!$B38,Tabla1[nombre_actividad],D$1,Tabla1[Sistema],"LIRA_GALERAS")/$C38,0)</f>
        <v>1</v>
      </c>
      <c r="E38" s="79">
        <f>IFERROR(SUMIFS(Tabla1[Avance_km],Tabla1[Ducto],'R (s01)'!$B38,Tabla1[nombre_actividad],E$1,Tabla1[Sistema],"LIRA_GALERAS")/$C38,0)</f>
        <v>1</v>
      </c>
      <c r="F38" s="79">
        <f>IFERROR(SUMIFS(Tabla1[Avance_km],Tabla1[Ducto],'R (s01)'!$B38,Tabla1[nombre_actividad],F$1,Tabla1[Sistema],"LIRA_GALERAS")/$C38,0)</f>
        <v>1</v>
      </c>
      <c r="G38" s="79">
        <f>IFERROR(SUMIFS(Tabla1[Avance_Med],Tabla1[Ducto],'R (s01)'!$B38,Tabla1[nombre_actividad],G$1)/(ROUNDUP(C38,0)*2),0)</f>
        <v>1</v>
      </c>
      <c r="J38" s="142">
        <f>IFERROR(SUMIFS(Tabla1[Avance_Med],Tabla1[Ducto],$B38,Tabla1[nombre_actividad],G$1),0)</f>
        <v>4</v>
      </c>
    </row>
    <row r="39" spans="1:10" ht="26.25" x14ac:dyDescent="0.25">
      <c r="A39" s="34" t="s">
        <v>13</v>
      </c>
      <c r="B39" s="147" t="s">
        <v>71</v>
      </c>
      <c r="C39" s="110">
        <f>+_xlfn.XLOOKUP(B39,Tabla1[Ducto],Tabla1[Length])</f>
        <v>7.0000000000000001E-3</v>
      </c>
      <c r="D39" s="164">
        <f>IFERROR(SUMIFS(Tabla1[Avance_km],Tabla1[Ducto],'R (s01)'!$B39,Tabla1[nombre_actividad],D$1,Tabla1[Sistema],"LIRA_GALERAS")/$C39,0)</f>
        <v>1</v>
      </c>
      <c r="E39" s="164">
        <f>IFERROR(SUMIFS(Tabla1[Avance_km],Tabla1[Ducto],'R (s01)'!$B39,Tabla1[nombre_actividad],E$1,Tabla1[Sistema],"LIRA_GALERAS")/$C39,0)</f>
        <v>1</v>
      </c>
      <c r="F39" s="164">
        <f>IFERROR(SUMIFS(Tabla1[Avance_km],Tabla1[Ducto],'R (s01)'!$B39,Tabla1[nombre_actividad],F$1,Tabla1[Sistema],"LIRA_GALERAS")/$C39,0)</f>
        <v>1</v>
      </c>
      <c r="G39" s="139"/>
      <c r="J39" s="142"/>
    </row>
    <row r="40" spans="1:10" ht="26.25" x14ac:dyDescent="0.25">
      <c r="A40" s="34" t="s">
        <v>13</v>
      </c>
      <c r="B40" s="147" t="s">
        <v>38</v>
      </c>
      <c r="C40" s="110">
        <f>+_xlfn.XLOOKUP(B40,Tabla1[Ducto],Tabla1[Length])</f>
        <v>1.855</v>
      </c>
      <c r="D40" s="79">
        <f>IFERROR(SUMIFS(Tabla1[Avance_km],Tabla1[Ducto],'R (s01)'!$B40,Tabla1[nombre_actividad],D$1,Tabla1[Sistema],"LIRA_GALERAS")/$C40,0)</f>
        <v>1</v>
      </c>
      <c r="E40" s="79">
        <f>IFERROR(SUMIFS(Tabla1[Avance_km],Tabla1[Ducto],'R (s01)'!$B40,Tabla1[nombre_actividad],E$1,Tabla1[Sistema],"LIRA_GALERAS")/$C40,0)</f>
        <v>1</v>
      </c>
      <c r="F40" s="79">
        <f>IFERROR(SUMIFS(Tabla1[Avance_km],Tabla1[Ducto],'R (s01)'!$B40,Tabla1[nombre_actividad],F$1,Tabla1[Sistema],"LIRA_GALERAS")/$C40,0)</f>
        <v>1</v>
      </c>
      <c r="G40" s="79">
        <f>IFERROR(SUMIFS(Tabla1[Avance_Med],Tabla1[Ducto],'R (s01)'!$B40,Tabla1[nombre_actividad],G$1)/(ROUNDUP(C40,0)*2),0)</f>
        <v>1</v>
      </c>
      <c r="J40" s="142">
        <f>IFERROR(SUMIFS(Tabla1[Avance_Med],Tabla1[Ducto],$B40,Tabla1[nombre_actividad],G$1),0)</f>
        <v>4</v>
      </c>
    </row>
    <row r="41" spans="1:10" ht="26.25" x14ac:dyDescent="0.25">
      <c r="A41" s="34" t="s">
        <v>13</v>
      </c>
      <c r="B41" s="147" t="s">
        <v>46</v>
      </c>
      <c r="C41" s="110">
        <f>+_xlfn.XLOOKUP(B41,Tabla1[Ducto],Tabla1[Length])</f>
        <v>0.26700000000000002</v>
      </c>
      <c r="D41" s="79">
        <f>IFERROR(SUMIFS(Tabla1[Avance_km],Tabla1[Ducto],'R (s01)'!$B41,Tabla1[nombre_actividad],D$1,Tabla1[Sistema],"LIRA_GALERAS")/$C41,0)</f>
        <v>1</v>
      </c>
      <c r="E41" s="79">
        <f>IFERROR(SUMIFS(Tabla1[Avance_km],Tabla1[Ducto],'R (s01)'!$B41,Tabla1[nombre_actividad],E$1,Tabla1[Sistema],"LIRA_GALERAS")/$C41,0)</f>
        <v>1</v>
      </c>
      <c r="F41" s="79">
        <f>IFERROR(SUMIFS(Tabla1[Avance_km],Tabla1[Ducto],'R (s01)'!$B41,Tabla1[nombre_actividad],F$1,Tabla1[Sistema],"LIRA_GALERAS")/$C41,0)</f>
        <v>1</v>
      </c>
      <c r="G41" s="79">
        <f>IFERROR(SUMIFS(Tabla1[Avance_Med],Tabla1[Ducto],'R (s01)'!$B41,Tabla1[nombre_actividad],G$1)/(ROUNDUP(C41,0)*2),0)</f>
        <v>1</v>
      </c>
      <c r="J41" s="142">
        <f>IFERROR(SUMIFS(Tabla1[Avance_Med],Tabla1[Ducto],$B41,Tabla1[nombre_actividad],G$1),0)</f>
        <v>2</v>
      </c>
    </row>
  </sheetData>
  <conditionalFormatting sqref="D2:I2 G3:I3 H4:I15 D3:F29 D30:G41 G4:G29">
    <cfRule type="dataBar" priority="6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{1B4873D4-7C1C-4C8E-A2D6-D63E0E511079}</x14:id>
        </ext>
      </extLst>
    </cfRule>
  </conditionalFormatting>
  <conditionalFormatting sqref="H16:I18">
    <cfRule type="dataBar" priority="5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{0CB3FB34-834F-418B-A1A8-937DB997B0B5}</x14:id>
        </ext>
      </extLst>
    </cfRule>
  </conditionalFormatting>
  <conditionalFormatting sqref="H19:I19">
    <cfRule type="dataBar" priority="4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{00164B04-C881-4633-9F75-FDE064185232}</x14:id>
        </ext>
      </extLst>
    </cfRule>
  </conditionalFormatting>
  <conditionalFormatting sqref="H20:I20">
    <cfRule type="dataBar" priority="3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{9230231A-5D14-4A7F-9DA1-FD8B599C6886}</x14:id>
        </ext>
      </extLst>
    </cfRule>
  </conditionalFormatting>
  <conditionalFormatting sqref="H21:I28">
    <cfRule type="dataBar" priority="2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{45A22CB3-D298-4224-BAFB-5F8ADA32BDBD}</x14:id>
        </ext>
      </extLst>
    </cfRule>
  </conditionalFormatting>
  <conditionalFormatting sqref="H29:I3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{916AAFF7-FF48-4D9C-8D8C-17C1387CFDA1}</x14:id>
        </ext>
      </extLst>
    </cfRule>
  </conditionalFormatting>
  <pageMargins left="0.7" right="0.7" top="0.75" bottom="0.75" header="0.3" footer="0.3"/>
  <pageSetup paperSize="11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4873D4-7C1C-4C8E-A2D6-D63E0E51107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D2:I2 G3:I3 H4:I15 D3:F29 D30:G41 G4:G29</xm:sqref>
        </x14:conditionalFormatting>
        <x14:conditionalFormatting xmlns:xm="http://schemas.microsoft.com/office/excel/2006/main">
          <x14:cfRule type="dataBar" id="{0CB3FB34-834F-418B-A1A8-937DB997B0B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H16:I18</xm:sqref>
        </x14:conditionalFormatting>
        <x14:conditionalFormatting xmlns:xm="http://schemas.microsoft.com/office/excel/2006/main">
          <x14:cfRule type="dataBar" id="{00164B04-C881-4633-9F75-FDE06418523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H19:I19</xm:sqref>
        </x14:conditionalFormatting>
        <x14:conditionalFormatting xmlns:xm="http://schemas.microsoft.com/office/excel/2006/main">
          <x14:cfRule type="dataBar" id="{9230231A-5D14-4A7F-9DA1-FD8B599C68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H20:I20</xm:sqref>
        </x14:conditionalFormatting>
        <x14:conditionalFormatting xmlns:xm="http://schemas.microsoft.com/office/excel/2006/main">
          <x14:cfRule type="dataBar" id="{45A22CB3-D298-4224-BAFB-5F8ADA32BDB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H21:I28</xm:sqref>
        </x14:conditionalFormatting>
        <x14:conditionalFormatting xmlns:xm="http://schemas.microsoft.com/office/excel/2006/main">
          <x14:cfRule type="dataBar" id="{916AAFF7-FF48-4D9C-8D8C-17C1387CFDA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H29:I30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C0480-E09A-4FF5-9E0F-11BC1024E016}">
  <sheetPr codeName="Hoja13">
    <tabColor rgb="FF00B050"/>
  </sheetPr>
  <dimension ref="A1:L18"/>
  <sheetViews>
    <sheetView showGridLines="0" workbookViewId="0"/>
  </sheetViews>
  <sheetFormatPr baseColWidth="10" defaultColWidth="11.42578125" defaultRowHeight="15" outlineLevelCol="1" x14ac:dyDescent="0.25"/>
  <cols>
    <col min="1" max="1" width="15" customWidth="1"/>
    <col min="2" max="2" width="29.140625" bestFit="1" customWidth="1"/>
    <col min="3" max="3" width="8.42578125" style="26" customWidth="1"/>
    <col min="4" max="4" width="16" customWidth="1"/>
    <col min="5" max="5" width="14.85546875" customWidth="1"/>
    <col min="6" max="6" width="16.42578125" customWidth="1"/>
    <col min="7" max="7" width="18.42578125" customWidth="1"/>
    <col min="8" max="9" width="14.85546875" hidden="1" customWidth="1" outlineLevel="1"/>
    <col min="10" max="10" width="11.42578125" style="143" collapsed="1"/>
    <col min="11" max="11" width="7.28515625" style="1" customWidth="1"/>
    <col min="12" max="12" width="20.85546875" bestFit="1" customWidth="1"/>
    <col min="13" max="13" width="20.42578125" bestFit="1" customWidth="1"/>
    <col min="14" max="14" width="28.28515625" bestFit="1" customWidth="1"/>
  </cols>
  <sheetData>
    <row r="1" spans="1:12" s="1" customFormat="1" ht="30.75" customHeight="1" x14ac:dyDescent="0.25">
      <c r="A1" s="1" t="s">
        <v>2</v>
      </c>
      <c r="B1" s="33" t="s">
        <v>76</v>
      </c>
      <c r="C1" s="110" t="s">
        <v>77</v>
      </c>
      <c r="D1" s="33" t="s">
        <v>78</v>
      </c>
      <c r="E1" s="33" t="s">
        <v>79</v>
      </c>
      <c r="F1" s="33" t="s">
        <v>80</v>
      </c>
      <c r="G1" s="65" t="s">
        <v>81</v>
      </c>
      <c r="H1" s="33" t="s">
        <v>82</v>
      </c>
      <c r="I1" s="33" t="s">
        <v>83</v>
      </c>
      <c r="J1" s="141"/>
      <c r="L1"/>
    </row>
    <row r="2" spans="1:12" ht="26.25" x14ac:dyDescent="0.25">
      <c r="A2" s="34" t="s">
        <v>22</v>
      </c>
      <c r="B2" s="149" t="s">
        <v>27</v>
      </c>
      <c r="C2" s="110">
        <f>+_xlfn.XLOOKUP(B2,Tabla1[Ducto],Tabla1[Length])</f>
        <v>25.4</v>
      </c>
      <c r="D2" s="79">
        <f>IFERROR(SUMIFS(Tabla1[Avance_km],Tabla1[Ducto],'R (s02)'!$B2,Tabla1[nombre_actividad],D$1,Tabla1[Sistema],"PECO_AGROS")/$C2,0)</f>
        <v>1</v>
      </c>
      <c r="E2" s="79">
        <f>IFERROR(SUMIFS(Tabla1[Avance_km],Tabla1[Ducto],'R (s02)'!$B2,Tabla1[nombre_actividad],E$1,Tabla1[Sistema],"PECO_AGROS")/$C2,0)</f>
        <v>1</v>
      </c>
      <c r="F2" s="79">
        <f>IFERROR(SUMIFS(Tabla1[Avance_km],Tabla1[Ducto],'R (s02)'!$B2,Tabla1[nombre_actividad],F$1,Tabla1[Sistema],"PECO_AGROS")/$C2,0)</f>
        <v>1</v>
      </c>
      <c r="G2" s="79">
        <f>IFERROR(SUMIFS(Tabla1[Avance_Med],Tabla1[Ducto],'R (s02)'!$B2,Tabla1[nombre_actividad],G$1)/52,0)</f>
        <v>1</v>
      </c>
      <c r="H2" s="79">
        <f>+SUMIFS(Tabla1[Avance_km],Tabla1[Ducto],'R (s02)'!$B2,Tabla1[nombre_actividad],H$1)/$C2</f>
        <v>0</v>
      </c>
      <c r="I2" s="79">
        <f>+SUMIFS(Tabla1[Avance_km],Tabla1[Ducto],'R (s02)'!$B2,Tabla1[nombre_actividad],I$1)/$C2</f>
        <v>0</v>
      </c>
      <c r="J2" s="142">
        <f>IFERROR(SUMIFS(Tabla1[Avance_Med],Tabla1[Ducto],$B2,Tabla1[nombre_actividad],G$1),0)</f>
        <v>52</v>
      </c>
    </row>
    <row r="3" spans="1:12" ht="26.25" x14ac:dyDescent="0.25">
      <c r="A3" s="34" t="s">
        <v>22</v>
      </c>
      <c r="B3" s="149" t="s">
        <v>73</v>
      </c>
      <c r="C3" s="110">
        <f>+_xlfn.XLOOKUP(B3,Tabla1[Ducto],Tabla1[Length])</f>
        <v>5.0000000000000001E-3</v>
      </c>
      <c r="D3" s="79">
        <f>IFERROR(SUMIFS(Tabla1[Avance_km],Tabla1[Ducto],'R (s02)'!$B3,Tabla1[nombre_actividad],D$1,Tabla1[Sistema],"PECO_AGROS")/$C3,0)</f>
        <v>1</v>
      </c>
      <c r="E3" s="79">
        <f>IFERROR(SUMIFS(Tabla1[Avance_km],Tabla1[Ducto],'R (s02)'!$B3,Tabla1[nombre_actividad],E$1,Tabla1[Sistema],"PECO_AGROS")/$C3,0)</f>
        <v>1</v>
      </c>
      <c r="F3" s="79">
        <f>IFERROR(SUMIFS(Tabla1[Avance_km],Tabla1[Ducto],'R (s02)'!$B3,Tabla1[nombre_actividad],F$1,Tabla1[Sistema],"PECO_AGROS")/$C3,0)</f>
        <v>1</v>
      </c>
      <c r="G3" s="139"/>
      <c r="H3" s="79">
        <f>+SUMIFS(Tabla1[Avance_km],Tabla1[Ducto],'R (s02)'!$B3,Tabla1[nombre_actividad],H$1)/$C3</f>
        <v>0</v>
      </c>
      <c r="I3" s="79">
        <f>+SUMIFS(Tabla1[Avance_km],Tabla1[Ducto],'R (s02)'!$B3,Tabla1[nombre_actividad],I$1)/$C3</f>
        <v>0</v>
      </c>
      <c r="J3" s="142"/>
    </row>
    <row r="4" spans="1:12" ht="26.25" x14ac:dyDescent="0.25">
      <c r="A4" s="34" t="s">
        <v>22</v>
      </c>
      <c r="B4" s="149" t="s">
        <v>64</v>
      </c>
      <c r="C4" s="110">
        <f>+_xlfn.XLOOKUP(B4,Tabla1[Ducto],Tabla1[Length])</f>
        <v>1.7000000000000001E-2</v>
      </c>
      <c r="D4" s="79">
        <f>IFERROR(SUMIFS(Tabla1[Avance_km],Tabla1[Ducto],'R (s02)'!$B4,Tabla1[nombre_actividad],D$1,Tabla1[Sistema],"PECO_AGROS")/$C4,0)</f>
        <v>1</v>
      </c>
      <c r="E4" s="79">
        <f>IFERROR(SUMIFS(Tabla1[Avance_km],Tabla1[Ducto],'R (s02)'!$B4,Tabla1[nombre_actividad],E$1,Tabla1[Sistema],"PECO_AGROS")/$C4,0)</f>
        <v>1</v>
      </c>
      <c r="F4" s="79">
        <f>IFERROR(SUMIFS(Tabla1[Avance_km],Tabla1[Ducto],'R (s02)'!$B4,Tabla1[nombre_actividad],F$1,Tabla1[Sistema],"PECO_AGROS")/$C4,0)</f>
        <v>1</v>
      </c>
      <c r="G4" s="139"/>
      <c r="H4" s="79">
        <f>+SUMIFS(Tabla1[Avance_km],Tabla1[Ducto],'R (s02)'!$B4,Tabla1[nombre_actividad],H$1)/$C4</f>
        <v>0</v>
      </c>
      <c r="I4" s="79">
        <f>+SUMIFS(Tabla1[Avance_km],Tabla1[Ducto],'R (s02)'!$B4,Tabla1[nombre_actividad],I$1)/$C4</f>
        <v>0</v>
      </c>
      <c r="J4" s="142"/>
    </row>
    <row r="5" spans="1:12" ht="26.25" x14ac:dyDescent="0.25">
      <c r="A5" s="34" t="s">
        <v>22</v>
      </c>
      <c r="B5" s="149" t="s">
        <v>55</v>
      </c>
      <c r="C5" s="110">
        <f>+_xlfn.XLOOKUP(B5,Tabla1[Ducto],Tabla1[Length])</f>
        <v>1.0999999999999999E-2</v>
      </c>
      <c r="D5" s="79">
        <f>IFERROR(SUMIFS(Tabla1[Avance_km],Tabla1[Ducto],'R (s02)'!$B5,Tabla1[nombre_actividad],D$1,Tabla1[Sistema],"PECO_AGROS")/$C5,0)</f>
        <v>1</v>
      </c>
      <c r="E5" s="79">
        <f>IFERROR(SUMIFS(Tabla1[Avance_km],Tabla1[Ducto],'R (s02)'!$B5,Tabla1[nombre_actividad],E$1,Tabla1[Sistema],"PECO_AGROS")/$C5,0)</f>
        <v>1</v>
      </c>
      <c r="F5" s="79">
        <f>IFERROR(SUMIFS(Tabla1[Avance_km],Tabla1[Ducto],'R (s02)'!$B5,Tabla1[nombre_actividad],F$1,Tabla1[Sistema],"PECO_AGROS")/$C5,0)</f>
        <v>1</v>
      </c>
      <c r="G5" s="139"/>
      <c r="H5" s="79">
        <f>+SUMIFS(Tabla1[Avance_km],Tabla1[Ducto],'R (s02)'!$B5,Tabla1[nombre_actividad],H$1)/$C5</f>
        <v>0</v>
      </c>
      <c r="I5" s="79">
        <f>+SUMIFS(Tabla1[Avance_km],Tabla1[Ducto],'R (s02)'!$B5,Tabla1[nombre_actividad],I$1)/$C5</f>
        <v>0</v>
      </c>
      <c r="J5" s="142"/>
    </row>
    <row r="6" spans="1:12" ht="26.25" x14ac:dyDescent="0.25">
      <c r="A6" s="34" t="s">
        <v>22</v>
      </c>
      <c r="B6" s="149" t="s">
        <v>54</v>
      </c>
      <c r="C6" s="110">
        <f>+_xlfn.XLOOKUP(B6,Tabla1[Ducto],Tabla1[Length])</f>
        <v>1.2999999999999999E-2</v>
      </c>
      <c r="D6" s="79">
        <f>IFERROR(SUMIFS(Tabla1[Avance_km],Tabla1[Ducto],'R (s02)'!$B6,Tabla1[nombre_actividad],D$1,Tabla1[Sistema],"PECO_AGROS")/$C6,0)</f>
        <v>1</v>
      </c>
      <c r="E6" s="79">
        <f>IFERROR(SUMIFS(Tabla1[Avance_km],Tabla1[Ducto],'R (s02)'!$B6,Tabla1[nombre_actividad],E$1,Tabla1[Sistema],"PECO_AGROS")/$C6,0)</f>
        <v>1</v>
      </c>
      <c r="F6" s="79">
        <f>IFERROR(SUMIFS(Tabla1[Avance_km],Tabla1[Ducto],'R (s02)'!$B6,Tabla1[nombre_actividad],F$1,Tabla1[Sistema],"PECO_AGROS")/$C6,0)</f>
        <v>1</v>
      </c>
      <c r="G6" s="139"/>
      <c r="H6" s="79">
        <f>+SUMIFS(Tabla1[Avance_km],Tabla1[Ducto],'R (s02)'!$B6,Tabla1[nombre_actividad],H$1)/$C6</f>
        <v>0</v>
      </c>
      <c r="I6" s="79">
        <f>+SUMIFS(Tabla1[Avance_km],Tabla1[Ducto],'R (s02)'!$B6,Tabla1[nombre_actividad],I$1)/$C6</f>
        <v>0</v>
      </c>
      <c r="J6" s="142"/>
    </row>
    <row r="7" spans="1:12" ht="26.25" x14ac:dyDescent="0.25">
      <c r="A7" s="34" t="s">
        <v>22</v>
      </c>
      <c r="B7" s="149" t="s">
        <v>35</v>
      </c>
      <c r="C7" s="110">
        <f>+_xlfn.XLOOKUP(B7,Tabla1[Ducto],Tabla1[Length])</f>
        <v>1.1950000000000001</v>
      </c>
      <c r="D7" s="79">
        <f>IFERROR(SUMIFS(Tabla1[Avance_km],Tabla1[Ducto],'R (s02)'!$B7,Tabla1[nombre_actividad],D$1,Tabla1[Sistema],"PECO_AGROS")/$C7,0)</f>
        <v>1</v>
      </c>
      <c r="E7" s="79">
        <f>IFERROR(SUMIFS(Tabla1[Avance_km],Tabla1[Ducto],'R (s02)'!$B7,Tabla1[nombre_actividad],E$1,Tabla1[Sistema],"PECO_AGROS")/$C7,0)</f>
        <v>1</v>
      </c>
      <c r="F7" s="79">
        <f>IFERROR(SUMIFS(Tabla1[Avance_km],Tabla1[Ducto],'R (s02)'!$B7,Tabla1[nombre_actividad],F$1,Tabla1[Sistema],"PECO_AGROS")/$C7,0)</f>
        <v>1</v>
      </c>
      <c r="G7" s="79">
        <f>IFERROR(SUMIFS(Tabla1[Avance_Med],Tabla1[Ducto],'R (s02)'!$B7,Tabla1[nombre_actividad],G$1)/(3),0)</f>
        <v>1</v>
      </c>
      <c r="H7" s="79">
        <f>+SUMIFS(Tabla1[Avance_km],Tabla1[Ducto],'R (s02)'!$B7,Tabla1[nombre_actividad],H$1)/$C7</f>
        <v>0</v>
      </c>
      <c r="I7" s="79">
        <f>+SUMIFS(Tabla1[Avance_km],Tabla1[Ducto],'R (s02)'!$B7,Tabla1[nombre_actividad],I$1)/$C7</f>
        <v>0</v>
      </c>
      <c r="J7" s="142">
        <f>IFERROR(SUMIFS(Tabla1[Avance_Med],Tabla1[Ducto],$B7,Tabla1[nombre_actividad],G$1),0)</f>
        <v>3</v>
      </c>
    </row>
    <row r="8" spans="1:12" ht="26.25" x14ac:dyDescent="0.25">
      <c r="A8" s="34" t="s">
        <v>22</v>
      </c>
      <c r="B8" s="149" t="s">
        <v>74</v>
      </c>
      <c r="C8" s="110">
        <f>+_xlfn.XLOOKUP(B8,Tabla1[Ducto],Tabla1[Length])</f>
        <v>3.1E-2</v>
      </c>
      <c r="D8" s="79">
        <f>IFERROR(SUMIFS(Tabla1[Avance_km],Tabla1[Ducto],'R (s02)'!$B8,Tabla1[nombre_actividad],D$1,Tabla1[Sistema],"PECO_AGROS")/$C8,0)</f>
        <v>1</v>
      </c>
      <c r="E8" s="79">
        <f>IFERROR(SUMIFS(Tabla1[Avance_km],Tabla1[Ducto],'R (s02)'!$B8,Tabla1[nombre_actividad],E$1,Tabla1[Sistema],"PECO_AGROS")/$C8,0)</f>
        <v>1</v>
      </c>
      <c r="F8" s="79">
        <f>IFERROR(SUMIFS(Tabla1[Avance_km],Tabla1[Ducto],'R (s02)'!$B8,Tabla1[nombre_actividad],F$1,Tabla1[Sistema],"PECO_AGROS")/$C8,0)</f>
        <v>1</v>
      </c>
      <c r="G8" s="79">
        <f>IFERROR(SUMIFS(Tabla1[Avance_Med],Tabla1[Ducto],'R (s02)'!$B8,Tabla1[nombre_actividad],G$1)/(1),0)</f>
        <v>1</v>
      </c>
      <c r="H8" s="79">
        <f>+SUMIFS(Tabla1[Avance_km],Tabla1[Ducto],'R (s02)'!$B8,Tabla1[nombre_actividad],H$1)/$C8</f>
        <v>0</v>
      </c>
      <c r="I8" s="79">
        <f>+SUMIFS(Tabla1[Avance_km],Tabla1[Ducto],'R (s02)'!$B8,Tabla1[nombre_actividad],I$1)/$C8</f>
        <v>0</v>
      </c>
      <c r="J8" s="142">
        <f>IFERROR(SUMIFS(Tabla1[Avance_Med],Tabla1[Ducto],$B8,Tabla1[nombre_actividad],G$1),0)</f>
        <v>1</v>
      </c>
    </row>
    <row r="9" spans="1:12" ht="26.25" x14ac:dyDescent="0.25">
      <c r="A9" s="34" t="s">
        <v>22</v>
      </c>
      <c r="B9" s="149" t="s">
        <v>34</v>
      </c>
      <c r="C9" s="110">
        <f>+_xlfn.XLOOKUP(B9,Tabla1[Ducto],Tabla1[Length])</f>
        <v>0.12</v>
      </c>
      <c r="D9" s="79">
        <f>IFERROR(SUMIFS(Tabla1[Avance_km],Tabla1[Ducto],'R (s02)'!$B9,Tabla1[nombre_actividad],D$1,Tabla1[Sistema],"PECO_AGROS")/$C9,0)</f>
        <v>1</v>
      </c>
      <c r="E9" s="79">
        <f>IFERROR(SUMIFS(Tabla1[Avance_km],Tabla1[Ducto],'R (s02)'!$B9,Tabla1[nombre_actividad],E$1,Tabla1[Sistema],"PECO_AGROS")/$C9,0)</f>
        <v>1</v>
      </c>
      <c r="F9" s="79">
        <f>IFERROR(SUMIFS(Tabla1[Avance_km],Tabla1[Ducto],'R (s02)'!$B9,Tabla1[nombre_actividad],F$1,Tabla1[Sistema],"PECO_AGROS")/$C9,0)</f>
        <v>1</v>
      </c>
      <c r="G9" s="79">
        <f>IFERROR(SUMIFS(Tabla1[Avance_Med],Tabla1[Ducto],'R (s02)'!$B9,Tabla1[nombre_actividad],G$1)/(1),0)</f>
        <v>1</v>
      </c>
      <c r="H9" s="79">
        <f>+SUMIFS(Tabla1[Avance_km],Tabla1[Ducto],'R (s02)'!$B9,Tabla1[nombre_actividad],H$1)/$C9</f>
        <v>0</v>
      </c>
      <c r="I9" s="79">
        <f>+SUMIFS(Tabla1[Avance_km],Tabla1[Ducto],'R (s02)'!$B9,Tabla1[nombre_actividad],I$1)/$C9</f>
        <v>0</v>
      </c>
      <c r="J9" s="142">
        <f>IFERROR(SUMIFS(Tabla1[Avance_Med],Tabla1[Ducto],$B9,Tabla1[nombre_actividad],G$1),0)</f>
        <v>1</v>
      </c>
    </row>
    <row r="10" spans="1:12" ht="26.25" x14ac:dyDescent="0.25">
      <c r="A10" s="34" t="s">
        <v>22</v>
      </c>
      <c r="B10" s="149" t="s">
        <v>56</v>
      </c>
      <c r="C10" s="110">
        <f>+_xlfn.XLOOKUP(B10,Tabla1[Ducto],Tabla1[Length])</f>
        <v>6.0000000000000001E-3</v>
      </c>
      <c r="D10" s="79">
        <f>IFERROR(SUMIFS(Tabla1[Avance_km],Tabla1[Ducto],'R (s02)'!$B10,Tabla1[nombre_actividad],D$1,Tabla1[Sistema],"PECO_AGROS")/$C10,0)</f>
        <v>1</v>
      </c>
      <c r="E10" s="79">
        <f>IFERROR(SUMIFS(Tabla1[Avance_km],Tabla1[Ducto],'R (s02)'!$B10,Tabla1[nombre_actividad],E$1,Tabla1[Sistema],"PECO_AGROS")/$C10,0)</f>
        <v>1</v>
      </c>
      <c r="F10" s="79">
        <f>IFERROR(SUMIFS(Tabla1[Avance_km],Tabla1[Ducto],'R (s02)'!$B10,Tabla1[nombre_actividad],F$1,Tabla1[Sistema],"PECO_AGROS")/$C10,0)</f>
        <v>1</v>
      </c>
      <c r="G10" s="139"/>
      <c r="H10" s="79">
        <f>+SUMIFS(Tabla1[Avance_km],Tabla1[Ducto],'R (s02)'!$B10,Tabla1[nombre_actividad],H$1)/$C10</f>
        <v>0</v>
      </c>
      <c r="I10" s="79">
        <f>+SUMIFS(Tabla1[Avance_km],Tabla1[Ducto],'R (s02)'!$B10,Tabla1[nombre_actividad],I$1)/$C10</f>
        <v>0</v>
      </c>
      <c r="J10" s="142"/>
    </row>
    <row r="11" spans="1:12" ht="26.25" x14ac:dyDescent="0.25">
      <c r="A11" s="34" t="s">
        <v>22</v>
      </c>
      <c r="B11" s="149" t="s">
        <v>32</v>
      </c>
      <c r="C11" s="110">
        <f>+_xlfn.XLOOKUP(B11,Tabla1[Ducto],Tabla1[Length])</f>
        <v>0.47899999999999998</v>
      </c>
      <c r="D11" s="79">
        <f>IFERROR(SUMIFS(Tabla1[Avance_km],Tabla1[Ducto],'R (s02)'!$B11,Tabla1[nombre_actividad],D$1,Tabla1[Sistema],"PECO_AGROS")/$C11,0)</f>
        <v>1</v>
      </c>
      <c r="E11" s="79">
        <f>IFERROR(SUMIFS(Tabla1[Avance_km],Tabla1[Ducto],'R (s02)'!$B11,Tabla1[nombre_actividad],E$1,Tabla1[Sistema],"PECO_AGROS")/$C11,0)</f>
        <v>1</v>
      </c>
      <c r="F11" s="79">
        <f>IFERROR(SUMIFS(Tabla1[Avance_km],Tabla1[Ducto],'R (s02)'!$B11,Tabla1[nombre_actividad],F$1,Tabla1[Sistema],"PECO_AGROS")/$C11,0)</f>
        <v>1</v>
      </c>
      <c r="G11" s="79">
        <f>IFERROR(SUMIFS(Tabla1[Avance_Med],Tabla1[Ducto],'R (s02)'!$B11,Tabla1[nombre_actividad],G$1)/(1),0)</f>
        <v>1</v>
      </c>
      <c r="H11" s="79">
        <f>+SUMIFS(Tabla1[Avance_km],Tabla1[Ducto],'R (s02)'!$B11,Tabla1[nombre_actividad],H$1)/$C11</f>
        <v>0</v>
      </c>
      <c r="I11" s="79">
        <f>+SUMIFS(Tabla1[Avance_km],Tabla1[Ducto],'R (s02)'!$B11,Tabla1[nombre_actividad],I$1)/$C11</f>
        <v>0</v>
      </c>
      <c r="J11" s="142">
        <f>IFERROR(SUMIFS(Tabla1[Avance_Med],Tabla1[Ducto],$B11,Tabla1[nombre_actividad],G$1),0)</f>
        <v>1</v>
      </c>
    </row>
    <row r="12" spans="1:12" ht="26.25" x14ac:dyDescent="0.25">
      <c r="A12" s="34" t="s">
        <v>22</v>
      </c>
      <c r="B12" s="149" t="s">
        <v>33</v>
      </c>
      <c r="C12" s="110">
        <f>+_xlfn.XLOOKUP(B12,Tabla1[Ducto],Tabla1[Length])</f>
        <v>0.04</v>
      </c>
      <c r="D12" s="79">
        <f>IFERROR(SUMIFS(Tabla1[Avance_km],Tabla1[Ducto],'R (s02)'!$B12,Tabla1[nombre_actividad],D$1,Tabla1[Sistema],"PECO_AGROS")/$C12,0)</f>
        <v>1</v>
      </c>
      <c r="E12" s="79">
        <f>IFERROR(SUMIFS(Tabla1[Avance_km],Tabla1[Ducto],'R (s02)'!$B12,Tabla1[nombre_actividad],E$1,Tabla1[Sistema],"PECO_AGROS")/$C12,0)</f>
        <v>1</v>
      </c>
      <c r="F12" s="79">
        <f>IFERROR(SUMIFS(Tabla1[Avance_km],Tabla1[Ducto],'R (s02)'!$B12,Tabla1[nombre_actividad],F$1,Tabla1[Sistema],"PECO_AGROS")/$C12,0)</f>
        <v>1</v>
      </c>
      <c r="G12" s="139"/>
      <c r="H12" s="79">
        <f>+SUMIFS(Tabla1[Avance_km],Tabla1[Ducto],'R (s02)'!$B12,Tabla1[nombre_actividad],H$1)/$C12</f>
        <v>0</v>
      </c>
      <c r="I12" s="79">
        <f>+SUMIFS(Tabla1[Avance_km],Tabla1[Ducto],'R (s02)'!$B12,Tabla1[nombre_actividad],I$1)/$C12</f>
        <v>0</v>
      </c>
      <c r="J12" s="142"/>
    </row>
    <row r="13" spans="1:12" ht="26.25" x14ac:dyDescent="0.25">
      <c r="A13" s="34" t="s">
        <v>22</v>
      </c>
      <c r="B13" s="149" t="s">
        <v>26</v>
      </c>
      <c r="C13" s="110">
        <f>+_xlfn.XLOOKUP(B13,Tabla1[Ducto],Tabla1[Length])</f>
        <v>8.9999999999999993E-3</v>
      </c>
      <c r="D13" s="79">
        <f>IFERROR(SUMIFS(Tabla1[Avance_km],Tabla1[Ducto],'R (s02)'!$B13,Tabla1[nombre_actividad],D$1,Tabla1[Sistema],"PECO_AGROS")/$C13,0)</f>
        <v>1</v>
      </c>
      <c r="E13" s="79">
        <f>IFERROR(SUMIFS(Tabla1[Avance_km],Tabla1[Ducto],'R (s02)'!$B13,Tabla1[nombre_actividad],E$1,Tabla1[Sistema],"PECO_AGROS")/$C13,0)</f>
        <v>1</v>
      </c>
      <c r="F13" s="79">
        <f>IFERROR(SUMIFS(Tabla1[Avance_km],Tabla1[Ducto],'R (s02)'!$B13,Tabla1[nombre_actividad],F$1,Tabla1[Sistema],"PECO_AGROS")/$C13,0)</f>
        <v>1</v>
      </c>
      <c r="G13" s="139"/>
      <c r="H13" s="79">
        <f>+SUMIFS(Tabla1[Avance_km],Tabla1[Ducto],'R (s02)'!$B13,Tabla1[nombre_actividad],H$1)/$C13</f>
        <v>0</v>
      </c>
      <c r="I13" s="79">
        <f>+SUMIFS(Tabla1[Avance_km],Tabla1[Ducto],'R (s02)'!$B13,Tabla1[nombre_actividad],I$1)/$C13</f>
        <v>0</v>
      </c>
      <c r="J13" s="142"/>
    </row>
    <row r="14" spans="1:12" ht="26.25" x14ac:dyDescent="0.25">
      <c r="A14" s="34" t="s">
        <v>22</v>
      </c>
      <c r="B14" s="149" t="s">
        <v>357</v>
      </c>
      <c r="C14" s="110">
        <f>+_xlfn.XLOOKUP(B14,Tabla1[Ducto],Tabla1[Length])</f>
        <v>0.74099999999999999</v>
      </c>
      <c r="D14" s="79">
        <f>IFERROR(SUMIFS(Tabla1[Avance_km],Tabla1[Ducto],'R (s02)'!$B14,Tabla1[nombre_actividad],D$1,Tabla1[Sistema],"PECO_AGROS")/$C14,0)</f>
        <v>1</v>
      </c>
      <c r="E14" s="79">
        <f>IFERROR(SUMIFS(Tabla1[Avance_km],Tabla1[Ducto],'R (s02)'!$B14,Tabla1[nombre_actividad],E$1,Tabla1[Sistema],"PECO_AGROS")/$C14,0)</f>
        <v>1</v>
      </c>
      <c r="F14" s="79">
        <f>IFERROR(SUMIFS(Tabla1[Avance_km],Tabla1[Ducto],'R (s02)'!$B14,Tabla1[nombre_actividad],F$1,Tabla1[Sistema],"PECO_AGROS")/$C14,0)</f>
        <v>1</v>
      </c>
      <c r="G14" s="79">
        <f>IFERROR(SUMIFS(Tabla1[Avance_Med],Tabla1[Ducto],'R (s02)'!$B14,Tabla1[nombre_actividad],G$1)/(ROUNDUP(C14,0)*2),0)</f>
        <v>1</v>
      </c>
      <c r="H14" s="79"/>
      <c r="I14" s="79"/>
      <c r="J14" s="142">
        <f>IFERROR(SUMIFS(Tabla1[Avance_Med],Tabla1[Ducto],$B14,Tabla1[nombre_actividad],G$1),0)</f>
        <v>2</v>
      </c>
    </row>
    <row r="15" spans="1:12" ht="26.25" x14ac:dyDescent="0.25">
      <c r="A15" s="34" t="s">
        <v>22</v>
      </c>
      <c r="B15" s="149" t="s">
        <v>23</v>
      </c>
      <c r="C15" s="110">
        <f>+_xlfn.XLOOKUP(B15,Tabla1[Ducto],Tabla1[Length])</f>
        <v>2.2000000000000002</v>
      </c>
      <c r="D15" s="79">
        <f>IFERROR(SUMIFS(Tabla1[Avance_km],Tabla1[Ducto],'R (s02)'!$B15,Tabla1[nombre_actividad],D$1,Tabla1[Sistema],"PECO_AGROS")/$C15,0)</f>
        <v>1</v>
      </c>
      <c r="E15" s="79">
        <f>IFERROR(SUMIFS(Tabla1[Avance_km],Tabla1[Ducto],'R (s02)'!$B15,Tabla1[nombre_actividad],E$1,Tabla1[Sistema],"PECO_AGROS")/$C15,0)</f>
        <v>1</v>
      </c>
      <c r="F15" s="79">
        <f>IFERROR(SUMIFS(Tabla1[Avance_km],Tabla1[Ducto],'R (s02)'!$B15,Tabla1[nombre_actividad],F$1,Tabla1[Sistema],"PECO_AGROS")/$C15,0)</f>
        <v>1</v>
      </c>
      <c r="G15" s="79">
        <f>IFERROR(SUMIFS(Tabla1[Avance_Med],Tabla1[Ducto],'R (s02)'!$B15,Tabla1[nombre_actividad],G$1)/(ROUNDUP(C15,0)*2),0)</f>
        <v>1</v>
      </c>
      <c r="H15" s="79">
        <f>+SUMIFS(Tabla1[Avance_km],Tabla1[Ducto],'R (s02)'!$B15,Tabla1[nombre_actividad],H$1)/$C15</f>
        <v>0</v>
      </c>
      <c r="I15" s="79">
        <f>+SUMIFS(Tabla1[Avance_km],Tabla1[Ducto],'R (s02)'!$B15,Tabla1[nombre_actividad],I$1)/$C15</f>
        <v>0</v>
      </c>
      <c r="J15" s="142">
        <f>IFERROR(SUMIFS(Tabla1[Avance_Med],Tabla1[Ducto],$B15,Tabla1[nombre_actividad],G$1),0)</f>
        <v>6</v>
      </c>
    </row>
    <row r="16" spans="1:12" ht="26.25" x14ac:dyDescent="0.25">
      <c r="A16" s="34" t="s">
        <v>22</v>
      </c>
      <c r="B16" s="149" t="s">
        <v>39</v>
      </c>
      <c r="C16" s="110">
        <f>+_xlfn.XLOOKUP(B16,Tabla1[Ducto],Tabla1[Length])</f>
        <v>0.02</v>
      </c>
      <c r="D16" s="79">
        <f>IFERROR(SUMIFS(Tabla1[Avance_km],Tabla1[Ducto],'R (s02)'!$B16,Tabla1[nombre_actividad],D$1,Tabla1[Sistema],"PECO_AGROS")/$C16,0)</f>
        <v>1</v>
      </c>
      <c r="E16" s="79">
        <f>IFERROR(SUMIFS(Tabla1[Avance_km],Tabla1[Ducto],'R (s02)'!$B16,Tabla1[nombre_actividad],E$1,Tabla1[Sistema],"PECO_AGROS")/$C16,0)</f>
        <v>1</v>
      </c>
      <c r="F16" s="79">
        <f>IFERROR(SUMIFS(Tabla1[Avance_km],Tabla1[Ducto],'R (s02)'!$B16,Tabla1[nombre_actividad],F$1,Tabla1[Sistema],"PECO_AGROS")/$C16,0)</f>
        <v>1</v>
      </c>
      <c r="G16" s="79">
        <f>IFERROR(SUMIFS(Tabla1[Avance_Med],Tabla1[Ducto],'R (s02)'!$B16,Tabla1[nombre_actividad],G$1)/(1),0)</f>
        <v>1</v>
      </c>
      <c r="H16" s="79">
        <f>+SUMIFS(Tabla1[Avance_km],Tabla1[Ducto],'R (s02)'!$B16,Tabla1[nombre_actividad],H$1)/$C16</f>
        <v>0</v>
      </c>
      <c r="I16" s="79">
        <f>+SUMIFS(Tabla1[Avance_km],Tabla1[Ducto],'R (s02)'!$B16,Tabla1[nombre_actividad],I$1)/$C16</f>
        <v>0</v>
      </c>
      <c r="J16" s="142">
        <f>IFERROR(SUMIFS(Tabla1[Avance_Med],Tabla1[Ducto],$B16,Tabla1[nombre_actividad],G$1),0)</f>
        <v>1</v>
      </c>
    </row>
    <row r="17" spans="1:10" ht="26.25" x14ac:dyDescent="0.25">
      <c r="A17" s="34" t="s">
        <v>22</v>
      </c>
      <c r="B17" s="149" t="s">
        <v>24</v>
      </c>
      <c r="C17" s="110">
        <f>+_xlfn.XLOOKUP(B17,Tabla1[Ducto],Tabla1[Length])</f>
        <v>2.5760000000000001</v>
      </c>
      <c r="D17" s="79">
        <f>IFERROR(SUMIFS(Tabla1[Avance_km],Tabla1[Ducto],'R (s02)'!$B17,Tabla1[nombre_actividad],D$1,Tabla1[Sistema],"PECO_AGROS")/$C17,0)</f>
        <v>1</v>
      </c>
      <c r="E17" s="79">
        <f>IFERROR(SUMIFS(Tabla1[Avance_km],Tabla1[Ducto],'R (s02)'!$B17,Tabla1[nombre_actividad],E$1,Tabla1[Sistema],"PECO_AGROS")/$C17,0)</f>
        <v>1</v>
      </c>
      <c r="F17" s="79">
        <f>IFERROR(SUMIFS(Tabla1[Avance_km],Tabla1[Ducto],'R (s02)'!$B17,Tabla1[nombre_actividad],F$1,Tabla1[Sistema],"PECO_AGROS")/$C17,0)</f>
        <v>1</v>
      </c>
      <c r="G17" s="79">
        <f>IFERROR(SUMIFS(Tabla1[Avance_Med],Tabla1[Ducto],'R (s02)'!$B17,Tabla1[nombre_actividad],G$1)/(ROUNDUP(C17,0)*2),0)</f>
        <v>1</v>
      </c>
      <c r="H17" s="79"/>
      <c r="I17" s="79"/>
      <c r="J17" s="142">
        <f>IFERROR(SUMIFS(Tabla1[Avance_Med],Tabla1[Ducto],$B17,Tabla1[nombre_actividad],G$1),0)</f>
        <v>6</v>
      </c>
    </row>
    <row r="18" spans="1:10" ht="26.25" x14ac:dyDescent="0.25">
      <c r="A18" s="34" t="s">
        <v>22</v>
      </c>
      <c r="B18" s="149" t="s">
        <v>25</v>
      </c>
      <c r="C18" s="110">
        <f>+_xlfn.XLOOKUP(B18,Tabla1[Ducto],Tabla1[Length])</f>
        <v>0.125</v>
      </c>
      <c r="D18" s="79">
        <f>IFERROR(SUMIFS(Tabla1[Avance_km],Tabla1[Ducto],'R (s02)'!$B18,Tabla1[nombre_actividad],D$1,Tabla1[Sistema],"PECO_AGROS")/$C18,0)</f>
        <v>1</v>
      </c>
      <c r="E18" s="79">
        <f>IFERROR(SUMIFS(Tabla1[Avance_km],Tabla1[Ducto],'R (s02)'!$B18,Tabla1[nombre_actividad],E$1,Tabla1[Sistema],"PECO_AGROS")/$C18,0)</f>
        <v>1</v>
      </c>
      <c r="F18" s="79">
        <f>IFERROR(SUMIFS(Tabla1[Avance_km],Tabla1[Ducto],'R (s02)'!$B18,Tabla1[nombre_actividad],F$1,Tabla1[Sistema],"PECO_AGROS")/$C18,0)</f>
        <v>1</v>
      </c>
      <c r="G18" s="139"/>
      <c r="H18" s="79"/>
      <c r="I18" s="79"/>
      <c r="J18" s="142"/>
    </row>
  </sheetData>
  <conditionalFormatting sqref="D2:I2 H3:I16 D3:F18">
    <cfRule type="dataBar" priority="7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{B3FA6915-3E5E-4DF9-A199-0A763C9FCD09}</x14:id>
        </ext>
      </extLst>
    </cfRule>
  </conditionalFormatting>
  <conditionalFormatting sqref="G3:G18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{A142401E-3B88-414B-BD7B-AF9297D7648F}</x14:id>
        </ext>
      </extLst>
    </cfRule>
  </conditionalFormatting>
  <conditionalFormatting sqref="H17:I18">
    <cfRule type="dataBar" priority="6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{F94093F6-4C92-4E5B-93BF-4F89D81AA331}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FA6915-3E5E-4DF9-A199-0A763C9FCD0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D2:I2 H3:I16 D3:F18</xm:sqref>
        </x14:conditionalFormatting>
        <x14:conditionalFormatting xmlns:xm="http://schemas.microsoft.com/office/excel/2006/main">
          <x14:cfRule type="dataBar" id="{A142401E-3B88-414B-BD7B-AF9297D7648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G3:G18</xm:sqref>
        </x14:conditionalFormatting>
        <x14:conditionalFormatting xmlns:xm="http://schemas.microsoft.com/office/excel/2006/main">
          <x14:cfRule type="dataBar" id="{F94093F6-4C92-4E5B-93BF-4F89D81AA3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H17:I18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8F65-4684-470E-B215-D01090CD3B01}">
  <sheetPr codeName="Hoja14">
    <tabColor rgb="FF00B050"/>
  </sheetPr>
  <dimension ref="A1:N77"/>
  <sheetViews>
    <sheetView showGridLines="0" topLeftCell="A29" workbookViewId="0">
      <selection activeCell="B2" sqref="B2:B45"/>
    </sheetView>
  </sheetViews>
  <sheetFormatPr baseColWidth="10" defaultColWidth="11.42578125" defaultRowHeight="15" outlineLevelCol="1" x14ac:dyDescent="0.25"/>
  <cols>
    <col min="1" max="1" width="15" customWidth="1"/>
    <col min="2" max="2" width="34.28515625" bestFit="1" customWidth="1"/>
    <col min="3" max="3" width="8.42578125" style="26" customWidth="1"/>
    <col min="4" max="4" width="16" customWidth="1"/>
    <col min="5" max="5" width="17.42578125" customWidth="1"/>
    <col min="6" max="6" width="16.42578125" customWidth="1"/>
    <col min="7" max="7" width="25.42578125" customWidth="1"/>
    <col min="8" max="9" width="14.85546875" customWidth="1" outlineLevel="1"/>
    <col min="10" max="10" width="11.42578125" style="143"/>
    <col min="11" max="11" width="39.42578125" style="1" bestFit="1" customWidth="1"/>
    <col min="12" max="12" width="20.85546875" bestFit="1" customWidth="1"/>
    <col min="13" max="13" width="39.42578125" bestFit="1" customWidth="1"/>
    <col min="14" max="14" width="7.85546875" customWidth="1"/>
  </cols>
  <sheetData>
    <row r="1" spans="1:14" s="1" customFormat="1" ht="30.75" customHeight="1" x14ac:dyDescent="0.25">
      <c r="A1" s="1" t="s">
        <v>2</v>
      </c>
      <c r="B1" s="33" t="s">
        <v>76</v>
      </c>
      <c r="C1" s="110" t="s">
        <v>77</v>
      </c>
      <c r="D1" s="33" t="s">
        <v>78</v>
      </c>
      <c r="E1" s="33" t="s">
        <v>79</v>
      </c>
      <c r="F1" s="33" t="s">
        <v>80</v>
      </c>
      <c r="G1" s="65" t="s">
        <v>81</v>
      </c>
      <c r="H1" s="33" t="s">
        <v>82</v>
      </c>
      <c r="I1" s="33" t="s">
        <v>83</v>
      </c>
      <c r="J1" s="141"/>
      <c r="L1"/>
    </row>
    <row r="2" spans="1:14" ht="27" thickBot="1" x14ac:dyDescent="0.35">
      <c r="A2" s="34" t="s">
        <v>329</v>
      </c>
      <c r="B2" s="177" t="s">
        <v>212</v>
      </c>
      <c r="C2" s="110">
        <v>24.358000000000001</v>
      </c>
      <c r="D2" s="79">
        <f>IFERROR(SUMIFS(Tabla1[Avance_km],Tabla1[Ducto],'R (s03)'!$B2,Tabla1[nombre_actividad],D$1,Tabla1[Sistema],"HUIMILPAN")/$C2,0)</f>
        <v>1</v>
      </c>
      <c r="E2" s="79">
        <f>IFERROR(SUMIFS(Tabla1[Avance_km],Tabla1[Ducto],'R (s03)'!$B2,Tabla1[nombre_actividad],E$1,Tabla1[Sistema],"HUIMILPAN")/$C2,0)</f>
        <v>1.0198702684949503</v>
      </c>
      <c r="F2" s="79">
        <f>IFERROR(SUMIFS(Tabla1[Avance_km],Tabla1[Ducto],'R (s03)'!$B2,Tabla1[nombre_actividad],F$1,Tabla1[Sistema],"HUIMILPAN")/$C2,0)</f>
        <v>0.9630511536250923</v>
      </c>
      <c r="G2" s="79">
        <f>IFERROR(SUMIFS(Tabla1[Avance_Med],Tabla1[Ducto],'R (s03)'!$B2,Tabla1[nombre_actividad],G$1)/(49),0)</f>
        <v>1</v>
      </c>
      <c r="H2" s="79">
        <f>+SUMIFS(Tabla1[Avance_km],Tabla1[Ducto],'R (s03)'!$B2,Tabla1[nombre_actividad],H$1)/$C2</f>
        <v>0</v>
      </c>
      <c r="I2" s="79">
        <f>+SUMIFS(Tabla1[Avance_km],Tabla1[Ducto],'R (s03)'!$B2,Tabla1[nombre_actividad],I$1)/$C2</f>
        <v>0.44153355432456248</v>
      </c>
      <c r="J2" s="142">
        <f>IFERROR(SUMIFS(Tabla1[Avance_Med],Tabla1[Ducto],$B2,Tabla1[nombre_actividad],G$1),0)</f>
        <v>49</v>
      </c>
      <c r="K2" s="398" t="s">
        <v>510</v>
      </c>
      <c r="M2" s="90" t="s">
        <v>212</v>
      </c>
      <c r="N2" s="26"/>
    </row>
    <row r="3" spans="1:14" ht="27" thickBot="1" x14ac:dyDescent="0.35">
      <c r="A3" s="34" t="s">
        <v>329</v>
      </c>
      <c r="B3" s="177" t="s">
        <v>213</v>
      </c>
      <c r="C3" s="110">
        <v>2.5999999999999999E-2</v>
      </c>
      <c r="D3" s="79">
        <f>IFERROR(SUMIFS(Tabla1[Avance_km],Tabla1[Ducto],'R (s03)'!$B3,Tabla1[nombre_actividad],D$1,Tabla1[Sistema],"HUIMILPAN")/$C3,0)</f>
        <v>1</v>
      </c>
      <c r="E3" s="79">
        <v>1</v>
      </c>
      <c r="F3" s="79">
        <f>IFERROR(SUMIFS(Tabla1[Avance_km],Tabla1[Ducto],'R (s03)'!$B3,Tabla1[nombre_actividad],F$1,Tabla1[Sistema],"HUIMILPAN")/$C3,0)</f>
        <v>1</v>
      </c>
      <c r="G3" s="79">
        <f>IFERROR(SUMIFS(Tabla1[Avance_Med],Tabla1[Ducto],'R (s03)'!$B3,Tabla1[nombre_actividad],G$1)/(1),0)</f>
        <v>1</v>
      </c>
      <c r="H3" s="79">
        <f>+SUMIFS(Tabla1[Avance_km],Tabla1[Ducto],'R (s03)'!$B3,Tabla1[nombre_actividad],H$1)/$C3</f>
        <v>0</v>
      </c>
      <c r="I3" s="79">
        <f>+SUMIFS(Tabla1[Avance_km],Tabla1[Ducto],'R (s03)'!$B3,Tabla1[nombre_actividad],I$1)/$C3</f>
        <v>0</v>
      </c>
      <c r="J3" s="142">
        <f>IFERROR(SUMIFS(Tabla1[Avance_Med],Tabla1[Ducto],$B3,Tabla1[nombre_actividad],G$1),0)</f>
        <v>1</v>
      </c>
      <c r="M3" s="90" t="s">
        <v>213</v>
      </c>
      <c r="N3" s="26"/>
    </row>
    <row r="4" spans="1:14" ht="27" thickBot="1" x14ac:dyDescent="0.35">
      <c r="A4" s="34" t="s">
        <v>329</v>
      </c>
      <c r="B4" s="177" t="s">
        <v>214</v>
      </c>
      <c r="C4" s="110">
        <v>1.2999999999999999E-2</v>
      </c>
      <c r="D4" s="79">
        <f>IFERROR(SUMIFS(Tabla1[Avance_km],Tabla1[Ducto],'R (s03)'!$B4,Tabla1[nombre_actividad],D$1,Tabla1[Sistema],"HUIMILPAN")/$C4,0)</f>
        <v>1</v>
      </c>
      <c r="E4" s="79">
        <f>IFERROR(SUMIFS(Tabla1[Avance_km],Tabla1[Ducto],'R (s03)'!$B4,Tabla1[nombre_actividad],E$1,Tabla1[Sistema],"HUIMILPAN")/$C4,0)</f>
        <v>1</v>
      </c>
      <c r="F4" s="79">
        <f>IFERROR(SUMIFS(Tabla1[Avance_km],Tabla1[Ducto],'R (s03)'!$B4,Tabla1[nombre_actividad],F$1,Tabla1[Sistema],"HUIMILPAN")/$C4,0)</f>
        <v>1</v>
      </c>
      <c r="G4" s="79">
        <f>IFERROR(SUMIFS(Tabla1[Avance_Med],Tabla1[Ducto],'R (s03)'!$B4,Tabla1[nombre_actividad],G$1)/(1),0)</f>
        <v>1</v>
      </c>
      <c r="H4" s="79">
        <f>+SUMIFS(Tabla1[Avance_km],Tabla1[Ducto],'R (s03)'!$B4,Tabla1[nombre_actividad],H$1)/$C4</f>
        <v>0</v>
      </c>
      <c r="I4" s="79">
        <f>+SUMIFS(Tabla1[Avance_km],Tabla1[Ducto],'R (s03)'!$B4,Tabla1[nombre_actividad],I$1)/$C4</f>
        <v>0</v>
      </c>
      <c r="J4" s="142">
        <f>IFERROR(SUMIFS(Tabla1[Avance_Med],Tabla1[Ducto],$B4,Tabla1[nombre_actividad],G$1),0)</f>
        <v>1</v>
      </c>
      <c r="M4" s="90" t="s">
        <v>214</v>
      </c>
      <c r="N4" s="26"/>
    </row>
    <row r="5" spans="1:14" ht="27" thickBot="1" x14ac:dyDescent="0.35">
      <c r="A5" s="34" t="s">
        <v>329</v>
      </c>
      <c r="B5" s="177" t="s">
        <v>215</v>
      </c>
      <c r="C5" s="110">
        <v>1.92</v>
      </c>
      <c r="D5" s="79">
        <f>IFERROR(SUMIFS(Tabla1[Avance_km],Tabla1[Ducto],'R (s03)'!$B5,Tabla1[nombre_actividad],D$1,Tabla1[Sistema],"HUIMILPAN")/$C5,0)</f>
        <v>1</v>
      </c>
      <c r="E5" s="79">
        <f>IFERROR(SUMIFS(Tabla1[Avance_km],Tabla1[Ducto],'R (s03)'!$B5,Tabla1[nombre_actividad],E$1,Tabla1[Sistema],"HUIMILPAN")/$C5,0)</f>
        <v>0.97916666666666663</v>
      </c>
      <c r="F5" s="79">
        <f>IFERROR(SUMIFS(Tabla1[Avance_km],Tabla1[Ducto],'R (s03)'!$B5,Tabla1[nombre_actividad],F$1,Tabla1[Sistema],"HUIMILPAN")/$C5,0)</f>
        <v>1</v>
      </c>
      <c r="G5" s="79">
        <f>IFERROR(SUMIFS(Tabla1[Avance_Med],Tabla1[Ducto],'R (s03)'!$B5,Tabla1[nombre_actividad],G$1)/(5),0)</f>
        <v>1</v>
      </c>
      <c r="H5" s="79">
        <f>+SUMIFS(Tabla1[Avance_km],Tabla1[Ducto],'R (s03)'!$B5,Tabla1[nombre_actividad],H$1)/$C5</f>
        <v>0</v>
      </c>
      <c r="I5" s="79">
        <f>+SUMIFS(Tabla1[Avance_km],Tabla1[Ducto],'R (s03)'!$B5,Tabla1[nombre_actividad],I$1)/$C5</f>
        <v>0</v>
      </c>
      <c r="J5" s="142">
        <f>IFERROR(SUMIFS(Tabla1[Avance_Med],Tabla1[Ducto],$B5,Tabla1[nombre_actividad],G$1),0)</f>
        <v>5</v>
      </c>
      <c r="M5" s="90" t="s">
        <v>215</v>
      </c>
      <c r="N5" s="26"/>
    </row>
    <row r="6" spans="1:14" ht="27" thickBot="1" x14ac:dyDescent="0.35">
      <c r="A6" s="34" t="s">
        <v>329</v>
      </c>
      <c r="B6" s="177" t="s">
        <v>216</v>
      </c>
      <c r="C6" s="110">
        <v>0.12</v>
      </c>
      <c r="D6" s="79">
        <f>IFERROR(SUMIFS(Tabla1[Avance_km],Tabla1[Ducto],'R (s03)'!$B6,Tabla1[nombre_actividad],D$1,Tabla1[Sistema],"HUIMILPAN")/$C6,0)</f>
        <v>1</v>
      </c>
      <c r="E6" s="79">
        <f>IFERROR(SUMIFS(Tabla1[Avance_km],Tabla1[Ducto],'R (s03)'!$B6,Tabla1[nombre_actividad],E$1,Tabla1[Sistema],"HUIMILPAN")/$C6,0)</f>
        <v>1</v>
      </c>
      <c r="F6" s="79">
        <f>IFERROR(SUMIFS(Tabla1[Avance_km],Tabla1[Ducto],'R (s03)'!$B6,Tabla1[nombre_actividad],F$1,Tabla1[Sistema],"HUIMILPAN")/$C6,0)</f>
        <v>1</v>
      </c>
      <c r="G6" s="79">
        <f>IFERROR(SUMIFS(Tabla1[Avance_Med],Tabla1[Ducto],'R (s03)'!$B6,Tabla1[nombre_actividad],G$1)/(1),0)</f>
        <v>1</v>
      </c>
      <c r="H6" s="79">
        <f>+SUMIFS(Tabla1[Avance_km],Tabla1[Ducto],'R (s03)'!$B6,Tabla1[nombre_actividad],H$1)/$C6</f>
        <v>0</v>
      </c>
      <c r="I6" s="79">
        <f>+SUMIFS(Tabla1[Avance_km],Tabla1[Ducto],'R (s03)'!$B6,Tabla1[nombre_actividad],I$1)/$C6</f>
        <v>0</v>
      </c>
      <c r="J6" s="142">
        <f>IFERROR(SUMIFS(Tabla1[Avance_Med],Tabla1[Ducto],$B6,Tabla1[nombre_actividad],G$1),0)</f>
        <v>1</v>
      </c>
      <c r="M6" s="90" t="s">
        <v>216</v>
      </c>
      <c r="N6" s="26"/>
    </row>
    <row r="7" spans="1:14" ht="26.25" x14ac:dyDescent="0.25">
      <c r="A7" s="34" t="s">
        <v>329</v>
      </c>
      <c r="B7" s="177" t="s">
        <v>339</v>
      </c>
      <c r="C7" s="110">
        <v>0</v>
      </c>
      <c r="D7" s="409">
        <f>IFERROR(SUMIFS(Tabla1[Avance_km],Tabla1[Ducto],'R (s03)'!$B7,Tabla1[nombre_actividad],D$1,Tabla1[Sistema],"HUIMILPAN")/$C7,0)</f>
        <v>0</v>
      </c>
      <c r="E7" s="409">
        <f>IFERROR(SUMIFS(Tabla1[Avance_km],Tabla1[Ducto],'R (s03)'!$B7,Tabla1[nombre_actividad],E$1,Tabla1[Sistema],"HUIMILPAN")/$C7,0)</f>
        <v>0</v>
      </c>
      <c r="F7" s="409">
        <f>IFERROR(SUMIFS(Tabla1[Avance_km],Tabla1[Ducto],'R (s03)'!$B7,Tabla1[nombre_actividad],F$1,Tabla1[Sistema],"HUIMILPAN")/$C7,0)</f>
        <v>0</v>
      </c>
      <c r="G7" s="79">
        <f>IFERROR(SUMIFS(Tabla1[Avance_Med],Tabla1[Ducto],'R (s03)'!$B7,Tabla1[nombre_actividad],G$1)/(1),0)</f>
        <v>1</v>
      </c>
      <c r="H7" s="79" t="e">
        <f>+SUMIFS(Tabla1[Avance_km],Tabla1[Ducto],'R (s03)'!$B7,Tabla1[nombre_actividad],H$1)/$C7</f>
        <v>#DIV/0!</v>
      </c>
      <c r="I7" s="79" t="e">
        <f>+SUMIFS(Tabla1[Avance_km],Tabla1[Ducto],'R (s03)'!$B7,Tabla1[nombre_actividad],I$1)/$C7</f>
        <v>#DIV/0!</v>
      </c>
      <c r="J7" s="142">
        <f>IFERROR(SUMIFS(Tabla1[Avance_Med],Tabla1[Ducto],$B7,Tabla1[nombre_actividad],G$1),0)</f>
        <v>1</v>
      </c>
      <c r="N7" s="26"/>
    </row>
    <row r="8" spans="1:14" ht="27" thickBot="1" x14ac:dyDescent="0.35">
      <c r="A8" s="34" t="s">
        <v>329</v>
      </c>
      <c r="B8" s="177" t="s">
        <v>217</v>
      </c>
      <c r="C8" s="110">
        <v>5.8719999999999999</v>
      </c>
      <c r="D8" s="164">
        <f>IFERROR(SUMIFS(Tabla1[Avance_km],Tabla1[Ducto],'R (s03)'!$B8,Tabla1[nombre_actividad],D$1,Tabla1[Sistema],"HUIMILPAN")/$C8,0)</f>
        <v>1</v>
      </c>
      <c r="E8" s="164">
        <f>IFERROR(SUMIFS(Tabla1[Avance_km],Tabla1[Ducto],'R (s03)'!$B8,Tabla1[nombre_actividad],E$1,Tabla1[Sistema],"HUIMILPAN")/$C8,0)</f>
        <v>0.82970027247956402</v>
      </c>
      <c r="F8" s="164">
        <f>IFERROR(SUMIFS(Tabla1[Avance_km],Tabla1[Ducto],'R (s03)'!$B8,Tabla1[nombre_actividad],F$1,Tabla1[Sistema],"HUIMILPAN")/$C8,0)</f>
        <v>1</v>
      </c>
      <c r="G8" s="79">
        <f>IFERROR(SUMIFS(Tabla1[Avance_Med],Tabla1[Ducto],'R (s03)'!$B8,Tabla1[nombre_actividad],G$1)/(14),0)</f>
        <v>1</v>
      </c>
      <c r="H8" s="79">
        <f>+SUMIFS(Tabla1[Avance_km],Tabla1[Ducto],'R (s03)'!$B8,Tabla1[nombre_actividad],H$1)/$C8</f>
        <v>0</v>
      </c>
      <c r="I8" s="79">
        <f>+SUMIFS(Tabla1[Avance_km],Tabla1[Ducto],'R (s03)'!$B8,Tabla1[nombre_actividad],I$1)/$C8</f>
        <v>0</v>
      </c>
      <c r="J8" s="142">
        <f>IFERROR(SUMIFS(Tabla1[Avance_Med],Tabla1[Ducto],$B8,Tabla1[nombre_actividad],G$1),0)</f>
        <v>14</v>
      </c>
      <c r="M8" s="90" t="s">
        <v>217</v>
      </c>
      <c r="N8" s="26"/>
    </row>
    <row r="9" spans="1:14" ht="26.25" x14ac:dyDescent="0.25">
      <c r="A9" s="183" t="s">
        <v>329</v>
      </c>
      <c r="B9" s="397" t="s">
        <v>340</v>
      </c>
      <c r="C9" s="185">
        <f>_xlfn.IFNA(_xlfn.XLOOKUP(B9,Tabla1[Ducto],Tabla1[Length]), _xlfn.XLOOKUP(B9,'Summary S03'!A:A,'Summary S03'!G:G)/1000)</f>
        <v>0</v>
      </c>
      <c r="D9" s="186">
        <f>IFERROR(SUMIFS(Tabla1[Avance_km],Tabla1[Ducto],'R (s03)'!$B9,Tabla1[nombre_actividad],D$1,Tabla1[Sistema],"HUIMILPAN")/$C9,0)</f>
        <v>0</v>
      </c>
      <c r="E9" s="186">
        <f>IFERROR(SUMIFS(Tabla1[Avance_km],Tabla1[Ducto],'R (s03)'!$B9,Tabla1[nombre_actividad],E$1,Tabla1[Sistema],"HUIMILPAN")/$C9,0)</f>
        <v>0</v>
      </c>
      <c r="F9" s="186">
        <f>IFERROR(SUMIFS(Tabla1[Avance_km],Tabla1[Ducto],'R (s03)'!$B9,Tabla1[nombre_actividad],F$1,Tabla1[Sistema],"HUIMILPAN")/$C9,0)</f>
        <v>0</v>
      </c>
      <c r="G9" s="79">
        <f>IFERROR(SUMIFS(Tabla1[Avance_Med],Tabla1[Ducto],'R (s03)'!$B9,Tabla1[nombre_actividad],G$1)/(1),0)</f>
        <v>1</v>
      </c>
      <c r="H9" s="79" t="e">
        <f>+SUMIFS(Tabla1[Avance_km],Tabla1[Ducto],'R (s03)'!$B9,Tabla1[nombre_actividad],H$1)/$C9</f>
        <v>#DIV/0!</v>
      </c>
      <c r="I9" s="79" t="e">
        <f>+SUMIFS(Tabla1[Avance_km],Tabla1[Ducto],'R (s03)'!$B9,Tabla1[nombre_actividad],I$1)/$C9</f>
        <v>#DIV/0!</v>
      </c>
      <c r="J9" s="142">
        <f>IFERROR(SUMIFS(Tabla1[Avance_Med],Tabla1[Ducto],$B9,Tabla1[nombre_actividad],G$1),0)</f>
        <v>1</v>
      </c>
      <c r="N9" s="26"/>
    </row>
    <row r="10" spans="1:14" ht="27" thickBot="1" x14ac:dyDescent="0.35">
      <c r="A10" s="34" t="s">
        <v>329</v>
      </c>
      <c r="B10" s="177" t="s">
        <v>218</v>
      </c>
      <c r="C10" s="110">
        <v>1.4359999999999999</v>
      </c>
      <c r="D10" s="79">
        <f>IFERROR(SUMIFS(Tabla1[Avance_km],Tabla1[Ducto],'R (s03)'!$B10,Tabla1[nombre_actividad],D$1,Tabla1[Sistema],"HUIMILPAN")/$C10,0)</f>
        <v>1</v>
      </c>
      <c r="E10" s="79">
        <f>IFERROR(SUMIFS(Tabla1[Avance_km],Tabla1[Ducto],'R (s03)'!$B10,Tabla1[nombre_actividad],E$1,Tabla1[Sistema],"HUIMILPAN")/$C10,0)</f>
        <v>1</v>
      </c>
      <c r="F10" s="79">
        <f>IFERROR(SUMIFS(Tabla1[Avance_km],Tabla1[Ducto],'R (s03)'!$B10,Tabla1[nombre_actividad],F$1,Tabla1[Sistema],"HUIMILPAN")/$C10,0)</f>
        <v>1</v>
      </c>
      <c r="G10" s="79">
        <f>IFERROR(SUMIFS(Tabla1[Avance_Med],Tabla1[Ducto],'R (s03)'!$B10,Tabla1[nombre_actividad],G$1)/(ROUNDUP(C10,0)*2),0)</f>
        <v>1</v>
      </c>
      <c r="H10" s="79">
        <f>+SUMIFS(Tabla1[Avance_km],Tabla1[Ducto],'R (s03)'!$B10,Tabla1[nombre_actividad],H$1)/$C10</f>
        <v>0</v>
      </c>
      <c r="I10" s="79">
        <f>+SUMIFS(Tabla1[Avance_km],Tabla1[Ducto],'R (s03)'!$B10,Tabla1[nombre_actividad],I$1)/$C10</f>
        <v>0</v>
      </c>
      <c r="J10" s="142">
        <f>IFERROR(SUMIFS(Tabla1[Avance_Med],Tabla1[Ducto],$B10,Tabla1[nombre_actividad],G$1),0)</f>
        <v>4</v>
      </c>
      <c r="M10" s="90" t="s">
        <v>218</v>
      </c>
      <c r="N10" s="26"/>
    </row>
    <row r="11" spans="1:14" ht="27" thickBot="1" x14ac:dyDescent="0.35">
      <c r="A11" s="34" t="s">
        <v>329</v>
      </c>
      <c r="B11" s="177" t="s">
        <v>341</v>
      </c>
      <c r="C11" s="110">
        <f>_xlfn.IFNA(_xlfn.XLOOKUP(B11,Tabla1[Ducto],Tabla1[Length]), _xlfn.XLOOKUP(B11,'Summary S03'!A:A,'Summary S03'!G:G)/1000)</f>
        <v>7.0000000000000001E-3</v>
      </c>
      <c r="D11" s="409">
        <f>IFERROR(SUMIFS(Tabla1[Avance_km],Tabla1[Ducto],'R (s03)'!$B11,Tabla1[nombre_actividad],D$1,Tabla1[Sistema],"HUIMILPAN")/$C11,0)</f>
        <v>0</v>
      </c>
      <c r="E11" s="409">
        <f>IFERROR(SUMIFS(Tabla1[Avance_km],Tabla1[Ducto],'R (s03)'!$B11,Tabla1[nombre_actividad],E$1,Tabla1[Sistema],"HUIMILPAN")/$C11,0)</f>
        <v>0</v>
      </c>
      <c r="F11" s="409">
        <f>IFERROR(SUMIFS(Tabla1[Avance_km],Tabla1[Ducto],'R (s03)'!$B11,Tabla1[nombre_actividad],F$1,Tabla1[Sistema],"HUIMILPAN")/$C11,0)</f>
        <v>0</v>
      </c>
      <c r="G11" s="79">
        <f>IFERROR(SUMIFS(Tabla1[Avance_Med],Tabla1[Ducto],'R (s03)'!$B11,Tabla1[nombre_actividad],G$1)/(1),0)</f>
        <v>1</v>
      </c>
      <c r="H11" s="79">
        <f>+SUMIFS(Tabla1[Avance_km],Tabla1[Ducto],'R (s03)'!$B11,Tabla1[nombre_actividad],H$1)/$C11</f>
        <v>0</v>
      </c>
      <c r="I11" s="79">
        <f>+SUMIFS(Tabla1[Avance_km],Tabla1[Ducto],'R (s03)'!$B11,Tabla1[nombre_actividad],I$1)/$C11</f>
        <v>0</v>
      </c>
      <c r="J11" s="142">
        <f>IFERROR(SUMIFS(Tabla1[Avance_Med],Tabla1[Ducto],$B11,Tabla1[nombre_actividad],G$1),0)</f>
        <v>1</v>
      </c>
      <c r="M11" s="90" t="s">
        <v>341</v>
      </c>
      <c r="N11" s="26"/>
    </row>
    <row r="12" spans="1:14" ht="27" thickBot="1" x14ac:dyDescent="0.35">
      <c r="A12" s="34" t="s">
        <v>329</v>
      </c>
      <c r="B12" s="177" t="s">
        <v>219</v>
      </c>
      <c r="C12" s="110">
        <v>0.373</v>
      </c>
      <c r="D12" s="79">
        <f>IFERROR(SUMIFS(Tabla1[Avance_km],Tabla1[Ducto],'R (s03)'!$B12,Tabla1[nombre_actividad],D$1,Tabla1[Sistema],"HUIMILPAN")/$C12,0)</f>
        <v>1</v>
      </c>
      <c r="E12" s="79">
        <f>IFERROR(SUMIFS(Tabla1[Avance_km],Tabla1[Ducto],'R (s03)'!$B12,Tabla1[nombre_actividad],E$1,Tabla1[Sistema],"HUIMILPAN")/$C12,0)</f>
        <v>1</v>
      </c>
      <c r="F12" s="79">
        <f>IFERROR(SUMIFS(Tabla1[Avance_km],Tabla1[Ducto],'R (s03)'!$B12,Tabla1[nombre_actividad],F$1,Tabla1[Sistema],"HUIMILPAN")/$C12,0)</f>
        <v>1</v>
      </c>
      <c r="G12" s="79">
        <f>IFERROR(SUMIFS(Tabla1[Avance_Med],Tabla1[Ducto],'R (s03)'!$B12,Tabla1[nombre_actividad],G$1)/(ROUNDUP(C12,0)*2),0)</f>
        <v>1</v>
      </c>
      <c r="H12" s="79">
        <f>+SUMIFS(Tabla1[Avance_km],Tabla1[Ducto],'R (s03)'!$B12,Tabla1[nombre_actividad],H$1)/$C12</f>
        <v>0</v>
      </c>
      <c r="I12" s="79">
        <f>+SUMIFS(Tabla1[Avance_km],Tabla1[Ducto],'R (s03)'!$B12,Tabla1[nombre_actividad],I$1)/$C12</f>
        <v>0</v>
      </c>
      <c r="J12" s="142">
        <f>IFERROR(SUMIFS(Tabla1[Avance_Med],Tabla1[Ducto],$B12,Tabla1[nombre_actividad],G$1),0)</f>
        <v>2</v>
      </c>
      <c r="M12" s="90" t="s">
        <v>219</v>
      </c>
      <c r="N12" s="26"/>
    </row>
    <row r="13" spans="1:14" ht="27" thickBot="1" x14ac:dyDescent="0.35">
      <c r="A13" s="183" t="s">
        <v>329</v>
      </c>
      <c r="B13" s="397" t="s">
        <v>220</v>
      </c>
      <c r="C13" s="185">
        <v>0</v>
      </c>
      <c r="D13" s="186">
        <f>IFERROR(SUMIFS(Tabla1[Avance_km],Tabla1[Ducto],'R (s03)'!$B13,Tabla1[nombre_actividad],D$1,Tabla1[Sistema],"HUIMILPAN")/$C13,0)</f>
        <v>0</v>
      </c>
      <c r="E13" s="186">
        <f>IFERROR(SUMIFS(Tabla1[Avance_km],Tabla1[Ducto],'R (s03)'!$B13,Tabla1[nombre_actividad],E$1,Tabla1[Sistema],"HUIMILPAN")/$C13,0)</f>
        <v>0</v>
      </c>
      <c r="F13" s="186">
        <f>IFERROR(SUMIFS(Tabla1[Avance_km],Tabla1[Ducto],'R (s03)'!$B13,Tabla1[nombre_actividad],F$1,Tabla1[Sistema],"HUIMILPAN")/$C13,0)</f>
        <v>0</v>
      </c>
      <c r="G13" s="198" t="s">
        <v>345</v>
      </c>
      <c r="H13" s="79" t="e">
        <f>+SUMIFS(Tabla1[Avance_km],Tabla1[Ducto],'R (s03)'!$B13,Tabla1[nombre_actividad],H$1)/$C13</f>
        <v>#DIV/0!</v>
      </c>
      <c r="I13" s="79" t="e">
        <f>+SUMIFS(Tabla1[Avance_km],Tabla1[Ducto],'R (s03)'!$B13,Tabla1[nombre_actividad],I$1)/$C13</f>
        <v>#DIV/0!</v>
      </c>
      <c r="J13" s="142"/>
      <c r="M13" s="386" t="s">
        <v>220</v>
      </c>
      <c r="N13" s="26"/>
    </row>
    <row r="14" spans="1:14" ht="27" thickBot="1" x14ac:dyDescent="0.35">
      <c r="A14" s="34" t="s">
        <v>329</v>
      </c>
      <c r="B14" s="177" t="s">
        <v>221</v>
      </c>
      <c r="C14" s="110">
        <v>1.4E-2</v>
      </c>
      <c r="D14" s="79">
        <f>IFERROR(SUMIFS(Tabla1[Avance_km],Tabla1[Ducto],'R (s03)'!$B14,Tabla1[nombre_actividad],D$1,Tabla1[Sistema],"HUIMILPAN")/$C14,0)</f>
        <v>1</v>
      </c>
      <c r="E14" s="79">
        <f>IFERROR(SUMIFS(Tabla1[Avance_km],Tabla1[Ducto],'R (s03)'!$B14,Tabla1[nombre_actividad],E$1,Tabla1[Sistema],"HUIMILPAN")/$C14,0)</f>
        <v>1</v>
      </c>
      <c r="F14" s="79">
        <f>IFERROR(SUMIFS(Tabla1[Avance_km],Tabla1[Ducto],'R (s03)'!$B14,Tabla1[nombre_actividad],F$1,Tabla1[Sistema],"HUIMILPAN")/$C14,0)</f>
        <v>1</v>
      </c>
      <c r="G14" s="79">
        <f>IFERROR(SUMIFS(Tabla1[Avance_Med],Tabla1[Ducto],'R (s03)'!$B14,Tabla1[nombre_actividad],G$1)/(1),0)</f>
        <v>1</v>
      </c>
      <c r="H14" s="79">
        <f>+SUMIFS(Tabla1[Avance_km],Tabla1[Ducto],'R (s03)'!$B14,Tabla1[nombre_actividad],H$1)/$C14</f>
        <v>0</v>
      </c>
      <c r="I14" s="79">
        <f>+SUMIFS(Tabla1[Avance_km],Tabla1[Ducto],'R (s03)'!$B14,Tabla1[nombre_actividad],I$1)/$C14</f>
        <v>0</v>
      </c>
      <c r="J14" s="142">
        <f>IFERROR(SUMIFS(Tabla1[Avance_Med],Tabla1[Ducto],$B14,Tabla1[nombre_actividad],G$1),0)</f>
        <v>1</v>
      </c>
      <c r="M14" s="90" t="s">
        <v>221</v>
      </c>
      <c r="N14" s="26"/>
    </row>
    <row r="15" spans="1:14" ht="27" thickBot="1" x14ac:dyDescent="0.35">
      <c r="A15" s="34" t="s">
        <v>329</v>
      </c>
      <c r="B15" s="177" t="s">
        <v>222</v>
      </c>
      <c r="C15" s="110">
        <v>2.1999999999999999E-2</v>
      </c>
      <c r="D15" s="79">
        <f>IFERROR(SUMIFS(Tabla1[Avance_km],Tabla1[Ducto],'R (s03)'!$B15,Tabla1[nombre_actividad],D$1,Tabla1[Sistema],"HUIMILPAN")/$C15,0)</f>
        <v>1</v>
      </c>
      <c r="E15" s="79">
        <f>IFERROR(SUMIFS(Tabla1[Avance_km],Tabla1[Ducto],'R (s03)'!$B15,Tabla1[nombre_actividad],E$1,Tabla1[Sistema],"HUIMILPAN")/$C15,0)</f>
        <v>1</v>
      </c>
      <c r="F15" s="79">
        <f>IFERROR(SUMIFS(Tabla1[Avance_km],Tabla1[Ducto],'R (s03)'!$B15,Tabla1[nombre_actividad],F$1,Tabla1[Sistema],"HUIMILPAN")/$C15,0)</f>
        <v>1</v>
      </c>
      <c r="G15" s="79">
        <f>IFERROR(SUMIFS(Tabla1[Avance_Med],Tabla1[Ducto],'R (s03)'!$B15,Tabla1[nombre_actividad],G$1)/(1),0)</f>
        <v>1</v>
      </c>
      <c r="H15" s="79">
        <f>+SUMIFS(Tabla1[Avance_km],Tabla1[Ducto],'R (s03)'!$B15,Tabla1[nombre_actividad],H$1)/$C15</f>
        <v>0</v>
      </c>
      <c r="I15" s="79">
        <f>+SUMIFS(Tabla1[Avance_km],Tabla1[Ducto],'R (s03)'!$B15,Tabla1[nombre_actividad],I$1)/$C15</f>
        <v>0</v>
      </c>
      <c r="J15" s="142">
        <f>IFERROR(SUMIFS(Tabla1[Avance_Med],Tabla1[Ducto],$B15,Tabla1[nombre_actividad],G$1),0)</f>
        <v>1</v>
      </c>
      <c r="M15" s="90" t="s">
        <v>222</v>
      </c>
      <c r="N15" s="26"/>
    </row>
    <row r="16" spans="1:14" s="1" customFormat="1" ht="27" thickBot="1" x14ac:dyDescent="0.35">
      <c r="A16" s="34" t="s">
        <v>329</v>
      </c>
      <c r="B16" s="177" t="s">
        <v>223</v>
      </c>
      <c r="C16" s="110">
        <v>1.0999999999999999E-2</v>
      </c>
      <c r="D16" s="79">
        <f>IFERROR(SUMIFS(Tabla1[Avance_km],Tabla1[Ducto],'R (s03)'!$B16,Tabla1[nombre_actividad],D$1,Tabla1[Sistema],"HUIMILPAN")/$C16,0)</f>
        <v>1</v>
      </c>
      <c r="E16" s="79">
        <f>IFERROR(SUMIFS(Tabla1[Avance_km],Tabla1[Ducto],'R (s03)'!$B16,Tabla1[nombre_actividad],E$1,Tabla1[Sistema],"HUIMILPAN")/$C16,0)</f>
        <v>1</v>
      </c>
      <c r="F16" s="79">
        <f>IFERROR(SUMIFS(Tabla1[Avance_km],Tabla1[Ducto],'R (s03)'!$B16,Tabla1[nombre_actividad],F$1,Tabla1[Sistema],"HUIMILPAN")/$C16,0)</f>
        <v>1</v>
      </c>
      <c r="G16" s="79">
        <f>IFERROR(SUMIFS(Tabla1[Avance_Med],Tabla1[Ducto],'R (s03)'!$B16,Tabla1[nombre_actividad],G$1)/(1),0)</f>
        <v>1</v>
      </c>
      <c r="H16" s="79">
        <f>+SUMIFS(Tabla1[Avance_km],Tabla1[Ducto],'R (s03)'!$B16,Tabla1[nombre_actividad],H$1)/$C16</f>
        <v>0</v>
      </c>
      <c r="I16" s="79">
        <f>+SUMIFS(Tabla1[Avance_km],Tabla1[Ducto],'R (s03)'!$B16,Tabla1[nombre_actividad],I$1)/$C16</f>
        <v>0</v>
      </c>
      <c r="J16" s="142">
        <f>IFERROR(SUMIFS(Tabla1[Avance_Med],Tabla1[Ducto],$B16,Tabla1[nombre_actividad],G$1),0)</f>
        <v>1</v>
      </c>
      <c r="L16"/>
      <c r="M16" s="90" t="s">
        <v>223</v>
      </c>
      <c r="N16" s="26"/>
    </row>
    <row r="17" spans="1:14" s="1" customFormat="1" ht="27" thickBot="1" x14ac:dyDescent="0.35">
      <c r="A17" s="34" t="s">
        <v>329</v>
      </c>
      <c r="B17" s="177" t="s">
        <v>224</v>
      </c>
      <c r="C17" s="110">
        <v>6.0000000000000001E-3</v>
      </c>
      <c r="D17" s="79">
        <f>IFERROR(SUMIFS(Tabla1[Avance_km],Tabla1[Ducto],'R (s03)'!$B17,Tabla1[nombre_actividad],D$1,Tabla1[Sistema],"HUIMILPAN")/$C17,0)</f>
        <v>1</v>
      </c>
      <c r="E17" s="79">
        <f>IFERROR(SUMIFS(Tabla1[Avance_km],Tabla1[Ducto],'R (s03)'!$B17,Tabla1[nombre_actividad],E$1,Tabla1[Sistema],"HUIMILPAN")/$C17,0)</f>
        <v>1</v>
      </c>
      <c r="F17" s="79">
        <f>IFERROR(SUMIFS(Tabla1[Avance_km],Tabla1[Ducto],'R (s03)'!$B17,Tabla1[nombre_actividad],F$1,Tabla1[Sistema],"HUIMILPAN")/$C17,0)</f>
        <v>1</v>
      </c>
      <c r="G17" s="79">
        <f>IFERROR(SUMIFS(Tabla1[Avance_Med],Tabla1[Ducto],'R (s03)'!$B17,Tabla1[nombre_actividad],G$1)/(1),0)</f>
        <v>1</v>
      </c>
      <c r="H17" s="79">
        <f>+SUMIFS(Tabla1[Avance_km],Tabla1[Ducto],'R (s03)'!$B17,Tabla1[nombre_actividad],H$1)/$C17</f>
        <v>0</v>
      </c>
      <c r="I17" s="79">
        <f>+SUMIFS(Tabla1[Avance_km],Tabla1[Ducto],'R (s03)'!$B17,Tabla1[nombre_actividad],I$1)/$C17</f>
        <v>0</v>
      </c>
      <c r="J17" s="142">
        <f>IFERROR(SUMIFS(Tabla1[Avance_Med],Tabla1[Ducto],$B17,Tabla1[nombre_actividad],G$1),0)</f>
        <v>1</v>
      </c>
      <c r="L17"/>
      <c r="M17" s="90" t="s">
        <v>224</v>
      </c>
      <c r="N17" s="26"/>
    </row>
    <row r="18" spans="1:14" s="1" customFormat="1" ht="27" thickBot="1" x14ac:dyDescent="0.35">
      <c r="A18" s="34" t="s">
        <v>329</v>
      </c>
      <c r="B18" s="177" t="s">
        <v>225</v>
      </c>
      <c r="C18" s="110">
        <v>5.97</v>
      </c>
      <c r="D18" s="79">
        <f>IFERROR(SUMIFS(Tabla1[Avance_km],Tabla1[Ducto],'R (s03)'!$B18,Tabla1[nombre_actividad],D$1,Tabla1[Sistema],"HUIMILPAN")/$C18,0)</f>
        <v>1</v>
      </c>
      <c r="E18" s="79">
        <f>IFERROR(SUMIFS(Tabla1[Avance_km],Tabla1[Ducto],'R (s03)'!$B18,Tabla1[nombre_actividad],E$1,Tabla1[Sistema],"HUIMILPAN")/$C18,0)</f>
        <v>1</v>
      </c>
      <c r="F18" s="79">
        <f>IFERROR(SUMIFS(Tabla1[Avance_km],Tabla1[Ducto],'R (s03)'!$B18,Tabla1[nombre_actividad],F$1,Tabla1[Sistema],"HUIMILPAN")/$C18,0)</f>
        <v>1.0331658291457286</v>
      </c>
      <c r="G18" s="79">
        <f>IFERROR(SUMIFS(Tabla1[Avance_Med],Tabla1[Ducto],'R (s03)'!$B18,Tabla1[nombre_actividad],G$1)/(14),0)</f>
        <v>1</v>
      </c>
      <c r="H18" s="79">
        <f>+SUMIFS(Tabla1[Avance_km],Tabla1[Ducto],'R (s03)'!$B18,Tabla1[nombre_actividad],H$1)/$C18</f>
        <v>0</v>
      </c>
      <c r="I18" s="79">
        <f>+SUMIFS(Tabla1[Avance_km],Tabla1[Ducto],'R (s03)'!$B18,Tabla1[nombre_actividad],I$1)/$C18</f>
        <v>0.23395928378336908</v>
      </c>
      <c r="J18" s="142">
        <f>IFERROR(SUMIFS(Tabla1[Avance_Med],Tabla1[Ducto],$B18,Tabla1[nombre_actividad],G$1),0)</f>
        <v>14</v>
      </c>
      <c r="L18"/>
      <c r="M18" s="90" t="s">
        <v>225</v>
      </c>
      <c r="N18" s="26"/>
    </row>
    <row r="19" spans="1:14" s="1" customFormat="1" ht="27" thickBot="1" x14ac:dyDescent="0.35">
      <c r="A19" s="34" t="s">
        <v>329</v>
      </c>
      <c r="B19" s="177" t="s">
        <v>227</v>
      </c>
      <c r="C19" s="110">
        <v>0.04</v>
      </c>
      <c r="D19" s="79">
        <f>IFERROR(SUMIFS(Tabla1[Avance_km],Tabla1[Ducto],'R (s03)'!$B19,Tabla1[nombre_actividad],D$1,Tabla1[Sistema],"HUIMILPAN")/$C19,0)</f>
        <v>1</v>
      </c>
      <c r="E19" s="79">
        <f>IFERROR(SUMIFS(Tabla1[Avance_km],Tabla1[Ducto],'R (s03)'!$B19,Tabla1[nombre_actividad],E$1,Tabla1[Sistema],"HUIMILPAN")/$C19,0)</f>
        <v>1</v>
      </c>
      <c r="F19" s="79">
        <f>IFERROR(SUMIFS(Tabla1[Avance_km],Tabla1[Ducto],'R (s03)'!$B19,Tabla1[nombre_actividad],F$1,Tabla1[Sistema],"HUIMILPAN")/$C19,0)</f>
        <v>1</v>
      </c>
      <c r="G19" s="79">
        <f>IFERROR(SUMIFS(Tabla1[Avance_Med],Tabla1[Ducto],'R (s03)'!$B19,Tabla1[nombre_actividad],G$1)/(1),0)</f>
        <v>1</v>
      </c>
      <c r="H19" s="79">
        <f>+SUMIFS(Tabla1[Avance_km],Tabla1[Ducto],'R (s03)'!$B19,Tabla1[nombre_actividad],H$1)/$C19</f>
        <v>0</v>
      </c>
      <c r="I19" s="79">
        <f>+SUMIFS(Tabla1[Avance_km],Tabla1[Ducto],'R (s03)'!$B19,Tabla1[nombre_actividad],I$1)/$C19</f>
        <v>0</v>
      </c>
      <c r="J19" s="142">
        <f>IFERROR(SUMIFS(Tabla1[Avance_Med],Tabla1[Ducto],$B19,Tabla1[nombre_actividad],G$1),0)</f>
        <v>1</v>
      </c>
      <c r="L19"/>
      <c r="M19" s="90" t="s">
        <v>227</v>
      </c>
      <c r="N19" s="26"/>
    </row>
    <row r="20" spans="1:14" s="1" customFormat="1" ht="27" thickBot="1" x14ac:dyDescent="0.35">
      <c r="A20" s="183" t="s">
        <v>329</v>
      </c>
      <c r="B20" s="397" t="s">
        <v>229</v>
      </c>
      <c r="C20" s="185">
        <v>0</v>
      </c>
      <c r="D20" s="186">
        <f>IFERROR(SUMIFS(Tabla1[Avance_km],Tabla1[Ducto],'R (s03)'!$B20,Tabla1[nombre_actividad],D$1,Tabla1[Sistema],"HUIMILPAN")/$C20,0)</f>
        <v>0</v>
      </c>
      <c r="E20" s="186">
        <f>IFERROR(SUMIFS(Tabla1[Avance_km],Tabla1[Ducto],'R (s03)'!$B20,Tabla1[nombre_actividad],E$1,Tabla1[Sistema],"HUIMILPAN")/$C20,0)</f>
        <v>0</v>
      </c>
      <c r="F20" s="186">
        <f>IFERROR(SUMIFS(Tabla1[Avance_km],Tabla1[Ducto],'R (s03)'!$B20,Tabla1[nombre_actividad],F$1,Tabla1[Sistema],"HUIMILPAN")/$C20,0)</f>
        <v>0</v>
      </c>
      <c r="G20" s="186">
        <f>IFERROR(SUMIFS(Tabla1[Avance_Med],Tabla1[Ducto],'R (s03)'!$B20,Tabla1[nombre_actividad],G$1)/(ROUNDUP(C20,0)*2),0)</f>
        <v>0</v>
      </c>
      <c r="H20" s="79" t="e">
        <f>+SUMIFS(Tabla1[Avance_km],Tabla1[Ducto],'R (s03)'!$B20,Tabla1[nombre_actividad],H$1)/$C20</f>
        <v>#DIV/0!</v>
      </c>
      <c r="I20" s="79" t="e">
        <f>+SUMIFS(Tabla1[Avance_km],Tabla1[Ducto],'R (s03)'!$B20,Tabla1[nombre_actividad],I$1)/$C20</f>
        <v>#DIV/0!</v>
      </c>
      <c r="J20" s="142"/>
      <c r="L20"/>
      <c r="M20" s="386" t="s">
        <v>229</v>
      </c>
      <c r="N20" s="26"/>
    </row>
    <row r="21" spans="1:14" s="1" customFormat="1" ht="27" thickBot="1" x14ac:dyDescent="0.35">
      <c r="A21" s="34" t="s">
        <v>329</v>
      </c>
      <c r="B21" s="177" t="s">
        <v>231</v>
      </c>
      <c r="C21" s="110">
        <v>2.1000000000000001E-2</v>
      </c>
      <c r="D21" s="79">
        <f>IFERROR(SUMIFS(Tabla1[Avance_km],Tabla1[Ducto],'R (s03)'!$B21,Tabla1[nombre_actividad],D$1,Tabla1[Sistema],"HUIMILPAN")/$C21,0)</f>
        <v>1</v>
      </c>
      <c r="E21" s="79">
        <f>IFERROR(SUMIFS(Tabla1[Avance_km],Tabla1[Ducto],'R (s03)'!$B21,Tabla1[nombre_actividad],E$1,Tabla1[Sistema],"HUIMILPAN")/$C21,0)</f>
        <v>1</v>
      </c>
      <c r="F21" s="79">
        <f>IFERROR(SUMIFS(Tabla1[Avance_km],Tabla1[Ducto],'R (s03)'!$B21,Tabla1[nombre_actividad],F$1,Tabla1[Sistema],"HUIMILPAN")/$C21,0)</f>
        <v>1</v>
      </c>
      <c r="G21" s="79">
        <f>IFERROR(SUMIFS(Tabla1[Avance_Med],Tabla1[Ducto],'R (s03)'!$B21,Tabla1[nombre_actividad],G$1)/(1),0)</f>
        <v>1</v>
      </c>
      <c r="H21" s="79">
        <f>+SUMIFS(Tabla1[Avance_km],Tabla1[Ducto],'R (s03)'!$B21,Tabla1[nombre_actividad],H$1)/$C21</f>
        <v>0</v>
      </c>
      <c r="I21" s="79">
        <f>+SUMIFS(Tabla1[Avance_km],Tabla1[Ducto],'R (s03)'!$B21,Tabla1[nombre_actividad],I$1)/$C21</f>
        <v>0</v>
      </c>
      <c r="J21" s="142">
        <f>IFERROR(SUMIFS(Tabla1[Avance_Med],Tabla1[Ducto],$B21,Tabla1[nombre_actividad],G$1),0)</f>
        <v>1</v>
      </c>
      <c r="L21"/>
      <c r="M21" s="90" t="s">
        <v>231</v>
      </c>
      <c r="N21" s="26"/>
    </row>
    <row r="22" spans="1:14" s="1" customFormat="1" ht="27" thickBot="1" x14ac:dyDescent="0.35">
      <c r="A22" s="34" t="s">
        <v>329</v>
      </c>
      <c r="B22" s="177" t="s">
        <v>233</v>
      </c>
      <c r="C22" s="110">
        <v>3.0000000000000001E-3</v>
      </c>
      <c r="D22" s="79">
        <f>IFERROR(SUMIFS(Tabla1[Avance_km],Tabla1[Ducto],'R (s03)'!$B22,Tabla1[nombre_actividad],D$1,Tabla1[Sistema],"HUIMILPAN")/$C22,0)</f>
        <v>1</v>
      </c>
      <c r="E22" s="79">
        <f>IFERROR(SUMIFS(Tabla1[Avance_km],Tabla1[Ducto],'R (s03)'!$B22,Tabla1[nombre_actividad],E$1,Tabla1[Sistema],"HUIMILPAN")/$C22,0)</f>
        <v>1</v>
      </c>
      <c r="F22" s="79">
        <f>IFERROR(SUMIFS(Tabla1[Avance_km],Tabla1[Ducto],'R (s03)'!$B22,Tabla1[nombre_actividad],F$1,Tabla1[Sistema],"HUIMILPAN")/$C22,0)</f>
        <v>1</v>
      </c>
      <c r="G22" s="79">
        <f>IFERROR(SUMIFS(Tabla1[Avance_Med],Tabla1[Ducto],'R (s03)'!$B22,Tabla1[nombre_actividad],G$1)/(1),0)</f>
        <v>1</v>
      </c>
      <c r="H22" s="79">
        <f>+SUMIFS(Tabla1[Avance_km],Tabla1[Ducto],'R (s03)'!$B22,Tabla1[nombre_actividad],H$1)/$C22</f>
        <v>0</v>
      </c>
      <c r="I22" s="79">
        <f>+SUMIFS(Tabla1[Avance_km],Tabla1[Ducto],'R (s03)'!$B22,Tabla1[nombre_actividad],I$1)/$C22</f>
        <v>0</v>
      </c>
      <c r="J22" s="142">
        <f>IFERROR(SUMIFS(Tabla1[Avance_Med],Tabla1[Ducto],$B22,Tabla1[nombre_actividad],G$1),0)</f>
        <v>1</v>
      </c>
      <c r="L22"/>
      <c r="M22" s="90" t="s">
        <v>233</v>
      </c>
      <c r="N22" s="26"/>
    </row>
    <row r="23" spans="1:14" s="1" customFormat="1" ht="27" thickBot="1" x14ac:dyDescent="0.35">
      <c r="A23" s="34" t="s">
        <v>329</v>
      </c>
      <c r="B23" s="177" t="s">
        <v>235</v>
      </c>
      <c r="C23" s="110">
        <v>0</v>
      </c>
      <c r="D23" s="409">
        <f>IFERROR(SUMIFS(Tabla1[Avance_km],Tabla1[Ducto],'R (s03)'!$B23,Tabla1[nombre_actividad],D$1,Tabla1[Sistema],"HUIMILPAN")/$C23,0)</f>
        <v>0</v>
      </c>
      <c r="E23" s="409">
        <f>IFERROR(SUMIFS(Tabla1[Avance_km],Tabla1[Ducto],'R (s03)'!$B23,Tabla1[nombre_actividad],E$1,Tabla1[Sistema],"HUIMILPAN")/$C23,0)</f>
        <v>0</v>
      </c>
      <c r="F23" s="409">
        <f>IFERROR(SUMIFS(Tabla1[Avance_km],Tabla1[Ducto],'R (s03)'!$B23,Tabla1[nombre_actividad],F$1,Tabla1[Sistema],"HUIMILPAN")/$C23,0)</f>
        <v>0</v>
      </c>
      <c r="G23" s="79">
        <f>IFERROR(SUMIFS(Tabla1[Avance_Med],Tabla1[Ducto],'R (s03)'!$B23,Tabla1[nombre_actividad],G$1)/(1),0)</f>
        <v>1</v>
      </c>
      <c r="H23" s="79" t="e">
        <f>+SUMIFS(Tabla1[Avance_km],Tabla1[Ducto],'R (s03)'!$B23,Tabla1[nombre_actividad],H$1)/$C23</f>
        <v>#DIV/0!</v>
      </c>
      <c r="I23" s="79" t="e">
        <f>+SUMIFS(Tabla1[Avance_km],Tabla1[Ducto],'R (s03)'!$B23,Tabla1[nombre_actividad],I$1)/$C23</f>
        <v>#DIV/0!</v>
      </c>
      <c r="J23" s="142">
        <f>IFERROR(SUMIFS(Tabla1[Avance_Med],Tabla1[Ducto],$B23,Tabla1[nombre_actividad],G$1),0)</f>
        <v>1</v>
      </c>
      <c r="L23"/>
      <c r="M23" s="90" t="s">
        <v>235</v>
      </c>
      <c r="N23" s="26"/>
    </row>
    <row r="24" spans="1:14" s="1" customFormat="1" ht="27" thickBot="1" x14ac:dyDescent="0.35">
      <c r="A24" s="34" t="s">
        <v>329</v>
      </c>
      <c r="B24" s="177" t="s">
        <v>237</v>
      </c>
      <c r="C24" s="110">
        <v>5.1999999999999998E-2</v>
      </c>
      <c r="D24" s="164">
        <f>IFERROR(SUMIFS(Tabla1[Avance_km],Tabla1[Ducto],'R (s03)'!$B24,Tabla1[nombre_actividad],D$1,Tabla1[Sistema],"HUIMILPAN")/$C24,0)</f>
        <v>1</v>
      </c>
      <c r="E24" s="164">
        <f>IFERROR(SUMIFS(Tabla1[Avance_km],Tabla1[Ducto],'R (s03)'!$B24,Tabla1[nombre_actividad],E$1,Tabla1[Sistema],"HUIMILPAN")/$C24,0)</f>
        <v>1</v>
      </c>
      <c r="F24" s="164">
        <f>IFERROR(SUMIFS(Tabla1[Avance_km],Tabla1[Ducto],'R (s03)'!$B24,Tabla1[nombre_actividad],F$1,Tabla1[Sistema],"HUIMILPAN")/$C24,0)</f>
        <v>1</v>
      </c>
      <c r="G24" s="146">
        <f>IFERROR(SUMIFS(Tabla1[Avance_Med],Tabla1[Ducto],'R (s03)'!$B24,Tabla1[nombre_actividad],G$1)/(ROUNDUP(C24,0)*2),0)</f>
        <v>0</v>
      </c>
      <c r="H24" s="79">
        <f>+SUMIFS(Tabla1[Avance_km],Tabla1[Ducto],'R (s03)'!$B24,Tabla1[nombre_actividad],H$1)/$C24</f>
        <v>0</v>
      </c>
      <c r="I24" s="79">
        <f>+SUMIFS(Tabla1[Avance_km],Tabla1[Ducto],'R (s03)'!$B24,Tabla1[nombre_actividad],I$1)/$C24</f>
        <v>0</v>
      </c>
      <c r="J24" s="142"/>
      <c r="K24" s="210" t="s">
        <v>354</v>
      </c>
      <c r="L24"/>
      <c r="M24" s="90" t="s">
        <v>237</v>
      </c>
      <c r="N24" s="26"/>
    </row>
    <row r="25" spans="1:14" s="1" customFormat="1" ht="27" thickBot="1" x14ac:dyDescent="0.35">
      <c r="A25" s="34" t="s">
        <v>329</v>
      </c>
      <c r="B25" s="177" t="s">
        <v>239</v>
      </c>
      <c r="C25" s="110">
        <v>0.27800000000000002</v>
      </c>
      <c r="D25" s="79">
        <f>IFERROR(SUMIFS(Tabla1[Avance_km],Tabla1[Ducto],'R (s03)'!$B25,Tabla1[nombre_actividad],D$1,Tabla1[Sistema],"HUIMILPAN")/$C25,0)</f>
        <v>1</v>
      </c>
      <c r="E25" s="79">
        <f>IFERROR(SUMIFS(Tabla1[Avance_km],Tabla1[Ducto],'R (s03)'!$B25,Tabla1[nombre_actividad],E$1,Tabla1[Sistema],"HUIMILPAN")/$C25,0)</f>
        <v>1</v>
      </c>
      <c r="F25" s="79">
        <f>IFERROR(SUMIFS(Tabla1[Avance_km],Tabla1[Ducto],'R (s03)'!$B25,Tabla1[nombre_actividad],F$1,Tabla1[Sistema],"HUIMILPAN")/$C25,0)</f>
        <v>1</v>
      </c>
      <c r="G25" s="79">
        <f>IFERROR(SUMIFS(Tabla1[Avance_Med],Tabla1[Ducto],'R (s03)'!$B25,Tabla1[nombre_actividad],G$1)/(1),0)</f>
        <v>1</v>
      </c>
      <c r="H25" s="79">
        <f>+SUMIFS(Tabla1[Avance_km],Tabla1[Ducto],'R (s03)'!$B25,Tabla1[nombre_actividad],H$1)/$C25</f>
        <v>0</v>
      </c>
      <c r="I25" s="79">
        <f>+SUMIFS(Tabla1[Avance_km],Tabla1[Ducto],'R (s03)'!$B25,Tabla1[nombre_actividad],I$1)/$C25</f>
        <v>0</v>
      </c>
      <c r="J25" s="142">
        <f>IFERROR(SUMIFS(Tabla1[Avance_Med],Tabla1[Ducto],$B25,Tabla1[nombre_actividad],G$1),0)</f>
        <v>1</v>
      </c>
      <c r="L25"/>
      <c r="M25" s="90" t="s">
        <v>239</v>
      </c>
      <c r="N25" s="26"/>
    </row>
    <row r="26" spans="1:14" s="1" customFormat="1" ht="27" thickBot="1" x14ac:dyDescent="0.35">
      <c r="A26" s="183" t="s">
        <v>329</v>
      </c>
      <c r="B26" s="397" t="s">
        <v>240</v>
      </c>
      <c r="C26" s="185">
        <f>_xlfn.IFNA(_xlfn.XLOOKUP(B26,Tabla1[Ducto],Tabla1[Length]), _xlfn.XLOOKUP(B26,'Summary S03'!A:A,'Summary S03'!G:G)/1000)</f>
        <v>0</v>
      </c>
      <c r="D26" s="186">
        <f>IFERROR(SUMIFS(Tabla1[Avance_km],Tabla1[Ducto],'R (s03)'!$B26,Tabla1[nombre_actividad],D$1,Tabla1[Sistema],"HUIMILPAN")/$C26,0)</f>
        <v>0</v>
      </c>
      <c r="E26" s="186">
        <f>IFERROR(SUMIFS(Tabla1[Avance_km],Tabla1[Ducto],'R (s03)'!$B26,Tabla1[nombre_actividad],E$1,Tabla1[Sistema],"HUIMILPAN")/$C26,0)</f>
        <v>0</v>
      </c>
      <c r="F26" s="186">
        <f>IFERROR(SUMIFS(Tabla1[Avance_km],Tabla1[Ducto],'R (s03)'!$B26,Tabla1[nombre_actividad],F$1,Tabla1[Sistema],"HUIMILPAN")/$C26,0)</f>
        <v>0</v>
      </c>
      <c r="G26" s="79">
        <f>IFERROR(SUMIFS(Tabla1[Avance_Med],Tabla1[Ducto],'R (s03)'!$B26,Tabla1[nombre_actividad],G$1)/(2),0)</f>
        <v>1</v>
      </c>
      <c r="H26" s="79" t="e">
        <f>+SUMIFS(Tabla1[Avance_km],Tabla1[Ducto],'R (s03)'!$B26,Tabla1[nombre_actividad],H$1)/$C26</f>
        <v>#DIV/0!</v>
      </c>
      <c r="I26" s="79" t="e">
        <f>+SUMIFS(Tabla1[Avance_km],Tabla1[Ducto],'R (s03)'!$B26,Tabla1[nombre_actividad],I$1)/$C26</f>
        <v>#DIV/0!</v>
      </c>
      <c r="J26" s="142">
        <f>IFERROR(SUMIFS(Tabla1[Avance_Med],Tabla1[Ducto],$B26,Tabla1[nombre_actividad],G$1),0)</f>
        <v>2</v>
      </c>
      <c r="L26"/>
      <c r="M26" s="386" t="s">
        <v>240</v>
      </c>
      <c r="N26" s="26"/>
    </row>
    <row r="27" spans="1:14" s="1" customFormat="1" ht="27" thickBot="1" x14ac:dyDescent="0.35">
      <c r="A27" s="34" t="s">
        <v>329</v>
      </c>
      <c r="B27" s="177" t="s">
        <v>241</v>
      </c>
      <c r="C27" s="110">
        <f>_xlfn.IFNA(_xlfn.XLOOKUP(B27,Tabla1[Ducto],Tabla1[Length]), _xlfn.XLOOKUP(B27,'Summary S03'!A:A,'Summary S03'!G:G)/1000)</f>
        <v>4.4999999999999998E-2</v>
      </c>
      <c r="D27" s="79">
        <f>IFERROR(SUMIFS(Tabla1[Avance_km],Tabla1[Ducto],'R (s03)'!$B27,Tabla1[nombre_actividad],D$1,Tabla1[Sistema],"HUIMILPAN")/$C27,0)</f>
        <v>1</v>
      </c>
      <c r="E27" s="79">
        <f>IFERROR(SUMIFS(Tabla1[Avance_km],Tabla1[Ducto],'R (s03)'!$B27,Tabla1[nombre_actividad],E$1,Tabla1[Sistema],"HUIMILPAN")/$C27,0)</f>
        <v>1</v>
      </c>
      <c r="F27" s="79">
        <f>IFERROR(SUMIFS(Tabla1[Avance_km],Tabla1[Ducto],'R (s03)'!$B27,Tabla1[nombre_actividad],F$1,Tabla1[Sistema],"HUIMILPAN")/$C27,0)</f>
        <v>1</v>
      </c>
      <c r="G27" s="79">
        <f>IFERROR(SUMIFS(Tabla1[Avance_Med],Tabla1[Ducto],'R (s03)'!$B27,Tabla1[nombre_actividad],G$1)/(1),0)</f>
        <v>1</v>
      </c>
      <c r="H27" s="79">
        <f>+SUMIFS(Tabla1[Avance_km],Tabla1[Ducto],'R (s03)'!$B27,Tabla1[nombre_actividad],H$1)/$C27</f>
        <v>0</v>
      </c>
      <c r="I27" s="79">
        <f>+SUMIFS(Tabla1[Avance_km],Tabla1[Ducto],'R (s03)'!$B27,Tabla1[nombre_actividad],I$1)/$C27</f>
        <v>0</v>
      </c>
      <c r="J27" s="142">
        <f>IFERROR(SUMIFS(Tabla1[Avance_Med],Tabla1[Ducto],$B27,Tabla1[nombre_actividad],G$1),0)</f>
        <v>1</v>
      </c>
      <c r="L27"/>
      <c r="M27" s="90" t="s">
        <v>241</v>
      </c>
      <c r="N27" s="26"/>
    </row>
    <row r="28" spans="1:14" s="1" customFormat="1" ht="27" thickBot="1" x14ac:dyDescent="0.35">
      <c r="A28" s="34" t="s">
        <v>329</v>
      </c>
      <c r="B28" s="177" t="s">
        <v>242</v>
      </c>
      <c r="C28" s="110">
        <v>6.2E-2</v>
      </c>
      <c r="D28" s="79">
        <f>IFERROR(SUMIFS(Tabla1[Avance_km],Tabla1[Ducto],'R (s03)'!$B28,Tabla1[nombre_actividad],D$1,Tabla1[Sistema],"HUIMILPAN")/$C28,0)</f>
        <v>1</v>
      </c>
      <c r="E28" s="79">
        <f>IFERROR(SUMIFS(Tabla1[Avance_km],Tabla1[Ducto],'R (s03)'!$B28,Tabla1[nombre_actividad],E$1,Tabla1[Sistema],"HUIMILPAN")/$C28,0)</f>
        <v>1</v>
      </c>
      <c r="F28" s="79">
        <f>IFERROR(SUMIFS(Tabla1[Avance_km],Tabla1[Ducto],'R (s03)'!$B28,Tabla1[nombre_actividad],F$1,Tabla1[Sistema],"HUIMILPAN")/$C28,0)</f>
        <v>0</v>
      </c>
      <c r="G28" s="79">
        <f>IFERROR(SUMIFS(Tabla1[Avance_Med],Tabla1[Ducto],'R (s03)'!$B28,Tabla1[nombre_actividad],G$1)/(1),0)</f>
        <v>1</v>
      </c>
      <c r="H28" s="79">
        <f>+SUMIFS(Tabla1[Avance_km],Tabla1[Ducto],'R (s03)'!$B28,Tabla1[nombre_actividad],H$1)/$C28</f>
        <v>0</v>
      </c>
      <c r="I28" s="79">
        <f>+SUMIFS(Tabla1[Avance_km],Tabla1[Ducto],'R (s03)'!$B28,Tabla1[nombre_actividad],I$1)/$C28</f>
        <v>0</v>
      </c>
      <c r="J28" s="142">
        <f>IFERROR(SUMIFS(Tabla1[Avance_Med],Tabla1[Ducto],$B28,Tabla1[nombre_actividad],G$1),0)</f>
        <v>1</v>
      </c>
      <c r="L28"/>
      <c r="M28" s="90" t="s">
        <v>242</v>
      </c>
      <c r="N28" s="26"/>
    </row>
    <row r="29" spans="1:14" s="1" customFormat="1" ht="27" thickBot="1" x14ac:dyDescent="0.35">
      <c r="A29" s="34" t="s">
        <v>329</v>
      </c>
      <c r="B29" s="177" t="s">
        <v>243</v>
      </c>
      <c r="C29" s="110">
        <v>4.1000000000000002E-2</v>
      </c>
      <c r="D29" s="79">
        <f>IFERROR(SUMIFS(Tabla1[Avance_km],Tabla1[Ducto],'R (s03)'!$B29,Tabla1[nombre_actividad],D$1,Tabla1[Sistema],"HUIMILPAN")/$C29,0)</f>
        <v>1</v>
      </c>
      <c r="E29" s="79">
        <f>IFERROR(SUMIFS(Tabla1[Avance_km],Tabla1[Ducto],'R (s03)'!$B29,Tabla1[nombre_actividad],E$1,Tabla1[Sistema],"HUIMILPAN")/$C29,0)</f>
        <v>1</v>
      </c>
      <c r="F29" s="79">
        <f>IFERROR(SUMIFS(Tabla1[Avance_km],Tabla1[Ducto],'R (s03)'!$B29,Tabla1[nombre_actividad],F$1,Tabla1[Sistema],"HUIMILPAN")/$C29,0)</f>
        <v>1</v>
      </c>
      <c r="G29" s="198" t="s">
        <v>348</v>
      </c>
      <c r="H29" s="79">
        <f>+SUMIFS(Tabla1[Avance_km],Tabla1[Ducto],'R (s03)'!$B29,Tabla1[nombre_actividad],H$1)/$C29</f>
        <v>0</v>
      </c>
      <c r="I29" s="79">
        <f>+SUMIFS(Tabla1[Avance_km],Tabla1[Ducto],'R (s03)'!$B29,Tabla1[nombre_actividad],I$1)/$C29</f>
        <v>0</v>
      </c>
      <c r="J29" s="142"/>
      <c r="L29"/>
      <c r="M29" s="90" t="s">
        <v>243</v>
      </c>
      <c r="N29" s="26"/>
    </row>
    <row r="30" spans="1:14" s="1" customFormat="1" ht="27" thickBot="1" x14ac:dyDescent="0.35">
      <c r="A30" s="34" t="s">
        <v>329</v>
      </c>
      <c r="B30" s="177" t="s">
        <v>244</v>
      </c>
      <c r="C30" s="110">
        <v>0.46300000000000002</v>
      </c>
      <c r="D30" s="79">
        <f>IFERROR(SUMIFS(Tabla1[Avance_km],Tabla1[Ducto],'R (s03)'!$B30,Tabla1[nombre_actividad],D$1,Tabla1[Sistema],"HUIMILPAN")/$C30,0)</f>
        <v>1</v>
      </c>
      <c r="E30" s="79">
        <v>1</v>
      </c>
      <c r="F30" s="79">
        <f>IFERROR(SUMIFS(Tabla1[Avance_km],Tabla1[Ducto],'R (s03)'!$B30,Tabla1[nombre_actividad],F$1,Tabla1[Sistema],"HUIMILPAN")/$C30,0)</f>
        <v>1</v>
      </c>
      <c r="G30" s="79">
        <f>IFERROR(SUMIFS(Tabla1[Avance_Med],Tabla1[Ducto],'R (s03)'!$B30,Tabla1[nombre_actividad],G$1)/(ROUNDUP(C30,0)*2),0)</f>
        <v>1</v>
      </c>
      <c r="H30" s="79">
        <f>+SUMIFS(Tabla1[Avance_km],Tabla1[Ducto],'R (s03)'!$B30,Tabla1[nombre_actividad],H$1)/$C30</f>
        <v>0</v>
      </c>
      <c r="I30" s="79">
        <f>+SUMIFS(Tabla1[Avance_km],Tabla1[Ducto],'R (s03)'!$B30,Tabla1[nombre_actividad],I$1)/$C30</f>
        <v>0</v>
      </c>
      <c r="J30" s="142">
        <f>IFERROR(SUMIFS(Tabla1[Avance_Med],Tabla1[Ducto],$B30,Tabla1[nombre_actividad],G$1),0)</f>
        <v>2</v>
      </c>
      <c r="L30"/>
      <c r="M30" s="90" t="s">
        <v>244</v>
      </c>
      <c r="N30" s="26"/>
    </row>
    <row r="31" spans="1:14" s="1" customFormat="1" ht="27" thickBot="1" x14ac:dyDescent="0.35">
      <c r="A31" s="34" t="s">
        <v>329</v>
      </c>
      <c r="B31" s="177" t="s">
        <v>245</v>
      </c>
      <c r="C31" s="110">
        <v>9.9000000000000005E-2</v>
      </c>
      <c r="D31" s="79">
        <f>IFERROR(SUMIFS(Tabla1[Avance_km],Tabla1[Ducto],'R (s03)'!$B31,Tabla1[nombre_actividad],D$1,Tabla1[Sistema],"HUIMILPAN")/$C31,0)</f>
        <v>1</v>
      </c>
      <c r="E31" s="79">
        <f>IFERROR(SUMIFS(Tabla1[Avance_km],Tabla1[Ducto],'R (s03)'!$B31,Tabla1[nombre_actividad],E$1,Tabla1[Sistema],"HUIMILPAN")/0.099,0)</f>
        <v>1</v>
      </c>
      <c r="F31" s="79">
        <f>IFERROR(SUMIFS(Tabla1[Avance_km],Tabla1[Ducto],'R (s03)'!$B31,Tabla1[nombre_actividad],F$1,Tabla1[Sistema],"HUIMILPAN")/$C31,0)</f>
        <v>1</v>
      </c>
      <c r="G31" s="79">
        <f>IFERROR(SUMIFS(Tabla1[Avance_Med],Tabla1[Ducto],'R (s03)'!$B31,Tabla1[nombre_actividad],G$1)/(1),0)</f>
        <v>1</v>
      </c>
      <c r="H31" s="79">
        <f>+SUMIFS(Tabla1[Avance_km],Tabla1[Ducto],'R (s03)'!$B31,Tabla1[nombre_actividad],H$1)/$C31</f>
        <v>0</v>
      </c>
      <c r="I31" s="79">
        <f>+SUMIFS(Tabla1[Avance_km],Tabla1[Ducto],'R (s03)'!$B31,Tabla1[nombre_actividad],I$1)/$C31</f>
        <v>0</v>
      </c>
      <c r="J31" s="142">
        <f>IFERROR(SUMIFS(Tabla1[Avance_Med],Tabla1[Ducto],$B31,Tabla1[nombre_actividad],G$1),0)</f>
        <v>1</v>
      </c>
      <c r="L31"/>
      <c r="M31" s="90" t="s">
        <v>245</v>
      </c>
      <c r="N31" s="26"/>
    </row>
    <row r="32" spans="1:14" s="1" customFormat="1" ht="27" thickBot="1" x14ac:dyDescent="0.35">
      <c r="A32" s="418" t="s">
        <v>329</v>
      </c>
      <c r="B32" s="419" t="s">
        <v>246</v>
      </c>
      <c r="C32" s="420">
        <v>0</v>
      </c>
      <c r="D32" s="421">
        <f>IFERROR(SUMIFS(Tabla1[Avance_km],Tabla1[Ducto],'R (s03)'!$B32,Tabla1[nombre_actividad],D$1,Tabla1[Sistema],"HUIMILPAN")/$C32,0)</f>
        <v>0</v>
      </c>
      <c r="E32" s="421">
        <f>IFERROR(SUMIFS(Tabla1[Avance_km],Tabla1[Ducto],'R (s03)'!$B32,Tabla1[nombre_actividad],E$1,Tabla1[Sistema],"HUIMILPAN")/$C32,0)</f>
        <v>0</v>
      </c>
      <c r="F32" s="421">
        <f>IFERROR(SUMIFS(Tabla1[Avance_km],Tabla1[Ducto],'R (s03)'!$B32,Tabla1[nombre_actividad],F$1,Tabla1[Sistema],"HUIMILPAN")/$C32,0)</f>
        <v>0</v>
      </c>
      <c r="G32" s="421">
        <f>IFERROR(SUMIFS(Tabla1[Avance_Med],Tabla1[Ducto],'R (s03)'!$B32,Tabla1[nombre_actividad],G$1)/(1),0)</f>
        <v>1</v>
      </c>
      <c r="H32" s="79" t="e">
        <f>+SUMIFS(Tabla1[Avance_km],Tabla1[Ducto],'R (s03)'!$B32,Tabla1[nombre_actividad],H$1)/$C32</f>
        <v>#DIV/0!</v>
      </c>
      <c r="I32" s="79" t="e">
        <f>+SUMIFS(Tabla1[Avance_km],Tabla1[Ducto],'R (s03)'!$B32,Tabla1[nombre_actividad],I$1)/$C32</f>
        <v>#DIV/0!</v>
      </c>
      <c r="J32" s="142">
        <f>IFERROR(SUMIFS(Tabla1[Avance_Med],Tabla1[Ducto],$B32,Tabla1[nombre_actividad],G$1),0)</f>
        <v>1</v>
      </c>
      <c r="K32" s="1" t="s">
        <v>520</v>
      </c>
      <c r="L32"/>
      <c r="M32" s="90" t="s">
        <v>246</v>
      </c>
      <c r="N32" s="26"/>
    </row>
    <row r="33" spans="1:14" s="1" customFormat="1" ht="27" thickBot="1" x14ac:dyDescent="0.35">
      <c r="A33" s="34" t="s">
        <v>329</v>
      </c>
      <c r="B33" s="177" t="s">
        <v>247</v>
      </c>
      <c r="C33" s="110">
        <v>8.0000000000000002E-3</v>
      </c>
      <c r="D33" s="79">
        <f>IFERROR(SUMIFS(Tabla1[Avance_km],Tabla1[Ducto],'R (s03)'!$B33,Tabla1[nombre_actividad],D$1,Tabla1[Sistema],"HUIMILPAN")/$C33,0)</f>
        <v>1</v>
      </c>
      <c r="E33" s="79">
        <f>IFERROR(SUMIFS(Tabla1[Avance_km],Tabla1[Ducto],'R (s03)'!$B33,Tabla1[nombre_actividad],E$1,Tabla1[Sistema],"HUIMILPAN")/$C33,0)</f>
        <v>1</v>
      </c>
      <c r="F33" s="79">
        <f>IFERROR(SUMIFS(Tabla1[Avance_km],Tabla1[Ducto],'R (s03)'!$B33,Tabla1[nombre_actividad],F$1,Tabla1[Sistema],"HUIMILPAN")/$C33,0)</f>
        <v>1</v>
      </c>
      <c r="G33" s="198" t="s">
        <v>349</v>
      </c>
      <c r="H33" s="79">
        <f>+SUMIFS(Tabla1[Avance_km],Tabla1[Ducto],'R (s03)'!$B33,Tabla1[nombre_actividad],H$1)/$C33</f>
        <v>0</v>
      </c>
      <c r="I33" s="79">
        <f>+SUMIFS(Tabla1[Avance_km],Tabla1[Ducto],'R (s03)'!$B33,Tabla1[nombre_actividad],I$1)/$C33</f>
        <v>0</v>
      </c>
      <c r="J33" s="142"/>
      <c r="L33"/>
      <c r="M33" s="90" t="s">
        <v>247</v>
      </c>
      <c r="N33" s="26"/>
    </row>
    <row r="34" spans="1:14" s="1" customFormat="1" ht="27" thickBot="1" x14ac:dyDescent="0.35">
      <c r="A34" s="34" t="s">
        <v>329</v>
      </c>
      <c r="B34" s="177" t="s">
        <v>248</v>
      </c>
      <c r="C34" s="110">
        <f>_xlfn.IFNA(_xlfn.XLOOKUP(B34,Tabla1[Ducto],Tabla1[Length]), _xlfn.XLOOKUP(B34,'Summary S03'!A:A,'Summary S03'!G:G)/1000)</f>
        <v>6.0000000000000001E-3</v>
      </c>
      <c r="D34" s="79">
        <f>IFERROR(SUMIFS(Tabla1[Avance_km],Tabla1[Ducto],'R (s03)'!$B34,Tabla1[nombre_actividad],D$1,Tabla1[Sistema],"HUIMILPAN")/$C34,0)</f>
        <v>1</v>
      </c>
      <c r="E34" s="79">
        <f>IFERROR(SUMIFS(Tabla1[Avance_km],Tabla1[Ducto],'R (s03)'!$B34,Tabla1[nombre_actividad],E$1,Tabla1[Sistema],"HUIMILPAN")/$C34,0)</f>
        <v>1</v>
      </c>
      <c r="F34" s="79">
        <f>IFERROR(SUMIFS(Tabla1[Avance_km],Tabla1[Ducto],'R (s03)'!$B34,Tabla1[nombre_actividad],F$1,Tabla1[Sistema],"HUIMILPAN")/$C34,0)</f>
        <v>1</v>
      </c>
      <c r="G34" s="79">
        <f>IFERROR(SUMIFS(Tabla1[Avance_Med],Tabla1[Ducto],'R (s03)'!$B34,Tabla1[nombre_actividad],G$1)/(1),0)</f>
        <v>1</v>
      </c>
      <c r="H34" s="79">
        <f>+SUMIFS(Tabla1[Avance_km],Tabla1[Ducto],'R (s03)'!$B34,Tabla1[nombre_actividad],H$1)/$C34</f>
        <v>0</v>
      </c>
      <c r="I34" s="79">
        <f>+SUMIFS(Tabla1[Avance_km],Tabla1[Ducto],'R (s03)'!$B34,Tabla1[nombre_actividad],I$1)/$C34</f>
        <v>0</v>
      </c>
      <c r="J34" s="142">
        <f>IFERROR(SUMIFS(Tabla1[Avance_Med],Tabla1[Ducto],$B34,Tabla1[nombre_actividad],G$1),0)</f>
        <v>1</v>
      </c>
      <c r="L34"/>
      <c r="M34" s="90" t="s">
        <v>248</v>
      </c>
      <c r="N34" s="26"/>
    </row>
    <row r="35" spans="1:14" s="1" customFormat="1" ht="27" thickBot="1" x14ac:dyDescent="0.35">
      <c r="A35" s="34" t="s">
        <v>329</v>
      </c>
      <c r="B35" s="177" t="s">
        <v>249</v>
      </c>
      <c r="C35" s="110">
        <v>1.2E-2</v>
      </c>
      <c r="D35" s="79">
        <v>1</v>
      </c>
      <c r="E35" s="79">
        <f>IFERROR(SUMIFS(Tabla1[Avance_km],Tabla1[Ducto],'R (s03)'!$B35,Tabla1[nombre_actividad],E$1,Tabla1[Sistema],"HUIMILPAN")/$C35,0)</f>
        <v>1</v>
      </c>
      <c r="F35" s="79">
        <f>IFERROR(SUMIFS(Tabla1[Avance_km],Tabla1[Ducto],'R (s03)'!$B35,Tabla1[nombre_actividad],F$1,Tabla1[Sistema],"HUIMILPAN")/$C35,0)</f>
        <v>1</v>
      </c>
      <c r="G35" s="79">
        <f>IFERROR(SUMIFS(Tabla1[Avance_Med],Tabla1[Ducto],'R (s03)'!$B35,Tabla1[nombre_actividad],G$1)/(1),0)</f>
        <v>1</v>
      </c>
      <c r="H35" s="79">
        <f>+SUMIFS(Tabla1[Avance_km],Tabla1[Ducto],'R (s03)'!$B35,Tabla1[nombre_actividad],H$1)/$C35</f>
        <v>0</v>
      </c>
      <c r="I35" s="79">
        <f>+SUMIFS(Tabla1[Avance_km],Tabla1[Ducto],'R (s03)'!$B35,Tabla1[nombre_actividad],I$1)/$C35</f>
        <v>0</v>
      </c>
      <c r="J35" s="142">
        <f>IFERROR(SUMIFS(Tabla1[Avance_Med],Tabla1[Ducto],$B35,Tabla1[nombre_actividad],G$1),0)</f>
        <v>1</v>
      </c>
      <c r="L35"/>
      <c r="M35" s="90" t="s">
        <v>249</v>
      </c>
      <c r="N35" s="26"/>
    </row>
    <row r="36" spans="1:14" s="1" customFormat="1" ht="27" thickBot="1" x14ac:dyDescent="0.35">
      <c r="A36" s="34" t="s">
        <v>329</v>
      </c>
      <c r="B36" s="177" t="s">
        <v>250</v>
      </c>
      <c r="C36" s="110">
        <f>_xlfn.IFNA(_xlfn.XLOOKUP(B36,Tabla1[Ducto],Tabla1[Length]), _xlfn.XLOOKUP(B36,'Summary S03'!A:A,'Summary S03'!G:G)/1000)</f>
        <v>0.85</v>
      </c>
      <c r="D36" s="79">
        <f>IFERROR(SUMIFS(Tabla1[Avance_km],Tabla1[Ducto],'R (s03)'!$B36,Tabla1[nombre_actividad],D$1,Tabla1[Sistema],"HUIMILPAN")/$C36,0)</f>
        <v>1</v>
      </c>
      <c r="E36" s="79">
        <f>IFERROR(SUMIFS(Tabla1[Avance_km],Tabla1[Ducto],'R (s03)'!$B36,Tabla1[nombre_actividad],E$1,Tabla1[Sistema],"HUIMILPAN")/$C36,0)</f>
        <v>1</v>
      </c>
      <c r="F36" s="79">
        <f>IFERROR(SUMIFS(Tabla1[Avance_km],Tabla1[Ducto],'R (s03)'!$B36,Tabla1[nombre_actividad],F$1,Tabla1[Sistema],"HUIMILPAN")/$C36,0)</f>
        <v>1.0294117647058825</v>
      </c>
      <c r="G36" s="79">
        <f>IFERROR(SUMIFS(Tabla1[Avance_Med],Tabla1[Ducto],'R (s03)'!$B36,Tabla1[nombre_actividad],G$1)/(3),0)</f>
        <v>1</v>
      </c>
      <c r="H36" s="79">
        <f>+SUMIFS(Tabla1[Avance_km],Tabla1[Ducto],'R (s03)'!$B36,Tabla1[nombre_actividad],H$1)/$C36</f>
        <v>0</v>
      </c>
      <c r="I36" s="79">
        <f>+SUMIFS(Tabla1[Avance_km],Tabla1[Ducto],'R (s03)'!$B36,Tabla1[nombre_actividad],I$1)/$C36</f>
        <v>0</v>
      </c>
      <c r="J36" s="142">
        <f>IFERROR(SUMIFS(Tabla1[Avance_Med],Tabla1[Ducto],$B36,Tabla1[nombre_actividad],G$1),0)</f>
        <v>3</v>
      </c>
      <c r="L36"/>
      <c r="M36" s="90" t="s">
        <v>250</v>
      </c>
      <c r="N36" s="26"/>
    </row>
    <row r="37" spans="1:14" s="1" customFormat="1" ht="27" thickBot="1" x14ac:dyDescent="0.35">
      <c r="A37" s="34" t="s">
        <v>329</v>
      </c>
      <c r="B37" s="177" t="s">
        <v>251</v>
      </c>
      <c r="C37" s="110">
        <v>0.314</v>
      </c>
      <c r="D37" s="79">
        <f>IFERROR(SUMIFS(Tabla1[Avance_km],Tabla1[Ducto],'R (s03)'!$B37,Tabla1[nombre_actividad],D$1,Tabla1[Sistema],"HUIMILPAN")/$C37,0)</f>
        <v>1</v>
      </c>
      <c r="E37" s="79">
        <f>IFERROR(SUMIFS(Tabla1[Avance_km],Tabla1[Ducto],'R (s03)'!$B37,Tabla1[nombre_actividad],E$1,Tabla1[Sistema],"HUIMILPAN")/0.385,0)</f>
        <v>1</v>
      </c>
      <c r="F37" s="79">
        <f>IFERROR(SUMIFS(Tabla1[Avance_km],Tabla1[Ducto],'R (s03)'!$B37,Tabla1[nombre_actividad],F$1,Tabla1[Sistema],"HUIMILPAN")/$C37,0)</f>
        <v>1</v>
      </c>
      <c r="G37" s="79">
        <f>IFERROR(SUMIFS(Tabla1[Avance_Med],Tabla1[Ducto],'R (s03)'!$B37,Tabla1[nombre_actividad],G$1)/(ROUNDUP(C37,0)*2),0)</f>
        <v>1</v>
      </c>
      <c r="H37" s="79">
        <f>+SUMIFS(Tabla1[Avance_km],Tabla1[Ducto],'R (s03)'!$B37,Tabla1[nombre_actividad],H$1)/$C37</f>
        <v>0</v>
      </c>
      <c r="I37" s="79">
        <f>+SUMIFS(Tabla1[Avance_km],Tabla1[Ducto],'R (s03)'!$B37,Tabla1[nombre_actividad],I$1)/$C37</f>
        <v>0</v>
      </c>
      <c r="J37" s="142">
        <f>IFERROR(SUMIFS(Tabla1[Avance_Med],Tabla1[Ducto],$B37,Tabla1[nombre_actividad],G$1),0)</f>
        <v>2</v>
      </c>
      <c r="L37"/>
      <c r="M37" s="90" t="s">
        <v>251</v>
      </c>
      <c r="N37" s="26"/>
    </row>
    <row r="38" spans="1:14" s="1" customFormat="1" ht="27" thickBot="1" x14ac:dyDescent="0.35">
      <c r="A38" s="34" t="s">
        <v>329</v>
      </c>
      <c r="B38" s="177" t="s">
        <v>252</v>
      </c>
      <c r="C38" s="110">
        <f>_xlfn.IFNA(_xlfn.XLOOKUP(B38,Tabla1[Ducto],Tabla1[Length]), _xlfn.XLOOKUP(B38,'Summary S03'!A:A,'Summary S03'!G:G)/1000)</f>
        <v>1.2999999999999999E-2</v>
      </c>
      <c r="D38" s="79">
        <f>IFERROR(SUMIFS(Tabla1[Avance_km],Tabla1[Ducto],'R (s03)'!$B38,Tabla1[nombre_actividad],D$1,Tabla1[Sistema],"HUIMILPAN")/$C38,0)</f>
        <v>1</v>
      </c>
      <c r="E38" s="79">
        <f>IFERROR(SUMIFS(Tabla1[Avance_km],Tabla1[Ducto],'R (s03)'!$B38,Tabla1[nombre_actividad],E$1,Tabla1[Sistema],"HUIMILPAN")/$C38,0)</f>
        <v>1</v>
      </c>
      <c r="F38" s="79">
        <f>IFERROR(SUMIFS(Tabla1[Avance_km],Tabla1[Ducto],'R (s03)'!$B38,Tabla1[nombre_actividad],F$1,Tabla1[Sistema],"HUIMILPAN")/$C38,0)</f>
        <v>1</v>
      </c>
      <c r="G38" s="79">
        <f>IFERROR(SUMIFS(Tabla1[Avance_Med],Tabla1[Ducto],'R (s03)'!$B38,Tabla1[nombre_actividad],G$1)/(1),0)</f>
        <v>1</v>
      </c>
      <c r="H38" s="79">
        <f>+SUMIFS(Tabla1[Avance_km],Tabla1[Ducto],'R (s03)'!$B38,Tabla1[nombre_actividad],H$1)/$C38</f>
        <v>0</v>
      </c>
      <c r="I38" s="79">
        <f>+SUMIFS(Tabla1[Avance_km],Tabla1[Ducto],'R (s03)'!$B38,Tabla1[nombre_actividad],I$1)/$C38</f>
        <v>0</v>
      </c>
      <c r="J38" s="142">
        <f>IFERROR(SUMIFS(Tabla1[Avance_Med],Tabla1[Ducto],$B38,Tabla1[nombre_actividad],G$1),0)</f>
        <v>1</v>
      </c>
      <c r="L38"/>
      <c r="M38" s="90" t="s">
        <v>252</v>
      </c>
      <c r="N38" s="26"/>
    </row>
    <row r="39" spans="1:14" s="1" customFormat="1" ht="27" thickBot="1" x14ac:dyDescent="0.35">
      <c r="A39" s="34" t="s">
        <v>329</v>
      </c>
      <c r="B39" s="177" t="s">
        <v>253</v>
      </c>
      <c r="C39" s="110">
        <f>_xlfn.IFNA(_xlfn.XLOOKUP(B39,Tabla1[Ducto],Tabla1[Length]), _xlfn.XLOOKUP(B39,'Summary S03'!A:A,'Summary S03'!G:G)/1000)</f>
        <v>1.3240000000000001</v>
      </c>
      <c r="D39" s="79">
        <f>IFERROR(SUMIFS(Tabla1[Avance_km],Tabla1[Ducto],'R (s03)'!$B39,Tabla1[nombre_actividad],D$1,Tabla1[Sistema],"HUIMILPAN")/$C39,0)</f>
        <v>1</v>
      </c>
      <c r="E39" s="79">
        <f>IFERROR(SUMIFS(Tabla1[Avance_km],Tabla1[Ducto],'R (s03)'!$B39,Tabla1[nombre_actividad],E$1,Tabla1[Sistema],"HUIMILPAN")/$C39,0)</f>
        <v>1</v>
      </c>
      <c r="F39" s="79">
        <f>IFERROR(SUMIFS(Tabla1[Avance_km],Tabla1[Ducto],'R (s03)'!$B39,Tabla1[nombre_actividad],F$1,Tabla1[Sistema],"HUIMILPAN")/$C39,0)</f>
        <v>1</v>
      </c>
      <c r="G39" s="79">
        <f>IFERROR(SUMIFS(Tabla1[Avance_Med],Tabla1[Ducto],'R (s03)'!$B39,Tabla1[nombre_actividad],G$1)/(ROUNDUP(C39,0)*2),0)</f>
        <v>1</v>
      </c>
      <c r="H39" s="79">
        <f>+SUMIFS(Tabla1[Avance_km],Tabla1[Ducto],'R (s03)'!$B39,Tabla1[nombre_actividad],H$1)/$C39</f>
        <v>0</v>
      </c>
      <c r="I39" s="79">
        <f>+SUMIFS(Tabla1[Avance_km],Tabla1[Ducto],'R (s03)'!$B39,Tabla1[nombre_actividad],I$1)/$C39</f>
        <v>0</v>
      </c>
      <c r="J39" s="142">
        <f>IFERROR(SUMIFS(Tabla1[Avance_Med],Tabla1[Ducto],$B39,Tabla1[nombre_actividad],G$1),0)</f>
        <v>4</v>
      </c>
      <c r="L39"/>
      <c r="M39" s="90" t="s">
        <v>253</v>
      </c>
      <c r="N39" s="26"/>
    </row>
    <row r="40" spans="1:14" s="1" customFormat="1" ht="27" thickBot="1" x14ac:dyDescent="0.35">
      <c r="A40" s="34" t="s">
        <v>329</v>
      </c>
      <c r="B40" s="177" t="s">
        <v>254</v>
      </c>
      <c r="C40" s="110">
        <f>_xlfn.IFNA(_xlfn.XLOOKUP(B40,Tabla1[Ducto],Tabla1[Length]), _xlfn.XLOOKUP(B40,'Summary S03'!A:A,'Summary S03'!G:G)/1000)</f>
        <v>0</v>
      </c>
      <c r="D40" s="79">
        <f>IFERROR(SUMIFS(Tabla1[Avance_km],Tabla1[Ducto],'R (s03)'!$B40,Tabla1[nombre_actividad],D$1,Tabla1[Sistema],"HUIMILPAN")/$C40,0)</f>
        <v>0</v>
      </c>
      <c r="E40" s="79">
        <f>IFERROR(SUMIFS(Tabla1[Avance_km],Tabla1[Ducto],'R (s03)'!$B40,Tabla1[nombre_actividad],E$1,Tabla1[Sistema],"HUIMILPAN")/$C40,0)</f>
        <v>0</v>
      </c>
      <c r="F40" s="79">
        <f>IFERROR(SUMIFS(Tabla1[Avance_km],Tabla1[Ducto],'R (s03)'!$B40,Tabla1[nombre_actividad],F$1,Tabla1[Sistema],"HUIMILPAN")/$C40,0)</f>
        <v>0</v>
      </c>
      <c r="G40" s="79">
        <f>IFERROR(SUMIFS(Tabla1[Avance_Med],Tabla1[Ducto],'R (s03)'!$B40,Tabla1[nombre_actividad],G$1)/(1),0)</f>
        <v>1</v>
      </c>
      <c r="H40" s="79"/>
      <c r="I40" s="79"/>
      <c r="J40" s="142">
        <f>IFERROR(SUMIFS(Tabla1[Avance_Med],Tabla1[Ducto],$B40,Tabla1[nombre_actividad],G$1),0)</f>
        <v>1</v>
      </c>
      <c r="K40" s="1" t="s">
        <v>534</v>
      </c>
      <c r="L40"/>
      <c r="M40" s="90" t="s">
        <v>254</v>
      </c>
      <c r="N40" s="26"/>
    </row>
    <row r="41" spans="1:14" s="1" customFormat="1" ht="27" thickBot="1" x14ac:dyDescent="0.35">
      <c r="A41" s="34" t="s">
        <v>329</v>
      </c>
      <c r="B41" s="177" t="s">
        <v>255</v>
      </c>
      <c r="C41" s="110">
        <v>0.27500000000000002</v>
      </c>
      <c r="D41" s="79">
        <f>IFERROR(SUMIFS(Tabla1[Avance_km],Tabla1[Ducto],'R (s03)'!$B41,Tabla1[nombre_actividad],D$1,Tabla1[Sistema],"HUIMILPAN")/$C41,0)</f>
        <v>1</v>
      </c>
      <c r="E41" s="79">
        <f>IFERROR(SUMIFS(Tabla1[Avance_km],Tabla1[Ducto],'R (s03)'!$B41,Tabla1[nombre_actividad],E$1,Tabla1[Sistema],"HUIMILPAN")/$C41,0)</f>
        <v>1</v>
      </c>
      <c r="F41" s="79">
        <f>IFERROR(SUMIFS(Tabla1[Avance_km],Tabla1[Ducto],'R (s03)'!$B41,Tabla1[nombre_actividad],F$1,Tabla1[Sistema],"HUIMILPAN")/$C41,0)</f>
        <v>1</v>
      </c>
      <c r="G41" s="79">
        <f>IFERROR(SUMIFS(Tabla1[Avance_Med],Tabla1[Ducto],'R (s03)'!$B41,Tabla1[nombre_actividad],G$1)/(1),0)</f>
        <v>1</v>
      </c>
      <c r="H41" s="79"/>
      <c r="I41" s="79"/>
      <c r="J41" s="142">
        <f>IFERROR(SUMIFS(Tabla1[Avance_Med],Tabla1[Ducto],$B41,Tabla1[nombre_actividad],G$1),0)</f>
        <v>1</v>
      </c>
      <c r="L41"/>
      <c r="M41" s="90" t="s">
        <v>255</v>
      </c>
      <c r="N41" s="26"/>
    </row>
    <row r="42" spans="1:14" s="1" customFormat="1" ht="27" thickBot="1" x14ac:dyDescent="0.35">
      <c r="A42" s="34" t="s">
        <v>329</v>
      </c>
      <c r="B42" s="177" t="s">
        <v>346</v>
      </c>
      <c r="C42" s="110">
        <v>0.70299999999999996</v>
      </c>
      <c r="D42" s="79">
        <f>IFERROR(SUMIFS(Tabla1[Avance_km],Tabla1[Ducto],'R (s03)'!$B42,Tabla1[nombre_actividad],D$1,Tabla1[Sistema],"HUIMILPAN")/$C42,0)</f>
        <v>1</v>
      </c>
      <c r="E42" s="79">
        <v>1</v>
      </c>
      <c r="F42" s="79">
        <f>IFERROR(SUMIFS(Tabla1[Avance_km],Tabla1[Ducto],'R (s03)'!$B42,Tabla1[nombre_actividad],F$1,Tabla1[Sistema],"HUIMILPAN")/$C42,0)</f>
        <v>1</v>
      </c>
      <c r="G42" s="79">
        <f>IFERROR(SUMIFS(Tabla1[Avance_Med],Tabla1[Ducto],'R (s03)'!$B42,Tabla1[nombre_actividad],G$1)/(ROUNDUP(C42,0)*2),0)</f>
        <v>1</v>
      </c>
      <c r="H42" s="79"/>
      <c r="I42" s="79"/>
      <c r="J42" s="142">
        <f>IFERROR(SUMIFS(Tabla1[Avance_Med],Tabla1[Ducto],$B42,Tabla1[nombre_actividad],G$1),0)</f>
        <v>2</v>
      </c>
      <c r="L42"/>
      <c r="M42" s="90" t="s">
        <v>346</v>
      </c>
      <c r="N42" s="26"/>
    </row>
    <row r="43" spans="1:14" s="1" customFormat="1" ht="30.75" thickBot="1" x14ac:dyDescent="0.35">
      <c r="A43" s="418" t="s">
        <v>329</v>
      </c>
      <c r="B43" s="418" t="s">
        <v>502</v>
      </c>
      <c r="C43" s="420">
        <v>0</v>
      </c>
      <c r="D43" s="421">
        <f>IFERROR(SUMIFS(Tabla1[Avance_km],Tabla1[Ducto],'R (s03)'!$B43,Tabla1[nombre_actividad],D$1,Tabla1[Sistema],"HUIMILPAN")/$C43,0)</f>
        <v>0</v>
      </c>
      <c r="E43" s="421">
        <f>IFERROR(SUMIFS(Tabla1[Avance_km],Tabla1[Ducto],'R (s03)'!$B43,Tabla1[nombre_actividad],E$1,Tabla1[Sistema],"HUIMILPAN")/$C43,0)</f>
        <v>0</v>
      </c>
      <c r="F43" s="421">
        <f>IFERROR(SUMIFS(Tabla1[Avance_km],Tabla1[Ducto],'R (s03)'!$B43,Tabla1[nombre_actividad],F$1,Tabla1[Sistema],"HUIMILPAN")/$C43,0)</f>
        <v>0</v>
      </c>
      <c r="G43" s="388" t="s">
        <v>506</v>
      </c>
      <c r="H43" s="79"/>
      <c r="I43" s="79"/>
      <c r="J43" s="142"/>
      <c r="K43" s="24" t="s">
        <v>535</v>
      </c>
      <c r="L43"/>
      <c r="M43" s="90" t="s">
        <v>502</v>
      </c>
      <c r="N43" s="26"/>
    </row>
    <row r="44" spans="1:14" s="1" customFormat="1" ht="27" thickBot="1" x14ac:dyDescent="0.35">
      <c r="A44" s="34" t="s">
        <v>329</v>
      </c>
      <c r="B44" s="177" t="s">
        <v>504</v>
      </c>
      <c r="C44" s="110">
        <v>0.24299999999999999</v>
      </c>
      <c r="D44" s="79">
        <f>IFERROR(SUMIFS(Tabla1[Avance_km],Tabla1[Ducto],'R (s03)'!$B44,Tabla1[nombre_actividad],D$1,Tabla1[Sistema],"HUIMILPAN")/$C44,0)</f>
        <v>1</v>
      </c>
      <c r="E44" s="79">
        <f>IFERROR(SUMIFS(Tabla1[Avance_km],Tabla1[Ducto],'R (s03)'!$B44,Tabla1[nombre_actividad],E$1,Tabla1[Sistema],"HUIMILPAN")/$C44,0)</f>
        <v>1</v>
      </c>
      <c r="F44" s="79">
        <f>IFERROR(SUMIFS(Tabla1[Avance_km],Tabla1[Ducto],'R (s03)'!$B44,Tabla1[nombre_actividad],F$1,Tabla1[Sistema],"HUIMILPAN")/$C44,0)</f>
        <v>1</v>
      </c>
      <c r="G44" s="388"/>
      <c r="H44" s="79"/>
      <c r="I44" s="79"/>
      <c r="J44" s="142"/>
      <c r="L44"/>
      <c r="M44" s="90" t="s">
        <v>504</v>
      </c>
      <c r="N44" s="26"/>
    </row>
    <row r="45" spans="1:14" s="1" customFormat="1" ht="27" thickBot="1" x14ac:dyDescent="0.35">
      <c r="A45" s="34" t="s">
        <v>329</v>
      </c>
      <c r="B45" s="177" t="s">
        <v>353</v>
      </c>
      <c r="C45" s="110">
        <v>1.7999999999999999E-2</v>
      </c>
      <c r="D45" s="79">
        <f>IFERROR(SUMIFS(Tabla1[Avance_km],Tabla1[Ducto],'R (s03)'!$B45,Tabla1[nombre_actividad],D$1,Tabla1[Sistema],"HUIMILPAN")/$C45,0)</f>
        <v>1</v>
      </c>
      <c r="E45" s="79">
        <f>IFERROR(SUMIFS(Tabla1[Avance_km],Tabla1[Ducto],'R (s03)'!$B45,Tabla1[nombre_actividad],E$1,Tabla1[Sistema],"HUIMILPAN")/$C45,0)</f>
        <v>1</v>
      </c>
      <c r="F45" s="79">
        <f>IFERROR(SUMIFS(Tabla1[Avance_km],Tabla1[Ducto],'R (s03)'!$B45,Tabla1[nombre_actividad],F$1,Tabla1[Sistema],"HUIMILPAN")/$C45,0)</f>
        <v>1</v>
      </c>
      <c r="G45" s="79">
        <f>IFERROR(SUMIFS(Tabla1[Avance_Med],Tabla1[Ducto],'R (s03)'!$B45,Tabla1[nombre_actividad],G$1)/(1),0)</f>
        <v>1</v>
      </c>
      <c r="H45" s="79"/>
      <c r="I45" s="79"/>
      <c r="J45" s="142">
        <f>IFERROR(SUMIFS(Tabla1[Avance_Med],Tabla1[Ducto],$B45,Tabla1[nombre_actividad],G$1),0)</f>
        <v>1</v>
      </c>
      <c r="L45"/>
      <c r="M45" s="90" t="s">
        <v>353</v>
      </c>
      <c r="N45" s="26"/>
    </row>
    <row r="47" spans="1:14" x14ac:dyDescent="0.25">
      <c r="B47" s="209" t="s">
        <v>237</v>
      </c>
      <c r="C47" s="210" t="s">
        <v>354</v>
      </c>
      <c r="D47" s="211"/>
      <c r="E47" s="211"/>
    </row>
    <row r="49" spans="3:12" ht="24" x14ac:dyDescent="0.4">
      <c r="C49" s="394" t="s">
        <v>509</v>
      </c>
      <c r="D49" s="395">
        <f>1000*(SUM(C2:C45)-SUMPRODUCT(C2:C45,D2:D45))</f>
        <v>6.9999999999978968</v>
      </c>
      <c r="E49" s="395">
        <f>1000*(SUM(C2:C45)-SUMPRODUCT(C2:C45,E2:E45))</f>
        <v>562.99999999998818</v>
      </c>
      <c r="F49" s="395">
        <f>1000*(SUM(C2:C45)-SUMPRODUCT(C2:C45,F2:F45))</f>
        <v>745.99999999999511</v>
      </c>
    </row>
    <row r="50" spans="3:12" x14ac:dyDescent="0.25">
      <c r="K50" s="425" t="s">
        <v>518</v>
      </c>
    </row>
    <row r="51" spans="3:12" x14ac:dyDescent="0.25">
      <c r="J51" s="424">
        <v>46241</v>
      </c>
      <c r="K51" s="1" t="s">
        <v>504</v>
      </c>
      <c r="L51" t="s">
        <v>519</v>
      </c>
    </row>
    <row r="52" spans="3:12" x14ac:dyDescent="0.25">
      <c r="J52" s="424">
        <v>46241</v>
      </c>
      <c r="K52" s="1" t="s">
        <v>225</v>
      </c>
      <c r="L52" t="s">
        <v>521</v>
      </c>
    </row>
    <row r="53" spans="3:12" x14ac:dyDescent="0.25">
      <c r="D53" s="26" t="s">
        <v>28</v>
      </c>
      <c r="E53" s="26"/>
      <c r="J53" s="424"/>
    </row>
    <row r="54" spans="3:12" x14ac:dyDescent="0.25">
      <c r="D54" s="26" t="s">
        <v>212</v>
      </c>
      <c r="E54" s="26"/>
    </row>
    <row r="55" spans="3:12" x14ac:dyDescent="0.25">
      <c r="D55" s="451" cm="1">
        <f t="array" ref="D55:F77">_xlfn._xlws.SORT(_xlfn._xlws.FILTER(_xlfn._xlws.FILTER(Tabla1[],(Tabla1[Ducto]=D54)*(Tabla1[Actividades]=D53),),{1,0,0,0,0,1,1,0,0,0,0,0,0,0}),2,1)</f>
        <v>46157</v>
      </c>
      <c r="E55" s="352">
        <v>0</v>
      </c>
      <c r="F55" s="352">
        <v>2410</v>
      </c>
      <c r="G55" t="str">
        <f>+IF(F55=E56,"OK","rev")</f>
        <v>OK</v>
      </c>
    </row>
    <row r="56" spans="3:12" x14ac:dyDescent="0.25">
      <c r="D56" s="451">
        <v>46158</v>
      </c>
      <c r="E56" s="352">
        <v>2410</v>
      </c>
      <c r="F56" s="352">
        <v>4336</v>
      </c>
      <c r="G56" t="str">
        <f t="shared" ref="G56:G77" si="0">+IF(F56=E57,"OK","rev")</f>
        <v>OK</v>
      </c>
      <c r="J56" s="424"/>
    </row>
    <row r="57" spans="3:12" x14ac:dyDescent="0.25">
      <c r="D57" s="451">
        <v>46163</v>
      </c>
      <c r="E57" s="352">
        <v>4336</v>
      </c>
      <c r="F57" s="352">
        <v>6908</v>
      </c>
      <c r="G57" t="str">
        <f t="shared" si="0"/>
        <v>OK</v>
      </c>
      <c r="J57" s="424"/>
    </row>
    <row r="58" spans="3:12" x14ac:dyDescent="0.25">
      <c r="D58" s="451">
        <v>46164</v>
      </c>
      <c r="E58" s="352">
        <v>6908</v>
      </c>
      <c r="F58" s="352">
        <v>9461</v>
      </c>
      <c r="G58" t="str">
        <f t="shared" si="0"/>
        <v>OK</v>
      </c>
    </row>
    <row r="59" spans="3:12" x14ac:dyDescent="0.25">
      <c r="D59" s="451">
        <v>46165</v>
      </c>
      <c r="E59" s="352">
        <v>9461</v>
      </c>
      <c r="F59" s="352">
        <v>11253</v>
      </c>
      <c r="G59" t="str">
        <f t="shared" si="0"/>
        <v>OK</v>
      </c>
    </row>
    <row r="60" spans="3:12" x14ac:dyDescent="0.25">
      <c r="D60" s="451">
        <v>46174</v>
      </c>
      <c r="E60" s="352">
        <v>11253</v>
      </c>
      <c r="F60" s="352">
        <v>13245</v>
      </c>
      <c r="G60" t="str">
        <f t="shared" si="0"/>
        <v>OK</v>
      </c>
    </row>
    <row r="61" spans="3:12" x14ac:dyDescent="0.25">
      <c r="D61" s="451">
        <v>46175</v>
      </c>
      <c r="E61" s="352">
        <v>13245</v>
      </c>
      <c r="F61" s="352">
        <v>15238</v>
      </c>
      <c r="G61" t="str">
        <f t="shared" si="0"/>
        <v>OK</v>
      </c>
    </row>
    <row r="62" spans="3:12" x14ac:dyDescent="0.25">
      <c r="D62" s="451">
        <v>46176</v>
      </c>
      <c r="E62" s="352">
        <v>15238</v>
      </c>
      <c r="F62" s="352">
        <v>15605</v>
      </c>
      <c r="G62" t="str">
        <f t="shared" si="0"/>
        <v>OK</v>
      </c>
    </row>
    <row r="63" spans="3:12" x14ac:dyDescent="0.25">
      <c r="D63" s="451">
        <v>46191</v>
      </c>
      <c r="E63" s="352">
        <v>15605</v>
      </c>
      <c r="F63" s="352">
        <v>16617</v>
      </c>
      <c r="G63" t="str">
        <f t="shared" si="0"/>
        <v>OK</v>
      </c>
    </row>
    <row r="64" spans="3:12" x14ac:dyDescent="0.25">
      <c r="D64" s="451">
        <v>46177</v>
      </c>
      <c r="E64" s="352">
        <v>16617</v>
      </c>
      <c r="F64" s="352">
        <v>17605</v>
      </c>
      <c r="G64" t="str">
        <f t="shared" si="0"/>
        <v>OK</v>
      </c>
    </row>
    <row r="65" spans="4:7" x14ac:dyDescent="0.25">
      <c r="D65" s="451">
        <v>46176</v>
      </c>
      <c r="E65" s="352">
        <v>17605</v>
      </c>
      <c r="F65" s="352">
        <v>17932</v>
      </c>
      <c r="G65" t="str">
        <f t="shared" si="0"/>
        <v>OK</v>
      </c>
    </row>
    <row r="66" spans="4:7" x14ac:dyDescent="0.25">
      <c r="D66" s="451">
        <v>46177</v>
      </c>
      <c r="E66" s="352">
        <v>17932</v>
      </c>
      <c r="F66" s="352">
        <v>18406</v>
      </c>
      <c r="G66" t="str">
        <f t="shared" si="0"/>
        <v>OK</v>
      </c>
    </row>
    <row r="67" spans="4:7" x14ac:dyDescent="0.25">
      <c r="D67" s="451">
        <v>46188</v>
      </c>
      <c r="E67" s="352">
        <v>18406</v>
      </c>
      <c r="F67" s="352">
        <v>18873</v>
      </c>
      <c r="G67" t="str">
        <f t="shared" si="0"/>
        <v>OK</v>
      </c>
    </row>
    <row r="68" spans="4:7" x14ac:dyDescent="0.25">
      <c r="D68" s="451">
        <v>46189</v>
      </c>
      <c r="E68" s="352">
        <v>18873</v>
      </c>
      <c r="F68" s="352">
        <v>19571</v>
      </c>
      <c r="G68" t="str">
        <f t="shared" si="0"/>
        <v>OK</v>
      </c>
    </row>
    <row r="69" spans="4:7" x14ac:dyDescent="0.25">
      <c r="D69" s="451">
        <v>46191</v>
      </c>
      <c r="E69" s="352">
        <v>19571</v>
      </c>
      <c r="F69" s="352">
        <v>19731</v>
      </c>
      <c r="G69" t="str">
        <f t="shared" si="0"/>
        <v>OK</v>
      </c>
    </row>
    <row r="70" spans="4:7" x14ac:dyDescent="0.25">
      <c r="D70" s="451">
        <v>46190</v>
      </c>
      <c r="E70" s="352">
        <v>19731</v>
      </c>
      <c r="F70" s="352">
        <v>20170</v>
      </c>
      <c r="G70" t="str">
        <f t="shared" si="0"/>
        <v>OK</v>
      </c>
    </row>
    <row r="71" spans="4:7" x14ac:dyDescent="0.25">
      <c r="D71" s="451">
        <v>46183</v>
      </c>
      <c r="E71" s="352">
        <v>20170</v>
      </c>
      <c r="F71" s="352">
        <v>20312</v>
      </c>
      <c r="G71" t="str">
        <f t="shared" si="0"/>
        <v>OK</v>
      </c>
    </row>
    <row r="72" spans="4:7" x14ac:dyDescent="0.25">
      <c r="D72" s="451">
        <v>46185</v>
      </c>
      <c r="E72" s="352">
        <v>20312</v>
      </c>
      <c r="F72" s="352">
        <v>21184</v>
      </c>
      <c r="G72" t="str">
        <f t="shared" si="0"/>
        <v>OK</v>
      </c>
    </row>
    <row r="73" spans="4:7" x14ac:dyDescent="0.25">
      <c r="D73" s="451">
        <v>46183</v>
      </c>
      <c r="E73" s="352">
        <v>21184</v>
      </c>
      <c r="F73" s="352">
        <v>21466</v>
      </c>
      <c r="G73" t="str">
        <f t="shared" si="0"/>
        <v>OK</v>
      </c>
    </row>
    <row r="74" spans="4:7" x14ac:dyDescent="0.25">
      <c r="D74" s="451">
        <v>46182</v>
      </c>
      <c r="E74" s="352">
        <v>21466</v>
      </c>
      <c r="F74" s="352">
        <v>22255</v>
      </c>
      <c r="G74" t="str">
        <f t="shared" si="0"/>
        <v>OK</v>
      </c>
    </row>
    <row r="75" spans="4:7" x14ac:dyDescent="0.25">
      <c r="D75" s="451">
        <v>46183</v>
      </c>
      <c r="E75" s="352">
        <v>22255</v>
      </c>
      <c r="F75" s="352">
        <v>22858</v>
      </c>
      <c r="G75" t="str">
        <f t="shared" si="0"/>
        <v>OK</v>
      </c>
    </row>
    <row r="76" spans="4:7" x14ac:dyDescent="0.25">
      <c r="D76" s="451">
        <v>46181</v>
      </c>
      <c r="E76" s="352">
        <v>22858</v>
      </c>
      <c r="F76" s="352">
        <v>24240</v>
      </c>
      <c r="G76" t="str">
        <f t="shared" si="0"/>
        <v>OK</v>
      </c>
    </row>
    <row r="77" spans="4:7" x14ac:dyDescent="0.25">
      <c r="D77" s="451">
        <v>46182</v>
      </c>
      <c r="E77" s="352">
        <v>24240</v>
      </c>
      <c r="F77" s="352">
        <v>24842</v>
      </c>
      <c r="G77" t="str">
        <f t="shared" si="0"/>
        <v>rev</v>
      </c>
    </row>
  </sheetData>
  <autoFilter ref="A1:J42" xr:uid="{C8948F65-4684-470E-B215-D01090CD3B01}"/>
  <conditionalFormatting sqref="D2:G45">
    <cfRule type="dataBar" priority="5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{35DA33B5-FA1A-40A6-AF39-4F27B3B972BC}</x14:id>
        </ext>
      </extLst>
    </cfRule>
  </conditionalFormatting>
  <conditionalFormatting sqref="H2:I3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{CBB4D0A1-B8ED-4676-9FFC-65BFA4082C8A}</x14:id>
        </ext>
      </extLst>
    </cfRule>
  </conditionalFormatting>
  <conditionalFormatting sqref="H40:I4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{3E075DC7-B67F-49F4-90FA-7E92EC1E1F34}</x14:id>
        </ext>
      </extLst>
    </cfRule>
  </conditionalFormatting>
  <dataValidations count="1">
    <dataValidation type="list" allowBlank="1" showInputMessage="1" showErrorMessage="1" sqref="D54" xr:uid="{A3DC06BD-DB3F-4222-9486-41E496859439}">
      <formula1>HUIMILPAN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DA33B5-FA1A-40A6-AF39-4F27B3B972B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D2:G45</xm:sqref>
        </x14:conditionalFormatting>
        <x14:conditionalFormatting xmlns:xm="http://schemas.microsoft.com/office/excel/2006/main">
          <x14:cfRule type="dataBar" id="{CBB4D0A1-B8ED-4676-9FFC-65BFA4082C8A}">
            <x14:dataBar minLength="0" maxLength="100" gradient="0">
              <x14:cfvo type="min"/>
              <x14:cfvo type="autoMax"/>
              <x14:negativeFillColor rgb="FFFF0000"/>
              <x14:axisColor rgb="FF000000"/>
            </x14:dataBar>
          </x14:cfRule>
          <xm:sqref>H2:I39</xm:sqref>
        </x14:conditionalFormatting>
        <x14:conditionalFormatting xmlns:xm="http://schemas.microsoft.com/office/excel/2006/main">
          <x14:cfRule type="dataBar" id="{3E075DC7-B67F-49F4-90FA-7E92EC1E1F34}">
            <x14:dataBar minLength="0" maxLength="100" gradient="0">
              <x14:cfvo type="min"/>
              <x14:cfvo type="autoMax"/>
              <x14:negativeFillColor rgb="FFFF0000"/>
              <x14:axisColor rgb="FF000000"/>
            </x14:dataBar>
          </x14:cfRule>
          <xm:sqref>H40:I45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C5034-2477-4912-8F6C-2A707FBE12BC}">
  <sheetPr codeName="Hoja21">
    <tabColor rgb="FF00B050"/>
  </sheetPr>
  <dimension ref="A1:S69"/>
  <sheetViews>
    <sheetView showGridLines="0" topLeftCell="A8" workbookViewId="0">
      <selection activeCell="G34" sqref="G34"/>
    </sheetView>
  </sheetViews>
  <sheetFormatPr baseColWidth="10" defaultColWidth="11.42578125" defaultRowHeight="15" outlineLevelCol="1" x14ac:dyDescent="0.25"/>
  <cols>
    <col min="1" max="1" width="26.42578125" bestFit="1" customWidth="1"/>
    <col min="2" max="2" width="34.28515625" bestFit="1" customWidth="1"/>
    <col min="3" max="3" width="12.28515625" style="26" customWidth="1"/>
    <col min="4" max="4" width="16" customWidth="1"/>
    <col min="5" max="5" width="14.85546875" customWidth="1"/>
    <col min="6" max="6" width="16.42578125" customWidth="1"/>
    <col min="7" max="7" width="26.85546875" customWidth="1"/>
    <col min="8" max="9" width="14.85546875" customWidth="1" outlineLevel="1"/>
    <col min="10" max="10" width="11.42578125" style="143"/>
    <col min="11" max="11" width="39.140625" style="1" bestFit="1" customWidth="1"/>
    <col min="12" max="12" width="39.140625" bestFit="1" customWidth="1"/>
    <col min="13" max="13" width="5.42578125" style="76" customWidth="1"/>
    <col min="14" max="14" width="6.7109375" bestFit="1" customWidth="1"/>
    <col min="15" max="15" width="11.85546875" bestFit="1" customWidth="1"/>
    <col min="16" max="16" width="6" bestFit="1" customWidth="1"/>
  </cols>
  <sheetData>
    <row r="1" spans="1:19" s="1" customFormat="1" ht="30.75" customHeight="1" x14ac:dyDescent="0.25">
      <c r="A1" s="1" t="s">
        <v>2</v>
      </c>
      <c r="B1" s="33" t="s">
        <v>76</v>
      </c>
      <c r="C1" s="110" t="s">
        <v>77</v>
      </c>
      <c r="D1" s="33" t="s">
        <v>78</v>
      </c>
      <c r="E1" s="33" t="s">
        <v>79</v>
      </c>
      <c r="F1" s="33" t="s">
        <v>80</v>
      </c>
      <c r="G1" s="65" t="s">
        <v>81</v>
      </c>
      <c r="H1" s="33" t="s">
        <v>82</v>
      </c>
      <c r="I1" s="33" t="s">
        <v>83</v>
      </c>
      <c r="J1" s="141"/>
    </row>
    <row r="2" spans="1:19" ht="26.25" x14ac:dyDescent="0.25">
      <c r="A2" s="34" t="s">
        <v>351</v>
      </c>
      <c r="B2" s="177" t="s">
        <v>359</v>
      </c>
      <c r="C2" s="110">
        <v>0.878</v>
      </c>
      <c r="D2" s="79">
        <f>IFERROR(SUMIFS(Tabla1[Avance_km],Tabla1[Ducto],'R (s04)'!$B2,Tabla1[nombre_actividad],D$1,Tabla1[Sistema],"BUENAVISTA")/$C2,0)</f>
        <v>1</v>
      </c>
      <c r="E2" s="79">
        <f>IFERROR(SUMIFS(Tabla1[Avance_km],Tabla1[Ducto],'R (s04)'!$B2,Tabla1[nombre_actividad],E$1,Tabla1[Sistema],"BUENAVISTA")/$C2,0)</f>
        <v>1</v>
      </c>
      <c r="F2" s="79">
        <f>IFERROR(SUMIFS(Tabla1[Avance_km],Tabla1[Ducto],'R (s04)'!$B2,Tabla1[nombre_actividad],F$1,Tabla1[Sistema],"BUENAVISTA")/$C2,0)</f>
        <v>1</v>
      </c>
      <c r="G2" s="79">
        <f>IFERROR(SUMIFS(Tabla1[Avance_Med],Tabla1[Ducto],'R (s04)'!$B2,Tabla1[nombre_actividad],G$1)/(3),0)</f>
        <v>1</v>
      </c>
      <c r="H2" s="79">
        <f>+SUMIFS(Tabla1[Avance_km],Tabla1[Ducto],'R (s04)'!$B2,Tabla1[nombre_actividad],H$1)/$C2</f>
        <v>0</v>
      </c>
      <c r="I2" s="79">
        <f>+SUMIFS(Tabla1[Avance_km],Tabla1[Ducto],'R (s04)'!$B2,Tabla1[nombre_actividad],I$1)/$C2</f>
        <v>0</v>
      </c>
      <c r="J2" s="142">
        <f>IFERROR(SUMIFS(Tabla1[Avance_Med],Tabla1[Ducto],$B2,Tabla1[nombre_actividad],G$1),0)</f>
        <v>3</v>
      </c>
    </row>
    <row r="3" spans="1:19" ht="26.25" x14ac:dyDescent="0.25">
      <c r="A3" s="34" t="s">
        <v>351</v>
      </c>
      <c r="B3" s="177" t="s">
        <v>264</v>
      </c>
      <c r="C3" s="110">
        <v>2.077</v>
      </c>
      <c r="D3" s="79">
        <f>IFERROR(SUMIFS(Tabla1[Avance_km],Tabla1[Ducto],'R (s04)'!$B3,Tabla1[nombre_actividad],D$1,Tabla1[Sistema],"BUENAVISTA")/$C3,0)</f>
        <v>1</v>
      </c>
      <c r="E3" s="79">
        <f>IFERROR(SUMIFS(Tabla1[Avance_km],Tabla1[Ducto],'R (s04)'!$B3,Tabla1[nombre_actividad],E$1,Tabla1[Sistema],"BUENAVISTA")/$C3,0)</f>
        <v>1</v>
      </c>
      <c r="F3" s="79">
        <f>IFERROR(SUMIFS(Tabla1[Avance_km],Tabla1[Ducto],'R (s04)'!$B3,Tabla1[nombre_actividad],F$1,Tabla1[Sistema],"BUENAVISTA")/$C3,0)</f>
        <v>1</v>
      </c>
      <c r="G3" s="79">
        <f>IFERROR(SUMIFS(Tabla1[Avance_Med],Tabla1[Ducto],'R (s04)'!$B3,Tabla1[nombre_actividad],G$1)/(5),0)</f>
        <v>1</v>
      </c>
      <c r="H3" s="79"/>
      <c r="I3" s="79"/>
      <c r="J3" s="142">
        <f>IFERROR(SUMIFS(Tabla1[Avance_Med],Tabla1[Ducto],$B3,Tabla1[nombre_actividad],G$1),0)</f>
        <v>5</v>
      </c>
    </row>
    <row r="4" spans="1:19" ht="26.25" x14ac:dyDescent="0.25">
      <c r="A4" s="34" t="s">
        <v>351</v>
      </c>
      <c r="B4" s="177" t="s">
        <v>360</v>
      </c>
      <c r="C4" s="110">
        <v>0.16</v>
      </c>
      <c r="D4" s="79">
        <f>IFERROR(SUMIFS(Tabla1[Avance_km],Tabla1[Ducto],'R (s04)'!$B4,Tabla1[nombre_actividad],D$1,Tabla1[Sistema],"BUENAVISTA")/$C4,0)</f>
        <v>1</v>
      </c>
      <c r="E4" s="79">
        <f>IFERROR(SUMIFS(Tabla1[Avance_km],Tabla1[Ducto],'R (s04)'!$B4,Tabla1[nombre_actividad],E$1,Tabla1[Sistema],"BUENAVISTA")/$C4,0)</f>
        <v>1</v>
      </c>
      <c r="F4" s="79">
        <f>IFERROR(SUMIFS(Tabla1[Avance_km],Tabla1[Ducto],'R (s04)'!$B4,Tabla1[nombre_actividad],F$1,Tabla1[Sistema],"BUENAVISTA")/$C4,0)</f>
        <v>1</v>
      </c>
      <c r="G4" s="79">
        <f>IFERROR(SUMIFS(Tabla1[Avance_Med],Tabla1[Ducto],'R (s04)'!$B4,Tabla1[nombre_actividad],G$1)/(1),0)</f>
        <v>1</v>
      </c>
      <c r="H4" s="79"/>
      <c r="I4" s="79"/>
      <c r="J4" s="142">
        <f>IFERROR(SUMIFS(Tabla1[Avance_Med],Tabla1[Ducto],$B4,Tabla1[nombre_actividad],G$1),0)</f>
        <v>1</v>
      </c>
    </row>
    <row r="5" spans="1:19" ht="26.25" x14ac:dyDescent="0.25">
      <c r="A5" s="34" t="s">
        <v>351</v>
      </c>
      <c r="B5" s="177" t="s">
        <v>361</v>
      </c>
      <c r="C5" s="110">
        <v>7.0000000000000001E-3</v>
      </c>
      <c r="D5" s="79">
        <f>IFERROR(SUMIFS(Tabla1[Avance_km],Tabla1[Ducto],'R (s04)'!$B5,Tabla1[nombre_actividad],D$1,Tabla1[Sistema],"BUENAVISTA")/$C5,0)</f>
        <v>1</v>
      </c>
      <c r="E5" s="79">
        <f>IFERROR(SUMIFS(Tabla1[Avance_km],Tabla1[Ducto],'R (s04)'!$B5,Tabla1[nombre_actividad],E$1,Tabla1[Sistema],"BUENAVISTA")/$C5,0)</f>
        <v>1</v>
      </c>
      <c r="F5" s="79">
        <f>IFERROR(SUMIFS(Tabla1[Avance_km],Tabla1[Ducto],'R (s04)'!$B5,Tabla1[nombre_actividad],F$1,Tabla1[Sistema],"BUENAVISTA")/$C5,0)</f>
        <v>1</v>
      </c>
      <c r="G5" s="79">
        <f>IFERROR(SUMIFS(Tabla1[Avance_Med],Tabla1[Ducto],'R (s04)'!$B5,Tabla1[nombre_actividad],G$1)/(1),0)</f>
        <v>1</v>
      </c>
      <c r="H5" s="79"/>
      <c r="I5" s="79"/>
      <c r="J5" s="142">
        <f>IFERROR(SUMIFS(Tabla1[Avance_Med],Tabla1[Ducto],$B5,Tabla1[nombre_actividad],G$1),0)</f>
        <v>1</v>
      </c>
    </row>
    <row r="6" spans="1:19" ht="26.25" x14ac:dyDescent="0.25">
      <c r="A6" s="34" t="s">
        <v>351</v>
      </c>
      <c r="B6" s="177" t="s">
        <v>351</v>
      </c>
      <c r="C6" s="110">
        <v>47.596499999999999</v>
      </c>
      <c r="D6" s="79">
        <f>IFERROR(SUMIFS(Tabla1[Avance_km],Tabla1[Ducto],'R (s04)'!$B6,Tabla1[nombre_actividad],D$1,Tabla1[Sistema],"BUENAVISTA")/$C6,0)</f>
        <v>0.67691952139337985</v>
      </c>
      <c r="E6" s="79">
        <f>IFERROR(SUMIFS(Tabla1[Avance_km],Tabla1[Ducto],'R (s04)'!$B6,Tabla1[nombre_actividad],E$1,Tabla1[Sistema],"BUENAVISTA")/$C6,0)</f>
        <v>0.68813883373777485</v>
      </c>
      <c r="F6" s="422" t="s">
        <v>506</v>
      </c>
      <c r="G6" s="422" t="s">
        <v>506</v>
      </c>
      <c r="H6" s="79"/>
      <c r="I6" s="79"/>
      <c r="J6" s="142"/>
      <c r="K6" s="1">
        <f>+E6*C6*1000</f>
        <v>32753</v>
      </c>
    </row>
    <row r="8" spans="1:19" x14ac:dyDescent="0.25">
      <c r="D8" s="76" t="s">
        <v>647</v>
      </c>
      <c r="E8" s="76" t="s">
        <v>647</v>
      </c>
    </row>
    <row r="9" spans="1:19" x14ac:dyDescent="0.25">
      <c r="D9" s="564">
        <f>+C6*(1-D6)</f>
        <v>15.377499999999996</v>
      </c>
      <c r="E9" s="564">
        <f>+C6*(1-E6)</f>
        <v>14.843499999999999</v>
      </c>
    </row>
    <row r="10" spans="1:19" ht="15.75" thickBot="1" x14ac:dyDescent="0.3">
      <c r="E10" s="564"/>
    </row>
    <row r="11" spans="1:19" x14ac:dyDescent="0.25">
      <c r="A11" s="26" t="s">
        <v>16</v>
      </c>
      <c r="B11" s="26"/>
      <c r="C11"/>
      <c r="E11" s="26" t="s">
        <v>28</v>
      </c>
      <c r="F11" s="26"/>
      <c r="J11" s="423"/>
      <c r="K11" s="33" t="s">
        <v>2</v>
      </c>
      <c r="L11" s="426" t="s">
        <v>528</v>
      </c>
      <c r="M11" s="450"/>
      <c r="N11" s="593" t="s">
        <v>533</v>
      </c>
      <c r="O11" s="594"/>
      <c r="P11" s="595"/>
    </row>
    <row r="12" spans="1:19" x14ac:dyDescent="0.25">
      <c r="A12" s="26" t="s">
        <v>351</v>
      </c>
      <c r="B12" s="26"/>
      <c r="C12"/>
      <c r="E12" s="26" t="s">
        <v>351</v>
      </c>
      <c r="F12" s="26"/>
      <c r="J12" s="495" t="s">
        <v>211</v>
      </c>
      <c r="K12" s="467" t="s">
        <v>532</v>
      </c>
      <c r="L12" s="467" t="s">
        <v>504</v>
      </c>
      <c r="M12" s="468">
        <v>1</v>
      </c>
      <c r="N12" s="494" t="s">
        <v>526</v>
      </c>
      <c r="O12" s="471"/>
      <c r="P12" s="472"/>
      <c r="Q12" s="352">
        <v>0</v>
      </c>
    </row>
    <row r="13" spans="1:19" x14ac:dyDescent="0.25">
      <c r="A13" s="451" cm="1">
        <f t="array" ref="A13:C30">_xlfn._xlws.SORT(_xlfn._xlws.FILTER(_xlfn._xlws.FILTER(Tabla1[],(Tabla1[Ducto]=A12)*(Tabla1[Actividades]=A11),),{1,0,0,0,0,1,1,0,0,0,0,0,0,0}),2,1)</f>
        <v>46249</v>
      </c>
      <c r="B13" s="352">
        <v>0</v>
      </c>
      <c r="C13" s="352">
        <v>845</v>
      </c>
      <c r="D13" t="str">
        <f>+IF(C12=B13,"OK","rev")</f>
        <v>OK</v>
      </c>
      <c r="E13" s="451" cm="1">
        <f t="array" ref="E13:G35">_xlfn._xlws.SORT(_xlfn._xlws.FILTER(_xlfn._xlws.FILTER(Tabla1[],(Tabla1[Ducto]=E12)*(Tabla1[Actividades]=E11),),{1,0,0,0,0,1,1,0,0,0,0,0,0,0}),2,1)</f>
        <v>46252</v>
      </c>
      <c r="F13" s="352">
        <v>0</v>
      </c>
      <c r="G13" s="352">
        <v>2981</v>
      </c>
      <c r="H13" t="str">
        <f t="shared" ref="H13:H35" si="0">+IF(G12=F13,"OK","rev")</f>
        <v>OK</v>
      </c>
      <c r="J13" s="495" t="s">
        <v>352</v>
      </c>
      <c r="K13" s="467" t="s">
        <v>351</v>
      </c>
      <c r="L13" s="467" t="s">
        <v>359</v>
      </c>
      <c r="M13" s="468">
        <v>3</v>
      </c>
      <c r="N13" s="469" t="s">
        <v>526</v>
      </c>
      <c r="O13" s="467" t="s">
        <v>527</v>
      </c>
      <c r="P13" s="470" t="s">
        <v>525</v>
      </c>
      <c r="Q13" s="352">
        <v>0</v>
      </c>
      <c r="R13" s="352">
        <v>400</v>
      </c>
      <c r="S13" s="352">
        <v>875</v>
      </c>
    </row>
    <row r="14" spans="1:19" x14ac:dyDescent="0.25">
      <c r="A14" s="451">
        <v>46250</v>
      </c>
      <c r="B14" s="352">
        <v>845</v>
      </c>
      <c r="C14" s="352">
        <v>1920</v>
      </c>
      <c r="D14" t="str">
        <f t="shared" ref="D14:D30" si="1">+IF(C13=B14,"OK","rev")</f>
        <v>OK</v>
      </c>
      <c r="E14" s="451">
        <v>46254</v>
      </c>
      <c r="F14" s="352">
        <v>2981</v>
      </c>
      <c r="G14" s="352">
        <v>4939</v>
      </c>
      <c r="H14" t="str">
        <f t="shared" si="0"/>
        <v>OK</v>
      </c>
      <c r="J14" s="495" t="s">
        <v>352</v>
      </c>
      <c r="K14" s="467" t="s">
        <v>351</v>
      </c>
      <c r="L14" s="467" t="s">
        <v>360</v>
      </c>
      <c r="M14" s="468">
        <v>1</v>
      </c>
      <c r="N14" s="469" t="s">
        <v>525</v>
      </c>
      <c r="O14" s="471"/>
      <c r="P14" s="472"/>
      <c r="Q14" s="352">
        <v>160</v>
      </c>
      <c r="R14" s="352"/>
      <c r="S14" s="352"/>
    </row>
    <row r="15" spans="1:19" x14ac:dyDescent="0.25">
      <c r="A15" s="451">
        <v>46251</v>
      </c>
      <c r="B15" s="352">
        <v>1920</v>
      </c>
      <c r="C15" s="352">
        <v>4300</v>
      </c>
      <c r="D15" t="str">
        <f t="shared" si="1"/>
        <v>OK</v>
      </c>
      <c r="E15" s="451">
        <v>46255</v>
      </c>
      <c r="F15" s="352">
        <v>4939</v>
      </c>
      <c r="G15" s="352">
        <v>7540</v>
      </c>
      <c r="H15" t="str">
        <f t="shared" si="0"/>
        <v>OK</v>
      </c>
      <c r="J15" s="495" t="s">
        <v>352</v>
      </c>
      <c r="K15" s="467" t="s">
        <v>351</v>
      </c>
      <c r="L15" s="467" t="s">
        <v>361</v>
      </c>
      <c r="M15" s="468">
        <v>1</v>
      </c>
      <c r="N15" s="469" t="s">
        <v>526</v>
      </c>
      <c r="O15" s="471"/>
      <c r="P15" s="472"/>
      <c r="Q15" s="352">
        <v>6</v>
      </c>
      <c r="R15" s="352"/>
      <c r="S15" s="352"/>
    </row>
    <row r="16" spans="1:19" x14ac:dyDescent="0.25">
      <c r="A16" s="451">
        <v>46253</v>
      </c>
      <c r="B16" s="352">
        <v>4300</v>
      </c>
      <c r="C16" s="352">
        <v>5320</v>
      </c>
      <c r="D16" t="str">
        <f t="shared" si="1"/>
        <v>OK</v>
      </c>
      <c r="E16" s="451">
        <v>46267</v>
      </c>
      <c r="F16" s="352">
        <v>7540</v>
      </c>
      <c r="G16" s="352">
        <v>9340</v>
      </c>
      <c r="H16" t="str">
        <f t="shared" si="0"/>
        <v>OK</v>
      </c>
      <c r="J16" s="466" t="s">
        <v>380</v>
      </c>
      <c r="K16" s="467" t="s">
        <v>379</v>
      </c>
      <c r="L16" s="467" t="s">
        <v>367</v>
      </c>
      <c r="M16" s="468">
        <v>1</v>
      </c>
      <c r="N16" s="469" t="s">
        <v>526</v>
      </c>
      <c r="O16" s="471"/>
      <c r="P16" s="472"/>
      <c r="Q16" s="352">
        <v>0</v>
      </c>
      <c r="R16" s="352"/>
      <c r="S16" s="352"/>
    </row>
    <row r="17" spans="1:19" x14ac:dyDescent="0.25">
      <c r="A17" s="451">
        <v>46255</v>
      </c>
      <c r="B17" s="352">
        <v>5320</v>
      </c>
      <c r="C17" s="352">
        <v>5930</v>
      </c>
      <c r="D17" t="str">
        <f t="shared" si="1"/>
        <v>OK</v>
      </c>
      <c r="E17" s="451">
        <v>46268</v>
      </c>
      <c r="F17" s="352">
        <v>9340</v>
      </c>
      <c r="G17" s="352">
        <v>10693</v>
      </c>
      <c r="H17" t="str">
        <f t="shared" si="0"/>
        <v>OK</v>
      </c>
      <c r="J17" s="466" t="s">
        <v>380</v>
      </c>
      <c r="K17" s="467" t="s">
        <v>379</v>
      </c>
      <c r="L17" s="467" t="s">
        <v>368</v>
      </c>
      <c r="M17" s="468">
        <v>1</v>
      </c>
      <c r="N17" s="469" t="s">
        <v>526</v>
      </c>
      <c r="O17" s="471"/>
      <c r="P17" s="472"/>
      <c r="Q17" s="352">
        <v>0</v>
      </c>
      <c r="R17" s="352"/>
      <c r="S17" s="352"/>
    </row>
    <row r="18" spans="1:19" x14ac:dyDescent="0.25">
      <c r="A18" s="451">
        <v>46253</v>
      </c>
      <c r="B18" s="352">
        <v>5930</v>
      </c>
      <c r="C18" s="352">
        <v>7540</v>
      </c>
      <c r="D18" t="str">
        <f t="shared" si="1"/>
        <v>OK</v>
      </c>
      <c r="E18" s="451">
        <v>46272</v>
      </c>
      <c r="F18" s="352">
        <v>10693</v>
      </c>
      <c r="G18" s="352">
        <v>11425</v>
      </c>
      <c r="H18" t="str">
        <f t="shared" si="0"/>
        <v>OK</v>
      </c>
      <c r="J18" s="466" t="s">
        <v>380</v>
      </c>
      <c r="K18" s="467" t="s">
        <v>379</v>
      </c>
      <c r="L18" s="467" t="s">
        <v>369</v>
      </c>
      <c r="M18" s="468">
        <v>1</v>
      </c>
      <c r="N18" s="469" t="s">
        <v>526</v>
      </c>
      <c r="O18" s="471"/>
      <c r="P18" s="472"/>
      <c r="Q18" s="352">
        <v>0</v>
      </c>
      <c r="R18" s="352"/>
      <c r="S18" s="352"/>
    </row>
    <row r="19" spans="1:19" x14ac:dyDescent="0.25">
      <c r="A19" s="451">
        <v>46256</v>
      </c>
      <c r="B19" s="352">
        <v>7540</v>
      </c>
      <c r="C19" s="352">
        <v>8040</v>
      </c>
      <c r="D19" t="str">
        <f t="shared" si="1"/>
        <v>OK</v>
      </c>
      <c r="E19" s="451">
        <v>46274</v>
      </c>
      <c r="F19" s="352">
        <v>11425</v>
      </c>
      <c r="G19" s="352">
        <v>12133</v>
      </c>
      <c r="H19" t="str">
        <f t="shared" si="0"/>
        <v>OK</v>
      </c>
      <c r="J19" s="466" t="s">
        <v>380</v>
      </c>
      <c r="K19" s="467" t="s">
        <v>379</v>
      </c>
      <c r="L19" s="467" t="s">
        <v>370</v>
      </c>
      <c r="M19" s="468">
        <v>1</v>
      </c>
      <c r="N19" s="469" t="s">
        <v>526</v>
      </c>
      <c r="O19" s="471"/>
      <c r="P19" s="472"/>
      <c r="Q19" s="352">
        <v>0</v>
      </c>
      <c r="R19" s="352"/>
      <c r="S19" s="352"/>
    </row>
    <row r="20" spans="1:19" x14ac:dyDescent="0.25">
      <c r="A20" s="451">
        <v>46258</v>
      </c>
      <c r="B20" s="352">
        <v>8040</v>
      </c>
      <c r="C20" s="352">
        <v>8720</v>
      </c>
      <c r="D20" t="str">
        <f t="shared" si="1"/>
        <v>OK</v>
      </c>
      <c r="E20" s="451">
        <v>46273</v>
      </c>
      <c r="F20" s="352">
        <v>12133</v>
      </c>
      <c r="G20" s="352">
        <v>14014</v>
      </c>
      <c r="H20" t="str">
        <f t="shared" si="0"/>
        <v>OK</v>
      </c>
      <c r="J20" s="466" t="s">
        <v>380</v>
      </c>
      <c r="K20" s="467" t="s">
        <v>379</v>
      </c>
      <c r="L20" s="467" t="s">
        <v>371</v>
      </c>
      <c r="M20" s="468">
        <v>1</v>
      </c>
      <c r="N20" s="469" t="s">
        <v>526</v>
      </c>
      <c r="O20" s="471"/>
      <c r="P20" s="472"/>
      <c r="Q20" s="352">
        <v>0</v>
      </c>
      <c r="R20" s="352"/>
      <c r="S20" s="352"/>
    </row>
    <row r="21" spans="1:19" x14ac:dyDescent="0.25">
      <c r="A21" s="451">
        <v>46256</v>
      </c>
      <c r="B21" s="352">
        <v>8720</v>
      </c>
      <c r="C21" s="352">
        <v>9070</v>
      </c>
      <c r="D21" t="str">
        <f t="shared" si="1"/>
        <v>OK</v>
      </c>
      <c r="E21" s="451">
        <v>46274</v>
      </c>
      <c r="F21" s="352">
        <v>14014</v>
      </c>
      <c r="G21" s="352">
        <v>14439</v>
      </c>
      <c r="H21" t="str">
        <f t="shared" si="0"/>
        <v>OK</v>
      </c>
      <c r="J21" s="466" t="s">
        <v>380</v>
      </c>
      <c r="K21" s="467" t="s">
        <v>379</v>
      </c>
      <c r="L21" s="467" t="s">
        <v>372</v>
      </c>
      <c r="M21" s="468">
        <v>1</v>
      </c>
      <c r="N21" s="469" t="s">
        <v>526</v>
      </c>
      <c r="O21" s="471"/>
      <c r="P21" s="472"/>
      <c r="Q21" s="352">
        <v>0</v>
      </c>
      <c r="R21" s="352"/>
      <c r="S21" s="352"/>
    </row>
    <row r="22" spans="1:19" x14ac:dyDescent="0.25">
      <c r="A22" s="451">
        <v>46258</v>
      </c>
      <c r="B22" s="352">
        <v>9070</v>
      </c>
      <c r="C22" s="352">
        <v>10000</v>
      </c>
      <c r="D22" t="str">
        <f t="shared" si="1"/>
        <v>OK</v>
      </c>
      <c r="E22" s="451">
        <v>46279</v>
      </c>
      <c r="F22" s="352">
        <v>14439</v>
      </c>
      <c r="G22" s="352">
        <v>15132</v>
      </c>
      <c r="H22" t="str">
        <f t="shared" si="0"/>
        <v>OK</v>
      </c>
      <c r="J22" s="466" t="s">
        <v>380</v>
      </c>
      <c r="K22" s="467" t="s">
        <v>379</v>
      </c>
      <c r="L22" s="467" t="s">
        <v>373</v>
      </c>
      <c r="M22" s="468">
        <v>1</v>
      </c>
      <c r="N22" s="469" t="s">
        <v>526</v>
      </c>
      <c r="O22" s="471"/>
      <c r="P22" s="472"/>
      <c r="Q22" s="352">
        <v>0</v>
      </c>
      <c r="R22" s="352"/>
      <c r="S22" s="352"/>
    </row>
    <row r="23" spans="1:19" x14ac:dyDescent="0.25">
      <c r="A23" s="451">
        <v>46265</v>
      </c>
      <c r="B23" s="352">
        <v>10000</v>
      </c>
      <c r="C23" s="352">
        <v>10800</v>
      </c>
      <c r="D23" t="str">
        <f t="shared" si="1"/>
        <v>OK</v>
      </c>
      <c r="E23" s="451">
        <v>46276</v>
      </c>
      <c r="F23" s="352">
        <v>15132</v>
      </c>
      <c r="G23" s="352">
        <v>15700</v>
      </c>
      <c r="H23" t="str">
        <f t="shared" si="0"/>
        <v>OK</v>
      </c>
      <c r="J23" s="466" t="s">
        <v>380</v>
      </c>
      <c r="K23" s="467" t="s">
        <v>379</v>
      </c>
      <c r="L23" s="467" t="s">
        <v>374</v>
      </c>
      <c r="M23" s="468">
        <v>2</v>
      </c>
      <c r="N23" s="469" t="s">
        <v>526</v>
      </c>
      <c r="O23" s="467" t="s">
        <v>525</v>
      </c>
      <c r="P23" s="472"/>
      <c r="Q23" s="352">
        <v>0</v>
      </c>
      <c r="R23" s="352">
        <v>608</v>
      </c>
      <c r="S23" s="352"/>
    </row>
    <row r="24" spans="1:19" x14ac:dyDescent="0.25">
      <c r="A24" s="451">
        <v>46262</v>
      </c>
      <c r="B24" s="352">
        <v>10800</v>
      </c>
      <c r="C24" s="352">
        <v>12149</v>
      </c>
      <c r="D24" t="str">
        <f t="shared" si="1"/>
        <v>OK</v>
      </c>
      <c r="E24" s="451">
        <v>46276</v>
      </c>
      <c r="F24" s="352">
        <v>15700</v>
      </c>
      <c r="G24" s="352">
        <v>16914</v>
      </c>
      <c r="H24" t="str">
        <f t="shared" si="0"/>
        <v>OK</v>
      </c>
      <c r="J24" s="466" t="s">
        <v>380</v>
      </c>
      <c r="K24" s="467" t="s">
        <v>379</v>
      </c>
      <c r="L24" s="467" t="s">
        <v>375</v>
      </c>
      <c r="M24" s="468">
        <v>1</v>
      </c>
      <c r="N24" s="469" t="s">
        <v>526</v>
      </c>
      <c r="O24" s="471"/>
      <c r="P24" s="472"/>
      <c r="Q24" s="352">
        <v>0</v>
      </c>
      <c r="R24" s="352"/>
      <c r="S24" s="352"/>
    </row>
    <row r="25" spans="1:19" x14ac:dyDescent="0.25">
      <c r="A25" s="451">
        <v>46266</v>
      </c>
      <c r="B25" s="352">
        <v>12149</v>
      </c>
      <c r="C25" s="352">
        <v>16914</v>
      </c>
      <c r="D25" t="str">
        <f t="shared" si="1"/>
        <v>OK</v>
      </c>
      <c r="E25" s="451">
        <v>46277</v>
      </c>
      <c r="F25" s="352">
        <v>16914</v>
      </c>
      <c r="G25" s="352">
        <v>18260</v>
      </c>
      <c r="H25" t="str">
        <f t="shared" si="0"/>
        <v>OK</v>
      </c>
      <c r="J25" s="466" t="s">
        <v>380</v>
      </c>
      <c r="K25" s="467" t="s">
        <v>379</v>
      </c>
      <c r="L25" s="467" t="s">
        <v>376</v>
      </c>
      <c r="M25" s="468">
        <v>1</v>
      </c>
      <c r="N25" s="469" t="s">
        <v>526</v>
      </c>
      <c r="O25" s="471"/>
      <c r="P25" s="472"/>
      <c r="Q25" s="352">
        <v>0</v>
      </c>
      <c r="R25" s="352"/>
      <c r="S25" s="352"/>
    </row>
    <row r="26" spans="1:19" x14ac:dyDescent="0.25">
      <c r="A26" s="451">
        <v>46275</v>
      </c>
      <c r="B26" s="352">
        <v>16914</v>
      </c>
      <c r="C26" s="352">
        <v>18260</v>
      </c>
      <c r="D26" t="str">
        <f t="shared" si="1"/>
        <v>OK</v>
      </c>
      <c r="E26" s="451">
        <v>46296</v>
      </c>
      <c r="F26" s="352">
        <v>18260</v>
      </c>
      <c r="G26" s="352">
        <v>19823</v>
      </c>
      <c r="H26" t="str">
        <f t="shared" si="0"/>
        <v>OK</v>
      </c>
      <c r="J26" s="466" t="s">
        <v>380</v>
      </c>
      <c r="K26" s="467" t="s">
        <v>379</v>
      </c>
      <c r="L26" s="467" t="s">
        <v>377</v>
      </c>
      <c r="M26" s="468">
        <v>2</v>
      </c>
      <c r="N26" s="469" t="s">
        <v>526</v>
      </c>
      <c r="O26" s="467" t="s">
        <v>525</v>
      </c>
      <c r="P26" s="472"/>
      <c r="Q26" s="352">
        <v>0</v>
      </c>
      <c r="R26" s="352">
        <v>623</v>
      </c>
      <c r="S26" s="352"/>
    </row>
    <row r="27" spans="1:19" ht="15.75" thickBot="1" x14ac:dyDescent="0.3">
      <c r="A27" s="451">
        <v>46280</v>
      </c>
      <c r="B27" s="352">
        <v>18260</v>
      </c>
      <c r="C27" s="352">
        <v>22600</v>
      </c>
      <c r="D27" t="str">
        <f t="shared" si="1"/>
        <v>OK</v>
      </c>
      <c r="E27" s="451">
        <v>46297</v>
      </c>
      <c r="F27" s="352">
        <v>19823</v>
      </c>
      <c r="G27" s="352">
        <v>22225</v>
      </c>
      <c r="H27" t="str">
        <f t="shared" si="0"/>
        <v>OK</v>
      </c>
      <c r="J27" s="466" t="s">
        <v>380</v>
      </c>
      <c r="K27" s="467" t="s">
        <v>379</v>
      </c>
      <c r="L27" s="467" t="s">
        <v>378</v>
      </c>
      <c r="M27" s="468">
        <v>1</v>
      </c>
      <c r="N27" s="490" t="s">
        <v>526</v>
      </c>
      <c r="O27" s="491"/>
      <c r="P27" s="492"/>
      <c r="Q27" s="352">
        <v>0</v>
      </c>
      <c r="R27" s="352"/>
      <c r="S27" s="352"/>
    </row>
    <row r="28" spans="1:19" x14ac:dyDescent="0.25">
      <c r="A28" s="451">
        <v>46293</v>
      </c>
      <c r="B28" s="352">
        <v>22600</v>
      </c>
      <c r="C28" s="352">
        <v>25600</v>
      </c>
      <c r="D28" t="str">
        <f t="shared" si="1"/>
        <v>OK</v>
      </c>
      <c r="E28" s="451">
        <v>46300</v>
      </c>
      <c r="F28" s="352">
        <v>22225</v>
      </c>
      <c r="G28" s="352">
        <v>23139</v>
      </c>
      <c r="H28" t="str">
        <f t="shared" si="0"/>
        <v>OK</v>
      </c>
      <c r="M28" s="427">
        <f>SUM(M12:M27)</f>
        <v>20</v>
      </c>
    </row>
    <row r="29" spans="1:19" x14ac:dyDescent="0.25">
      <c r="A29" s="451">
        <v>46294</v>
      </c>
      <c r="B29" s="352">
        <v>25600</v>
      </c>
      <c r="C29" s="352">
        <v>30250</v>
      </c>
      <c r="D29" t="str">
        <f t="shared" si="1"/>
        <v>OK</v>
      </c>
      <c r="E29" s="451">
        <v>46309</v>
      </c>
      <c r="F29" s="352">
        <v>23139</v>
      </c>
      <c r="G29" s="352">
        <v>23379</v>
      </c>
      <c r="H29" t="str">
        <f t="shared" si="0"/>
        <v>OK</v>
      </c>
      <c r="J29" s="26"/>
      <c r="K29" s="26"/>
      <c r="M29"/>
    </row>
    <row r="30" spans="1:19" x14ac:dyDescent="0.25">
      <c r="A30" s="451">
        <v>46295</v>
      </c>
      <c r="B30" s="352">
        <v>30250</v>
      </c>
      <c r="C30" s="352">
        <v>32219</v>
      </c>
      <c r="D30" t="str">
        <f t="shared" si="1"/>
        <v>OK</v>
      </c>
      <c r="E30" s="451">
        <v>46312</v>
      </c>
      <c r="F30" s="352">
        <v>23379</v>
      </c>
      <c r="G30" s="352">
        <v>24265</v>
      </c>
      <c r="H30" t="str">
        <f t="shared" si="0"/>
        <v>OK</v>
      </c>
      <c r="J30" s="26"/>
      <c r="K30" s="26"/>
      <c r="M30"/>
    </row>
    <row r="31" spans="1:19" x14ac:dyDescent="0.25">
      <c r="E31" s="451">
        <v>46309</v>
      </c>
      <c r="F31" s="352">
        <v>24265</v>
      </c>
      <c r="G31" s="352">
        <v>25250</v>
      </c>
      <c r="H31" t="str">
        <f t="shared" si="0"/>
        <v>OK</v>
      </c>
      <c r="J31" s="451"/>
      <c r="K31" s="352"/>
      <c r="L31" s="352"/>
      <c r="M31"/>
    </row>
    <row r="32" spans="1:19" x14ac:dyDescent="0.25">
      <c r="E32" s="451">
        <v>46310</v>
      </c>
      <c r="F32" s="352">
        <v>25250</v>
      </c>
      <c r="G32" s="352">
        <v>27936</v>
      </c>
      <c r="H32" t="str">
        <f t="shared" si="0"/>
        <v>OK</v>
      </c>
      <c r="J32" s="451"/>
      <c r="K32" s="352"/>
      <c r="L32" s="352"/>
      <c r="M32"/>
    </row>
    <row r="33" spans="4:13" x14ac:dyDescent="0.25">
      <c r="E33" s="451">
        <v>46311</v>
      </c>
      <c r="F33" s="352">
        <v>27936</v>
      </c>
      <c r="G33" s="352">
        <v>30728</v>
      </c>
      <c r="H33" t="str">
        <f t="shared" si="0"/>
        <v>OK</v>
      </c>
      <c r="J33" s="451"/>
      <c r="K33" s="352"/>
      <c r="L33" s="352"/>
      <c r="M33"/>
    </row>
    <row r="34" spans="4:13" x14ac:dyDescent="0.25">
      <c r="E34" s="451">
        <v>46312</v>
      </c>
      <c r="F34" s="352">
        <v>30728</v>
      </c>
      <c r="G34" s="352">
        <v>31253</v>
      </c>
      <c r="H34" t="str">
        <f t="shared" si="0"/>
        <v>OK</v>
      </c>
      <c r="J34" s="451"/>
      <c r="K34" s="352"/>
      <c r="L34" s="352"/>
      <c r="M34"/>
    </row>
    <row r="35" spans="4:13" x14ac:dyDescent="0.25">
      <c r="E35" s="451">
        <v>46319</v>
      </c>
      <c r="F35" s="352">
        <v>32219</v>
      </c>
      <c r="G35" s="352">
        <v>33719</v>
      </c>
      <c r="H35" t="str">
        <f t="shared" si="0"/>
        <v>rev</v>
      </c>
      <c r="J35" s="451"/>
      <c r="K35" s="352"/>
      <c r="L35" s="352"/>
      <c r="M35"/>
    </row>
    <row r="36" spans="4:13" x14ac:dyDescent="0.25">
      <c r="E36" s="451"/>
      <c r="F36" s="352"/>
      <c r="G36" s="352"/>
      <c r="J36" s="451"/>
      <c r="K36" s="352"/>
      <c r="L36" s="352"/>
      <c r="M36"/>
    </row>
    <row r="37" spans="4:13" x14ac:dyDescent="0.25">
      <c r="E37" s="451"/>
      <c r="F37" s="352"/>
      <c r="G37" s="352"/>
      <c r="J37" s="451"/>
      <c r="K37" s="352"/>
      <c r="L37" s="352"/>
      <c r="M37"/>
    </row>
    <row r="38" spans="4:13" x14ac:dyDescent="0.25">
      <c r="E38" s="451"/>
      <c r="F38" s="352"/>
      <c r="G38" s="352"/>
      <c r="J38" s="451"/>
      <c r="K38" s="352"/>
      <c r="L38" s="352"/>
      <c r="M38"/>
    </row>
    <row r="39" spans="4:13" x14ac:dyDescent="0.25">
      <c r="E39" s="451"/>
      <c r="F39" s="352"/>
      <c r="G39" s="352"/>
      <c r="J39" s="451"/>
      <c r="K39" s="352"/>
      <c r="L39" s="352"/>
      <c r="M39"/>
    </row>
    <row r="40" spans="4:13" x14ac:dyDescent="0.25">
      <c r="E40" s="451"/>
      <c r="F40" s="352"/>
      <c r="G40" s="352"/>
      <c r="J40" s="451"/>
      <c r="K40" s="352"/>
      <c r="L40" s="352"/>
      <c r="M40"/>
    </row>
    <row r="41" spans="4:13" x14ac:dyDescent="0.25">
      <c r="D41" s="26"/>
      <c r="E41" s="451"/>
      <c r="F41" s="352"/>
      <c r="G41" s="352"/>
      <c r="J41" s="451"/>
      <c r="K41" s="352"/>
      <c r="L41" s="352"/>
      <c r="M41"/>
    </row>
    <row r="42" spans="4:13" x14ac:dyDescent="0.25">
      <c r="D42" s="26"/>
      <c r="E42" s="451"/>
      <c r="F42" s="352"/>
      <c r="G42" s="352"/>
      <c r="J42" s="451"/>
      <c r="K42" s="352"/>
      <c r="L42" s="352"/>
      <c r="M42"/>
    </row>
    <row r="43" spans="4:13" x14ac:dyDescent="0.25">
      <c r="D43" s="451"/>
      <c r="E43" s="451"/>
      <c r="F43" s="352"/>
      <c r="G43" s="352"/>
      <c r="J43" s="451"/>
      <c r="K43" s="352"/>
      <c r="L43" s="352"/>
      <c r="M43"/>
    </row>
    <row r="44" spans="4:13" x14ac:dyDescent="0.25">
      <c r="D44" s="451"/>
      <c r="E44" s="451"/>
      <c r="F44" s="352"/>
      <c r="G44" s="352"/>
      <c r="J44" s="451"/>
      <c r="K44" s="352"/>
      <c r="L44" s="352"/>
      <c r="M44"/>
    </row>
    <row r="45" spans="4:13" x14ac:dyDescent="0.25">
      <c r="D45" s="451"/>
      <c r="E45" s="451"/>
      <c r="F45" s="352"/>
      <c r="G45" s="352"/>
      <c r="J45" s="451"/>
      <c r="K45" s="352"/>
      <c r="L45" s="352"/>
      <c r="M45"/>
    </row>
    <row r="46" spans="4:13" x14ac:dyDescent="0.25">
      <c r="D46" s="451"/>
      <c r="E46" s="451"/>
      <c r="F46" s="352"/>
      <c r="G46" s="352"/>
      <c r="J46" s="451"/>
      <c r="K46" s="352"/>
      <c r="L46" s="352"/>
      <c r="M46"/>
    </row>
    <row r="47" spans="4:13" x14ac:dyDescent="0.25">
      <c r="D47" s="451"/>
      <c r="E47" s="451"/>
      <c r="F47" s="352"/>
      <c r="G47" s="352"/>
      <c r="J47" s="451"/>
      <c r="K47" s="352"/>
      <c r="L47" s="352"/>
      <c r="M47"/>
    </row>
    <row r="48" spans="4:13" x14ac:dyDescent="0.25">
      <c r="D48" s="451"/>
      <c r="E48" s="451"/>
      <c r="F48" s="352"/>
      <c r="G48" s="352"/>
      <c r="J48" s="451"/>
      <c r="K48" s="352"/>
      <c r="L48" s="352"/>
      <c r="M48"/>
    </row>
    <row r="49" spans="4:6" x14ac:dyDescent="0.25">
      <c r="D49" s="451"/>
      <c r="E49" s="352"/>
      <c r="F49" s="352"/>
    </row>
    <row r="50" spans="4:6" x14ac:dyDescent="0.25">
      <c r="D50" s="451"/>
      <c r="E50" s="352"/>
      <c r="F50" s="352"/>
    </row>
    <row r="51" spans="4:6" x14ac:dyDescent="0.25">
      <c r="D51" s="451"/>
      <c r="E51" s="352"/>
      <c r="F51" s="352"/>
    </row>
    <row r="52" spans="4:6" x14ac:dyDescent="0.25">
      <c r="D52" s="451"/>
      <c r="E52" s="352"/>
      <c r="F52" s="352"/>
    </row>
    <row r="53" spans="4:6" x14ac:dyDescent="0.25">
      <c r="D53" s="451"/>
      <c r="E53" s="352"/>
      <c r="F53" s="352"/>
    </row>
    <row r="54" spans="4:6" x14ac:dyDescent="0.25">
      <c r="D54" s="451"/>
      <c r="E54" s="352"/>
      <c r="F54" s="352"/>
    </row>
    <row r="55" spans="4:6" x14ac:dyDescent="0.25">
      <c r="D55" s="451"/>
      <c r="E55" s="352"/>
      <c r="F55" s="352"/>
    </row>
    <row r="56" spans="4:6" x14ac:dyDescent="0.25">
      <c r="D56" s="451"/>
      <c r="E56" s="352"/>
      <c r="F56" s="352"/>
    </row>
    <row r="57" spans="4:6" x14ac:dyDescent="0.25">
      <c r="D57" s="451"/>
      <c r="E57" s="352"/>
      <c r="F57" s="352"/>
    </row>
    <row r="58" spans="4:6" x14ac:dyDescent="0.25">
      <c r="D58" s="451"/>
      <c r="E58" s="352"/>
      <c r="F58" s="352"/>
    </row>
    <row r="59" spans="4:6" x14ac:dyDescent="0.25">
      <c r="D59" s="451"/>
      <c r="E59" s="352"/>
      <c r="F59" s="352"/>
    </row>
    <row r="60" spans="4:6" x14ac:dyDescent="0.25">
      <c r="D60" s="451"/>
      <c r="E60" s="352"/>
      <c r="F60" s="352"/>
    </row>
    <row r="61" spans="4:6" x14ac:dyDescent="0.25">
      <c r="D61" s="451"/>
      <c r="E61" s="352"/>
      <c r="F61" s="352"/>
    </row>
    <row r="62" spans="4:6" x14ac:dyDescent="0.25">
      <c r="D62" s="451"/>
      <c r="E62" s="352"/>
      <c r="F62" s="352"/>
    </row>
    <row r="69" spans="11:11" x14ac:dyDescent="0.25">
      <c r="K69" s="27"/>
    </row>
  </sheetData>
  <autoFilter ref="A1:J2" xr:uid="{C8948F65-4684-470E-B215-D01090CD3B01}"/>
  <mergeCells count="1">
    <mergeCell ref="N11:P11"/>
  </mergeCells>
  <phoneticPr fontId="25" type="noConversion"/>
  <conditionalFormatting sqref="D2:F5 D6:E6">
    <cfRule type="dataBar" priority="10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{4724AC83-D68A-4BE5-B9A4-1F060B274EF6}</x14:id>
        </ext>
      </extLst>
    </cfRule>
  </conditionalFormatting>
  <conditionalFormatting sqref="F6">
    <cfRule type="dataBar" priority="2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{1AF7F601-D5A0-404D-8EB5-B872A5CDB38A}</x14:id>
        </ext>
      </extLst>
    </cfRule>
  </conditionalFormatting>
  <conditionalFormatting sqref="G2">
    <cfRule type="dataBar" priority="4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{0AF992E7-9E32-49AD-BE25-ECB71955D5CF}</x14:id>
        </ext>
      </extLst>
    </cfRule>
  </conditionalFormatting>
  <conditionalFormatting sqref="G3">
    <cfRule type="dataBar" priority="7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{43143AAA-F59D-4C7E-896F-2BDE28B60B56}</x14:id>
        </ext>
      </extLst>
    </cfRule>
  </conditionalFormatting>
  <conditionalFormatting sqref="G4:G6">
    <cfRule type="dataBar" priority="3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{37EE9887-A453-4829-8604-5286323771EC}</x14:id>
        </ext>
      </extLst>
    </cfRule>
  </conditionalFormatting>
  <conditionalFormatting sqref="H2:I2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{F69BD1FA-C53E-4330-9073-CB6798F28D17}</x14:id>
        </ext>
      </extLst>
    </cfRule>
  </conditionalFormatting>
  <conditionalFormatting sqref="H3:I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{63FA94E5-31CF-4460-9C5A-F8726B7F5B60}</x14:id>
        </ext>
      </extLst>
    </cfRule>
  </conditionalFormatting>
  <conditionalFormatting sqref="H6:I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{C1386665-41EC-4404-BCCF-D5AFFE95303D}</x14:id>
        </ext>
      </extLst>
    </cfRule>
  </conditionalFormatting>
  <pageMargins left="0.7" right="0.7" top="0.75" bottom="0.75" header="0.3" footer="0.3"/>
  <pageSetup paperSize="11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24AC83-D68A-4BE5-B9A4-1F060B274EF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D2:F5 D6:E6</xm:sqref>
        </x14:conditionalFormatting>
        <x14:conditionalFormatting xmlns:xm="http://schemas.microsoft.com/office/excel/2006/main">
          <x14:cfRule type="dataBar" id="{1AF7F601-D5A0-404D-8EB5-B872A5CDB38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F6</xm:sqref>
        </x14:conditionalFormatting>
        <x14:conditionalFormatting xmlns:xm="http://schemas.microsoft.com/office/excel/2006/main">
          <x14:cfRule type="dataBar" id="{0AF992E7-9E32-49AD-BE25-ECB71955D5C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G2</xm:sqref>
        </x14:conditionalFormatting>
        <x14:conditionalFormatting xmlns:xm="http://schemas.microsoft.com/office/excel/2006/main">
          <x14:cfRule type="dataBar" id="{43143AAA-F59D-4C7E-896F-2BDE28B60B5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G3</xm:sqref>
        </x14:conditionalFormatting>
        <x14:conditionalFormatting xmlns:xm="http://schemas.microsoft.com/office/excel/2006/main">
          <x14:cfRule type="dataBar" id="{37EE9887-A453-4829-8604-5286323771E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G4:G6</xm:sqref>
        </x14:conditionalFormatting>
        <x14:conditionalFormatting xmlns:xm="http://schemas.microsoft.com/office/excel/2006/main">
          <x14:cfRule type="dataBar" id="{F69BD1FA-C53E-4330-9073-CB6798F28D17}">
            <x14:dataBar minLength="0" maxLength="100" gradient="0">
              <x14:cfvo type="min"/>
              <x14:cfvo type="autoMax"/>
              <x14:negativeFillColor rgb="FFFF0000"/>
              <x14:axisColor rgb="FF000000"/>
            </x14:dataBar>
          </x14:cfRule>
          <xm:sqref>H2:I2</xm:sqref>
        </x14:conditionalFormatting>
        <x14:conditionalFormatting xmlns:xm="http://schemas.microsoft.com/office/excel/2006/main">
          <x14:cfRule type="dataBar" id="{63FA94E5-31CF-4460-9C5A-F8726B7F5B60}">
            <x14:dataBar minLength="0" maxLength="100" gradient="0">
              <x14:cfvo type="min"/>
              <x14:cfvo type="autoMax"/>
              <x14:negativeFillColor rgb="FFFF0000"/>
              <x14:axisColor rgb="FF000000"/>
            </x14:dataBar>
          </x14:cfRule>
          <xm:sqref>H3:I5</xm:sqref>
        </x14:conditionalFormatting>
        <x14:conditionalFormatting xmlns:xm="http://schemas.microsoft.com/office/excel/2006/main">
          <x14:cfRule type="dataBar" id="{C1386665-41EC-4404-BCCF-D5AFFE95303D}">
            <x14:dataBar minLength="0" maxLength="100" gradient="0">
              <x14:cfvo type="min"/>
              <x14:cfvo type="autoMax"/>
              <x14:negativeFillColor rgb="FFFF0000"/>
              <x14:axisColor rgb="FF000000"/>
            </x14:dataBar>
          </x14:cfRule>
          <xm:sqref>H6:I6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7A5C-A23A-4B78-B951-7B0B60CAA889}">
  <sheetPr codeName="Hoja25">
    <tabColor rgb="FF00B050"/>
  </sheetPr>
  <dimension ref="A1:M13"/>
  <sheetViews>
    <sheetView showGridLines="0" workbookViewId="0">
      <selection activeCell="C17" sqref="C17"/>
    </sheetView>
  </sheetViews>
  <sheetFormatPr baseColWidth="10" defaultColWidth="11.42578125" defaultRowHeight="15" outlineLevelCol="1" x14ac:dyDescent="0.25"/>
  <cols>
    <col min="1" max="1" width="35.42578125" bestFit="1" customWidth="1"/>
    <col min="2" max="2" width="27.5703125" bestFit="1" customWidth="1"/>
    <col min="3" max="3" width="8.5703125" style="26" bestFit="1" customWidth="1"/>
    <col min="4" max="4" width="16.7109375" bestFit="1" customWidth="1"/>
    <col min="5" max="6" width="16" customWidth="1"/>
    <col min="7" max="7" width="29" bestFit="1" customWidth="1"/>
    <col min="8" max="9" width="14.85546875" hidden="1" customWidth="1" outlineLevel="1"/>
    <col min="10" max="10" width="11.42578125" style="143" collapsed="1"/>
    <col min="11" max="11" width="7.28515625" style="1" customWidth="1"/>
    <col min="12" max="12" width="36.42578125" bestFit="1" customWidth="1"/>
    <col min="13" max="13" width="20.42578125" bestFit="1" customWidth="1"/>
    <col min="14" max="14" width="28.28515625" bestFit="1" customWidth="1"/>
  </cols>
  <sheetData>
    <row r="1" spans="1:13" s="1" customFormat="1" ht="30.75" customHeight="1" x14ac:dyDescent="0.25">
      <c r="A1" s="1" t="s">
        <v>2</v>
      </c>
      <c r="B1" s="33" t="s">
        <v>76</v>
      </c>
      <c r="C1" s="110" t="s">
        <v>77</v>
      </c>
      <c r="D1" s="33" t="s">
        <v>78</v>
      </c>
      <c r="E1" s="33" t="s">
        <v>79</v>
      </c>
      <c r="F1" s="33" t="s">
        <v>80</v>
      </c>
      <c r="G1" s="65" t="s">
        <v>81</v>
      </c>
      <c r="H1" s="33" t="s">
        <v>82</v>
      </c>
      <c r="I1" s="33" t="s">
        <v>83</v>
      </c>
      <c r="J1" s="141"/>
      <c r="L1"/>
    </row>
    <row r="2" spans="1:13" ht="26.25" x14ac:dyDescent="0.25">
      <c r="A2" s="34" t="s">
        <v>379</v>
      </c>
      <c r="B2" s="565" t="s">
        <v>367</v>
      </c>
      <c r="C2" s="110">
        <v>3.0000000000000001E-3</v>
      </c>
      <c r="D2" s="79">
        <f>IFERROR(SUMIFS(Tabla1[Avance_km],Tabla1[Ducto],'R (s06)'!$B2,Tabla1[nombre_actividad],D$1,Tabla1[Sistema],"PIE_DE_GALLO")/$C2,0)</f>
        <v>1</v>
      </c>
      <c r="E2" s="79">
        <f>IFERROR(SUMIFS(Tabla1[Avance_km],Tabla1[Ducto],'R (s06)'!$B2,Tabla1[nombre_actividad],E$1,Tabla1[Sistema],"PIE_DE_GALLO")/$C2,0)</f>
        <v>1</v>
      </c>
      <c r="F2" s="79">
        <f>IFERROR(SUMIFS(Tabla1[Avance_km],Tabla1[Ducto],'R (s06)'!$B2,Tabla1[nombre_actividad],F$1,Tabla1[Sistema],"PIE_DE_GALLO")/$C2,0)</f>
        <v>1</v>
      </c>
      <c r="G2" s="79">
        <f>IFERROR(SUMIFS(Tabla1[Avance_Med],Tabla1[Ducto],'R (s06)'!$B2,Tabla1[nombre_actividad],G$1)/(1),0)</f>
        <v>1</v>
      </c>
      <c r="H2" s="79">
        <f>+SUMIFS(Tabla1[Avance_km],Tabla1[Ducto],'R (s06)'!$B2,Tabla1[nombre_actividad],H$1)/$C2</f>
        <v>0</v>
      </c>
      <c r="I2" s="79">
        <f>+SUMIFS(Tabla1[Avance_km],Tabla1[Ducto],'R (s06)'!$B2,Tabla1[nombre_actividad],I$1)/$C2</f>
        <v>0</v>
      </c>
      <c r="J2" s="142">
        <f>IFERROR(SUMIFS(Tabla1[Avance_Med],Tabla1[Ducto],$B2,Tabla1[nombre_actividad],G$1),0)</f>
        <v>1</v>
      </c>
      <c r="L2" s="174" t="s">
        <v>367</v>
      </c>
      <c r="M2" s="33">
        <v>1</v>
      </c>
    </row>
    <row r="3" spans="1:13" ht="26.25" x14ac:dyDescent="0.25">
      <c r="A3" s="34" t="s">
        <v>379</v>
      </c>
      <c r="B3" s="565" t="s">
        <v>368</v>
      </c>
      <c r="C3" s="110">
        <v>9.7000000000000003E-2</v>
      </c>
      <c r="D3" s="79">
        <f>IFERROR(SUMIFS(Tabla1[Avance_km],Tabla1[Ducto],'R (s06)'!$B3,Tabla1[nombre_actividad],D$1,Tabla1[Sistema],"PIE_DE_GALLO")/$C3,0)</f>
        <v>1</v>
      </c>
      <c r="E3" s="79">
        <f>IFERROR(SUMIFS(Tabla1[Avance_km],Tabla1[Ducto],'R (s06)'!$B3,Tabla1[nombre_actividad],E$1,Tabla1[Sistema],"PIE_DE_GALLO")/$C3,0)</f>
        <v>1</v>
      </c>
      <c r="F3" s="79">
        <f>IFERROR(SUMIFS(Tabla1[Avance_km],Tabla1[Ducto],'R (s06)'!$B3,Tabla1[nombre_actividad],F$1,Tabla1[Sistema],"PIE_DE_GALLO")/$C3,0)</f>
        <v>1</v>
      </c>
      <c r="G3" s="79">
        <f>IFERROR(SUMIFS(Tabla1[Avance_Med],Tabla1[Ducto],'R (s06)'!$B3,Tabla1[nombre_actividad],G$1)/(1),0)</f>
        <v>1</v>
      </c>
      <c r="H3" s="79"/>
      <c r="I3" s="79"/>
      <c r="J3" s="142">
        <f>IFERROR(SUMIFS(Tabla1[Avance_Med],Tabla1[Ducto],$B3,Tabla1[nombre_actividad],G$1),0)</f>
        <v>1</v>
      </c>
      <c r="L3" s="174" t="s">
        <v>368</v>
      </c>
      <c r="M3" s="33">
        <v>1</v>
      </c>
    </row>
    <row r="4" spans="1:13" ht="26.25" x14ac:dyDescent="0.25">
      <c r="A4" s="34" t="s">
        <v>379</v>
      </c>
      <c r="B4" s="565" t="s">
        <v>369</v>
      </c>
      <c r="C4" s="110">
        <v>7.0000000000000001E-3</v>
      </c>
      <c r="D4" s="79">
        <f>IFERROR(SUMIFS(Tabla1[Avance_km],Tabla1[Ducto],'R (s06)'!$B4,Tabla1[nombre_actividad],D$1,Tabla1[Sistema],"PIE_DE_GALLO")/$C4,0)</f>
        <v>1</v>
      </c>
      <c r="E4" s="79">
        <f>IFERROR(SUMIFS(Tabla1[Avance_km],Tabla1[Ducto],'R (s06)'!$B4,Tabla1[nombre_actividad],E$1,Tabla1[Sistema],"PIE_DE_GALLO")/$C4,0)</f>
        <v>1</v>
      </c>
      <c r="F4" s="79">
        <f>IFERROR(SUMIFS(Tabla1[Avance_km],Tabla1[Ducto],'R (s06)'!$B4,Tabla1[nombre_actividad],F$1,Tabla1[Sistema],"PIE_DE_GALLO")/$C4,0)</f>
        <v>1</v>
      </c>
      <c r="G4" s="79">
        <f>IFERROR(SUMIFS(Tabla1[Avance_Med],Tabla1[Ducto],'R (s06)'!$B4,Tabla1[nombre_actividad],G$1)/(1),0)</f>
        <v>1</v>
      </c>
      <c r="H4" s="79"/>
      <c r="I4" s="79"/>
      <c r="J4" s="142">
        <f>IFERROR(SUMIFS(Tabla1[Avance_Med],Tabla1[Ducto],$B4,Tabla1[nombre_actividad],G$1),0)</f>
        <v>1</v>
      </c>
      <c r="L4" s="174" t="s">
        <v>369</v>
      </c>
      <c r="M4" s="33">
        <v>1</v>
      </c>
    </row>
    <row r="5" spans="1:13" ht="26.25" x14ac:dyDescent="0.25">
      <c r="A5" s="34" t="s">
        <v>379</v>
      </c>
      <c r="B5" s="565" t="s">
        <v>370</v>
      </c>
      <c r="C5" s="110">
        <v>1.6E-2</v>
      </c>
      <c r="D5" s="79">
        <f>IFERROR(SUMIFS(Tabla1[Avance_km],Tabla1[Ducto],'R (s06)'!$B5,Tabla1[nombre_actividad],D$1,Tabla1[Sistema],"PIE_DE_GALLO")/$C5,0)</f>
        <v>1</v>
      </c>
      <c r="E5" s="79">
        <f>IFERROR(SUMIFS(Tabla1[Avance_km],Tabla1[Ducto],'R (s06)'!$B5,Tabla1[nombre_actividad],E$1,Tabla1[Sistema],"PIE_DE_GALLO")/$C5,0)</f>
        <v>1</v>
      </c>
      <c r="F5" s="79">
        <f>IFERROR(SUMIFS(Tabla1[Avance_km],Tabla1[Ducto],'R (s06)'!$B5,Tabla1[nombre_actividad],F$1,Tabla1[Sistema],"PIE_DE_GALLO")/$C5,0)</f>
        <v>1</v>
      </c>
      <c r="G5" s="79">
        <f>IFERROR(SUMIFS(Tabla1[Avance_Med],Tabla1[Ducto],'R (s06)'!$B5,Tabla1[nombre_actividad],G$1)/(1),0)</f>
        <v>1</v>
      </c>
      <c r="H5" s="79"/>
      <c r="I5" s="79"/>
      <c r="J5" s="142">
        <f>IFERROR(SUMIFS(Tabla1[Avance_Med],Tabla1[Ducto],$B5,Tabla1[nombre_actividad],G$1),0)</f>
        <v>1</v>
      </c>
      <c r="L5" s="174" t="s">
        <v>370</v>
      </c>
      <c r="M5" s="33">
        <v>1</v>
      </c>
    </row>
    <row r="6" spans="1:13" ht="26.25" x14ac:dyDescent="0.25">
      <c r="A6" s="34" t="s">
        <v>379</v>
      </c>
      <c r="B6" s="565" t="s">
        <v>371</v>
      </c>
      <c r="C6" s="110">
        <v>1.7000000000000001E-2</v>
      </c>
      <c r="D6" s="79">
        <f>IFERROR(SUMIFS(Tabla1[Avance_km],Tabla1[Ducto],'R (s06)'!$B6,Tabla1[nombre_actividad],D$1,Tabla1[Sistema],"PIE_DE_GALLO")/$C6,0)</f>
        <v>1</v>
      </c>
      <c r="E6" s="79">
        <f>IFERROR(SUMIFS(Tabla1[Avance_km],Tabla1[Ducto],'R (s06)'!$B6,Tabla1[nombre_actividad],E$1,Tabla1[Sistema],"PIE_DE_GALLO")/$C6,0)</f>
        <v>1</v>
      </c>
      <c r="F6" s="79">
        <f>IFERROR(SUMIFS(Tabla1[Avance_km],Tabla1[Ducto],'R (s06)'!$B6,Tabla1[nombre_actividad],F$1,Tabla1[Sistema],"PIE_DE_GALLO")/$C6,0)</f>
        <v>1</v>
      </c>
      <c r="G6" s="79">
        <f>IFERROR(SUMIFS(Tabla1[Avance_Med],Tabla1[Ducto],'R (s06)'!$B6,Tabla1[nombre_actividad],G$1)/(1),0)</f>
        <v>1</v>
      </c>
      <c r="H6" s="79"/>
      <c r="I6" s="79"/>
      <c r="J6" s="142">
        <f>IFERROR(SUMIFS(Tabla1[Avance_Med],Tabla1[Ducto],$B6,Tabla1[nombre_actividad],G$1),0)</f>
        <v>1</v>
      </c>
      <c r="L6" s="174" t="s">
        <v>371</v>
      </c>
      <c r="M6" s="33">
        <v>1</v>
      </c>
    </row>
    <row r="7" spans="1:13" ht="26.25" x14ac:dyDescent="0.25">
      <c r="A7" s="34" t="s">
        <v>379</v>
      </c>
      <c r="B7" s="565" t="s">
        <v>372</v>
      </c>
      <c r="C7" s="110">
        <v>8.0000000000000002E-3</v>
      </c>
      <c r="D7" s="79">
        <f>IFERROR(SUMIFS(Tabla1[Avance_km],Tabla1[Ducto],'R (s06)'!$B7,Tabla1[nombre_actividad],D$1,Tabla1[Sistema],"PIE_DE_GALLO")/$C7,0)</f>
        <v>1</v>
      </c>
      <c r="E7" s="79">
        <f>IFERROR(SUMIFS(Tabla1[Avance_km],Tabla1[Ducto],'R (s06)'!$B7,Tabla1[nombre_actividad],E$1,Tabla1[Sistema],"PIE_DE_GALLO")/$C7,0)</f>
        <v>1</v>
      </c>
      <c r="F7" s="79">
        <f>IFERROR(SUMIFS(Tabla1[Avance_km],Tabla1[Ducto],'R (s06)'!$B7,Tabla1[nombre_actividad],F$1,Tabla1[Sistema],"PIE_DE_GALLO")/$C7,0)</f>
        <v>1</v>
      </c>
      <c r="G7" s="79">
        <f>IFERROR(SUMIFS(Tabla1[Avance_Med],Tabla1[Ducto],'R (s06)'!$B7,Tabla1[nombre_actividad],G$1)/(1),0)</f>
        <v>1</v>
      </c>
      <c r="H7" s="79"/>
      <c r="I7" s="79"/>
      <c r="J7" s="142">
        <f>IFERROR(SUMIFS(Tabla1[Avance_Med],Tabla1[Ducto],$B7,Tabla1[nombre_actividad],G$1),0)</f>
        <v>1</v>
      </c>
      <c r="L7" s="174" t="s">
        <v>372</v>
      </c>
      <c r="M7" s="33">
        <v>1</v>
      </c>
    </row>
    <row r="8" spans="1:13" ht="26.25" x14ac:dyDescent="0.25">
      <c r="A8" s="34" t="s">
        <v>379</v>
      </c>
      <c r="B8" s="565" t="s">
        <v>373</v>
      </c>
      <c r="C8" s="110">
        <v>5.2999999999999999E-2</v>
      </c>
      <c r="D8" s="79">
        <f>IFERROR(SUMIFS(Tabla1[Avance_km],Tabla1[Ducto],'R (s06)'!$B8,Tabla1[nombre_actividad],D$1,Tabla1[Sistema],"PIE_DE_GALLO")/$C8,0)</f>
        <v>1</v>
      </c>
      <c r="E8" s="79">
        <f>IFERROR(SUMIFS(Tabla1[Avance_km],Tabla1[Ducto],'R (s06)'!$B8,Tabla1[nombre_actividad],E$1,Tabla1[Sistema],"PIE_DE_GALLO")/$C8,0)</f>
        <v>1</v>
      </c>
      <c r="F8" s="79">
        <f>IFERROR(SUMIFS(Tabla1[Avance_km],Tabla1[Ducto],'R (s06)'!$B8,Tabla1[nombre_actividad],F$1,Tabla1[Sistema],"PIE_DE_GALLO")/$C8,0)</f>
        <v>1</v>
      </c>
      <c r="G8" s="79">
        <f>IFERROR(SUMIFS(Tabla1[Avance_Med],Tabla1[Ducto],'R (s06)'!$B8,Tabla1[nombre_actividad],G$1)/(1),0)</f>
        <v>1</v>
      </c>
      <c r="H8" s="79"/>
      <c r="I8" s="79"/>
      <c r="J8" s="142">
        <f>IFERROR(SUMIFS(Tabla1[Avance_Med],Tabla1[Ducto],$B8,Tabla1[nombre_actividad],G$1),0)</f>
        <v>1</v>
      </c>
      <c r="L8" s="174" t="s">
        <v>373</v>
      </c>
      <c r="M8" s="33">
        <v>1</v>
      </c>
    </row>
    <row r="9" spans="1:13" ht="26.25" x14ac:dyDescent="0.25">
      <c r="A9" s="34" t="s">
        <v>379</v>
      </c>
      <c r="B9" s="565" t="s">
        <v>374</v>
      </c>
      <c r="C9" s="110">
        <v>0.60799999999999998</v>
      </c>
      <c r="D9" s="79">
        <f>IFERROR(SUMIFS(Tabla1[Avance_km],Tabla1[Ducto],'R (s06)'!$B9,Tabla1[nombre_actividad],D$1,Tabla1[Sistema],"PIE_DE_GALLO")/$C9,0)</f>
        <v>1</v>
      </c>
      <c r="E9" s="79">
        <f>IFERROR(SUMIFS(Tabla1[Avance_km],Tabla1[Ducto],'R (s06)'!$B9,Tabla1[nombre_actividad],E$1,Tabla1[Sistema],"PIE_DE_GALLO")/$C9,0)</f>
        <v>1</v>
      </c>
      <c r="F9" s="79">
        <f>IFERROR(SUMIFS(Tabla1[Avance_km],Tabla1[Ducto],'R (s06)'!$B9,Tabla1[nombre_actividad],F$1,Tabla1[Sistema],"PIE_DE_GALLO")/$C9,0)</f>
        <v>1</v>
      </c>
      <c r="G9" s="79">
        <f>IFERROR(SUMIFS(Tabla1[Avance_Med],Tabla1[Ducto],'R (s06)'!$B9,Tabla1[nombre_actividad],G$1)/(2),0)</f>
        <v>1</v>
      </c>
      <c r="H9" s="79"/>
      <c r="I9" s="79"/>
      <c r="J9" s="142">
        <f>IFERROR(SUMIFS(Tabla1[Avance_Med],Tabla1[Ducto],$B9,Tabla1[nombre_actividad],G$1),0)</f>
        <v>2</v>
      </c>
      <c r="L9" s="174" t="s">
        <v>374</v>
      </c>
      <c r="M9" s="33">
        <v>2</v>
      </c>
    </row>
    <row r="10" spans="1:13" ht="26.25" x14ac:dyDescent="0.25">
      <c r="A10" s="34" t="s">
        <v>379</v>
      </c>
      <c r="B10" s="565" t="s">
        <v>375</v>
      </c>
      <c r="C10" s="110">
        <v>0.17</v>
      </c>
      <c r="D10" s="79">
        <f>IFERROR(SUMIFS(Tabla1[Avance_km],Tabla1[Ducto],'R (s06)'!$B10,Tabla1[nombre_actividad],D$1,Tabla1[Sistema],"PIE_DE_GALLO")/$C10,0)</f>
        <v>1</v>
      </c>
      <c r="E10" s="79">
        <f>IFERROR(SUMIFS(Tabla1[Avance_km],Tabla1[Ducto],'R (s06)'!$B10,Tabla1[nombre_actividad],E$1,Tabla1[Sistema],"PIE_DE_GALLO")/$C10,0)</f>
        <v>1</v>
      </c>
      <c r="F10" s="79">
        <f>IFERROR(SUMIFS(Tabla1[Avance_km],Tabla1[Ducto],'R (s06)'!$B10,Tabla1[nombre_actividad],F$1,Tabla1[Sistema],"PIE_DE_GALLO")/$C10,0)</f>
        <v>1</v>
      </c>
      <c r="G10" s="79">
        <f>IFERROR(SUMIFS(Tabla1[Avance_Med],Tabla1[Ducto],'R (s06)'!$B10,Tabla1[nombre_actividad],G$1)/(1),0)</f>
        <v>1</v>
      </c>
      <c r="H10" s="79"/>
      <c r="I10" s="79"/>
      <c r="J10" s="142">
        <f>IFERROR(SUMIFS(Tabla1[Avance_Med],Tabla1[Ducto],$B10,Tabla1[nombre_actividad],G$1),0)</f>
        <v>1</v>
      </c>
      <c r="L10" s="174" t="s">
        <v>375</v>
      </c>
      <c r="M10" s="33">
        <v>1</v>
      </c>
    </row>
    <row r="11" spans="1:13" ht="26.25" x14ac:dyDescent="0.25">
      <c r="A11" s="34" t="s">
        <v>379</v>
      </c>
      <c r="B11" s="565" t="s">
        <v>376</v>
      </c>
      <c r="C11" s="110">
        <v>1.2999999999999999E-2</v>
      </c>
      <c r="D11" s="79">
        <f>IFERROR(SUMIFS(Tabla1[Avance_km],Tabla1[Ducto],'R (s06)'!$B11,Tabla1[nombre_actividad],D$1,Tabla1[Sistema],"PIE_DE_GALLO")/$C11,0)</f>
        <v>1</v>
      </c>
      <c r="E11" s="79">
        <f>IFERROR(SUMIFS(Tabla1[Avance_km],Tabla1[Ducto],'R (s06)'!$B11,Tabla1[nombre_actividad],E$1,Tabla1[Sistema],"PIE_DE_GALLO")/$C11,0)</f>
        <v>1</v>
      </c>
      <c r="F11" s="79">
        <f>IFERROR(SUMIFS(Tabla1[Avance_km],Tabla1[Ducto],'R (s06)'!$B11,Tabla1[nombre_actividad],F$1,Tabla1[Sistema],"PIE_DE_GALLO")/$C11,0)</f>
        <v>1</v>
      </c>
      <c r="G11" s="79">
        <f>IFERROR(SUMIFS(Tabla1[Avance_Med],Tabla1[Ducto],'R (s06)'!$B11,Tabla1[nombre_actividad],G$1)/(1),0)</f>
        <v>1</v>
      </c>
      <c r="H11" s="79"/>
      <c r="I11" s="79"/>
      <c r="J11" s="142">
        <f>IFERROR(SUMIFS(Tabla1[Avance_Med],Tabla1[Ducto],$B11,Tabla1[nombre_actividad],G$1),0)</f>
        <v>1</v>
      </c>
      <c r="L11" s="174" t="s">
        <v>376</v>
      </c>
      <c r="M11" s="33">
        <v>1</v>
      </c>
    </row>
    <row r="12" spans="1:13" ht="26.25" x14ac:dyDescent="0.25">
      <c r="A12" s="34" t="s">
        <v>379</v>
      </c>
      <c r="B12" s="565" t="s">
        <v>377</v>
      </c>
      <c r="C12" s="110">
        <v>0.62390000000000001</v>
      </c>
      <c r="D12" s="79">
        <f>IFERROR(SUMIFS(Tabla1[Avance_km],Tabla1[Ducto],'R (s06)'!$B12,Tabla1[nombre_actividad],D$1,Tabla1[Sistema],"PIE_DE_GALLO")/$C12,0)</f>
        <v>1.0001602820964899</v>
      </c>
      <c r="E12" s="79">
        <f>IFERROR(SUMIFS(Tabla1[Avance_km],Tabla1[Ducto],'R (s06)'!$B12,Tabla1[nombre_actividad],E$1,Tabla1[Sistema],"PIE_DE_GALLO")/$C12,0)</f>
        <v>1.0001602820964899</v>
      </c>
      <c r="F12" s="79">
        <f>IFERROR(SUMIFS(Tabla1[Avance_km],Tabla1[Ducto],'R (s06)'!$B12,Tabla1[nombre_actividad],F$1,Tabla1[Sistema],"PIE_DE_GALLO")/$C12,0)</f>
        <v>1.0001602820964899</v>
      </c>
      <c r="G12" s="79">
        <f>IFERROR(SUMIFS(Tabla1[Avance_Med],Tabla1[Ducto],'R (s06)'!$B12,Tabla1[nombre_actividad],G$1)/(2),0)</f>
        <v>1</v>
      </c>
      <c r="H12" s="79"/>
      <c r="I12" s="79"/>
      <c r="J12" s="142">
        <f>IFERROR(SUMIFS(Tabla1[Avance_Med],Tabla1[Ducto],$B12,Tabla1[nombre_actividad],G$1),0)</f>
        <v>2</v>
      </c>
      <c r="L12" s="174" t="s">
        <v>377</v>
      </c>
      <c r="M12" s="33">
        <v>2</v>
      </c>
    </row>
    <row r="13" spans="1:13" ht="26.25" x14ac:dyDescent="0.25">
      <c r="A13" s="34" t="s">
        <v>379</v>
      </c>
      <c r="B13" s="565" t="s">
        <v>378</v>
      </c>
      <c r="C13" s="110">
        <v>8.5000000000000006E-3</v>
      </c>
      <c r="D13" s="79">
        <f>IFERROR(SUMIFS(Tabla1[Avance_km],Tabla1[Ducto],'R (s06)'!$B13,Tabla1[nombre_actividad],D$1,Tabla1[Sistema],"PIE_DE_GALLO")/$C13,0)</f>
        <v>1</v>
      </c>
      <c r="E13" s="79">
        <f>IFERROR(SUMIFS(Tabla1[Avance_km],Tabla1[Ducto],'R (s06)'!$B13,Tabla1[nombre_actividad],E$1,Tabla1[Sistema],"PIE_DE_GALLO")/$C13,0)</f>
        <v>1</v>
      </c>
      <c r="F13" s="79">
        <f>IFERROR(SUMIFS(Tabla1[Avance_km],Tabla1[Ducto],'R (s06)'!$B13,Tabla1[nombre_actividad],F$1,Tabla1[Sistema],"PIE_DE_GALLO")/$C13,0)</f>
        <v>1</v>
      </c>
      <c r="G13" s="79">
        <f>IFERROR(SUMIFS(Tabla1[Avance_Med],Tabla1[Ducto],'R (s06)'!$B13,Tabla1[nombre_actividad],G$1)/(1),0)</f>
        <v>1</v>
      </c>
      <c r="H13" s="79"/>
      <c r="I13" s="79"/>
      <c r="J13" s="142">
        <f>IFERROR(SUMIFS(Tabla1[Avance_Med],Tabla1[Ducto],$B13,Tabla1[nombre_actividad],G$1),0)</f>
        <v>1</v>
      </c>
      <c r="L13" s="174" t="s">
        <v>378</v>
      </c>
      <c r="M13" s="33">
        <v>1</v>
      </c>
    </row>
  </sheetData>
  <autoFilter ref="A1:J2" xr:uid="{C8948F65-4684-470E-B215-D01090CD3B01}"/>
  <conditionalFormatting sqref="D2:F13">
    <cfRule type="dataBar" priority="6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{D0328E97-5AF9-498A-962B-731D485B1FFC}</x14:id>
        </ext>
      </extLst>
    </cfRule>
  </conditionalFormatting>
  <conditionalFormatting sqref="G2:G13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{FE30C201-3ED0-49B9-A5E0-32CC10468785}</x14:id>
        </ext>
      </extLst>
    </cfRule>
  </conditionalFormatting>
  <conditionalFormatting sqref="H2:I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{32C9814A-E4AD-493F-9D6D-F30559AFF63B}</x14:id>
        </ext>
      </extLst>
    </cfRule>
  </conditionalFormatting>
  <conditionalFormatting sqref="H3:I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{A777E227-DCFD-40CB-9A35-69152CC49E5F}</x14:id>
        </ext>
      </extLst>
    </cfRule>
  </conditionalFormatting>
  <conditionalFormatting sqref="H6:I13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{31B88A9F-95E4-4846-B13A-796794AB382D}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328E97-5AF9-498A-962B-731D485B1F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D2:F13</xm:sqref>
        </x14:conditionalFormatting>
        <x14:conditionalFormatting xmlns:xm="http://schemas.microsoft.com/office/excel/2006/main">
          <x14:cfRule type="dataBar" id="{FE30C201-3ED0-49B9-A5E0-32CC104687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G2:G13</xm:sqref>
        </x14:conditionalFormatting>
        <x14:conditionalFormatting xmlns:xm="http://schemas.microsoft.com/office/excel/2006/main">
          <x14:cfRule type="dataBar" id="{32C9814A-E4AD-493F-9D6D-F30559AFF63B}">
            <x14:dataBar minLength="0" maxLength="100" gradient="0">
              <x14:cfvo type="min"/>
              <x14:cfvo type="autoMax"/>
              <x14:negativeFillColor rgb="FFFF0000"/>
              <x14:axisColor rgb="FF000000"/>
            </x14:dataBar>
          </x14:cfRule>
          <xm:sqref>H2:I2</xm:sqref>
        </x14:conditionalFormatting>
        <x14:conditionalFormatting xmlns:xm="http://schemas.microsoft.com/office/excel/2006/main">
          <x14:cfRule type="dataBar" id="{A777E227-DCFD-40CB-9A35-69152CC49E5F}">
            <x14:dataBar minLength="0" maxLength="100" gradient="0">
              <x14:cfvo type="min"/>
              <x14:cfvo type="autoMax"/>
              <x14:negativeFillColor rgb="FFFF0000"/>
              <x14:axisColor rgb="FF000000"/>
            </x14:dataBar>
          </x14:cfRule>
          <xm:sqref>H3:I5</xm:sqref>
        </x14:conditionalFormatting>
        <x14:conditionalFormatting xmlns:xm="http://schemas.microsoft.com/office/excel/2006/main">
          <x14:cfRule type="dataBar" id="{31B88A9F-95E4-4846-B13A-796794AB382D}">
            <x14:dataBar minLength="0" maxLength="100" gradient="0">
              <x14:cfvo type="min"/>
              <x14:cfvo type="autoMax"/>
              <x14:negativeFillColor rgb="FFFF0000"/>
              <x14:axisColor rgb="FF000000"/>
            </x14:dataBar>
          </x14:cfRule>
          <xm:sqref>H6:I13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D8E1-1CAC-4925-91C1-5EE76B7D3D04}">
  <sheetPr codeName="Hoja15"/>
  <dimension ref="A1:L17"/>
  <sheetViews>
    <sheetView showGridLines="0" workbookViewId="0">
      <selection activeCell="B2" sqref="B2:C4"/>
    </sheetView>
  </sheetViews>
  <sheetFormatPr baseColWidth="10" defaultColWidth="11.42578125" defaultRowHeight="15" outlineLevelCol="1" x14ac:dyDescent="0.25"/>
  <cols>
    <col min="1" max="1" width="15" customWidth="1"/>
    <col min="2" max="2" width="29.140625" bestFit="1" customWidth="1"/>
    <col min="3" max="3" width="8.42578125" style="26" customWidth="1"/>
    <col min="4" max="4" width="16" customWidth="1"/>
    <col min="5" max="5" width="14.85546875" customWidth="1"/>
    <col min="6" max="6" width="16.42578125" customWidth="1"/>
    <col min="7" max="7" width="18.42578125" customWidth="1"/>
    <col min="8" max="9" width="14.85546875" hidden="1" customWidth="1" outlineLevel="1"/>
    <col min="10" max="10" width="11.42578125" style="143" collapsed="1"/>
    <col min="11" max="11" width="7.28515625" style="1" customWidth="1"/>
    <col min="12" max="12" width="20.85546875" bestFit="1" customWidth="1"/>
    <col min="13" max="13" width="20.42578125" bestFit="1" customWidth="1"/>
    <col min="14" max="14" width="28.28515625" bestFit="1" customWidth="1"/>
  </cols>
  <sheetData>
    <row r="1" spans="1:12" s="1" customFormat="1" ht="30.75" customHeight="1" x14ac:dyDescent="0.25">
      <c r="A1" s="1" t="s">
        <v>2</v>
      </c>
      <c r="B1" s="33" t="s">
        <v>76</v>
      </c>
      <c r="C1" s="110" t="s">
        <v>77</v>
      </c>
      <c r="D1" s="33" t="s">
        <v>78</v>
      </c>
      <c r="E1" s="33" t="s">
        <v>79</v>
      </c>
      <c r="F1" s="33" t="s">
        <v>80</v>
      </c>
      <c r="G1" s="65" t="s">
        <v>81</v>
      </c>
      <c r="H1" s="33" t="s">
        <v>82</v>
      </c>
      <c r="I1" s="33" t="s">
        <v>83</v>
      </c>
      <c r="J1" s="141"/>
      <c r="L1"/>
    </row>
    <row r="2" spans="1:12" ht="26.25" x14ac:dyDescent="0.25">
      <c r="A2" s="34" t="s">
        <v>265</v>
      </c>
      <c r="B2" s="162" t="s">
        <v>265</v>
      </c>
      <c r="C2" s="110">
        <v>0.185</v>
      </c>
      <c r="D2" s="79">
        <f>IFERROR(SUMIFS(Tabla1[Avance_km],Tabla1[Ducto],'R (s07)'!$B2,Tabla1[nombre_actividad],D$1,Tabla1[Sistema],"PECO_AGROS")/$C2,0)</f>
        <v>0</v>
      </c>
      <c r="E2" s="79">
        <f>IFERROR(SUMIFS(Tabla1[Avance_km],Tabla1[Ducto],'R (s07)'!$B2,Tabla1[nombre_actividad],E$1,Tabla1[Sistema],"PECO_AGROS")/$C2,0)</f>
        <v>0</v>
      </c>
      <c r="F2" s="79">
        <f>IFERROR(SUMIFS(Tabla1[Avance_km],Tabla1[Ducto],'R (s07)'!$B2,Tabla1[nombre_actividad],F$1,Tabla1[Sistema],"PECO_AGROS")/$C2,0)</f>
        <v>0</v>
      </c>
      <c r="G2" s="79">
        <f>IFERROR(SUMIFS(Tabla1[Avance_Med],Tabla1[Ducto],'R (s07)'!$B2,Tabla1[nombre_actividad],G$1)/1,0)</f>
        <v>1</v>
      </c>
      <c r="H2" s="79">
        <f>+SUMIFS(Tabla1[Avance_km],Tabla1[Ducto],'R (s07)'!$B2,Tabla1[nombre_actividad],H$1)/$C2</f>
        <v>0</v>
      </c>
      <c r="I2" s="79">
        <f>+SUMIFS(Tabla1[Avance_km],Tabla1[Ducto],'R (s07)'!$B2,Tabla1[nombre_actividad],I$1)/$C2</f>
        <v>0</v>
      </c>
      <c r="J2" s="142">
        <f>IFERROR(SUMIFS(Tabla1[Avance_Med],Tabla1[Ducto],$B2,Tabla1[nombre_actividad],G$1),0)</f>
        <v>1</v>
      </c>
    </row>
    <row r="3" spans="1:12" ht="26.25" x14ac:dyDescent="0.25">
      <c r="A3" s="34" t="s">
        <v>265</v>
      </c>
      <c r="B3" s="162" t="s">
        <v>333</v>
      </c>
      <c r="C3" s="110">
        <f>+_xlfn.XLOOKUP(B3,Tabla1[Ducto],Tabla1[Length])</f>
        <v>0.36599999999999999</v>
      </c>
      <c r="D3" s="79">
        <f>IFERROR(SUMIFS(Tabla1[Avance_km],Tabla1[Ducto],'R (s07)'!$B3,Tabla1[nombre_actividad],D$1,Tabla1[Sistema],"PECO_AGROS")/$C3,0)</f>
        <v>0</v>
      </c>
      <c r="E3" s="79">
        <f>IFERROR(SUMIFS(Tabla1[Avance_km],Tabla1[Ducto],'R (s07)'!$B3,Tabla1[nombre_actividad],E$1,Tabla1[Sistema],"PECO_AGROS")/$C3,0)</f>
        <v>0</v>
      </c>
      <c r="F3" s="79">
        <f>IFERROR(SUMIFS(Tabla1[Avance_km],Tabla1[Ducto],'R (s07)'!$B3,Tabla1[nombre_actividad],F$1,Tabla1[Sistema],"PECO_AGROS")/$C3,0)</f>
        <v>0</v>
      </c>
      <c r="G3" s="79">
        <f>IFERROR(SUMIFS(Tabla1[Avance_Med],Tabla1[Ducto],'R (s07)'!$B3,Tabla1[nombre_actividad],G$1)/1,0)</f>
        <v>1</v>
      </c>
      <c r="H3" s="79">
        <f>+SUMIFS(Tabla1[Avance_km],Tabla1[Ducto],'R (s07)'!$B3,Tabla1[nombre_actividad],H$1)/$C3</f>
        <v>0</v>
      </c>
      <c r="I3" s="79">
        <f>+SUMIFS(Tabla1[Avance_km],Tabla1[Ducto],'R (s07)'!$B3,Tabla1[nombre_actividad],I$1)/$C3</f>
        <v>0</v>
      </c>
      <c r="J3" s="142">
        <f>IFERROR(SUMIFS(Tabla1[Avance_Med],Tabla1[Ducto],$B3,Tabla1[nombre_actividad],G$1),0)</f>
        <v>1</v>
      </c>
    </row>
    <row r="4" spans="1:12" ht="26.25" x14ac:dyDescent="0.25">
      <c r="A4" s="34" t="s">
        <v>265</v>
      </c>
      <c r="B4" s="162" t="s">
        <v>334</v>
      </c>
      <c r="C4" s="110">
        <f>+_xlfn.XLOOKUP(B4,Tabla1[Ducto],Tabla1[Length])</f>
        <v>1.175</v>
      </c>
      <c r="D4" s="79">
        <f>IFERROR(SUMIFS(Tabla1[Avance_km],Tabla1[Ducto],'R (s07)'!$B4,Tabla1[nombre_actividad],D$1,Tabla1[Sistema],"PECO_AGROS")/$C4,0)</f>
        <v>0</v>
      </c>
      <c r="E4" s="79">
        <f>IFERROR(SUMIFS(Tabla1[Avance_km],Tabla1[Ducto],'R (s07)'!$B4,Tabla1[nombre_actividad],E$1,Tabla1[Sistema],"PECO_AGROS")/$C4,0)</f>
        <v>0</v>
      </c>
      <c r="F4" s="79">
        <f>IFERROR(SUMIFS(Tabla1[Avance_km],Tabla1[Ducto],'R (s07)'!$B4,Tabla1[nombre_actividad],F$1,Tabla1[Sistema],"PECO_AGROS")/$C4,0)</f>
        <v>0</v>
      </c>
      <c r="G4" s="79">
        <f>IFERROR(SUMIFS(Tabla1[Avance_Med],Tabla1[Ducto],'R (s07)'!$B4,Tabla1[nombre_actividad],G$1)/3,0)</f>
        <v>1</v>
      </c>
      <c r="H4" s="79">
        <f>+SUMIFS(Tabla1[Avance_km],Tabla1[Ducto],'R (s07)'!$B4,Tabla1[nombre_actividad],H$1)/$C4</f>
        <v>0</v>
      </c>
      <c r="I4" s="79">
        <f>+SUMIFS(Tabla1[Avance_km],Tabla1[Ducto],'R (s07)'!$B4,Tabla1[nombre_actividad],I$1)/$C4</f>
        <v>0</v>
      </c>
      <c r="J4" s="142">
        <f>IFERROR(SUMIFS(Tabla1[Avance_Med],Tabla1[Ducto],$B4,Tabla1[nombre_actividad],G$1),0)</f>
        <v>3</v>
      </c>
    </row>
    <row r="8" spans="1:12" x14ac:dyDescent="0.25">
      <c r="C8"/>
    </row>
    <row r="9" spans="1:12" x14ac:dyDescent="0.25">
      <c r="C9"/>
    </row>
    <row r="10" spans="1:12" x14ac:dyDescent="0.25">
      <c r="C10"/>
    </row>
    <row r="11" spans="1:12" x14ac:dyDescent="0.25">
      <c r="C11"/>
    </row>
    <row r="12" spans="1:12" x14ac:dyDescent="0.25">
      <c r="C12"/>
    </row>
    <row r="13" spans="1:12" x14ac:dyDescent="0.25">
      <c r="C13"/>
    </row>
    <row r="14" spans="1:12" x14ac:dyDescent="0.25">
      <c r="C14"/>
    </row>
    <row r="15" spans="1:12" x14ac:dyDescent="0.25">
      <c r="C15"/>
    </row>
    <row r="16" spans="1:12" x14ac:dyDescent="0.25">
      <c r="C16"/>
    </row>
    <row r="17" spans="3:3" x14ac:dyDescent="0.25">
      <c r="C17"/>
    </row>
  </sheetData>
  <conditionalFormatting sqref="D2:I4">
    <cfRule type="dataBar" priority="4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{0BDE87F8-6FE7-47E3-BBB7-7E973B2C029A}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DE87F8-6FE7-47E3-BBB7-7E973B2C029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D2:I4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F09E5-4197-4CE9-9E90-2B42DD2B0515}">
  <sheetPr codeName="Hoja16"/>
  <dimension ref="A1:O18"/>
  <sheetViews>
    <sheetView showGridLines="0" zoomScale="115" zoomScaleNormal="115" workbookViewId="0">
      <selection activeCell="G17" sqref="G17"/>
    </sheetView>
  </sheetViews>
  <sheetFormatPr baseColWidth="10" defaultColWidth="11.42578125" defaultRowHeight="15" outlineLevelCol="1" x14ac:dyDescent="0.25"/>
  <cols>
    <col min="1" max="1" width="15" customWidth="1"/>
    <col min="2" max="2" width="29.140625" bestFit="1" customWidth="1"/>
    <col min="3" max="3" width="8.85546875" style="26" bestFit="1" customWidth="1"/>
    <col min="4" max="4" width="16" customWidth="1"/>
    <col min="5" max="5" width="14.85546875" customWidth="1"/>
    <col min="6" max="6" width="16.42578125" customWidth="1"/>
    <col min="7" max="7" width="18.42578125" customWidth="1"/>
    <col min="8" max="9" width="14.85546875" hidden="1" customWidth="1" outlineLevel="1"/>
    <col min="10" max="10" width="11.42578125" style="143" collapsed="1"/>
    <col min="11" max="11" width="7.28515625" style="1" customWidth="1"/>
    <col min="12" max="12" width="7" customWidth="1"/>
    <col min="13" max="15" width="6.7109375" customWidth="1"/>
  </cols>
  <sheetData>
    <row r="1" spans="1:15" s="1" customFormat="1" ht="30.75" customHeight="1" x14ac:dyDescent="0.25">
      <c r="A1" s="1" t="s">
        <v>2</v>
      </c>
      <c r="B1" s="33" t="s">
        <v>76</v>
      </c>
      <c r="C1" s="110" t="s">
        <v>77</v>
      </c>
      <c r="D1" s="33" t="s">
        <v>78</v>
      </c>
      <c r="E1" s="33" t="s">
        <v>79</v>
      </c>
      <c r="F1" s="33" t="s">
        <v>80</v>
      </c>
      <c r="G1" s="65" t="s">
        <v>81</v>
      </c>
      <c r="H1" s="33" t="s">
        <v>82</v>
      </c>
      <c r="I1" s="33" t="s">
        <v>83</v>
      </c>
      <c r="J1" s="141"/>
      <c r="L1"/>
    </row>
    <row r="2" spans="1:15" ht="26.25" x14ac:dyDescent="0.25">
      <c r="A2" s="34" t="s">
        <v>266</v>
      </c>
      <c r="B2" s="172" t="s">
        <v>266</v>
      </c>
      <c r="C2" s="110">
        <v>1.2E-2</v>
      </c>
      <c r="D2" s="79">
        <f>IFERROR(SUMIFS(Tabla1[Avance_km],Tabla1[Ducto],'R (s08)'!$B2,Tabla1[nombre_actividad],D$1,Tabla1[Sistema],"PECO_AGROS")/$C2,0)</f>
        <v>0</v>
      </c>
      <c r="E2" s="79">
        <f>IFERROR(SUMIFS(Tabla1[Avance_km],Tabla1[Ducto],'R (s08)'!$B2,Tabla1[nombre_actividad],E$1,Tabla1[Sistema],"PECO_AGROS")/$C2,0)</f>
        <v>0</v>
      </c>
      <c r="F2" s="79">
        <f>IFERROR(SUMIFS(Tabla1[Avance_km],Tabla1[Ducto],'R (s08)'!$B2,Tabla1[nombre_actividad],F$1,Tabla1[Sistema],"PECO_AGROS")/$C2,0)</f>
        <v>0</v>
      </c>
      <c r="G2" s="79">
        <f>IFERROR(SUMIFS(Tabla1[Avance_Med],Tabla1[Ducto],'R (s08)'!$B2,Tabla1[nombre_actividad],G$1)/8,0)</f>
        <v>1</v>
      </c>
      <c r="H2" s="79">
        <f>+SUMIFS(Tabla1[Avance_km],Tabla1[Ducto],'R (s08)'!$B2,Tabla1[nombre_actividad],H$1)/$C2</f>
        <v>0</v>
      </c>
      <c r="I2" s="79">
        <f>+SUMIFS(Tabla1[Avance_km],Tabla1[Ducto],'R (s08)'!$B2,Tabla1[nombre_actividad],I$1)/$C2</f>
        <v>0</v>
      </c>
      <c r="J2" s="142">
        <f>IFERROR(SUMIFS(Tabla1[Avance_Med],Tabla1[Ducto],$B2,Tabla1[nombre_actividad],G$1),0)</f>
        <v>8</v>
      </c>
    </row>
    <row r="3" spans="1:15" ht="26.25" x14ac:dyDescent="0.25">
      <c r="A3" s="34" t="s">
        <v>266</v>
      </c>
      <c r="B3" s="172" t="s">
        <v>336</v>
      </c>
      <c r="C3" s="110">
        <v>4.3</v>
      </c>
      <c r="D3" s="79">
        <f>IFERROR(SUMIFS(Tabla1[Avance_km],Tabla1[Ducto],'R (s08)'!$B3,Tabla1[nombre_actividad],D$1,Tabla1[Sistema],"PECO_AGROS")/$C3,0)</f>
        <v>0</v>
      </c>
      <c r="E3" s="79">
        <f>IFERROR(SUMIFS(Tabla1[Avance_km],Tabla1[Ducto],'R (s08)'!$B3,Tabla1[nombre_actividad],E$1,Tabla1[Sistema],"PECO_AGROS")/$C3,0)</f>
        <v>0</v>
      </c>
      <c r="F3" s="79">
        <f>IFERROR(SUMIFS(Tabla1[Avance_km],Tabla1[Ducto],'R (s08)'!$B3,Tabla1[nombre_actividad],F$1,Tabla1[Sistema],"PECO_AGROS")/$C3,0)</f>
        <v>0</v>
      </c>
      <c r="G3" s="79">
        <f>IFERROR(SUMIFS(Tabla1[Avance_Med],Tabla1[Ducto],'R (s08)'!$B3,Tabla1[nombre_actividad],G$1)/1,0)</f>
        <v>1</v>
      </c>
      <c r="H3" s="79">
        <f>+SUMIFS(Tabla1[Avance_km],Tabla1[Ducto],'R (s08)'!$B3,Tabla1[nombre_actividad],H$1)/$C3</f>
        <v>0</v>
      </c>
      <c r="I3" s="79">
        <f>+SUMIFS(Tabla1[Avance_km],Tabla1[Ducto],'R (s08)'!$B3,Tabla1[nombre_actividad],I$1)/$C3</f>
        <v>0</v>
      </c>
      <c r="J3" s="142">
        <f>IFERROR(SUMIFS(Tabla1[Avance_Med],Tabla1[Ducto],$B3,Tabla1[nombre_actividad],G$1),0)</f>
        <v>1</v>
      </c>
    </row>
    <row r="10" spans="1:15" x14ac:dyDescent="0.25">
      <c r="L10" t="s">
        <v>617</v>
      </c>
    </row>
    <row r="11" spans="1:15" x14ac:dyDescent="0.25">
      <c r="L11" s="235"/>
      <c r="M11" s="33" t="s">
        <v>324</v>
      </c>
      <c r="N11" s="33" t="s">
        <v>325</v>
      </c>
      <c r="O11" s="33" t="s">
        <v>80</v>
      </c>
    </row>
    <row r="12" spans="1:15" x14ac:dyDescent="0.25">
      <c r="L12" s="235" t="s">
        <v>380</v>
      </c>
      <c r="M12" s="509"/>
      <c r="N12" s="557"/>
      <c r="O12" s="509"/>
    </row>
    <row r="13" spans="1:15" x14ac:dyDescent="0.25">
      <c r="L13" s="235" t="s">
        <v>272</v>
      </c>
      <c r="M13" s="509">
        <f>+SUM('R (s07)'!C2:C4)</f>
        <v>1.726</v>
      </c>
      <c r="N13" s="509">
        <v>1.726</v>
      </c>
      <c r="O13" s="509">
        <v>1.726</v>
      </c>
    </row>
    <row r="14" spans="1:15" x14ac:dyDescent="0.25">
      <c r="L14" s="235" t="s">
        <v>273</v>
      </c>
      <c r="M14" s="509">
        <f>+SUM(C2:C3)</f>
        <v>4.3119999999999994</v>
      </c>
      <c r="N14" s="509">
        <v>4.3119999999999994</v>
      </c>
      <c r="O14" s="509">
        <v>4.3119999999999994</v>
      </c>
    </row>
    <row r="15" spans="1:15" x14ac:dyDescent="0.25">
      <c r="M15" s="510">
        <f>+SUM(M12:M14)</f>
        <v>6.0379999999999994</v>
      </c>
      <c r="N15" s="510">
        <f>+SUM(N12:N14)</f>
        <v>6.0379999999999994</v>
      </c>
      <c r="O15" s="510">
        <f>+SUM(O12:O14)</f>
        <v>6.0379999999999994</v>
      </c>
    </row>
    <row r="17" spans="12:14" x14ac:dyDescent="0.25">
      <c r="L17" t="s">
        <v>615</v>
      </c>
    </row>
    <row r="18" spans="12:14" x14ac:dyDescent="0.25">
      <c r="L18" t="s">
        <v>616</v>
      </c>
      <c r="N18" s="511">
        <v>24.4</v>
      </c>
    </row>
  </sheetData>
  <conditionalFormatting sqref="D2:I3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{38C4202A-5AC0-4855-8466-83A0DA85CD1F}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C4202A-5AC0-4855-8466-83A0DA85CD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D2:I3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5F696-7F0F-4A7A-85DF-85AFD94EA4C9}">
  <sheetPr codeName="Hoja33"/>
  <dimension ref="A2:T18"/>
  <sheetViews>
    <sheetView showGridLines="0" zoomScale="130" zoomScaleNormal="130" workbookViewId="0">
      <selection activeCell="E18" sqref="E18"/>
    </sheetView>
  </sheetViews>
  <sheetFormatPr baseColWidth="10" defaultRowHeight="15" x14ac:dyDescent="0.25"/>
  <cols>
    <col min="1" max="1" width="34.28515625" customWidth="1"/>
    <col min="2" max="9" width="7.28515625" customWidth="1"/>
    <col min="10" max="10" width="10" customWidth="1"/>
    <col min="11" max="11" width="11.42578125" style="451"/>
    <col min="13" max="13" width="13.140625" bestFit="1" customWidth="1"/>
  </cols>
  <sheetData>
    <row r="2" spans="1:20" ht="140.25" customHeight="1" x14ac:dyDescent="0.25">
      <c r="B2" s="521" t="s">
        <v>635</v>
      </c>
      <c r="C2" s="521" t="s">
        <v>636</v>
      </c>
      <c r="D2" s="521" t="s">
        <v>637</v>
      </c>
      <c r="E2" s="521" t="s">
        <v>638</v>
      </c>
      <c r="F2" s="521" t="s">
        <v>132</v>
      </c>
      <c r="G2" s="521" t="s">
        <v>639</v>
      </c>
      <c r="H2" s="521" t="s">
        <v>640</v>
      </c>
      <c r="I2" s="521" t="s">
        <v>641</v>
      </c>
      <c r="J2" s="521" t="s">
        <v>642</v>
      </c>
      <c r="L2" s="520"/>
      <c r="M2" s="521" t="s">
        <v>648</v>
      </c>
      <c r="N2" s="520"/>
      <c r="O2" s="520"/>
      <c r="P2" s="520"/>
      <c r="Q2" s="520"/>
      <c r="R2" s="520"/>
      <c r="S2" s="520"/>
      <c r="T2" s="520"/>
    </row>
    <row r="3" spans="1:20" x14ac:dyDescent="0.25">
      <c r="A3" t="s">
        <v>620</v>
      </c>
      <c r="B3" s="33" t="s">
        <v>644</v>
      </c>
      <c r="C3" s="33" t="s">
        <v>644</v>
      </c>
      <c r="D3" s="33" t="s">
        <v>644</v>
      </c>
      <c r="E3" s="33"/>
      <c r="F3" s="33" t="s">
        <v>644</v>
      </c>
      <c r="G3" s="33"/>
      <c r="H3" s="33"/>
      <c r="I3" s="33" t="s">
        <v>644</v>
      </c>
      <c r="J3" s="33" t="s">
        <v>644</v>
      </c>
      <c r="K3" s="451">
        <v>46280</v>
      </c>
      <c r="M3" s="556">
        <f>COUNTA(A3:A17)/NETWORKDAYS(MIN(K3:K18),MAX(K3:K18))</f>
        <v>0.34090909090909088</v>
      </c>
    </row>
    <row r="4" spans="1:20" x14ac:dyDescent="0.25">
      <c r="A4" t="s">
        <v>621</v>
      </c>
      <c r="B4" s="33" t="s">
        <v>644</v>
      </c>
      <c r="C4" s="33" t="s">
        <v>644</v>
      </c>
      <c r="D4" s="33" t="s">
        <v>644</v>
      </c>
      <c r="E4" s="33"/>
      <c r="F4" s="33" t="s">
        <v>644</v>
      </c>
      <c r="G4" s="33"/>
      <c r="H4" s="33"/>
      <c r="I4" s="33" t="s">
        <v>644</v>
      </c>
      <c r="J4" s="33" t="s">
        <v>644</v>
      </c>
      <c r="K4" s="451">
        <v>46259</v>
      </c>
    </row>
    <row r="5" spans="1:20" x14ac:dyDescent="0.25">
      <c r="A5" t="s">
        <v>622</v>
      </c>
      <c r="B5" s="33" t="s">
        <v>644</v>
      </c>
      <c r="C5" s="33" t="s">
        <v>644</v>
      </c>
      <c r="D5" s="33" t="s">
        <v>644</v>
      </c>
      <c r="E5" s="33"/>
      <c r="F5" s="33" t="s">
        <v>644</v>
      </c>
      <c r="G5" s="33"/>
      <c r="H5" s="33"/>
      <c r="I5" s="33" t="s">
        <v>644</v>
      </c>
      <c r="J5" s="33" t="s">
        <v>644</v>
      </c>
      <c r="K5" s="451">
        <v>46282</v>
      </c>
    </row>
    <row r="6" spans="1:20" x14ac:dyDescent="0.25">
      <c r="A6" t="s">
        <v>623</v>
      </c>
      <c r="B6" s="33" t="s">
        <v>644</v>
      </c>
      <c r="C6" s="33" t="s">
        <v>644</v>
      </c>
      <c r="D6" s="33" t="s">
        <v>644</v>
      </c>
      <c r="E6" s="33"/>
      <c r="F6" s="33" t="s">
        <v>644</v>
      </c>
      <c r="G6" s="33"/>
      <c r="H6" s="33"/>
      <c r="I6" s="33" t="s">
        <v>644</v>
      </c>
      <c r="J6" s="33" t="s">
        <v>644</v>
      </c>
      <c r="K6" s="451">
        <v>46261</v>
      </c>
    </row>
    <row r="7" spans="1:20" x14ac:dyDescent="0.25">
      <c r="A7" t="s">
        <v>624</v>
      </c>
      <c r="B7" s="33" t="s">
        <v>644</v>
      </c>
      <c r="C7" s="33" t="s">
        <v>644</v>
      </c>
      <c r="D7" s="33" t="s">
        <v>644</v>
      </c>
      <c r="E7" s="33"/>
      <c r="F7" s="33"/>
      <c r="G7" s="33"/>
      <c r="H7" s="33"/>
      <c r="I7" s="33" t="s">
        <v>644</v>
      </c>
      <c r="J7" s="33" t="s">
        <v>644</v>
      </c>
      <c r="K7" s="451">
        <v>46296</v>
      </c>
    </row>
    <row r="8" spans="1:20" x14ac:dyDescent="0.25">
      <c r="A8" s="136" t="s">
        <v>625</v>
      </c>
      <c r="B8" s="33"/>
      <c r="C8" s="33"/>
      <c r="D8" s="33"/>
      <c r="E8" s="33"/>
      <c r="F8" s="33"/>
      <c r="G8" s="33"/>
      <c r="H8" s="33"/>
      <c r="I8" s="33"/>
      <c r="J8" s="33"/>
      <c r="K8" s="451">
        <v>46319</v>
      </c>
    </row>
    <row r="9" spans="1:20" x14ac:dyDescent="0.25">
      <c r="A9" t="s">
        <v>626</v>
      </c>
      <c r="B9" s="33" t="s">
        <v>644</v>
      </c>
      <c r="C9" s="33" t="s">
        <v>644</v>
      </c>
      <c r="D9" s="33" t="s">
        <v>644</v>
      </c>
      <c r="E9" s="33"/>
      <c r="F9" s="33" t="s">
        <v>644</v>
      </c>
      <c r="G9" s="33"/>
      <c r="H9" s="33"/>
      <c r="I9" s="33" t="s">
        <v>644</v>
      </c>
      <c r="J9" s="33" t="s">
        <v>644</v>
      </c>
      <c r="K9" s="451">
        <v>46308</v>
      </c>
    </row>
    <row r="10" spans="1:20" x14ac:dyDescent="0.25">
      <c r="A10" t="s">
        <v>627</v>
      </c>
      <c r="B10" s="33" t="s">
        <v>644</v>
      </c>
      <c r="C10" s="33" t="s">
        <v>644</v>
      </c>
      <c r="D10" s="33" t="s">
        <v>644</v>
      </c>
      <c r="E10" s="33"/>
      <c r="F10" s="33" t="s">
        <v>644</v>
      </c>
      <c r="G10" s="33"/>
      <c r="H10" s="33"/>
      <c r="I10" s="33" t="s">
        <v>644</v>
      </c>
      <c r="J10" s="33" t="s">
        <v>644</v>
      </c>
      <c r="K10" s="451">
        <v>46307</v>
      </c>
    </row>
    <row r="11" spans="1:20" x14ac:dyDescent="0.25">
      <c r="A11" t="s">
        <v>634</v>
      </c>
      <c r="B11" s="33" t="s">
        <v>644</v>
      </c>
      <c r="C11" s="33" t="s">
        <v>644</v>
      </c>
      <c r="D11" s="33" t="s">
        <v>644</v>
      </c>
      <c r="E11" s="33"/>
      <c r="F11" s="33" t="s">
        <v>644</v>
      </c>
      <c r="G11" s="33"/>
      <c r="H11" s="33"/>
      <c r="I11" s="33" t="s">
        <v>644</v>
      </c>
      <c r="J11" s="33" t="s">
        <v>644</v>
      </c>
      <c r="K11" s="451">
        <v>46294</v>
      </c>
    </row>
    <row r="12" spans="1:20" x14ac:dyDescent="0.25">
      <c r="A12" t="s">
        <v>628</v>
      </c>
      <c r="B12" s="33" t="s">
        <v>644</v>
      </c>
      <c r="C12" s="33" t="s">
        <v>644</v>
      </c>
      <c r="D12" s="33" t="s">
        <v>644</v>
      </c>
      <c r="E12" s="33"/>
      <c r="F12" s="33" t="s">
        <v>644</v>
      </c>
      <c r="G12" s="33"/>
      <c r="H12" s="33"/>
      <c r="I12" s="33" t="s">
        <v>644</v>
      </c>
      <c r="J12" s="33" t="s">
        <v>644</v>
      </c>
      <c r="K12" s="451">
        <v>46274</v>
      </c>
    </row>
    <row r="13" spans="1:20" x14ac:dyDescent="0.25">
      <c r="A13" t="s">
        <v>629</v>
      </c>
      <c r="B13" s="33" t="s">
        <v>644</v>
      </c>
      <c r="C13" s="33" t="s">
        <v>644</v>
      </c>
      <c r="D13" s="33" t="s">
        <v>644</v>
      </c>
      <c r="E13" s="33"/>
      <c r="F13" s="33" t="s">
        <v>644</v>
      </c>
      <c r="G13" s="33"/>
      <c r="H13" s="33"/>
      <c r="I13" s="33" t="s">
        <v>644</v>
      </c>
      <c r="J13" s="33" t="s">
        <v>644</v>
      </c>
      <c r="K13" s="451">
        <v>46297</v>
      </c>
    </row>
    <row r="14" spans="1:20" x14ac:dyDescent="0.25">
      <c r="A14" t="s">
        <v>630</v>
      </c>
      <c r="B14" s="33" t="s">
        <v>644</v>
      </c>
      <c r="C14" s="33" t="s">
        <v>644</v>
      </c>
      <c r="D14" s="33" t="s">
        <v>644</v>
      </c>
      <c r="E14" s="33"/>
      <c r="F14" s="33" t="s">
        <v>644</v>
      </c>
      <c r="G14" s="33"/>
      <c r="H14" s="33"/>
      <c r="I14" s="33" t="s">
        <v>644</v>
      </c>
      <c r="J14" s="33" t="s">
        <v>644</v>
      </c>
      <c r="K14" s="451">
        <v>46282</v>
      </c>
    </row>
    <row r="15" spans="1:20" x14ac:dyDescent="0.25">
      <c r="A15" t="s">
        <v>631</v>
      </c>
      <c r="B15" s="33" t="s">
        <v>644</v>
      </c>
      <c r="C15" s="33" t="s">
        <v>644</v>
      </c>
      <c r="D15" s="33" t="s">
        <v>644</v>
      </c>
      <c r="E15" s="33" t="s">
        <v>644</v>
      </c>
      <c r="F15" s="33" t="s">
        <v>644</v>
      </c>
      <c r="G15" s="33" t="s">
        <v>644</v>
      </c>
      <c r="H15" s="33" t="s">
        <v>644</v>
      </c>
      <c r="I15" s="33" t="s">
        <v>644</v>
      </c>
      <c r="J15" s="33" t="s">
        <v>644</v>
      </c>
      <c r="K15" s="451">
        <v>46269</v>
      </c>
    </row>
    <row r="16" spans="1:20" x14ac:dyDescent="0.25">
      <c r="A16" t="s">
        <v>632</v>
      </c>
      <c r="B16" s="33" t="s">
        <v>644</v>
      </c>
      <c r="C16" s="33" t="s">
        <v>644</v>
      </c>
      <c r="D16" s="33" t="s">
        <v>644</v>
      </c>
      <c r="E16" s="33"/>
      <c r="F16" s="33" t="s">
        <v>644</v>
      </c>
      <c r="G16" s="33"/>
      <c r="H16" s="33"/>
      <c r="I16" s="33" t="s">
        <v>644</v>
      </c>
      <c r="J16" s="33" t="s">
        <v>644</v>
      </c>
      <c r="K16" s="451">
        <v>46272</v>
      </c>
    </row>
    <row r="17" spans="1:11" x14ac:dyDescent="0.25">
      <c r="A17" t="s">
        <v>633</v>
      </c>
      <c r="B17" s="33" t="s">
        <v>644</v>
      </c>
      <c r="C17" s="33" t="s">
        <v>644</v>
      </c>
      <c r="D17" s="33" t="s">
        <v>644</v>
      </c>
      <c r="E17" s="33" t="s">
        <v>644</v>
      </c>
      <c r="F17" s="33" t="s">
        <v>644</v>
      </c>
      <c r="G17" s="33" t="s">
        <v>644</v>
      </c>
      <c r="H17" s="33" t="s">
        <v>644</v>
      </c>
      <c r="I17" s="33" t="s">
        <v>644</v>
      </c>
      <c r="J17" s="33" t="s">
        <v>644</v>
      </c>
      <c r="K17" s="451">
        <v>46272</v>
      </c>
    </row>
    <row r="18" spans="1:11" x14ac:dyDescent="0.25">
      <c r="A18" t="s">
        <v>654</v>
      </c>
      <c r="B18" s="33" t="s">
        <v>644</v>
      </c>
      <c r="C18" s="33" t="s">
        <v>644</v>
      </c>
      <c r="D18" s="33" t="s">
        <v>644</v>
      </c>
      <c r="E18" s="33"/>
      <c r="F18" s="33" t="s">
        <v>644</v>
      </c>
      <c r="G18" s="33" t="s">
        <v>644</v>
      </c>
      <c r="H18" s="33" t="s">
        <v>644</v>
      </c>
      <c r="I18" s="33"/>
      <c r="J18" s="33"/>
      <c r="K18" s="451">
        <v>46317</v>
      </c>
    </row>
  </sheetData>
  <phoneticPr fontId="25" type="noConversion"/>
  <conditionalFormatting sqref="B3:J18">
    <cfRule type="containsBlanks" dxfId="35" priority="1">
      <formula>LEN(TRIM(B3))=0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053B-9433-4AE8-B996-6BECF6A229F9}">
  <sheetPr codeName="Hoja9"/>
  <dimension ref="A1:N121"/>
  <sheetViews>
    <sheetView showGridLines="0" workbookViewId="0">
      <selection activeCell="D15" sqref="D15"/>
    </sheetView>
  </sheetViews>
  <sheetFormatPr baseColWidth="10" defaultColWidth="11.42578125" defaultRowHeight="15" x14ac:dyDescent="0.25"/>
  <cols>
    <col min="1" max="1" width="7.7109375" bestFit="1" customWidth="1"/>
    <col min="2" max="2" width="38" bestFit="1" customWidth="1"/>
    <col min="3" max="3" width="11.85546875" style="95" bestFit="1" customWidth="1"/>
    <col min="4" max="4" width="44" bestFit="1" customWidth="1"/>
    <col min="5" max="5" width="11.42578125" style="203"/>
    <col min="6" max="6" width="13.140625" bestFit="1" customWidth="1"/>
    <col min="7" max="7" width="12" bestFit="1" customWidth="1"/>
    <col min="11" max="11" width="12.5703125" bestFit="1" customWidth="1"/>
    <col min="14" max="14" width="13.28515625" bestFit="1" customWidth="1"/>
  </cols>
  <sheetData>
    <row r="1" spans="1:14" s="76" customFormat="1" x14ac:dyDescent="0.25">
      <c r="A1" s="567" t="s">
        <v>184</v>
      </c>
      <c r="B1" s="567" t="s">
        <v>185</v>
      </c>
      <c r="C1" s="567" t="s">
        <v>186</v>
      </c>
      <c r="D1" s="567" t="s">
        <v>97</v>
      </c>
      <c r="E1" s="568" t="s">
        <v>11</v>
      </c>
      <c r="F1" s="116"/>
      <c r="G1" s="116"/>
      <c r="H1" s="116"/>
      <c r="I1" s="116"/>
      <c r="J1" s="116"/>
    </row>
    <row r="2" spans="1:14" ht="17.25" thickBot="1" x14ac:dyDescent="0.35">
      <c r="A2" s="83" t="s">
        <v>180</v>
      </c>
      <c r="B2" s="84" t="s">
        <v>187</v>
      </c>
      <c r="C2" s="91">
        <v>1</v>
      </c>
      <c r="D2" s="566" t="s">
        <v>14</v>
      </c>
      <c r="N2" t="s">
        <v>13</v>
      </c>
    </row>
    <row r="3" spans="1:14" ht="17.25" thickBot="1" x14ac:dyDescent="0.35">
      <c r="A3" s="83" t="s">
        <v>180</v>
      </c>
      <c r="B3" s="84" t="s">
        <v>187</v>
      </c>
      <c r="C3" s="92">
        <v>1.01</v>
      </c>
      <c r="D3" s="163" t="s">
        <v>40</v>
      </c>
      <c r="N3" t="s">
        <v>22</v>
      </c>
    </row>
    <row r="4" spans="1:14" ht="17.25" thickBot="1" x14ac:dyDescent="0.35">
      <c r="A4" s="83" t="s">
        <v>180</v>
      </c>
      <c r="B4" s="84" t="s">
        <v>187</v>
      </c>
      <c r="C4" s="92">
        <v>1.02</v>
      </c>
      <c r="D4" s="163" t="s">
        <v>41</v>
      </c>
      <c r="N4" t="s">
        <v>329</v>
      </c>
    </row>
    <row r="5" spans="1:14" ht="17.25" thickBot="1" x14ac:dyDescent="0.35">
      <c r="A5" s="83" t="s">
        <v>180</v>
      </c>
      <c r="B5" s="84" t="s">
        <v>187</v>
      </c>
      <c r="C5" s="92">
        <v>1.03</v>
      </c>
      <c r="D5" s="163" t="s">
        <v>42</v>
      </c>
      <c r="N5" t="s">
        <v>265</v>
      </c>
    </row>
    <row r="6" spans="1:14" ht="17.25" thickBot="1" x14ac:dyDescent="0.35">
      <c r="A6" s="83" t="s">
        <v>180</v>
      </c>
      <c r="B6" s="84" t="s">
        <v>187</v>
      </c>
      <c r="C6" s="92">
        <v>1.04</v>
      </c>
      <c r="D6" s="163" t="s">
        <v>43</v>
      </c>
      <c r="N6" t="s">
        <v>335</v>
      </c>
    </row>
    <row r="7" spans="1:14" ht="17.25" thickBot="1" x14ac:dyDescent="0.35">
      <c r="A7" s="83" t="s">
        <v>180</v>
      </c>
      <c r="B7" s="84" t="s">
        <v>187</v>
      </c>
      <c r="C7" s="92">
        <v>1.05</v>
      </c>
      <c r="D7" s="163" t="s">
        <v>45</v>
      </c>
      <c r="N7" t="s">
        <v>411</v>
      </c>
    </row>
    <row r="8" spans="1:14" ht="17.25" thickBot="1" x14ac:dyDescent="0.35">
      <c r="A8" s="83" t="s">
        <v>180</v>
      </c>
      <c r="B8" s="84" t="s">
        <v>187</v>
      </c>
      <c r="C8" s="92">
        <v>1.06</v>
      </c>
      <c r="D8" s="163" t="s">
        <v>17</v>
      </c>
      <c r="N8" t="s">
        <v>561</v>
      </c>
    </row>
    <row r="9" spans="1:14" ht="17.25" thickBot="1" x14ac:dyDescent="0.35">
      <c r="A9" s="83" t="s">
        <v>180</v>
      </c>
      <c r="B9" s="84" t="s">
        <v>187</v>
      </c>
      <c r="C9" s="92" t="s">
        <v>188</v>
      </c>
      <c r="D9" s="163" t="s">
        <v>18</v>
      </c>
    </row>
    <row r="10" spans="1:14" ht="17.25" thickBot="1" x14ac:dyDescent="0.35">
      <c r="A10" s="83" t="s">
        <v>180</v>
      </c>
      <c r="B10" s="84" t="s">
        <v>187</v>
      </c>
      <c r="C10" s="92" t="s">
        <v>189</v>
      </c>
      <c r="D10" s="163" t="s">
        <v>19</v>
      </c>
    </row>
    <row r="11" spans="1:14" ht="17.25" thickBot="1" x14ac:dyDescent="0.35">
      <c r="A11" s="83" t="s">
        <v>180</v>
      </c>
      <c r="B11" s="84" t="s">
        <v>187</v>
      </c>
      <c r="C11" s="92">
        <v>1.07</v>
      </c>
      <c r="D11" s="163" t="s">
        <v>52</v>
      </c>
    </row>
    <row r="12" spans="1:14" ht="17.25" thickBot="1" x14ac:dyDescent="0.35">
      <c r="A12" s="83" t="s">
        <v>180</v>
      </c>
      <c r="B12" s="84" t="s">
        <v>187</v>
      </c>
      <c r="C12" s="92">
        <v>1.08</v>
      </c>
      <c r="D12" s="163" t="s">
        <v>53</v>
      </c>
    </row>
    <row r="13" spans="1:14" ht="17.25" thickBot="1" x14ac:dyDescent="0.35">
      <c r="A13" s="83" t="s">
        <v>180</v>
      </c>
      <c r="B13" s="84" t="s">
        <v>187</v>
      </c>
      <c r="C13" s="92">
        <v>1.0900000000000001</v>
      </c>
      <c r="D13" s="163" t="s">
        <v>44</v>
      </c>
    </row>
    <row r="14" spans="1:14" ht="17.25" thickBot="1" x14ac:dyDescent="0.35">
      <c r="A14" s="83" t="s">
        <v>180</v>
      </c>
      <c r="B14" s="84" t="s">
        <v>187</v>
      </c>
      <c r="C14" s="92">
        <v>1.1000000000000001</v>
      </c>
      <c r="D14" s="163" t="s">
        <v>67</v>
      </c>
    </row>
    <row r="15" spans="1:14" ht="17.25" thickBot="1" x14ac:dyDescent="0.35">
      <c r="A15" s="83" t="s">
        <v>180</v>
      </c>
      <c r="B15" s="84" t="s">
        <v>187</v>
      </c>
      <c r="C15" s="92">
        <v>1.1100000000000001</v>
      </c>
      <c r="D15" s="163" t="s">
        <v>51</v>
      </c>
    </row>
    <row r="16" spans="1:14" ht="17.25" thickBot="1" x14ac:dyDescent="0.35">
      <c r="A16" s="83" t="s">
        <v>180</v>
      </c>
      <c r="B16" s="84" t="s">
        <v>187</v>
      </c>
      <c r="C16" s="92" t="s">
        <v>190</v>
      </c>
      <c r="D16" s="163" t="s">
        <v>170</v>
      </c>
    </row>
    <row r="17" spans="1:4" ht="17.25" thickBot="1" x14ac:dyDescent="0.35">
      <c r="A17" s="83" t="s">
        <v>180</v>
      </c>
      <c r="B17" s="84" t="s">
        <v>187</v>
      </c>
      <c r="C17" s="92">
        <v>1.1200000000000001</v>
      </c>
      <c r="D17" s="163" t="s">
        <v>57</v>
      </c>
    </row>
    <row r="18" spans="1:4" ht="17.25" thickBot="1" x14ac:dyDescent="0.35">
      <c r="A18" s="83" t="s">
        <v>180</v>
      </c>
      <c r="B18" s="84" t="s">
        <v>187</v>
      </c>
      <c r="C18" s="92">
        <v>1.1299999999999999</v>
      </c>
      <c r="D18" s="163" t="s">
        <v>58</v>
      </c>
    </row>
    <row r="19" spans="1:4" ht="17.25" thickBot="1" x14ac:dyDescent="0.35">
      <c r="A19" s="83" t="s">
        <v>180</v>
      </c>
      <c r="B19" s="84" t="s">
        <v>187</v>
      </c>
      <c r="C19" s="92">
        <v>1.1399999999999999</v>
      </c>
      <c r="D19" s="163" t="s">
        <v>20</v>
      </c>
    </row>
    <row r="20" spans="1:4" ht="17.25" thickBot="1" x14ac:dyDescent="0.35">
      <c r="A20" s="83" t="s">
        <v>180</v>
      </c>
      <c r="B20" s="84" t="s">
        <v>187</v>
      </c>
      <c r="C20" s="92" t="s">
        <v>191</v>
      </c>
      <c r="D20" s="163" t="s">
        <v>47</v>
      </c>
    </row>
    <row r="21" spans="1:4" ht="17.25" thickBot="1" x14ac:dyDescent="0.35">
      <c r="A21" s="83" t="s">
        <v>180</v>
      </c>
      <c r="B21" s="84" t="s">
        <v>187</v>
      </c>
      <c r="C21" s="92" t="s">
        <v>192</v>
      </c>
      <c r="D21" s="163" t="s">
        <v>48</v>
      </c>
    </row>
    <row r="22" spans="1:4" ht="17.25" thickBot="1" x14ac:dyDescent="0.35">
      <c r="A22" s="83" t="s">
        <v>180</v>
      </c>
      <c r="B22" s="84" t="s">
        <v>187</v>
      </c>
      <c r="C22" s="92" t="s">
        <v>193</v>
      </c>
      <c r="D22" s="163" t="s">
        <v>49</v>
      </c>
    </row>
    <row r="23" spans="1:4" ht="17.25" thickBot="1" x14ac:dyDescent="0.35">
      <c r="A23" s="83" t="s">
        <v>180</v>
      </c>
      <c r="B23" s="84" t="s">
        <v>187</v>
      </c>
      <c r="C23" s="92" t="s">
        <v>194</v>
      </c>
      <c r="D23" s="163" t="s">
        <v>172</v>
      </c>
    </row>
    <row r="24" spans="1:4" ht="17.25" thickBot="1" x14ac:dyDescent="0.35">
      <c r="A24" s="83" t="s">
        <v>180</v>
      </c>
      <c r="B24" s="84" t="s">
        <v>187</v>
      </c>
      <c r="C24" s="92">
        <v>1.1499999999999999</v>
      </c>
      <c r="D24" s="163" t="s">
        <v>65</v>
      </c>
    </row>
    <row r="25" spans="1:4" ht="17.25" thickBot="1" x14ac:dyDescent="0.35">
      <c r="A25" s="83" t="s">
        <v>180</v>
      </c>
      <c r="B25" s="84" t="s">
        <v>187</v>
      </c>
      <c r="C25" s="92" t="s">
        <v>195</v>
      </c>
      <c r="D25" s="163" t="s">
        <v>61</v>
      </c>
    </row>
    <row r="26" spans="1:4" ht="17.25" thickBot="1" x14ac:dyDescent="0.35">
      <c r="A26" s="83" t="s">
        <v>180</v>
      </c>
      <c r="B26" s="84" t="s">
        <v>187</v>
      </c>
      <c r="C26" s="92" t="s">
        <v>196</v>
      </c>
      <c r="D26" s="163" t="s">
        <v>62</v>
      </c>
    </row>
    <row r="27" spans="1:4" ht="17.25" thickBot="1" x14ac:dyDescent="0.35">
      <c r="A27" s="83" t="s">
        <v>180</v>
      </c>
      <c r="B27" s="84" t="s">
        <v>187</v>
      </c>
      <c r="C27" s="92" t="s">
        <v>197</v>
      </c>
      <c r="D27" s="163" t="s">
        <v>63</v>
      </c>
    </row>
    <row r="28" spans="1:4" ht="17.25" thickBot="1" x14ac:dyDescent="0.35">
      <c r="A28" s="83" t="s">
        <v>180</v>
      </c>
      <c r="B28" s="84" t="s">
        <v>187</v>
      </c>
      <c r="C28" s="92" t="s">
        <v>198</v>
      </c>
      <c r="D28" s="163" t="s">
        <v>70</v>
      </c>
    </row>
    <row r="29" spans="1:4" ht="17.25" thickBot="1" x14ac:dyDescent="0.35">
      <c r="A29" s="83" t="s">
        <v>180</v>
      </c>
      <c r="B29" s="84" t="s">
        <v>187</v>
      </c>
      <c r="C29" s="92" t="s">
        <v>199</v>
      </c>
      <c r="D29" s="163" t="s">
        <v>50</v>
      </c>
    </row>
    <row r="30" spans="1:4" ht="17.25" thickBot="1" x14ac:dyDescent="0.35">
      <c r="A30" s="83" t="s">
        <v>180</v>
      </c>
      <c r="B30" s="84" t="s">
        <v>187</v>
      </c>
      <c r="C30" s="92" t="s">
        <v>200</v>
      </c>
      <c r="D30" s="163" t="s">
        <v>66</v>
      </c>
    </row>
    <row r="31" spans="1:4" ht="17.25" thickBot="1" x14ac:dyDescent="0.35">
      <c r="A31" s="83" t="s">
        <v>180</v>
      </c>
      <c r="B31" s="84" t="s">
        <v>187</v>
      </c>
      <c r="C31" s="92" t="s">
        <v>201</v>
      </c>
      <c r="D31" s="163" t="s">
        <v>344</v>
      </c>
    </row>
    <row r="32" spans="1:4" ht="17.25" thickBot="1" x14ac:dyDescent="0.35">
      <c r="A32" s="83" t="s">
        <v>180</v>
      </c>
      <c r="B32" s="84" t="s">
        <v>187</v>
      </c>
      <c r="C32" s="92" t="s">
        <v>202</v>
      </c>
      <c r="D32" s="163" t="s">
        <v>68</v>
      </c>
    </row>
    <row r="33" spans="1:4" ht="17.25" thickBot="1" x14ac:dyDescent="0.35">
      <c r="A33" s="83" t="s">
        <v>180</v>
      </c>
      <c r="B33" s="84" t="s">
        <v>187</v>
      </c>
      <c r="C33" s="92" t="s">
        <v>203</v>
      </c>
      <c r="D33" s="163" t="s">
        <v>69</v>
      </c>
    </row>
    <row r="34" spans="1:4" ht="17.25" thickBot="1" x14ac:dyDescent="0.35">
      <c r="A34" s="83" t="s">
        <v>180</v>
      </c>
      <c r="B34" s="84" t="s">
        <v>187</v>
      </c>
      <c r="C34" s="92">
        <v>1.1599999999999999</v>
      </c>
      <c r="D34" s="163" t="s">
        <v>59</v>
      </c>
    </row>
    <row r="35" spans="1:4" ht="17.25" thickBot="1" x14ac:dyDescent="0.35">
      <c r="A35" s="83" t="s">
        <v>180</v>
      </c>
      <c r="B35" s="84" t="s">
        <v>187</v>
      </c>
      <c r="C35" s="92">
        <v>1.17</v>
      </c>
      <c r="D35" s="163" t="s">
        <v>60</v>
      </c>
    </row>
    <row r="36" spans="1:4" ht="17.25" thickBot="1" x14ac:dyDescent="0.35">
      <c r="A36" s="83" t="s">
        <v>180</v>
      </c>
      <c r="B36" s="84" t="s">
        <v>187</v>
      </c>
      <c r="C36" s="92">
        <v>1.18</v>
      </c>
      <c r="D36" s="163" t="s">
        <v>21</v>
      </c>
    </row>
    <row r="37" spans="1:4" ht="17.25" thickBot="1" x14ac:dyDescent="0.35">
      <c r="A37" s="83" t="s">
        <v>180</v>
      </c>
      <c r="B37" s="84" t="s">
        <v>187</v>
      </c>
      <c r="C37" s="92">
        <v>1.19</v>
      </c>
      <c r="D37" s="163" t="s">
        <v>37</v>
      </c>
    </row>
    <row r="38" spans="1:4" ht="17.25" thickBot="1" x14ac:dyDescent="0.35">
      <c r="A38" s="83" t="s">
        <v>180</v>
      </c>
      <c r="B38" s="84" t="s">
        <v>187</v>
      </c>
      <c r="C38" s="92" t="s">
        <v>204</v>
      </c>
      <c r="D38" s="163" t="s">
        <v>71</v>
      </c>
    </row>
    <row r="39" spans="1:4" ht="17.25" thickBot="1" x14ac:dyDescent="0.35">
      <c r="A39" s="83" t="s">
        <v>180</v>
      </c>
      <c r="B39" s="84" t="s">
        <v>187</v>
      </c>
      <c r="C39" s="92" t="s">
        <v>205</v>
      </c>
      <c r="D39" s="163" t="s">
        <v>72</v>
      </c>
    </row>
    <row r="40" spans="1:4" ht="17.25" thickBot="1" x14ac:dyDescent="0.35">
      <c r="A40" s="83" t="s">
        <v>180</v>
      </c>
      <c r="B40" s="84" t="s">
        <v>187</v>
      </c>
      <c r="C40" s="92">
        <v>1.2</v>
      </c>
      <c r="D40" s="163" t="s">
        <v>38</v>
      </c>
    </row>
    <row r="41" spans="1:4" ht="17.25" thickBot="1" x14ac:dyDescent="0.35">
      <c r="A41" s="83" t="s">
        <v>180</v>
      </c>
      <c r="B41" s="84" t="s">
        <v>187</v>
      </c>
      <c r="C41" s="92" t="s">
        <v>206</v>
      </c>
      <c r="D41" s="163" t="s">
        <v>46</v>
      </c>
    </row>
    <row r="42" spans="1:4" ht="17.25" thickBot="1" x14ac:dyDescent="0.35">
      <c r="A42" s="85" t="s">
        <v>181</v>
      </c>
      <c r="B42" s="86" t="s">
        <v>27</v>
      </c>
      <c r="C42" s="93">
        <v>2</v>
      </c>
      <c r="D42" s="87" t="s">
        <v>27</v>
      </c>
    </row>
    <row r="43" spans="1:4" ht="17.25" thickBot="1" x14ac:dyDescent="0.35">
      <c r="A43" s="85" t="s">
        <v>181</v>
      </c>
      <c r="B43" s="86" t="s">
        <v>27</v>
      </c>
      <c r="C43" s="93">
        <v>2.0099999999999998</v>
      </c>
      <c r="D43" s="87" t="s">
        <v>73</v>
      </c>
    </row>
    <row r="44" spans="1:4" ht="17.25" thickBot="1" x14ac:dyDescent="0.35">
      <c r="A44" s="85" t="s">
        <v>181</v>
      </c>
      <c r="B44" s="86" t="s">
        <v>27</v>
      </c>
      <c r="C44" s="93">
        <v>2.02</v>
      </c>
      <c r="D44" s="87" t="s">
        <v>64</v>
      </c>
    </row>
    <row r="45" spans="1:4" ht="17.25" thickBot="1" x14ac:dyDescent="0.35">
      <c r="A45" s="85" t="s">
        <v>181</v>
      </c>
      <c r="B45" s="86" t="s">
        <v>27</v>
      </c>
      <c r="C45" s="93">
        <v>2.0299999999999998</v>
      </c>
      <c r="D45" s="87" t="s">
        <v>55</v>
      </c>
    </row>
    <row r="46" spans="1:4" ht="17.25" thickBot="1" x14ac:dyDescent="0.35">
      <c r="A46" s="85" t="s">
        <v>181</v>
      </c>
      <c r="B46" s="86" t="s">
        <v>27</v>
      </c>
      <c r="C46" s="93">
        <v>2.04</v>
      </c>
      <c r="D46" s="87" t="s">
        <v>54</v>
      </c>
    </row>
    <row r="47" spans="1:4" ht="17.25" thickBot="1" x14ac:dyDescent="0.35">
      <c r="A47" s="85" t="s">
        <v>181</v>
      </c>
      <c r="B47" s="86" t="s">
        <v>27</v>
      </c>
      <c r="C47" s="93">
        <v>2.0499999999999998</v>
      </c>
      <c r="D47" s="87" t="s">
        <v>35</v>
      </c>
    </row>
    <row r="48" spans="1:4" ht="17.25" thickBot="1" x14ac:dyDescent="0.35">
      <c r="A48" s="85" t="s">
        <v>181</v>
      </c>
      <c r="B48" s="86" t="s">
        <v>27</v>
      </c>
      <c r="C48" s="93" t="s">
        <v>207</v>
      </c>
      <c r="D48" s="87" t="s">
        <v>74</v>
      </c>
    </row>
    <row r="49" spans="1:7" ht="17.25" thickBot="1" x14ac:dyDescent="0.35">
      <c r="A49" s="85" t="s">
        <v>181</v>
      </c>
      <c r="B49" s="86" t="s">
        <v>27</v>
      </c>
      <c r="C49" s="93">
        <v>2.06</v>
      </c>
      <c r="D49" s="87" t="s">
        <v>34</v>
      </c>
    </row>
    <row r="50" spans="1:7" ht="17.25" thickBot="1" x14ac:dyDescent="0.35">
      <c r="A50" s="85" t="s">
        <v>181</v>
      </c>
      <c r="B50" s="86" t="s">
        <v>27</v>
      </c>
      <c r="C50" s="93">
        <v>2.0699999999999998</v>
      </c>
      <c r="D50" s="87" t="s">
        <v>56</v>
      </c>
    </row>
    <row r="51" spans="1:7" ht="17.25" thickBot="1" x14ac:dyDescent="0.35">
      <c r="A51" s="85" t="s">
        <v>181</v>
      </c>
      <c r="B51" s="86" t="s">
        <v>27</v>
      </c>
      <c r="C51" s="93">
        <v>2.08</v>
      </c>
      <c r="D51" s="87" t="s">
        <v>32</v>
      </c>
    </row>
    <row r="52" spans="1:7" ht="17.25" thickBot="1" x14ac:dyDescent="0.35">
      <c r="A52" s="85" t="s">
        <v>181</v>
      </c>
      <c r="B52" s="86" t="s">
        <v>27</v>
      </c>
      <c r="C52" s="93">
        <v>2.09</v>
      </c>
      <c r="D52" s="87" t="s">
        <v>33</v>
      </c>
    </row>
    <row r="53" spans="1:7" ht="17.25" thickBot="1" x14ac:dyDescent="0.35">
      <c r="A53" s="85" t="s">
        <v>181</v>
      </c>
      <c r="B53" s="86" t="s">
        <v>27</v>
      </c>
      <c r="C53" s="93">
        <v>2.1</v>
      </c>
      <c r="D53" s="87" t="s">
        <v>26</v>
      </c>
    </row>
    <row r="54" spans="1:7" ht="17.25" thickBot="1" x14ac:dyDescent="0.35">
      <c r="A54" s="85" t="s">
        <v>181</v>
      </c>
      <c r="B54" s="86" t="s">
        <v>27</v>
      </c>
      <c r="C54" s="93">
        <v>2.11</v>
      </c>
      <c r="D54" s="87" t="s">
        <v>23</v>
      </c>
    </row>
    <row r="55" spans="1:7" ht="17.25" thickBot="1" x14ac:dyDescent="0.35">
      <c r="A55" s="85" t="s">
        <v>181</v>
      </c>
      <c r="B55" s="86" t="s">
        <v>27</v>
      </c>
      <c r="C55" s="93" t="s">
        <v>208</v>
      </c>
      <c r="D55" s="87" t="s">
        <v>39</v>
      </c>
    </row>
    <row r="56" spans="1:7" ht="17.25" thickBot="1" x14ac:dyDescent="0.35">
      <c r="A56" s="85" t="s">
        <v>181</v>
      </c>
      <c r="B56" s="86" t="s">
        <v>27</v>
      </c>
      <c r="C56" s="93" t="s">
        <v>209</v>
      </c>
      <c r="D56" s="87" t="s">
        <v>24</v>
      </c>
      <c r="G56" s="364" t="s">
        <v>461</v>
      </c>
    </row>
    <row r="57" spans="1:7" ht="17.25" thickBot="1" x14ac:dyDescent="0.35">
      <c r="A57" s="85" t="s">
        <v>181</v>
      </c>
      <c r="B57" s="86" t="s">
        <v>27</v>
      </c>
      <c r="C57" s="93" t="s">
        <v>210</v>
      </c>
      <c r="D57" s="87" t="s">
        <v>25</v>
      </c>
      <c r="G57" s="365">
        <v>46152</v>
      </c>
    </row>
    <row r="58" spans="1:7" ht="17.25" thickBot="1" x14ac:dyDescent="0.35">
      <c r="A58" s="88" t="s">
        <v>211</v>
      </c>
      <c r="B58" s="89" t="s">
        <v>212</v>
      </c>
      <c r="C58" s="94">
        <v>3</v>
      </c>
      <c r="D58" s="90" t="s">
        <v>212</v>
      </c>
      <c r="E58" s="203">
        <v>24358</v>
      </c>
      <c r="G58" s="364" t="s">
        <v>455</v>
      </c>
    </row>
    <row r="59" spans="1:7" ht="17.25" thickBot="1" x14ac:dyDescent="0.35">
      <c r="A59" s="88" t="s">
        <v>211</v>
      </c>
      <c r="B59" s="89" t="s">
        <v>212</v>
      </c>
      <c r="C59" s="94">
        <v>3.01</v>
      </c>
      <c r="D59" s="90" t="s">
        <v>213</v>
      </c>
      <c r="E59" s="203">
        <v>26</v>
      </c>
      <c r="G59" s="366" t="s">
        <v>456</v>
      </c>
    </row>
    <row r="60" spans="1:7" ht="17.25" thickBot="1" x14ac:dyDescent="0.35">
      <c r="A60" s="88" t="s">
        <v>211</v>
      </c>
      <c r="B60" s="89" t="s">
        <v>212</v>
      </c>
      <c r="C60" s="94">
        <v>3.02</v>
      </c>
      <c r="D60" s="90" t="s">
        <v>214</v>
      </c>
      <c r="E60" s="203">
        <v>9</v>
      </c>
      <c r="G60" s="366" t="s">
        <v>457</v>
      </c>
    </row>
    <row r="61" spans="1:7" ht="17.25" thickBot="1" x14ac:dyDescent="0.35">
      <c r="A61" s="88" t="s">
        <v>211</v>
      </c>
      <c r="B61" s="89" t="s">
        <v>212</v>
      </c>
      <c r="C61" s="94">
        <v>3.03</v>
      </c>
      <c r="D61" s="90" t="s">
        <v>215</v>
      </c>
      <c r="E61" s="203">
        <v>1880</v>
      </c>
      <c r="G61" s="366" t="s">
        <v>458</v>
      </c>
    </row>
    <row r="62" spans="1:7" ht="17.25" thickBot="1" x14ac:dyDescent="0.35">
      <c r="A62" s="88" t="s">
        <v>211</v>
      </c>
      <c r="B62" s="89" t="s">
        <v>212</v>
      </c>
      <c r="C62" s="94">
        <v>3.04</v>
      </c>
      <c r="D62" s="90" t="s">
        <v>216</v>
      </c>
      <c r="E62" s="203">
        <v>119.5</v>
      </c>
      <c r="G62" s="366" t="s">
        <v>459</v>
      </c>
    </row>
    <row r="63" spans="1:7" ht="17.25" thickBot="1" x14ac:dyDescent="0.35">
      <c r="A63" s="88" t="s">
        <v>211</v>
      </c>
      <c r="B63" s="89" t="s">
        <v>212</v>
      </c>
      <c r="C63" s="94">
        <v>3.05</v>
      </c>
      <c r="D63" s="90" t="s">
        <v>217</v>
      </c>
      <c r="E63" s="203">
        <v>5872</v>
      </c>
      <c r="G63" s="366" t="s">
        <v>460</v>
      </c>
    </row>
    <row r="64" spans="1:7" ht="17.25" thickBot="1" x14ac:dyDescent="0.35">
      <c r="A64" s="88" t="s">
        <v>211</v>
      </c>
      <c r="B64" s="89" t="s">
        <v>212</v>
      </c>
      <c r="C64" s="94">
        <v>3.06</v>
      </c>
      <c r="D64" s="90" t="s">
        <v>218</v>
      </c>
      <c r="E64" s="203">
        <v>1436</v>
      </c>
    </row>
    <row r="65" spans="1:5" ht="17.25" thickBot="1" x14ac:dyDescent="0.35">
      <c r="A65" s="88" t="s">
        <v>211</v>
      </c>
      <c r="B65" s="89" t="s">
        <v>212</v>
      </c>
      <c r="C65" s="94" t="s">
        <v>347</v>
      </c>
      <c r="D65" s="90" t="s">
        <v>341</v>
      </c>
      <c r="E65" s="387" t="e">
        <v>#N/A</v>
      </c>
    </row>
    <row r="66" spans="1:5" ht="17.25" thickBot="1" x14ac:dyDescent="0.35">
      <c r="A66" s="88" t="s">
        <v>211</v>
      </c>
      <c r="B66" s="89" t="s">
        <v>212</v>
      </c>
      <c r="C66" s="94">
        <v>3.07</v>
      </c>
      <c r="D66" s="90" t="s">
        <v>219</v>
      </c>
      <c r="E66" s="203">
        <v>373</v>
      </c>
    </row>
    <row r="67" spans="1:5" ht="17.25" thickBot="1" x14ac:dyDescent="0.35">
      <c r="A67" s="88" t="s">
        <v>211</v>
      </c>
      <c r="B67" s="89" t="s">
        <v>212</v>
      </c>
      <c r="C67" s="385">
        <v>3.08</v>
      </c>
      <c r="D67" s="386" t="s">
        <v>220</v>
      </c>
      <c r="E67" s="387" t="e">
        <v>#N/A</v>
      </c>
    </row>
    <row r="68" spans="1:5" ht="17.25" thickBot="1" x14ac:dyDescent="0.35">
      <c r="A68" s="88" t="s">
        <v>211</v>
      </c>
      <c r="B68" s="89" t="s">
        <v>212</v>
      </c>
      <c r="C68" s="94">
        <v>3.09</v>
      </c>
      <c r="D68" s="90" t="s">
        <v>221</v>
      </c>
      <c r="E68" s="203">
        <v>11</v>
      </c>
    </row>
    <row r="69" spans="1:5" ht="17.25" thickBot="1" x14ac:dyDescent="0.35">
      <c r="A69" s="88" t="s">
        <v>211</v>
      </c>
      <c r="B69" s="89" t="s">
        <v>212</v>
      </c>
      <c r="C69" s="94">
        <v>3.1</v>
      </c>
      <c r="D69" s="90" t="s">
        <v>222</v>
      </c>
      <c r="E69" s="203">
        <v>14</v>
      </c>
    </row>
    <row r="70" spans="1:5" ht="17.25" thickBot="1" x14ac:dyDescent="0.35">
      <c r="A70" s="88" t="s">
        <v>211</v>
      </c>
      <c r="B70" s="89" t="s">
        <v>212</v>
      </c>
      <c r="C70" s="94">
        <v>3.11</v>
      </c>
      <c r="D70" s="90" t="s">
        <v>223</v>
      </c>
      <c r="E70" s="203">
        <v>20</v>
      </c>
    </row>
    <row r="71" spans="1:5" ht="17.25" thickBot="1" x14ac:dyDescent="0.35">
      <c r="A71" s="88" t="s">
        <v>211</v>
      </c>
      <c r="B71" s="89" t="s">
        <v>212</v>
      </c>
      <c r="C71" s="94">
        <v>3.12</v>
      </c>
      <c r="D71" s="90" t="s">
        <v>224</v>
      </c>
      <c r="E71" s="203">
        <v>6</v>
      </c>
    </row>
    <row r="72" spans="1:5" ht="17.25" thickBot="1" x14ac:dyDescent="0.35">
      <c r="A72" s="88" t="s">
        <v>211</v>
      </c>
      <c r="B72" s="89" t="s">
        <v>212</v>
      </c>
      <c r="C72" s="94">
        <v>3.13</v>
      </c>
      <c r="D72" s="90" t="s">
        <v>225</v>
      </c>
      <c r="E72" s="203">
        <v>5788</v>
      </c>
    </row>
    <row r="73" spans="1:5" ht="17.25" thickBot="1" x14ac:dyDescent="0.35">
      <c r="A73" s="88" t="s">
        <v>211</v>
      </c>
      <c r="B73" s="89" t="s">
        <v>212</v>
      </c>
      <c r="C73" s="94" t="s">
        <v>226</v>
      </c>
      <c r="D73" s="90" t="s">
        <v>227</v>
      </c>
      <c r="E73" s="203">
        <v>18</v>
      </c>
    </row>
    <row r="74" spans="1:5" ht="17.25" thickBot="1" x14ac:dyDescent="0.35">
      <c r="A74" s="88" t="s">
        <v>211</v>
      </c>
      <c r="B74" s="89" t="s">
        <v>212</v>
      </c>
      <c r="C74" s="385" t="s">
        <v>228</v>
      </c>
      <c r="D74" s="386" t="s">
        <v>229</v>
      </c>
      <c r="E74" s="387" t="e">
        <v>#N/A</v>
      </c>
    </row>
    <row r="75" spans="1:5" ht="17.25" thickBot="1" x14ac:dyDescent="0.35">
      <c r="A75" s="88" t="s">
        <v>211</v>
      </c>
      <c r="B75" s="89" t="s">
        <v>212</v>
      </c>
      <c r="C75" s="94" t="s">
        <v>230</v>
      </c>
      <c r="D75" s="90" t="s">
        <v>231</v>
      </c>
      <c r="E75" s="203">
        <v>7</v>
      </c>
    </row>
    <row r="76" spans="1:5" ht="17.25" thickBot="1" x14ac:dyDescent="0.35">
      <c r="A76" s="88" t="s">
        <v>211</v>
      </c>
      <c r="B76" s="89" t="s">
        <v>212</v>
      </c>
      <c r="C76" s="94" t="s">
        <v>232</v>
      </c>
      <c r="D76" s="90" t="s">
        <v>233</v>
      </c>
      <c r="E76" s="203">
        <v>2</v>
      </c>
    </row>
    <row r="77" spans="1:5" ht="17.25" thickBot="1" x14ac:dyDescent="0.35">
      <c r="A77" s="88" t="s">
        <v>211</v>
      </c>
      <c r="B77" s="89" t="s">
        <v>212</v>
      </c>
      <c r="C77" s="94" t="s">
        <v>234</v>
      </c>
      <c r="D77" s="90" t="s">
        <v>235</v>
      </c>
      <c r="E77" s="387" t="e">
        <v>#N/A</v>
      </c>
    </row>
    <row r="78" spans="1:5" ht="17.25" thickBot="1" x14ac:dyDescent="0.35">
      <c r="A78" s="88" t="s">
        <v>211</v>
      </c>
      <c r="B78" s="89" t="s">
        <v>212</v>
      </c>
      <c r="C78" s="94" t="s">
        <v>236</v>
      </c>
      <c r="D78" s="90" t="s">
        <v>237</v>
      </c>
      <c r="E78" s="203">
        <v>127</v>
      </c>
    </row>
    <row r="79" spans="1:5" ht="17.25" thickBot="1" x14ac:dyDescent="0.35">
      <c r="A79" s="88" t="s">
        <v>211</v>
      </c>
      <c r="B79" s="89" t="s">
        <v>212</v>
      </c>
      <c r="C79" s="94" t="s">
        <v>238</v>
      </c>
      <c r="D79" s="90" t="s">
        <v>239</v>
      </c>
      <c r="E79" s="203">
        <v>487</v>
      </c>
    </row>
    <row r="80" spans="1:5" ht="17.25" thickBot="1" x14ac:dyDescent="0.35">
      <c r="A80" s="88" t="s">
        <v>211</v>
      </c>
      <c r="B80" s="89" t="s">
        <v>212</v>
      </c>
      <c r="C80" s="385">
        <v>3.14</v>
      </c>
      <c r="D80" s="386" t="s">
        <v>240</v>
      </c>
      <c r="E80" s="387" t="e">
        <v>#N/A</v>
      </c>
    </row>
    <row r="81" spans="1:5" ht="17.25" thickBot="1" x14ac:dyDescent="0.35">
      <c r="A81" s="88" t="s">
        <v>211</v>
      </c>
      <c r="B81" s="89" t="s">
        <v>212</v>
      </c>
      <c r="C81" s="94">
        <v>3.15</v>
      </c>
      <c r="D81" s="90" t="s">
        <v>241</v>
      </c>
      <c r="E81" s="203">
        <v>45</v>
      </c>
    </row>
    <row r="82" spans="1:5" ht="17.25" thickBot="1" x14ac:dyDescent="0.35">
      <c r="A82" s="88" t="s">
        <v>211</v>
      </c>
      <c r="B82" s="89" t="s">
        <v>212</v>
      </c>
      <c r="C82" s="94">
        <v>3.16</v>
      </c>
      <c r="D82" s="90" t="s">
        <v>242</v>
      </c>
      <c r="E82" s="203">
        <v>62</v>
      </c>
    </row>
    <row r="83" spans="1:5" ht="17.25" thickBot="1" x14ac:dyDescent="0.35">
      <c r="A83" s="88" t="s">
        <v>211</v>
      </c>
      <c r="B83" s="89" t="s">
        <v>212</v>
      </c>
      <c r="C83" s="94">
        <v>3.17</v>
      </c>
      <c r="D83" s="90" t="s">
        <v>243</v>
      </c>
      <c r="E83" s="203">
        <v>7</v>
      </c>
    </row>
    <row r="84" spans="1:5" ht="17.25" thickBot="1" x14ac:dyDescent="0.35">
      <c r="A84" s="88" t="s">
        <v>211</v>
      </c>
      <c r="B84" s="89" t="s">
        <v>212</v>
      </c>
      <c r="C84" s="94">
        <v>3.18</v>
      </c>
      <c r="D84" s="90" t="s">
        <v>244</v>
      </c>
      <c r="E84" s="203">
        <v>469</v>
      </c>
    </row>
    <row r="85" spans="1:5" ht="17.25" thickBot="1" x14ac:dyDescent="0.35">
      <c r="A85" s="88" t="s">
        <v>211</v>
      </c>
      <c r="B85" s="89" t="s">
        <v>212</v>
      </c>
      <c r="C85" s="94">
        <v>3.19</v>
      </c>
      <c r="D85" s="90" t="s">
        <v>245</v>
      </c>
      <c r="E85" s="203">
        <v>93</v>
      </c>
    </row>
    <row r="86" spans="1:5" ht="17.25" thickBot="1" x14ac:dyDescent="0.35">
      <c r="A86" s="88" t="s">
        <v>211</v>
      </c>
      <c r="B86" s="89" t="s">
        <v>212</v>
      </c>
      <c r="C86" s="384" t="s">
        <v>505</v>
      </c>
      <c r="D86" s="90" t="s">
        <v>246</v>
      </c>
      <c r="E86" s="203">
        <v>6</v>
      </c>
    </row>
    <row r="87" spans="1:5" ht="17.25" thickBot="1" x14ac:dyDescent="0.35">
      <c r="A87" s="88" t="s">
        <v>211</v>
      </c>
      <c r="B87" s="89" t="s">
        <v>212</v>
      </c>
      <c r="C87" s="94">
        <v>3.21</v>
      </c>
      <c r="D87" s="90" t="s">
        <v>247</v>
      </c>
      <c r="E87" s="203">
        <v>7</v>
      </c>
    </row>
    <row r="88" spans="1:5" ht="17.25" thickBot="1" x14ac:dyDescent="0.35">
      <c r="A88" s="88" t="s">
        <v>211</v>
      </c>
      <c r="B88" s="89" t="s">
        <v>212</v>
      </c>
      <c r="C88" s="94">
        <v>3.22</v>
      </c>
      <c r="D88" s="90" t="s">
        <v>248</v>
      </c>
      <c r="E88" s="203">
        <v>8</v>
      </c>
    </row>
    <row r="89" spans="1:5" ht="17.25" thickBot="1" x14ac:dyDescent="0.35">
      <c r="A89" s="88" t="s">
        <v>211</v>
      </c>
      <c r="B89" s="89" t="s">
        <v>212</v>
      </c>
      <c r="C89" s="94">
        <v>3.23</v>
      </c>
      <c r="D89" s="90" t="s">
        <v>249</v>
      </c>
      <c r="E89" s="203">
        <v>12</v>
      </c>
    </row>
    <row r="90" spans="1:5" ht="17.25" thickBot="1" x14ac:dyDescent="0.35">
      <c r="A90" s="88" t="s">
        <v>211</v>
      </c>
      <c r="B90" s="89" t="s">
        <v>212</v>
      </c>
      <c r="C90" s="94">
        <v>3.24</v>
      </c>
      <c r="D90" s="90" t="s">
        <v>250</v>
      </c>
      <c r="E90" s="203">
        <v>850</v>
      </c>
    </row>
    <row r="91" spans="1:5" ht="17.25" thickBot="1" x14ac:dyDescent="0.35">
      <c r="A91" s="88" t="s">
        <v>211</v>
      </c>
      <c r="B91" s="89" t="s">
        <v>212</v>
      </c>
      <c r="C91" s="94">
        <v>3.25</v>
      </c>
      <c r="D91" s="90" t="s">
        <v>251</v>
      </c>
      <c r="E91" s="203">
        <v>314</v>
      </c>
    </row>
    <row r="92" spans="1:5" ht="17.25" thickBot="1" x14ac:dyDescent="0.35">
      <c r="A92" s="88" t="s">
        <v>211</v>
      </c>
      <c r="B92" s="89" t="s">
        <v>212</v>
      </c>
      <c r="C92" s="94">
        <v>3.26</v>
      </c>
      <c r="D92" s="90" t="s">
        <v>252</v>
      </c>
      <c r="E92" s="203">
        <v>12.5</v>
      </c>
    </row>
    <row r="93" spans="1:5" ht="17.25" thickBot="1" x14ac:dyDescent="0.35">
      <c r="A93" s="88" t="s">
        <v>211</v>
      </c>
      <c r="B93" s="89" t="s">
        <v>212</v>
      </c>
      <c r="C93" s="94">
        <v>3.27</v>
      </c>
      <c r="D93" s="90" t="s">
        <v>253</v>
      </c>
      <c r="E93" s="203">
        <v>1324</v>
      </c>
    </row>
    <row r="94" spans="1:5" ht="17.25" thickBot="1" x14ac:dyDescent="0.35">
      <c r="A94" s="88" t="s">
        <v>211</v>
      </c>
      <c r="B94" s="89" t="s">
        <v>212</v>
      </c>
      <c r="C94" s="94">
        <v>3.28</v>
      </c>
      <c r="D94" s="90" t="s">
        <v>254</v>
      </c>
      <c r="E94" s="387" t="e">
        <v>#N/A</v>
      </c>
    </row>
    <row r="95" spans="1:5" ht="17.25" thickBot="1" x14ac:dyDescent="0.35">
      <c r="A95" s="88" t="s">
        <v>211</v>
      </c>
      <c r="B95" s="89" t="s">
        <v>212</v>
      </c>
      <c r="C95" s="94">
        <v>3.29</v>
      </c>
      <c r="D95" s="90" t="s">
        <v>255</v>
      </c>
      <c r="E95" s="203">
        <v>275</v>
      </c>
    </row>
    <row r="96" spans="1:5" ht="17.25" thickBot="1" x14ac:dyDescent="0.35">
      <c r="A96" s="88" t="s">
        <v>211</v>
      </c>
      <c r="B96" s="89" t="s">
        <v>212</v>
      </c>
      <c r="C96" s="384" t="s">
        <v>500</v>
      </c>
      <c r="D96" s="90" t="s">
        <v>346</v>
      </c>
      <c r="E96" s="203">
        <v>703</v>
      </c>
    </row>
    <row r="97" spans="1:11" ht="17.25" thickBot="1" x14ac:dyDescent="0.35">
      <c r="A97" s="88" t="s">
        <v>211</v>
      </c>
      <c r="B97" s="89" t="s">
        <v>212</v>
      </c>
      <c r="C97" s="384" t="s">
        <v>501</v>
      </c>
      <c r="D97" s="90" t="s">
        <v>502</v>
      </c>
      <c r="E97" s="203">
        <v>12.5</v>
      </c>
    </row>
    <row r="98" spans="1:11" ht="17.25" thickBot="1" x14ac:dyDescent="0.35">
      <c r="A98" s="88" t="s">
        <v>211</v>
      </c>
      <c r="B98" s="89" t="s">
        <v>212</v>
      </c>
      <c r="C98" s="384" t="s">
        <v>503</v>
      </c>
      <c r="D98" s="90" t="s">
        <v>504</v>
      </c>
      <c r="E98" s="203">
        <v>292.5</v>
      </c>
    </row>
    <row r="99" spans="1:11" ht="17.25" thickBot="1" x14ac:dyDescent="0.35">
      <c r="A99" s="88" t="s">
        <v>211</v>
      </c>
      <c r="B99" s="89" t="s">
        <v>212</v>
      </c>
      <c r="C99" s="384">
        <v>3.33</v>
      </c>
      <c r="D99" s="90" t="s">
        <v>353</v>
      </c>
      <c r="E99" s="203">
        <v>10</v>
      </c>
    </row>
    <row r="100" spans="1:11" ht="17.25" thickBot="1" x14ac:dyDescent="0.35">
      <c r="A100" s="157" t="s">
        <v>272</v>
      </c>
      <c r="B100" s="158" t="s">
        <v>265</v>
      </c>
      <c r="C100" s="159" t="s">
        <v>330</v>
      </c>
      <c r="D100" s="160" t="s">
        <v>265</v>
      </c>
      <c r="E100" s="203" t="e">
        <v>#N/A</v>
      </c>
    </row>
    <row r="101" spans="1:11" ht="17.25" thickBot="1" x14ac:dyDescent="0.35">
      <c r="A101" s="157" t="s">
        <v>272</v>
      </c>
      <c r="B101" s="158" t="s">
        <v>265</v>
      </c>
      <c r="C101" s="159" t="s">
        <v>331</v>
      </c>
      <c r="D101" s="160" t="s">
        <v>333</v>
      </c>
      <c r="E101" s="203">
        <v>366.96</v>
      </c>
    </row>
    <row r="102" spans="1:11" ht="17.25" thickBot="1" x14ac:dyDescent="0.35">
      <c r="A102" s="157" t="s">
        <v>272</v>
      </c>
      <c r="B102" s="158" t="s">
        <v>265</v>
      </c>
      <c r="C102" s="159" t="s">
        <v>332</v>
      </c>
      <c r="D102" s="160" t="s">
        <v>334</v>
      </c>
      <c r="E102" s="203">
        <v>1175</v>
      </c>
    </row>
    <row r="103" spans="1:11" ht="17.25" thickBot="1" x14ac:dyDescent="0.35">
      <c r="A103" s="168" t="s">
        <v>273</v>
      </c>
      <c r="B103" s="169" t="s">
        <v>266</v>
      </c>
      <c r="C103" s="170" t="s">
        <v>337</v>
      </c>
      <c r="D103" s="171" t="s">
        <v>266</v>
      </c>
      <c r="E103" s="203">
        <v>12</v>
      </c>
    </row>
    <row r="104" spans="1:11" ht="17.25" thickBot="1" x14ac:dyDescent="0.35">
      <c r="A104" s="168" t="s">
        <v>273</v>
      </c>
      <c r="B104" s="169" t="s">
        <v>266</v>
      </c>
      <c r="C104" s="170" t="s">
        <v>338</v>
      </c>
      <c r="D104" s="171" t="s">
        <v>336</v>
      </c>
      <c r="E104" s="203">
        <v>4300</v>
      </c>
      <c r="H104">
        <v>14521.41</v>
      </c>
    </row>
    <row r="105" spans="1:11" ht="17.25" thickBot="1" x14ac:dyDescent="0.35">
      <c r="A105" s="204" t="s">
        <v>352</v>
      </c>
      <c r="B105" s="205" t="s">
        <v>351</v>
      </c>
      <c r="C105" s="408" t="s">
        <v>513</v>
      </c>
      <c r="D105" s="207" t="s">
        <v>351</v>
      </c>
      <c r="E105" s="387">
        <v>47596.5</v>
      </c>
      <c r="H105">
        <f>+'R (s04)'!G28</f>
        <v>23139</v>
      </c>
      <c r="I105" s="203">
        <f>+E105-H105</f>
        <v>24457.5</v>
      </c>
      <c r="K105" s="410">
        <f>(I105/1000)*H104</f>
        <v>355157.385075</v>
      </c>
    </row>
    <row r="106" spans="1:11" ht="17.25" thickBot="1" x14ac:dyDescent="0.35">
      <c r="A106" s="204" t="s">
        <v>352</v>
      </c>
      <c r="B106" s="205" t="s">
        <v>351</v>
      </c>
      <c r="C106" s="206" t="s">
        <v>362</v>
      </c>
      <c r="D106" s="207" t="s">
        <v>359</v>
      </c>
      <c r="E106" s="352">
        <v>758</v>
      </c>
      <c r="F106" t="str">
        <f>+C106&amp;" "&amp;D106</f>
        <v>4.01 BACHOCO</v>
      </c>
    </row>
    <row r="107" spans="1:11" ht="17.25" thickBot="1" x14ac:dyDescent="0.35">
      <c r="A107" s="204" t="s">
        <v>352</v>
      </c>
      <c r="B107" s="205" t="s">
        <v>351</v>
      </c>
      <c r="C107" s="206" t="s">
        <v>350</v>
      </c>
      <c r="D107" s="207" t="s">
        <v>264</v>
      </c>
      <c r="E107" s="352">
        <v>2077</v>
      </c>
      <c r="F107" t="str">
        <f t="shared" ref="F107:F109" si="0">+C107&amp;" "&amp;D107</f>
        <v>4.02 NATGAS CORREGIDORA</v>
      </c>
    </row>
    <row r="108" spans="1:11" ht="17.25" thickBot="1" x14ac:dyDescent="0.35">
      <c r="A108" s="204" t="s">
        <v>352</v>
      </c>
      <c r="B108" s="205" t="s">
        <v>351</v>
      </c>
      <c r="C108" s="206" t="s">
        <v>363</v>
      </c>
      <c r="D108" s="207" t="s">
        <v>360</v>
      </c>
      <c r="E108" s="352">
        <v>158</v>
      </c>
      <c r="F108" t="str">
        <f t="shared" si="0"/>
        <v>4.03 NATGAS ARCÁNGEL</v>
      </c>
    </row>
    <row r="109" spans="1:11" ht="17.25" thickBot="1" x14ac:dyDescent="0.35">
      <c r="A109" s="204" t="s">
        <v>352</v>
      </c>
      <c r="B109" s="205" t="s">
        <v>351</v>
      </c>
      <c r="C109" s="206" t="s">
        <v>364</v>
      </c>
      <c r="D109" s="207" t="s">
        <v>361</v>
      </c>
      <c r="E109" s="352">
        <v>7</v>
      </c>
      <c r="F109" t="str">
        <f t="shared" si="0"/>
        <v>4.04 VIÑEDOS</v>
      </c>
    </row>
    <row r="110" spans="1:11" ht="17.25" thickBot="1" x14ac:dyDescent="0.35">
      <c r="A110" s="238" t="s">
        <v>380</v>
      </c>
      <c r="B110" s="239" t="s">
        <v>379</v>
      </c>
      <c r="C110" s="240" t="s">
        <v>381</v>
      </c>
      <c r="D110" s="241" t="s">
        <v>367</v>
      </c>
      <c r="E110" s="203">
        <v>3</v>
      </c>
    </row>
    <row r="111" spans="1:11" ht="17.25" thickBot="1" x14ac:dyDescent="0.35">
      <c r="A111" s="238" t="s">
        <v>380</v>
      </c>
      <c r="B111" s="239" t="s">
        <v>379</v>
      </c>
      <c r="C111" s="240" t="s">
        <v>382</v>
      </c>
      <c r="D111" s="241" t="s">
        <v>368</v>
      </c>
      <c r="E111" s="203">
        <v>97</v>
      </c>
    </row>
    <row r="112" spans="1:11" ht="17.25" thickBot="1" x14ac:dyDescent="0.35">
      <c r="A112" s="238" t="s">
        <v>380</v>
      </c>
      <c r="B112" s="239" t="s">
        <v>379</v>
      </c>
      <c r="C112" s="240" t="s">
        <v>383</v>
      </c>
      <c r="D112" s="241" t="s">
        <v>369</v>
      </c>
      <c r="E112" s="203">
        <v>7</v>
      </c>
    </row>
    <row r="113" spans="1:5" ht="17.25" thickBot="1" x14ac:dyDescent="0.35">
      <c r="A113" s="238" t="s">
        <v>380</v>
      </c>
      <c r="B113" s="239" t="s">
        <v>379</v>
      </c>
      <c r="C113" s="240" t="s">
        <v>384</v>
      </c>
      <c r="D113" s="241" t="s">
        <v>370</v>
      </c>
      <c r="E113" s="203">
        <v>15.5</v>
      </c>
    </row>
    <row r="114" spans="1:5" ht="17.25" thickBot="1" x14ac:dyDescent="0.35">
      <c r="A114" s="238" t="s">
        <v>380</v>
      </c>
      <c r="B114" s="239" t="s">
        <v>379</v>
      </c>
      <c r="C114" s="240" t="s">
        <v>385</v>
      </c>
      <c r="D114" s="241" t="s">
        <v>371</v>
      </c>
      <c r="E114" s="203">
        <v>17</v>
      </c>
    </row>
    <row r="115" spans="1:5" ht="17.25" thickBot="1" x14ac:dyDescent="0.35">
      <c r="A115" s="238" t="s">
        <v>380</v>
      </c>
      <c r="B115" s="239" t="s">
        <v>379</v>
      </c>
      <c r="C115" s="240" t="s">
        <v>386</v>
      </c>
      <c r="D115" s="241" t="s">
        <v>372</v>
      </c>
      <c r="E115" s="203">
        <v>8</v>
      </c>
    </row>
    <row r="116" spans="1:5" ht="17.25" thickBot="1" x14ac:dyDescent="0.35">
      <c r="A116" s="238" t="s">
        <v>380</v>
      </c>
      <c r="B116" s="239" t="s">
        <v>379</v>
      </c>
      <c r="C116" s="240" t="s">
        <v>387</v>
      </c>
      <c r="D116" s="241" t="s">
        <v>373</v>
      </c>
      <c r="E116" s="203">
        <v>53</v>
      </c>
    </row>
    <row r="117" spans="1:5" ht="17.25" thickBot="1" x14ac:dyDescent="0.35">
      <c r="A117" s="238" t="s">
        <v>380</v>
      </c>
      <c r="B117" s="239" t="s">
        <v>379</v>
      </c>
      <c r="C117" s="240" t="s">
        <v>388</v>
      </c>
      <c r="D117" s="241" t="s">
        <v>374</v>
      </c>
      <c r="E117" s="203">
        <v>608</v>
      </c>
    </row>
    <row r="118" spans="1:5" ht="17.25" thickBot="1" x14ac:dyDescent="0.35">
      <c r="A118" s="238" t="s">
        <v>380</v>
      </c>
      <c r="B118" s="239" t="s">
        <v>379</v>
      </c>
      <c r="C118" s="240" t="s">
        <v>389</v>
      </c>
      <c r="D118" s="241" t="s">
        <v>375</v>
      </c>
      <c r="E118" s="203">
        <v>170</v>
      </c>
    </row>
    <row r="119" spans="1:5" ht="17.25" thickBot="1" x14ac:dyDescent="0.35">
      <c r="A119" s="238" t="s">
        <v>380</v>
      </c>
      <c r="B119" s="239" t="s">
        <v>379</v>
      </c>
      <c r="C119" s="240" t="s">
        <v>390</v>
      </c>
      <c r="D119" s="241" t="s">
        <v>376</v>
      </c>
      <c r="E119" s="203">
        <v>13</v>
      </c>
    </row>
    <row r="120" spans="1:5" ht="17.25" thickBot="1" x14ac:dyDescent="0.35">
      <c r="A120" s="238" t="s">
        <v>380</v>
      </c>
      <c r="B120" s="239" t="s">
        <v>379</v>
      </c>
      <c r="C120" s="240" t="s">
        <v>391</v>
      </c>
      <c r="D120" s="241" t="s">
        <v>377</v>
      </c>
      <c r="E120" s="203">
        <v>623.9</v>
      </c>
    </row>
    <row r="121" spans="1:5" ht="17.25" thickBot="1" x14ac:dyDescent="0.35">
      <c r="A121" s="238" t="s">
        <v>380</v>
      </c>
      <c r="B121" s="239" t="s">
        <v>379</v>
      </c>
      <c r="C121" s="240" t="s">
        <v>392</v>
      </c>
      <c r="D121" s="241" t="s">
        <v>378</v>
      </c>
      <c r="E121" s="203">
        <v>8.5</v>
      </c>
    </row>
  </sheetData>
  <dataValidations count="1">
    <dataValidation type="list" allowBlank="1" showInputMessage="1" showErrorMessage="1" sqref="G8" xr:uid="{7A3527EC-C43E-4B54-8E94-4D1BC2BE360F}">
      <formula1>INDIRECT($N$8)</formula1>
    </dataValidation>
  </dataValidations>
  <pageMargins left="0.7" right="0.7" top="0.75" bottom="0.75" header="0.3" footer="0.3"/>
  <ignoredErrors>
    <ignoredError sqref="C100:C102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88843-A632-4005-B66B-EA2027114C26}">
  <sheetPr codeName="Hoja6"/>
  <dimension ref="A1:AB426"/>
  <sheetViews>
    <sheetView showGridLines="0" topLeftCell="J1" zoomScaleNormal="100" workbookViewId="0">
      <selection activeCell="O1" sqref="O1"/>
    </sheetView>
  </sheetViews>
  <sheetFormatPr baseColWidth="10" defaultColWidth="11.42578125" defaultRowHeight="15" outlineLevelCol="1" x14ac:dyDescent="0.25"/>
  <cols>
    <col min="1" max="1" width="8.28515625" style="1" hidden="1" customWidth="1" outlineLevel="1"/>
    <col min="2" max="2" width="11.85546875" style="1" hidden="1" customWidth="1" outlineLevel="1"/>
    <col min="3" max="3" width="8.28515625" style="1" hidden="1" customWidth="1" outlineLevel="1"/>
    <col min="4" max="4" width="13.7109375" style="61" hidden="1" customWidth="1" outlineLevel="1"/>
    <col min="5" max="6" width="11.42578125" style="61" hidden="1" customWidth="1" outlineLevel="1"/>
    <col min="7" max="7" width="27.7109375" style="96" hidden="1" customWidth="1" outlineLevel="1"/>
    <col min="8" max="9" width="11.42578125" style="61" hidden="1" customWidth="1" outlineLevel="1"/>
    <col min="10" max="10" width="11.42578125" style="61" collapsed="1"/>
    <col min="11" max="11" width="24.42578125" style="61" bestFit="1" customWidth="1"/>
    <col min="12" max="13" width="11.42578125" style="61"/>
    <col min="14" max="14" width="12.42578125" style="61" hidden="1" customWidth="1" outlineLevel="1"/>
    <col min="15" max="15" width="14.28515625" style="61" bestFit="1" customWidth="1" collapsed="1"/>
    <col min="16" max="16" width="11.42578125" style="61" customWidth="1" outlineLevel="1"/>
    <col min="17" max="17" width="8" style="61" bestFit="1" customWidth="1"/>
    <col min="18" max="18" width="26.140625" style="61" customWidth="1" outlineLevel="1"/>
    <col min="19" max="19" width="13.7109375" style="61" customWidth="1" outlineLevel="1"/>
    <col min="20" max="22" width="11.42578125" style="61"/>
    <col min="23" max="23" width="12.7109375" style="61" bestFit="1" customWidth="1"/>
    <col min="24" max="28" width="11.42578125" style="61"/>
    <col min="29" max="29" width="9.85546875" style="61" customWidth="1"/>
    <col min="30" max="16384" width="11.42578125" style="61"/>
  </cols>
  <sheetData>
    <row r="1" spans="1:24" s="1" customFormat="1" x14ac:dyDescent="0.25">
      <c r="A1" s="33" t="s">
        <v>174</v>
      </c>
      <c r="B1" s="33" t="s">
        <v>445</v>
      </c>
      <c r="C1" s="33" t="s">
        <v>443</v>
      </c>
      <c r="D1" s="33" t="s">
        <v>78</v>
      </c>
      <c r="E1" s="33" t="s">
        <v>79</v>
      </c>
      <c r="F1" s="33" t="s">
        <v>80</v>
      </c>
      <c r="G1" s="67" t="s">
        <v>81</v>
      </c>
      <c r="H1" s="33" t="s">
        <v>82</v>
      </c>
      <c r="I1" s="33" t="s">
        <v>83</v>
      </c>
    </row>
    <row r="2" spans="1:24" x14ac:dyDescent="0.25">
      <c r="A2" s="62">
        <v>45963</v>
      </c>
      <c r="B2" s="33" t="str">
        <f ca="1">+IF(A2=TODAY(),200,"")</f>
        <v/>
      </c>
      <c r="C2" s="33"/>
      <c r="D2" s="63">
        <f ca="1">IF(TODAY()&gt;=$A2,SUMIFS(Tabla1[Avance_km],Tabla1[Fecha],"&lt;="&amp;Grafico!$A2-1,Tabla1[nombre_actividad],Grafico!D$1),NA())</f>
        <v>0</v>
      </c>
      <c r="E2" s="63"/>
      <c r="F2" s="63"/>
      <c r="G2" s="67"/>
      <c r="H2" s="63">
        <f ca="1">IF(TODAY()&gt;=$A2,SUMIFS(Tabla1[Avance_km],Tabla1[Fecha],"&lt;="&amp;Grafico!$A2,Tabla1[nombre_actividad],Grafico!H$1),NA())</f>
        <v>0</v>
      </c>
      <c r="I2" s="63"/>
      <c r="K2" s="64">
        <f ca="1">+TODAY()</f>
        <v>46321</v>
      </c>
      <c r="L2" s="61">
        <v>0</v>
      </c>
      <c r="N2" s="64"/>
      <c r="X2" s="64"/>
    </row>
    <row r="3" spans="1:24" x14ac:dyDescent="0.25">
      <c r="A3" s="62">
        <f>+A2+1</f>
        <v>45964</v>
      </c>
      <c r="B3" s="33" t="str">
        <f t="shared" ref="B3:B66" ca="1" si="0">+IF(A3=TODAY(),200,"")</f>
        <v/>
      </c>
      <c r="C3" s="33"/>
      <c r="D3" s="63">
        <f ca="1">IF(TODAY()&gt;=$A3,SUMIFS(Tabla1[Avance_km],Tabla1[Fecha],"&lt;="&amp;Grafico!$A3,Tabla1[nombre_actividad],Grafico!D$1),NA())</f>
        <v>1.1000000000000001</v>
      </c>
      <c r="E3" s="63"/>
      <c r="F3" s="63"/>
      <c r="G3" s="67"/>
      <c r="H3" s="63">
        <f ca="1">IF(TODAY()&gt;=$A3,SUMIFS(Tabla1[Avance_km],Tabla1[Fecha],"&lt;="&amp;Grafico!$A3,Tabla1[nombre_actividad],Grafico!H$1),NA())</f>
        <v>0</v>
      </c>
      <c r="I3" s="63"/>
      <c r="K3" s="64">
        <f ca="1">+TODAY()</f>
        <v>46321</v>
      </c>
      <c r="L3" s="61">
        <v>150</v>
      </c>
      <c r="N3" s="64"/>
      <c r="X3" s="64"/>
    </row>
    <row r="4" spans="1:24" x14ac:dyDescent="0.25">
      <c r="A4" s="62">
        <f t="shared" ref="A4:A67" si="1">+A3+1</f>
        <v>45965</v>
      </c>
      <c r="B4" s="33" t="str">
        <f t="shared" ca="1" si="0"/>
        <v/>
      </c>
      <c r="C4" s="33"/>
      <c r="D4" s="63">
        <f ca="1">IF(TODAY()&gt;=$A4,SUMIFS(Tabla1[Avance_km],Tabla1[Fecha],"&lt;="&amp;Grafico!$A4,Tabla1[nombre_actividad],Grafico!D$1),NA())</f>
        <v>4</v>
      </c>
      <c r="E4" s="63"/>
      <c r="F4" s="110"/>
      <c r="G4" s="67"/>
      <c r="H4" s="63">
        <f ca="1">IF(TODAY()&gt;=$A4,SUMIFS(Tabla1[Avance_km],Tabla1[Fecha],"&lt;="&amp;Grafico!$A4,Tabla1[nombre_actividad],Grafico!H$1),NA())</f>
        <v>0</v>
      </c>
      <c r="I4" s="63"/>
    </row>
    <row r="5" spans="1:24" x14ac:dyDescent="0.25">
      <c r="A5" s="62">
        <f t="shared" si="1"/>
        <v>45966</v>
      </c>
      <c r="B5" s="33" t="str">
        <f t="shared" ca="1" si="0"/>
        <v/>
      </c>
      <c r="C5" s="33"/>
      <c r="D5" s="63">
        <f ca="1">IF(TODAY()&gt;=$A5,SUMIFS(Tabla1[Avance_km],Tabla1[Fecha],"&lt;="&amp;Grafico!$A5,Tabla1[nombre_actividad],Grafico!D$1),NA())</f>
        <v>8</v>
      </c>
      <c r="E5" s="63"/>
      <c r="F5" s="110"/>
      <c r="G5" s="67"/>
      <c r="H5" s="63">
        <f ca="1">IF(TODAY()&gt;=$A5,SUMIFS(Tabla1[Avance_km],Tabla1[Fecha],"&lt;="&amp;Grafico!$A5,Tabla1[nombre_actividad],Grafico!H$1),NA())</f>
        <v>0</v>
      </c>
      <c r="I5" s="63"/>
      <c r="X5" s="64"/>
    </row>
    <row r="6" spans="1:24" x14ac:dyDescent="0.25">
      <c r="A6" s="62">
        <f t="shared" si="1"/>
        <v>45967</v>
      </c>
      <c r="B6" s="33" t="str">
        <f t="shared" ca="1" si="0"/>
        <v/>
      </c>
      <c r="C6" s="33"/>
      <c r="D6" s="63">
        <f ca="1">IF(TODAY()&gt;=$A6,SUMIFS(Tabla1[Avance_km],Tabla1[Fecha],"&lt;="&amp;Grafico!$A6,Tabla1[nombre_actividad],Grafico!D$1),NA())</f>
        <v>13.5</v>
      </c>
      <c r="E6" s="63"/>
      <c r="F6" s="110"/>
      <c r="G6" s="67"/>
      <c r="H6" s="63">
        <f ca="1">IF(TODAY()&gt;=$A6,SUMIFS(Tabla1[Avance_km],Tabla1[Fecha],"&lt;="&amp;Grafico!$A6,Tabla1[nombre_actividad],Grafico!H$1),NA())</f>
        <v>0</v>
      </c>
      <c r="I6" s="63"/>
      <c r="X6" s="64"/>
    </row>
    <row r="7" spans="1:24" x14ac:dyDescent="0.25">
      <c r="A7" s="62">
        <f t="shared" si="1"/>
        <v>45968</v>
      </c>
      <c r="B7" s="33" t="str">
        <f t="shared" ca="1" si="0"/>
        <v/>
      </c>
      <c r="C7" s="33"/>
      <c r="D7" s="63">
        <f ca="1">IF(TODAY()&gt;=$A7,SUMIFS(Tabla1[Avance_km],Tabla1[Fecha],"&lt;="&amp;Grafico!$A7,Tabla1[nombre_actividad],Grafico!D$1),NA())</f>
        <v>17.5</v>
      </c>
      <c r="E7" s="63"/>
      <c r="F7" s="110"/>
      <c r="G7" s="67"/>
      <c r="H7" s="63">
        <f ca="1">IF(TODAY()&gt;=$A7,SUMIFS(Tabla1[Avance_km],Tabla1[Fecha],"&lt;="&amp;Grafico!$A7,Tabla1[nombre_actividad],Grafico!H$1),NA())</f>
        <v>0</v>
      </c>
      <c r="I7" s="63"/>
    </row>
    <row r="8" spans="1:24" x14ac:dyDescent="0.25">
      <c r="A8" s="62">
        <f t="shared" si="1"/>
        <v>45969</v>
      </c>
      <c r="B8" s="33" t="str">
        <f t="shared" ca="1" si="0"/>
        <v/>
      </c>
      <c r="C8" s="33"/>
      <c r="D8" s="63">
        <f ca="1">IF(TODAY()&gt;=$A8,SUMIFS(Tabla1[Avance_km],Tabla1[Fecha],"&lt;="&amp;Grafico!$A8,Tabla1[nombre_actividad],Grafico!D$1),NA())</f>
        <v>20.5</v>
      </c>
      <c r="E8" s="63"/>
      <c r="F8" s="110"/>
      <c r="G8" s="67"/>
      <c r="H8" s="63">
        <f ca="1">IF(TODAY()&gt;=$A8,SUMIFS(Tabla1[Avance_km],Tabla1[Fecha],"&lt;="&amp;Grafico!$A8,Tabla1[nombre_actividad],Grafico!H$1),NA())</f>
        <v>0</v>
      </c>
      <c r="I8" s="63"/>
      <c r="X8" s="64"/>
    </row>
    <row r="9" spans="1:24" x14ac:dyDescent="0.25">
      <c r="A9" s="62">
        <f t="shared" si="1"/>
        <v>45970</v>
      </c>
      <c r="B9" s="33" t="str">
        <f t="shared" ca="1" si="0"/>
        <v/>
      </c>
      <c r="C9" s="33"/>
      <c r="D9" s="63">
        <f ca="1">IF(TODAY()&gt;=$A9,SUMIFS(Tabla1[Avance_km],Tabla1[Fecha],"&lt;="&amp;Grafico!$A9,Tabla1[nombre_actividad],Grafico!D$1),NA())</f>
        <v>20.5</v>
      </c>
      <c r="E9" s="63"/>
      <c r="F9" s="110"/>
      <c r="G9" s="67"/>
      <c r="H9" s="63">
        <f ca="1">IF(TODAY()&gt;=$A9,SUMIFS(Tabla1[Avance_km],Tabla1[Fecha],"&lt;="&amp;Grafico!$A9,Tabla1[nombre_actividad],Grafico!H$1),NA())</f>
        <v>0</v>
      </c>
      <c r="I9" s="63"/>
      <c r="X9" s="64"/>
    </row>
    <row r="10" spans="1:24" x14ac:dyDescent="0.25">
      <c r="A10" s="62">
        <f t="shared" si="1"/>
        <v>45971</v>
      </c>
      <c r="B10" s="33" t="str">
        <f t="shared" ca="1" si="0"/>
        <v/>
      </c>
      <c r="C10" s="33"/>
      <c r="D10" s="63">
        <f ca="1">IF(TODAY()&gt;=$A10,SUMIFS(Tabla1[Avance_km],Tabla1[Fecha],"&lt;="&amp;Grafico!$A10,Tabla1[nombre_actividad],Grafico!D$1),NA())</f>
        <v>26</v>
      </c>
      <c r="E10" s="63"/>
      <c r="F10" s="110"/>
      <c r="G10" s="67"/>
      <c r="H10" s="63">
        <f ca="1">IF(TODAY()&gt;=$A10,SUMIFS(Tabla1[Avance_km],Tabla1[Fecha],"&lt;="&amp;Grafico!$A10,Tabla1[nombre_actividad],Grafico!H$1),NA())</f>
        <v>0</v>
      </c>
      <c r="I10" s="63"/>
    </row>
    <row r="11" spans="1:24" x14ac:dyDescent="0.25">
      <c r="A11" s="62">
        <f t="shared" si="1"/>
        <v>45972</v>
      </c>
      <c r="B11" s="33" t="str">
        <f t="shared" ca="1" si="0"/>
        <v/>
      </c>
      <c r="C11" s="33"/>
      <c r="D11" s="63">
        <f ca="1">IF(TODAY()&gt;=$A11,SUMIFS(Tabla1[Avance_km],Tabla1[Fecha],"&lt;="&amp;Grafico!$A11,Tabla1[nombre_actividad],Grafico!D$1),NA())</f>
        <v>31.54</v>
      </c>
      <c r="E11" s="63"/>
      <c r="F11" s="110"/>
      <c r="G11" s="67"/>
      <c r="H11" s="63">
        <f ca="1">IF(TODAY()&gt;=$A11,SUMIFS(Tabla1[Avance_km],Tabla1[Fecha],"&lt;="&amp;Grafico!$A11,Tabla1[nombre_actividad],Grafico!H$1),NA())</f>
        <v>0</v>
      </c>
      <c r="I11" s="63"/>
      <c r="X11" s="64"/>
    </row>
    <row r="12" spans="1:24" x14ac:dyDescent="0.25">
      <c r="A12" s="62">
        <f t="shared" si="1"/>
        <v>45973</v>
      </c>
      <c r="B12" s="33" t="str">
        <f t="shared" ca="1" si="0"/>
        <v/>
      </c>
      <c r="C12" s="33"/>
      <c r="D12" s="63">
        <f ca="1">IF(TODAY()&gt;=$A12,SUMIFS(Tabla1[Avance_km],Tabla1[Fecha],"&lt;="&amp;Grafico!$A12,Tabla1[nombre_actividad],Grafico!D$1),NA())</f>
        <v>35.786999999999999</v>
      </c>
      <c r="E12" s="63"/>
      <c r="F12" s="110"/>
      <c r="G12" s="67"/>
      <c r="H12" s="63">
        <f ca="1">IF(TODAY()&gt;=$A12,SUMIFS(Tabla1[Avance_km],Tabla1[Fecha],"&lt;="&amp;Grafico!$A12,Tabla1[nombre_actividad],Grafico!H$1),NA())</f>
        <v>0</v>
      </c>
      <c r="I12" s="63"/>
      <c r="X12" s="64"/>
    </row>
    <row r="13" spans="1:24" x14ac:dyDescent="0.25">
      <c r="A13" s="62">
        <f t="shared" si="1"/>
        <v>45974</v>
      </c>
      <c r="B13" s="33" t="str">
        <f t="shared" ca="1" si="0"/>
        <v/>
      </c>
      <c r="C13" s="33"/>
      <c r="D13" s="63">
        <f ca="1">IF(TODAY()&gt;=$A13,SUMIFS(Tabla1[Avance_km],Tabla1[Fecha],"&lt;="&amp;Grafico!$A13,Tabla1[nombre_actividad],Grafico!D$1),NA())</f>
        <v>41.429000000000002</v>
      </c>
      <c r="E13" s="63"/>
      <c r="F13" s="110"/>
      <c r="G13" s="67"/>
      <c r="H13" s="63">
        <f ca="1">IF(TODAY()&gt;=$A13,SUMIFS(Tabla1[Avance_km],Tabla1[Fecha],"&lt;="&amp;Grafico!$A13,Tabla1[nombre_actividad],Grafico!H$1),NA())</f>
        <v>0</v>
      </c>
      <c r="I13" s="63"/>
    </row>
    <row r="14" spans="1:24" x14ac:dyDescent="0.25">
      <c r="A14" s="62">
        <f t="shared" si="1"/>
        <v>45975</v>
      </c>
      <c r="B14" s="33" t="str">
        <f t="shared" ca="1" si="0"/>
        <v/>
      </c>
      <c r="C14" s="33"/>
      <c r="D14" s="63">
        <f ca="1">IF(TODAY()&gt;=$A14,SUMIFS(Tabla1[Avance_km],Tabla1[Fecha],"&lt;="&amp;Grafico!$A14,Tabla1[nombre_actividad],Grafico!D$1),NA())</f>
        <v>47.429000000000002</v>
      </c>
      <c r="E14" s="63"/>
      <c r="F14" s="110"/>
      <c r="G14" s="67"/>
      <c r="H14" s="63">
        <f ca="1">IF(TODAY()&gt;=$A14,SUMIFS(Tabla1[Avance_km],Tabla1[Fecha],"&lt;="&amp;Grafico!$A14,Tabla1[nombre_actividad],Grafico!H$1),NA())</f>
        <v>0</v>
      </c>
      <c r="I14" s="63"/>
      <c r="X14" s="64"/>
    </row>
    <row r="15" spans="1:24" x14ac:dyDescent="0.25">
      <c r="A15" s="62">
        <f t="shared" si="1"/>
        <v>45976</v>
      </c>
      <c r="B15" s="33" t="str">
        <f t="shared" ca="1" si="0"/>
        <v/>
      </c>
      <c r="C15" s="33"/>
      <c r="D15" s="63">
        <f ca="1">IF(TODAY()&gt;=$A15,SUMIFS(Tabla1[Avance_km],Tabla1[Fecha],"&lt;="&amp;Grafico!$A15,Tabla1[nombre_actividad],Grafico!D$1),NA())</f>
        <v>52.429000000000002</v>
      </c>
      <c r="E15" s="63"/>
      <c r="F15" s="110"/>
      <c r="G15" s="67"/>
      <c r="H15" s="63">
        <f ca="1">IF(TODAY()&gt;=$A15,SUMIFS(Tabla1[Avance_km],Tabla1[Fecha],"&lt;="&amp;Grafico!$A15,Tabla1[nombre_actividad],Grafico!H$1),NA())</f>
        <v>0</v>
      </c>
      <c r="I15" s="63"/>
      <c r="X15" s="64"/>
    </row>
    <row r="16" spans="1:24" x14ac:dyDescent="0.25">
      <c r="A16" s="62">
        <f t="shared" si="1"/>
        <v>45977</v>
      </c>
      <c r="B16" s="33" t="str">
        <f t="shared" ca="1" si="0"/>
        <v/>
      </c>
      <c r="C16" s="33"/>
      <c r="D16" s="63">
        <f ca="1">IF(TODAY()&gt;=$A16,SUMIFS(Tabla1[Avance_km],Tabla1[Fecha],"&lt;="&amp;Grafico!$A16,Tabla1[nombre_actividad],Grafico!D$1),NA())</f>
        <v>56.429000000000002</v>
      </c>
      <c r="E16" s="63">
        <f ca="1">IF(TODAY()&gt;=$A16,SUMIFS(Tabla1[Avance_km],Tabla1[Fecha],"&lt;="&amp;Grafico!$A16,Tabla1[nombre_actividad],Grafico!E$1),NA())</f>
        <v>0</v>
      </c>
      <c r="F16" s="110"/>
      <c r="G16" s="67"/>
      <c r="H16" s="63">
        <f ca="1">IF(TODAY()&gt;=$A16,SUMIFS(Tabla1[Avance_km],Tabla1[Fecha],"&lt;="&amp;Grafico!$A16,Tabla1[nombre_actividad],Grafico!H$1),NA())</f>
        <v>0</v>
      </c>
      <c r="I16" s="63"/>
    </row>
    <row r="17" spans="1:24" x14ac:dyDescent="0.25">
      <c r="A17" s="62">
        <f t="shared" si="1"/>
        <v>45978</v>
      </c>
      <c r="B17" s="33" t="str">
        <f t="shared" ca="1" si="0"/>
        <v/>
      </c>
      <c r="C17" s="33"/>
      <c r="D17" s="63">
        <f ca="1">IF(TODAY()&gt;=$A17,SUMIFS(Tabla1[Avance_km],Tabla1[Fecha],"&lt;="&amp;Grafico!$A17,Tabla1[nombre_actividad],Grafico!D$1),NA())</f>
        <v>56.429000000000002</v>
      </c>
      <c r="E17" s="63">
        <f ca="1">IF(TODAY()&gt;=$A17,SUMIFS(Tabla1[Avance_km],Tabla1[Fecha],"&lt;="&amp;Grafico!$A17,Tabla1[nombre_actividad],Grafico!E$1),NA())</f>
        <v>5</v>
      </c>
      <c r="F17" s="110"/>
      <c r="G17" s="67"/>
      <c r="H17" s="63">
        <f ca="1">IF(TODAY()&gt;=$A17,SUMIFS(Tabla1[Avance_km],Tabla1[Fecha],"&lt;="&amp;Grafico!$A17,Tabla1[nombre_actividad],Grafico!H$1),NA())</f>
        <v>0</v>
      </c>
      <c r="I17" s="63"/>
      <c r="X17" s="64"/>
    </row>
    <row r="18" spans="1:24" x14ac:dyDescent="0.25">
      <c r="A18" s="62">
        <f t="shared" si="1"/>
        <v>45979</v>
      </c>
      <c r="B18" s="33" t="str">
        <f t="shared" ca="1" si="0"/>
        <v/>
      </c>
      <c r="C18" s="33"/>
      <c r="D18" s="63">
        <f ca="1">IF(TODAY()&gt;=$A18,SUMIFS(Tabla1[Avance_km],Tabla1[Fecha],"&lt;="&amp;Grafico!$A18,Tabla1[nombre_actividad],Grafico!D$1),NA())</f>
        <v>56.429000000000002</v>
      </c>
      <c r="E18" s="63">
        <f ca="1">IF(TODAY()&gt;=$A18,SUMIFS(Tabla1[Avance_km],Tabla1[Fecha],"&lt;="&amp;Grafico!$A18,Tabla1[nombre_actividad],Grafico!E$1),NA())</f>
        <v>9</v>
      </c>
      <c r="F18" s="110"/>
      <c r="G18" s="67">
        <f ca="1">IF(TODAY()&gt;=$A18,SUMIFS(Tabla1[Avance_Med],Tabla1[Fecha],"&lt;="&amp;Grafico!$A18,Tabla1[nombre_actividad],Grafico!G$1),NA())</f>
        <v>0</v>
      </c>
      <c r="H18" s="63">
        <f ca="1">IF(TODAY()&gt;=$A18,SUMIFS(Tabla1[Avance_km],Tabla1[Fecha],"&lt;="&amp;Grafico!$A18,Tabla1[nombre_actividad],Grafico!H$1),NA())</f>
        <v>0</v>
      </c>
      <c r="I18" s="63"/>
      <c r="X18" s="64"/>
    </row>
    <row r="19" spans="1:24" x14ac:dyDescent="0.25">
      <c r="A19" s="62">
        <f t="shared" si="1"/>
        <v>45980</v>
      </c>
      <c r="B19" s="33" t="str">
        <f t="shared" ca="1" si="0"/>
        <v/>
      </c>
      <c r="C19" s="33"/>
      <c r="D19" s="63">
        <f ca="1">IF(TODAY()&gt;=$A19,SUMIFS(Tabla1[Avance_km],Tabla1[Fecha],"&lt;="&amp;Grafico!$A19,Tabla1[nombre_actividad],Grafico!D$1),NA())</f>
        <v>59.728999999999999</v>
      </c>
      <c r="E19" s="63">
        <f ca="1">IF(TODAY()&gt;=$A19,SUMIFS(Tabla1[Avance_km],Tabla1[Fecha],"&lt;="&amp;Grafico!$A19,Tabla1[nombre_actividad],Grafico!E$1),NA())</f>
        <v>15</v>
      </c>
      <c r="F19" s="110"/>
      <c r="G19" s="67">
        <f ca="1">IF(TODAY()&gt;=$A19,SUMIFS(Tabla1[Avance_Med],Tabla1[Fecha],"&lt;="&amp;Grafico!$A19,Tabla1[nombre_actividad],Grafico!G$1),NA())</f>
        <v>9</v>
      </c>
      <c r="H19" s="63">
        <f ca="1">IF(TODAY()&gt;=$A19,SUMIFS(Tabla1[Avance_km],Tabla1[Fecha],"&lt;="&amp;Grafico!$A19,Tabla1[nombre_actividad],Grafico!H$1),NA())</f>
        <v>0</v>
      </c>
      <c r="I19" s="63"/>
    </row>
    <row r="20" spans="1:24" x14ac:dyDescent="0.25">
      <c r="A20" s="62">
        <f t="shared" si="1"/>
        <v>45981</v>
      </c>
      <c r="B20" s="33" t="str">
        <f t="shared" ca="1" si="0"/>
        <v/>
      </c>
      <c r="C20" s="33"/>
      <c r="D20" s="63">
        <f ca="1">IF(TODAY()&gt;=$A20,SUMIFS(Tabla1[Avance_km],Tabla1[Fecha],"&lt;="&amp;Grafico!$A20,Tabla1[nombre_actividad],Grafico!D$1),NA())</f>
        <v>66.429000000000002</v>
      </c>
      <c r="E20" s="63">
        <f ca="1">IF(TODAY()&gt;=$A20,SUMIFS(Tabla1[Avance_km],Tabla1[Fecha],"&lt;="&amp;Grafico!$A20,Tabla1[nombre_actividad],Grafico!E$1),NA())</f>
        <v>18.5</v>
      </c>
      <c r="F20" s="110"/>
      <c r="G20" s="67">
        <f ca="1">IF(TODAY()&gt;=$A20,SUMIFS(Tabla1[Avance_Med],Tabla1[Fecha],"&lt;="&amp;Grafico!$A20,Tabla1[nombre_actividad],Grafico!G$1),NA())</f>
        <v>21</v>
      </c>
      <c r="H20" s="63">
        <f ca="1">IF(TODAY()&gt;=$A20,SUMIFS(Tabla1[Avance_km],Tabla1[Fecha],"&lt;="&amp;Grafico!$A20,Tabla1[nombre_actividad],Grafico!H$1),NA())</f>
        <v>0</v>
      </c>
      <c r="I20" s="63"/>
      <c r="X20" s="64"/>
    </row>
    <row r="21" spans="1:24" x14ac:dyDescent="0.25">
      <c r="A21" s="62">
        <f t="shared" si="1"/>
        <v>45982</v>
      </c>
      <c r="B21" s="33" t="str">
        <f t="shared" ca="1" si="0"/>
        <v/>
      </c>
      <c r="C21" s="33"/>
      <c r="D21" s="63">
        <f ca="1">IF(TODAY()&gt;=$A21,SUMIFS(Tabla1[Avance_km],Tabla1[Fecha],"&lt;="&amp;Grafico!$A21,Tabla1[nombre_actividad],Grafico!D$1),NA())</f>
        <v>67.317000000000007</v>
      </c>
      <c r="E21" s="63">
        <f ca="1">IF(TODAY()&gt;=$A21,SUMIFS(Tabla1[Avance_km],Tabla1[Fecha],"&lt;="&amp;Grafico!$A21,Tabla1[nombre_actividad],Grafico!E$1),NA())</f>
        <v>24.009</v>
      </c>
      <c r="F21" s="110">
        <f ca="1">IF(TODAY()&gt;=$A21,SUMIFS(Tabla1[Avance_km],Tabla1[Fecha],"&lt;="&amp;Grafico!$A21,Tabla1[nombre_actividad],Grafico!F$1,Tabla1[Avance_km],"&gt;0"),NA())</f>
        <v>8.9999999999999993E-3</v>
      </c>
      <c r="G21" s="67">
        <f ca="1">IF(TODAY()&gt;=$A21,SUMIFS(Tabla1[Avance_Med],Tabla1[Fecha],"&lt;="&amp;Grafico!$A21,Tabla1[nombre_actividad],Grafico!G$1),NA())</f>
        <v>32</v>
      </c>
      <c r="H21" s="63">
        <f ca="1">IF(TODAY()&gt;=$A21,SUMIFS(Tabla1[Avance_km],Tabla1[Fecha],"&lt;="&amp;Grafico!$A21,Tabla1[nombre_actividad],Grafico!H$1),NA())</f>
        <v>0</v>
      </c>
      <c r="I21" s="63"/>
      <c r="X21" s="64"/>
    </row>
    <row r="22" spans="1:24" x14ac:dyDescent="0.25">
      <c r="A22" s="62">
        <f t="shared" si="1"/>
        <v>45983</v>
      </c>
      <c r="B22" s="33" t="str">
        <f t="shared" ca="1" si="0"/>
        <v/>
      </c>
      <c r="C22" s="33"/>
      <c r="D22" s="63">
        <f ca="1">IF(TODAY()&gt;=$A22,SUMIFS(Tabla1[Avance_km],Tabla1[Fecha],"&lt;="&amp;Grafico!$A22,Tabla1[nombre_actividad],Grafico!D$1),NA())</f>
        <v>68.672000000000011</v>
      </c>
      <c r="E22" s="63">
        <f ca="1">IF(TODAY()&gt;=$A22,SUMIFS(Tabla1[Avance_km],Tabla1[Fecha],"&lt;="&amp;Grafico!$A22,Tabla1[nombre_actividad],Grafico!E$1),NA())</f>
        <v>28.509</v>
      </c>
      <c r="F22" s="110">
        <f ca="1">IF(TODAY()&gt;=$A22,SUMIFS(Tabla1[Avance_km],Tabla1[Fecha],"&lt;="&amp;Grafico!$A22,Tabla1[nombre_actividad],Grafico!F$1,Tabla1[Avance_km],"&gt;0"),NA())</f>
        <v>8.9999999999999993E-3</v>
      </c>
      <c r="G22" s="67">
        <f ca="1">IF(TODAY()&gt;=$A22,SUMIFS(Tabla1[Avance_Med],Tabla1[Fecha],"&lt;="&amp;Grafico!$A22,Tabla1[nombre_actividad],Grafico!G$1),NA())</f>
        <v>32</v>
      </c>
      <c r="H22" s="63">
        <f ca="1">IF(TODAY()&gt;=$A22,SUMIFS(Tabla1[Avance_km],Tabla1[Fecha],"&lt;="&amp;Grafico!$A22,Tabla1[nombre_actividad],Grafico!H$1),NA())</f>
        <v>0</v>
      </c>
      <c r="I22" s="63"/>
    </row>
    <row r="23" spans="1:24" x14ac:dyDescent="0.25">
      <c r="A23" s="62">
        <f t="shared" si="1"/>
        <v>45984</v>
      </c>
      <c r="B23" s="33" t="str">
        <f t="shared" ca="1" si="0"/>
        <v/>
      </c>
      <c r="C23" s="33"/>
      <c r="D23" s="63">
        <f ca="1">IF(TODAY()&gt;=$A23,SUMIFS(Tabla1[Avance_km],Tabla1[Fecha],"&lt;="&amp;Grafico!$A23,Tabla1[nombre_actividad],Grafico!D$1),NA())</f>
        <v>68.672000000000011</v>
      </c>
      <c r="E23" s="63">
        <f ca="1">IF(TODAY()&gt;=$A23,SUMIFS(Tabla1[Avance_km],Tabla1[Fecha],"&lt;="&amp;Grafico!$A23,Tabla1[nombre_actividad],Grafico!E$1),NA())</f>
        <v>31.548999999999999</v>
      </c>
      <c r="F23" s="110">
        <f ca="1">IF(TODAY()&gt;=$A23,SUMIFS(Tabla1[Avance_km],Tabla1[Fecha],"&lt;="&amp;Grafico!$A23,Tabla1[nombre_actividad],Grafico!F$1,Tabla1[Avance_km],"&gt;0"),NA())</f>
        <v>8.9999999999999993E-3</v>
      </c>
      <c r="G23" s="67">
        <f ca="1">IF(TODAY()&gt;=$A23,SUMIFS(Tabla1[Avance_Med],Tabla1[Fecha],"&lt;="&amp;Grafico!$A23,Tabla1[nombre_actividad],Grafico!G$1),NA())</f>
        <v>32</v>
      </c>
      <c r="H23" s="63">
        <f ca="1">IF(TODAY()&gt;=$A23,SUMIFS(Tabla1[Avance_km],Tabla1[Fecha],"&lt;="&amp;Grafico!$A23,Tabla1[nombre_actividad],Grafico!H$1),NA())</f>
        <v>0</v>
      </c>
      <c r="I23" s="63"/>
      <c r="X23" s="64"/>
    </row>
    <row r="24" spans="1:24" x14ac:dyDescent="0.25">
      <c r="A24" s="62">
        <f t="shared" si="1"/>
        <v>45985</v>
      </c>
      <c r="B24" s="33" t="str">
        <f t="shared" ca="1" si="0"/>
        <v/>
      </c>
      <c r="C24" s="33"/>
      <c r="D24" s="63">
        <f ca="1">IF(TODAY()&gt;=$A24,SUMIFS(Tabla1[Avance_km],Tabla1[Fecha],"&lt;="&amp;Grafico!$A24,Tabla1[nombre_actividad],Grafico!D$1),NA())</f>
        <v>72.02200000000002</v>
      </c>
      <c r="E24" s="63">
        <f ca="1">IF(TODAY()&gt;=$A24,SUMIFS(Tabla1[Avance_km],Tabla1[Fecha],"&lt;="&amp;Grafico!$A24,Tabla1[nombre_actividad],Grafico!E$1),NA())</f>
        <v>31.548999999999999</v>
      </c>
      <c r="F24" s="110">
        <f ca="1">IF(TODAY()&gt;=$A24,SUMIFS(Tabla1[Avance_km],Tabla1[Fecha],"&lt;="&amp;Grafico!$A24,Tabla1[nombre_actividad],Grafico!F$1,Tabla1[Avance_km],"&gt;0"),NA())</f>
        <v>3.0089999999999999</v>
      </c>
      <c r="G24" s="67">
        <f ca="1">IF(TODAY()&gt;=$A24,SUMIFS(Tabla1[Avance_Med],Tabla1[Fecha],"&lt;="&amp;Grafico!$A24,Tabla1[nombre_actividad],Grafico!G$1),NA())</f>
        <v>38</v>
      </c>
      <c r="H24" s="63">
        <f ca="1">IF(TODAY()&gt;=$A24,SUMIFS(Tabla1[Avance_km],Tabla1[Fecha],"&lt;="&amp;Grafico!$A24,Tabla1[nombre_actividad],Grafico!H$1),NA())</f>
        <v>0</v>
      </c>
      <c r="I24" s="63"/>
      <c r="X24" s="64"/>
    </row>
    <row r="25" spans="1:24" x14ac:dyDescent="0.25">
      <c r="A25" s="62">
        <f t="shared" si="1"/>
        <v>45986</v>
      </c>
      <c r="B25" s="33" t="str">
        <f t="shared" ca="1" si="0"/>
        <v/>
      </c>
      <c r="C25" s="33"/>
      <c r="D25" s="63">
        <f ca="1">IF(TODAY()&gt;=$A25,SUMIFS(Tabla1[Avance_km],Tabla1[Fecha],"&lt;="&amp;Grafico!$A25,Tabla1[nombre_actividad],Grafico!D$1),NA())</f>
        <v>72.02200000000002</v>
      </c>
      <c r="E25" s="63">
        <f ca="1">IF(TODAY()&gt;=$A25,SUMIFS(Tabla1[Avance_km],Tabla1[Fecha],"&lt;="&amp;Grafico!$A25,Tabla1[nombre_actividad],Grafico!E$1),NA())</f>
        <v>31.548999999999999</v>
      </c>
      <c r="F25" s="110">
        <f ca="1">IF(TODAY()&gt;=$A25,SUMIFS(Tabla1[Avance_km],Tabla1[Fecha],"&lt;="&amp;Grafico!$A25,Tabla1[nombre_actividad],Grafico!F$1,Tabla1[Avance_km],"&gt;0"),NA())</f>
        <v>12.009</v>
      </c>
      <c r="G25" s="67">
        <f ca="1">IF(TODAY()&gt;=$A25,SUMIFS(Tabla1[Avance_Med],Tabla1[Fecha],"&lt;="&amp;Grafico!$A25,Tabla1[nombre_actividad],Grafico!G$1),NA())</f>
        <v>48</v>
      </c>
      <c r="H25" s="63">
        <f ca="1">IF(TODAY()&gt;=$A25,SUMIFS(Tabla1[Avance_km],Tabla1[Fecha],"&lt;="&amp;Grafico!$A25,Tabla1[nombre_actividad],Grafico!H$1),NA())</f>
        <v>0</v>
      </c>
      <c r="I25" s="63"/>
    </row>
    <row r="26" spans="1:24" x14ac:dyDescent="0.25">
      <c r="A26" s="62">
        <f t="shared" si="1"/>
        <v>45987</v>
      </c>
      <c r="B26" s="33" t="str">
        <f t="shared" ca="1" si="0"/>
        <v/>
      </c>
      <c r="C26" s="33"/>
      <c r="D26" s="63">
        <f ca="1">IF(TODAY()&gt;=$A26,SUMIFS(Tabla1[Avance_km],Tabla1[Fecha],"&lt;="&amp;Grafico!$A26,Tabla1[nombre_actividad],Grafico!D$1),NA())</f>
        <v>72.02200000000002</v>
      </c>
      <c r="E26" s="63">
        <f ca="1">IF(TODAY()&gt;=$A26,SUMIFS(Tabla1[Avance_km],Tabla1[Fecha],"&lt;="&amp;Grafico!$A26,Tabla1[nombre_actividad],Grafico!E$1),NA())</f>
        <v>31.548999999999999</v>
      </c>
      <c r="F26" s="110">
        <f ca="1">IF(TODAY()&gt;=$A26,SUMIFS(Tabla1[Avance_km],Tabla1[Fecha],"&lt;="&amp;Grafico!$A26,Tabla1[nombre_actividad],Grafico!F$1,Tabla1[Avance_km],"&gt;0"),NA())</f>
        <v>24.009</v>
      </c>
      <c r="G26" s="67">
        <f ca="1">IF(TODAY()&gt;=$A26,SUMIFS(Tabla1[Avance_Med],Tabla1[Fecha],"&lt;="&amp;Grafico!$A26,Tabla1[nombre_actividad],Grafico!G$1),NA())</f>
        <v>60</v>
      </c>
      <c r="H26" s="63">
        <f ca="1">IF(TODAY()&gt;=$A26,SUMIFS(Tabla1[Avance_km],Tabla1[Fecha],"&lt;="&amp;Grafico!$A26,Tabla1[nombre_actividad],Grafico!H$1),NA())</f>
        <v>0</v>
      </c>
      <c r="I26" s="63"/>
    </row>
    <row r="27" spans="1:24" x14ac:dyDescent="0.25">
      <c r="A27" s="62">
        <f t="shared" si="1"/>
        <v>45988</v>
      </c>
      <c r="B27" s="33" t="str">
        <f t="shared" ca="1" si="0"/>
        <v/>
      </c>
      <c r="C27" s="33"/>
      <c r="D27" s="63">
        <f ca="1">IF(TODAY()&gt;=$A27,SUMIFS(Tabla1[Avance_km],Tabla1[Fecha],"&lt;="&amp;Grafico!$A27,Tabla1[nombre_actividad],Grafico!D$1),NA())</f>
        <v>72.02200000000002</v>
      </c>
      <c r="E27" s="63">
        <f ca="1">IF(TODAY()&gt;=$A27,SUMIFS(Tabla1[Avance_km],Tabla1[Fecha],"&lt;="&amp;Grafico!$A27,Tabla1[nombre_actividad],Grafico!E$1),NA())</f>
        <v>31.548999999999999</v>
      </c>
      <c r="F27" s="110">
        <f ca="1">IF(TODAY()&gt;=$A27,SUMIFS(Tabla1[Avance_km],Tabla1[Fecha],"&lt;="&amp;Grafico!$A27,Tabla1[nombre_actividad],Grafico!F$1,Tabla1[Avance_km],"&gt;0"),NA())</f>
        <v>31.548999999999999</v>
      </c>
      <c r="G27" s="67">
        <f ca="1">IF(TODAY()&gt;=$A27,SUMIFS(Tabla1[Avance_Med],Tabla1[Fecha],"&lt;="&amp;Grafico!$A27,Tabla1[nombre_actividad],Grafico!G$1),NA())</f>
        <v>66</v>
      </c>
      <c r="H27" s="63">
        <f ca="1">IF(TODAY()&gt;=$A27,SUMIFS(Tabla1[Avance_km],Tabla1[Fecha],"&lt;="&amp;Grafico!$A27,Tabla1[nombre_actividad],Grafico!H$1),NA())</f>
        <v>0</v>
      </c>
      <c r="I27" s="63"/>
    </row>
    <row r="28" spans="1:24" x14ac:dyDescent="0.25">
      <c r="A28" s="62">
        <f t="shared" si="1"/>
        <v>45989</v>
      </c>
      <c r="B28" s="33" t="str">
        <f t="shared" ca="1" si="0"/>
        <v/>
      </c>
      <c r="C28" s="33"/>
      <c r="D28" s="63">
        <f ca="1">IF(TODAY()&gt;=$A28,SUMIFS(Tabla1[Avance_km],Tabla1[Fecha],"&lt;="&amp;Grafico!$A28,Tabla1[nombre_actividad],Grafico!D$1),NA())</f>
        <v>72.02200000000002</v>
      </c>
      <c r="E28" s="63">
        <f ca="1">IF(TODAY()&gt;=$A28,SUMIFS(Tabla1[Avance_km],Tabla1[Fecha],"&lt;="&amp;Grafico!$A28,Tabla1[nombre_actividad],Grafico!E$1),NA())</f>
        <v>31.548999999999999</v>
      </c>
      <c r="F28" s="110">
        <f ca="1">IF(TODAY()&gt;=$A28,SUMIFS(Tabla1[Avance_km],Tabla1[Fecha],"&lt;="&amp;Grafico!$A28,Tabla1[nombre_actividad],Grafico!F$1,Tabla1[Avance_km],"&gt;0"),NA())</f>
        <v>41.548999999999999</v>
      </c>
      <c r="G28" s="67">
        <f ca="1">IF(TODAY()&gt;=$A28,SUMIFS(Tabla1[Avance_Med],Tabla1[Fecha],"&lt;="&amp;Grafico!$A28,Tabla1[nombre_actividad],Grafico!G$1),NA())</f>
        <v>86</v>
      </c>
      <c r="H28" s="63">
        <f ca="1">IF(TODAY()&gt;=$A28,SUMIFS(Tabla1[Avance_km],Tabla1[Fecha],"&lt;="&amp;Grafico!$A28,Tabla1[nombre_actividad],Grafico!H$1),NA())</f>
        <v>0</v>
      </c>
      <c r="I28" s="63"/>
    </row>
    <row r="29" spans="1:24" x14ac:dyDescent="0.25">
      <c r="A29" s="62">
        <f t="shared" si="1"/>
        <v>45990</v>
      </c>
      <c r="B29" s="33" t="str">
        <f t="shared" ca="1" si="0"/>
        <v/>
      </c>
      <c r="C29" s="33"/>
      <c r="D29" s="63">
        <f ca="1">IF(TODAY()&gt;=$A29,SUMIFS(Tabla1[Avance_km],Tabla1[Fecha],"&lt;="&amp;Grafico!$A29,Tabla1[nombre_actividad],Grafico!D$1),NA())</f>
        <v>72.02200000000002</v>
      </c>
      <c r="E29" s="63">
        <f ca="1">IF(TODAY()&gt;=$A29,SUMIFS(Tabla1[Avance_km],Tabla1[Fecha],"&lt;="&amp;Grafico!$A29,Tabla1[nombre_actividad],Grafico!E$1),NA())</f>
        <v>31.548999999999999</v>
      </c>
      <c r="F29" s="110">
        <f ca="1">IF(TODAY()&gt;=$A29,SUMIFS(Tabla1[Avance_km],Tabla1[Fecha],"&lt;="&amp;Grafico!$A29,Tabla1[nombre_actividad],Grafico!F$1,Tabla1[Avance_km],"&gt;0"),NA())</f>
        <v>53.048999999999999</v>
      </c>
      <c r="G29" s="67">
        <f ca="1">IF(TODAY()&gt;=$A29,SUMIFS(Tabla1[Avance_Med],Tabla1[Fecha],"&lt;="&amp;Grafico!$A29,Tabla1[nombre_actividad],Grafico!G$1),NA())</f>
        <v>98</v>
      </c>
      <c r="H29" s="63">
        <f ca="1">IF(TODAY()&gt;=$A29,SUMIFS(Tabla1[Avance_km],Tabla1[Fecha],"&lt;="&amp;Grafico!$A29,Tabla1[nombre_actividad],Grafico!H$1),NA())</f>
        <v>0</v>
      </c>
      <c r="I29" s="63"/>
    </row>
    <row r="30" spans="1:24" x14ac:dyDescent="0.25">
      <c r="A30" s="62">
        <f t="shared" si="1"/>
        <v>45991</v>
      </c>
      <c r="B30" s="33" t="str">
        <f t="shared" ca="1" si="0"/>
        <v/>
      </c>
      <c r="C30" s="33"/>
      <c r="D30" s="63">
        <f ca="1">IF(TODAY()&gt;=$A30,SUMIFS(Tabla1[Avance_km],Tabla1[Fecha],"&lt;="&amp;Grafico!$A30,Tabla1[nombre_actividad],Grafico!D$1),NA())</f>
        <v>72.02200000000002</v>
      </c>
      <c r="E30" s="63">
        <f ca="1">IF(TODAY()&gt;=$A30,SUMIFS(Tabla1[Avance_km],Tabla1[Fecha],"&lt;="&amp;Grafico!$A30,Tabla1[nombre_actividad],Grafico!E$1),NA())</f>
        <v>31.548999999999999</v>
      </c>
      <c r="F30" s="110">
        <f ca="1">IF(TODAY()&gt;=$A30,SUMIFS(Tabla1[Avance_km],Tabla1[Fecha],"&lt;="&amp;Grafico!$A30,Tabla1[nombre_actividad],Grafico!F$1,Tabla1[Avance_km],"&gt;0"),NA())</f>
        <v>53.048999999999999</v>
      </c>
      <c r="G30" s="67">
        <f ca="1">IF(TODAY()&gt;=$A30,SUMIFS(Tabla1[Avance_Med],Tabla1[Fecha],"&lt;="&amp;Grafico!$A30,Tabla1[nombre_actividad],Grafico!G$1),NA())</f>
        <v>98</v>
      </c>
      <c r="H30" s="63">
        <f ca="1">IF(TODAY()&gt;=$A30,SUMIFS(Tabla1[Avance_km],Tabla1[Fecha],"&lt;="&amp;Grafico!$A30,Tabla1[nombre_actividad],Grafico!H$1),NA())</f>
        <v>0</v>
      </c>
      <c r="I30" s="63"/>
    </row>
    <row r="31" spans="1:24" x14ac:dyDescent="0.25">
      <c r="A31" s="62">
        <f t="shared" si="1"/>
        <v>45992</v>
      </c>
      <c r="B31" s="33" t="str">
        <f t="shared" ca="1" si="0"/>
        <v/>
      </c>
      <c r="C31" s="33"/>
      <c r="D31" s="63">
        <f ca="1">IF(TODAY()&gt;=$A31,SUMIFS(Tabla1[Avance_km],Tabla1[Fecha],"&lt;="&amp;Grafico!$A31,Tabla1[nombre_actividad],Grafico!D$1),NA())</f>
        <v>72.042000000000016</v>
      </c>
      <c r="E31" s="63">
        <f ca="1">IF(TODAY()&gt;=$A31,SUMIFS(Tabla1[Avance_km],Tabla1[Fecha],"&lt;="&amp;Grafico!$A31,Tabla1[nombre_actividad],Grafico!E$1),NA())</f>
        <v>31.548999999999999</v>
      </c>
      <c r="F31" s="110">
        <f ca="1">IF(TODAY()&gt;=$A31,SUMIFS(Tabla1[Avance_km],Tabla1[Fecha],"&lt;="&amp;Grafico!$A31,Tabla1[nombre_actividad],Grafico!F$1,Tabla1[Avance_km],"&gt;0"),NA())</f>
        <v>63.25</v>
      </c>
      <c r="G31" s="67">
        <f ca="1">IF(TODAY()&gt;=$A31,SUMIFS(Tabla1[Avance_Med],Tabla1[Fecha],"&lt;="&amp;Grafico!$A31,Tabla1[nombre_actividad],Grafico!G$1),NA())</f>
        <v>116</v>
      </c>
      <c r="H31" s="63">
        <f ca="1">IF(TODAY()&gt;=$A31,SUMIFS(Tabla1[Avance_km],Tabla1[Fecha],"&lt;="&amp;Grafico!$A31,Tabla1[nombre_actividad],Grafico!H$1),NA())</f>
        <v>0</v>
      </c>
      <c r="I31" s="63"/>
    </row>
    <row r="32" spans="1:24" x14ac:dyDescent="0.25">
      <c r="A32" s="62">
        <f t="shared" si="1"/>
        <v>45993</v>
      </c>
      <c r="B32" s="33" t="str">
        <f t="shared" ca="1" si="0"/>
        <v/>
      </c>
      <c r="C32" s="33"/>
      <c r="D32" s="63">
        <f ca="1">IF(TODAY()&gt;=$A32,SUMIFS(Tabla1[Avance_km],Tabla1[Fecha],"&lt;="&amp;Grafico!$A32,Tabla1[nombre_actividad],Grafico!D$1),NA())</f>
        <v>72.535000000000011</v>
      </c>
      <c r="E32" s="63">
        <f ca="1">IF(TODAY()&gt;=$A32,SUMIFS(Tabla1[Avance_km],Tabla1[Fecha],"&lt;="&amp;Grafico!$A32,Tabla1[nombre_actividad],Grafico!E$1),NA())</f>
        <v>31.548999999999999</v>
      </c>
      <c r="F32" s="110">
        <f ca="1">IF(TODAY()&gt;=$A32,SUMIFS(Tabla1[Avance_km],Tabla1[Fecha],"&lt;="&amp;Grafico!$A32,Tabla1[nombre_actividad],Grafico!F$1,Tabla1[Avance_km],"&gt;0"),NA())</f>
        <v>71.021000000000015</v>
      </c>
      <c r="G32" s="67">
        <f ca="1">IF(TODAY()&gt;=$A32,SUMIFS(Tabla1[Avance_Med],Tabla1[Fecha],"&lt;="&amp;Grafico!$A32,Tabla1[nombre_actividad],Grafico!G$1),NA())</f>
        <v>128</v>
      </c>
      <c r="H32" s="63">
        <f ca="1">IF(TODAY()&gt;=$A32,SUMIFS(Tabla1[Avance_km],Tabla1[Fecha],"&lt;="&amp;Grafico!$A32,Tabla1[nombre_actividad],Grafico!H$1),NA())</f>
        <v>0</v>
      </c>
      <c r="I32" s="63"/>
    </row>
    <row r="33" spans="1:28" x14ac:dyDescent="0.25">
      <c r="A33" s="62">
        <f t="shared" si="1"/>
        <v>45994</v>
      </c>
      <c r="B33" s="33" t="str">
        <f t="shared" ca="1" si="0"/>
        <v/>
      </c>
      <c r="C33" s="33"/>
      <c r="D33" s="63">
        <f ca="1">IF(TODAY()&gt;=$A33,SUMIFS(Tabla1[Avance_km],Tabla1[Fecha],"&lt;="&amp;Grafico!$A33,Tabla1[nombre_actividad],Grafico!D$1),NA())</f>
        <v>73.64400000000002</v>
      </c>
      <c r="E33" s="63">
        <f ca="1">IF(TODAY()&gt;=$A33,SUMIFS(Tabla1[Avance_km],Tabla1[Fecha],"&lt;="&amp;Grafico!$A33,Tabla1[nombre_actividad],Grafico!E$1),NA())</f>
        <v>31.548999999999999</v>
      </c>
      <c r="F33" s="110">
        <f ca="1">IF(TODAY()&gt;=$A33,SUMIFS(Tabla1[Avance_km],Tabla1[Fecha],"&lt;="&amp;Grafico!$A33,Tabla1[nombre_actividad],Grafico!F$1,Tabla1[Avance_km],"&gt;0"),NA())</f>
        <v>73.644000000000034</v>
      </c>
      <c r="G33" s="67">
        <f ca="1">IF(TODAY()&gt;=$A33,SUMIFS(Tabla1[Avance_Med],Tabla1[Fecha],"&lt;="&amp;Grafico!$A33,Tabla1[nombre_actividad],Grafico!G$1),NA())</f>
        <v>138</v>
      </c>
      <c r="H33" s="63">
        <f ca="1">IF(TODAY()&gt;=$A33,SUMIFS(Tabla1[Avance_km],Tabla1[Fecha],"&lt;="&amp;Grafico!$A33,Tabla1[nombre_actividad],Grafico!H$1),NA())</f>
        <v>0</v>
      </c>
      <c r="I33" s="63"/>
    </row>
    <row r="34" spans="1:28" x14ac:dyDescent="0.25">
      <c r="A34" s="62">
        <f t="shared" si="1"/>
        <v>45995</v>
      </c>
      <c r="B34" s="33" t="str">
        <f t="shared" ca="1" si="0"/>
        <v/>
      </c>
      <c r="C34" s="33"/>
      <c r="D34" s="63">
        <f ca="1">IF(TODAY()&gt;=$A34,SUMIFS(Tabla1[Avance_km],Tabla1[Fecha],"&lt;="&amp;Grafico!$A34,Tabla1[nombre_actividad],Grafico!D$1),NA())</f>
        <v>77.136000000000038</v>
      </c>
      <c r="E34" s="63">
        <f ca="1">IF(TODAY()&gt;=$A34,SUMIFS(Tabla1[Avance_km],Tabla1[Fecha],"&lt;="&amp;Grafico!$A34,Tabla1[nombre_actividad],Grafico!E$1),NA())</f>
        <v>31.548999999999999</v>
      </c>
      <c r="F34" s="110">
        <f ca="1">IF(TODAY()&gt;=$A34,SUMIFS(Tabla1[Avance_km],Tabla1[Fecha],"&lt;="&amp;Grafico!$A34,Tabla1[nombre_actividad],Grafico!F$1,Tabla1[Avance_km],"&gt;0"),NA())</f>
        <v>74.136000000000053</v>
      </c>
      <c r="G34" s="67">
        <f ca="1">IF(TODAY()&gt;=$A34,SUMIFS(Tabla1[Avance_Med],Tabla1[Fecha],"&lt;="&amp;Grafico!$A34,Tabla1[nombre_actividad],Grafico!G$1),NA())</f>
        <v>157</v>
      </c>
      <c r="H34" s="63">
        <f ca="1">IF(TODAY()&gt;=$A34,SUMIFS(Tabla1[Avance_km],Tabla1[Fecha],"&lt;="&amp;Grafico!$A34,Tabla1[nombre_actividad],Grafico!H$1),NA())</f>
        <v>0</v>
      </c>
      <c r="I34" s="63"/>
    </row>
    <row r="35" spans="1:28" x14ac:dyDescent="0.25">
      <c r="A35" s="62">
        <f t="shared" si="1"/>
        <v>45996</v>
      </c>
      <c r="B35" s="33" t="str">
        <f t="shared" ca="1" si="0"/>
        <v/>
      </c>
      <c r="C35" s="33"/>
      <c r="D35" s="63">
        <f ca="1">IF(TODAY()&gt;=$A35,SUMIFS(Tabla1[Avance_km],Tabla1[Fecha],"&lt;="&amp;Grafico!$A35,Tabla1[nombre_actividad],Grafico!D$1),NA())</f>
        <v>83.786000000000044</v>
      </c>
      <c r="E35" s="63">
        <f ca="1">IF(TODAY()&gt;=$A35,SUMIFS(Tabla1[Avance_km],Tabla1[Fecha],"&lt;="&amp;Grafico!$A35,Tabla1[nombre_actividad],Grafico!E$1),NA())</f>
        <v>31.548999999999999</v>
      </c>
      <c r="F35" s="110">
        <f ca="1">IF(TODAY()&gt;=$A35,SUMIFS(Tabla1[Avance_km],Tabla1[Fecha],"&lt;="&amp;Grafico!$A35,Tabla1[nombre_actividad],Grafico!F$1,Tabla1[Avance_km],"&gt;0"),NA())</f>
        <v>74.136000000000053</v>
      </c>
      <c r="G35" s="67">
        <f ca="1">IF(TODAY()&gt;=$A35,SUMIFS(Tabla1[Avance_Med],Tabla1[Fecha],"&lt;="&amp;Grafico!$A35,Tabla1[nombre_actividad],Grafico!G$1),NA())</f>
        <v>171</v>
      </c>
      <c r="H35" s="63">
        <f ca="1">IF(TODAY()&gt;=$A35,SUMIFS(Tabla1[Avance_km],Tabla1[Fecha],"&lt;="&amp;Grafico!$A35,Tabla1[nombre_actividad],Grafico!H$1),NA())</f>
        <v>0</v>
      </c>
      <c r="I35" s="63"/>
      <c r="K35" s="34" t="s">
        <v>78</v>
      </c>
      <c r="L35" s="110">
        <f ca="1">+_xlfn.XLOOKUP(TODAY(),A:A,D:D)</f>
        <v>181.88549999999998</v>
      </c>
      <c r="M35" s="61" t="s">
        <v>175</v>
      </c>
      <c r="N35" s="74">
        <f ca="1">+$L$35*Catalogo!F19</f>
        <v>410591.96540999995</v>
      </c>
      <c r="O35" s="109">
        <f ca="1">+$L$42-L35*1000</f>
        <v>-36385.499999999971</v>
      </c>
      <c r="P35" s="74">
        <f ca="1">+$L$35*Catalogo!J19</f>
        <v>291016.8</v>
      </c>
      <c r="Q35" s="400">
        <f ca="1">+O35/1000</f>
        <v>-36.385499999999972</v>
      </c>
      <c r="R35" s="222">
        <f ca="1">+$Q$35*Catalogo!J19</f>
        <v>-58216.799999999952</v>
      </c>
      <c r="S35" s="113"/>
      <c r="T35"/>
      <c r="U35" s="399"/>
      <c r="V35"/>
      <c r="W35"/>
      <c r="AA35"/>
      <c r="AB35"/>
    </row>
    <row r="36" spans="1:28" x14ac:dyDescent="0.25">
      <c r="A36" s="62">
        <f t="shared" si="1"/>
        <v>45997</v>
      </c>
      <c r="B36" s="33" t="str">
        <f t="shared" ca="1" si="0"/>
        <v/>
      </c>
      <c r="C36" s="33"/>
      <c r="D36" s="63">
        <f ca="1">IF(TODAY()&gt;=$A36,SUMIFS(Tabla1[Avance_km],Tabla1[Fecha],"&lt;="&amp;Grafico!$A36,Tabla1[nombre_actividad],Grafico!D$1),NA())</f>
        <v>83.799000000000035</v>
      </c>
      <c r="E36" s="63">
        <f ca="1">IF(TODAY()&gt;=$A36,SUMIFS(Tabla1[Avance_km],Tabla1[Fecha],"&lt;="&amp;Grafico!$A36,Tabla1[nombre_actividad],Grafico!E$1),NA())</f>
        <v>31.548999999999999</v>
      </c>
      <c r="F36" s="110">
        <f ca="1">IF(TODAY()&gt;=$A36,SUMIFS(Tabla1[Avance_km],Tabla1[Fecha],"&lt;="&amp;Grafico!$A36,Tabla1[nombre_actividad],Grafico!F$1,Tabla1[Avance_km],"&gt;0"),NA())</f>
        <v>74.149000000000044</v>
      </c>
      <c r="G36" s="67">
        <f ca="1">IF(TODAY()&gt;=$A36,SUMIFS(Tabla1[Avance_Med],Tabla1[Fecha],"&lt;="&amp;Grafico!$A36,Tabla1[nombre_actividad],Grafico!G$1),NA())</f>
        <v>178</v>
      </c>
      <c r="H36" s="63">
        <f ca="1">IF(TODAY()&gt;=$A36,SUMIFS(Tabla1[Avance_km],Tabla1[Fecha],"&lt;="&amp;Grafico!$A36,Tabla1[nombre_actividad],Grafico!H$1),NA())</f>
        <v>0</v>
      </c>
      <c r="I36" s="63"/>
      <c r="K36" s="34" t="s">
        <v>79</v>
      </c>
      <c r="L36" s="110">
        <f ca="1">+_xlfn.XLOOKUP(TODAY(),A:A,E:E)</f>
        <v>181.92549999999989</v>
      </c>
      <c r="M36" s="61" t="s">
        <v>175</v>
      </c>
      <c r="N36" s="74">
        <f ca="1">+$L$36*Catalogo!F14</f>
        <v>2641814.7749549984</v>
      </c>
      <c r="O36" s="109">
        <f ca="1">+$L$42-L36*1000</f>
        <v>-36425.499999999884</v>
      </c>
      <c r="P36" s="74">
        <f ca="1">+$L$36*Catalogo!J14</f>
        <v>1419018.8999999992</v>
      </c>
      <c r="Q36" s="400">
        <f t="shared" ref="Q36:Q37" ca="1" si="2">+O36/1000</f>
        <v>-36.425499999999886</v>
      </c>
      <c r="R36" s="222">
        <f ca="1">+$Q$36*Catalogo!J14</f>
        <v>-284118.89999999909</v>
      </c>
      <c r="S36"/>
      <c r="T36"/>
      <c r="U36" s="399"/>
      <c r="V36"/>
      <c r="W36"/>
      <c r="AA36"/>
      <c r="AB36"/>
    </row>
    <row r="37" spans="1:28" x14ac:dyDescent="0.25">
      <c r="A37" s="62">
        <f t="shared" si="1"/>
        <v>45998</v>
      </c>
      <c r="B37" s="33" t="str">
        <f t="shared" ca="1" si="0"/>
        <v/>
      </c>
      <c r="C37" s="33"/>
      <c r="D37" s="63">
        <f ca="1">IF(TODAY()&gt;=$A37,SUMIFS(Tabla1[Avance_km],Tabla1[Fecha],"&lt;="&amp;Grafico!$A37,Tabla1[nombre_actividad],Grafico!D$1),NA())</f>
        <v>83.799000000000035</v>
      </c>
      <c r="E37" s="63">
        <f ca="1">IF(TODAY()&gt;=$A37,SUMIFS(Tabla1[Avance_km],Tabla1[Fecha],"&lt;="&amp;Grafico!$A37,Tabla1[nombre_actividad],Grafico!E$1),NA())</f>
        <v>31.548999999999999</v>
      </c>
      <c r="F37" s="110">
        <f ca="1">IF(TODAY()&gt;=$A37,SUMIFS(Tabla1[Avance_km],Tabla1[Fecha],"&lt;="&amp;Grafico!$A37,Tabla1[nombre_actividad],Grafico!F$1,Tabla1[Avance_km],"&gt;0"),NA())</f>
        <v>74.149000000000044</v>
      </c>
      <c r="G37" s="67">
        <f ca="1">IF(TODAY()&gt;=$A37,SUMIFS(Tabla1[Avance_Med],Tabla1[Fecha],"&lt;="&amp;Grafico!$A37,Tabla1[nombre_actividad],Grafico!G$1),NA())</f>
        <v>178</v>
      </c>
      <c r="H37" s="63">
        <f ca="1">IF(TODAY()&gt;=$A37,SUMIFS(Tabla1[Avance_km],Tabla1[Fecha],"&lt;="&amp;Grafico!$A37,Tabla1[nombre_actividad],Grafico!H$1),NA())</f>
        <v>0</v>
      </c>
      <c r="I37" s="63"/>
      <c r="K37" s="34" t="s">
        <v>80</v>
      </c>
      <c r="L37" s="110">
        <f ca="1">+_xlfn.XLOOKUP(TODAY(),A:A,F:F)</f>
        <v>150.32450000000006</v>
      </c>
      <c r="M37" s="61" t="s">
        <v>175</v>
      </c>
      <c r="N37" s="74">
        <f ca="1">+$L$37*Catalogo!F16</f>
        <v>2037743.3019350006</v>
      </c>
      <c r="O37" s="109">
        <f ca="1">+$L$42-(L37*1000)-(SUMIFS(Tabla1[Avance_km],Tabla1[nombre_actividad],"DCVG",Tabla1[Avance_km],"&lt;0")*1000)</f>
        <v>-3424.5000000000582</v>
      </c>
      <c r="P37" s="74">
        <f ca="1">($L$37+(SUMIFS(Tabla1[Avance_km],Tabla1[nombre_actividad],"DCVG",Tabla1[Avance_km],"&lt;0")))*Catalogo!J16</f>
        <v>1221180.9000000004</v>
      </c>
      <c r="Q37" s="400">
        <f t="shared" ca="1" si="2"/>
        <v>-3.4245000000000583</v>
      </c>
      <c r="R37" s="222">
        <f ca="1">+$Q$37*Catalogo!J16</f>
        <v>-28080.900000000478</v>
      </c>
      <c r="S37"/>
      <c r="T37"/>
      <c r="U37" s="399"/>
      <c r="V37"/>
      <c r="W37"/>
      <c r="AA37"/>
      <c r="AB37"/>
    </row>
    <row r="38" spans="1:28" x14ac:dyDescent="0.25">
      <c r="A38" s="62">
        <f t="shared" si="1"/>
        <v>45999</v>
      </c>
      <c r="B38" s="33" t="str">
        <f t="shared" ca="1" si="0"/>
        <v/>
      </c>
      <c r="C38" s="33"/>
      <c r="D38" s="63">
        <f ca="1">IF(TODAY()&gt;=$A38,SUMIFS(Tabla1[Avance_km],Tabla1[Fecha],"&lt;="&amp;Grafico!$A38,Tabla1[nombre_actividad],Grafico!D$1),NA())</f>
        <v>84.593000000000032</v>
      </c>
      <c r="E38" s="63">
        <f ca="1">IF(TODAY()&gt;=$A38,SUMIFS(Tabla1[Avance_km],Tabla1[Fecha],"&lt;="&amp;Grafico!$A38,Tabla1[nombre_actividad],Grafico!E$1),NA())</f>
        <v>31.548999999999999</v>
      </c>
      <c r="F38" s="110">
        <f ca="1">IF(TODAY()&gt;=$A38,SUMIFS(Tabla1[Avance_km],Tabla1[Fecha],"&lt;="&amp;Grafico!$A38,Tabla1[nombre_actividad],Grafico!F$1,Tabla1[Avance_km],"&gt;0"),NA())</f>
        <v>74.149000000000044</v>
      </c>
      <c r="G38" s="67">
        <f ca="1">IF(TODAY()&gt;=$A38,SUMIFS(Tabla1[Avance_Med],Tabla1[Fecha],"&lt;="&amp;Grafico!$A38,Tabla1[nombre_actividad],Grafico!G$1),NA())</f>
        <v>192</v>
      </c>
      <c r="H38" s="63">
        <f ca="1">IF(TODAY()&gt;=$A38,SUMIFS(Tabla1[Avance_km],Tabla1[Fecha],"&lt;="&amp;Grafico!$A38,Tabla1[nombre_actividad],Grafico!H$1),NA())</f>
        <v>0</v>
      </c>
      <c r="I38" s="63"/>
      <c r="K38" s="34" t="s">
        <v>81</v>
      </c>
      <c r="L38" s="67">
        <f ca="1">+_xlfn.XLOOKUP(TODAY(),A:A,G:G)</f>
        <v>396</v>
      </c>
      <c r="M38" s="61" t="s">
        <v>176</v>
      </c>
      <c r="N38" s="74">
        <f ca="1">+$L$38*Catalogo!F18</f>
        <v>1844568</v>
      </c>
      <c r="O38" s="112">
        <f ca="1">N53-L38</f>
        <v>-20</v>
      </c>
      <c r="P38" s="74">
        <v>0</v>
      </c>
      <c r="Q38" s="117"/>
      <c r="R38" s="223">
        <f ca="1">SUM(R35:R37)</f>
        <v>-370416.59999999951</v>
      </c>
      <c r="S38" t="s">
        <v>358</v>
      </c>
      <c r="T38"/>
      <c r="U38"/>
      <c r="V38" s="111"/>
      <c r="W38" s="111"/>
      <c r="X38"/>
      <c r="Y38"/>
      <c r="Z38"/>
      <c r="AA38" s="111"/>
      <c r="AB38"/>
    </row>
    <row r="39" spans="1:28" x14ac:dyDescent="0.25">
      <c r="A39" s="62">
        <f t="shared" si="1"/>
        <v>46000</v>
      </c>
      <c r="B39" s="33" t="str">
        <f t="shared" ca="1" si="0"/>
        <v/>
      </c>
      <c r="C39" s="33"/>
      <c r="D39" s="63">
        <f ca="1">IF(TODAY()&gt;=$A39,SUMIFS(Tabla1[Avance_km],Tabla1[Fecha],"&lt;="&amp;Grafico!$A39,Tabla1[nombre_actividad],Grafico!D$1),NA())</f>
        <v>84.593000000000032</v>
      </c>
      <c r="E39" s="63">
        <f ca="1">IF(TODAY()&gt;=$A39,SUMIFS(Tabla1[Avance_km],Tabla1[Fecha],"&lt;="&amp;Grafico!$A39,Tabla1[nombre_actividad],Grafico!E$1),NA())</f>
        <v>35.848999999999997</v>
      </c>
      <c r="F39" s="110">
        <f ca="1">IF(TODAY()&gt;=$A39,SUMIFS(Tabla1[Avance_km],Tabla1[Fecha],"&lt;="&amp;Grafico!$A39,Tabla1[nombre_actividad],Grafico!F$1,Tabla1[Avance_km],"&gt;0"),NA())</f>
        <v>74.149000000000044</v>
      </c>
      <c r="G39" s="67">
        <f ca="1">IF(TODAY()&gt;=$A39,SUMIFS(Tabla1[Avance_Med],Tabla1[Fecha],"&lt;="&amp;Grafico!$A39,Tabla1[nombre_actividad],Grafico!G$1),NA())</f>
        <v>210</v>
      </c>
      <c r="H39" s="63">
        <f ca="1">IF(TODAY()&gt;=$A39,SUMIFS(Tabla1[Avance_km],Tabla1[Fecha],"&lt;="&amp;Grafico!$A39,Tabla1[nombre_actividad],Grafico!H$1),NA())</f>
        <v>0</v>
      </c>
      <c r="I39" s="63"/>
      <c r="K39" s="34" t="s">
        <v>82</v>
      </c>
      <c r="L39" s="63">
        <f ca="1">+_xlfn.XLOOKUP(TODAY(),A:A,H:H)</f>
        <v>0</v>
      </c>
      <c r="M39" s="61" t="s">
        <v>175</v>
      </c>
      <c r="N39" s="74">
        <f ca="1">+$L$39*Catalogo!F15</f>
        <v>0</v>
      </c>
      <c r="P39" s="74">
        <f ca="1">+$L$39*Catalogo!J15</f>
        <v>0</v>
      </c>
      <c r="Q39" s="117"/>
      <c r="R39"/>
      <c r="S39"/>
      <c r="T39"/>
      <c r="U39"/>
      <c r="V39"/>
      <c r="W39"/>
      <c r="X39"/>
      <c r="Y39"/>
      <c r="Z39"/>
      <c r="AA39"/>
      <c r="AB39"/>
    </row>
    <row r="40" spans="1:28" x14ac:dyDescent="0.25">
      <c r="A40" s="62">
        <f t="shared" si="1"/>
        <v>46001</v>
      </c>
      <c r="B40" s="33" t="str">
        <f t="shared" ca="1" si="0"/>
        <v/>
      </c>
      <c r="C40" s="33"/>
      <c r="D40" s="63">
        <f ca="1">IF(TODAY()&gt;=$A40,SUMIFS(Tabla1[Avance_km],Tabla1[Fecha],"&lt;="&amp;Grafico!$A40,Tabla1[nombre_actividad],Grafico!D$1),NA())</f>
        <v>84.593000000000032</v>
      </c>
      <c r="E40" s="63">
        <f ca="1">IF(TODAY()&gt;=$A40,SUMIFS(Tabla1[Avance_km],Tabla1[Fecha],"&lt;="&amp;Grafico!$A40,Tabla1[nombre_actividad],Grafico!E$1),NA())</f>
        <v>40.148999999999994</v>
      </c>
      <c r="F40" s="110">
        <f ca="1">IF(TODAY()&gt;=$A40,SUMIFS(Tabla1[Avance_km],Tabla1[Fecha],"&lt;="&amp;Grafico!$A40,Tabla1[nombre_actividad],Grafico!F$1,Tabla1[Avance_km],"&gt;0"),NA())</f>
        <v>74.149000000000044</v>
      </c>
      <c r="G40" s="67">
        <f ca="1">IF(TODAY()&gt;=$A40,SUMIFS(Tabla1[Avance_Med],Tabla1[Fecha],"&lt;="&amp;Grafico!$A40,Tabla1[nombre_actividad],Grafico!G$1),NA())</f>
        <v>228</v>
      </c>
      <c r="H40" s="63">
        <f ca="1">IF(TODAY()&gt;=$A40,SUMIFS(Tabla1[Avance_km],Tabla1[Fecha],"&lt;="&amp;Grafico!$A40,Tabla1[nombre_actividad],Grafico!H$1),NA())</f>
        <v>0</v>
      </c>
      <c r="I40" s="63"/>
      <c r="K40" s="34" t="s">
        <v>83</v>
      </c>
      <c r="L40" s="110">
        <f ca="1">+_xlfn.XLOOKUP(TODAY(),A:A,I:I)</f>
        <v>118.7916792004837</v>
      </c>
      <c r="M40" s="61" t="s">
        <v>175</v>
      </c>
      <c r="N40" s="74">
        <f ca="1">+$L$40*Catalogo!F17</f>
        <v>1627004.100000001</v>
      </c>
      <c r="P40" s="74">
        <f ca="1">+$L$40*Catalogo!J17</f>
        <v>805407.58497927943</v>
      </c>
      <c r="Q40" s="117"/>
      <c r="R40"/>
      <c r="S40"/>
      <c r="T40"/>
      <c r="U40"/>
      <c r="V40"/>
      <c r="W40"/>
      <c r="X40"/>
      <c r="Y40"/>
      <c r="Z40"/>
      <c r="AA40"/>
      <c r="AB40"/>
    </row>
    <row r="41" spans="1:28" x14ac:dyDescent="0.25">
      <c r="A41" s="62">
        <f t="shared" si="1"/>
        <v>46002</v>
      </c>
      <c r="B41" s="33" t="str">
        <f t="shared" ca="1" si="0"/>
        <v/>
      </c>
      <c r="C41" s="33"/>
      <c r="D41" s="63">
        <f ca="1">IF(TODAY()&gt;=$A41,SUMIFS(Tabla1[Avance_km],Tabla1[Fecha],"&lt;="&amp;Grafico!$A41,Tabla1[nombre_actividad],Grafico!D$1),NA())</f>
        <v>84.593000000000032</v>
      </c>
      <c r="E41" s="63">
        <f ca="1">IF(TODAY()&gt;=$A41,SUMIFS(Tabla1[Avance_km],Tabla1[Fecha],"&lt;="&amp;Grafico!$A41,Tabla1[nombre_actividad],Grafico!E$1),NA())</f>
        <v>44.848999999999997</v>
      </c>
      <c r="F41" s="110">
        <f ca="1">IF(TODAY()&gt;=$A41,SUMIFS(Tabla1[Avance_km],Tabla1[Fecha],"&lt;="&amp;Grafico!$A41,Tabla1[nombre_actividad],Grafico!F$1,Tabla1[Avance_km],"&gt;0"),NA())</f>
        <v>74.149000000000044</v>
      </c>
      <c r="G41" s="67">
        <f ca="1">IF(TODAY()&gt;=$A41,SUMIFS(Tabla1[Avance_Med],Tabla1[Fecha],"&lt;="&amp;Grafico!$A41,Tabla1[nombre_actividad],Grafico!G$1),NA())</f>
        <v>228</v>
      </c>
      <c r="H41" s="63">
        <f ca="1">IF(TODAY()&gt;=$A41,SUMIFS(Tabla1[Avance_km],Tabla1[Fecha],"&lt;="&amp;Grafico!$A41,Tabla1[nombre_actividad],Grafico!H$1),NA())</f>
        <v>0</v>
      </c>
      <c r="I41" s="63"/>
      <c r="N41" s="75">
        <f ca="1">SUM(N35:N40)</f>
        <v>8561722.1423000004</v>
      </c>
      <c r="P41" s="213">
        <f ca="1">SUM(P35:P40)</f>
        <v>3736624.1849792791</v>
      </c>
      <c r="Q41" s="138"/>
      <c r="R41" s="174" t="str">
        <f ca="1">"Ejecutdo SPIN al "&amp;TEXT(TODAY(),"mmm-aaaa")</f>
        <v>Ejecutdo SPIN al oct-2026</v>
      </c>
      <c r="S41" s="243">
        <f ca="1">+P41</f>
        <v>3736624.1849792791</v>
      </c>
      <c r="T41" s="245">
        <f ca="1">+P41+R38-1500000</f>
        <v>1866207.5849792794</v>
      </c>
      <c r="U41"/>
      <c r="V41"/>
      <c r="W41" s="323"/>
      <c r="X41"/>
      <c r="Y41"/>
      <c r="Z41"/>
      <c r="AA41"/>
      <c r="AB41"/>
    </row>
    <row r="42" spans="1:28" x14ac:dyDescent="0.25">
      <c r="A42" s="62">
        <f t="shared" si="1"/>
        <v>46003</v>
      </c>
      <c r="B42" s="33" t="str">
        <f t="shared" ca="1" si="0"/>
        <v/>
      </c>
      <c r="C42" s="33"/>
      <c r="D42" s="63">
        <f ca="1">IF(TODAY()&gt;=$A42,SUMIFS(Tabla1[Avance_km],Tabla1[Fecha],"&lt;="&amp;Grafico!$A42,Tabla1[nombre_actividad],Grafico!D$1),NA())</f>
        <v>84.593000000000032</v>
      </c>
      <c r="E42" s="63">
        <f ca="1">IF(TODAY()&gt;=$A42,SUMIFS(Tabla1[Avance_km],Tabla1[Fecha],"&lt;="&amp;Grafico!$A42,Tabla1[nombre_actividad],Grafico!E$1),NA())</f>
        <v>49.573999999999998</v>
      </c>
      <c r="F42" s="110">
        <f ca="1">IF(TODAY()&gt;=$A42,SUMIFS(Tabla1[Avance_km],Tabla1[Fecha],"&lt;="&amp;Grafico!$A42,Tabla1[nombre_actividad],Grafico!F$1,Tabla1[Avance_km],"&gt;0"),NA())</f>
        <v>74.149000000000044</v>
      </c>
      <c r="G42" s="67">
        <f ca="1">IF(TODAY()&gt;=$A42,SUMIFS(Tabla1[Avance_Med],Tabla1[Fecha],"&lt;="&amp;Grafico!$A42,Tabla1[nombre_actividad],Grafico!G$1),NA())</f>
        <v>228</v>
      </c>
      <c r="H42" s="63">
        <f ca="1">IF(TODAY()&gt;=$A42,SUMIFS(Tabla1[Avance_km],Tabla1[Fecha],"&lt;="&amp;Grafico!$A42,Tabla1[nombre_actividad],Grafico!H$1),NA())</f>
        <v>0</v>
      </c>
      <c r="I42" s="63"/>
      <c r="K42" s="61" t="s">
        <v>177</v>
      </c>
      <c r="L42" s="107">
        <v>145500</v>
      </c>
      <c r="N42" s="1" t="s">
        <v>178</v>
      </c>
      <c r="P42" s="76" t="s">
        <v>179</v>
      </c>
      <c r="Q42"/>
      <c r="R42" s="235" t="s">
        <v>394</v>
      </c>
      <c r="S42" s="243">
        <v>-1500000</v>
      </c>
      <c r="T42"/>
      <c r="U42"/>
    </row>
    <row r="43" spans="1:28" x14ac:dyDescent="0.25">
      <c r="A43" s="62">
        <f t="shared" si="1"/>
        <v>46004</v>
      </c>
      <c r="B43" s="33" t="str">
        <f t="shared" ca="1" si="0"/>
        <v/>
      </c>
      <c r="C43" s="33"/>
      <c r="D43" s="63">
        <f ca="1">IF(TODAY()&gt;=$A43,SUMIFS(Tabla1[Avance_km],Tabla1[Fecha],"&lt;="&amp;Grafico!$A43,Tabla1[nombre_actividad],Grafico!D$1),NA())</f>
        <v>84.593000000000032</v>
      </c>
      <c r="E43" s="63">
        <f ca="1">IF(TODAY()&gt;=$A43,SUMIFS(Tabla1[Avance_km],Tabla1[Fecha],"&lt;="&amp;Grafico!$A43,Tabla1[nombre_actividad],Grafico!E$1),NA())</f>
        <v>51.923000000000002</v>
      </c>
      <c r="F43" s="110">
        <f ca="1">IF(TODAY()&gt;=$A43,SUMIFS(Tabla1[Avance_km],Tabla1[Fecha],"&lt;="&amp;Grafico!$A43,Tabla1[nombre_actividad],Grafico!F$1,Tabla1[Avance_km],"&gt;0"),NA())</f>
        <v>74.149000000000044</v>
      </c>
      <c r="G43" s="67">
        <f ca="1">IF(TODAY()&gt;=$A43,SUMIFS(Tabla1[Avance_Med],Tabla1[Fecha],"&lt;="&amp;Grafico!$A43,Tabla1[nombre_actividad],Grafico!G$1),NA())</f>
        <v>228</v>
      </c>
      <c r="H43" s="63">
        <f ca="1">IF(TODAY()&gt;=$A43,SUMIFS(Tabla1[Avance_km],Tabla1[Fecha],"&lt;="&amp;Grafico!$A43,Tabla1[nombre_actividad],Grafico!H$1),NA())</f>
        <v>0</v>
      </c>
      <c r="I43" s="63"/>
      <c r="K43" s="61" t="s">
        <v>355</v>
      </c>
      <c r="L43" s="107">
        <v>99441.99</v>
      </c>
      <c r="N43" s="74">
        <f ca="1">+N41-P41</f>
        <v>4825097.9573207218</v>
      </c>
      <c r="P43"/>
      <c r="Q43"/>
      <c r="R43" s="174" t="str">
        <f ca="1">"Por Pagar a "&amp;TEXT(TODAY(),"mmm-aaaa")</f>
        <v>Por Pagar a oct-2026</v>
      </c>
      <c r="S43" s="243">
        <f ca="1">+S41+S42</f>
        <v>2236624.1849792791</v>
      </c>
      <c r="T43"/>
      <c r="U43"/>
      <c r="V43" s="390"/>
      <c r="AA43" s="291"/>
    </row>
    <row r="44" spans="1:28" x14ac:dyDescent="0.25">
      <c r="A44" s="62">
        <f t="shared" si="1"/>
        <v>46005</v>
      </c>
      <c r="B44" s="33" t="str">
        <f t="shared" ca="1" si="0"/>
        <v/>
      </c>
      <c r="C44" s="33"/>
      <c r="D44" s="63">
        <f ca="1">IF(TODAY()&gt;=$A44,SUMIFS(Tabla1[Avance_km],Tabla1[Fecha],"&lt;="&amp;Grafico!$A44,Tabla1[nombre_actividad],Grafico!D$1),NA())</f>
        <v>84.593000000000032</v>
      </c>
      <c r="E44" s="63">
        <f ca="1">IF(TODAY()&gt;=$A44,SUMIFS(Tabla1[Avance_km],Tabla1[Fecha],"&lt;="&amp;Grafico!$A44,Tabla1[nombre_actividad],Grafico!E$1),NA())</f>
        <v>51.923000000000002</v>
      </c>
      <c r="F44" s="110">
        <f ca="1">IF(TODAY()&gt;=$A44,SUMIFS(Tabla1[Avance_km],Tabla1[Fecha],"&lt;="&amp;Grafico!$A44,Tabla1[nombre_actividad],Grafico!F$1,Tabla1[Avance_km],"&gt;0"),NA())</f>
        <v>74.149000000000044</v>
      </c>
      <c r="G44" s="67">
        <f ca="1">IF(TODAY()&gt;=$A44,SUMIFS(Tabla1[Avance_Med],Tabla1[Fecha],"&lt;="&amp;Grafico!$A44,Tabla1[nombre_actividad],Grafico!G$1),NA())</f>
        <v>228</v>
      </c>
      <c r="H44" s="63">
        <f ca="1">IF(TODAY()&gt;=$A44,SUMIFS(Tabla1[Avance_km],Tabla1[Fecha],"&lt;="&amp;Grafico!$A44,Tabla1[nombre_actividad],Grafico!H$1),NA())</f>
        <v>0</v>
      </c>
      <c r="I44" s="63"/>
      <c r="K44" s="61" t="s">
        <v>356</v>
      </c>
      <c r="L44" s="214"/>
      <c r="R44" s="174"/>
      <c r="S44" s="174"/>
      <c r="V44" s="390"/>
      <c r="AA44" s="291"/>
    </row>
    <row r="45" spans="1:28" x14ac:dyDescent="0.25">
      <c r="A45" s="62">
        <f t="shared" si="1"/>
        <v>46006</v>
      </c>
      <c r="B45" s="33" t="str">
        <f t="shared" ca="1" si="0"/>
        <v/>
      </c>
      <c r="C45" s="33"/>
      <c r="D45" s="63">
        <f ca="1">IF(TODAY()&gt;=$A45,SUMIFS(Tabla1[Avance_km],Tabla1[Fecha],"&lt;="&amp;Grafico!$A45,Tabla1[nombre_actividad],Grafico!D$1),NA())</f>
        <v>84.593000000000032</v>
      </c>
      <c r="E45" s="63">
        <f ca="1">IF(TODAY()&gt;=$A45,SUMIFS(Tabla1[Avance_km],Tabla1[Fecha],"&lt;="&amp;Grafico!$A45,Tabla1[nombre_actividad],Grafico!E$1),NA())</f>
        <v>51.923000000000002</v>
      </c>
      <c r="F45" s="110">
        <f ca="1">IF(TODAY()&gt;=$A45,SUMIFS(Tabla1[Avance_km],Tabla1[Fecha],"&lt;="&amp;Grafico!$A45,Tabla1[nombre_actividad],Grafico!F$1,Tabla1[Avance_km],"&gt;0"),NA())</f>
        <v>84.593000000000046</v>
      </c>
      <c r="G45" s="67">
        <f ca="1">IF(TODAY()&gt;=$A45,SUMIFS(Tabla1[Avance_Med],Tabla1[Fecha],"&lt;="&amp;Grafico!$A45,Tabla1[nombre_actividad],Grafico!G$1),NA())</f>
        <v>228</v>
      </c>
      <c r="H45" s="63">
        <f ca="1">IF(TODAY()&gt;=$A45,SUMIFS(Tabla1[Avance_km],Tabla1[Fecha],"&lt;="&amp;Grafico!$A45,Tabla1[nombre_actividad],Grafico!H$1),NA())</f>
        <v>0</v>
      </c>
      <c r="I45" s="63"/>
      <c r="R45" s="174" t="str">
        <f ca="1">"Por Ejecutar SPIN a "&amp;TEXT(TODAY(),"mmm-aaaa")</f>
        <v>Por Ejecutar SPIN a oct-2026</v>
      </c>
      <c r="S45" s="244">
        <f ca="1">+R38</f>
        <v>-370416.59999999951</v>
      </c>
      <c r="V45" s="390"/>
      <c r="AA45" s="291"/>
    </row>
    <row r="46" spans="1:28" x14ac:dyDescent="0.25">
      <c r="A46" s="62">
        <f t="shared" si="1"/>
        <v>46007</v>
      </c>
      <c r="B46" s="33" t="str">
        <f t="shared" ca="1" si="0"/>
        <v/>
      </c>
      <c r="C46" s="33"/>
      <c r="D46" s="63">
        <f ca="1">IF(TODAY()&gt;=$A46,SUMIFS(Tabla1[Avance_km],Tabla1[Fecha],"&lt;="&amp;Grafico!$A46,Tabla1[nombre_actividad],Grafico!D$1),NA())</f>
        <v>84.593000000000032</v>
      </c>
      <c r="E46" s="63">
        <f ca="1">IF(TODAY()&gt;=$A46,SUMIFS(Tabla1[Avance_km],Tabla1[Fecha],"&lt;="&amp;Grafico!$A46,Tabla1[nombre_actividad],Grafico!E$1),NA())</f>
        <v>52.207999999999998</v>
      </c>
      <c r="F46" s="110">
        <f ca="1">IF(TODAY()&gt;=$A46,SUMIFS(Tabla1[Avance_km],Tabla1[Fecha],"&lt;="&amp;Grafico!$A46,Tabla1[nombre_actividad],Grafico!F$1,Tabla1[Avance_km],"&gt;0"),NA())</f>
        <v>84.593000000000046</v>
      </c>
      <c r="G46" s="67">
        <f ca="1">IF(TODAY()&gt;=$A46,SUMIFS(Tabla1[Avance_Med],Tabla1[Fecha],"&lt;="&amp;Grafico!$A46,Tabla1[nombre_actividad],Grafico!G$1),NA())</f>
        <v>228</v>
      </c>
      <c r="H46" s="63">
        <f ca="1">IF(TODAY()&gt;=$A46,SUMIFS(Tabla1[Avance_km],Tabla1[Fecha],"&lt;="&amp;Grafico!$A46,Tabla1[nombre_actividad],Grafico!H$1),NA())</f>
        <v>0</v>
      </c>
      <c r="I46" s="63"/>
      <c r="M46" s="61" t="s">
        <v>180</v>
      </c>
      <c r="N46" s="212">
        <v>156</v>
      </c>
      <c r="O46" s="212">
        <f>+'Summary S01'!K43</f>
        <v>156</v>
      </c>
    </row>
    <row r="47" spans="1:28" x14ac:dyDescent="0.25">
      <c r="A47" s="62">
        <f t="shared" si="1"/>
        <v>46008</v>
      </c>
      <c r="B47" s="33" t="str">
        <f t="shared" ca="1" si="0"/>
        <v/>
      </c>
      <c r="C47" s="33"/>
      <c r="D47" s="63">
        <f ca="1">IF(TODAY()&gt;=$A47,SUMIFS(Tabla1[Avance_km],Tabla1[Fecha],"&lt;="&amp;Grafico!$A47,Tabla1[nombre_actividad],Grafico!D$1),NA())</f>
        <v>88.205000000000027</v>
      </c>
      <c r="E47" s="63">
        <f ca="1">IF(TODAY()&gt;=$A47,SUMIFS(Tabla1[Avance_km],Tabla1[Fecha],"&lt;="&amp;Grafico!$A47,Tabla1[nombre_actividad],Grafico!E$1),NA())</f>
        <v>52.572000000000003</v>
      </c>
      <c r="F47" s="110">
        <f ca="1">IF(TODAY()&gt;=$A47,SUMIFS(Tabla1[Avance_km],Tabla1[Fecha],"&lt;="&amp;Grafico!$A47,Tabla1[nombre_actividad],Grafico!F$1,Tabla1[Avance_km],"&gt;0"),NA())</f>
        <v>84.593000000000046</v>
      </c>
      <c r="G47" s="67">
        <f ca="1">IF(TODAY()&gt;=$A47,SUMIFS(Tabla1[Avance_Med],Tabla1[Fecha],"&lt;="&amp;Grafico!$A47,Tabla1[nombre_actividad],Grafico!G$1),NA())</f>
        <v>228</v>
      </c>
      <c r="H47" s="63">
        <f ca="1">IF(TODAY()&gt;=$A47,SUMIFS(Tabla1[Avance_km],Tabla1[Fecha],"&lt;="&amp;Grafico!$A47,Tabla1[nombre_actividad],Grafico!H$1),NA())</f>
        <v>0</v>
      </c>
      <c r="I47" s="63"/>
      <c r="M47" s="61" t="s">
        <v>181</v>
      </c>
      <c r="N47" s="212">
        <v>73</v>
      </c>
      <c r="O47" s="212">
        <f>+'Summary S02'!K20</f>
        <v>73</v>
      </c>
    </row>
    <row r="48" spans="1:28" x14ac:dyDescent="0.25">
      <c r="A48" s="62">
        <f t="shared" si="1"/>
        <v>46009</v>
      </c>
      <c r="B48" s="33" t="str">
        <f t="shared" ca="1" si="0"/>
        <v/>
      </c>
      <c r="C48" s="33"/>
      <c r="D48" s="63">
        <f ca="1">IF(TODAY()&gt;=$A48,SUMIFS(Tabla1[Avance_km],Tabla1[Fecha],"&lt;="&amp;Grafico!$A48,Tabla1[nombre_actividad],Grafico!D$1),NA())</f>
        <v>93.205000000000027</v>
      </c>
      <c r="E48" s="63">
        <f ca="1">IF(TODAY()&gt;=$A48,SUMIFS(Tabla1[Avance_km],Tabla1[Fecha],"&lt;="&amp;Grafico!$A48,Tabla1[nombre_actividad],Grafico!E$1),NA())</f>
        <v>52.572000000000003</v>
      </c>
      <c r="F48" s="110">
        <f ca="1">IF(TODAY()&gt;=$A48,SUMIFS(Tabla1[Avance_km],Tabla1[Fecha],"&lt;="&amp;Grafico!$A48,Tabla1[nombre_actividad],Grafico!F$1,Tabla1[Avance_km],"&gt;0"),NA())</f>
        <v>84.593000000000046</v>
      </c>
      <c r="G48" s="67">
        <f ca="1">IF(TODAY()&gt;=$A48,SUMIFS(Tabla1[Avance_Med],Tabla1[Fecha],"&lt;="&amp;Grafico!$A48,Tabla1[nombre_actividad],Grafico!G$1),NA())</f>
        <v>228</v>
      </c>
      <c r="H48" s="63">
        <f ca="1">IF(TODAY()&gt;=$A48,SUMIFS(Tabla1[Avance_km],Tabla1[Fecha],"&lt;="&amp;Grafico!$A48,Tabla1[nombre_actividad],Grafico!H$1),NA())</f>
        <v>0</v>
      </c>
      <c r="I48" s="63"/>
      <c r="M48" s="61" t="s">
        <v>211</v>
      </c>
      <c r="N48" s="212">
        <v>128</v>
      </c>
      <c r="O48" s="212">
        <f>+'Summary S03'!K48</f>
        <v>129</v>
      </c>
    </row>
    <row r="49" spans="1:15" x14ac:dyDescent="0.25">
      <c r="A49" s="62">
        <f>+A48+1</f>
        <v>46010</v>
      </c>
      <c r="B49" s="33" t="str">
        <f t="shared" ca="1" si="0"/>
        <v/>
      </c>
      <c r="C49" s="33"/>
      <c r="D49" s="63">
        <f ca="1">IF(TODAY()&gt;=$A49,SUMIFS(Tabla1[Avance_km],Tabla1[Fecha],"&lt;="&amp;Grafico!$A49,Tabla1[nombre_actividad],Grafico!D$1),NA())</f>
        <v>93.205000000000027</v>
      </c>
      <c r="E49" s="63">
        <f ca="1">IF(TODAY()&gt;=$A49,SUMIFS(Tabla1[Avance_km],Tabla1[Fecha],"&lt;="&amp;Grafico!$A49,Tabla1[nombre_actividad],Grafico!E$1),NA())</f>
        <v>58.344000000000001</v>
      </c>
      <c r="F49" s="110">
        <f ca="1">IF(TODAY()&gt;=$A49,SUMIFS(Tabla1[Avance_km],Tabla1[Fecha],"&lt;="&amp;Grafico!$A49,Tabla1[nombre_actividad],Grafico!F$1,Tabla1[Avance_km],"&gt;0"),NA())</f>
        <v>84.593000000000046</v>
      </c>
      <c r="G49" s="67">
        <f ca="1">IF(TODAY()&gt;=$A49,SUMIFS(Tabla1[Avance_Med],Tabla1[Fecha],"&lt;="&amp;Grafico!$A49,Tabla1[nombre_actividad],Grafico!G$1),NA())</f>
        <v>228</v>
      </c>
      <c r="H49" s="63">
        <f ca="1">IF(TODAY()&gt;=$A49,SUMIFS(Tabla1[Avance_km],Tabla1[Fecha],"&lt;="&amp;Grafico!$A49,Tabla1[nombre_actividad],Grafico!H$1),NA())</f>
        <v>0</v>
      </c>
      <c r="I49" s="63"/>
      <c r="M49" s="61" t="s">
        <v>352</v>
      </c>
      <c r="N49" s="212">
        <v>5</v>
      </c>
      <c r="O49" s="212">
        <f>+'Summary S04'!K8</f>
        <v>0</v>
      </c>
    </row>
    <row r="50" spans="1:15" x14ac:dyDescent="0.25">
      <c r="A50" s="62">
        <f t="shared" si="1"/>
        <v>46011</v>
      </c>
      <c r="B50" s="33" t="str">
        <f t="shared" ca="1" si="0"/>
        <v/>
      </c>
      <c r="C50" s="33"/>
      <c r="D50" s="63">
        <f ca="1">IF(TODAY()&gt;=$A50,SUMIFS(Tabla1[Avance_km],Tabla1[Fecha],"&lt;="&amp;Grafico!$A50,Tabla1[nombre_actividad],Grafico!D$1),NA())</f>
        <v>93.205000000000027</v>
      </c>
      <c r="E50" s="63">
        <f ca="1">IF(TODAY()&gt;=$A50,SUMIFS(Tabla1[Avance_km],Tabla1[Fecha],"&lt;="&amp;Grafico!$A50,Tabla1[nombre_actividad],Grafico!E$1),NA())</f>
        <v>60.515999999999998</v>
      </c>
      <c r="F50" s="110">
        <f ca="1">IF(TODAY()&gt;=$A50,SUMIFS(Tabla1[Avance_km],Tabla1[Fecha],"&lt;="&amp;Grafico!$A50,Tabla1[nombre_actividad],Grafico!F$1,Tabla1[Avance_km],"&gt;0"),NA())</f>
        <v>84.593000000000046</v>
      </c>
      <c r="G50" s="67">
        <f ca="1">IF(TODAY()&gt;=$A50,SUMIFS(Tabla1[Avance_Med],Tabla1[Fecha],"&lt;="&amp;Grafico!$A50,Tabla1[nombre_actividad],Grafico!G$1),NA())</f>
        <v>228</v>
      </c>
      <c r="H50" s="63">
        <f ca="1">IF(TODAY()&gt;=$A50,SUMIFS(Tabla1[Avance_km],Tabla1[Fecha],"&lt;="&amp;Grafico!$A50,Tabla1[nombre_actividad],Grafico!H$1),NA())</f>
        <v>0</v>
      </c>
      <c r="I50" s="63"/>
      <c r="M50" s="61" t="s">
        <v>272</v>
      </c>
      <c r="N50" s="212">
        <v>5</v>
      </c>
      <c r="O50" s="212">
        <v>5</v>
      </c>
    </row>
    <row r="51" spans="1:15" x14ac:dyDescent="0.25">
      <c r="A51" s="62">
        <f t="shared" si="1"/>
        <v>46012</v>
      </c>
      <c r="B51" s="33" t="str">
        <f t="shared" ca="1" si="0"/>
        <v/>
      </c>
      <c r="C51" s="33"/>
      <c r="D51" s="63">
        <f ca="1">IF(TODAY()&gt;=$A51,SUMIFS(Tabla1[Avance_km],Tabla1[Fecha],"&lt;="&amp;Grafico!$A51,Tabla1[nombre_actividad],Grafico!D$1),NA())</f>
        <v>93.205000000000027</v>
      </c>
      <c r="E51" s="63">
        <f ca="1">IF(TODAY()&gt;=$A51,SUMIFS(Tabla1[Avance_km],Tabla1[Fecha],"&lt;="&amp;Grafico!$A51,Tabla1[nombre_actividad],Grafico!E$1),NA())</f>
        <v>60.515999999999998</v>
      </c>
      <c r="F51" s="110">
        <f ca="1">IF(TODAY()&gt;=$A51,SUMIFS(Tabla1[Avance_km],Tabla1[Fecha],"&lt;="&amp;Grafico!$A51,Tabla1[nombre_actividad],Grafico!F$1,Tabla1[Avance_km],"&gt;0"),NA())</f>
        <v>84.593000000000046</v>
      </c>
      <c r="G51" s="67">
        <f ca="1">IF(TODAY()&gt;=$A51,SUMIFS(Tabla1[Avance_Med],Tabla1[Fecha],"&lt;="&amp;Grafico!$A51,Tabla1[nombre_actividad],Grafico!G$1),NA())</f>
        <v>228</v>
      </c>
      <c r="H51" s="63">
        <f ca="1">IF(TODAY()&gt;=$A51,SUMIFS(Tabla1[Avance_km],Tabla1[Fecha],"&lt;="&amp;Grafico!$A51,Tabla1[nombre_actividad],Grafico!H$1),NA())</f>
        <v>0</v>
      </c>
      <c r="I51" s="63"/>
      <c r="M51" s="61" t="s">
        <v>273</v>
      </c>
      <c r="N51" s="212">
        <v>9</v>
      </c>
      <c r="O51" s="212">
        <v>9</v>
      </c>
    </row>
    <row r="52" spans="1:15" x14ac:dyDescent="0.25">
      <c r="A52" s="62">
        <f t="shared" si="1"/>
        <v>46013</v>
      </c>
      <c r="B52" s="33" t="str">
        <f t="shared" ca="1" si="0"/>
        <v/>
      </c>
      <c r="C52" s="33"/>
      <c r="D52" s="63">
        <f ca="1">IF(TODAY()&gt;=$A52,SUMIFS(Tabla1[Avance_km],Tabla1[Fecha],"&lt;="&amp;Grafico!$A52,Tabla1[nombre_actividad],Grafico!D$1),NA())</f>
        <v>93.205000000000027</v>
      </c>
      <c r="E52" s="63">
        <f ca="1">IF(TODAY()&gt;=$A52,SUMIFS(Tabla1[Avance_km],Tabla1[Fecha],"&lt;="&amp;Grafico!$A52,Tabla1[nombre_actividad],Grafico!E$1),NA())</f>
        <v>63.065999999999995</v>
      </c>
      <c r="F52" s="110">
        <f ca="1">IF(TODAY()&gt;=$A52,SUMIFS(Tabla1[Avance_km],Tabla1[Fecha],"&lt;="&amp;Grafico!$A52,Tabla1[nombre_actividad],Grafico!F$1,Tabla1[Avance_km],"&gt;0"),NA())</f>
        <v>84.593000000000046</v>
      </c>
      <c r="G52" s="67">
        <f ca="1">IF(TODAY()&gt;=$A52,SUMIFS(Tabla1[Avance_Med],Tabla1[Fecha],"&lt;="&amp;Grafico!$A52,Tabla1[nombre_actividad],Grafico!G$1),NA())</f>
        <v>228</v>
      </c>
      <c r="H52" s="63">
        <f ca="1">IF(TODAY()&gt;=$A52,SUMIFS(Tabla1[Avance_km],Tabla1[Fecha],"&lt;="&amp;Grafico!$A52,Tabla1[nombre_actividad],Grafico!H$1),NA())</f>
        <v>0</v>
      </c>
      <c r="I52" s="63"/>
    </row>
    <row r="53" spans="1:15" x14ac:dyDescent="0.25">
      <c r="A53" s="62">
        <f t="shared" si="1"/>
        <v>46014</v>
      </c>
      <c r="B53" s="33" t="str">
        <f t="shared" ca="1" si="0"/>
        <v/>
      </c>
      <c r="C53" s="33">
        <v>500</v>
      </c>
      <c r="D53" s="63">
        <f ca="1">IF(TODAY()&gt;=$A53,SUMIFS(Tabla1[Avance_km],Tabla1[Fecha],"&lt;="&amp;Grafico!$A53,Tabla1[nombre_actividad],Grafico!D$1),NA())</f>
        <v>93.205000000000027</v>
      </c>
      <c r="E53" s="63">
        <f ca="1">IF(TODAY()&gt;=$A53,SUMIFS(Tabla1[Avance_km],Tabla1[Fecha],"&lt;="&amp;Grafico!$A53,Tabla1[nombre_actividad],Grafico!E$1),NA())</f>
        <v>63.065999999999995</v>
      </c>
      <c r="F53" s="110">
        <f ca="1">IF(TODAY()&gt;=$A53,SUMIFS(Tabla1[Avance_km],Tabla1[Fecha],"&lt;="&amp;Grafico!$A53,Tabla1[nombre_actividad],Grafico!F$1,Tabla1[Avance_km],"&gt;0"),NA())</f>
        <v>84.593000000000046</v>
      </c>
      <c r="G53" s="67">
        <f ca="1">IF(TODAY()&gt;=$A53,SUMIFS(Tabla1[Avance_Med],Tabla1[Fecha],"&lt;="&amp;Grafico!$A53,Tabla1[nombre_actividad],Grafico!G$1),NA())</f>
        <v>228</v>
      </c>
      <c r="H53" s="63">
        <f ca="1">IF(TODAY()&gt;=$A53,SUMIFS(Tabla1[Avance_km],Tabla1[Fecha],"&lt;="&amp;Grafico!$A53,Tabla1[nombre_actividad],Grafico!H$1),NA())</f>
        <v>0</v>
      </c>
      <c r="I53" s="63"/>
      <c r="N53" s="61">
        <f>SUM(N46:N51)</f>
        <v>376</v>
      </c>
      <c r="O53" s="61">
        <f>SUM(O46:O51)</f>
        <v>372</v>
      </c>
    </row>
    <row r="54" spans="1:15" x14ac:dyDescent="0.25">
      <c r="A54" s="62">
        <f t="shared" si="1"/>
        <v>46015</v>
      </c>
      <c r="B54" s="33" t="str">
        <f t="shared" ca="1" si="0"/>
        <v/>
      </c>
      <c r="C54" s="33">
        <v>500</v>
      </c>
      <c r="D54" s="63">
        <f ca="1">IF(TODAY()&gt;=$A54,SUMIFS(Tabla1[Avance_km],Tabla1[Fecha],"&lt;="&amp;Grafico!$A54,Tabla1[nombre_actividad],Grafico!D$1),NA())</f>
        <v>93.205000000000027</v>
      </c>
      <c r="E54" s="63">
        <f ca="1">IF(TODAY()&gt;=$A54,SUMIFS(Tabla1[Avance_km],Tabla1[Fecha],"&lt;="&amp;Grafico!$A54,Tabla1[nombre_actividad],Grafico!E$1),NA())</f>
        <v>63.065999999999995</v>
      </c>
      <c r="F54" s="110">
        <f ca="1">IF(TODAY()&gt;=$A54,SUMIFS(Tabla1[Avance_km],Tabla1[Fecha],"&lt;="&amp;Grafico!$A54,Tabla1[nombre_actividad],Grafico!F$1,Tabla1[Avance_km],"&gt;0"),NA())</f>
        <v>84.593000000000046</v>
      </c>
      <c r="G54" s="67">
        <f ca="1">IF(TODAY()&gt;=$A54,SUMIFS(Tabla1[Avance_Med],Tabla1[Fecha],"&lt;="&amp;Grafico!$A54,Tabla1[nombre_actividad],Grafico!G$1),NA())</f>
        <v>228</v>
      </c>
      <c r="H54" s="63">
        <f ca="1">IF(TODAY()&gt;=$A54,SUMIFS(Tabla1[Avance_km],Tabla1[Fecha],"&lt;="&amp;Grafico!$A54,Tabla1[nombre_actividad],Grafico!H$1),NA())</f>
        <v>0</v>
      </c>
      <c r="I54" s="63"/>
    </row>
    <row r="55" spans="1:15" x14ac:dyDescent="0.25">
      <c r="A55" s="62">
        <f t="shared" si="1"/>
        <v>46016</v>
      </c>
      <c r="B55" s="33" t="str">
        <f t="shared" ca="1" si="0"/>
        <v/>
      </c>
      <c r="C55" s="33">
        <v>500</v>
      </c>
      <c r="D55" s="63">
        <f ca="1">IF(TODAY()&gt;=$A55,SUMIFS(Tabla1[Avance_km],Tabla1[Fecha],"&lt;="&amp;Grafico!$A55,Tabla1[nombre_actividad],Grafico!D$1),NA())</f>
        <v>93.205000000000027</v>
      </c>
      <c r="E55" s="63">
        <f ca="1">IF(TODAY()&gt;=$A55,SUMIFS(Tabla1[Avance_km],Tabla1[Fecha],"&lt;="&amp;Grafico!$A55,Tabla1[nombre_actividad],Grafico!E$1),NA())</f>
        <v>63.065999999999995</v>
      </c>
      <c r="F55" s="110">
        <f ca="1">IF(TODAY()&gt;=$A55,SUMIFS(Tabla1[Avance_km],Tabla1[Fecha],"&lt;="&amp;Grafico!$A55,Tabla1[nombre_actividad],Grafico!F$1,Tabla1[Avance_km],"&gt;0"),NA())</f>
        <v>84.593000000000046</v>
      </c>
      <c r="G55" s="67">
        <f ca="1">IF(TODAY()&gt;=$A55,SUMIFS(Tabla1[Avance_Med],Tabla1[Fecha],"&lt;="&amp;Grafico!$A55,Tabla1[nombre_actividad],Grafico!G$1),NA())</f>
        <v>228</v>
      </c>
      <c r="H55" s="63">
        <f ca="1">IF(TODAY()&gt;=$A55,SUMIFS(Tabla1[Avance_km],Tabla1[Fecha],"&lt;="&amp;Grafico!$A55,Tabla1[nombre_actividad],Grafico!H$1),NA())</f>
        <v>0</v>
      </c>
      <c r="I55" s="63"/>
    </row>
    <row r="56" spans="1:15" x14ac:dyDescent="0.25">
      <c r="A56" s="62">
        <f t="shared" si="1"/>
        <v>46017</v>
      </c>
      <c r="B56" s="33" t="str">
        <f t="shared" ca="1" si="0"/>
        <v/>
      </c>
      <c r="C56" s="33">
        <v>500</v>
      </c>
      <c r="D56" s="63">
        <f ca="1">IF(TODAY()&gt;=$A56,SUMIFS(Tabla1[Avance_km],Tabla1[Fecha],"&lt;="&amp;Grafico!$A56,Tabla1[nombre_actividad],Grafico!D$1),NA())</f>
        <v>93.205000000000027</v>
      </c>
      <c r="E56" s="63">
        <f ca="1">IF(TODAY()&gt;=$A56,SUMIFS(Tabla1[Avance_km],Tabla1[Fecha],"&lt;="&amp;Grafico!$A56,Tabla1[nombre_actividad],Grafico!E$1),NA())</f>
        <v>63.065999999999995</v>
      </c>
      <c r="F56" s="110">
        <f ca="1">IF(TODAY()&gt;=$A56,SUMIFS(Tabla1[Avance_km],Tabla1[Fecha],"&lt;="&amp;Grafico!$A56,Tabla1[nombre_actividad],Grafico!F$1,Tabla1[Avance_km],"&gt;0"),NA())</f>
        <v>84.593000000000046</v>
      </c>
      <c r="G56" s="67">
        <f ca="1">IF(TODAY()&gt;=$A56,SUMIFS(Tabla1[Avance_Med],Tabla1[Fecha],"&lt;="&amp;Grafico!$A56,Tabla1[nombre_actividad],Grafico!G$1),NA())</f>
        <v>228</v>
      </c>
      <c r="H56" s="63">
        <f ca="1">IF(TODAY()&gt;=$A56,SUMIFS(Tabla1[Avance_km],Tabla1[Fecha],"&lt;="&amp;Grafico!$A56,Tabla1[nombre_actividad],Grafico!H$1),NA())</f>
        <v>0</v>
      </c>
      <c r="I56" s="63"/>
    </row>
    <row r="57" spans="1:15" x14ac:dyDescent="0.25">
      <c r="A57" s="62">
        <f t="shared" si="1"/>
        <v>46018</v>
      </c>
      <c r="B57" s="33" t="str">
        <f t="shared" ca="1" si="0"/>
        <v/>
      </c>
      <c r="C57" s="33">
        <v>500</v>
      </c>
      <c r="D57" s="63">
        <f ca="1">IF(TODAY()&gt;=$A57,SUMIFS(Tabla1[Avance_km],Tabla1[Fecha],"&lt;="&amp;Grafico!$A57,Tabla1[nombre_actividad],Grafico!D$1),NA())</f>
        <v>93.205000000000027</v>
      </c>
      <c r="E57" s="63">
        <f ca="1">IF(TODAY()&gt;=$A57,SUMIFS(Tabla1[Avance_km],Tabla1[Fecha],"&lt;="&amp;Grafico!$A57,Tabla1[nombre_actividad],Grafico!E$1),NA())</f>
        <v>63.065999999999995</v>
      </c>
      <c r="F57" s="110">
        <f ca="1">IF(TODAY()&gt;=$A57,SUMIFS(Tabla1[Avance_km],Tabla1[Fecha],"&lt;="&amp;Grafico!$A57,Tabla1[nombre_actividad],Grafico!F$1,Tabla1[Avance_km],"&gt;0"),NA())</f>
        <v>84.593000000000046</v>
      </c>
      <c r="G57" s="67">
        <f ca="1">IF(TODAY()&gt;=$A57,SUMIFS(Tabla1[Avance_Med],Tabla1[Fecha],"&lt;="&amp;Grafico!$A57,Tabla1[nombre_actividad],Grafico!G$1),NA())</f>
        <v>228</v>
      </c>
      <c r="H57" s="63">
        <f ca="1">IF(TODAY()&gt;=$A57,SUMIFS(Tabla1[Avance_km],Tabla1[Fecha],"&lt;="&amp;Grafico!$A57,Tabla1[nombre_actividad],Grafico!H$1),NA())</f>
        <v>0</v>
      </c>
      <c r="I57" s="63"/>
    </row>
    <row r="58" spans="1:15" x14ac:dyDescent="0.25">
      <c r="A58" s="62">
        <f t="shared" si="1"/>
        <v>46019</v>
      </c>
      <c r="B58" s="33" t="str">
        <f t="shared" ca="1" si="0"/>
        <v/>
      </c>
      <c r="C58" s="33">
        <v>500</v>
      </c>
      <c r="D58" s="63">
        <f ca="1">IF(TODAY()&gt;=$A58,SUMIFS(Tabla1[Avance_km],Tabla1[Fecha],"&lt;="&amp;Grafico!$A58,Tabla1[nombre_actividad],Grafico!D$1),NA())</f>
        <v>93.205000000000027</v>
      </c>
      <c r="E58" s="63">
        <f ca="1">IF(TODAY()&gt;=$A58,SUMIFS(Tabla1[Avance_km],Tabla1[Fecha],"&lt;="&amp;Grafico!$A58,Tabla1[nombre_actividad],Grafico!E$1),NA())</f>
        <v>63.065999999999995</v>
      </c>
      <c r="F58" s="110">
        <f ca="1">IF(TODAY()&gt;=$A58,SUMIFS(Tabla1[Avance_km],Tabla1[Fecha],"&lt;="&amp;Grafico!$A58,Tabla1[nombre_actividad],Grafico!F$1,Tabla1[Avance_km],"&gt;0"),NA())</f>
        <v>84.593000000000046</v>
      </c>
      <c r="G58" s="67">
        <f ca="1">IF(TODAY()&gt;=$A58,SUMIFS(Tabla1[Avance_Med],Tabla1[Fecha],"&lt;="&amp;Grafico!$A58,Tabla1[nombre_actividad],Grafico!G$1),NA())</f>
        <v>228</v>
      </c>
      <c r="H58" s="63">
        <f ca="1">IF(TODAY()&gt;=$A58,SUMIFS(Tabla1[Avance_km],Tabla1[Fecha],"&lt;="&amp;Grafico!$A58,Tabla1[nombre_actividad],Grafico!H$1),NA())</f>
        <v>0</v>
      </c>
      <c r="I58" s="63"/>
    </row>
    <row r="59" spans="1:15" x14ac:dyDescent="0.25">
      <c r="A59" s="62">
        <f t="shared" si="1"/>
        <v>46020</v>
      </c>
      <c r="B59" s="33" t="str">
        <f t="shared" ca="1" si="0"/>
        <v/>
      </c>
      <c r="C59" s="33">
        <v>500</v>
      </c>
      <c r="D59" s="63">
        <f ca="1">IF(TODAY()&gt;=$A59,SUMIFS(Tabla1[Avance_km],Tabla1[Fecha],"&lt;="&amp;Grafico!$A59,Tabla1[nombre_actividad],Grafico!D$1),NA())</f>
        <v>93.205000000000027</v>
      </c>
      <c r="E59" s="63">
        <f ca="1">IF(TODAY()&gt;=$A59,SUMIFS(Tabla1[Avance_km],Tabla1[Fecha],"&lt;="&amp;Grafico!$A59,Tabla1[nombre_actividad],Grafico!E$1),NA())</f>
        <v>63.065999999999995</v>
      </c>
      <c r="F59" s="110">
        <f ca="1">IF(TODAY()&gt;=$A59,SUMIFS(Tabla1[Avance_km],Tabla1[Fecha],"&lt;="&amp;Grafico!$A59,Tabla1[nombre_actividad],Grafico!F$1,Tabla1[Avance_km],"&gt;0"),NA())</f>
        <v>84.593000000000046</v>
      </c>
      <c r="G59" s="67">
        <f ca="1">IF(TODAY()&gt;=$A59,SUMIFS(Tabla1[Avance_Med],Tabla1[Fecha],"&lt;="&amp;Grafico!$A59,Tabla1[nombre_actividad],Grafico!G$1),NA())</f>
        <v>228</v>
      </c>
      <c r="H59" s="63">
        <f ca="1">IF(TODAY()&gt;=$A59,SUMIFS(Tabla1[Avance_km],Tabla1[Fecha],"&lt;="&amp;Grafico!$A59,Tabla1[nombre_actividad],Grafico!H$1),NA())</f>
        <v>0</v>
      </c>
      <c r="I59" s="63"/>
    </row>
    <row r="60" spans="1:15" x14ac:dyDescent="0.25">
      <c r="A60" s="62">
        <f t="shared" si="1"/>
        <v>46021</v>
      </c>
      <c r="B60" s="33" t="str">
        <f t="shared" ca="1" si="0"/>
        <v/>
      </c>
      <c r="C60" s="33">
        <v>500</v>
      </c>
      <c r="D60" s="63">
        <f ca="1">IF(TODAY()&gt;=$A60,SUMIFS(Tabla1[Avance_km],Tabla1[Fecha],"&lt;="&amp;Grafico!$A60,Tabla1[nombre_actividad],Grafico!D$1),NA())</f>
        <v>93.205000000000027</v>
      </c>
      <c r="E60" s="63">
        <f ca="1">IF(TODAY()&gt;=$A60,SUMIFS(Tabla1[Avance_km],Tabla1[Fecha],"&lt;="&amp;Grafico!$A60,Tabla1[nombre_actividad],Grafico!E$1),NA())</f>
        <v>63.065999999999995</v>
      </c>
      <c r="F60" s="110">
        <f ca="1">IF(TODAY()&gt;=$A60,SUMIFS(Tabla1[Avance_km],Tabla1[Fecha],"&lt;="&amp;Grafico!$A60,Tabla1[nombre_actividad],Grafico!F$1,Tabla1[Avance_km],"&gt;0"),NA())</f>
        <v>84.593000000000046</v>
      </c>
      <c r="G60" s="67">
        <f ca="1">IF(TODAY()&gt;=$A60,SUMIFS(Tabla1[Avance_Med],Tabla1[Fecha],"&lt;="&amp;Grafico!$A60,Tabla1[nombre_actividad],Grafico!G$1),NA())</f>
        <v>228</v>
      </c>
      <c r="H60" s="63">
        <f ca="1">IF(TODAY()&gt;=$A60,SUMIFS(Tabla1[Avance_km],Tabla1[Fecha],"&lt;="&amp;Grafico!$A60,Tabla1[nombre_actividad],Grafico!H$1),NA())</f>
        <v>0</v>
      </c>
      <c r="I60" s="63"/>
    </row>
    <row r="61" spans="1:15" x14ac:dyDescent="0.25">
      <c r="A61" s="62">
        <f t="shared" si="1"/>
        <v>46022</v>
      </c>
      <c r="B61" s="33" t="str">
        <f t="shared" ca="1" si="0"/>
        <v/>
      </c>
      <c r="C61" s="33">
        <v>500</v>
      </c>
      <c r="D61" s="63">
        <f ca="1">IF(TODAY()&gt;=$A61,SUMIFS(Tabla1[Avance_km],Tabla1[Fecha],"&lt;="&amp;Grafico!$A61,Tabla1[nombre_actividad],Grafico!D$1),NA())</f>
        <v>93.205000000000027</v>
      </c>
      <c r="E61" s="63">
        <f ca="1">IF(TODAY()&gt;=$A61,SUMIFS(Tabla1[Avance_km],Tabla1[Fecha],"&lt;="&amp;Grafico!$A61,Tabla1[nombre_actividad],Grafico!E$1),NA())</f>
        <v>63.065999999999995</v>
      </c>
      <c r="F61" s="110">
        <f ca="1">IF(TODAY()&gt;=$A61,SUMIFS(Tabla1[Avance_km],Tabla1[Fecha],"&lt;="&amp;Grafico!$A61,Tabla1[nombre_actividad],Grafico!F$1,Tabla1[Avance_km],"&gt;0"),NA())</f>
        <v>84.593000000000046</v>
      </c>
      <c r="G61" s="67">
        <f ca="1">IF(TODAY()&gt;=$A61,SUMIFS(Tabla1[Avance_Med],Tabla1[Fecha],"&lt;="&amp;Grafico!$A61,Tabla1[nombre_actividad],Grafico!G$1),NA())</f>
        <v>228</v>
      </c>
      <c r="H61" s="63">
        <f ca="1">IF(TODAY()&gt;=$A61,SUMIFS(Tabla1[Avance_km],Tabla1[Fecha],"&lt;="&amp;Grafico!$A61,Tabla1[nombre_actividad],Grafico!H$1),NA())</f>
        <v>0</v>
      </c>
      <c r="I61" s="63"/>
    </row>
    <row r="62" spans="1:15" x14ac:dyDescent="0.25">
      <c r="A62" s="62">
        <f t="shared" si="1"/>
        <v>46023</v>
      </c>
      <c r="B62" s="33" t="str">
        <f t="shared" ca="1" si="0"/>
        <v/>
      </c>
      <c r="C62" s="33">
        <v>500</v>
      </c>
      <c r="D62" s="63">
        <f ca="1">IF(TODAY()&gt;=$A62,SUMIFS(Tabla1[Avance_km],Tabla1[Fecha],"&lt;="&amp;Grafico!$A62,Tabla1[nombre_actividad],Grafico!D$1),NA())</f>
        <v>93.205000000000027</v>
      </c>
      <c r="E62" s="63">
        <f ca="1">IF(TODAY()&gt;=$A62,SUMIFS(Tabla1[Avance_km],Tabla1[Fecha],"&lt;="&amp;Grafico!$A62,Tabla1[nombre_actividad],Grafico!E$1),NA())</f>
        <v>63.065999999999995</v>
      </c>
      <c r="F62" s="110">
        <f ca="1">IF(TODAY()&gt;=$A62,SUMIFS(Tabla1[Avance_km],Tabla1[Fecha],"&lt;="&amp;Grafico!$A62,Tabla1[nombre_actividad],Grafico!F$1,Tabla1[Avance_km],"&gt;0"),NA())</f>
        <v>84.593000000000046</v>
      </c>
      <c r="G62" s="67">
        <f ca="1">IF(TODAY()&gt;=$A62,SUMIFS(Tabla1[Avance_Med],Tabla1[Fecha],"&lt;="&amp;Grafico!$A62,Tabla1[nombre_actividad],Grafico!G$1),NA())</f>
        <v>228</v>
      </c>
      <c r="H62" s="63">
        <f ca="1">IF(TODAY()&gt;=$A62,SUMIFS(Tabla1[Avance_km],Tabla1[Fecha],"&lt;="&amp;Grafico!$A62,Tabla1[nombre_actividad],Grafico!H$1),NA())</f>
        <v>0</v>
      </c>
      <c r="I62" s="63"/>
    </row>
    <row r="63" spans="1:15" x14ac:dyDescent="0.25">
      <c r="A63" s="62">
        <f t="shared" si="1"/>
        <v>46024</v>
      </c>
      <c r="B63" s="33" t="str">
        <f t="shared" ca="1" si="0"/>
        <v/>
      </c>
      <c r="C63" s="33">
        <v>500</v>
      </c>
      <c r="D63" s="63">
        <f ca="1">IF(TODAY()&gt;=$A63,SUMIFS(Tabla1[Avance_km],Tabla1[Fecha],"&lt;="&amp;Grafico!$A63,Tabla1[nombre_actividad],Grafico!D$1),NA())</f>
        <v>93.205000000000027</v>
      </c>
      <c r="E63" s="63">
        <f ca="1">IF(TODAY()&gt;=$A63,SUMIFS(Tabla1[Avance_km],Tabla1[Fecha],"&lt;="&amp;Grafico!$A63,Tabla1[nombre_actividad],Grafico!E$1),NA())</f>
        <v>63.065999999999995</v>
      </c>
      <c r="F63" s="110">
        <f ca="1">IF(TODAY()&gt;=$A63,SUMIFS(Tabla1[Avance_km],Tabla1[Fecha],"&lt;="&amp;Grafico!$A63,Tabla1[nombre_actividad],Grafico!F$1,Tabla1[Avance_km],"&gt;0"),NA())</f>
        <v>84.593000000000046</v>
      </c>
      <c r="G63" s="67">
        <f ca="1">IF(TODAY()&gt;=$A63,SUMIFS(Tabla1[Avance_Med],Tabla1[Fecha],"&lt;="&amp;Grafico!$A63,Tabla1[nombre_actividad],Grafico!G$1),NA())</f>
        <v>228</v>
      </c>
      <c r="H63" s="63">
        <f ca="1">IF(TODAY()&gt;=$A63,SUMIFS(Tabla1[Avance_km],Tabla1[Fecha],"&lt;="&amp;Grafico!$A63,Tabla1[nombre_actividad],Grafico!H$1),NA())</f>
        <v>0</v>
      </c>
      <c r="I63" s="63"/>
    </row>
    <row r="64" spans="1:15" x14ac:dyDescent="0.25">
      <c r="A64" s="62">
        <f t="shared" si="1"/>
        <v>46025</v>
      </c>
      <c r="B64" s="33" t="str">
        <f t="shared" ca="1" si="0"/>
        <v/>
      </c>
      <c r="C64" s="33">
        <v>500</v>
      </c>
      <c r="D64" s="63">
        <f ca="1">IF(TODAY()&gt;=$A64,SUMIFS(Tabla1[Avance_km],Tabla1[Fecha],"&lt;="&amp;Grafico!$A64,Tabla1[nombre_actividad],Grafico!D$1),NA())</f>
        <v>93.205000000000027</v>
      </c>
      <c r="E64" s="63">
        <f ca="1">IF(TODAY()&gt;=$A64,SUMIFS(Tabla1[Avance_km],Tabla1[Fecha],"&lt;="&amp;Grafico!$A64,Tabla1[nombre_actividad],Grafico!E$1),NA())</f>
        <v>63.065999999999995</v>
      </c>
      <c r="F64" s="110">
        <f ca="1">IF(TODAY()&gt;=$A64,SUMIFS(Tabla1[Avance_km],Tabla1[Fecha],"&lt;="&amp;Grafico!$A64,Tabla1[nombre_actividad],Grafico!F$1,Tabla1[Avance_km],"&gt;0"),NA())</f>
        <v>84.593000000000046</v>
      </c>
      <c r="G64" s="67">
        <f ca="1">IF(TODAY()&gt;=$A64,SUMIFS(Tabla1[Avance_Med],Tabla1[Fecha],"&lt;="&amp;Grafico!$A64,Tabla1[nombre_actividad],Grafico!G$1),NA())</f>
        <v>228</v>
      </c>
      <c r="H64" s="63">
        <f ca="1">IF(TODAY()&gt;=$A64,SUMIFS(Tabla1[Avance_km],Tabla1[Fecha],"&lt;="&amp;Grafico!$A64,Tabla1[nombre_actividad],Grafico!H$1),NA())</f>
        <v>0</v>
      </c>
      <c r="I64" s="63"/>
    </row>
    <row r="65" spans="1:9" x14ac:dyDescent="0.25">
      <c r="A65" s="62">
        <f t="shared" si="1"/>
        <v>46026</v>
      </c>
      <c r="B65" s="33" t="str">
        <f t="shared" ca="1" si="0"/>
        <v/>
      </c>
      <c r="C65" s="33">
        <v>500</v>
      </c>
      <c r="D65" s="63">
        <f ca="1">IF(TODAY()&gt;=$A65,SUMIFS(Tabla1[Avance_km],Tabla1[Fecha],"&lt;="&amp;Grafico!$A65,Tabla1[nombre_actividad],Grafico!D$1),NA())</f>
        <v>93.205000000000027</v>
      </c>
      <c r="E65" s="63">
        <f ca="1">IF(TODAY()&gt;=$A65,SUMIFS(Tabla1[Avance_km],Tabla1[Fecha],"&lt;="&amp;Grafico!$A65,Tabla1[nombre_actividad],Grafico!E$1),NA())</f>
        <v>63.065999999999995</v>
      </c>
      <c r="F65" s="110">
        <f ca="1">IF(TODAY()&gt;=$A65,SUMIFS(Tabla1[Avance_km],Tabla1[Fecha],"&lt;="&amp;Grafico!$A65,Tabla1[nombre_actividad],Grafico!F$1,Tabla1[Avance_km],"&gt;0"),NA())</f>
        <v>84.593000000000046</v>
      </c>
      <c r="G65" s="67">
        <f ca="1">IF(TODAY()&gt;=$A65,SUMIFS(Tabla1[Avance_Med],Tabla1[Fecha],"&lt;="&amp;Grafico!$A65,Tabla1[nombre_actividad],Grafico!G$1),NA())</f>
        <v>228</v>
      </c>
      <c r="H65" s="63">
        <f ca="1">IF(TODAY()&gt;=$A65,SUMIFS(Tabla1[Avance_km],Tabla1[Fecha],"&lt;="&amp;Grafico!$A65,Tabla1[nombre_actividad],Grafico!H$1),NA())</f>
        <v>0</v>
      </c>
      <c r="I65" s="63"/>
    </row>
    <row r="66" spans="1:9" x14ac:dyDescent="0.25">
      <c r="A66" s="62">
        <f t="shared" si="1"/>
        <v>46027</v>
      </c>
      <c r="B66" s="33" t="str">
        <f t="shared" ca="1" si="0"/>
        <v/>
      </c>
      <c r="C66" s="33"/>
      <c r="D66" s="63">
        <f ca="1">IF(TODAY()&gt;=$A66,SUMIFS(Tabla1[Avance_km],Tabla1[Fecha],"&lt;="&amp;Grafico!$A66,Tabla1[nombre_actividad],Grafico!D$1),NA())</f>
        <v>95.355000000000032</v>
      </c>
      <c r="E66" s="63">
        <f ca="1">IF(TODAY()&gt;=$A66,SUMIFS(Tabla1[Avance_km],Tabla1[Fecha],"&lt;="&amp;Grafico!$A66,Tabla1[nombre_actividad],Grafico!E$1),NA())</f>
        <v>63.506</v>
      </c>
      <c r="F66" s="110">
        <f ca="1">IF(TODAY()&gt;=$A66,SUMIFS(Tabla1[Avance_km],Tabla1[Fecha],"&lt;="&amp;Grafico!$A66,Tabla1[nombre_actividad],Grafico!F$1,Tabla1[Avance_km],"&gt;0"),NA())</f>
        <v>84.593000000000046</v>
      </c>
      <c r="G66" s="67">
        <f ca="1">IF(TODAY()&gt;=$A66,SUMIFS(Tabla1[Avance_Med],Tabla1[Fecha],"&lt;="&amp;Grafico!$A66,Tabla1[nombre_actividad],Grafico!G$1),NA())</f>
        <v>228</v>
      </c>
      <c r="H66" s="63">
        <f ca="1">IF(TODAY()&gt;=$A66,SUMIFS(Tabla1[Avance_km],Tabla1[Fecha],"&lt;="&amp;Grafico!$A66,Tabla1[nombre_actividad],Grafico!H$1),NA())</f>
        <v>0</v>
      </c>
      <c r="I66" s="63"/>
    </row>
    <row r="67" spans="1:9" x14ac:dyDescent="0.25">
      <c r="A67" s="62">
        <f t="shared" si="1"/>
        <v>46028</v>
      </c>
      <c r="B67" s="33" t="str">
        <f t="shared" ref="B67:B130" ca="1" si="3">+IF(A67=TODAY(),200,"")</f>
        <v/>
      </c>
      <c r="C67" s="33"/>
      <c r="D67" s="63">
        <f ca="1">IF(TODAY()&gt;=$A67,SUMIFS(Tabla1[Avance_km],Tabla1[Fecha],"&lt;="&amp;Grafico!$A67,Tabla1[nombre_actividad],Grafico!D$1),NA())</f>
        <v>99.53900000000003</v>
      </c>
      <c r="E67" s="63">
        <f ca="1">IF(TODAY()&gt;=$A67,SUMIFS(Tabla1[Avance_km],Tabla1[Fecha],"&lt;="&amp;Grafico!$A67,Tabla1[nombre_actividad],Grafico!E$1),NA())</f>
        <v>68.281999999999996</v>
      </c>
      <c r="F67" s="110">
        <f ca="1">IF(TODAY()&gt;=$A67,SUMIFS(Tabla1[Avance_km],Tabla1[Fecha],"&lt;="&amp;Grafico!$A67,Tabla1[nombre_actividad],Grafico!F$1,Tabla1[Avance_km],"&gt;0"),NA())</f>
        <v>84.593000000000046</v>
      </c>
      <c r="G67" s="67">
        <f ca="1">IF(TODAY()&gt;=$A67,SUMIFS(Tabla1[Avance_Med],Tabla1[Fecha],"&lt;="&amp;Grafico!$A67,Tabla1[nombre_actividad],Grafico!G$1),NA())</f>
        <v>228</v>
      </c>
      <c r="H67" s="63">
        <f ca="1">IF(TODAY()&gt;=$A67,SUMIFS(Tabla1[Avance_km],Tabla1[Fecha],"&lt;="&amp;Grafico!$A67,Tabla1[nombre_actividad],Grafico!H$1),NA())</f>
        <v>0</v>
      </c>
      <c r="I67" s="63"/>
    </row>
    <row r="68" spans="1:9" x14ac:dyDescent="0.25">
      <c r="A68" s="62">
        <f t="shared" ref="A68:A131" si="4">+A67+1</f>
        <v>46029</v>
      </c>
      <c r="B68" s="33" t="str">
        <f t="shared" ca="1" si="3"/>
        <v/>
      </c>
      <c r="C68" s="33"/>
      <c r="D68" s="63">
        <f ca="1">IF(TODAY()&gt;=$A68,SUMIFS(Tabla1[Avance_km],Tabla1[Fecha],"&lt;="&amp;Grafico!$A68,Tabla1[nombre_actividad],Grafico!D$1),NA())</f>
        <v>99.53900000000003</v>
      </c>
      <c r="E68" s="63">
        <f ca="1">IF(TODAY()&gt;=$A68,SUMIFS(Tabla1[Avance_km],Tabla1[Fecha],"&lt;="&amp;Grafico!$A68,Tabla1[nombre_actividad],Grafico!E$1),NA())</f>
        <v>68.281999999999996</v>
      </c>
      <c r="F68" s="110">
        <f ca="1">IF(TODAY()&gt;=$A68,SUMIFS(Tabla1[Avance_km],Tabla1[Fecha],"&lt;="&amp;Grafico!$A68,Tabla1[nombre_actividad],Grafico!F$1,Tabla1[Avance_km],"&gt;0"),NA())</f>
        <v>94.19300000000004</v>
      </c>
      <c r="G68" s="67">
        <f ca="1">IF(TODAY()&gt;=$A68,SUMIFS(Tabla1[Avance_Med],Tabla1[Fecha],"&lt;="&amp;Grafico!$A68,Tabla1[nombre_actividad],Grafico!G$1),NA())</f>
        <v>233</v>
      </c>
      <c r="H68" s="63">
        <f ca="1">IF(TODAY()&gt;=$A68,SUMIFS(Tabla1[Avance_km],Tabla1[Fecha],"&lt;="&amp;Grafico!$A68,Tabla1[nombre_actividad],Grafico!H$1),NA())</f>
        <v>0</v>
      </c>
      <c r="I68" s="63"/>
    </row>
    <row r="69" spans="1:9" x14ac:dyDescent="0.25">
      <c r="A69" s="62">
        <f t="shared" si="4"/>
        <v>46030</v>
      </c>
      <c r="B69" s="33" t="str">
        <f t="shared" ca="1" si="3"/>
        <v/>
      </c>
      <c r="C69" s="33"/>
      <c r="D69" s="63">
        <f ca="1">IF(TODAY()&gt;=$A69,SUMIFS(Tabla1[Avance_km],Tabla1[Fecha],"&lt;="&amp;Grafico!$A69,Tabla1[nombre_actividad],Grafico!D$1),NA())</f>
        <v>99.53900000000003</v>
      </c>
      <c r="E69" s="63">
        <f ca="1">IF(TODAY()&gt;=$A69,SUMIFS(Tabla1[Avance_km],Tabla1[Fecha],"&lt;="&amp;Grafico!$A69,Tabla1[nombre_actividad],Grafico!E$1),NA())</f>
        <v>68.281999999999996</v>
      </c>
      <c r="F69" s="110">
        <f ca="1">IF(TODAY()&gt;=$A69,SUMIFS(Tabla1[Avance_km],Tabla1[Fecha],"&lt;="&amp;Grafico!$A69,Tabla1[nombre_actividad],Grafico!F$1,Tabla1[Avance_km],"&gt;0"),NA())</f>
        <v>99.527000000000044</v>
      </c>
      <c r="G69" s="67">
        <f ca="1">IF(TODAY()&gt;=$A69,SUMIFS(Tabla1[Avance_Med],Tabla1[Fecha],"&lt;="&amp;Grafico!$A69,Tabla1[nombre_actividad],Grafico!G$1),NA())</f>
        <v>242</v>
      </c>
      <c r="H69" s="63">
        <f ca="1">IF(TODAY()&gt;=$A69,SUMIFS(Tabla1[Avance_km],Tabla1[Fecha],"&lt;="&amp;Grafico!$A69,Tabla1[nombre_actividad],Grafico!H$1),NA())</f>
        <v>0</v>
      </c>
      <c r="I69" s="63"/>
    </row>
    <row r="70" spans="1:9" x14ac:dyDescent="0.25">
      <c r="A70" s="62">
        <f t="shared" si="4"/>
        <v>46031</v>
      </c>
      <c r="B70" s="33" t="str">
        <f t="shared" ca="1" si="3"/>
        <v/>
      </c>
      <c r="C70" s="33"/>
      <c r="D70" s="63">
        <f ca="1">IF(TODAY()&gt;=$A70,SUMIFS(Tabla1[Avance_km],Tabla1[Fecha],"&lt;="&amp;Grafico!$A70,Tabla1[nombre_actividad],Grafico!D$1),NA())</f>
        <v>99.826000000000036</v>
      </c>
      <c r="E70" s="63">
        <f ca="1">IF(TODAY()&gt;=$A70,SUMIFS(Tabla1[Avance_km],Tabla1[Fecha],"&lt;="&amp;Grafico!$A70,Tabla1[nombre_actividad],Grafico!E$1),NA())</f>
        <v>70.242999999999995</v>
      </c>
      <c r="F70" s="110">
        <f ca="1">IF(TODAY()&gt;=$A70,SUMIFS(Tabla1[Avance_km],Tabla1[Fecha],"&lt;="&amp;Grafico!$A70,Tabla1[nombre_actividad],Grafico!F$1,Tabla1[Avance_km],"&gt;0"),NA())</f>
        <v>99.527000000000044</v>
      </c>
      <c r="G70" s="67">
        <f ca="1">IF(TODAY()&gt;=$A70,SUMIFS(Tabla1[Avance_Med],Tabla1[Fecha],"&lt;="&amp;Grafico!$A70,Tabla1[nombre_actividad],Grafico!G$1),NA())</f>
        <v>250</v>
      </c>
      <c r="H70" s="63">
        <f ca="1">IF(TODAY()&gt;=$A70,SUMIFS(Tabla1[Avance_km],Tabla1[Fecha],"&lt;="&amp;Grafico!$A70,Tabla1[nombre_actividad],Grafico!H$1),NA())</f>
        <v>0</v>
      </c>
      <c r="I70" s="63"/>
    </row>
    <row r="71" spans="1:9" x14ac:dyDescent="0.25">
      <c r="A71" s="62">
        <f t="shared" si="4"/>
        <v>46032</v>
      </c>
      <c r="B71" s="33" t="str">
        <f t="shared" ca="1" si="3"/>
        <v/>
      </c>
      <c r="C71" s="33"/>
      <c r="D71" s="63">
        <f ca="1">IF(TODAY()&gt;=$A71,SUMIFS(Tabla1[Avance_km],Tabla1[Fecha],"&lt;="&amp;Grafico!$A71,Tabla1[nombre_actividad],Grafico!D$1),NA())</f>
        <v>99.826000000000036</v>
      </c>
      <c r="E71" s="63">
        <f ca="1">IF(TODAY()&gt;=$A71,SUMIFS(Tabla1[Avance_km],Tabla1[Fecha],"&lt;="&amp;Grafico!$A71,Tabla1[nombre_actividad],Grafico!E$1),NA())</f>
        <v>71.438999999999993</v>
      </c>
      <c r="F71" s="110">
        <f ca="1">IF(TODAY()&gt;=$A71,SUMIFS(Tabla1[Avance_km],Tabla1[Fecha],"&lt;="&amp;Grafico!$A71,Tabla1[nombre_actividad],Grafico!F$1,Tabla1[Avance_km],"&gt;0"),NA())</f>
        <v>99.527000000000044</v>
      </c>
      <c r="G71" s="67">
        <f ca="1">IF(TODAY()&gt;=$A71,SUMIFS(Tabla1[Avance_Med],Tabla1[Fecha],"&lt;="&amp;Grafico!$A71,Tabla1[nombre_actividad],Grafico!G$1),NA())</f>
        <v>250</v>
      </c>
      <c r="H71" s="63">
        <f ca="1">IF(TODAY()&gt;=$A71,SUMIFS(Tabla1[Avance_km],Tabla1[Fecha],"&lt;="&amp;Grafico!$A71,Tabla1[nombre_actividad],Grafico!H$1),NA())</f>
        <v>0</v>
      </c>
      <c r="I71" s="63"/>
    </row>
    <row r="72" spans="1:9" x14ac:dyDescent="0.25">
      <c r="A72" s="62">
        <f t="shared" si="4"/>
        <v>46033</v>
      </c>
      <c r="B72" s="33" t="str">
        <f t="shared" ca="1" si="3"/>
        <v/>
      </c>
      <c r="C72" s="33"/>
      <c r="D72" s="63">
        <f ca="1">IF(TODAY()&gt;=$A72,SUMIFS(Tabla1[Avance_km],Tabla1[Fecha],"&lt;="&amp;Grafico!$A72,Tabla1[nombre_actividad],Grafico!D$1),NA())</f>
        <v>99.826000000000036</v>
      </c>
      <c r="E72" s="63">
        <f ca="1">IF(TODAY()&gt;=$A72,SUMIFS(Tabla1[Avance_km],Tabla1[Fecha],"&lt;="&amp;Grafico!$A72,Tabla1[nombre_actividad],Grafico!E$1),NA())</f>
        <v>72.580999999999989</v>
      </c>
      <c r="F72" s="110">
        <f ca="1">IF(TODAY()&gt;=$A72,SUMIFS(Tabla1[Avance_km],Tabla1[Fecha],"&lt;="&amp;Grafico!$A72,Tabla1[nombre_actividad],Grafico!F$1,Tabla1[Avance_km],"&gt;0"),NA())</f>
        <v>99.527000000000044</v>
      </c>
      <c r="G72" s="67">
        <f ca="1">IF(TODAY()&gt;=$A72,SUMIFS(Tabla1[Avance_Med],Tabla1[Fecha],"&lt;="&amp;Grafico!$A72,Tabla1[nombre_actividad],Grafico!G$1),NA())</f>
        <v>250</v>
      </c>
      <c r="H72" s="63">
        <f ca="1">IF(TODAY()&gt;=$A72,SUMIFS(Tabla1[Avance_km],Tabla1[Fecha],"&lt;="&amp;Grafico!$A72,Tabla1[nombre_actividad],Grafico!H$1),NA())</f>
        <v>0</v>
      </c>
      <c r="I72" s="63"/>
    </row>
    <row r="73" spans="1:9" x14ac:dyDescent="0.25">
      <c r="A73" s="62">
        <f t="shared" si="4"/>
        <v>46034</v>
      </c>
      <c r="B73" s="33" t="str">
        <f t="shared" ca="1" si="3"/>
        <v/>
      </c>
      <c r="C73" s="33"/>
      <c r="D73" s="63">
        <f ca="1">IF(TODAY()&gt;=$A73,SUMIFS(Tabla1[Avance_km],Tabla1[Fecha],"&lt;="&amp;Grafico!$A73,Tabla1[nombre_actividad],Grafico!D$1),NA())</f>
        <v>99.826000000000036</v>
      </c>
      <c r="E73" s="63">
        <f ca="1">IF(TODAY()&gt;=$A73,SUMIFS(Tabla1[Avance_km],Tabla1[Fecha],"&lt;="&amp;Grafico!$A73,Tabla1[nombre_actividad],Grafico!E$1),NA())</f>
        <v>76.180999999999983</v>
      </c>
      <c r="F73" s="110">
        <f ca="1">IF(TODAY()&gt;=$A73,SUMIFS(Tabla1[Avance_km],Tabla1[Fecha],"&lt;="&amp;Grafico!$A73,Tabla1[nombre_actividad],Grafico!F$1,Tabla1[Avance_km],"&gt;0"),NA())</f>
        <v>99.527000000000044</v>
      </c>
      <c r="G73" s="67">
        <f ca="1">IF(TODAY()&gt;=$A73,SUMIFS(Tabla1[Avance_Med],Tabla1[Fecha],"&lt;="&amp;Grafico!$A73,Tabla1[nombre_actividad],Grafico!G$1),NA())</f>
        <v>258</v>
      </c>
      <c r="H73" s="63">
        <f ca="1">IF(TODAY()&gt;=$A73,SUMIFS(Tabla1[Avance_km],Tabla1[Fecha],"&lt;="&amp;Grafico!$A73,Tabla1[nombre_actividad],Grafico!H$1),NA())</f>
        <v>0</v>
      </c>
      <c r="I73" s="63"/>
    </row>
    <row r="74" spans="1:9" x14ac:dyDescent="0.25">
      <c r="A74" s="62">
        <f t="shared" si="4"/>
        <v>46035</v>
      </c>
      <c r="B74" s="33" t="str">
        <f t="shared" ca="1" si="3"/>
        <v/>
      </c>
      <c r="C74" s="33"/>
      <c r="D74" s="63">
        <f ca="1">IF(TODAY()&gt;=$A74,SUMIFS(Tabla1[Avance_km],Tabla1[Fecha],"&lt;="&amp;Grafico!$A74,Tabla1[nombre_actividad],Grafico!D$1),NA())</f>
        <v>99.869000000000042</v>
      </c>
      <c r="E74" s="63">
        <f ca="1">IF(TODAY()&gt;=$A74,SUMIFS(Tabla1[Avance_km],Tabla1[Fecha],"&lt;="&amp;Grafico!$A74,Tabla1[nombre_actividad],Grafico!E$1),NA())</f>
        <v>76.23599999999999</v>
      </c>
      <c r="F74" s="110">
        <f ca="1">IF(TODAY()&gt;=$A74,SUMIFS(Tabla1[Avance_km],Tabla1[Fecha],"&lt;="&amp;Grafico!$A74,Tabla1[nombre_actividad],Grafico!F$1,Tabla1[Avance_km],"&gt;0"),NA())</f>
        <v>99.869000000000057</v>
      </c>
      <c r="G74" s="67">
        <f ca="1">IF(TODAY()&gt;=$A74,SUMIFS(Tabla1[Avance_Med],Tabla1[Fecha],"&lt;="&amp;Grafico!$A74,Tabla1[nombre_actividad],Grafico!G$1),NA())</f>
        <v>266</v>
      </c>
      <c r="H74" s="63">
        <f ca="1">IF(TODAY()&gt;=$A74,SUMIFS(Tabla1[Avance_km],Tabla1[Fecha],"&lt;="&amp;Grafico!$A74,Tabla1[nombre_actividad],Grafico!H$1),NA())</f>
        <v>0</v>
      </c>
      <c r="I74" s="63"/>
    </row>
    <row r="75" spans="1:9" x14ac:dyDescent="0.25">
      <c r="A75" s="62">
        <f t="shared" si="4"/>
        <v>46036</v>
      </c>
      <c r="B75" s="33" t="str">
        <f t="shared" ca="1" si="3"/>
        <v/>
      </c>
      <c r="C75" s="33"/>
      <c r="D75" s="63">
        <f ca="1">IF(TODAY()&gt;=$A75,SUMIFS(Tabla1[Avance_km],Tabla1[Fecha],"&lt;="&amp;Grafico!$A75,Tabla1[nombre_actividad],Grafico!D$1),NA())</f>
        <v>99.869000000000042</v>
      </c>
      <c r="E75" s="63">
        <f ca="1">IF(TODAY()&gt;=$A75,SUMIFS(Tabla1[Avance_km],Tabla1[Fecha],"&lt;="&amp;Grafico!$A75,Tabla1[nombre_actividad],Grafico!E$1),NA())</f>
        <v>80.73599999999999</v>
      </c>
      <c r="F75" s="110">
        <f ca="1">IF(TODAY()&gt;=$A75,SUMIFS(Tabla1[Avance_km],Tabla1[Fecha],"&lt;="&amp;Grafico!$A75,Tabla1[nombre_actividad],Grafico!F$1,Tabla1[Avance_km],"&gt;0"),NA())</f>
        <v>99.869000000000057</v>
      </c>
      <c r="G75" s="67">
        <f ca="1">IF(TODAY()&gt;=$A75,SUMIFS(Tabla1[Avance_Med],Tabla1[Fecha],"&lt;="&amp;Grafico!$A75,Tabla1[nombre_actividad],Grafico!G$1),NA())</f>
        <v>271</v>
      </c>
      <c r="H75" s="63">
        <f ca="1">IF(TODAY()&gt;=$A75,SUMIFS(Tabla1[Avance_km],Tabla1[Fecha],"&lt;="&amp;Grafico!$A75,Tabla1[nombre_actividad],Grafico!H$1),NA())</f>
        <v>0</v>
      </c>
      <c r="I75" s="63"/>
    </row>
    <row r="76" spans="1:9" x14ac:dyDescent="0.25">
      <c r="A76" s="62">
        <f t="shared" si="4"/>
        <v>46037</v>
      </c>
      <c r="B76" s="33" t="str">
        <f t="shared" ca="1" si="3"/>
        <v/>
      </c>
      <c r="C76" s="33"/>
      <c r="D76" s="63">
        <f ca="1">IF(TODAY()&gt;=$A76,SUMIFS(Tabla1[Avance_km],Tabla1[Fecha],"&lt;="&amp;Grafico!$A76,Tabla1[nombre_actividad],Grafico!D$1),NA())</f>
        <v>99.869000000000042</v>
      </c>
      <c r="E76" s="63">
        <f ca="1">IF(TODAY()&gt;=$A76,SUMIFS(Tabla1[Avance_km],Tabla1[Fecha],"&lt;="&amp;Grafico!$A76,Tabla1[nombre_actividad],Grafico!E$1),NA())</f>
        <v>82.785999999999987</v>
      </c>
      <c r="F76" s="110">
        <f ca="1">IF(TODAY()&gt;=$A76,SUMIFS(Tabla1[Avance_km],Tabla1[Fecha],"&lt;="&amp;Grafico!$A76,Tabla1[nombre_actividad],Grafico!F$1,Tabla1[Avance_km],"&gt;0"),NA())</f>
        <v>99.869000000000057</v>
      </c>
      <c r="G76" s="67">
        <f ca="1">IF(TODAY()&gt;=$A76,SUMIFS(Tabla1[Avance_Med],Tabla1[Fecha],"&lt;="&amp;Grafico!$A76,Tabla1[nombre_actividad],Grafico!G$1),NA())</f>
        <v>279</v>
      </c>
      <c r="H76" s="63">
        <f ca="1">IF(TODAY()&gt;=$A76,SUMIFS(Tabla1[Avance_km],Tabla1[Fecha],"&lt;="&amp;Grafico!$A76,Tabla1[nombre_actividad],Grafico!H$1),NA())</f>
        <v>0</v>
      </c>
      <c r="I76" s="63"/>
    </row>
    <row r="77" spans="1:9" x14ac:dyDescent="0.25">
      <c r="A77" s="62">
        <f t="shared" si="4"/>
        <v>46038</v>
      </c>
      <c r="B77" s="33" t="str">
        <f t="shared" ca="1" si="3"/>
        <v/>
      </c>
      <c r="C77" s="33"/>
      <c r="D77" s="63">
        <f ca="1">IF(TODAY()&gt;=$A77,SUMIFS(Tabla1[Avance_km],Tabla1[Fecha],"&lt;="&amp;Grafico!$A77,Tabla1[nombre_actividad],Grafico!D$1),NA())</f>
        <v>99.869000000000042</v>
      </c>
      <c r="E77" s="63">
        <f ca="1">IF(TODAY()&gt;=$A77,SUMIFS(Tabla1[Avance_km],Tabla1[Fecha],"&lt;="&amp;Grafico!$A77,Tabla1[nombre_actividad],Grafico!E$1),NA())</f>
        <v>87.57</v>
      </c>
      <c r="F77" s="110">
        <f ca="1">IF(TODAY()&gt;=$A77,SUMIFS(Tabla1[Avance_km],Tabla1[Fecha],"&lt;="&amp;Grafico!$A77,Tabla1[nombre_actividad],Grafico!F$1,Tabla1[Avance_km],"&gt;0"),NA())</f>
        <v>99.869000000000057</v>
      </c>
      <c r="G77" s="67">
        <f ca="1">IF(TODAY()&gt;=$A77,SUMIFS(Tabla1[Avance_Med],Tabla1[Fecha],"&lt;="&amp;Grafico!$A77,Tabla1[nombre_actividad],Grafico!G$1),NA())</f>
        <v>286</v>
      </c>
      <c r="H77" s="63">
        <f ca="1">IF(TODAY()&gt;=$A77,SUMIFS(Tabla1[Avance_km],Tabla1[Fecha],"&lt;="&amp;Grafico!$A77,Tabla1[nombre_actividad],Grafico!H$1),NA())</f>
        <v>0</v>
      </c>
      <c r="I77" s="63"/>
    </row>
    <row r="78" spans="1:9" x14ac:dyDescent="0.25">
      <c r="A78" s="62">
        <f t="shared" si="4"/>
        <v>46039</v>
      </c>
      <c r="B78" s="33" t="str">
        <f t="shared" ca="1" si="3"/>
        <v/>
      </c>
      <c r="C78" s="33"/>
      <c r="D78" s="63">
        <f ca="1">IF(TODAY()&gt;=$A78,SUMIFS(Tabla1[Avance_km],Tabla1[Fecha],"&lt;="&amp;Grafico!$A78,Tabla1[nombre_actividad],Grafico!D$1),NA())</f>
        <v>99.869000000000042</v>
      </c>
      <c r="E78" s="63">
        <f ca="1">IF(TODAY()&gt;=$A78,SUMIFS(Tabla1[Avance_km],Tabla1[Fecha],"&lt;="&amp;Grafico!$A78,Tabla1[nombre_actividad],Grafico!E$1),NA())</f>
        <v>89.424999999999997</v>
      </c>
      <c r="F78" s="110">
        <f ca="1">IF(TODAY()&gt;=$A78,SUMIFS(Tabla1[Avance_km],Tabla1[Fecha],"&lt;="&amp;Grafico!$A78,Tabla1[nombre_actividad],Grafico!F$1,Tabla1[Avance_km],"&gt;0"),NA())</f>
        <v>99.869000000000057</v>
      </c>
      <c r="G78" s="67">
        <f ca="1">IF(TODAY()&gt;=$A78,SUMIFS(Tabla1[Avance_Med],Tabla1[Fecha],"&lt;="&amp;Grafico!$A78,Tabla1[nombre_actividad],Grafico!G$1),NA())</f>
        <v>292</v>
      </c>
      <c r="H78" s="63">
        <f ca="1">IF(TODAY()&gt;=$A78,SUMIFS(Tabla1[Avance_km],Tabla1[Fecha],"&lt;="&amp;Grafico!$A78,Tabla1[nombre_actividad],Grafico!H$1),NA())</f>
        <v>0</v>
      </c>
      <c r="I78" s="63"/>
    </row>
    <row r="79" spans="1:9" x14ac:dyDescent="0.25">
      <c r="A79" s="62">
        <f t="shared" si="4"/>
        <v>46040</v>
      </c>
      <c r="B79" s="33" t="str">
        <f t="shared" ca="1" si="3"/>
        <v/>
      </c>
      <c r="C79" s="33"/>
      <c r="D79" s="63">
        <f ca="1">IF(TODAY()&gt;=$A79,SUMIFS(Tabla1[Avance_km],Tabla1[Fecha],"&lt;="&amp;Grafico!$A79,Tabla1[nombre_actividad],Grafico!D$1),NA())</f>
        <v>99.869000000000042</v>
      </c>
      <c r="E79" s="63">
        <f ca="1">IF(TODAY()&gt;=$A79,SUMIFS(Tabla1[Avance_km],Tabla1[Fecha],"&lt;="&amp;Grafico!$A79,Tabla1[nombre_actividad],Grafico!E$1),NA())</f>
        <v>93.064999999999998</v>
      </c>
      <c r="F79" s="110">
        <f ca="1">IF(TODAY()&gt;=$A79,SUMIFS(Tabla1[Avance_km],Tabla1[Fecha],"&lt;="&amp;Grafico!$A79,Tabla1[nombre_actividad],Grafico!F$1,Tabla1[Avance_km],"&gt;0"),NA())</f>
        <v>99.869000000000057</v>
      </c>
      <c r="G79" s="67">
        <f ca="1">IF(TODAY()&gt;=$A79,SUMIFS(Tabla1[Avance_Med],Tabla1[Fecha],"&lt;="&amp;Grafico!$A79,Tabla1[nombre_actividad],Grafico!G$1),NA())</f>
        <v>292</v>
      </c>
      <c r="H79" s="63">
        <f ca="1">IF(TODAY()&gt;=$A79,SUMIFS(Tabla1[Avance_km],Tabla1[Fecha],"&lt;="&amp;Grafico!$A79,Tabla1[nombre_actividad],Grafico!H$1),NA())</f>
        <v>0</v>
      </c>
      <c r="I79" s="63"/>
    </row>
    <row r="80" spans="1:9" x14ac:dyDescent="0.25">
      <c r="A80" s="62">
        <f t="shared" si="4"/>
        <v>46041</v>
      </c>
      <c r="B80" s="33" t="str">
        <f t="shared" ca="1" si="3"/>
        <v/>
      </c>
      <c r="C80" s="33"/>
      <c r="D80" s="63">
        <f ca="1">IF(TODAY()&gt;=$A80,SUMIFS(Tabla1[Avance_km],Tabla1[Fecha],"&lt;="&amp;Grafico!$A80,Tabla1[nombre_actividad],Grafico!D$1),NA())</f>
        <v>99.869000000000042</v>
      </c>
      <c r="E80" s="63">
        <f ca="1">IF(TODAY()&gt;=$A80,SUMIFS(Tabla1[Avance_km],Tabla1[Fecha],"&lt;="&amp;Grafico!$A80,Tabla1[nombre_actividad],Grafico!E$1),NA())</f>
        <v>98.064999999999998</v>
      </c>
      <c r="F80" s="110">
        <f ca="1">IF(TODAY()&gt;=$A80,SUMIFS(Tabla1[Avance_km],Tabla1[Fecha],"&lt;="&amp;Grafico!$A80,Tabla1[nombre_actividad],Grafico!F$1,Tabla1[Avance_km],"&gt;0"),NA())</f>
        <v>99.869000000000057</v>
      </c>
      <c r="G80" s="67">
        <f ca="1">IF(TODAY()&gt;=$A80,SUMIFS(Tabla1[Avance_Med],Tabla1[Fecha],"&lt;="&amp;Grafico!$A80,Tabla1[nombre_actividad],Grafico!G$1),NA())</f>
        <v>298</v>
      </c>
      <c r="H80" s="63">
        <f ca="1">IF(TODAY()&gt;=$A80,SUMIFS(Tabla1[Avance_km],Tabla1[Fecha],"&lt;="&amp;Grafico!$A80,Tabla1[nombre_actividad],Grafico!H$1),NA())</f>
        <v>0</v>
      </c>
      <c r="I80" s="63"/>
    </row>
    <row r="81" spans="1:9" x14ac:dyDescent="0.25">
      <c r="A81" s="62">
        <f t="shared" si="4"/>
        <v>46042</v>
      </c>
      <c r="B81" s="33" t="str">
        <f t="shared" ca="1" si="3"/>
        <v/>
      </c>
      <c r="C81" s="33"/>
      <c r="D81" s="63">
        <f ca="1">IF(TODAY()&gt;=$A81,SUMIFS(Tabla1[Avance_km],Tabla1[Fecha],"&lt;="&amp;Grafico!$A81,Tabla1[nombre_actividad],Grafico!D$1),NA())</f>
        <v>99.906000000000049</v>
      </c>
      <c r="E81" s="63">
        <f ca="1">IF(TODAY()&gt;=$A81,SUMIFS(Tabla1[Avance_km],Tabla1[Fecha],"&lt;="&amp;Grafico!$A81,Tabla1[nombre_actividad],Grafico!E$1),NA())</f>
        <v>99.906000000000006</v>
      </c>
      <c r="F81" s="110">
        <f ca="1">IF(TODAY()&gt;=$A81,SUMIFS(Tabla1[Avance_km],Tabla1[Fecha],"&lt;="&amp;Grafico!$A81,Tabla1[nombre_actividad],Grafico!F$1,Tabla1[Avance_km],"&gt;0"),NA())</f>
        <v>99.906000000000063</v>
      </c>
      <c r="G81" s="67">
        <f ca="1">IF(TODAY()&gt;=$A81,SUMIFS(Tabla1[Avance_Med],Tabla1[Fecha],"&lt;="&amp;Grafico!$A81,Tabla1[nombre_actividad],Grafico!G$1),NA())</f>
        <v>307</v>
      </c>
      <c r="H81" s="63">
        <f ca="1">IF(TODAY()&gt;=$A81,SUMIFS(Tabla1[Avance_km],Tabla1[Fecha],"&lt;="&amp;Grafico!$A81,Tabla1[nombre_actividad],Grafico!H$1),NA())</f>
        <v>0</v>
      </c>
      <c r="I81" s="63"/>
    </row>
    <row r="82" spans="1:9" x14ac:dyDescent="0.25">
      <c r="A82" s="62">
        <f t="shared" si="4"/>
        <v>46043</v>
      </c>
      <c r="B82" s="33" t="str">
        <f t="shared" ca="1" si="3"/>
        <v/>
      </c>
      <c r="C82" s="33"/>
      <c r="D82" s="63">
        <f ca="1">IF(TODAY()&gt;=$A82,SUMIFS(Tabla1[Avance_km],Tabla1[Fecha],"&lt;="&amp;Grafico!$A82,Tabla1[nombre_actividad],Grafico!D$1),NA())</f>
        <v>99.906000000000049</v>
      </c>
      <c r="E82" s="63">
        <f ca="1">IF(TODAY()&gt;=$A82,SUMIFS(Tabla1[Avance_km],Tabla1[Fecha],"&lt;="&amp;Grafico!$A82,Tabla1[nombre_actividad],Grafico!E$1),NA())</f>
        <v>99.906000000000006</v>
      </c>
      <c r="F82" s="110">
        <f ca="1">IF(TODAY()&gt;=$A82,SUMIFS(Tabla1[Avance_km],Tabla1[Fecha],"&lt;="&amp;Grafico!$A82,Tabla1[nombre_actividad],Grafico!F$1,Tabla1[Avance_km],"&gt;0"),NA())</f>
        <v>99.906000000000063</v>
      </c>
      <c r="G82" s="67">
        <f ca="1">IF(TODAY()&gt;=$A82,SUMIFS(Tabla1[Avance_Med],Tabla1[Fecha],"&lt;="&amp;Grafico!$A82,Tabla1[nombre_actividad],Grafico!G$1),NA())</f>
        <v>309</v>
      </c>
      <c r="H82" s="63">
        <f ca="1">IF(TODAY()&gt;=$A82,SUMIFS(Tabla1[Avance_km],Tabla1[Fecha],"&lt;="&amp;Grafico!$A82,Tabla1[nombre_actividad],Grafico!H$1),NA())</f>
        <v>0</v>
      </c>
      <c r="I82" s="63"/>
    </row>
    <row r="83" spans="1:9" x14ac:dyDescent="0.25">
      <c r="A83" s="62">
        <f t="shared" si="4"/>
        <v>46044</v>
      </c>
      <c r="B83" s="33" t="str">
        <f t="shared" ca="1" si="3"/>
        <v/>
      </c>
      <c r="C83" s="33"/>
      <c r="D83" s="63">
        <f ca="1">IF(TODAY()&gt;=$A83,SUMIFS(Tabla1[Avance_km],Tabla1[Fecha],"&lt;="&amp;Grafico!$A83,Tabla1[nombre_actividad],Grafico!D$1),NA())</f>
        <v>99.906000000000049</v>
      </c>
      <c r="E83" s="63">
        <f ca="1">IF(TODAY()&gt;=$A83,SUMIFS(Tabla1[Avance_km],Tabla1[Fecha],"&lt;="&amp;Grafico!$A83,Tabla1[nombre_actividad],Grafico!E$1),NA())</f>
        <v>99.906000000000006</v>
      </c>
      <c r="F83" s="110">
        <f ca="1">IF(TODAY()&gt;=$A83,SUMIFS(Tabla1[Avance_km],Tabla1[Fecha],"&lt;="&amp;Grafico!$A83,Tabla1[nombre_actividad],Grafico!F$1,Tabla1[Avance_km],"&gt;0"),NA())</f>
        <v>99.906000000000063</v>
      </c>
      <c r="G83" s="67">
        <f ca="1">IF(TODAY()&gt;=$A83,SUMIFS(Tabla1[Avance_Med],Tabla1[Fecha],"&lt;="&amp;Grafico!$A83,Tabla1[nombre_actividad],Grafico!G$1),NA())</f>
        <v>315</v>
      </c>
      <c r="H83" s="63">
        <f ca="1">IF(TODAY()&gt;=$A83,SUMIFS(Tabla1[Avance_km],Tabla1[Fecha],"&lt;="&amp;Grafico!$A83,Tabla1[nombre_actividad],Grafico!H$1),NA())</f>
        <v>0</v>
      </c>
      <c r="I83" s="63"/>
    </row>
    <row r="84" spans="1:9" x14ac:dyDescent="0.25">
      <c r="A84" s="62">
        <f t="shared" si="4"/>
        <v>46045</v>
      </c>
      <c r="B84" s="33" t="str">
        <f t="shared" ca="1" si="3"/>
        <v/>
      </c>
      <c r="C84" s="33"/>
      <c r="D84" s="63">
        <f ca="1">IF(TODAY()&gt;=$A84,SUMIFS(Tabla1[Avance_km],Tabla1[Fecha],"&lt;="&amp;Grafico!$A84,Tabla1[nombre_actividad],Grafico!D$1),NA())</f>
        <v>99.906000000000049</v>
      </c>
      <c r="E84" s="63">
        <f ca="1">IF(TODAY()&gt;=$A84,SUMIFS(Tabla1[Avance_km],Tabla1[Fecha],"&lt;="&amp;Grafico!$A84,Tabla1[nombre_actividad],Grafico!E$1),NA())</f>
        <v>99.906000000000006</v>
      </c>
      <c r="F84" s="110">
        <f ca="1">IF(TODAY()&gt;=$A84,SUMIFS(Tabla1[Avance_km],Tabla1[Fecha],"&lt;="&amp;Grafico!$A84,Tabla1[nombre_actividad],Grafico!F$1,Tabla1[Avance_km],"&gt;0"),NA())</f>
        <v>99.906000000000063</v>
      </c>
      <c r="G84" s="67">
        <f ca="1">IF(TODAY()&gt;=$A84,SUMIFS(Tabla1[Avance_Med],Tabla1[Fecha],"&lt;="&amp;Grafico!$A84,Tabla1[nombre_actividad],Grafico!G$1),NA())</f>
        <v>324</v>
      </c>
      <c r="H84" s="63">
        <f ca="1">IF(TODAY()&gt;=$A84,SUMIFS(Tabla1[Avance_km],Tabla1[Fecha],"&lt;="&amp;Grafico!$A84,Tabla1[nombre_actividad],Grafico!H$1),NA())</f>
        <v>0</v>
      </c>
      <c r="I84" s="63"/>
    </row>
    <row r="85" spans="1:9" x14ac:dyDescent="0.25">
      <c r="A85" s="62">
        <f t="shared" si="4"/>
        <v>46046</v>
      </c>
      <c r="B85" s="33" t="str">
        <f t="shared" ca="1" si="3"/>
        <v/>
      </c>
      <c r="C85" s="33"/>
      <c r="D85" s="63">
        <f ca="1">IF(TODAY()&gt;=$A85,SUMIFS(Tabla1[Avance_km],Tabla1[Fecha],"&lt;="&amp;Grafico!$A85,Tabla1[nombre_actividad],Grafico!D$1),NA())</f>
        <v>99.906000000000049</v>
      </c>
      <c r="E85" s="63">
        <f ca="1">IF(TODAY()&gt;=$A85,SUMIFS(Tabla1[Avance_km],Tabla1[Fecha],"&lt;="&amp;Grafico!$A85,Tabla1[nombre_actividad],Grafico!E$1),NA())</f>
        <v>99.906000000000006</v>
      </c>
      <c r="F85" s="110">
        <f ca="1">IF(TODAY()&gt;=$A85,SUMIFS(Tabla1[Avance_km],Tabla1[Fecha],"&lt;="&amp;Grafico!$A85,Tabla1[nombre_actividad],Grafico!F$1,Tabla1[Avance_km],"&gt;0"),NA())</f>
        <v>99.906000000000063</v>
      </c>
      <c r="G85" s="67">
        <f ca="1">IF(TODAY()&gt;=$A85,SUMIFS(Tabla1[Avance_Med],Tabla1[Fecha],"&lt;="&amp;Grafico!$A85,Tabla1[nombre_actividad],Grafico!G$1),NA())</f>
        <v>324</v>
      </c>
      <c r="H85" s="63">
        <f ca="1">IF(TODAY()&gt;=$A85,SUMIFS(Tabla1[Avance_km],Tabla1[Fecha],"&lt;="&amp;Grafico!$A85,Tabla1[nombre_actividad],Grafico!H$1),NA())</f>
        <v>0</v>
      </c>
      <c r="I85" s="63"/>
    </row>
    <row r="86" spans="1:9" x14ac:dyDescent="0.25">
      <c r="A86" s="62">
        <f t="shared" si="4"/>
        <v>46047</v>
      </c>
      <c r="B86" s="33" t="str">
        <f t="shared" ca="1" si="3"/>
        <v/>
      </c>
      <c r="C86" s="33"/>
      <c r="D86" s="63">
        <f ca="1">IF(TODAY()&gt;=$A86,SUMIFS(Tabla1[Avance_km],Tabla1[Fecha],"&lt;="&amp;Grafico!$A86,Tabla1[nombre_actividad],Grafico!D$1),NA())</f>
        <v>99.906000000000049</v>
      </c>
      <c r="E86" s="63">
        <f ca="1">IF(TODAY()&gt;=$A86,SUMIFS(Tabla1[Avance_km],Tabla1[Fecha],"&lt;="&amp;Grafico!$A86,Tabla1[nombre_actividad],Grafico!E$1),NA())</f>
        <v>99.906000000000006</v>
      </c>
      <c r="F86" s="110">
        <f ca="1">IF(TODAY()&gt;=$A86,SUMIFS(Tabla1[Avance_km],Tabla1[Fecha],"&lt;="&amp;Grafico!$A86,Tabla1[nombre_actividad],Grafico!F$1,Tabla1[Avance_km],"&gt;0"),NA())</f>
        <v>99.906000000000063</v>
      </c>
      <c r="G86" s="67">
        <f ca="1">IF(TODAY()&gt;=$A86,SUMIFS(Tabla1[Avance_Med],Tabla1[Fecha],"&lt;="&amp;Grafico!$A86,Tabla1[nombre_actividad],Grafico!G$1),NA())</f>
        <v>324</v>
      </c>
      <c r="H86" s="63">
        <f ca="1">IF(TODAY()&gt;=$A86,SUMIFS(Tabla1[Avance_km],Tabla1[Fecha],"&lt;="&amp;Grafico!$A86,Tabla1[nombre_actividad],Grafico!H$1),NA())</f>
        <v>0</v>
      </c>
      <c r="I86" s="63"/>
    </row>
    <row r="87" spans="1:9" x14ac:dyDescent="0.25">
      <c r="A87" s="62">
        <f t="shared" si="4"/>
        <v>46048</v>
      </c>
      <c r="B87" s="33" t="str">
        <f t="shared" ca="1" si="3"/>
        <v/>
      </c>
      <c r="C87" s="33"/>
      <c r="D87" s="63">
        <f ca="1">IF(TODAY()&gt;=$A87,SUMIFS(Tabla1[Avance_km],Tabla1[Fecha],"&lt;="&amp;Grafico!$A87,Tabla1[nombre_actividad],Grafico!D$1),NA())</f>
        <v>99.906000000000049</v>
      </c>
      <c r="E87" s="63">
        <f ca="1">IF(TODAY()&gt;=$A87,SUMIFS(Tabla1[Avance_km],Tabla1[Fecha],"&lt;="&amp;Grafico!$A87,Tabla1[nombre_actividad],Grafico!E$1),NA())</f>
        <v>99.906000000000006</v>
      </c>
      <c r="F87" s="110">
        <f ca="1">IF(TODAY()&gt;=$A87,SUMIFS(Tabla1[Avance_km],Tabla1[Fecha],"&lt;="&amp;Grafico!$A87,Tabla1[nombre_actividad],Grafico!F$1,Tabla1[Avance_km],"&gt;0"),NA())</f>
        <v>99.906000000000063</v>
      </c>
      <c r="G87" s="67">
        <f ca="1">IF(TODAY()&gt;=$A87,SUMIFS(Tabla1[Avance_Med],Tabla1[Fecha],"&lt;="&amp;Grafico!$A87,Tabla1[nombre_actividad],Grafico!G$1),NA())</f>
        <v>332</v>
      </c>
      <c r="H87" s="63">
        <f ca="1">IF(TODAY()&gt;=$A87,SUMIFS(Tabla1[Avance_km],Tabla1[Fecha],"&lt;="&amp;Grafico!$A87,Tabla1[nombre_actividad],Grafico!H$1),NA())</f>
        <v>0</v>
      </c>
      <c r="I87" s="63"/>
    </row>
    <row r="88" spans="1:9" x14ac:dyDescent="0.25">
      <c r="A88" s="62">
        <f t="shared" si="4"/>
        <v>46049</v>
      </c>
      <c r="B88" s="33" t="str">
        <f t="shared" ca="1" si="3"/>
        <v/>
      </c>
      <c r="C88" s="33"/>
      <c r="D88" s="63">
        <f ca="1">IF(TODAY()&gt;=$A88,SUMIFS(Tabla1[Avance_km],Tabla1[Fecha],"&lt;="&amp;Grafico!$A88,Tabla1[nombre_actividad],Grafico!D$1),NA())</f>
        <v>99.906000000000049</v>
      </c>
      <c r="E88" s="63">
        <f ca="1">IF(TODAY()&gt;=$A88,SUMIFS(Tabla1[Avance_km],Tabla1[Fecha],"&lt;="&amp;Grafico!$A88,Tabla1[nombre_actividad],Grafico!E$1),NA())</f>
        <v>99.906000000000006</v>
      </c>
      <c r="F88" s="110">
        <f ca="1">IF(TODAY()&gt;=$A88,SUMIFS(Tabla1[Avance_km],Tabla1[Fecha],"&lt;="&amp;Grafico!$A88,Tabla1[nombre_actividad],Grafico!F$1,Tabla1[Avance_km],"&gt;0"),NA())</f>
        <v>99.906000000000063</v>
      </c>
      <c r="G88" s="67">
        <f ca="1">IF(TODAY()&gt;=$A88,SUMIFS(Tabla1[Avance_Med],Tabla1[Fecha],"&lt;="&amp;Grafico!$A88,Tabla1[nombre_actividad],Grafico!G$1),NA())</f>
        <v>342</v>
      </c>
      <c r="H88" s="63">
        <f ca="1">IF(TODAY()&gt;=$A88,SUMIFS(Tabla1[Avance_km],Tabla1[Fecha],"&lt;="&amp;Grafico!$A88,Tabla1[nombre_actividad],Grafico!H$1),NA())</f>
        <v>0</v>
      </c>
      <c r="I88" s="63"/>
    </row>
    <row r="89" spans="1:9" x14ac:dyDescent="0.25">
      <c r="A89" s="62">
        <f t="shared" si="4"/>
        <v>46050</v>
      </c>
      <c r="B89" s="33" t="str">
        <f t="shared" ca="1" si="3"/>
        <v/>
      </c>
      <c r="C89" s="33"/>
      <c r="D89" s="63">
        <f ca="1">IF(TODAY()&gt;=$A89,SUMIFS(Tabla1[Avance_km],Tabla1[Fecha],"&lt;="&amp;Grafico!$A89,Tabla1[nombre_actividad],Grafico!D$1),NA())</f>
        <v>99.906000000000049</v>
      </c>
      <c r="E89" s="63">
        <f ca="1">IF(TODAY()&gt;=$A89,SUMIFS(Tabla1[Avance_km],Tabla1[Fecha],"&lt;="&amp;Grafico!$A89,Tabla1[nombre_actividad],Grafico!E$1),NA())</f>
        <v>99.906000000000006</v>
      </c>
      <c r="F89" s="110">
        <f ca="1">IF(TODAY()&gt;=$A89,SUMIFS(Tabla1[Avance_km],Tabla1[Fecha],"&lt;="&amp;Grafico!$A89,Tabla1[nombre_actividad],Grafico!F$1,Tabla1[Avance_km],"&gt;0"),NA())</f>
        <v>99.906000000000063</v>
      </c>
      <c r="G89" s="67">
        <f ca="1">IF(TODAY()&gt;=$A89,SUMIFS(Tabla1[Avance_Med],Tabla1[Fecha],"&lt;="&amp;Grafico!$A89,Tabla1[nombre_actividad],Grafico!G$1),NA())</f>
        <v>349</v>
      </c>
      <c r="H89" s="63">
        <f ca="1">IF(TODAY()&gt;=$A89,SUMIFS(Tabla1[Avance_km],Tabla1[Fecha],"&lt;="&amp;Grafico!$A89,Tabla1[nombre_actividad],Grafico!H$1),NA())</f>
        <v>0</v>
      </c>
      <c r="I89" s="63"/>
    </row>
    <row r="90" spans="1:9" x14ac:dyDescent="0.25">
      <c r="A90" s="62">
        <f t="shared" si="4"/>
        <v>46051</v>
      </c>
      <c r="B90" s="33" t="str">
        <f t="shared" ca="1" si="3"/>
        <v/>
      </c>
      <c r="C90" s="33"/>
      <c r="D90" s="63">
        <f ca="1">IF(TODAY()&gt;=$A90,SUMIFS(Tabla1[Avance_km],Tabla1[Fecha],"&lt;="&amp;Grafico!$A90,Tabla1[nombre_actividad],Grafico!D$1),NA())</f>
        <v>99.906000000000049</v>
      </c>
      <c r="E90" s="63">
        <f ca="1">IF(TODAY()&gt;=$A90,SUMIFS(Tabla1[Avance_km],Tabla1[Fecha],"&lt;="&amp;Grafico!$A90,Tabla1[nombre_actividad],Grafico!E$1),NA())</f>
        <v>99.906000000000006</v>
      </c>
      <c r="F90" s="110">
        <f ca="1">IF(TODAY()&gt;=$A90,SUMIFS(Tabla1[Avance_km],Tabla1[Fecha],"&lt;="&amp;Grafico!$A90,Tabla1[nombre_actividad],Grafico!F$1,Tabla1[Avance_km],"&gt;0"),NA())</f>
        <v>99.906000000000063</v>
      </c>
      <c r="G90" s="67">
        <f ca="1">IF(TODAY()&gt;=$A90,SUMIFS(Tabla1[Avance_Med],Tabla1[Fecha],"&lt;="&amp;Grafico!$A90,Tabla1[nombre_actividad],Grafico!G$1),NA())</f>
        <v>358</v>
      </c>
      <c r="H90" s="63">
        <f ca="1">IF(TODAY()&gt;=$A90,SUMIFS(Tabla1[Avance_km],Tabla1[Fecha],"&lt;="&amp;Grafico!$A90,Tabla1[nombre_actividad],Grafico!H$1),NA())</f>
        <v>0</v>
      </c>
      <c r="I90" s="63"/>
    </row>
    <row r="91" spans="1:9" x14ac:dyDescent="0.25">
      <c r="A91" s="62">
        <f t="shared" si="4"/>
        <v>46052</v>
      </c>
      <c r="B91" s="33" t="str">
        <f t="shared" ca="1" si="3"/>
        <v/>
      </c>
      <c r="C91" s="33"/>
      <c r="D91" s="63">
        <f ca="1">IF(TODAY()&gt;=$A91,SUMIFS(Tabla1[Avance_km],Tabla1[Fecha],"&lt;="&amp;Grafico!$A91,Tabla1[nombre_actividad],Grafico!D$1),NA())</f>
        <v>99.906000000000049</v>
      </c>
      <c r="E91" s="63">
        <f ca="1">IF(TODAY()&gt;=$A91,SUMIFS(Tabla1[Avance_km],Tabla1[Fecha],"&lt;="&amp;Grafico!$A91,Tabla1[nombre_actividad],Grafico!E$1),NA())</f>
        <v>99.906000000000006</v>
      </c>
      <c r="F91" s="110">
        <f ca="1">IF(TODAY()&gt;=$A91,SUMIFS(Tabla1[Avance_km],Tabla1[Fecha],"&lt;="&amp;Grafico!$A91,Tabla1[nombre_actividad],Grafico!F$1,Tabla1[Avance_km],"&gt;0"),NA())</f>
        <v>99.906000000000063</v>
      </c>
      <c r="G91" s="67">
        <f ca="1">IF(TODAY()&gt;=$A91,SUMIFS(Tabla1[Avance_Med],Tabla1[Fecha],"&lt;="&amp;Grafico!$A91,Tabla1[nombre_actividad],Grafico!G$1),NA())</f>
        <v>358</v>
      </c>
      <c r="H91" s="63">
        <f ca="1">IF(TODAY()&gt;=$A91,SUMIFS(Tabla1[Avance_km],Tabla1[Fecha],"&lt;="&amp;Grafico!$A91,Tabla1[nombre_actividad],Grafico!H$1),NA())</f>
        <v>0</v>
      </c>
      <c r="I91" s="63"/>
    </row>
    <row r="92" spans="1:9" x14ac:dyDescent="0.25">
      <c r="A92" s="62">
        <f t="shared" si="4"/>
        <v>46053</v>
      </c>
      <c r="B92" s="33" t="str">
        <f t="shared" ca="1" si="3"/>
        <v/>
      </c>
      <c r="C92" s="33"/>
      <c r="D92" s="63">
        <f ca="1">IF(TODAY()&gt;=$A92,SUMIFS(Tabla1[Avance_km],Tabla1[Fecha],"&lt;="&amp;Grafico!$A92,Tabla1[nombre_actividad],Grafico!D$1),NA())</f>
        <v>99.906000000000049</v>
      </c>
      <c r="E92" s="63">
        <f ca="1">IF(TODAY()&gt;=$A92,SUMIFS(Tabla1[Avance_km],Tabla1[Fecha],"&lt;="&amp;Grafico!$A92,Tabla1[nombre_actividad],Grafico!E$1),NA())</f>
        <v>99.906000000000006</v>
      </c>
      <c r="F92" s="110">
        <f ca="1">IF(TODAY()&gt;=$A92,SUMIFS(Tabla1[Avance_km],Tabla1[Fecha],"&lt;="&amp;Grafico!$A92,Tabla1[nombre_actividad],Grafico!F$1,Tabla1[Avance_km],"&gt;0"),NA())</f>
        <v>99.906000000000063</v>
      </c>
      <c r="G92" s="67">
        <f ca="1">IF(TODAY()&gt;=$A92,SUMIFS(Tabla1[Avance_Med],Tabla1[Fecha],"&lt;="&amp;Grafico!$A92,Tabla1[nombre_actividad],Grafico!G$1),NA())</f>
        <v>358</v>
      </c>
      <c r="H92" s="63">
        <f ca="1">IF(TODAY()&gt;=$A92,SUMIFS(Tabla1[Avance_km],Tabla1[Fecha],"&lt;="&amp;Grafico!$A92,Tabla1[nombre_actividad],Grafico!H$1),NA())</f>
        <v>0</v>
      </c>
      <c r="I92" s="63"/>
    </row>
    <row r="93" spans="1:9" x14ac:dyDescent="0.25">
      <c r="A93" s="62">
        <f t="shared" si="4"/>
        <v>46054</v>
      </c>
      <c r="B93" s="33" t="str">
        <f t="shared" ca="1" si="3"/>
        <v/>
      </c>
      <c r="C93" s="33"/>
      <c r="D93" s="63">
        <f ca="1">IF(TODAY()&gt;=$A93,SUMIFS(Tabla1[Avance_km],Tabla1[Fecha],"&lt;="&amp;Grafico!$A93,Tabla1[nombre_actividad],Grafico!D$1),NA())</f>
        <v>99.906000000000049</v>
      </c>
      <c r="E93" s="63">
        <f ca="1">IF(TODAY()&gt;=$A93,SUMIFS(Tabla1[Avance_km],Tabla1[Fecha],"&lt;="&amp;Grafico!$A93,Tabla1[nombre_actividad],Grafico!E$1),NA())</f>
        <v>99.906000000000006</v>
      </c>
      <c r="F93" s="110">
        <f ca="1">IF(TODAY()&gt;=$A93,SUMIFS(Tabla1[Avance_km],Tabla1[Fecha],"&lt;="&amp;Grafico!$A93,Tabla1[nombre_actividad],Grafico!F$1,Tabla1[Avance_km],"&gt;0"),NA())</f>
        <v>99.906000000000063</v>
      </c>
      <c r="G93" s="67">
        <f ca="1">IF(TODAY()&gt;=$A93,SUMIFS(Tabla1[Avance_Med],Tabla1[Fecha],"&lt;="&amp;Grafico!$A93,Tabla1[nombre_actividad],Grafico!G$1),NA())</f>
        <v>358</v>
      </c>
      <c r="H93" s="63">
        <f ca="1">IF(TODAY()&gt;=$A93,SUMIFS(Tabla1[Avance_km],Tabla1[Fecha],"&lt;="&amp;Grafico!$A93,Tabla1[nombre_actividad],Grafico!H$1),NA())</f>
        <v>0</v>
      </c>
      <c r="I93" s="63"/>
    </row>
    <row r="94" spans="1:9" x14ac:dyDescent="0.25">
      <c r="A94" s="62">
        <f t="shared" si="4"/>
        <v>46055</v>
      </c>
      <c r="B94" s="33" t="str">
        <f t="shared" ca="1" si="3"/>
        <v/>
      </c>
      <c r="C94" s="33"/>
      <c r="D94" s="63">
        <f ca="1">IF(TODAY()&gt;=$A94,SUMIFS(Tabla1[Avance_km],Tabla1[Fecha],"&lt;="&amp;Grafico!$A94,Tabla1[nombre_actividad],Grafico!D$1),NA())</f>
        <v>99.906000000000049</v>
      </c>
      <c r="E94" s="63">
        <f ca="1">IF(TODAY()&gt;=$A94,SUMIFS(Tabla1[Avance_km],Tabla1[Fecha],"&lt;="&amp;Grafico!$A94,Tabla1[nombre_actividad],Grafico!E$1),NA())</f>
        <v>99.906000000000006</v>
      </c>
      <c r="F94" s="110">
        <f ca="1">IF(TODAY()&gt;=$A94,SUMIFS(Tabla1[Avance_km],Tabla1[Fecha],"&lt;="&amp;Grafico!$A94,Tabla1[nombre_actividad],Grafico!F$1,Tabla1[Avance_km],"&gt;0"),NA())</f>
        <v>99.906000000000063</v>
      </c>
      <c r="G94" s="67">
        <f ca="1">IF(TODAY()&gt;=$A94,SUMIFS(Tabla1[Avance_Med],Tabla1[Fecha],"&lt;="&amp;Grafico!$A94,Tabla1[nombre_actividad],Grafico!G$1),NA())</f>
        <v>358</v>
      </c>
      <c r="H94" s="63">
        <f ca="1">IF(TODAY()&gt;=$A94,SUMIFS(Tabla1[Avance_km],Tabla1[Fecha],"&lt;="&amp;Grafico!$A94,Tabla1[nombre_actividad],Grafico!H$1),NA())</f>
        <v>0</v>
      </c>
      <c r="I94" s="63"/>
    </row>
    <row r="95" spans="1:9" x14ac:dyDescent="0.25">
      <c r="A95" s="62">
        <f t="shared" si="4"/>
        <v>46056</v>
      </c>
      <c r="B95" s="33" t="str">
        <f t="shared" ca="1" si="3"/>
        <v/>
      </c>
      <c r="C95" s="33"/>
      <c r="D95" s="63">
        <f ca="1">IF(TODAY()&gt;=$A95,SUMIFS(Tabla1[Avance_km],Tabla1[Fecha],"&lt;="&amp;Grafico!$A95,Tabla1[nombre_actividad],Grafico!D$1),NA())</f>
        <v>99.906000000000049</v>
      </c>
      <c r="E95" s="63">
        <f ca="1">IF(TODAY()&gt;=$A95,SUMIFS(Tabla1[Avance_km],Tabla1[Fecha],"&lt;="&amp;Grafico!$A95,Tabla1[nombre_actividad],Grafico!E$1),NA())</f>
        <v>99.906000000000006</v>
      </c>
      <c r="F95" s="110">
        <f ca="1">IF(TODAY()&gt;=$A95,SUMIFS(Tabla1[Avance_km],Tabla1[Fecha],"&lt;="&amp;Grafico!$A95,Tabla1[nombre_actividad],Grafico!F$1,Tabla1[Avance_km],"&gt;0"),NA())</f>
        <v>99.906000000000063</v>
      </c>
      <c r="G95" s="67">
        <f ca="1">IF(TODAY()&gt;=$A95,SUMIFS(Tabla1[Avance_Med],Tabla1[Fecha],"&lt;="&amp;Grafico!$A95,Tabla1[nombre_actividad],Grafico!G$1),NA())</f>
        <v>358</v>
      </c>
      <c r="H95" s="63">
        <f ca="1">IF(TODAY()&gt;=$A95,SUMIFS(Tabla1[Avance_km],Tabla1[Fecha],"&lt;="&amp;Grafico!$A95,Tabla1[nombre_actividad],Grafico!H$1),NA())</f>
        <v>0</v>
      </c>
      <c r="I95" s="63"/>
    </row>
    <row r="96" spans="1:9" x14ac:dyDescent="0.25">
      <c r="A96" s="62">
        <f t="shared" si="4"/>
        <v>46057</v>
      </c>
      <c r="B96" s="33" t="str">
        <f t="shared" ca="1" si="3"/>
        <v/>
      </c>
      <c r="C96" s="33"/>
      <c r="D96" s="63">
        <f ca="1">IF(TODAY()&gt;=$A96,SUMIFS(Tabla1[Avance_km],Tabla1[Fecha],"&lt;="&amp;Grafico!$A96,Tabla1[nombre_actividad],Grafico!D$1),NA())</f>
        <v>99.906000000000049</v>
      </c>
      <c r="E96" s="63">
        <f ca="1">IF(TODAY()&gt;=$A96,SUMIFS(Tabla1[Avance_km],Tabla1[Fecha],"&lt;="&amp;Grafico!$A96,Tabla1[nombre_actividad],Grafico!E$1),NA())</f>
        <v>99.906000000000006</v>
      </c>
      <c r="F96" s="110">
        <f ca="1">IF(TODAY()&gt;=$A96,SUMIFS(Tabla1[Avance_km],Tabla1[Fecha],"&lt;="&amp;Grafico!$A96,Tabla1[nombre_actividad],Grafico!F$1,Tabla1[Avance_km],"&gt;0"),NA())</f>
        <v>99.906000000000063</v>
      </c>
      <c r="G96" s="67">
        <f ca="1">IF(TODAY()&gt;=$A96,SUMIFS(Tabla1[Avance_Med],Tabla1[Fecha],"&lt;="&amp;Grafico!$A96,Tabla1[nombre_actividad],Grafico!G$1),NA())</f>
        <v>360</v>
      </c>
      <c r="H96" s="63">
        <f ca="1">IF(TODAY()&gt;=$A96,SUMIFS(Tabla1[Avance_km],Tabla1[Fecha],"&lt;="&amp;Grafico!$A96,Tabla1[nombre_actividad],Grafico!H$1),NA())</f>
        <v>0</v>
      </c>
      <c r="I96" s="63"/>
    </row>
    <row r="97" spans="1:9" x14ac:dyDescent="0.25">
      <c r="A97" s="62">
        <f t="shared" si="4"/>
        <v>46058</v>
      </c>
      <c r="B97" s="33" t="str">
        <f t="shared" ca="1" si="3"/>
        <v/>
      </c>
      <c r="C97" s="33"/>
      <c r="D97" s="63">
        <f ca="1">IF(TODAY()&gt;=$A97,SUMIFS(Tabla1[Avance_km],Tabla1[Fecha],"&lt;="&amp;Grafico!$A97,Tabla1[nombre_actividad],Grafico!D$1),NA())</f>
        <v>99.906000000000049</v>
      </c>
      <c r="E97" s="63">
        <f ca="1">IF(TODAY()&gt;=$A97,SUMIFS(Tabla1[Avance_km],Tabla1[Fecha],"&lt;="&amp;Grafico!$A97,Tabla1[nombre_actividad],Grafico!E$1),NA())</f>
        <v>99.906000000000006</v>
      </c>
      <c r="F97" s="110">
        <f ca="1">IF(TODAY()&gt;=$A97,SUMIFS(Tabla1[Avance_km],Tabla1[Fecha],"&lt;="&amp;Grafico!$A97,Tabla1[nombre_actividad],Grafico!F$1,Tabla1[Avance_km],"&gt;0"),NA())</f>
        <v>99.906000000000063</v>
      </c>
      <c r="G97" s="67">
        <f ca="1">IF(TODAY()&gt;=$A97,SUMIFS(Tabla1[Avance_Med],Tabla1[Fecha],"&lt;="&amp;Grafico!$A97,Tabla1[nombre_actividad],Grafico!G$1),NA())</f>
        <v>362</v>
      </c>
      <c r="H97" s="63">
        <f ca="1">IF(TODAY()&gt;=$A97,SUMIFS(Tabla1[Avance_km],Tabla1[Fecha],"&lt;="&amp;Grafico!$A97,Tabla1[nombre_actividad],Grafico!H$1),NA())</f>
        <v>0</v>
      </c>
      <c r="I97" s="63"/>
    </row>
    <row r="98" spans="1:9" x14ac:dyDescent="0.25">
      <c r="A98" s="62">
        <f t="shared" si="4"/>
        <v>46059</v>
      </c>
      <c r="B98" s="33" t="str">
        <f t="shared" ca="1" si="3"/>
        <v/>
      </c>
      <c r="C98" s="33"/>
      <c r="D98" s="63">
        <f ca="1">IF(TODAY()&gt;=$A98,SUMIFS(Tabla1[Avance_km],Tabla1[Fecha],"&lt;="&amp;Grafico!$A98,Tabla1[nombre_actividad],Grafico!D$1),NA())</f>
        <v>99.906000000000049</v>
      </c>
      <c r="E98" s="63">
        <f ca="1">IF(TODAY()&gt;=$A98,SUMIFS(Tabla1[Avance_km],Tabla1[Fecha],"&lt;="&amp;Grafico!$A98,Tabla1[nombre_actividad],Grafico!E$1),NA())</f>
        <v>99.906000000000006</v>
      </c>
      <c r="F98" s="110">
        <f ca="1">IF(TODAY()&gt;=$A98,SUMIFS(Tabla1[Avance_km],Tabla1[Fecha],"&lt;="&amp;Grafico!$A98,Tabla1[nombre_actividad],Grafico!F$1,Tabla1[Avance_km],"&gt;0"),NA())</f>
        <v>99.906000000000063</v>
      </c>
      <c r="G98" s="67">
        <f ca="1">IF(TODAY()&gt;=$A98,SUMIFS(Tabla1[Avance_Med],Tabla1[Fecha],"&lt;="&amp;Grafico!$A98,Tabla1[nombre_actividad],Grafico!G$1),NA())</f>
        <v>362</v>
      </c>
      <c r="H98" s="63">
        <f ca="1">IF(TODAY()&gt;=$A98,SUMIFS(Tabla1[Avance_km],Tabla1[Fecha],"&lt;="&amp;Grafico!$A98,Tabla1[nombre_actividad],Grafico!H$1),NA())</f>
        <v>0</v>
      </c>
      <c r="I98" s="63"/>
    </row>
    <row r="99" spans="1:9" x14ac:dyDescent="0.25">
      <c r="A99" s="62">
        <f t="shared" si="4"/>
        <v>46060</v>
      </c>
      <c r="B99" s="33" t="str">
        <f t="shared" ca="1" si="3"/>
        <v/>
      </c>
      <c r="C99" s="33"/>
      <c r="D99" s="63">
        <f ca="1">IF(TODAY()&gt;=$A99,SUMIFS(Tabla1[Avance_km],Tabla1[Fecha],"&lt;="&amp;Grafico!$A99,Tabla1[nombre_actividad],Grafico!D$1),NA())</f>
        <v>99.906000000000049</v>
      </c>
      <c r="E99" s="63">
        <f ca="1">IF(TODAY()&gt;=$A99,SUMIFS(Tabla1[Avance_km],Tabla1[Fecha],"&lt;="&amp;Grafico!$A99,Tabla1[nombre_actividad],Grafico!E$1),NA())</f>
        <v>99.906000000000006</v>
      </c>
      <c r="F99" s="110">
        <f ca="1">IF(TODAY()&gt;=$A99,SUMIFS(Tabla1[Avance_km],Tabla1[Fecha],"&lt;="&amp;Grafico!$A99,Tabla1[nombre_actividad],Grafico!F$1,Tabla1[Avance_km],"&gt;0"),NA())</f>
        <v>99.906000000000063</v>
      </c>
      <c r="G99" s="67">
        <f ca="1">IF(TODAY()&gt;=$A99,SUMIFS(Tabla1[Avance_Med],Tabla1[Fecha],"&lt;="&amp;Grafico!$A99,Tabla1[nombre_actividad],Grafico!G$1),NA())</f>
        <v>362</v>
      </c>
      <c r="H99" s="63">
        <f ca="1">IF(TODAY()&gt;=$A99,SUMIFS(Tabla1[Avance_km],Tabla1[Fecha],"&lt;="&amp;Grafico!$A99,Tabla1[nombre_actividad],Grafico!H$1),NA())</f>
        <v>0</v>
      </c>
      <c r="I99" s="63"/>
    </row>
    <row r="100" spans="1:9" x14ac:dyDescent="0.25">
      <c r="A100" s="62">
        <f t="shared" si="4"/>
        <v>46061</v>
      </c>
      <c r="B100" s="33" t="str">
        <f t="shared" ca="1" si="3"/>
        <v/>
      </c>
      <c r="C100" s="33"/>
      <c r="D100" s="63">
        <f ca="1">IF(TODAY()&gt;=$A100,SUMIFS(Tabla1[Avance_km],Tabla1[Fecha],"&lt;="&amp;Grafico!$A100,Tabla1[nombre_actividad],Grafico!D$1),NA())</f>
        <v>99.906000000000049</v>
      </c>
      <c r="E100" s="63">
        <f ca="1">IF(TODAY()&gt;=$A100,SUMIFS(Tabla1[Avance_km],Tabla1[Fecha],"&lt;="&amp;Grafico!$A100,Tabla1[nombre_actividad],Grafico!E$1),NA())</f>
        <v>99.906000000000006</v>
      </c>
      <c r="F100" s="110">
        <f ca="1">IF(TODAY()&gt;=$A100,SUMIFS(Tabla1[Avance_km],Tabla1[Fecha],"&lt;="&amp;Grafico!$A100,Tabla1[nombre_actividad],Grafico!F$1,Tabla1[Avance_km],"&gt;0"),NA())</f>
        <v>99.906000000000063</v>
      </c>
      <c r="G100" s="67">
        <f ca="1">IF(TODAY()&gt;=$A100,SUMIFS(Tabla1[Avance_Med],Tabla1[Fecha],"&lt;="&amp;Grafico!$A100,Tabla1[nombre_actividad],Grafico!G$1),NA())</f>
        <v>362</v>
      </c>
      <c r="H100" s="63">
        <f ca="1">IF(TODAY()&gt;=$A100,SUMIFS(Tabla1[Avance_km],Tabla1[Fecha],"&lt;="&amp;Grafico!$A100,Tabla1[nombre_actividad],Grafico!H$1),NA())</f>
        <v>0</v>
      </c>
      <c r="I100" s="63"/>
    </row>
    <row r="101" spans="1:9" x14ac:dyDescent="0.25">
      <c r="A101" s="62">
        <f t="shared" si="4"/>
        <v>46062</v>
      </c>
      <c r="B101" s="33" t="str">
        <f t="shared" ca="1" si="3"/>
        <v/>
      </c>
      <c r="C101" s="33"/>
      <c r="D101" s="63">
        <f ca="1">IF(TODAY()&gt;=$A101,SUMIFS(Tabla1[Avance_km],Tabla1[Fecha],"&lt;="&amp;Grafico!$A101,Tabla1[nombre_actividad],Grafico!D$1),NA())</f>
        <v>99.906000000000049</v>
      </c>
      <c r="E101" s="63">
        <f ca="1">IF(TODAY()&gt;=$A101,SUMIFS(Tabla1[Avance_km],Tabla1[Fecha],"&lt;="&amp;Grafico!$A101,Tabla1[nombre_actividad],Grafico!E$1),NA())</f>
        <v>99.906000000000006</v>
      </c>
      <c r="F101" s="110">
        <f ca="1">IF(TODAY()&gt;=$A101,SUMIFS(Tabla1[Avance_km],Tabla1[Fecha],"&lt;="&amp;Grafico!$A101,Tabla1[nombre_actividad],Grafico!F$1,Tabla1[Avance_km],"&gt;0"),NA())</f>
        <v>99.906000000000063</v>
      </c>
      <c r="G101" s="67">
        <f ca="1">IF(TODAY()&gt;=$A101,SUMIFS(Tabla1[Avance_Med],Tabla1[Fecha],"&lt;="&amp;Grafico!$A101,Tabla1[nombre_actividad],Grafico!G$1),NA())</f>
        <v>363</v>
      </c>
      <c r="H101" s="63">
        <f ca="1">IF(TODAY()&gt;=$A101,SUMIFS(Tabla1[Avance_km],Tabla1[Fecha],"&lt;="&amp;Grafico!$A101,Tabla1[nombre_actividad],Grafico!H$1),NA())</f>
        <v>0</v>
      </c>
      <c r="I101" s="63"/>
    </row>
    <row r="102" spans="1:9" x14ac:dyDescent="0.25">
      <c r="A102" s="62">
        <f t="shared" si="4"/>
        <v>46063</v>
      </c>
      <c r="B102" s="33" t="str">
        <f t="shared" ca="1" si="3"/>
        <v/>
      </c>
      <c r="C102" s="33"/>
      <c r="D102" s="63">
        <f ca="1">IF(TODAY()&gt;=$A102,SUMIFS(Tabla1[Avance_km],Tabla1[Fecha],"&lt;="&amp;Grafico!$A102,Tabla1[nombre_actividad],Grafico!D$1),NA())</f>
        <v>99.906000000000049</v>
      </c>
      <c r="E102" s="63">
        <f ca="1">IF(TODAY()&gt;=$A102,SUMIFS(Tabla1[Avance_km],Tabla1[Fecha],"&lt;="&amp;Grafico!$A102,Tabla1[nombre_actividad],Grafico!E$1),NA())</f>
        <v>99.906000000000006</v>
      </c>
      <c r="F102" s="110">
        <f ca="1">IF(TODAY()&gt;=$A102,SUMIFS(Tabla1[Avance_km],Tabla1[Fecha],"&lt;="&amp;Grafico!$A102,Tabla1[nombre_actividad],Grafico!F$1,Tabla1[Avance_km],"&gt;0"),NA())</f>
        <v>99.906000000000063</v>
      </c>
      <c r="G102" s="67">
        <f ca="1">IF(TODAY()&gt;=$A102,SUMIFS(Tabla1[Avance_Med],Tabla1[Fecha],"&lt;="&amp;Grafico!$A102,Tabla1[nombre_actividad],Grafico!G$1),NA())</f>
        <v>367</v>
      </c>
      <c r="H102" s="63">
        <f ca="1">IF(TODAY()&gt;=$A102,SUMIFS(Tabla1[Avance_km],Tabla1[Fecha],"&lt;="&amp;Grafico!$A102,Tabla1[nombre_actividad],Grafico!H$1),NA())</f>
        <v>0</v>
      </c>
      <c r="I102" s="63"/>
    </row>
    <row r="103" spans="1:9" x14ac:dyDescent="0.25">
      <c r="A103" s="62">
        <f t="shared" si="4"/>
        <v>46064</v>
      </c>
      <c r="B103" s="33" t="str">
        <f t="shared" ca="1" si="3"/>
        <v/>
      </c>
      <c r="C103" s="33"/>
      <c r="D103" s="63">
        <f ca="1">IF(TODAY()&gt;=$A103,SUMIFS(Tabla1[Avance_km],Tabla1[Fecha],"&lt;="&amp;Grafico!$A103,Tabla1[nombre_actividad],Grafico!D$1),NA())</f>
        <v>99.906000000000049</v>
      </c>
      <c r="E103" s="63">
        <f ca="1">IF(TODAY()&gt;=$A103,SUMIFS(Tabla1[Avance_km],Tabla1[Fecha],"&lt;="&amp;Grafico!$A103,Tabla1[nombre_actividad],Grafico!E$1),NA())</f>
        <v>99.906000000000006</v>
      </c>
      <c r="F103" s="110">
        <f ca="1">IF(TODAY()&gt;=$A103,SUMIFS(Tabla1[Avance_km],Tabla1[Fecha],"&lt;="&amp;Grafico!$A103,Tabla1[nombre_actividad],Grafico!F$1,Tabla1[Avance_km],"&gt;0"),NA())</f>
        <v>99.906000000000063</v>
      </c>
      <c r="G103" s="67">
        <f ca="1">IF(TODAY()&gt;=$A103,SUMIFS(Tabla1[Avance_Med],Tabla1[Fecha],"&lt;="&amp;Grafico!$A103,Tabla1[nombre_actividad],Grafico!G$1),NA())</f>
        <v>371</v>
      </c>
      <c r="H103" s="63">
        <f ca="1">IF(TODAY()&gt;=$A103,SUMIFS(Tabla1[Avance_km],Tabla1[Fecha],"&lt;="&amp;Grafico!$A103,Tabla1[nombre_actividad],Grafico!H$1),NA())</f>
        <v>0</v>
      </c>
      <c r="I103" s="63"/>
    </row>
    <row r="104" spans="1:9" x14ac:dyDescent="0.25">
      <c r="A104" s="62">
        <f t="shared" si="4"/>
        <v>46065</v>
      </c>
      <c r="B104" s="33" t="str">
        <f t="shared" ca="1" si="3"/>
        <v/>
      </c>
      <c r="C104" s="33"/>
      <c r="D104" s="63">
        <f ca="1">IF(TODAY()&gt;=$A104,SUMIFS(Tabla1[Avance_km],Tabla1[Fecha],"&lt;="&amp;Grafico!$A104,Tabla1[nombre_actividad],Grafico!D$1),NA())</f>
        <v>99.906000000000049</v>
      </c>
      <c r="E104" s="63">
        <f ca="1">IF(TODAY()&gt;=$A104,SUMIFS(Tabla1[Avance_km],Tabla1[Fecha],"&lt;="&amp;Grafico!$A104,Tabla1[nombre_actividad],Grafico!E$1),NA())</f>
        <v>99.906000000000006</v>
      </c>
      <c r="F104" s="110">
        <f ca="1">IF(TODAY()&gt;=$A104,SUMIFS(Tabla1[Avance_km],Tabla1[Fecha],"&lt;="&amp;Grafico!$A104,Tabla1[nombre_actividad],Grafico!F$1,Tabla1[Avance_km],"&gt;0"),NA())</f>
        <v>99.906000000000063</v>
      </c>
      <c r="G104" s="67">
        <f ca="1">IF(TODAY()&gt;=$A104,SUMIFS(Tabla1[Avance_Med],Tabla1[Fecha],"&lt;="&amp;Grafico!$A104,Tabla1[nombre_actividad],Grafico!G$1),NA())</f>
        <v>376</v>
      </c>
      <c r="H104" s="63">
        <f ca="1">IF(TODAY()&gt;=$A104,SUMIFS(Tabla1[Avance_km],Tabla1[Fecha],"&lt;="&amp;Grafico!$A104,Tabla1[nombre_actividad],Grafico!H$1),NA())</f>
        <v>0</v>
      </c>
      <c r="I104" s="63"/>
    </row>
    <row r="105" spans="1:9" x14ac:dyDescent="0.25">
      <c r="A105" s="62">
        <f t="shared" si="4"/>
        <v>46066</v>
      </c>
      <c r="B105" s="33" t="str">
        <f t="shared" ca="1" si="3"/>
        <v/>
      </c>
      <c r="C105" s="33">
        <v>500</v>
      </c>
      <c r="D105" s="63">
        <f ca="1">IF(TODAY()&gt;=$A105,SUMIFS(Tabla1[Avance_km],Tabla1[Fecha],"&lt;="&amp;Grafico!$A105,Tabla1[nombre_actividad],Grafico!D$1),NA())</f>
        <v>99.906000000000049</v>
      </c>
      <c r="E105" s="63">
        <f ca="1">IF(TODAY()&gt;=$A105,SUMIFS(Tabla1[Avance_km],Tabla1[Fecha],"&lt;="&amp;Grafico!$A105,Tabla1[nombre_actividad],Grafico!E$1),NA())</f>
        <v>99.906000000000006</v>
      </c>
      <c r="F105" s="110">
        <f ca="1">IF(TODAY()&gt;=$A105,SUMIFS(Tabla1[Avance_km],Tabla1[Fecha],"&lt;="&amp;Grafico!$A105,Tabla1[nombre_actividad],Grafico!F$1,Tabla1[Avance_km],"&gt;0"),NA())</f>
        <v>99.906000000000063</v>
      </c>
      <c r="G105" s="67">
        <f ca="1">IF(TODAY()&gt;=$A105,SUMIFS(Tabla1[Avance_Med],Tabla1[Fecha],"&lt;="&amp;Grafico!$A105,Tabla1[nombre_actividad],Grafico!G$1),NA())</f>
        <v>376</v>
      </c>
      <c r="H105" s="63">
        <f ca="1">IF(TODAY()&gt;=$A105,SUMIFS(Tabla1[Avance_km],Tabla1[Fecha],"&lt;="&amp;Grafico!$A105,Tabla1[nombre_actividad],Grafico!H$1),NA())</f>
        <v>0</v>
      </c>
      <c r="I105" s="63"/>
    </row>
    <row r="106" spans="1:9" x14ac:dyDescent="0.25">
      <c r="A106" s="62">
        <f t="shared" si="4"/>
        <v>46067</v>
      </c>
      <c r="B106" s="33" t="str">
        <f t="shared" ca="1" si="3"/>
        <v/>
      </c>
      <c r="C106" s="33">
        <v>500</v>
      </c>
      <c r="D106" s="63">
        <f ca="1">IF(TODAY()&gt;=$A106,SUMIFS(Tabla1[Avance_km],Tabla1[Fecha],"&lt;="&amp;Grafico!$A106,Tabla1[nombre_actividad],Grafico!D$1),NA())</f>
        <v>99.906000000000049</v>
      </c>
      <c r="E106" s="63">
        <f ca="1">IF(TODAY()&gt;=$A106,SUMIFS(Tabla1[Avance_km],Tabla1[Fecha],"&lt;="&amp;Grafico!$A106,Tabla1[nombre_actividad],Grafico!E$1),NA())</f>
        <v>99.906000000000006</v>
      </c>
      <c r="F106" s="110">
        <f ca="1">IF(TODAY()&gt;=$A106,SUMIFS(Tabla1[Avance_km],Tabla1[Fecha],"&lt;="&amp;Grafico!$A106,Tabla1[nombre_actividad],Grafico!F$1,Tabla1[Avance_km],"&gt;0"),NA())</f>
        <v>99.906000000000063</v>
      </c>
      <c r="G106" s="67">
        <f ca="1">IF(TODAY()&gt;=$A106,SUMIFS(Tabla1[Avance_Med],Tabla1[Fecha],"&lt;="&amp;Grafico!$A106,Tabla1[nombre_actividad],Grafico!G$1),NA())</f>
        <v>376</v>
      </c>
      <c r="H106" s="63">
        <f ca="1">IF(TODAY()&gt;=$A106,SUMIFS(Tabla1[Avance_km],Tabla1[Fecha],"&lt;="&amp;Grafico!$A106,Tabla1[nombre_actividad],Grafico!H$1),NA())</f>
        <v>0</v>
      </c>
      <c r="I106" s="63"/>
    </row>
    <row r="107" spans="1:9" x14ac:dyDescent="0.25">
      <c r="A107" s="62">
        <f t="shared" si="4"/>
        <v>46068</v>
      </c>
      <c r="B107" s="33" t="str">
        <f t="shared" ca="1" si="3"/>
        <v/>
      </c>
      <c r="C107" s="33">
        <v>500</v>
      </c>
      <c r="D107" s="63">
        <f ca="1">IF(TODAY()&gt;=$A107,SUMIFS(Tabla1[Avance_km],Tabla1[Fecha],"&lt;="&amp;Grafico!$A107,Tabla1[nombre_actividad],Grafico!D$1),NA())</f>
        <v>99.906000000000049</v>
      </c>
      <c r="E107" s="63">
        <f ca="1">IF(TODAY()&gt;=$A107,SUMIFS(Tabla1[Avance_km],Tabla1[Fecha],"&lt;="&amp;Grafico!$A107,Tabla1[nombre_actividad],Grafico!E$1),NA())</f>
        <v>99.906000000000006</v>
      </c>
      <c r="F107" s="110">
        <f ca="1">IF(TODAY()&gt;=$A107,SUMIFS(Tabla1[Avance_km],Tabla1[Fecha],"&lt;="&amp;Grafico!$A107,Tabla1[nombre_actividad],Grafico!F$1,Tabla1[Avance_km],"&gt;0"),NA())</f>
        <v>99.906000000000063</v>
      </c>
      <c r="G107" s="67">
        <f ca="1">IF(TODAY()&gt;=$A107,SUMIFS(Tabla1[Avance_Med],Tabla1[Fecha],"&lt;="&amp;Grafico!$A107,Tabla1[nombre_actividad],Grafico!G$1),NA())</f>
        <v>376</v>
      </c>
      <c r="H107" s="63">
        <f ca="1">IF(TODAY()&gt;=$A107,SUMIFS(Tabla1[Avance_km],Tabla1[Fecha],"&lt;="&amp;Grafico!$A107,Tabla1[nombre_actividad],Grafico!H$1),NA())</f>
        <v>0</v>
      </c>
      <c r="I107" s="63"/>
    </row>
    <row r="108" spans="1:9" x14ac:dyDescent="0.25">
      <c r="A108" s="62">
        <f t="shared" si="4"/>
        <v>46069</v>
      </c>
      <c r="B108" s="33" t="str">
        <f t="shared" ca="1" si="3"/>
        <v/>
      </c>
      <c r="C108" s="33">
        <v>500</v>
      </c>
      <c r="D108" s="63">
        <f ca="1">IF(TODAY()&gt;=$A108,SUMIFS(Tabla1[Avance_km],Tabla1[Fecha],"&lt;="&amp;Grafico!$A108,Tabla1[nombre_actividad],Grafico!D$1),NA())</f>
        <v>99.906000000000049</v>
      </c>
      <c r="E108" s="63">
        <f ca="1">IF(TODAY()&gt;=$A108,SUMIFS(Tabla1[Avance_km],Tabla1[Fecha],"&lt;="&amp;Grafico!$A108,Tabla1[nombre_actividad],Grafico!E$1),NA())</f>
        <v>99.906000000000006</v>
      </c>
      <c r="F108" s="110">
        <f ca="1">IF(TODAY()&gt;=$A108,SUMIFS(Tabla1[Avance_km],Tabla1[Fecha],"&lt;="&amp;Grafico!$A108,Tabla1[nombre_actividad],Grafico!F$1,Tabla1[Avance_km],"&gt;0"),NA())</f>
        <v>99.906000000000063</v>
      </c>
      <c r="G108" s="67">
        <f ca="1">IF(TODAY()&gt;=$A108,SUMIFS(Tabla1[Avance_Med],Tabla1[Fecha],"&lt;="&amp;Grafico!$A108,Tabla1[nombre_actividad],Grafico!G$1),NA())</f>
        <v>376</v>
      </c>
      <c r="H108" s="63">
        <f ca="1">IF(TODAY()&gt;=$A108,SUMIFS(Tabla1[Avance_km],Tabla1[Fecha],"&lt;="&amp;Grafico!$A108,Tabla1[nombre_actividad],Grafico!H$1),NA())</f>
        <v>0</v>
      </c>
      <c r="I108" s="63"/>
    </row>
    <row r="109" spans="1:9" x14ac:dyDescent="0.25">
      <c r="A109" s="62">
        <f t="shared" si="4"/>
        <v>46070</v>
      </c>
      <c r="B109" s="33" t="str">
        <f t="shared" ca="1" si="3"/>
        <v/>
      </c>
      <c r="C109" s="33">
        <v>500</v>
      </c>
      <c r="D109" s="63">
        <f ca="1">IF(TODAY()&gt;=$A109,SUMIFS(Tabla1[Avance_km],Tabla1[Fecha],"&lt;="&amp;Grafico!$A109,Tabla1[nombre_actividad],Grafico!D$1),NA())</f>
        <v>99.906000000000049</v>
      </c>
      <c r="E109" s="63">
        <f ca="1">IF(TODAY()&gt;=$A109,SUMIFS(Tabla1[Avance_km],Tabla1[Fecha],"&lt;="&amp;Grafico!$A109,Tabla1[nombre_actividad],Grafico!E$1),NA())</f>
        <v>99.906000000000006</v>
      </c>
      <c r="F109" s="110">
        <f ca="1">IF(TODAY()&gt;=$A109,SUMIFS(Tabla1[Avance_km],Tabla1[Fecha],"&lt;="&amp;Grafico!$A109,Tabla1[nombre_actividad],Grafico!F$1,Tabla1[Avance_km],"&gt;0"),NA())</f>
        <v>99.906000000000063</v>
      </c>
      <c r="G109" s="67">
        <f ca="1">IF(TODAY()&gt;=$A109,SUMIFS(Tabla1[Avance_Med],Tabla1[Fecha],"&lt;="&amp;Grafico!$A109,Tabla1[nombre_actividad],Grafico!G$1),NA())</f>
        <v>376</v>
      </c>
      <c r="H109" s="63">
        <f ca="1">IF(TODAY()&gt;=$A109,SUMIFS(Tabla1[Avance_km],Tabla1[Fecha],"&lt;="&amp;Grafico!$A109,Tabla1[nombre_actividad],Grafico!H$1),NA())</f>
        <v>0</v>
      </c>
      <c r="I109" s="63"/>
    </row>
    <row r="110" spans="1:9" x14ac:dyDescent="0.25">
      <c r="A110" s="62">
        <f t="shared" si="4"/>
        <v>46071</v>
      </c>
      <c r="B110" s="33" t="str">
        <f t="shared" ca="1" si="3"/>
        <v/>
      </c>
      <c r="C110" s="33">
        <v>500</v>
      </c>
      <c r="D110" s="63">
        <f ca="1">IF(TODAY()&gt;=$A110,SUMIFS(Tabla1[Avance_km],Tabla1[Fecha],"&lt;="&amp;Grafico!$A110,Tabla1[nombre_actividad],Grafico!D$1),NA())</f>
        <v>99.906000000000049</v>
      </c>
      <c r="E110" s="63">
        <f ca="1">IF(TODAY()&gt;=$A110,SUMIFS(Tabla1[Avance_km],Tabla1[Fecha],"&lt;="&amp;Grafico!$A110,Tabla1[nombre_actividad],Grafico!E$1),NA())</f>
        <v>99.906000000000006</v>
      </c>
      <c r="F110" s="110">
        <f ca="1">IF(TODAY()&gt;=$A110,SUMIFS(Tabla1[Avance_km],Tabla1[Fecha],"&lt;="&amp;Grafico!$A110,Tabla1[nombre_actividad],Grafico!F$1,Tabla1[Avance_km],"&gt;0"),NA())</f>
        <v>99.906000000000063</v>
      </c>
      <c r="G110" s="67">
        <f ca="1">IF(TODAY()&gt;=$A110,SUMIFS(Tabla1[Avance_Med],Tabla1[Fecha],"&lt;="&amp;Grafico!$A110,Tabla1[nombre_actividad],Grafico!G$1),NA())</f>
        <v>376</v>
      </c>
      <c r="H110" s="63">
        <f ca="1">IF(TODAY()&gt;=$A110,SUMIFS(Tabla1[Avance_km],Tabla1[Fecha],"&lt;="&amp;Grafico!$A110,Tabla1[nombre_actividad],Grafico!H$1),NA())</f>
        <v>0</v>
      </c>
      <c r="I110" s="63"/>
    </row>
    <row r="111" spans="1:9" x14ac:dyDescent="0.25">
      <c r="A111" s="62">
        <f t="shared" si="4"/>
        <v>46072</v>
      </c>
      <c r="B111" s="33" t="str">
        <f t="shared" ca="1" si="3"/>
        <v/>
      </c>
      <c r="C111" s="33">
        <v>500</v>
      </c>
      <c r="D111" s="63">
        <f ca="1">IF(TODAY()&gt;=$A111,SUMIFS(Tabla1[Avance_km],Tabla1[Fecha],"&lt;="&amp;Grafico!$A111,Tabla1[nombre_actividad],Grafico!D$1),NA())</f>
        <v>99.906000000000049</v>
      </c>
      <c r="E111" s="63">
        <f ca="1">IF(TODAY()&gt;=$A111,SUMIFS(Tabla1[Avance_km],Tabla1[Fecha],"&lt;="&amp;Grafico!$A111,Tabla1[nombre_actividad],Grafico!E$1),NA())</f>
        <v>99.906000000000006</v>
      </c>
      <c r="F111" s="110">
        <f ca="1">IF(TODAY()&gt;=$A111,SUMIFS(Tabla1[Avance_km],Tabla1[Fecha],"&lt;="&amp;Grafico!$A111,Tabla1[nombre_actividad],Grafico!F$1,Tabla1[Avance_km],"&gt;0"),NA())</f>
        <v>99.906000000000063</v>
      </c>
      <c r="G111" s="67">
        <f ca="1">IF(TODAY()&gt;=$A111,SUMIFS(Tabla1[Avance_Med],Tabla1[Fecha],"&lt;="&amp;Grafico!$A111,Tabla1[nombre_actividad],Grafico!G$1),NA())</f>
        <v>376</v>
      </c>
      <c r="H111" s="63">
        <f ca="1">IF(TODAY()&gt;=$A111,SUMIFS(Tabla1[Avance_km],Tabla1[Fecha],"&lt;="&amp;Grafico!$A111,Tabla1[nombre_actividad],Grafico!H$1),NA())</f>
        <v>0</v>
      </c>
      <c r="I111" s="63"/>
    </row>
    <row r="112" spans="1:9" x14ac:dyDescent="0.25">
      <c r="A112" s="62">
        <f t="shared" si="4"/>
        <v>46073</v>
      </c>
      <c r="B112" s="33" t="str">
        <f t="shared" ca="1" si="3"/>
        <v/>
      </c>
      <c r="C112" s="33">
        <v>500</v>
      </c>
      <c r="D112" s="63">
        <f ca="1">IF(TODAY()&gt;=$A112,SUMIFS(Tabla1[Avance_km],Tabla1[Fecha],"&lt;="&amp;Grafico!$A112,Tabla1[nombre_actividad],Grafico!D$1),NA())</f>
        <v>99.906000000000049</v>
      </c>
      <c r="E112" s="63">
        <f ca="1">IF(TODAY()&gt;=$A112,SUMIFS(Tabla1[Avance_km],Tabla1[Fecha],"&lt;="&amp;Grafico!$A112,Tabla1[nombre_actividad],Grafico!E$1),NA())</f>
        <v>99.906000000000006</v>
      </c>
      <c r="F112" s="110">
        <f ca="1">IF(TODAY()&gt;=$A112,SUMIFS(Tabla1[Avance_km],Tabla1[Fecha],"&lt;="&amp;Grafico!$A112,Tabla1[nombre_actividad],Grafico!F$1,Tabla1[Avance_km],"&gt;0"),NA())</f>
        <v>99.906000000000063</v>
      </c>
      <c r="G112" s="67">
        <f ca="1">IF(TODAY()&gt;=$A112,SUMIFS(Tabla1[Avance_Med],Tabla1[Fecha],"&lt;="&amp;Grafico!$A112,Tabla1[nombre_actividad],Grafico!G$1),NA())</f>
        <v>376</v>
      </c>
      <c r="H112" s="63">
        <f ca="1">IF(TODAY()&gt;=$A112,SUMIFS(Tabla1[Avance_km],Tabla1[Fecha],"&lt;="&amp;Grafico!$A112,Tabla1[nombre_actividad],Grafico!H$1),NA())</f>
        <v>0</v>
      </c>
      <c r="I112" s="63"/>
    </row>
    <row r="113" spans="1:9" x14ac:dyDescent="0.25">
      <c r="A113" s="62">
        <f t="shared" si="4"/>
        <v>46074</v>
      </c>
      <c r="B113" s="33" t="str">
        <f t="shared" ca="1" si="3"/>
        <v/>
      </c>
      <c r="C113" s="33">
        <v>500</v>
      </c>
      <c r="D113" s="63">
        <f ca="1">IF(TODAY()&gt;=$A113,SUMIFS(Tabla1[Avance_km],Tabla1[Fecha],"&lt;="&amp;Grafico!$A113,Tabla1[nombre_actividad],Grafico!D$1),NA())</f>
        <v>99.906000000000049</v>
      </c>
      <c r="E113" s="63">
        <f ca="1">IF(TODAY()&gt;=$A113,SUMIFS(Tabla1[Avance_km],Tabla1[Fecha],"&lt;="&amp;Grafico!$A113,Tabla1[nombre_actividad],Grafico!E$1),NA())</f>
        <v>99.906000000000006</v>
      </c>
      <c r="F113" s="110">
        <f ca="1">IF(TODAY()&gt;=$A113,SUMIFS(Tabla1[Avance_km],Tabla1[Fecha],"&lt;="&amp;Grafico!$A113,Tabla1[nombre_actividad],Grafico!F$1,Tabla1[Avance_km],"&gt;0"),NA())</f>
        <v>99.906000000000063</v>
      </c>
      <c r="G113" s="67">
        <f ca="1">IF(TODAY()&gt;=$A113,SUMIFS(Tabla1[Avance_Med],Tabla1[Fecha],"&lt;="&amp;Grafico!$A113,Tabla1[nombre_actividad],Grafico!G$1),NA())</f>
        <v>376</v>
      </c>
      <c r="H113" s="63">
        <f ca="1">IF(TODAY()&gt;=$A113,SUMIFS(Tabla1[Avance_km],Tabla1[Fecha],"&lt;="&amp;Grafico!$A113,Tabla1[nombre_actividad],Grafico!H$1),NA())</f>
        <v>0</v>
      </c>
      <c r="I113" s="63"/>
    </row>
    <row r="114" spans="1:9" x14ac:dyDescent="0.25">
      <c r="A114" s="62">
        <f t="shared" si="4"/>
        <v>46075</v>
      </c>
      <c r="B114" s="33" t="str">
        <f t="shared" ca="1" si="3"/>
        <v/>
      </c>
      <c r="C114" s="33">
        <v>500</v>
      </c>
      <c r="D114" s="63">
        <f ca="1">IF(TODAY()&gt;=$A114,SUMIFS(Tabla1[Avance_km],Tabla1[Fecha],"&lt;="&amp;Grafico!$A114,Tabla1[nombre_actividad],Grafico!D$1),NA())</f>
        <v>99.906000000000049</v>
      </c>
      <c r="E114" s="63">
        <f ca="1">IF(TODAY()&gt;=$A114,SUMIFS(Tabla1[Avance_km],Tabla1[Fecha],"&lt;="&amp;Grafico!$A114,Tabla1[nombre_actividad],Grafico!E$1),NA())</f>
        <v>99.906000000000006</v>
      </c>
      <c r="F114" s="110">
        <f ca="1">IF(TODAY()&gt;=$A114,SUMIFS(Tabla1[Avance_km],Tabla1[Fecha],"&lt;="&amp;Grafico!$A114,Tabla1[nombre_actividad],Grafico!F$1,Tabla1[Avance_km],"&gt;0"),NA())</f>
        <v>99.906000000000063</v>
      </c>
      <c r="G114" s="67">
        <f ca="1">IF(TODAY()&gt;=$A114,SUMIFS(Tabla1[Avance_Med],Tabla1[Fecha],"&lt;="&amp;Grafico!$A114,Tabla1[nombre_actividad],Grafico!G$1),NA())</f>
        <v>376</v>
      </c>
      <c r="H114" s="63">
        <f ca="1">IF(TODAY()&gt;=$A114,SUMIFS(Tabla1[Avance_km],Tabla1[Fecha],"&lt;="&amp;Grafico!$A114,Tabla1[nombre_actividad],Grafico!H$1),NA())</f>
        <v>0</v>
      </c>
      <c r="I114" s="63"/>
    </row>
    <row r="115" spans="1:9" x14ac:dyDescent="0.25">
      <c r="A115" s="62">
        <f t="shared" si="4"/>
        <v>46076</v>
      </c>
      <c r="B115" s="33" t="str">
        <f t="shared" ca="1" si="3"/>
        <v/>
      </c>
      <c r="C115" s="33">
        <v>500</v>
      </c>
      <c r="D115" s="63">
        <f ca="1">IF(TODAY()&gt;=$A115,SUMIFS(Tabla1[Avance_km],Tabla1[Fecha],"&lt;="&amp;Grafico!$A115,Tabla1[nombre_actividad],Grafico!D$1),NA())</f>
        <v>99.906000000000049</v>
      </c>
      <c r="E115" s="63">
        <f ca="1">IF(TODAY()&gt;=$A115,SUMIFS(Tabla1[Avance_km],Tabla1[Fecha],"&lt;="&amp;Grafico!$A115,Tabla1[nombre_actividad],Grafico!E$1),NA())</f>
        <v>99.906000000000006</v>
      </c>
      <c r="F115" s="110">
        <f ca="1">IF(TODAY()&gt;=$A115,SUMIFS(Tabla1[Avance_km],Tabla1[Fecha],"&lt;="&amp;Grafico!$A115,Tabla1[nombre_actividad],Grafico!F$1,Tabla1[Avance_km],"&gt;0"),NA())</f>
        <v>99.906000000000063</v>
      </c>
      <c r="G115" s="67">
        <f ca="1">IF(TODAY()&gt;=$A115,SUMIFS(Tabla1[Avance_Med],Tabla1[Fecha],"&lt;="&amp;Grafico!$A115,Tabla1[nombre_actividad],Grafico!G$1),NA())</f>
        <v>376</v>
      </c>
      <c r="H115" s="63">
        <f ca="1">IF(TODAY()&gt;=$A115,SUMIFS(Tabla1[Avance_km],Tabla1[Fecha],"&lt;="&amp;Grafico!$A115,Tabla1[nombre_actividad],Grafico!H$1),NA())</f>
        <v>0</v>
      </c>
      <c r="I115" s="63"/>
    </row>
    <row r="116" spans="1:9" x14ac:dyDescent="0.25">
      <c r="A116" s="62">
        <f t="shared" si="4"/>
        <v>46077</v>
      </c>
      <c r="B116" s="33" t="str">
        <f t="shared" ca="1" si="3"/>
        <v/>
      </c>
      <c r="C116" s="33">
        <v>500</v>
      </c>
      <c r="D116" s="63">
        <f ca="1">IF(TODAY()&gt;=$A116,SUMIFS(Tabla1[Avance_km],Tabla1[Fecha],"&lt;="&amp;Grafico!$A116,Tabla1[nombre_actividad],Grafico!D$1),NA())</f>
        <v>99.906000000000049</v>
      </c>
      <c r="E116" s="63">
        <f ca="1">IF(TODAY()&gt;=$A116,SUMIFS(Tabla1[Avance_km],Tabla1[Fecha],"&lt;="&amp;Grafico!$A116,Tabla1[nombre_actividad],Grafico!E$1),NA())</f>
        <v>99.906000000000006</v>
      </c>
      <c r="F116" s="110">
        <f ca="1">IF(TODAY()&gt;=$A116,SUMIFS(Tabla1[Avance_km],Tabla1[Fecha],"&lt;="&amp;Grafico!$A116,Tabla1[nombre_actividad],Grafico!F$1,Tabla1[Avance_km],"&gt;0"),NA())</f>
        <v>99.906000000000063</v>
      </c>
      <c r="G116" s="67">
        <f ca="1">IF(TODAY()&gt;=$A116,SUMIFS(Tabla1[Avance_Med],Tabla1[Fecha],"&lt;="&amp;Grafico!$A116,Tabla1[nombre_actividad],Grafico!G$1),NA())</f>
        <v>376</v>
      </c>
      <c r="H116" s="63">
        <f ca="1">IF(TODAY()&gt;=$A116,SUMIFS(Tabla1[Avance_km],Tabla1[Fecha],"&lt;="&amp;Grafico!$A116,Tabla1[nombre_actividad],Grafico!H$1),NA())</f>
        <v>0</v>
      </c>
      <c r="I116" s="63"/>
    </row>
    <row r="117" spans="1:9" x14ac:dyDescent="0.25">
      <c r="A117" s="62">
        <f t="shared" si="4"/>
        <v>46078</v>
      </c>
      <c r="B117" s="33" t="str">
        <f t="shared" ca="1" si="3"/>
        <v/>
      </c>
      <c r="C117" s="33">
        <v>500</v>
      </c>
      <c r="D117" s="63">
        <f ca="1">IF(TODAY()&gt;=$A117,SUMIFS(Tabla1[Avance_km],Tabla1[Fecha],"&lt;="&amp;Grafico!$A117,Tabla1[nombre_actividad],Grafico!D$1),NA())</f>
        <v>99.906000000000049</v>
      </c>
      <c r="E117" s="63">
        <f ca="1">IF(TODAY()&gt;=$A117,SUMIFS(Tabla1[Avance_km],Tabla1[Fecha],"&lt;="&amp;Grafico!$A117,Tabla1[nombre_actividad],Grafico!E$1),NA())</f>
        <v>99.906000000000006</v>
      </c>
      <c r="F117" s="110">
        <f ca="1">IF(TODAY()&gt;=$A117,SUMIFS(Tabla1[Avance_km],Tabla1[Fecha],"&lt;="&amp;Grafico!$A117,Tabla1[nombre_actividad],Grafico!F$1,Tabla1[Avance_km],"&gt;0"),NA())</f>
        <v>99.906000000000063</v>
      </c>
      <c r="G117" s="67">
        <f ca="1">IF(TODAY()&gt;=$A117,SUMIFS(Tabla1[Avance_Med],Tabla1[Fecha],"&lt;="&amp;Grafico!$A117,Tabla1[nombre_actividad],Grafico!G$1),NA())</f>
        <v>376</v>
      </c>
      <c r="H117" s="63">
        <f ca="1">IF(TODAY()&gt;=$A117,SUMIFS(Tabla1[Avance_km],Tabla1[Fecha],"&lt;="&amp;Grafico!$A117,Tabla1[nombre_actividad],Grafico!H$1),NA())</f>
        <v>0</v>
      </c>
      <c r="I117" s="63"/>
    </row>
    <row r="118" spans="1:9" x14ac:dyDescent="0.25">
      <c r="A118" s="62">
        <f t="shared" si="4"/>
        <v>46079</v>
      </c>
      <c r="B118" s="33" t="str">
        <f t="shared" ca="1" si="3"/>
        <v/>
      </c>
      <c r="C118" s="33">
        <v>500</v>
      </c>
      <c r="D118" s="63">
        <f ca="1">IF(TODAY()&gt;=$A118,SUMIFS(Tabla1[Avance_km],Tabla1[Fecha],"&lt;="&amp;Grafico!$A118,Tabla1[nombre_actividad],Grafico!D$1),NA())</f>
        <v>99.906000000000049</v>
      </c>
      <c r="E118" s="63">
        <f ca="1">IF(TODAY()&gt;=$A118,SUMIFS(Tabla1[Avance_km],Tabla1[Fecha],"&lt;="&amp;Grafico!$A118,Tabla1[nombre_actividad],Grafico!E$1),NA())</f>
        <v>99.906000000000006</v>
      </c>
      <c r="F118" s="110">
        <f ca="1">IF(TODAY()&gt;=$A118,SUMIFS(Tabla1[Avance_km],Tabla1[Fecha],"&lt;="&amp;Grafico!$A118,Tabla1[nombre_actividad],Grafico!F$1,Tabla1[Avance_km],"&gt;0"),NA())</f>
        <v>99.906000000000063</v>
      </c>
      <c r="G118" s="67">
        <f ca="1">IF(TODAY()&gt;=$A118,SUMIFS(Tabla1[Avance_Med],Tabla1[Fecha],"&lt;="&amp;Grafico!$A118,Tabla1[nombre_actividad],Grafico!G$1),NA())</f>
        <v>376</v>
      </c>
      <c r="H118" s="63">
        <f ca="1">IF(TODAY()&gt;=$A118,SUMIFS(Tabla1[Avance_km],Tabla1[Fecha],"&lt;="&amp;Grafico!$A118,Tabla1[nombre_actividad],Grafico!H$1),NA())</f>
        <v>0</v>
      </c>
      <c r="I118" s="63"/>
    </row>
    <row r="119" spans="1:9" x14ac:dyDescent="0.25">
      <c r="A119" s="62">
        <f t="shared" si="4"/>
        <v>46080</v>
      </c>
      <c r="B119" s="33" t="str">
        <f t="shared" ca="1" si="3"/>
        <v/>
      </c>
      <c r="C119" s="33">
        <v>500</v>
      </c>
      <c r="D119" s="63">
        <f ca="1">IF(TODAY()&gt;=$A119,SUMIFS(Tabla1[Avance_km],Tabla1[Fecha],"&lt;="&amp;Grafico!$A119,Tabla1[nombre_actividad],Grafico!D$1),NA())</f>
        <v>99.906000000000049</v>
      </c>
      <c r="E119" s="63">
        <f ca="1">IF(TODAY()&gt;=$A119,SUMIFS(Tabla1[Avance_km],Tabla1[Fecha],"&lt;="&amp;Grafico!$A119,Tabla1[nombre_actividad],Grafico!E$1),NA())</f>
        <v>99.906000000000006</v>
      </c>
      <c r="F119" s="110">
        <f ca="1">IF(TODAY()&gt;=$A119,SUMIFS(Tabla1[Avance_km],Tabla1[Fecha],"&lt;="&amp;Grafico!$A119,Tabla1[nombre_actividad],Grafico!F$1,Tabla1[Avance_km],"&gt;0"),NA())</f>
        <v>99.906000000000063</v>
      </c>
      <c r="G119" s="67">
        <f ca="1">IF(TODAY()&gt;=$A119,SUMIFS(Tabla1[Avance_Med],Tabla1[Fecha],"&lt;="&amp;Grafico!$A119,Tabla1[nombre_actividad],Grafico!G$1),NA())</f>
        <v>376</v>
      </c>
      <c r="H119" s="63">
        <f ca="1">IF(TODAY()&gt;=$A119,SUMIFS(Tabla1[Avance_km],Tabla1[Fecha],"&lt;="&amp;Grafico!$A119,Tabla1[nombre_actividad],Grafico!H$1),NA())</f>
        <v>0</v>
      </c>
      <c r="I119" s="63"/>
    </row>
    <row r="120" spans="1:9" x14ac:dyDescent="0.25">
      <c r="A120" s="62">
        <f t="shared" si="4"/>
        <v>46081</v>
      </c>
      <c r="B120" s="33" t="str">
        <f t="shared" ca="1" si="3"/>
        <v/>
      </c>
      <c r="C120" s="33">
        <v>500</v>
      </c>
      <c r="D120" s="63">
        <f ca="1">IF(TODAY()&gt;=$A120,SUMIFS(Tabla1[Avance_km],Tabla1[Fecha],"&lt;="&amp;Grafico!$A120,Tabla1[nombre_actividad],Grafico!D$1),NA())</f>
        <v>99.906000000000049</v>
      </c>
      <c r="E120" s="63">
        <f ca="1">IF(TODAY()&gt;=$A120,SUMIFS(Tabla1[Avance_km],Tabla1[Fecha],"&lt;="&amp;Grafico!$A120,Tabla1[nombre_actividad],Grafico!E$1),NA())</f>
        <v>99.906000000000006</v>
      </c>
      <c r="F120" s="110">
        <f ca="1">IF(TODAY()&gt;=$A120,SUMIFS(Tabla1[Avance_km],Tabla1[Fecha],"&lt;="&amp;Grafico!$A120,Tabla1[nombre_actividad],Grafico!F$1,Tabla1[Avance_km],"&gt;0"),NA())</f>
        <v>99.906000000000063</v>
      </c>
      <c r="G120" s="67">
        <f ca="1">IF(TODAY()&gt;=$A120,SUMIFS(Tabla1[Avance_Med],Tabla1[Fecha],"&lt;="&amp;Grafico!$A120,Tabla1[nombre_actividad],Grafico!G$1),NA())</f>
        <v>376</v>
      </c>
      <c r="H120" s="63">
        <f ca="1">IF(TODAY()&gt;=$A120,SUMIFS(Tabla1[Avance_km],Tabla1[Fecha],"&lt;="&amp;Grafico!$A120,Tabla1[nombre_actividad],Grafico!H$1),NA())</f>
        <v>0</v>
      </c>
      <c r="I120" s="63"/>
    </row>
    <row r="121" spans="1:9" x14ac:dyDescent="0.25">
      <c r="A121" s="62">
        <f t="shared" si="4"/>
        <v>46082</v>
      </c>
      <c r="B121" s="33" t="str">
        <f t="shared" ca="1" si="3"/>
        <v/>
      </c>
      <c r="C121" s="33">
        <v>500</v>
      </c>
      <c r="D121" s="63">
        <f ca="1">IF(TODAY()&gt;=$A121,SUMIFS(Tabla1[Avance_km],Tabla1[Fecha],"&lt;="&amp;Grafico!$A121,Tabla1[nombre_actividad],Grafico!D$1),NA())</f>
        <v>99.906000000000049</v>
      </c>
      <c r="E121" s="63">
        <f ca="1">IF(TODAY()&gt;=$A121,SUMIFS(Tabla1[Avance_km],Tabla1[Fecha],"&lt;="&amp;Grafico!$A121,Tabla1[nombre_actividad],Grafico!E$1),NA())</f>
        <v>99.906000000000006</v>
      </c>
      <c r="F121" s="110">
        <f ca="1">IF(TODAY()&gt;=$A121,SUMIFS(Tabla1[Avance_km],Tabla1[Fecha],"&lt;="&amp;Grafico!$A121,Tabla1[nombre_actividad],Grafico!F$1,Tabla1[Avance_km],"&gt;0"),NA())</f>
        <v>99.906000000000063</v>
      </c>
      <c r="G121" s="67">
        <f ca="1">IF(TODAY()&gt;=$A121,SUMIFS(Tabla1[Avance_Med],Tabla1[Fecha],"&lt;="&amp;Grafico!$A121,Tabla1[nombre_actividad],Grafico!G$1),NA())</f>
        <v>376</v>
      </c>
      <c r="H121" s="63">
        <f ca="1">IF(TODAY()&gt;=$A121,SUMIFS(Tabla1[Avance_km],Tabla1[Fecha],"&lt;="&amp;Grafico!$A121,Tabla1[nombre_actividad],Grafico!H$1),NA())</f>
        <v>0</v>
      </c>
      <c r="I121" s="63"/>
    </row>
    <row r="122" spans="1:9" x14ac:dyDescent="0.25">
      <c r="A122" s="62">
        <f t="shared" si="4"/>
        <v>46083</v>
      </c>
      <c r="B122" s="33" t="str">
        <f t="shared" ca="1" si="3"/>
        <v/>
      </c>
      <c r="C122" s="33">
        <v>500</v>
      </c>
      <c r="D122" s="63">
        <f ca="1">IF(TODAY()&gt;=$A122,SUMIFS(Tabla1[Avance_km],Tabla1[Fecha],"&lt;="&amp;Grafico!$A122,Tabla1[nombre_actividad],Grafico!D$1),NA())</f>
        <v>99.906000000000049</v>
      </c>
      <c r="E122" s="63">
        <f ca="1">IF(TODAY()&gt;=$A122,SUMIFS(Tabla1[Avance_km],Tabla1[Fecha],"&lt;="&amp;Grafico!$A122,Tabla1[nombre_actividad],Grafico!E$1),NA())</f>
        <v>99.906000000000006</v>
      </c>
      <c r="F122" s="110">
        <f ca="1">IF(TODAY()&gt;=$A122,SUMIFS(Tabla1[Avance_km],Tabla1[Fecha],"&lt;="&amp;Grafico!$A122,Tabla1[nombre_actividad],Grafico!F$1,Tabla1[Avance_km],"&gt;0"),NA())</f>
        <v>99.906000000000063</v>
      </c>
      <c r="G122" s="67">
        <f ca="1">IF(TODAY()&gt;=$A122,SUMIFS(Tabla1[Avance_Med],Tabla1[Fecha],"&lt;="&amp;Grafico!$A122,Tabla1[nombre_actividad],Grafico!G$1),NA())</f>
        <v>376</v>
      </c>
      <c r="H122" s="63">
        <f ca="1">IF(TODAY()&gt;=$A122,SUMIFS(Tabla1[Avance_km],Tabla1[Fecha],"&lt;="&amp;Grafico!$A122,Tabla1[nombre_actividad],Grafico!H$1),NA())</f>
        <v>0</v>
      </c>
      <c r="I122" s="63"/>
    </row>
    <row r="123" spans="1:9" x14ac:dyDescent="0.25">
      <c r="A123" s="62">
        <f t="shared" si="4"/>
        <v>46084</v>
      </c>
      <c r="B123" s="33" t="str">
        <f t="shared" ca="1" si="3"/>
        <v/>
      </c>
      <c r="C123" s="33">
        <v>500</v>
      </c>
      <c r="D123" s="63">
        <f ca="1">IF(TODAY()&gt;=$A123,SUMIFS(Tabla1[Avance_km],Tabla1[Fecha],"&lt;="&amp;Grafico!$A123,Tabla1[nombre_actividad],Grafico!D$1),NA())</f>
        <v>99.906000000000049</v>
      </c>
      <c r="E123" s="63">
        <f ca="1">IF(TODAY()&gt;=$A123,SUMIFS(Tabla1[Avance_km],Tabla1[Fecha],"&lt;="&amp;Grafico!$A123,Tabla1[nombre_actividad],Grafico!E$1),NA())</f>
        <v>99.906000000000006</v>
      </c>
      <c r="F123" s="110">
        <f ca="1">IF(TODAY()&gt;=$A123,SUMIFS(Tabla1[Avance_km],Tabla1[Fecha],"&lt;="&amp;Grafico!$A123,Tabla1[nombre_actividad],Grafico!F$1,Tabla1[Avance_km],"&gt;0"),NA())</f>
        <v>99.906000000000063</v>
      </c>
      <c r="G123" s="67">
        <f ca="1">IF(TODAY()&gt;=$A123,SUMIFS(Tabla1[Avance_Med],Tabla1[Fecha],"&lt;="&amp;Grafico!$A123,Tabla1[nombre_actividad],Grafico!G$1),NA())</f>
        <v>376</v>
      </c>
      <c r="H123" s="63">
        <f ca="1">IF(TODAY()&gt;=$A123,SUMIFS(Tabla1[Avance_km],Tabla1[Fecha],"&lt;="&amp;Grafico!$A123,Tabla1[nombre_actividad],Grafico!H$1),NA())</f>
        <v>0</v>
      </c>
      <c r="I123" s="63"/>
    </row>
    <row r="124" spans="1:9" x14ac:dyDescent="0.25">
      <c r="A124" s="62">
        <f t="shared" si="4"/>
        <v>46085</v>
      </c>
      <c r="B124" s="33" t="str">
        <f t="shared" ca="1" si="3"/>
        <v/>
      </c>
      <c r="C124" s="33">
        <v>500</v>
      </c>
      <c r="D124" s="63">
        <f ca="1">IF(TODAY()&gt;=$A124,SUMIFS(Tabla1[Avance_km],Tabla1[Fecha],"&lt;="&amp;Grafico!$A124,Tabla1[nombre_actividad],Grafico!D$1),NA())</f>
        <v>99.906000000000049</v>
      </c>
      <c r="E124" s="63">
        <f ca="1">IF(TODAY()&gt;=$A124,SUMIFS(Tabla1[Avance_km],Tabla1[Fecha],"&lt;="&amp;Grafico!$A124,Tabla1[nombre_actividad],Grafico!E$1),NA())</f>
        <v>99.906000000000006</v>
      </c>
      <c r="F124" s="110">
        <f ca="1">IF(TODAY()&gt;=$A124,SUMIFS(Tabla1[Avance_km],Tabla1[Fecha],"&lt;="&amp;Grafico!$A124,Tabla1[nombre_actividad],Grafico!F$1,Tabla1[Avance_km],"&gt;0"),NA())</f>
        <v>99.906000000000063</v>
      </c>
      <c r="G124" s="67">
        <f ca="1">IF(TODAY()&gt;=$A124,SUMIFS(Tabla1[Avance_Med],Tabla1[Fecha],"&lt;="&amp;Grafico!$A124,Tabla1[nombre_actividad],Grafico!G$1),NA())</f>
        <v>376</v>
      </c>
      <c r="H124" s="63">
        <f ca="1">IF(TODAY()&gt;=$A124,SUMIFS(Tabla1[Avance_km],Tabla1[Fecha],"&lt;="&amp;Grafico!$A124,Tabla1[nombre_actividad],Grafico!H$1),NA())</f>
        <v>0</v>
      </c>
      <c r="I124" s="63"/>
    </row>
    <row r="125" spans="1:9" x14ac:dyDescent="0.25">
      <c r="A125" s="62">
        <f t="shared" si="4"/>
        <v>46086</v>
      </c>
      <c r="B125" s="33" t="str">
        <f t="shared" ca="1" si="3"/>
        <v/>
      </c>
      <c r="C125" s="33">
        <v>500</v>
      </c>
      <c r="D125" s="63">
        <f ca="1">IF(TODAY()&gt;=$A125,SUMIFS(Tabla1[Avance_km],Tabla1[Fecha],"&lt;="&amp;Grafico!$A125,Tabla1[nombre_actividad],Grafico!D$1),NA())</f>
        <v>99.906000000000049</v>
      </c>
      <c r="E125" s="63">
        <f ca="1">IF(TODAY()&gt;=$A125,SUMIFS(Tabla1[Avance_km],Tabla1[Fecha],"&lt;="&amp;Grafico!$A125,Tabla1[nombre_actividad],Grafico!E$1),NA())</f>
        <v>99.906000000000006</v>
      </c>
      <c r="F125" s="110">
        <f ca="1">IF(TODAY()&gt;=$A125,SUMIFS(Tabla1[Avance_km],Tabla1[Fecha],"&lt;="&amp;Grafico!$A125,Tabla1[nombre_actividad],Grafico!F$1,Tabla1[Avance_km],"&gt;0"),NA())</f>
        <v>99.906000000000063</v>
      </c>
      <c r="G125" s="67">
        <f ca="1">IF(TODAY()&gt;=$A125,SUMIFS(Tabla1[Avance_Med],Tabla1[Fecha],"&lt;="&amp;Grafico!$A125,Tabla1[nombre_actividad],Grafico!G$1),NA())</f>
        <v>376</v>
      </c>
      <c r="H125" s="63">
        <f ca="1">IF(TODAY()&gt;=$A125,SUMIFS(Tabla1[Avance_km],Tabla1[Fecha],"&lt;="&amp;Grafico!$A125,Tabla1[nombre_actividad],Grafico!H$1),NA())</f>
        <v>0</v>
      </c>
      <c r="I125" s="63"/>
    </row>
    <row r="126" spans="1:9" x14ac:dyDescent="0.25">
      <c r="A126" s="62">
        <f t="shared" si="4"/>
        <v>46087</v>
      </c>
      <c r="B126" s="33" t="str">
        <f t="shared" ca="1" si="3"/>
        <v/>
      </c>
      <c r="C126" s="33">
        <v>500</v>
      </c>
      <c r="D126" s="63">
        <f ca="1">IF(TODAY()&gt;=$A126,SUMIFS(Tabla1[Avance_km],Tabla1[Fecha],"&lt;="&amp;Grafico!$A126,Tabla1[nombre_actividad],Grafico!D$1),NA())</f>
        <v>99.906000000000049</v>
      </c>
      <c r="E126" s="63">
        <f ca="1">IF(TODAY()&gt;=$A126,SUMIFS(Tabla1[Avance_km],Tabla1[Fecha],"&lt;="&amp;Grafico!$A126,Tabla1[nombre_actividad],Grafico!E$1),NA())</f>
        <v>99.906000000000006</v>
      </c>
      <c r="F126" s="110">
        <f ca="1">IF(TODAY()&gt;=$A126,SUMIFS(Tabla1[Avance_km],Tabla1[Fecha],"&lt;="&amp;Grafico!$A126,Tabla1[nombre_actividad],Grafico!F$1,Tabla1[Avance_km],"&gt;0"),NA())</f>
        <v>99.906000000000063</v>
      </c>
      <c r="G126" s="67">
        <f ca="1">IF(TODAY()&gt;=$A126,SUMIFS(Tabla1[Avance_Med],Tabla1[Fecha],"&lt;="&amp;Grafico!$A126,Tabla1[nombre_actividad],Grafico!G$1),NA())</f>
        <v>376</v>
      </c>
      <c r="H126" s="63">
        <f ca="1">IF(TODAY()&gt;=$A126,SUMIFS(Tabla1[Avance_km],Tabla1[Fecha],"&lt;="&amp;Grafico!$A126,Tabla1[nombre_actividad],Grafico!H$1),NA())</f>
        <v>0</v>
      </c>
      <c r="I126" s="63"/>
    </row>
    <row r="127" spans="1:9" x14ac:dyDescent="0.25">
      <c r="A127" s="62">
        <f t="shared" si="4"/>
        <v>46088</v>
      </c>
      <c r="B127" s="33" t="str">
        <f t="shared" ca="1" si="3"/>
        <v/>
      </c>
      <c r="C127" s="33">
        <v>500</v>
      </c>
      <c r="D127" s="63">
        <f ca="1">IF(TODAY()&gt;=$A127,SUMIFS(Tabla1[Avance_km],Tabla1[Fecha],"&lt;="&amp;Grafico!$A127,Tabla1[nombre_actividad],Grafico!D$1),NA())</f>
        <v>99.906000000000049</v>
      </c>
      <c r="E127" s="63">
        <f ca="1">IF(TODAY()&gt;=$A127,SUMIFS(Tabla1[Avance_km],Tabla1[Fecha],"&lt;="&amp;Grafico!$A127,Tabla1[nombre_actividad],Grafico!E$1),NA())</f>
        <v>99.906000000000006</v>
      </c>
      <c r="F127" s="110">
        <f ca="1">IF(TODAY()&gt;=$A127,SUMIFS(Tabla1[Avance_km],Tabla1[Fecha],"&lt;="&amp;Grafico!$A127,Tabla1[nombre_actividad],Grafico!F$1,Tabla1[Avance_km],"&gt;0"),NA())</f>
        <v>99.906000000000063</v>
      </c>
      <c r="G127" s="67">
        <f ca="1">IF(TODAY()&gt;=$A127,SUMIFS(Tabla1[Avance_Med],Tabla1[Fecha],"&lt;="&amp;Grafico!$A127,Tabla1[nombre_actividad],Grafico!G$1),NA())</f>
        <v>376</v>
      </c>
      <c r="H127" s="63">
        <f ca="1">IF(TODAY()&gt;=$A127,SUMIFS(Tabla1[Avance_km],Tabla1[Fecha],"&lt;="&amp;Grafico!$A127,Tabla1[nombre_actividad],Grafico!H$1),NA())</f>
        <v>0</v>
      </c>
      <c r="I127" s="63"/>
    </row>
    <row r="128" spans="1:9" x14ac:dyDescent="0.25">
      <c r="A128" s="62">
        <f t="shared" si="4"/>
        <v>46089</v>
      </c>
      <c r="B128" s="33" t="str">
        <f t="shared" ca="1" si="3"/>
        <v/>
      </c>
      <c r="C128" s="33">
        <v>500</v>
      </c>
      <c r="D128" s="63">
        <f ca="1">IF(TODAY()&gt;=$A128,SUMIFS(Tabla1[Avance_km],Tabla1[Fecha],"&lt;="&amp;Grafico!$A128,Tabla1[nombre_actividad],Grafico!D$1),NA())</f>
        <v>99.906000000000049</v>
      </c>
      <c r="E128" s="63">
        <f ca="1">IF(TODAY()&gt;=$A128,SUMIFS(Tabla1[Avance_km],Tabla1[Fecha],"&lt;="&amp;Grafico!$A128,Tabla1[nombre_actividad],Grafico!E$1),NA())</f>
        <v>99.906000000000006</v>
      </c>
      <c r="F128" s="110">
        <f ca="1">IF(TODAY()&gt;=$A128,SUMIFS(Tabla1[Avance_km],Tabla1[Fecha],"&lt;="&amp;Grafico!$A128,Tabla1[nombre_actividad],Grafico!F$1,Tabla1[Avance_km],"&gt;0"),NA())</f>
        <v>99.906000000000063</v>
      </c>
      <c r="G128" s="67">
        <f ca="1">IF(TODAY()&gt;=$A128,SUMIFS(Tabla1[Avance_Med],Tabla1[Fecha],"&lt;="&amp;Grafico!$A128,Tabla1[nombre_actividad],Grafico!G$1),NA())</f>
        <v>376</v>
      </c>
      <c r="H128" s="63">
        <f ca="1">IF(TODAY()&gt;=$A128,SUMIFS(Tabla1[Avance_km],Tabla1[Fecha],"&lt;="&amp;Grafico!$A128,Tabla1[nombre_actividad],Grafico!H$1),NA())</f>
        <v>0</v>
      </c>
      <c r="I128" s="63"/>
    </row>
    <row r="129" spans="1:9" x14ac:dyDescent="0.25">
      <c r="A129" s="62">
        <f t="shared" si="4"/>
        <v>46090</v>
      </c>
      <c r="B129" s="33" t="str">
        <f t="shared" ca="1" si="3"/>
        <v/>
      </c>
      <c r="C129" s="33">
        <v>500</v>
      </c>
      <c r="D129" s="63">
        <f ca="1">IF(TODAY()&gt;=$A129,SUMIFS(Tabla1[Avance_km],Tabla1[Fecha],"&lt;="&amp;Grafico!$A129,Tabla1[nombre_actividad],Grafico!D$1),NA())</f>
        <v>99.906000000000049</v>
      </c>
      <c r="E129" s="63">
        <f ca="1">IF(TODAY()&gt;=$A129,SUMIFS(Tabla1[Avance_km],Tabla1[Fecha],"&lt;="&amp;Grafico!$A129,Tabla1[nombre_actividad],Grafico!E$1),NA())</f>
        <v>99.906000000000006</v>
      </c>
      <c r="F129" s="110">
        <f ca="1">IF(TODAY()&gt;=$A129,SUMIFS(Tabla1[Avance_km],Tabla1[Fecha],"&lt;="&amp;Grafico!$A129,Tabla1[nombre_actividad],Grafico!F$1,Tabla1[Avance_km],"&gt;0"),NA())</f>
        <v>99.906000000000063</v>
      </c>
      <c r="G129" s="67">
        <f ca="1">IF(TODAY()&gt;=$A129,SUMIFS(Tabla1[Avance_Med],Tabla1[Fecha],"&lt;="&amp;Grafico!$A129,Tabla1[nombre_actividad],Grafico!G$1),NA())</f>
        <v>376</v>
      </c>
      <c r="H129" s="63">
        <f ca="1">IF(TODAY()&gt;=$A129,SUMIFS(Tabla1[Avance_km],Tabla1[Fecha],"&lt;="&amp;Grafico!$A129,Tabla1[nombre_actividad],Grafico!H$1),NA())</f>
        <v>0</v>
      </c>
      <c r="I129" s="63"/>
    </row>
    <row r="130" spans="1:9" x14ac:dyDescent="0.25">
      <c r="A130" s="62">
        <f t="shared" si="4"/>
        <v>46091</v>
      </c>
      <c r="B130" s="33" t="str">
        <f t="shared" ca="1" si="3"/>
        <v/>
      </c>
      <c r="C130" s="33">
        <v>500</v>
      </c>
      <c r="D130" s="63">
        <f ca="1">IF(TODAY()&gt;=$A130,SUMIFS(Tabla1[Avance_km],Tabla1[Fecha],"&lt;="&amp;Grafico!$A130,Tabla1[nombre_actividad],Grafico!D$1),NA())</f>
        <v>99.906000000000049</v>
      </c>
      <c r="E130" s="63">
        <f ca="1">IF(TODAY()&gt;=$A130,SUMIFS(Tabla1[Avance_km],Tabla1[Fecha],"&lt;="&amp;Grafico!$A130,Tabla1[nombre_actividad],Grafico!E$1),NA())</f>
        <v>99.906000000000006</v>
      </c>
      <c r="F130" s="110">
        <f ca="1">IF(TODAY()&gt;=$A130,SUMIFS(Tabla1[Avance_km],Tabla1[Fecha],"&lt;="&amp;Grafico!$A130,Tabla1[nombre_actividad],Grafico!F$1,Tabla1[Avance_km],"&gt;0"),NA())</f>
        <v>99.906000000000063</v>
      </c>
      <c r="G130" s="67">
        <f ca="1">IF(TODAY()&gt;=$A130,SUMIFS(Tabla1[Avance_Med],Tabla1[Fecha],"&lt;="&amp;Grafico!$A130,Tabla1[nombre_actividad],Grafico!G$1),NA())</f>
        <v>376</v>
      </c>
      <c r="H130" s="63">
        <f ca="1">IF(TODAY()&gt;=$A130,SUMIFS(Tabla1[Avance_km],Tabla1[Fecha],"&lt;="&amp;Grafico!$A130,Tabla1[nombre_actividad],Grafico!H$1),NA())</f>
        <v>0</v>
      </c>
      <c r="I130" s="63"/>
    </row>
    <row r="131" spans="1:9" x14ac:dyDescent="0.25">
      <c r="A131" s="62">
        <f t="shared" si="4"/>
        <v>46092</v>
      </c>
      <c r="B131" s="33" t="str">
        <f t="shared" ref="B131:B194" ca="1" si="5">+IF(A131=TODAY(),200,"")</f>
        <v/>
      </c>
      <c r="C131" s="33">
        <v>500</v>
      </c>
      <c r="D131" s="63">
        <f ca="1">IF(TODAY()&gt;=$A131,SUMIFS(Tabla1[Avance_km],Tabla1[Fecha],"&lt;="&amp;Grafico!$A131,Tabla1[nombre_actividad],Grafico!D$1),NA())</f>
        <v>99.906000000000049</v>
      </c>
      <c r="E131" s="63">
        <f ca="1">IF(TODAY()&gt;=$A131,SUMIFS(Tabla1[Avance_km],Tabla1[Fecha],"&lt;="&amp;Grafico!$A131,Tabla1[nombre_actividad],Grafico!E$1),NA())</f>
        <v>99.906000000000006</v>
      </c>
      <c r="F131" s="110">
        <f ca="1">IF(TODAY()&gt;=$A131,SUMIFS(Tabla1[Avance_km],Tabla1[Fecha],"&lt;="&amp;Grafico!$A131,Tabla1[nombre_actividad],Grafico!F$1,Tabla1[Avance_km],"&gt;0"),NA())</f>
        <v>99.906000000000063</v>
      </c>
      <c r="G131" s="67">
        <f ca="1">IF(TODAY()&gt;=$A131,SUMIFS(Tabla1[Avance_Med],Tabla1[Fecha],"&lt;="&amp;Grafico!$A131,Tabla1[nombre_actividad],Grafico!G$1),NA())</f>
        <v>376</v>
      </c>
      <c r="H131" s="63">
        <f ca="1">IF(TODAY()&gt;=$A131,SUMIFS(Tabla1[Avance_km],Tabla1[Fecha],"&lt;="&amp;Grafico!$A131,Tabla1[nombre_actividad],Grafico!H$1),NA())</f>
        <v>0</v>
      </c>
      <c r="I131" s="63"/>
    </row>
    <row r="132" spans="1:9" x14ac:dyDescent="0.25">
      <c r="A132" s="62">
        <f t="shared" ref="A132:A195" si="6">+A131+1</f>
        <v>46093</v>
      </c>
      <c r="B132" s="33" t="str">
        <f t="shared" ca="1" si="5"/>
        <v/>
      </c>
      <c r="C132" s="33">
        <v>500</v>
      </c>
      <c r="D132" s="63">
        <f ca="1">IF(TODAY()&gt;=$A132,SUMIFS(Tabla1[Avance_km],Tabla1[Fecha],"&lt;="&amp;Grafico!$A132,Tabla1[nombre_actividad],Grafico!D$1),NA())</f>
        <v>99.906000000000049</v>
      </c>
      <c r="E132" s="63">
        <f ca="1">IF(TODAY()&gt;=$A132,SUMIFS(Tabla1[Avance_km],Tabla1[Fecha],"&lt;="&amp;Grafico!$A132,Tabla1[nombre_actividad],Grafico!E$1),NA())</f>
        <v>99.906000000000006</v>
      </c>
      <c r="F132" s="110">
        <f ca="1">IF(TODAY()&gt;=$A132,SUMIFS(Tabla1[Avance_km],Tabla1[Fecha],"&lt;="&amp;Grafico!$A132,Tabla1[nombre_actividad],Grafico!F$1,Tabla1[Avance_km],"&gt;0"),NA())</f>
        <v>99.906000000000063</v>
      </c>
      <c r="G132" s="67">
        <f ca="1">IF(TODAY()&gt;=$A132,SUMIFS(Tabla1[Avance_Med],Tabla1[Fecha],"&lt;="&amp;Grafico!$A132,Tabla1[nombre_actividad],Grafico!G$1),NA())</f>
        <v>376</v>
      </c>
      <c r="H132" s="63">
        <f ca="1">IF(TODAY()&gt;=$A132,SUMIFS(Tabla1[Avance_km],Tabla1[Fecha],"&lt;="&amp;Grafico!$A132,Tabla1[nombre_actividad],Grafico!H$1),NA())</f>
        <v>0</v>
      </c>
      <c r="I132" s="63"/>
    </row>
    <row r="133" spans="1:9" x14ac:dyDescent="0.25">
      <c r="A133" s="62">
        <f t="shared" si="6"/>
        <v>46094</v>
      </c>
      <c r="B133" s="33" t="str">
        <f t="shared" ca="1" si="5"/>
        <v/>
      </c>
      <c r="C133" s="33">
        <v>500</v>
      </c>
      <c r="D133" s="63">
        <f ca="1">IF(TODAY()&gt;=$A133,SUMIFS(Tabla1[Avance_km],Tabla1[Fecha],"&lt;="&amp;Grafico!$A133,Tabla1[nombre_actividad],Grafico!D$1),NA())</f>
        <v>99.906000000000049</v>
      </c>
      <c r="E133" s="63">
        <f ca="1">IF(TODAY()&gt;=$A133,SUMIFS(Tabla1[Avance_km],Tabla1[Fecha],"&lt;="&amp;Grafico!$A133,Tabla1[nombre_actividad],Grafico!E$1),NA())</f>
        <v>99.906000000000006</v>
      </c>
      <c r="F133" s="110">
        <f ca="1">IF(TODAY()&gt;=$A133,SUMIFS(Tabla1[Avance_km],Tabla1[Fecha],"&lt;="&amp;Grafico!$A133,Tabla1[nombre_actividad],Grafico!F$1,Tabla1[Avance_km],"&gt;0"),NA())</f>
        <v>99.906000000000063</v>
      </c>
      <c r="G133" s="67">
        <f ca="1">IF(TODAY()&gt;=$A133,SUMIFS(Tabla1[Avance_Med],Tabla1[Fecha],"&lt;="&amp;Grafico!$A133,Tabla1[nombre_actividad],Grafico!G$1),NA())</f>
        <v>376</v>
      </c>
      <c r="H133" s="63">
        <f ca="1">IF(TODAY()&gt;=$A133,SUMIFS(Tabla1[Avance_km],Tabla1[Fecha],"&lt;="&amp;Grafico!$A133,Tabla1[nombre_actividad],Grafico!H$1),NA())</f>
        <v>0</v>
      </c>
      <c r="I133" s="63"/>
    </row>
    <row r="134" spans="1:9" x14ac:dyDescent="0.25">
      <c r="A134" s="62">
        <f t="shared" si="6"/>
        <v>46095</v>
      </c>
      <c r="B134" s="33" t="str">
        <f t="shared" ca="1" si="5"/>
        <v/>
      </c>
      <c r="C134" s="33">
        <v>500</v>
      </c>
      <c r="D134" s="63">
        <f ca="1">IF(TODAY()&gt;=$A134,SUMIFS(Tabla1[Avance_km],Tabla1[Fecha],"&lt;="&amp;Grafico!$A134,Tabla1[nombre_actividad],Grafico!D$1),NA())</f>
        <v>99.906000000000049</v>
      </c>
      <c r="E134" s="63">
        <f ca="1">IF(TODAY()&gt;=$A134,SUMIFS(Tabla1[Avance_km],Tabla1[Fecha],"&lt;="&amp;Grafico!$A134,Tabla1[nombre_actividad],Grafico!E$1),NA())</f>
        <v>99.906000000000006</v>
      </c>
      <c r="F134" s="110">
        <f ca="1">IF(TODAY()&gt;=$A134,SUMIFS(Tabla1[Avance_km],Tabla1[Fecha],"&lt;="&amp;Grafico!$A134,Tabla1[nombre_actividad],Grafico!F$1,Tabla1[Avance_km],"&gt;0"),NA())</f>
        <v>99.906000000000063</v>
      </c>
      <c r="G134" s="67">
        <f ca="1">IF(TODAY()&gt;=$A134,SUMIFS(Tabla1[Avance_Med],Tabla1[Fecha],"&lt;="&amp;Grafico!$A134,Tabla1[nombre_actividad],Grafico!G$1),NA())</f>
        <v>376</v>
      </c>
      <c r="H134" s="63">
        <f ca="1">IF(TODAY()&gt;=$A134,SUMIFS(Tabla1[Avance_km],Tabla1[Fecha],"&lt;="&amp;Grafico!$A134,Tabla1[nombre_actividad],Grafico!H$1),NA())</f>
        <v>0</v>
      </c>
      <c r="I134" s="63"/>
    </row>
    <row r="135" spans="1:9" x14ac:dyDescent="0.25">
      <c r="A135" s="62">
        <f t="shared" si="6"/>
        <v>46096</v>
      </c>
      <c r="B135" s="33" t="str">
        <f t="shared" ca="1" si="5"/>
        <v/>
      </c>
      <c r="C135" s="33">
        <v>500</v>
      </c>
      <c r="D135" s="63">
        <f ca="1">IF(TODAY()&gt;=$A135,SUMIFS(Tabla1[Avance_km],Tabla1[Fecha],"&lt;="&amp;Grafico!$A135,Tabla1[nombre_actividad],Grafico!D$1),NA())</f>
        <v>99.906000000000049</v>
      </c>
      <c r="E135" s="63">
        <f ca="1">IF(TODAY()&gt;=$A135,SUMIFS(Tabla1[Avance_km],Tabla1[Fecha],"&lt;="&amp;Grafico!$A135,Tabla1[nombre_actividad],Grafico!E$1),NA())</f>
        <v>99.906000000000006</v>
      </c>
      <c r="F135" s="110">
        <f ca="1">IF(TODAY()&gt;=$A135,SUMIFS(Tabla1[Avance_km],Tabla1[Fecha],"&lt;="&amp;Grafico!$A135,Tabla1[nombre_actividad],Grafico!F$1,Tabla1[Avance_km],"&gt;0"),NA())</f>
        <v>99.906000000000063</v>
      </c>
      <c r="G135" s="67">
        <f ca="1">IF(TODAY()&gt;=$A135,SUMIFS(Tabla1[Avance_Med],Tabla1[Fecha],"&lt;="&amp;Grafico!$A135,Tabla1[nombre_actividad],Grafico!G$1),NA())</f>
        <v>376</v>
      </c>
      <c r="H135" s="63">
        <f ca="1">IF(TODAY()&gt;=$A135,SUMIFS(Tabla1[Avance_km],Tabla1[Fecha],"&lt;="&amp;Grafico!$A135,Tabla1[nombre_actividad],Grafico!H$1),NA())</f>
        <v>0</v>
      </c>
      <c r="I135" s="63"/>
    </row>
    <row r="136" spans="1:9" x14ac:dyDescent="0.25">
      <c r="A136" s="62">
        <f t="shared" si="6"/>
        <v>46097</v>
      </c>
      <c r="B136" s="33" t="str">
        <f t="shared" ca="1" si="5"/>
        <v/>
      </c>
      <c r="C136" s="33">
        <v>500</v>
      </c>
      <c r="D136" s="63">
        <f ca="1">IF(TODAY()&gt;=$A136,SUMIFS(Tabla1[Avance_km],Tabla1[Fecha],"&lt;="&amp;Grafico!$A136,Tabla1[nombre_actividad],Grafico!D$1),NA())</f>
        <v>99.906000000000049</v>
      </c>
      <c r="E136" s="63">
        <f ca="1">IF(TODAY()&gt;=$A136,SUMIFS(Tabla1[Avance_km],Tabla1[Fecha],"&lt;="&amp;Grafico!$A136,Tabla1[nombre_actividad],Grafico!E$1),NA())</f>
        <v>99.906000000000006</v>
      </c>
      <c r="F136" s="110">
        <f ca="1">IF(TODAY()&gt;=$A136,SUMIFS(Tabla1[Avance_km],Tabla1[Fecha],"&lt;="&amp;Grafico!$A136,Tabla1[nombre_actividad],Grafico!F$1,Tabla1[Avance_km],"&gt;0"),NA())</f>
        <v>99.906000000000063</v>
      </c>
      <c r="G136" s="67">
        <f ca="1">IF(TODAY()&gt;=$A136,SUMIFS(Tabla1[Avance_Med],Tabla1[Fecha],"&lt;="&amp;Grafico!$A136,Tabla1[nombre_actividad],Grafico!G$1),NA())</f>
        <v>376</v>
      </c>
      <c r="H136" s="63">
        <f ca="1">IF(TODAY()&gt;=$A136,SUMIFS(Tabla1[Avance_km],Tabla1[Fecha],"&lt;="&amp;Grafico!$A136,Tabla1[nombre_actividad],Grafico!H$1),NA())</f>
        <v>0</v>
      </c>
      <c r="I136" s="63"/>
    </row>
    <row r="137" spans="1:9" x14ac:dyDescent="0.25">
      <c r="A137" s="62">
        <f t="shared" si="6"/>
        <v>46098</v>
      </c>
      <c r="B137" s="33" t="str">
        <f t="shared" ca="1" si="5"/>
        <v/>
      </c>
      <c r="C137" s="33">
        <v>500</v>
      </c>
      <c r="D137" s="63">
        <f ca="1">IF(TODAY()&gt;=$A137,SUMIFS(Tabla1[Avance_km],Tabla1[Fecha],"&lt;="&amp;Grafico!$A137,Tabla1[nombre_actividad],Grafico!D$1),NA())</f>
        <v>99.906000000000049</v>
      </c>
      <c r="E137" s="63">
        <f ca="1">IF(TODAY()&gt;=$A137,SUMIFS(Tabla1[Avance_km],Tabla1[Fecha],"&lt;="&amp;Grafico!$A137,Tabla1[nombre_actividad],Grafico!E$1),NA())</f>
        <v>99.906000000000006</v>
      </c>
      <c r="F137" s="110">
        <f ca="1">IF(TODAY()&gt;=$A137,SUMIFS(Tabla1[Avance_km],Tabla1[Fecha],"&lt;="&amp;Grafico!$A137,Tabla1[nombre_actividad],Grafico!F$1,Tabla1[Avance_km],"&gt;0"),NA())</f>
        <v>99.906000000000063</v>
      </c>
      <c r="G137" s="67">
        <f ca="1">IF(TODAY()&gt;=$A137,SUMIFS(Tabla1[Avance_Med],Tabla1[Fecha],"&lt;="&amp;Grafico!$A137,Tabla1[nombre_actividad],Grafico!G$1),NA())</f>
        <v>376</v>
      </c>
      <c r="H137" s="63">
        <f ca="1">IF(TODAY()&gt;=$A137,SUMIFS(Tabla1[Avance_km],Tabla1[Fecha],"&lt;="&amp;Grafico!$A137,Tabla1[nombre_actividad],Grafico!H$1),NA())</f>
        <v>0</v>
      </c>
      <c r="I137" s="63"/>
    </row>
    <row r="138" spans="1:9" x14ac:dyDescent="0.25">
      <c r="A138" s="62">
        <f t="shared" si="6"/>
        <v>46099</v>
      </c>
      <c r="B138" s="33" t="str">
        <f t="shared" ca="1" si="5"/>
        <v/>
      </c>
      <c r="C138" s="33">
        <v>500</v>
      </c>
      <c r="D138" s="63">
        <f ca="1">IF(TODAY()&gt;=$A138,SUMIFS(Tabla1[Avance_km],Tabla1[Fecha],"&lt;="&amp;Grafico!$A138,Tabla1[nombre_actividad],Grafico!D$1),NA())</f>
        <v>99.906000000000049</v>
      </c>
      <c r="E138" s="63">
        <f ca="1">IF(TODAY()&gt;=$A138,SUMIFS(Tabla1[Avance_km],Tabla1[Fecha],"&lt;="&amp;Grafico!$A138,Tabla1[nombre_actividad],Grafico!E$1),NA())</f>
        <v>99.906000000000006</v>
      </c>
      <c r="F138" s="110">
        <f ca="1">IF(TODAY()&gt;=$A138,SUMIFS(Tabla1[Avance_km],Tabla1[Fecha],"&lt;="&amp;Grafico!$A138,Tabla1[nombre_actividad],Grafico!F$1,Tabla1[Avance_km],"&gt;0"),NA())</f>
        <v>99.906000000000063</v>
      </c>
      <c r="G138" s="67">
        <f ca="1">IF(TODAY()&gt;=$A138,SUMIFS(Tabla1[Avance_Med],Tabla1[Fecha],"&lt;="&amp;Grafico!$A138,Tabla1[nombre_actividad],Grafico!G$1),NA())</f>
        <v>376</v>
      </c>
      <c r="H138" s="63">
        <f ca="1">IF(TODAY()&gt;=$A138,SUMIFS(Tabla1[Avance_km],Tabla1[Fecha],"&lt;="&amp;Grafico!$A138,Tabla1[nombre_actividad],Grafico!H$1),NA())</f>
        <v>0</v>
      </c>
      <c r="I138" s="63"/>
    </row>
    <row r="139" spans="1:9" x14ac:dyDescent="0.25">
      <c r="A139" s="62">
        <f t="shared" si="6"/>
        <v>46100</v>
      </c>
      <c r="B139" s="33" t="str">
        <f t="shared" ca="1" si="5"/>
        <v/>
      </c>
      <c r="C139" s="33">
        <v>500</v>
      </c>
      <c r="D139" s="63">
        <f ca="1">IF(TODAY()&gt;=$A139,SUMIFS(Tabla1[Avance_km],Tabla1[Fecha],"&lt;="&amp;Grafico!$A139,Tabla1[nombre_actividad],Grafico!D$1),NA())</f>
        <v>99.906000000000049</v>
      </c>
      <c r="E139" s="63">
        <f ca="1">IF(TODAY()&gt;=$A139,SUMIFS(Tabla1[Avance_km],Tabla1[Fecha],"&lt;="&amp;Grafico!$A139,Tabla1[nombre_actividad],Grafico!E$1),NA())</f>
        <v>99.906000000000006</v>
      </c>
      <c r="F139" s="110">
        <f ca="1">IF(TODAY()&gt;=$A139,SUMIFS(Tabla1[Avance_km],Tabla1[Fecha],"&lt;="&amp;Grafico!$A139,Tabla1[nombre_actividad],Grafico!F$1,Tabla1[Avance_km],"&gt;0"),NA())</f>
        <v>99.906000000000063</v>
      </c>
      <c r="G139" s="67">
        <f ca="1">IF(TODAY()&gt;=$A139,SUMIFS(Tabla1[Avance_Med],Tabla1[Fecha],"&lt;="&amp;Grafico!$A139,Tabla1[nombre_actividad],Grafico!G$1),NA())</f>
        <v>376</v>
      </c>
      <c r="H139" s="63">
        <f ca="1">IF(TODAY()&gt;=$A139,SUMIFS(Tabla1[Avance_km],Tabla1[Fecha],"&lt;="&amp;Grafico!$A139,Tabla1[nombre_actividad],Grafico!H$1),NA())</f>
        <v>0</v>
      </c>
      <c r="I139" s="63"/>
    </row>
    <row r="140" spans="1:9" x14ac:dyDescent="0.25">
      <c r="A140" s="62">
        <f t="shared" si="6"/>
        <v>46101</v>
      </c>
      <c r="B140" s="33" t="str">
        <f t="shared" ca="1" si="5"/>
        <v/>
      </c>
      <c r="C140" s="33">
        <v>500</v>
      </c>
      <c r="D140" s="63">
        <f ca="1">IF(TODAY()&gt;=$A140,SUMIFS(Tabla1[Avance_km],Tabla1[Fecha],"&lt;="&amp;Grafico!$A140,Tabla1[nombre_actividad],Grafico!D$1),NA())</f>
        <v>99.906000000000049</v>
      </c>
      <c r="E140" s="63">
        <f ca="1">IF(TODAY()&gt;=$A140,SUMIFS(Tabla1[Avance_km],Tabla1[Fecha],"&lt;="&amp;Grafico!$A140,Tabla1[nombre_actividad],Grafico!E$1),NA())</f>
        <v>99.906000000000006</v>
      </c>
      <c r="F140" s="110">
        <f ca="1">IF(TODAY()&gt;=$A140,SUMIFS(Tabla1[Avance_km],Tabla1[Fecha],"&lt;="&amp;Grafico!$A140,Tabla1[nombre_actividad],Grafico!F$1,Tabla1[Avance_km],"&gt;0"),NA())</f>
        <v>99.906000000000063</v>
      </c>
      <c r="G140" s="67">
        <f ca="1">IF(TODAY()&gt;=$A140,SUMIFS(Tabla1[Avance_Med],Tabla1[Fecha],"&lt;="&amp;Grafico!$A140,Tabla1[nombre_actividad],Grafico!G$1),NA())</f>
        <v>376</v>
      </c>
      <c r="H140" s="63">
        <f ca="1">IF(TODAY()&gt;=$A140,SUMIFS(Tabla1[Avance_km],Tabla1[Fecha],"&lt;="&amp;Grafico!$A140,Tabla1[nombre_actividad],Grafico!H$1),NA())</f>
        <v>0</v>
      </c>
      <c r="I140" s="63"/>
    </row>
    <row r="141" spans="1:9" x14ac:dyDescent="0.25">
      <c r="A141" s="62">
        <f t="shared" si="6"/>
        <v>46102</v>
      </c>
      <c r="B141" s="33" t="str">
        <f t="shared" ca="1" si="5"/>
        <v/>
      </c>
      <c r="C141" s="33">
        <v>500</v>
      </c>
      <c r="D141" s="63">
        <f ca="1">IF(TODAY()&gt;=$A141,SUMIFS(Tabla1[Avance_km],Tabla1[Fecha],"&lt;="&amp;Grafico!$A141,Tabla1[nombre_actividad],Grafico!D$1),NA())</f>
        <v>99.906000000000049</v>
      </c>
      <c r="E141" s="63">
        <f ca="1">IF(TODAY()&gt;=$A141,SUMIFS(Tabla1[Avance_km],Tabla1[Fecha],"&lt;="&amp;Grafico!$A141,Tabla1[nombre_actividad],Grafico!E$1),NA())</f>
        <v>99.906000000000006</v>
      </c>
      <c r="F141" s="110">
        <f ca="1">IF(TODAY()&gt;=$A141,SUMIFS(Tabla1[Avance_km],Tabla1[Fecha],"&lt;="&amp;Grafico!$A141,Tabla1[nombre_actividad],Grafico!F$1,Tabla1[Avance_km],"&gt;0"),NA())</f>
        <v>99.906000000000063</v>
      </c>
      <c r="G141" s="67">
        <f ca="1">IF(TODAY()&gt;=$A141,SUMIFS(Tabla1[Avance_Med],Tabla1[Fecha],"&lt;="&amp;Grafico!$A141,Tabla1[nombre_actividad],Grafico!G$1),NA())</f>
        <v>376</v>
      </c>
      <c r="H141" s="63">
        <f ca="1">IF(TODAY()&gt;=$A141,SUMIFS(Tabla1[Avance_km],Tabla1[Fecha],"&lt;="&amp;Grafico!$A141,Tabla1[nombre_actividad],Grafico!H$1),NA())</f>
        <v>0</v>
      </c>
      <c r="I141" s="63"/>
    </row>
    <row r="142" spans="1:9" x14ac:dyDescent="0.25">
      <c r="A142" s="62">
        <f t="shared" si="6"/>
        <v>46103</v>
      </c>
      <c r="B142" s="33" t="str">
        <f t="shared" ca="1" si="5"/>
        <v/>
      </c>
      <c r="C142" s="33">
        <v>500</v>
      </c>
      <c r="D142" s="63">
        <f ca="1">IF(TODAY()&gt;=$A142,SUMIFS(Tabla1[Avance_km],Tabla1[Fecha],"&lt;="&amp;Grafico!$A142,Tabla1[nombre_actividad],Grafico!D$1),NA())</f>
        <v>99.906000000000049</v>
      </c>
      <c r="E142" s="63">
        <f ca="1">IF(TODAY()&gt;=$A142,SUMIFS(Tabla1[Avance_km],Tabla1[Fecha],"&lt;="&amp;Grafico!$A142,Tabla1[nombre_actividad],Grafico!E$1),NA())</f>
        <v>99.906000000000006</v>
      </c>
      <c r="F142" s="110">
        <f ca="1">IF(TODAY()&gt;=$A142,SUMIFS(Tabla1[Avance_km],Tabla1[Fecha],"&lt;="&amp;Grafico!$A142,Tabla1[nombre_actividad],Grafico!F$1,Tabla1[Avance_km],"&gt;0"),NA())</f>
        <v>99.906000000000063</v>
      </c>
      <c r="G142" s="67">
        <f ca="1">IF(TODAY()&gt;=$A142,SUMIFS(Tabla1[Avance_Med],Tabla1[Fecha],"&lt;="&amp;Grafico!$A142,Tabla1[nombre_actividad],Grafico!G$1),NA())</f>
        <v>376</v>
      </c>
      <c r="H142" s="63">
        <f ca="1">IF(TODAY()&gt;=$A142,SUMIFS(Tabla1[Avance_km],Tabla1[Fecha],"&lt;="&amp;Grafico!$A142,Tabla1[nombre_actividad],Grafico!H$1),NA())</f>
        <v>0</v>
      </c>
      <c r="I142" s="63"/>
    </row>
    <row r="143" spans="1:9" x14ac:dyDescent="0.25">
      <c r="A143" s="62">
        <f t="shared" si="6"/>
        <v>46104</v>
      </c>
      <c r="B143" s="33" t="str">
        <f t="shared" ca="1" si="5"/>
        <v/>
      </c>
      <c r="C143" s="33">
        <v>500</v>
      </c>
      <c r="D143" s="63">
        <f ca="1">IF(TODAY()&gt;=$A143,SUMIFS(Tabla1[Avance_km],Tabla1[Fecha],"&lt;="&amp;Grafico!$A143,Tabla1[nombre_actividad],Grafico!D$1),NA())</f>
        <v>99.906000000000049</v>
      </c>
      <c r="E143" s="63">
        <f ca="1">IF(TODAY()&gt;=$A143,SUMIFS(Tabla1[Avance_km],Tabla1[Fecha],"&lt;="&amp;Grafico!$A143,Tabla1[nombre_actividad],Grafico!E$1),NA())</f>
        <v>99.906000000000006</v>
      </c>
      <c r="F143" s="110">
        <f ca="1">IF(TODAY()&gt;=$A143,SUMIFS(Tabla1[Avance_km],Tabla1[Fecha],"&lt;="&amp;Grafico!$A143,Tabla1[nombre_actividad],Grafico!F$1,Tabla1[Avance_km],"&gt;0"),NA())</f>
        <v>99.906000000000063</v>
      </c>
      <c r="G143" s="67">
        <f ca="1">IF(TODAY()&gt;=$A143,SUMIFS(Tabla1[Avance_Med],Tabla1[Fecha],"&lt;="&amp;Grafico!$A143,Tabla1[nombre_actividad],Grafico!G$1),NA())</f>
        <v>376</v>
      </c>
      <c r="H143" s="63">
        <f ca="1">IF(TODAY()&gt;=$A143,SUMIFS(Tabla1[Avance_km],Tabla1[Fecha],"&lt;="&amp;Grafico!$A143,Tabla1[nombre_actividad],Grafico!H$1),NA())</f>
        <v>0</v>
      </c>
      <c r="I143" s="63"/>
    </row>
    <row r="144" spans="1:9" x14ac:dyDescent="0.25">
      <c r="A144" s="62">
        <f t="shared" si="6"/>
        <v>46105</v>
      </c>
      <c r="B144" s="33" t="str">
        <f t="shared" ca="1" si="5"/>
        <v/>
      </c>
      <c r="C144" s="33">
        <v>500</v>
      </c>
      <c r="D144" s="63">
        <f ca="1">IF(TODAY()&gt;=$A144,SUMIFS(Tabla1[Avance_km],Tabla1[Fecha],"&lt;="&amp;Grafico!$A144,Tabla1[nombre_actividad],Grafico!D$1),NA())</f>
        <v>99.906000000000049</v>
      </c>
      <c r="E144" s="63">
        <f ca="1">IF(TODAY()&gt;=$A144,SUMIFS(Tabla1[Avance_km],Tabla1[Fecha],"&lt;="&amp;Grafico!$A144,Tabla1[nombre_actividad],Grafico!E$1),NA())</f>
        <v>99.906000000000006</v>
      </c>
      <c r="F144" s="110">
        <f ca="1">IF(TODAY()&gt;=$A144,SUMIFS(Tabla1[Avance_km],Tabla1[Fecha],"&lt;="&amp;Grafico!$A144,Tabla1[nombre_actividad],Grafico!F$1,Tabla1[Avance_km],"&gt;0"),NA())</f>
        <v>99.906000000000063</v>
      </c>
      <c r="G144" s="67">
        <f ca="1">IF(TODAY()&gt;=$A144,SUMIFS(Tabla1[Avance_Med],Tabla1[Fecha],"&lt;="&amp;Grafico!$A144,Tabla1[nombre_actividad],Grafico!G$1),NA())</f>
        <v>376</v>
      </c>
      <c r="H144" s="63">
        <f ca="1">IF(TODAY()&gt;=$A144,SUMIFS(Tabla1[Avance_km],Tabla1[Fecha],"&lt;="&amp;Grafico!$A144,Tabla1[nombre_actividad],Grafico!H$1),NA())</f>
        <v>0</v>
      </c>
      <c r="I144" s="63"/>
    </row>
    <row r="145" spans="1:9" x14ac:dyDescent="0.25">
      <c r="A145" s="62">
        <f t="shared" si="6"/>
        <v>46106</v>
      </c>
      <c r="B145" s="33" t="str">
        <f t="shared" ca="1" si="5"/>
        <v/>
      </c>
      <c r="C145" s="33">
        <v>500</v>
      </c>
      <c r="D145" s="63">
        <f ca="1">IF(TODAY()&gt;=$A145,SUMIFS(Tabla1[Avance_km],Tabla1[Fecha],"&lt;="&amp;Grafico!$A145,Tabla1[nombre_actividad],Grafico!D$1),NA())</f>
        <v>99.906000000000049</v>
      </c>
      <c r="E145" s="63">
        <f ca="1">IF(TODAY()&gt;=$A145,SUMIFS(Tabla1[Avance_km],Tabla1[Fecha],"&lt;="&amp;Grafico!$A145,Tabla1[nombre_actividad],Grafico!E$1),NA())</f>
        <v>99.906000000000006</v>
      </c>
      <c r="F145" s="110">
        <f ca="1">IF(TODAY()&gt;=$A145,SUMIFS(Tabla1[Avance_km],Tabla1[Fecha],"&lt;="&amp;Grafico!$A145,Tabla1[nombre_actividad],Grafico!F$1,Tabla1[Avance_km],"&gt;0"),NA())</f>
        <v>99.906000000000063</v>
      </c>
      <c r="G145" s="67">
        <f ca="1">IF(TODAY()&gt;=$A145,SUMIFS(Tabla1[Avance_Med],Tabla1[Fecha],"&lt;="&amp;Grafico!$A145,Tabla1[nombre_actividad],Grafico!G$1),NA())</f>
        <v>376</v>
      </c>
      <c r="H145" s="63">
        <f ca="1">IF(TODAY()&gt;=$A145,SUMIFS(Tabla1[Avance_km],Tabla1[Fecha],"&lt;="&amp;Grafico!$A145,Tabla1[nombre_actividad],Grafico!H$1),NA())</f>
        <v>0</v>
      </c>
      <c r="I145" s="63"/>
    </row>
    <row r="146" spans="1:9" x14ac:dyDescent="0.25">
      <c r="A146" s="62">
        <f t="shared" si="6"/>
        <v>46107</v>
      </c>
      <c r="B146" s="33" t="str">
        <f t="shared" ca="1" si="5"/>
        <v/>
      </c>
      <c r="C146" s="33">
        <v>500</v>
      </c>
      <c r="D146" s="63">
        <f ca="1">IF(TODAY()&gt;=$A146,SUMIFS(Tabla1[Avance_km],Tabla1[Fecha],"&lt;="&amp;Grafico!$A146,Tabla1[nombre_actividad],Grafico!D$1),NA())</f>
        <v>99.906000000000049</v>
      </c>
      <c r="E146" s="63">
        <f ca="1">IF(TODAY()&gt;=$A146,SUMIFS(Tabla1[Avance_km],Tabla1[Fecha],"&lt;="&amp;Grafico!$A146,Tabla1[nombre_actividad],Grafico!E$1),NA())</f>
        <v>99.906000000000006</v>
      </c>
      <c r="F146" s="110">
        <f ca="1">IF(TODAY()&gt;=$A146,SUMIFS(Tabla1[Avance_km],Tabla1[Fecha],"&lt;="&amp;Grafico!$A146,Tabla1[nombre_actividad],Grafico!F$1,Tabla1[Avance_km],"&gt;0"),NA())</f>
        <v>99.906000000000063</v>
      </c>
      <c r="G146" s="67">
        <f ca="1">IF(TODAY()&gt;=$A146,SUMIFS(Tabla1[Avance_Med],Tabla1[Fecha],"&lt;="&amp;Grafico!$A146,Tabla1[nombre_actividad],Grafico!G$1),NA())</f>
        <v>376</v>
      </c>
      <c r="H146" s="63">
        <f ca="1">IF(TODAY()&gt;=$A146,SUMIFS(Tabla1[Avance_km],Tabla1[Fecha],"&lt;="&amp;Grafico!$A146,Tabla1[nombre_actividad],Grafico!H$1),NA())</f>
        <v>0</v>
      </c>
      <c r="I146" s="63"/>
    </row>
    <row r="147" spans="1:9" x14ac:dyDescent="0.25">
      <c r="A147" s="62">
        <f t="shared" si="6"/>
        <v>46108</v>
      </c>
      <c r="B147" s="33" t="str">
        <f t="shared" ca="1" si="5"/>
        <v/>
      </c>
      <c r="C147" s="33">
        <v>500</v>
      </c>
      <c r="D147" s="63">
        <f ca="1">IF(TODAY()&gt;=$A147,SUMIFS(Tabla1[Avance_km],Tabla1[Fecha],"&lt;="&amp;Grafico!$A147,Tabla1[nombre_actividad],Grafico!D$1),NA())</f>
        <v>99.906000000000049</v>
      </c>
      <c r="E147" s="63">
        <f ca="1">IF(TODAY()&gt;=$A147,SUMIFS(Tabla1[Avance_km],Tabla1[Fecha],"&lt;="&amp;Grafico!$A147,Tabla1[nombre_actividad],Grafico!E$1),NA())</f>
        <v>99.906000000000006</v>
      </c>
      <c r="F147" s="110">
        <f ca="1">IF(TODAY()&gt;=$A147,SUMIFS(Tabla1[Avance_km],Tabla1[Fecha],"&lt;="&amp;Grafico!$A147,Tabla1[nombre_actividad],Grafico!F$1,Tabla1[Avance_km],"&gt;0"),NA())</f>
        <v>99.906000000000063</v>
      </c>
      <c r="G147" s="67">
        <f ca="1">IF(TODAY()&gt;=$A147,SUMIFS(Tabla1[Avance_Med],Tabla1[Fecha],"&lt;="&amp;Grafico!$A147,Tabla1[nombre_actividad],Grafico!G$1),NA())</f>
        <v>376</v>
      </c>
      <c r="H147" s="63">
        <f ca="1">IF(TODAY()&gt;=$A147,SUMIFS(Tabla1[Avance_km],Tabla1[Fecha],"&lt;="&amp;Grafico!$A147,Tabla1[nombre_actividad],Grafico!H$1),NA())</f>
        <v>0</v>
      </c>
      <c r="I147" s="63"/>
    </row>
    <row r="148" spans="1:9" x14ac:dyDescent="0.25">
      <c r="A148" s="62">
        <f t="shared" si="6"/>
        <v>46109</v>
      </c>
      <c r="B148" s="33" t="str">
        <f t="shared" ca="1" si="5"/>
        <v/>
      </c>
      <c r="C148" s="33">
        <v>500</v>
      </c>
      <c r="D148" s="63">
        <f ca="1">IF(TODAY()&gt;=$A148,SUMIFS(Tabla1[Avance_km],Tabla1[Fecha],"&lt;="&amp;Grafico!$A148,Tabla1[nombre_actividad],Grafico!D$1),NA())</f>
        <v>99.906000000000049</v>
      </c>
      <c r="E148" s="63">
        <f ca="1">IF(TODAY()&gt;=$A148,SUMIFS(Tabla1[Avance_km],Tabla1[Fecha],"&lt;="&amp;Grafico!$A148,Tabla1[nombre_actividad],Grafico!E$1),NA())</f>
        <v>99.906000000000006</v>
      </c>
      <c r="F148" s="110">
        <f ca="1">IF(TODAY()&gt;=$A148,SUMIFS(Tabla1[Avance_km],Tabla1[Fecha],"&lt;="&amp;Grafico!$A148,Tabla1[nombre_actividad],Grafico!F$1,Tabla1[Avance_km],"&gt;0"),NA())</f>
        <v>99.906000000000063</v>
      </c>
      <c r="G148" s="67">
        <f ca="1">IF(TODAY()&gt;=$A148,SUMIFS(Tabla1[Avance_Med],Tabla1[Fecha],"&lt;="&amp;Grafico!$A148,Tabla1[nombre_actividad],Grafico!G$1),NA())</f>
        <v>376</v>
      </c>
      <c r="H148" s="63">
        <f ca="1">IF(TODAY()&gt;=$A148,SUMIFS(Tabla1[Avance_km],Tabla1[Fecha],"&lt;="&amp;Grafico!$A148,Tabla1[nombre_actividad],Grafico!H$1),NA())</f>
        <v>0</v>
      </c>
      <c r="I148" s="63"/>
    </row>
    <row r="149" spans="1:9" x14ac:dyDescent="0.25">
      <c r="A149" s="62">
        <f t="shared" si="6"/>
        <v>46110</v>
      </c>
      <c r="B149" s="33" t="str">
        <f t="shared" ca="1" si="5"/>
        <v/>
      </c>
      <c r="C149" s="33">
        <v>500</v>
      </c>
      <c r="D149" s="63">
        <f ca="1">IF(TODAY()&gt;=$A149,SUMIFS(Tabla1[Avance_km],Tabla1[Fecha],"&lt;="&amp;Grafico!$A149,Tabla1[nombre_actividad],Grafico!D$1),NA())</f>
        <v>99.906000000000049</v>
      </c>
      <c r="E149" s="63">
        <f ca="1">IF(TODAY()&gt;=$A149,SUMIFS(Tabla1[Avance_km],Tabla1[Fecha],"&lt;="&amp;Grafico!$A149,Tabla1[nombre_actividad],Grafico!E$1),NA())</f>
        <v>99.906000000000006</v>
      </c>
      <c r="F149" s="110">
        <f ca="1">IF(TODAY()&gt;=$A149,SUMIFS(Tabla1[Avance_km],Tabla1[Fecha],"&lt;="&amp;Grafico!$A149,Tabla1[nombre_actividad],Grafico!F$1,Tabla1[Avance_km],"&gt;0"),NA())</f>
        <v>99.906000000000063</v>
      </c>
      <c r="G149" s="67">
        <f ca="1">IF(TODAY()&gt;=$A149,SUMIFS(Tabla1[Avance_Med],Tabla1[Fecha],"&lt;="&amp;Grafico!$A149,Tabla1[nombre_actividad],Grafico!G$1),NA())</f>
        <v>376</v>
      </c>
      <c r="H149" s="63">
        <f ca="1">IF(TODAY()&gt;=$A149,SUMIFS(Tabla1[Avance_km],Tabla1[Fecha],"&lt;="&amp;Grafico!$A149,Tabla1[nombre_actividad],Grafico!H$1),NA())</f>
        <v>0</v>
      </c>
      <c r="I149" s="63"/>
    </row>
    <row r="150" spans="1:9" x14ac:dyDescent="0.25">
      <c r="A150" s="62">
        <f t="shared" si="6"/>
        <v>46111</v>
      </c>
      <c r="B150" s="33" t="str">
        <f t="shared" ca="1" si="5"/>
        <v/>
      </c>
      <c r="C150" s="33"/>
      <c r="D150" s="63">
        <f ca="1">IF(TODAY()&gt;=$A150,SUMIFS(Tabla1[Avance_km],Tabla1[Fecha],"&lt;="&amp;Grafico!$A150,Tabla1[nombre_actividad],Grafico!D$1),NA())</f>
        <v>101.90600000000005</v>
      </c>
      <c r="E150" s="63">
        <f ca="1">IF(TODAY()&gt;=$A150,SUMIFS(Tabla1[Avance_km],Tabla1[Fecha],"&lt;="&amp;Grafico!$A150,Tabla1[nombre_actividad],Grafico!E$1),NA())</f>
        <v>99.906000000000006</v>
      </c>
      <c r="F150" s="110">
        <f ca="1">IF(TODAY()&gt;=$A150,SUMIFS(Tabla1[Avance_km],Tabla1[Fecha],"&lt;="&amp;Grafico!$A150,Tabla1[nombre_actividad],Grafico!F$1,Tabla1[Avance_km],"&gt;0"),NA())</f>
        <v>99.906000000000063</v>
      </c>
      <c r="G150" s="67">
        <f ca="1">IF(TODAY()&gt;=$A150,SUMIFS(Tabla1[Avance_Med],Tabla1[Fecha],"&lt;="&amp;Grafico!$A150,Tabla1[nombre_actividad],Grafico!G$1),NA())</f>
        <v>376</v>
      </c>
      <c r="H150" s="63">
        <f ca="1">IF(TODAY()&gt;=$A150,SUMIFS(Tabla1[Avance_km],Tabla1[Fecha],"&lt;="&amp;Grafico!$A150,Tabla1[nombre_actividad],Grafico!H$1),NA())</f>
        <v>0</v>
      </c>
      <c r="I150" s="63"/>
    </row>
    <row r="151" spans="1:9" x14ac:dyDescent="0.25">
      <c r="A151" s="62">
        <f t="shared" si="6"/>
        <v>46112</v>
      </c>
      <c r="B151" s="33" t="str">
        <f t="shared" ca="1" si="5"/>
        <v/>
      </c>
      <c r="C151" s="33"/>
      <c r="D151" s="63">
        <f ca="1">IF(TODAY()&gt;=$A151,SUMIFS(Tabla1[Avance_km],Tabla1[Fecha],"&lt;="&amp;Grafico!$A151,Tabla1[nombre_actividad],Grafico!D$1),NA())</f>
        <v>103.50600000000004</v>
      </c>
      <c r="E151" s="63">
        <f ca="1">IF(TODAY()&gt;=$A151,SUMIFS(Tabla1[Avance_km],Tabla1[Fecha],"&lt;="&amp;Grafico!$A151,Tabla1[nombre_actividad],Grafico!E$1),NA())</f>
        <v>99.906000000000006</v>
      </c>
      <c r="F151" s="110">
        <f ca="1">IF(TODAY()&gt;=$A151,SUMIFS(Tabla1[Avance_km],Tabla1[Fecha],"&lt;="&amp;Grafico!$A151,Tabla1[nombre_actividad],Grafico!F$1,Tabla1[Avance_km],"&gt;0"),NA())</f>
        <v>99.906000000000063</v>
      </c>
      <c r="G151" s="67">
        <f ca="1">IF(TODAY()&gt;=$A151,SUMIFS(Tabla1[Avance_Med],Tabla1[Fecha],"&lt;="&amp;Grafico!$A151,Tabla1[nombre_actividad],Grafico!G$1),NA())</f>
        <v>376</v>
      </c>
      <c r="H151" s="63">
        <f ca="1">IF(TODAY()&gt;=$A151,SUMIFS(Tabla1[Avance_km],Tabla1[Fecha],"&lt;="&amp;Grafico!$A151,Tabla1[nombre_actividad],Grafico!H$1),NA())</f>
        <v>0</v>
      </c>
      <c r="I151" s="63"/>
    </row>
    <row r="152" spans="1:9" x14ac:dyDescent="0.25">
      <c r="A152" s="62">
        <f t="shared" si="6"/>
        <v>46113</v>
      </c>
      <c r="B152" s="33" t="str">
        <f t="shared" ca="1" si="5"/>
        <v/>
      </c>
      <c r="C152" s="33"/>
      <c r="D152" s="63">
        <f ca="1">IF(TODAY()&gt;=$A152,SUMIFS(Tabla1[Avance_km],Tabla1[Fecha],"&lt;="&amp;Grafico!$A152,Tabla1[nombre_actividad],Grafico!D$1),NA())</f>
        <v>104.90600000000005</v>
      </c>
      <c r="E152" s="63">
        <f ca="1">IF(TODAY()&gt;=$A152,SUMIFS(Tabla1[Avance_km],Tabla1[Fecha],"&lt;="&amp;Grafico!$A152,Tabla1[nombre_actividad],Grafico!E$1),NA())</f>
        <v>99.906000000000006</v>
      </c>
      <c r="F152" s="110">
        <f ca="1">IF(TODAY()&gt;=$A152,SUMIFS(Tabla1[Avance_km],Tabla1[Fecha],"&lt;="&amp;Grafico!$A152,Tabla1[nombre_actividad],Grafico!F$1,Tabla1[Avance_km],"&gt;0"),NA())</f>
        <v>99.906000000000063</v>
      </c>
      <c r="G152" s="67">
        <f ca="1">IF(TODAY()&gt;=$A152,SUMIFS(Tabla1[Avance_Med],Tabla1[Fecha],"&lt;="&amp;Grafico!$A152,Tabla1[nombre_actividad],Grafico!G$1),NA())</f>
        <v>376</v>
      </c>
      <c r="H152" s="63">
        <f ca="1">IF(TODAY()&gt;=$A152,SUMIFS(Tabla1[Avance_km],Tabla1[Fecha],"&lt;="&amp;Grafico!$A152,Tabla1[nombre_actividad],Grafico!H$1),NA())</f>
        <v>0</v>
      </c>
      <c r="I152" s="63"/>
    </row>
    <row r="153" spans="1:9" x14ac:dyDescent="0.25">
      <c r="A153" s="62">
        <f t="shared" si="6"/>
        <v>46114</v>
      </c>
      <c r="B153" s="33" t="str">
        <f t="shared" ca="1" si="5"/>
        <v/>
      </c>
      <c r="C153" s="33"/>
      <c r="D153" s="63">
        <f ca="1">IF(TODAY()&gt;=$A153,SUMIFS(Tabla1[Avance_km],Tabla1[Fecha],"&lt;="&amp;Grafico!$A153,Tabla1[nombre_actividad],Grafico!D$1),NA())</f>
        <v>107.65000000000005</v>
      </c>
      <c r="E153" s="63">
        <f ca="1">IF(TODAY()&gt;=$A153,SUMIFS(Tabla1[Avance_km],Tabla1[Fecha],"&lt;="&amp;Grafico!$A153,Tabla1[nombre_actividad],Grafico!E$1),NA())</f>
        <v>99.906000000000006</v>
      </c>
      <c r="F153" s="110">
        <f ca="1">IF(TODAY()&gt;=$A153,SUMIFS(Tabla1[Avance_km],Tabla1[Fecha],"&lt;="&amp;Grafico!$A153,Tabla1[nombre_actividad],Grafico!F$1,Tabla1[Avance_km],"&gt;0"),NA())</f>
        <v>99.906000000000063</v>
      </c>
      <c r="G153" s="67">
        <f ca="1">IF(TODAY()&gt;=$A153,SUMIFS(Tabla1[Avance_Med],Tabla1[Fecha],"&lt;="&amp;Grafico!$A153,Tabla1[nombre_actividad],Grafico!G$1),NA())</f>
        <v>376</v>
      </c>
      <c r="H153" s="63">
        <f ca="1">IF(TODAY()&gt;=$A153,SUMIFS(Tabla1[Avance_km],Tabla1[Fecha],"&lt;="&amp;Grafico!$A153,Tabla1[nombre_actividad],Grafico!H$1),NA())</f>
        <v>0</v>
      </c>
      <c r="I153" s="63"/>
    </row>
    <row r="154" spans="1:9" x14ac:dyDescent="0.25">
      <c r="A154" s="62">
        <f t="shared" si="6"/>
        <v>46115</v>
      </c>
      <c r="B154" s="33" t="str">
        <f t="shared" ca="1" si="5"/>
        <v/>
      </c>
      <c r="C154" s="33"/>
      <c r="D154" s="63">
        <f ca="1">IF(TODAY()&gt;=$A154,SUMIFS(Tabla1[Avance_km],Tabla1[Fecha],"&lt;="&amp;Grafico!$A154,Tabla1[nombre_actividad],Grafico!D$1),NA())</f>
        <v>108.65000000000005</v>
      </c>
      <c r="E154" s="63">
        <f ca="1">IF(TODAY()&gt;=$A154,SUMIFS(Tabla1[Avance_km],Tabla1[Fecha],"&lt;="&amp;Grafico!$A154,Tabla1[nombre_actividad],Grafico!E$1),NA())</f>
        <v>99.906000000000006</v>
      </c>
      <c r="F154" s="110">
        <f ca="1">IF(TODAY()&gt;=$A154,SUMIFS(Tabla1[Avance_km],Tabla1[Fecha],"&lt;="&amp;Grafico!$A154,Tabla1[nombre_actividad],Grafico!F$1,Tabla1[Avance_km],"&gt;0"),NA())</f>
        <v>99.906000000000063</v>
      </c>
      <c r="G154" s="67">
        <f ca="1">IF(TODAY()&gt;=$A154,SUMIFS(Tabla1[Avance_Med],Tabla1[Fecha],"&lt;="&amp;Grafico!$A154,Tabla1[nombre_actividad],Grafico!G$1),NA())</f>
        <v>376</v>
      </c>
      <c r="H154" s="63">
        <f ca="1">IF(TODAY()&gt;=$A154,SUMIFS(Tabla1[Avance_km],Tabla1[Fecha],"&lt;="&amp;Grafico!$A154,Tabla1[nombre_actividad],Grafico!H$1),NA())</f>
        <v>0</v>
      </c>
      <c r="I154" s="63"/>
    </row>
    <row r="155" spans="1:9" x14ac:dyDescent="0.25">
      <c r="A155" s="62">
        <f t="shared" si="6"/>
        <v>46116</v>
      </c>
      <c r="B155" s="33" t="str">
        <f t="shared" ca="1" si="5"/>
        <v/>
      </c>
      <c r="C155" s="33"/>
      <c r="D155" s="63">
        <f ca="1">IF(TODAY()&gt;=$A155,SUMIFS(Tabla1[Avance_km],Tabla1[Fecha],"&lt;="&amp;Grafico!$A155,Tabla1[nombre_actividad],Grafico!D$1),NA())</f>
        <v>109.52800000000005</v>
      </c>
      <c r="E155" s="63">
        <f ca="1">IF(TODAY()&gt;=$A155,SUMIFS(Tabla1[Avance_km],Tabla1[Fecha],"&lt;="&amp;Grafico!$A155,Tabla1[nombre_actividad],Grafico!E$1),NA())</f>
        <v>99.906000000000006</v>
      </c>
      <c r="F155" s="110">
        <f ca="1">IF(TODAY()&gt;=$A155,SUMIFS(Tabla1[Avance_km],Tabla1[Fecha],"&lt;="&amp;Grafico!$A155,Tabla1[nombre_actividad],Grafico!F$1,Tabla1[Avance_km],"&gt;0"),NA())</f>
        <v>99.906000000000063</v>
      </c>
      <c r="G155" s="67">
        <f ca="1">IF(TODAY()&gt;=$A155,SUMIFS(Tabla1[Avance_Med],Tabla1[Fecha],"&lt;="&amp;Grafico!$A155,Tabla1[nombre_actividad],Grafico!G$1),NA())</f>
        <v>376</v>
      </c>
      <c r="H155" s="63">
        <f ca="1">IF(TODAY()&gt;=$A155,SUMIFS(Tabla1[Avance_km],Tabla1[Fecha],"&lt;="&amp;Grafico!$A155,Tabla1[nombre_actividad],Grafico!H$1),NA())</f>
        <v>0</v>
      </c>
      <c r="I155" s="63"/>
    </row>
    <row r="156" spans="1:9" x14ac:dyDescent="0.25">
      <c r="A156" s="62">
        <f t="shared" si="6"/>
        <v>46117</v>
      </c>
      <c r="B156" s="33" t="str">
        <f t="shared" ca="1" si="5"/>
        <v/>
      </c>
      <c r="C156" s="33"/>
      <c r="D156" s="63">
        <f ca="1">IF(TODAY()&gt;=$A156,SUMIFS(Tabla1[Avance_km],Tabla1[Fecha],"&lt;="&amp;Grafico!$A156,Tabla1[nombre_actividad],Grafico!D$1),NA())</f>
        <v>109.52800000000005</v>
      </c>
      <c r="E156" s="63">
        <f ca="1">IF(TODAY()&gt;=$A156,SUMIFS(Tabla1[Avance_km],Tabla1[Fecha],"&lt;="&amp;Grafico!$A156,Tabla1[nombre_actividad],Grafico!E$1),NA())</f>
        <v>99.906000000000006</v>
      </c>
      <c r="F156" s="110">
        <f ca="1">IF(TODAY()&gt;=$A156,SUMIFS(Tabla1[Avance_km],Tabla1[Fecha],"&lt;="&amp;Grafico!$A156,Tabla1[nombre_actividad],Grafico!F$1,Tabla1[Avance_km],"&gt;0"),NA())</f>
        <v>99.906000000000063</v>
      </c>
      <c r="G156" s="67">
        <f ca="1">IF(TODAY()&gt;=$A156,SUMIFS(Tabla1[Avance_Med],Tabla1[Fecha],"&lt;="&amp;Grafico!$A156,Tabla1[nombre_actividad],Grafico!G$1),NA())</f>
        <v>376</v>
      </c>
      <c r="H156" s="63">
        <f ca="1">IF(TODAY()&gt;=$A156,SUMIFS(Tabla1[Avance_km],Tabla1[Fecha],"&lt;="&amp;Grafico!$A156,Tabla1[nombre_actividad],Grafico!H$1),NA())</f>
        <v>0</v>
      </c>
      <c r="I156" s="63"/>
    </row>
    <row r="157" spans="1:9" x14ac:dyDescent="0.25">
      <c r="A157" s="62">
        <f t="shared" si="6"/>
        <v>46118</v>
      </c>
      <c r="B157" s="33" t="str">
        <f t="shared" ca="1" si="5"/>
        <v/>
      </c>
      <c r="C157" s="33"/>
      <c r="D157" s="63">
        <f ca="1">IF(TODAY()&gt;=$A157,SUMIFS(Tabla1[Avance_km],Tabla1[Fecha],"&lt;="&amp;Grafico!$A157,Tabla1[nombre_actividad],Grafico!D$1),NA())</f>
        <v>109.52800000000005</v>
      </c>
      <c r="E157" s="63">
        <f ca="1">IF(TODAY()&gt;=$A157,SUMIFS(Tabla1[Avance_km],Tabla1[Fecha],"&lt;="&amp;Grafico!$A157,Tabla1[nombre_actividad],Grafico!E$1),NA())</f>
        <v>99.906000000000006</v>
      </c>
      <c r="F157" s="110">
        <f ca="1">IF(TODAY()&gt;=$A157,SUMIFS(Tabla1[Avance_km],Tabla1[Fecha],"&lt;="&amp;Grafico!$A157,Tabla1[nombre_actividad],Grafico!F$1,Tabla1[Avance_km],"&gt;0"),NA())</f>
        <v>99.906000000000063</v>
      </c>
      <c r="G157" s="67">
        <f ca="1">IF(TODAY()&gt;=$A157,SUMIFS(Tabla1[Avance_Med],Tabla1[Fecha],"&lt;="&amp;Grafico!$A157,Tabla1[nombre_actividad],Grafico!G$1),NA())</f>
        <v>376</v>
      </c>
      <c r="H157" s="63">
        <f ca="1">IF(TODAY()&gt;=$A157,SUMIFS(Tabla1[Avance_km],Tabla1[Fecha],"&lt;="&amp;Grafico!$A157,Tabla1[nombre_actividad],Grafico!H$1),NA())</f>
        <v>0</v>
      </c>
      <c r="I157" s="63"/>
    </row>
    <row r="158" spans="1:9" x14ac:dyDescent="0.25">
      <c r="A158" s="62">
        <f t="shared" si="6"/>
        <v>46119</v>
      </c>
      <c r="B158" s="33" t="str">
        <f t="shared" ca="1" si="5"/>
        <v/>
      </c>
      <c r="C158" s="33"/>
      <c r="D158" s="63">
        <f ca="1">IF(TODAY()&gt;=$A158,SUMIFS(Tabla1[Avance_km],Tabla1[Fecha],"&lt;="&amp;Grafico!$A158,Tabla1[nombre_actividad],Grafico!D$1),NA())</f>
        <v>110.52800000000005</v>
      </c>
      <c r="E158" s="63">
        <f ca="1">IF(TODAY()&gt;=$A158,SUMIFS(Tabla1[Avance_km],Tabla1[Fecha],"&lt;="&amp;Grafico!$A158,Tabla1[nombre_actividad],Grafico!E$1),NA())</f>
        <v>99.906000000000006</v>
      </c>
      <c r="F158" s="110">
        <f ca="1">IF(TODAY()&gt;=$A158,SUMIFS(Tabla1[Avance_km],Tabla1[Fecha],"&lt;="&amp;Grafico!$A158,Tabla1[nombre_actividad],Grafico!F$1,Tabla1[Avance_km],"&gt;0"),NA())</f>
        <v>99.906000000000063</v>
      </c>
      <c r="G158" s="67">
        <f ca="1">IF(TODAY()&gt;=$A158,SUMIFS(Tabla1[Avance_Med],Tabla1[Fecha],"&lt;="&amp;Grafico!$A158,Tabla1[nombre_actividad],Grafico!G$1),NA())</f>
        <v>376</v>
      </c>
      <c r="H158" s="63">
        <f ca="1">IF(TODAY()&gt;=$A158,SUMIFS(Tabla1[Avance_km],Tabla1[Fecha],"&lt;="&amp;Grafico!$A158,Tabla1[nombre_actividad],Grafico!H$1),NA())</f>
        <v>0</v>
      </c>
      <c r="I158" s="63"/>
    </row>
    <row r="159" spans="1:9" x14ac:dyDescent="0.25">
      <c r="A159" s="62">
        <f t="shared" si="6"/>
        <v>46120</v>
      </c>
      <c r="B159" s="33" t="str">
        <f t="shared" ca="1" si="5"/>
        <v/>
      </c>
      <c r="C159" s="33"/>
      <c r="D159" s="63">
        <f ca="1">IF(TODAY()&gt;=$A159,SUMIFS(Tabla1[Avance_km],Tabla1[Fecha],"&lt;="&amp;Grafico!$A159,Tabla1[nombre_actividad],Grafico!D$1),NA())</f>
        <v>112.52800000000005</v>
      </c>
      <c r="E159" s="63">
        <f ca="1">IF(TODAY()&gt;=$A159,SUMIFS(Tabla1[Avance_km],Tabla1[Fecha],"&lt;="&amp;Grafico!$A159,Tabla1[nombre_actividad],Grafico!E$1),NA())</f>
        <v>99.906000000000006</v>
      </c>
      <c r="F159" s="110">
        <f ca="1">IF(TODAY()&gt;=$A159,SUMIFS(Tabla1[Avance_km],Tabla1[Fecha],"&lt;="&amp;Grafico!$A159,Tabla1[nombre_actividad],Grafico!F$1,Tabla1[Avance_km],"&gt;0"),NA())</f>
        <v>99.906000000000063</v>
      </c>
      <c r="G159" s="67">
        <f ca="1">IF(TODAY()&gt;=$A159,SUMIFS(Tabla1[Avance_Med],Tabla1[Fecha],"&lt;="&amp;Grafico!$A159,Tabla1[nombre_actividad],Grafico!G$1),NA())</f>
        <v>376</v>
      </c>
      <c r="H159" s="63">
        <f ca="1">IF(TODAY()&gt;=$A159,SUMIFS(Tabla1[Avance_km],Tabla1[Fecha],"&lt;="&amp;Grafico!$A159,Tabla1[nombre_actividad],Grafico!H$1),NA())</f>
        <v>0</v>
      </c>
      <c r="I159" s="63"/>
    </row>
    <row r="160" spans="1:9" x14ac:dyDescent="0.25">
      <c r="A160" s="62">
        <f t="shared" si="6"/>
        <v>46121</v>
      </c>
      <c r="B160" s="33" t="str">
        <f t="shared" ca="1" si="5"/>
        <v/>
      </c>
      <c r="C160" s="33"/>
      <c r="D160" s="63">
        <f ca="1">IF(TODAY()&gt;=$A160,SUMIFS(Tabla1[Avance_km],Tabla1[Fecha],"&lt;="&amp;Grafico!$A160,Tabla1[nombre_actividad],Grafico!D$1),NA())</f>
        <v>115.27800000000005</v>
      </c>
      <c r="E160" s="63">
        <f ca="1">IF(TODAY()&gt;=$A160,SUMIFS(Tabla1[Avance_km],Tabla1[Fecha],"&lt;="&amp;Grafico!$A160,Tabla1[nombre_actividad],Grafico!E$1),NA())</f>
        <v>99.906000000000006</v>
      </c>
      <c r="F160" s="110">
        <f ca="1">IF(TODAY()&gt;=$A160,SUMIFS(Tabla1[Avance_km],Tabla1[Fecha],"&lt;="&amp;Grafico!$A160,Tabla1[nombre_actividad],Grafico!F$1,Tabla1[Avance_km],"&gt;0"),NA())</f>
        <v>99.906000000000063</v>
      </c>
      <c r="G160" s="67">
        <f ca="1">IF(TODAY()&gt;=$A160,SUMIFS(Tabla1[Avance_Med],Tabla1[Fecha],"&lt;="&amp;Grafico!$A160,Tabla1[nombre_actividad],Grafico!G$1),NA())</f>
        <v>376</v>
      </c>
      <c r="H160" s="63">
        <f ca="1">IF(TODAY()&gt;=$A160,SUMIFS(Tabla1[Avance_km],Tabla1[Fecha],"&lt;="&amp;Grafico!$A160,Tabla1[nombre_actividad],Grafico!H$1),NA())</f>
        <v>0</v>
      </c>
      <c r="I160" s="63"/>
    </row>
    <row r="161" spans="1:9" x14ac:dyDescent="0.25">
      <c r="A161" s="62">
        <f t="shared" si="6"/>
        <v>46122</v>
      </c>
      <c r="B161" s="33" t="str">
        <f t="shared" ca="1" si="5"/>
        <v/>
      </c>
      <c r="C161" s="33"/>
      <c r="D161" s="63">
        <f ca="1">IF(TODAY()&gt;=$A161,SUMIFS(Tabla1[Avance_km],Tabla1[Fecha],"&lt;="&amp;Grafico!$A161,Tabla1[nombre_actividad],Grafico!D$1),NA())</f>
        <v>118.27800000000005</v>
      </c>
      <c r="E161" s="63">
        <f ca="1">IF(TODAY()&gt;=$A161,SUMIFS(Tabla1[Avance_km],Tabla1[Fecha],"&lt;="&amp;Grafico!$A161,Tabla1[nombre_actividad],Grafico!E$1),NA())</f>
        <v>99.906000000000006</v>
      </c>
      <c r="F161" s="110">
        <f ca="1">IF(TODAY()&gt;=$A161,SUMIFS(Tabla1[Avance_km],Tabla1[Fecha],"&lt;="&amp;Grafico!$A161,Tabla1[nombre_actividad],Grafico!F$1,Tabla1[Avance_km],"&gt;0"),NA())</f>
        <v>99.906000000000063</v>
      </c>
      <c r="G161" s="67">
        <f ca="1">IF(TODAY()&gt;=$A161,SUMIFS(Tabla1[Avance_Med],Tabla1[Fecha],"&lt;="&amp;Grafico!$A161,Tabla1[nombre_actividad],Grafico!G$1),NA())</f>
        <v>376</v>
      </c>
      <c r="H161" s="63">
        <f ca="1">IF(TODAY()&gt;=$A161,SUMIFS(Tabla1[Avance_km],Tabla1[Fecha],"&lt;="&amp;Grafico!$A161,Tabla1[nombre_actividad],Grafico!H$1),NA())</f>
        <v>0</v>
      </c>
      <c r="I161" s="63"/>
    </row>
    <row r="162" spans="1:9" x14ac:dyDescent="0.25">
      <c r="A162" s="62">
        <f t="shared" si="6"/>
        <v>46123</v>
      </c>
      <c r="B162" s="33" t="str">
        <f t="shared" ca="1" si="5"/>
        <v/>
      </c>
      <c r="C162" s="33"/>
      <c r="D162" s="63">
        <f ca="1">IF(TODAY()&gt;=$A162,SUMIFS(Tabla1[Avance_km],Tabla1[Fecha],"&lt;="&amp;Grafico!$A162,Tabla1[nombre_actividad],Grafico!D$1),NA())</f>
        <v>119.52800000000005</v>
      </c>
      <c r="E162" s="63">
        <f ca="1">IF(TODAY()&gt;=$A162,SUMIFS(Tabla1[Avance_km],Tabla1[Fecha],"&lt;="&amp;Grafico!$A162,Tabla1[nombre_actividad],Grafico!E$1),NA())</f>
        <v>99.906000000000006</v>
      </c>
      <c r="F162" s="110">
        <f ca="1">IF(TODAY()&gt;=$A162,SUMIFS(Tabla1[Avance_km],Tabla1[Fecha],"&lt;="&amp;Grafico!$A162,Tabla1[nombre_actividad],Grafico!F$1,Tabla1[Avance_km],"&gt;0"),NA())</f>
        <v>99.906000000000063</v>
      </c>
      <c r="G162" s="67">
        <f ca="1">IF(TODAY()&gt;=$A162,SUMIFS(Tabla1[Avance_Med],Tabla1[Fecha],"&lt;="&amp;Grafico!$A162,Tabla1[nombre_actividad],Grafico!G$1),NA())</f>
        <v>376</v>
      </c>
      <c r="H162" s="63">
        <f ca="1">IF(TODAY()&gt;=$A162,SUMIFS(Tabla1[Avance_km],Tabla1[Fecha],"&lt;="&amp;Grafico!$A162,Tabla1[nombre_actividad],Grafico!H$1),NA())</f>
        <v>0</v>
      </c>
      <c r="I162" s="63"/>
    </row>
    <row r="163" spans="1:9" x14ac:dyDescent="0.25">
      <c r="A163" s="62">
        <f t="shared" si="6"/>
        <v>46124</v>
      </c>
      <c r="B163" s="33" t="str">
        <f t="shared" ca="1" si="5"/>
        <v/>
      </c>
      <c r="C163" s="33"/>
      <c r="D163" s="63">
        <f ca="1">IF(TODAY()&gt;=$A163,SUMIFS(Tabla1[Avance_km],Tabla1[Fecha],"&lt;="&amp;Grafico!$A163,Tabla1[nombre_actividad],Grafico!D$1),NA())</f>
        <v>119.52800000000005</v>
      </c>
      <c r="E163" s="63">
        <f ca="1">IF(TODAY()&gt;=$A163,SUMIFS(Tabla1[Avance_km],Tabla1[Fecha],"&lt;="&amp;Grafico!$A163,Tabla1[nombre_actividad],Grafico!E$1),NA())</f>
        <v>99.906000000000006</v>
      </c>
      <c r="F163" s="110">
        <f ca="1">IF(TODAY()&gt;=$A163,SUMIFS(Tabla1[Avance_km],Tabla1[Fecha],"&lt;="&amp;Grafico!$A163,Tabla1[nombre_actividad],Grafico!F$1,Tabla1[Avance_km],"&gt;0"),NA())</f>
        <v>99.906000000000063</v>
      </c>
      <c r="G163" s="67">
        <f ca="1">IF(TODAY()&gt;=$A163,SUMIFS(Tabla1[Avance_Med],Tabla1[Fecha],"&lt;="&amp;Grafico!$A163,Tabla1[nombre_actividad],Grafico!G$1),NA())</f>
        <v>376</v>
      </c>
      <c r="H163" s="63">
        <f ca="1">IF(TODAY()&gt;=$A163,SUMIFS(Tabla1[Avance_km],Tabla1[Fecha],"&lt;="&amp;Grafico!$A163,Tabla1[nombre_actividad],Grafico!H$1),NA())</f>
        <v>0</v>
      </c>
      <c r="I163" s="63"/>
    </row>
    <row r="164" spans="1:9" x14ac:dyDescent="0.25">
      <c r="A164" s="62">
        <f t="shared" si="6"/>
        <v>46125</v>
      </c>
      <c r="B164" s="33" t="str">
        <f t="shared" ca="1" si="5"/>
        <v/>
      </c>
      <c r="C164" s="33"/>
      <c r="D164" s="63">
        <f ca="1">IF(TODAY()&gt;=$A164,SUMIFS(Tabla1[Avance_km],Tabla1[Fecha],"&lt;="&amp;Grafico!$A164,Tabla1[nombre_actividad],Grafico!D$1),NA())</f>
        <v>120.72800000000005</v>
      </c>
      <c r="E164" s="63">
        <f ca="1">IF(TODAY()&gt;=$A164,SUMIFS(Tabla1[Avance_km],Tabla1[Fecha],"&lt;="&amp;Grafico!$A164,Tabla1[nombre_actividad],Grafico!E$1),NA())</f>
        <v>99.906000000000006</v>
      </c>
      <c r="F164" s="110">
        <f ca="1">IF(TODAY()&gt;=$A164,SUMIFS(Tabla1[Avance_km],Tabla1[Fecha],"&lt;="&amp;Grafico!$A164,Tabla1[nombre_actividad],Grafico!F$1,Tabla1[Avance_km],"&gt;0"),NA())</f>
        <v>99.906000000000063</v>
      </c>
      <c r="G164" s="67">
        <f ca="1">IF(TODAY()&gt;=$A164,SUMIFS(Tabla1[Avance_Med],Tabla1[Fecha],"&lt;="&amp;Grafico!$A164,Tabla1[nombre_actividad],Grafico!G$1),NA())</f>
        <v>376</v>
      </c>
      <c r="H164" s="63">
        <f ca="1">IF(TODAY()&gt;=$A164,SUMIFS(Tabla1[Avance_km],Tabla1[Fecha],"&lt;="&amp;Grafico!$A164,Tabla1[nombre_actividad],Grafico!H$1),NA())</f>
        <v>0</v>
      </c>
      <c r="I164" s="63"/>
    </row>
    <row r="165" spans="1:9" x14ac:dyDescent="0.25">
      <c r="A165" s="62">
        <f t="shared" si="6"/>
        <v>46126</v>
      </c>
      <c r="B165" s="33" t="str">
        <f t="shared" ca="1" si="5"/>
        <v/>
      </c>
      <c r="C165" s="33"/>
      <c r="D165" s="63">
        <f ca="1">IF(TODAY()&gt;=$A165,SUMIFS(Tabla1[Avance_km],Tabla1[Fecha],"&lt;="&amp;Grafico!$A165,Tabla1[nombre_actividad],Grafico!D$1),NA())</f>
        <v>123.02800000000005</v>
      </c>
      <c r="E165" s="63">
        <f ca="1">IF(TODAY()&gt;=$A165,SUMIFS(Tabla1[Avance_km],Tabla1[Fecha],"&lt;="&amp;Grafico!$A165,Tabla1[nombre_actividad],Grafico!E$1),NA())</f>
        <v>99.906000000000006</v>
      </c>
      <c r="F165" s="110">
        <f ca="1">IF(TODAY()&gt;=$A165,SUMIFS(Tabla1[Avance_km],Tabla1[Fecha],"&lt;="&amp;Grafico!$A165,Tabla1[nombre_actividad],Grafico!F$1,Tabla1[Avance_km],"&gt;0"),NA())</f>
        <v>99.906000000000063</v>
      </c>
      <c r="G165" s="67">
        <f ca="1">IF(TODAY()&gt;=$A165,SUMIFS(Tabla1[Avance_Med],Tabla1[Fecha],"&lt;="&amp;Grafico!$A165,Tabla1[nombre_actividad],Grafico!G$1),NA())</f>
        <v>376</v>
      </c>
      <c r="H165" s="63">
        <f ca="1">IF(TODAY()&gt;=$A165,SUMIFS(Tabla1[Avance_km],Tabla1[Fecha],"&lt;="&amp;Grafico!$A165,Tabla1[nombre_actividad],Grafico!H$1),NA())</f>
        <v>0</v>
      </c>
      <c r="I165" s="63"/>
    </row>
    <row r="166" spans="1:9" x14ac:dyDescent="0.25">
      <c r="A166" s="62">
        <f t="shared" si="6"/>
        <v>46127</v>
      </c>
      <c r="B166" s="33" t="str">
        <f t="shared" ca="1" si="5"/>
        <v/>
      </c>
      <c r="C166" s="33"/>
      <c r="D166" s="63">
        <f ca="1">IF(TODAY()&gt;=$A166,SUMIFS(Tabla1[Avance_km],Tabla1[Fecha],"&lt;="&amp;Grafico!$A166,Tabla1[nombre_actividad],Grafico!D$1),NA())</f>
        <v>124.88600000000005</v>
      </c>
      <c r="E166" s="63">
        <f ca="1">IF(TODAY()&gt;=$A166,SUMIFS(Tabla1[Avance_km],Tabla1[Fecha],"&lt;="&amp;Grafico!$A166,Tabla1[nombre_actividad],Grafico!E$1),NA())</f>
        <v>99.906000000000006</v>
      </c>
      <c r="F166" s="110">
        <f ca="1">IF(TODAY()&gt;=$A166,SUMIFS(Tabla1[Avance_km],Tabla1[Fecha],"&lt;="&amp;Grafico!$A166,Tabla1[nombre_actividad],Grafico!F$1,Tabla1[Avance_km],"&gt;0"),NA())</f>
        <v>99.906000000000063</v>
      </c>
      <c r="G166" s="67">
        <f ca="1">IF(TODAY()&gt;=$A166,SUMIFS(Tabla1[Avance_Med],Tabla1[Fecha],"&lt;="&amp;Grafico!$A166,Tabla1[nombre_actividad],Grafico!G$1),NA())</f>
        <v>376</v>
      </c>
      <c r="H166" s="63">
        <f ca="1">IF(TODAY()&gt;=$A166,SUMIFS(Tabla1[Avance_km],Tabla1[Fecha],"&lt;="&amp;Grafico!$A166,Tabla1[nombre_actividad],Grafico!H$1),NA())</f>
        <v>0</v>
      </c>
      <c r="I166" s="63"/>
    </row>
    <row r="167" spans="1:9" x14ac:dyDescent="0.25">
      <c r="A167" s="62">
        <f t="shared" si="6"/>
        <v>46128</v>
      </c>
      <c r="B167" s="33" t="str">
        <f t="shared" ca="1" si="5"/>
        <v/>
      </c>
      <c r="C167" s="33"/>
      <c r="D167" s="63">
        <f ca="1">IF(TODAY()&gt;=$A167,SUMIFS(Tabla1[Avance_km],Tabla1[Fecha],"&lt;="&amp;Grafico!$A167,Tabla1[nombre_actividad],Grafico!D$1),NA())</f>
        <v>125.14200000000005</v>
      </c>
      <c r="E167" s="63">
        <f ca="1">IF(TODAY()&gt;=$A167,SUMIFS(Tabla1[Avance_km],Tabla1[Fecha],"&lt;="&amp;Grafico!$A167,Tabla1[nombre_actividad],Grafico!E$1),NA())</f>
        <v>99.906000000000006</v>
      </c>
      <c r="F167" s="110">
        <f ca="1">IF(TODAY()&gt;=$A167,SUMIFS(Tabla1[Avance_km],Tabla1[Fecha],"&lt;="&amp;Grafico!$A167,Tabla1[nombre_actividad],Grafico!F$1,Tabla1[Avance_km],"&gt;0"),NA())</f>
        <v>99.906000000000063</v>
      </c>
      <c r="G167" s="67">
        <f ca="1">IF(TODAY()&gt;=$A167,SUMIFS(Tabla1[Avance_Med],Tabla1[Fecha],"&lt;="&amp;Grafico!$A167,Tabla1[nombre_actividad],Grafico!G$1),NA())</f>
        <v>376</v>
      </c>
      <c r="H167" s="63">
        <f ca="1">IF(TODAY()&gt;=$A167,SUMIFS(Tabla1[Avance_km],Tabla1[Fecha],"&lt;="&amp;Grafico!$A167,Tabla1[nombre_actividad],Grafico!H$1),NA())</f>
        <v>0</v>
      </c>
      <c r="I167" s="63"/>
    </row>
    <row r="168" spans="1:9" x14ac:dyDescent="0.25">
      <c r="A168" s="62">
        <f t="shared" si="6"/>
        <v>46129</v>
      </c>
      <c r="B168" s="33" t="str">
        <f t="shared" ca="1" si="5"/>
        <v/>
      </c>
      <c r="C168" s="33"/>
      <c r="D168" s="63">
        <f ca="1">IF(TODAY()&gt;=$A168,SUMIFS(Tabla1[Avance_km],Tabla1[Fecha],"&lt;="&amp;Grafico!$A168,Tabla1[nombre_actividad],Grafico!D$1),NA())</f>
        <v>125.14200000000005</v>
      </c>
      <c r="E168" s="63">
        <f ca="1">IF(TODAY()&gt;=$A168,SUMIFS(Tabla1[Avance_km],Tabla1[Fecha],"&lt;="&amp;Grafico!$A168,Tabla1[nombre_actividad],Grafico!E$1),NA())</f>
        <v>99.906000000000006</v>
      </c>
      <c r="F168" s="110">
        <f ca="1">IF(TODAY()&gt;=$A168,SUMIFS(Tabla1[Avance_km],Tabla1[Fecha],"&lt;="&amp;Grafico!$A168,Tabla1[nombre_actividad],Grafico!F$1,Tabla1[Avance_km],"&gt;0"),NA())</f>
        <v>99.906000000000063</v>
      </c>
      <c r="G168" s="67">
        <f ca="1">IF(TODAY()&gt;=$A168,SUMIFS(Tabla1[Avance_Med],Tabla1[Fecha],"&lt;="&amp;Grafico!$A168,Tabla1[nombre_actividad],Grafico!G$1),NA())</f>
        <v>376</v>
      </c>
      <c r="H168" s="63">
        <f ca="1">IF(TODAY()&gt;=$A168,SUMIFS(Tabla1[Avance_km],Tabla1[Fecha],"&lt;="&amp;Grafico!$A168,Tabla1[nombre_actividad],Grafico!H$1),NA())</f>
        <v>0</v>
      </c>
      <c r="I168" s="63"/>
    </row>
    <row r="169" spans="1:9" x14ac:dyDescent="0.25">
      <c r="A169" s="62">
        <f t="shared" si="6"/>
        <v>46130</v>
      </c>
      <c r="B169" s="33" t="str">
        <f t="shared" ca="1" si="5"/>
        <v/>
      </c>
      <c r="C169" s="33"/>
      <c r="D169" s="63">
        <f ca="1">IF(TODAY()&gt;=$A169,SUMIFS(Tabla1[Avance_km],Tabla1[Fecha],"&lt;="&amp;Grafico!$A169,Tabla1[nombre_actividad],Grafico!D$1),NA())</f>
        <v>125.14200000000005</v>
      </c>
      <c r="E169" s="63">
        <f ca="1">IF(TODAY()&gt;=$A169,SUMIFS(Tabla1[Avance_km],Tabla1[Fecha],"&lt;="&amp;Grafico!$A169,Tabla1[nombre_actividad],Grafico!E$1),NA())</f>
        <v>99.906000000000006</v>
      </c>
      <c r="F169" s="110">
        <f ca="1">IF(TODAY()&gt;=$A169,SUMIFS(Tabla1[Avance_km],Tabla1[Fecha],"&lt;="&amp;Grafico!$A169,Tabla1[nombre_actividad],Grafico!F$1,Tabla1[Avance_km],"&gt;0"),NA())</f>
        <v>99.906000000000063</v>
      </c>
      <c r="G169" s="67">
        <f ca="1">IF(TODAY()&gt;=$A169,SUMIFS(Tabla1[Avance_Med],Tabla1[Fecha],"&lt;="&amp;Grafico!$A169,Tabla1[nombre_actividad],Grafico!G$1),NA())</f>
        <v>376</v>
      </c>
      <c r="H169" s="63">
        <f ca="1">IF(TODAY()&gt;=$A169,SUMIFS(Tabla1[Avance_km],Tabla1[Fecha],"&lt;="&amp;Grafico!$A169,Tabla1[nombre_actividad],Grafico!H$1),NA())</f>
        <v>0</v>
      </c>
      <c r="I169" s="63"/>
    </row>
    <row r="170" spans="1:9" x14ac:dyDescent="0.25">
      <c r="A170" s="62">
        <f t="shared" si="6"/>
        <v>46131</v>
      </c>
      <c r="B170" s="33" t="str">
        <f t="shared" ca="1" si="5"/>
        <v/>
      </c>
      <c r="C170" s="33"/>
      <c r="D170" s="63">
        <f ca="1">IF(TODAY()&gt;=$A170,SUMIFS(Tabla1[Avance_km],Tabla1[Fecha],"&lt;="&amp;Grafico!$A170,Tabla1[nombre_actividad],Grafico!D$1),NA())</f>
        <v>125.14200000000005</v>
      </c>
      <c r="E170" s="63">
        <f ca="1">IF(TODAY()&gt;=$A170,SUMIFS(Tabla1[Avance_km],Tabla1[Fecha],"&lt;="&amp;Grafico!$A170,Tabla1[nombre_actividad],Grafico!E$1),NA())</f>
        <v>99.906000000000006</v>
      </c>
      <c r="F170" s="110">
        <f ca="1">IF(TODAY()&gt;=$A170,SUMIFS(Tabla1[Avance_km],Tabla1[Fecha],"&lt;="&amp;Grafico!$A170,Tabla1[nombre_actividad],Grafico!F$1,Tabla1[Avance_km],"&gt;0"),NA())</f>
        <v>99.906000000000063</v>
      </c>
      <c r="G170" s="67">
        <f ca="1">IF(TODAY()&gt;=$A170,SUMIFS(Tabla1[Avance_Med],Tabla1[Fecha],"&lt;="&amp;Grafico!$A170,Tabla1[nombre_actividad],Grafico!G$1),NA())</f>
        <v>376</v>
      </c>
      <c r="H170" s="63">
        <f ca="1">IF(TODAY()&gt;=$A170,SUMIFS(Tabla1[Avance_km],Tabla1[Fecha],"&lt;="&amp;Grafico!$A170,Tabla1[nombre_actividad],Grafico!H$1),NA())</f>
        <v>0</v>
      </c>
      <c r="I170" s="63"/>
    </row>
    <row r="171" spans="1:9" x14ac:dyDescent="0.25">
      <c r="A171" s="62">
        <f t="shared" si="6"/>
        <v>46132</v>
      </c>
      <c r="B171" s="33" t="str">
        <f t="shared" ca="1" si="5"/>
        <v/>
      </c>
      <c r="C171" s="33"/>
      <c r="D171" s="63">
        <f ca="1">IF(TODAY()&gt;=$A171,SUMIFS(Tabla1[Avance_km],Tabla1[Fecha],"&lt;="&amp;Grafico!$A171,Tabla1[nombre_actividad],Grafico!D$1),NA())</f>
        <v>125.14200000000005</v>
      </c>
      <c r="E171" s="63">
        <f ca="1">IF(TODAY()&gt;=$A171,SUMIFS(Tabla1[Avance_km],Tabla1[Fecha],"&lt;="&amp;Grafico!$A171,Tabla1[nombre_actividad],Grafico!E$1),NA())</f>
        <v>99.906000000000006</v>
      </c>
      <c r="F171" s="110">
        <f ca="1">IF(TODAY()&gt;=$A171,SUMIFS(Tabla1[Avance_km],Tabla1[Fecha],"&lt;="&amp;Grafico!$A171,Tabla1[nombre_actividad],Grafico!F$1,Tabla1[Avance_km],"&gt;0"),NA())</f>
        <v>99.906000000000063</v>
      </c>
      <c r="G171" s="67">
        <f ca="1">IF(TODAY()&gt;=$A171,SUMIFS(Tabla1[Avance_Med],Tabla1[Fecha],"&lt;="&amp;Grafico!$A171,Tabla1[nombre_actividad],Grafico!G$1),NA())</f>
        <v>376</v>
      </c>
      <c r="H171" s="63">
        <f ca="1">IF(TODAY()&gt;=$A171,SUMIFS(Tabla1[Avance_km],Tabla1[Fecha],"&lt;="&amp;Grafico!$A171,Tabla1[nombre_actividad],Grafico!H$1),NA())</f>
        <v>0</v>
      </c>
      <c r="I171" s="63"/>
    </row>
    <row r="172" spans="1:9" x14ac:dyDescent="0.25">
      <c r="A172" s="62">
        <f t="shared" si="6"/>
        <v>46133</v>
      </c>
      <c r="B172" s="33" t="str">
        <f t="shared" ca="1" si="5"/>
        <v/>
      </c>
      <c r="C172" s="33"/>
      <c r="D172" s="63">
        <f ca="1">IF(TODAY()&gt;=$A172,SUMIFS(Tabla1[Avance_km],Tabla1[Fecha],"&lt;="&amp;Grafico!$A172,Tabla1[nombre_actividad],Grafico!D$1),NA())</f>
        <v>125.14200000000005</v>
      </c>
      <c r="E172" s="63">
        <f ca="1">IF(TODAY()&gt;=$A172,SUMIFS(Tabla1[Avance_km],Tabla1[Fecha],"&lt;="&amp;Grafico!$A172,Tabla1[nombre_actividad],Grafico!E$1),NA())</f>
        <v>99.906000000000006</v>
      </c>
      <c r="F172" s="110">
        <f ca="1">IF(TODAY()&gt;=$A172,SUMIFS(Tabla1[Avance_km],Tabla1[Fecha],"&lt;="&amp;Grafico!$A172,Tabla1[nombre_actividad],Grafico!F$1,Tabla1[Avance_km],"&gt;0"),NA())</f>
        <v>99.906000000000063</v>
      </c>
      <c r="G172" s="67">
        <f ca="1">IF(TODAY()&gt;=$A172,SUMIFS(Tabla1[Avance_Med],Tabla1[Fecha],"&lt;="&amp;Grafico!$A172,Tabla1[nombre_actividad],Grafico!G$1),NA())</f>
        <v>376</v>
      </c>
      <c r="H172" s="63">
        <f ca="1">IF(TODAY()&gt;=$A172,SUMIFS(Tabla1[Avance_km],Tabla1[Fecha],"&lt;="&amp;Grafico!$A172,Tabla1[nombre_actividad],Grafico!H$1),NA())</f>
        <v>0</v>
      </c>
      <c r="I172" s="63"/>
    </row>
    <row r="173" spans="1:9" x14ac:dyDescent="0.25">
      <c r="A173" s="62">
        <f t="shared" si="6"/>
        <v>46134</v>
      </c>
      <c r="B173" s="33" t="str">
        <f t="shared" ca="1" si="5"/>
        <v/>
      </c>
      <c r="C173" s="33"/>
      <c r="D173" s="63">
        <f ca="1">IF(TODAY()&gt;=$A173,SUMIFS(Tabla1[Avance_km],Tabla1[Fecha],"&lt;="&amp;Grafico!$A173,Tabla1[nombre_actividad],Grafico!D$1),NA())</f>
        <v>125.14200000000005</v>
      </c>
      <c r="E173" s="63">
        <f ca="1">IF(TODAY()&gt;=$A173,SUMIFS(Tabla1[Avance_km],Tabla1[Fecha],"&lt;="&amp;Grafico!$A173,Tabla1[nombre_actividad],Grafico!E$1),NA())</f>
        <v>99.906000000000006</v>
      </c>
      <c r="F173" s="110">
        <f ca="1">IF(TODAY()&gt;=$A173,SUMIFS(Tabla1[Avance_km],Tabla1[Fecha],"&lt;="&amp;Grafico!$A173,Tabla1[nombre_actividad],Grafico!F$1,Tabla1[Avance_km],"&gt;0"),NA())</f>
        <v>99.906000000000063</v>
      </c>
      <c r="G173" s="67">
        <f ca="1">IF(TODAY()&gt;=$A173,SUMIFS(Tabla1[Avance_Med],Tabla1[Fecha],"&lt;="&amp;Grafico!$A173,Tabla1[nombre_actividad],Grafico!G$1),NA())</f>
        <v>376</v>
      </c>
      <c r="H173" s="63">
        <f ca="1">IF(TODAY()&gt;=$A173,SUMIFS(Tabla1[Avance_km],Tabla1[Fecha],"&lt;="&amp;Grafico!$A173,Tabla1[nombre_actividad],Grafico!H$1),NA())</f>
        <v>0</v>
      </c>
      <c r="I173" s="63"/>
    </row>
    <row r="174" spans="1:9" x14ac:dyDescent="0.25">
      <c r="A174" s="62">
        <f t="shared" si="6"/>
        <v>46135</v>
      </c>
      <c r="B174" s="33" t="str">
        <f t="shared" ca="1" si="5"/>
        <v/>
      </c>
      <c r="C174" s="33"/>
      <c r="D174" s="63">
        <f ca="1">IF(TODAY()&gt;=$A174,SUMIFS(Tabla1[Avance_km],Tabla1[Fecha],"&lt;="&amp;Grafico!$A174,Tabla1[nombre_actividad],Grafico!D$1),NA())</f>
        <v>125.14200000000005</v>
      </c>
      <c r="E174" s="63">
        <f ca="1">IF(TODAY()&gt;=$A174,SUMIFS(Tabla1[Avance_km],Tabla1[Fecha],"&lt;="&amp;Grafico!$A174,Tabla1[nombre_actividad],Grafico!E$1),NA())</f>
        <v>99.906000000000006</v>
      </c>
      <c r="F174" s="110">
        <f ca="1">IF(TODAY()&gt;=$A174,SUMIFS(Tabla1[Avance_km],Tabla1[Fecha],"&lt;="&amp;Grafico!$A174,Tabla1[nombre_actividad],Grafico!F$1,Tabla1[Avance_km],"&gt;0"),NA())</f>
        <v>100.91800000000006</v>
      </c>
      <c r="G174" s="67">
        <f ca="1">IF(TODAY()&gt;=$A174,SUMIFS(Tabla1[Avance_Med],Tabla1[Fecha],"&lt;="&amp;Grafico!$A174,Tabla1[nombre_actividad],Grafico!G$1),NA())</f>
        <v>376</v>
      </c>
      <c r="H174" s="63">
        <f ca="1">IF(TODAY()&gt;=$A174,SUMIFS(Tabla1[Avance_km],Tabla1[Fecha],"&lt;="&amp;Grafico!$A174,Tabla1[nombre_actividad],Grafico!H$1),NA())</f>
        <v>0</v>
      </c>
      <c r="I174" s="63"/>
    </row>
    <row r="175" spans="1:9" x14ac:dyDescent="0.25">
      <c r="A175" s="62">
        <f t="shared" si="6"/>
        <v>46136</v>
      </c>
      <c r="B175" s="33" t="str">
        <f t="shared" ca="1" si="5"/>
        <v/>
      </c>
      <c r="C175" s="33"/>
      <c r="D175" s="63">
        <f ca="1">IF(TODAY()&gt;=$A175,SUMIFS(Tabla1[Avance_km],Tabla1[Fecha],"&lt;="&amp;Grafico!$A175,Tabla1[nombre_actividad],Grafico!D$1),NA())</f>
        <v>125.14200000000005</v>
      </c>
      <c r="E175" s="63">
        <f ca="1">IF(TODAY()&gt;=$A175,SUMIFS(Tabla1[Avance_km],Tabla1[Fecha],"&lt;="&amp;Grafico!$A175,Tabla1[nombre_actividad],Grafico!E$1),NA())</f>
        <v>99.906000000000006</v>
      </c>
      <c r="F175" s="110">
        <f ca="1">IF(TODAY()&gt;=$A175,SUMIFS(Tabla1[Avance_km],Tabla1[Fecha],"&lt;="&amp;Grafico!$A175,Tabla1[nombre_actividad],Grafico!F$1,Tabla1[Avance_km],"&gt;0"),NA())</f>
        <v>102.70700000000006</v>
      </c>
      <c r="G175" s="67">
        <f ca="1">IF(TODAY()&gt;=$A175,SUMIFS(Tabla1[Avance_Med],Tabla1[Fecha],"&lt;="&amp;Grafico!$A175,Tabla1[nombre_actividad],Grafico!G$1),NA())</f>
        <v>376</v>
      </c>
      <c r="H175" s="63">
        <f ca="1">IF(TODAY()&gt;=$A175,SUMIFS(Tabla1[Avance_km],Tabla1[Fecha],"&lt;="&amp;Grafico!$A175,Tabla1[nombre_actividad],Grafico!H$1),NA())</f>
        <v>0</v>
      </c>
      <c r="I175" s="63"/>
    </row>
    <row r="176" spans="1:9" x14ac:dyDescent="0.25">
      <c r="A176" s="62">
        <f t="shared" si="6"/>
        <v>46137</v>
      </c>
      <c r="B176" s="33" t="str">
        <f t="shared" ca="1" si="5"/>
        <v/>
      </c>
      <c r="C176" s="33"/>
      <c r="D176" s="63">
        <f ca="1">IF(TODAY()&gt;=$A176,SUMIFS(Tabla1[Avance_km],Tabla1[Fecha],"&lt;="&amp;Grafico!$A176,Tabla1[nombre_actividad],Grafico!D$1),NA())</f>
        <v>125.14200000000005</v>
      </c>
      <c r="E176" s="63">
        <f ca="1">IF(TODAY()&gt;=$A176,SUMIFS(Tabla1[Avance_km],Tabla1[Fecha],"&lt;="&amp;Grafico!$A176,Tabla1[nombre_actividad],Grafico!E$1),NA())</f>
        <v>99.906000000000006</v>
      </c>
      <c r="F176" s="110">
        <f ca="1">IF(TODAY()&gt;=$A176,SUMIFS(Tabla1[Avance_km],Tabla1[Fecha],"&lt;="&amp;Grafico!$A176,Tabla1[nombre_actividad],Grafico!F$1,Tabla1[Avance_km],"&gt;0"),NA())</f>
        <v>103.08300000000007</v>
      </c>
      <c r="G176" s="67">
        <f ca="1">IF(TODAY()&gt;=$A176,SUMIFS(Tabla1[Avance_Med],Tabla1[Fecha],"&lt;="&amp;Grafico!$A176,Tabla1[nombre_actividad],Grafico!G$1),NA())</f>
        <v>376</v>
      </c>
      <c r="H176" s="63">
        <f ca="1">IF(TODAY()&gt;=$A176,SUMIFS(Tabla1[Avance_km],Tabla1[Fecha],"&lt;="&amp;Grafico!$A176,Tabla1[nombre_actividad],Grafico!H$1),NA())</f>
        <v>0</v>
      </c>
      <c r="I176" s="63"/>
    </row>
    <row r="177" spans="1:9" x14ac:dyDescent="0.25">
      <c r="A177" s="62">
        <f t="shared" si="6"/>
        <v>46138</v>
      </c>
      <c r="B177" s="33" t="str">
        <f t="shared" ca="1" si="5"/>
        <v/>
      </c>
      <c r="C177" s="33"/>
      <c r="D177" s="63">
        <f ca="1">IF(TODAY()&gt;=$A177,SUMIFS(Tabla1[Avance_km],Tabla1[Fecha],"&lt;="&amp;Grafico!$A177,Tabla1[nombre_actividad],Grafico!D$1),NA())</f>
        <v>125.14200000000005</v>
      </c>
      <c r="E177" s="63">
        <f ca="1">IF(TODAY()&gt;=$A177,SUMIFS(Tabla1[Avance_km],Tabla1[Fecha],"&lt;="&amp;Grafico!$A177,Tabla1[nombre_actividad],Grafico!E$1),NA())</f>
        <v>99.906000000000006</v>
      </c>
      <c r="F177" s="110">
        <f ca="1">IF(TODAY()&gt;=$A177,SUMIFS(Tabla1[Avance_km],Tabla1[Fecha],"&lt;="&amp;Grafico!$A177,Tabla1[nombre_actividad],Grafico!F$1,Tabla1[Avance_km],"&gt;0"),NA())</f>
        <v>103.08300000000007</v>
      </c>
      <c r="G177" s="67">
        <f ca="1">IF(TODAY()&gt;=$A177,SUMIFS(Tabla1[Avance_Med],Tabla1[Fecha],"&lt;="&amp;Grafico!$A177,Tabla1[nombre_actividad],Grafico!G$1),NA())</f>
        <v>376</v>
      </c>
      <c r="H177" s="63">
        <f ca="1">IF(TODAY()&gt;=$A177,SUMIFS(Tabla1[Avance_km],Tabla1[Fecha],"&lt;="&amp;Grafico!$A177,Tabla1[nombre_actividad],Grafico!H$1),NA())</f>
        <v>0</v>
      </c>
      <c r="I177" s="63"/>
    </row>
    <row r="178" spans="1:9" x14ac:dyDescent="0.25">
      <c r="A178" s="62">
        <f t="shared" si="6"/>
        <v>46139</v>
      </c>
      <c r="B178" s="33" t="str">
        <f t="shared" ca="1" si="5"/>
        <v/>
      </c>
      <c r="C178" s="33"/>
      <c r="D178" s="63">
        <f ca="1">IF(TODAY()&gt;=$A178,SUMIFS(Tabla1[Avance_km],Tabla1[Fecha],"&lt;="&amp;Grafico!$A178,Tabla1[nombre_actividad],Grafico!D$1),NA())</f>
        <v>125.14200000000005</v>
      </c>
      <c r="E178" s="63">
        <f ca="1">IF(TODAY()&gt;=$A178,SUMIFS(Tabla1[Avance_km],Tabla1[Fecha],"&lt;="&amp;Grafico!$A178,Tabla1[nombre_actividad],Grafico!E$1),NA())</f>
        <v>99.906000000000006</v>
      </c>
      <c r="F178" s="110">
        <f ca="1">IF(TODAY()&gt;=$A178,SUMIFS(Tabla1[Avance_km],Tabla1[Fecha],"&lt;="&amp;Grafico!$A178,Tabla1[nombre_actividad],Grafico!F$1,Tabla1[Avance_km],"&gt;0"),NA())</f>
        <v>104.24800000000008</v>
      </c>
      <c r="G178" s="67">
        <f ca="1">IF(TODAY()&gt;=$A178,SUMIFS(Tabla1[Avance_Med],Tabla1[Fecha],"&lt;="&amp;Grafico!$A178,Tabla1[nombre_actividad],Grafico!G$1),NA())</f>
        <v>376</v>
      </c>
      <c r="H178" s="63">
        <f ca="1">IF(TODAY()&gt;=$A178,SUMIFS(Tabla1[Avance_km],Tabla1[Fecha],"&lt;="&amp;Grafico!$A178,Tabla1[nombre_actividad],Grafico!H$1),NA())</f>
        <v>0</v>
      </c>
      <c r="I178" s="63"/>
    </row>
    <row r="179" spans="1:9" x14ac:dyDescent="0.25">
      <c r="A179" s="62">
        <f t="shared" si="6"/>
        <v>46140</v>
      </c>
      <c r="B179" s="33" t="str">
        <f t="shared" ca="1" si="5"/>
        <v/>
      </c>
      <c r="C179" s="33"/>
      <c r="D179" s="63">
        <f ca="1">IF(TODAY()&gt;=$A179,SUMIFS(Tabla1[Avance_km],Tabla1[Fecha],"&lt;="&amp;Grafico!$A179,Tabla1[nombre_actividad],Grafico!D$1),NA())</f>
        <v>125.14200000000005</v>
      </c>
      <c r="E179" s="63">
        <f ca="1">IF(TODAY()&gt;=$A179,SUMIFS(Tabla1[Avance_km],Tabla1[Fecha],"&lt;="&amp;Grafico!$A179,Tabla1[nombre_actividad],Grafico!E$1),NA())</f>
        <v>99.906000000000006</v>
      </c>
      <c r="F179" s="110">
        <f ca="1">IF(TODAY()&gt;=$A179,SUMIFS(Tabla1[Avance_km],Tabla1[Fecha],"&lt;="&amp;Grafico!$A179,Tabla1[nombre_actividad],Grafico!F$1,Tabla1[Avance_km],"&gt;0"),NA())</f>
        <v>105.38000000000008</v>
      </c>
      <c r="G179" s="67">
        <f ca="1">IF(TODAY()&gt;=$A179,SUMIFS(Tabla1[Avance_Med],Tabla1[Fecha],"&lt;="&amp;Grafico!$A179,Tabla1[nombre_actividad],Grafico!G$1),NA())</f>
        <v>376</v>
      </c>
      <c r="H179" s="63">
        <f ca="1">IF(TODAY()&gt;=$A179,SUMIFS(Tabla1[Avance_km],Tabla1[Fecha],"&lt;="&amp;Grafico!$A179,Tabla1[nombre_actividad],Grafico!H$1),NA())</f>
        <v>0</v>
      </c>
      <c r="I179" s="63"/>
    </row>
    <row r="180" spans="1:9" x14ac:dyDescent="0.25">
      <c r="A180" s="62">
        <f t="shared" si="6"/>
        <v>46141</v>
      </c>
      <c r="B180" s="33" t="str">
        <f t="shared" ca="1" si="5"/>
        <v/>
      </c>
      <c r="C180" s="33"/>
      <c r="D180" s="63">
        <f ca="1">IF(TODAY()&gt;=$A180,SUMIFS(Tabla1[Avance_km],Tabla1[Fecha],"&lt;="&amp;Grafico!$A180,Tabla1[nombre_actividad],Grafico!D$1),NA())</f>
        <v>125.14200000000005</v>
      </c>
      <c r="E180" s="63">
        <f ca="1">IF(TODAY()&gt;=$A180,SUMIFS(Tabla1[Avance_km],Tabla1[Fecha],"&lt;="&amp;Grafico!$A180,Tabla1[nombre_actividad],Grafico!E$1),NA())</f>
        <v>99.906000000000006</v>
      </c>
      <c r="F180" s="110">
        <f ca="1">IF(TODAY()&gt;=$A180,SUMIFS(Tabla1[Avance_km],Tabla1[Fecha],"&lt;="&amp;Grafico!$A180,Tabla1[nombre_actividad],Grafico!F$1,Tabla1[Avance_km],"&gt;0"),NA())</f>
        <v>105.38000000000008</v>
      </c>
      <c r="G180" s="67">
        <f ca="1">IF(TODAY()&gt;=$A180,SUMIFS(Tabla1[Avance_Med],Tabla1[Fecha],"&lt;="&amp;Grafico!$A180,Tabla1[nombre_actividad],Grafico!G$1),NA())</f>
        <v>376</v>
      </c>
      <c r="H180" s="63">
        <f ca="1">IF(TODAY()&gt;=$A180,SUMIFS(Tabla1[Avance_km],Tabla1[Fecha],"&lt;="&amp;Grafico!$A180,Tabla1[nombre_actividad],Grafico!H$1),NA())</f>
        <v>0</v>
      </c>
      <c r="I180" s="63"/>
    </row>
    <row r="181" spans="1:9" x14ac:dyDescent="0.25">
      <c r="A181" s="62">
        <f t="shared" si="6"/>
        <v>46142</v>
      </c>
      <c r="B181" s="33" t="str">
        <f t="shared" ca="1" si="5"/>
        <v/>
      </c>
      <c r="C181" s="33"/>
      <c r="D181" s="63">
        <f ca="1">IF(TODAY()&gt;=$A181,SUMIFS(Tabla1[Avance_km],Tabla1[Fecha],"&lt;="&amp;Grafico!$A181,Tabla1[nombre_actividad],Grafico!D$1),NA())</f>
        <v>125.14200000000005</v>
      </c>
      <c r="E181" s="63">
        <f ca="1">IF(TODAY()&gt;=$A181,SUMIFS(Tabla1[Avance_km],Tabla1[Fecha],"&lt;="&amp;Grafico!$A181,Tabla1[nombre_actividad],Grafico!E$1),NA())</f>
        <v>99.906000000000006</v>
      </c>
      <c r="F181" s="110">
        <f ca="1">IF(TODAY()&gt;=$A181,SUMIFS(Tabla1[Avance_km],Tabla1[Fecha],"&lt;="&amp;Grafico!$A181,Tabla1[nombre_actividad],Grafico!F$1,Tabla1[Avance_km],"&gt;0"),NA())</f>
        <v>105.86100000000008</v>
      </c>
      <c r="G181" s="67">
        <f ca="1">IF(TODAY()&gt;=$A181,SUMIFS(Tabla1[Avance_Med],Tabla1[Fecha],"&lt;="&amp;Grafico!$A181,Tabla1[nombre_actividad],Grafico!G$1),NA())</f>
        <v>376</v>
      </c>
      <c r="H181" s="63">
        <f ca="1">IF(TODAY()&gt;=$A181,SUMIFS(Tabla1[Avance_km],Tabla1[Fecha],"&lt;="&amp;Grafico!$A181,Tabla1[nombre_actividad],Grafico!H$1),NA())</f>
        <v>0</v>
      </c>
      <c r="I181" s="63"/>
    </row>
    <row r="182" spans="1:9" x14ac:dyDescent="0.25">
      <c r="A182" s="62">
        <f t="shared" si="6"/>
        <v>46143</v>
      </c>
      <c r="B182" s="33" t="str">
        <f t="shared" ca="1" si="5"/>
        <v/>
      </c>
      <c r="C182" s="33"/>
      <c r="D182" s="63">
        <f ca="1">IF(TODAY()&gt;=$A182,SUMIFS(Tabla1[Avance_km],Tabla1[Fecha],"&lt;="&amp;Grafico!$A182,Tabla1[nombre_actividad],Grafico!D$1),NA())</f>
        <v>125.14200000000005</v>
      </c>
      <c r="E182" s="63">
        <f ca="1">IF(TODAY()&gt;=$A182,SUMIFS(Tabla1[Avance_km],Tabla1[Fecha],"&lt;="&amp;Grafico!$A182,Tabla1[nombre_actividad],Grafico!E$1),NA())</f>
        <v>99.906000000000006</v>
      </c>
      <c r="F182" s="110">
        <f ca="1">IF(TODAY()&gt;=$A182,SUMIFS(Tabla1[Avance_km],Tabla1[Fecha],"&lt;="&amp;Grafico!$A182,Tabla1[nombre_actividad],Grafico!F$1,Tabla1[Avance_km],"&gt;0"),NA())</f>
        <v>107.28200000000008</v>
      </c>
      <c r="G182" s="67">
        <f ca="1">IF(TODAY()&gt;=$A182,SUMIFS(Tabla1[Avance_Med],Tabla1[Fecha],"&lt;="&amp;Grafico!$A182,Tabla1[nombre_actividad],Grafico!G$1),NA())</f>
        <v>376</v>
      </c>
      <c r="H182" s="63">
        <f ca="1">IF(TODAY()&gt;=$A182,SUMIFS(Tabla1[Avance_km],Tabla1[Fecha],"&lt;="&amp;Grafico!$A182,Tabla1[nombre_actividad],Grafico!H$1),NA())</f>
        <v>0</v>
      </c>
      <c r="I182" s="63"/>
    </row>
    <row r="183" spans="1:9" x14ac:dyDescent="0.25">
      <c r="A183" s="62">
        <f t="shared" si="6"/>
        <v>46144</v>
      </c>
      <c r="B183" s="33" t="str">
        <f t="shared" ca="1" si="5"/>
        <v/>
      </c>
      <c r="C183" s="33"/>
      <c r="D183" s="63">
        <f ca="1">IF(TODAY()&gt;=$A183,SUMIFS(Tabla1[Avance_km],Tabla1[Fecha],"&lt;="&amp;Grafico!$A183,Tabla1[nombre_actividad],Grafico!D$1),NA())</f>
        <v>125.14200000000005</v>
      </c>
      <c r="E183" s="63">
        <f ca="1">IF(TODAY()&gt;=$A183,SUMIFS(Tabla1[Avance_km],Tabla1[Fecha],"&lt;="&amp;Grafico!$A183,Tabla1[nombre_actividad],Grafico!E$1),NA())</f>
        <v>99.906000000000006</v>
      </c>
      <c r="F183" s="110">
        <f ca="1">IF(TODAY()&gt;=$A183,SUMIFS(Tabla1[Avance_km],Tabla1[Fecha],"&lt;="&amp;Grafico!$A183,Tabla1[nombre_actividad],Grafico!F$1,Tabla1[Avance_km],"&gt;0"),NA())</f>
        <v>107.28200000000008</v>
      </c>
      <c r="G183" s="67">
        <f ca="1">IF(TODAY()&gt;=$A183,SUMIFS(Tabla1[Avance_Med],Tabla1[Fecha],"&lt;="&amp;Grafico!$A183,Tabla1[nombre_actividad],Grafico!G$1),NA())</f>
        <v>376</v>
      </c>
      <c r="H183" s="63">
        <f ca="1">IF(TODAY()&gt;=$A183,SUMIFS(Tabla1[Avance_km],Tabla1[Fecha],"&lt;="&amp;Grafico!$A183,Tabla1[nombre_actividad],Grafico!H$1),NA())</f>
        <v>0</v>
      </c>
      <c r="I183" s="63"/>
    </row>
    <row r="184" spans="1:9" x14ac:dyDescent="0.25">
      <c r="A184" s="62">
        <f t="shared" si="6"/>
        <v>46145</v>
      </c>
      <c r="B184" s="33" t="str">
        <f t="shared" ca="1" si="5"/>
        <v/>
      </c>
      <c r="C184" s="33"/>
      <c r="D184" s="63">
        <f ca="1">IF(TODAY()&gt;=$A184,SUMIFS(Tabla1[Avance_km],Tabla1[Fecha],"&lt;="&amp;Grafico!$A184,Tabla1[nombre_actividad],Grafico!D$1),NA())</f>
        <v>125.14200000000005</v>
      </c>
      <c r="E184" s="63">
        <f ca="1">IF(TODAY()&gt;=$A184,SUMIFS(Tabla1[Avance_km],Tabla1[Fecha],"&lt;="&amp;Grafico!$A184,Tabla1[nombre_actividad],Grafico!E$1),NA())</f>
        <v>99.906000000000006</v>
      </c>
      <c r="F184" s="110">
        <f ca="1">IF(TODAY()&gt;=$A184,SUMIFS(Tabla1[Avance_km],Tabla1[Fecha],"&lt;="&amp;Grafico!$A184,Tabla1[nombre_actividad],Grafico!F$1,Tabla1[Avance_km],"&gt;0"),NA())</f>
        <v>107.28200000000008</v>
      </c>
      <c r="G184" s="67">
        <f ca="1">IF(TODAY()&gt;=$A184,SUMIFS(Tabla1[Avance_Med],Tabla1[Fecha],"&lt;="&amp;Grafico!$A184,Tabla1[nombre_actividad],Grafico!G$1),NA())</f>
        <v>376</v>
      </c>
      <c r="H184" s="63">
        <f ca="1">IF(TODAY()&gt;=$A184,SUMIFS(Tabla1[Avance_km],Tabla1[Fecha],"&lt;="&amp;Grafico!$A184,Tabla1[nombre_actividad],Grafico!H$1),NA())</f>
        <v>0</v>
      </c>
      <c r="I184" s="63"/>
    </row>
    <row r="185" spans="1:9" x14ac:dyDescent="0.25">
      <c r="A185" s="62">
        <f t="shared" si="6"/>
        <v>46146</v>
      </c>
      <c r="B185" s="33" t="str">
        <f t="shared" ca="1" si="5"/>
        <v/>
      </c>
      <c r="C185" s="33"/>
      <c r="D185" s="63">
        <f ca="1">IF(TODAY()&gt;=$A185,SUMIFS(Tabla1[Avance_km],Tabla1[Fecha],"&lt;="&amp;Grafico!$A185,Tabla1[nombre_actividad],Grafico!D$1),NA())</f>
        <v>125.14200000000005</v>
      </c>
      <c r="E185" s="63">
        <f ca="1">IF(TODAY()&gt;=$A185,SUMIFS(Tabla1[Avance_km],Tabla1[Fecha],"&lt;="&amp;Grafico!$A185,Tabla1[nombre_actividad],Grafico!E$1),NA())</f>
        <v>99.906000000000006</v>
      </c>
      <c r="F185" s="110">
        <f ca="1">IF(TODAY()&gt;=$A185,SUMIFS(Tabla1[Avance_km],Tabla1[Fecha],"&lt;="&amp;Grafico!$A185,Tabla1[nombre_actividad],Grafico!F$1,Tabla1[Avance_km],"&gt;0"),NA())</f>
        <v>108.92500000000008</v>
      </c>
      <c r="G185" s="67">
        <f ca="1">IF(TODAY()&gt;=$A185,SUMIFS(Tabla1[Avance_Med],Tabla1[Fecha],"&lt;="&amp;Grafico!$A185,Tabla1[nombre_actividad],Grafico!G$1),NA())</f>
        <v>376</v>
      </c>
      <c r="H185" s="63">
        <f ca="1">IF(TODAY()&gt;=$A185,SUMIFS(Tabla1[Avance_km],Tabla1[Fecha],"&lt;="&amp;Grafico!$A185,Tabla1[nombre_actividad],Grafico!H$1),NA())</f>
        <v>0</v>
      </c>
      <c r="I185" s="63"/>
    </row>
    <row r="186" spans="1:9" x14ac:dyDescent="0.25">
      <c r="A186" s="62">
        <f t="shared" si="6"/>
        <v>46147</v>
      </c>
      <c r="B186" s="33" t="str">
        <f t="shared" ca="1" si="5"/>
        <v/>
      </c>
      <c r="C186" s="33"/>
      <c r="D186" s="63">
        <f ca="1">IF(TODAY()&gt;=$A186,SUMIFS(Tabla1[Avance_km],Tabla1[Fecha],"&lt;="&amp;Grafico!$A186,Tabla1[nombre_actividad],Grafico!D$1),NA())</f>
        <v>125.14200000000005</v>
      </c>
      <c r="E186" s="63">
        <f ca="1">IF(TODAY()&gt;=$A186,SUMIFS(Tabla1[Avance_km],Tabla1[Fecha],"&lt;="&amp;Grafico!$A186,Tabla1[nombre_actividad],Grafico!E$1),NA())</f>
        <v>99.906000000000006</v>
      </c>
      <c r="F186" s="110">
        <f ca="1">IF(TODAY()&gt;=$A186,SUMIFS(Tabla1[Avance_km],Tabla1[Fecha],"&lt;="&amp;Grafico!$A186,Tabla1[nombre_actividad],Grafico!F$1,Tabla1[Avance_km],"&gt;0"),NA())</f>
        <v>110.05700000000009</v>
      </c>
      <c r="G186" s="67">
        <f ca="1">IF(TODAY()&gt;=$A186,SUMIFS(Tabla1[Avance_Med],Tabla1[Fecha],"&lt;="&amp;Grafico!$A186,Tabla1[nombre_actividad],Grafico!G$1),NA())</f>
        <v>376</v>
      </c>
      <c r="H186" s="63">
        <f ca="1">IF(TODAY()&gt;=$A186,SUMIFS(Tabla1[Avance_km],Tabla1[Fecha],"&lt;="&amp;Grafico!$A186,Tabla1[nombre_actividad],Grafico!H$1),NA())</f>
        <v>0</v>
      </c>
      <c r="I186" s="63"/>
    </row>
    <row r="187" spans="1:9" x14ac:dyDescent="0.25">
      <c r="A187" s="62">
        <f t="shared" si="6"/>
        <v>46148</v>
      </c>
      <c r="B187" s="33" t="str">
        <f t="shared" ca="1" si="5"/>
        <v/>
      </c>
      <c r="C187" s="33"/>
      <c r="D187" s="63">
        <f ca="1">IF(TODAY()&gt;=$A187,SUMIFS(Tabla1[Avance_km],Tabla1[Fecha],"&lt;="&amp;Grafico!$A187,Tabla1[nombre_actividad],Grafico!D$1),NA())</f>
        <v>125.14200000000005</v>
      </c>
      <c r="E187" s="63">
        <f ca="1">IF(TODAY()&gt;=$A187,SUMIFS(Tabla1[Avance_km],Tabla1[Fecha],"&lt;="&amp;Grafico!$A187,Tabla1[nombre_actividad],Grafico!E$1),NA())</f>
        <v>99.906000000000006</v>
      </c>
      <c r="F187" s="110">
        <f ca="1">IF(TODAY()&gt;=$A187,SUMIFS(Tabla1[Avance_km],Tabla1[Fecha],"&lt;="&amp;Grafico!$A187,Tabla1[nombre_actividad],Grafico!F$1,Tabla1[Avance_km],"&gt;0"),NA())</f>
        <v>111.85300000000009</v>
      </c>
      <c r="G187" s="67">
        <f ca="1">IF(TODAY()&gt;=$A187,SUMIFS(Tabla1[Avance_Med],Tabla1[Fecha],"&lt;="&amp;Grafico!$A187,Tabla1[nombre_actividad],Grafico!G$1),NA())</f>
        <v>376</v>
      </c>
      <c r="H187" s="63">
        <f ca="1">IF(TODAY()&gt;=$A187,SUMIFS(Tabla1[Avance_km],Tabla1[Fecha],"&lt;="&amp;Grafico!$A187,Tabla1[nombre_actividad],Grafico!H$1),NA())</f>
        <v>0</v>
      </c>
      <c r="I187" s="63"/>
    </row>
    <row r="188" spans="1:9" x14ac:dyDescent="0.25">
      <c r="A188" s="62">
        <f t="shared" si="6"/>
        <v>46149</v>
      </c>
      <c r="B188" s="33" t="str">
        <f t="shared" ca="1" si="5"/>
        <v/>
      </c>
      <c r="C188" s="33"/>
      <c r="D188" s="63">
        <f ca="1">IF(TODAY()&gt;=$A188,SUMIFS(Tabla1[Avance_km],Tabla1[Fecha],"&lt;="&amp;Grafico!$A188,Tabla1[nombre_actividad],Grafico!D$1),NA())</f>
        <v>125.14200000000005</v>
      </c>
      <c r="E188" s="63">
        <f ca="1">IF(TODAY()&gt;=$A188,SUMIFS(Tabla1[Avance_km],Tabla1[Fecha],"&lt;="&amp;Grafico!$A188,Tabla1[nombre_actividad],Grafico!E$1),NA())</f>
        <v>99.906000000000006</v>
      </c>
      <c r="F188" s="110">
        <f ca="1">IF(TODAY()&gt;=$A188,SUMIFS(Tabla1[Avance_km],Tabla1[Fecha],"&lt;="&amp;Grafico!$A188,Tabla1[nombre_actividad],Grafico!F$1,Tabla1[Avance_km],"&gt;0"),NA())</f>
        <v>114.0470000000001</v>
      </c>
      <c r="G188" s="67">
        <f ca="1">IF(TODAY()&gt;=$A188,SUMIFS(Tabla1[Avance_Med],Tabla1[Fecha],"&lt;="&amp;Grafico!$A188,Tabla1[nombre_actividad],Grafico!G$1),NA())</f>
        <v>376</v>
      </c>
      <c r="H188" s="63">
        <f ca="1">IF(TODAY()&gt;=$A188,SUMIFS(Tabla1[Avance_km],Tabla1[Fecha],"&lt;="&amp;Grafico!$A188,Tabla1[nombre_actividad],Grafico!H$1),NA())</f>
        <v>0</v>
      </c>
      <c r="I188" s="63"/>
    </row>
    <row r="189" spans="1:9" x14ac:dyDescent="0.25">
      <c r="A189" s="62">
        <f t="shared" si="6"/>
        <v>46150</v>
      </c>
      <c r="B189" s="33" t="str">
        <f t="shared" ca="1" si="5"/>
        <v/>
      </c>
      <c r="C189" s="33"/>
      <c r="D189" s="63">
        <f ca="1">IF(TODAY()&gt;=$A189,SUMIFS(Tabla1[Avance_km],Tabla1[Fecha],"&lt;="&amp;Grafico!$A189,Tabla1[nombre_actividad],Grafico!D$1),NA())</f>
        <v>125.14200000000005</v>
      </c>
      <c r="E189" s="63">
        <f ca="1">IF(TODAY()&gt;=$A189,SUMIFS(Tabla1[Avance_km],Tabla1[Fecha],"&lt;="&amp;Grafico!$A189,Tabla1[nombre_actividad],Grafico!E$1),NA())</f>
        <v>99.906000000000006</v>
      </c>
      <c r="F189" s="110">
        <f ca="1">IF(TODAY()&gt;=$A189,SUMIFS(Tabla1[Avance_km],Tabla1[Fecha],"&lt;="&amp;Grafico!$A189,Tabla1[nombre_actividad],Grafico!F$1,Tabla1[Avance_km],"&gt;0"),NA())</f>
        <v>116.7110000000001</v>
      </c>
      <c r="G189" s="67">
        <f ca="1">IF(TODAY()&gt;=$A189,SUMIFS(Tabla1[Avance_Med],Tabla1[Fecha],"&lt;="&amp;Grafico!$A189,Tabla1[nombre_actividad],Grafico!G$1),NA())</f>
        <v>376</v>
      </c>
      <c r="H189" s="63">
        <f ca="1">IF(TODAY()&gt;=$A189,SUMIFS(Tabla1[Avance_km],Tabla1[Fecha],"&lt;="&amp;Grafico!$A189,Tabla1[nombre_actividad],Grafico!H$1),NA())</f>
        <v>0</v>
      </c>
      <c r="I189" s="63"/>
    </row>
    <row r="190" spans="1:9" x14ac:dyDescent="0.25">
      <c r="A190" s="62">
        <f t="shared" si="6"/>
        <v>46151</v>
      </c>
      <c r="B190" s="33" t="str">
        <f t="shared" ca="1" si="5"/>
        <v/>
      </c>
      <c r="C190" s="33"/>
      <c r="D190" s="63">
        <f ca="1">IF(TODAY()&gt;=$A190,SUMIFS(Tabla1[Avance_km],Tabla1[Fecha],"&lt;="&amp;Grafico!$A190,Tabla1[nombre_actividad],Grafico!D$1),NA())</f>
        <v>125.14200000000005</v>
      </c>
      <c r="E190" s="63">
        <f ca="1">IF(TODAY()&gt;=$A190,SUMIFS(Tabla1[Avance_km],Tabla1[Fecha],"&lt;="&amp;Grafico!$A190,Tabla1[nombre_actividad],Grafico!E$1),NA())</f>
        <v>99.906000000000006</v>
      </c>
      <c r="F190" s="110">
        <f ca="1">IF(TODAY()&gt;=$A190,SUMIFS(Tabla1[Avance_km],Tabla1[Fecha],"&lt;="&amp;Grafico!$A190,Tabla1[nombre_actividad],Grafico!F$1,Tabla1[Avance_km],"&gt;0"),NA())</f>
        <v>117.1140000000001</v>
      </c>
      <c r="G190" s="67">
        <f ca="1">IF(TODAY()&gt;=$A190,SUMIFS(Tabla1[Avance_Med],Tabla1[Fecha],"&lt;="&amp;Grafico!$A190,Tabla1[nombre_actividad],Grafico!G$1),NA())</f>
        <v>376</v>
      </c>
      <c r="H190" s="63">
        <f ca="1">IF(TODAY()&gt;=$A190,SUMIFS(Tabla1[Avance_km],Tabla1[Fecha],"&lt;="&amp;Grafico!$A190,Tabla1[nombre_actividad],Grafico!H$1),NA())</f>
        <v>0</v>
      </c>
      <c r="I190" s="63"/>
    </row>
    <row r="191" spans="1:9" x14ac:dyDescent="0.25">
      <c r="A191" s="62">
        <f t="shared" si="6"/>
        <v>46152</v>
      </c>
      <c r="B191" s="33" t="str">
        <f t="shared" ca="1" si="5"/>
        <v/>
      </c>
      <c r="C191" s="33"/>
      <c r="D191" s="63">
        <f ca="1">IF(TODAY()&gt;=$A191,SUMIFS(Tabla1[Avance_km],Tabla1[Fecha],"&lt;="&amp;Grafico!$A191,Tabla1[nombre_actividad],Grafico!D$1),NA())</f>
        <v>125.14200000000005</v>
      </c>
      <c r="E191" s="63">
        <f ca="1">IF(TODAY()&gt;=$A191,SUMIFS(Tabla1[Avance_km],Tabla1[Fecha],"&lt;="&amp;Grafico!$A191,Tabla1[nombre_actividad],Grafico!E$1),NA())</f>
        <v>99.906000000000006</v>
      </c>
      <c r="F191" s="110">
        <f ca="1">IF(TODAY()&gt;=$A191,SUMIFS(Tabla1[Avance_km],Tabla1[Fecha],"&lt;="&amp;Grafico!$A191,Tabla1[nombre_actividad],Grafico!F$1,Tabla1[Avance_km],"&gt;0"),NA())</f>
        <v>117.1140000000001</v>
      </c>
      <c r="G191" s="67">
        <f ca="1">IF(TODAY()&gt;=$A191,SUMIFS(Tabla1[Avance_Med],Tabla1[Fecha],"&lt;="&amp;Grafico!$A191,Tabla1[nombre_actividad],Grafico!G$1),NA())</f>
        <v>376</v>
      </c>
      <c r="H191" s="63">
        <f ca="1">IF(TODAY()&gt;=$A191,SUMIFS(Tabla1[Avance_km],Tabla1[Fecha],"&lt;="&amp;Grafico!$A191,Tabla1[nombre_actividad],Grafico!H$1),NA())</f>
        <v>0</v>
      </c>
      <c r="I191" s="63"/>
    </row>
    <row r="192" spans="1:9" x14ac:dyDescent="0.25">
      <c r="A192" s="62">
        <f t="shared" si="6"/>
        <v>46153</v>
      </c>
      <c r="B192" s="33" t="str">
        <f t="shared" ca="1" si="5"/>
        <v/>
      </c>
      <c r="C192" s="33"/>
      <c r="D192" s="63">
        <f ca="1">IF(TODAY()&gt;=$A192,SUMIFS(Tabla1[Avance_km],Tabla1[Fecha],"&lt;="&amp;Grafico!$A192,Tabla1[nombre_actividad],Grafico!D$1),NA())</f>
        <v>125.14200000000005</v>
      </c>
      <c r="E192" s="63">
        <f ca="1">IF(TODAY()&gt;=$A192,SUMIFS(Tabla1[Avance_km],Tabla1[Fecha],"&lt;="&amp;Grafico!$A192,Tabla1[nombre_actividad],Grafico!E$1),NA())</f>
        <v>99.906000000000006</v>
      </c>
      <c r="F192" s="110">
        <f ca="1">IF(TODAY()&gt;=$A192,SUMIFS(Tabla1[Avance_km],Tabla1[Fecha],"&lt;="&amp;Grafico!$A192,Tabla1[nombre_actividad],Grafico!F$1,Tabla1[Avance_km],"&gt;0"),NA())</f>
        <v>118.34400000000011</v>
      </c>
      <c r="G192" s="67">
        <f ca="1">IF(TODAY()&gt;=$A192,SUMIFS(Tabla1[Avance_Med],Tabla1[Fecha],"&lt;="&amp;Grafico!$A192,Tabla1[nombre_actividad],Grafico!G$1),NA())</f>
        <v>376</v>
      </c>
      <c r="H192" s="63">
        <f ca="1">IF(TODAY()&gt;=$A192,SUMIFS(Tabla1[Avance_km],Tabla1[Fecha],"&lt;="&amp;Grafico!$A192,Tabla1[nombre_actividad],Grafico!H$1),NA())</f>
        <v>0</v>
      </c>
      <c r="I192" s="63"/>
    </row>
    <row r="193" spans="1:9" x14ac:dyDescent="0.25">
      <c r="A193" s="62">
        <f t="shared" si="6"/>
        <v>46154</v>
      </c>
      <c r="B193" s="33" t="str">
        <f t="shared" ca="1" si="5"/>
        <v/>
      </c>
      <c r="C193" s="33"/>
      <c r="D193" s="63">
        <f ca="1">IF(TODAY()&gt;=$A193,SUMIFS(Tabla1[Avance_km],Tabla1[Fecha],"&lt;="&amp;Grafico!$A193,Tabla1[nombre_actividad],Grafico!D$1),NA())</f>
        <v>125.14200000000005</v>
      </c>
      <c r="E193" s="63">
        <f ca="1">IF(TODAY()&gt;=$A193,SUMIFS(Tabla1[Avance_km],Tabla1[Fecha],"&lt;="&amp;Grafico!$A193,Tabla1[nombre_actividad],Grafico!E$1),NA())</f>
        <v>99.906000000000006</v>
      </c>
      <c r="F193" s="110">
        <f ca="1">IF(TODAY()&gt;=$A193,SUMIFS(Tabla1[Avance_km],Tabla1[Fecha],"&lt;="&amp;Grafico!$A193,Tabla1[nombre_actividad],Grafico!F$1,Tabla1[Avance_km],"&gt;0"),NA())</f>
        <v>119.10600000000011</v>
      </c>
      <c r="G193" s="67">
        <f ca="1">IF(TODAY()&gt;=$A193,SUMIFS(Tabla1[Avance_Med],Tabla1[Fecha],"&lt;="&amp;Grafico!$A193,Tabla1[nombre_actividad],Grafico!G$1),NA())</f>
        <v>376</v>
      </c>
      <c r="H193" s="63">
        <f ca="1">IF(TODAY()&gt;=$A193,SUMIFS(Tabla1[Avance_km],Tabla1[Fecha],"&lt;="&amp;Grafico!$A193,Tabla1[nombre_actividad],Grafico!H$1),NA())</f>
        <v>0</v>
      </c>
      <c r="I193" s="63"/>
    </row>
    <row r="194" spans="1:9" x14ac:dyDescent="0.25">
      <c r="A194" s="62">
        <f t="shared" si="6"/>
        <v>46155</v>
      </c>
      <c r="B194" s="33" t="str">
        <f t="shared" ca="1" si="5"/>
        <v/>
      </c>
      <c r="C194" s="33"/>
      <c r="D194" s="63">
        <f ca="1">IF(TODAY()&gt;=$A194,SUMIFS(Tabla1[Avance_km],Tabla1[Fecha],"&lt;="&amp;Grafico!$A194,Tabla1[nombre_actividad],Grafico!D$1),NA())</f>
        <v>125.14200000000005</v>
      </c>
      <c r="E194" s="63">
        <f ca="1">IF(TODAY()&gt;=$A194,SUMIFS(Tabla1[Avance_km],Tabla1[Fecha],"&lt;="&amp;Grafico!$A194,Tabla1[nombre_actividad],Grafico!E$1),NA())</f>
        <v>99.906000000000006</v>
      </c>
      <c r="F194" s="110">
        <f ca="1">IF(TODAY()&gt;=$A194,SUMIFS(Tabla1[Avance_km],Tabla1[Fecha],"&lt;="&amp;Grafico!$A194,Tabla1[nombre_actividad],Grafico!F$1,Tabla1[Avance_km],"&gt;0"),NA())</f>
        <v>120.45700000000011</v>
      </c>
      <c r="G194" s="67">
        <f ca="1">IF(TODAY()&gt;=$A194,SUMIFS(Tabla1[Avance_Med],Tabla1[Fecha],"&lt;="&amp;Grafico!$A194,Tabla1[nombre_actividad],Grafico!G$1),NA())</f>
        <v>376</v>
      </c>
      <c r="H194" s="63">
        <f ca="1">IF(TODAY()&gt;=$A194,SUMIFS(Tabla1[Avance_km],Tabla1[Fecha],"&lt;="&amp;Grafico!$A194,Tabla1[nombre_actividad],Grafico!H$1),NA())</f>
        <v>0</v>
      </c>
      <c r="I194" s="63"/>
    </row>
    <row r="195" spans="1:9" x14ac:dyDescent="0.25">
      <c r="A195" s="62">
        <f t="shared" si="6"/>
        <v>46156</v>
      </c>
      <c r="B195" s="33" t="str">
        <f t="shared" ref="B195:B258" ca="1" si="7">+IF(A195=TODAY(),200,"")</f>
        <v/>
      </c>
      <c r="C195" s="33"/>
      <c r="D195" s="63">
        <f ca="1">IF(TODAY()&gt;=$A195,SUMIFS(Tabla1[Avance_km],Tabla1[Fecha],"&lt;="&amp;Grafico!$A195,Tabla1[nombre_actividad],Grafico!D$1),NA())</f>
        <v>125.14200000000005</v>
      </c>
      <c r="E195" s="63">
        <f ca="1">IF(TODAY()&gt;=$A195,SUMIFS(Tabla1[Avance_km],Tabla1[Fecha],"&lt;="&amp;Grafico!$A195,Tabla1[nombre_actividad],Grafico!E$1),NA())</f>
        <v>99.906000000000006</v>
      </c>
      <c r="F195" s="110">
        <f ca="1">IF(TODAY()&gt;=$A195,SUMIFS(Tabla1[Avance_km],Tabla1[Fecha],"&lt;="&amp;Grafico!$A195,Tabla1[nombre_actividad],Grafico!F$1,Tabla1[Avance_km],"&gt;0"),NA())</f>
        <v>121.46600000000011</v>
      </c>
      <c r="G195" s="67">
        <f ca="1">IF(TODAY()&gt;=$A195,SUMIFS(Tabla1[Avance_Med],Tabla1[Fecha],"&lt;="&amp;Grafico!$A195,Tabla1[nombre_actividad],Grafico!G$1),NA())</f>
        <v>376</v>
      </c>
      <c r="H195" s="63">
        <f ca="1">IF(TODAY()&gt;=$A195,SUMIFS(Tabla1[Avance_km],Tabla1[Fecha],"&lt;="&amp;Grafico!$A195,Tabla1[nombre_actividad],Grafico!H$1),NA())</f>
        <v>0</v>
      </c>
      <c r="I195" s="63"/>
    </row>
    <row r="196" spans="1:9" x14ac:dyDescent="0.25">
      <c r="A196" s="62">
        <f t="shared" ref="A196:A259" si="8">+A195+1</f>
        <v>46157</v>
      </c>
      <c r="B196" s="33" t="str">
        <f t="shared" ca="1" si="7"/>
        <v/>
      </c>
      <c r="C196" s="33"/>
      <c r="D196" s="63">
        <f ca="1">IF(TODAY()&gt;=$A196,SUMIFS(Tabla1[Avance_km],Tabla1[Fecha],"&lt;="&amp;Grafico!$A196,Tabla1[nombre_actividad],Grafico!D$1),NA())</f>
        <v>125.14200000000005</v>
      </c>
      <c r="E196" s="63">
        <f ca="1">IF(TODAY()&gt;=$A196,SUMIFS(Tabla1[Avance_km],Tabla1[Fecha],"&lt;="&amp;Grafico!$A196,Tabla1[nombre_actividad],Grafico!E$1),NA())</f>
        <v>102.316</v>
      </c>
      <c r="F196" s="110">
        <f ca="1">IF(TODAY()&gt;=$A196,SUMIFS(Tabla1[Avance_km],Tabla1[Fecha],"&lt;="&amp;Grafico!$A196,Tabla1[nombre_actividad],Grafico!F$1,Tabla1[Avance_km],"&gt;0"),NA())</f>
        <v>121.46600000000011</v>
      </c>
      <c r="G196" s="67">
        <f ca="1">IF(TODAY()&gt;=$A196,SUMIFS(Tabla1[Avance_Med],Tabla1[Fecha],"&lt;="&amp;Grafico!$A196,Tabla1[nombre_actividad],Grafico!G$1),NA())</f>
        <v>376</v>
      </c>
      <c r="H196" s="63">
        <f ca="1">IF(TODAY()&gt;=$A196,SUMIFS(Tabla1[Avance_km],Tabla1[Fecha],"&lt;="&amp;Grafico!$A196,Tabla1[nombre_actividad],Grafico!H$1),NA())</f>
        <v>0</v>
      </c>
      <c r="I196" s="63"/>
    </row>
    <row r="197" spans="1:9" x14ac:dyDescent="0.25">
      <c r="A197" s="62">
        <f t="shared" si="8"/>
        <v>46158</v>
      </c>
      <c r="B197" s="33" t="str">
        <f t="shared" ca="1" si="7"/>
        <v/>
      </c>
      <c r="C197" s="33"/>
      <c r="D197" s="63">
        <f ca="1">IF(TODAY()&gt;=$A197,SUMIFS(Tabla1[Avance_km],Tabla1[Fecha],"&lt;="&amp;Grafico!$A197,Tabla1[nombre_actividad],Grafico!D$1),NA())</f>
        <v>125.14200000000005</v>
      </c>
      <c r="E197" s="63">
        <f ca="1">IF(TODAY()&gt;=$A197,SUMIFS(Tabla1[Avance_km],Tabla1[Fecha],"&lt;="&amp;Grafico!$A197,Tabla1[nombre_actividad],Grafico!E$1),NA())</f>
        <v>104.242</v>
      </c>
      <c r="F197" s="110">
        <f ca="1">IF(TODAY()&gt;=$A197,SUMIFS(Tabla1[Avance_km],Tabla1[Fecha],"&lt;="&amp;Grafico!$A197,Tabla1[nombre_actividad],Grafico!F$1,Tabla1[Avance_km],"&gt;0"),NA())</f>
        <v>121.46600000000011</v>
      </c>
      <c r="G197" s="67">
        <f ca="1">IF(TODAY()&gt;=$A197,SUMIFS(Tabla1[Avance_Med],Tabla1[Fecha],"&lt;="&amp;Grafico!$A197,Tabla1[nombre_actividad],Grafico!G$1),NA())</f>
        <v>376</v>
      </c>
      <c r="H197" s="63">
        <f ca="1">IF(TODAY()&gt;=$A197,SUMIFS(Tabla1[Avance_km],Tabla1[Fecha],"&lt;="&amp;Grafico!$A197,Tabla1[nombre_actividad],Grafico!H$1),NA())</f>
        <v>0</v>
      </c>
      <c r="I197" s="63"/>
    </row>
    <row r="198" spans="1:9" x14ac:dyDescent="0.25">
      <c r="A198" s="62">
        <f t="shared" si="8"/>
        <v>46159</v>
      </c>
      <c r="B198" s="33" t="str">
        <f t="shared" ca="1" si="7"/>
        <v/>
      </c>
      <c r="C198" s="33"/>
      <c r="D198" s="63">
        <f ca="1">IF(TODAY()&gt;=$A198,SUMIFS(Tabla1[Avance_km],Tabla1[Fecha],"&lt;="&amp;Grafico!$A198,Tabla1[nombre_actividad],Grafico!D$1),NA())</f>
        <v>125.14200000000005</v>
      </c>
      <c r="E198" s="63">
        <f ca="1">IF(TODAY()&gt;=$A198,SUMIFS(Tabla1[Avance_km],Tabla1[Fecha],"&lt;="&amp;Grafico!$A198,Tabla1[nombre_actividad],Grafico!E$1),NA())</f>
        <v>104.242</v>
      </c>
      <c r="F198" s="110">
        <f ca="1">IF(TODAY()&gt;=$A198,SUMIFS(Tabla1[Avance_km],Tabla1[Fecha],"&lt;="&amp;Grafico!$A198,Tabla1[nombre_actividad],Grafico!F$1,Tabla1[Avance_km],"&gt;0"),NA())</f>
        <v>121.46600000000011</v>
      </c>
      <c r="G198" s="67">
        <f ca="1">IF(TODAY()&gt;=$A198,SUMIFS(Tabla1[Avance_Med],Tabla1[Fecha],"&lt;="&amp;Grafico!$A198,Tabla1[nombre_actividad],Grafico!G$1),NA())</f>
        <v>376</v>
      </c>
      <c r="H198" s="63">
        <f ca="1">IF(TODAY()&gt;=$A198,SUMIFS(Tabla1[Avance_km],Tabla1[Fecha],"&lt;="&amp;Grafico!$A198,Tabla1[nombre_actividad],Grafico!H$1),NA())</f>
        <v>0</v>
      </c>
      <c r="I198" s="63"/>
    </row>
    <row r="199" spans="1:9" x14ac:dyDescent="0.25">
      <c r="A199" s="62">
        <f t="shared" si="8"/>
        <v>46160</v>
      </c>
      <c r="B199" s="33" t="str">
        <f t="shared" ca="1" si="7"/>
        <v/>
      </c>
      <c r="C199" s="33"/>
      <c r="D199" s="63">
        <f ca="1">IF(TODAY()&gt;=$A199,SUMIFS(Tabla1[Avance_km],Tabla1[Fecha],"&lt;="&amp;Grafico!$A199,Tabla1[nombre_actividad],Grafico!D$1),NA())</f>
        <v>125.14200000000005</v>
      </c>
      <c r="E199" s="63">
        <f ca="1">IF(TODAY()&gt;=$A199,SUMIFS(Tabla1[Avance_km],Tabla1[Fecha],"&lt;="&amp;Grafico!$A199,Tabla1[nombre_actividad],Grafico!E$1),NA())</f>
        <v>104.242</v>
      </c>
      <c r="F199" s="110">
        <f ca="1">IF(TODAY()&gt;=$A199,SUMIFS(Tabla1[Avance_km],Tabla1[Fecha],"&lt;="&amp;Grafico!$A199,Tabla1[nombre_actividad],Grafico!F$1,Tabla1[Avance_km],"&gt;0"),NA())</f>
        <v>122.53700000000011</v>
      </c>
      <c r="G199" s="67">
        <f ca="1">IF(TODAY()&gt;=$A199,SUMIFS(Tabla1[Avance_Med],Tabla1[Fecha],"&lt;="&amp;Grafico!$A199,Tabla1[nombre_actividad],Grafico!G$1),NA())</f>
        <v>376</v>
      </c>
      <c r="H199" s="63">
        <f ca="1">IF(TODAY()&gt;=$A199,SUMIFS(Tabla1[Avance_km],Tabla1[Fecha],"&lt;="&amp;Grafico!$A199,Tabla1[nombre_actividad],Grafico!H$1),NA())</f>
        <v>0</v>
      </c>
      <c r="I199" s="63"/>
    </row>
    <row r="200" spans="1:9" x14ac:dyDescent="0.25">
      <c r="A200" s="62">
        <f t="shared" si="8"/>
        <v>46161</v>
      </c>
      <c r="B200" s="33" t="str">
        <f t="shared" ca="1" si="7"/>
        <v/>
      </c>
      <c r="C200" s="33"/>
      <c r="D200" s="63">
        <f ca="1">IF(TODAY()&gt;=$A200,SUMIFS(Tabla1[Avance_km],Tabla1[Fecha],"&lt;="&amp;Grafico!$A200,Tabla1[nombre_actividad],Grafico!D$1),NA())</f>
        <v>125.14200000000005</v>
      </c>
      <c r="E200" s="63">
        <f ca="1">IF(TODAY()&gt;=$A200,SUMIFS(Tabla1[Avance_km],Tabla1[Fecha],"&lt;="&amp;Grafico!$A200,Tabla1[nombre_actividad],Grafico!E$1),NA())</f>
        <v>104.242</v>
      </c>
      <c r="F200" s="110">
        <f ca="1">IF(TODAY()&gt;=$A200,SUMIFS(Tabla1[Avance_km],Tabla1[Fecha],"&lt;="&amp;Grafico!$A200,Tabla1[nombre_actividad],Grafico!F$1,Tabla1[Avance_km],"&gt;0"),NA())</f>
        <v>123.81100000000011</v>
      </c>
      <c r="G200" s="67">
        <f ca="1">IF(TODAY()&gt;=$A200,SUMIFS(Tabla1[Avance_Med],Tabla1[Fecha],"&lt;="&amp;Grafico!$A200,Tabla1[nombre_actividad],Grafico!G$1),NA())</f>
        <v>376</v>
      </c>
      <c r="H200" s="63">
        <f ca="1">IF(TODAY()&gt;=$A200,SUMIFS(Tabla1[Avance_km],Tabla1[Fecha],"&lt;="&amp;Grafico!$A200,Tabla1[nombre_actividad],Grafico!H$1),NA())</f>
        <v>0</v>
      </c>
      <c r="I200" s="63"/>
    </row>
    <row r="201" spans="1:9" x14ac:dyDescent="0.25">
      <c r="A201" s="62">
        <f t="shared" si="8"/>
        <v>46162</v>
      </c>
      <c r="B201" s="33" t="str">
        <f t="shared" ca="1" si="7"/>
        <v/>
      </c>
      <c r="C201" s="33"/>
      <c r="D201" s="63">
        <f ca="1">IF(TODAY()&gt;=$A201,SUMIFS(Tabla1[Avance_km],Tabla1[Fecha],"&lt;="&amp;Grafico!$A201,Tabla1[nombre_actividad],Grafico!D$1),NA())</f>
        <v>125.14200000000005</v>
      </c>
      <c r="E201" s="63">
        <f ca="1">IF(TODAY()&gt;=$A201,SUMIFS(Tabla1[Avance_km],Tabla1[Fecha],"&lt;="&amp;Grafico!$A201,Tabla1[nombre_actividad],Grafico!E$1),NA())</f>
        <v>104.242</v>
      </c>
      <c r="F201" s="110">
        <f ca="1">IF(TODAY()&gt;=$A201,SUMIFS(Tabla1[Avance_km],Tabla1[Fecha],"&lt;="&amp;Grafico!$A201,Tabla1[nombre_actividad],Grafico!F$1,Tabla1[Avance_km],"&gt;0"),NA())</f>
        <v>124.76400000000011</v>
      </c>
      <c r="G201" s="67">
        <f ca="1">IF(TODAY()&gt;=$A201,SUMIFS(Tabla1[Avance_Med],Tabla1[Fecha],"&lt;="&amp;Grafico!$A201,Tabla1[nombre_actividad],Grafico!G$1),NA())</f>
        <v>376</v>
      </c>
      <c r="H201" s="63">
        <f ca="1">IF(TODAY()&gt;=$A201,SUMIFS(Tabla1[Avance_km],Tabla1[Fecha],"&lt;="&amp;Grafico!$A201,Tabla1[nombre_actividad],Grafico!H$1),NA())</f>
        <v>0</v>
      </c>
      <c r="I201" s="63"/>
    </row>
    <row r="202" spans="1:9" x14ac:dyDescent="0.25">
      <c r="A202" s="62">
        <f t="shared" si="8"/>
        <v>46163</v>
      </c>
      <c r="B202" s="33" t="str">
        <f t="shared" ca="1" si="7"/>
        <v/>
      </c>
      <c r="C202" s="33"/>
      <c r="D202" s="63">
        <f ca="1">IF(TODAY()&gt;=$A202,SUMIFS(Tabla1[Avance_km],Tabla1[Fecha],"&lt;="&amp;Grafico!$A202,Tabla1[nombre_actividad],Grafico!D$1),NA())</f>
        <v>125.14200000000005</v>
      </c>
      <c r="E202" s="63">
        <f ca="1">IF(TODAY()&gt;=$A202,SUMIFS(Tabla1[Avance_km],Tabla1[Fecha],"&lt;="&amp;Grafico!$A202,Tabla1[nombre_actividad],Grafico!E$1),NA())</f>
        <v>106.81400000000001</v>
      </c>
      <c r="F202" s="110">
        <f ca="1">IF(TODAY()&gt;=$A202,SUMIFS(Tabla1[Avance_km],Tabla1[Fecha],"&lt;="&amp;Grafico!$A202,Tabla1[nombre_actividad],Grafico!F$1,Tabla1[Avance_km],"&gt;0"),NA())</f>
        <v>124.76400000000011</v>
      </c>
      <c r="G202" s="67">
        <f ca="1">IF(TODAY()&gt;=$A202,SUMIFS(Tabla1[Avance_Med],Tabla1[Fecha],"&lt;="&amp;Grafico!$A202,Tabla1[nombre_actividad],Grafico!G$1),NA())</f>
        <v>376</v>
      </c>
      <c r="H202" s="63">
        <f ca="1">IF(TODAY()&gt;=$A202,SUMIFS(Tabla1[Avance_km],Tabla1[Fecha],"&lt;="&amp;Grafico!$A202,Tabla1[nombre_actividad],Grafico!H$1),NA())</f>
        <v>0</v>
      </c>
      <c r="I202" s="63"/>
    </row>
    <row r="203" spans="1:9" x14ac:dyDescent="0.25">
      <c r="A203" s="62">
        <f t="shared" si="8"/>
        <v>46164</v>
      </c>
      <c r="B203" s="33" t="str">
        <f t="shared" ca="1" si="7"/>
        <v/>
      </c>
      <c r="C203" s="33"/>
      <c r="D203" s="63">
        <f ca="1">IF(TODAY()&gt;=$A203,SUMIFS(Tabla1[Avance_km],Tabla1[Fecha],"&lt;="&amp;Grafico!$A203,Tabla1[nombre_actividad],Grafico!D$1),NA())</f>
        <v>125.14200000000005</v>
      </c>
      <c r="E203" s="63">
        <f ca="1">IF(TODAY()&gt;=$A203,SUMIFS(Tabla1[Avance_km],Tabla1[Fecha],"&lt;="&amp;Grafico!$A203,Tabla1[nombre_actividad],Grafico!E$1),NA())</f>
        <v>109.367</v>
      </c>
      <c r="F203" s="110">
        <f ca="1">IF(TODAY()&gt;=$A203,SUMIFS(Tabla1[Avance_km],Tabla1[Fecha],"&lt;="&amp;Grafico!$A203,Tabla1[nombre_actividad],Grafico!F$1,Tabla1[Avance_km],"&gt;0"),NA())</f>
        <v>124.76400000000011</v>
      </c>
      <c r="G203" s="67">
        <f ca="1">IF(TODAY()&gt;=$A203,SUMIFS(Tabla1[Avance_Med],Tabla1[Fecha],"&lt;="&amp;Grafico!$A203,Tabla1[nombre_actividad],Grafico!G$1),NA())</f>
        <v>376</v>
      </c>
      <c r="H203" s="63">
        <f ca="1">IF(TODAY()&gt;=$A203,SUMIFS(Tabla1[Avance_km],Tabla1[Fecha],"&lt;="&amp;Grafico!$A203,Tabla1[nombre_actividad],Grafico!H$1),NA())</f>
        <v>0</v>
      </c>
      <c r="I203" s="63"/>
    </row>
    <row r="204" spans="1:9" x14ac:dyDescent="0.25">
      <c r="A204" s="62">
        <f t="shared" si="8"/>
        <v>46165</v>
      </c>
      <c r="B204" s="33" t="str">
        <f t="shared" ca="1" si="7"/>
        <v/>
      </c>
      <c r="C204" s="33"/>
      <c r="D204" s="63">
        <f ca="1">IF(TODAY()&gt;=$A204,SUMIFS(Tabla1[Avance_km],Tabla1[Fecha],"&lt;="&amp;Grafico!$A204,Tabla1[nombre_actividad],Grafico!D$1),NA())</f>
        <v>125.14200000000005</v>
      </c>
      <c r="E204" s="63">
        <f ca="1">IF(TODAY()&gt;=$A204,SUMIFS(Tabla1[Avance_km],Tabla1[Fecha],"&lt;="&amp;Grafico!$A204,Tabla1[nombre_actividad],Grafico!E$1),NA())</f>
        <v>111.15900000000001</v>
      </c>
      <c r="F204" s="110">
        <f ca="1">IF(TODAY()&gt;=$A204,SUMIFS(Tabla1[Avance_km],Tabla1[Fecha],"&lt;="&amp;Grafico!$A204,Tabla1[nombre_actividad],Grafico!F$1,Tabla1[Avance_km],"&gt;0"),NA())</f>
        <v>124.76400000000011</v>
      </c>
      <c r="G204" s="67">
        <f ca="1">IF(TODAY()&gt;=$A204,SUMIFS(Tabla1[Avance_Med],Tabla1[Fecha],"&lt;="&amp;Grafico!$A204,Tabla1[nombre_actividad],Grafico!G$1),NA())</f>
        <v>376</v>
      </c>
      <c r="H204" s="63">
        <f ca="1">IF(TODAY()&gt;=$A204,SUMIFS(Tabla1[Avance_km],Tabla1[Fecha],"&lt;="&amp;Grafico!$A204,Tabla1[nombre_actividad],Grafico!H$1),NA())</f>
        <v>0</v>
      </c>
      <c r="I204" s="63"/>
    </row>
    <row r="205" spans="1:9" x14ac:dyDescent="0.25">
      <c r="A205" s="62">
        <f t="shared" si="8"/>
        <v>46166</v>
      </c>
      <c r="B205" s="33" t="str">
        <f t="shared" ca="1" si="7"/>
        <v/>
      </c>
      <c r="C205" s="33"/>
      <c r="D205" s="63">
        <f ca="1">IF(TODAY()&gt;=$A205,SUMIFS(Tabla1[Avance_km],Tabla1[Fecha],"&lt;="&amp;Grafico!$A205,Tabla1[nombre_actividad],Grafico!D$1),NA())</f>
        <v>125.14200000000005</v>
      </c>
      <c r="E205" s="63">
        <f ca="1">IF(TODAY()&gt;=$A205,SUMIFS(Tabla1[Avance_km],Tabla1[Fecha],"&lt;="&amp;Grafico!$A205,Tabla1[nombre_actividad],Grafico!E$1),NA())</f>
        <v>111.15900000000001</v>
      </c>
      <c r="F205" s="110">
        <f ca="1">IF(TODAY()&gt;=$A205,SUMIFS(Tabla1[Avance_km],Tabla1[Fecha],"&lt;="&amp;Grafico!$A205,Tabla1[nombre_actividad],Grafico!F$1,Tabla1[Avance_km],"&gt;0"),NA())</f>
        <v>124.76400000000011</v>
      </c>
      <c r="G205" s="67">
        <f ca="1">IF(TODAY()&gt;=$A205,SUMIFS(Tabla1[Avance_Med],Tabla1[Fecha],"&lt;="&amp;Grafico!$A205,Tabla1[nombre_actividad],Grafico!G$1),NA())</f>
        <v>376</v>
      </c>
      <c r="H205" s="63">
        <f ca="1">IF(TODAY()&gt;=$A205,SUMIFS(Tabla1[Avance_km],Tabla1[Fecha],"&lt;="&amp;Grafico!$A205,Tabla1[nombre_actividad],Grafico!H$1),NA())</f>
        <v>0</v>
      </c>
      <c r="I205" s="63"/>
    </row>
    <row r="206" spans="1:9" x14ac:dyDescent="0.25">
      <c r="A206" s="62">
        <f t="shared" si="8"/>
        <v>46167</v>
      </c>
      <c r="B206" s="33" t="str">
        <f t="shared" ca="1" si="7"/>
        <v/>
      </c>
      <c r="C206" s="33"/>
      <c r="D206" s="63">
        <f ca="1">IF(TODAY()&gt;=$A206,SUMIFS(Tabla1[Avance_km],Tabla1[Fecha],"&lt;="&amp;Grafico!$A206,Tabla1[nombre_actividad],Grafico!D$1),NA())</f>
        <v>125.16800000000005</v>
      </c>
      <c r="E206" s="63">
        <f ca="1">IF(TODAY()&gt;=$A206,SUMIFS(Tabla1[Avance_km],Tabla1[Fecha],"&lt;="&amp;Grafico!$A206,Tabla1[nombre_actividad],Grafico!E$1),NA())</f>
        <v>111.15900000000001</v>
      </c>
      <c r="F206" s="110">
        <f ca="1">IF(TODAY()&gt;=$A206,SUMIFS(Tabla1[Avance_km],Tabla1[Fecha],"&lt;="&amp;Grafico!$A206,Tabla1[nombre_actividad],Grafico!F$1,Tabla1[Avance_km],"&gt;0"),NA())</f>
        <v>125.66800000000011</v>
      </c>
      <c r="G206" s="67">
        <f ca="1">IF(TODAY()&gt;=$A206,SUMIFS(Tabla1[Avance_Med],Tabla1[Fecha],"&lt;="&amp;Grafico!$A206,Tabla1[nombre_actividad],Grafico!G$1),NA())</f>
        <v>376</v>
      </c>
      <c r="H206" s="63">
        <f ca="1">IF(TODAY()&gt;=$A206,SUMIFS(Tabla1[Avance_km],Tabla1[Fecha],"&lt;="&amp;Grafico!$A206,Tabla1[nombre_actividad],Grafico!H$1),NA())</f>
        <v>0</v>
      </c>
      <c r="I206" s="63"/>
    </row>
    <row r="207" spans="1:9" x14ac:dyDescent="0.25">
      <c r="A207" s="62">
        <f t="shared" si="8"/>
        <v>46168</v>
      </c>
      <c r="B207" s="33" t="str">
        <f t="shared" ca="1" si="7"/>
        <v/>
      </c>
      <c r="C207" s="33"/>
      <c r="D207" s="63">
        <f ca="1">IF(TODAY()&gt;=$A207,SUMIFS(Tabla1[Avance_km],Tabla1[Fecha],"&lt;="&amp;Grafico!$A207,Tabla1[nombre_actividad],Grafico!D$1),NA())</f>
        <v>127.08800000000005</v>
      </c>
      <c r="E207" s="63">
        <f ca="1">IF(TODAY()&gt;=$A207,SUMIFS(Tabla1[Avance_km],Tabla1[Fecha],"&lt;="&amp;Grafico!$A207,Tabla1[nombre_actividad],Grafico!E$1),NA())</f>
        <v>111.15900000000001</v>
      </c>
      <c r="F207" s="110">
        <f ca="1">IF(TODAY()&gt;=$A207,SUMIFS(Tabla1[Avance_km],Tabla1[Fecha],"&lt;="&amp;Grafico!$A207,Tabla1[nombre_actividad],Grafico!F$1,Tabla1[Avance_km],"&gt;0"),NA())</f>
        <v>125.66800000000011</v>
      </c>
      <c r="G207" s="67">
        <f ca="1">IF(TODAY()&gt;=$A207,SUMIFS(Tabla1[Avance_Med],Tabla1[Fecha],"&lt;="&amp;Grafico!$A207,Tabla1[nombre_actividad],Grafico!G$1),NA())</f>
        <v>376</v>
      </c>
      <c r="H207" s="63">
        <f ca="1">IF(TODAY()&gt;=$A207,SUMIFS(Tabla1[Avance_km],Tabla1[Fecha],"&lt;="&amp;Grafico!$A207,Tabla1[nombre_actividad],Grafico!H$1),NA())</f>
        <v>0</v>
      </c>
      <c r="I207" s="63"/>
    </row>
    <row r="208" spans="1:9" x14ac:dyDescent="0.25">
      <c r="A208" s="62">
        <f t="shared" si="8"/>
        <v>46169</v>
      </c>
      <c r="B208" s="33" t="str">
        <f t="shared" ca="1" si="7"/>
        <v/>
      </c>
      <c r="C208" s="33"/>
      <c r="D208" s="63">
        <f ca="1">IF(TODAY()&gt;=$A208,SUMIFS(Tabla1[Avance_km],Tabla1[Fecha],"&lt;="&amp;Grafico!$A208,Tabla1[nombre_actividad],Grafico!D$1),NA())</f>
        <v>127.08800000000005</v>
      </c>
      <c r="E208" s="63">
        <f ca="1">IF(TODAY()&gt;=$A208,SUMIFS(Tabla1[Avance_km],Tabla1[Fecha],"&lt;="&amp;Grafico!$A208,Tabla1[nombre_actividad],Grafico!E$1),NA())</f>
        <v>111.15900000000001</v>
      </c>
      <c r="F208" s="110">
        <f ca="1">IF(TODAY()&gt;=$A208,SUMIFS(Tabla1[Avance_km],Tabla1[Fecha],"&lt;="&amp;Grafico!$A208,Tabla1[nombre_actividad],Grafico!F$1,Tabla1[Avance_km],"&gt;0"),NA())</f>
        <v>125.76700000000011</v>
      </c>
      <c r="G208" s="67">
        <f ca="1">IF(TODAY()&gt;=$A208,SUMIFS(Tabla1[Avance_Med],Tabla1[Fecha],"&lt;="&amp;Grafico!$A208,Tabla1[nombre_actividad],Grafico!G$1),NA())</f>
        <v>376</v>
      </c>
      <c r="H208" s="63">
        <f ca="1">IF(TODAY()&gt;=$A208,SUMIFS(Tabla1[Avance_km],Tabla1[Fecha],"&lt;="&amp;Grafico!$A208,Tabla1[nombre_actividad],Grafico!H$1),NA())</f>
        <v>0</v>
      </c>
      <c r="I208" s="63"/>
    </row>
    <row r="209" spans="1:9" x14ac:dyDescent="0.25">
      <c r="A209" s="62">
        <f t="shared" si="8"/>
        <v>46170</v>
      </c>
      <c r="B209" s="33" t="str">
        <f t="shared" ca="1" si="7"/>
        <v/>
      </c>
      <c r="C209" s="33"/>
      <c r="D209" s="63">
        <f ca="1">IF(TODAY()&gt;=$A209,SUMIFS(Tabla1[Avance_km],Tabla1[Fecha],"&lt;="&amp;Grafico!$A209,Tabla1[nombre_actividad],Grafico!D$1),NA())</f>
        <v>127.41700000000004</v>
      </c>
      <c r="E209" s="63">
        <f ca="1">IF(TODAY()&gt;=$A209,SUMIFS(Tabla1[Avance_km],Tabla1[Fecha],"&lt;="&amp;Grafico!$A209,Tabla1[nombre_actividad],Grafico!E$1),NA())</f>
        <v>111.15900000000001</v>
      </c>
      <c r="F209" s="110">
        <f ca="1">IF(TODAY()&gt;=$A209,SUMIFS(Tabla1[Avance_km],Tabla1[Fecha],"&lt;="&amp;Grafico!$A209,Tabla1[nombre_actividad],Grafico!F$1,Tabla1[Avance_km],"&gt;0"),NA())</f>
        <v>125.76700000000011</v>
      </c>
      <c r="G209" s="67">
        <f ca="1">IF(TODAY()&gt;=$A209,SUMIFS(Tabla1[Avance_Med],Tabla1[Fecha],"&lt;="&amp;Grafico!$A209,Tabla1[nombre_actividad],Grafico!G$1),NA())</f>
        <v>376</v>
      </c>
      <c r="H209" s="63">
        <f ca="1">IF(TODAY()&gt;=$A209,SUMIFS(Tabla1[Avance_km],Tabla1[Fecha],"&lt;="&amp;Grafico!$A209,Tabla1[nombre_actividad],Grafico!H$1),NA())</f>
        <v>0</v>
      </c>
      <c r="I209" s="63"/>
    </row>
    <row r="210" spans="1:9" x14ac:dyDescent="0.25">
      <c r="A210" s="62">
        <f t="shared" si="8"/>
        <v>46171</v>
      </c>
      <c r="B210" s="33" t="str">
        <f t="shared" ca="1" si="7"/>
        <v/>
      </c>
      <c r="C210" s="33"/>
      <c r="D210" s="63">
        <f ca="1">IF(TODAY()&gt;=$A210,SUMIFS(Tabla1[Avance_km],Tabla1[Fecha],"&lt;="&amp;Grafico!$A210,Tabla1[nombre_actividad],Grafico!D$1),NA())</f>
        <v>128.30600000000004</v>
      </c>
      <c r="E210" s="63">
        <f ca="1">IF(TODAY()&gt;=$A210,SUMIFS(Tabla1[Avance_km],Tabla1[Fecha],"&lt;="&amp;Grafico!$A210,Tabla1[nombre_actividad],Grafico!E$1),NA())</f>
        <v>111.15900000000001</v>
      </c>
      <c r="F210" s="110">
        <f ca="1">IF(TODAY()&gt;=$A210,SUMIFS(Tabla1[Avance_km],Tabla1[Fecha],"&lt;="&amp;Grafico!$A210,Tabla1[nombre_actividad],Grafico!F$1,Tabla1[Avance_km],"&gt;0"),NA())</f>
        <v>125.76700000000011</v>
      </c>
      <c r="G210" s="67">
        <f ca="1">IF(TODAY()&gt;=$A210,SUMIFS(Tabla1[Avance_Med],Tabla1[Fecha],"&lt;="&amp;Grafico!$A210,Tabla1[nombre_actividad],Grafico!G$1),NA())</f>
        <v>376</v>
      </c>
      <c r="H210" s="63">
        <f ca="1">IF(TODAY()&gt;=$A210,SUMIFS(Tabla1[Avance_km],Tabla1[Fecha],"&lt;="&amp;Grafico!$A210,Tabla1[nombre_actividad],Grafico!H$1),NA())</f>
        <v>0</v>
      </c>
      <c r="I210" s="63"/>
    </row>
    <row r="211" spans="1:9" x14ac:dyDescent="0.25">
      <c r="A211" s="62">
        <f t="shared" si="8"/>
        <v>46172</v>
      </c>
      <c r="B211" s="33" t="str">
        <f t="shared" ca="1" si="7"/>
        <v/>
      </c>
      <c r="C211" s="33"/>
      <c r="D211" s="63">
        <f ca="1">IF(TODAY()&gt;=$A211,SUMIFS(Tabla1[Avance_km],Tabla1[Fecha],"&lt;="&amp;Grafico!$A211,Tabla1[nombre_actividad],Grafico!D$1),NA())</f>
        <v>128.76900000000003</v>
      </c>
      <c r="E211" s="63">
        <f ca="1">IF(TODAY()&gt;=$A211,SUMIFS(Tabla1[Avance_km],Tabla1[Fecha],"&lt;="&amp;Grafico!$A211,Tabla1[nombre_actividad],Grafico!E$1),NA())</f>
        <v>111.15900000000001</v>
      </c>
      <c r="F211" s="110">
        <f ca="1">IF(TODAY()&gt;=$A211,SUMIFS(Tabla1[Avance_km],Tabla1[Fecha],"&lt;="&amp;Grafico!$A211,Tabla1[nombre_actividad],Grafico!F$1,Tabla1[Avance_km],"&gt;0"),NA())</f>
        <v>125.76700000000011</v>
      </c>
      <c r="G211" s="67">
        <f ca="1">IF(TODAY()&gt;=$A211,SUMIFS(Tabla1[Avance_Med],Tabla1[Fecha],"&lt;="&amp;Grafico!$A211,Tabla1[nombre_actividad],Grafico!G$1),NA())</f>
        <v>376</v>
      </c>
      <c r="H211" s="63">
        <f ca="1">IF(TODAY()&gt;=$A211,SUMIFS(Tabla1[Avance_km],Tabla1[Fecha],"&lt;="&amp;Grafico!$A211,Tabla1[nombre_actividad],Grafico!H$1),NA())</f>
        <v>0</v>
      </c>
      <c r="I211" s="63"/>
    </row>
    <row r="212" spans="1:9" x14ac:dyDescent="0.25">
      <c r="A212" s="62">
        <f t="shared" si="8"/>
        <v>46173</v>
      </c>
      <c r="B212" s="33" t="str">
        <f t="shared" ca="1" si="7"/>
        <v/>
      </c>
      <c r="C212" s="33"/>
      <c r="D212" s="63">
        <f ca="1">IF(TODAY()&gt;=$A212,SUMIFS(Tabla1[Avance_km],Tabla1[Fecha],"&lt;="&amp;Grafico!$A212,Tabla1[nombre_actividad],Grafico!D$1),NA())</f>
        <v>128.76900000000003</v>
      </c>
      <c r="E212" s="63">
        <f ca="1">IF(TODAY()&gt;=$A212,SUMIFS(Tabla1[Avance_km],Tabla1[Fecha],"&lt;="&amp;Grafico!$A212,Tabla1[nombre_actividad],Grafico!E$1),NA())</f>
        <v>111.15900000000001</v>
      </c>
      <c r="F212" s="110">
        <f ca="1">IF(TODAY()&gt;=$A212,SUMIFS(Tabla1[Avance_km],Tabla1[Fecha],"&lt;="&amp;Grafico!$A212,Tabla1[nombre_actividad],Grafico!F$1,Tabla1[Avance_km],"&gt;0"),NA())</f>
        <v>125.76700000000011</v>
      </c>
      <c r="G212" s="67">
        <f ca="1">IF(TODAY()&gt;=$A212,SUMIFS(Tabla1[Avance_Med],Tabla1[Fecha],"&lt;="&amp;Grafico!$A212,Tabla1[nombre_actividad],Grafico!G$1),NA())</f>
        <v>376</v>
      </c>
      <c r="H212" s="63">
        <f ca="1">IF(TODAY()&gt;=$A212,SUMIFS(Tabla1[Avance_km],Tabla1[Fecha],"&lt;="&amp;Grafico!$A212,Tabla1[nombre_actividad],Grafico!H$1),NA())</f>
        <v>0</v>
      </c>
      <c r="I212" s="63"/>
    </row>
    <row r="213" spans="1:9" x14ac:dyDescent="0.25">
      <c r="A213" s="62">
        <f t="shared" si="8"/>
        <v>46174</v>
      </c>
      <c r="B213" s="33" t="str">
        <f t="shared" ca="1" si="7"/>
        <v/>
      </c>
      <c r="C213" s="33"/>
      <c r="D213" s="63">
        <f ca="1">IF(TODAY()&gt;=$A213,SUMIFS(Tabla1[Avance_km],Tabla1[Fecha],"&lt;="&amp;Grafico!$A213,Tabla1[nombre_actividad],Grafico!D$1),NA())</f>
        <v>128.76900000000003</v>
      </c>
      <c r="E213" s="63">
        <f ca="1">IF(TODAY()&gt;=$A213,SUMIFS(Tabla1[Avance_km],Tabla1[Fecha],"&lt;="&amp;Grafico!$A213,Tabla1[nombre_actividad],Grafico!E$1),NA())</f>
        <v>113.15100000000001</v>
      </c>
      <c r="F213" s="110">
        <f ca="1">IF(TODAY()&gt;=$A213,SUMIFS(Tabla1[Avance_km],Tabla1[Fecha],"&lt;="&amp;Grafico!$A213,Tabla1[nombre_actividad],Grafico!F$1,Tabla1[Avance_km],"&gt;0"),NA())</f>
        <v>125.76700000000011</v>
      </c>
      <c r="G213" s="67">
        <f ca="1">IF(TODAY()&gt;=$A213,SUMIFS(Tabla1[Avance_Med],Tabla1[Fecha],"&lt;="&amp;Grafico!$A213,Tabla1[nombre_actividad],Grafico!G$1),NA())</f>
        <v>376</v>
      </c>
      <c r="H213" s="63">
        <f ca="1">IF(TODAY()&gt;=$A213,SUMIFS(Tabla1[Avance_km],Tabla1[Fecha],"&lt;="&amp;Grafico!$A213,Tabla1[nombre_actividad],Grafico!H$1),NA())</f>
        <v>0</v>
      </c>
      <c r="I213" s="63"/>
    </row>
    <row r="214" spans="1:9" x14ac:dyDescent="0.25">
      <c r="A214" s="62">
        <f t="shared" si="8"/>
        <v>46175</v>
      </c>
      <c r="B214" s="33" t="str">
        <f t="shared" ca="1" si="7"/>
        <v/>
      </c>
      <c r="C214" s="33"/>
      <c r="D214" s="63">
        <f ca="1">IF(TODAY()&gt;=$A214,SUMIFS(Tabla1[Avance_km],Tabla1[Fecha],"&lt;="&amp;Grafico!$A214,Tabla1[nombre_actividad],Grafico!D$1),NA())</f>
        <v>128.76900000000003</v>
      </c>
      <c r="E214" s="63">
        <f ca="1">IF(TODAY()&gt;=$A214,SUMIFS(Tabla1[Avance_km],Tabla1[Fecha],"&lt;="&amp;Grafico!$A214,Tabla1[nombre_actividad],Grafico!E$1),NA())</f>
        <v>115.14400000000001</v>
      </c>
      <c r="F214" s="110">
        <f ca="1">IF(TODAY()&gt;=$A214,SUMIFS(Tabla1[Avance_km],Tabla1[Fecha],"&lt;="&amp;Grafico!$A214,Tabla1[nombre_actividad],Grafico!F$1,Tabla1[Avance_km],"&gt;0"),NA())</f>
        <v>125.76700000000011</v>
      </c>
      <c r="G214" s="67">
        <f ca="1">IF(TODAY()&gt;=$A214,SUMIFS(Tabla1[Avance_Med],Tabla1[Fecha],"&lt;="&amp;Grafico!$A214,Tabla1[nombre_actividad],Grafico!G$1),NA())</f>
        <v>376</v>
      </c>
      <c r="H214" s="63">
        <f ca="1">IF(TODAY()&gt;=$A214,SUMIFS(Tabla1[Avance_km],Tabla1[Fecha],"&lt;="&amp;Grafico!$A214,Tabla1[nombre_actividad],Grafico!H$1),NA())</f>
        <v>0</v>
      </c>
      <c r="I214" s="63"/>
    </row>
    <row r="215" spans="1:9" x14ac:dyDescent="0.25">
      <c r="A215" s="62">
        <f t="shared" si="8"/>
        <v>46176</v>
      </c>
      <c r="B215" s="33" t="str">
        <f t="shared" ca="1" si="7"/>
        <v/>
      </c>
      <c r="C215" s="33"/>
      <c r="D215" s="63">
        <f ca="1">IF(TODAY()&gt;=$A215,SUMIFS(Tabla1[Avance_km],Tabla1[Fecha],"&lt;="&amp;Grafico!$A215,Tabla1[nombre_actividad],Grafico!D$1),NA())</f>
        <v>128.76900000000003</v>
      </c>
      <c r="E215" s="63">
        <f ca="1">IF(TODAY()&gt;=$A215,SUMIFS(Tabla1[Avance_km],Tabla1[Fecha],"&lt;="&amp;Grafico!$A215,Tabla1[nombre_actividad],Grafico!E$1),NA())</f>
        <v>115.83800000000001</v>
      </c>
      <c r="F215" s="110">
        <f ca="1">IF(TODAY()&gt;=$A215,SUMIFS(Tabla1[Avance_km],Tabla1[Fecha],"&lt;="&amp;Grafico!$A215,Tabla1[nombre_actividad],Grafico!F$1,Tabla1[Avance_km],"&gt;0"),NA())</f>
        <v>125.76700000000011</v>
      </c>
      <c r="G215" s="67">
        <f ca="1">IF(TODAY()&gt;=$A215,SUMIFS(Tabla1[Avance_Med],Tabla1[Fecha],"&lt;="&amp;Grafico!$A215,Tabla1[nombre_actividad],Grafico!G$1),NA())</f>
        <v>376</v>
      </c>
      <c r="H215" s="63">
        <f ca="1">IF(TODAY()&gt;=$A215,SUMIFS(Tabla1[Avance_km],Tabla1[Fecha],"&lt;="&amp;Grafico!$A215,Tabla1[nombre_actividad],Grafico!H$1),NA())</f>
        <v>0</v>
      </c>
      <c r="I215" s="63"/>
    </row>
    <row r="216" spans="1:9" x14ac:dyDescent="0.25">
      <c r="A216" s="62">
        <f t="shared" si="8"/>
        <v>46177</v>
      </c>
      <c r="B216" s="33" t="str">
        <f t="shared" ca="1" si="7"/>
        <v/>
      </c>
      <c r="C216" s="33"/>
      <c r="D216" s="63">
        <f ca="1">IF(TODAY()&gt;=$A216,SUMIFS(Tabla1[Avance_km],Tabla1[Fecha],"&lt;="&amp;Grafico!$A216,Tabla1[nombre_actividad],Grafico!D$1),NA())</f>
        <v>128.76900000000003</v>
      </c>
      <c r="E216" s="63">
        <f ca="1">IF(TODAY()&gt;=$A216,SUMIFS(Tabla1[Avance_km],Tabla1[Fecha],"&lt;="&amp;Grafico!$A216,Tabla1[nombre_actividad],Grafico!E$1),NA())</f>
        <v>117.30000000000001</v>
      </c>
      <c r="F216" s="110">
        <f ca="1">IF(TODAY()&gt;=$A216,SUMIFS(Tabla1[Avance_km],Tabla1[Fecha],"&lt;="&amp;Grafico!$A216,Tabla1[nombre_actividad],Grafico!F$1,Tabla1[Avance_km],"&gt;0"),NA())</f>
        <v>125.76700000000011</v>
      </c>
      <c r="G216" s="67">
        <f ca="1">IF(TODAY()&gt;=$A216,SUMIFS(Tabla1[Avance_Med],Tabla1[Fecha],"&lt;="&amp;Grafico!$A216,Tabla1[nombre_actividad],Grafico!G$1),NA())</f>
        <v>376</v>
      </c>
      <c r="H216" s="63">
        <f ca="1">IF(TODAY()&gt;=$A216,SUMIFS(Tabla1[Avance_km],Tabla1[Fecha],"&lt;="&amp;Grafico!$A216,Tabla1[nombre_actividad],Grafico!H$1),NA())</f>
        <v>0</v>
      </c>
      <c r="I216" s="63"/>
    </row>
    <row r="217" spans="1:9" x14ac:dyDescent="0.25">
      <c r="A217" s="62">
        <f t="shared" si="8"/>
        <v>46178</v>
      </c>
      <c r="B217" s="33" t="str">
        <f t="shared" ca="1" si="7"/>
        <v/>
      </c>
      <c r="C217" s="33"/>
      <c r="D217" s="63">
        <f ca="1">IF(TODAY()&gt;=$A217,SUMIFS(Tabla1[Avance_km],Tabla1[Fecha],"&lt;="&amp;Grafico!$A217,Tabla1[nombre_actividad],Grafico!D$1),NA())</f>
        <v>130.97100000000006</v>
      </c>
      <c r="E217" s="63">
        <f ca="1">IF(TODAY()&gt;=$A217,SUMIFS(Tabla1[Avance_km],Tabla1[Fecha],"&lt;="&amp;Grafico!$A217,Tabla1[nombre_actividad],Grafico!E$1),NA())</f>
        <v>117.30000000000001</v>
      </c>
      <c r="F217" s="110">
        <f ca="1">IF(TODAY()&gt;=$A217,SUMIFS(Tabla1[Avance_km],Tabla1[Fecha],"&lt;="&amp;Grafico!$A217,Tabla1[nombre_actividad],Grafico!F$1,Tabla1[Avance_km],"&gt;0"),NA())</f>
        <v>125.76700000000011</v>
      </c>
      <c r="G217" s="67">
        <f ca="1">IF(TODAY()&gt;=$A217,SUMIFS(Tabla1[Avance_Med],Tabla1[Fecha],"&lt;="&amp;Grafico!$A217,Tabla1[nombre_actividad],Grafico!G$1),NA())</f>
        <v>376</v>
      </c>
      <c r="H217" s="63">
        <f ca="1">IF(TODAY()&gt;=$A217,SUMIFS(Tabla1[Avance_km],Tabla1[Fecha],"&lt;="&amp;Grafico!$A217,Tabla1[nombre_actividad],Grafico!H$1),NA())</f>
        <v>0</v>
      </c>
      <c r="I217" s="63"/>
    </row>
    <row r="218" spans="1:9" x14ac:dyDescent="0.25">
      <c r="A218" s="62">
        <f t="shared" si="8"/>
        <v>46179</v>
      </c>
      <c r="B218" s="33" t="str">
        <f t="shared" ca="1" si="7"/>
        <v/>
      </c>
      <c r="C218" s="33"/>
      <c r="D218" s="63">
        <f ca="1">IF(TODAY()&gt;=$A218,SUMIFS(Tabla1[Avance_km],Tabla1[Fecha],"&lt;="&amp;Grafico!$A218,Tabla1[nombre_actividad],Grafico!D$1),NA())</f>
        <v>130.97100000000006</v>
      </c>
      <c r="E218" s="63">
        <f ca="1">IF(TODAY()&gt;=$A218,SUMIFS(Tabla1[Avance_km],Tabla1[Fecha],"&lt;="&amp;Grafico!$A218,Tabla1[nombre_actividad],Grafico!E$1),NA())</f>
        <v>119.18</v>
      </c>
      <c r="F218" s="110">
        <f ca="1">IF(TODAY()&gt;=$A218,SUMIFS(Tabla1[Avance_km],Tabla1[Fecha],"&lt;="&amp;Grafico!$A218,Tabla1[nombre_actividad],Grafico!F$1,Tabla1[Avance_km],"&gt;0"),NA())</f>
        <v>125.76700000000011</v>
      </c>
      <c r="G218" s="67">
        <f ca="1">IF(TODAY()&gt;=$A218,SUMIFS(Tabla1[Avance_Med],Tabla1[Fecha],"&lt;="&amp;Grafico!$A218,Tabla1[nombre_actividad],Grafico!G$1),NA())</f>
        <v>376</v>
      </c>
      <c r="H218" s="63">
        <f ca="1">IF(TODAY()&gt;=$A218,SUMIFS(Tabla1[Avance_km],Tabla1[Fecha],"&lt;="&amp;Grafico!$A218,Tabla1[nombre_actividad],Grafico!H$1),NA())</f>
        <v>0</v>
      </c>
      <c r="I218" s="63"/>
    </row>
    <row r="219" spans="1:9" x14ac:dyDescent="0.25">
      <c r="A219" s="62">
        <f t="shared" si="8"/>
        <v>46180</v>
      </c>
      <c r="B219" s="33" t="str">
        <f t="shared" ca="1" si="7"/>
        <v/>
      </c>
      <c r="C219" s="33"/>
      <c r="D219" s="63">
        <f ca="1">IF(TODAY()&gt;=$A219,SUMIFS(Tabla1[Avance_km],Tabla1[Fecha],"&lt;="&amp;Grafico!$A219,Tabla1[nombre_actividad],Grafico!D$1),NA())</f>
        <v>130.97100000000006</v>
      </c>
      <c r="E219" s="63">
        <f ca="1">IF(TODAY()&gt;=$A219,SUMIFS(Tabla1[Avance_km],Tabla1[Fecha],"&lt;="&amp;Grafico!$A219,Tabla1[nombre_actividad],Grafico!E$1),NA())</f>
        <v>119.18</v>
      </c>
      <c r="F219" s="110">
        <f ca="1">IF(TODAY()&gt;=$A219,SUMIFS(Tabla1[Avance_km],Tabla1[Fecha],"&lt;="&amp;Grafico!$A219,Tabla1[nombre_actividad],Grafico!F$1,Tabla1[Avance_km],"&gt;0"),NA())</f>
        <v>125.76700000000011</v>
      </c>
      <c r="G219" s="67">
        <f ca="1">IF(TODAY()&gt;=$A219,SUMIFS(Tabla1[Avance_Med],Tabla1[Fecha],"&lt;="&amp;Grafico!$A219,Tabla1[nombre_actividad],Grafico!G$1),NA())</f>
        <v>376</v>
      </c>
      <c r="H219" s="63">
        <f ca="1">IF(TODAY()&gt;=$A219,SUMIFS(Tabla1[Avance_km],Tabla1[Fecha],"&lt;="&amp;Grafico!$A219,Tabla1[nombre_actividad],Grafico!H$1),NA())</f>
        <v>0</v>
      </c>
      <c r="I219" s="63"/>
    </row>
    <row r="220" spans="1:9" x14ac:dyDescent="0.25">
      <c r="A220" s="62">
        <f t="shared" si="8"/>
        <v>46181</v>
      </c>
      <c r="B220" s="33" t="str">
        <f t="shared" ca="1" si="7"/>
        <v/>
      </c>
      <c r="C220" s="33"/>
      <c r="D220" s="63">
        <f ca="1">IF(TODAY()&gt;=$A220,SUMIFS(Tabla1[Avance_km],Tabla1[Fecha],"&lt;="&amp;Grafico!$A220,Tabla1[nombre_actividad],Grafico!D$1),NA())</f>
        <v>130.97100000000006</v>
      </c>
      <c r="E220" s="63">
        <f ca="1">IF(TODAY()&gt;=$A220,SUMIFS(Tabla1[Avance_km],Tabla1[Fecha],"&lt;="&amp;Grafico!$A220,Tabla1[nombre_actividad],Grafico!E$1),NA())</f>
        <v>120.56200000000001</v>
      </c>
      <c r="F220" s="110">
        <f ca="1">IF(TODAY()&gt;=$A220,SUMIFS(Tabla1[Avance_km],Tabla1[Fecha],"&lt;="&amp;Grafico!$A220,Tabla1[nombre_actividad],Grafico!F$1,Tabla1[Avance_km],"&gt;0"),NA())</f>
        <v>125.76700000000011</v>
      </c>
      <c r="G220" s="67">
        <f ca="1">IF(TODAY()&gt;=$A220,SUMIFS(Tabla1[Avance_Med],Tabla1[Fecha],"&lt;="&amp;Grafico!$A220,Tabla1[nombre_actividad],Grafico!G$1),NA())</f>
        <v>376</v>
      </c>
      <c r="H220" s="63">
        <f ca="1">IF(TODAY()&gt;=$A220,SUMIFS(Tabla1[Avance_km],Tabla1[Fecha],"&lt;="&amp;Grafico!$A220,Tabla1[nombre_actividad],Grafico!H$1),NA())</f>
        <v>0</v>
      </c>
      <c r="I220" s="63"/>
    </row>
    <row r="221" spans="1:9" x14ac:dyDescent="0.25">
      <c r="A221" s="62">
        <f t="shared" si="8"/>
        <v>46182</v>
      </c>
      <c r="B221" s="33" t="str">
        <f t="shared" ca="1" si="7"/>
        <v/>
      </c>
      <c r="C221" s="33"/>
      <c r="D221" s="63">
        <f ca="1">IF(TODAY()&gt;=$A221,SUMIFS(Tabla1[Avance_km],Tabla1[Fecha],"&lt;="&amp;Grafico!$A221,Tabla1[nombre_actividad],Grafico!D$1),NA())</f>
        <v>130.97100000000006</v>
      </c>
      <c r="E221" s="63">
        <f ca="1">IF(TODAY()&gt;=$A221,SUMIFS(Tabla1[Avance_km],Tabla1[Fecha],"&lt;="&amp;Grafico!$A221,Tabla1[nombre_actividad],Grafico!E$1),NA())</f>
        <v>121.95300000000002</v>
      </c>
      <c r="F221" s="110">
        <f ca="1">IF(TODAY()&gt;=$A221,SUMIFS(Tabla1[Avance_km],Tabla1[Fecha],"&lt;="&amp;Grafico!$A221,Tabla1[nombre_actividad],Grafico!F$1,Tabla1[Avance_km],"&gt;0"),NA())</f>
        <v>125.76700000000011</v>
      </c>
      <c r="G221" s="67">
        <f ca="1">IF(TODAY()&gt;=$A221,SUMIFS(Tabla1[Avance_Med],Tabla1[Fecha],"&lt;="&amp;Grafico!$A221,Tabla1[nombre_actividad],Grafico!G$1),NA())</f>
        <v>376</v>
      </c>
      <c r="H221" s="63">
        <f ca="1">IF(TODAY()&gt;=$A221,SUMIFS(Tabla1[Avance_km],Tabla1[Fecha],"&lt;="&amp;Grafico!$A221,Tabla1[nombre_actividad],Grafico!H$1),NA())</f>
        <v>0</v>
      </c>
      <c r="I221" s="63"/>
    </row>
    <row r="222" spans="1:9" x14ac:dyDescent="0.25">
      <c r="A222" s="62">
        <f t="shared" si="8"/>
        <v>46183</v>
      </c>
      <c r="B222" s="33" t="str">
        <f t="shared" ca="1" si="7"/>
        <v/>
      </c>
      <c r="C222" s="33"/>
      <c r="D222" s="63">
        <f ca="1">IF(TODAY()&gt;=$A222,SUMIFS(Tabla1[Avance_km],Tabla1[Fecha],"&lt;="&amp;Grafico!$A222,Tabla1[nombre_actividad],Grafico!D$1),NA())</f>
        <v>130.97100000000006</v>
      </c>
      <c r="E222" s="63">
        <f ca="1">IF(TODAY()&gt;=$A222,SUMIFS(Tabla1[Avance_km],Tabla1[Fecha],"&lt;="&amp;Grafico!$A222,Tabla1[nombre_actividad],Grafico!E$1),NA())</f>
        <v>122.98</v>
      </c>
      <c r="F222" s="110">
        <f ca="1">IF(TODAY()&gt;=$A222,SUMIFS(Tabla1[Avance_km],Tabla1[Fecha],"&lt;="&amp;Grafico!$A222,Tabla1[nombre_actividad],Grafico!F$1,Tabla1[Avance_km],"&gt;0"),NA())</f>
        <v>125.76700000000011</v>
      </c>
      <c r="G222" s="67">
        <f ca="1">IF(TODAY()&gt;=$A222,SUMIFS(Tabla1[Avance_Med],Tabla1[Fecha],"&lt;="&amp;Grafico!$A222,Tabla1[nombre_actividad],Grafico!G$1),NA())</f>
        <v>376</v>
      </c>
      <c r="H222" s="63">
        <f ca="1">IF(TODAY()&gt;=$A222,SUMIFS(Tabla1[Avance_km],Tabla1[Fecha],"&lt;="&amp;Grafico!$A222,Tabla1[nombre_actividad],Grafico!H$1),NA())</f>
        <v>0</v>
      </c>
      <c r="I222" s="63"/>
    </row>
    <row r="223" spans="1:9" x14ac:dyDescent="0.25">
      <c r="A223" s="62">
        <f t="shared" si="8"/>
        <v>46184</v>
      </c>
      <c r="B223" s="33" t="str">
        <f t="shared" ca="1" si="7"/>
        <v/>
      </c>
      <c r="C223" s="33"/>
      <c r="D223" s="63">
        <f ca="1">IF(TODAY()&gt;=$A223,SUMIFS(Tabla1[Avance_km],Tabla1[Fecha],"&lt;="&amp;Grafico!$A223,Tabla1[nombre_actividad],Grafico!D$1),NA())</f>
        <v>130.97100000000006</v>
      </c>
      <c r="E223" s="63">
        <f ca="1">IF(TODAY()&gt;=$A223,SUMIFS(Tabla1[Avance_km],Tabla1[Fecha],"&lt;="&amp;Grafico!$A223,Tabla1[nombre_actividad],Grafico!E$1),NA())</f>
        <v>123.88300000000001</v>
      </c>
      <c r="F223" s="110">
        <f ca="1">IF(TODAY()&gt;=$A223,SUMIFS(Tabla1[Avance_km],Tabla1[Fecha],"&lt;="&amp;Grafico!$A223,Tabla1[nombre_actividad],Grafico!F$1,Tabla1[Avance_km],"&gt;0"),NA())</f>
        <v>125.76700000000011</v>
      </c>
      <c r="G223" s="67">
        <f ca="1">IF(TODAY()&gt;=$A223,SUMIFS(Tabla1[Avance_Med],Tabla1[Fecha],"&lt;="&amp;Grafico!$A223,Tabla1[nombre_actividad],Grafico!G$1),NA())</f>
        <v>376</v>
      </c>
      <c r="H223" s="63">
        <f ca="1">IF(TODAY()&gt;=$A223,SUMIFS(Tabla1[Avance_km],Tabla1[Fecha],"&lt;="&amp;Grafico!$A223,Tabla1[nombre_actividad],Grafico!H$1),NA())</f>
        <v>0</v>
      </c>
      <c r="I223" s="63"/>
    </row>
    <row r="224" spans="1:9" x14ac:dyDescent="0.25">
      <c r="A224" s="62">
        <f t="shared" si="8"/>
        <v>46185</v>
      </c>
      <c r="B224" s="33" t="str">
        <f t="shared" ca="1" si="7"/>
        <v/>
      </c>
      <c r="C224" s="33"/>
      <c r="D224" s="63">
        <f ca="1">IF(TODAY()&gt;=$A224,SUMIFS(Tabla1[Avance_km],Tabla1[Fecha],"&lt;="&amp;Grafico!$A224,Tabla1[nombre_actividad],Grafico!D$1),NA())</f>
        <v>130.97100000000006</v>
      </c>
      <c r="E224" s="63">
        <f ca="1">IF(TODAY()&gt;=$A224,SUMIFS(Tabla1[Avance_km],Tabla1[Fecha],"&lt;="&amp;Grafico!$A224,Tabla1[nombre_actividad],Grafico!E$1),NA())</f>
        <v>124.75500000000001</v>
      </c>
      <c r="F224" s="110">
        <f ca="1">IF(TODAY()&gt;=$A224,SUMIFS(Tabla1[Avance_km],Tabla1[Fecha],"&lt;="&amp;Grafico!$A224,Tabla1[nombre_actividad],Grafico!F$1,Tabla1[Avance_km],"&gt;0"),NA())</f>
        <v>125.76700000000011</v>
      </c>
      <c r="G224" s="67">
        <f ca="1">IF(TODAY()&gt;=$A224,SUMIFS(Tabla1[Avance_Med],Tabla1[Fecha],"&lt;="&amp;Grafico!$A224,Tabla1[nombre_actividad],Grafico!G$1),NA())</f>
        <v>376</v>
      </c>
      <c r="H224" s="63">
        <f ca="1">IF(TODAY()&gt;=$A224,SUMIFS(Tabla1[Avance_km],Tabla1[Fecha],"&lt;="&amp;Grafico!$A224,Tabla1[nombre_actividad],Grafico!H$1),NA())</f>
        <v>0</v>
      </c>
      <c r="I224" s="63"/>
    </row>
    <row r="225" spans="1:9" x14ac:dyDescent="0.25">
      <c r="A225" s="62">
        <f t="shared" si="8"/>
        <v>46186</v>
      </c>
      <c r="B225" s="33" t="str">
        <f t="shared" ca="1" si="7"/>
        <v/>
      </c>
      <c r="C225" s="33"/>
      <c r="D225" s="63">
        <f ca="1">IF(TODAY()&gt;=$A225,SUMIFS(Tabla1[Avance_km],Tabla1[Fecha],"&lt;="&amp;Grafico!$A225,Tabla1[nombre_actividad],Grafico!D$1),NA())</f>
        <v>130.97100000000006</v>
      </c>
      <c r="E225" s="63">
        <f ca="1">IF(TODAY()&gt;=$A225,SUMIFS(Tabla1[Avance_km],Tabla1[Fecha],"&lt;="&amp;Grafico!$A225,Tabla1[nombre_actividad],Grafico!E$1),NA())</f>
        <v>124.75500000000001</v>
      </c>
      <c r="F225" s="110">
        <f ca="1">IF(TODAY()&gt;=$A225,SUMIFS(Tabla1[Avance_km],Tabla1[Fecha],"&lt;="&amp;Grafico!$A225,Tabla1[nombre_actividad],Grafico!F$1,Tabla1[Avance_km],"&gt;0"),NA())</f>
        <v>125.76700000000011</v>
      </c>
      <c r="G225" s="67">
        <f ca="1">IF(TODAY()&gt;=$A225,SUMIFS(Tabla1[Avance_Med],Tabla1[Fecha],"&lt;="&amp;Grafico!$A225,Tabla1[nombre_actividad],Grafico!G$1),NA())</f>
        <v>376</v>
      </c>
      <c r="H225" s="63">
        <f ca="1">IF(TODAY()&gt;=$A225,SUMIFS(Tabla1[Avance_km],Tabla1[Fecha],"&lt;="&amp;Grafico!$A225,Tabla1[nombre_actividad],Grafico!H$1),NA())</f>
        <v>0</v>
      </c>
      <c r="I225" s="63"/>
    </row>
    <row r="226" spans="1:9" x14ac:dyDescent="0.25">
      <c r="A226" s="62">
        <f t="shared" si="8"/>
        <v>46187</v>
      </c>
      <c r="B226" s="33" t="str">
        <f t="shared" ca="1" si="7"/>
        <v/>
      </c>
      <c r="C226" s="33"/>
      <c r="D226" s="63">
        <f ca="1">IF(TODAY()&gt;=$A226,SUMIFS(Tabla1[Avance_km],Tabla1[Fecha],"&lt;="&amp;Grafico!$A226,Tabla1[nombre_actividad],Grafico!D$1),NA())</f>
        <v>130.97100000000006</v>
      </c>
      <c r="E226" s="63">
        <f ca="1">IF(TODAY()&gt;=$A226,SUMIFS(Tabla1[Avance_km],Tabla1[Fecha],"&lt;="&amp;Grafico!$A226,Tabla1[nombre_actividad],Grafico!E$1),NA())</f>
        <v>124.75500000000001</v>
      </c>
      <c r="F226" s="110">
        <f ca="1">IF(TODAY()&gt;=$A226,SUMIFS(Tabla1[Avance_km],Tabla1[Fecha],"&lt;="&amp;Grafico!$A226,Tabla1[nombre_actividad],Grafico!F$1,Tabla1[Avance_km],"&gt;0"),NA())</f>
        <v>125.76700000000011</v>
      </c>
      <c r="G226" s="67">
        <f ca="1">IF(TODAY()&gt;=$A226,SUMIFS(Tabla1[Avance_Med],Tabla1[Fecha],"&lt;="&amp;Grafico!$A226,Tabla1[nombre_actividad],Grafico!G$1),NA())</f>
        <v>376</v>
      </c>
      <c r="H226" s="63">
        <f ca="1">IF(TODAY()&gt;=$A226,SUMIFS(Tabla1[Avance_km],Tabla1[Fecha],"&lt;="&amp;Grafico!$A226,Tabla1[nombre_actividad],Grafico!H$1),NA())</f>
        <v>0</v>
      </c>
      <c r="I226" s="63"/>
    </row>
    <row r="227" spans="1:9" x14ac:dyDescent="0.25">
      <c r="A227" s="62">
        <f t="shared" si="8"/>
        <v>46188</v>
      </c>
      <c r="B227" s="33" t="str">
        <f t="shared" ca="1" si="7"/>
        <v/>
      </c>
      <c r="C227" s="33"/>
      <c r="D227" s="63">
        <f ca="1">IF(TODAY()&gt;=$A227,SUMIFS(Tabla1[Avance_km],Tabla1[Fecha],"&lt;="&amp;Grafico!$A227,Tabla1[nombre_actividad],Grafico!D$1),NA())</f>
        <v>130.97100000000006</v>
      </c>
      <c r="E227" s="63">
        <f ca="1">IF(TODAY()&gt;=$A227,SUMIFS(Tabla1[Avance_km],Tabla1[Fecha],"&lt;="&amp;Grafico!$A227,Tabla1[nombre_actividad],Grafico!E$1),NA())</f>
        <v>125.22200000000001</v>
      </c>
      <c r="F227" s="110">
        <f ca="1">IF(TODAY()&gt;=$A227,SUMIFS(Tabla1[Avance_km],Tabla1[Fecha],"&lt;="&amp;Grafico!$A227,Tabla1[nombre_actividad],Grafico!F$1,Tabla1[Avance_km],"&gt;0"),NA())</f>
        <v>125.76700000000011</v>
      </c>
      <c r="G227" s="67">
        <f ca="1">IF(TODAY()&gt;=$A227,SUMIFS(Tabla1[Avance_Med],Tabla1[Fecha],"&lt;="&amp;Grafico!$A227,Tabla1[nombre_actividad],Grafico!G$1),NA())</f>
        <v>376</v>
      </c>
      <c r="H227" s="63">
        <f ca="1">IF(TODAY()&gt;=$A227,SUMIFS(Tabla1[Avance_km],Tabla1[Fecha],"&lt;="&amp;Grafico!$A227,Tabla1[nombre_actividad],Grafico!H$1),NA())</f>
        <v>0</v>
      </c>
      <c r="I227" s="63"/>
    </row>
    <row r="228" spans="1:9" x14ac:dyDescent="0.25">
      <c r="A228" s="62">
        <f t="shared" si="8"/>
        <v>46189</v>
      </c>
      <c r="B228" s="33" t="str">
        <f t="shared" ca="1" si="7"/>
        <v/>
      </c>
      <c r="C228" s="33"/>
      <c r="D228" s="63">
        <f ca="1">IF(TODAY()&gt;=$A228,SUMIFS(Tabla1[Avance_km],Tabla1[Fecha],"&lt;="&amp;Grafico!$A228,Tabla1[nombre_actividad],Grafico!D$1),NA())</f>
        <v>130.97100000000006</v>
      </c>
      <c r="E228" s="63">
        <f ca="1">IF(TODAY()&gt;=$A228,SUMIFS(Tabla1[Avance_km],Tabla1[Fecha],"&lt;="&amp;Grafico!$A228,Tabla1[nombre_actividad],Grafico!E$1),NA())</f>
        <v>125.92</v>
      </c>
      <c r="F228" s="110">
        <f ca="1">IF(TODAY()&gt;=$A228,SUMIFS(Tabla1[Avance_km],Tabla1[Fecha],"&lt;="&amp;Grafico!$A228,Tabla1[nombre_actividad],Grafico!F$1,Tabla1[Avance_km],"&gt;0"),NA())</f>
        <v>125.76700000000011</v>
      </c>
      <c r="G228" s="67">
        <f ca="1">IF(TODAY()&gt;=$A228,SUMIFS(Tabla1[Avance_Med],Tabla1[Fecha],"&lt;="&amp;Grafico!$A228,Tabla1[nombre_actividad],Grafico!G$1),NA())</f>
        <v>376</v>
      </c>
      <c r="H228" s="63">
        <f ca="1">IF(TODAY()&gt;=$A228,SUMIFS(Tabla1[Avance_km],Tabla1[Fecha],"&lt;="&amp;Grafico!$A228,Tabla1[nombre_actividad],Grafico!H$1),NA())</f>
        <v>0</v>
      </c>
      <c r="I228" s="63"/>
    </row>
    <row r="229" spans="1:9" x14ac:dyDescent="0.25">
      <c r="A229" s="62">
        <f t="shared" si="8"/>
        <v>46190</v>
      </c>
      <c r="B229" s="33" t="str">
        <f t="shared" ca="1" si="7"/>
        <v/>
      </c>
      <c r="C229" s="33"/>
      <c r="D229" s="63">
        <f ca="1">IF(TODAY()&gt;=$A229,SUMIFS(Tabla1[Avance_km],Tabla1[Fecha],"&lt;="&amp;Grafico!$A229,Tabla1[nombre_actividad],Grafico!D$1),NA())</f>
        <v>130.97100000000006</v>
      </c>
      <c r="E229" s="63">
        <f ca="1">IF(TODAY()&gt;=$A229,SUMIFS(Tabla1[Avance_km],Tabla1[Fecha],"&lt;="&amp;Grafico!$A229,Tabla1[nombre_actividad],Grafico!E$1),NA())</f>
        <v>126.35899999999999</v>
      </c>
      <c r="F229" s="110">
        <f ca="1">IF(TODAY()&gt;=$A229,SUMIFS(Tabla1[Avance_km],Tabla1[Fecha],"&lt;="&amp;Grafico!$A229,Tabla1[nombre_actividad],Grafico!F$1,Tabla1[Avance_km],"&gt;0"),NA())</f>
        <v>125.76700000000011</v>
      </c>
      <c r="G229" s="67">
        <f ca="1">IF(TODAY()&gt;=$A229,SUMIFS(Tabla1[Avance_Med],Tabla1[Fecha],"&lt;="&amp;Grafico!$A229,Tabla1[nombre_actividad],Grafico!G$1),NA())</f>
        <v>376</v>
      </c>
      <c r="H229" s="63">
        <f ca="1">IF(TODAY()&gt;=$A229,SUMIFS(Tabla1[Avance_km],Tabla1[Fecha],"&lt;="&amp;Grafico!$A229,Tabla1[nombre_actividad],Grafico!H$1),NA())</f>
        <v>0</v>
      </c>
      <c r="I229" s="63"/>
    </row>
    <row r="230" spans="1:9" x14ac:dyDescent="0.25">
      <c r="A230" s="62">
        <f t="shared" si="8"/>
        <v>46191</v>
      </c>
      <c r="B230" s="33" t="str">
        <f t="shared" ca="1" si="7"/>
        <v/>
      </c>
      <c r="C230" s="33"/>
      <c r="D230" s="63">
        <f ca="1">IF(TODAY()&gt;=$A230,SUMIFS(Tabla1[Avance_km],Tabla1[Fecha],"&lt;="&amp;Grafico!$A230,Tabla1[nombre_actividad],Grafico!D$1),NA())</f>
        <v>130.97100000000006</v>
      </c>
      <c r="E230" s="63">
        <f ca="1">IF(TODAY()&gt;=$A230,SUMIFS(Tabla1[Avance_km],Tabla1[Fecha],"&lt;="&amp;Grafico!$A230,Tabla1[nombre_actividad],Grafico!E$1),NA())</f>
        <v>127.53099999999999</v>
      </c>
      <c r="F230" s="110">
        <f ca="1">IF(TODAY()&gt;=$A230,SUMIFS(Tabla1[Avance_km],Tabla1[Fecha],"&lt;="&amp;Grafico!$A230,Tabla1[nombre_actividad],Grafico!F$1,Tabla1[Avance_km],"&gt;0"),NA())</f>
        <v>125.76700000000011</v>
      </c>
      <c r="G230" s="67">
        <f ca="1">IF(TODAY()&gt;=$A230,SUMIFS(Tabla1[Avance_Med],Tabla1[Fecha],"&lt;="&amp;Grafico!$A230,Tabla1[nombre_actividad],Grafico!G$1),NA())</f>
        <v>376</v>
      </c>
      <c r="H230" s="63">
        <f ca="1">IF(TODAY()&gt;=$A230,SUMIFS(Tabla1[Avance_km],Tabla1[Fecha],"&lt;="&amp;Grafico!$A230,Tabla1[nombre_actividad],Grafico!H$1),NA())</f>
        <v>0</v>
      </c>
      <c r="I230" s="63"/>
    </row>
    <row r="231" spans="1:9" x14ac:dyDescent="0.25">
      <c r="A231" s="62">
        <f t="shared" si="8"/>
        <v>46192</v>
      </c>
      <c r="B231" s="33" t="str">
        <f t="shared" ca="1" si="7"/>
        <v/>
      </c>
      <c r="C231" s="33"/>
      <c r="D231" s="63">
        <f ca="1">IF(TODAY()&gt;=$A231,SUMIFS(Tabla1[Avance_km],Tabla1[Fecha],"&lt;="&amp;Grafico!$A231,Tabla1[nombre_actividad],Grafico!D$1),NA())</f>
        <v>132.54000000000008</v>
      </c>
      <c r="E231" s="63">
        <f ca="1">IF(TODAY()&gt;=$A231,SUMIFS(Tabla1[Avance_km],Tabla1[Fecha],"&lt;="&amp;Grafico!$A231,Tabla1[nombre_actividad],Grafico!E$1),NA())</f>
        <v>127.664</v>
      </c>
      <c r="F231" s="110">
        <f ca="1">IF(TODAY()&gt;=$A231,SUMIFS(Tabla1[Avance_km],Tabla1[Fecha],"&lt;="&amp;Grafico!$A231,Tabla1[nombre_actividad],Grafico!F$1,Tabla1[Avance_km],"&gt;0"),NA())</f>
        <v>125.76700000000011</v>
      </c>
      <c r="G231" s="67">
        <f ca="1">IF(TODAY()&gt;=$A231,SUMIFS(Tabla1[Avance_Med],Tabla1[Fecha],"&lt;="&amp;Grafico!$A231,Tabla1[nombre_actividad],Grafico!G$1),NA())</f>
        <v>376</v>
      </c>
      <c r="H231" s="63">
        <f ca="1">IF(TODAY()&gt;=$A231,SUMIFS(Tabla1[Avance_km],Tabla1[Fecha],"&lt;="&amp;Grafico!$A231,Tabla1[nombre_actividad],Grafico!H$1),NA())</f>
        <v>0</v>
      </c>
      <c r="I231" s="63"/>
    </row>
    <row r="232" spans="1:9" x14ac:dyDescent="0.25">
      <c r="A232" s="62">
        <f t="shared" si="8"/>
        <v>46193</v>
      </c>
      <c r="B232" s="33" t="str">
        <f t="shared" ca="1" si="7"/>
        <v/>
      </c>
      <c r="C232" s="33"/>
      <c r="D232" s="63">
        <f ca="1">IF(TODAY()&gt;=$A232,SUMIFS(Tabla1[Avance_km],Tabla1[Fecha],"&lt;="&amp;Grafico!$A232,Tabla1[nombre_actividad],Grafico!D$1),NA())</f>
        <v>132.55400000000009</v>
      </c>
      <c r="E232" s="63">
        <f ca="1">IF(TODAY()&gt;=$A232,SUMIFS(Tabla1[Avance_km],Tabla1[Fecha],"&lt;="&amp;Grafico!$A232,Tabla1[nombre_actividad],Grafico!E$1),NA())</f>
        <v>127.678</v>
      </c>
      <c r="F232" s="110">
        <f ca="1">IF(TODAY()&gt;=$A232,SUMIFS(Tabla1[Avance_km],Tabla1[Fecha],"&lt;="&amp;Grafico!$A232,Tabla1[nombre_actividad],Grafico!F$1,Tabla1[Avance_km],"&gt;0"),NA())</f>
        <v>125.76700000000011</v>
      </c>
      <c r="G232" s="67">
        <f ca="1">IF(TODAY()&gt;=$A232,SUMIFS(Tabla1[Avance_Med],Tabla1[Fecha],"&lt;="&amp;Grafico!$A232,Tabla1[nombre_actividad],Grafico!G$1),NA())</f>
        <v>376</v>
      </c>
      <c r="H232" s="63">
        <f ca="1">IF(TODAY()&gt;=$A232,SUMIFS(Tabla1[Avance_km],Tabla1[Fecha],"&lt;="&amp;Grafico!$A232,Tabla1[nombre_actividad],Grafico!H$1),NA())</f>
        <v>0</v>
      </c>
      <c r="I232" s="63"/>
    </row>
    <row r="233" spans="1:9" x14ac:dyDescent="0.25">
      <c r="A233" s="62">
        <f t="shared" si="8"/>
        <v>46194</v>
      </c>
      <c r="B233" s="33" t="str">
        <f t="shared" ca="1" si="7"/>
        <v/>
      </c>
      <c r="C233" s="33"/>
      <c r="D233" s="63">
        <f ca="1">IF(TODAY()&gt;=$A233,SUMIFS(Tabla1[Avance_km],Tabla1[Fecha],"&lt;="&amp;Grafico!$A233,Tabla1[nombre_actividad],Grafico!D$1),NA())</f>
        <v>132.55400000000009</v>
      </c>
      <c r="E233" s="63">
        <f ca="1">IF(TODAY()&gt;=$A233,SUMIFS(Tabla1[Avance_km],Tabla1[Fecha],"&lt;="&amp;Grafico!$A233,Tabla1[nombre_actividad],Grafico!E$1),NA())</f>
        <v>127.678</v>
      </c>
      <c r="F233" s="110">
        <f ca="1">IF(TODAY()&gt;=$A233,SUMIFS(Tabla1[Avance_km],Tabla1[Fecha],"&lt;="&amp;Grafico!$A233,Tabla1[nombre_actividad],Grafico!F$1,Tabla1[Avance_km],"&gt;0"),NA())</f>
        <v>125.76700000000011</v>
      </c>
      <c r="G233" s="67">
        <f ca="1">IF(TODAY()&gt;=$A233,SUMIFS(Tabla1[Avance_Med],Tabla1[Fecha],"&lt;="&amp;Grafico!$A233,Tabla1[nombre_actividad],Grafico!G$1),NA())</f>
        <v>376</v>
      </c>
      <c r="H233" s="63">
        <f ca="1">IF(TODAY()&gt;=$A233,SUMIFS(Tabla1[Avance_km],Tabla1[Fecha],"&lt;="&amp;Grafico!$A233,Tabla1[nombre_actividad],Grafico!H$1),NA())</f>
        <v>0</v>
      </c>
      <c r="I233" s="63"/>
    </row>
    <row r="234" spans="1:9" x14ac:dyDescent="0.25">
      <c r="A234" s="62">
        <f t="shared" si="8"/>
        <v>46195</v>
      </c>
      <c r="B234" s="33" t="str">
        <f t="shared" ca="1" si="7"/>
        <v/>
      </c>
      <c r="C234" s="33"/>
      <c r="D234" s="63">
        <f ca="1">IF(TODAY()&gt;=$A234,SUMIFS(Tabla1[Avance_km],Tabla1[Fecha],"&lt;="&amp;Grafico!$A234,Tabla1[nombre_actividad],Grafico!D$1),NA())</f>
        <v>132.55400000000009</v>
      </c>
      <c r="E234" s="63">
        <f ca="1">IF(TODAY()&gt;=$A234,SUMIFS(Tabla1[Avance_km],Tabla1[Fecha],"&lt;="&amp;Grafico!$A234,Tabla1[nombre_actividad],Grafico!E$1),NA())</f>
        <v>128.17399999999998</v>
      </c>
      <c r="F234" s="110">
        <f ca="1">IF(TODAY()&gt;=$A234,SUMIFS(Tabla1[Avance_km],Tabla1[Fecha],"&lt;="&amp;Grafico!$A234,Tabla1[nombre_actividad],Grafico!F$1,Tabla1[Avance_km],"&gt;0"),NA())</f>
        <v>125.76700000000011</v>
      </c>
      <c r="G234" s="67">
        <f ca="1">IF(TODAY()&gt;=$A234,SUMIFS(Tabla1[Avance_Med],Tabla1[Fecha],"&lt;="&amp;Grafico!$A234,Tabla1[nombre_actividad],Grafico!G$1),NA())</f>
        <v>376</v>
      </c>
      <c r="H234" s="63">
        <f ca="1">IF(TODAY()&gt;=$A234,SUMIFS(Tabla1[Avance_km],Tabla1[Fecha],"&lt;="&amp;Grafico!$A234,Tabla1[nombre_actividad],Grafico!H$1),NA())</f>
        <v>0</v>
      </c>
      <c r="I234" s="63"/>
    </row>
    <row r="235" spans="1:9" x14ac:dyDescent="0.25">
      <c r="A235" s="62">
        <f t="shared" si="8"/>
        <v>46196</v>
      </c>
      <c r="B235" s="33" t="str">
        <f t="shared" ca="1" si="7"/>
        <v/>
      </c>
      <c r="C235" s="33"/>
      <c r="D235" s="63">
        <f ca="1">IF(TODAY()&gt;=$A235,SUMIFS(Tabla1[Avance_km],Tabla1[Fecha],"&lt;="&amp;Grafico!$A235,Tabla1[nombre_actividad],Grafico!D$1),NA())</f>
        <v>132.55400000000009</v>
      </c>
      <c r="E235" s="63">
        <f ca="1">IF(TODAY()&gt;=$A235,SUMIFS(Tabla1[Avance_km],Tabla1[Fecha],"&lt;="&amp;Grafico!$A235,Tabla1[nombre_actividad],Grafico!E$1),NA())</f>
        <v>129.04499999999999</v>
      </c>
      <c r="F235" s="110">
        <f ca="1">IF(TODAY()&gt;=$A235,SUMIFS(Tabla1[Avance_km],Tabla1[Fecha],"&lt;="&amp;Grafico!$A235,Tabla1[nombre_actividad],Grafico!F$1,Tabla1[Avance_km],"&gt;0"),NA())</f>
        <v>125.76700000000011</v>
      </c>
      <c r="G235" s="67">
        <f ca="1">IF(TODAY()&gt;=$A235,SUMIFS(Tabla1[Avance_Med],Tabla1[Fecha],"&lt;="&amp;Grafico!$A235,Tabla1[nombre_actividad],Grafico!G$1),NA())</f>
        <v>376</v>
      </c>
      <c r="H235" s="63">
        <f ca="1">IF(TODAY()&gt;=$A235,SUMIFS(Tabla1[Avance_km],Tabla1[Fecha],"&lt;="&amp;Grafico!$A235,Tabla1[nombre_actividad],Grafico!H$1),NA())</f>
        <v>0</v>
      </c>
      <c r="I235" s="63"/>
    </row>
    <row r="236" spans="1:9" x14ac:dyDescent="0.25">
      <c r="A236" s="62">
        <f t="shared" si="8"/>
        <v>46197</v>
      </c>
      <c r="B236" s="33" t="str">
        <f t="shared" ca="1" si="7"/>
        <v/>
      </c>
      <c r="C236" s="33"/>
      <c r="D236" s="63">
        <f ca="1">IF(TODAY()&gt;=$A236,SUMIFS(Tabla1[Avance_km],Tabla1[Fecha],"&lt;="&amp;Grafico!$A236,Tabla1[nombre_actividad],Grafico!D$1),NA())</f>
        <v>132.55400000000009</v>
      </c>
      <c r="E236" s="63">
        <f ca="1">IF(TODAY()&gt;=$A236,SUMIFS(Tabla1[Avance_km],Tabla1[Fecha],"&lt;="&amp;Grafico!$A236,Tabla1[nombre_actividad],Grafico!E$1),NA())</f>
        <v>129.04499999999999</v>
      </c>
      <c r="F236" s="110">
        <f ca="1">IF(TODAY()&gt;=$A236,SUMIFS(Tabla1[Avance_km],Tabla1[Fecha],"&lt;="&amp;Grafico!$A236,Tabla1[nombre_actividad],Grafico!F$1,Tabla1[Avance_km],"&gt;0"),NA())</f>
        <v>125.76700000000011</v>
      </c>
      <c r="G236" s="67">
        <f ca="1">IF(TODAY()&gt;=$A236,SUMIFS(Tabla1[Avance_Med],Tabla1[Fecha],"&lt;="&amp;Grafico!$A236,Tabla1[nombre_actividad],Grafico!G$1),NA())</f>
        <v>376</v>
      </c>
      <c r="H236" s="63">
        <f ca="1">IF(TODAY()&gt;=$A236,SUMIFS(Tabla1[Avance_km],Tabla1[Fecha],"&lt;="&amp;Grafico!$A236,Tabla1[nombre_actividad],Grafico!H$1),NA())</f>
        <v>0</v>
      </c>
      <c r="I236" s="63"/>
    </row>
    <row r="237" spans="1:9" x14ac:dyDescent="0.25">
      <c r="A237" s="62">
        <f t="shared" si="8"/>
        <v>46198</v>
      </c>
      <c r="B237" s="33" t="str">
        <f t="shared" ca="1" si="7"/>
        <v/>
      </c>
      <c r="C237" s="33"/>
      <c r="D237" s="63">
        <f ca="1">IF(TODAY()&gt;=$A237,SUMIFS(Tabla1[Avance_km],Tabla1[Fecha],"&lt;="&amp;Grafico!$A237,Tabla1[nombre_actividad],Grafico!D$1),NA())</f>
        <v>132.58700000000007</v>
      </c>
      <c r="E237" s="63">
        <f ca="1">IF(TODAY()&gt;=$A237,SUMIFS(Tabla1[Avance_km],Tabla1[Fecha],"&lt;="&amp;Grafico!$A237,Tabla1[nombre_actividad],Grafico!E$1),NA())</f>
        <v>130.51399999999998</v>
      </c>
      <c r="F237" s="110">
        <f ca="1">IF(TODAY()&gt;=$A237,SUMIFS(Tabla1[Avance_km],Tabla1[Fecha],"&lt;="&amp;Grafico!$A237,Tabla1[nombre_actividad],Grafico!F$1,Tabla1[Avance_km],"&gt;0"),NA())</f>
        <v>125.76700000000011</v>
      </c>
      <c r="G237" s="67">
        <f ca="1">IF(TODAY()&gt;=$A237,SUMIFS(Tabla1[Avance_Med],Tabla1[Fecha],"&lt;="&amp;Grafico!$A237,Tabla1[nombre_actividad],Grafico!G$1),NA())</f>
        <v>376</v>
      </c>
      <c r="H237" s="63">
        <f ca="1">IF(TODAY()&gt;=$A237,SUMIFS(Tabla1[Avance_km],Tabla1[Fecha],"&lt;="&amp;Grafico!$A237,Tabla1[nombre_actividad],Grafico!H$1),NA())</f>
        <v>0</v>
      </c>
      <c r="I237" s="63"/>
    </row>
    <row r="238" spans="1:9" x14ac:dyDescent="0.25">
      <c r="A238" s="62">
        <f t="shared" si="8"/>
        <v>46199</v>
      </c>
      <c r="B238" s="33" t="str">
        <f t="shared" ca="1" si="7"/>
        <v/>
      </c>
      <c r="C238" s="33"/>
      <c r="D238" s="63">
        <f ca="1">IF(TODAY()&gt;=$A238,SUMIFS(Tabla1[Avance_km],Tabla1[Fecha],"&lt;="&amp;Grafico!$A238,Tabla1[nombre_actividad],Grafico!D$1),NA())</f>
        <v>133.24400000000006</v>
      </c>
      <c r="E238" s="63">
        <f ca="1">IF(TODAY()&gt;=$A238,SUMIFS(Tabla1[Avance_km],Tabla1[Fecha],"&lt;="&amp;Grafico!$A238,Tabla1[nombre_actividad],Grafico!E$1),NA())</f>
        <v>130.51999999999998</v>
      </c>
      <c r="F238" s="110">
        <f ca="1">IF(TODAY()&gt;=$A238,SUMIFS(Tabla1[Avance_km],Tabla1[Fecha],"&lt;="&amp;Grafico!$A238,Tabla1[nombre_actividad],Grafico!F$1,Tabla1[Avance_km],"&gt;0"),NA())</f>
        <v>125.76700000000011</v>
      </c>
      <c r="G238" s="67">
        <f ca="1">IF(TODAY()&gt;=$A238,SUMIFS(Tabla1[Avance_Med],Tabla1[Fecha],"&lt;="&amp;Grafico!$A238,Tabla1[nombre_actividad],Grafico!G$1),NA())</f>
        <v>376</v>
      </c>
      <c r="H238" s="63">
        <f ca="1">IF(TODAY()&gt;=$A238,SUMIFS(Tabla1[Avance_km],Tabla1[Fecha],"&lt;="&amp;Grafico!$A238,Tabla1[nombre_actividad],Grafico!H$1),NA())</f>
        <v>0</v>
      </c>
      <c r="I238" s="63"/>
    </row>
    <row r="239" spans="1:9" x14ac:dyDescent="0.25">
      <c r="A239" s="62">
        <f t="shared" si="8"/>
        <v>46200</v>
      </c>
      <c r="B239" s="33" t="str">
        <f t="shared" ca="1" si="7"/>
        <v/>
      </c>
      <c r="C239" s="33"/>
      <c r="D239" s="63">
        <f ca="1">IF(TODAY()&gt;=$A239,SUMIFS(Tabla1[Avance_km],Tabla1[Fecha],"&lt;="&amp;Grafico!$A239,Tabla1[nombre_actividad],Grafico!D$1),NA())</f>
        <v>134.08600000000004</v>
      </c>
      <c r="E239" s="63">
        <f ca="1">IF(TODAY()&gt;=$A239,SUMIFS(Tabla1[Avance_km],Tabla1[Fecha],"&lt;="&amp;Grafico!$A239,Tabla1[nombre_actividad],Grafico!E$1),NA())</f>
        <v>130.51999999999998</v>
      </c>
      <c r="F239" s="110">
        <f ca="1">IF(TODAY()&gt;=$A239,SUMIFS(Tabla1[Avance_km],Tabla1[Fecha],"&lt;="&amp;Grafico!$A239,Tabla1[nombre_actividad],Grafico!F$1,Tabla1[Avance_km],"&gt;0"),NA())</f>
        <v>125.76700000000011</v>
      </c>
      <c r="G239" s="67">
        <f ca="1">IF(TODAY()&gt;=$A239,SUMIFS(Tabla1[Avance_Med],Tabla1[Fecha],"&lt;="&amp;Grafico!$A239,Tabla1[nombre_actividad],Grafico!G$1),NA())</f>
        <v>376</v>
      </c>
      <c r="H239" s="63">
        <f ca="1">IF(TODAY()&gt;=$A239,SUMIFS(Tabla1[Avance_km],Tabla1[Fecha],"&lt;="&amp;Grafico!$A239,Tabla1[nombre_actividad],Grafico!H$1),NA())</f>
        <v>0</v>
      </c>
      <c r="I239" s="63"/>
    </row>
    <row r="240" spans="1:9" x14ac:dyDescent="0.25">
      <c r="A240" s="62">
        <f t="shared" si="8"/>
        <v>46201</v>
      </c>
      <c r="B240" s="33" t="str">
        <f t="shared" ca="1" si="7"/>
        <v/>
      </c>
      <c r="C240" s="33"/>
      <c r="D240" s="63">
        <f ca="1">IF(TODAY()&gt;=$A240,SUMIFS(Tabla1[Avance_km],Tabla1[Fecha],"&lt;="&amp;Grafico!$A240,Tabla1[nombre_actividad],Grafico!D$1),NA())</f>
        <v>134.08600000000004</v>
      </c>
      <c r="E240" s="63">
        <f ca="1">IF(TODAY()&gt;=$A240,SUMIFS(Tabla1[Avance_km],Tabla1[Fecha],"&lt;="&amp;Grafico!$A240,Tabla1[nombre_actividad],Grafico!E$1),NA())</f>
        <v>130.51999999999998</v>
      </c>
      <c r="F240" s="110">
        <f ca="1">IF(TODAY()&gt;=$A240,SUMIFS(Tabla1[Avance_km],Tabla1[Fecha],"&lt;="&amp;Grafico!$A240,Tabla1[nombre_actividad],Grafico!F$1,Tabla1[Avance_km],"&gt;0"),NA())</f>
        <v>125.76700000000011</v>
      </c>
      <c r="G240" s="67">
        <f ca="1">IF(TODAY()&gt;=$A240,SUMIFS(Tabla1[Avance_Med],Tabla1[Fecha],"&lt;="&amp;Grafico!$A240,Tabla1[nombre_actividad],Grafico!G$1),NA())</f>
        <v>376</v>
      </c>
      <c r="H240" s="63">
        <f ca="1">IF(TODAY()&gt;=$A240,SUMIFS(Tabla1[Avance_km],Tabla1[Fecha],"&lt;="&amp;Grafico!$A240,Tabla1[nombre_actividad],Grafico!H$1),NA())</f>
        <v>0</v>
      </c>
      <c r="I240" s="63"/>
    </row>
    <row r="241" spans="1:9" x14ac:dyDescent="0.25">
      <c r="A241" s="62">
        <f t="shared" si="8"/>
        <v>46202</v>
      </c>
      <c r="B241" s="33" t="str">
        <f t="shared" ca="1" si="7"/>
        <v/>
      </c>
      <c r="C241" s="33"/>
      <c r="D241" s="63">
        <f ca="1">IF(TODAY()&gt;=$A241,SUMIFS(Tabla1[Avance_km],Tabla1[Fecha],"&lt;="&amp;Grafico!$A241,Tabla1[nombre_actividad],Grafico!D$1),NA())</f>
        <v>134.08600000000004</v>
      </c>
      <c r="E241" s="63">
        <f ca="1">IF(TODAY()&gt;=$A241,SUMIFS(Tabla1[Avance_km],Tabla1[Fecha],"&lt;="&amp;Grafico!$A241,Tabla1[nombre_actividad],Grafico!E$1),NA())</f>
        <v>131.21199999999999</v>
      </c>
      <c r="F241" s="110">
        <f ca="1">IF(TODAY()&gt;=$A241,SUMIFS(Tabla1[Avance_km],Tabla1[Fecha],"&lt;="&amp;Grafico!$A241,Tabla1[nombre_actividad],Grafico!F$1,Tabla1[Avance_km],"&gt;0"),NA())</f>
        <v>125.76700000000011</v>
      </c>
      <c r="G241" s="67">
        <f ca="1">IF(TODAY()&gt;=$A241,SUMIFS(Tabla1[Avance_Med],Tabla1[Fecha],"&lt;="&amp;Grafico!$A241,Tabla1[nombre_actividad],Grafico!G$1),NA())</f>
        <v>376</v>
      </c>
      <c r="H241" s="63">
        <f ca="1">IF(TODAY()&gt;=$A241,SUMIFS(Tabla1[Avance_km],Tabla1[Fecha],"&lt;="&amp;Grafico!$A241,Tabla1[nombre_actividad],Grafico!H$1),NA())</f>
        <v>0</v>
      </c>
      <c r="I241" s="63"/>
    </row>
    <row r="242" spans="1:9" x14ac:dyDescent="0.25">
      <c r="A242" s="62">
        <f t="shared" si="8"/>
        <v>46203</v>
      </c>
      <c r="B242" s="33" t="str">
        <f t="shared" ca="1" si="7"/>
        <v/>
      </c>
      <c r="C242" s="33"/>
      <c r="D242" s="63">
        <f ca="1">IF(TODAY()&gt;=$A242,SUMIFS(Tabla1[Avance_km],Tabla1[Fecha],"&lt;="&amp;Grafico!$A242,Tabla1[nombre_actividad],Grafico!D$1),NA())</f>
        <v>134.18600000000004</v>
      </c>
      <c r="E242" s="63">
        <f ca="1">IF(TODAY()&gt;=$A242,SUMIFS(Tabla1[Avance_km],Tabla1[Fecha],"&lt;="&amp;Grafico!$A242,Tabla1[nombre_actividad],Grafico!E$1),NA())</f>
        <v>131.48699999999999</v>
      </c>
      <c r="F242" s="110">
        <f ca="1">IF(TODAY()&gt;=$A242,SUMIFS(Tabla1[Avance_km],Tabla1[Fecha],"&lt;="&amp;Grafico!$A242,Tabla1[nombre_actividad],Grafico!F$1,Tabla1[Avance_km],"&gt;0"),NA())</f>
        <v>125.76700000000011</v>
      </c>
      <c r="G242" s="67">
        <f ca="1">IF(TODAY()&gt;=$A242,SUMIFS(Tabla1[Avance_Med],Tabla1[Fecha],"&lt;="&amp;Grafico!$A242,Tabla1[nombre_actividad],Grafico!G$1),NA())</f>
        <v>376</v>
      </c>
      <c r="H242" s="63">
        <f ca="1">IF(TODAY()&gt;=$A242,SUMIFS(Tabla1[Avance_km],Tabla1[Fecha],"&lt;="&amp;Grafico!$A242,Tabla1[nombre_actividad],Grafico!H$1),NA())</f>
        <v>0</v>
      </c>
      <c r="I242" s="63"/>
    </row>
    <row r="243" spans="1:9" x14ac:dyDescent="0.25">
      <c r="A243" s="62">
        <f t="shared" si="8"/>
        <v>46204</v>
      </c>
      <c r="B243" s="33" t="str">
        <f t="shared" ca="1" si="7"/>
        <v/>
      </c>
      <c r="C243" s="33"/>
      <c r="D243" s="63">
        <f ca="1">IF(TODAY()&gt;=$A243,SUMIFS(Tabla1[Avance_km],Tabla1[Fecha],"&lt;="&amp;Grafico!$A243,Tabla1[nombre_actividad],Grafico!D$1),NA())</f>
        <v>134.18600000000004</v>
      </c>
      <c r="E243" s="63">
        <f ca="1">IF(TODAY()&gt;=$A243,SUMIFS(Tabla1[Avance_km],Tabla1[Fecha],"&lt;="&amp;Grafico!$A243,Tabla1[nombre_actividad],Grafico!E$1),NA())</f>
        <v>132.34699999999998</v>
      </c>
      <c r="F243" s="110">
        <f ca="1">IF(TODAY()&gt;=$A243,SUMIFS(Tabla1[Avance_km],Tabla1[Fecha],"&lt;="&amp;Grafico!$A243,Tabla1[nombre_actividad],Grafico!F$1,Tabla1[Avance_km],"&gt;0"),NA())</f>
        <v>125.76700000000011</v>
      </c>
      <c r="G243" s="67">
        <f ca="1">IF(TODAY()&gt;=$A243,SUMIFS(Tabla1[Avance_Med],Tabla1[Fecha],"&lt;="&amp;Grafico!$A243,Tabla1[nombre_actividad],Grafico!G$1),NA())</f>
        <v>376</v>
      </c>
      <c r="H243" s="63">
        <f ca="1">IF(TODAY()&gt;=$A243,SUMIFS(Tabla1[Avance_km],Tabla1[Fecha],"&lt;="&amp;Grafico!$A243,Tabla1[nombre_actividad],Grafico!H$1),NA())</f>
        <v>0</v>
      </c>
      <c r="I243" s="63"/>
    </row>
    <row r="244" spans="1:9" x14ac:dyDescent="0.25">
      <c r="A244" s="62">
        <f t="shared" si="8"/>
        <v>46205</v>
      </c>
      <c r="B244" s="33" t="str">
        <f t="shared" ca="1" si="7"/>
        <v/>
      </c>
      <c r="C244" s="33"/>
      <c r="D244" s="63">
        <f ca="1">IF(TODAY()&gt;=$A244,SUMIFS(Tabla1[Avance_km],Tabla1[Fecha],"&lt;="&amp;Grafico!$A244,Tabla1[nombre_actividad],Grafico!D$1),NA())</f>
        <v>135.52600000000004</v>
      </c>
      <c r="E244" s="63">
        <f ca="1">IF(TODAY()&gt;=$A244,SUMIFS(Tabla1[Avance_km],Tabla1[Fecha],"&lt;="&amp;Grafico!$A244,Tabla1[nombre_actividad],Grafico!E$1),NA())</f>
        <v>132.34699999999998</v>
      </c>
      <c r="F244" s="110">
        <f ca="1">IF(TODAY()&gt;=$A244,SUMIFS(Tabla1[Avance_km],Tabla1[Fecha],"&lt;="&amp;Grafico!$A244,Tabla1[nombre_actividad],Grafico!F$1,Tabla1[Avance_km],"&gt;0"),NA())</f>
        <v>125.76700000000011</v>
      </c>
      <c r="G244" s="67">
        <f ca="1">IF(TODAY()&gt;=$A244,SUMIFS(Tabla1[Avance_Med],Tabla1[Fecha],"&lt;="&amp;Grafico!$A244,Tabla1[nombre_actividad],Grafico!G$1),NA())</f>
        <v>376</v>
      </c>
      <c r="H244" s="63">
        <f ca="1">IF(TODAY()&gt;=$A244,SUMIFS(Tabla1[Avance_km],Tabla1[Fecha],"&lt;="&amp;Grafico!$A244,Tabla1[nombre_actividad],Grafico!H$1),NA())</f>
        <v>0</v>
      </c>
      <c r="I244" s="63"/>
    </row>
    <row r="245" spans="1:9" x14ac:dyDescent="0.25">
      <c r="A245" s="62">
        <f t="shared" si="8"/>
        <v>46206</v>
      </c>
      <c r="B245" s="33" t="str">
        <f t="shared" ca="1" si="7"/>
        <v/>
      </c>
      <c r="C245" s="33"/>
      <c r="D245" s="63">
        <f ca="1">IF(TODAY()&gt;=$A245,SUMIFS(Tabla1[Avance_km],Tabla1[Fecha],"&lt;="&amp;Grafico!$A245,Tabla1[nombre_actividad],Grafico!D$1),NA())</f>
        <v>138.22900000000001</v>
      </c>
      <c r="E245" s="63">
        <f ca="1">IF(TODAY()&gt;=$A245,SUMIFS(Tabla1[Avance_km],Tabla1[Fecha],"&lt;="&amp;Grafico!$A245,Tabla1[nombre_actividad],Grafico!E$1),NA())</f>
        <v>132.34699999999998</v>
      </c>
      <c r="F245" s="110">
        <f ca="1">IF(TODAY()&gt;=$A245,SUMIFS(Tabla1[Avance_km],Tabla1[Fecha],"&lt;="&amp;Grafico!$A245,Tabla1[nombre_actividad],Grafico!F$1,Tabla1[Avance_km],"&gt;0"),NA())</f>
        <v>125.76700000000011</v>
      </c>
      <c r="G245" s="67">
        <f ca="1">IF(TODAY()&gt;=$A245,SUMIFS(Tabla1[Avance_Med],Tabla1[Fecha],"&lt;="&amp;Grafico!$A245,Tabla1[nombre_actividad],Grafico!G$1),NA())</f>
        <v>376</v>
      </c>
      <c r="H245" s="63">
        <f ca="1">IF(TODAY()&gt;=$A245,SUMIFS(Tabla1[Avance_km],Tabla1[Fecha],"&lt;="&amp;Grafico!$A245,Tabla1[nombre_actividad],Grafico!H$1),NA())</f>
        <v>0</v>
      </c>
      <c r="I245" s="63"/>
    </row>
    <row r="246" spans="1:9" x14ac:dyDescent="0.25">
      <c r="A246" s="62">
        <f t="shared" si="8"/>
        <v>46207</v>
      </c>
      <c r="B246" s="33" t="str">
        <f t="shared" ca="1" si="7"/>
        <v/>
      </c>
      <c r="C246" s="33"/>
      <c r="D246" s="63">
        <f ca="1">IF(TODAY()&gt;=$A246,SUMIFS(Tabla1[Avance_km],Tabla1[Fecha],"&lt;="&amp;Grafico!$A246,Tabla1[nombre_actividad],Grafico!D$1),NA())</f>
        <v>139.69900000000001</v>
      </c>
      <c r="E246" s="63">
        <f ca="1">IF(TODAY()&gt;=$A246,SUMIFS(Tabla1[Avance_km],Tabla1[Fecha],"&lt;="&amp;Grafico!$A246,Tabla1[nombre_actividad],Grafico!E$1),NA())</f>
        <v>132.34699999999998</v>
      </c>
      <c r="F246" s="110">
        <f ca="1">IF(TODAY()&gt;=$A246,SUMIFS(Tabla1[Avance_km],Tabla1[Fecha],"&lt;="&amp;Grafico!$A246,Tabla1[nombre_actividad],Grafico!F$1,Tabla1[Avance_km],"&gt;0"),NA())</f>
        <v>125.76700000000011</v>
      </c>
      <c r="G246" s="67">
        <f ca="1">IF(TODAY()&gt;=$A246,SUMIFS(Tabla1[Avance_Med],Tabla1[Fecha],"&lt;="&amp;Grafico!$A246,Tabla1[nombre_actividad],Grafico!G$1),NA())</f>
        <v>376</v>
      </c>
      <c r="H246" s="63">
        <f ca="1">IF(TODAY()&gt;=$A246,SUMIFS(Tabla1[Avance_km],Tabla1[Fecha],"&lt;="&amp;Grafico!$A246,Tabla1[nombre_actividad],Grafico!H$1),NA())</f>
        <v>0</v>
      </c>
      <c r="I246" s="63"/>
    </row>
    <row r="247" spans="1:9" x14ac:dyDescent="0.25">
      <c r="A247" s="62">
        <f t="shared" si="8"/>
        <v>46208</v>
      </c>
      <c r="B247" s="33" t="str">
        <f t="shared" ca="1" si="7"/>
        <v/>
      </c>
      <c r="C247" s="33"/>
      <c r="D247" s="63">
        <f ca="1">IF(TODAY()&gt;=$A247,SUMIFS(Tabla1[Avance_km],Tabla1[Fecha],"&lt;="&amp;Grafico!$A247,Tabla1[nombre_actividad],Grafico!D$1),NA())</f>
        <v>139.69900000000001</v>
      </c>
      <c r="E247" s="63">
        <f ca="1">IF(TODAY()&gt;=$A247,SUMIFS(Tabla1[Avance_km],Tabla1[Fecha],"&lt;="&amp;Grafico!$A247,Tabla1[nombre_actividad],Grafico!E$1),NA())</f>
        <v>132.34699999999998</v>
      </c>
      <c r="F247" s="110">
        <f ca="1">IF(TODAY()&gt;=$A247,SUMIFS(Tabla1[Avance_km],Tabla1[Fecha],"&lt;="&amp;Grafico!$A247,Tabla1[nombre_actividad],Grafico!F$1,Tabla1[Avance_km],"&gt;0"),NA())</f>
        <v>125.76700000000011</v>
      </c>
      <c r="G247" s="67">
        <f ca="1">IF(TODAY()&gt;=$A247,SUMIFS(Tabla1[Avance_Med],Tabla1[Fecha],"&lt;="&amp;Grafico!$A247,Tabla1[nombre_actividad],Grafico!G$1),NA())</f>
        <v>376</v>
      </c>
      <c r="H247" s="63">
        <f ca="1">IF(TODAY()&gt;=$A247,SUMIFS(Tabla1[Avance_km],Tabla1[Fecha],"&lt;="&amp;Grafico!$A247,Tabla1[nombre_actividad],Grafico!H$1),NA())</f>
        <v>0</v>
      </c>
      <c r="I247" s="63"/>
    </row>
    <row r="248" spans="1:9" x14ac:dyDescent="0.25">
      <c r="A248" s="62">
        <f t="shared" si="8"/>
        <v>46209</v>
      </c>
      <c r="B248" s="33" t="str">
        <f t="shared" ca="1" si="7"/>
        <v/>
      </c>
      <c r="C248" s="33"/>
      <c r="D248" s="63">
        <f ca="1">IF(TODAY()&gt;=$A248,SUMIFS(Tabla1[Avance_km],Tabla1[Fecha],"&lt;="&amp;Grafico!$A248,Tabla1[nombre_actividad],Grafico!D$1),NA())</f>
        <v>145.57100000000003</v>
      </c>
      <c r="E248" s="63">
        <f ca="1">IF(TODAY()&gt;=$A248,SUMIFS(Tabla1[Avance_km],Tabla1[Fecha],"&lt;="&amp;Grafico!$A248,Tabla1[nombre_actividad],Grafico!E$1),NA())</f>
        <v>132.34699999999998</v>
      </c>
      <c r="F248" s="110">
        <f ca="1">IF(TODAY()&gt;=$A248,SUMIFS(Tabla1[Avance_km],Tabla1[Fecha],"&lt;="&amp;Grafico!$A248,Tabla1[nombre_actividad],Grafico!F$1,Tabla1[Avance_km],"&gt;0"),NA())</f>
        <v>125.76700000000011</v>
      </c>
      <c r="G248" s="67">
        <f ca="1">IF(TODAY()&gt;=$A248,SUMIFS(Tabla1[Avance_Med],Tabla1[Fecha],"&lt;="&amp;Grafico!$A248,Tabla1[nombre_actividad],Grafico!G$1),NA())</f>
        <v>376</v>
      </c>
      <c r="H248" s="63">
        <f ca="1">IF(TODAY()&gt;=$A248,SUMIFS(Tabla1[Avance_km],Tabla1[Fecha],"&lt;="&amp;Grafico!$A248,Tabla1[nombre_actividad],Grafico!H$1),NA())</f>
        <v>0</v>
      </c>
      <c r="I248" s="63"/>
    </row>
    <row r="249" spans="1:9" x14ac:dyDescent="0.25">
      <c r="A249" s="62">
        <f t="shared" si="8"/>
        <v>46210</v>
      </c>
      <c r="B249" s="33" t="str">
        <f t="shared" ca="1" si="7"/>
        <v/>
      </c>
      <c r="C249" s="33"/>
      <c r="D249" s="63">
        <f ca="1">IF(TODAY()&gt;=$A249,SUMIFS(Tabla1[Avance_km],Tabla1[Fecha],"&lt;="&amp;Grafico!$A249,Tabla1[nombre_actividad],Grafico!D$1),NA())</f>
        <v>145.57100000000003</v>
      </c>
      <c r="E249" s="63">
        <f ca="1">IF(TODAY()&gt;=$A249,SUMIFS(Tabla1[Avance_km],Tabla1[Fecha],"&lt;="&amp;Grafico!$A249,Tabla1[nombre_actividad],Grafico!E$1),NA())</f>
        <v>133.67099999999999</v>
      </c>
      <c r="F249" s="110">
        <f ca="1">IF(TODAY()&gt;=$A249,SUMIFS(Tabla1[Avance_km],Tabla1[Fecha],"&lt;="&amp;Grafico!$A249,Tabla1[nombre_actividad],Grafico!F$1,Tabla1[Avance_km],"&gt;0"),NA())</f>
        <v>125.76700000000011</v>
      </c>
      <c r="G249" s="67">
        <f ca="1">IF(TODAY()&gt;=$A249,SUMIFS(Tabla1[Avance_Med],Tabla1[Fecha],"&lt;="&amp;Grafico!$A249,Tabla1[nombre_actividad],Grafico!G$1),NA())</f>
        <v>376</v>
      </c>
      <c r="H249" s="63">
        <f ca="1">IF(TODAY()&gt;=$A249,SUMIFS(Tabla1[Avance_km],Tabla1[Fecha],"&lt;="&amp;Grafico!$A249,Tabla1[nombre_actividad],Grafico!H$1),NA())</f>
        <v>0</v>
      </c>
      <c r="I249" s="63"/>
    </row>
    <row r="250" spans="1:9" x14ac:dyDescent="0.25">
      <c r="A250" s="62">
        <f t="shared" si="8"/>
        <v>46211</v>
      </c>
      <c r="B250" s="33" t="str">
        <f t="shared" ca="1" si="7"/>
        <v/>
      </c>
      <c r="C250" s="33"/>
      <c r="D250" s="63">
        <f ca="1">IF(TODAY()&gt;=$A250,SUMIFS(Tabla1[Avance_km],Tabla1[Fecha],"&lt;="&amp;Grafico!$A250,Tabla1[nombre_actividad],Grafico!D$1),NA())</f>
        <v>145.57100000000003</v>
      </c>
      <c r="E250" s="63">
        <f ca="1">IF(TODAY()&gt;=$A250,SUMIFS(Tabla1[Avance_km],Tabla1[Fecha],"&lt;="&amp;Grafico!$A250,Tabla1[nombre_actividad],Grafico!E$1),NA())</f>
        <v>133.71399999999997</v>
      </c>
      <c r="F250" s="110">
        <f ca="1">IF(TODAY()&gt;=$A250,SUMIFS(Tabla1[Avance_km],Tabla1[Fecha],"&lt;="&amp;Grafico!$A250,Tabla1[nombre_actividad],Grafico!F$1,Tabla1[Avance_km],"&gt;0"),NA())</f>
        <v>125.76700000000011</v>
      </c>
      <c r="G250" s="67">
        <f ca="1">IF(TODAY()&gt;=$A250,SUMIFS(Tabla1[Avance_Med],Tabla1[Fecha],"&lt;="&amp;Grafico!$A250,Tabla1[nombre_actividad],Grafico!G$1),NA())</f>
        <v>376</v>
      </c>
      <c r="H250" s="63">
        <f ca="1">IF(TODAY()&gt;=$A250,SUMIFS(Tabla1[Avance_km],Tabla1[Fecha],"&lt;="&amp;Grafico!$A250,Tabla1[nombre_actividad],Grafico!H$1),NA())</f>
        <v>0</v>
      </c>
      <c r="I250" s="63"/>
    </row>
    <row r="251" spans="1:9" x14ac:dyDescent="0.25">
      <c r="A251" s="62">
        <f t="shared" si="8"/>
        <v>46212</v>
      </c>
      <c r="B251" s="33" t="str">
        <f t="shared" ca="1" si="7"/>
        <v/>
      </c>
      <c r="C251" s="33"/>
      <c r="D251" s="63">
        <f ca="1">IF(TODAY()&gt;=$A251,SUMIFS(Tabla1[Avance_km],Tabla1[Fecha],"&lt;="&amp;Grafico!$A251,Tabla1[nombre_actividad],Grafico!D$1),NA())</f>
        <v>145.57100000000003</v>
      </c>
      <c r="E251" s="63">
        <f ca="1">IF(TODAY()&gt;=$A251,SUMIFS(Tabla1[Avance_km],Tabla1[Fecha],"&lt;="&amp;Grafico!$A251,Tabla1[nombre_actividad],Grafico!E$1),NA())</f>
        <v>135.43499999999995</v>
      </c>
      <c r="F251" s="110">
        <f ca="1">IF(TODAY()&gt;=$A251,SUMIFS(Tabla1[Avance_km],Tabla1[Fecha],"&lt;="&amp;Grafico!$A251,Tabla1[nombre_actividad],Grafico!F$1,Tabla1[Avance_km],"&gt;0"),NA())</f>
        <v>125.76700000000011</v>
      </c>
      <c r="G251" s="67">
        <f ca="1">IF(TODAY()&gt;=$A251,SUMIFS(Tabla1[Avance_Med],Tabla1[Fecha],"&lt;="&amp;Grafico!$A251,Tabla1[nombre_actividad],Grafico!G$1),NA())</f>
        <v>376</v>
      </c>
      <c r="H251" s="63">
        <f ca="1">IF(TODAY()&gt;=$A251,SUMIFS(Tabla1[Avance_km],Tabla1[Fecha],"&lt;="&amp;Grafico!$A251,Tabla1[nombre_actividad],Grafico!H$1),NA())</f>
        <v>0</v>
      </c>
      <c r="I251" s="63"/>
    </row>
    <row r="252" spans="1:9" x14ac:dyDescent="0.25">
      <c r="A252" s="62">
        <f t="shared" si="8"/>
        <v>46213</v>
      </c>
      <c r="B252" s="33" t="str">
        <f t="shared" ca="1" si="7"/>
        <v/>
      </c>
      <c r="C252" s="33"/>
      <c r="D252" s="63">
        <f ca="1">IF(TODAY()&gt;=$A252,SUMIFS(Tabla1[Avance_km],Tabla1[Fecha],"&lt;="&amp;Grafico!$A252,Tabla1[nombre_actividad],Grafico!D$1),NA())</f>
        <v>145.57100000000003</v>
      </c>
      <c r="E252" s="63">
        <f ca="1">IF(TODAY()&gt;=$A252,SUMIFS(Tabla1[Avance_km],Tabla1[Fecha],"&lt;="&amp;Grafico!$A252,Tabla1[nombre_actividad],Grafico!E$1),NA())</f>
        <v>137.78499999999994</v>
      </c>
      <c r="F252" s="110">
        <f ca="1">IF(TODAY()&gt;=$A252,SUMIFS(Tabla1[Avance_km],Tabla1[Fecha],"&lt;="&amp;Grafico!$A252,Tabla1[nombre_actividad],Grafico!F$1,Tabla1[Avance_km],"&gt;0"),NA())</f>
        <v>125.76700000000011</v>
      </c>
      <c r="G252" s="67">
        <f ca="1">IF(TODAY()&gt;=$A252,SUMIFS(Tabla1[Avance_Med],Tabla1[Fecha],"&lt;="&amp;Grafico!$A252,Tabla1[nombre_actividad],Grafico!G$1),NA())</f>
        <v>376</v>
      </c>
      <c r="H252" s="63">
        <f ca="1">IF(TODAY()&gt;=$A252,SUMIFS(Tabla1[Avance_km],Tabla1[Fecha],"&lt;="&amp;Grafico!$A252,Tabla1[nombre_actividad],Grafico!H$1),NA())</f>
        <v>0</v>
      </c>
      <c r="I252" s="63"/>
    </row>
    <row r="253" spans="1:9" x14ac:dyDescent="0.25">
      <c r="A253" s="62">
        <f t="shared" si="8"/>
        <v>46214</v>
      </c>
      <c r="B253" s="33" t="str">
        <f t="shared" ca="1" si="7"/>
        <v/>
      </c>
      <c r="C253" s="33"/>
      <c r="D253" s="63">
        <f ca="1">IF(TODAY()&gt;=$A253,SUMIFS(Tabla1[Avance_km],Tabla1[Fecha],"&lt;="&amp;Grafico!$A253,Tabla1[nombre_actividad],Grafico!D$1),NA())</f>
        <v>145.57100000000003</v>
      </c>
      <c r="E253" s="63">
        <f ca="1">IF(TODAY()&gt;=$A253,SUMIFS(Tabla1[Avance_km],Tabla1[Fecha],"&lt;="&amp;Grafico!$A253,Tabla1[nombre_actividad],Grafico!E$1),NA())</f>
        <v>138.50499999999994</v>
      </c>
      <c r="F253" s="110">
        <f ca="1">IF(TODAY()&gt;=$A253,SUMIFS(Tabla1[Avance_km],Tabla1[Fecha],"&lt;="&amp;Grafico!$A253,Tabla1[nombre_actividad],Grafico!F$1,Tabla1[Avance_km],"&gt;0"),NA())</f>
        <v>125.76700000000011</v>
      </c>
      <c r="G253" s="67">
        <f ca="1">IF(TODAY()&gt;=$A253,SUMIFS(Tabla1[Avance_Med],Tabla1[Fecha],"&lt;="&amp;Grafico!$A253,Tabla1[nombre_actividad],Grafico!G$1),NA())</f>
        <v>376</v>
      </c>
      <c r="H253" s="63">
        <f ca="1">IF(TODAY()&gt;=$A253,SUMIFS(Tabla1[Avance_km],Tabla1[Fecha],"&lt;="&amp;Grafico!$A253,Tabla1[nombre_actividad],Grafico!H$1),NA())</f>
        <v>0</v>
      </c>
      <c r="I253" s="63"/>
    </row>
    <row r="254" spans="1:9" x14ac:dyDescent="0.25">
      <c r="A254" s="62">
        <f t="shared" si="8"/>
        <v>46215</v>
      </c>
      <c r="B254" s="33" t="str">
        <f t="shared" ca="1" si="7"/>
        <v/>
      </c>
      <c r="C254" s="33"/>
      <c r="D254" s="63">
        <f ca="1">IF(TODAY()&gt;=$A254,SUMIFS(Tabla1[Avance_km],Tabla1[Fecha],"&lt;="&amp;Grafico!$A254,Tabla1[nombre_actividad],Grafico!D$1),NA())</f>
        <v>145.57100000000003</v>
      </c>
      <c r="E254" s="63">
        <f ca="1">IF(TODAY()&gt;=$A254,SUMIFS(Tabla1[Avance_km],Tabla1[Fecha],"&lt;="&amp;Grafico!$A254,Tabla1[nombre_actividad],Grafico!E$1),NA())</f>
        <v>140.20499999999993</v>
      </c>
      <c r="F254" s="110">
        <f ca="1">IF(TODAY()&gt;=$A254,SUMIFS(Tabla1[Avance_km],Tabla1[Fecha],"&lt;="&amp;Grafico!$A254,Tabla1[nombre_actividad],Grafico!F$1,Tabla1[Avance_km],"&gt;0"),NA())</f>
        <v>125.76700000000011</v>
      </c>
      <c r="G254" s="67">
        <f ca="1">IF(TODAY()&gt;=$A254,SUMIFS(Tabla1[Avance_Med],Tabla1[Fecha],"&lt;="&amp;Grafico!$A254,Tabla1[nombre_actividad],Grafico!G$1),NA())</f>
        <v>376</v>
      </c>
      <c r="H254" s="63">
        <f ca="1">IF(TODAY()&gt;=$A254,SUMIFS(Tabla1[Avance_km],Tabla1[Fecha],"&lt;="&amp;Grafico!$A254,Tabla1[nombre_actividad],Grafico!H$1),NA())</f>
        <v>0</v>
      </c>
      <c r="I254" s="63"/>
    </row>
    <row r="255" spans="1:9" x14ac:dyDescent="0.25">
      <c r="A255" s="62">
        <f t="shared" si="8"/>
        <v>46216</v>
      </c>
      <c r="B255" s="33" t="str">
        <f t="shared" ca="1" si="7"/>
        <v/>
      </c>
      <c r="C255" s="33"/>
      <c r="D255" s="63">
        <f ca="1">IF(TODAY()&gt;=$A255,SUMIFS(Tabla1[Avance_km],Tabla1[Fecha],"&lt;="&amp;Grafico!$A255,Tabla1[nombre_actividad],Grafico!D$1),NA())</f>
        <v>145.57100000000003</v>
      </c>
      <c r="E255" s="63">
        <f ca="1">IF(TODAY()&gt;=$A255,SUMIFS(Tabla1[Avance_km],Tabla1[Fecha],"&lt;="&amp;Grafico!$A255,Tabla1[nombre_actividad],Grafico!E$1),NA())</f>
        <v>140.70499999999993</v>
      </c>
      <c r="F255" s="110">
        <f ca="1">IF(TODAY()&gt;=$A255,SUMIFS(Tabla1[Avance_km],Tabla1[Fecha],"&lt;="&amp;Grafico!$A255,Tabla1[nombre_actividad],Grafico!F$1,Tabla1[Avance_km],"&gt;0"),NA())</f>
        <v>125.76700000000011</v>
      </c>
      <c r="G255" s="67">
        <f ca="1">IF(TODAY()&gt;=$A255,SUMIFS(Tabla1[Avance_Med],Tabla1[Fecha],"&lt;="&amp;Grafico!$A255,Tabla1[nombre_actividad],Grafico!G$1),NA())</f>
        <v>376</v>
      </c>
      <c r="H255" s="63">
        <f ca="1">IF(TODAY()&gt;=$A255,SUMIFS(Tabla1[Avance_km],Tabla1[Fecha],"&lt;="&amp;Grafico!$A255,Tabla1[nombre_actividad],Grafico!H$1),NA())</f>
        <v>0</v>
      </c>
      <c r="I255" s="63"/>
    </row>
    <row r="256" spans="1:9" x14ac:dyDescent="0.25">
      <c r="A256" s="62">
        <f t="shared" si="8"/>
        <v>46217</v>
      </c>
      <c r="B256" s="33" t="str">
        <f t="shared" ca="1" si="7"/>
        <v/>
      </c>
      <c r="C256" s="33"/>
      <c r="D256" s="63">
        <f ca="1">IF(TODAY()&gt;=$A256,SUMIFS(Tabla1[Avance_km],Tabla1[Fecha],"&lt;="&amp;Grafico!$A256,Tabla1[nombre_actividad],Grafico!D$1),NA())</f>
        <v>145.57100000000003</v>
      </c>
      <c r="E256" s="63">
        <f ca="1">IF(TODAY()&gt;=$A256,SUMIFS(Tabla1[Avance_km],Tabla1[Fecha],"&lt;="&amp;Grafico!$A256,Tabla1[nombre_actividad],Grafico!E$1),NA())</f>
        <v>141.80499999999992</v>
      </c>
      <c r="F256" s="110">
        <f ca="1">IF(TODAY()&gt;=$A256,SUMIFS(Tabla1[Avance_km],Tabla1[Fecha],"&lt;="&amp;Grafico!$A256,Tabla1[nombre_actividad],Grafico!F$1,Tabla1[Avance_km],"&gt;0"),NA())</f>
        <v>125.76700000000011</v>
      </c>
      <c r="G256" s="67">
        <f ca="1">IF(TODAY()&gt;=$A256,SUMIFS(Tabla1[Avance_Med],Tabla1[Fecha],"&lt;="&amp;Grafico!$A256,Tabla1[nombre_actividad],Grafico!G$1),NA())</f>
        <v>376</v>
      </c>
      <c r="H256" s="63">
        <f ca="1">IF(TODAY()&gt;=$A256,SUMIFS(Tabla1[Avance_km],Tabla1[Fecha],"&lt;="&amp;Grafico!$A256,Tabla1[nombre_actividad],Grafico!H$1),NA())</f>
        <v>0</v>
      </c>
      <c r="I256" s="63"/>
    </row>
    <row r="257" spans="1:9" x14ac:dyDescent="0.25">
      <c r="A257" s="62">
        <f t="shared" si="8"/>
        <v>46218</v>
      </c>
      <c r="B257" s="33" t="str">
        <f t="shared" ca="1" si="7"/>
        <v/>
      </c>
      <c r="C257" s="33"/>
      <c r="D257" s="63">
        <f ca="1">IF(TODAY()&gt;=$A257,SUMIFS(Tabla1[Avance_km],Tabla1[Fecha],"&lt;="&amp;Grafico!$A257,Tabla1[nombre_actividad],Grafico!D$1),NA())</f>
        <v>145.57100000000003</v>
      </c>
      <c r="E257" s="63">
        <f ca="1">IF(TODAY()&gt;=$A257,SUMIFS(Tabla1[Avance_km],Tabla1[Fecha],"&lt;="&amp;Grafico!$A257,Tabla1[nombre_actividad],Grafico!E$1),NA())</f>
        <v>142.50499999999991</v>
      </c>
      <c r="F257" s="110">
        <f ca="1">IF(TODAY()&gt;=$A257,SUMIFS(Tabla1[Avance_km],Tabla1[Fecha],"&lt;="&amp;Grafico!$A257,Tabla1[nombre_actividad],Grafico!F$1,Tabla1[Avance_km],"&gt;0"),NA())</f>
        <v>125.76700000000011</v>
      </c>
      <c r="G257" s="67">
        <f ca="1">IF(TODAY()&gt;=$A257,SUMIFS(Tabla1[Avance_Med],Tabla1[Fecha],"&lt;="&amp;Grafico!$A257,Tabla1[nombre_actividad],Grafico!G$1),NA())</f>
        <v>376</v>
      </c>
      <c r="H257" s="63">
        <f ca="1">IF(TODAY()&gt;=$A257,SUMIFS(Tabla1[Avance_km],Tabla1[Fecha],"&lt;="&amp;Grafico!$A257,Tabla1[nombre_actividad],Grafico!H$1),NA())</f>
        <v>0</v>
      </c>
      <c r="I257" s="63"/>
    </row>
    <row r="258" spans="1:9" x14ac:dyDescent="0.25">
      <c r="A258" s="62">
        <f t="shared" si="8"/>
        <v>46219</v>
      </c>
      <c r="B258" s="33" t="str">
        <f t="shared" ca="1" si="7"/>
        <v/>
      </c>
      <c r="C258" s="33"/>
      <c r="D258" s="63">
        <f ca="1">IF(TODAY()&gt;=$A258,SUMIFS(Tabla1[Avance_km],Tabla1[Fecha],"&lt;="&amp;Grafico!$A258,Tabla1[nombre_actividad],Grafico!D$1),NA())</f>
        <v>145.70400000000001</v>
      </c>
      <c r="E258" s="63">
        <f ca="1">IF(TODAY()&gt;=$A258,SUMIFS(Tabla1[Avance_km],Tabla1[Fecha],"&lt;="&amp;Grafico!$A258,Tabla1[nombre_actividad],Grafico!E$1),NA())</f>
        <v>142.63799999999989</v>
      </c>
      <c r="F258" s="110">
        <f ca="1">IF(TODAY()&gt;=$A258,SUMIFS(Tabla1[Avance_km],Tabla1[Fecha],"&lt;="&amp;Grafico!$A258,Tabla1[nombre_actividad],Grafico!F$1,Tabla1[Avance_km],"&gt;0"),NA())</f>
        <v>125.76700000000011</v>
      </c>
      <c r="G258" s="67">
        <f ca="1">IF(TODAY()&gt;=$A258,SUMIFS(Tabla1[Avance_Med],Tabla1[Fecha],"&lt;="&amp;Grafico!$A258,Tabla1[nombre_actividad],Grafico!G$1),NA())</f>
        <v>376</v>
      </c>
      <c r="H258" s="63">
        <f ca="1">IF(TODAY()&gt;=$A258,SUMIFS(Tabla1[Avance_km],Tabla1[Fecha],"&lt;="&amp;Grafico!$A258,Tabla1[nombre_actividad],Grafico!H$1),NA())</f>
        <v>0</v>
      </c>
      <c r="I258" s="63"/>
    </row>
    <row r="259" spans="1:9" x14ac:dyDescent="0.25">
      <c r="A259" s="62">
        <f t="shared" si="8"/>
        <v>46220</v>
      </c>
      <c r="B259" s="33" t="str">
        <f t="shared" ref="B259:B322" ca="1" si="9">+IF(A259=TODAY(),200,"")</f>
        <v/>
      </c>
      <c r="C259" s="33"/>
      <c r="D259" s="63">
        <f ca="1">IF(TODAY()&gt;=$A259,SUMIFS(Tabla1[Avance_km],Tabla1[Fecha],"&lt;="&amp;Grafico!$A259,Tabla1[nombre_actividad],Grafico!D$1),NA())</f>
        <v>145.94399999999999</v>
      </c>
      <c r="E259" s="63">
        <f ca="1">IF(TODAY()&gt;=$A259,SUMIFS(Tabla1[Avance_km],Tabla1[Fecha],"&lt;="&amp;Grafico!$A259,Tabla1[nombre_actividad],Grafico!E$1),NA())</f>
        <v>142.87799999999987</v>
      </c>
      <c r="F259" s="110">
        <f ca="1">IF(TODAY()&gt;=$A259,SUMIFS(Tabla1[Avance_km],Tabla1[Fecha],"&lt;="&amp;Grafico!$A259,Tabla1[nombre_actividad],Grafico!F$1,Tabla1[Avance_km],"&gt;0"),NA())</f>
        <v>125.76700000000011</v>
      </c>
      <c r="G259" s="67">
        <f ca="1">IF(TODAY()&gt;=$A259,SUMIFS(Tabla1[Avance_Med],Tabla1[Fecha],"&lt;="&amp;Grafico!$A259,Tabla1[nombre_actividad],Grafico!G$1),NA())</f>
        <v>376</v>
      </c>
      <c r="H259" s="63">
        <f ca="1">IF(TODAY()&gt;=$A259,SUMIFS(Tabla1[Avance_km],Tabla1[Fecha],"&lt;="&amp;Grafico!$A259,Tabla1[nombre_actividad],Grafico!H$1),NA())</f>
        <v>0</v>
      </c>
      <c r="I259" s="63"/>
    </row>
    <row r="260" spans="1:9" x14ac:dyDescent="0.25">
      <c r="A260" s="62">
        <f t="shared" ref="A260:A323" si="10">+A259+1</f>
        <v>46221</v>
      </c>
      <c r="B260" s="33" t="str">
        <f t="shared" ca="1" si="9"/>
        <v/>
      </c>
      <c r="C260" s="33"/>
      <c r="D260" s="63">
        <f ca="1">IF(TODAY()&gt;=$A260,SUMIFS(Tabla1[Avance_km],Tabla1[Fecha],"&lt;="&amp;Grafico!$A260,Tabla1[nombre_actividad],Grafico!D$1),NA())</f>
        <v>145.94399999999999</v>
      </c>
      <c r="E260" s="63">
        <f ca="1">IF(TODAY()&gt;=$A260,SUMIFS(Tabla1[Avance_km],Tabla1[Fecha],"&lt;="&amp;Grafico!$A260,Tabla1[nombre_actividad],Grafico!E$1),NA())</f>
        <v>142.97799999999987</v>
      </c>
      <c r="F260" s="110">
        <f ca="1">IF(TODAY()&gt;=$A260,SUMIFS(Tabla1[Avance_km],Tabla1[Fecha],"&lt;="&amp;Grafico!$A260,Tabla1[nombre_actividad],Grafico!F$1,Tabla1[Avance_km],"&gt;0"),NA())</f>
        <v>125.76700000000011</v>
      </c>
      <c r="G260" s="67">
        <f ca="1">IF(TODAY()&gt;=$A260,SUMIFS(Tabla1[Avance_Med],Tabla1[Fecha],"&lt;="&amp;Grafico!$A260,Tabla1[nombre_actividad],Grafico!G$1),NA())</f>
        <v>376</v>
      </c>
      <c r="H260" s="63">
        <f ca="1">IF(TODAY()&gt;=$A260,SUMIFS(Tabla1[Avance_km],Tabla1[Fecha],"&lt;="&amp;Grafico!$A260,Tabla1[nombre_actividad],Grafico!H$1),NA())</f>
        <v>0</v>
      </c>
      <c r="I260" s="63"/>
    </row>
    <row r="261" spans="1:9" x14ac:dyDescent="0.25">
      <c r="A261" s="62">
        <f t="shared" si="10"/>
        <v>46222</v>
      </c>
      <c r="B261" s="33" t="str">
        <f t="shared" ca="1" si="9"/>
        <v/>
      </c>
      <c r="C261" s="33"/>
      <c r="D261" s="63">
        <f ca="1">IF(TODAY()&gt;=$A261,SUMIFS(Tabla1[Avance_km],Tabla1[Fecha],"&lt;="&amp;Grafico!$A261,Tabla1[nombre_actividad],Grafico!D$1),NA())</f>
        <v>145.94399999999999</v>
      </c>
      <c r="E261" s="63">
        <f ca="1">IF(TODAY()&gt;=$A261,SUMIFS(Tabla1[Avance_km],Tabla1[Fecha],"&lt;="&amp;Grafico!$A261,Tabla1[nombre_actividad],Grafico!E$1),NA())</f>
        <v>142.97799999999987</v>
      </c>
      <c r="F261" s="110">
        <f ca="1">IF(TODAY()&gt;=$A261,SUMIFS(Tabla1[Avance_km],Tabla1[Fecha],"&lt;="&amp;Grafico!$A261,Tabla1[nombre_actividad],Grafico!F$1,Tabla1[Avance_km],"&gt;0"),NA())</f>
        <v>125.76700000000011</v>
      </c>
      <c r="G261" s="67">
        <f ca="1">IF(TODAY()&gt;=$A261,SUMIFS(Tabla1[Avance_Med],Tabla1[Fecha],"&lt;="&amp;Grafico!$A261,Tabla1[nombre_actividad],Grafico!G$1),NA())</f>
        <v>376</v>
      </c>
      <c r="H261" s="63">
        <f ca="1">IF(TODAY()&gt;=$A261,SUMIFS(Tabla1[Avance_km],Tabla1[Fecha],"&lt;="&amp;Grafico!$A261,Tabla1[nombre_actividad],Grafico!H$1),NA())</f>
        <v>0</v>
      </c>
      <c r="I261" s="63"/>
    </row>
    <row r="262" spans="1:9" x14ac:dyDescent="0.25">
      <c r="A262" s="62">
        <f t="shared" si="10"/>
        <v>46223</v>
      </c>
      <c r="B262" s="33" t="str">
        <f t="shared" ca="1" si="9"/>
        <v/>
      </c>
      <c r="C262" s="33"/>
      <c r="D262" s="63">
        <f ca="1">IF(TODAY()&gt;=$A262,SUMIFS(Tabla1[Avance_km],Tabla1[Fecha],"&lt;="&amp;Grafico!$A262,Tabla1[nombre_actividad],Grafico!D$1),NA())</f>
        <v>148.02099999999999</v>
      </c>
      <c r="E262" s="63">
        <f ca="1">IF(TODAY()&gt;=$A262,SUMIFS(Tabla1[Avance_km],Tabla1[Fecha],"&lt;="&amp;Grafico!$A262,Tabla1[nombre_actividad],Grafico!E$1),NA())</f>
        <v>142.97799999999987</v>
      </c>
      <c r="F262" s="110">
        <f ca="1">IF(TODAY()&gt;=$A262,SUMIFS(Tabla1[Avance_km],Tabla1[Fecha],"&lt;="&amp;Grafico!$A262,Tabla1[nombre_actividad],Grafico!F$1,Tabla1[Avance_km],"&gt;0"),NA())</f>
        <v>125.76700000000011</v>
      </c>
      <c r="G262" s="67">
        <f ca="1">IF(TODAY()&gt;=$A262,SUMIFS(Tabla1[Avance_Med],Tabla1[Fecha],"&lt;="&amp;Grafico!$A262,Tabla1[nombre_actividad],Grafico!G$1),NA())</f>
        <v>376</v>
      </c>
      <c r="H262" s="63">
        <f ca="1">IF(TODAY()&gt;=$A262,SUMIFS(Tabla1[Avance_km],Tabla1[Fecha],"&lt;="&amp;Grafico!$A262,Tabla1[nombre_actividad],Grafico!H$1),NA())</f>
        <v>0</v>
      </c>
      <c r="I262" s="63"/>
    </row>
    <row r="263" spans="1:9" x14ac:dyDescent="0.25">
      <c r="A263" s="62">
        <f t="shared" si="10"/>
        <v>46224</v>
      </c>
      <c r="B263" s="33" t="str">
        <f t="shared" ca="1" si="9"/>
        <v/>
      </c>
      <c r="C263" s="33"/>
      <c r="D263" s="63">
        <f ca="1">IF(TODAY()&gt;=$A263,SUMIFS(Tabla1[Avance_km],Tabla1[Fecha],"&lt;="&amp;Grafico!$A263,Tabla1[nombre_actividad],Grafico!D$1),NA())</f>
        <v>148.02099999999999</v>
      </c>
      <c r="E263" s="63">
        <f ca="1">IF(TODAY()&gt;=$A263,SUMIFS(Tabla1[Avance_km],Tabla1[Fecha],"&lt;="&amp;Grafico!$A263,Tabla1[nombre_actividad],Grafico!E$1),NA())</f>
        <v>142.97799999999987</v>
      </c>
      <c r="F263" s="110">
        <f ca="1">IF(TODAY()&gt;=$A263,SUMIFS(Tabla1[Avance_km],Tabla1[Fecha],"&lt;="&amp;Grafico!$A263,Tabla1[nombre_actividad],Grafico!F$1,Tabla1[Avance_km],"&gt;0"),NA())</f>
        <v>125.76700000000011</v>
      </c>
      <c r="G263" s="67">
        <f ca="1">IF(TODAY()&gt;=$A263,SUMIFS(Tabla1[Avance_Med],Tabla1[Fecha],"&lt;="&amp;Grafico!$A263,Tabla1[nombre_actividad],Grafico!G$1),NA())</f>
        <v>376</v>
      </c>
      <c r="H263" s="63">
        <f ca="1">IF(TODAY()&gt;=$A263,SUMIFS(Tabla1[Avance_km],Tabla1[Fecha],"&lt;="&amp;Grafico!$A263,Tabla1[nombre_actividad],Grafico!H$1),NA())</f>
        <v>0</v>
      </c>
      <c r="I263" s="63"/>
    </row>
    <row r="264" spans="1:9" x14ac:dyDescent="0.25">
      <c r="A264" s="62">
        <f t="shared" si="10"/>
        <v>46225</v>
      </c>
      <c r="B264" s="33" t="str">
        <f t="shared" ca="1" si="9"/>
        <v/>
      </c>
      <c r="C264" s="33"/>
      <c r="D264" s="63">
        <f ca="1">IF(TODAY()&gt;=$A264,SUMIFS(Tabla1[Avance_km],Tabla1[Fecha],"&lt;="&amp;Grafico!$A264,Tabla1[nombre_actividad],Grafico!D$1),NA())</f>
        <v>148.02099999999999</v>
      </c>
      <c r="E264" s="63">
        <f ca="1">IF(TODAY()&gt;=$A264,SUMIFS(Tabla1[Avance_km],Tabla1[Fecha],"&lt;="&amp;Grafico!$A264,Tabla1[nombre_actividad],Grafico!E$1),NA())</f>
        <v>142.97799999999987</v>
      </c>
      <c r="F264" s="110">
        <f ca="1">IF(TODAY()&gt;=$A264,SUMIFS(Tabla1[Avance_km],Tabla1[Fecha],"&lt;="&amp;Grafico!$A264,Tabla1[nombre_actividad],Grafico!F$1,Tabla1[Avance_km],"&gt;0"),NA())</f>
        <v>126.27300000000012</v>
      </c>
      <c r="G264" s="67">
        <f ca="1">IF(TODAY()&gt;=$A264,SUMIFS(Tabla1[Avance_Med],Tabla1[Fecha],"&lt;="&amp;Grafico!$A264,Tabla1[nombre_actividad],Grafico!G$1),NA())</f>
        <v>376</v>
      </c>
      <c r="H264" s="63">
        <f ca="1">IF(TODAY()&gt;=$A264,SUMIFS(Tabla1[Avance_km],Tabla1[Fecha],"&lt;="&amp;Grafico!$A264,Tabla1[nombre_actividad],Grafico!H$1),NA())</f>
        <v>0</v>
      </c>
      <c r="I264" s="63"/>
    </row>
    <row r="265" spans="1:9" x14ac:dyDescent="0.25">
      <c r="A265" s="62">
        <f t="shared" si="10"/>
        <v>46226</v>
      </c>
      <c r="B265" s="33" t="str">
        <f t="shared" ca="1" si="9"/>
        <v/>
      </c>
      <c r="C265" s="33"/>
      <c r="D265" s="63">
        <f ca="1">IF(TODAY()&gt;=$A265,SUMIFS(Tabla1[Avance_km],Tabla1[Fecha],"&lt;="&amp;Grafico!$A265,Tabla1[nombre_actividad],Grafico!D$1),NA())</f>
        <v>148.02099999999999</v>
      </c>
      <c r="E265" s="63">
        <f ca="1">IF(TODAY()&gt;=$A265,SUMIFS(Tabla1[Avance_km],Tabla1[Fecha],"&lt;="&amp;Grafico!$A265,Tabla1[nombre_actividad],Grafico!E$1),NA())</f>
        <v>142.97799999999987</v>
      </c>
      <c r="F265" s="110">
        <f ca="1">IF(TODAY()&gt;=$A265,SUMIFS(Tabla1[Avance_km],Tabla1[Fecha],"&lt;="&amp;Grafico!$A265,Tabla1[nombre_actividad],Grafico!F$1,Tabla1[Avance_km],"&gt;0"),NA())</f>
        <v>126.36400000000012</v>
      </c>
      <c r="G265" s="67">
        <f ca="1">IF(TODAY()&gt;=$A265,SUMIFS(Tabla1[Avance_Med],Tabla1[Fecha],"&lt;="&amp;Grafico!$A265,Tabla1[nombre_actividad],Grafico!G$1),NA())</f>
        <v>376</v>
      </c>
      <c r="H265" s="63">
        <f ca="1">IF(TODAY()&gt;=$A265,SUMIFS(Tabla1[Avance_km],Tabla1[Fecha],"&lt;="&amp;Grafico!$A265,Tabla1[nombre_actividad],Grafico!H$1),NA())</f>
        <v>0</v>
      </c>
      <c r="I265" s="63"/>
    </row>
    <row r="266" spans="1:9" x14ac:dyDescent="0.25">
      <c r="A266" s="62">
        <f t="shared" si="10"/>
        <v>46227</v>
      </c>
      <c r="B266" s="33" t="str">
        <f t="shared" ca="1" si="9"/>
        <v/>
      </c>
      <c r="C266" s="33"/>
      <c r="D266" s="63">
        <f ca="1">IF(TODAY()&gt;=$A266,SUMIFS(Tabla1[Avance_km],Tabla1[Fecha],"&lt;="&amp;Grafico!$A266,Tabla1[nombre_actividad],Grafico!D$1),NA())</f>
        <v>148.02099999999999</v>
      </c>
      <c r="E266" s="63">
        <f ca="1">IF(TODAY()&gt;=$A266,SUMIFS(Tabla1[Avance_km],Tabla1[Fecha],"&lt;="&amp;Grafico!$A266,Tabla1[nombre_actividad],Grafico!E$1),NA())</f>
        <v>142.97799999999987</v>
      </c>
      <c r="F266" s="110">
        <f ca="1">IF(TODAY()&gt;=$A266,SUMIFS(Tabla1[Avance_km],Tabla1[Fecha],"&lt;="&amp;Grafico!$A266,Tabla1[nombre_actividad],Grafico!F$1,Tabla1[Avance_km],"&gt;0"),NA())</f>
        <v>128.02900000000011</v>
      </c>
      <c r="G266" s="67">
        <f ca="1">IF(TODAY()&gt;=$A266,SUMIFS(Tabla1[Avance_Med],Tabla1[Fecha],"&lt;="&amp;Grafico!$A266,Tabla1[nombre_actividad],Grafico!G$1),NA())</f>
        <v>376</v>
      </c>
      <c r="H266" s="63">
        <f ca="1">IF(TODAY()&gt;=$A266,SUMIFS(Tabla1[Avance_km],Tabla1[Fecha],"&lt;="&amp;Grafico!$A266,Tabla1[nombre_actividad],Grafico!H$1),NA())</f>
        <v>0</v>
      </c>
      <c r="I266" s="63"/>
    </row>
    <row r="267" spans="1:9" x14ac:dyDescent="0.25">
      <c r="A267" s="62">
        <f t="shared" si="10"/>
        <v>46228</v>
      </c>
      <c r="B267" s="33" t="str">
        <f t="shared" ca="1" si="9"/>
        <v/>
      </c>
      <c r="C267" s="33"/>
      <c r="D267" s="63">
        <f ca="1">IF(TODAY()&gt;=$A267,SUMIFS(Tabla1[Avance_km],Tabla1[Fecha],"&lt;="&amp;Grafico!$A267,Tabla1[nombre_actividad],Grafico!D$1),NA())</f>
        <v>148.02099999999999</v>
      </c>
      <c r="E267" s="63">
        <f ca="1">IF(TODAY()&gt;=$A267,SUMIFS(Tabla1[Avance_km],Tabla1[Fecha],"&lt;="&amp;Grafico!$A267,Tabla1[nombre_actividad],Grafico!E$1),NA())</f>
        <v>145.05499999999986</v>
      </c>
      <c r="F267" s="110">
        <f ca="1">IF(TODAY()&gt;=$A267,SUMIFS(Tabla1[Avance_km],Tabla1[Fecha],"&lt;="&amp;Grafico!$A267,Tabla1[nombre_actividad],Grafico!F$1,Tabla1[Avance_km],"&gt;0"),NA())</f>
        <v>128.02900000000011</v>
      </c>
      <c r="G267" s="67">
        <f ca="1">IF(TODAY()&gt;=$A267,SUMIFS(Tabla1[Avance_Med],Tabla1[Fecha],"&lt;="&amp;Grafico!$A267,Tabla1[nombre_actividad],Grafico!G$1),NA())</f>
        <v>376</v>
      </c>
      <c r="H267" s="63">
        <f ca="1">IF(TODAY()&gt;=$A267,SUMIFS(Tabla1[Avance_km],Tabla1[Fecha],"&lt;="&amp;Grafico!$A267,Tabla1[nombre_actividad],Grafico!H$1),NA())</f>
        <v>0</v>
      </c>
      <c r="I267" s="63"/>
    </row>
    <row r="268" spans="1:9" x14ac:dyDescent="0.25">
      <c r="A268" s="62">
        <f t="shared" si="10"/>
        <v>46229</v>
      </c>
      <c r="B268" s="33" t="str">
        <f t="shared" ca="1" si="9"/>
        <v/>
      </c>
      <c r="C268" s="33"/>
      <c r="D268" s="63">
        <f ca="1">IF(TODAY()&gt;=$A268,SUMIFS(Tabla1[Avance_km],Tabla1[Fecha],"&lt;="&amp;Grafico!$A268,Tabla1[nombre_actividad],Grafico!D$1),NA())</f>
        <v>148.02099999999999</v>
      </c>
      <c r="E268" s="63">
        <f ca="1">IF(TODAY()&gt;=$A268,SUMIFS(Tabla1[Avance_km],Tabla1[Fecha],"&lt;="&amp;Grafico!$A268,Tabla1[nombre_actividad],Grafico!E$1),NA())</f>
        <v>145.05499999999986</v>
      </c>
      <c r="F268" s="110">
        <f ca="1">IF(TODAY()&gt;=$A268,SUMIFS(Tabla1[Avance_km],Tabla1[Fecha],"&lt;="&amp;Grafico!$A268,Tabla1[nombre_actividad],Grafico!F$1,Tabla1[Avance_km],"&gt;0"),NA())</f>
        <v>128.02900000000011</v>
      </c>
      <c r="G268" s="67">
        <f ca="1">IF(TODAY()&gt;=$A268,SUMIFS(Tabla1[Avance_Med],Tabla1[Fecha],"&lt;="&amp;Grafico!$A268,Tabla1[nombre_actividad],Grafico!G$1),NA())</f>
        <v>376</v>
      </c>
      <c r="H268" s="63">
        <f ca="1">IF(TODAY()&gt;=$A268,SUMIFS(Tabla1[Avance_km],Tabla1[Fecha],"&lt;="&amp;Grafico!$A268,Tabla1[nombre_actividad],Grafico!H$1),NA())</f>
        <v>0</v>
      </c>
      <c r="I268" s="63"/>
    </row>
    <row r="269" spans="1:9" x14ac:dyDescent="0.25">
      <c r="A269" s="62">
        <f t="shared" si="10"/>
        <v>46230</v>
      </c>
      <c r="B269" s="33" t="str">
        <f t="shared" ca="1" si="9"/>
        <v/>
      </c>
      <c r="C269" s="33"/>
      <c r="D269" s="63">
        <f ca="1">IF(TODAY()&gt;=$A269,SUMIFS(Tabla1[Avance_km],Tabla1[Fecha],"&lt;="&amp;Grafico!$A269,Tabla1[nombre_actividad],Grafico!D$1),NA())</f>
        <v>148.02099999999999</v>
      </c>
      <c r="E269" s="63">
        <f ca="1">IF(TODAY()&gt;=$A269,SUMIFS(Tabla1[Avance_km],Tabla1[Fecha],"&lt;="&amp;Grafico!$A269,Tabla1[nombre_actividad],Grafico!E$1),NA())</f>
        <v>145.05499999999986</v>
      </c>
      <c r="F269" s="110">
        <f ca="1">IF(TODAY()&gt;=$A269,SUMIFS(Tabla1[Avance_km],Tabla1[Fecha],"&lt;="&amp;Grafico!$A269,Tabla1[nombre_actividad],Grafico!F$1,Tabla1[Avance_km],"&gt;0"),NA())</f>
        <v>130.33100000000013</v>
      </c>
      <c r="G269" s="67">
        <f ca="1">IF(TODAY()&gt;=$A269,SUMIFS(Tabla1[Avance_Med],Tabla1[Fecha],"&lt;="&amp;Grafico!$A269,Tabla1[nombre_actividad],Grafico!G$1),NA())</f>
        <v>376</v>
      </c>
      <c r="H269" s="63">
        <f ca="1">IF(TODAY()&gt;=$A269,SUMIFS(Tabla1[Avance_km],Tabla1[Fecha],"&lt;="&amp;Grafico!$A269,Tabla1[nombre_actividad],Grafico!H$1),NA())</f>
        <v>0</v>
      </c>
      <c r="I269" s="63"/>
    </row>
    <row r="270" spans="1:9" x14ac:dyDescent="0.25">
      <c r="A270" s="62">
        <f t="shared" si="10"/>
        <v>46231</v>
      </c>
      <c r="B270" s="33" t="str">
        <f t="shared" ca="1" si="9"/>
        <v/>
      </c>
      <c r="C270" s="33"/>
      <c r="D270" s="63">
        <f ca="1">IF(TODAY()&gt;=$A270,SUMIFS(Tabla1[Avance_km],Tabla1[Fecha],"&lt;="&amp;Grafico!$A270,Tabla1[nombre_actividad],Grafico!D$1),NA())</f>
        <v>148.02099999999999</v>
      </c>
      <c r="E270" s="63">
        <f ca="1">IF(TODAY()&gt;=$A270,SUMIFS(Tabla1[Avance_km],Tabla1[Fecha],"&lt;="&amp;Grafico!$A270,Tabla1[nombre_actividad],Grafico!E$1),NA())</f>
        <v>145.05499999999986</v>
      </c>
      <c r="F270" s="110">
        <f ca="1">IF(TODAY()&gt;=$A270,SUMIFS(Tabla1[Avance_km],Tabla1[Fecha],"&lt;="&amp;Grafico!$A270,Tabla1[nombre_actividad],Grafico!F$1,Tabla1[Avance_km],"&gt;0"),NA())</f>
        <v>131.76700000000014</v>
      </c>
      <c r="G270" s="67">
        <f ca="1">IF(TODAY()&gt;=$A270,SUMIFS(Tabla1[Avance_Med],Tabla1[Fecha],"&lt;="&amp;Grafico!$A270,Tabla1[nombre_actividad],Grafico!G$1),NA())</f>
        <v>376</v>
      </c>
      <c r="H270" s="63">
        <f ca="1">IF(TODAY()&gt;=$A270,SUMIFS(Tabla1[Avance_km],Tabla1[Fecha],"&lt;="&amp;Grafico!$A270,Tabla1[nombre_actividad],Grafico!H$1),NA())</f>
        <v>0</v>
      </c>
      <c r="I270" s="63"/>
    </row>
    <row r="271" spans="1:9" x14ac:dyDescent="0.25">
      <c r="A271" s="62">
        <f t="shared" si="10"/>
        <v>46232</v>
      </c>
      <c r="B271" s="33" t="str">
        <f t="shared" ca="1" si="9"/>
        <v/>
      </c>
      <c r="C271" s="33"/>
      <c r="D271" s="63">
        <f ca="1">IF(TODAY()&gt;=$A271,SUMIFS(Tabla1[Avance_km],Tabla1[Fecha],"&lt;="&amp;Grafico!$A271,Tabla1[nombre_actividad],Grafico!D$1),NA())</f>
        <v>148.02099999999999</v>
      </c>
      <c r="E271" s="63">
        <f ca="1">IF(TODAY()&gt;=$A271,SUMIFS(Tabla1[Avance_km],Tabla1[Fecha],"&lt;="&amp;Grafico!$A271,Tabla1[nombre_actividad],Grafico!E$1),NA())</f>
        <v>145.05499999999986</v>
      </c>
      <c r="F271" s="110">
        <f ca="1">IF(TODAY()&gt;=$A271,SUMIFS(Tabla1[Avance_km],Tabla1[Fecha],"&lt;="&amp;Grafico!$A271,Tabla1[nombre_actividad],Grafico!F$1,Tabla1[Avance_km],"&gt;0"),NA())</f>
        <v>132.41700000000009</v>
      </c>
      <c r="G271" s="67">
        <f ca="1">IF(TODAY()&gt;=$A271,SUMIFS(Tabla1[Avance_Med],Tabla1[Fecha],"&lt;="&amp;Grafico!$A271,Tabla1[nombre_actividad],Grafico!G$1),NA())</f>
        <v>376</v>
      </c>
      <c r="H271" s="63">
        <f ca="1">IF(TODAY()&gt;=$A271,SUMIFS(Tabla1[Avance_km],Tabla1[Fecha],"&lt;="&amp;Grafico!$A271,Tabla1[nombre_actividad],Grafico!H$1),NA())</f>
        <v>0</v>
      </c>
      <c r="I271" s="63"/>
    </row>
    <row r="272" spans="1:9" x14ac:dyDescent="0.25">
      <c r="A272" s="62">
        <f t="shared" si="10"/>
        <v>46233</v>
      </c>
      <c r="B272" s="33" t="str">
        <f t="shared" ca="1" si="9"/>
        <v/>
      </c>
      <c r="C272" s="33"/>
      <c r="D272" s="63">
        <f ca="1">IF(TODAY()&gt;=$A272,SUMIFS(Tabla1[Avance_km],Tabla1[Fecha],"&lt;="&amp;Grafico!$A272,Tabla1[nombre_actividad],Grafico!D$1),NA())</f>
        <v>148.02099999999999</v>
      </c>
      <c r="E272" s="63">
        <f ca="1">IF(TODAY()&gt;=$A272,SUMIFS(Tabla1[Avance_km],Tabla1[Fecha],"&lt;="&amp;Grafico!$A272,Tabla1[nombre_actividad],Grafico!E$1),NA())</f>
        <v>145.05499999999986</v>
      </c>
      <c r="F272" s="110">
        <f ca="1">IF(TODAY()&gt;=$A272,SUMIFS(Tabla1[Avance_km],Tabla1[Fecha],"&lt;="&amp;Grafico!$A272,Tabla1[nombre_actividad],Grafico!F$1,Tabla1[Avance_km],"&gt;0"),NA())</f>
        <v>134.13700000000009</v>
      </c>
      <c r="G272" s="67">
        <f ca="1">IF(TODAY()&gt;=$A272,SUMIFS(Tabla1[Avance_Med],Tabla1[Fecha],"&lt;="&amp;Grafico!$A272,Tabla1[nombre_actividad],Grafico!G$1),NA())</f>
        <v>376</v>
      </c>
      <c r="H272" s="63">
        <f ca="1">IF(TODAY()&gt;=$A272,SUMIFS(Tabla1[Avance_km],Tabla1[Fecha],"&lt;="&amp;Grafico!$A272,Tabla1[nombre_actividad],Grafico!H$1),NA())</f>
        <v>0</v>
      </c>
      <c r="I272" s="63"/>
    </row>
    <row r="273" spans="1:9" x14ac:dyDescent="0.25">
      <c r="A273" s="62">
        <f t="shared" si="10"/>
        <v>46234</v>
      </c>
      <c r="B273" s="33" t="str">
        <f t="shared" ca="1" si="9"/>
        <v/>
      </c>
      <c r="C273" s="33"/>
      <c r="D273" s="63">
        <f ca="1">IF(TODAY()&gt;=$A273,SUMIFS(Tabla1[Avance_km],Tabla1[Fecha],"&lt;="&amp;Grafico!$A273,Tabla1[nombre_actividad],Grafico!D$1),NA())</f>
        <v>148.02099999999999</v>
      </c>
      <c r="E273" s="63">
        <f ca="1">IF(TODAY()&gt;=$A273,SUMIFS(Tabla1[Avance_km],Tabla1[Fecha],"&lt;="&amp;Grafico!$A273,Tabla1[nombre_actividad],Grafico!E$1),NA())</f>
        <v>145.05499999999986</v>
      </c>
      <c r="F273" s="110">
        <f ca="1">IF(TODAY()&gt;=$A273,SUMIFS(Tabla1[Avance_km],Tabla1[Fecha],"&lt;="&amp;Grafico!$A273,Tabla1[nombre_actividad],Grafico!F$1,Tabla1[Avance_km],"&gt;0"),NA())</f>
        <v>136.30500000000009</v>
      </c>
      <c r="G273" s="67">
        <f ca="1">IF(TODAY()&gt;=$A273,SUMIFS(Tabla1[Avance_Med],Tabla1[Fecha],"&lt;="&amp;Grafico!$A273,Tabla1[nombre_actividad],Grafico!G$1),NA())</f>
        <v>376</v>
      </c>
      <c r="H273" s="63">
        <f ca="1">IF(TODAY()&gt;=$A273,SUMIFS(Tabla1[Avance_km],Tabla1[Fecha],"&lt;="&amp;Grafico!$A273,Tabla1[nombre_actividad],Grafico!H$1),NA())</f>
        <v>0</v>
      </c>
      <c r="I273" s="63"/>
    </row>
    <row r="274" spans="1:9" x14ac:dyDescent="0.25">
      <c r="A274" s="62">
        <f t="shared" si="10"/>
        <v>46235</v>
      </c>
      <c r="B274" s="33" t="str">
        <f t="shared" ca="1" si="9"/>
        <v/>
      </c>
      <c r="C274" s="33"/>
      <c r="D274" s="63">
        <f ca="1">IF(TODAY()&gt;=$A274,SUMIFS(Tabla1[Avance_km],Tabla1[Fecha],"&lt;="&amp;Grafico!$A274,Tabla1[nombre_actividad],Grafico!D$1),NA())</f>
        <v>148.02099999999999</v>
      </c>
      <c r="E274" s="63">
        <f ca="1">IF(TODAY()&gt;=$A274,SUMIFS(Tabla1[Avance_km],Tabla1[Fecha],"&lt;="&amp;Grafico!$A274,Tabla1[nombre_actividad],Grafico!E$1),NA())</f>
        <v>145.05499999999986</v>
      </c>
      <c r="F274" s="110">
        <f ca="1">IF(TODAY()&gt;=$A274,SUMIFS(Tabla1[Avance_km],Tabla1[Fecha],"&lt;="&amp;Grafico!$A274,Tabla1[nombre_actividad],Grafico!F$1,Tabla1[Avance_km],"&gt;0"),NA())</f>
        <v>137.3850000000001</v>
      </c>
      <c r="G274" s="67">
        <f ca="1">IF(TODAY()&gt;=$A274,SUMIFS(Tabla1[Avance_Med],Tabla1[Fecha],"&lt;="&amp;Grafico!$A274,Tabla1[nombre_actividad],Grafico!G$1),NA())</f>
        <v>376</v>
      </c>
      <c r="H274" s="63">
        <f ca="1">IF(TODAY()&gt;=$A274,SUMIFS(Tabla1[Avance_km],Tabla1[Fecha],"&lt;="&amp;Grafico!$A274,Tabla1[nombre_actividad],Grafico!H$1),NA())</f>
        <v>0</v>
      </c>
      <c r="I274" s="63"/>
    </row>
    <row r="275" spans="1:9" x14ac:dyDescent="0.25">
      <c r="A275" s="62">
        <f t="shared" si="10"/>
        <v>46236</v>
      </c>
      <c r="B275" s="33" t="str">
        <f t="shared" ca="1" si="9"/>
        <v/>
      </c>
      <c r="C275" s="33"/>
      <c r="D275" s="63">
        <f ca="1">IF(TODAY()&gt;=$A275,SUMIFS(Tabla1[Avance_km],Tabla1[Fecha],"&lt;="&amp;Grafico!$A275,Tabla1[nombre_actividad],Grafico!D$1),NA())</f>
        <v>148.02099999999999</v>
      </c>
      <c r="E275" s="63">
        <f ca="1">IF(TODAY()&gt;=$A275,SUMIFS(Tabla1[Avance_km],Tabla1[Fecha],"&lt;="&amp;Grafico!$A275,Tabla1[nombre_actividad],Grafico!E$1),NA())</f>
        <v>145.05499999999986</v>
      </c>
      <c r="F275" s="110">
        <f ca="1">IF(TODAY()&gt;=$A275,SUMIFS(Tabla1[Avance_km],Tabla1[Fecha],"&lt;="&amp;Grafico!$A275,Tabla1[nombre_actividad],Grafico!F$1,Tabla1[Avance_km],"&gt;0"),NA())</f>
        <v>137.3850000000001</v>
      </c>
      <c r="G275" s="67">
        <f ca="1">IF(TODAY()&gt;=$A275,SUMIFS(Tabla1[Avance_Med],Tabla1[Fecha],"&lt;="&amp;Grafico!$A275,Tabla1[nombre_actividad],Grafico!G$1),NA())</f>
        <v>376</v>
      </c>
      <c r="H275" s="63">
        <f ca="1">IF(TODAY()&gt;=$A275,SUMIFS(Tabla1[Avance_km],Tabla1[Fecha],"&lt;="&amp;Grafico!$A275,Tabla1[nombre_actividad],Grafico!H$1),NA())</f>
        <v>0</v>
      </c>
      <c r="I275" s="63"/>
    </row>
    <row r="276" spans="1:9" x14ac:dyDescent="0.25">
      <c r="A276" s="62">
        <f t="shared" si="10"/>
        <v>46237</v>
      </c>
      <c r="B276" s="33" t="str">
        <f t="shared" ca="1" si="9"/>
        <v/>
      </c>
      <c r="C276" s="33"/>
      <c r="D276" s="63">
        <f ca="1">IF(TODAY()&gt;=$A276,SUMIFS(Tabla1[Avance_km],Tabla1[Fecha],"&lt;="&amp;Grafico!$A276,Tabla1[nombre_actividad],Grafico!D$1),NA())</f>
        <v>148.02099999999999</v>
      </c>
      <c r="E276" s="63">
        <f ca="1">IF(TODAY()&gt;=$A276,SUMIFS(Tabla1[Avance_km],Tabla1[Fecha],"&lt;="&amp;Grafico!$A276,Tabla1[nombre_actividad],Grafico!E$1),NA())</f>
        <v>145.05499999999986</v>
      </c>
      <c r="F276" s="110">
        <f ca="1">IF(TODAY()&gt;=$A276,SUMIFS(Tabla1[Avance_km],Tabla1[Fecha],"&lt;="&amp;Grafico!$A276,Tabla1[nombre_actividad],Grafico!F$1,Tabla1[Avance_km],"&gt;0"),NA())</f>
        <v>138.58500000000009</v>
      </c>
      <c r="G276" s="67">
        <f ca="1">IF(TODAY()&gt;=$A276,SUMIFS(Tabla1[Avance_Med],Tabla1[Fecha],"&lt;="&amp;Grafico!$A276,Tabla1[nombre_actividad],Grafico!G$1),NA())</f>
        <v>376</v>
      </c>
      <c r="H276" s="63">
        <f ca="1">IF(TODAY()&gt;=$A276,SUMIFS(Tabla1[Avance_km],Tabla1[Fecha],"&lt;="&amp;Grafico!$A276,Tabla1[nombre_actividad],Grafico!H$1),NA())</f>
        <v>0</v>
      </c>
      <c r="I276" s="63"/>
    </row>
    <row r="277" spans="1:9" x14ac:dyDescent="0.25">
      <c r="A277" s="62">
        <f t="shared" si="10"/>
        <v>46238</v>
      </c>
      <c r="B277" s="33" t="str">
        <f t="shared" ca="1" si="9"/>
        <v/>
      </c>
      <c r="C277" s="33"/>
      <c r="D277" s="63">
        <f ca="1">IF(TODAY()&gt;=$A277,SUMIFS(Tabla1[Avance_km],Tabla1[Fecha],"&lt;="&amp;Grafico!$A277,Tabla1[nombre_actividad],Grafico!D$1),NA())</f>
        <v>148.02099999999999</v>
      </c>
      <c r="E277" s="63">
        <f ca="1">IF(TODAY()&gt;=$A277,SUMIFS(Tabla1[Avance_km],Tabla1[Fecha],"&lt;="&amp;Grafico!$A277,Tabla1[nombre_actividad],Grafico!E$1),NA())</f>
        <v>145.05499999999986</v>
      </c>
      <c r="F277" s="110">
        <f ca="1">IF(TODAY()&gt;=$A277,SUMIFS(Tabla1[Avance_km],Tabla1[Fecha],"&lt;="&amp;Grafico!$A277,Tabla1[nombre_actividad],Grafico!F$1,Tabla1[Avance_km],"&gt;0"),NA())</f>
        <v>138.80400000000009</v>
      </c>
      <c r="G277" s="67">
        <f ca="1">IF(TODAY()&gt;=$A277,SUMIFS(Tabla1[Avance_Med],Tabla1[Fecha],"&lt;="&amp;Grafico!$A277,Tabla1[nombre_actividad],Grafico!G$1),NA())</f>
        <v>376</v>
      </c>
      <c r="H277" s="63">
        <f ca="1">IF(TODAY()&gt;=$A277,SUMIFS(Tabla1[Avance_km],Tabla1[Fecha],"&lt;="&amp;Grafico!$A277,Tabla1[nombre_actividad],Grafico!H$1),NA())</f>
        <v>0</v>
      </c>
      <c r="I277" s="63"/>
    </row>
    <row r="278" spans="1:9" x14ac:dyDescent="0.25">
      <c r="A278" s="62">
        <f t="shared" si="10"/>
        <v>46239</v>
      </c>
      <c r="B278" s="33" t="str">
        <f t="shared" ca="1" si="9"/>
        <v/>
      </c>
      <c r="C278" s="33"/>
      <c r="D278" s="63">
        <f ca="1">IF(TODAY()&gt;=$A278,SUMIFS(Tabla1[Avance_km],Tabla1[Fecha],"&lt;="&amp;Grafico!$A278,Tabla1[nombre_actividad],Grafico!D$1),NA())</f>
        <v>148.03599999999997</v>
      </c>
      <c r="E278" s="63">
        <f ca="1">IF(TODAY()&gt;=$A278,SUMIFS(Tabla1[Avance_km],Tabla1[Fecha],"&lt;="&amp;Grafico!$A278,Tabla1[nombre_actividad],Grafico!E$1),NA())</f>
        <v>145.06999999999985</v>
      </c>
      <c r="F278" s="110">
        <f ca="1">IF(TODAY()&gt;=$A278,SUMIFS(Tabla1[Avance_km],Tabla1[Fecha],"&lt;="&amp;Grafico!$A278,Tabla1[nombre_actividad],Grafico!F$1,Tabla1[Avance_km],"&gt;0"),NA())</f>
        <v>138.82500000000007</v>
      </c>
      <c r="G278" s="67">
        <f ca="1">IF(TODAY()&gt;=$A278,SUMIFS(Tabla1[Avance_Med],Tabla1[Fecha],"&lt;="&amp;Grafico!$A278,Tabla1[nombre_actividad],Grafico!G$1),NA())</f>
        <v>376</v>
      </c>
      <c r="H278" s="63">
        <f ca="1">IF(TODAY()&gt;=$A278,SUMIFS(Tabla1[Avance_km],Tabla1[Fecha],"&lt;="&amp;Grafico!$A278,Tabla1[nombre_actividad],Grafico!H$1),NA())</f>
        <v>0</v>
      </c>
      <c r="I278" s="63"/>
    </row>
    <row r="279" spans="1:9" x14ac:dyDescent="0.25">
      <c r="A279" s="62">
        <f t="shared" si="10"/>
        <v>46240</v>
      </c>
      <c r="B279" s="33" t="str">
        <f t="shared" ca="1" si="9"/>
        <v/>
      </c>
      <c r="C279" s="33"/>
      <c r="D279" s="63">
        <f ca="1">IF(TODAY()&gt;=$A279,SUMIFS(Tabla1[Avance_km],Tabla1[Fecha],"&lt;="&amp;Grafico!$A279,Tabla1[nombre_actividad],Grafico!D$1),NA())</f>
        <v>148.03599999999997</v>
      </c>
      <c r="E279" s="63">
        <f ca="1">IF(TODAY()&gt;=$A279,SUMIFS(Tabla1[Avance_km],Tabla1[Fecha],"&lt;="&amp;Grafico!$A279,Tabla1[nombre_actividad],Grafico!E$1),NA())</f>
        <v>145.06999999999985</v>
      </c>
      <c r="F279" s="110">
        <f ca="1">IF(TODAY()&gt;=$A279,SUMIFS(Tabla1[Avance_km],Tabla1[Fecha],"&lt;="&amp;Grafico!$A279,Tabla1[nombre_actividad],Grafico!F$1,Tabla1[Avance_km],"&gt;0"),NA())</f>
        <v>142.12500000000009</v>
      </c>
      <c r="G279" s="67">
        <f ca="1">IF(TODAY()&gt;=$A279,SUMIFS(Tabla1[Avance_Med],Tabla1[Fecha],"&lt;="&amp;Grafico!$A279,Tabla1[nombre_actividad],Grafico!G$1),NA())</f>
        <v>376</v>
      </c>
      <c r="H279" s="63">
        <f ca="1">IF(TODAY()&gt;=$A279,SUMIFS(Tabla1[Avance_km],Tabla1[Fecha],"&lt;="&amp;Grafico!$A279,Tabla1[nombre_actividad],Grafico!H$1),NA())</f>
        <v>0</v>
      </c>
      <c r="I279" s="63"/>
    </row>
    <row r="280" spans="1:9" x14ac:dyDescent="0.25">
      <c r="A280" s="62">
        <f t="shared" si="10"/>
        <v>46241</v>
      </c>
      <c r="B280" s="33" t="str">
        <f t="shared" ca="1" si="9"/>
        <v/>
      </c>
      <c r="C280" s="33"/>
      <c r="D280" s="63">
        <f ca="1">IF(TODAY()&gt;=$A280,SUMIFS(Tabla1[Avance_km],Tabla1[Fecha],"&lt;="&amp;Grafico!$A280,Tabla1[nombre_actividad],Grafico!D$1),NA())</f>
        <v>148.03599999999997</v>
      </c>
      <c r="E280" s="63">
        <f ca="1">IF(TODAY()&gt;=$A280,SUMIFS(Tabla1[Avance_km],Tabla1[Fecha],"&lt;="&amp;Grafico!$A280,Tabla1[nombre_actividad],Grafico!E$1),NA())</f>
        <v>145.06999999999985</v>
      </c>
      <c r="F280" s="110">
        <f ca="1">IF(TODAY()&gt;=$A280,SUMIFS(Tabla1[Avance_km],Tabla1[Fecha],"&lt;="&amp;Grafico!$A280,Tabla1[nombre_actividad],Grafico!F$1,Tabla1[Avance_km],"&gt;0"),NA())</f>
        <v>146.12200000000007</v>
      </c>
      <c r="G280" s="67">
        <f ca="1">IF(TODAY()&gt;=$A280,SUMIFS(Tabla1[Avance_Med],Tabla1[Fecha],"&lt;="&amp;Grafico!$A280,Tabla1[nombre_actividad],Grafico!G$1),NA())</f>
        <v>376</v>
      </c>
      <c r="H280" s="63">
        <f ca="1">IF(TODAY()&gt;=$A280,SUMIFS(Tabla1[Avance_km],Tabla1[Fecha],"&lt;="&amp;Grafico!$A280,Tabla1[nombre_actividad],Grafico!H$1),NA())</f>
        <v>0</v>
      </c>
      <c r="I280" s="63"/>
    </row>
    <row r="281" spans="1:9" x14ac:dyDescent="0.25">
      <c r="A281" s="62">
        <f t="shared" si="10"/>
        <v>46242</v>
      </c>
      <c r="B281" s="33" t="str">
        <f t="shared" ca="1" si="9"/>
        <v/>
      </c>
      <c r="C281" s="33"/>
      <c r="D281" s="63">
        <f ca="1">IF(TODAY()&gt;=$A281,SUMIFS(Tabla1[Avance_km],Tabla1[Fecha],"&lt;="&amp;Grafico!$A281,Tabla1[nombre_actividad],Grafico!D$1),NA())</f>
        <v>148.03599999999997</v>
      </c>
      <c r="E281" s="63">
        <f ca="1">IF(TODAY()&gt;=$A281,SUMIFS(Tabla1[Avance_km],Tabla1[Fecha],"&lt;="&amp;Grafico!$A281,Tabla1[nombre_actividad],Grafico!E$1),NA())</f>
        <v>145.06999999999985</v>
      </c>
      <c r="F281" s="110">
        <f ca="1">IF(TODAY()&gt;=$A281,SUMIFS(Tabla1[Avance_km],Tabla1[Fecha],"&lt;="&amp;Grafico!$A281,Tabla1[nombre_actividad],Grafico!F$1,Tabla1[Avance_km],"&gt;0"),NA())</f>
        <v>146.12200000000007</v>
      </c>
      <c r="G281" s="67">
        <f ca="1">IF(TODAY()&gt;=$A281,SUMIFS(Tabla1[Avance_Med],Tabla1[Fecha],"&lt;="&amp;Grafico!$A281,Tabla1[nombre_actividad],Grafico!G$1),NA())</f>
        <v>376</v>
      </c>
      <c r="H281" s="63">
        <f ca="1">IF(TODAY()&gt;=$A281,SUMIFS(Tabla1[Avance_km],Tabla1[Fecha],"&lt;="&amp;Grafico!$A281,Tabla1[nombre_actividad],Grafico!H$1),NA())</f>
        <v>0</v>
      </c>
      <c r="I281" s="63"/>
    </row>
    <row r="282" spans="1:9" x14ac:dyDescent="0.25">
      <c r="A282" s="62">
        <f t="shared" si="10"/>
        <v>46243</v>
      </c>
      <c r="B282" s="33" t="str">
        <f t="shared" ca="1" si="9"/>
        <v/>
      </c>
      <c r="C282" s="33"/>
      <c r="D282" s="63">
        <f ca="1">IF(TODAY()&gt;=$A282,SUMIFS(Tabla1[Avance_km],Tabla1[Fecha],"&lt;="&amp;Grafico!$A282,Tabla1[nombre_actividad],Grafico!D$1),NA())</f>
        <v>148.03599999999997</v>
      </c>
      <c r="E282" s="63">
        <f ca="1">IF(TODAY()&gt;=$A282,SUMIFS(Tabla1[Avance_km],Tabla1[Fecha],"&lt;="&amp;Grafico!$A282,Tabla1[nombre_actividad],Grafico!E$1),NA())</f>
        <v>147.54199999999986</v>
      </c>
      <c r="F282" s="110">
        <f ca="1">IF(TODAY()&gt;=$A282,SUMIFS(Tabla1[Avance_km],Tabla1[Fecha],"&lt;="&amp;Grafico!$A282,Tabla1[nombre_actividad],Grafico!F$1,Tabla1[Avance_km],"&gt;0"),NA())</f>
        <v>146.12200000000007</v>
      </c>
      <c r="G282" s="67">
        <f ca="1">IF(TODAY()&gt;=$A282,SUMIFS(Tabla1[Avance_Med],Tabla1[Fecha],"&lt;="&amp;Grafico!$A282,Tabla1[nombre_actividad],Grafico!G$1),NA())</f>
        <v>376</v>
      </c>
      <c r="H282" s="63">
        <f ca="1">IF(TODAY()&gt;=$A282,SUMIFS(Tabla1[Avance_km],Tabla1[Fecha],"&lt;="&amp;Grafico!$A282,Tabla1[nombre_actividad],Grafico!H$1),NA())</f>
        <v>0</v>
      </c>
      <c r="I282" s="63"/>
    </row>
    <row r="283" spans="1:9" x14ac:dyDescent="0.25">
      <c r="A283" s="62">
        <f t="shared" si="10"/>
        <v>46244</v>
      </c>
      <c r="B283" s="33" t="str">
        <f t="shared" ca="1" si="9"/>
        <v/>
      </c>
      <c r="C283" s="33"/>
      <c r="D283" s="63">
        <f ca="1">IF(TODAY()&gt;=$A283,SUMIFS(Tabla1[Avance_km],Tabla1[Fecha],"&lt;="&amp;Grafico!$A283,Tabla1[nombre_actividad],Grafico!D$1),NA())</f>
        <v>148.03599999999997</v>
      </c>
      <c r="E283" s="63">
        <f ca="1">IF(TODAY()&gt;=$A283,SUMIFS(Tabla1[Avance_km],Tabla1[Fecha],"&lt;="&amp;Grafico!$A283,Tabla1[nombre_actividad],Grafico!E$1),NA())</f>
        <v>147.54199999999986</v>
      </c>
      <c r="F283" s="110">
        <f ca="1">IF(TODAY()&gt;=$A283,SUMIFS(Tabla1[Avance_km],Tabla1[Fecha],"&lt;="&amp;Grafico!$A283,Tabla1[nombre_actividad],Grafico!F$1,Tabla1[Avance_km],"&gt;0"),NA())</f>
        <v>146.12200000000007</v>
      </c>
      <c r="G283" s="67">
        <f ca="1">IF(TODAY()&gt;=$A283,SUMIFS(Tabla1[Avance_Med],Tabla1[Fecha],"&lt;="&amp;Grafico!$A283,Tabla1[nombre_actividad],Grafico!G$1),NA())</f>
        <v>376</v>
      </c>
      <c r="H283" s="63">
        <f ca="1">IF(TODAY()&gt;=$A283,SUMIFS(Tabla1[Avance_km],Tabla1[Fecha],"&lt;="&amp;Grafico!$A283,Tabla1[nombre_actividad],Grafico!H$1),NA())</f>
        <v>0</v>
      </c>
      <c r="I283" s="63"/>
    </row>
    <row r="284" spans="1:9" x14ac:dyDescent="0.25">
      <c r="A284" s="62">
        <f t="shared" si="10"/>
        <v>46245</v>
      </c>
      <c r="B284" s="33" t="str">
        <f t="shared" ca="1" si="9"/>
        <v/>
      </c>
      <c r="C284" s="33"/>
      <c r="D284" s="63">
        <f ca="1">IF(TODAY()&gt;=$A284,SUMIFS(Tabla1[Avance_km],Tabla1[Fecha],"&lt;="&amp;Grafico!$A284,Tabla1[nombre_actividad],Grafico!D$1),NA())</f>
        <v>148.03599999999997</v>
      </c>
      <c r="E284" s="63">
        <f ca="1">IF(TODAY()&gt;=$A284,SUMIFS(Tabla1[Avance_km],Tabla1[Fecha],"&lt;="&amp;Grafico!$A284,Tabla1[nombre_actividad],Grafico!E$1),NA())</f>
        <v>147.54199999999986</v>
      </c>
      <c r="F284" s="110">
        <f ca="1">IF(TODAY()&gt;=$A284,SUMIFS(Tabla1[Avance_km],Tabla1[Fecha],"&lt;="&amp;Grafico!$A284,Tabla1[nombre_actividad],Grafico!F$1,Tabla1[Avance_km],"&gt;0"),NA())</f>
        <v>146.12200000000007</v>
      </c>
      <c r="G284" s="67">
        <f ca="1">IF(TODAY()&gt;=$A284,SUMIFS(Tabla1[Avance_Med],Tabla1[Fecha],"&lt;="&amp;Grafico!$A284,Tabla1[nombre_actividad],Grafico!G$1),NA())</f>
        <v>376</v>
      </c>
      <c r="H284" s="63">
        <f ca="1">IF(TODAY()&gt;=$A284,SUMIFS(Tabla1[Avance_km],Tabla1[Fecha],"&lt;="&amp;Grafico!$A284,Tabla1[nombre_actividad],Grafico!H$1),NA())</f>
        <v>0</v>
      </c>
      <c r="I284" s="63"/>
    </row>
    <row r="285" spans="1:9" x14ac:dyDescent="0.25">
      <c r="A285" s="62">
        <f t="shared" si="10"/>
        <v>46246</v>
      </c>
      <c r="B285" s="33" t="str">
        <f t="shared" ca="1" si="9"/>
        <v/>
      </c>
      <c r="C285" s="33"/>
      <c r="D285" s="63">
        <f ca="1">IF(TODAY()&gt;=$A285,SUMIFS(Tabla1[Avance_km],Tabla1[Fecha],"&lt;="&amp;Grafico!$A285,Tabla1[nombre_actividad],Grafico!D$1),NA())</f>
        <v>148.03599999999997</v>
      </c>
      <c r="E285" s="63">
        <f ca="1">IF(TODAY()&gt;=$A285,SUMIFS(Tabla1[Avance_km],Tabla1[Fecha],"&lt;="&amp;Grafico!$A285,Tabla1[nombre_actividad],Grafico!E$1),NA())</f>
        <v>147.54199999999986</v>
      </c>
      <c r="F285" s="110">
        <f ca="1">IF(TODAY()&gt;=$A285,SUMIFS(Tabla1[Avance_km],Tabla1[Fecha],"&lt;="&amp;Grafico!$A285,Tabla1[nombre_actividad],Grafico!F$1,Tabla1[Avance_km],"&gt;0"),NA())</f>
        <v>146.12200000000007</v>
      </c>
      <c r="G285" s="67">
        <f ca="1">IF(TODAY()&gt;=$A285,SUMIFS(Tabla1[Avance_Med],Tabla1[Fecha],"&lt;="&amp;Grafico!$A285,Tabla1[nombre_actividad],Grafico!G$1),NA())</f>
        <v>376</v>
      </c>
      <c r="H285" s="63">
        <f ca="1">IF(TODAY()&gt;=$A285,SUMIFS(Tabla1[Avance_km],Tabla1[Fecha],"&lt;="&amp;Grafico!$A285,Tabla1[nombre_actividad],Grafico!H$1),NA())</f>
        <v>0</v>
      </c>
      <c r="I285" s="63"/>
    </row>
    <row r="286" spans="1:9" x14ac:dyDescent="0.25">
      <c r="A286" s="62">
        <f t="shared" si="10"/>
        <v>46247</v>
      </c>
      <c r="B286" s="33" t="str">
        <f t="shared" ca="1" si="9"/>
        <v/>
      </c>
      <c r="C286" s="33"/>
      <c r="D286" s="63">
        <f ca="1">IF(TODAY()&gt;=$A286,SUMIFS(Tabla1[Avance_km],Tabla1[Fecha],"&lt;="&amp;Grafico!$A286,Tabla1[nombre_actividad],Grafico!D$1),NA())</f>
        <v>148.03599999999997</v>
      </c>
      <c r="E286" s="63">
        <f ca="1">IF(TODAY()&gt;=$A286,SUMIFS(Tabla1[Avance_km],Tabla1[Fecha],"&lt;="&amp;Grafico!$A286,Tabla1[nombre_actividad],Grafico!E$1),NA())</f>
        <v>147.54199999999986</v>
      </c>
      <c r="F286" s="110">
        <f ca="1">IF(TODAY()&gt;=$A286,SUMIFS(Tabla1[Avance_km],Tabla1[Fecha],"&lt;="&amp;Grafico!$A286,Tabla1[nombre_actividad],Grafico!F$1,Tabla1[Avance_km],"&gt;0"),NA())</f>
        <v>148.69400000000007</v>
      </c>
      <c r="G286" s="67">
        <f ca="1">IF(TODAY()&gt;=$A286,SUMIFS(Tabla1[Avance_Med],Tabla1[Fecha],"&lt;="&amp;Grafico!$A286,Tabla1[nombre_actividad],Grafico!G$1),NA())</f>
        <v>376</v>
      </c>
      <c r="H286" s="63">
        <f ca="1">IF(TODAY()&gt;=$A286,SUMIFS(Tabla1[Avance_km],Tabla1[Fecha],"&lt;="&amp;Grafico!$A286,Tabla1[nombre_actividad],Grafico!H$1),NA())</f>
        <v>0</v>
      </c>
      <c r="I286" s="63"/>
    </row>
    <row r="287" spans="1:9" x14ac:dyDescent="0.25">
      <c r="A287" s="62">
        <f t="shared" si="10"/>
        <v>46248</v>
      </c>
      <c r="B287" s="33" t="str">
        <f t="shared" ca="1" si="9"/>
        <v/>
      </c>
      <c r="C287" s="33"/>
      <c r="D287" s="63">
        <f ca="1">IF(TODAY()&gt;=$A287,SUMIFS(Tabla1[Avance_km],Tabla1[Fecha],"&lt;="&amp;Grafico!$A287,Tabla1[nombre_actividad],Grafico!D$1),NA())</f>
        <v>148.04199999999997</v>
      </c>
      <c r="E287" s="63">
        <f ca="1">IF(TODAY()&gt;=$A287,SUMIFS(Tabla1[Avance_km],Tabla1[Fecha],"&lt;="&amp;Grafico!$A287,Tabla1[nombre_actividad],Grafico!E$1),NA())</f>
        <v>147.54799999999986</v>
      </c>
      <c r="F287" s="110">
        <f ca="1">IF(TODAY()&gt;=$A287,SUMIFS(Tabla1[Avance_km],Tabla1[Fecha],"&lt;="&amp;Grafico!$A287,Tabla1[nombre_actividad],Grafico!F$1,Tabla1[Avance_km],"&gt;0"),NA())</f>
        <v>148.70000000000007</v>
      </c>
      <c r="G287" s="67">
        <f ca="1">IF(TODAY()&gt;=$A287,SUMIFS(Tabla1[Avance_Med],Tabla1[Fecha],"&lt;="&amp;Grafico!$A287,Tabla1[nombre_actividad],Grafico!G$1),NA())</f>
        <v>376</v>
      </c>
      <c r="H287" s="63">
        <f ca="1">IF(TODAY()&gt;=$A287,SUMIFS(Tabla1[Avance_km],Tabla1[Fecha],"&lt;="&amp;Grafico!$A287,Tabla1[nombre_actividad],Grafico!H$1),NA())</f>
        <v>0</v>
      </c>
      <c r="I287" s="63"/>
    </row>
    <row r="288" spans="1:9" x14ac:dyDescent="0.25">
      <c r="A288" s="62">
        <f t="shared" si="10"/>
        <v>46249</v>
      </c>
      <c r="B288" s="33" t="str">
        <f t="shared" ca="1" si="9"/>
        <v/>
      </c>
      <c r="C288" s="33"/>
      <c r="D288" s="63">
        <f ca="1">IF(TODAY()&gt;=$A288,SUMIFS(Tabla1[Avance_km],Tabla1[Fecha],"&lt;="&amp;Grafico!$A288,Tabla1[nombre_actividad],Grafico!D$1),NA())</f>
        <v>148.88699999999997</v>
      </c>
      <c r="E288" s="63">
        <f ca="1">IF(TODAY()&gt;=$A288,SUMIFS(Tabla1[Avance_km],Tabla1[Fecha],"&lt;="&amp;Grafico!$A288,Tabla1[nombre_actividad],Grafico!E$1),NA())</f>
        <v>147.54799999999986</v>
      </c>
      <c r="F288" s="110">
        <f ca="1">IF(TODAY()&gt;=$A288,SUMIFS(Tabla1[Avance_km],Tabla1[Fecha],"&lt;="&amp;Grafico!$A288,Tabla1[nombre_actividad],Grafico!F$1,Tabla1[Avance_km],"&gt;0"),NA())</f>
        <v>148.70000000000007</v>
      </c>
      <c r="G288" s="67">
        <f ca="1">IF(TODAY()&gt;=$A288,SUMIFS(Tabla1[Avance_Med],Tabla1[Fecha],"&lt;="&amp;Grafico!$A288,Tabla1[nombre_actividad],Grafico!G$1),NA())</f>
        <v>376</v>
      </c>
      <c r="H288" s="63">
        <f ca="1">IF(TODAY()&gt;=$A288,SUMIFS(Tabla1[Avance_km],Tabla1[Fecha],"&lt;="&amp;Grafico!$A288,Tabla1[nombre_actividad],Grafico!H$1),NA())</f>
        <v>0</v>
      </c>
      <c r="I288" s="63"/>
    </row>
    <row r="289" spans="1:9" x14ac:dyDescent="0.25">
      <c r="A289" s="62">
        <f t="shared" si="10"/>
        <v>46250</v>
      </c>
      <c r="B289" s="33" t="str">
        <f t="shared" ca="1" si="9"/>
        <v/>
      </c>
      <c r="C289" s="33"/>
      <c r="D289" s="63">
        <f ca="1">IF(TODAY()&gt;=$A289,SUMIFS(Tabla1[Avance_km],Tabla1[Fecha],"&lt;="&amp;Grafico!$A289,Tabla1[nombre_actividad],Grafico!D$1),NA())</f>
        <v>149.96199999999996</v>
      </c>
      <c r="E289" s="63">
        <f ca="1">IF(TODAY()&gt;=$A289,SUMIFS(Tabla1[Avance_km],Tabla1[Fecha],"&lt;="&amp;Grafico!$A289,Tabla1[nombre_actividad],Grafico!E$1),NA())</f>
        <v>147.54799999999986</v>
      </c>
      <c r="F289" s="110">
        <f ca="1">IF(TODAY()&gt;=$A289,SUMIFS(Tabla1[Avance_km],Tabla1[Fecha],"&lt;="&amp;Grafico!$A289,Tabla1[nombre_actividad],Grafico!F$1,Tabla1[Avance_km],"&gt;0"),NA())</f>
        <v>148.70000000000007</v>
      </c>
      <c r="G289" s="67">
        <f ca="1">IF(TODAY()&gt;=$A289,SUMIFS(Tabla1[Avance_Med],Tabla1[Fecha],"&lt;="&amp;Grafico!$A289,Tabla1[nombre_actividad],Grafico!G$1),NA())</f>
        <v>376</v>
      </c>
      <c r="H289" s="63">
        <f ca="1">IF(TODAY()&gt;=$A289,SUMIFS(Tabla1[Avance_km],Tabla1[Fecha],"&lt;="&amp;Grafico!$A289,Tabla1[nombre_actividad],Grafico!H$1),NA())</f>
        <v>0</v>
      </c>
      <c r="I289" s="63"/>
    </row>
    <row r="290" spans="1:9" x14ac:dyDescent="0.25">
      <c r="A290" s="62">
        <f t="shared" si="10"/>
        <v>46251</v>
      </c>
      <c r="B290" s="33" t="str">
        <f t="shared" ca="1" si="9"/>
        <v/>
      </c>
      <c r="C290" s="33"/>
      <c r="D290" s="63">
        <f ca="1">IF(TODAY()&gt;=$A290,SUMIFS(Tabla1[Avance_km],Tabla1[Fecha],"&lt;="&amp;Grafico!$A290,Tabla1[nombre_actividad],Grafico!D$1),NA())</f>
        <v>152.34199999999996</v>
      </c>
      <c r="E290" s="63">
        <f ca="1">IF(TODAY()&gt;=$A290,SUMIFS(Tabla1[Avance_km],Tabla1[Fecha],"&lt;="&amp;Grafico!$A290,Tabla1[nombre_actividad],Grafico!E$1),NA())</f>
        <v>147.54799999999986</v>
      </c>
      <c r="F290" s="110">
        <f ca="1">IF(TODAY()&gt;=$A290,SUMIFS(Tabla1[Avance_km],Tabla1[Fecha],"&lt;="&amp;Grafico!$A290,Tabla1[nombre_actividad],Grafico!F$1,Tabla1[Avance_km],"&gt;0"),NA())</f>
        <v>148.70000000000007</v>
      </c>
      <c r="G290" s="67">
        <f ca="1">IF(TODAY()&gt;=$A290,SUMIFS(Tabla1[Avance_Med],Tabla1[Fecha],"&lt;="&amp;Grafico!$A290,Tabla1[nombre_actividad],Grafico!G$1),NA())</f>
        <v>376</v>
      </c>
      <c r="H290" s="63">
        <f ca="1">IF(TODAY()&gt;=$A290,SUMIFS(Tabla1[Avance_km],Tabla1[Fecha],"&lt;="&amp;Grafico!$A290,Tabla1[nombre_actividad],Grafico!H$1),NA())</f>
        <v>0</v>
      </c>
      <c r="I290" s="63"/>
    </row>
    <row r="291" spans="1:9" x14ac:dyDescent="0.25">
      <c r="A291" s="62">
        <f t="shared" si="10"/>
        <v>46252</v>
      </c>
      <c r="B291" s="33" t="str">
        <f t="shared" ca="1" si="9"/>
        <v/>
      </c>
      <c r="C291" s="33"/>
      <c r="D291" s="63">
        <f ca="1">IF(TODAY()&gt;=$A291,SUMIFS(Tabla1[Avance_km],Tabla1[Fecha],"&lt;="&amp;Grafico!$A291,Tabla1[nombre_actividad],Grafico!D$1),NA())</f>
        <v>152.34199999999996</v>
      </c>
      <c r="E291" s="63">
        <f ca="1">IF(TODAY()&gt;=$A291,SUMIFS(Tabla1[Avance_km],Tabla1[Fecha],"&lt;="&amp;Grafico!$A291,Tabla1[nombre_actividad],Grafico!E$1),NA())</f>
        <v>150.52899999999985</v>
      </c>
      <c r="F291" s="110">
        <f ca="1">IF(TODAY()&gt;=$A291,SUMIFS(Tabla1[Avance_km],Tabla1[Fecha],"&lt;="&amp;Grafico!$A291,Tabla1[nombre_actividad],Grafico!F$1,Tabla1[Avance_km],"&gt;0"),NA())</f>
        <v>148.70000000000007</v>
      </c>
      <c r="G291" s="67">
        <f ca="1">IF(TODAY()&gt;=$A291,SUMIFS(Tabla1[Avance_Med],Tabla1[Fecha],"&lt;="&amp;Grafico!$A291,Tabla1[nombre_actividad],Grafico!G$1),NA())</f>
        <v>376</v>
      </c>
      <c r="H291" s="63">
        <f ca="1">IF(TODAY()&gt;=$A291,SUMIFS(Tabla1[Avance_km],Tabla1[Fecha],"&lt;="&amp;Grafico!$A291,Tabla1[nombre_actividad],Grafico!H$1),NA())</f>
        <v>0</v>
      </c>
      <c r="I291" s="63"/>
    </row>
    <row r="292" spans="1:9" x14ac:dyDescent="0.25">
      <c r="A292" s="62">
        <f t="shared" si="10"/>
        <v>46253</v>
      </c>
      <c r="B292" s="33" t="str">
        <f t="shared" ca="1" si="9"/>
        <v/>
      </c>
      <c r="C292" s="33"/>
      <c r="D292" s="63">
        <f ca="1">IF(TODAY()&gt;=$A292,SUMIFS(Tabla1[Avance_km],Tabla1[Fecha],"&lt;="&amp;Grafico!$A292,Tabla1[nombre_actividad],Grafico!D$1),NA())</f>
        <v>154.97199999999998</v>
      </c>
      <c r="E292" s="63">
        <f ca="1">IF(TODAY()&gt;=$A292,SUMIFS(Tabla1[Avance_km],Tabla1[Fecha],"&lt;="&amp;Grafico!$A292,Tabla1[nombre_actividad],Grafico!E$1),NA())</f>
        <v>150.52899999999985</v>
      </c>
      <c r="F292" s="110">
        <f ca="1">IF(TODAY()&gt;=$A292,SUMIFS(Tabla1[Avance_km],Tabla1[Fecha],"&lt;="&amp;Grafico!$A292,Tabla1[nombre_actividad],Grafico!F$1,Tabla1[Avance_km],"&gt;0"),NA())</f>
        <v>148.70000000000007</v>
      </c>
      <c r="G292" s="67">
        <f ca="1">IF(TODAY()&gt;=$A292,SUMIFS(Tabla1[Avance_Med],Tabla1[Fecha],"&lt;="&amp;Grafico!$A292,Tabla1[nombre_actividad],Grafico!G$1),NA())</f>
        <v>376</v>
      </c>
      <c r="H292" s="63">
        <f ca="1">IF(TODAY()&gt;=$A292,SUMIFS(Tabla1[Avance_km],Tabla1[Fecha],"&lt;="&amp;Grafico!$A292,Tabla1[nombre_actividad],Grafico!H$1),NA())</f>
        <v>0</v>
      </c>
      <c r="I292" s="63"/>
    </row>
    <row r="293" spans="1:9" x14ac:dyDescent="0.25">
      <c r="A293" s="62">
        <f t="shared" si="10"/>
        <v>46254</v>
      </c>
      <c r="B293" s="33" t="str">
        <f t="shared" ca="1" si="9"/>
        <v/>
      </c>
      <c r="C293" s="33"/>
      <c r="D293" s="63">
        <f ca="1">IF(TODAY()&gt;=$A293,SUMIFS(Tabla1[Avance_km],Tabla1[Fecha],"&lt;="&amp;Grafico!$A293,Tabla1[nombre_actividad],Grafico!D$1),NA())</f>
        <v>154.97199999999998</v>
      </c>
      <c r="E293" s="63">
        <f ca="1">IF(TODAY()&gt;=$A293,SUMIFS(Tabla1[Avance_km],Tabla1[Fecha],"&lt;="&amp;Grafico!$A293,Tabla1[nombre_actividad],Grafico!E$1),NA())</f>
        <v>152.48699999999985</v>
      </c>
      <c r="F293" s="110">
        <f ca="1">IF(TODAY()&gt;=$A293,SUMIFS(Tabla1[Avance_km],Tabla1[Fecha],"&lt;="&amp;Grafico!$A293,Tabla1[nombre_actividad],Grafico!F$1,Tabla1[Avance_km],"&gt;0"),NA())</f>
        <v>148.70000000000007</v>
      </c>
      <c r="G293" s="67">
        <f ca="1">IF(TODAY()&gt;=$A293,SUMIFS(Tabla1[Avance_Med],Tabla1[Fecha],"&lt;="&amp;Grafico!$A293,Tabla1[nombre_actividad],Grafico!G$1),NA())</f>
        <v>376</v>
      </c>
      <c r="H293" s="63">
        <f ca="1">IF(TODAY()&gt;=$A293,SUMIFS(Tabla1[Avance_km],Tabla1[Fecha],"&lt;="&amp;Grafico!$A293,Tabla1[nombre_actividad],Grafico!H$1),NA())</f>
        <v>0</v>
      </c>
      <c r="I293" s="63"/>
    </row>
    <row r="294" spans="1:9" x14ac:dyDescent="0.25">
      <c r="A294" s="62">
        <f t="shared" si="10"/>
        <v>46255</v>
      </c>
      <c r="B294" s="33" t="str">
        <f t="shared" ca="1" si="9"/>
        <v/>
      </c>
      <c r="C294" s="33"/>
      <c r="D294" s="63">
        <f ca="1">IF(TODAY()&gt;=$A294,SUMIFS(Tabla1[Avance_km],Tabla1[Fecha],"&lt;="&amp;Grafico!$A294,Tabla1[nombre_actividad],Grafico!D$1),NA())</f>
        <v>155.58199999999999</v>
      </c>
      <c r="E294" s="63">
        <f ca="1">IF(TODAY()&gt;=$A294,SUMIFS(Tabla1[Avance_km],Tabla1[Fecha],"&lt;="&amp;Grafico!$A294,Tabla1[nombre_actividad],Grafico!E$1),NA())</f>
        <v>155.08799999999985</v>
      </c>
      <c r="F294" s="110">
        <f ca="1">IF(TODAY()&gt;=$A294,SUMIFS(Tabla1[Avance_km],Tabla1[Fecha],"&lt;="&amp;Grafico!$A294,Tabla1[nombre_actividad],Grafico!F$1,Tabla1[Avance_km],"&gt;0"),NA())</f>
        <v>148.70000000000007</v>
      </c>
      <c r="G294" s="67">
        <f ca="1">IF(TODAY()&gt;=$A294,SUMIFS(Tabla1[Avance_Med],Tabla1[Fecha],"&lt;="&amp;Grafico!$A294,Tabla1[nombre_actividad],Grafico!G$1),NA())</f>
        <v>376</v>
      </c>
      <c r="H294" s="63">
        <f ca="1">IF(TODAY()&gt;=$A294,SUMIFS(Tabla1[Avance_km],Tabla1[Fecha],"&lt;="&amp;Grafico!$A294,Tabla1[nombre_actividad],Grafico!H$1),NA())</f>
        <v>0</v>
      </c>
      <c r="I294" s="63"/>
    </row>
    <row r="295" spans="1:9" x14ac:dyDescent="0.25">
      <c r="A295" s="62">
        <f t="shared" si="10"/>
        <v>46256</v>
      </c>
      <c r="B295" s="33" t="str">
        <f t="shared" ca="1" si="9"/>
        <v/>
      </c>
      <c r="C295" s="33"/>
      <c r="D295" s="63">
        <f ca="1">IF(TODAY()&gt;=$A295,SUMIFS(Tabla1[Avance_km],Tabla1[Fecha],"&lt;="&amp;Grafico!$A295,Tabla1[nombre_actividad],Grafico!D$1),NA())</f>
        <v>156.43199999999999</v>
      </c>
      <c r="E295" s="63">
        <f ca="1">IF(TODAY()&gt;=$A295,SUMIFS(Tabla1[Avance_km],Tabla1[Fecha],"&lt;="&amp;Grafico!$A295,Tabla1[nombre_actividad],Grafico!E$1),NA())</f>
        <v>155.08799999999985</v>
      </c>
      <c r="F295" s="110">
        <f ca="1">IF(TODAY()&gt;=$A295,SUMIFS(Tabla1[Avance_km],Tabla1[Fecha],"&lt;="&amp;Grafico!$A295,Tabla1[nombre_actividad],Grafico!F$1,Tabla1[Avance_km],"&gt;0"),NA())</f>
        <v>148.70000000000007</v>
      </c>
      <c r="G295" s="67">
        <f ca="1">IF(TODAY()&gt;=$A295,SUMIFS(Tabla1[Avance_Med],Tabla1[Fecha],"&lt;="&amp;Grafico!$A295,Tabla1[nombre_actividad],Grafico!G$1),NA())</f>
        <v>376</v>
      </c>
      <c r="H295" s="63">
        <f ca="1">IF(TODAY()&gt;=$A295,SUMIFS(Tabla1[Avance_km],Tabla1[Fecha],"&lt;="&amp;Grafico!$A295,Tabla1[nombre_actividad],Grafico!H$1),NA())</f>
        <v>0</v>
      </c>
      <c r="I295" s="63"/>
    </row>
    <row r="296" spans="1:9" x14ac:dyDescent="0.25">
      <c r="A296" s="62">
        <f t="shared" si="10"/>
        <v>46257</v>
      </c>
      <c r="B296" s="33" t="str">
        <f t="shared" ca="1" si="9"/>
        <v/>
      </c>
      <c r="C296" s="33"/>
      <c r="D296" s="63">
        <f ca="1">IF(TODAY()&gt;=$A296,SUMIFS(Tabla1[Avance_km],Tabla1[Fecha],"&lt;="&amp;Grafico!$A296,Tabla1[nombre_actividad],Grafico!D$1),NA())</f>
        <v>156.43199999999999</v>
      </c>
      <c r="E296" s="63">
        <f ca="1">IF(TODAY()&gt;=$A296,SUMIFS(Tabla1[Avance_km],Tabla1[Fecha],"&lt;="&amp;Grafico!$A296,Tabla1[nombre_actividad],Grafico!E$1),NA())</f>
        <v>155.08799999999985</v>
      </c>
      <c r="F296" s="110">
        <f ca="1">IF(TODAY()&gt;=$A296,SUMIFS(Tabla1[Avance_km],Tabla1[Fecha],"&lt;="&amp;Grafico!$A296,Tabla1[nombre_actividad],Grafico!F$1,Tabla1[Avance_km],"&gt;0"),NA())</f>
        <v>148.70000000000007</v>
      </c>
      <c r="G296" s="67">
        <f ca="1">IF(TODAY()&gt;=$A296,SUMIFS(Tabla1[Avance_Med],Tabla1[Fecha],"&lt;="&amp;Grafico!$A296,Tabla1[nombre_actividad],Grafico!G$1),NA())</f>
        <v>376</v>
      </c>
      <c r="H296" s="63">
        <f ca="1">IF(TODAY()&gt;=$A296,SUMIFS(Tabla1[Avance_km],Tabla1[Fecha],"&lt;="&amp;Grafico!$A296,Tabla1[nombre_actividad],Grafico!H$1),NA())</f>
        <v>0</v>
      </c>
      <c r="I296" s="63"/>
    </row>
    <row r="297" spans="1:9" x14ac:dyDescent="0.25">
      <c r="A297" s="62">
        <f t="shared" si="10"/>
        <v>46258</v>
      </c>
      <c r="B297" s="33" t="str">
        <f t="shared" ca="1" si="9"/>
        <v/>
      </c>
      <c r="C297" s="33"/>
      <c r="D297" s="63">
        <f ca="1">IF(TODAY()&gt;=$A297,SUMIFS(Tabla1[Avance_km],Tabla1[Fecha],"&lt;="&amp;Grafico!$A297,Tabla1[nombre_actividad],Grafico!D$1),NA())</f>
        <v>158.042</v>
      </c>
      <c r="E297" s="63">
        <f ca="1">IF(TODAY()&gt;=$A297,SUMIFS(Tabla1[Avance_km],Tabla1[Fecha],"&lt;="&amp;Grafico!$A297,Tabla1[nombre_actividad],Grafico!E$1),NA())</f>
        <v>155.08799999999985</v>
      </c>
      <c r="F297" s="110">
        <f ca="1">IF(TODAY()&gt;=$A297,SUMIFS(Tabla1[Avance_km],Tabla1[Fecha],"&lt;="&amp;Grafico!$A297,Tabla1[nombre_actividad],Grafico!F$1,Tabla1[Avance_km],"&gt;0"),NA())</f>
        <v>148.70000000000007</v>
      </c>
      <c r="G297" s="67">
        <f ca="1">IF(TODAY()&gt;=$A297,SUMIFS(Tabla1[Avance_Med],Tabla1[Fecha],"&lt;="&amp;Grafico!$A297,Tabla1[nombre_actividad],Grafico!G$1),NA())</f>
        <v>376</v>
      </c>
      <c r="H297" s="63">
        <f ca="1">IF(TODAY()&gt;=$A297,SUMIFS(Tabla1[Avance_km],Tabla1[Fecha],"&lt;="&amp;Grafico!$A297,Tabla1[nombre_actividad],Grafico!H$1),NA())</f>
        <v>0</v>
      </c>
      <c r="I297" s="63">
        <f ca="1">IF(TODAY()&gt;=$A297,SUMIFS(Tabla1[Avance_km],Tabla1[Fecha],"&lt;="&amp;Grafico!$A297,Tabla1[nombre_actividad],Grafico!I$1),NA())</f>
        <v>0</v>
      </c>
    </row>
    <row r="298" spans="1:9" x14ac:dyDescent="0.25">
      <c r="A298" s="62">
        <f t="shared" si="10"/>
        <v>46259</v>
      </c>
      <c r="B298" s="33" t="str">
        <f t="shared" ca="1" si="9"/>
        <v/>
      </c>
      <c r="C298" s="33"/>
      <c r="D298" s="63">
        <f ca="1">IF(TODAY()&gt;=$A298,SUMIFS(Tabla1[Avance_km],Tabla1[Fecha],"&lt;="&amp;Grafico!$A298,Tabla1[nombre_actividad],Grafico!D$1),NA())</f>
        <v>158.042</v>
      </c>
      <c r="E298" s="63">
        <f ca="1">IF(TODAY()&gt;=$A298,SUMIFS(Tabla1[Avance_km],Tabla1[Fecha],"&lt;="&amp;Grafico!$A298,Tabla1[nombre_actividad],Grafico!E$1),NA())</f>
        <v>155.08799999999985</v>
      </c>
      <c r="F298" s="110">
        <f ca="1">IF(TODAY()&gt;=$A298,SUMIFS(Tabla1[Avance_km],Tabla1[Fecha],"&lt;="&amp;Grafico!$A298,Tabla1[nombre_actividad],Grafico!F$1,Tabla1[Avance_km],"&gt;0"),NA())</f>
        <v>148.70000000000007</v>
      </c>
      <c r="G298" s="67">
        <f ca="1">IF(TODAY()&gt;=$A298,SUMIFS(Tabla1[Avance_Med],Tabla1[Fecha],"&lt;="&amp;Grafico!$A298,Tabla1[nombre_actividad],Grafico!G$1),NA())</f>
        <v>376</v>
      </c>
      <c r="H298" s="63">
        <f ca="1">IF(TODAY()&gt;=$A298,SUMIFS(Tabla1[Avance_km],Tabla1[Fecha],"&lt;="&amp;Grafico!$A298,Tabla1[nombre_actividad],Grafico!H$1),NA())</f>
        <v>0</v>
      </c>
      <c r="I298" s="63">
        <f ca="1">IF(TODAY()&gt;=$A298,SUMIFS(Tabla1[Avance_km],Tabla1[Fecha],"&lt;="&amp;Grafico!$A298,Tabla1[nombre_actividad],Grafico!I$1),NA())</f>
        <v>10.475526931400351</v>
      </c>
    </row>
    <row r="299" spans="1:9" x14ac:dyDescent="0.25">
      <c r="A299" s="62">
        <f t="shared" si="10"/>
        <v>46260</v>
      </c>
      <c r="B299" s="33" t="str">
        <f t="shared" ca="1" si="9"/>
        <v/>
      </c>
      <c r="C299" s="33"/>
      <c r="D299" s="63">
        <f ca="1">IF(TODAY()&gt;=$A299,SUMIFS(Tabla1[Avance_km],Tabla1[Fecha],"&lt;="&amp;Grafico!$A299,Tabla1[nombre_actividad],Grafico!D$1),NA())</f>
        <v>158.042</v>
      </c>
      <c r="E299" s="63">
        <f ca="1">IF(TODAY()&gt;=$A299,SUMIFS(Tabla1[Avance_km],Tabla1[Fecha],"&lt;="&amp;Grafico!$A299,Tabla1[nombre_actividad],Grafico!E$1),NA())</f>
        <v>155.08799999999985</v>
      </c>
      <c r="F299" s="110">
        <f ca="1">IF(TODAY()&gt;=$A299,SUMIFS(Tabla1[Avance_km],Tabla1[Fecha],"&lt;="&amp;Grafico!$A299,Tabla1[nombre_actividad],Grafico!F$1,Tabla1[Avance_km],"&gt;0"),NA())</f>
        <v>148.70000000000007</v>
      </c>
      <c r="G299" s="67">
        <f ca="1">IF(TODAY()&gt;=$A299,SUMIFS(Tabla1[Avance_Med],Tabla1[Fecha],"&lt;="&amp;Grafico!$A299,Tabla1[nombre_actividad],Grafico!G$1),NA())</f>
        <v>376</v>
      </c>
      <c r="H299" s="63">
        <f ca="1">IF(TODAY()&gt;=$A299,SUMIFS(Tabla1[Avance_km],Tabla1[Fecha],"&lt;="&amp;Grafico!$A299,Tabla1[nombre_actividad],Grafico!H$1),NA())</f>
        <v>0</v>
      </c>
      <c r="I299" s="63">
        <f ca="1">IF(TODAY()&gt;=$A299,SUMIFS(Tabla1[Avance_km],Tabla1[Fecha],"&lt;="&amp;Grafico!$A299,Tabla1[nombre_actividad],Grafico!I$1),NA())</f>
        <v>17.040190475077903</v>
      </c>
    </row>
    <row r="300" spans="1:9" x14ac:dyDescent="0.25">
      <c r="A300" s="62">
        <f t="shared" si="10"/>
        <v>46261</v>
      </c>
      <c r="B300" s="33" t="str">
        <f t="shared" ca="1" si="9"/>
        <v/>
      </c>
      <c r="C300" s="33"/>
      <c r="D300" s="63">
        <f ca="1">IF(TODAY()&gt;=$A300,SUMIFS(Tabla1[Avance_km],Tabla1[Fecha],"&lt;="&amp;Grafico!$A300,Tabla1[nombre_actividad],Grafico!D$1),NA())</f>
        <v>158.042</v>
      </c>
      <c r="E300" s="63">
        <f ca="1">IF(TODAY()&gt;=$A300,SUMIFS(Tabla1[Avance_km],Tabla1[Fecha],"&lt;="&amp;Grafico!$A300,Tabla1[nombre_actividad],Grafico!E$1),NA())</f>
        <v>155.08799999999985</v>
      </c>
      <c r="F300" s="110">
        <f ca="1">IF(TODAY()&gt;=$A300,SUMIFS(Tabla1[Avance_km],Tabla1[Fecha],"&lt;="&amp;Grafico!$A300,Tabla1[nombre_actividad],Grafico!F$1,Tabla1[Avance_km],"&gt;0"),NA())</f>
        <v>148.70000000000007</v>
      </c>
      <c r="G300" s="67">
        <f ca="1">IF(TODAY()&gt;=$A300,SUMIFS(Tabla1[Avance_Med],Tabla1[Fecha],"&lt;="&amp;Grafico!$A300,Tabla1[nombre_actividad],Grafico!G$1),NA())</f>
        <v>376</v>
      </c>
      <c r="H300" s="63">
        <f ca="1">IF(TODAY()&gt;=$A300,SUMIFS(Tabla1[Avance_km],Tabla1[Fecha],"&lt;="&amp;Grafico!$A300,Tabla1[nombre_actividad],Grafico!H$1),NA())</f>
        <v>0</v>
      </c>
      <c r="I300" s="63">
        <f ca="1">IF(TODAY()&gt;=$A300,SUMIFS(Tabla1[Avance_km],Tabla1[Fecha],"&lt;="&amp;Grafico!$A300,Tabla1[nombre_actividad],Grafico!I$1),NA())</f>
        <v>21.928769709731398</v>
      </c>
    </row>
    <row r="301" spans="1:9" x14ac:dyDescent="0.25">
      <c r="A301" s="62">
        <f t="shared" si="10"/>
        <v>46262</v>
      </c>
      <c r="B301" s="33" t="str">
        <f t="shared" ca="1" si="9"/>
        <v/>
      </c>
      <c r="C301" s="33"/>
      <c r="D301" s="63">
        <f ca="1">IF(TODAY()&gt;=$A301,SUMIFS(Tabla1[Avance_km],Tabla1[Fecha],"&lt;="&amp;Grafico!$A301,Tabla1[nombre_actividad],Grafico!D$1),NA())</f>
        <v>159.39099999999999</v>
      </c>
      <c r="E301" s="63">
        <f ca="1">IF(TODAY()&gt;=$A301,SUMIFS(Tabla1[Avance_km],Tabla1[Fecha],"&lt;="&amp;Grafico!$A301,Tabla1[nombre_actividad],Grafico!E$1),NA())</f>
        <v>155.08799999999985</v>
      </c>
      <c r="F301" s="110">
        <f ca="1">IF(TODAY()&gt;=$A301,SUMIFS(Tabla1[Avance_km],Tabla1[Fecha],"&lt;="&amp;Grafico!$A301,Tabla1[nombre_actividad],Grafico!F$1,Tabla1[Avance_km],"&gt;0"),NA())</f>
        <v>148.70000000000007</v>
      </c>
      <c r="G301" s="67">
        <f ca="1">IF(TODAY()&gt;=$A301,SUMIFS(Tabla1[Avance_Med],Tabla1[Fecha],"&lt;="&amp;Grafico!$A301,Tabla1[nombre_actividad],Grafico!G$1),NA())</f>
        <v>376</v>
      </c>
      <c r="H301" s="63">
        <f ca="1">IF(TODAY()&gt;=$A301,SUMIFS(Tabla1[Avance_km],Tabla1[Fecha],"&lt;="&amp;Grafico!$A301,Tabla1[nombre_actividad],Grafico!H$1),NA())</f>
        <v>0</v>
      </c>
      <c r="I301" s="63">
        <f ca="1">IF(TODAY()&gt;=$A301,SUMIFS(Tabla1[Avance_km],Tabla1[Fecha],"&lt;="&amp;Grafico!$A301,Tabla1[nombre_actividad],Grafico!I$1),NA())</f>
        <v>21.928769709731398</v>
      </c>
    </row>
    <row r="302" spans="1:9" x14ac:dyDescent="0.25">
      <c r="A302" s="62">
        <f t="shared" si="10"/>
        <v>46263</v>
      </c>
      <c r="B302" s="33" t="str">
        <f t="shared" ca="1" si="9"/>
        <v/>
      </c>
      <c r="C302" s="33"/>
      <c r="D302" s="63">
        <f ca="1">IF(TODAY()&gt;=$A302,SUMIFS(Tabla1[Avance_km],Tabla1[Fecha],"&lt;="&amp;Grafico!$A302,Tabla1[nombre_actividad],Grafico!D$1),NA())</f>
        <v>159.39099999999999</v>
      </c>
      <c r="E302" s="63">
        <f ca="1">IF(TODAY()&gt;=$A302,SUMIFS(Tabla1[Avance_km],Tabla1[Fecha],"&lt;="&amp;Grafico!$A302,Tabla1[nombre_actividad],Grafico!E$1),NA())</f>
        <v>155.08799999999985</v>
      </c>
      <c r="F302" s="110">
        <f ca="1">IF(TODAY()&gt;=$A302,SUMIFS(Tabla1[Avance_km],Tabla1[Fecha],"&lt;="&amp;Grafico!$A302,Tabla1[nombre_actividad],Grafico!F$1,Tabla1[Avance_km],"&gt;0"),NA())</f>
        <v>148.70000000000007</v>
      </c>
      <c r="G302" s="67">
        <f ca="1">IF(TODAY()&gt;=$A302,SUMIFS(Tabla1[Avance_Med],Tabla1[Fecha],"&lt;="&amp;Grafico!$A302,Tabla1[nombre_actividad],Grafico!G$1),NA())</f>
        <v>376</v>
      </c>
      <c r="H302" s="63">
        <f ca="1">IF(TODAY()&gt;=$A302,SUMIFS(Tabla1[Avance_km],Tabla1[Fecha],"&lt;="&amp;Grafico!$A302,Tabla1[nombre_actividad],Grafico!H$1),NA())</f>
        <v>0</v>
      </c>
      <c r="I302" s="63">
        <f ca="1">IF(TODAY()&gt;=$A302,SUMIFS(Tabla1[Avance_km],Tabla1[Fecha],"&lt;="&amp;Grafico!$A302,Tabla1[nombre_actividad],Grafico!I$1),NA())</f>
        <v>21.928769709731398</v>
      </c>
    </row>
    <row r="303" spans="1:9" x14ac:dyDescent="0.25">
      <c r="A303" s="62">
        <f t="shared" si="10"/>
        <v>46264</v>
      </c>
      <c r="B303" s="33" t="str">
        <f t="shared" ca="1" si="9"/>
        <v/>
      </c>
      <c r="C303" s="33"/>
      <c r="D303" s="63">
        <f ca="1">IF(TODAY()&gt;=$A303,SUMIFS(Tabla1[Avance_km],Tabla1[Fecha],"&lt;="&amp;Grafico!$A303,Tabla1[nombre_actividad],Grafico!D$1),NA())</f>
        <v>159.39099999999999</v>
      </c>
      <c r="E303" s="63">
        <f ca="1">IF(TODAY()&gt;=$A303,SUMIFS(Tabla1[Avance_km],Tabla1[Fecha],"&lt;="&amp;Grafico!$A303,Tabla1[nombre_actividad],Grafico!E$1),NA())</f>
        <v>155.08799999999985</v>
      </c>
      <c r="F303" s="110">
        <f ca="1">IF(TODAY()&gt;=$A303,SUMIFS(Tabla1[Avance_km],Tabla1[Fecha],"&lt;="&amp;Grafico!$A303,Tabla1[nombre_actividad],Grafico!F$1,Tabla1[Avance_km],"&gt;0"),NA())</f>
        <v>148.70000000000007</v>
      </c>
      <c r="G303" s="67">
        <f ca="1">IF(TODAY()&gt;=$A303,SUMIFS(Tabla1[Avance_Med],Tabla1[Fecha],"&lt;="&amp;Grafico!$A303,Tabla1[nombre_actividad],Grafico!G$1),NA())</f>
        <v>376</v>
      </c>
      <c r="H303" s="63">
        <f ca="1">IF(TODAY()&gt;=$A303,SUMIFS(Tabla1[Avance_km],Tabla1[Fecha],"&lt;="&amp;Grafico!$A303,Tabla1[nombre_actividad],Grafico!H$1),NA())</f>
        <v>0</v>
      </c>
      <c r="I303" s="63">
        <f ca="1">IF(TODAY()&gt;=$A303,SUMIFS(Tabla1[Avance_km],Tabla1[Fecha],"&lt;="&amp;Grafico!$A303,Tabla1[nombre_actividad],Grafico!I$1),NA())</f>
        <v>21.928769709731398</v>
      </c>
    </row>
    <row r="304" spans="1:9" x14ac:dyDescent="0.25">
      <c r="A304" s="62">
        <f t="shared" si="10"/>
        <v>46265</v>
      </c>
      <c r="B304" s="33" t="str">
        <f t="shared" ca="1" si="9"/>
        <v/>
      </c>
      <c r="C304" s="33"/>
      <c r="D304" s="63">
        <f ca="1">IF(TODAY()&gt;=$A304,SUMIFS(Tabla1[Avance_km],Tabla1[Fecha],"&lt;="&amp;Grafico!$A304,Tabla1[nombre_actividad],Grafico!D$1),NA())</f>
        <v>160.191</v>
      </c>
      <c r="E304" s="63">
        <f ca="1">IF(TODAY()&gt;=$A304,SUMIFS(Tabla1[Avance_km],Tabla1[Fecha],"&lt;="&amp;Grafico!$A304,Tabla1[nombre_actividad],Grafico!E$1),NA())</f>
        <v>155.08799999999985</v>
      </c>
      <c r="F304" s="110">
        <f ca="1">IF(TODAY()&gt;=$A304,SUMIFS(Tabla1[Avance_km],Tabla1[Fecha],"&lt;="&amp;Grafico!$A304,Tabla1[nombre_actividad],Grafico!F$1,Tabla1[Avance_km],"&gt;0"),NA())</f>
        <v>148.70000000000007</v>
      </c>
      <c r="G304" s="67">
        <f ca="1">IF(TODAY()&gt;=$A304,SUMIFS(Tabla1[Avance_Med],Tabla1[Fecha],"&lt;="&amp;Grafico!$A304,Tabla1[nombre_actividad],Grafico!G$1),NA())</f>
        <v>376</v>
      </c>
      <c r="H304" s="63">
        <f ca="1">IF(TODAY()&gt;=$A304,SUMIFS(Tabla1[Avance_km],Tabla1[Fecha],"&lt;="&amp;Grafico!$A304,Tabla1[nombre_actividad],Grafico!H$1),NA())</f>
        <v>0</v>
      </c>
      <c r="I304" s="63">
        <f ca="1">IF(TODAY()&gt;=$A304,SUMIFS(Tabla1[Avance_km],Tabla1[Fecha],"&lt;="&amp;Grafico!$A304,Tabla1[nombre_actividad],Grafico!I$1),NA())</f>
        <v>21.928769709731398</v>
      </c>
    </row>
    <row r="305" spans="1:9" x14ac:dyDescent="0.25">
      <c r="A305" s="62">
        <f t="shared" si="10"/>
        <v>46266</v>
      </c>
      <c r="B305" s="33" t="str">
        <f t="shared" ca="1" si="9"/>
        <v/>
      </c>
      <c r="C305" s="33"/>
      <c r="D305" s="63">
        <f ca="1">IF(TODAY()&gt;=$A305,SUMIFS(Tabla1[Avance_km],Tabla1[Fecha],"&lt;="&amp;Grafico!$A305,Tabla1[nombre_actividad],Grafico!D$1),NA())</f>
        <v>164.95599999999999</v>
      </c>
      <c r="E305" s="63">
        <f ca="1">IF(TODAY()&gt;=$A305,SUMIFS(Tabla1[Avance_km],Tabla1[Fecha],"&lt;="&amp;Grafico!$A305,Tabla1[nombre_actividad],Grafico!E$1),NA())</f>
        <v>155.08799999999985</v>
      </c>
      <c r="F305" s="110">
        <f ca="1">IF(TODAY()&gt;=$A305,SUMIFS(Tabla1[Avance_km],Tabla1[Fecha],"&lt;="&amp;Grafico!$A305,Tabla1[nombre_actividad],Grafico!F$1,Tabla1[Avance_km],"&gt;0"),NA())</f>
        <v>148.70000000000007</v>
      </c>
      <c r="G305" s="67">
        <f ca="1">IF(TODAY()&gt;=$A305,SUMIFS(Tabla1[Avance_Med],Tabla1[Fecha],"&lt;="&amp;Grafico!$A305,Tabla1[nombre_actividad],Grafico!G$1),NA())</f>
        <v>376</v>
      </c>
      <c r="H305" s="63">
        <f ca="1">IF(TODAY()&gt;=$A305,SUMIFS(Tabla1[Avance_km],Tabla1[Fecha],"&lt;="&amp;Grafico!$A305,Tabla1[nombre_actividad],Grafico!H$1),NA())</f>
        <v>0</v>
      </c>
      <c r="I305" s="63">
        <f ca="1">IF(TODAY()&gt;=$A305,SUMIFS(Tabla1[Avance_km],Tabla1[Fecha],"&lt;="&amp;Grafico!$A305,Tabla1[nombre_actividad],Grafico!I$1),NA())</f>
        <v>21.928769709731398</v>
      </c>
    </row>
    <row r="306" spans="1:9" x14ac:dyDescent="0.25">
      <c r="A306" s="62">
        <f t="shared" si="10"/>
        <v>46267</v>
      </c>
      <c r="B306" s="33" t="str">
        <f t="shared" ca="1" si="9"/>
        <v/>
      </c>
      <c r="C306" s="33"/>
      <c r="D306" s="63">
        <f ca="1">IF(TODAY()&gt;=$A306,SUMIFS(Tabla1[Avance_km],Tabla1[Fecha],"&lt;="&amp;Grafico!$A306,Tabla1[nombre_actividad],Grafico!D$1),NA())</f>
        <v>164.95599999999999</v>
      </c>
      <c r="E306" s="63">
        <f ca="1">IF(TODAY()&gt;=$A306,SUMIFS(Tabla1[Avance_km],Tabla1[Fecha],"&lt;="&amp;Grafico!$A306,Tabla1[nombre_actividad],Grafico!E$1),NA())</f>
        <v>156.88799999999986</v>
      </c>
      <c r="F306" s="110">
        <f ca="1">IF(TODAY()&gt;=$A306,SUMIFS(Tabla1[Avance_km],Tabla1[Fecha],"&lt;="&amp;Grafico!$A306,Tabla1[nombre_actividad],Grafico!F$1,Tabla1[Avance_km],"&gt;0"),NA())</f>
        <v>148.70000000000007</v>
      </c>
      <c r="G306" s="67">
        <f ca="1">IF(TODAY()&gt;=$A306,SUMIFS(Tabla1[Avance_Med],Tabla1[Fecha],"&lt;="&amp;Grafico!$A306,Tabla1[nombre_actividad],Grafico!G$1),NA())</f>
        <v>376</v>
      </c>
      <c r="H306" s="63">
        <f ca="1">IF(TODAY()&gt;=$A306,SUMIFS(Tabla1[Avance_km],Tabla1[Fecha],"&lt;="&amp;Grafico!$A306,Tabla1[nombre_actividad],Grafico!H$1),NA())</f>
        <v>0</v>
      </c>
      <c r="I306" s="63">
        <f ca="1">IF(TODAY()&gt;=$A306,SUMIFS(Tabla1[Avance_km],Tabla1[Fecha],"&lt;="&amp;Grafico!$A306,Tabla1[nombre_actividad],Grafico!I$1),NA())</f>
        <v>21.928769709731398</v>
      </c>
    </row>
    <row r="307" spans="1:9" x14ac:dyDescent="0.25">
      <c r="A307" s="62">
        <f t="shared" si="10"/>
        <v>46268</v>
      </c>
      <c r="B307" s="33" t="str">
        <f t="shared" ca="1" si="9"/>
        <v/>
      </c>
      <c r="C307" s="33"/>
      <c r="D307" s="63">
        <f ca="1">IF(TODAY()&gt;=$A307,SUMIFS(Tabla1[Avance_km],Tabla1[Fecha],"&lt;="&amp;Grafico!$A307,Tabla1[nombre_actividad],Grafico!D$1),NA())</f>
        <v>164.95599999999999</v>
      </c>
      <c r="E307" s="63">
        <f ca="1">IF(TODAY()&gt;=$A307,SUMIFS(Tabla1[Avance_km],Tabla1[Fecha],"&lt;="&amp;Grafico!$A307,Tabla1[nombre_actividad],Grafico!E$1),NA())</f>
        <v>158.24099999999987</v>
      </c>
      <c r="F307" s="110">
        <f ca="1">IF(TODAY()&gt;=$A307,SUMIFS(Tabla1[Avance_km],Tabla1[Fecha],"&lt;="&amp;Grafico!$A307,Tabla1[nombre_actividad],Grafico!F$1,Tabla1[Avance_km],"&gt;0"),NA())</f>
        <v>148.70000000000007</v>
      </c>
      <c r="G307" s="67">
        <f ca="1">IF(TODAY()&gt;=$A307,SUMIFS(Tabla1[Avance_Med],Tabla1[Fecha],"&lt;="&amp;Grafico!$A307,Tabla1[nombre_actividad],Grafico!G$1),NA())</f>
        <v>376</v>
      </c>
      <c r="H307" s="63">
        <f ca="1">IF(TODAY()&gt;=$A307,SUMIFS(Tabla1[Avance_km],Tabla1[Fecha],"&lt;="&amp;Grafico!$A307,Tabla1[nombre_actividad],Grafico!H$1),NA())</f>
        <v>0</v>
      </c>
      <c r="I307" s="63">
        <f ca="1">IF(TODAY()&gt;=$A307,SUMIFS(Tabla1[Avance_km],Tabla1[Fecha],"&lt;="&amp;Grafico!$A307,Tabla1[nombre_actividad],Grafico!I$1),NA())</f>
        <v>21.928769709731398</v>
      </c>
    </row>
    <row r="308" spans="1:9" x14ac:dyDescent="0.25">
      <c r="A308" s="62">
        <f t="shared" si="10"/>
        <v>46269</v>
      </c>
      <c r="B308" s="33" t="str">
        <f t="shared" ca="1" si="9"/>
        <v/>
      </c>
      <c r="C308" s="33"/>
      <c r="D308" s="63">
        <f ca="1">IF(TODAY()&gt;=$A308,SUMIFS(Tabla1[Avance_km],Tabla1[Fecha],"&lt;="&amp;Grafico!$A308,Tabla1[nombre_actividad],Grafico!D$1),NA())</f>
        <v>164.95599999999999</v>
      </c>
      <c r="E308" s="63">
        <f ca="1">IF(TODAY()&gt;=$A308,SUMIFS(Tabla1[Avance_km],Tabla1[Fecha],"&lt;="&amp;Grafico!$A308,Tabla1[nombre_actividad],Grafico!E$1),NA())</f>
        <v>158.24099999999987</v>
      </c>
      <c r="F308" s="110">
        <f ca="1">IF(TODAY()&gt;=$A308,SUMIFS(Tabla1[Avance_km],Tabla1[Fecha],"&lt;="&amp;Grafico!$A308,Tabla1[nombre_actividad],Grafico!F$1,Tabla1[Avance_km],"&gt;0"),NA())</f>
        <v>148.70000000000007</v>
      </c>
      <c r="G308" s="67">
        <f ca="1">IF(TODAY()&gt;=$A308,SUMIFS(Tabla1[Avance_Med],Tabla1[Fecha],"&lt;="&amp;Grafico!$A308,Tabla1[nombre_actividad],Grafico!G$1),NA())</f>
        <v>376</v>
      </c>
      <c r="H308" s="63">
        <f ca="1">IF(TODAY()&gt;=$A308,SUMIFS(Tabla1[Avance_km],Tabla1[Fecha],"&lt;="&amp;Grafico!$A308,Tabla1[nombre_actividad],Grafico!H$1),NA())</f>
        <v>0</v>
      </c>
      <c r="I308" s="63">
        <f ca="1">IF(TODAY()&gt;=$A308,SUMIFS(Tabla1[Avance_km],Tabla1[Fecha],"&lt;="&amp;Grafico!$A308,Tabla1[nombre_actividad],Grafico!I$1),NA())</f>
        <v>34.499402027411818</v>
      </c>
    </row>
    <row r="309" spans="1:9" x14ac:dyDescent="0.25">
      <c r="A309" s="62">
        <f t="shared" si="10"/>
        <v>46270</v>
      </c>
      <c r="B309" s="33" t="str">
        <f t="shared" ca="1" si="9"/>
        <v/>
      </c>
      <c r="C309" s="33"/>
      <c r="D309" s="63">
        <f ca="1">IF(TODAY()&gt;=$A309,SUMIFS(Tabla1[Avance_km],Tabla1[Fecha],"&lt;="&amp;Grafico!$A309,Tabla1[nombre_actividad],Grafico!D$1),NA())</f>
        <v>164.95599999999999</v>
      </c>
      <c r="E309" s="63">
        <f ca="1">IF(TODAY()&gt;=$A309,SUMIFS(Tabla1[Avance_km],Tabla1[Fecha],"&lt;="&amp;Grafico!$A309,Tabla1[nombre_actividad],Grafico!E$1),NA())</f>
        <v>158.24099999999987</v>
      </c>
      <c r="F309" s="110">
        <f ca="1">IF(TODAY()&gt;=$A309,SUMIFS(Tabla1[Avance_km],Tabla1[Fecha],"&lt;="&amp;Grafico!$A309,Tabla1[nombre_actividad],Grafico!F$1,Tabla1[Avance_km],"&gt;0"),NA())</f>
        <v>148.70000000000007</v>
      </c>
      <c r="G309" s="67">
        <f ca="1">IF(TODAY()&gt;=$A309,SUMIFS(Tabla1[Avance_Med],Tabla1[Fecha],"&lt;="&amp;Grafico!$A309,Tabla1[nombre_actividad],Grafico!G$1),NA())</f>
        <v>376</v>
      </c>
      <c r="H309" s="63">
        <f ca="1">IF(TODAY()&gt;=$A309,SUMIFS(Tabla1[Avance_km],Tabla1[Fecha],"&lt;="&amp;Grafico!$A309,Tabla1[nombre_actividad],Grafico!H$1),NA())</f>
        <v>0</v>
      </c>
      <c r="I309" s="63">
        <f ca="1">IF(TODAY()&gt;=$A309,SUMIFS(Tabla1[Avance_km],Tabla1[Fecha],"&lt;="&amp;Grafico!$A309,Tabla1[nombre_actividad],Grafico!I$1),NA())</f>
        <v>41.483086648345392</v>
      </c>
    </row>
    <row r="310" spans="1:9" x14ac:dyDescent="0.25">
      <c r="A310" s="62">
        <f t="shared" si="10"/>
        <v>46271</v>
      </c>
      <c r="B310" s="33" t="str">
        <f t="shared" ca="1" si="9"/>
        <v/>
      </c>
      <c r="C310" s="33"/>
      <c r="D310" s="63">
        <f ca="1">IF(TODAY()&gt;=$A310,SUMIFS(Tabla1[Avance_km],Tabla1[Fecha],"&lt;="&amp;Grafico!$A310,Tabla1[nombre_actividad],Grafico!D$1),NA())</f>
        <v>164.95599999999999</v>
      </c>
      <c r="E310" s="63">
        <f ca="1">IF(TODAY()&gt;=$A310,SUMIFS(Tabla1[Avance_km],Tabla1[Fecha],"&lt;="&amp;Grafico!$A310,Tabla1[nombre_actividad],Grafico!E$1),NA())</f>
        <v>158.24099999999987</v>
      </c>
      <c r="F310" s="110">
        <f ca="1">IF(TODAY()&gt;=$A310,SUMIFS(Tabla1[Avance_km],Tabla1[Fecha],"&lt;="&amp;Grafico!$A310,Tabla1[nombre_actividad],Grafico!F$1,Tabla1[Avance_km],"&gt;0"),NA())</f>
        <v>148.70000000000007</v>
      </c>
      <c r="G310" s="67">
        <f ca="1">IF(TODAY()&gt;=$A310,SUMIFS(Tabla1[Avance_Med],Tabla1[Fecha],"&lt;="&amp;Grafico!$A310,Tabla1[nombre_actividad],Grafico!G$1),NA())</f>
        <v>376</v>
      </c>
      <c r="H310" s="63">
        <f ca="1">IF(TODAY()&gt;=$A310,SUMIFS(Tabla1[Avance_km],Tabla1[Fecha],"&lt;="&amp;Grafico!$A310,Tabla1[nombre_actividad],Grafico!H$1),NA())</f>
        <v>0</v>
      </c>
      <c r="I310" s="63">
        <f ca="1">IF(TODAY()&gt;=$A310,SUMIFS(Tabla1[Avance_km],Tabla1[Fecha],"&lt;="&amp;Grafico!$A310,Tabla1[nombre_actividad],Grafico!I$1),NA())</f>
        <v>41.483086648345392</v>
      </c>
    </row>
    <row r="311" spans="1:9" x14ac:dyDescent="0.25">
      <c r="A311" s="62">
        <f t="shared" si="10"/>
        <v>46272</v>
      </c>
      <c r="B311" s="33" t="str">
        <f t="shared" ca="1" si="9"/>
        <v/>
      </c>
      <c r="C311" s="33"/>
      <c r="D311" s="63">
        <f ca="1">IF(TODAY()&gt;=$A311,SUMIFS(Tabla1[Avance_km],Tabla1[Fecha],"&lt;="&amp;Grafico!$A311,Tabla1[nombre_actividad],Grafico!D$1),NA())</f>
        <v>164.95599999999999</v>
      </c>
      <c r="E311" s="63">
        <f ca="1">IF(TODAY()&gt;=$A311,SUMIFS(Tabla1[Avance_km],Tabla1[Fecha],"&lt;="&amp;Grafico!$A311,Tabla1[nombre_actividad],Grafico!E$1),NA())</f>
        <v>158.97299999999987</v>
      </c>
      <c r="F311" s="110">
        <f ca="1">IF(TODAY()&gt;=$A311,SUMIFS(Tabla1[Avance_km],Tabla1[Fecha],"&lt;="&amp;Grafico!$A311,Tabla1[nombre_actividad],Grafico!F$1,Tabla1[Avance_km],"&gt;0"),NA())</f>
        <v>148.70000000000007</v>
      </c>
      <c r="G311" s="67">
        <f ca="1">IF(TODAY()&gt;=$A311,SUMIFS(Tabla1[Avance_Med],Tabla1[Fecha],"&lt;="&amp;Grafico!$A311,Tabla1[nombre_actividad],Grafico!G$1),NA())</f>
        <v>376</v>
      </c>
      <c r="H311" s="63">
        <f ca="1">IF(TODAY()&gt;=$A311,SUMIFS(Tabla1[Avance_km],Tabla1[Fecha],"&lt;="&amp;Grafico!$A311,Tabla1[nombre_actividad],Grafico!H$1),NA())</f>
        <v>0</v>
      </c>
      <c r="I311" s="63">
        <f ca="1">IF(TODAY()&gt;=$A311,SUMIFS(Tabla1[Avance_km],Tabla1[Fecha],"&lt;="&amp;Grafico!$A311,Tabla1[nombre_actividad],Grafico!I$1),NA())</f>
        <v>41.483086648345392</v>
      </c>
    </row>
    <row r="312" spans="1:9" x14ac:dyDescent="0.25">
      <c r="A312" s="62">
        <f t="shared" si="10"/>
        <v>46273</v>
      </c>
      <c r="B312" s="33" t="str">
        <f t="shared" ca="1" si="9"/>
        <v/>
      </c>
      <c r="C312" s="33"/>
      <c r="D312" s="63">
        <f ca="1">IF(TODAY()&gt;=$A312,SUMIFS(Tabla1[Avance_km],Tabla1[Fecha],"&lt;="&amp;Grafico!$A312,Tabla1[nombre_actividad],Grafico!D$1),NA())</f>
        <v>164.95599999999999</v>
      </c>
      <c r="E312" s="63">
        <f ca="1">IF(TODAY()&gt;=$A312,SUMIFS(Tabla1[Avance_km],Tabla1[Fecha],"&lt;="&amp;Grafico!$A312,Tabla1[nombre_actividad],Grafico!E$1),NA())</f>
        <v>160.85399999999987</v>
      </c>
      <c r="F312" s="110">
        <f ca="1">IF(TODAY()&gt;=$A312,SUMIFS(Tabla1[Avance_km],Tabla1[Fecha],"&lt;="&amp;Grafico!$A312,Tabla1[nombre_actividad],Grafico!F$1,Tabla1[Avance_km],"&gt;0"),NA())</f>
        <v>148.70000000000007</v>
      </c>
      <c r="G312" s="67">
        <f ca="1">IF(TODAY()&gt;=$A312,SUMIFS(Tabla1[Avance_Med],Tabla1[Fecha],"&lt;="&amp;Grafico!$A312,Tabla1[nombre_actividad],Grafico!G$1),NA())</f>
        <v>376</v>
      </c>
      <c r="H312" s="63">
        <f ca="1">IF(TODAY()&gt;=$A312,SUMIFS(Tabla1[Avance_km],Tabla1[Fecha],"&lt;="&amp;Grafico!$A312,Tabla1[nombre_actividad],Grafico!H$1),NA())</f>
        <v>0</v>
      </c>
      <c r="I312" s="63">
        <f ca="1">IF(TODAY()&gt;=$A312,SUMIFS(Tabla1[Avance_km],Tabla1[Fecha],"&lt;="&amp;Grafico!$A312,Tabla1[nombre_actividad],Grafico!I$1),NA())</f>
        <v>41.483086648345392</v>
      </c>
    </row>
    <row r="313" spans="1:9" x14ac:dyDescent="0.25">
      <c r="A313" s="62">
        <f t="shared" si="10"/>
        <v>46274</v>
      </c>
      <c r="B313" s="33" t="str">
        <f t="shared" ca="1" si="9"/>
        <v/>
      </c>
      <c r="C313" s="33"/>
      <c r="D313" s="63">
        <f ca="1">IF(TODAY()&gt;=$A313,SUMIFS(Tabla1[Avance_km],Tabla1[Fecha],"&lt;="&amp;Grafico!$A313,Tabla1[nombre_actividad],Grafico!D$1),NA())</f>
        <v>164.95599999999999</v>
      </c>
      <c r="E313" s="63">
        <f ca="1">IF(TODAY()&gt;=$A313,SUMIFS(Tabla1[Avance_km],Tabla1[Fecha],"&lt;="&amp;Grafico!$A313,Tabla1[nombre_actividad],Grafico!E$1),NA())</f>
        <v>161.98699999999988</v>
      </c>
      <c r="F313" s="110">
        <f ca="1">IF(TODAY()&gt;=$A313,SUMIFS(Tabla1[Avance_km],Tabla1[Fecha],"&lt;="&amp;Grafico!$A313,Tabla1[nombre_actividad],Grafico!F$1,Tabla1[Avance_km],"&gt;0"),NA())</f>
        <v>148.70000000000007</v>
      </c>
      <c r="G313" s="67">
        <f ca="1">IF(TODAY()&gt;=$A313,SUMIFS(Tabla1[Avance_Med],Tabla1[Fecha],"&lt;="&amp;Grafico!$A313,Tabla1[nombre_actividad],Grafico!G$1),NA())</f>
        <v>376</v>
      </c>
      <c r="H313" s="63">
        <f ca="1">IF(TODAY()&gt;=$A313,SUMIFS(Tabla1[Avance_km],Tabla1[Fecha],"&lt;="&amp;Grafico!$A313,Tabla1[nombre_actividad],Grafico!H$1),NA())</f>
        <v>0</v>
      </c>
      <c r="I313" s="63">
        <f ca="1">IF(TODAY()&gt;=$A313,SUMIFS(Tabla1[Avance_km],Tabla1[Fecha],"&lt;="&amp;Grafico!$A313,Tabla1[nombre_actividad],Grafico!I$1),NA())</f>
        <v>41.483086648345392</v>
      </c>
    </row>
    <row r="314" spans="1:9" x14ac:dyDescent="0.25">
      <c r="A314" s="62">
        <f t="shared" si="10"/>
        <v>46275</v>
      </c>
      <c r="B314" s="33" t="str">
        <f t="shared" ca="1" si="9"/>
        <v/>
      </c>
      <c r="C314" s="33"/>
      <c r="D314" s="63">
        <f ca="1">IF(TODAY()&gt;=$A314,SUMIFS(Tabla1[Avance_km],Tabla1[Fecha],"&lt;="&amp;Grafico!$A314,Tabla1[nombre_actividad],Grafico!D$1),NA())</f>
        <v>166.30199999999999</v>
      </c>
      <c r="E314" s="63">
        <f ca="1">IF(TODAY()&gt;=$A314,SUMIFS(Tabla1[Avance_km],Tabla1[Fecha],"&lt;="&amp;Grafico!$A314,Tabla1[nombre_actividad],Grafico!E$1),NA())</f>
        <v>161.98699999999988</v>
      </c>
      <c r="F314" s="110">
        <f ca="1">IF(TODAY()&gt;=$A314,SUMIFS(Tabla1[Avance_km],Tabla1[Fecha],"&lt;="&amp;Grafico!$A314,Tabla1[nombre_actividad],Grafico!F$1,Tabla1[Avance_km],"&gt;0"),NA())</f>
        <v>148.70000000000007</v>
      </c>
      <c r="G314" s="67">
        <f ca="1">IF(TODAY()&gt;=$A314,SUMIFS(Tabla1[Avance_Med],Tabla1[Fecha],"&lt;="&amp;Grafico!$A314,Tabla1[nombre_actividad],Grafico!G$1),NA())</f>
        <v>376</v>
      </c>
      <c r="H314" s="63">
        <f ca="1">IF(TODAY()&gt;=$A314,SUMIFS(Tabla1[Avance_km],Tabla1[Fecha],"&lt;="&amp;Grafico!$A314,Tabla1[nombre_actividad],Grafico!H$1),NA())</f>
        <v>0</v>
      </c>
      <c r="I314" s="63">
        <f ca="1">IF(TODAY()&gt;=$A314,SUMIFS(Tabla1[Avance_km],Tabla1[Fecha],"&lt;="&amp;Grafico!$A314,Tabla1[nombre_actividad],Grafico!I$1),NA())</f>
        <v>41.483086648345392</v>
      </c>
    </row>
    <row r="315" spans="1:9" x14ac:dyDescent="0.25">
      <c r="A315" s="62">
        <f t="shared" si="10"/>
        <v>46276</v>
      </c>
      <c r="B315" s="33" t="str">
        <f t="shared" ca="1" si="9"/>
        <v/>
      </c>
      <c r="C315" s="33"/>
      <c r="D315" s="63">
        <f ca="1">IF(TODAY()&gt;=$A315,SUMIFS(Tabla1[Avance_km],Tabla1[Fecha],"&lt;="&amp;Grafico!$A315,Tabla1[nombre_actividad],Grafico!D$1),NA())</f>
        <v>166.30199999999999</v>
      </c>
      <c r="E315" s="63">
        <f ca="1">IF(TODAY()&gt;=$A315,SUMIFS(Tabla1[Avance_km],Tabla1[Fecha],"&lt;="&amp;Grafico!$A315,Tabla1[nombre_actividad],Grafico!E$1),NA())</f>
        <v>163.76899999999989</v>
      </c>
      <c r="F315" s="110">
        <f ca="1">IF(TODAY()&gt;=$A315,SUMIFS(Tabla1[Avance_km],Tabla1[Fecha],"&lt;="&amp;Grafico!$A315,Tabla1[nombre_actividad],Grafico!F$1,Tabla1[Avance_km],"&gt;0"),NA())</f>
        <v>148.70000000000007</v>
      </c>
      <c r="G315" s="67">
        <f ca="1">IF(TODAY()&gt;=$A315,SUMIFS(Tabla1[Avance_Med],Tabla1[Fecha],"&lt;="&amp;Grafico!$A315,Tabla1[nombre_actividad],Grafico!G$1),NA())</f>
        <v>376</v>
      </c>
      <c r="H315" s="63">
        <f ca="1">IF(TODAY()&gt;=$A315,SUMIFS(Tabla1[Avance_km],Tabla1[Fecha],"&lt;="&amp;Grafico!$A315,Tabla1[nombre_actividad],Grafico!H$1),NA())</f>
        <v>0</v>
      </c>
      <c r="I315" s="63">
        <f ca="1">IF(TODAY()&gt;=$A315,SUMIFS(Tabla1[Avance_km],Tabla1[Fecha],"&lt;="&amp;Grafico!$A315,Tabla1[nombre_actividad],Grafico!I$1),NA())</f>
        <v>41.483086648345392</v>
      </c>
    </row>
    <row r="316" spans="1:9" x14ac:dyDescent="0.25">
      <c r="A316" s="62">
        <f t="shared" si="10"/>
        <v>46277</v>
      </c>
      <c r="B316" s="33" t="str">
        <f t="shared" ca="1" si="9"/>
        <v/>
      </c>
      <c r="C316" s="33"/>
      <c r="D316" s="63">
        <f ca="1">IF(TODAY()&gt;=$A316,SUMIFS(Tabla1[Avance_km],Tabla1[Fecha],"&lt;="&amp;Grafico!$A316,Tabla1[nombre_actividad],Grafico!D$1),NA())</f>
        <v>166.30199999999999</v>
      </c>
      <c r="E316" s="63">
        <f ca="1">IF(TODAY()&gt;=$A316,SUMIFS(Tabla1[Avance_km],Tabla1[Fecha],"&lt;="&amp;Grafico!$A316,Tabla1[nombre_actividad],Grafico!E$1),NA())</f>
        <v>165.1149999999999</v>
      </c>
      <c r="F316" s="110">
        <f ca="1">IF(TODAY()&gt;=$A316,SUMIFS(Tabla1[Avance_km],Tabla1[Fecha],"&lt;="&amp;Grafico!$A316,Tabla1[nombre_actividad],Grafico!F$1,Tabla1[Avance_km],"&gt;0"),NA())</f>
        <v>148.70000000000007</v>
      </c>
      <c r="G316" s="67">
        <f ca="1">IF(TODAY()&gt;=$A316,SUMIFS(Tabla1[Avance_Med],Tabla1[Fecha],"&lt;="&amp;Grafico!$A316,Tabla1[nombre_actividad],Grafico!G$1),NA())</f>
        <v>376</v>
      </c>
      <c r="H316" s="63">
        <f ca="1">IF(TODAY()&gt;=$A316,SUMIFS(Tabla1[Avance_km],Tabla1[Fecha],"&lt;="&amp;Grafico!$A316,Tabla1[nombre_actividad],Grafico!H$1),NA())</f>
        <v>0</v>
      </c>
      <c r="I316" s="63">
        <f ca="1">IF(TODAY()&gt;=$A316,SUMIFS(Tabla1[Avance_km],Tabla1[Fecha],"&lt;="&amp;Grafico!$A316,Tabla1[nombre_actividad],Grafico!I$1),NA())</f>
        <v>41.483086648345392</v>
      </c>
    </row>
    <row r="317" spans="1:9" x14ac:dyDescent="0.25">
      <c r="A317" s="62">
        <f t="shared" si="10"/>
        <v>46278</v>
      </c>
      <c r="B317" s="33" t="str">
        <f t="shared" ca="1" si="9"/>
        <v/>
      </c>
      <c r="C317" s="33"/>
      <c r="D317" s="63">
        <f ca="1">IF(TODAY()&gt;=$A317,SUMIFS(Tabla1[Avance_km],Tabla1[Fecha],"&lt;="&amp;Grafico!$A317,Tabla1[nombre_actividad],Grafico!D$1),NA())</f>
        <v>166.30199999999999</v>
      </c>
      <c r="E317" s="63">
        <f ca="1">IF(TODAY()&gt;=$A317,SUMIFS(Tabla1[Avance_km],Tabla1[Fecha],"&lt;="&amp;Grafico!$A317,Tabla1[nombre_actividad],Grafico!E$1),NA())</f>
        <v>165.1149999999999</v>
      </c>
      <c r="F317" s="110">
        <f ca="1">IF(TODAY()&gt;=$A317,SUMIFS(Tabla1[Avance_km],Tabla1[Fecha],"&lt;="&amp;Grafico!$A317,Tabla1[nombre_actividad],Grafico!F$1,Tabla1[Avance_km],"&gt;0"),NA())</f>
        <v>148.70000000000007</v>
      </c>
      <c r="G317" s="67">
        <f ca="1">IF(TODAY()&gt;=$A317,SUMIFS(Tabla1[Avance_Med],Tabla1[Fecha],"&lt;="&amp;Grafico!$A317,Tabla1[nombre_actividad],Grafico!G$1),NA())</f>
        <v>376</v>
      </c>
      <c r="H317" s="63">
        <f ca="1">IF(TODAY()&gt;=$A317,SUMIFS(Tabla1[Avance_km],Tabla1[Fecha],"&lt;="&amp;Grafico!$A317,Tabla1[nombre_actividad],Grafico!H$1),NA())</f>
        <v>0</v>
      </c>
      <c r="I317" s="63">
        <f ca="1">IF(TODAY()&gt;=$A317,SUMIFS(Tabla1[Avance_km],Tabla1[Fecha],"&lt;="&amp;Grafico!$A317,Tabla1[nombre_actividad],Grafico!I$1),NA())</f>
        <v>41.483086648345392</v>
      </c>
    </row>
    <row r="318" spans="1:9" x14ac:dyDescent="0.25">
      <c r="A318" s="62">
        <f t="shared" si="10"/>
        <v>46279</v>
      </c>
      <c r="B318" s="33" t="str">
        <f t="shared" ca="1" si="9"/>
        <v/>
      </c>
      <c r="C318" s="33"/>
      <c r="D318" s="63">
        <f ca="1">IF(TODAY()&gt;=$A318,SUMIFS(Tabla1[Avance_km],Tabla1[Fecha],"&lt;="&amp;Grafico!$A318,Tabla1[nombre_actividad],Grafico!D$1),NA())</f>
        <v>166.30199999999999</v>
      </c>
      <c r="E318" s="63">
        <f ca="1">IF(TODAY()&gt;=$A318,SUMIFS(Tabla1[Avance_km],Tabla1[Fecha],"&lt;="&amp;Grafico!$A318,Tabla1[nombre_actividad],Grafico!E$1),NA())</f>
        <v>165.80799999999991</v>
      </c>
      <c r="F318" s="110">
        <f ca="1">IF(TODAY()&gt;=$A318,SUMIFS(Tabla1[Avance_km],Tabla1[Fecha],"&lt;="&amp;Grafico!$A318,Tabla1[nombre_actividad],Grafico!F$1,Tabla1[Avance_km],"&gt;0"),NA())</f>
        <v>148.70000000000007</v>
      </c>
      <c r="G318" s="67">
        <f ca="1">IF(TODAY()&gt;=$A318,SUMIFS(Tabla1[Avance_Med],Tabla1[Fecha],"&lt;="&amp;Grafico!$A318,Tabla1[nombre_actividad],Grafico!G$1),NA())</f>
        <v>376</v>
      </c>
      <c r="H318" s="63">
        <f ca="1">IF(TODAY()&gt;=$A318,SUMIFS(Tabla1[Avance_km],Tabla1[Fecha],"&lt;="&amp;Grafico!$A318,Tabla1[nombre_actividad],Grafico!H$1),NA())</f>
        <v>0</v>
      </c>
      <c r="I318" s="63">
        <f ca="1">IF(TODAY()&gt;=$A318,SUMIFS(Tabla1[Avance_km],Tabla1[Fecha],"&lt;="&amp;Grafico!$A318,Tabla1[nombre_actividad],Grafico!I$1),NA())</f>
        <v>41.483086648345392</v>
      </c>
    </row>
    <row r="319" spans="1:9" x14ac:dyDescent="0.25">
      <c r="A319" s="62">
        <f t="shared" si="10"/>
        <v>46280</v>
      </c>
      <c r="B319" s="33" t="str">
        <f t="shared" ca="1" si="9"/>
        <v/>
      </c>
      <c r="C319" s="33"/>
      <c r="D319" s="63">
        <f ca="1">IF(TODAY()&gt;=$A319,SUMIFS(Tabla1[Avance_km],Tabla1[Fecha],"&lt;="&amp;Grafico!$A319,Tabla1[nombre_actividad],Grafico!D$1),NA())</f>
        <v>170.642</v>
      </c>
      <c r="E319" s="63">
        <f ca="1">IF(TODAY()&gt;=$A319,SUMIFS(Tabla1[Avance_km],Tabla1[Fecha],"&lt;="&amp;Grafico!$A319,Tabla1[nombre_actividad],Grafico!E$1),NA())</f>
        <v>165.80799999999991</v>
      </c>
      <c r="F319" s="110">
        <f ca="1">IF(TODAY()&gt;=$A319,SUMIFS(Tabla1[Avance_km],Tabla1[Fecha],"&lt;="&amp;Grafico!$A319,Tabla1[nombre_actividad],Grafico!F$1,Tabla1[Avance_km],"&gt;0"),NA())</f>
        <v>148.70000000000007</v>
      </c>
      <c r="G319" s="67">
        <f ca="1">IF(TODAY()&gt;=$A319,SUMIFS(Tabla1[Avance_Med],Tabla1[Fecha],"&lt;="&amp;Grafico!$A319,Tabla1[nombre_actividad],Grafico!G$1),NA())</f>
        <v>376</v>
      </c>
      <c r="H319" s="63">
        <f ca="1">IF(TODAY()&gt;=$A319,SUMIFS(Tabla1[Avance_km],Tabla1[Fecha],"&lt;="&amp;Grafico!$A319,Tabla1[nombre_actividad],Grafico!H$1),NA())</f>
        <v>0</v>
      </c>
      <c r="I319" s="63">
        <f ca="1">IF(TODAY()&gt;=$A319,SUMIFS(Tabla1[Avance_km],Tabla1[Fecha],"&lt;="&amp;Grafico!$A319,Tabla1[nombre_actividad],Grafico!I$1),NA())</f>
        <v>41.483086648345392</v>
      </c>
    </row>
    <row r="320" spans="1:9" x14ac:dyDescent="0.25">
      <c r="A320" s="62">
        <f t="shared" si="10"/>
        <v>46281</v>
      </c>
      <c r="B320" s="33" t="str">
        <f t="shared" ca="1" si="9"/>
        <v/>
      </c>
      <c r="C320" s="33"/>
      <c r="D320" s="63">
        <f ca="1">IF(TODAY()&gt;=$A320,SUMIFS(Tabla1[Avance_km],Tabla1[Fecha],"&lt;="&amp;Grafico!$A320,Tabla1[nombre_actividad],Grafico!D$1),NA())</f>
        <v>170.642</v>
      </c>
      <c r="E320" s="63">
        <f ca="1">IF(TODAY()&gt;=$A320,SUMIFS(Tabla1[Avance_km],Tabla1[Fecha],"&lt;="&amp;Grafico!$A320,Tabla1[nombre_actividad],Grafico!E$1),NA())</f>
        <v>165.80799999999991</v>
      </c>
      <c r="F320" s="110">
        <f ca="1">IF(TODAY()&gt;=$A320,SUMIFS(Tabla1[Avance_km],Tabla1[Fecha],"&lt;="&amp;Grafico!$A320,Tabla1[nombre_actividad],Grafico!F$1,Tabla1[Avance_km],"&gt;0"),NA())</f>
        <v>148.70000000000007</v>
      </c>
      <c r="G320" s="67">
        <f ca="1">IF(TODAY()&gt;=$A320,SUMIFS(Tabla1[Avance_Med],Tabla1[Fecha],"&lt;="&amp;Grafico!$A320,Tabla1[nombre_actividad],Grafico!G$1),NA())</f>
        <v>380</v>
      </c>
      <c r="H320" s="63">
        <f ca="1">IF(TODAY()&gt;=$A320,SUMIFS(Tabla1[Avance_km],Tabla1[Fecha],"&lt;="&amp;Grafico!$A320,Tabla1[nombre_actividad],Grafico!H$1),NA())</f>
        <v>0</v>
      </c>
      <c r="I320" s="63">
        <f ca="1">IF(TODAY()&gt;=$A320,SUMIFS(Tabla1[Avance_km],Tabla1[Fecha],"&lt;="&amp;Grafico!$A320,Tabla1[nombre_actividad],Grafico!I$1),NA())</f>
        <v>41.483086648345392</v>
      </c>
    </row>
    <row r="321" spans="1:9" x14ac:dyDescent="0.25">
      <c r="A321" s="62">
        <f t="shared" si="10"/>
        <v>46282</v>
      </c>
      <c r="B321" s="33" t="str">
        <f t="shared" ca="1" si="9"/>
        <v/>
      </c>
      <c r="C321" s="33"/>
      <c r="D321" s="63">
        <f ca="1">IF(TODAY()&gt;=$A321,SUMIFS(Tabla1[Avance_km],Tabla1[Fecha],"&lt;="&amp;Grafico!$A321,Tabla1[nombre_actividad],Grafico!D$1),NA())</f>
        <v>170.642</v>
      </c>
      <c r="E321" s="63">
        <f ca="1">IF(TODAY()&gt;=$A321,SUMIFS(Tabla1[Avance_km],Tabla1[Fecha],"&lt;="&amp;Grafico!$A321,Tabla1[nombre_actividad],Grafico!E$1),NA())</f>
        <v>165.80799999999991</v>
      </c>
      <c r="F321" s="110">
        <f ca="1">IF(TODAY()&gt;=$A321,SUMIFS(Tabla1[Avance_km],Tabla1[Fecha],"&lt;="&amp;Grafico!$A321,Tabla1[nombre_actividad],Grafico!F$1,Tabla1[Avance_km],"&gt;0"),NA())</f>
        <v>148.70000000000007</v>
      </c>
      <c r="G321" s="67">
        <f ca="1">IF(TODAY()&gt;=$A321,SUMIFS(Tabla1[Avance_Med],Tabla1[Fecha],"&lt;="&amp;Grafico!$A321,Tabla1[nombre_actividad],Grafico!G$1),NA())</f>
        <v>380</v>
      </c>
      <c r="H321" s="63">
        <f ca="1">IF(TODAY()&gt;=$A321,SUMIFS(Tabla1[Avance_km],Tabla1[Fecha],"&lt;="&amp;Grafico!$A321,Tabla1[nombre_actividad],Grafico!H$1),NA())</f>
        <v>0</v>
      </c>
      <c r="I321" s="63">
        <f ca="1">IF(TODAY()&gt;=$A321,SUMIFS(Tabla1[Avance_km],Tabla1[Fecha],"&lt;="&amp;Grafico!$A321,Tabla1[nombre_actividad],Grafico!I$1),NA())</f>
        <v>44.555907881556159</v>
      </c>
    </row>
    <row r="322" spans="1:9" x14ac:dyDescent="0.25">
      <c r="A322" s="62">
        <f t="shared" si="10"/>
        <v>46283</v>
      </c>
      <c r="B322" s="33" t="str">
        <f t="shared" ca="1" si="9"/>
        <v/>
      </c>
      <c r="C322" s="33"/>
      <c r="D322" s="63">
        <f ca="1">IF(TODAY()&gt;=$A322,SUMIFS(Tabla1[Avance_km],Tabla1[Fecha],"&lt;="&amp;Grafico!$A322,Tabla1[nombre_actividad],Grafico!D$1),NA())</f>
        <v>170.642</v>
      </c>
      <c r="E322" s="63">
        <f ca="1">IF(TODAY()&gt;=$A322,SUMIFS(Tabla1[Avance_km],Tabla1[Fecha],"&lt;="&amp;Grafico!$A322,Tabla1[nombre_actividad],Grafico!E$1),NA())</f>
        <v>165.80799999999991</v>
      </c>
      <c r="F322" s="110">
        <f ca="1">IF(TODAY()&gt;=$A322,SUMIFS(Tabla1[Avance_km],Tabla1[Fecha],"&lt;="&amp;Grafico!$A322,Tabla1[nombre_actividad],Grafico!F$1,Tabla1[Avance_km],"&gt;0"),NA())</f>
        <v>148.70000000000007</v>
      </c>
      <c r="G322" s="67">
        <f ca="1">IF(TODAY()&gt;=$A322,SUMIFS(Tabla1[Avance_Med],Tabla1[Fecha],"&lt;="&amp;Grafico!$A322,Tabla1[nombre_actividad],Grafico!G$1),NA())</f>
        <v>380</v>
      </c>
      <c r="H322" s="63">
        <f ca="1">IF(TODAY()&gt;=$A322,SUMIFS(Tabla1[Avance_km],Tabla1[Fecha],"&lt;="&amp;Grafico!$A322,Tabla1[nombre_actividad],Grafico!H$1),NA())</f>
        <v>0</v>
      </c>
      <c r="I322" s="63">
        <f ca="1">IF(TODAY()&gt;=$A322,SUMIFS(Tabla1[Avance_km],Tabla1[Fecha],"&lt;="&amp;Grafico!$A322,Tabla1[nombre_actividad],Grafico!I$1),NA())</f>
        <v>49.86350819346567</v>
      </c>
    </row>
    <row r="323" spans="1:9" x14ac:dyDescent="0.25">
      <c r="A323" s="62">
        <f t="shared" si="10"/>
        <v>46284</v>
      </c>
      <c r="B323" s="33" t="str">
        <f t="shared" ref="B323:B386" ca="1" si="11">+IF(A323=TODAY(),200,"")</f>
        <v/>
      </c>
      <c r="C323" s="33"/>
      <c r="D323" s="63">
        <f ca="1">IF(TODAY()&gt;=$A323,SUMIFS(Tabla1[Avance_km],Tabla1[Fecha],"&lt;="&amp;Grafico!$A323,Tabla1[nombre_actividad],Grafico!D$1),NA())</f>
        <v>170.642</v>
      </c>
      <c r="E323" s="63">
        <f ca="1">IF(TODAY()&gt;=$A323,SUMIFS(Tabla1[Avance_km],Tabla1[Fecha],"&lt;="&amp;Grafico!$A323,Tabla1[nombre_actividad],Grafico!E$1),NA())</f>
        <v>165.80799999999991</v>
      </c>
      <c r="F323" s="110">
        <f ca="1">IF(TODAY()&gt;=$A323,SUMIFS(Tabla1[Avance_km],Tabla1[Fecha],"&lt;="&amp;Grafico!$A323,Tabla1[nombre_actividad],Grafico!F$1,Tabla1[Avance_km],"&gt;0"),NA())</f>
        <v>148.70000000000007</v>
      </c>
      <c r="G323" s="67">
        <f ca="1">IF(TODAY()&gt;=$A323,SUMIFS(Tabla1[Avance_Med],Tabla1[Fecha],"&lt;="&amp;Grafico!$A323,Tabla1[nombre_actividad],Grafico!G$1),NA())</f>
        <v>381</v>
      </c>
      <c r="H323" s="63">
        <f ca="1">IF(TODAY()&gt;=$A323,SUMIFS(Tabla1[Avance_km],Tabla1[Fecha],"&lt;="&amp;Grafico!$A323,Tabla1[nombre_actividad],Grafico!H$1),NA())</f>
        <v>0</v>
      </c>
      <c r="I323" s="63">
        <f ca="1">IF(TODAY()&gt;=$A323,SUMIFS(Tabla1[Avance_km],Tabla1[Fecha],"&lt;="&amp;Grafico!$A323,Tabla1[nombre_actividad],Grafico!I$1),NA())</f>
        <v>49.86350819346567</v>
      </c>
    </row>
    <row r="324" spans="1:9" x14ac:dyDescent="0.25">
      <c r="A324" s="62">
        <f t="shared" ref="A324:A387" si="12">+A323+1</f>
        <v>46285</v>
      </c>
      <c r="B324" s="33" t="str">
        <f t="shared" ca="1" si="11"/>
        <v/>
      </c>
      <c r="C324" s="33"/>
      <c r="D324" s="63">
        <f ca="1">IF(TODAY()&gt;=$A324,SUMIFS(Tabla1[Avance_km],Tabla1[Fecha],"&lt;="&amp;Grafico!$A324,Tabla1[nombre_actividad],Grafico!D$1),NA())</f>
        <v>170.642</v>
      </c>
      <c r="E324" s="63">
        <f ca="1">IF(TODAY()&gt;=$A324,SUMIFS(Tabla1[Avance_km],Tabla1[Fecha],"&lt;="&amp;Grafico!$A324,Tabla1[nombre_actividad],Grafico!E$1),NA())</f>
        <v>165.80799999999991</v>
      </c>
      <c r="F324" s="110">
        <f ca="1">IF(TODAY()&gt;=$A324,SUMIFS(Tabla1[Avance_km],Tabla1[Fecha],"&lt;="&amp;Grafico!$A324,Tabla1[nombre_actividad],Grafico!F$1,Tabla1[Avance_km],"&gt;0"),NA())</f>
        <v>148.70000000000007</v>
      </c>
      <c r="G324" s="67">
        <f ca="1">IF(TODAY()&gt;=$A324,SUMIFS(Tabla1[Avance_Med],Tabla1[Fecha],"&lt;="&amp;Grafico!$A324,Tabla1[nombre_actividad],Grafico!G$1),NA())</f>
        <v>381</v>
      </c>
      <c r="H324" s="63">
        <f ca="1">IF(TODAY()&gt;=$A324,SUMIFS(Tabla1[Avance_km],Tabla1[Fecha],"&lt;="&amp;Grafico!$A324,Tabla1[nombre_actividad],Grafico!H$1),NA())</f>
        <v>0</v>
      </c>
      <c r="I324" s="63">
        <f ca="1">IF(TODAY()&gt;=$A324,SUMIFS(Tabla1[Avance_km],Tabla1[Fecha],"&lt;="&amp;Grafico!$A324,Tabla1[nombre_actividad],Grafico!I$1),NA())</f>
        <v>49.86350819346567</v>
      </c>
    </row>
    <row r="325" spans="1:9" x14ac:dyDescent="0.25">
      <c r="A325" s="62">
        <f t="shared" si="12"/>
        <v>46286</v>
      </c>
      <c r="B325" s="33" t="str">
        <f t="shared" ca="1" si="11"/>
        <v/>
      </c>
      <c r="C325" s="33"/>
      <c r="D325" s="63">
        <f ca="1">IF(TODAY()&gt;=$A325,SUMIFS(Tabla1[Avance_km],Tabla1[Fecha],"&lt;="&amp;Grafico!$A325,Tabla1[nombre_actividad],Grafico!D$1),NA())</f>
        <v>170.642</v>
      </c>
      <c r="E325" s="63">
        <f ca="1">IF(TODAY()&gt;=$A325,SUMIFS(Tabla1[Avance_km],Tabla1[Fecha],"&lt;="&amp;Grafico!$A325,Tabla1[nombre_actividad],Grafico!E$1),NA())</f>
        <v>165.80799999999991</v>
      </c>
      <c r="F325" s="110">
        <f ca="1">IF(TODAY()&gt;=$A325,SUMIFS(Tabla1[Avance_km],Tabla1[Fecha],"&lt;="&amp;Grafico!$A325,Tabla1[nombre_actividad],Grafico!F$1,Tabla1[Avance_km],"&gt;0"),NA())</f>
        <v>148.70000000000007</v>
      </c>
      <c r="G325" s="67">
        <f ca="1">IF(TODAY()&gt;=$A325,SUMIFS(Tabla1[Avance_Med],Tabla1[Fecha],"&lt;="&amp;Grafico!$A325,Tabla1[nombre_actividad],Grafico!G$1),NA())</f>
        <v>384</v>
      </c>
      <c r="H325" s="63">
        <f ca="1">IF(TODAY()&gt;=$A325,SUMIFS(Tabla1[Avance_km],Tabla1[Fecha],"&lt;="&amp;Grafico!$A325,Tabla1[nombre_actividad],Grafico!H$1),NA())</f>
        <v>0</v>
      </c>
      <c r="I325" s="63">
        <f ca="1">IF(TODAY()&gt;=$A325,SUMIFS(Tabla1[Avance_km],Tabla1[Fecha],"&lt;="&amp;Grafico!$A325,Tabla1[nombre_actividad],Grafico!I$1),NA())</f>
        <v>49.86350819346567</v>
      </c>
    </row>
    <row r="326" spans="1:9" x14ac:dyDescent="0.25">
      <c r="A326" s="62">
        <f t="shared" si="12"/>
        <v>46287</v>
      </c>
      <c r="B326" s="33" t="str">
        <f t="shared" ca="1" si="11"/>
        <v/>
      </c>
      <c r="C326" s="33"/>
      <c r="D326" s="63">
        <f ca="1">IF(TODAY()&gt;=$A326,SUMIFS(Tabla1[Avance_km],Tabla1[Fecha],"&lt;="&amp;Grafico!$A326,Tabla1[nombre_actividad],Grafico!D$1),NA())</f>
        <v>170.642</v>
      </c>
      <c r="E326" s="63">
        <f ca="1">IF(TODAY()&gt;=$A326,SUMIFS(Tabla1[Avance_km],Tabla1[Fecha],"&lt;="&amp;Grafico!$A326,Tabla1[nombre_actividad],Grafico!E$1),NA())</f>
        <v>165.80799999999991</v>
      </c>
      <c r="F326" s="110">
        <f ca="1">IF(TODAY()&gt;=$A326,SUMIFS(Tabla1[Avance_km],Tabla1[Fecha],"&lt;="&amp;Grafico!$A326,Tabla1[nombre_actividad],Grafico!F$1,Tabla1[Avance_km],"&gt;0"),NA())</f>
        <v>148.70000000000007</v>
      </c>
      <c r="G326" s="67">
        <f ca="1">IF(TODAY()&gt;=$A326,SUMIFS(Tabla1[Avance_Med],Tabla1[Fecha],"&lt;="&amp;Grafico!$A326,Tabla1[nombre_actividad],Grafico!G$1),NA())</f>
        <v>387</v>
      </c>
      <c r="H326" s="63">
        <f ca="1">IF(TODAY()&gt;=$A326,SUMIFS(Tabla1[Avance_km],Tabla1[Fecha],"&lt;="&amp;Grafico!$A326,Tabla1[nombre_actividad],Grafico!H$1),NA())</f>
        <v>0</v>
      </c>
      <c r="I326" s="63">
        <f ca="1">IF(TODAY()&gt;=$A326,SUMIFS(Tabla1[Avance_km],Tabla1[Fecha],"&lt;="&amp;Grafico!$A326,Tabla1[nombre_actividad],Grafico!I$1),NA())</f>
        <v>49.86350819346567</v>
      </c>
    </row>
    <row r="327" spans="1:9" x14ac:dyDescent="0.25">
      <c r="A327" s="62">
        <f t="shared" si="12"/>
        <v>46288</v>
      </c>
      <c r="B327" s="33" t="str">
        <f t="shared" ca="1" si="11"/>
        <v/>
      </c>
      <c r="C327" s="33"/>
      <c r="D327" s="63">
        <f ca="1">IF(TODAY()&gt;=$A327,SUMIFS(Tabla1[Avance_km],Tabla1[Fecha],"&lt;="&amp;Grafico!$A327,Tabla1[nombre_actividad],Grafico!D$1),NA())</f>
        <v>170.642</v>
      </c>
      <c r="E327" s="63">
        <f ca="1">IF(TODAY()&gt;=$A327,SUMIFS(Tabla1[Avance_km],Tabla1[Fecha],"&lt;="&amp;Grafico!$A327,Tabla1[nombre_actividad],Grafico!E$1),NA())</f>
        <v>165.80799999999991</v>
      </c>
      <c r="F327" s="110">
        <f ca="1">IF(TODAY()&gt;=$A327,SUMIFS(Tabla1[Avance_km],Tabla1[Fecha],"&lt;="&amp;Grafico!$A327,Tabla1[nombre_actividad],Grafico!F$1,Tabla1[Avance_km],"&gt;0"),NA())</f>
        <v>148.70000000000007</v>
      </c>
      <c r="G327" s="67">
        <f ca="1">IF(TODAY()&gt;=$A327,SUMIFS(Tabla1[Avance_Med],Tabla1[Fecha],"&lt;="&amp;Grafico!$A327,Tabla1[nombre_actividad],Grafico!G$1),NA())</f>
        <v>389</v>
      </c>
      <c r="H327" s="63">
        <f ca="1">IF(TODAY()&gt;=$A327,SUMIFS(Tabla1[Avance_km],Tabla1[Fecha],"&lt;="&amp;Grafico!$A327,Tabla1[nombre_actividad],Grafico!H$1),NA())</f>
        <v>0</v>
      </c>
      <c r="I327" s="63">
        <f ca="1">IF(TODAY()&gt;=$A327,SUMIFS(Tabla1[Avance_km],Tabla1[Fecha],"&lt;="&amp;Grafico!$A327,Tabla1[nombre_actividad],Grafico!I$1),NA())</f>
        <v>49.86350819346567</v>
      </c>
    </row>
    <row r="328" spans="1:9" x14ac:dyDescent="0.25">
      <c r="A328" s="62">
        <f t="shared" si="12"/>
        <v>46289</v>
      </c>
      <c r="B328" s="33" t="str">
        <f t="shared" ca="1" si="11"/>
        <v/>
      </c>
      <c r="C328" s="33"/>
      <c r="D328" s="63">
        <f ca="1">IF(TODAY()&gt;=$A328,SUMIFS(Tabla1[Avance_km],Tabla1[Fecha],"&lt;="&amp;Grafico!$A328,Tabla1[nombre_actividad],Grafico!D$1),NA())</f>
        <v>170.642</v>
      </c>
      <c r="E328" s="63">
        <f ca="1">IF(TODAY()&gt;=$A328,SUMIFS(Tabla1[Avance_km],Tabla1[Fecha],"&lt;="&amp;Grafico!$A328,Tabla1[nombre_actividad],Grafico!E$1),NA())</f>
        <v>165.80799999999991</v>
      </c>
      <c r="F328" s="110">
        <f ca="1">IF(TODAY()&gt;=$A328,SUMIFS(Tabla1[Avance_km],Tabla1[Fecha],"&lt;="&amp;Grafico!$A328,Tabla1[nombre_actividad],Grafico!F$1,Tabla1[Avance_km],"&gt;0"),NA())</f>
        <v>148.70000000000007</v>
      </c>
      <c r="G328" s="67">
        <f ca="1">IF(TODAY()&gt;=$A328,SUMIFS(Tabla1[Avance_Med],Tabla1[Fecha],"&lt;="&amp;Grafico!$A328,Tabla1[nombre_actividad],Grafico!G$1),NA())</f>
        <v>391</v>
      </c>
      <c r="H328" s="63">
        <f ca="1">IF(TODAY()&gt;=$A328,SUMIFS(Tabla1[Avance_km],Tabla1[Fecha],"&lt;="&amp;Grafico!$A328,Tabla1[nombre_actividad],Grafico!H$1),NA())</f>
        <v>0</v>
      </c>
      <c r="I328" s="63">
        <f ca="1">IF(TODAY()&gt;=$A328,SUMIFS(Tabla1[Avance_km],Tabla1[Fecha],"&lt;="&amp;Grafico!$A328,Tabla1[nombre_actividad],Grafico!I$1),NA())</f>
        <v>49.86350819346567</v>
      </c>
    </row>
    <row r="329" spans="1:9" x14ac:dyDescent="0.25">
      <c r="A329" s="62">
        <f t="shared" si="12"/>
        <v>46290</v>
      </c>
      <c r="B329" s="33" t="str">
        <f t="shared" ca="1" si="11"/>
        <v/>
      </c>
      <c r="C329" s="33"/>
      <c r="D329" s="63">
        <f ca="1">IF(TODAY()&gt;=$A329,SUMIFS(Tabla1[Avance_km],Tabla1[Fecha],"&lt;="&amp;Grafico!$A329,Tabla1[nombre_actividad],Grafico!D$1),NA())</f>
        <v>170.642</v>
      </c>
      <c r="E329" s="63">
        <f ca="1">IF(TODAY()&gt;=$A329,SUMIFS(Tabla1[Avance_km],Tabla1[Fecha],"&lt;="&amp;Grafico!$A329,Tabla1[nombre_actividad],Grafico!E$1),NA())</f>
        <v>165.80799999999991</v>
      </c>
      <c r="F329" s="110">
        <f ca="1">IF(TODAY()&gt;=$A329,SUMIFS(Tabla1[Avance_km],Tabla1[Fecha],"&lt;="&amp;Grafico!$A329,Tabla1[nombre_actividad],Grafico!F$1,Tabla1[Avance_km],"&gt;0"),NA())</f>
        <v>148.70000000000007</v>
      </c>
      <c r="G329" s="67">
        <f ca="1">IF(TODAY()&gt;=$A329,SUMIFS(Tabla1[Avance_Med],Tabla1[Fecha],"&lt;="&amp;Grafico!$A329,Tabla1[nombre_actividad],Grafico!G$1),NA())</f>
        <v>395</v>
      </c>
      <c r="H329" s="63">
        <f ca="1">IF(TODAY()&gt;=$A329,SUMIFS(Tabla1[Avance_km],Tabla1[Fecha],"&lt;="&amp;Grafico!$A329,Tabla1[nombre_actividad],Grafico!H$1),NA())</f>
        <v>0</v>
      </c>
      <c r="I329" s="63">
        <f ca="1">IF(TODAY()&gt;=$A329,SUMIFS(Tabla1[Avance_km],Tabla1[Fecha],"&lt;="&amp;Grafico!$A329,Tabla1[nombre_actividad],Grafico!I$1),NA())</f>
        <v>49.86350819346567</v>
      </c>
    </row>
    <row r="330" spans="1:9" x14ac:dyDescent="0.25">
      <c r="A330" s="62">
        <f t="shared" si="12"/>
        <v>46291</v>
      </c>
      <c r="B330" s="33" t="str">
        <f t="shared" ca="1" si="11"/>
        <v/>
      </c>
      <c r="C330" s="33"/>
      <c r="D330" s="63">
        <f ca="1">IF(TODAY()&gt;=$A330,SUMIFS(Tabla1[Avance_km],Tabla1[Fecha],"&lt;="&amp;Grafico!$A330,Tabla1[nombre_actividad],Grafico!D$1),NA())</f>
        <v>170.642</v>
      </c>
      <c r="E330" s="63">
        <f ca="1">IF(TODAY()&gt;=$A330,SUMIFS(Tabla1[Avance_km],Tabla1[Fecha],"&lt;="&amp;Grafico!$A330,Tabla1[nombre_actividad],Grafico!E$1),NA())</f>
        <v>165.80799999999991</v>
      </c>
      <c r="F330" s="110">
        <f ca="1">IF(TODAY()&gt;=$A330,SUMIFS(Tabla1[Avance_km],Tabla1[Fecha],"&lt;="&amp;Grafico!$A330,Tabla1[nombre_actividad],Grafico!F$1,Tabla1[Avance_km],"&gt;0"),NA())</f>
        <v>148.70000000000007</v>
      </c>
      <c r="G330" s="67">
        <f ca="1">IF(TODAY()&gt;=$A330,SUMIFS(Tabla1[Avance_Med],Tabla1[Fecha],"&lt;="&amp;Grafico!$A330,Tabla1[nombre_actividad],Grafico!G$1),NA())</f>
        <v>396</v>
      </c>
      <c r="H330" s="63">
        <f ca="1">IF(TODAY()&gt;=$A330,SUMIFS(Tabla1[Avance_km],Tabla1[Fecha],"&lt;="&amp;Grafico!$A330,Tabla1[nombre_actividad],Grafico!H$1),NA())</f>
        <v>0</v>
      </c>
      <c r="I330" s="63">
        <f ca="1">IF(TODAY()&gt;=$A330,SUMIFS(Tabla1[Avance_km],Tabla1[Fecha],"&lt;="&amp;Grafico!$A330,Tabla1[nombre_actividad],Grafico!I$1),NA())</f>
        <v>49.86350819346567</v>
      </c>
    </row>
    <row r="331" spans="1:9" x14ac:dyDescent="0.25">
      <c r="A331" s="62">
        <f t="shared" si="12"/>
        <v>46292</v>
      </c>
      <c r="B331" s="33" t="str">
        <f t="shared" ca="1" si="11"/>
        <v/>
      </c>
      <c r="C331" s="33"/>
      <c r="D331" s="63">
        <f ca="1">IF(TODAY()&gt;=$A331,SUMIFS(Tabla1[Avance_km],Tabla1[Fecha],"&lt;="&amp;Grafico!$A331,Tabla1[nombre_actividad],Grafico!D$1),NA())</f>
        <v>170.642</v>
      </c>
      <c r="E331" s="63">
        <f ca="1">IF(TODAY()&gt;=$A331,SUMIFS(Tabla1[Avance_km],Tabla1[Fecha],"&lt;="&amp;Grafico!$A331,Tabla1[nombre_actividad],Grafico!E$1),NA())</f>
        <v>165.80799999999991</v>
      </c>
      <c r="F331" s="110">
        <f ca="1">IF(TODAY()&gt;=$A331,SUMIFS(Tabla1[Avance_km],Tabla1[Fecha],"&lt;="&amp;Grafico!$A331,Tabla1[nombre_actividad],Grafico!F$1,Tabla1[Avance_km],"&gt;0"),NA())</f>
        <v>148.70000000000007</v>
      </c>
      <c r="G331" s="67">
        <f ca="1">IF(TODAY()&gt;=$A331,SUMIFS(Tabla1[Avance_Med],Tabla1[Fecha],"&lt;="&amp;Grafico!$A331,Tabla1[nombre_actividad],Grafico!G$1),NA())</f>
        <v>396</v>
      </c>
      <c r="H331" s="63">
        <f ca="1">IF(TODAY()&gt;=$A331,SUMIFS(Tabla1[Avance_km],Tabla1[Fecha],"&lt;="&amp;Grafico!$A331,Tabla1[nombre_actividad],Grafico!H$1),NA())</f>
        <v>0</v>
      </c>
      <c r="I331" s="63">
        <f ca="1">IF(TODAY()&gt;=$A331,SUMIFS(Tabla1[Avance_km],Tabla1[Fecha],"&lt;="&amp;Grafico!$A331,Tabla1[nombre_actividad],Grafico!I$1),NA())</f>
        <v>49.86350819346567</v>
      </c>
    </row>
    <row r="332" spans="1:9" x14ac:dyDescent="0.25">
      <c r="A332" s="62">
        <f t="shared" si="12"/>
        <v>46293</v>
      </c>
      <c r="B332" s="33" t="str">
        <f t="shared" ca="1" si="11"/>
        <v/>
      </c>
      <c r="C332" s="33"/>
      <c r="D332" s="63">
        <f ca="1">IF(TODAY()&gt;=$A332,SUMIFS(Tabla1[Avance_km],Tabla1[Fecha],"&lt;="&amp;Grafico!$A332,Tabla1[nombre_actividad],Grafico!D$1),NA())</f>
        <v>173.642</v>
      </c>
      <c r="E332" s="63">
        <f ca="1">IF(TODAY()&gt;=$A332,SUMIFS(Tabla1[Avance_km],Tabla1[Fecha],"&lt;="&amp;Grafico!$A332,Tabla1[nombre_actividad],Grafico!E$1),NA())</f>
        <v>165.80799999999991</v>
      </c>
      <c r="F332" s="110">
        <f ca="1">IF(TODAY()&gt;=$A332,SUMIFS(Tabla1[Avance_km],Tabla1[Fecha],"&lt;="&amp;Grafico!$A332,Tabla1[nombre_actividad],Grafico!F$1,Tabla1[Avance_km],"&gt;0"),NA())</f>
        <v>148.70000000000007</v>
      </c>
      <c r="G332" s="67">
        <f ca="1">IF(TODAY()&gt;=$A332,SUMIFS(Tabla1[Avance_Med],Tabla1[Fecha],"&lt;="&amp;Grafico!$A332,Tabla1[nombre_actividad],Grafico!G$1),NA())</f>
        <v>396</v>
      </c>
      <c r="H332" s="63">
        <f ca="1">IF(TODAY()&gt;=$A332,SUMIFS(Tabla1[Avance_km],Tabla1[Fecha],"&lt;="&amp;Grafico!$A332,Tabla1[nombre_actividad],Grafico!H$1),NA())</f>
        <v>0</v>
      </c>
      <c r="I332" s="63">
        <f ca="1">IF(TODAY()&gt;=$A332,SUMIFS(Tabla1[Avance_km],Tabla1[Fecha],"&lt;="&amp;Grafico!$A332,Tabla1[nombre_actividad],Grafico!I$1),NA())</f>
        <v>49.86350819346567</v>
      </c>
    </row>
    <row r="333" spans="1:9" x14ac:dyDescent="0.25">
      <c r="A333" s="62">
        <f t="shared" si="12"/>
        <v>46294</v>
      </c>
      <c r="B333" s="33" t="str">
        <f t="shared" ca="1" si="11"/>
        <v/>
      </c>
      <c r="C333" s="33"/>
      <c r="D333" s="63">
        <f ca="1">IF(TODAY()&gt;=$A333,SUMIFS(Tabla1[Avance_km],Tabla1[Fecha],"&lt;="&amp;Grafico!$A333,Tabla1[nombre_actividad],Grafico!D$1),NA())</f>
        <v>178.292</v>
      </c>
      <c r="E333" s="63">
        <f ca="1">IF(TODAY()&gt;=$A333,SUMIFS(Tabla1[Avance_km],Tabla1[Fecha],"&lt;="&amp;Grafico!$A333,Tabla1[nombre_actividad],Grafico!E$1),NA())</f>
        <v>165.80799999999991</v>
      </c>
      <c r="F333" s="110">
        <f ca="1">IF(TODAY()&gt;=$A333,SUMIFS(Tabla1[Avance_km],Tabla1[Fecha],"&lt;="&amp;Grafico!$A333,Tabla1[nombre_actividad],Grafico!F$1,Tabla1[Avance_km],"&gt;0"),NA())</f>
        <v>148.70000000000007</v>
      </c>
      <c r="G333" s="67">
        <f ca="1">IF(TODAY()&gt;=$A333,SUMIFS(Tabla1[Avance_Med],Tabla1[Fecha],"&lt;="&amp;Grafico!$A333,Tabla1[nombre_actividad],Grafico!G$1),NA())</f>
        <v>396</v>
      </c>
      <c r="H333" s="63">
        <f ca="1">IF(TODAY()&gt;=$A333,SUMIFS(Tabla1[Avance_km],Tabla1[Fecha],"&lt;="&amp;Grafico!$A333,Tabla1[nombre_actividad],Grafico!H$1),NA())</f>
        <v>0</v>
      </c>
      <c r="I333" s="63">
        <f ca="1">IF(TODAY()&gt;=$A333,SUMIFS(Tabla1[Avance_km],Tabla1[Fecha],"&lt;="&amp;Grafico!$A333,Tabla1[nombre_actividad],Grafico!I$1),NA())</f>
        <v>54.071918798389049</v>
      </c>
    </row>
    <row r="334" spans="1:9" x14ac:dyDescent="0.25">
      <c r="A334" s="62">
        <f t="shared" si="12"/>
        <v>46295</v>
      </c>
      <c r="B334" s="33" t="str">
        <f t="shared" ca="1" si="11"/>
        <v/>
      </c>
      <c r="C334" s="33"/>
      <c r="D334" s="63">
        <f ca="1">IF(TODAY()&gt;=$A334,SUMIFS(Tabla1[Avance_km],Tabla1[Fecha],"&lt;="&amp;Grafico!$A334,Tabla1[nombre_actividad],Grafico!D$1),NA())</f>
        <v>180.261</v>
      </c>
      <c r="E334" s="63">
        <f ca="1">IF(TODAY()&gt;=$A334,SUMIFS(Tabla1[Avance_km],Tabla1[Fecha],"&lt;="&amp;Grafico!$A334,Tabla1[nombre_actividad],Grafico!E$1),NA())</f>
        <v>165.80799999999991</v>
      </c>
      <c r="F334" s="110">
        <f ca="1">IF(TODAY()&gt;=$A334,SUMIFS(Tabla1[Avance_km],Tabla1[Fecha],"&lt;="&amp;Grafico!$A334,Tabla1[nombre_actividad],Grafico!F$1,Tabla1[Avance_km],"&gt;0"),NA())</f>
        <v>148.70000000000007</v>
      </c>
      <c r="G334" s="67">
        <f ca="1">IF(TODAY()&gt;=$A334,SUMIFS(Tabla1[Avance_Med],Tabla1[Fecha],"&lt;="&amp;Grafico!$A334,Tabla1[nombre_actividad],Grafico!G$1),NA())</f>
        <v>396</v>
      </c>
      <c r="H334" s="63">
        <f ca="1">IF(TODAY()&gt;=$A334,SUMIFS(Tabla1[Avance_km],Tabla1[Fecha],"&lt;="&amp;Grafico!$A334,Tabla1[nombre_actividad],Grafico!H$1),NA())</f>
        <v>0</v>
      </c>
      <c r="I334" s="63">
        <f ca="1">IF(TODAY()&gt;=$A334,SUMIFS(Tabla1[Avance_km],Tabla1[Fecha],"&lt;="&amp;Grafico!$A334,Tabla1[nombre_actividad],Grafico!I$1),NA())</f>
        <v>54.071918798389049</v>
      </c>
    </row>
    <row r="335" spans="1:9" x14ac:dyDescent="0.25">
      <c r="A335" s="62">
        <f t="shared" si="12"/>
        <v>46296</v>
      </c>
      <c r="B335" s="33" t="str">
        <f t="shared" ca="1" si="11"/>
        <v/>
      </c>
      <c r="C335" s="33"/>
      <c r="D335" s="63">
        <f ca="1">IF(TODAY()&gt;=$A335,SUMIFS(Tabla1[Avance_km],Tabla1[Fecha],"&lt;="&amp;Grafico!$A335,Tabla1[nombre_actividad],Grafico!D$1),NA())</f>
        <v>180.261</v>
      </c>
      <c r="E335" s="63">
        <f ca="1">IF(TODAY()&gt;=$A335,SUMIFS(Tabla1[Avance_km],Tabla1[Fecha],"&lt;="&amp;Grafico!$A335,Tabla1[nombre_actividad],Grafico!E$1),NA())</f>
        <v>167.3709999999999</v>
      </c>
      <c r="F335" s="110">
        <f ca="1">IF(TODAY()&gt;=$A335,SUMIFS(Tabla1[Avance_km],Tabla1[Fecha],"&lt;="&amp;Grafico!$A335,Tabla1[nombre_actividad],Grafico!F$1,Tabla1[Avance_km],"&gt;0"),NA())</f>
        <v>148.70000000000007</v>
      </c>
      <c r="G335" s="67">
        <f ca="1">IF(TODAY()&gt;=$A335,SUMIFS(Tabla1[Avance_Med],Tabla1[Fecha],"&lt;="&amp;Grafico!$A335,Tabla1[nombre_actividad],Grafico!G$1),NA())</f>
        <v>396</v>
      </c>
      <c r="H335" s="63">
        <f ca="1">IF(TODAY()&gt;=$A335,SUMIFS(Tabla1[Avance_km],Tabla1[Fecha],"&lt;="&amp;Grafico!$A335,Tabla1[nombre_actividad],Grafico!H$1),NA())</f>
        <v>0</v>
      </c>
      <c r="I335" s="63">
        <f ca="1">IF(TODAY()&gt;=$A335,SUMIFS(Tabla1[Avance_km],Tabla1[Fecha],"&lt;="&amp;Grafico!$A335,Tabla1[nombre_actividad],Grafico!I$1),NA())</f>
        <v>56.877525868337969</v>
      </c>
    </row>
    <row r="336" spans="1:9" x14ac:dyDescent="0.25">
      <c r="A336" s="62">
        <f t="shared" si="12"/>
        <v>46297</v>
      </c>
      <c r="B336" s="33" t="str">
        <f t="shared" ca="1" si="11"/>
        <v/>
      </c>
      <c r="C336" s="33"/>
      <c r="D336" s="63">
        <f ca="1">IF(TODAY()&gt;=$A336,SUMIFS(Tabla1[Avance_km],Tabla1[Fecha],"&lt;="&amp;Grafico!$A336,Tabla1[nombre_actividad],Grafico!D$1),NA())</f>
        <v>180.261</v>
      </c>
      <c r="E336" s="63">
        <f ca="1">IF(TODAY()&gt;=$A336,SUMIFS(Tabla1[Avance_km],Tabla1[Fecha],"&lt;="&amp;Grafico!$A336,Tabla1[nombre_actividad],Grafico!E$1),NA())</f>
        <v>169.77299999999988</v>
      </c>
      <c r="F336" s="110">
        <f ca="1">IF(TODAY()&gt;=$A336,SUMIFS(Tabla1[Avance_km],Tabla1[Fecha],"&lt;="&amp;Grafico!$A336,Tabla1[nombre_actividad],Grafico!F$1,Tabla1[Avance_km],"&gt;0"),NA())</f>
        <v>148.70000000000007</v>
      </c>
      <c r="G336" s="67">
        <f ca="1">IF(TODAY()&gt;=$A336,SUMIFS(Tabla1[Avance_Med],Tabla1[Fecha],"&lt;="&amp;Grafico!$A336,Tabla1[nombre_actividad],Grafico!G$1),NA())</f>
        <v>396</v>
      </c>
      <c r="H336" s="63">
        <f ca="1">IF(TODAY()&gt;=$A336,SUMIFS(Tabla1[Avance_km],Tabla1[Fecha],"&lt;="&amp;Grafico!$A336,Tabla1[nombre_actividad],Grafico!H$1),NA())</f>
        <v>0</v>
      </c>
      <c r="I336" s="63">
        <f ca="1">IF(TODAY()&gt;=$A336,SUMIFS(Tabla1[Avance_km],Tabla1[Fecha],"&lt;="&amp;Grafico!$A336,Tabla1[nombre_actividad],Grafico!I$1),NA())</f>
        <v>59.683132938286889</v>
      </c>
    </row>
    <row r="337" spans="1:9" x14ac:dyDescent="0.25">
      <c r="A337" s="62">
        <f t="shared" si="12"/>
        <v>46298</v>
      </c>
      <c r="B337" s="33" t="str">
        <f t="shared" ca="1" si="11"/>
        <v/>
      </c>
      <c r="C337" s="33"/>
      <c r="D337" s="63">
        <f ca="1">IF(TODAY()&gt;=$A337,SUMIFS(Tabla1[Avance_km],Tabla1[Fecha],"&lt;="&amp;Grafico!$A337,Tabla1[nombre_actividad],Grafico!D$1),NA())</f>
        <v>180.261</v>
      </c>
      <c r="E337" s="63">
        <f ca="1">IF(TODAY()&gt;=$A337,SUMIFS(Tabla1[Avance_km],Tabla1[Fecha],"&lt;="&amp;Grafico!$A337,Tabla1[nombre_actividad],Grafico!E$1),NA())</f>
        <v>169.77299999999988</v>
      </c>
      <c r="F337" s="110">
        <f ca="1">IF(TODAY()&gt;=$A337,SUMIFS(Tabla1[Avance_km],Tabla1[Fecha],"&lt;="&amp;Grafico!$A337,Tabla1[nombre_actividad],Grafico!F$1,Tabla1[Avance_km],"&gt;0"),NA())</f>
        <v>148.70000000000007</v>
      </c>
      <c r="G337" s="67">
        <f ca="1">IF(TODAY()&gt;=$A337,SUMIFS(Tabla1[Avance_Med],Tabla1[Fecha],"&lt;="&amp;Grafico!$A337,Tabla1[nombre_actividad],Grafico!G$1),NA())</f>
        <v>396</v>
      </c>
      <c r="H337" s="63">
        <f ca="1">IF(TODAY()&gt;=$A337,SUMIFS(Tabla1[Avance_km],Tabla1[Fecha],"&lt;="&amp;Grafico!$A337,Tabla1[nombre_actividad],Grafico!H$1),NA())</f>
        <v>0</v>
      </c>
      <c r="I337" s="63">
        <f ca="1">IF(TODAY()&gt;=$A337,SUMIFS(Tabla1[Avance_km],Tabla1[Fecha],"&lt;="&amp;Grafico!$A337,Tabla1[nombre_actividad],Grafico!I$1),NA())</f>
        <v>59.683132938286889</v>
      </c>
    </row>
    <row r="338" spans="1:9" x14ac:dyDescent="0.25">
      <c r="A338" s="62">
        <f t="shared" si="12"/>
        <v>46299</v>
      </c>
      <c r="B338" s="33" t="str">
        <f t="shared" ca="1" si="11"/>
        <v/>
      </c>
      <c r="C338" s="33"/>
      <c r="D338" s="63">
        <f ca="1">IF(TODAY()&gt;=$A338,SUMIFS(Tabla1[Avance_km],Tabla1[Fecha],"&lt;="&amp;Grafico!$A338,Tabla1[nombre_actividad],Grafico!D$1),NA())</f>
        <v>180.261</v>
      </c>
      <c r="E338" s="63">
        <f ca="1">IF(TODAY()&gt;=$A338,SUMIFS(Tabla1[Avance_km],Tabla1[Fecha],"&lt;="&amp;Grafico!$A338,Tabla1[nombre_actividad],Grafico!E$1),NA())</f>
        <v>169.77299999999988</v>
      </c>
      <c r="F338" s="110">
        <f ca="1">IF(TODAY()&gt;=$A338,SUMIFS(Tabla1[Avance_km],Tabla1[Fecha],"&lt;="&amp;Grafico!$A338,Tabla1[nombre_actividad],Grafico!F$1,Tabla1[Avance_km],"&gt;0"),NA())</f>
        <v>148.70000000000007</v>
      </c>
      <c r="G338" s="67">
        <f ca="1">IF(TODAY()&gt;=$A338,SUMIFS(Tabla1[Avance_Med],Tabla1[Fecha],"&lt;="&amp;Grafico!$A338,Tabla1[nombre_actividad],Grafico!G$1),NA())</f>
        <v>396</v>
      </c>
      <c r="H338" s="63">
        <f ca="1">IF(TODAY()&gt;=$A338,SUMIFS(Tabla1[Avance_km],Tabla1[Fecha],"&lt;="&amp;Grafico!$A338,Tabla1[nombre_actividad],Grafico!H$1),NA())</f>
        <v>0</v>
      </c>
      <c r="I338" s="63">
        <f ca="1">IF(TODAY()&gt;=$A338,SUMIFS(Tabla1[Avance_km],Tabla1[Fecha],"&lt;="&amp;Grafico!$A338,Tabla1[nombre_actividad],Grafico!I$1),NA())</f>
        <v>59.683132938286889</v>
      </c>
    </row>
    <row r="339" spans="1:9" x14ac:dyDescent="0.25">
      <c r="A339" s="62">
        <f t="shared" si="12"/>
        <v>46300</v>
      </c>
      <c r="B339" s="33" t="str">
        <f t="shared" ca="1" si="11"/>
        <v/>
      </c>
      <c r="C339" s="33"/>
      <c r="D339" s="63">
        <f ca="1">IF(TODAY()&gt;=$A339,SUMIFS(Tabla1[Avance_km],Tabla1[Fecha],"&lt;="&amp;Grafico!$A339,Tabla1[nombre_actividad],Grafico!D$1),NA())</f>
        <v>180.261</v>
      </c>
      <c r="E339" s="63">
        <f ca="1">IF(TODAY()&gt;=$A339,SUMIFS(Tabla1[Avance_km],Tabla1[Fecha],"&lt;="&amp;Grafico!$A339,Tabla1[nombre_actividad],Grafico!E$1),NA())</f>
        <v>170.68699999999987</v>
      </c>
      <c r="F339" s="110">
        <f ca="1">IF(TODAY()&gt;=$A339,SUMIFS(Tabla1[Avance_km],Tabla1[Fecha],"&lt;="&amp;Grafico!$A339,Tabla1[nombre_actividad],Grafico!F$1,Tabla1[Avance_km],"&gt;0"),NA())</f>
        <v>148.70000000000007</v>
      </c>
      <c r="G339" s="67">
        <f ca="1">IF(TODAY()&gt;=$A339,SUMIFS(Tabla1[Avance_Med],Tabla1[Fecha],"&lt;="&amp;Grafico!$A339,Tabla1[nombre_actividad],Grafico!G$1),NA())</f>
        <v>396</v>
      </c>
      <c r="H339" s="63">
        <f ca="1">IF(TODAY()&gt;=$A339,SUMIFS(Tabla1[Avance_km],Tabla1[Fecha],"&lt;="&amp;Grafico!$A339,Tabla1[nombre_actividad],Grafico!H$1),NA())</f>
        <v>0</v>
      </c>
      <c r="I339" s="63">
        <f ca="1">IF(TODAY()&gt;=$A339,SUMIFS(Tabla1[Avance_km],Tabla1[Fecha],"&lt;="&amp;Grafico!$A339,Tabla1[nombre_actividad],Grafico!I$1),NA())</f>
        <v>59.683132938286889</v>
      </c>
    </row>
    <row r="340" spans="1:9" x14ac:dyDescent="0.25">
      <c r="A340" s="62">
        <f t="shared" si="12"/>
        <v>46301</v>
      </c>
      <c r="B340" s="33" t="str">
        <f t="shared" ca="1" si="11"/>
        <v/>
      </c>
      <c r="C340" s="33"/>
      <c r="D340" s="63">
        <f ca="1">IF(TODAY()&gt;=$A340,SUMIFS(Tabla1[Avance_km],Tabla1[Fecha],"&lt;="&amp;Grafico!$A340,Tabla1[nombre_actividad],Grafico!D$1),NA())</f>
        <v>181.53599999999997</v>
      </c>
      <c r="E340" s="63">
        <f ca="1">IF(TODAY()&gt;=$A340,SUMIFS(Tabla1[Avance_km],Tabla1[Fecha],"&lt;="&amp;Grafico!$A340,Tabla1[nombre_actividad],Grafico!E$1),NA())</f>
        <v>170.68699999999987</v>
      </c>
      <c r="F340" s="110">
        <f ca="1">IF(TODAY()&gt;=$A340,SUMIFS(Tabla1[Avance_km],Tabla1[Fecha],"&lt;="&amp;Grafico!$A340,Tabla1[nombre_actividad],Grafico!F$1,Tabla1[Avance_km],"&gt;0"),NA())</f>
        <v>148.70000000000007</v>
      </c>
      <c r="G340" s="67">
        <f ca="1">IF(TODAY()&gt;=$A340,SUMIFS(Tabla1[Avance_Med],Tabla1[Fecha],"&lt;="&amp;Grafico!$A340,Tabla1[nombre_actividad],Grafico!G$1),NA())</f>
        <v>396</v>
      </c>
      <c r="H340" s="63">
        <f ca="1">IF(TODAY()&gt;=$A340,SUMIFS(Tabla1[Avance_km],Tabla1[Fecha],"&lt;="&amp;Grafico!$A340,Tabla1[nombre_actividad],Grafico!H$1),NA())</f>
        <v>0</v>
      </c>
      <c r="I340" s="63">
        <f ca="1">IF(TODAY()&gt;=$A340,SUMIFS(Tabla1[Avance_km],Tabla1[Fecha],"&lt;="&amp;Grafico!$A340,Tabla1[nombre_actividad],Grafico!I$1),NA())</f>
        <v>59.683132938286889</v>
      </c>
    </row>
    <row r="341" spans="1:9" x14ac:dyDescent="0.25">
      <c r="A341" s="62">
        <f t="shared" si="12"/>
        <v>46302</v>
      </c>
      <c r="B341" s="33" t="str">
        <f t="shared" ca="1" si="11"/>
        <v/>
      </c>
      <c r="C341" s="33"/>
      <c r="D341" s="63">
        <f ca="1">IF(TODAY()&gt;=$A341,SUMIFS(Tabla1[Avance_km],Tabla1[Fecha],"&lt;="&amp;Grafico!$A341,Tabla1[nombre_actividad],Grafico!D$1),NA())</f>
        <v>181.78849999999997</v>
      </c>
      <c r="E341" s="63">
        <f ca="1">IF(TODAY()&gt;=$A341,SUMIFS(Tabla1[Avance_km],Tabla1[Fecha],"&lt;="&amp;Grafico!$A341,Tabla1[nombre_actividad],Grafico!E$1),NA())</f>
        <v>170.68699999999987</v>
      </c>
      <c r="F341" s="110">
        <f ca="1">IF(TODAY()&gt;=$A341,SUMIFS(Tabla1[Avance_km],Tabla1[Fecha],"&lt;="&amp;Grafico!$A341,Tabla1[nombre_actividad],Grafico!F$1,Tabla1[Avance_km],"&gt;0"),NA())</f>
        <v>148.70000000000007</v>
      </c>
      <c r="G341" s="67">
        <f ca="1">IF(TODAY()&gt;=$A341,SUMIFS(Tabla1[Avance_Med],Tabla1[Fecha],"&lt;="&amp;Grafico!$A341,Tabla1[nombre_actividad],Grafico!G$1),NA())</f>
        <v>396</v>
      </c>
      <c r="H341" s="63">
        <f ca="1">IF(TODAY()&gt;=$A341,SUMIFS(Tabla1[Avance_km],Tabla1[Fecha],"&lt;="&amp;Grafico!$A341,Tabla1[nombre_actividad],Grafico!H$1),NA())</f>
        <v>0</v>
      </c>
      <c r="I341" s="63">
        <f ca="1">IF(TODAY()&gt;=$A341,SUMIFS(Tabla1[Avance_km],Tabla1[Fecha],"&lt;="&amp;Grafico!$A341,Tabla1[nombre_actividad],Grafico!I$1),NA())</f>
        <v>59.683132938286889</v>
      </c>
    </row>
    <row r="342" spans="1:9" x14ac:dyDescent="0.25">
      <c r="A342" s="62">
        <f t="shared" si="12"/>
        <v>46303</v>
      </c>
      <c r="B342" s="33" t="str">
        <f t="shared" ca="1" si="11"/>
        <v/>
      </c>
      <c r="C342" s="33"/>
      <c r="D342" s="63">
        <f ca="1">IF(TODAY()&gt;=$A342,SUMIFS(Tabla1[Avance_km],Tabla1[Fecha],"&lt;="&amp;Grafico!$A342,Tabla1[nombre_actividad],Grafico!D$1),NA())</f>
        <v>181.88549999999998</v>
      </c>
      <c r="E342" s="63">
        <f ca="1">IF(TODAY()&gt;=$A342,SUMIFS(Tabla1[Avance_km],Tabla1[Fecha],"&lt;="&amp;Grafico!$A342,Tabla1[nombre_actividad],Grafico!E$1),NA())</f>
        <v>170.68699999999987</v>
      </c>
      <c r="F342" s="110">
        <f ca="1">IF(TODAY()&gt;=$A342,SUMIFS(Tabla1[Avance_km],Tabla1[Fecha],"&lt;="&amp;Grafico!$A342,Tabla1[nombre_actividad],Grafico!F$1,Tabla1[Avance_km],"&gt;0"),NA())</f>
        <v>150.32450000000006</v>
      </c>
      <c r="G342" s="67">
        <f ca="1">IF(TODAY()&gt;=$A342,SUMIFS(Tabla1[Avance_Med],Tabla1[Fecha],"&lt;="&amp;Grafico!$A342,Tabla1[nombre_actividad],Grafico!G$1),NA())</f>
        <v>396</v>
      </c>
      <c r="H342" s="63">
        <f ca="1">IF(TODAY()&gt;=$A342,SUMIFS(Tabla1[Avance_km],Tabla1[Fecha],"&lt;="&amp;Grafico!$A342,Tabla1[nombre_actividad],Grafico!H$1),NA())</f>
        <v>0</v>
      </c>
      <c r="I342" s="63">
        <f ca="1">IF(TODAY()&gt;=$A342,SUMIFS(Tabla1[Avance_km],Tabla1[Fecha],"&lt;="&amp;Grafico!$A342,Tabla1[nombre_actividad],Grafico!I$1),NA())</f>
        <v>59.683132938286889</v>
      </c>
    </row>
    <row r="343" spans="1:9" x14ac:dyDescent="0.25">
      <c r="A343" s="62">
        <f t="shared" si="12"/>
        <v>46304</v>
      </c>
      <c r="B343" s="33" t="str">
        <f t="shared" ca="1" si="11"/>
        <v/>
      </c>
      <c r="C343" s="33"/>
      <c r="D343" s="63">
        <f ca="1">IF(TODAY()&gt;=$A343,SUMIFS(Tabla1[Avance_km],Tabla1[Fecha],"&lt;="&amp;Grafico!$A343,Tabla1[nombre_actividad],Grafico!D$1),NA())</f>
        <v>181.88549999999998</v>
      </c>
      <c r="E343" s="63">
        <f ca="1">IF(TODAY()&gt;=$A343,SUMIFS(Tabla1[Avance_km],Tabla1[Fecha],"&lt;="&amp;Grafico!$A343,Tabla1[nombre_actividad],Grafico!E$1),NA())</f>
        <v>171.42099999999985</v>
      </c>
      <c r="F343" s="110">
        <f ca="1">IF(TODAY()&gt;=$A343,SUMIFS(Tabla1[Avance_km],Tabla1[Fecha],"&lt;="&amp;Grafico!$A343,Tabla1[nombre_actividad],Grafico!F$1,Tabla1[Avance_km],"&gt;0"),NA())</f>
        <v>150.32450000000006</v>
      </c>
      <c r="G343" s="67">
        <f ca="1">IF(TODAY()&gt;=$A343,SUMIFS(Tabla1[Avance_Med],Tabla1[Fecha],"&lt;="&amp;Grafico!$A343,Tabla1[nombre_actividad],Grafico!G$1),NA())</f>
        <v>396</v>
      </c>
      <c r="H343" s="63">
        <f ca="1">IF(TODAY()&gt;=$A343,SUMIFS(Tabla1[Avance_km],Tabla1[Fecha],"&lt;="&amp;Grafico!$A343,Tabla1[nombre_actividad],Grafico!H$1),NA())</f>
        <v>0</v>
      </c>
      <c r="I343" s="63">
        <f ca="1">IF(TODAY()&gt;=$A343,SUMIFS(Tabla1[Avance_km],Tabla1[Fecha],"&lt;="&amp;Grafico!$A343,Tabla1[nombre_actividad],Grafico!I$1),NA())</f>
        <v>59.683132938286889</v>
      </c>
    </row>
    <row r="344" spans="1:9" x14ac:dyDescent="0.25">
      <c r="A344" s="62">
        <f t="shared" si="12"/>
        <v>46305</v>
      </c>
      <c r="B344" s="33" t="str">
        <f t="shared" ca="1" si="11"/>
        <v/>
      </c>
      <c r="C344" s="33"/>
      <c r="D344" s="63">
        <f ca="1">IF(TODAY()&gt;=$A344,SUMIFS(Tabla1[Avance_km],Tabla1[Fecha],"&lt;="&amp;Grafico!$A344,Tabla1[nombre_actividad],Grafico!D$1),NA())</f>
        <v>181.88549999999998</v>
      </c>
      <c r="E344" s="63">
        <f ca="1">IF(TODAY()&gt;=$A344,SUMIFS(Tabla1[Avance_km],Tabla1[Fecha],"&lt;="&amp;Grafico!$A344,Tabla1[nombre_actividad],Grafico!E$1),NA())</f>
        <v>171.42099999999985</v>
      </c>
      <c r="F344" s="110">
        <f ca="1">IF(TODAY()&gt;=$A344,SUMIFS(Tabla1[Avance_km],Tabla1[Fecha],"&lt;="&amp;Grafico!$A344,Tabla1[nombre_actividad],Grafico!F$1,Tabla1[Avance_km],"&gt;0"),NA())</f>
        <v>150.32450000000006</v>
      </c>
      <c r="G344" s="67">
        <f ca="1">IF(TODAY()&gt;=$A344,SUMIFS(Tabla1[Avance_Med],Tabla1[Fecha],"&lt;="&amp;Grafico!$A344,Tabla1[nombre_actividad],Grafico!G$1),NA())</f>
        <v>396</v>
      </c>
      <c r="H344" s="63">
        <f ca="1">IF(TODAY()&gt;=$A344,SUMIFS(Tabla1[Avance_km],Tabla1[Fecha],"&lt;="&amp;Grafico!$A344,Tabla1[nombre_actividad],Grafico!H$1),NA())</f>
        <v>0</v>
      </c>
      <c r="I344" s="63">
        <f ca="1">IF(TODAY()&gt;=$A344,SUMIFS(Tabla1[Avance_km],Tabla1[Fecha],"&lt;="&amp;Grafico!$A344,Tabla1[nombre_actividad],Grafico!I$1),NA())</f>
        <v>68.325640246840763</v>
      </c>
    </row>
    <row r="345" spans="1:9" x14ac:dyDescent="0.25">
      <c r="A345" s="62">
        <f t="shared" si="12"/>
        <v>46306</v>
      </c>
      <c r="B345" s="33" t="str">
        <f t="shared" ca="1" si="11"/>
        <v/>
      </c>
      <c r="C345" s="33"/>
      <c r="D345" s="63">
        <f ca="1">IF(TODAY()&gt;=$A345,SUMIFS(Tabla1[Avance_km],Tabla1[Fecha],"&lt;="&amp;Grafico!$A345,Tabla1[nombre_actividad],Grafico!D$1),NA())</f>
        <v>181.88549999999998</v>
      </c>
      <c r="E345" s="63">
        <f ca="1">IF(TODAY()&gt;=$A345,SUMIFS(Tabla1[Avance_km],Tabla1[Fecha],"&lt;="&amp;Grafico!$A345,Tabla1[nombre_actividad],Grafico!E$1),NA())</f>
        <v>171.42099999999985</v>
      </c>
      <c r="F345" s="110">
        <f ca="1">IF(TODAY()&gt;=$A345,SUMIFS(Tabla1[Avance_km],Tabla1[Fecha],"&lt;="&amp;Grafico!$A345,Tabla1[nombre_actividad],Grafico!F$1,Tabla1[Avance_km],"&gt;0"),NA())</f>
        <v>150.32450000000006</v>
      </c>
      <c r="G345" s="67">
        <f ca="1">IF(TODAY()&gt;=$A345,SUMIFS(Tabla1[Avance_Med],Tabla1[Fecha],"&lt;="&amp;Grafico!$A345,Tabla1[nombre_actividad],Grafico!G$1),NA())</f>
        <v>396</v>
      </c>
      <c r="H345" s="63">
        <f ca="1">IF(TODAY()&gt;=$A345,SUMIFS(Tabla1[Avance_km],Tabla1[Fecha],"&lt;="&amp;Grafico!$A345,Tabla1[nombre_actividad],Grafico!H$1),NA())</f>
        <v>0</v>
      </c>
      <c r="I345" s="63">
        <f ca="1">IF(TODAY()&gt;=$A345,SUMIFS(Tabla1[Avance_km],Tabla1[Fecha],"&lt;="&amp;Grafico!$A345,Tabla1[nombre_actividad],Grafico!I$1),NA())</f>
        <v>75.904454348188025</v>
      </c>
    </row>
    <row r="346" spans="1:9" x14ac:dyDescent="0.25">
      <c r="A346" s="62">
        <f t="shared" si="12"/>
        <v>46307</v>
      </c>
      <c r="B346" s="33" t="str">
        <f t="shared" ca="1" si="11"/>
        <v/>
      </c>
      <c r="C346" s="33"/>
      <c r="D346" s="63">
        <f ca="1">IF(TODAY()&gt;=$A346,SUMIFS(Tabla1[Avance_km],Tabla1[Fecha],"&lt;="&amp;Grafico!$A346,Tabla1[nombre_actividad],Grafico!D$1),NA())</f>
        <v>181.88549999999998</v>
      </c>
      <c r="E346" s="63">
        <f ca="1">IF(TODAY()&gt;=$A346,SUMIFS(Tabla1[Avance_km],Tabla1[Fecha],"&lt;="&amp;Grafico!$A346,Tabla1[nombre_actividad],Grafico!E$1),NA())</f>
        <v>171.42099999999985</v>
      </c>
      <c r="F346" s="110">
        <f ca="1">IF(TODAY()&gt;=$A346,SUMIFS(Tabla1[Avance_km],Tabla1[Fecha],"&lt;="&amp;Grafico!$A346,Tabla1[nombre_actividad],Grafico!F$1,Tabla1[Avance_km],"&gt;0"),NA())</f>
        <v>150.32450000000006</v>
      </c>
      <c r="G346" s="67">
        <f ca="1">IF(TODAY()&gt;=$A346,SUMIFS(Tabla1[Avance_Med],Tabla1[Fecha],"&lt;="&amp;Grafico!$A346,Tabla1[nombre_actividad],Grafico!G$1),NA())</f>
        <v>396</v>
      </c>
      <c r="H346" s="63">
        <f ca="1">IF(TODAY()&gt;=$A346,SUMIFS(Tabla1[Avance_km],Tabla1[Fecha],"&lt;="&amp;Grafico!$A346,Tabla1[nombre_actividad],Grafico!H$1),NA())</f>
        <v>0</v>
      </c>
      <c r="I346" s="63">
        <f ca="1">IF(TODAY()&gt;=$A346,SUMIFS(Tabla1[Avance_km],Tabla1[Fecha],"&lt;="&amp;Grafico!$A346,Tabla1[nombre_actividad],Grafico!I$1),NA())</f>
        <v>86.275463118452663</v>
      </c>
    </row>
    <row r="347" spans="1:9" x14ac:dyDescent="0.25">
      <c r="A347" s="62">
        <f t="shared" si="12"/>
        <v>46308</v>
      </c>
      <c r="B347" s="33" t="str">
        <f t="shared" ca="1" si="11"/>
        <v/>
      </c>
      <c r="C347" s="33"/>
      <c r="D347" s="63">
        <f ca="1">IF(TODAY()&gt;=$A347,SUMIFS(Tabla1[Avance_km],Tabla1[Fecha],"&lt;="&amp;Grafico!$A347,Tabla1[nombre_actividad],Grafico!D$1),NA())</f>
        <v>181.88549999999998</v>
      </c>
      <c r="E347" s="63">
        <f ca="1">IF(TODAY()&gt;=$A347,SUMIFS(Tabla1[Avance_km],Tabla1[Fecha],"&lt;="&amp;Grafico!$A347,Tabla1[nombre_actividad],Grafico!E$1),NA())</f>
        <v>172.30449999999985</v>
      </c>
      <c r="F347" s="110">
        <f ca="1">IF(TODAY()&gt;=$A347,SUMIFS(Tabla1[Avance_km],Tabla1[Fecha],"&lt;="&amp;Grafico!$A347,Tabla1[nombre_actividad],Grafico!F$1,Tabla1[Avance_km],"&gt;0"),NA())</f>
        <v>150.32450000000006</v>
      </c>
      <c r="G347" s="67">
        <f ca="1">IF(TODAY()&gt;=$A347,SUMIFS(Tabla1[Avance_Med],Tabla1[Fecha],"&lt;="&amp;Grafico!$A347,Tabla1[nombre_actividad],Grafico!G$1),NA())</f>
        <v>396</v>
      </c>
      <c r="H347" s="63">
        <f ca="1">IF(TODAY()&gt;=$A347,SUMIFS(Tabla1[Avance_km],Tabla1[Fecha],"&lt;="&amp;Grafico!$A347,Tabla1[nombre_actividad],Grafico!H$1),NA())</f>
        <v>0</v>
      </c>
      <c r="I347" s="63">
        <f ca="1">IF(TODAY()&gt;=$A347,SUMIFS(Tabla1[Avance_km],Tabla1[Fecha],"&lt;="&amp;Grafico!$A347,Tabla1[nombre_actividad],Grafico!I$1),NA())</f>
        <v>86.275463118452663</v>
      </c>
    </row>
    <row r="348" spans="1:9" x14ac:dyDescent="0.25">
      <c r="A348" s="62">
        <f t="shared" si="12"/>
        <v>46309</v>
      </c>
      <c r="B348" s="33" t="str">
        <f t="shared" ca="1" si="11"/>
        <v/>
      </c>
      <c r="C348" s="33"/>
      <c r="D348" s="63">
        <f ca="1">IF(TODAY()&gt;=$A348,SUMIFS(Tabla1[Avance_km],Tabla1[Fecha],"&lt;="&amp;Grafico!$A348,Tabla1[nombre_actividad],Grafico!D$1),NA())</f>
        <v>181.88549999999998</v>
      </c>
      <c r="E348" s="63">
        <f ca="1">IF(TODAY()&gt;=$A348,SUMIFS(Tabla1[Avance_km],Tabla1[Fecha],"&lt;="&amp;Grafico!$A348,Tabla1[nombre_actividad],Grafico!E$1),NA())</f>
        <v>173.53649999999988</v>
      </c>
      <c r="F348" s="110">
        <f ca="1">IF(TODAY()&gt;=$A348,SUMIFS(Tabla1[Avance_km],Tabla1[Fecha],"&lt;="&amp;Grafico!$A348,Tabla1[nombre_actividad],Grafico!F$1,Tabla1[Avance_km],"&gt;0"),NA())</f>
        <v>150.32450000000006</v>
      </c>
      <c r="G348" s="67">
        <f ca="1">IF(TODAY()&gt;=$A348,SUMIFS(Tabla1[Avance_Med],Tabla1[Fecha],"&lt;="&amp;Grafico!$A348,Tabla1[nombre_actividad],Grafico!G$1),NA())</f>
        <v>396</v>
      </c>
      <c r="H348" s="63">
        <f ca="1">IF(TODAY()&gt;=$A348,SUMIFS(Tabla1[Avance_km],Tabla1[Fecha],"&lt;="&amp;Grafico!$A348,Tabla1[nombre_actividad],Grafico!H$1),NA())</f>
        <v>0</v>
      </c>
      <c r="I348" s="63">
        <f ca="1">IF(TODAY()&gt;=$A348,SUMIFS(Tabla1[Avance_km],Tabla1[Fecha],"&lt;="&amp;Grafico!$A348,Tabla1[nombre_actividad],Grafico!I$1),NA())</f>
        <v>86.275463118452663</v>
      </c>
    </row>
    <row r="349" spans="1:9" x14ac:dyDescent="0.25">
      <c r="A349" s="62">
        <f t="shared" si="12"/>
        <v>46310</v>
      </c>
      <c r="B349" s="33" t="str">
        <f t="shared" ca="1" si="11"/>
        <v/>
      </c>
      <c r="C349" s="33"/>
      <c r="D349" s="63">
        <f ca="1">IF(TODAY()&gt;=$A349,SUMIFS(Tabla1[Avance_km],Tabla1[Fecha],"&lt;="&amp;Grafico!$A349,Tabla1[nombre_actividad],Grafico!D$1),NA())</f>
        <v>181.88549999999998</v>
      </c>
      <c r="E349" s="63">
        <f ca="1">IF(TODAY()&gt;=$A349,SUMIFS(Tabla1[Avance_km],Tabla1[Fecha],"&lt;="&amp;Grafico!$A349,Tabla1[nombre_actividad],Grafico!E$1),NA())</f>
        <v>176.22249999999988</v>
      </c>
      <c r="F349" s="110">
        <f ca="1">IF(TODAY()&gt;=$A349,SUMIFS(Tabla1[Avance_km],Tabla1[Fecha],"&lt;="&amp;Grafico!$A349,Tabla1[nombre_actividad],Grafico!F$1,Tabla1[Avance_km],"&gt;0"),NA())</f>
        <v>150.32450000000006</v>
      </c>
      <c r="G349" s="67">
        <f ca="1">IF(TODAY()&gt;=$A349,SUMIFS(Tabla1[Avance_Med],Tabla1[Fecha],"&lt;="&amp;Grafico!$A349,Tabla1[nombre_actividad],Grafico!G$1),NA())</f>
        <v>396</v>
      </c>
      <c r="H349" s="63">
        <f ca="1">IF(TODAY()&gt;=$A349,SUMIFS(Tabla1[Avance_km],Tabla1[Fecha],"&lt;="&amp;Grafico!$A349,Tabla1[nombre_actividad],Grafico!H$1),NA())</f>
        <v>0</v>
      </c>
      <c r="I349" s="63">
        <f ca="1">IF(TODAY()&gt;=$A349,SUMIFS(Tabla1[Avance_km],Tabla1[Fecha],"&lt;="&amp;Grafico!$A349,Tabla1[nombre_actividad],Grafico!I$1),NA())</f>
        <v>86.275463118452663</v>
      </c>
    </row>
    <row r="350" spans="1:9" x14ac:dyDescent="0.25">
      <c r="A350" s="62">
        <f t="shared" si="12"/>
        <v>46311</v>
      </c>
      <c r="B350" s="33" t="str">
        <f t="shared" ca="1" si="11"/>
        <v/>
      </c>
      <c r="C350" s="33"/>
      <c r="D350" s="63">
        <f ca="1">IF(TODAY()&gt;=$A350,SUMIFS(Tabla1[Avance_km],Tabla1[Fecha],"&lt;="&amp;Grafico!$A350,Tabla1[nombre_actividad],Grafico!D$1),NA())</f>
        <v>181.88549999999998</v>
      </c>
      <c r="E350" s="63">
        <f ca="1">IF(TODAY()&gt;=$A350,SUMIFS(Tabla1[Avance_km],Tabla1[Fecha],"&lt;="&amp;Grafico!$A350,Tabla1[nombre_actividad],Grafico!E$1),NA())</f>
        <v>179.01449999999988</v>
      </c>
      <c r="F350" s="110">
        <f ca="1">IF(TODAY()&gt;=$A350,SUMIFS(Tabla1[Avance_km],Tabla1[Fecha],"&lt;="&amp;Grafico!$A350,Tabla1[nombre_actividad],Grafico!F$1,Tabla1[Avance_km],"&gt;0"),NA())</f>
        <v>150.32450000000006</v>
      </c>
      <c r="G350" s="67">
        <f ca="1">IF(TODAY()&gt;=$A350,SUMIFS(Tabla1[Avance_Med],Tabla1[Fecha],"&lt;="&amp;Grafico!$A350,Tabla1[nombre_actividad],Grafico!G$1),NA())</f>
        <v>396</v>
      </c>
      <c r="H350" s="63">
        <f ca="1">IF(TODAY()&gt;=$A350,SUMIFS(Tabla1[Avance_km],Tabla1[Fecha],"&lt;="&amp;Grafico!$A350,Tabla1[nombre_actividad],Grafico!H$1),NA())</f>
        <v>0</v>
      </c>
      <c r="I350" s="63">
        <f ca="1">IF(TODAY()&gt;=$A350,SUMIFS(Tabla1[Avance_km],Tabla1[Fecha],"&lt;="&amp;Grafico!$A350,Tabla1[nombre_actividad],Grafico!I$1),NA())</f>
        <v>86.275463118452663</v>
      </c>
    </row>
    <row r="351" spans="1:9" x14ac:dyDescent="0.25">
      <c r="A351" s="62">
        <f t="shared" si="12"/>
        <v>46312</v>
      </c>
      <c r="B351" s="33" t="str">
        <f t="shared" ca="1" si="11"/>
        <v/>
      </c>
      <c r="C351" s="33"/>
      <c r="D351" s="63">
        <f ca="1">IF(TODAY()&gt;=$A351,SUMIFS(Tabla1[Avance_km],Tabla1[Fecha],"&lt;="&amp;Grafico!$A351,Tabla1[nombre_actividad],Grafico!D$1),NA())</f>
        <v>181.88549999999998</v>
      </c>
      <c r="E351" s="63">
        <f ca="1">IF(TODAY()&gt;=$A351,SUMIFS(Tabla1[Avance_km],Tabla1[Fecha],"&lt;="&amp;Grafico!$A351,Tabla1[nombre_actividad],Grafico!E$1),NA())</f>
        <v>180.42549999999989</v>
      </c>
      <c r="F351" s="110">
        <f ca="1">IF(TODAY()&gt;=$A351,SUMIFS(Tabla1[Avance_km],Tabla1[Fecha],"&lt;="&amp;Grafico!$A351,Tabla1[nombre_actividad],Grafico!F$1,Tabla1[Avance_km],"&gt;0"),NA())</f>
        <v>150.32450000000006</v>
      </c>
      <c r="G351" s="67">
        <f ca="1">IF(TODAY()&gt;=$A351,SUMIFS(Tabla1[Avance_Med],Tabla1[Fecha],"&lt;="&amp;Grafico!$A351,Tabla1[nombre_actividad],Grafico!G$1),NA())</f>
        <v>396</v>
      </c>
      <c r="H351" s="63">
        <f ca="1">IF(TODAY()&gt;=$A351,SUMIFS(Tabla1[Avance_km],Tabla1[Fecha],"&lt;="&amp;Grafico!$A351,Tabla1[nombre_actividad],Grafico!H$1),NA())</f>
        <v>0</v>
      </c>
      <c r="I351" s="63">
        <f ca="1">IF(TODAY()&gt;=$A351,SUMIFS(Tabla1[Avance_km],Tabla1[Fecha],"&lt;="&amp;Grafico!$A351,Tabla1[nombre_actividad],Grafico!I$1),NA())</f>
        <v>86.275463118452663</v>
      </c>
    </row>
    <row r="352" spans="1:9" x14ac:dyDescent="0.25">
      <c r="A352" s="62">
        <f t="shared" si="12"/>
        <v>46313</v>
      </c>
      <c r="B352" s="33" t="str">
        <f t="shared" ca="1" si="11"/>
        <v/>
      </c>
      <c r="C352" s="33"/>
      <c r="D352" s="63">
        <f ca="1">IF(TODAY()&gt;=$A352,SUMIFS(Tabla1[Avance_km],Tabla1[Fecha],"&lt;="&amp;Grafico!$A352,Tabla1[nombre_actividad],Grafico!D$1),NA())</f>
        <v>181.88549999999998</v>
      </c>
      <c r="E352" s="63">
        <f ca="1">IF(TODAY()&gt;=$A352,SUMIFS(Tabla1[Avance_km],Tabla1[Fecha],"&lt;="&amp;Grafico!$A352,Tabla1[nombre_actividad],Grafico!E$1),NA())</f>
        <v>180.42549999999989</v>
      </c>
      <c r="F352" s="110">
        <f ca="1">IF(TODAY()&gt;=$A352,SUMIFS(Tabla1[Avance_km],Tabla1[Fecha],"&lt;="&amp;Grafico!$A352,Tabla1[nombre_actividad],Grafico!F$1,Tabla1[Avance_km],"&gt;0"),NA())</f>
        <v>150.32450000000006</v>
      </c>
      <c r="G352" s="67">
        <f ca="1">IF(TODAY()&gt;=$A352,SUMIFS(Tabla1[Avance_Med],Tabla1[Fecha],"&lt;="&amp;Grafico!$A352,Tabla1[nombre_actividad],Grafico!G$1),NA())</f>
        <v>396</v>
      </c>
      <c r="H352" s="63">
        <f ca="1">IF(TODAY()&gt;=$A352,SUMIFS(Tabla1[Avance_km],Tabla1[Fecha],"&lt;="&amp;Grafico!$A352,Tabla1[nombre_actividad],Grafico!H$1),NA())</f>
        <v>0</v>
      </c>
      <c r="I352" s="63">
        <f ca="1">IF(TODAY()&gt;=$A352,SUMIFS(Tabla1[Avance_km],Tabla1[Fecha],"&lt;="&amp;Grafico!$A352,Tabla1[nombre_actividad],Grafico!I$1),NA())</f>
        <v>86.275463118452663</v>
      </c>
    </row>
    <row r="353" spans="1:9" x14ac:dyDescent="0.25">
      <c r="A353" s="62">
        <f t="shared" si="12"/>
        <v>46314</v>
      </c>
      <c r="B353" s="33" t="str">
        <f t="shared" ca="1" si="11"/>
        <v/>
      </c>
      <c r="C353" s="33"/>
      <c r="D353" s="63">
        <f ca="1">IF(TODAY()&gt;=$A353,SUMIFS(Tabla1[Avance_km],Tabla1[Fecha],"&lt;="&amp;Grafico!$A353,Tabla1[nombre_actividad],Grafico!D$1),NA())</f>
        <v>181.88549999999998</v>
      </c>
      <c r="E353" s="63">
        <f ca="1">IF(TODAY()&gt;=$A353,SUMIFS(Tabla1[Avance_km],Tabla1[Fecha],"&lt;="&amp;Grafico!$A353,Tabla1[nombre_actividad],Grafico!E$1),NA())</f>
        <v>180.42549999999989</v>
      </c>
      <c r="F353" s="110">
        <f ca="1">IF(TODAY()&gt;=$A353,SUMIFS(Tabla1[Avance_km],Tabla1[Fecha],"&lt;="&amp;Grafico!$A353,Tabla1[nombre_actividad],Grafico!F$1,Tabla1[Avance_km],"&gt;0"),NA())</f>
        <v>150.32450000000006</v>
      </c>
      <c r="G353" s="67">
        <f ca="1">IF(TODAY()&gt;=$A353,SUMIFS(Tabla1[Avance_Med],Tabla1[Fecha],"&lt;="&amp;Grafico!$A353,Tabla1[nombre_actividad],Grafico!G$1),NA())</f>
        <v>396</v>
      </c>
      <c r="H353" s="63">
        <f ca="1">IF(TODAY()&gt;=$A353,SUMIFS(Tabla1[Avance_km],Tabla1[Fecha],"&lt;="&amp;Grafico!$A353,Tabla1[nombre_actividad],Grafico!H$1),NA())</f>
        <v>0</v>
      </c>
      <c r="I353" s="63">
        <f ca="1">IF(TODAY()&gt;=$A353,SUMIFS(Tabla1[Avance_km],Tabla1[Fecha],"&lt;="&amp;Grafico!$A353,Tabla1[nombre_actividad],Grafico!I$1),NA())</f>
        <v>89.593444351312982</v>
      </c>
    </row>
    <row r="354" spans="1:9" x14ac:dyDescent="0.25">
      <c r="A354" s="62">
        <f t="shared" si="12"/>
        <v>46315</v>
      </c>
      <c r="B354" s="33" t="str">
        <f t="shared" ca="1" si="11"/>
        <v/>
      </c>
      <c r="C354" s="33"/>
      <c r="D354" s="63">
        <f ca="1">IF(TODAY()&gt;=$A354,SUMIFS(Tabla1[Avance_km],Tabla1[Fecha],"&lt;="&amp;Grafico!$A354,Tabla1[nombre_actividad],Grafico!D$1),NA())</f>
        <v>181.88549999999998</v>
      </c>
      <c r="E354" s="63">
        <f ca="1">IF(TODAY()&gt;=$A354,SUMIFS(Tabla1[Avance_km],Tabla1[Fecha],"&lt;="&amp;Grafico!$A354,Tabla1[nombre_actividad],Grafico!E$1),NA())</f>
        <v>180.42549999999989</v>
      </c>
      <c r="F354" s="110">
        <f ca="1">IF(TODAY()&gt;=$A354,SUMIFS(Tabla1[Avance_km],Tabla1[Fecha],"&lt;="&amp;Grafico!$A354,Tabla1[nombre_actividad],Grafico!F$1,Tabla1[Avance_km],"&gt;0"),NA())</f>
        <v>150.32450000000006</v>
      </c>
      <c r="G354" s="67">
        <f ca="1">IF(TODAY()&gt;=$A354,SUMIFS(Tabla1[Avance_Med],Tabla1[Fecha],"&lt;="&amp;Grafico!$A354,Tabla1[nombre_actividad],Grafico!G$1),NA())</f>
        <v>396</v>
      </c>
      <c r="H354" s="63">
        <f ca="1">IF(TODAY()&gt;=$A354,SUMIFS(Tabla1[Avance_km],Tabla1[Fecha],"&lt;="&amp;Grafico!$A354,Tabla1[nombre_actividad],Grafico!H$1),NA())</f>
        <v>0</v>
      </c>
      <c r="I354" s="63">
        <f ca="1">IF(TODAY()&gt;=$A354,SUMIFS(Tabla1[Avance_km],Tabla1[Fecha],"&lt;="&amp;Grafico!$A354,Tabla1[nombre_actividad],Grafico!I$1),NA())</f>
        <v>96.450605565890939</v>
      </c>
    </row>
    <row r="355" spans="1:9" x14ac:dyDescent="0.25">
      <c r="A355" s="62">
        <f t="shared" si="12"/>
        <v>46316</v>
      </c>
      <c r="B355" s="33" t="str">
        <f t="shared" ca="1" si="11"/>
        <v/>
      </c>
      <c r="C355" s="33"/>
      <c r="D355" s="63">
        <f ca="1">IF(TODAY()&gt;=$A355,SUMIFS(Tabla1[Avance_km],Tabla1[Fecha],"&lt;="&amp;Grafico!$A355,Tabla1[nombre_actividad],Grafico!D$1),NA())</f>
        <v>181.88549999999998</v>
      </c>
      <c r="E355" s="63">
        <f ca="1">IF(TODAY()&gt;=$A355,SUMIFS(Tabla1[Avance_km],Tabla1[Fecha],"&lt;="&amp;Grafico!$A355,Tabla1[nombre_actividad],Grafico!E$1),NA())</f>
        <v>180.42549999999989</v>
      </c>
      <c r="F355" s="110">
        <f ca="1">IF(TODAY()&gt;=$A355,SUMIFS(Tabla1[Avance_km],Tabla1[Fecha],"&lt;="&amp;Grafico!$A355,Tabla1[nombre_actividad],Grafico!F$1,Tabla1[Avance_km],"&gt;0"),NA())</f>
        <v>150.32450000000006</v>
      </c>
      <c r="G355" s="67">
        <f ca="1">IF(TODAY()&gt;=$A355,SUMIFS(Tabla1[Avance_Med],Tabla1[Fecha],"&lt;="&amp;Grafico!$A355,Tabla1[nombre_actividad],Grafico!G$1),NA())</f>
        <v>396</v>
      </c>
      <c r="H355" s="63">
        <f ca="1">IF(TODAY()&gt;=$A355,SUMIFS(Tabla1[Avance_km],Tabla1[Fecha],"&lt;="&amp;Grafico!$A355,Tabla1[nombre_actividad],Grafico!H$1),NA())</f>
        <v>0</v>
      </c>
      <c r="I355" s="63">
        <f ca="1">IF(TODAY()&gt;=$A355,SUMIFS(Tabla1[Avance_km],Tabla1[Fecha],"&lt;="&amp;Grafico!$A355,Tabla1[nombre_actividad],Grafico!I$1),NA())</f>
        <v>100.65338179418067</v>
      </c>
    </row>
    <row r="356" spans="1:9" x14ac:dyDescent="0.25">
      <c r="A356" s="62">
        <f t="shared" si="12"/>
        <v>46317</v>
      </c>
      <c r="B356" s="33" t="str">
        <f t="shared" ca="1" si="11"/>
        <v/>
      </c>
      <c r="C356" s="33"/>
      <c r="D356" s="63">
        <f ca="1">IF(TODAY()&gt;=$A356,SUMIFS(Tabla1[Avance_km],Tabla1[Fecha],"&lt;="&amp;Grafico!$A356,Tabla1[nombre_actividad],Grafico!D$1),NA())</f>
        <v>181.88549999999998</v>
      </c>
      <c r="E356" s="63">
        <f ca="1">IF(TODAY()&gt;=$A356,SUMIFS(Tabla1[Avance_km],Tabla1[Fecha],"&lt;="&amp;Grafico!$A356,Tabla1[nombre_actividad],Grafico!E$1),NA())</f>
        <v>180.42549999999989</v>
      </c>
      <c r="F356" s="110">
        <f ca="1">IF(TODAY()&gt;=$A356,SUMIFS(Tabla1[Avance_km],Tabla1[Fecha],"&lt;="&amp;Grafico!$A356,Tabla1[nombre_actividad],Grafico!F$1,Tabla1[Avance_km],"&gt;0"),NA())</f>
        <v>150.32450000000006</v>
      </c>
      <c r="G356" s="67">
        <f ca="1">IF(TODAY()&gt;=$A356,SUMIFS(Tabla1[Avance_Med],Tabla1[Fecha],"&lt;="&amp;Grafico!$A356,Tabla1[nombre_actividad],Grafico!G$1),NA())</f>
        <v>396</v>
      </c>
      <c r="H356" s="63">
        <f ca="1">IF(TODAY()&gt;=$A356,SUMIFS(Tabla1[Avance_km],Tabla1[Fecha],"&lt;="&amp;Grafico!$A356,Tabla1[nombre_actividad],Grafico!H$1),NA())</f>
        <v>0</v>
      </c>
      <c r="I356" s="63">
        <f ca="1">IF(TODAY()&gt;=$A356,SUMIFS(Tabla1[Avance_km],Tabla1[Fecha],"&lt;="&amp;Grafico!$A356,Tabla1[nombre_actividad],Grafico!I$1),NA())</f>
        <v>109.50133174847481</v>
      </c>
    </row>
    <row r="357" spans="1:9" x14ac:dyDescent="0.25">
      <c r="A357" s="62">
        <f t="shared" si="12"/>
        <v>46318</v>
      </c>
      <c r="B357" s="33" t="str">
        <f t="shared" ca="1" si="11"/>
        <v/>
      </c>
      <c r="C357" s="33"/>
      <c r="D357" s="63">
        <f ca="1">IF(TODAY()&gt;=$A357,SUMIFS(Tabla1[Avance_km],Tabla1[Fecha],"&lt;="&amp;Grafico!$A357,Tabla1[nombre_actividad],Grafico!D$1),NA())</f>
        <v>181.88549999999998</v>
      </c>
      <c r="E357" s="63">
        <f ca="1">IF(TODAY()&gt;=$A357,SUMIFS(Tabla1[Avance_km],Tabla1[Fecha],"&lt;="&amp;Grafico!$A357,Tabla1[nombre_actividad],Grafico!E$1),NA())</f>
        <v>180.42549999999989</v>
      </c>
      <c r="F357" s="110">
        <f ca="1">IF(TODAY()&gt;=$A357,SUMIFS(Tabla1[Avance_km],Tabla1[Fecha],"&lt;="&amp;Grafico!$A357,Tabla1[nombre_actividad],Grafico!F$1,Tabla1[Avance_km],"&gt;0"),NA())</f>
        <v>150.32450000000006</v>
      </c>
      <c r="G357" s="67">
        <f ca="1">IF(TODAY()&gt;=$A357,SUMIFS(Tabla1[Avance_Med],Tabla1[Fecha],"&lt;="&amp;Grafico!$A357,Tabla1[nombre_actividad],Grafico!G$1),NA())</f>
        <v>396</v>
      </c>
      <c r="H357" s="63">
        <f ca="1">IF(TODAY()&gt;=$A357,SUMIFS(Tabla1[Avance_km],Tabla1[Fecha],"&lt;="&amp;Grafico!$A357,Tabla1[nombre_actividad],Grafico!H$1),NA())</f>
        <v>0</v>
      </c>
      <c r="I357" s="63">
        <f ca="1">IF(TODAY()&gt;=$A357,SUMIFS(Tabla1[Avance_km],Tabla1[Fecha],"&lt;="&amp;Grafico!$A357,Tabla1[nombre_actividad],Grafico!I$1),NA())</f>
        <v>118.7916792004837</v>
      </c>
    </row>
    <row r="358" spans="1:9" x14ac:dyDescent="0.25">
      <c r="A358" s="62">
        <f t="shared" si="12"/>
        <v>46319</v>
      </c>
      <c r="B358" s="33" t="str">
        <f t="shared" ca="1" si="11"/>
        <v/>
      </c>
      <c r="C358" s="33"/>
      <c r="D358" s="63">
        <f ca="1">IF(TODAY()&gt;=$A358,SUMIFS(Tabla1[Avance_km],Tabla1[Fecha],"&lt;="&amp;Grafico!$A358,Tabla1[nombre_actividad],Grafico!D$1),NA())</f>
        <v>181.88549999999998</v>
      </c>
      <c r="E358" s="63">
        <f ca="1">IF(TODAY()&gt;=$A358,SUMIFS(Tabla1[Avance_km],Tabla1[Fecha],"&lt;="&amp;Grafico!$A358,Tabla1[nombre_actividad],Grafico!E$1),NA())</f>
        <v>181.92549999999989</v>
      </c>
      <c r="F358" s="110">
        <f ca="1">IF(TODAY()&gt;=$A358,SUMIFS(Tabla1[Avance_km],Tabla1[Fecha],"&lt;="&amp;Grafico!$A358,Tabla1[nombre_actividad],Grafico!F$1,Tabla1[Avance_km],"&gt;0"),NA())</f>
        <v>150.32450000000006</v>
      </c>
      <c r="G358" s="67">
        <f ca="1">IF(TODAY()&gt;=$A358,SUMIFS(Tabla1[Avance_Med],Tabla1[Fecha],"&lt;="&amp;Grafico!$A358,Tabla1[nombre_actividad],Grafico!G$1),NA())</f>
        <v>396</v>
      </c>
      <c r="H358" s="63">
        <f ca="1">IF(TODAY()&gt;=$A358,SUMIFS(Tabla1[Avance_km],Tabla1[Fecha],"&lt;="&amp;Grafico!$A358,Tabla1[nombre_actividad],Grafico!H$1),NA())</f>
        <v>0</v>
      </c>
      <c r="I358" s="63">
        <f ca="1">IF(TODAY()&gt;=$A358,SUMIFS(Tabla1[Avance_km],Tabla1[Fecha],"&lt;="&amp;Grafico!$A358,Tabla1[nombre_actividad],Grafico!I$1),NA())</f>
        <v>118.7916792004837</v>
      </c>
    </row>
    <row r="359" spans="1:9" x14ac:dyDescent="0.25">
      <c r="A359" s="62">
        <f t="shared" si="12"/>
        <v>46320</v>
      </c>
      <c r="B359" s="33" t="str">
        <f t="shared" ca="1" si="11"/>
        <v/>
      </c>
      <c r="C359" s="33"/>
      <c r="D359" s="63">
        <f ca="1">IF(TODAY()&gt;=$A359,SUMIFS(Tabla1[Avance_km],Tabla1[Fecha],"&lt;="&amp;Grafico!$A359,Tabla1[nombre_actividad],Grafico!D$1),NA())</f>
        <v>181.88549999999998</v>
      </c>
      <c r="E359" s="63">
        <f ca="1">IF(TODAY()&gt;=$A359,SUMIFS(Tabla1[Avance_km],Tabla1[Fecha],"&lt;="&amp;Grafico!$A359,Tabla1[nombre_actividad],Grafico!E$1),NA())</f>
        <v>181.92549999999989</v>
      </c>
      <c r="F359" s="110">
        <f ca="1">IF(TODAY()&gt;=$A359,SUMIFS(Tabla1[Avance_km],Tabla1[Fecha],"&lt;="&amp;Grafico!$A359,Tabla1[nombre_actividad],Grafico!F$1,Tabla1[Avance_km],"&gt;0"),NA())</f>
        <v>150.32450000000006</v>
      </c>
      <c r="G359" s="67">
        <f ca="1">IF(TODAY()&gt;=$A359,SUMIFS(Tabla1[Avance_Med],Tabla1[Fecha],"&lt;="&amp;Grafico!$A359,Tabla1[nombre_actividad],Grafico!G$1),NA())</f>
        <v>396</v>
      </c>
      <c r="H359" s="63">
        <f ca="1">IF(TODAY()&gt;=$A359,SUMIFS(Tabla1[Avance_km],Tabla1[Fecha],"&lt;="&amp;Grafico!$A359,Tabla1[nombre_actividad],Grafico!H$1),NA())</f>
        <v>0</v>
      </c>
      <c r="I359" s="63">
        <f ca="1">IF(TODAY()&gt;=$A359,SUMIFS(Tabla1[Avance_km],Tabla1[Fecha],"&lt;="&amp;Grafico!$A359,Tabla1[nombre_actividad],Grafico!I$1),NA())</f>
        <v>118.7916792004837</v>
      </c>
    </row>
    <row r="360" spans="1:9" x14ac:dyDescent="0.25">
      <c r="A360" s="62">
        <f t="shared" si="12"/>
        <v>46321</v>
      </c>
      <c r="B360" s="33">
        <f t="shared" ca="1" si="11"/>
        <v>200</v>
      </c>
      <c r="C360" s="33"/>
      <c r="D360" s="63">
        <f ca="1">IF(TODAY()&gt;=$A360,SUMIFS(Tabla1[Avance_km],Tabla1[Fecha],"&lt;="&amp;Grafico!$A360,Tabla1[nombre_actividad],Grafico!D$1),NA())</f>
        <v>181.88549999999998</v>
      </c>
      <c r="E360" s="63">
        <f ca="1">IF(TODAY()&gt;=$A360,SUMIFS(Tabla1[Avance_km],Tabla1[Fecha],"&lt;="&amp;Grafico!$A360,Tabla1[nombre_actividad],Grafico!E$1),NA())</f>
        <v>181.92549999999989</v>
      </c>
      <c r="F360" s="110">
        <f ca="1">IF(TODAY()&gt;=$A360,SUMIFS(Tabla1[Avance_km],Tabla1[Fecha],"&lt;="&amp;Grafico!$A360,Tabla1[nombre_actividad],Grafico!F$1,Tabla1[Avance_km],"&gt;0"),NA())</f>
        <v>150.32450000000006</v>
      </c>
      <c r="G360" s="67">
        <f ca="1">IF(TODAY()&gt;=$A360,SUMIFS(Tabla1[Avance_Med],Tabla1[Fecha],"&lt;="&amp;Grafico!$A360,Tabla1[nombre_actividad],Grafico!G$1),NA())</f>
        <v>396</v>
      </c>
      <c r="H360" s="63">
        <f ca="1">IF(TODAY()&gt;=$A360,SUMIFS(Tabla1[Avance_km],Tabla1[Fecha],"&lt;="&amp;Grafico!$A360,Tabla1[nombre_actividad],Grafico!H$1),NA())</f>
        <v>0</v>
      </c>
      <c r="I360" s="63">
        <f ca="1">IF(TODAY()&gt;=$A360,SUMIFS(Tabla1[Avance_km],Tabla1[Fecha],"&lt;="&amp;Grafico!$A360,Tabla1[nombre_actividad],Grafico!I$1),NA())</f>
        <v>118.7916792004837</v>
      </c>
    </row>
    <row r="361" spans="1:9" x14ac:dyDescent="0.25">
      <c r="A361" s="62">
        <f t="shared" si="12"/>
        <v>46322</v>
      </c>
      <c r="B361" s="33" t="str">
        <f t="shared" ca="1" si="11"/>
        <v/>
      </c>
      <c r="C361" s="33"/>
      <c r="D361" s="63" t="e">
        <f ca="1">IF(TODAY()&gt;=$A361,SUMIFS(Tabla1[Avance_km],Tabla1[Fecha],"&lt;="&amp;Grafico!$A361,Tabla1[nombre_actividad],Grafico!D$1),NA())</f>
        <v>#N/A</v>
      </c>
      <c r="E361" s="63" t="e">
        <f ca="1">IF(TODAY()&gt;=$A361,SUMIFS(Tabla1[Avance_km],Tabla1[Fecha],"&lt;="&amp;Grafico!$A361,Tabla1[nombre_actividad],Grafico!E$1),NA())</f>
        <v>#N/A</v>
      </c>
      <c r="F361" s="110" t="e">
        <f ca="1">IF(TODAY()&gt;=$A361,SUMIFS(Tabla1[Avance_km],Tabla1[Fecha],"&lt;="&amp;Grafico!$A361,Tabla1[nombre_actividad],Grafico!F$1,Tabla1[Avance_km],"&gt;0"),NA())</f>
        <v>#N/A</v>
      </c>
      <c r="G361" s="67" t="e">
        <f ca="1">IF(TODAY()&gt;=$A361,SUMIFS(Tabla1[Avance_Med],Tabla1[Fecha],"&lt;="&amp;Grafico!$A361,Tabla1[nombre_actividad],Grafico!G$1),NA())</f>
        <v>#N/A</v>
      </c>
      <c r="H361" s="63" t="e">
        <f ca="1">IF(TODAY()&gt;=$A361,SUMIFS(Tabla1[Avance_km],Tabla1[Fecha],"&lt;="&amp;Grafico!$A361,Tabla1[nombre_actividad],Grafico!H$1),NA())</f>
        <v>#N/A</v>
      </c>
      <c r="I361" s="63" t="e">
        <f ca="1">IF(TODAY()&gt;=$A361,SUMIFS(Tabla1[Avance_km],Tabla1[Fecha],"&lt;="&amp;Grafico!$A361,Tabla1[nombre_actividad],Grafico!I$1),NA())</f>
        <v>#N/A</v>
      </c>
    </row>
    <row r="362" spans="1:9" x14ac:dyDescent="0.25">
      <c r="A362" s="62">
        <f t="shared" si="12"/>
        <v>46323</v>
      </c>
      <c r="B362" s="33" t="str">
        <f t="shared" ca="1" si="11"/>
        <v/>
      </c>
      <c r="C362" s="33"/>
      <c r="D362" s="63" t="e">
        <f ca="1">IF(TODAY()&gt;=$A362,SUMIFS(Tabla1[Avance_km],Tabla1[Fecha],"&lt;="&amp;Grafico!$A362,Tabla1[nombre_actividad],Grafico!D$1),NA())</f>
        <v>#N/A</v>
      </c>
      <c r="E362" s="63" t="e">
        <f ca="1">IF(TODAY()&gt;=$A362,SUMIFS(Tabla1[Avance_km],Tabla1[Fecha],"&lt;="&amp;Grafico!$A362,Tabla1[nombre_actividad],Grafico!E$1),NA())</f>
        <v>#N/A</v>
      </c>
      <c r="F362" s="110" t="e">
        <f ca="1">IF(TODAY()&gt;=$A362,SUMIFS(Tabla1[Avance_km],Tabla1[Fecha],"&lt;="&amp;Grafico!$A362,Tabla1[nombre_actividad],Grafico!F$1,Tabla1[Avance_km],"&gt;0"),NA())</f>
        <v>#N/A</v>
      </c>
      <c r="G362" s="67" t="e">
        <f ca="1">IF(TODAY()&gt;=$A362,SUMIFS(Tabla1[Avance_Med],Tabla1[Fecha],"&lt;="&amp;Grafico!$A362,Tabla1[nombre_actividad],Grafico!G$1),NA())</f>
        <v>#N/A</v>
      </c>
      <c r="H362" s="63" t="e">
        <f ca="1">IF(TODAY()&gt;=$A362,SUMIFS(Tabla1[Avance_km],Tabla1[Fecha],"&lt;="&amp;Grafico!$A362,Tabla1[nombre_actividad],Grafico!H$1),NA())</f>
        <v>#N/A</v>
      </c>
      <c r="I362" s="63" t="e">
        <f ca="1">IF(TODAY()&gt;=$A362,SUMIFS(Tabla1[Avance_km],Tabla1[Fecha],"&lt;="&amp;Grafico!$A362,Tabla1[nombre_actividad],Grafico!I$1),NA())</f>
        <v>#N/A</v>
      </c>
    </row>
    <row r="363" spans="1:9" x14ac:dyDescent="0.25">
      <c r="A363" s="62">
        <f t="shared" si="12"/>
        <v>46324</v>
      </c>
      <c r="B363" s="33" t="str">
        <f t="shared" ca="1" si="11"/>
        <v/>
      </c>
      <c r="C363" s="33"/>
      <c r="D363" s="63" t="e">
        <f ca="1">IF(TODAY()&gt;=$A363,SUMIFS(Tabla1[Avance_km],Tabla1[Fecha],"&lt;="&amp;Grafico!$A363,Tabla1[nombre_actividad],Grafico!D$1),NA())</f>
        <v>#N/A</v>
      </c>
      <c r="E363" s="63" t="e">
        <f ca="1">IF(TODAY()&gt;=$A363,SUMIFS(Tabla1[Avance_km],Tabla1[Fecha],"&lt;="&amp;Grafico!$A363,Tabla1[nombre_actividad],Grafico!E$1),NA())</f>
        <v>#N/A</v>
      </c>
      <c r="F363" s="110" t="e">
        <f ca="1">IF(TODAY()&gt;=$A363,SUMIFS(Tabla1[Avance_km],Tabla1[Fecha],"&lt;="&amp;Grafico!$A363,Tabla1[nombre_actividad],Grafico!F$1,Tabla1[Avance_km],"&gt;0"),NA())</f>
        <v>#N/A</v>
      </c>
      <c r="G363" s="67" t="e">
        <f ca="1">IF(TODAY()&gt;=$A363,SUMIFS(Tabla1[Avance_Med],Tabla1[Fecha],"&lt;="&amp;Grafico!$A363,Tabla1[nombre_actividad],Grafico!G$1),NA())</f>
        <v>#N/A</v>
      </c>
      <c r="H363" s="63" t="e">
        <f ca="1">IF(TODAY()&gt;=$A363,SUMIFS(Tabla1[Avance_km],Tabla1[Fecha],"&lt;="&amp;Grafico!$A363,Tabla1[nombre_actividad],Grafico!H$1),NA())</f>
        <v>#N/A</v>
      </c>
      <c r="I363" s="63" t="e">
        <f ca="1">IF(TODAY()&gt;=$A363,SUMIFS(Tabla1[Avance_km],Tabla1[Fecha],"&lt;="&amp;Grafico!$A363,Tabla1[nombre_actividad],Grafico!I$1),NA())</f>
        <v>#N/A</v>
      </c>
    </row>
    <row r="364" spans="1:9" x14ac:dyDescent="0.25">
      <c r="A364" s="62">
        <f t="shared" si="12"/>
        <v>46325</v>
      </c>
      <c r="B364" s="33" t="str">
        <f t="shared" ca="1" si="11"/>
        <v/>
      </c>
      <c r="C364" s="33"/>
      <c r="D364" s="63" t="e">
        <f ca="1">IF(TODAY()&gt;=$A364,SUMIFS(Tabla1[Avance_km],Tabla1[Fecha],"&lt;="&amp;Grafico!$A364,Tabla1[nombre_actividad],Grafico!D$1),NA())</f>
        <v>#N/A</v>
      </c>
      <c r="E364" s="63" t="e">
        <f ca="1">IF(TODAY()&gt;=$A364,SUMIFS(Tabla1[Avance_km],Tabla1[Fecha],"&lt;="&amp;Grafico!$A364,Tabla1[nombre_actividad],Grafico!E$1),NA())</f>
        <v>#N/A</v>
      </c>
      <c r="F364" s="110" t="e">
        <f ca="1">IF(TODAY()&gt;=$A364,SUMIFS(Tabla1[Avance_km],Tabla1[Fecha],"&lt;="&amp;Grafico!$A364,Tabla1[nombre_actividad],Grafico!F$1,Tabla1[Avance_km],"&gt;0"),NA())</f>
        <v>#N/A</v>
      </c>
      <c r="G364" s="67" t="e">
        <f ca="1">IF(TODAY()&gt;=$A364,SUMIFS(Tabla1[Avance_Med],Tabla1[Fecha],"&lt;="&amp;Grafico!$A364,Tabla1[nombre_actividad],Grafico!G$1),NA())</f>
        <v>#N/A</v>
      </c>
      <c r="H364" s="63" t="e">
        <f ca="1">IF(TODAY()&gt;=$A364,SUMIFS(Tabla1[Avance_km],Tabla1[Fecha],"&lt;="&amp;Grafico!$A364,Tabla1[nombre_actividad],Grafico!H$1),NA())</f>
        <v>#N/A</v>
      </c>
      <c r="I364" s="63" t="e">
        <f ca="1">IF(TODAY()&gt;=$A364,SUMIFS(Tabla1[Avance_km],Tabla1[Fecha],"&lt;="&amp;Grafico!$A364,Tabla1[nombre_actividad],Grafico!I$1),NA())</f>
        <v>#N/A</v>
      </c>
    </row>
    <row r="365" spans="1:9" x14ac:dyDescent="0.25">
      <c r="A365" s="62">
        <f t="shared" si="12"/>
        <v>46326</v>
      </c>
      <c r="B365" s="33" t="str">
        <f t="shared" ca="1" si="11"/>
        <v/>
      </c>
      <c r="C365" s="33"/>
      <c r="D365" s="63" t="e">
        <f ca="1">IF(TODAY()&gt;=$A365,SUMIFS(Tabla1[Avance_km],Tabla1[Fecha],"&lt;="&amp;Grafico!$A365,Tabla1[nombre_actividad],Grafico!D$1),NA())</f>
        <v>#N/A</v>
      </c>
      <c r="E365" s="63" t="e">
        <f ca="1">IF(TODAY()&gt;=$A365,SUMIFS(Tabla1[Avance_km],Tabla1[Fecha],"&lt;="&amp;Grafico!$A365,Tabla1[nombre_actividad],Grafico!E$1),NA())</f>
        <v>#N/A</v>
      </c>
      <c r="F365" s="110" t="e">
        <f ca="1">IF(TODAY()&gt;=$A365,SUMIFS(Tabla1[Avance_km],Tabla1[Fecha],"&lt;="&amp;Grafico!$A365,Tabla1[nombre_actividad],Grafico!F$1,Tabla1[Avance_km],"&gt;0"),NA())</f>
        <v>#N/A</v>
      </c>
      <c r="G365" s="67" t="e">
        <f ca="1">IF(TODAY()&gt;=$A365,SUMIFS(Tabla1[Avance_Med],Tabla1[Fecha],"&lt;="&amp;Grafico!$A365,Tabla1[nombre_actividad],Grafico!G$1),NA())</f>
        <v>#N/A</v>
      </c>
      <c r="H365" s="63" t="e">
        <f ca="1">IF(TODAY()&gt;=$A365,SUMIFS(Tabla1[Avance_km],Tabla1[Fecha],"&lt;="&amp;Grafico!$A365,Tabla1[nombre_actividad],Grafico!H$1),NA())</f>
        <v>#N/A</v>
      </c>
      <c r="I365" s="63" t="e">
        <f ca="1">IF(TODAY()&gt;=$A365,SUMIFS(Tabla1[Avance_km],Tabla1[Fecha],"&lt;="&amp;Grafico!$A365,Tabla1[nombre_actividad],Grafico!I$1),NA())</f>
        <v>#N/A</v>
      </c>
    </row>
    <row r="366" spans="1:9" x14ac:dyDescent="0.25">
      <c r="A366" s="62">
        <f t="shared" si="12"/>
        <v>46327</v>
      </c>
      <c r="B366" s="33" t="str">
        <f t="shared" ca="1" si="11"/>
        <v/>
      </c>
      <c r="C366" s="33"/>
      <c r="D366" s="63" t="e">
        <f ca="1">IF(TODAY()&gt;=$A366,SUMIFS(Tabla1[Avance_km],Tabla1[Fecha],"&lt;="&amp;Grafico!$A366,Tabla1[nombre_actividad],Grafico!D$1),NA())</f>
        <v>#N/A</v>
      </c>
      <c r="E366" s="63" t="e">
        <f ca="1">IF(TODAY()&gt;=$A366,SUMIFS(Tabla1[Avance_km],Tabla1[Fecha],"&lt;="&amp;Grafico!$A366,Tabla1[nombre_actividad],Grafico!E$1),NA())</f>
        <v>#N/A</v>
      </c>
      <c r="F366" s="110" t="e">
        <f ca="1">IF(TODAY()&gt;=$A366,SUMIFS(Tabla1[Avance_km],Tabla1[Fecha],"&lt;="&amp;Grafico!$A366,Tabla1[nombre_actividad],Grafico!F$1,Tabla1[Avance_km],"&gt;0"),NA())</f>
        <v>#N/A</v>
      </c>
      <c r="G366" s="67" t="e">
        <f ca="1">IF(TODAY()&gt;=$A366,SUMIFS(Tabla1[Avance_Med],Tabla1[Fecha],"&lt;="&amp;Grafico!$A366,Tabla1[nombre_actividad],Grafico!G$1),NA())</f>
        <v>#N/A</v>
      </c>
      <c r="H366" s="63" t="e">
        <f ca="1">IF(TODAY()&gt;=$A366,SUMIFS(Tabla1[Avance_km],Tabla1[Fecha],"&lt;="&amp;Grafico!$A366,Tabla1[nombre_actividad],Grafico!H$1),NA())</f>
        <v>#N/A</v>
      </c>
      <c r="I366" s="63" t="e">
        <f ca="1">IF(TODAY()&gt;=$A366,SUMIFS(Tabla1[Avance_km],Tabla1[Fecha],"&lt;="&amp;Grafico!$A366,Tabla1[nombre_actividad],Grafico!I$1),NA())</f>
        <v>#N/A</v>
      </c>
    </row>
    <row r="367" spans="1:9" x14ac:dyDescent="0.25">
      <c r="A367" s="62">
        <f t="shared" si="12"/>
        <v>46328</v>
      </c>
      <c r="B367" s="33" t="str">
        <f t="shared" ca="1" si="11"/>
        <v/>
      </c>
      <c r="C367" s="33"/>
      <c r="D367" s="63" t="e">
        <f ca="1">IF(TODAY()&gt;=$A367,SUMIFS(Tabla1[Avance_km],Tabla1[Fecha],"&lt;="&amp;Grafico!$A367,Tabla1[nombre_actividad],Grafico!D$1),NA())</f>
        <v>#N/A</v>
      </c>
      <c r="E367" s="63" t="e">
        <f ca="1">IF(TODAY()&gt;=$A367,SUMIFS(Tabla1[Avance_km],Tabla1[Fecha],"&lt;="&amp;Grafico!$A367,Tabla1[nombre_actividad],Grafico!E$1),NA())</f>
        <v>#N/A</v>
      </c>
      <c r="F367" s="110" t="e">
        <f ca="1">IF(TODAY()&gt;=$A367,SUMIFS(Tabla1[Avance_km],Tabla1[Fecha],"&lt;="&amp;Grafico!$A367,Tabla1[nombre_actividad],Grafico!F$1,Tabla1[Avance_km],"&gt;0"),NA())</f>
        <v>#N/A</v>
      </c>
      <c r="G367" s="67" t="e">
        <f ca="1">IF(TODAY()&gt;=$A367,SUMIFS(Tabla1[Avance_Med],Tabla1[Fecha],"&lt;="&amp;Grafico!$A367,Tabla1[nombre_actividad],Grafico!G$1),NA())</f>
        <v>#N/A</v>
      </c>
      <c r="H367" s="63" t="e">
        <f ca="1">IF(TODAY()&gt;=$A367,SUMIFS(Tabla1[Avance_km],Tabla1[Fecha],"&lt;="&amp;Grafico!$A367,Tabla1[nombre_actividad],Grafico!H$1),NA())</f>
        <v>#N/A</v>
      </c>
      <c r="I367" s="63" t="e">
        <f ca="1">IF(TODAY()&gt;=$A367,SUMIFS(Tabla1[Avance_km],Tabla1[Fecha],"&lt;="&amp;Grafico!$A367,Tabla1[nombre_actividad],Grafico!I$1),NA())</f>
        <v>#N/A</v>
      </c>
    </row>
    <row r="368" spans="1:9" x14ac:dyDescent="0.25">
      <c r="A368" s="62">
        <f t="shared" si="12"/>
        <v>46329</v>
      </c>
      <c r="B368" s="33" t="str">
        <f t="shared" ca="1" si="11"/>
        <v/>
      </c>
      <c r="C368" s="33"/>
      <c r="D368" s="63" t="e">
        <f ca="1">IF(TODAY()&gt;=$A368,SUMIFS(Tabla1[Avance_km],Tabla1[Fecha],"&lt;="&amp;Grafico!$A368,Tabla1[nombre_actividad],Grafico!D$1),NA())</f>
        <v>#N/A</v>
      </c>
      <c r="E368" s="63" t="e">
        <f ca="1">IF(TODAY()&gt;=$A368,SUMIFS(Tabla1[Avance_km],Tabla1[Fecha],"&lt;="&amp;Grafico!$A368,Tabla1[nombre_actividad],Grafico!E$1),NA())</f>
        <v>#N/A</v>
      </c>
      <c r="F368" s="110" t="e">
        <f ca="1">IF(TODAY()&gt;=$A368,SUMIFS(Tabla1[Avance_km],Tabla1[Fecha],"&lt;="&amp;Grafico!$A368,Tabla1[nombre_actividad],Grafico!F$1,Tabla1[Avance_km],"&gt;0"),NA())</f>
        <v>#N/A</v>
      </c>
      <c r="G368" s="67" t="e">
        <f ca="1">IF(TODAY()&gt;=$A368,SUMIFS(Tabla1[Avance_Med],Tabla1[Fecha],"&lt;="&amp;Grafico!$A368,Tabla1[nombre_actividad],Grafico!G$1),NA())</f>
        <v>#N/A</v>
      </c>
      <c r="H368" s="63" t="e">
        <f ca="1">IF(TODAY()&gt;=$A368,SUMIFS(Tabla1[Avance_km],Tabla1[Fecha],"&lt;="&amp;Grafico!$A368,Tabla1[nombre_actividad],Grafico!H$1),NA())</f>
        <v>#N/A</v>
      </c>
      <c r="I368" s="63" t="e">
        <f ca="1">IF(TODAY()&gt;=$A368,SUMIFS(Tabla1[Avance_km],Tabla1[Fecha],"&lt;="&amp;Grafico!$A368,Tabla1[nombre_actividad],Grafico!I$1),NA())</f>
        <v>#N/A</v>
      </c>
    </row>
    <row r="369" spans="1:9" x14ac:dyDescent="0.25">
      <c r="A369" s="62">
        <f t="shared" si="12"/>
        <v>46330</v>
      </c>
      <c r="B369" s="33" t="str">
        <f t="shared" ca="1" si="11"/>
        <v/>
      </c>
      <c r="C369" s="33"/>
      <c r="D369" s="63" t="e">
        <f ca="1">IF(TODAY()&gt;=$A369,SUMIFS(Tabla1[Avance_km],Tabla1[Fecha],"&lt;="&amp;Grafico!$A369,Tabla1[nombre_actividad],Grafico!D$1),NA())</f>
        <v>#N/A</v>
      </c>
      <c r="E369" s="63" t="e">
        <f ca="1">IF(TODAY()&gt;=$A369,SUMIFS(Tabla1[Avance_km],Tabla1[Fecha],"&lt;="&amp;Grafico!$A369,Tabla1[nombre_actividad],Grafico!E$1),NA())</f>
        <v>#N/A</v>
      </c>
      <c r="F369" s="110" t="e">
        <f ca="1">IF(TODAY()&gt;=$A369,SUMIFS(Tabla1[Avance_km],Tabla1[Fecha],"&lt;="&amp;Grafico!$A369,Tabla1[nombre_actividad],Grafico!F$1,Tabla1[Avance_km],"&gt;0"),NA())</f>
        <v>#N/A</v>
      </c>
      <c r="G369" s="67" t="e">
        <f ca="1">IF(TODAY()&gt;=$A369,SUMIFS(Tabla1[Avance_Med],Tabla1[Fecha],"&lt;="&amp;Grafico!$A369,Tabla1[nombre_actividad],Grafico!G$1),NA())</f>
        <v>#N/A</v>
      </c>
      <c r="H369" s="63" t="e">
        <f ca="1">IF(TODAY()&gt;=$A369,SUMIFS(Tabla1[Avance_km],Tabla1[Fecha],"&lt;="&amp;Grafico!$A369,Tabla1[nombre_actividad],Grafico!H$1),NA())</f>
        <v>#N/A</v>
      </c>
      <c r="I369" s="63" t="e">
        <f ca="1">IF(TODAY()&gt;=$A369,SUMIFS(Tabla1[Avance_km],Tabla1[Fecha],"&lt;="&amp;Grafico!$A369,Tabla1[nombre_actividad],Grafico!I$1),NA())</f>
        <v>#N/A</v>
      </c>
    </row>
    <row r="370" spans="1:9" x14ac:dyDescent="0.25">
      <c r="A370" s="62">
        <f t="shared" si="12"/>
        <v>46331</v>
      </c>
      <c r="B370" s="33" t="str">
        <f t="shared" ca="1" si="11"/>
        <v/>
      </c>
      <c r="C370" s="33"/>
      <c r="D370" s="63" t="e">
        <f ca="1">IF(TODAY()&gt;=$A370,SUMIFS(Tabla1[Avance_km],Tabla1[Fecha],"&lt;="&amp;Grafico!$A370,Tabla1[nombre_actividad],Grafico!D$1),NA())</f>
        <v>#N/A</v>
      </c>
      <c r="E370" s="63" t="e">
        <f ca="1">IF(TODAY()&gt;=$A370,SUMIFS(Tabla1[Avance_km],Tabla1[Fecha],"&lt;="&amp;Grafico!$A370,Tabla1[nombre_actividad],Grafico!E$1),NA())</f>
        <v>#N/A</v>
      </c>
      <c r="F370" s="110" t="e">
        <f ca="1">IF(TODAY()&gt;=$A370,SUMIFS(Tabla1[Avance_km],Tabla1[Fecha],"&lt;="&amp;Grafico!$A370,Tabla1[nombre_actividad],Grafico!F$1,Tabla1[Avance_km],"&gt;0"),NA())</f>
        <v>#N/A</v>
      </c>
      <c r="G370" s="67" t="e">
        <f ca="1">IF(TODAY()&gt;=$A370,SUMIFS(Tabla1[Avance_Med],Tabla1[Fecha],"&lt;="&amp;Grafico!$A370,Tabla1[nombre_actividad],Grafico!G$1),NA())</f>
        <v>#N/A</v>
      </c>
      <c r="H370" s="63" t="e">
        <f ca="1">IF(TODAY()&gt;=$A370,SUMIFS(Tabla1[Avance_km],Tabla1[Fecha],"&lt;="&amp;Grafico!$A370,Tabla1[nombre_actividad],Grafico!H$1),NA())</f>
        <v>#N/A</v>
      </c>
      <c r="I370" s="63" t="e">
        <f ca="1">IF(TODAY()&gt;=$A370,SUMIFS(Tabla1[Avance_km],Tabla1[Fecha],"&lt;="&amp;Grafico!$A370,Tabla1[nombre_actividad],Grafico!I$1),NA())</f>
        <v>#N/A</v>
      </c>
    </row>
    <row r="371" spans="1:9" x14ac:dyDescent="0.25">
      <c r="A371" s="62">
        <f t="shared" si="12"/>
        <v>46332</v>
      </c>
      <c r="B371" s="33" t="str">
        <f t="shared" ca="1" si="11"/>
        <v/>
      </c>
      <c r="C371" s="33"/>
      <c r="D371" s="63" t="e">
        <f ca="1">IF(TODAY()&gt;=$A371,SUMIFS(Tabla1[Avance_km],Tabla1[Fecha],"&lt;="&amp;Grafico!$A371,Tabla1[nombre_actividad],Grafico!D$1),NA())</f>
        <v>#N/A</v>
      </c>
      <c r="E371" s="63" t="e">
        <f ca="1">IF(TODAY()&gt;=$A371,SUMIFS(Tabla1[Avance_km],Tabla1[Fecha],"&lt;="&amp;Grafico!$A371,Tabla1[nombre_actividad],Grafico!E$1),NA())</f>
        <v>#N/A</v>
      </c>
      <c r="F371" s="110" t="e">
        <f ca="1">IF(TODAY()&gt;=$A371,SUMIFS(Tabla1[Avance_km],Tabla1[Fecha],"&lt;="&amp;Grafico!$A371,Tabla1[nombre_actividad],Grafico!F$1,Tabla1[Avance_km],"&gt;0"),NA())</f>
        <v>#N/A</v>
      </c>
      <c r="G371" s="67" t="e">
        <f ca="1">IF(TODAY()&gt;=$A371,SUMIFS(Tabla1[Avance_Med],Tabla1[Fecha],"&lt;="&amp;Grafico!$A371,Tabla1[nombre_actividad],Grafico!G$1),NA())</f>
        <v>#N/A</v>
      </c>
      <c r="H371" s="63" t="e">
        <f ca="1">IF(TODAY()&gt;=$A371,SUMIFS(Tabla1[Avance_km],Tabla1[Fecha],"&lt;="&amp;Grafico!$A371,Tabla1[nombre_actividad],Grafico!H$1),NA())</f>
        <v>#N/A</v>
      </c>
      <c r="I371" s="63" t="e">
        <f ca="1">IF(TODAY()&gt;=$A371,SUMIFS(Tabla1[Avance_km],Tabla1[Fecha],"&lt;="&amp;Grafico!$A371,Tabla1[nombre_actividad],Grafico!I$1),NA())</f>
        <v>#N/A</v>
      </c>
    </row>
    <row r="372" spans="1:9" x14ac:dyDescent="0.25">
      <c r="A372" s="62">
        <f t="shared" si="12"/>
        <v>46333</v>
      </c>
      <c r="B372" s="33" t="str">
        <f t="shared" ca="1" si="11"/>
        <v/>
      </c>
      <c r="C372" s="33"/>
      <c r="D372" s="63" t="e">
        <f ca="1">IF(TODAY()&gt;=$A372,SUMIFS(Tabla1[Avance_km],Tabla1[Fecha],"&lt;="&amp;Grafico!$A372,Tabla1[nombre_actividad],Grafico!D$1),NA())</f>
        <v>#N/A</v>
      </c>
      <c r="E372" s="63" t="e">
        <f ca="1">IF(TODAY()&gt;=$A372,SUMIFS(Tabla1[Avance_km],Tabla1[Fecha],"&lt;="&amp;Grafico!$A372,Tabla1[nombre_actividad],Grafico!E$1),NA())</f>
        <v>#N/A</v>
      </c>
      <c r="F372" s="110" t="e">
        <f ca="1">IF(TODAY()&gt;=$A372,SUMIFS(Tabla1[Avance_km],Tabla1[Fecha],"&lt;="&amp;Grafico!$A372,Tabla1[nombre_actividad],Grafico!F$1,Tabla1[Avance_km],"&gt;0"),NA())</f>
        <v>#N/A</v>
      </c>
      <c r="G372" s="67" t="e">
        <f ca="1">IF(TODAY()&gt;=$A372,SUMIFS(Tabla1[Avance_Med],Tabla1[Fecha],"&lt;="&amp;Grafico!$A372,Tabla1[nombre_actividad],Grafico!G$1),NA())</f>
        <v>#N/A</v>
      </c>
      <c r="H372" s="63" t="e">
        <f ca="1">IF(TODAY()&gt;=$A372,SUMIFS(Tabla1[Avance_km],Tabla1[Fecha],"&lt;="&amp;Grafico!$A372,Tabla1[nombre_actividad],Grafico!H$1),NA())</f>
        <v>#N/A</v>
      </c>
      <c r="I372" s="63" t="e">
        <f ca="1">IF(TODAY()&gt;=$A372,SUMIFS(Tabla1[Avance_km],Tabla1[Fecha],"&lt;="&amp;Grafico!$A372,Tabla1[nombre_actividad],Grafico!I$1),NA())</f>
        <v>#N/A</v>
      </c>
    </row>
    <row r="373" spans="1:9" x14ac:dyDescent="0.25">
      <c r="A373" s="62">
        <f t="shared" si="12"/>
        <v>46334</v>
      </c>
      <c r="B373" s="33" t="str">
        <f t="shared" ca="1" si="11"/>
        <v/>
      </c>
      <c r="C373" s="33"/>
      <c r="D373" s="63" t="e">
        <f ca="1">IF(TODAY()&gt;=$A373,SUMIFS(Tabla1[Avance_km],Tabla1[Fecha],"&lt;="&amp;Grafico!$A373,Tabla1[nombre_actividad],Grafico!D$1),NA())</f>
        <v>#N/A</v>
      </c>
      <c r="E373" s="63" t="e">
        <f ca="1">IF(TODAY()&gt;=$A373,SUMIFS(Tabla1[Avance_km],Tabla1[Fecha],"&lt;="&amp;Grafico!$A373,Tabla1[nombre_actividad],Grafico!E$1),NA())</f>
        <v>#N/A</v>
      </c>
      <c r="F373" s="110" t="e">
        <f ca="1">IF(TODAY()&gt;=$A373,SUMIFS(Tabla1[Avance_km],Tabla1[Fecha],"&lt;="&amp;Grafico!$A373,Tabla1[nombre_actividad],Grafico!F$1,Tabla1[Avance_km],"&gt;0"),NA())</f>
        <v>#N/A</v>
      </c>
      <c r="G373" s="67" t="e">
        <f ca="1">IF(TODAY()&gt;=$A373,SUMIFS(Tabla1[Avance_Med],Tabla1[Fecha],"&lt;="&amp;Grafico!$A373,Tabla1[nombre_actividad],Grafico!G$1),NA())</f>
        <v>#N/A</v>
      </c>
      <c r="H373" s="63" t="e">
        <f ca="1">IF(TODAY()&gt;=$A373,SUMIFS(Tabla1[Avance_km],Tabla1[Fecha],"&lt;="&amp;Grafico!$A373,Tabla1[nombre_actividad],Grafico!H$1),NA())</f>
        <v>#N/A</v>
      </c>
      <c r="I373" s="63" t="e">
        <f ca="1">IF(TODAY()&gt;=$A373,SUMIFS(Tabla1[Avance_km],Tabla1[Fecha],"&lt;="&amp;Grafico!$A373,Tabla1[nombre_actividad],Grafico!I$1),NA())</f>
        <v>#N/A</v>
      </c>
    </row>
    <row r="374" spans="1:9" x14ac:dyDescent="0.25">
      <c r="A374" s="62">
        <f t="shared" si="12"/>
        <v>46335</v>
      </c>
      <c r="B374" s="33" t="str">
        <f t="shared" ca="1" si="11"/>
        <v/>
      </c>
      <c r="C374" s="33"/>
      <c r="D374" s="63" t="e">
        <f ca="1">IF(TODAY()&gt;=$A374,SUMIFS(Tabla1[Avance_km],Tabla1[Fecha],"&lt;="&amp;Grafico!$A374,Tabla1[nombre_actividad],Grafico!D$1),NA())</f>
        <v>#N/A</v>
      </c>
      <c r="E374" s="63" t="e">
        <f ca="1">IF(TODAY()&gt;=$A374,SUMIFS(Tabla1[Avance_km],Tabla1[Fecha],"&lt;="&amp;Grafico!$A374,Tabla1[nombre_actividad],Grafico!E$1),NA())</f>
        <v>#N/A</v>
      </c>
      <c r="F374" s="110" t="e">
        <f ca="1">IF(TODAY()&gt;=$A374,SUMIFS(Tabla1[Avance_km],Tabla1[Fecha],"&lt;="&amp;Grafico!$A374,Tabla1[nombre_actividad],Grafico!F$1,Tabla1[Avance_km],"&gt;0"),NA())</f>
        <v>#N/A</v>
      </c>
      <c r="G374" s="67" t="e">
        <f ca="1">IF(TODAY()&gt;=$A374,SUMIFS(Tabla1[Avance_Med],Tabla1[Fecha],"&lt;="&amp;Grafico!$A374,Tabla1[nombre_actividad],Grafico!G$1),NA())</f>
        <v>#N/A</v>
      </c>
      <c r="H374" s="63" t="e">
        <f ca="1">IF(TODAY()&gt;=$A374,SUMIFS(Tabla1[Avance_km],Tabla1[Fecha],"&lt;="&amp;Grafico!$A374,Tabla1[nombre_actividad],Grafico!H$1),NA())</f>
        <v>#N/A</v>
      </c>
      <c r="I374" s="63" t="e">
        <f ca="1">IF(TODAY()&gt;=$A374,SUMIFS(Tabla1[Avance_km],Tabla1[Fecha],"&lt;="&amp;Grafico!$A374,Tabla1[nombre_actividad],Grafico!I$1),NA())</f>
        <v>#N/A</v>
      </c>
    </row>
    <row r="375" spans="1:9" x14ac:dyDescent="0.25">
      <c r="A375" s="62">
        <f t="shared" si="12"/>
        <v>46336</v>
      </c>
      <c r="B375" s="33" t="str">
        <f t="shared" ca="1" si="11"/>
        <v/>
      </c>
      <c r="C375" s="33"/>
      <c r="D375" s="63" t="e">
        <f ca="1">IF(TODAY()&gt;=$A375,SUMIFS(Tabla1[Avance_km],Tabla1[Fecha],"&lt;="&amp;Grafico!$A375,Tabla1[nombre_actividad],Grafico!D$1),NA())</f>
        <v>#N/A</v>
      </c>
      <c r="E375" s="63" t="e">
        <f ca="1">IF(TODAY()&gt;=$A375,SUMIFS(Tabla1[Avance_km],Tabla1[Fecha],"&lt;="&amp;Grafico!$A375,Tabla1[nombre_actividad],Grafico!E$1),NA())</f>
        <v>#N/A</v>
      </c>
      <c r="F375" s="110" t="e">
        <f ca="1">IF(TODAY()&gt;=$A375,SUMIFS(Tabla1[Avance_km],Tabla1[Fecha],"&lt;="&amp;Grafico!$A375,Tabla1[nombre_actividad],Grafico!F$1,Tabla1[Avance_km],"&gt;0"),NA())</f>
        <v>#N/A</v>
      </c>
      <c r="G375" s="67" t="e">
        <f ca="1">IF(TODAY()&gt;=$A375,SUMIFS(Tabla1[Avance_Med],Tabla1[Fecha],"&lt;="&amp;Grafico!$A375,Tabla1[nombre_actividad],Grafico!G$1),NA())</f>
        <v>#N/A</v>
      </c>
      <c r="H375" s="63" t="e">
        <f ca="1">IF(TODAY()&gt;=$A375,SUMIFS(Tabla1[Avance_km],Tabla1[Fecha],"&lt;="&amp;Grafico!$A375,Tabla1[nombre_actividad],Grafico!H$1),NA())</f>
        <v>#N/A</v>
      </c>
      <c r="I375" s="63" t="e">
        <f ca="1">IF(TODAY()&gt;=$A375,SUMIFS(Tabla1[Avance_km],Tabla1[Fecha],"&lt;="&amp;Grafico!$A375,Tabla1[nombre_actividad],Grafico!I$1),NA())</f>
        <v>#N/A</v>
      </c>
    </row>
    <row r="376" spans="1:9" x14ac:dyDescent="0.25">
      <c r="A376" s="62">
        <f t="shared" si="12"/>
        <v>46337</v>
      </c>
      <c r="B376" s="33" t="str">
        <f t="shared" ca="1" si="11"/>
        <v/>
      </c>
      <c r="C376" s="33"/>
      <c r="D376" s="63" t="e">
        <f ca="1">IF(TODAY()&gt;=$A376,SUMIFS(Tabla1[Avance_km],Tabla1[Fecha],"&lt;="&amp;Grafico!$A376,Tabla1[nombre_actividad],Grafico!D$1),NA())</f>
        <v>#N/A</v>
      </c>
      <c r="E376" s="63" t="e">
        <f ca="1">IF(TODAY()&gt;=$A376,SUMIFS(Tabla1[Avance_km],Tabla1[Fecha],"&lt;="&amp;Grafico!$A376,Tabla1[nombre_actividad],Grafico!E$1),NA())</f>
        <v>#N/A</v>
      </c>
      <c r="F376" s="110" t="e">
        <f ca="1">IF(TODAY()&gt;=$A376,SUMIFS(Tabla1[Avance_km],Tabla1[Fecha],"&lt;="&amp;Grafico!$A376,Tabla1[nombre_actividad],Grafico!F$1,Tabla1[Avance_km],"&gt;0"),NA())</f>
        <v>#N/A</v>
      </c>
      <c r="G376" s="67" t="e">
        <f ca="1">IF(TODAY()&gt;=$A376,SUMIFS(Tabla1[Avance_Med],Tabla1[Fecha],"&lt;="&amp;Grafico!$A376,Tabla1[nombre_actividad],Grafico!G$1),NA())</f>
        <v>#N/A</v>
      </c>
      <c r="H376" s="63" t="e">
        <f ca="1">IF(TODAY()&gt;=$A376,SUMIFS(Tabla1[Avance_km],Tabla1[Fecha],"&lt;="&amp;Grafico!$A376,Tabla1[nombre_actividad],Grafico!H$1),NA())</f>
        <v>#N/A</v>
      </c>
      <c r="I376" s="63" t="e">
        <f ca="1">IF(TODAY()&gt;=$A376,SUMIFS(Tabla1[Avance_km],Tabla1[Fecha],"&lt;="&amp;Grafico!$A376,Tabla1[nombre_actividad],Grafico!I$1),NA())</f>
        <v>#N/A</v>
      </c>
    </row>
    <row r="377" spans="1:9" x14ac:dyDescent="0.25">
      <c r="A377" s="62">
        <f t="shared" si="12"/>
        <v>46338</v>
      </c>
      <c r="B377" s="33" t="str">
        <f t="shared" ca="1" si="11"/>
        <v/>
      </c>
      <c r="C377" s="33"/>
      <c r="D377" s="63" t="e">
        <f ca="1">IF(TODAY()&gt;=$A377,SUMIFS(Tabla1[Avance_km],Tabla1[Fecha],"&lt;="&amp;Grafico!$A377,Tabla1[nombre_actividad],Grafico!D$1),NA())</f>
        <v>#N/A</v>
      </c>
      <c r="E377" s="63" t="e">
        <f ca="1">IF(TODAY()&gt;=$A377,SUMIFS(Tabla1[Avance_km],Tabla1[Fecha],"&lt;="&amp;Grafico!$A377,Tabla1[nombre_actividad],Grafico!E$1),NA())</f>
        <v>#N/A</v>
      </c>
      <c r="F377" s="110" t="e">
        <f ca="1">IF(TODAY()&gt;=$A377,SUMIFS(Tabla1[Avance_km],Tabla1[Fecha],"&lt;="&amp;Grafico!$A377,Tabla1[nombre_actividad],Grafico!F$1,Tabla1[Avance_km],"&gt;0"),NA())</f>
        <v>#N/A</v>
      </c>
      <c r="G377" s="67" t="e">
        <f ca="1">IF(TODAY()&gt;=$A377,SUMIFS(Tabla1[Avance_Med],Tabla1[Fecha],"&lt;="&amp;Grafico!$A377,Tabla1[nombre_actividad],Grafico!G$1),NA())</f>
        <v>#N/A</v>
      </c>
      <c r="H377" s="63" t="e">
        <f ca="1">IF(TODAY()&gt;=$A377,SUMIFS(Tabla1[Avance_km],Tabla1[Fecha],"&lt;="&amp;Grafico!$A377,Tabla1[nombre_actividad],Grafico!H$1),NA())</f>
        <v>#N/A</v>
      </c>
      <c r="I377" s="63" t="e">
        <f ca="1">IF(TODAY()&gt;=$A377,SUMIFS(Tabla1[Avance_km],Tabla1[Fecha],"&lt;="&amp;Grafico!$A377,Tabla1[nombre_actividad],Grafico!I$1),NA())</f>
        <v>#N/A</v>
      </c>
    </row>
    <row r="378" spans="1:9" x14ac:dyDescent="0.25">
      <c r="A378" s="62">
        <f t="shared" si="12"/>
        <v>46339</v>
      </c>
      <c r="B378" s="33" t="str">
        <f t="shared" ca="1" si="11"/>
        <v/>
      </c>
      <c r="C378" s="33"/>
      <c r="D378" s="63" t="e">
        <f ca="1">IF(TODAY()&gt;=$A378,SUMIFS(Tabla1[Avance_km],Tabla1[Fecha],"&lt;="&amp;Grafico!$A378,Tabla1[nombre_actividad],Grafico!D$1),NA())</f>
        <v>#N/A</v>
      </c>
      <c r="E378" s="63" t="e">
        <f ca="1">IF(TODAY()&gt;=$A378,SUMIFS(Tabla1[Avance_km],Tabla1[Fecha],"&lt;="&amp;Grafico!$A378,Tabla1[nombre_actividad],Grafico!E$1),NA())</f>
        <v>#N/A</v>
      </c>
      <c r="F378" s="110" t="e">
        <f ca="1">IF(TODAY()&gt;=$A378,SUMIFS(Tabla1[Avance_km],Tabla1[Fecha],"&lt;="&amp;Grafico!$A378,Tabla1[nombre_actividad],Grafico!F$1,Tabla1[Avance_km],"&gt;0"),NA())</f>
        <v>#N/A</v>
      </c>
      <c r="G378" s="67" t="e">
        <f ca="1">IF(TODAY()&gt;=$A378,SUMIFS(Tabla1[Avance_Med],Tabla1[Fecha],"&lt;="&amp;Grafico!$A378,Tabla1[nombre_actividad],Grafico!G$1),NA())</f>
        <v>#N/A</v>
      </c>
      <c r="H378" s="63" t="e">
        <f ca="1">IF(TODAY()&gt;=$A378,SUMIFS(Tabla1[Avance_km],Tabla1[Fecha],"&lt;="&amp;Grafico!$A378,Tabla1[nombre_actividad],Grafico!H$1),NA())</f>
        <v>#N/A</v>
      </c>
      <c r="I378" s="63" t="e">
        <f ca="1">IF(TODAY()&gt;=$A378,SUMIFS(Tabla1[Avance_km],Tabla1[Fecha],"&lt;="&amp;Grafico!$A378,Tabla1[nombre_actividad],Grafico!I$1),NA())</f>
        <v>#N/A</v>
      </c>
    </row>
    <row r="379" spans="1:9" x14ac:dyDescent="0.25">
      <c r="A379" s="62">
        <f t="shared" si="12"/>
        <v>46340</v>
      </c>
      <c r="B379" s="33" t="str">
        <f t="shared" ca="1" si="11"/>
        <v/>
      </c>
      <c r="C379" s="33"/>
      <c r="D379" s="63" t="e">
        <f ca="1">IF(TODAY()&gt;=$A379,SUMIFS(Tabla1[Avance_km],Tabla1[Fecha],"&lt;="&amp;Grafico!$A379,Tabla1[nombre_actividad],Grafico!D$1),NA())</f>
        <v>#N/A</v>
      </c>
      <c r="E379" s="63" t="e">
        <f ca="1">IF(TODAY()&gt;=$A379,SUMIFS(Tabla1[Avance_km],Tabla1[Fecha],"&lt;="&amp;Grafico!$A379,Tabla1[nombre_actividad],Grafico!E$1),NA())</f>
        <v>#N/A</v>
      </c>
      <c r="F379" s="110" t="e">
        <f ca="1">IF(TODAY()&gt;=$A379,SUMIFS(Tabla1[Avance_km],Tabla1[Fecha],"&lt;="&amp;Grafico!$A379,Tabla1[nombre_actividad],Grafico!F$1,Tabla1[Avance_km],"&gt;0"),NA())</f>
        <v>#N/A</v>
      </c>
      <c r="G379" s="67" t="e">
        <f ca="1">IF(TODAY()&gt;=$A379,SUMIFS(Tabla1[Avance_Med],Tabla1[Fecha],"&lt;="&amp;Grafico!$A379,Tabla1[nombre_actividad],Grafico!G$1),NA())</f>
        <v>#N/A</v>
      </c>
      <c r="H379" s="63" t="e">
        <f ca="1">IF(TODAY()&gt;=$A379,SUMIFS(Tabla1[Avance_km],Tabla1[Fecha],"&lt;="&amp;Grafico!$A379,Tabla1[nombre_actividad],Grafico!H$1),NA())</f>
        <v>#N/A</v>
      </c>
      <c r="I379" s="63" t="e">
        <f ca="1">IF(TODAY()&gt;=$A379,SUMIFS(Tabla1[Avance_km],Tabla1[Fecha],"&lt;="&amp;Grafico!$A379,Tabla1[nombre_actividad],Grafico!I$1),NA())</f>
        <v>#N/A</v>
      </c>
    </row>
    <row r="380" spans="1:9" x14ac:dyDescent="0.25">
      <c r="A380" s="62">
        <f t="shared" si="12"/>
        <v>46341</v>
      </c>
      <c r="B380" s="33" t="str">
        <f t="shared" ca="1" si="11"/>
        <v/>
      </c>
      <c r="C380" s="33"/>
      <c r="D380" s="63" t="e">
        <f ca="1">IF(TODAY()&gt;=$A380,SUMIFS(Tabla1[Avance_km],Tabla1[Fecha],"&lt;="&amp;Grafico!$A380,Tabla1[nombre_actividad],Grafico!D$1),NA())</f>
        <v>#N/A</v>
      </c>
      <c r="E380" s="63" t="e">
        <f ca="1">IF(TODAY()&gt;=$A380,SUMIFS(Tabla1[Avance_km],Tabla1[Fecha],"&lt;="&amp;Grafico!$A380,Tabla1[nombre_actividad],Grafico!E$1),NA())</f>
        <v>#N/A</v>
      </c>
      <c r="F380" s="110" t="e">
        <f ca="1">IF(TODAY()&gt;=$A380,SUMIFS(Tabla1[Avance_km],Tabla1[Fecha],"&lt;="&amp;Grafico!$A380,Tabla1[nombre_actividad],Grafico!F$1,Tabla1[Avance_km],"&gt;0"),NA())</f>
        <v>#N/A</v>
      </c>
      <c r="G380" s="67" t="e">
        <f ca="1">IF(TODAY()&gt;=$A380,SUMIFS(Tabla1[Avance_Med],Tabla1[Fecha],"&lt;="&amp;Grafico!$A380,Tabla1[nombre_actividad],Grafico!G$1),NA())</f>
        <v>#N/A</v>
      </c>
      <c r="H380" s="63" t="e">
        <f ca="1">IF(TODAY()&gt;=$A380,SUMIFS(Tabla1[Avance_km],Tabla1[Fecha],"&lt;="&amp;Grafico!$A380,Tabla1[nombre_actividad],Grafico!H$1),NA())</f>
        <v>#N/A</v>
      </c>
      <c r="I380" s="63" t="e">
        <f ca="1">IF(TODAY()&gt;=$A380,SUMIFS(Tabla1[Avance_km],Tabla1[Fecha],"&lt;="&amp;Grafico!$A380,Tabla1[nombre_actividad],Grafico!I$1),NA())</f>
        <v>#N/A</v>
      </c>
    </row>
    <row r="381" spans="1:9" x14ac:dyDescent="0.25">
      <c r="A381" s="62">
        <f t="shared" si="12"/>
        <v>46342</v>
      </c>
      <c r="B381" s="33" t="str">
        <f t="shared" ca="1" si="11"/>
        <v/>
      </c>
      <c r="C381" s="33"/>
      <c r="D381" s="63" t="e">
        <f ca="1">IF(TODAY()&gt;=$A381,SUMIFS(Tabla1[Avance_km],Tabla1[Fecha],"&lt;="&amp;Grafico!$A381,Tabla1[nombre_actividad],Grafico!D$1),NA())</f>
        <v>#N/A</v>
      </c>
      <c r="E381" s="63" t="e">
        <f ca="1">IF(TODAY()&gt;=$A381,SUMIFS(Tabla1[Avance_km],Tabla1[Fecha],"&lt;="&amp;Grafico!$A381,Tabla1[nombre_actividad],Grafico!E$1),NA())</f>
        <v>#N/A</v>
      </c>
      <c r="F381" s="110" t="e">
        <f ca="1">IF(TODAY()&gt;=$A381,SUMIFS(Tabla1[Avance_km],Tabla1[Fecha],"&lt;="&amp;Grafico!$A381,Tabla1[nombre_actividad],Grafico!F$1,Tabla1[Avance_km],"&gt;0"),NA())</f>
        <v>#N/A</v>
      </c>
      <c r="G381" s="67" t="e">
        <f ca="1">IF(TODAY()&gt;=$A381,SUMIFS(Tabla1[Avance_Med],Tabla1[Fecha],"&lt;="&amp;Grafico!$A381,Tabla1[nombre_actividad],Grafico!G$1),NA())</f>
        <v>#N/A</v>
      </c>
      <c r="H381" s="63" t="e">
        <f ca="1">IF(TODAY()&gt;=$A381,SUMIFS(Tabla1[Avance_km],Tabla1[Fecha],"&lt;="&amp;Grafico!$A381,Tabla1[nombre_actividad],Grafico!H$1),NA())</f>
        <v>#N/A</v>
      </c>
      <c r="I381" s="63" t="e">
        <f ca="1">IF(TODAY()&gt;=$A381,SUMIFS(Tabla1[Avance_km],Tabla1[Fecha],"&lt;="&amp;Grafico!$A381,Tabla1[nombre_actividad],Grafico!I$1),NA())</f>
        <v>#N/A</v>
      </c>
    </row>
    <row r="382" spans="1:9" x14ac:dyDescent="0.25">
      <c r="A382" s="62">
        <f t="shared" si="12"/>
        <v>46343</v>
      </c>
      <c r="B382" s="33" t="str">
        <f t="shared" ca="1" si="11"/>
        <v/>
      </c>
      <c r="C382" s="33"/>
      <c r="D382" s="63" t="e">
        <f ca="1">IF(TODAY()&gt;=$A382,SUMIFS(Tabla1[Avance_km],Tabla1[Fecha],"&lt;="&amp;Grafico!$A382,Tabla1[nombre_actividad],Grafico!D$1),NA())</f>
        <v>#N/A</v>
      </c>
      <c r="E382" s="63" t="e">
        <f ca="1">IF(TODAY()&gt;=$A382,SUMIFS(Tabla1[Avance_km],Tabla1[Fecha],"&lt;="&amp;Grafico!$A382,Tabla1[nombre_actividad],Grafico!E$1),NA())</f>
        <v>#N/A</v>
      </c>
      <c r="F382" s="110" t="e">
        <f ca="1">IF(TODAY()&gt;=$A382,SUMIFS(Tabla1[Avance_km],Tabla1[Fecha],"&lt;="&amp;Grafico!$A382,Tabla1[nombre_actividad],Grafico!F$1,Tabla1[Avance_km],"&gt;0"),NA())</f>
        <v>#N/A</v>
      </c>
      <c r="G382" s="67" t="e">
        <f ca="1">IF(TODAY()&gt;=$A382,SUMIFS(Tabla1[Avance_Med],Tabla1[Fecha],"&lt;="&amp;Grafico!$A382,Tabla1[nombre_actividad],Grafico!G$1),NA())</f>
        <v>#N/A</v>
      </c>
      <c r="H382" s="63" t="e">
        <f ca="1">IF(TODAY()&gt;=$A382,SUMIFS(Tabla1[Avance_km],Tabla1[Fecha],"&lt;="&amp;Grafico!$A382,Tabla1[nombre_actividad],Grafico!H$1),NA())</f>
        <v>#N/A</v>
      </c>
      <c r="I382" s="63" t="e">
        <f ca="1">IF(TODAY()&gt;=$A382,SUMIFS(Tabla1[Avance_km],Tabla1[Fecha],"&lt;="&amp;Grafico!$A382,Tabla1[nombre_actividad],Grafico!I$1),NA())</f>
        <v>#N/A</v>
      </c>
    </row>
    <row r="383" spans="1:9" x14ac:dyDescent="0.25">
      <c r="A383" s="62">
        <f t="shared" si="12"/>
        <v>46344</v>
      </c>
      <c r="B383" s="33" t="str">
        <f t="shared" ca="1" si="11"/>
        <v/>
      </c>
      <c r="C383" s="33"/>
      <c r="D383" s="63" t="e">
        <f ca="1">IF(TODAY()&gt;=$A383,SUMIFS(Tabla1[Avance_km],Tabla1[Fecha],"&lt;="&amp;Grafico!$A383,Tabla1[nombre_actividad],Grafico!D$1),NA())</f>
        <v>#N/A</v>
      </c>
      <c r="E383" s="63" t="e">
        <f ca="1">IF(TODAY()&gt;=$A383,SUMIFS(Tabla1[Avance_km],Tabla1[Fecha],"&lt;="&amp;Grafico!$A383,Tabla1[nombre_actividad],Grafico!E$1),NA())</f>
        <v>#N/A</v>
      </c>
      <c r="F383" s="110" t="e">
        <f ca="1">IF(TODAY()&gt;=$A383,SUMIFS(Tabla1[Avance_km],Tabla1[Fecha],"&lt;="&amp;Grafico!$A383,Tabla1[nombre_actividad],Grafico!F$1,Tabla1[Avance_km],"&gt;0"),NA())</f>
        <v>#N/A</v>
      </c>
      <c r="G383" s="67" t="e">
        <f ca="1">IF(TODAY()&gt;=$A383,SUMIFS(Tabla1[Avance_Med],Tabla1[Fecha],"&lt;="&amp;Grafico!$A383,Tabla1[nombre_actividad],Grafico!G$1),NA())</f>
        <v>#N/A</v>
      </c>
      <c r="H383" s="63" t="e">
        <f ca="1">IF(TODAY()&gt;=$A383,SUMIFS(Tabla1[Avance_km],Tabla1[Fecha],"&lt;="&amp;Grafico!$A383,Tabla1[nombre_actividad],Grafico!H$1),NA())</f>
        <v>#N/A</v>
      </c>
      <c r="I383" s="63" t="e">
        <f ca="1">IF(TODAY()&gt;=$A383,SUMIFS(Tabla1[Avance_km],Tabla1[Fecha],"&lt;="&amp;Grafico!$A383,Tabla1[nombre_actividad],Grafico!I$1),NA())</f>
        <v>#N/A</v>
      </c>
    </row>
    <row r="384" spans="1:9" x14ac:dyDescent="0.25">
      <c r="A384" s="62">
        <f t="shared" si="12"/>
        <v>46345</v>
      </c>
      <c r="B384" s="33" t="str">
        <f t="shared" ca="1" si="11"/>
        <v/>
      </c>
      <c r="C384" s="33"/>
      <c r="D384" s="63" t="e">
        <f ca="1">IF(TODAY()&gt;=$A384,SUMIFS(Tabla1[Avance_km],Tabla1[Fecha],"&lt;="&amp;Grafico!$A384,Tabla1[nombre_actividad],Grafico!D$1),NA())</f>
        <v>#N/A</v>
      </c>
      <c r="E384" s="63" t="e">
        <f ca="1">IF(TODAY()&gt;=$A384,SUMIFS(Tabla1[Avance_km],Tabla1[Fecha],"&lt;="&amp;Grafico!$A384,Tabla1[nombre_actividad],Grafico!E$1),NA())</f>
        <v>#N/A</v>
      </c>
      <c r="F384" s="110" t="e">
        <f ca="1">IF(TODAY()&gt;=$A384,SUMIFS(Tabla1[Avance_km],Tabla1[Fecha],"&lt;="&amp;Grafico!$A384,Tabla1[nombre_actividad],Grafico!F$1,Tabla1[Avance_km],"&gt;0"),NA())</f>
        <v>#N/A</v>
      </c>
      <c r="G384" s="67" t="e">
        <f ca="1">IF(TODAY()&gt;=$A384,SUMIFS(Tabla1[Avance_Med],Tabla1[Fecha],"&lt;="&amp;Grafico!$A384,Tabla1[nombre_actividad],Grafico!G$1),NA())</f>
        <v>#N/A</v>
      </c>
      <c r="H384" s="63" t="e">
        <f ca="1">IF(TODAY()&gt;=$A384,SUMIFS(Tabla1[Avance_km],Tabla1[Fecha],"&lt;="&amp;Grafico!$A384,Tabla1[nombre_actividad],Grafico!H$1),NA())</f>
        <v>#N/A</v>
      </c>
      <c r="I384" s="63" t="e">
        <f ca="1">IF(TODAY()&gt;=$A384,SUMIFS(Tabla1[Avance_km],Tabla1[Fecha],"&lt;="&amp;Grafico!$A384,Tabla1[nombre_actividad],Grafico!I$1),NA())</f>
        <v>#N/A</v>
      </c>
    </row>
    <row r="385" spans="1:9" x14ac:dyDescent="0.25">
      <c r="A385" s="62">
        <f t="shared" si="12"/>
        <v>46346</v>
      </c>
      <c r="B385" s="33" t="str">
        <f t="shared" ca="1" si="11"/>
        <v/>
      </c>
      <c r="C385" s="33"/>
      <c r="D385" s="63" t="e">
        <f ca="1">IF(TODAY()&gt;=$A385,SUMIFS(Tabla1[Avance_km],Tabla1[Fecha],"&lt;="&amp;Grafico!$A385,Tabla1[nombre_actividad],Grafico!D$1),NA())</f>
        <v>#N/A</v>
      </c>
      <c r="E385" s="63" t="e">
        <f ca="1">IF(TODAY()&gt;=$A385,SUMIFS(Tabla1[Avance_km],Tabla1[Fecha],"&lt;="&amp;Grafico!$A385,Tabla1[nombre_actividad],Grafico!E$1),NA())</f>
        <v>#N/A</v>
      </c>
      <c r="F385" s="110" t="e">
        <f ca="1">IF(TODAY()&gt;=$A385,SUMIFS(Tabla1[Avance_km],Tabla1[Fecha],"&lt;="&amp;Grafico!$A385,Tabla1[nombre_actividad],Grafico!F$1,Tabla1[Avance_km],"&gt;0"),NA())</f>
        <v>#N/A</v>
      </c>
      <c r="G385" s="67" t="e">
        <f ca="1">IF(TODAY()&gt;=$A385,SUMIFS(Tabla1[Avance_Med],Tabla1[Fecha],"&lt;="&amp;Grafico!$A385,Tabla1[nombre_actividad],Grafico!G$1),NA())</f>
        <v>#N/A</v>
      </c>
      <c r="H385" s="63" t="e">
        <f ca="1">IF(TODAY()&gt;=$A385,SUMIFS(Tabla1[Avance_km],Tabla1[Fecha],"&lt;="&amp;Grafico!$A385,Tabla1[nombre_actividad],Grafico!H$1),NA())</f>
        <v>#N/A</v>
      </c>
      <c r="I385" s="63" t="e">
        <f ca="1">IF(TODAY()&gt;=$A385,SUMIFS(Tabla1[Avance_km],Tabla1[Fecha],"&lt;="&amp;Grafico!$A385,Tabla1[nombre_actividad],Grafico!I$1),NA())</f>
        <v>#N/A</v>
      </c>
    </row>
    <row r="386" spans="1:9" x14ac:dyDescent="0.25">
      <c r="A386" s="62">
        <f t="shared" si="12"/>
        <v>46347</v>
      </c>
      <c r="B386" s="33" t="str">
        <f t="shared" ca="1" si="11"/>
        <v/>
      </c>
      <c r="C386" s="33"/>
      <c r="D386" s="63" t="e">
        <f ca="1">IF(TODAY()&gt;=$A386,SUMIFS(Tabla1[Avance_km],Tabla1[Fecha],"&lt;="&amp;Grafico!$A386,Tabla1[nombre_actividad],Grafico!D$1),NA())</f>
        <v>#N/A</v>
      </c>
      <c r="E386" s="63" t="e">
        <f ca="1">IF(TODAY()&gt;=$A386,SUMIFS(Tabla1[Avance_km],Tabla1[Fecha],"&lt;="&amp;Grafico!$A386,Tabla1[nombre_actividad],Grafico!E$1),NA())</f>
        <v>#N/A</v>
      </c>
      <c r="F386" s="110" t="e">
        <f ca="1">IF(TODAY()&gt;=$A386,SUMIFS(Tabla1[Avance_km],Tabla1[Fecha],"&lt;="&amp;Grafico!$A386,Tabla1[nombre_actividad],Grafico!F$1,Tabla1[Avance_km],"&gt;0"),NA())</f>
        <v>#N/A</v>
      </c>
      <c r="G386" s="67" t="e">
        <f ca="1">IF(TODAY()&gt;=$A386,SUMIFS(Tabla1[Avance_Med],Tabla1[Fecha],"&lt;="&amp;Grafico!$A386,Tabla1[nombre_actividad],Grafico!G$1),NA())</f>
        <v>#N/A</v>
      </c>
      <c r="H386" s="63" t="e">
        <f ca="1">IF(TODAY()&gt;=$A386,SUMIFS(Tabla1[Avance_km],Tabla1[Fecha],"&lt;="&amp;Grafico!$A386,Tabla1[nombre_actividad],Grafico!H$1),NA())</f>
        <v>#N/A</v>
      </c>
      <c r="I386" s="63" t="e">
        <f ca="1">IF(TODAY()&gt;=$A386,SUMIFS(Tabla1[Avance_km],Tabla1[Fecha],"&lt;="&amp;Grafico!$A386,Tabla1[nombre_actividad],Grafico!I$1),NA())</f>
        <v>#N/A</v>
      </c>
    </row>
    <row r="387" spans="1:9" x14ac:dyDescent="0.25">
      <c r="A387" s="62">
        <f t="shared" si="12"/>
        <v>46348</v>
      </c>
      <c r="B387" s="33" t="str">
        <f t="shared" ref="B387:B426" ca="1" si="13">+IF(A387=TODAY(),200,"")</f>
        <v/>
      </c>
      <c r="C387" s="33"/>
      <c r="D387" s="63" t="e">
        <f ca="1">IF(TODAY()&gt;=$A387,SUMIFS(Tabla1[Avance_km],Tabla1[Fecha],"&lt;="&amp;Grafico!$A387,Tabla1[nombre_actividad],Grafico!D$1),NA())</f>
        <v>#N/A</v>
      </c>
      <c r="E387" s="63" t="e">
        <f ca="1">IF(TODAY()&gt;=$A387,SUMIFS(Tabla1[Avance_km],Tabla1[Fecha],"&lt;="&amp;Grafico!$A387,Tabla1[nombre_actividad],Grafico!E$1),NA())</f>
        <v>#N/A</v>
      </c>
      <c r="F387" s="110" t="e">
        <f ca="1">IF(TODAY()&gt;=$A387,SUMIFS(Tabla1[Avance_km],Tabla1[Fecha],"&lt;="&amp;Grafico!$A387,Tabla1[nombre_actividad],Grafico!F$1,Tabla1[Avance_km],"&gt;0"),NA())</f>
        <v>#N/A</v>
      </c>
      <c r="G387" s="67" t="e">
        <f ca="1">IF(TODAY()&gt;=$A387,SUMIFS(Tabla1[Avance_Med],Tabla1[Fecha],"&lt;="&amp;Grafico!$A387,Tabla1[nombre_actividad],Grafico!G$1),NA())</f>
        <v>#N/A</v>
      </c>
      <c r="H387" s="63" t="e">
        <f ca="1">IF(TODAY()&gt;=$A387,SUMIFS(Tabla1[Avance_km],Tabla1[Fecha],"&lt;="&amp;Grafico!$A387,Tabla1[nombre_actividad],Grafico!H$1),NA())</f>
        <v>#N/A</v>
      </c>
      <c r="I387" s="63" t="e">
        <f ca="1">IF(TODAY()&gt;=$A387,SUMIFS(Tabla1[Avance_km],Tabla1[Fecha],"&lt;="&amp;Grafico!$A387,Tabla1[nombre_actividad],Grafico!I$1),NA())</f>
        <v>#N/A</v>
      </c>
    </row>
    <row r="388" spans="1:9" x14ac:dyDescent="0.25">
      <c r="A388" s="62">
        <f t="shared" ref="A388:A426" si="14">+A387+1</f>
        <v>46349</v>
      </c>
      <c r="B388" s="33" t="str">
        <f t="shared" ca="1" si="13"/>
        <v/>
      </c>
      <c r="C388" s="33"/>
      <c r="D388" s="63" t="e">
        <f ca="1">IF(TODAY()&gt;=$A388,SUMIFS(Tabla1[Avance_km],Tabla1[Fecha],"&lt;="&amp;Grafico!$A388,Tabla1[nombre_actividad],Grafico!D$1),NA())</f>
        <v>#N/A</v>
      </c>
      <c r="E388" s="63" t="e">
        <f ca="1">IF(TODAY()&gt;=$A388,SUMIFS(Tabla1[Avance_km],Tabla1[Fecha],"&lt;="&amp;Grafico!$A388,Tabla1[nombre_actividad],Grafico!E$1),NA())</f>
        <v>#N/A</v>
      </c>
      <c r="F388" s="110" t="e">
        <f ca="1">IF(TODAY()&gt;=$A388,SUMIFS(Tabla1[Avance_km],Tabla1[Fecha],"&lt;="&amp;Grafico!$A388,Tabla1[nombre_actividad],Grafico!F$1,Tabla1[Avance_km],"&gt;0"),NA())</f>
        <v>#N/A</v>
      </c>
      <c r="G388" s="67" t="e">
        <f ca="1">IF(TODAY()&gt;=$A388,SUMIFS(Tabla1[Avance_Med],Tabla1[Fecha],"&lt;="&amp;Grafico!$A388,Tabla1[nombre_actividad],Grafico!G$1),NA())</f>
        <v>#N/A</v>
      </c>
      <c r="H388" s="63" t="e">
        <f ca="1">IF(TODAY()&gt;=$A388,SUMIFS(Tabla1[Avance_km],Tabla1[Fecha],"&lt;="&amp;Grafico!$A388,Tabla1[nombre_actividad],Grafico!H$1),NA())</f>
        <v>#N/A</v>
      </c>
      <c r="I388" s="63" t="e">
        <f ca="1">IF(TODAY()&gt;=$A388,SUMIFS(Tabla1[Avance_km],Tabla1[Fecha],"&lt;="&amp;Grafico!$A388,Tabla1[nombre_actividad],Grafico!I$1),NA())</f>
        <v>#N/A</v>
      </c>
    </row>
    <row r="389" spans="1:9" x14ac:dyDescent="0.25">
      <c r="A389" s="62">
        <f t="shared" si="14"/>
        <v>46350</v>
      </c>
      <c r="B389" s="33" t="str">
        <f t="shared" ca="1" si="13"/>
        <v/>
      </c>
      <c r="C389" s="33"/>
      <c r="D389" s="63" t="e">
        <f ca="1">IF(TODAY()&gt;=$A389,SUMIFS(Tabla1[Avance_km],Tabla1[Fecha],"&lt;="&amp;Grafico!$A389,Tabla1[nombre_actividad],Grafico!D$1),NA())</f>
        <v>#N/A</v>
      </c>
      <c r="E389" s="63" t="e">
        <f ca="1">IF(TODAY()&gt;=$A389,SUMIFS(Tabla1[Avance_km],Tabla1[Fecha],"&lt;="&amp;Grafico!$A389,Tabla1[nombre_actividad],Grafico!E$1),NA())</f>
        <v>#N/A</v>
      </c>
      <c r="F389" s="110" t="e">
        <f ca="1">IF(TODAY()&gt;=$A389,SUMIFS(Tabla1[Avance_km],Tabla1[Fecha],"&lt;="&amp;Grafico!$A389,Tabla1[nombre_actividad],Grafico!F$1,Tabla1[Avance_km],"&gt;0"),NA())</f>
        <v>#N/A</v>
      </c>
      <c r="G389" s="67" t="e">
        <f ca="1">IF(TODAY()&gt;=$A389,SUMIFS(Tabla1[Avance_Med],Tabla1[Fecha],"&lt;="&amp;Grafico!$A389,Tabla1[nombre_actividad],Grafico!G$1),NA())</f>
        <v>#N/A</v>
      </c>
      <c r="H389" s="63" t="e">
        <f ca="1">IF(TODAY()&gt;=$A389,SUMIFS(Tabla1[Avance_km],Tabla1[Fecha],"&lt;="&amp;Grafico!$A389,Tabla1[nombre_actividad],Grafico!H$1),NA())</f>
        <v>#N/A</v>
      </c>
      <c r="I389" s="63" t="e">
        <f ca="1">IF(TODAY()&gt;=$A389,SUMIFS(Tabla1[Avance_km],Tabla1[Fecha],"&lt;="&amp;Grafico!$A389,Tabla1[nombre_actividad],Grafico!I$1),NA())</f>
        <v>#N/A</v>
      </c>
    </row>
    <row r="390" spans="1:9" x14ac:dyDescent="0.25">
      <c r="A390" s="62">
        <f t="shared" si="14"/>
        <v>46351</v>
      </c>
      <c r="B390" s="33" t="str">
        <f t="shared" ca="1" si="13"/>
        <v/>
      </c>
      <c r="C390" s="33"/>
      <c r="D390" s="63" t="e">
        <f ca="1">IF(TODAY()&gt;=$A390,SUMIFS(Tabla1[Avance_km],Tabla1[Fecha],"&lt;="&amp;Grafico!$A390,Tabla1[nombre_actividad],Grafico!D$1),NA())</f>
        <v>#N/A</v>
      </c>
      <c r="E390" s="63" t="e">
        <f ca="1">IF(TODAY()&gt;=$A390,SUMIFS(Tabla1[Avance_km],Tabla1[Fecha],"&lt;="&amp;Grafico!$A390,Tabla1[nombre_actividad],Grafico!E$1),NA())</f>
        <v>#N/A</v>
      </c>
      <c r="F390" s="110" t="e">
        <f ca="1">IF(TODAY()&gt;=$A390,SUMIFS(Tabla1[Avance_km],Tabla1[Fecha],"&lt;="&amp;Grafico!$A390,Tabla1[nombre_actividad],Grafico!F$1,Tabla1[Avance_km],"&gt;0"),NA())</f>
        <v>#N/A</v>
      </c>
      <c r="G390" s="67" t="e">
        <f ca="1">IF(TODAY()&gt;=$A390,SUMIFS(Tabla1[Avance_Med],Tabla1[Fecha],"&lt;="&amp;Grafico!$A390,Tabla1[nombre_actividad],Grafico!G$1),NA())</f>
        <v>#N/A</v>
      </c>
      <c r="H390" s="63" t="e">
        <f ca="1">IF(TODAY()&gt;=$A390,SUMIFS(Tabla1[Avance_km],Tabla1[Fecha],"&lt;="&amp;Grafico!$A390,Tabla1[nombre_actividad],Grafico!H$1),NA())</f>
        <v>#N/A</v>
      </c>
      <c r="I390" s="63" t="e">
        <f ca="1">IF(TODAY()&gt;=$A390,SUMIFS(Tabla1[Avance_km],Tabla1[Fecha],"&lt;="&amp;Grafico!$A390,Tabla1[nombre_actividad],Grafico!I$1),NA())</f>
        <v>#N/A</v>
      </c>
    </row>
    <row r="391" spans="1:9" x14ac:dyDescent="0.25">
      <c r="A391" s="62">
        <f t="shared" si="14"/>
        <v>46352</v>
      </c>
      <c r="B391" s="33" t="str">
        <f t="shared" ca="1" si="13"/>
        <v/>
      </c>
      <c r="C391" s="33"/>
      <c r="D391" s="63" t="e">
        <f ca="1">IF(TODAY()&gt;=$A391,SUMIFS(Tabla1[Avance_km],Tabla1[Fecha],"&lt;="&amp;Grafico!$A391,Tabla1[nombre_actividad],Grafico!D$1),NA())</f>
        <v>#N/A</v>
      </c>
      <c r="E391" s="63" t="e">
        <f ca="1">IF(TODAY()&gt;=$A391,SUMIFS(Tabla1[Avance_km],Tabla1[Fecha],"&lt;="&amp;Grafico!$A391,Tabla1[nombre_actividad],Grafico!E$1),NA())</f>
        <v>#N/A</v>
      </c>
      <c r="F391" s="110" t="e">
        <f ca="1">IF(TODAY()&gt;=$A391,SUMIFS(Tabla1[Avance_km],Tabla1[Fecha],"&lt;="&amp;Grafico!$A391,Tabla1[nombre_actividad],Grafico!F$1,Tabla1[Avance_km],"&gt;0"),NA())</f>
        <v>#N/A</v>
      </c>
      <c r="G391" s="67" t="e">
        <f ca="1">IF(TODAY()&gt;=$A391,SUMIFS(Tabla1[Avance_Med],Tabla1[Fecha],"&lt;="&amp;Grafico!$A391,Tabla1[nombre_actividad],Grafico!G$1),NA())</f>
        <v>#N/A</v>
      </c>
      <c r="H391" s="63" t="e">
        <f ca="1">IF(TODAY()&gt;=$A391,SUMIFS(Tabla1[Avance_km],Tabla1[Fecha],"&lt;="&amp;Grafico!$A391,Tabla1[nombre_actividad],Grafico!H$1),NA())</f>
        <v>#N/A</v>
      </c>
      <c r="I391" s="63" t="e">
        <f ca="1">IF(TODAY()&gt;=$A391,SUMIFS(Tabla1[Avance_km],Tabla1[Fecha],"&lt;="&amp;Grafico!$A391,Tabla1[nombre_actividad],Grafico!I$1),NA())</f>
        <v>#N/A</v>
      </c>
    </row>
    <row r="392" spans="1:9" x14ac:dyDescent="0.25">
      <c r="A392" s="62">
        <f t="shared" si="14"/>
        <v>46353</v>
      </c>
      <c r="B392" s="33" t="str">
        <f t="shared" ca="1" si="13"/>
        <v/>
      </c>
      <c r="C392" s="33"/>
      <c r="D392" s="63" t="e">
        <f ca="1">IF(TODAY()&gt;=$A392,SUMIFS(Tabla1[Avance_km],Tabla1[Fecha],"&lt;="&amp;Grafico!$A392,Tabla1[nombre_actividad],Grafico!D$1),NA())</f>
        <v>#N/A</v>
      </c>
      <c r="E392" s="63" t="e">
        <f ca="1">IF(TODAY()&gt;=$A392,SUMIFS(Tabla1[Avance_km],Tabla1[Fecha],"&lt;="&amp;Grafico!$A392,Tabla1[nombre_actividad],Grafico!E$1),NA())</f>
        <v>#N/A</v>
      </c>
      <c r="F392" s="110" t="e">
        <f ca="1">IF(TODAY()&gt;=$A392,SUMIFS(Tabla1[Avance_km],Tabla1[Fecha],"&lt;="&amp;Grafico!$A392,Tabla1[nombre_actividad],Grafico!F$1,Tabla1[Avance_km],"&gt;0"),NA())</f>
        <v>#N/A</v>
      </c>
      <c r="G392" s="67" t="e">
        <f ca="1">IF(TODAY()&gt;=$A392,SUMIFS(Tabla1[Avance_Med],Tabla1[Fecha],"&lt;="&amp;Grafico!$A392,Tabla1[nombre_actividad],Grafico!G$1),NA())</f>
        <v>#N/A</v>
      </c>
      <c r="H392" s="63" t="e">
        <f ca="1">IF(TODAY()&gt;=$A392,SUMIFS(Tabla1[Avance_km],Tabla1[Fecha],"&lt;="&amp;Grafico!$A392,Tabla1[nombre_actividad],Grafico!H$1),NA())</f>
        <v>#N/A</v>
      </c>
      <c r="I392" s="63" t="e">
        <f ca="1">IF(TODAY()&gt;=$A392,SUMIFS(Tabla1[Avance_km],Tabla1[Fecha],"&lt;="&amp;Grafico!$A392,Tabla1[nombre_actividad],Grafico!I$1),NA())</f>
        <v>#N/A</v>
      </c>
    </row>
    <row r="393" spans="1:9" x14ac:dyDescent="0.25">
      <c r="A393" s="62">
        <f t="shared" si="14"/>
        <v>46354</v>
      </c>
      <c r="B393" s="33" t="str">
        <f t="shared" ca="1" si="13"/>
        <v/>
      </c>
      <c r="C393" s="33"/>
      <c r="D393" s="63" t="e">
        <f ca="1">IF(TODAY()&gt;=$A393,SUMIFS(Tabla1[Avance_km],Tabla1[Fecha],"&lt;="&amp;Grafico!$A393,Tabla1[nombre_actividad],Grafico!D$1),NA())</f>
        <v>#N/A</v>
      </c>
      <c r="E393" s="63" t="e">
        <f ca="1">IF(TODAY()&gt;=$A393,SUMIFS(Tabla1[Avance_km],Tabla1[Fecha],"&lt;="&amp;Grafico!$A393,Tabla1[nombre_actividad],Grafico!E$1),NA())</f>
        <v>#N/A</v>
      </c>
      <c r="F393" s="110" t="e">
        <f ca="1">IF(TODAY()&gt;=$A393,SUMIFS(Tabla1[Avance_km],Tabla1[Fecha],"&lt;="&amp;Grafico!$A393,Tabla1[nombre_actividad],Grafico!F$1,Tabla1[Avance_km],"&gt;0"),NA())</f>
        <v>#N/A</v>
      </c>
      <c r="G393" s="67" t="e">
        <f ca="1">IF(TODAY()&gt;=$A393,SUMIFS(Tabla1[Avance_Med],Tabla1[Fecha],"&lt;="&amp;Grafico!$A393,Tabla1[nombre_actividad],Grafico!G$1),NA())</f>
        <v>#N/A</v>
      </c>
      <c r="H393" s="63" t="e">
        <f ca="1">IF(TODAY()&gt;=$A393,SUMIFS(Tabla1[Avance_km],Tabla1[Fecha],"&lt;="&amp;Grafico!$A393,Tabla1[nombre_actividad],Grafico!H$1),NA())</f>
        <v>#N/A</v>
      </c>
      <c r="I393" s="63" t="e">
        <f ca="1">IF(TODAY()&gt;=$A393,SUMIFS(Tabla1[Avance_km],Tabla1[Fecha],"&lt;="&amp;Grafico!$A393,Tabla1[nombre_actividad],Grafico!I$1),NA())</f>
        <v>#N/A</v>
      </c>
    </row>
    <row r="394" spans="1:9" x14ac:dyDescent="0.25">
      <c r="A394" s="62">
        <f t="shared" si="14"/>
        <v>46355</v>
      </c>
      <c r="B394" s="33" t="str">
        <f t="shared" ca="1" si="13"/>
        <v/>
      </c>
      <c r="C394" s="33"/>
      <c r="D394" s="63" t="e">
        <f ca="1">IF(TODAY()&gt;=$A394,SUMIFS(Tabla1[Avance_km],Tabla1[Fecha],"&lt;="&amp;Grafico!$A394,Tabla1[nombre_actividad],Grafico!D$1),NA())</f>
        <v>#N/A</v>
      </c>
      <c r="E394" s="63" t="e">
        <f ca="1">IF(TODAY()&gt;=$A394,SUMIFS(Tabla1[Avance_km],Tabla1[Fecha],"&lt;="&amp;Grafico!$A394,Tabla1[nombre_actividad],Grafico!E$1),NA())</f>
        <v>#N/A</v>
      </c>
      <c r="F394" s="110" t="e">
        <f ca="1">IF(TODAY()&gt;=$A394,SUMIFS(Tabla1[Avance_km],Tabla1[Fecha],"&lt;="&amp;Grafico!$A394,Tabla1[nombre_actividad],Grafico!F$1,Tabla1[Avance_km],"&gt;0"),NA())</f>
        <v>#N/A</v>
      </c>
      <c r="G394" s="67" t="e">
        <f ca="1">IF(TODAY()&gt;=$A394,SUMIFS(Tabla1[Avance_Med],Tabla1[Fecha],"&lt;="&amp;Grafico!$A394,Tabla1[nombre_actividad],Grafico!G$1),NA())</f>
        <v>#N/A</v>
      </c>
      <c r="H394" s="63" t="e">
        <f ca="1">IF(TODAY()&gt;=$A394,SUMIFS(Tabla1[Avance_km],Tabla1[Fecha],"&lt;="&amp;Grafico!$A394,Tabla1[nombre_actividad],Grafico!H$1),NA())</f>
        <v>#N/A</v>
      </c>
      <c r="I394" s="63" t="e">
        <f ca="1">IF(TODAY()&gt;=$A394,SUMIFS(Tabla1[Avance_km],Tabla1[Fecha],"&lt;="&amp;Grafico!$A394,Tabla1[nombre_actividad],Grafico!I$1),NA())</f>
        <v>#N/A</v>
      </c>
    </row>
    <row r="395" spans="1:9" x14ac:dyDescent="0.25">
      <c r="A395" s="62">
        <f t="shared" si="14"/>
        <v>46356</v>
      </c>
      <c r="B395" s="33" t="str">
        <f t="shared" ca="1" si="13"/>
        <v/>
      </c>
      <c r="C395" s="33"/>
      <c r="D395" s="63" t="e">
        <f ca="1">IF(TODAY()&gt;=$A395,SUMIFS(Tabla1[Avance_km],Tabla1[Fecha],"&lt;="&amp;Grafico!$A395,Tabla1[nombre_actividad],Grafico!D$1),NA())</f>
        <v>#N/A</v>
      </c>
      <c r="E395" s="63" t="e">
        <f ca="1">IF(TODAY()&gt;=$A395,SUMIFS(Tabla1[Avance_km],Tabla1[Fecha],"&lt;="&amp;Grafico!$A395,Tabla1[nombre_actividad],Grafico!E$1),NA())</f>
        <v>#N/A</v>
      </c>
      <c r="F395" s="110" t="e">
        <f ca="1">IF(TODAY()&gt;=$A395,SUMIFS(Tabla1[Avance_km],Tabla1[Fecha],"&lt;="&amp;Grafico!$A395,Tabla1[nombre_actividad],Grafico!F$1,Tabla1[Avance_km],"&gt;0"),NA())</f>
        <v>#N/A</v>
      </c>
      <c r="G395" s="67" t="e">
        <f ca="1">IF(TODAY()&gt;=$A395,SUMIFS(Tabla1[Avance_Med],Tabla1[Fecha],"&lt;="&amp;Grafico!$A395,Tabla1[nombre_actividad],Grafico!G$1),NA())</f>
        <v>#N/A</v>
      </c>
      <c r="H395" s="63" t="e">
        <f ca="1">IF(TODAY()&gt;=$A395,SUMIFS(Tabla1[Avance_km],Tabla1[Fecha],"&lt;="&amp;Grafico!$A395,Tabla1[nombre_actividad],Grafico!H$1),NA())</f>
        <v>#N/A</v>
      </c>
      <c r="I395" s="63" t="e">
        <f ca="1">IF(TODAY()&gt;=$A395,SUMIFS(Tabla1[Avance_km],Tabla1[Fecha],"&lt;="&amp;Grafico!$A395,Tabla1[nombre_actividad],Grafico!I$1),NA())</f>
        <v>#N/A</v>
      </c>
    </row>
    <row r="396" spans="1:9" x14ac:dyDescent="0.25">
      <c r="A396" s="62">
        <f t="shared" si="14"/>
        <v>46357</v>
      </c>
      <c r="B396" s="33" t="str">
        <f t="shared" ca="1" si="13"/>
        <v/>
      </c>
      <c r="C396" s="33"/>
      <c r="D396" s="63" t="e">
        <f ca="1">IF(TODAY()&gt;=$A396,SUMIFS(Tabla1[Avance_km],Tabla1[Fecha],"&lt;="&amp;Grafico!$A396,Tabla1[nombre_actividad],Grafico!D$1),NA())</f>
        <v>#N/A</v>
      </c>
      <c r="E396" s="63" t="e">
        <f ca="1">IF(TODAY()&gt;=$A396,SUMIFS(Tabla1[Avance_km],Tabla1[Fecha],"&lt;="&amp;Grafico!$A396,Tabla1[nombre_actividad],Grafico!E$1),NA())</f>
        <v>#N/A</v>
      </c>
      <c r="F396" s="110" t="e">
        <f ca="1">IF(TODAY()&gt;=$A396,SUMIFS(Tabla1[Avance_km],Tabla1[Fecha],"&lt;="&amp;Grafico!$A396,Tabla1[nombre_actividad],Grafico!F$1,Tabla1[Avance_km],"&gt;0"),NA())</f>
        <v>#N/A</v>
      </c>
      <c r="G396" s="67" t="e">
        <f ca="1">IF(TODAY()&gt;=$A396,SUMIFS(Tabla1[Avance_Med],Tabla1[Fecha],"&lt;="&amp;Grafico!$A396,Tabla1[nombre_actividad],Grafico!G$1),NA())</f>
        <v>#N/A</v>
      </c>
      <c r="H396" s="63" t="e">
        <f ca="1">IF(TODAY()&gt;=$A396,SUMIFS(Tabla1[Avance_km],Tabla1[Fecha],"&lt;="&amp;Grafico!$A396,Tabla1[nombre_actividad],Grafico!H$1),NA())</f>
        <v>#N/A</v>
      </c>
      <c r="I396" s="63" t="e">
        <f ca="1">IF(TODAY()&gt;=$A396,SUMIFS(Tabla1[Avance_km],Tabla1[Fecha],"&lt;="&amp;Grafico!$A396,Tabla1[nombre_actividad],Grafico!I$1),NA())</f>
        <v>#N/A</v>
      </c>
    </row>
    <row r="397" spans="1:9" x14ac:dyDescent="0.25">
      <c r="A397" s="62">
        <f t="shared" si="14"/>
        <v>46358</v>
      </c>
      <c r="B397" s="33" t="str">
        <f t="shared" ca="1" si="13"/>
        <v/>
      </c>
      <c r="C397" s="33"/>
      <c r="D397" s="63" t="e">
        <f ca="1">IF(TODAY()&gt;=$A397,SUMIFS(Tabla1[Avance_km],Tabla1[Fecha],"&lt;="&amp;Grafico!$A397,Tabla1[nombre_actividad],Grafico!D$1),NA())</f>
        <v>#N/A</v>
      </c>
      <c r="E397" s="63" t="e">
        <f ca="1">IF(TODAY()&gt;=$A397,SUMIFS(Tabla1[Avance_km],Tabla1[Fecha],"&lt;="&amp;Grafico!$A397,Tabla1[nombre_actividad],Grafico!E$1),NA())</f>
        <v>#N/A</v>
      </c>
      <c r="F397" s="110" t="e">
        <f ca="1">IF(TODAY()&gt;=$A397,SUMIFS(Tabla1[Avance_km],Tabla1[Fecha],"&lt;="&amp;Grafico!$A397,Tabla1[nombre_actividad],Grafico!F$1,Tabla1[Avance_km],"&gt;0"),NA())</f>
        <v>#N/A</v>
      </c>
      <c r="G397" s="67" t="e">
        <f ca="1">IF(TODAY()&gt;=$A397,SUMIFS(Tabla1[Avance_Med],Tabla1[Fecha],"&lt;="&amp;Grafico!$A397,Tabla1[nombre_actividad],Grafico!G$1),NA())</f>
        <v>#N/A</v>
      </c>
      <c r="H397" s="63" t="e">
        <f ca="1">IF(TODAY()&gt;=$A397,SUMIFS(Tabla1[Avance_km],Tabla1[Fecha],"&lt;="&amp;Grafico!$A397,Tabla1[nombre_actividad],Grafico!H$1),NA())</f>
        <v>#N/A</v>
      </c>
      <c r="I397" s="63" t="e">
        <f ca="1">IF(TODAY()&gt;=$A397,SUMIFS(Tabla1[Avance_km],Tabla1[Fecha],"&lt;="&amp;Grafico!$A397,Tabla1[nombre_actividad],Grafico!I$1),NA())</f>
        <v>#N/A</v>
      </c>
    </row>
    <row r="398" spans="1:9" x14ac:dyDescent="0.25">
      <c r="A398" s="62">
        <f t="shared" si="14"/>
        <v>46359</v>
      </c>
      <c r="B398" s="33" t="str">
        <f t="shared" ca="1" si="13"/>
        <v/>
      </c>
      <c r="C398" s="33"/>
      <c r="D398" s="63" t="e">
        <f ca="1">IF(TODAY()&gt;=$A398,SUMIFS(Tabla1[Avance_km],Tabla1[Fecha],"&lt;="&amp;Grafico!$A398,Tabla1[nombre_actividad],Grafico!D$1),NA())</f>
        <v>#N/A</v>
      </c>
      <c r="E398" s="63" t="e">
        <f ca="1">IF(TODAY()&gt;=$A398,SUMIFS(Tabla1[Avance_km],Tabla1[Fecha],"&lt;="&amp;Grafico!$A398,Tabla1[nombre_actividad],Grafico!E$1),NA())</f>
        <v>#N/A</v>
      </c>
      <c r="F398" s="110" t="e">
        <f ca="1">IF(TODAY()&gt;=$A398,SUMIFS(Tabla1[Avance_km],Tabla1[Fecha],"&lt;="&amp;Grafico!$A398,Tabla1[nombre_actividad],Grafico!F$1,Tabla1[Avance_km],"&gt;0"),NA())</f>
        <v>#N/A</v>
      </c>
      <c r="G398" s="67" t="e">
        <f ca="1">IF(TODAY()&gt;=$A398,SUMIFS(Tabla1[Avance_Med],Tabla1[Fecha],"&lt;="&amp;Grafico!$A398,Tabla1[nombre_actividad],Grafico!G$1),NA())</f>
        <v>#N/A</v>
      </c>
      <c r="H398" s="63" t="e">
        <f ca="1">IF(TODAY()&gt;=$A398,SUMIFS(Tabla1[Avance_km],Tabla1[Fecha],"&lt;="&amp;Grafico!$A398,Tabla1[nombre_actividad],Grafico!H$1),NA())</f>
        <v>#N/A</v>
      </c>
      <c r="I398" s="63" t="e">
        <f ca="1">IF(TODAY()&gt;=$A398,SUMIFS(Tabla1[Avance_km],Tabla1[Fecha],"&lt;="&amp;Grafico!$A398,Tabla1[nombre_actividad],Grafico!I$1),NA())</f>
        <v>#N/A</v>
      </c>
    </row>
    <row r="399" spans="1:9" x14ac:dyDescent="0.25">
      <c r="A399" s="62">
        <f t="shared" si="14"/>
        <v>46360</v>
      </c>
      <c r="B399" s="33" t="str">
        <f t="shared" ca="1" si="13"/>
        <v/>
      </c>
      <c r="C399" s="33"/>
      <c r="D399" s="63" t="e">
        <f ca="1">IF(TODAY()&gt;=$A399,SUMIFS(Tabla1[Avance_km],Tabla1[Fecha],"&lt;="&amp;Grafico!$A399,Tabla1[nombre_actividad],Grafico!D$1),NA())</f>
        <v>#N/A</v>
      </c>
      <c r="E399" s="63" t="e">
        <f ca="1">IF(TODAY()&gt;=$A399,SUMIFS(Tabla1[Avance_km],Tabla1[Fecha],"&lt;="&amp;Grafico!$A399,Tabla1[nombre_actividad],Grafico!E$1),NA())</f>
        <v>#N/A</v>
      </c>
      <c r="F399" s="110" t="e">
        <f ca="1">IF(TODAY()&gt;=$A399,SUMIFS(Tabla1[Avance_km],Tabla1[Fecha],"&lt;="&amp;Grafico!$A399,Tabla1[nombre_actividad],Grafico!F$1,Tabla1[Avance_km],"&gt;0"),NA())</f>
        <v>#N/A</v>
      </c>
      <c r="G399" s="67" t="e">
        <f ca="1">IF(TODAY()&gt;=$A399,SUMIFS(Tabla1[Avance_Med],Tabla1[Fecha],"&lt;="&amp;Grafico!$A399,Tabla1[nombre_actividad],Grafico!G$1),NA())</f>
        <v>#N/A</v>
      </c>
      <c r="H399" s="63" t="e">
        <f ca="1">IF(TODAY()&gt;=$A399,SUMIFS(Tabla1[Avance_km],Tabla1[Fecha],"&lt;="&amp;Grafico!$A399,Tabla1[nombre_actividad],Grafico!H$1),NA())</f>
        <v>#N/A</v>
      </c>
      <c r="I399" s="63" t="e">
        <f ca="1">IF(TODAY()&gt;=$A399,SUMIFS(Tabla1[Avance_km],Tabla1[Fecha],"&lt;="&amp;Grafico!$A399,Tabla1[nombre_actividad],Grafico!I$1),NA())</f>
        <v>#N/A</v>
      </c>
    </row>
    <row r="400" spans="1:9" x14ac:dyDescent="0.25">
      <c r="A400" s="62">
        <f t="shared" si="14"/>
        <v>46361</v>
      </c>
      <c r="B400" s="33" t="str">
        <f t="shared" ca="1" si="13"/>
        <v/>
      </c>
      <c r="C400" s="33"/>
      <c r="D400" s="63" t="e">
        <f ca="1">IF(TODAY()&gt;=$A400,SUMIFS(Tabla1[Avance_km],Tabla1[Fecha],"&lt;="&amp;Grafico!$A400,Tabla1[nombre_actividad],Grafico!D$1),NA())</f>
        <v>#N/A</v>
      </c>
      <c r="E400" s="63" t="e">
        <f ca="1">IF(TODAY()&gt;=$A400,SUMIFS(Tabla1[Avance_km],Tabla1[Fecha],"&lt;="&amp;Grafico!$A400,Tabla1[nombre_actividad],Grafico!E$1),NA())</f>
        <v>#N/A</v>
      </c>
      <c r="F400" s="110" t="e">
        <f ca="1">IF(TODAY()&gt;=$A400,SUMIFS(Tabla1[Avance_km],Tabla1[Fecha],"&lt;="&amp;Grafico!$A400,Tabla1[nombre_actividad],Grafico!F$1,Tabla1[Avance_km],"&gt;0"),NA())</f>
        <v>#N/A</v>
      </c>
      <c r="G400" s="67" t="e">
        <f ca="1">IF(TODAY()&gt;=$A400,SUMIFS(Tabla1[Avance_Med],Tabla1[Fecha],"&lt;="&amp;Grafico!$A400,Tabla1[nombre_actividad],Grafico!G$1),NA())</f>
        <v>#N/A</v>
      </c>
      <c r="H400" s="63" t="e">
        <f ca="1">IF(TODAY()&gt;=$A400,SUMIFS(Tabla1[Avance_km],Tabla1[Fecha],"&lt;="&amp;Grafico!$A400,Tabla1[nombre_actividad],Grafico!H$1),NA())</f>
        <v>#N/A</v>
      </c>
      <c r="I400" s="63" t="e">
        <f ca="1">IF(TODAY()&gt;=$A400,SUMIFS(Tabla1[Avance_km],Tabla1[Fecha],"&lt;="&amp;Grafico!$A400,Tabla1[nombre_actividad],Grafico!I$1),NA())</f>
        <v>#N/A</v>
      </c>
    </row>
    <row r="401" spans="1:9" x14ac:dyDescent="0.25">
      <c r="A401" s="62">
        <f t="shared" si="14"/>
        <v>46362</v>
      </c>
      <c r="B401" s="33" t="str">
        <f t="shared" ca="1" si="13"/>
        <v/>
      </c>
      <c r="C401" s="33"/>
      <c r="D401" s="63" t="e">
        <f ca="1">IF(TODAY()&gt;=$A401,SUMIFS(Tabla1[Avance_km],Tabla1[Fecha],"&lt;="&amp;Grafico!$A401,Tabla1[nombre_actividad],Grafico!D$1),NA())</f>
        <v>#N/A</v>
      </c>
      <c r="E401" s="63" t="e">
        <f ca="1">IF(TODAY()&gt;=$A401,SUMIFS(Tabla1[Avance_km],Tabla1[Fecha],"&lt;="&amp;Grafico!$A401,Tabla1[nombre_actividad],Grafico!E$1),NA())</f>
        <v>#N/A</v>
      </c>
      <c r="F401" s="110" t="e">
        <f ca="1">IF(TODAY()&gt;=$A401,SUMIFS(Tabla1[Avance_km],Tabla1[Fecha],"&lt;="&amp;Grafico!$A401,Tabla1[nombre_actividad],Grafico!F$1,Tabla1[Avance_km],"&gt;0"),NA())</f>
        <v>#N/A</v>
      </c>
      <c r="G401" s="67" t="e">
        <f ca="1">IF(TODAY()&gt;=$A401,SUMIFS(Tabla1[Avance_Med],Tabla1[Fecha],"&lt;="&amp;Grafico!$A401,Tabla1[nombre_actividad],Grafico!G$1),NA())</f>
        <v>#N/A</v>
      </c>
      <c r="H401" s="63" t="e">
        <f ca="1">IF(TODAY()&gt;=$A401,SUMIFS(Tabla1[Avance_km],Tabla1[Fecha],"&lt;="&amp;Grafico!$A401,Tabla1[nombre_actividad],Grafico!H$1),NA())</f>
        <v>#N/A</v>
      </c>
      <c r="I401" s="63" t="e">
        <f ca="1">IF(TODAY()&gt;=$A401,SUMIFS(Tabla1[Avance_km],Tabla1[Fecha],"&lt;="&amp;Grafico!$A401,Tabla1[nombre_actividad],Grafico!I$1),NA())</f>
        <v>#N/A</v>
      </c>
    </row>
    <row r="402" spans="1:9" x14ac:dyDescent="0.25">
      <c r="A402" s="62">
        <f t="shared" si="14"/>
        <v>46363</v>
      </c>
      <c r="B402" s="33" t="str">
        <f t="shared" ca="1" si="13"/>
        <v/>
      </c>
      <c r="C402" s="33"/>
      <c r="D402" s="63" t="e">
        <f ca="1">IF(TODAY()&gt;=$A402,SUMIFS(Tabla1[Avance_km],Tabla1[Fecha],"&lt;="&amp;Grafico!$A402,Tabla1[nombre_actividad],Grafico!D$1),NA())</f>
        <v>#N/A</v>
      </c>
      <c r="E402" s="63" t="e">
        <f ca="1">IF(TODAY()&gt;=$A402,SUMIFS(Tabla1[Avance_km],Tabla1[Fecha],"&lt;="&amp;Grafico!$A402,Tabla1[nombre_actividad],Grafico!E$1),NA())</f>
        <v>#N/A</v>
      </c>
      <c r="F402" s="110" t="e">
        <f ca="1">IF(TODAY()&gt;=$A402,SUMIFS(Tabla1[Avance_km],Tabla1[Fecha],"&lt;="&amp;Grafico!$A402,Tabla1[nombre_actividad],Grafico!F$1,Tabla1[Avance_km],"&gt;0"),NA())</f>
        <v>#N/A</v>
      </c>
      <c r="G402" s="67" t="e">
        <f ca="1">IF(TODAY()&gt;=$A402,SUMIFS(Tabla1[Avance_Med],Tabla1[Fecha],"&lt;="&amp;Grafico!$A402,Tabla1[nombre_actividad],Grafico!G$1),NA())</f>
        <v>#N/A</v>
      </c>
      <c r="H402" s="63" t="e">
        <f ca="1">IF(TODAY()&gt;=$A402,SUMIFS(Tabla1[Avance_km],Tabla1[Fecha],"&lt;="&amp;Grafico!$A402,Tabla1[nombre_actividad],Grafico!H$1),NA())</f>
        <v>#N/A</v>
      </c>
      <c r="I402" s="63" t="e">
        <f ca="1">IF(TODAY()&gt;=$A402,SUMIFS(Tabla1[Avance_km],Tabla1[Fecha],"&lt;="&amp;Grafico!$A402,Tabla1[nombre_actividad],Grafico!I$1),NA())</f>
        <v>#N/A</v>
      </c>
    </row>
    <row r="403" spans="1:9" x14ac:dyDescent="0.25">
      <c r="A403" s="62">
        <f t="shared" si="14"/>
        <v>46364</v>
      </c>
      <c r="B403" s="33" t="str">
        <f t="shared" ca="1" si="13"/>
        <v/>
      </c>
      <c r="C403" s="33"/>
      <c r="D403" s="63" t="e">
        <f ca="1">IF(TODAY()&gt;=$A403,SUMIFS(Tabla1[Avance_km],Tabla1[Fecha],"&lt;="&amp;Grafico!$A403,Tabla1[nombre_actividad],Grafico!D$1),NA())</f>
        <v>#N/A</v>
      </c>
      <c r="E403" s="63" t="e">
        <f ca="1">IF(TODAY()&gt;=$A403,SUMIFS(Tabla1[Avance_km],Tabla1[Fecha],"&lt;="&amp;Grafico!$A403,Tabla1[nombre_actividad],Grafico!E$1),NA())</f>
        <v>#N/A</v>
      </c>
      <c r="F403" s="110" t="e">
        <f ca="1">IF(TODAY()&gt;=$A403,SUMIFS(Tabla1[Avance_km],Tabla1[Fecha],"&lt;="&amp;Grafico!$A403,Tabla1[nombre_actividad],Grafico!F$1,Tabla1[Avance_km],"&gt;0"),NA())</f>
        <v>#N/A</v>
      </c>
      <c r="G403" s="67" t="e">
        <f ca="1">IF(TODAY()&gt;=$A403,SUMIFS(Tabla1[Avance_Med],Tabla1[Fecha],"&lt;="&amp;Grafico!$A403,Tabla1[nombre_actividad],Grafico!G$1),NA())</f>
        <v>#N/A</v>
      </c>
      <c r="H403" s="63" t="e">
        <f ca="1">IF(TODAY()&gt;=$A403,SUMIFS(Tabla1[Avance_km],Tabla1[Fecha],"&lt;="&amp;Grafico!$A403,Tabla1[nombre_actividad],Grafico!H$1),NA())</f>
        <v>#N/A</v>
      </c>
      <c r="I403" s="63" t="e">
        <f ca="1">IF(TODAY()&gt;=$A403,SUMIFS(Tabla1[Avance_km],Tabla1[Fecha],"&lt;="&amp;Grafico!$A403,Tabla1[nombre_actividad],Grafico!I$1),NA())</f>
        <v>#N/A</v>
      </c>
    </row>
    <row r="404" spans="1:9" x14ac:dyDescent="0.25">
      <c r="A404" s="62">
        <f t="shared" si="14"/>
        <v>46365</v>
      </c>
      <c r="B404" s="33" t="str">
        <f t="shared" ca="1" si="13"/>
        <v/>
      </c>
      <c r="C404" s="33"/>
      <c r="D404" s="63" t="e">
        <f ca="1">IF(TODAY()&gt;=$A404,SUMIFS(Tabla1[Avance_km],Tabla1[Fecha],"&lt;="&amp;Grafico!$A404,Tabla1[nombre_actividad],Grafico!D$1),NA())</f>
        <v>#N/A</v>
      </c>
      <c r="E404" s="63" t="e">
        <f ca="1">IF(TODAY()&gt;=$A404,SUMIFS(Tabla1[Avance_km],Tabla1[Fecha],"&lt;="&amp;Grafico!$A404,Tabla1[nombre_actividad],Grafico!E$1),NA())</f>
        <v>#N/A</v>
      </c>
      <c r="F404" s="110" t="e">
        <f ca="1">IF(TODAY()&gt;=$A404,SUMIFS(Tabla1[Avance_km],Tabla1[Fecha],"&lt;="&amp;Grafico!$A404,Tabla1[nombre_actividad],Grafico!F$1,Tabla1[Avance_km],"&gt;0"),NA())</f>
        <v>#N/A</v>
      </c>
      <c r="G404" s="67" t="e">
        <f ca="1">IF(TODAY()&gt;=$A404,SUMIFS(Tabla1[Avance_Med],Tabla1[Fecha],"&lt;="&amp;Grafico!$A404,Tabla1[nombre_actividad],Grafico!G$1),NA())</f>
        <v>#N/A</v>
      </c>
      <c r="H404" s="63" t="e">
        <f ca="1">IF(TODAY()&gt;=$A404,SUMIFS(Tabla1[Avance_km],Tabla1[Fecha],"&lt;="&amp;Grafico!$A404,Tabla1[nombre_actividad],Grafico!H$1),NA())</f>
        <v>#N/A</v>
      </c>
      <c r="I404" s="63" t="e">
        <f ca="1">IF(TODAY()&gt;=$A404,SUMIFS(Tabla1[Avance_km],Tabla1[Fecha],"&lt;="&amp;Grafico!$A404,Tabla1[nombre_actividad],Grafico!I$1),NA())</f>
        <v>#N/A</v>
      </c>
    </row>
    <row r="405" spans="1:9" x14ac:dyDescent="0.25">
      <c r="A405" s="62">
        <f t="shared" si="14"/>
        <v>46366</v>
      </c>
      <c r="B405" s="33" t="str">
        <f t="shared" ca="1" si="13"/>
        <v/>
      </c>
      <c r="C405" s="33"/>
      <c r="D405" s="63" t="e">
        <f ca="1">IF(TODAY()&gt;=$A405,SUMIFS(Tabla1[Avance_km],Tabla1[Fecha],"&lt;="&amp;Grafico!$A405,Tabla1[nombre_actividad],Grafico!D$1),NA())</f>
        <v>#N/A</v>
      </c>
      <c r="E405" s="63" t="e">
        <f ca="1">IF(TODAY()&gt;=$A405,SUMIFS(Tabla1[Avance_km],Tabla1[Fecha],"&lt;="&amp;Grafico!$A405,Tabla1[nombre_actividad],Grafico!E$1),NA())</f>
        <v>#N/A</v>
      </c>
      <c r="F405" s="110" t="e">
        <f ca="1">IF(TODAY()&gt;=$A405,SUMIFS(Tabla1[Avance_km],Tabla1[Fecha],"&lt;="&amp;Grafico!$A405,Tabla1[nombre_actividad],Grafico!F$1,Tabla1[Avance_km],"&gt;0"),NA())</f>
        <v>#N/A</v>
      </c>
      <c r="G405" s="67" t="e">
        <f ca="1">IF(TODAY()&gt;=$A405,SUMIFS(Tabla1[Avance_Med],Tabla1[Fecha],"&lt;="&amp;Grafico!$A405,Tabla1[nombre_actividad],Grafico!G$1),NA())</f>
        <v>#N/A</v>
      </c>
      <c r="H405" s="63" t="e">
        <f ca="1">IF(TODAY()&gt;=$A405,SUMIFS(Tabla1[Avance_km],Tabla1[Fecha],"&lt;="&amp;Grafico!$A405,Tabla1[nombre_actividad],Grafico!H$1),NA())</f>
        <v>#N/A</v>
      </c>
      <c r="I405" s="63" t="e">
        <f ca="1">IF(TODAY()&gt;=$A405,SUMIFS(Tabla1[Avance_km],Tabla1[Fecha],"&lt;="&amp;Grafico!$A405,Tabla1[nombre_actividad],Grafico!I$1),NA())</f>
        <v>#N/A</v>
      </c>
    </row>
    <row r="406" spans="1:9" x14ac:dyDescent="0.25">
      <c r="A406" s="62">
        <f t="shared" si="14"/>
        <v>46367</v>
      </c>
      <c r="B406" s="33" t="str">
        <f t="shared" ca="1" si="13"/>
        <v/>
      </c>
      <c r="C406" s="33"/>
      <c r="D406" s="63" t="e">
        <f ca="1">IF(TODAY()&gt;=$A406,SUMIFS(Tabla1[Avance_km],Tabla1[Fecha],"&lt;="&amp;Grafico!$A406,Tabla1[nombre_actividad],Grafico!D$1),NA())</f>
        <v>#N/A</v>
      </c>
      <c r="E406" s="63" t="e">
        <f ca="1">IF(TODAY()&gt;=$A406,SUMIFS(Tabla1[Avance_km],Tabla1[Fecha],"&lt;="&amp;Grafico!$A406,Tabla1[nombre_actividad],Grafico!E$1),NA())</f>
        <v>#N/A</v>
      </c>
      <c r="F406" s="110" t="e">
        <f ca="1">IF(TODAY()&gt;=$A406,SUMIFS(Tabla1[Avance_km],Tabla1[Fecha],"&lt;="&amp;Grafico!$A406,Tabla1[nombre_actividad],Grafico!F$1,Tabla1[Avance_km],"&gt;0"),NA())</f>
        <v>#N/A</v>
      </c>
      <c r="G406" s="67" t="e">
        <f ca="1">IF(TODAY()&gt;=$A406,SUMIFS(Tabla1[Avance_Med],Tabla1[Fecha],"&lt;="&amp;Grafico!$A406,Tabla1[nombre_actividad],Grafico!G$1),NA())</f>
        <v>#N/A</v>
      </c>
      <c r="H406" s="63" t="e">
        <f ca="1">IF(TODAY()&gt;=$A406,SUMIFS(Tabla1[Avance_km],Tabla1[Fecha],"&lt;="&amp;Grafico!$A406,Tabla1[nombre_actividad],Grafico!H$1),NA())</f>
        <v>#N/A</v>
      </c>
      <c r="I406" s="63" t="e">
        <f ca="1">IF(TODAY()&gt;=$A406,SUMIFS(Tabla1[Avance_km],Tabla1[Fecha],"&lt;="&amp;Grafico!$A406,Tabla1[nombre_actividad],Grafico!I$1),NA())</f>
        <v>#N/A</v>
      </c>
    </row>
    <row r="407" spans="1:9" x14ac:dyDescent="0.25">
      <c r="A407" s="62">
        <f t="shared" si="14"/>
        <v>46368</v>
      </c>
      <c r="B407" s="33" t="str">
        <f t="shared" ca="1" si="13"/>
        <v/>
      </c>
      <c r="C407" s="33"/>
      <c r="D407" s="63" t="e">
        <f ca="1">IF(TODAY()&gt;=$A407,SUMIFS(Tabla1[Avance_km],Tabla1[Fecha],"&lt;="&amp;Grafico!$A407,Tabla1[nombre_actividad],Grafico!D$1),NA())</f>
        <v>#N/A</v>
      </c>
      <c r="E407" s="63" t="e">
        <f ca="1">IF(TODAY()&gt;=$A407,SUMIFS(Tabla1[Avance_km],Tabla1[Fecha],"&lt;="&amp;Grafico!$A407,Tabla1[nombre_actividad],Grafico!E$1),NA())</f>
        <v>#N/A</v>
      </c>
      <c r="F407" s="110" t="e">
        <f ca="1">IF(TODAY()&gt;=$A407,SUMIFS(Tabla1[Avance_km],Tabla1[Fecha],"&lt;="&amp;Grafico!$A407,Tabla1[nombre_actividad],Grafico!F$1,Tabla1[Avance_km],"&gt;0"),NA())</f>
        <v>#N/A</v>
      </c>
      <c r="G407" s="67" t="e">
        <f ca="1">IF(TODAY()&gt;=$A407,SUMIFS(Tabla1[Avance_Med],Tabla1[Fecha],"&lt;="&amp;Grafico!$A407,Tabla1[nombre_actividad],Grafico!G$1),NA())</f>
        <v>#N/A</v>
      </c>
      <c r="H407" s="63" t="e">
        <f ca="1">IF(TODAY()&gt;=$A407,SUMIFS(Tabla1[Avance_km],Tabla1[Fecha],"&lt;="&amp;Grafico!$A407,Tabla1[nombre_actividad],Grafico!H$1),NA())</f>
        <v>#N/A</v>
      </c>
      <c r="I407" s="63" t="e">
        <f ca="1">IF(TODAY()&gt;=$A407,SUMIFS(Tabla1[Avance_km],Tabla1[Fecha],"&lt;="&amp;Grafico!$A407,Tabla1[nombre_actividad],Grafico!I$1),NA())</f>
        <v>#N/A</v>
      </c>
    </row>
    <row r="408" spans="1:9" x14ac:dyDescent="0.25">
      <c r="A408" s="62">
        <f t="shared" si="14"/>
        <v>46369</v>
      </c>
      <c r="B408" s="33" t="str">
        <f t="shared" ca="1" si="13"/>
        <v/>
      </c>
      <c r="C408" s="33"/>
      <c r="D408" s="63" t="e">
        <f ca="1">IF(TODAY()&gt;=$A408,SUMIFS(Tabla1[Avance_km],Tabla1[Fecha],"&lt;="&amp;Grafico!$A408,Tabla1[nombre_actividad],Grafico!D$1),NA())</f>
        <v>#N/A</v>
      </c>
      <c r="E408" s="63" t="e">
        <f ca="1">IF(TODAY()&gt;=$A408,SUMIFS(Tabla1[Avance_km],Tabla1[Fecha],"&lt;="&amp;Grafico!$A408,Tabla1[nombre_actividad],Grafico!E$1),NA())</f>
        <v>#N/A</v>
      </c>
      <c r="F408" s="110" t="e">
        <f ca="1">IF(TODAY()&gt;=$A408,SUMIFS(Tabla1[Avance_km],Tabla1[Fecha],"&lt;="&amp;Grafico!$A408,Tabla1[nombre_actividad],Grafico!F$1,Tabla1[Avance_km],"&gt;0"),NA())</f>
        <v>#N/A</v>
      </c>
      <c r="G408" s="67" t="e">
        <f ca="1">IF(TODAY()&gt;=$A408,SUMIFS(Tabla1[Avance_Med],Tabla1[Fecha],"&lt;="&amp;Grafico!$A408,Tabla1[nombre_actividad],Grafico!G$1),NA())</f>
        <v>#N/A</v>
      </c>
      <c r="H408" s="63" t="e">
        <f ca="1">IF(TODAY()&gt;=$A408,SUMIFS(Tabla1[Avance_km],Tabla1[Fecha],"&lt;="&amp;Grafico!$A408,Tabla1[nombre_actividad],Grafico!H$1),NA())</f>
        <v>#N/A</v>
      </c>
      <c r="I408" s="63" t="e">
        <f ca="1">IF(TODAY()&gt;=$A408,SUMIFS(Tabla1[Avance_km],Tabla1[Fecha],"&lt;="&amp;Grafico!$A408,Tabla1[nombre_actividad],Grafico!I$1),NA())</f>
        <v>#N/A</v>
      </c>
    </row>
    <row r="409" spans="1:9" x14ac:dyDescent="0.25">
      <c r="A409" s="62">
        <f t="shared" si="14"/>
        <v>46370</v>
      </c>
      <c r="B409" s="33" t="str">
        <f t="shared" ca="1" si="13"/>
        <v/>
      </c>
      <c r="C409" s="33"/>
      <c r="D409" s="63" t="e">
        <f ca="1">IF(TODAY()&gt;=$A409,SUMIFS(Tabla1[Avance_km],Tabla1[Fecha],"&lt;="&amp;Grafico!$A409,Tabla1[nombre_actividad],Grafico!D$1),NA())</f>
        <v>#N/A</v>
      </c>
      <c r="E409" s="63" t="e">
        <f ca="1">IF(TODAY()&gt;=$A409,SUMIFS(Tabla1[Avance_km],Tabla1[Fecha],"&lt;="&amp;Grafico!$A409,Tabla1[nombre_actividad],Grafico!E$1),NA())</f>
        <v>#N/A</v>
      </c>
      <c r="F409" s="110" t="e">
        <f ca="1">IF(TODAY()&gt;=$A409,SUMIFS(Tabla1[Avance_km],Tabla1[Fecha],"&lt;="&amp;Grafico!$A409,Tabla1[nombre_actividad],Grafico!F$1,Tabla1[Avance_km],"&gt;0"),NA())</f>
        <v>#N/A</v>
      </c>
      <c r="G409" s="67" t="e">
        <f ca="1">IF(TODAY()&gt;=$A409,SUMIFS(Tabla1[Avance_Med],Tabla1[Fecha],"&lt;="&amp;Grafico!$A409,Tabla1[nombre_actividad],Grafico!G$1),NA())</f>
        <v>#N/A</v>
      </c>
      <c r="H409" s="63" t="e">
        <f ca="1">IF(TODAY()&gt;=$A409,SUMIFS(Tabla1[Avance_km],Tabla1[Fecha],"&lt;="&amp;Grafico!$A409,Tabla1[nombre_actividad],Grafico!H$1),NA())</f>
        <v>#N/A</v>
      </c>
      <c r="I409" s="63" t="e">
        <f ca="1">IF(TODAY()&gt;=$A409,SUMIFS(Tabla1[Avance_km],Tabla1[Fecha],"&lt;="&amp;Grafico!$A409,Tabla1[nombre_actividad],Grafico!I$1),NA())</f>
        <v>#N/A</v>
      </c>
    </row>
    <row r="410" spans="1:9" x14ac:dyDescent="0.25">
      <c r="A410" s="62">
        <f t="shared" si="14"/>
        <v>46371</v>
      </c>
      <c r="B410" s="33" t="str">
        <f t="shared" ca="1" si="13"/>
        <v/>
      </c>
      <c r="C410" s="33"/>
      <c r="D410" s="63" t="e">
        <f ca="1">IF(TODAY()&gt;=$A410,SUMIFS(Tabla1[Avance_km],Tabla1[Fecha],"&lt;="&amp;Grafico!$A410,Tabla1[nombre_actividad],Grafico!D$1),NA())</f>
        <v>#N/A</v>
      </c>
      <c r="E410" s="63" t="e">
        <f ca="1">IF(TODAY()&gt;=$A410,SUMIFS(Tabla1[Avance_km],Tabla1[Fecha],"&lt;="&amp;Grafico!$A410,Tabla1[nombre_actividad],Grafico!E$1),NA())</f>
        <v>#N/A</v>
      </c>
      <c r="F410" s="110" t="e">
        <f ca="1">IF(TODAY()&gt;=$A410,SUMIFS(Tabla1[Avance_km],Tabla1[Fecha],"&lt;="&amp;Grafico!$A410,Tabla1[nombre_actividad],Grafico!F$1,Tabla1[Avance_km],"&gt;0"),NA())</f>
        <v>#N/A</v>
      </c>
      <c r="G410" s="67" t="e">
        <f ca="1">IF(TODAY()&gt;=$A410,SUMIFS(Tabla1[Avance_Med],Tabla1[Fecha],"&lt;="&amp;Grafico!$A410,Tabla1[nombre_actividad],Grafico!G$1),NA())</f>
        <v>#N/A</v>
      </c>
      <c r="H410" s="63" t="e">
        <f ca="1">IF(TODAY()&gt;=$A410,SUMIFS(Tabla1[Avance_km],Tabla1[Fecha],"&lt;="&amp;Grafico!$A410,Tabla1[nombre_actividad],Grafico!H$1),NA())</f>
        <v>#N/A</v>
      </c>
      <c r="I410" s="63" t="e">
        <f ca="1">IF(TODAY()&gt;=$A410,SUMIFS(Tabla1[Avance_km],Tabla1[Fecha],"&lt;="&amp;Grafico!$A410,Tabla1[nombre_actividad],Grafico!I$1),NA())</f>
        <v>#N/A</v>
      </c>
    </row>
    <row r="411" spans="1:9" x14ac:dyDescent="0.25">
      <c r="A411" s="62">
        <f t="shared" si="14"/>
        <v>46372</v>
      </c>
      <c r="B411" s="33" t="str">
        <f t="shared" ca="1" si="13"/>
        <v/>
      </c>
      <c r="C411" s="33"/>
      <c r="D411" s="63" t="e">
        <f ca="1">IF(TODAY()&gt;=$A411,SUMIFS(Tabla1[Avance_km],Tabla1[Fecha],"&lt;="&amp;Grafico!$A411,Tabla1[nombre_actividad],Grafico!D$1),NA())</f>
        <v>#N/A</v>
      </c>
      <c r="E411" s="63" t="e">
        <f ca="1">IF(TODAY()&gt;=$A411,SUMIFS(Tabla1[Avance_km],Tabla1[Fecha],"&lt;="&amp;Grafico!$A411,Tabla1[nombre_actividad],Grafico!E$1),NA())</f>
        <v>#N/A</v>
      </c>
      <c r="F411" s="110" t="e">
        <f ca="1">IF(TODAY()&gt;=$A411,SUMIFS(Tabla1[Avance_km],Tabla1[Fecha],"&lt;="&amp;Grafico!$A411,Tabla1[nombre_actividad],Grafico!F$1,Tabla1[Avance_km],"&gt;0"),NA())</f>
        <v>#N/A</v>
      </c>
      <c r="G411" s="67" t="e">
        <f ca="1">IF(TODAY()&gt;=$A411,SUMIFS(Tabla1[Avance_Med],Tabla1[Fecha],"&lt;="&amp;Grafico!$A411,Tabla1[nombre_actividad],Grafico!G$1),NA())</f>
        <v>#N/A</v>
      </c>
      <c r="H411" s="63" t="e">
        <f ca="1">IF(TODAY()&gt;=$A411,SUMIFS(Tabla1[Avance_km],Tabla1[Fecha],"&lt;="&amp;Grafico!$A411,Tabla1[nombre_actividad],Grafico!H$1),NA())</f>
        <v>#N/A</v>
      </c>
      <c r="I411" s="63" t="e">
        <f ca="1">IF(TODAY()&gt;=$A411,SUMIFS(Tabla1[Avance_km],Tabla1[Fecha],"&lt;="&amp;Grafico!$A411,Tabla1[nombre_actividad],Grafico!I$1),NA())</f>
        <v>#N/A</v>
      </c>
    </row>
    <row r="412" spans="1:9" x14ac:dyDescent="0.25">
      <c r="A412" s="62">
        <f t="shared" si="14"/>
        <v>46373</v>
      </c>
      <c r="B412" s="33" t="str">
        <f t="shared" ca="1" si="13"/>
        <v/>
      </c>
      <c r="C412" s="33"/>
      <c r="D412" s="63" t="e">
        <f ca="1">IF(TODAY()&gt;=$A412,SUMIFS(Tabla1[Avance_km],Tabla1[Fecha],"&lt;="&amp;Grafico!$A412,Tabla1[nombre_actividad],Grafico!D$1),NA())</f>
        <v>#N/A</v>
      </c>
      <c r="E412" s="63" t="e">
        <f ca="1">IF(TODAY()&gt;=$A412,SUMIFS(Tabla1[Avance_km],Tabla1[Fecha],"&lt;="&amp;Grafico!$A412,Tabla1[nombre_actividad],Grafico!E$1),NA())</f>
        <v>#N/A</v>
      </c>
      <c r="F412" s="110" t="e">
        <f ca="1">IF(TODAY()&gt;=$A412,SUMIFS(Tabla1[Avance_km],Tabla1[Fecha],"&lt;="&amp;Grafico!$A412,Tabla1[nombre_actividad],Grafico!F$1,Tabla1[Avance_km],"&gt;0"),NA())</f>
        <v>#N/A</v>
      </c>
      <c r="G412" s="67" t="e">
        <f ca="1">IF(TODAY()&gt;=$A412,SUMIFS(Tabla1[Avance_Med],Tabla1[Fecha],"&lt;="&amp;Grafico!$A412,Tabla1[nombre_actividad],Grafico!G$1),NA())</f>
        <v>#N/A</v>
      </c>
      <c r="H412" s="63" t="e">
        <f ca="1">IF(TODAY()&gt;=$A412,SUMIFS(Tabla1[Avance_km],Tabla1[Fecha],"&lt;="&amp;Grafico!$A412,Tabla1[nombre_actividad],Grafico!H$1),NA())</f>
        <v>#N/A</v>
      </c>
      <c r="I412" s="63" t="e">
        <f ca="1">IF(TODAY()&gt;=$A412,SUMIFS(Tabla1[Avance_km],Tabla1[Fecha],"&lt;="&amp;Grafico!$A412,Tabla1[nombre_actividad],Grafico!I$1),NA())</f>
        <v>#N/A</v>
      </c>
    </row>
    <row r="413" spans="1:9" x14ac:dyDescent="0.25">
      <c r="A413" s="62">
        <f t="shared" si="14"/>
        <v>46374</v>
      </c>
      <c r="B413" s="33" t="str">
        <f t="shared" ca="1" si="13"/>
        <v/>
      </c>
      <c r="C413" s="33"/>
      <c r="D413" s="63" t="e">
        <f ca="1">IF(TODAY()&gt;=$A413,SUMIFS(Tabla1[Avance_km],Tabla1[Fecha],"&lt;="&amp;Grafico!$A413,Tabla1[nombre_actividad],Grafico!D$1),NA())</f>
        <v>#N/A</v>
      </c>
      <c r="E413" s="63" t="e">
        <f ca="1">IF(TODAY()&gt;=$A413,SUMIFS(Tabla1[Avance_km],Tabla1[Fecha],"&lt;="&amp;Grafico!$A413,Tabla1[nombre_actividad],Grafico!E$1),NA())</f>
        <v>#N/A</v>
      </c>
      <c r="F413" s="110" t="e">
        <f ca="1">IF(TODAY()&gt;=$A413,SUMIFS(Tabla1[Avance_km],Tabla1[Fecha],"&lt;="&amp;Grafico!$A413,Tabla1[nombre_actividad],Grafico!F$1,Tabla1[Avance_km],"&gt;0"),NA())</f>
        <v>#N/A</v>
      </c>
      <c r="G413" s="67" t="e">
        <f ca="1">IF(TODAY()&gt;=$A413,SUMIFS(Tabla1[Avance_Med],Tabla1[Fecha],"&lt;="&amp;Grafico!$A413,Tabla1[nombre_actividad],Grafico!G$1),NA())</f>
        <v>#N/A</v>
      </c>
      <c r="H413" s="63" t="e">
        <f ca="1">IF(TODAY()&gt;=$A413,SUMIFS(Tabla1[Avance_km],Tabla1[Fecha],"&lt;="&amp;Grafico!$A413,Tabla1[nombre_actividad],Grafico!H$1),NA())</f>
        <v>#N/A</v>
      </c>
      <c r="I413" s="63" t="e">
        <f ca="1">IF(TODAY()&gt;=$A413,SUMIFS(Tabla1[Avance_km],Tabla1[Fecha],"&lt;="&amp;Grafico!$A413,Tabla1[nombre_actividad],Grafico!I$1),NA())</f>
        <v>#N/A</v>
      </c>
    </row>
    <row r="414" spans="1:9" x14ac:dyDescent="0.25">
      <c r="A414" s="62">
        <f t="shared" si="14"/>
        <v>46375</v>
      </c>
      <c r="B414" s="33" t="str">
        <f t="shared" ca="1" si="13"/>
        <v/>
      </c>
      <c r="C414" s="33"/>
      <c r="D414" s="63" t="e">
        <f ca="1">IF(TODAY()&gt;=$A414,SUMIFS(Tabla1[Avance_km],Tabla1[Fecha],"&lt;="&amp;Grafico!$A414,Tabla1[nombre_actividad],Grafico!D$1),NA())</f>
        <v>#N/A</v>
      </c>
      <c r="E414" s="63" t="e">
        <f ca="1">IF(TODAY()&gt;=$A414,SUMIFS(Tabla1[Avance_km],Tabla1[Fecha],"&lt;="&amp;Grafico!$A414,Tabla1[nombre_actividad],Grafico!E$1),NA())</f>
        <v>#N/A</v>
      </c>
      <c r="F414" s="110" t="e">
        <f ca="1">IF(TODAY()&gt;=$A414,SUMIFS(Tabla1[Avance_km],Tabla1[Fecha],"&lt;="&amp;Grafico!$A414,Tabla1[nombre_actividad],Grafico!F$1,Tabla1[Avance_km],"&gt;0"),NA())</f>
        <v>#N/A</v>
      </c>
      <c r="G414" s="67" t="e">
        <f ca="1">IF(TODAY()&gt;=$A414,SUMIFS(Tabla1[Avance_Med],Tabla1[Fecha],"&lt;="&amp;Grafico!$A414,Tabla1[nombre_actividad],Grafico!G$1),NA())</f>
        <v>#N/A</v>
      </c>
      <c r="H414" s="63" t="e">
        <f ca="1">IF(TODAY()&gt;=$A414,SUMIFS(Tabla1[Avance_km],Tabla1[Fecha],"&lt;="&amp;Grafico!$A414,Tabla1[nombre_actividad],Grafico!H$1),NA())</f>
        <v>#N/A</v>
      </c>
      <c r="I414" s="63" t="e">
        <f ca="1">IF(TODAY()&gt;=$A414,SUMIFS(Tabla1[Avance_km],Tabla1[Fecha],"&lt;="&amp;Grafico!$A414,Tabla1[nombre_actividad],Grafico!I$1),NA())</f>
        <v>#N/A</v>
      </c>
    </row>
    <row r="415" spans="1:9" x14ac:dyDescent="0.25">
      <c r="A415" s="62">
        <f t="shared" si="14"/>
        <v>46376</v>
      </c>
      <c r="B415" s="33" t="str">
        <f t="shared" ca="1" si="13"/>
        <v/>
      </c>
      <c r="C415" s="33"/>
      <c r="D415" s="63" t="e">
        <f ca="1">IF(TODAY()&gt;=$A415,SUMIFS(Tabla1[Avance_km],Tabla1[Fecha],"&lt;="&amp;Grafico!$A415,Tabla1[nombre_actividad],Grafico!D$1),NA())</f>
        <v>#N/A</v>
      </c>
      <c r="E415" s="63" t="e">
        <f ca="1">IF(TODAY()&gt;=$A415,SUMIFS(Tabla1[Avance_km],Tabla1[Fecha],"&lt;="&amp;Grafico!$A415,Tabla1[nombre_actividad],Grafico!E$1),NA())</f>
        <v>#N/A</v>
      </c>
      <c r="F415" s="110" t="e">
        <f ca="1">IF(TODAY()&gt;=$A415,SUMIFS(Tabla1[Avance_km],Tabla1[Fecha],"&lt;="&amp;Grafico!$A415,Tabla1[nombre_actividad],Grafico!F$1,Tabla1[Avance_km],"&gt;0"),NA())</f>
        <v>#N/A</v>
      </c>
      <c r="G415" s="67" t="e">
        <f ca="1">IF(TODAY()&gt;=$A415,SUMIFS(Tabla1[Avance_Med],Tabla1[Fecha],"&lt;="&amp;Grafico!$A415,Tabla1[nombre_actividad],Grafico!G$1),NA())</f>
        <v>#N/A</v>
      </c>
      <c r="H415" s="63" t="e">
        <f ca="1">IF(TODAY()&gt;=$A415,SUMIFS(Tabla1[Avance_km],Tabla1[Fecha],"&lt;="&amp;Grafico!$A415,Tabla1[nombre_actividad],Grafico!H$1),NA())</f>
        <v>#N/A</v>
      </c>
      <c r="I415" s="63" t="e">
        <f ca="1">IF(TODAY()&gt;=$A415,SUMIFS(Tabla1[Avance_km],Tabla1[Fecha],"&lt;="&amp;Grafico!$A415,Tabla1[nombre_actividad],Grafico!I$1),NA())</f>
        <v>#N/A</v>
      </c>
    </row>
    <row r="416" spans="1:9" x14ac:dyDescent="0.25">
      <c r="A416" s="62">
        <f t="shared" si="14"/>
        <v>46377</v>
      </c>
      <c r="B416" s="33" t="str">
        <f t="shared" ca="1" si="13"/>
        <v/>
      </c>
      <c r="C416" s="33"/>
      <c r="D416" s="63" t="e">
        <f ca="1">IF(TODAY()&gt;=$A416,SUMIFS(Tabla1[Avance_km],Tabla1[Fecha],"&lt;="&amp;Grafico!$A416,Tabla1[nombre_actividad],Grafico!D$1),NA())</f>
        <v>#N/A</v>
      </c>
      <c r="E416" s="63" t="e">
        <f ca="1">IF(TODAY()&gt;=$A416,SUMIFS(Tabla1[Avance_km],Tabla1[Fecha],"&lt;="&amp;Grafico!$A416,Tabla1[nombre_actividad],Grafico!E$1),NA())</f>
        <v>#N/A</v>
      </c>
      <c r="F416" s="110" t="e">
        <f ca="1">IF(TODAY()&gt;=$A416,SUMIFS(Tabla1[Avance_km],Tabla1[Fecha],"&lt;="&amp;Grafico!$A416,Tabla1[nombre_actividad],Grafico!F$1,Tabla1[Avance_km],"&gt;0"),NA())</f>
        <v>#N/A</v>
      </c>
      <c r="G416" s="67" t="e">
        <f ca="1">IF(TODAY()&gt;=$A416,SUMIFS(Tabla1[Avance_Med],Tabla1[Fecha],"&lt;="&amp;Grafico!$A416,Tabla1[nombre_actividad],Grafico!G$1),NA())</f>
        <v>#N/A</v>
      </c>
      <c r="H416" s="63" t="e">
        <f ca="1">IF(TODAY()&gt;=$A416,SUMIFS(Tabla1[Avance_km],Tabla1[Fecha],"&lt;="&amp;Grafico!$A416,Tabla1[nombre_actividad],Grafico!H$1),NA())</f>
        <v>#N/A</v>
      </c>
      <c r="I416" s="63" t="e">
        <f ca="1">IF(TODAY()&gt;=$A416,SUMIFS(Tabla1[Avance_km],Tabla1[Fecha],"&lt;="&amp;Grafico!$A416,Tabla1[nombre_actividad],Grafico!I$1),NA())</f>
        <v>#N/A</v>
      </c>
    </row>
    <row r="417" spans="1:9" x14ac:dyDescent="0.25">
      <c r="A417" s="62">
        <f t="shared" si="14"/>
        <v>46378</v>
      </c>
      <c r="B417" s="33" t="str">
        <f t="shared" ca="1" si="13"/>
        <v/>
      </c>
      <c r="C417" s="33"/>
      <c r="D417" s="63" t="e">
        <f ca="1">IF(TODAY()&gt;=$A417,SUMIFS(Tabla1[Avance_km],Tabla1[Fecha],"&lt;="&amp;Grafico!$A417,Tabla1[nombre_actividad],Grafico!D$1),NA())</f>
        <v>#N/A</v>
      </c>
      <c r="E417" s="63" t="e">
        <f ca="1">IF(TODAY()&gt;=$A417,SUMIFS(Tabla1[Avance_km],Tabla1[Fecha],"&lt;="&amp;Grafico!$A417,Tabla1[nombre_actividad],Grafico!E$1),NA())</f>
        <v>#N/A</v>
      </c>
      <c r="F417" s="110" t="e">
        <f ca="1">IF(TODAY()&gt;=$A417,SUMIFS(Tabla1[Avance_km],Tabla1[Fecha],"&lt;="&amp;Grafico!$A417,Tabla1[nombre_actividad],Grafico!F$1,Tabla1[Avance_km],"&gt;0"),NA())</f>
        <v>#N/A</v>
      </c>
      <c r="G417" s="67" t="e">
        <f ca="1">IF(TODAY()&gt;=$A417,SUMIFS(Tabla1[Avance_Med],Tabla1[Fecha],"&lt;="&amp;Grafico!$A417,Tabla1[nombre_actividad],Grafico!G$1),NA())</f>
        <v>#N/A</v>
      </c>
      <c r="H417" s="63" t="e">
        <f ca="1">IF(TODAY()&gt;=$A417,SUMIFS(Tabla1[Avance_km],Tabla1[Fecha],"&lt;="&amp;Grafico!$A417,Tabla1[nombre_actividad],Grafico!H$1),NA())</f>
        <v>#N/A</v>
      </c>
      <c r="I417" s="63" t="e">
        <f ca="1">IF(TODAY()&gt;=$A417,SUMIFS(Tabla1[Avance_km],Tabla1[Fecha],"&lt;="&amp;Grafico!$A417,Tabla1[nombre_actividad],Grafico!I$1),NA())</f>
        <v>#N/A</v>
      </c>
    </row>
    <row r="418" spans="1:9" x14ac:dyDescent="0.25">
      <c r="A418" s="62">
        <f t="shared" si="14"/>
        <v>46379</v>
      </c>
      <c r="B418" s="33" t="str">
        <f t="shared" ca="1" si="13"/>
        <v/>
      </c>
      <c r="C418" s="33"/>
      <c r="D418" s="63" t="e">
        <f ca="1">IF(TODAY()&gt;=$A418,SUMIFS(Tabla1[Avance_km],Tabla1[Fecha],"&lt;="&amp;Grafico!$A418,Tabla1[nombre_actividad],Grafico!D$1),NA())</f>
        <v>#N/A</v>
      </c>
      <c r="E418" s="63" t="e">
        <f ca="1">IF(TODAY()&gt;=$A418,SUMIFS(Tabla1[Avance_km],Tabla1[Fecha],"&lt;="&amp;Grafico!$A418,Tabla1[nombre_actividad],Grafico!E$1),NA())</f>
        <v>#N/A</v>
      </c>
      <c r="F418" s="110" t="e">
        <f ca="1">IF(TODAY()&gt;=$A418,SUMIFS(Tabla1[Avance_km],Tabla1[Fecha],"&lt;="&amp;Grafico!$A418,Tabla1[nombre_actividad],Grafico!F$1,Tabla1[Avance_km],"&gt;0"),NA())</f>
        <v>#N/A</v>
      </c>
      <c r="G418" s="67" t="e">
        <f ca="1">IF(TODAY()&gt;=$A418,SUMIFS(Tabla1[Avance_Med],Tabla1[Fecha],"&lt;="&amp;Grafico!$A418,Tabla1[nombre_actividad],Grafico!G$1),NA())</f>
        <v>#N/A</v>
      </c>
      <c r="H418" s="63" t="e">
        <f ca="1">IF(TODAY()&gt;=$A418,SUMIFS(Tabla1[Avance_km],Tabla1[Fecha],"&lt;="&amp;Grafico!$A418,Tabla1[nombre_actividad],Grafico!H$1),NA())</f>
        <v>#N/A</v>
      </c>
      <c r="I418" s="63" t="e">
        <f ca="1">IF(TODAY()&gt;=$A418,SUMIFS(Tabla1[Avance_km],Tabla1[Fecha],"&lt;="&amp;Grafico!$A418,Tabla1[nombre_actividad],Grafico!I$1),NA())</f>
        <v>#N/A</v>
      </c>
    </row>
    <row r="419" spans="1:9" x14ac:dyDescent="0.25">
      <c r="A419" s="62">
        <f t="shared" si="14"/>
        <v>46380</v>
      </c>
      <c r="B419" s="33" t="str">
        <f t="shared" ca="1" si="13"/>
        <v/>
      </c>
      <c r="C419" s="33"/>
      <c r="D419" s="63" t="e">
        <f ca="1">IF(TODAY()&gt;=$A419,SUMIFS(Tabla1[Avance_km],Tabla1[Fecha],"&lt;="&amp;Grafico!$A419,Tabla1[nombre_actividad],Grafico!D$1),NA())</f>
        <v>#N/A</v>
      </c>
      <c r="E419" s="63" t="e">
        <f ca="1">IF(TODAY()&gt;=$A419,SUMIFS(Tabla1[Avance_km],Tabla1[Fecha],"&lt;="&amp;Grafico!$A419,Tabla1[nombre_actividad],Grafico!E$1),NA())</f>
        <v>#N/A</v>
      </c>
      <c r="F419" s="110" t="e">
        <f ca="1">IF(TODAY()&gt;=$A419,SUMIFS(Tabla1[Avance_km],Tabla1[Fecha],"&lt;="&amp;Grafico!$A419,Tabla1[nombre_actividad],Grafico!F$1,Tabla1[Avance_km],"&gt;0"),NA())</f>
        <v>#N/A</v>
      </c>
      <c r="G419" s="67" t="e">
        <f ca="1">IF(TODAY()&gt;=$A419,SUMIFS(Tabla1[Avance_Med],Tabla1[Fecha],"&lt;="&amp;Grafico!$A419,Tabla1[nombre_actividad],Grafico!G$1),NA())</f>
        <v>#N/A</v>
      </c>
      <c r="H419" s="63" t="e">
        <f ca="1">IF(TODAY()&gt;=$A419,SUMIFS(Tabla1[Avance_km],Tabla1[Fecha],"&lt;="&amp;Grafico!$A419,Tabla1[nombre_actividad],Grafico!H$1),NA())</f>
        <v>#N/A</v>
      </c>
      <c r="I419" s="63" t="e">
        <f ca="1">IF(TODAY()&gt;=$A419,SUMIFS(Tabla1[Avance_km],Tabla1[Fecha],"&lt;="&amp;Grafico!$A419,Tabla1[nombre_actividad],Grafico!I$1),NA())</f>
        <v>#N/A</v>
      </c>
    </row>
    <row r="420" spans="1:9" x14ac:dyDescent="0.25">
      <c r="A420" s="62">
        <f t="shared" si="14"/>
        <v>46381</v>
      </c>
      <c r="B420" s="33" t="str">
        <f t="shared" ca="1" si="13"/>
        <v/>
      </c>
      <c r="C420" s="33"/>
      <c r="D420" s="63" t="e">
        <f ca="1">IF(TODAY()&gt;=$A420,SUMIFS(Tabla1[Avance_km],Tabla1[Fecha],"&lt;="&amp;Grafico!$A420,Tabla1[nombre_actividad],Grafico!D$1),NA())</f>
        <v>#N/A</v>
      </c>
      <c r="E420" s="63" t="e">
        <f ca="1">IF(TODAY()&gt;=$A420,SUMIFS(Tabla1[Avance_km],Tabla1[Fecha],"&lt;="&amp;Grafico!$A420,Tabla1[nombre_actividad],Grafico!E$1),NA())</f>
        <v>#N/A</v>
      </c>
      <c r="F420" s="110" t="e">
        <f ca="1">IF(TODAY()&gt;=$A420,SUMIFS(Tabla1[Avance_km],Tabla1[Fecha],"&lt;="&amp;Grafico!$A420,Tabla1[nombre_actividad],Grafico!F$1,Tabla1[Avance_km],"&gt;0"),NA())</f>
        <v>#N/A</v>
      </c>
      <c r="G420" s="67" t="e">
        <f ca="1">IF(TODAY()&gt;=$A420,SUMIFS(Tabla1[Avance_Med],Tabla1[Fecha],"&lt;="&amp;Grafico!$A420,Tabla1[nombre_actividad],Grafico!G$1),NA())</f>
        <v>#N/A</v>
      </c>
      <c r="H420" s="63" t="e">
        <f ca="1">IF(TODAY()&gt;=$A420,SUMIFS(Tabla1[Avance_km],Tabla1[Fecha],"&lt;="&amp;Grafico!$A420,Tabla1[nombre_actividad],Grafico!H$1),NA())</f>
        <v>#N/A</v>
      </c>
      <c r="I420" s="63" t="e">
        <f ca="1">IF(TODAY()&gt;=$A420,SUMIFS(Tabla1[Avance_km],Tabla1[Fecha],"&lt;="&amp;Grafico!$A420,Tabla1[nombre_actividad],Grafico!I$1),NA())</f>
        <v>#N/A</v>
      </c>
    </row>
    <row r="421" spans="1:9" x14ac:dyDescent="0.25">
      <c r="A421" s="62">
        <f t="shared" si="14"/>
        <v>46382</v>
      </c>
      <c r="B421" s="33" t="str">
        <f t="shared" ca="1" si="13"/>
        <v/>
      </c>
      <c r="C421" s="33"/>
      <c r="D421" s="63" t="e">
        <f ca="1">IF(TODAY()&gt;=$A421,SUMIFS(Tabla1[Avance_km],Tabla1[Fecha],"&lt;="&amp;Grafico!$A421,Tabla1[nombre_actividad],Grafico!D$1),NA())</f>
        <v>#N/A</v>
      </c>
      <c r="E421" s="63" t="e">
        <f ca="1">IF(TODAY()&gt;=$A421,SUMIFS(Tabla1[Avance_km],Tabla1[Fecha],"&lt;="&amp;Grafico!$A421,Tabla1[nombre_actividad],Grafico!E$1),NA())</f>
        <v>#N/A</v>
      </c>
      <c r="F421" s="110" t="e">
        <f ca="1">IF(TODAY()&gt;=$A421,SUMIFS(Tabla1[Avance_km],Tabla1[Fecha],"&lt;="&amp;Grafico!$A421,Tabla1[nombre_actividad],Grafico!F$1,Tabla1[Avance_km],"&gt;0"),NA())</f>
        <v>#N/A</v>
      </c>
      <c r="G421" s="67" t="e">
        <f ca="1">IF(TODAY()&gt;=$A421,SUMIFS(Tabla1[Avance_Med],Tabla1[Fecha],"&lt;="&amp;Grafico!$A421,Tabla1[nombre_actividad],Grafico!G$1),NA())</f>
        <v>#N/A</v>
      </c>
      <c r="H421" s="63" t="e">
        <f ca="1">IF(TODAY()&gt;=$A421,SUMIFS(Tabla1[Avance_km],Tabla1[Fecha],"&lt;="&amp;Grafico!$A421,Tabla1[nombre_actividad],Grafico!H$1),NA())</f>
        <v>#N/A</v>
      </c>
      <c r="I421" s="63" t="e">
        <f ca="1">IF(TODAY()&gt;=$A421,SUMIFS(Tabla1[Avance_km],Tabla1[Fecha],"&lt;="&amp;Grafico!$A421,Tabla1[nombre_actividad],Grafico!I$1),NA())</f>
        <v>#N/A</v>
      </c>
    </row>
    <row r="422" spans="1:9" x14ac:dyDescent="0.25">
      <c r="A422" s="62">
        <f t="shared" si="14"/>
        <v>46383</v>
      </c>
      <c r="B422" s="33" t="str">
        <f t="shared" ca="1" si="13"/>
        <v/>
      </c>
      <c r="C422" s="33"/>
      <c r="D422" s="63" t="e">
        <f ca="1">IF(TODAY()&gt;=$A422,SUMIFS(Tabla1[Avance_km],Tabla1[Fecha],"&lt;="&amp;Grafico!$A422,Tabla1[nombre_actividad],Grafico!D$1),NA())</f>
        <v>#N/A</v>
      </c>
      <c r="E422" s="63" t="e">
        <f ca="1">IF(TODAY()&gt;=$A422,SUMIFS(Tabla1[Avance_km],Tabla1[Fecha],"&lt;="&amp;Grafico!$A422,Tabla1[nombre_actividad],Grafico!E$1),NA())</f>
        <v>#N/A</v>
      </c>
      <c r="F422" s="110" t="e">
        <f ca="1">IF(TODAY()&gt;=$A422,SUMIFS(Tabla1[Avance_km],Tabla1[Fecha],"&lt;="&amp;Grafico!$A422,Tabla1[nombre_actividad],Grafico!F$1,Tabla1[Avance_km],"&gt;0"),NA())</f>
        <v>#N/A</v>
      </c>
      <c r="G422" s="67" t="e">
        <f ca="1">IF(TODAY()&gt;=$A422,SUMIFS(Tabla1[Avance_Med],Tabla1[Fecha],"&lt;="&amp;Grafico!$A422,Tabla1[nombre_actividad],Grafico!G$1),NA())</f>
        <v>#N/A</v>
      </c>
      <c r="H422" s="63" t="e">
        <f ca="1">IF(TODAY()&gt;=$A422,SUMIFS(Tabla1[Avance_km],Tabla1[Fecha],"&lt;="&amp;Grafico!$A422,Tabla1[nombre_actividad],Grafico!H$1),NA())</f>
        <v>#N/A</v>
      </c>
      <c r="I422" s="63" t="e">
        <f ca="1">IF(TODAY()&gt;=$A422,SUMIFS(Tabla1[Avance_km],Tabla1[Fecha],"&lt;="&amp;Grafico!$A422,Tabla1[nombre_actividad],Grafico!I$1),NA())</f>
        <v>#N/A</v>
      </c>
    </row>
    <row r="423" spans="1:9" x14ac:dyDescent="0.25">
      <c r="A423" s="62">
        <f t="shared" si="14"/>
        <v>46384</v>
      </c>
      <c r="B423" s="33" t="str">
        <f t="shared" ca="1" si="13"/>
        <v/>
      </c>
      <c r="C423" s="33"/>
      <c r="D423" s="63" t="e">
        <f ca="1">IF(TODAY()&gt;=$A423,SUMIFS(Tabla1[Avance_km],Tabla1[Fecha],"&lt;="&amp;Grafico!$A423,Tabla1[nombre_actividad],Grafico!D$1),NA())</f>
        <v>#N/A</v>
      </c>
      <c r="E423" s="63" t="e">
        <f ca="1">IF(TODAY()&gt;=$A423,SUMIFS(Tabla1[Avance_km],Tabla1[Fecha],"&lt;="&amp;Grafico!$A423,Tabla1[nombre_actividad],Grafico!E$1),NA())</f>
        <v>#N/A</v>
      </c>
      <c r="F423" s="110" t="e">
        <f ca="1">IF(TODAY()&gt;=$A423,SUMIFS(Tabla1[Avance_km],Tabla1[Fecha],"&lt;="&amp;Grafico!$A423,Tabla1[nombre_actividad],Grafico!F$1,Tabla1[Avance_km],"&gt;0"),NA())</f>
        <v>#N/A</v>
      </c>
      <c r="G423" s="67" t="e">
        <f ca="1">IF(TODAY()&gt;=$A423,SUMIFS(Tabla1[Avance_Med],Tabla1[Fecha],"&lt;="&amp;Grafico!$A423,Tabla1[nombre_actividad],Grafico!G$1),NA())</f>
        <v>#N/A</v>
      </c>
      <c r="H423" s="63" t="e">
        <f ca="1">IF(TODAY()&gt;=$A423,SUMIFS(Tabla1[Avance_km],Tabla1[Fecha],"&lt;="&amp;Grafico!$A423,Tabla1[nombre_actividad],Grafico!H$1),NA())</f>
        <v>#N/A</v>
      </c>
      <c r="I423" s="63" t="e">
        <f ca="1">IF(TODAY()&gt;=$A423,SUMIFS(Tabla1[Avance_km],Tabla1[Fecha],"&lt;="&amp;Grafico!$A423,Tabla1[nombre_actividad],Grafico!I$1),NA())</f>
        <v>#N/A</v>
      </c>
    </row>
    <row r="424" spans="1:9" x14ac:dyDescent="0.25">
      <c r="A424" s="62">
        <f t="shared" si="14"/>
        <v>46385</v>
      </c>
      <c r="B424" s="33" t="str">
        <f t="shared" ca="1" si="13"/>
        <v/>
      </c>
      <c r="C424" s="33"/>
      <c r="D424" s="63" t="e">
        <f ca="1">IF(TODAY()&gt;=$A424,SUMIFS(Tabla1[Avance_km],Tabla1[Fecha],"&lt;="&amp;Grafico!$A424,Tabla1[nombre_actividad],Grafico!D$1),NA())</f>
        <v>#N/A</v>
      </c>
      <c r="E424" s="63" t="e">
        <f ca="1">IF(TODAY()&gt;=$A424,SUMIFS(Tabla1[Avance_km],Tabla1[Fecha],"&lt;="&amp;Grafico!$A424,Tabla1[nombre_actividad],Grafico!E$1),NA())</f>
        <v>#N/A</v>
      </c>
      <c r="F424" s="110" t="e">
        <f ca="1">IF(TODAY()&gt;=$A424,SUMIFS(Tabla1[Avance_km],Tabla1[Fecha],"&lt;="&amp;Grafico!$A424,Tabla1[nombre_actividad],Grafico!F$1,Tabla1[Avance_km],"&gt;0"),NA())</f>
        <v>#N/A</v>
      </c>
      <c r="G424" s="67" t="e">
        <f ca="1">IF(TODAY()&gt;=$A424,SUMIFS(Tabla1[Avance_Med],Tabla1[Fecha],"&lt;="&amp;Grafico!$A424,Tabla1[nombre_actividad],Grafico!G$1),NA())</f>
        <v>#N/A</v>
      </c>
      <c r="H424" s="63" t="e">
        <f ca="1">IF(TODAY()&gt;=$A424,SUMIFS(Tabla1[Avance_km],Tabla1[Fecha],"&lt;="&amp;Grafico!$A424,Tabla1[nombre_actividad],Grafico!H$1),NA())</f>
        <v>#N/A</v>
      </c>
      <c r="I424" s="63" t="e">
        <f ca="1">IF(TODAY()&gt;=$A424,SUMIFS(Tabla1[Avance_km],Tabla1[Fecha],"&lt;="&amp;Grafico!$A424,Tabla1[nombre_actividad],Grafico!I$1),NA())</f>
        <v>#N/A</v>
      </c>
    </row>
    <row r="425" spans="1:9" x14ac:dyDescent="0.25">
      <c r="A425" s="62">
        <f t="shared" si="14"/>
        <v>46386</v>
      </c>
      <c r="B425" s="33" t="str">
        <f t="shared" ca="1" si="13"/>
        <v/>
      </c>
      <c r="C425" s="33"/>
      <c r="D425" s="63" t="e">
        <f ca="1">IF(TODAY()&gt;=$A425,SUMIFS(Tabla1[Avance_km],Tabla1[Fecha],"&lt;="&amp;Grafico!$A425,Tabla1[nombre_actividad],Grafico!D$1),NA())</f>
        <v>#N/A</v>
      </c>
      <c r="E425" s="63" t="e">
        <f ca="1">IF(TODAY()&gt;=$A425,SUMIFS(Tabla1[Avance_km],Tabla1[Fecha],"&lt;="&amp;Grafico!$A425,Tabla1[nombre_actividad],Grafico!E$1),NA())</f>
        <v>#N/A</v>
      </c>
      <c r="F425" s="110" t="e">
        <f ca="1">IF(TODAY()&gt;=$A425,SUMIFS(Tabla1[Avance_km],Tabla1[Fecha],"&lt;="&amp;Grafico!$A425,Tabla1[nombre_actividad],Grafico!F$1,Tabla1[Avance_km],"&gt;0"),NA())</f>
        <v>#N/A</v>
      </c>
      <c r="G425" s="67" t="e">
        <f ca="1">IF(TODAY()&gt;=$A425,SUMIFS(Tabla1[Avance_Med],Tabla1[Fecha],"&lt;="&amp;Grafico!$A425,Tabla1[nombre_actividad],Grafico!G$1),NA())</f>
        <v>#N/A</v>
      </c>
      <c r="H425" s="63" t="e">
        <f ca="1">IF(TODAY()&gt;=$A425,SUMIFS(Tabla1[Avance_km],Tabla1[Fecha],"&lt;="&amp;Grafico!$A425,Tabla1[nombre_actividad],Grafico!H$1),NA())</f>
        <v>#N/A</v>
      </c>
      <c r="I425" s="63" t="e">
        <f ca="1">IF(TODAY()&gt;=$A425,SUMIFS(Tabla1[Avance_km],Tabla1[Fecha],"&lt;="&amp;Grafico!$A425,Tabla1[nombre_actividad],Grafico!I$1),NA())</f>
        <v>#N/A</v>
      </c>
    </row>
    <row r="426" spans="1:9" x14ac:dyDescent="0.25">
      <c r="A426" s="62">
        <f t="shared" si="14"/>
        <v>46387</v>
      </c>
      <c r="B426" s="33" t="str">
        <f t="shared" ca="1" si="13"/>
        <v/>
      </c>
      <c r="C426" s="33"/>
      <c r="D426" s="63" t="e">
        <f ca="1">IF(TODAY()&gt;=$A426,SUMIFS(Tabla1[Avance_km],Tabla1[Fecha],"&lt;="&amp;Grafico!$A426,Tabla1[nombre_actividad],Grafico!D$1),NA())</f>
        <v>#N/A</v>
      </c>
      <c r="E426" s="63" t="e">
        <f ca="1">IF(TODAY()&gt;=$A426,SUMIFS(Tabla1[Avance_km],Tabla1[Fecha],"&lt;="&amp;Grafico!$A426,Tabla1[nombre_actividad],Grafico!E$1),NA())</f>
        <v>#N/A</v>
      </c>
      <c r="F426" s="110" t="e">
        <f ca="1">IF(TODAY()&gt;=$A426,SUMIFS(Tabla1[Avance_km],Tabla1[Fecha],"&lt;="&amp;Grafico!$A426,Tabla1[nombre_actividad],Grafico!F$1,Tabla1[Avance_km],"&gt;0"),NA())</f>
        <v>#N/A</v>
      </c>
      <c r="G426" s="67" t="e">
        <f ca="1">IF(TODAY()&gt;=$A426,SUMIFS(Tabla1[Avance_Med],Tabla1[Fecha],"&lt;="&amp;Grafico!$A426,Tabla1[nombre_actividad],Grafico!G$1),NA())</f>
        <v>#N/A</v>
      </c>
      <c r="H426" s="63" t="e">
        <f ca="1">IF(TODAY()&gt;=$A426,SUMIFS(Tabla1[Avance_km],Tabla1[Fecha],"&lt;="&amp;Grafico!$A426,Tabla1[nombre_actividad],Grafico!H$1),NA())</f>
        <v>#N/A</v>
      </c>
      <c r="I426" s="63" t="e">
        <f ca="1">IF(TODAY()&gt;=$A426,SUMIFS(Tabla1[Avance_km],Tabla1[Fecha],"&lt;="&amp;Grafico!$A426,Tabla1[nombre_actividad],Grafico!I$1),NA())</f>
        <v>#N/A</v>
      </c>
    </row>
  </sheetData>
  <conditionalFormatting sqref="D2:I426">
    <cfRule type="expression" dxfId="34" priority="1">
      <formula>D2=0</formula>
    </cfRule>
    <cfRule type="expression" dxfId="33" priority="2">
      <formula>IF(ISNUMBER(D2),FALSE,TRUE)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4E250-1293-44E4-AA6D-7203FD5D7254}">
  <sheetPr codeName="Hoja7"/>
  <dimension ref="A1:X426"/>
  <sheetViews>
    <sheetView showGridLines="0" topLeftCell="I1" zoomScale="85" zoomScaleNormal="85" workbookViewId="0">
      <selection activeCell="AC20" sqref="AC20"/>
    </sheetView>
  </sheetViews>
  <sheetFormatPr baseColWidth="10" defaultColWidth="11.42578125" defaultRowHeight="15" outlineLevelCol="1" x14ac:dyDescent="0.25"/>
  <cols>
    <col min="1" max="1" width="8.28515625" style="1" hidden="1" customWidth="1" outlineLevel="1"/>
    <col min="2" max="2" width="12.28515625" style="1" hidden="1" customWidth="1" outlineLevel="1"/>
    <col min="3" max="3" width="13.7109375" style="61" hidden="1" customWidth="1" outlineLevel="1"/>
    <col min="4" max="5" width="11.42578125" style="61" hidden="1" customWidth="1" outlineLevel="1"/>
    <col min="6" max="6" width="26.85546875" style="153" hidden="1" customWidth="1" outlineLevel="1"/>
    <col min="7" max="8" width="11.42578125" style="61" hidden="1" customWidth="1" outlineLevel="1"/>
    <col min="9" max="9" width="11.42578125" style="61" collapsed="1"/>
    <col min="10" max="10" width="24.42578125" style="61" bestFit="1" customWidth="1"/>
    <col min="11" max="16384" width="11.42578125" style="61"/>
  </cols>
  <sheetData>
    <row r="1" spans="1:24" s="1" customFormat="1" x14ac:dyDescent="0.25">
      <c r="A1" s="33" t="s">
        <v>174</v>
      </c>
      <c r="B1" s="33" t="s">
        <v>444</v>
      </c>
      <c r="C1" s="33" t="s">
        <v>78</v>
      </c>
      <c r="D1" s="33" t="s">
        <v>79</v>
      </c>
      <c r="E1" s="33" t="s">
        <v>80</v>
      </c>
      <c r="F1" s="68" t="s">
        <v>81</v>
      </c>
      <c r="G1" s="33" t="s">
        <v>82</v>
      </c>
      <c r="H1" s="33" t="s">
        <v>83</v>
      </c>
      <c r="I1" s="61"/>
    </row>
    <row r="2" spans="1:24" x14ac:dyDescent="0.25">
      <c r="A2" s="62">
        <v>45963</v>
      </c>
      <c r="B2" s="33"/>
      <c r="C2" s="69">
        <f ca="1">IF(TODAY()&gt;=$A2,SUMIFS(Tabla1[Avance_km],Tabla1[Fecha],"&lt;="&amp;'Grafico %'!$A2,Tabla1[nombre_actividad],'Grafico %'!C$1)/(200),NA())</f>
        <v>0</v>
      </c>
      <c r="D2" s="70"/>
      <c r="E2" s="70"/>
      <c r="F2" s="68"/>
      <c r="G2" s="70">
        <f ca="1">IF(TODAY()&gt;=$A2,SUMIFS(Tabla1[Avance_km],Tabla1[Fecha],"&lt;="&amp;'Grafico %'!$A2,Tabla1[nombre_actividad],'Grafico %'!G$1)/(200),NA())</f>
        <v>0</v>
      </c>
      <c r="H2" s="70"/>
      <c r="J2" s="64">
        <f ca="1">+TODAY()</f>
        <v>46321</v>
      </c>
      <c r="K2" s="61">
        <v>0</v>
      </c>
      <c r="M2" s="64"/>
    </row>
    <row r="3" spans="1:24" x14ac:dyDescent="0.25">
      <c r="A3" s="62">
        <f>+A2+1</f>
        <v>45964</v>
      </c>
      <c r="B3" s="33"/>
      <c r="C3" s="69">
        <f ca="1">IF(TODAY()&gt;=$A3,SUMIFS(Tabla1[Avance_km],Tabla1[Fecha],"&lt;="&amp;'Grafico %'!$A3,Tabla1[nombre_actividad],'Grafico %'!C$1)/(200),NA())</f>
        <v>5.5000000000000005E-3</v>
      </c>
      <c r="D3" s="70"/>
      <c r="E3" s="70"/>
      <c r="F3" s="68"/>
      <c r="G3" s="70">
        <f ca="1">IF(TODAY()&gt;=$A3,SUMIFS(Tabla1[Avance_km],Tabla1[Fecha],"&lt;="&amp;'Grafico %'!$A3,Tabla1[nombre_actividad],'Grafico %'!G$1)/(200),NA())</f>
        <v>0</v>
      </c>
      <c r="H3" s="70"/>
      <c r="J3" s="64">
        <f ca="1">+TODAY()</f>
        <v>46321</v>
      </c>
      <c r="K3" s="476">
        <f ca="1">+MAX(K35:K40)</f>
        <v>0.90962749999999948</v>
      </c>
      <c r="M3" s="64"/>
      <c r="T3" s="64">
        <v>45963</v>
      </c>
      <c r="U3" s="64"/>
      <c r="V3" s="64"/>
      <c r="W3" s="77">
        <f ca="1">+K35</f>
        <v>0.90942749999999994</v>
      </c>
      <c r="X3" s="77">
        <f ca="1">+K36</f>
        <v>0.90962749999999948</v>
      </c>
    </row>
    <row r="4" spans="1:24" x14ac:dyDescent="0.25">
      <c r="A4" s="62">
        <f t="shared" ref="A4:A67" si="0">+A3+1</f>
        <v>45965</v>
      </c>
      <c r="B4" s="33"/>
      <c r="C4" s="69">
        <f ca="1">IF(TODAY()&gt;=$A4,SUMIFS(Tabla1[Avance_km],Tabla1[Fecha],"&lt;="&amp;'Grafico %'!$A4,Tabla1[nombre_actividad],'Grafico %'!C$1)/(200),NA())</f>
        <v>0.02</v>
      </c>
      <c r="D4" s="70"/>
      <c r="E4" s="70"/>
      <c r="F4" s="68"/>
      <c r="G4" s="70">
        <f ca="1">IF(TODAY()&gt;=$A4,SUMIFS(Tabla1[Avance_km],Tabla1[Fecha],"&lt;="&amp;'Grafico %'!$A4,Tabla1[nombre_actividad],'Grafico %'!G$1)/(200),NA())</f>
        <v>0</v>
      </c>
      <c r="H4" s="70"/>
      <c r="T4" s="64">
        <v>45964</v>
      </c>
      <c r="U4" s="64"/>
      <c r="V4" s="64"/>
      <c r="W4" s="77">
        <f ca="1">+K35</f>
        <v>0.90942749999999994</v>
      </c>
      <c r="X4" s="77">
        <f ca="1">+K36</f>
        <v>0.90962749999999948</v>
      </c>
    </row>
    <row r="5" spans="1:24" x14ac:dyDescent="0.25">
      <c r="A5" s="62">
        <f t="shared" si="0"/>
        <v>45966</v>
      </c>
      <c r="B5" s="33"/>
      <c r="C5" s="69">
        <f ca="1">IF(TODAY()&gt;=$A5,SUMIFS(Tabla1[Avance_km],Tabla1[Fecha],"&lt;="&amp;'Grafico %'!$A5,Tabla1[nombre_actividad],'Grafico %'!C$1)/(200),NA())</f>
        <v>0.04</v>
      </c>
      <c r="D5" s="70"/>
      <c r="E5" s="70"/>
      <c r="F5" s="68"/>
      <c r="G5" s="70">
        <f ca="1">IF(TODAY()&gt;=$A5,SUMIFS(Tabla1[Avance_km],Tabla1[Fecha],"&lt;="&amp;'Grafico %'!$A5,Tabla1[nombre_actividad],'Grafico %'!G$1)/(200),NA())</f>
        <v>0</v>
      </c>
      <c r="H5" s="70"/>
    </row>
    <row r="6" spans="1:24" x14ac:dyDescent="0.25">
      <c r="A6" s="62">
        <f t="shared" si="0"/>
        <v>45967</v>
      </c>
      <c r="B6" s="33"/>
      <c r="C6" s="69">
        <f ca="1">IF(TODAY()&gt;=$A6,SUMIFS(Tabla1[Avance_km],Tabla1[Fecha],"&lt;="&amp;'Grafico %'!$A6,Tabla1[nombre_actividad],'Grafico %'!C$1)/(200),NA())</f>
        <v>6.7500000000000004E-2</v>
      </c>
      <c r="D6" s="70"/>
      <c r="E6" s="70"/>
      <c r="F6" s="68"/>
      <c r="G6" s="70">
        <f ca="1">IF(TODAY()&gt;=$A6,SUMIFS(Tabla1[Avance_km],Tabla1[Fecha],"&lt;="&amp;'Grafico %'!$A6,Tabla1[nombre_actividad],'Grafico %'!G$1)/(200),NA())</f>
        <v>0</v>
      </c>
      <c r="H6" s="70"/>
      <c r="T6" s="64">
        <v>46013</v>
      </c>
      <c r="U6" s="64"/>
      <c r="V6" s="64"/>
      <c r="W6" s="77">
        <f ca="1">+K38</f>
        <v>0.79200000000000004</v>
      </c>
    </row>
    <row r="7" spans="1:24" x14ac:dyDescent="0.25">
      <c r="A7" s="62">
        <f t="shared" si="0"/>
        <v>45968</v>
      </c>
      <c r="B7" s="33"/>
      <c r="C7" s="69">
        <f ca="1">IF(TODAY()&gt;=$A7,SUMIFS(Tabla1[Avance_km],Tabla1[Fecha],"&lt;="&amp;'Grafico %'!$A7,Tabla1[nombre_actividad],'Grafico %'!C$1)/(200),NA())</f>
        <v>8.7499999999999994E-2</v>
      </c>
      <c r="D7" s="70"/>
      <c r="E7" s="70"/>
      <c r="F7" s="68"/>
      <c r="G7" s="70">
        <f ca="1">IF(TODAY()&gt;=$A7,SUMIFS(Tabla1[Avance_km],Tabla1[Fecha],"&lt;="&amp;'Grafico %'!$A7,Tabla1[nombre_actividad],'Grafico %'!G$1)/(200),NA())</f>
        <v>0</v>
      </c>
      <c r="H7" s="70"/>
      <c r="T7" s="64">
        <v>46014</v>
      </c>
      <c r="U7" s="64"/>
      <c r="V7" s="64"/>
      <c r="W7" s="77">
        <f ca="1">+K38</f>
        <v>0.79200000000000004</v>
      </c>
    </row>
    <row r="8" spans="1:24" x14ac:dyDescent="0.25">
      <c r="A8" s="62">
        <f t="shared" si="0"/>
        <v>45969</v>
      </c>
      <c r="B8" s="33"/>
      <c r="C8" s="69">
        <f ca="1">IF(TODAY()&gt;=$A8,SUMIFS(Tabla1[Avance_km],Tabla1[Fecha],"&lt;="&amp;'Grafico %'!$A8,Tabla1[nombre_actividad],'Grafico %'!C$1)/(200),NA())</f>
        <v>0.10249999999999999</v>
      </c>
      <c r="D8" s="70"/>
      <c r="E8" s="70"/>
      <c r="F8" s="68"/>
      <c r="G8" s="70">
        <f ca="1">IF(TODAY()&gt;=$A8,SUMIFS(Tabla1[Avance_km],Tabla1[Fecha],"&lt;="&amp;'Grafico %'!$A8,Tabla1[nombre_actividad],'Grafico %'!G$1)/(200),NA())</f>
        <v>0</v>
      </c>
      <c r="H8" s="70"/>
    </row>
    <row r="9" spans="1:24" x14ac:dyDescent="0.25">
      <c r="A9" s="62">
        <f t="shared" si="0"/>
        <v>45970</v>
      </c>
      <c r="B9" s="33"/>
      <c r="C9" s="69">
        <f ca="1">IF(TODAY()&gt;=$A9,SUMIFS(Tabla1[Avance_km],Tabla1[Fecha],"&lt;="&amp;'Grafico %'!$A9,Tabla1[nombre_actividad],'Grafico %'!C$1)/(200),NA())</f>
        <v>0.10249999999999999</v>
      </c>
      <c r="D9" s="70"/>
      <c r="E9" s="70"/>
      <c r="F9" s="68"/>
      <c r="G9" s="70">
        <f ca="1">IF(TODAY()&gt;=$A9,SUMIFS(Tabla1[Avance_km],Tabla1[Fecha],"&lt;="&amp;'Grafico %'!$A9,Tabla1[nombre_actividad],'Grafico %'!G$1)/(200),NA())</f>
        <v>0</v>
      </c>
      <c r="H9" s="70"/>
    </row>
    <row r="10" spans="1:24" x14ac:dyDescent="0.25">
      <c r="A10" s="62">
        <f t="shared" si="0"/>
        <v>45971</v>
      </c>
      <c r="B10" s="33"/>
      <c r="C10" s="69">
        <f ca="1">IF(TODAY()&gt;=$A10,SUMIFS(Tabla1[Avance_km],Tabla1[Fecha],"&lt;="&amp;'Grafico %'!$A10,Tabla1[nombre_actividad],'Grafico %'!C$1)/(200),NA())</f>
        <v>0.13</v>
      </c>
      <c r="D10" s="70"/>
      <c r="E10" s="70"/>
      <c r="F10" s="68"/>
      <c r="G10" s="70">
        <f ca="1">IF(TODAY()&gt;=$A10,SUMIFS(Tabla1[Avance_km],Tabla1[Fecha],"&lt;="&amp;'Grafico %'!$A10,Tabla1[nombre_actividad],'Grafico %'!G$1)/(200),NA())</f>
        <v>0</v>
      </c>
      <c r="H10" s="70"/>
    </row>
    <row r="11" spans="1:24" x14ac:dyDescent="0.25">
      <c r="A11" s="62">
        <f t="shared" si="0"/>
        <v>45972</v>
      </c>
      <c r="B11" s="33"/>
      <c r="C11" s="69">
        <f ca="1">IF(TODAY()&gt;=$A11,SUMIFS(Tabla1[Avance_km],Tabla1[Fecha],"&lt;="&amp;'Grafico %'!$A11,Tabla1[nombre_actividad],'Grafico %'!C$1)/(200),NA())</f>
        <v>0.15770000000000001</v>
      </c>
      <c r="D11" s="70"/>
      <c r="E11" s="70"/>
      <c r="F11" s="68"/>
      <c r="G11" s="70">
        <f ca="1">IF(TODAY()&gt;=$A11,SUMIFS(Tabla1[Avance_km],Tabla1[Fecha],"&lt;="&amp;'Grafico %'!$A11,Tabla1[nombre_actividad],'Grafico %'!G$1)/(200),NA())</f>
        <v>0</v>
      </c>
      <c r="H11" s="70"/>
    </row>
    <row r="12" spans="1:24" x14ac:dyDescent="0.25">
      <c r="A12" s="62">
        <f t="shared" si="0"/>
        <v>45973</v>
      </c>
      <c r="B12" s="33"/>
      <c r="C12" s="69">
        <f ca="1">IF(TODAY()&gt;=$A12,SUMIFS(Tabla1[Avance_km],Tabla1[Fecha],"&lt;="&amp;'Grafico %'!$A12,Tabla1[nombre_actividad],'Grafico %'!C$1)/(200),NA())</f>
        <v>0.17893499999999998</v>
      </c>
      <c r="D12" s="70"/>
      <c r="E12" s="70"/>
      <c r="F12" s="68"/>
      <c r="G12" s="70">
        <f ca="1">IF(TODAY()&gt;=$A12,SUMIFS(Tabla1[Avance_km],Tabla1[Fecha],"&lt;="&amp;'Grafico %'!$A12,Tabla1[nombre_actividad],'Grafico %'!G$1)/(200),NA())</f>
        <v>0</v>
      </c>
      <c r="H12" s="70"/>
    </row>
    <row r="13" spans="1:24" x14ac:dyDescent="0.25">
      <c r="A13" s="62">
        <f t="shared" si="0"/>
        <v>45974</v>
      </c>
      <c r="B13" s="33"/>
      <c r="C13" s="69">
        <f ca="1">IF(TODAY()&gt;=$A13,SUMIFS(Tabla1[Avance_km],Tabla1[Fecha],"&lt;="&amp;'Grafico %'!$A13,Tabla1[nombre_actividad],'Grafico %'!C$1)/(200),NA())</f>
        <v>0.20714500000000002</v>
      </c>
      <c r="D13" s="70"/>
      <c r="E13" s="70"/>
      <c r="F13" s="68"/>
      <c r="G13" s="70">
        <f ca="1">IF(TODAY()&gt;=$A13,SUMIFS(Tabla1[Avance_km],Tabla1[Fecha],"&lt;="&amp;'Grafico %'!$A13,Tabla1[nombre_actividad],'Grafico %'!G$1)/(200),NA())</f>
        <v>0</v>
      </c>
      <c r="H13" s="70"/>
    </row>
    <row r="14" spans="1:24" x14ac:dyDescent="0.25">
      <c r="A14" s="62">
        <f t="shared" si="0"/>
        <v>45975</v>
      </c>
      <c r="B14" s="33"/>
      <c r="C14" s="69">
        <f ca="1">IF(TODAY()&gt;=$A14,SUMIFS(Tabla1[Avance_km],Tabla1[Fecha],"&lt;="&amp;'Grafico %'!$A14,Tabla1[nombre_actividad],'Grafico %'!C$1)/(200),NA())</f>
        <v>0.23714500000000002</v>
      </c>
      <c r="D14" s="70"/>
      <c r="E14" s="70"/>
      <c r="F14" s="68"/>
      <c r="G14" s="70">
        <f ca="1">IF(TODAY()&gt;=$A14,SUMIFS(Tabla1[Avance_km],Tabla1[Fecha],"&lt;="&amp;'Grafico %'!$A14,Tabla1[nombre_actividad],'Grafico %'!G$1)/(200),NA())</f>
        <v>0</v>
      </c>
      <c r="H14" s="70"/>
    </row>
    <row r="15" spans="1:24" x14ac:dyDescent="0.25">
      <c r="A15" s="62">
        <f t="shared" si="0"/>
        <v>45976</v>
      </c>
      <c r="B15" s="33"/>
      <c r="C15" s="69">
        <f ca="1">IF(TODAY()&gt;=$A15,SUMIFS(Tabla1[Avance_km],Tabla1[Fecha],"&lt;="&amp;'Grafico %'!$A15,Tabla1[nombre_actividad],'Grafico %'!C$1)/(200),NA())</f>
        <v>0.26214500000000002</v>
      </c>
      <c r="D15" s="70"/>
      <c r="E15" s="70"/>
      <c r="F15" s="68"/>
      <c r="G15" s="70">
        <f ca="1">IF(TODAY()&gt;=$A15,SUMIFS(Tabla1[Avance_km],Tabla1[Fecha],"&lt;="&amp;'Grafico %'!$A15,Tabla1[nombre_actividad],'Grafico %'!G$1)/(200),NA())</f>
        <v>0</v>
      </c>
      <c r="H15" s="70"/>
    </row>
    <row r="16" spans="1:24" x14ac:dyDescent="0.25">
      <c r="A16" s="62">
        <f t="shared" si="0"/>
        <v>45977</v>
      </c>
      <c r="B16" s="33"/>
      <c r="C16" s="69">
        <f ca="1">IF(TODAY()&gt;=$A16,SUMIFS(Tabla1[Avance_km],Tabla1[Fecha],"&lt;="&amp;'Grafico %'!$A16,Tabla1[nombre_actividad],'Grafico %'!C$1)/(200),NA())</f>
        <v>0.28214500000000003</v>
      </c>
      <c r="D16" s="70">
        <f ca="1">IF(TODAY()&gt;=$A16,SUMIFS(Tabla1[Avance_km],Tabla1[Fecha],"&lt;="&amp;'Grafico %'!$A16,Tabla1[nombre_actividad],'Grafico %'!D$1)/(200),NA())</f>
        <v>0</v>
      </c>
      <c r="E16" s="70"/>
      <c r="F16" s="68"/>
      <c r="G16" s="70">
        <f ca="1">IF(TODAY()&gt;=$A16,SUMIFS(Tabla1[Avance_km],Tabla1[Fecha],"&lt;="&amp;'Grafico %'!$A16,Tabla1[nombre_actividad],'Grafico %'!G$1)/(200),NA())</f>
        <v>0</v>
      </c>
      <c r="H16" s="70"/>
    </row>
    <row r="17" spans="1:8" x14ac:dyDescent="0.25">
      <c r="A17" s="62">
        <f t="shared" si="0"/>
        <v>45978</v>
      </c>
      <c r="B17" s="33"/>
      <c r="C17" s="69">
        <f ca="1">IF(TODAY()&gt;=$A17,SUMIFS(Tabla1[Avance_km],Tabla1[Fecha],"&lt;="&amp;'Grafico %'!$A17,Tabla1[nombre_actividad],'Grafico %'!C$1)/(200),NA())</f>
        <v>0.28214500000000003</v>
      </c>
      <c r="D17" s="70">
        <f ca="1">IF(TODAY()&gt;=$A17,SUMIFS(Tabla1[Avance_km],Tabla1[Fecha],"&lt;="&amp;'Grafico %'!$A17,Tabla1[nombre_actividad],'Grafico %'!D$1)/(200),NA())</f>
        <v>2.5000000000000001E-2</v>
      </c>
      <c r="E17" s="70"/>
      <c r="F17" s="68"/>
      <c r="G17" s="70">
        <f ca="1">IF(TODAY()&gt;=$A17,SUMIFS(Tabla1[Avance_km],Tabla1[Fecha],"&lt;="&amp;'Grafico %'!$A17,Tabla1[nombre_actividad],'Grafico %'!G$1)/(200),NA())</f>
        <v>0</v>
      </c>
      <c r="H17" s="70"/>
    </row>
    <row r="18" spans="1:8" x14ac:dyDescent="0.25">
      <c r="A18" s="62">
        <f t="shared" si="0"/>
        <v>45979</v>
      </c>
      <c r="B18" s="33"/>
      <c r="C18" s="69">
        <f ca="1">IF(TODAY()&gt;=$A18,SUMIFS(Tabla1[Avance_km],Tabla1[Fecha],"&lt;="&amp;'Grafico %'!$A18,Tabla1[nombre_actividad],'Grafico %'!C$1)/(200),NA())</f>
        <v>0.28214500000000003</v>
      </c>
      <c r="D18" s="70">
        <f ca="1">IF(TODAY()&gt;=$A18,SUMIFS(Tabla1[Avance_km],Tabla1[Fecha],"&lt;="&amp;'Grafico %'!$A18,Tabla1[nombre_actividad],'Grafico %'!D$1)/(200),NA())</f>
        <v>4.4999999999999998E-2</v>
      </c>
      <c r="E18" s="70"/>
      <c r="F18" s="68">
        <f ca="1">IF(TODAY()&gt;=$A18,SUMIFS(Tabla1[Avance_Med],Tabla1[Fecha],"&lt;="&amp;'Grafico %'!$A18,Tabla1[nombre_actividad],'Grafico %'!F$1)/500,NA())</f>
        <v>0</v>
      </c>
      <c r="G18" s="70">
        <f ca="1">IF(TODAY()&gt;=$A18,SUMIFS(Tabla1[Avance_km],Tabla1[Fecha],"&lt;="&amp;'Grafico %'!$A18,Tabla1[nombre_actividad],'Grafico %'!G$1)/(200),NA())</f>
        <v>0</v>
      </c>
      <c r="H18" s="70"/>
    </row>
    <row r="19" spans="1:8" x14ac:dyDescent="0.25">
      <c r="A19" s="62">
        <f t="shared" si="0"/>
        <v>45980</v>
      </c>
      <c r="B19" s="33"/>
      <c r="C19" s="69">
        <f ca="1">IF(TODAY()&gt;=$A19,SUMIFS(Tabla1[Avance_km],Tabla1[Fecha],"&lt;="&amp;'Grafico %'!$A19,Tabla1[nombre_actividad],'Grafico %'!C$1)/(200),NA())</f>
        <v>0.29864499999999999</v>
      </c>
      <c r="D19" s="70">
        <f ca="1">IF(TODAY()&gt;=$A19,SUMIFS(Tabla1[Avance_km],Tabla1[Fecha],"&lt;="&amp;'Grafico %'!$A19,Tabla1[nombre_actividad],'Grafico %'!D$1)/(200),NA())</f>
        <v>7.4999999999999997E-2</v>
      </c>
      <c r="E19" s="70"/>
      <c r="F19" s="68">
        <f ca="1">IF(TODAY()&gt;=$A19,SUMIFS(Tabla1[Avance_Med],Tabla1[Fecha],"&lt;="&amp;'Grafico %'!$A19,Tabla1[nombre_actividad],'Grafico %'!F$1)/500,NA())</f>
        <v>1.7999999999999999E-2</v>
      </c>
      <c r="G19" s="70">
        <f ca="1">IF(TODAY()&gt;=$A19,SUMIFS(Tabla1[Avance_km],Tabla1[Fecha],"&lt;="&amp;'Grafico %'!$A19,Tabla1[nombre_actividad],'Grafico %'!G$1)/(200),NA())</f>
        <v>0</v>
      </c>
      <c r="H19" s="70"/>
    </row>
    <row r="20" spans="1:8" x14ac:dyDescent="0.25">
      <c r="A20" s="62">
        <f t="shared" si="0"/>
        <v>45981</v>
      </c>
      <c r="B20" s="33"/>
      <c r="C20" s="69">
        <f ca="1">IF(TODAY()&gt;=$A20,SUMIFS(Tabla1[Avance_km],Tabla1[Fecha],"&lt;="&amp;'Grafico %'!$A20,Tabla1[nombre_actividad],'Grafico %'!C$1)/(200),NA())</f>
        <v>0.33214500000000002</v>
      </c>
      <c r="D20" s="70">
        <f ca="1">IF(TODAY()&gt;=$A20,SUMIFS(Tabla1[Avance_km],Tabla1[Fecha],"&lt;="&amp;'Grafico %'!$A20,Tabla1[nombre_actividad],'Grafico %'!D$1)/(200),NA())</f>
        <v>9.2499999999999999E-2</v>
      </c>
      <c r="E20" s="70"/>
      <c r="F20" s="68">
        <f ca="1">IF(TODAY()&gt;=$A20,SUMIFS(Tabla1[Avance_Med],Tabla1[Fecha],"&lt;="&amp;'Grafico %'!$A20,Tabla1[nombre_actividad],'Grafico %'!F$1)/500,NA())</f>
        <v>4.2000000000000003E-2</v>
      </c>
      <c r="G20" s="70">
        <f ca="1">IF(TODAY()&gt;=$A20,SUMIFS(Tabla1[Avance_km],Tabla1[Fecha],"&lt;="&amp;'Grafico %'!$A20,Tabla1[nombre_actividad],'Grafico %'!G$1)/(200),NA())</f>
        <v>0</v>
      </c>
      <c r="H20" s="70"/>
    </row>
    <row r="21" spans="1:8" x14ac:dyDescent="0.25">
      <c r="A21" s="62">
        <f t="shared" si="0"/>
        <v>45982</v>
      </c>
      <c r="B21" s="33"/>
      <c r="C21" s="69">
        <f ca="1">IF(TODAY()&gt;=$A21,SUMIFS(Tabla1[Avance_km],Tabla1[Fecha],"&lt;="&amp;'Grafico %'!$A21,Tabla1[nombre_actividad],'Grafico %'!C$1)/(200),NA())</f>
        <v>0.33658500000000002</v>
      </c>
      <c r="D21" s="70">
        <f ca="1">IF(TODAY()&gt;=$A21,SUMIFS(Tabla1[Avance_km],Tabla1[Fecha],"&lt;="&amp;'Grafico %'!$A21,Tabla1[nombre_actividad],'Grafico %'!D$1)/(200),NA())</f>
        <v>0.120045</v>
      </c>
      <c r="E21" s="70"/>
      <c r="F21" s="68">
        <f ca="1">IF(TODAY()&gt;=$A21,SUMIFS(Tabla1[Avance_Med],Tabla1[Fecha],"&lt;="&amp;'Grafico %'!$A21,Tabla1[nombre_actividad],'Grafico %'!F$1)/500,NA())</f>
        <v>6.4000000000000001E-2</v>
      </c>
      <c r="G21" s="70">
        <f ca="1">IF(TODAY()&gt;=$A21,SUMIFS(Tabla1[Avance_km],Tabla1[Fecha],"&lt;="&amp;'Grafico %'!$A21,Tabla1[nombre_actividad],'Grafico %'!G$1)/(200),NA())</f>
        <v>0</v>
      </c>
      <c r="H21" s="70"/>
    </row>
    <row r="22" spans="1:8" x14ac:dyDescent="0.25">
      <c r="A22" s="62">
        <f t="shared" si="0"/>
        <v>45983</v>
      </c>
      <c r="B22" s="33"/>
      <c r="C22" s="69">
        <f ca="1">IF(TODAY()&gt;=$A22,SUMIFS(Tabla1[Avance_km],Tabla1[Fecha],"&lt;="&amp;'Grafico %'!$A22,Tabla1[nombre_actividad],'Grafico %'!C$1)/(200),NA())</f>
        <v>0.34336000000000005</v>
      </c>
      <c r="D22" s="70">
        <f ca="1">IF(TODAY()&gt;=$A22,SUMIFS(Tabla1[Avance_km],Tabla1[Fecha],"&lt;="&amp;'Grafico %'!$A22,Tabla1[nombre_actividad],'Grafico %'!D$1)/(200),NA())</f>
        <v>0.14254500000000001</v>
      </c>
      <c r="E22" s="70"/>
      <c r="F22" s="68">
        <f ca="1">IF(TODAY()&gt;=$A22,SUMIFS(Tabla1[Avance_Med],Tabla1[Fecha],"&lt;="&amp;'Grafico %'!$A22,Tabla1[nombre_actividad],'Grafico %'!F$1)/500,NA())</f>
        <v>6.4000000000000001E-2</v>
      </c>
      <c r="G22" s="70">
        <f ca="1">IF(TODAY()&gt;=$A22,SUMIFS(Tabla1[Avance_km],Tabla1[Fecha],"&lt;="&amp;'Grafico %'!$A22,Tabla1[nombre_actividad],'Grafico %'!G$1)/(200),NA())</f>
        <v>0</v>
      </c>
      <c r="H22" s="70"/>
    </row>
    <row r="23" spans="1:8" x14ac:dyDescent="0.25">
      <c r="A23" s="62">
        <f t="shared" si="0"/>
        <v>45984</v>
      </c>
      <c r="B23" s="33"/>
      <c r="C23" s="69">
        <f ca="1">IF(TODAY()&gt;=$A23,SUMIFS(Tabla1[Avance_km],Tabla1[Fecha],"&lt;="&amp;'Grafico %'!$A23,Tabla1[nombre_actividad],'Grafico %'!C$1)/(200),NA())</f>
        <v>0.34336000000000005</v>
      </c>
      <c r="D23" s="70">
        <f ca="1">IF(TODAY()&gt;=$A23,SUMIFS(Tabla1[Avance_km],Tabla1[Fecha],"&lt;="&amp;'Grafico %'!$A23,Tabla1[nombre_actividad],'Grafico %'!D$1)/(200),NA())</f>
        <v>0.157745</v>
      </c>
      <c r="E23" s="70">
        <f ca="1">IF(TODAY()&gt;=$A23,SUMIFS(Tabla1[Avance_km],Tabla1[Fecha],"&lt;="&amp;'Grafico %'!$A23,Tabla1[nombre_actividad],'Grafico %'!E$1,Tabla1[Avance_km],"&gt;0")/(200),NA())</f>
        <v>4.4999999999999996E-5</v>
      </c>
      <c r="F23" s="68">
        <f ca="1">IF(TODAY()&gt;=$A23,SUMIFS(Tabla1[Avance_Med],Tabla1[Fecha],"&lt;="&amp;'Grafico %'!$A23,Tabla1[nombre_actividad],'Grafico %'!F$1)/500,NA())</f>
        <v>6.4000000000000001E-2</v>
      </c>
      <c r="G23" s="70">
        <f ca="1">IF(TODAY()&gt;=$A23,SUMIFS(Tabla1[Avance_km],Tabla1[Fecha],"&lt;="&amp;'Grafico %'!$A23,Tabla1[nombre_actividad],'Grafico %'!G$1)/(200),NA())</f>
        <v>0</v>
      </c>
      <c r="H23" s="70"/>
    </row>
    <row r="24" spans="1:8" x14ac:dyDescent="0.25">
      <c r="A24" s="62">
        <f t="shared" si="0"/>
        <v>45985</v>
      </c>
      <c r="B24" s="33"/>
      <c r="C24" s="69">
        <f ca="1">IF(TODAY()&gt;=$A24,SUMIFS(Tabla1[Avance_km],Tabla1[Fecha],"&lt;="&amp;'Grafico %'!$A24,Tabla1[nombre_actividad],'Grafico %'!C$1)/(200),NA())</f>
        <v>0.3601100000000001</v>
      </c>
      <c r="D24" s="70">
        <f ca="1">IF(TODAY()&gt;=$A24,SUMIFS(Tabla1[Avance_km],Tabla1[Fecha],"&lt;="&amp;'Grafico %'!$A24,Tabla1[nombre_actividad],'Grafico %'!D$1)/(200),NA())</f>
        <v>0.157745</v>
      </c>
      <c r="E24" s="70">
        <f ca="1">IF(TODAY()&gt;=$A24,SUMIFS(Tabla1[Avance_km],Tabla1[Fecha],"&lt;="&amp;'Grafico %'!$A24,Tabla1[nombre_actividad],'Grafico %'!E$1,Tabla1[Avance_km],"&gt;0")/(200),NA())</f>
        <v>1.5044999999999999E-2</v>
      </c>
      <c r="F24" s="68">
        <f ca="1">IF(TODAY()&gt;=$A24,SUMIFS(Tabla1[Avance_Med],Tabla1[Fecha],"&lt;="&amp;'Grafico %'!$A24,Tabla1[nombre_actividad],'Grafico %'!F$1)/500,NA())</f>
        <v>7.5999999999999998E-2</v>
      </c>
      <c r="G24" s="70">
        <f ca="1">IF(TODAY()&gt;=$A24,SUMIFS(Tabla1[Avance_km],Tabla1[Fecha],"&lt;="&amp;'Grafico %'!$A24,Tabla1[nombre_actividad],'Grafico %'!G$1)/(200),NA())</f>
        <v>0</v>
      </c>
      <c r="H24" s="70"/>
    </row>
    <row r="25" spans="1:8" x14ac:dyDescent="0.25">
      <c r="A25" s="62">
        <f t="shared" si="0"/>
        <v>45986</v>
      </c>
      <c r="B25" s="33"/>
      <c r="C25" s="69">
        <f ca="1">IF(TODAY()&gt;=$A25,SUMIFS(Tabla1[Avance_km],Tabla1[Fecha],"&lt;="&amp;'Grafico %'!$A25,Tabla1[nombre_actividad],'Grafico %'!C$1)/(200),NA())</f>
        <v>0.3601100000000001</v>
      </c>
      <c r="D25" s="70">
        <f ca="1">IF(TODAY()&gt;=$A25,SUMIFS(Tabla1[Avance_km],Tabla1[Fecha],"&lt;="&amp;'Grafico %'!$A25,Tabla1[nombre_actividad],'Grafico %'!D$1)/(200),NA())</f>
        <v>0.157745</v>
      </c>
      <c r="E25" s="70">
        <f ca="1">IF(TODAY()&gt;=$A25,SUMIFS(Tabla1[Avance_km],Tabla1[Fecha],"&lt;="&amp;'Grafico %'!$A25,Tabla1[nombre_actividad],'Grafico %'!E$1,Tabla1[Avance_km],"&gt;0")/(200),NA())</f>
        <v>6.0045000000000001E-2</v>
      </c>
      <c r="F25" s="68">
        <f ca="1">IF(TODAY()&gt;=$A25,SUMIFS(Tabla1[Avance_Med],Tabla1[Fecha],"&lt;="&amp;'Grafico %'!$A25,Tabla1[nombre_actividad],'Grafico %'!F$1)/500,NA())</f>
        <v>9.6000000000000002E-2</v>
      </c>
      <c r="G25" s="70">
        <f ca="1">IF(TODAY()&gt;=$A25,SUMIFS(Tabla1[Avance_km],Tabla1[Fecha],"&lt;="&amp;'Grafico %'!$A25,Tabla1[nombre_actividad],'Grafico %'!G$1)/(200),NA())</f>
        <v>0</v>
      </c>
      <c r="H25" s="70"/>
    </row>
    <row r="26" spans="1:8" x14ac:dyDescent="0.25">
      <c r="A26" s="62">
        <f t="shared" si="0"/>
        <v>45987</v>
      </c>
      <c r="B26" s="33"/>
      <c r="C26" s="69">
        <f ca="1">IF(TODAY()&gt;=$A26,SUMIFS(Tabla1[Avance_km],Tabla1[Fecha],"&lt;="&amp;'Grafico %'!$A26,Tabla1[nombre_actividad],'Grafico %'!C$1)/(200),NA())</f>
        <v>0.3601100000000001</v>
      </c>
      <c r="D26" s="70">
        <f ca="1">IF(TODAY()&gt;=$A26,SUMIFS(Tabla1[Avance_km],Tabla1[Fecha],"&lt;="&amp;'Grafico %'!$A26,Tabla1[nombre_actividad],'Grafico %'!D$1)/(200),NA())</f>
        <v>0.157745</v>
      </c>
      <c r="E26" s="70">
        <f ca="1">IF(TODAY()&gt;=$A26,SUMIFS(Tabla1[Avance_km],Tabla1[Fecha],"&lt;="&amp;'Grafico %'!$A26,Tabla1[nombre_actividad],'Grafico %'!E$1,Tabla1[Avance_km],"&gt;0")/(200),NA())</f>
        <v>0.120045</v>
      </c>
      <c r="F26" s="68">
        <f ca="1">IF(TODAY()&gt;=$A26,SUMIFS(Tabla1[Avance_Med],Tabla1[Fecha],"&lt;="&amp;'Grafico %'!$A26,Tabla1[nombre_actividad],'Grafico %'!F$1)/500,NA())</f>
        <v>0.12</v>
      </c>
      <c r="G26" s="70">
        <f ca="1">IF(TODAY()&gt;=$A26,SUMIFS(Tabla1[Avance_km],Tabla1[Fecha],"&lt;="&amp;'Grafico %'!$A26,Tabla1[nombre_actividad],'Grafico %'!G$1)/(200),NA())</f>
        <v>0</v>
      </c>
      <c r="H26" s="70"/>
    </row>
    <row r="27" spans="1:8" x14ac:dyDescent="0.25">
      <c r="A27" s="62">
        <f t="shared" si="0"/>
        <v>45988</v>
      </c>
      <c r="B27" s="33"/>
      <c r="C27" s="69">
        <f ca="1">IF(TODAY()&gt;=$A27,SUMIFS(Tabla1[Avance_km],Tabla1[Fecha],"&lt;="&amp;'Grafico %'!$A27,Tabla1[nombre_actividad],'Grafico %'!C$1)/(200),NA())</f>
        <v>0.3601100000000001</v>
      </c>
      <c r="D27" s="70">
        <f ca="1">IF(TODAY()&gt;=$A27,SUMIFS(Tabla1[Avance_km],Tabla1[Fecha],"&lt;="&amp;'Grafico %'!$A27,Tabla1[nombre_actividad],'Grafico %'!D$1)/(200),NA())</f>
        <v>0.157745</v>
      </c>
      <c r="E27" s="70">
        <f ca="1">IF(TODAY()&gt;=$A27,SUMIFS(Tabla1[Avance_km],Tabla1[Fecha],"&lt;="&amp;'Grafico %'!$A27,Tabla1[nombre_actividad],'Grafico %'!E$1,Tabla1[Avance_km],"&gt;0")/(200),NA())</f>
        <v>0.157745</v>
      </c>
      <c r="F27" s="68">
        <f ca="1">IF(TODAY()&gt;=$A27,SUMIFS(Tabla1[Avance_Med],Tabla1[Fecha],"&lt;="&amp;'Grafico %'!$A27,Tabla1[nombre_actividad],'Grafico %'!F$1)/500,NA())</f>
        <v>0.13200000000000001</v>
      </c>
      <c r="G27" s="70">
        <f ca="1">IF(TODAY()&gt;=$A27,SUMIFS(Tabla1[Avance_km],Tabla1[Fecha],"&lt;="&amp;'Grafico %'!$A27,Tabla1[nombre_actividad],'Grafico %'!G$1)/(200),NA())</f>
        <v>0</v>
      </c>
      <c r="H27" s="70"/>
    </row>
    <row r="28" spans="1:8" x14ac:dyDescent="0.25">
      <c r="A28" s="62">
        <f t="shared" si="0"/>
        <v>45989</v>
      </c>
      <c r="B28" s="33"/>
      <c r="C28" s="69">
        <f ca="1">IF(TODAY()&gt;=$A28,SUMIFS(Tabla1[Avance_km],Tabla1[Fecha],"&lt;="&amp;'Grafico %'!$A28,Tabla1[nombre_actividad],'Grafico %'!C$1)/(200),NA())</f>
        <v>0.3601100000000001</v>
      </c>
      <c r="D28" s="70">
        <f ca="1">IF(TODAY()&gt;=$A28,SUMIFS(Tabla1[Avance_km],Tabla1[Fecha],"&lt;="&amp;'Grafico %'!$A28,Tabla1[nombre_actividad],'Grafico %'!D$1)/(200),NA())</f>
        <v>0.157745</v>
      </c>
      <c r="E28" s="70">
        <f ca="1">IF(TODAY()&gt;=$A28,SUMIFS(Tabla1[Avance_km],Tabla1[Fecha],"&lt;="&amp;'Grafico %'!$A28,Tabla1[nombre_actividad],'Grafico %'!E$1,Tabla1[Avance_km],"&gt;0")/(200),NA())</f>
        <v>0.20774499999999999</v>
      </c>
      <c r="F28" s="68">
        <f ca="1">IF(TODAY()&gt;=$A28,SUMIFS(Tabla1[Avance_Med],Tabla1[Fecha],"&lt;="&amp;'Grafico %'!$A28,Tabla1[nombre_actividad],'Grafico %'!F$1)/500,NA())</f>
        <v>0.17199999999999999</v>
      </c>
      <c r="G28" s="70">
        <f ca="1">IF(TODAY()&gt;=$A28,SUMIFS(Tabla1[Avance_km],Tabla1[Fecha],"&lt;="&amp;'Grafico %'!$A28,Tabla1[nombre_actividad],'Grafico %'!G$1)/(200),NA())</f>
        <v>0</v>
      </c>
      <c r="H28" s="70"/>
    </row>
    <row r="29" spans="1:8" x14ac:dyDescent="0.25">
      <c r="A29" s="62">
        <f t="shared" si="0"/>
        <v>45990</v>
      </c>
      <c r="B29" s="33"/>
      <c r="C29" s="69">
        <f ca="1">IF(TODAY()&gt;=$A29,SUMIFS(Tabla1[Avance_km],Tabla1[Fecha],"&lt;="&amp;'Grafico %'!$A29,Tabla1[nombre_actividad],'Grafico %'!C$1)/(200),NA())</f>
        <v>0.3601100000000001</v>
      </c>
      <c r="D29" s="70">
        <f ca="1">IF(TODAY()&gt;=$A29,SUMIFS(Tabla1[Avance_km],Tabla1[Fecha],"&lt;="&amp;'Grafico %'!$A29,Tabla1[nombre_actividad],'Grafico %'!D$1)/(200),NA())</f>
        <v>0.157745</v>
      </c>
      <c r="E29" s="70">
        <f ca="1">IF(TODAY()&gt;=$A29,SUMIFS(Tabla1[Avance_km],Tabla1[Fecha],"&lt;="&amp;'Grafico %'!$A29,Tabla1[nombre_actividad],'Grafico %'!E$1,Tabla1[Avance_km],"&gt;0")/(200),NA())</f>
        <v>0.26524500000000001</v>
      </c>
      <c r="F29" s="68">
        <f ca="1">IF(TODAY()&gt;=$A29,SUMIFS(Tabla1[Avance_Med],Tabla1[Fecha],"&lt;="&amp;'Grafico %'!$A29,Tabla1[nombre_actividad],'Grafico %'!F$1)/500,NA())</f>
        <v>0.19600000000000001</v>
      </c>
      <c r="G29" s="70">
        <f ca="1">IF(TODAY()&gt;=$A29,SUMIFS(Tabla1[Avance_km],Tabla1[Fecha],"&lt;="&amp;'Grafico %'!$A29,Tabla1[nombre_actividad],'Grafico %'!G$1)/(200),NA())</f>
        <v>0</v>
      </c>
      <c r="H29" s="70"/>
    </row>
    <row r="30" spans="1:8" x14ac:dyDescent="0.25">
      <c r="A30" s="62">
        <f t="shared" si="0"/>
        <v>45991</v>
      </c>
      <c r="B30" s="33"/>
      <c r="C30" s="69">
        <f ca="1">IF(TODAY()&gt;=$A30,SUMIFS(Tabla1[Avance_km],Tabla1[Fecha],"&lt;="&amp;'Grafico %'!$A30,Tabla1[nombre_actividad],'Grafico %'!C$1)/(200),NA())</f>
        <v>0.3601100000000001</v>
      </c>
      <c r="D30" s="70">
        <f ca="1">IF(TODAY()&gt;=$A30,SUMIFS(Tabla1[Avance_km],Tabla1[Fecha],"&lt;="&amp;'Grafico %'!$A30,Tabla1[nombre_actividad],'Grafico %'!D$1)/(200),NA())</f>
        <v>0.157745</v>
      </c>
      <c r="E30" s="70">
        <f ca="1">IF(TODAY()&gt;=$A30,SUMIFS(Tabla1[Avance_km],Tabla1[Fecha],"&lt;="&amp;'Grafico %'!$A30,Tabla1[nombre_actividad],'Grafico %'!E$1,Tabla1[Avance_km],"&gt;0")/(200),NA())</f>
        <v>0.26524500000000001</v>
      </c>
      <c r="F30" s="68">
        <f ca="1">IF(TODAY()&gt;=$A30,SUMIFS(Tabla1[Avance_Med],Tabla1[Fecha],"&lt;="&amp;'Grafico %'!$A30,Tabla1[nombre_actividad],'Grafico %'!F$1)/500,NA())</f>
        <v>0.19600000000000001</v>
      </c>
      <c r="G30" s="70">
        <f ca="1">IF(TODAY()&gt;=$A30,SUMIFS(Tabla1[Avance_km],Tabla1[Fecha],"&lt;="&amp;'Grafico %'!$A30,Tabla1[nombre_actividad],'Grafico %'!G$1)/(200),NA())</f>
        <v>0</v>
      </c>
      <c r="H30" s="70"/>
    </row>
    <row r="31" spans="1:8" x14ac:dyDescent="0.25">
      <c r="A31" s="62">
        <f t="shared" si="0"/>
        <v>45992</v>
      </c>
      <c r="B31" s="33"/>
      <c r="C31" s="69">
        <f ca="1">IF(TODAY()&gt;=$A31,SUMIFS(Tabla1[Avance_km],Tabla1[Fecha],"&lt;="&amp;'Grafico %'!$A31,Tabla1[nombre_actividad],'Grafico %'!C$1)/(200),NA())</f>
        <v>0.36021000000000009</v>
      </c>
      <c r="D31" s="70">
        <f ca="1">IF(TODAY()&gt;=$A31,SUMIFS(Tabla1[Avance_km],Tabla1[Fecha],"&lt;="&amp;'Grafico %'!$A31,Tabla1[nombre_actividad],'Grafico %'!D$1)/(200),NA())</f>
        <v>0.157745</v>
      </c>
      <c r="E31" s="70">
        <f ca="1">IF(TODAY()&gt;=$A31,SUMIFS(Tabla1[Avance_km],Tabla1[Fecha],"&lt;="&amp;'Grafico %'!$A31,Tabla1[nombre_actividad],'Grafico %'!E$1,Tabla1[Avance_km],"&gt;0")/(200),NA())</f>
        <v>0.31624999999999998</v>
      </c>
      <c r="F31" s="68">
        <f ca="1">IF(TODAY()&gt;=$A31,SUMIFS(Tabla1[Avance_Med],Tabla1[Fecha],"&lt;="&amp;'Grafico %'!$A31,Tabla1[nombre_actividad],'Grafico %'!F$1)/500,NA())</f>
        <v>0.23200000000000001</v>
      </c>
      <c r="G31" s="70">
        <f ca="1">IF(TODAY()&gt;=$A31,SUMIFS(Tabla1[Avance_km],Tabla1[Fecha],"&lt;="&amp;'Grafico %'!$A31,Tabla1[nombre_actividad],'Grafico %'!G$1)/(200),NA())</f>
        <v>0</v>
      </c>
      <c r="H31" s="70"/>
    </row>
    <row r="32" spans="1:8" x14ac:dyDescent="0.25">
      <c r="A32" s="62">
        <f t="shared" si="0"/>
        <v>45993</v>
      </c>
      <c r="B32" s="33"/>
      <c r="C32" s="69">
        <f ca="1">IF(TODAY()&gt;=$A32,SUMIFS(Tabla1[Avance_km],Tabla1[Fecha],"&lt;="&amp;'Grafico %'!$A32,Tabla1[nombre_actividad],'Grafico %'!C$1)/(200),NA())</f>
        <v>0.36267500000000008</v>
      </c>
      <c r="D32" s="70">
        <f ca="1">IF(TODAY()&gt;=$A32,SUMIFS(Tabla1[Avance_km],Tabla1[Fecha],"&lt;="&amp;'Grafico %'!$A32,Tabla1[nombre_actividad],'Grafico %'!D$1)/(200),NA())</f>
        <v>0.157745</v>
      </c>
      <c r="E32" s="70">
        <f ca="1">IF(TODAY()&gt;=$A32,SUMIFS(Tabla1[Avance_km],Tabla1[Fecha],"&lt;="&amp;'Grafico %'!$A32,Tabla1[nombre_actividad],'Grafico %'!E$1,Tabla1[Avance_km],"&gt;0")/(200),NA())</f>
        <v>0.35510500000000006</v>
      </c>
      <c r="F32" s="68">
        <f ca="1">IF(TODAY()&gt;=$A32,SUMIFS(Tabla1[Avance_Med],Tabla1[Fecha],"&lt;="&amp;'Grafico %'!$A32,Tabla1[nombre_actividad],'Grafico %'!F$1)/500,NA())</f>
        <v>0.25600000000000001</v>
      </c>
      <c r="G32" s="70">
        <f ca="1">IF(TODAY()&gt;=$A32,SUMIFS(Tabla1[Avance_km],Tabla1[Fecha],"&lt;="&amp;'Grafico %'!$A32,Tabla1[nombre_actividad],'Grafico %'!G$1)/(200),NA())</f>
        <v>0</v>
      </c>
      <c r="H32" s="70"/>
    </row>
    <row r="33" spans="1:12" x14ac:dyDescent="0.25">
      <c r="A33" s="62">
        <f t="shared" si="0"/>
        <v>45994</v>
      </c>
      <c r="B33" s="33"/>
      <c r="C33" s="69">
        <f ca="1">IF(TODAY()&gt;=$A33,SUMIFS(Tabla1[Avance_km],Tabla1[Fecha],"&lt;="&amp;'Grafico %'!$A33,Tabla1[nombre_actividad],'Grafico %'!C$1)/(200),NA())</f>
        <v>0.3682200000000001</v>
      </c>
      <c r="D33" s="70">
        <f ca="1">IF(TODAY()&gt;=$A33,SUMIFS(Tabla1[Avance_km],Tabla1[Fecha],"&lt;="&amp;'Grafico %'!$A33,Tabla1[nombre_actividad],'Grafico %'!D$1)/(200),NA())</f>
        <v>0.157745</v>
      </c>
      <c r="E33" s="70">
        <f ca="1">IF(TODAY()&gt;=$A33,SUMIFS(Tabla1[Avance_km],Tabla1[Fecha],"&lt;="&amp;'Grafico %'!$A33,Tabla1[nombre_actividad],'Grafico %'!E$1,Tabla1[Avance_km],"&gt;0")/(200),NA())</f>
        <v>0.36822000000000016</v>
      </c>
      <c r="F33" s="68">
        <f ca="1">IF(TODAY()&gt;=$A33,SUMIFS(Tabla1[Avance_Med],Tabla1[Fecha],"&lt;="&amp;'Grafico %'!$A33,Tabla1[nombre_actividad],'Grafico %'!F$1)/500,NA())</f>
        <v>0.27600000000000002</v>
      </c>
      <c r="G33" s="70">
        <f ca="1">IF(TODAY()&gt;=$A33,SUMIFS(Tabla1[Avance_km],Tabla1[Fecha],"&lt;="&amp;'Grafico %'!$A33,Tabla1[nombre_actividad],'Grafico %'!G$1)/(200),NA())</f>
        <v>0</v>
      </c>
      <c r="H33" s="70"/>
    </row>
    <row r="34" spans="1:12" x14ac:dyDescent="0.25">
      <c r="A34" s="62">
        <f t="shared" si="0"/>
        <v>45995</v>
      </c>
      <c r="B34" s="33"/>
      <c r="C34" s="69">
        <f ca="1">IF(TODAY()&gt;=$A34,SUMIFS(Tabla1[Avance_km],Tabla1[Fecha],"&lt;="&amp;'Grafico %'!$A34,Tabla1[nombre_actividad],'Grafico %'!C$1)/(200),NA())</f>
        <v>0.38568000000000019</v>
      </c>
      <c r="D34" s="70">
        <f ca="1">IF(TODAY()&gt;=$A34,SUMIFS(Tabla1[Avance_km],Tabla1[Fecha],"&lt;="&amp;'Grafico %'!$A34,Tabla1[nombre_actividad],'Grafico %'!D$1)/(200),NA())</f>
        <v>0.157745</v>
      </c>
      <c r="E34" s="70">
        <f ca="1">IF(TODAY()&gt;=$A34,SUMIFS(Tabla1[Avance_km],Tabla1[Fecha],"&lt;="&amp;'Grafico %'!$A34,Tabla1[nombre_actividad],'Grafico %'!E$1,Tabla1[Avance_km],"&gt;0")/(200),NA())</f>
        <v>0.37068000000000029</v>
      </c>
      <c r="F34" s="68">
        <f ca="1">IF(TODAY()&gt;=$A34,SUMIFS(Tabla1[Avance_Med],Tabla1[Fecha],"&lt;="&amp;'Grafico %'!$A34,Tabla1[nombre_actividad],'Grafico %'!F$1)/500,NA())</f>
        <v>0.314</v>
      </c>
      <c r="G34" s="70">
        <f ca="1">IF(TODAY()&gt;=$A34,SUMIFS(Tabla1[Avance_km],Tabla1[Fecha],"&lt;="&amp;'Grafico %'!$A34,Tabla1[nombre_actividad],'Grafico %'!G$1)/(200),NA())</f>
        <v>0</v>
      </c>
      <c r="H34" s="70"/>
    </row>
    <row r="35" spans="1:12" x14ac:dyDescent="0.25">
      <c r="A35" s="62">
        <f t="shared" si="0"/>
        <v>45996</v>
      </c>
      <c r="B35" s="33"/>
      <c r="C35" s="69">
        <f ca="1">IF(TODAY()&gt;=$A35,SUMIFS(Tabla1[Avance_km],Tabla1[Fecha],"&lt;="&amp;'Grafico %'!$A35,Tabla1[nombre_actividad],'Grafico %'!C$1)/(200),NA())</f>
        <v>0.41893000000000025</v>
      </c>
      <c r="D35" s="70">
        <f ca="1">IF(TODAY()&gt;=$A35,SUMIFS(Tabla1[Avance_km],Tabla1[Fecha],"&lt;="&amp;'Grafico %'!$A35,Tabla1[nombre_actividad],'Grafico %'!D$1)/(200),NA())</f>
        <v>0.157745</v>
      </c>
      <c r="E35" s="70">
        <f ca="1">IF(TODAY()&gt;=$A35,SUMIFS(Tabla1[Avance_km],Tabla1[Fecha],"&lt;="&amp;'Grafico %'!$A35,Tabla1[nombre_actividad],'Grafico %'!E$1,Tabla1[Avance_km],"&gt;0")/(200),NA())</f>
        <v>0.37068000000000029</v>
      </c>
      <c r="F35" s="68">
        <f ca="1">IF(TODAY()&gt;=$A35,SUMIFS(Tabla1[Avance_Med],Tabla1[Fecha],"&lt;="&amp;'Grafico %'!$A35,Tabla1[nombre_actividad],'Grafico %'!F$1)/500,NA())</f>
        <v>0.34200000000000003</v>
      </c>
      <c r="G35" s="70">
        <f ca="1">IF(TODAY()&gt;=$A35,SUMIFS(Tabla1[Avance_km],Tabla1[Fecha],"&lt;="&amp;'Grafico %'!$A35,Tabla1[nombre_actividad],'Grafico %'!G$1)/(200),NA())</f>
        <v>0</v>
      </c>
      <c r="H35" s="70"/>
      <c r="J35" s="34" t="s">
        <v>78</v>
      </c>
      <c r="K35" s="68">
        <f ca="1">+_xlfn.XLOOKUP(TODAY(),A:A,C:C)</f>
        <v>0.90942749999999994</v>
      </c>
      <c r="L35" s="61" t="s">
        <v>566</v>
      </c>
    </row>
    <row r="36" spans="1:12" x14ac:dyDescent="0.25">
      <c r="A36" s="62">
        <f t="shared" si="0"/>
        <v>45997</v>
      </c>
      <c r="B36" s="33"/>
      <c r="C36" s="69">
        <f ca="1">IF(TODAY()&gt;=$A36,SUMIFS(Tabla1[Avance_km],Tabla1[Fecha],"&lt;="&amp;'Grafico %'!$A36,Tabla1[nombre_actividad],'Grafico %'!C$1)/(200),NA())</f>
        <v>0.41899500000000017</v>
      </c>
      <c r="D36" s="70">
        <f ca="1">IF(TODAY()&gt;=$A36,SUMIFS(Tabla1[Avance_km],Tabla1[Fecha],"&lt;="&amp;'Grafico %'!$A36,Tabla1[nombre_actividad],'Grafico %'!D$1)/(200),NA())</f>
        <v>0.157745</v>
      </c>
      <c r="E36" s="70">
        <f ca="1">IF(TODAY()&gt;=$A36,SUMIFS(Tabla1[Avance_km],Tabla1[Fecha],"&lt;="&amp;'Grafico %'!$A36,Tabla1[nombre_actividad],'Grafico %'!E$1,Tabla1[Avance_km],"&gt;0")/(200),NA())</f>
        <v>0.37074500000000021</v>
      </c>
      <c r="F36" s="68">
        <f ca="1">IF(TODAY()&gt;=$A36,SUMIFS(Tabla1[Avance_Med],Tabla1[Fecha],"&lt;="&amp;'Grafico %'!$A36,Tabla1[nombre_actividad],'Grafico %'!F$1)/500,NA())</f>
        <v>0.35599999999999998</v>
      </c>
      <c r="G36" s="70">
        <f ca="1">IF(TODAY()&gt;=$A36,SUMIFS(Tabla1[Avance_km],Tabla1[Fecha],"&lt;="&amp;'Grafico %'!$A36,Tabla1[nombre_actividad],'Grafico %'!G$1)/(200),NA())</f>
        <v>0</v>
      </c>
      <c r="H36" s="70"/>
      <c r="J36" s="34" t="s">
        <v>79</v>
      </c>
      <c r="K36" s="68">
        <f ca="1">+_xlfn.XLOOKUP(TODAY(),A:A,D:D)</f>
        <v>0.90962749999999948</v>
      </c>
      <c r="L36" s="61" t="s">
        <v>566</v>
      </c>
    </row>
    <row r="37" spans="1:12" x14ac:dyDescent="0.25">
      <c r="A37" s="62">
        <f t="shared" si="0"/>
        <v>45998</v>
      </c>
      <c r="B37" s="33"/>
      <c r="C37" s="69">
        <f ca="1">IF(TODAY()&gt;=$A37,SUMIFS(Tabla1[Avance_km],Tabla1[Fecha],"&lt;="&amp;'Grafico %'!$A37,Tabla1[nombre_actividad],'Grafico %'!C$1)/(200),NA())</f>
        <v>0.41899500000000017</v>
      </c>
      <c r="D37" s="70">
        <f ca="1">IF(TODAY()&gt;=$A37,SUMIFS(Tabla1[Avance_km],Tabla1[Fecha],"&lt;="&amp;'Grafico %'!$A37,Tabla1[nombre_actividad],'Grafico %'!D$1)/(200),NA())</f>
        <v>0.157745</v>
      </c>
      <c r="E37" s="70">
        <f ca="1">IF(TODAY()&gt;=$A37,SUMIFS(Tabla1[Avance_km],Tabla1[Fecha],"&lt;="&amp;'Grafico %'!$A37,Tabla1[nombre_actividad],'Grafico %'!E$1,Tabla1[Avance_km],"&gt;0")/(200),NA())</f>
        <v>0.37074500000000021</v>
      </c>
      <c r="F37" s="68">
        <f ca="1">IF(TODAY()&gt;=$A37,SUMIFS(Tabla1[Avance_Med],Tabla1[Fecha],"&lt;="&amp;'Grafico %'!$A37,Tabla1[nombre_actividad],'Grafico %'!F$1)/500,NA())</f>
        <v>0.35599999999999998</v>
      </c>
      <c r="G37" s="70">
        <f ca="1">IF(TODAY()&gt;=$A37,SUMIFS(Tabla1[Avance_km],Tabla1[Fecha],"&lt;="&amp;'Grafico %'!$A37,Tabla1[nombre_actividad],'Grafico %'!G$1)/(200),NA())</f>
        <v>0</v>
      </c>
      <c r="H37" s="70"/>
      <c r="J37" s="34" t="s">
        <v>80</v>
      </c>
      <c r="K37" s="68">
        <f ca="1">+_xlfn.XLOOKUP(TODAY(),A:A,E:E)</f>
        <v>0.7516225000000003</v>
      </c>
      <c r="L37" s="61" t="s">
        <v>566</v>
      </c>
    </row>
    <row r="38" spans="1:12" x14ac:dyDescent="0.25">
      <c r="A38" s="62">
        <f t="shared" si="0"/>
        <v>45999</v>
      </c>
      <c r="B38" s="33"/>
      <c r="C38" s="69">
        <f ca="1">IF(TODAY()&gt;=$A38,SUMIFS(Tabla1[Avance_km],Tabla1[Fecha],"&lt;="&amp;'Grafico %'!$A38,Tabla1[nombre_actividad],'Grafico %'!C$1)/(200),NA())</f>
        <v>0.42296500000000015</v>
      </c>
      <c r="D38" s="70">
        <f ca="1">IF(TODAY()&gt;=$A38,SUMIFS(Tabla1[Avance_km],Tabla1[Fecha],"&lt;="&amp;'Grafico %'!$A38,Tabla1[nombre_actividad],'Grafico %'!D$1)/(200),NA())</f>
        <v>0.157745</v>
      </c>
      <c r="E38" s="70">
        <f ca="1">IF(TODAY()&gt;=$A38,SUMIFS(Tabla1[Avance_km],Tabla1[Fecha],"&lt;="&amp;'Grafico %'!$A38,Tabla1[nombre_actividad],'Grafico %'!E$1,Tabla1[Avance_km],"&gt;0")/(200),NA())</f>
        <v>0.37074500000000021</v>
      </c>
      <c r="F38" s="68">
        <f ca="1">IF(TODAY()&gt;=$A38,SUMIFS(Tabla1[Avance_Med],Tabla1[Fecha],"&lt;="&amp;'Grafico %'!$A38,Tabla1[nombre_actividad],'Grafico %'!F$1)/500,NA())</f>
        <v>0.38400000000000001</v>
      </c>
      <c r="G38" s="70">
        <f ca="1">IF(TODAY()&gt;=$A38,SUMIFS(Tabla1[Avance_km],Tabla1[Fecha],"&lt;="&amp;'Grafico %'!$A38,Tabla1[nombre_actividad],'Grafico %'!G$1)/(200),NA())</f>
        <v>0</v>
      </c>
      <c r="H38" s="70"/>
      <c r="J38" s="220" t="s">
        <v>81</v>
      </c>
      <c r="K38" s="221">
        <f ca="1">+_xlfn.XLOOKUP(TODAY(),A:A,F:F)</f>
        <v>0.79200000000000004</v>
      </c>
      <c r="L38" s="61" t="s">
        <v>567</v>
      </c>
    </row>
    <row r="39" spans="1:12" x14ac:dyDescent="0.25">
      <c r="A39" s="62">
        <f t="shared" si="0"/>
        <v>46000</v>
      </c>
      <c r="B39" s="33"/>
      <c r="C39" s="69">
        <f ca="1">IF(TODAY()&gt;=$A39,SUMIFS(Tabla1[Avance_km],Tabla1[Fecha],"&lt;="&amp;'Grafico %'!$A39,Tabla1[nombre_actividad],'Grafico %'!C$1)/(200),NA())</f>
        <v>0.42296500000000015</v>
      </c>
      <c r="D39" s="70">
        <f ca="1">IF(TODAY()&gt;=$A39,SUMIFS(Tabla1[Avance_km],Tabla1[Fecha],"&lt;="&amp;'Grafico %'!$A39,Tabla1[nombre_actividad],'Grafico %'!D$1)/(200),NA())</f>
        <v>0.17924499999999999</v>
      </c>
      <c r="E39" s="70">
        <f ca="1">IF(TODAY()&gt;=$A39,SUMIFS(Tabla1[Avance_km],Tabla1[Fecha],"&lt;="&amp;'Grafico %'!$A39,Tabla1[nombre_actividad],'Grafico %'!E$1,Tabla1[Avance_km],"&gt;0")/(200),NA())</f>
        <v>0.37074500000000021</v>
      </c>
      <c r="F39" s="68">
        <f ca="1">IF(TODAY()&gt;=$A39,SUMIFS(Tabla1[Avance_Med],Tabla1[Fecha],"&lt;="&amp;'Grafico %'!$A39,Tabla1[nombre_actividad],'Grafico %'!F$1)/500,NA())</f>
        <v>0.42</v>
      </c>
      <c r="G39" s="70">
        <f ca="1">IF(TODAY()&gt;=$A39,SUMIFS(Tabla1[Avance_km],Tabla1[Fecha],"&lt;="&amp;'Grafico %'!$A39,Tabla1[nombre_actividad],'Grafico %'!G$1)/(200),NA())</f>
        <v>0</v>
      </c>
      <c r="H39" s="70"/>
      <c r="J39" s="34" t="s">
        <v>82</v>
      </c>
      <c r="K39" s="68">
        <f ca="1">+_xlfn.XLOOKUP(TODAY(),A:A,G:G)</f>
        <v>0</v>
      </c>
      <c r="L39" s="61" t="s">
        <v>566</v>
      </c>
    </row>
    <row r="40" spans="1:12" x14ac:dyDescent="0.25">
      <c r="A40" s="62">
        <f t="shared" si="0"/>
        <v>46001</v>
      </c>
      <c r="B40" s="33"/>
      <c r="C40" s="69">
        <f ca="1">IF(TODAY()&gt;=$A40,SUMIFS(Tabla1[Avance_km],Tabla1[Fecha],"&lt;="&amp;'Grafico %'!$A40,Tabla1[nombre_actividad],'Grafico %'!C$1)/(200),NA())</f>
        <v>0.42296500000000015</v>
      </c>
      <c r="D40" s="70">
        <f ca="1">IF(TODAY()&gt;=$A40,SUMIFS(Tabla1[Avance_km],Tabla1[Fecha],"&lt;="&amp;'Grafico %'!$A40,Tabla1[nombre_actividad],'Grafico %'!D$1)/(200),NA())</f>
        <v>0.20074499999999998</v>
      </c>
      <c r="E40" s="70">
        <f ca="1">IF(TODAY()&gt;=$A40,SUMIFS(Tabla1[Avance_km],Tabla1[Fecha],"&lt;="&amp;'Grafico %'!$A40,Tabla1[nombre_actividad],'Grafico %'!E$1,Tabla1[Avance_km],"&gt;0")/(200),NA())</f>
        <v>0.37074500000000021</v>
      </c>
      <c r="F40" s="68">
        <f ca="1">IF(TODAY()&gt;=$A40,SUMIFS(Tabla1[Avance_Med],Tabla1[Fecha],"&lt;="&amp;'Grafico %'!$A40,Tabla1[nombre_actividad],'Grafico %'!F$1)/500,NA())</f>
        <v>0.45600000000000002</v>
      </c>
      <c r="G40" s="70">
        <f ca="1">IF(TODAY()&gt;=$A40,SUMIFS(Tabla1[Avance_km],Tabla1[Fecha],"&lt;="&amp;'Grafico %'!$A40,Tabla1[nombre_actividad],'Grafico %'!G$1)/(200),NA())</f>
        <v>0</v>
      </c>
      <c r="H40" s="70"/>
      <c r="J40" s="34" t="s">
        <v>83</v>
      </c>
      <c r="K40" s="68">
        <f ca="1">+_xlfn.XLOOKUP(TODAY(),A:A,H:H)</f>
        <v>0.59395839600241851</v>
      </c>
      <c r="L40" s="61" t="s">
        <v>566</v>
      </c>
    </row>
    <row r="41" spans="1:12" x14ac:dyDescent="0.25">
      <c r="A41" s="62">
        <f t="shared" si="0"/>
        <v>46002</v>
      </c>
      <c r="B41" s="33"/>
      <c r="C41" s="69">
        <f ca="1">IF(TODAY()&gt;=$A41,SUMIFS(Tabla1[Avance_km],Tabla1[Fecha],"&lt;="&amp;'Grafico %'!$A41,Tabla1[nombre_actividad],'Grafico %'!C$1)/(200),NA())</f>
        <v>0.42296500000000015</v>
      </c>
      <c r="D41" s="70">
        <f ca="1">IF(TODAY()&gt;=$A41,SUMIFS(Tabla1[Avance_km],Tabla1[Fecha],"&lt;="&amp;'Grafico %'!$A41,Tabla1[nombre_actividad],'Grafico %'!D$1)/(200),NA())</f>
        <v>0.22424499999999997</v>
      </c>
      <c r="E41" s="70">
        <f ca="1">IF(TODAY()&gt;=$A41,SUMIFS(Tabla1[Avance_km],Tabla1[Fecha],"&lt;="&amp;'Grafico %'!$A41,Tabla1[nombre_actividad],'Grafico %'!E$1,Tabla1[Avance_km],"&gt;0")/(200),NA())</f>
        <v>0.37074500000000021</v>
      </c>
      <c r="F41" s="68">
        <f ca="1">IF(TODAY()&gt;=$A41,SUMIFS(Tabla1[Avance_Med],Tabla1[Fecha],"&lt;="&amp;'Grafico %'!$A41,Tabla1[nombre_actividad],'Grafico %'!F$1)/500,NA())</f>
        <v>0.45600000000000002</v>
      </c>
      <c r="G41" s="70">
        <f ca="1">IF(TODAY()&gt;=$A41,SUMIFS(Tabla1[Avance_km],Tabla1[Fecha],"&lt;="&amp;'Grafico %'!$A41,Tabla1[nombre_actividad],'Grafico %'!G$1)/(200),NA())</f>
        <v>0</v>
      </c>
      <c r="H41" s="70"/>
    </row>
    <row r="42" spans="1:12" x14ac:dyDescent="0.25">
      <c r="A42" s="62">
        <f t="shared" si="0"/>
        <v>46003</v>
      </c>
      <c r="B42" s="33"/>
      <c r="C42" s="69">
        <f ca="1">IF(TODAY()&gt;=$A42,SUMIFS(Tabla1[Avance_km],Tabla1[Fecha],"&lt;="&amp;'Grafico %'!$A42,Tabla1[nombre_actividad],'Grafico %'!C$1)/(200),NA())</f>
        <v>0.42296500000000015</v>
      </c>
      <c r="D42" s="70">
        <f ca="1">IF(TODAY()&gt;=$A42,SUMIFS(Tabla1[Avance_km],Tabla1[Fecha],"&lt;="&amp;'Grafico %'!$A42,Tabla1[nombre_actividad],'Grafico %'!D$1)/(200),NA())</f>
        <v>0.24786999999999998</v>
      </c>
      <c r="E42" s="70">
        <f ca="1">IF(TODAY()&gt;=$A42,SUMIFS(Tabla1[Avance_km],Tabla1[Fecha],"&lt;="&amp;'Grafico %'!$A42,Tabla1[nombre_actividad],'Grafico %'!E$1,Tabla1[Avance_km],"&gt;0")/(200),NA())</f>
        <v>0.37074500000000021</v>
      </c>
      <c r="F42" s="68">
        <f ca="1">IF(TODAY()&gt;=$A42,SUMIFS(Tabla1[Avance_Med],Tabla1[Fecha],"&lt;="&amp;'Grafico %'!$A42,Tabla1[nombre_actividad],'Grafico %'!F$1)/500,NA())</f>
        <v>0.45600000000000002</v>
      </c>
      <c r="G42" s="70">
        <f ca="1">IF(TODAY()&gt;=$A42,SUMIFS(Tabla1[Avance_km],Tabla1[Fecha],"&lt;="&amp;'Grafico %'!$A42,Tabla1[nombre_actividad],'Grafico %'!G$1)/(200),NA())</f>
        <v>0</v>
      </c>
      <c r="H42" s="70"/>
      <c r="J42" s="61" t="s">
        <v>182</v>
      </c>
      <c r="L42" s="61">
        <v>154.23590000000002</v>
      </c>
    </row>
    <row r="43" spans="1:12" x14ac:dyDescent="0.25">
      <c r="A43" s="62">
        <f t="shared" si="0"/>
        <v>46004</v>
      </c>
      <c r="B43" s="33"/>
      <c r="C43" s="69">
        <f ca="1">IF(TODAY()&gt;=$A43,SUMIFS(Tabla1[Avance_km],Tabla1[Fecha],"&lt;="&amp;'Grafico %'!$A43,Tabla1[nombre_actividad],'Grafico %'!C$1)/(200),NA())</f>
        <v>0.42296500000000015</v>
      </c>
      <c r="D43" s="70">
        <f ca="1">IF(TODAY()&gt;=$A43,SUMIFS(Tabla1[Avance_km],Tabla1[Fecha],"&lt;="&amp;'Grafico %'!$A43,Tabla1[nombre_actividad],'Grafico %'!D$1)/(200),NA())</f>
        <v>0.25961499999999998</v>
      </c>
      <c r="E43" s="70">
        <f ca="1">IF(TODAY()&gt;=$A43,SUMIFS(Tabla1[Avance_km],Tabla1[Fecha],"&lt;="&amp;'Grafico %'!$A43,Tabla1[nombre_actividad],'Grafico %'!E$1,Tabla1[Avance_km],"&gt;0")/(200),NA())</f>
        <v>0.37074500000000021</v>
      </c>
      <c r="F43" s="68">
        <f ca="1">IF(TODAY()&gt;=$A43,SUMIFS(Tabla1[Avance_Med],Tabla1[Fecha],"&lt;="&amp;'Grafico %'!$A43,Tabla1[nombre_actividad],'Grafico %'!F$1)/500,NA())</f>
        <v>0.45600000000000002</v>
      </c>
      <c r="G43" s="70">
        <f ca="1">IF(TODAY()&gt;=$A43,SUMIFS(Tabla1[Avance_km],Tabla1[Fecha],"&lt;="&amp;'Grafico %'!$A43,Tabla1[nombre_actividad],'Grafico %'!G$1)/(200),NA())</f>
        <v>0</v>
      </c>
      <c r="H43" s="70"/>
      <c r="J43" s="61" t="s">
        <v>183</v>
      </c>
    </row>
    <row r="44" spans="1:12" x14ac:dyDescent="0.25">
      <c r="A44" s="62">
        <f t="shared" si="0"/>
        <v>46005</v>
      </c>
      <c r="B44" s="33"/>
      <c r="C44" s="69">
        <f ca="1">IF(TODAY()&gt;=$A44,SUMIFS(Tabla1[Avance_km],Tabla1[Fecha],"&lt;="&amp;'Grafico %'!$A44,Tabla1[nombre_actividad],'Grafico %'!C$1)/(200),NA())</f>
        <v>0.42296500000000015</v>
      </c>
      <c r="D44" s="70">
        <f ca="1">IF(TODAY()&gt;=$A44,SUMIFS(Tabla1[Avance_km],Tabla1[Fecha],"&lt;="&amp;'Grafico %'!$A44,Tabla1[nombre_actividad],'Grafico %'!D$1)/(200),NA())</f>
        <v>0.25961499999999998</v>
      </c>
      <c r="E44" s="70">
        <f ca="1">IF(TODAY()&gt;=$A44,SUMIFS(Tabla1[Avance_km],Tabla1[Fecha],"&lt;="&amp;'Grafico %'!$A44,Tabla1[nombre_actividad],'Grafico %'!E$1,Tabla1[Avance_km],"&gt;0")/(200),NA())</f>
        <v>0.37074500000000021</v>
      </c>
      <c r="F44" s="68">
        <f ca="1">IF(TODAY()&gt;=$A44,SUMIFS(Tabla1[Avance_Med],Tabla1[Fecha],"&lt;="&amp;'Grafico %'!$A44,Tabla1[nombre_actividad],'Grafico %'!F$1)/500,NA())</f>
        <v>0.45600000000000002</v>
      </c>
      <c r="G44" s="70">
        <f ca="1">IF(TODAY()&gt;=$A44,SUMIFS(Tabla1[Avance_km],Tabla1[Fecha],"&lt;="&amp;'Grafico %'!$A44,Tabla1[nombre_actividad],'Grafico %'!G$1)/(200),NA())</f>
        <v>0</v>
      </c>
      <c r="H44" s="70"/>
      <c r="J44" s="197">
        <v>376</v>
      </c>
    </row>
    <row r="45" spans="1:12" x14ac:dyDescent="0.25">
      <c r="A45" s="62">
        <f t="shared" si="0"/>
        <v>46006</v>
      </c>
      <c r="B45" s="33"/>
      <c r="C45" s="69">
        <f ca="1">IF(TODAY()&gt;=$A45,SUMIFS(Tabla1[Avance_km],Tabla1[Fecha],"&lt;="&amp;'Grafico %'!$A45,Tabla1[nombre_actividad],'Grafico %'!C$1)/(200),NA())</f>
        <v>0.42296500000000015</v>
      </c>
      <c r="D45" s="70">
        <f ca="1">IF(TODAY()&gt;=$A45,SUMIFS(Tabla1[Avance_km],Tabla1[Fecha],"&lt;="&amp;'Grafico %'!$A45,Tabla1[nombre_actividad],'Grafico %'!D$1)/(200),NA())</f>
        <v>0.25961499999999998</v>
      </c>
      <c r="E45" s="70">
        <f ca="1">IF(TODAY()&gt;=$A45,SUMIFS(Tabla1[Avance_km],Tabla1[Fecha],"&lt;="&amp;'Grafico %'!$A45,Tabla1[nombre_actividad],'Grafico %'!E$1,Tabla1[Avance_km],"&gt;0")/(200),NA())</f>
        <v>0.42296500000000026</v>
      </c>
      <c r="F45" s="68">
        <f ca="1">IF(TODAY()&gt;=$A45,SUMIFS(Tabla1[Avance_Med],Tabla1[Fecha],"&lt;="&amp;'Grafico %'!$A45,Tabla1[nombre_actividad],'Grafico %'!F$1)/500,NA())</f>
        <v>0.45600000000000002</v>
      </c>
      <c r="G45" s="70">
        <f ca="1">IF(TODAY()&gt;=$A45,SUMIFS(Tabla1[Avance_km],Tabla1[Fecha],"&lt;="&amp;'Grafico %'!$A45,Tabla1[nombre_actividad],'Grafico %'!G$1)/(200),NA())</f>
        <v>0</v>
      </c>
      <c r="H45" s="70"/>
    </row>
    <row r="46" spans="1:12" x14ac:dyDescent="0.25">
      <c r="A46" s="62">
        <f t="shared" si="0"/>
        <v>46007</v>
      </c>
      <c r="B46" s="33"/>
      <c r="C46" s="69">
        <f ca="1">IF(TODAY()&gt;=$A46,SUMIFS(Tabla1[Avance_km],Tabla1[Fecha],"&lt;="&amp;'Grafico %'!$A46,Tabla1[nombre_actividad],'Grafico %'!C$1)/(200),NA())</f>
        <v>0.42296500000000015</v>
      </c>
      <c r="D46" s="70">
        <f ca="1">IF(TODAY()&gt;=$A46,SUMIFS(Tabla1[Avance_km],Tabla1[Fecha],"&lt;="&amp;'Grafico %'!$A46,Tabla1[nombre_actividad],'Grafico %'!D$1)/(200),NA())</f>
        <v>0.26103999999999999</v>
      </c>
      <c r="E46" s="70">
        <f ca="1">IF(TODAY()&gt;=$A46,SUMIFS(Tabla1[Avance_km],Tabla1[Fecha],"&lt;="&amp;'Grafico %'!$A46,Tabla1[nombre_actividad],'Grafico %'!E$1,Tabla1[Avance_km],"&gt;0")/(200),NA())</f>
        <v>0.42296500000000026</v>
      </c>
      <c r="F46" s="68">
        <f ca="1">IF(TODAY()&gt;=$A46,SUMIFS(Tabla1[Avance_Med],Tabla1[Fecha],"&lt;="&amp;'Grafico %'!$A46,Tabla1[nombre_actividad],'Grafico %'!F$1)/500,NA())</f>
        <v>0.45600000000000002</v>
      </c>
      <c r="G46" s="70">
        <f ca="1">IF(TODAY()&gt;=$A46,SUMIFS(Tabla1[Avance_km],Tabla1[Fecha],"&lt;="&amp;'Grafico %'!$A46,Tabla1[nombre_actividad],'Grafico %'!G$1)/(200),NA())</f>
        <v>0</v>
      </c>
      <c r="H46" s="70"/>
      <c r="J46" s="61">
        <v>9</v>
      </c>
    </row>
    <row r="47" spans="1:12" x14ac:dyDescent="0.25">
      <c r="A47" s="62">
        <f t="shared" si="0"/>
        <v>46008</v>
      </c>
      <c r="B47" s="33"/>
      <c r="C47" s="69">
        <f ca="1">IF(TODAY()&gt;=$A47,SUMIFS(Tabla1[Avance_km],Tabla1[Fecha],"&lt;="&amp;'Grafico %'!$A47,Tabla1[nombre_actividad],'Grafico %'!C$1)/(200),NA())</f>
        <v>0.44102500000000011</v>
      </c>
      <c r="D47" s="70">
        <f ca="1">IF(TODAY()&gt;=$A47,SUMIFS(Tabla1[Avance_km],Tabla1[Fecha],"&lt;="&amp;'Grafico %'!$A47,Tabla1[nombre_actividad],'Grafico %'!D$1)/(200),NA())</f>
        <v>0.26286000000000004</v>
      </c>
      <c r="E47" s="70">
        <f ca="1">IF(TODAY()&gt;=$A47,SUMIFS(Tabla1[Avance_km],Tabla1[Fecha],"&lt;="&amp;'Grafico %'!$A47,Tabla1[nombre_actividad],'Grafico %'!E$1,Tabla1[Avance_km],"&gt;0")/(200),NA())</f>
        <v>0.42296500000000026</v>
      </c>
      <c r="F47" s="68">
        <f ca="1">IF(TODAY()&gt;=$A47,SUMIFS(Tabla1[Avance_Med],Tabla1[Fecha],"&lt;="&amp;'Grafico %'!$A47,Tabla1[nombre_actividad],'Grafico %'!F$1)/500,NA())</f>
        <v>0.45600000000000002</v>
      </c>
      <c r="G47" s="70">
        <f ca="1">IF(TODAY()&gt;=$A47,SUMIFS(Tabla1[Avance_km],Tabla1[Fecha],"&lt;="&amp;'Grafico %'!$A47,Tabla1[nombre_actividad],'Grafico %'!G$1)/(200),NA())</f>
        <v>0</v>
      </c>
      <c r="H47" s="70"/>
      <c r="J47" s="96">
        <f ca="1">+Grafico!L38</f>
        <v>396</v>
      </c>
    </row>
    <row r="48" spans="1:12" x14ac:dyDescent="0.25">
      <c r="A48" s="62">
        <f t="shared" si="0"/>
        <v>46009</v>
      </c>
      <c r="B48" s="33"/>
      <c r="C48" s="69">
        <f ca="1">IF(TODAY()&gt;=$A48,SUMIFS(Tabla1[Avance_km],Tabla1[Fecha],"&lt;="&amp;'Grafico %'!$A48,Tabla1[nombre_actividad],'Grafico %'!C$1)/(200),NA())</f>
        <v>0.46602500000000013</v>
      </c>
      <c r="D48" s="70">
        <f ca="1">IF(TODAY()&gt;=$A48,SUMIFS(Tabla1[Avance_km],Tabla1[Fecha],"&lt;="&amp;'Grafico %'!$A48,Tabla1[nombre_actividad],'Grafico %'!D$1)/(200),NA())</f>
        <v>0.26286000000000004</v>
      </c>
      <c r="E48" s="70">
        <f ca="1">IF(TODAY()&gt;=$A48,SUMIFS(Tabla1[Avance_km],Tabla1[Fecha],"&lt;="&amp;'Grafico %'!$A48,Tabla1[nombre_actividad],'Grafico %'!E$1,Tabla1[Avance_km],"&gt;0")/(200),NA())</f>
        <v>0.42296500000000026</v>
      </c>
      <c r="F48" s="68">
        <f ca="1">IF(TODAY()&gt;=$A48,SUMIFS(Tabla1[Avance_Med],Tabla1[Fecha],"&lt;="&amp;'Grafico %'!$A48,Tabla1[nombre_actividad],'Grafico %'!F$1)/500,NA())</f>
        <v>0.45600000000000002</v>
      </c>
      <c r="G48" s="70">
        <f ca="1">IF(TODAY()&gt;=$A48,SUMIFS(Tabla1[Avance_km],Tabla1[Fecha],"&lt;="&amp;'Grafico %'!$A48,Tabla1[nombre_actividad],'Grafico %'!G$1)/(200),NA())</f>
        <v>0</v>
      </c>
      <c r="H48" s="70"/>
    </row>
    <row r="49" spans="1:8" x14ac:dyDescent="0.25">
      <c r="A49" s="62">
        <f t="shared" si="0"/>
        <v>46010</v>
      </c>
      <c r="B49" s="33"/>
      <c r="C49" s="69">
        <f ca="1">IF(TODAY()&gt;=$A49,SUMIFS(Tabla1[Avance_km],Tabla1[Fecha],"&lt;="&amp;'Grafico %'!$A49,Tabla1[nombre_actividad],'Grafico %'!C$1)/(200),NA())</f>
        <v>0.46602500000000013</v>
      </c>
      <c r="D49" s="70">
        <f ca="1">IF(TODAY()&gt;=$A49,SUMIFS(Tabla1[Avance_km],Tabla1[Fecha],"&lt;="&amp;'Grafico %'!$A49,Tabla1[nombre_actividad],'Grafico %'!D$1)/(200),NA())</f>
        <v>0.29171999999999998</v>
      </c>
      <c r="E49" s="70">
        <f ca="1">IF(TODAY()&gt;=$A49,SUMIFS(Tabla1[Avance_km],Tabla1[Fecha],"&lt;="&amp;'Grafico %'!$A49,Tabla1[nombre_actividad],'Grafico %'!E$1,Tabla1[Avance_km],"&gt;0")/(200),NA())</f>
        <v>0.42296500000000026</v>
      </c>
      <c r="F49" s="68">
        <f ca="1">IF(TODAY()&gt;=$A49,SUMIFS(Tabla1[Avance_Med],Tabla1[Fecha],"&lt;="&amp;'Grafico %'!$A49,Tabla1[nombre_actividad],'Grafico %'!F$1)/500,NA())</f>
        <v>0.45600000000000002</v>
      </c>
      <c r="G49" s="70">
        <f ca="1">IF(TODAY()&gt;=$A49,SUMIFS(Tabla1[Avance_km],Tabla1[Fecha],"&lt;="&amp;'Grafico %'!$A49,Tabla1[nombre_actividad],'Grafico %'!G$1)/(200),NA())</f>
        <v>0</v>
      </c>
      <c r="H49" s="70"/>
    </row>
    <row r="50" spans="1:8" x14ac:dyDescent="0.25">
      <c r="A50" s="62">
        <f t="shared" si="0"/>
        <v>46011</v>
      </c>
      <c r="B50" s="33"/>
      <c r="C50" s="69">
        <f ca="1">IF(TODAY()&gt;=$A50,SUMIFS(Tabla1[Avance_km],Tabla1[Fecha],"&lt;="&amp;'Grafico %'!$A50,Tabla1[nombre_actividad],'Grafico %'!C$1)/(200),NA())</f>
        <v>0.46602500000000013</v>
      </c>
      <c r="D50" s="70">
        <f ca="1">IF(TODAY()&gt;=$A50,SUMIFS(Tabla1[Avance_km],Tabla1[Fecha],"&lt;="&amp;'Grafico %'!$A50,Tabla1[nombre_actividad],'Grafico %'!D$1)/(200),NA())</f>
        <v>0.30258000000000002</v>
      </c>
      <c r="E50" s="70">
        <f ca="1">IF(TODAY()&gt;=$A50,SUMIFS(Tabla1[Avance_km],Tabla1[Fecha],"&lt;="&amp;'Grafico %'!$A50,Tabla1[nombre_actividad],'Grafico %'!E$1,Tabla1[Avance_km],"&gt;0")/(200),NA())</f>
        <v>0.42296500000000026</v>
      </c>
      <c r="F50" s="68">
        <f ca="1">IF(TODAY()&gt;=$A50,SUMIFS(Tabla1[Avance_Med],Tabla1[Fecha],"&lt;="&amp;'Grafico %'!$A50,Tabla1[nombre_actividad],'Grafico %'!F$1)/500,NA())</f>
        <v>0.45600000000000002</v>
      </c>
      <c r="G50" s="70">
        <f ca="1">IF(TODAY()&gt;=$A50,SUMIFS(Tabla1[Avance_km],Tabla1[Fecha],"&lt;="&amp;'Grafico %'!$A50,Tabla1[nombre_actividad],'Grafico %'!G$1)/(200),NA())</f>
        <v>0</v>
      </c>
      <c r="H50" s="70"/>
    </row>
    <row r="51" spans="1:8" x14ac:dyDescent="0.25">
      <c r="A51" s="62">
        <f t="shared" si="0"/>
        <v>46012</v>
      </c>
      <c r="B51" s="33"/>
      <c r="C51" s="69">
        <f ca="1">IF(TODAY()&gt;=$A51,SUMIFS(Tabla1[Avance_km],Tabla1[Fecha],"&lt;="&amp;'Grafico %'!$A51,Tabla1[nombre_actividad],'Grafico %'!C$1)/(200),NA())</f>
        <v>0.46602500000000013</v>
      </c>
      <c r="D51" s="70">
        <f ca="1">IF(TODAY()&gt;=$A51,SUMIFS(Tabla1[Avance_km],Tabla1[Fecha],"&lt;="&amp;'Grafico %'!$A51,Tabla1[nombre_actividad],'Grafico %'!D$1)/(200),NA())</f>
        <v>0.30258000000000002</v>
      </c>
      <c r="E51" s="70">
        <f ca="1">IF(TODAY()&gt;=$A51,SUMIFS(Tabla1[Avance_km],Tabla1[Fecha],"&lt;="&amp;'Grafico %'!$A51,Tabla1[nombre_actividad],'Grafico %'!E$1,Tabla1[Avance_km],"&gt;0")/(200),NA())</f>
        <v>0.42296500000000026</v>
      </c>
      <c r="F51" s="68">
        <f ca="1">IF(TODAY()&gt;=$A51,SUMIFS(Tabla1[Avance_Med],Tabla1[Fecha],"&lt;="&amp;'Grafico %'!$A51,Tabla1[nombre_actividad],'Grafico %'!F$1)/500,NA())</f>
        <v>0.45600000000000002</v>
      </c>
      <c r="G51" s="70">
        <f ca="1">IF(TODAY()&gt;=$A51,SUMIFS(Tabla1[Avance_km],Tabla1[Fecha],"&lt;="&amp;'Grafico %'!$A51,Tabla1[nombre_actividad],'Grafico %'!G$1)/(200),NA())</f>
        <v>0</v>
      </c>
      <c r="H51" s="70"/>
    </row>
    <row r="52" spans="1:8" x14ac:dyDescent="0.25">
      <c r="A52" s="62">
        <f t="shared" si="0"/>
        <v>46013</v>
      </c>
      <c r="B52" s="33"/>
      <c r="C52" s="69">
        <f ca="1">IF(TODAY()&gt;=$A52,SUMIFS(Tabla1[Avance_km],Tabla1[Fecha],"&lt;="&amp;'Grafico %'!$A52,Tabla1[nombre_actividad],'Grafico %'!C$1)/(200),NA())</f>
        <v>0.46602500000000013</v>
      </c>
      <c r="D52" s="70">
        <f ca="1">IF(TODAY()&gt;=$A52,SUMIFS(Tabla1[Avance_km],Tabla1[Fecha],"&lt;="&amp;'Grafico %'!$A52,Tabla1[nombre_actividad],'Grafico %'!D$1)/(200),NA())</f>
        <v>0.31533</v>
      </c>
      <c r="E52" s="70">
        <f ca="1">IF(TODAY()&gt;=$A52,SUMIFS(Tabla1[Avance_km],Tabla1[Fecha],"&lt;="&amp;'Grafico %'!$A52,Tabla1[nombre_actividad],'Grafico %'!E$1,Tabla1[Avance_km],"&gt;0")/(200),NA())</f>
        <v>0.42296500000000026</v>
      </c>
      <c r="F52" s="68">
        <f ca="1">IF(TODAY()&gt;=$A52,SUMIFS(Tabla1[Avance_Med],Tabla1[Fecha],"&lt;="&amp;'Grafico %'!$A52,Tabla1[nombre_actividad],'Grafico %'!F$1)/500,NA())</f>
        <v>0.45600000000000002</v>
      </c>
      <c r="G52" s="70">
        <f ca="1">IF(TODAY()&gt;=$A52,SUMIFS(Tabla1[Avance_km],Tabla1[Fecha],"&lt;="&amp;'Grafico %'!$A52,Tabla1[nombre_actividad],'Grafico %'!G$1)/(200),NA())</f>
        <v>0</v>
      </c>
      <c r="H52" s="70"/>
    </row>
    <row r="53" spans="1:8" x14ac:dyDescent="0.25">
      <c r="A53" s="62">
        <f t="shared" si="0"/>
        <v>46014</v>
      </c>
      <c r="B53" s="33">
        <v>1</v>
      </c>
      <c r="C53" s="69">
        <f ca="1">IF(TODAY()&gt;=$A53,SUMIFS(Tabla1[Avance_km],Tabla1[Fecha],"&lt;="&amp;'Grafico %'!$A53,Tabla1[nombre_actividad],'Grafico %'!C$1)/(200),NA())</f>
        <v>0.46602500000000013</v>
      </c>
      <c r="D53" s="70">
        <f ca="1">IF(TODAY()&gt;=$A53,SUMIFS(Tabla1[Avance_km],Tabla1[Fecha],"&lt;="&amp;'Grafico %'!$A53,Tabla1[nombre_actividad],'Grafico %'!D$1)/(200),NA())</f>
        <v>0.31533</v>
      </c>
      <c r="E53" s="70">
        <f ca="1">IF(TODAY()&gt;=$A53,SUMIFS(Tabla1[Avance_km],Tabla1[Fecha],"&lt;="&amp;'Grafico %'!$A53,Tabla1[nombre_actividad],'Grafico %'!E$1,Tabla1[Avance_km],"&gt;0")/(200),NA())</f>
        <v>0.42296500000000026</v>
      </c>
      <c r="F53" s="68">
        <f ca="1">IF(TODAY()&gt;=$A53,SUMIFS(Tabla1[Avance_Med],Tabla1[Fecha],"&lt;="&amp;'Grafico %'!$A53,Tabla1[nombre_actividad],'Grafico %'!F$1)/500,NA())</f>
        <v>0.45600000000000002</v>
      </c>
      <c r="G53" s="70">
        <f ca="1">IF(TODAY()&gt;=$A53,SUMIFS(Tabla1[Avance_km],Tabla1[Fecha],"&lt;="&amp;'Grafico %'!$A53,Tabla1[nombre_actividad],'Grafico %'!G$1)/(200),NA())</f>
        <v>0</v>
      </c>
      <c r="H53" s="70"/>
    </row>
    <row r="54" spans="1:8" x14ac:dyDescent="0.25">
      <c r="A54" s="62">
        <f t="shared" si="0"/>
        <v>46015</v>
      </c>
      <c r="B54" s="33">
        <v>1</v>
      </c>
      <c r="C54" s="69">
        <f ca="1">IF(TODAY()&gt;=$A54,SUMIFS(Tabla1[Avance_km],Tabla1[Fecha],"&lt;="&amp;'Grafico %'!$A54,Tabla1[nombre_actividad],'Grafico %'!C$1)/(200),NA())</f>
        <v>0.46602500000000013</v>
      </c>
      <c r="D54" s="70">
        <f ca="1">IF(TODAY()&gt;=$A54,SUMIFS(Tabla1[Avance_km],Tabla1[Fecha],"&lt;="&amp;'Grafico %'!$A54,Tabla1[nombre_actividad],'Grafico %'!D$1)/(200),NA())</f>
        <v>0.31533</v>
      </c>
      <c r="E54" s="70">
        <f ca="1">IF(TODAY()&gt;=$A54,SUMIFS(Tabla1[Avance_km],Tabla1[Fecha],"&lt;="&amp;'Grafico %'!$A54,Tabla1[nombre_actividad],'Grafico %'!E$1,Tabla1[Avance_km],"&gt;0")/(200),NA())</f>
        <v>0.42296500000000026</v>
      </c>
      <c r="F54" s="68">
        <f ca="1">IF(TODAY()&gt;=$A54,SUMIFS(Tabla1[Avance_Med],Tabla1[Fecha],"&lt;="&amp;'Grafico %'!$A54,Tabla1[nombre_actividad],'Grafico %'!F$1)/500,NA())</f>
        <v>0.45600000000000002</v>
      </c>
      <c r="G54" s="70">
        <f ca="1">IF(TODAY()&gt;=$A54,SUMIFS(Tabla1[Avance_km],Tabla1[Fecha],"&lt;="&amp;'Grafico %'!$A54,Tabla1[nombre_actividad],'Grafico %'!G$1)/(200),NA())</f>
        <v>0</v>
      </c>
      <c r="H54" s="70"/>
    </row>
    <row r="55" spans="1:8" x14ac:dyDescent="0.25">
      <c r="A55" s="62">
        <f t="shared" si="0"/>
        <v>46016</v>
      </c>
      <c r="B55" s="33">
        <v>1</v>
      </c>
      <c r="C55" s="69">
        <f ca="1">IF(TODAY()&gt;=$A55,SUMIFS(Tabla1[Avance_km],Tabla1[Fecha],"&lt;="&amp;'Grafico %'!$A55,Tabla1[nombre_actividad],'Grafico %'!C$1)/(200),NA())</f>
        <v>0.46602500000000013</v>
      </c>
      <c r="D55" s="70">
        <f ca="1">IF(TODAY()&gt;=$A55,SUMIFS(Tabla1[Avance_km],Tabla1[Fecha],"&lt;="&amp;'Grafico %'!$A55,Tabla1[nombre_actividad],'Grafico %'!D$1)/(200),NA())</f>
        <v>0.31533</v>
      </c>
      <c r="E55" s="70">
        <f ca="1">IF(TODAY()&gt;=$A55,SUMIFS(Tabla1[Avance_km],Tabla1[Fecha],"&lt;="&amp;'Grafico %'!$A55,Tabla1[nombre_actividad],'Grafico %'!E$1,Tabla1[Avance_km],"&gt;0")/(200),NA())</f>
        <v>0.42296500000000026</v>
      </c>
      <c r="F55" s="68">
        <f ca="1">IF(TODAY()&gt;=$A55,SUMIFS(Tabla1[Avance_Med],Tabla1[Fecha],"&lt;="&amp;'Grafico %'!$A55,Tabla1[nombre_actividad],'Grafico %'!F$1)/500,NA())</f>
        <v>0.45600000000000002</v>
      </c>
      <c r="G55" s="70">
        <f ca="1">IF(TODAY()&gt;=$A55,SUMIFS(Tabla1[Avance_km],Tabla1[Fecha],"&lt;="&amp;'Grafico %'!$A55,Tabla1[nombre_actividad],'Grafico %'!G$1)/(200),NA())</f>
        <v>0</v>
      </c>
      <c r="H55" s="70"/>
    </row>
    <row r="56" spans="1:8" x14ac:dyDescent="0.25">
      <c r="A56" s="62">
        <f t="shared" si="0"/>
        <v>46017</v>
      </c>
      <c r="B56" s="33">
        <v>1</v>
      </c>
      <c r="C56" s="69">
        <f ca="1">IF(TODAY()&gt;=$A56,SUMIFS(Tabla1[Avance_km],Tabla1[Fecha],"&lt;="&amp;'Grafico %'!$A56,Tabla1[nombre_actividad],'Grafico %'!C$1)/(200),NA())</f>
        <v>0.46602500000000013</v>
      </c>
      <c r="D56" s="70">
        <f ca="1">IF(TODAY()&gt;=$A56,SUMIFS(Tabla1[Avance_km],Tabla1[Fecha],"&lt;="&amp;'Grafico %'!$A56,Tabla1[nombre_actividad],'Grafico %'!D$1)/(200),NA())</f>
        <v>0.31533</v>
      </c>
      <c r="E56" s="70">
        <f ca="1">IF(TODAY()&gt;=$A56,SUMIFS(Tabla1[Avance_km],Tabla1[Fecha],"&lt;="&amp;'Grafico %'!$A56,Tabla1[nombre_actividad],'Grafico %'!E$1,Tabla1[Avance_km],"&gt;0")/(200),NA())</f>
        <v>0.42296500000000026</v>
      </c>
      <c r="F56" s="68">
        <f ca="1">IF(TODAY()&gt;=$A56,SUMIFS(Tabla1[Avance_Med],Tabla1[Fecha],"&lt;="&amp;'Grafico %'!$A56,Tabla1[nombre_actividad],'Grafico %'!F$1)/500,NA())</f>
        <v>0.45600000000000002</v>
      </c>
      <c r="G56" s="70">
        <f ca="1">IF(TODAY()&gt;=$A56,SUMIFS(Tabla1[Avance_km],Tabla1[Fecha],"&lt;="&amp;'Grafico %'!$A56,Tabla1[nombre_actividad],'Grafico %'!G$1)/(200),NA())</f>
        <v>0</v>
      </c>
      <c r="H56" s="70"/>
    </row>
    <row r="57" spans="1:8" x14ac:dyDescent="0.25">
      <c r="A57" s="62">
        <f t="shared" si="0"/>
        <v>46018</v>
      </c>
      <c r="B57" s="33">
        <v>1</v>
      </c>
      <c r="C57" s="69">
        <f ca="1">IF(TODAY()&gt;=$A57,SUMIFS(Tabla1[Avance_km],Tabla1[Fecha],"&lt;="&amp;'Grafico %'!$A57,Tabla1[nombre_actividad],'Grafico %'!C$1)/(200),NA())</f>
        <v>0.46602500000000013</v>
      </c>
      <c r="D57" s="70">
        <f ca="1">IF(TODAY()&gt;=$A57,SUMIFS(Tabla1[Avance_km],Tabla1[Fecha],"&lt;="&amp;'Grafico %'!$A57,Tabla1[nombre_actividad],'Grafico %'!D$1)/(200),NA())</f>
        <v>0.31533</v>
      </c>
      <c r="E57" s="70">
        <f ca="1">IF(TODAY()&gt;=$A57,SUMIFS(Tabla1[Avance_km],Tabla1[Fecha],"&lt;="&amp;'Grafico %'!$A57,Tabla1[nombre_actividad],'Grafico %'!E$1,Tabla1[Avance_km],"&gt;0")/(200),NA())</f>
        <v>0.42296500000000026</v>
      </c>
      <c r="F57" s="68">
        <f ca="1">IF(TODAY()&gt;=$A57,SUMIFS(Tabla1[Avance_Med],Tabla1[Fecha],"&lt;="&amp;'Grafico %'!$A57,Tabla1[nombre_actividad],'Grafico %'!F$1)/500,NA())</f>
        <v>0.45600000000000002</v>
      </c>
      <c r="G57" s="70">
        <f ca="1">IF(TODAY()&gt;=$A57,SUMIFS(Tabla1[Avance_km],Tabla1[Fecha],"&lt;="&amp;'Grafico %'!$A57,Tabla1[nombre_actividad],'Grafico %'!G$1)/(200),NA())</f>
        <v>0</v>
      </c>
      <c r="H57" s="70"/>
    </row>
    <row r="58" spans="1:8" x14ac:dyDescent="0.25">
      <c r="A58" s="62">
        <f t="shared" si="0"/>
        <v>46019</v>
      </c>
      <c r="B58" s="33">
        <v>1</v>
      </c>
      <c r="C58" s="69">
        <f ca="1">IF(TODAY()&gt;=$A58,SUMIFS(Tabla1[Avance_km],Tabla1[Fecha],"&lt;="&amp;'Grafico %'!$A58,Tabla1[nombre_actividad],'Grafico %'!C$1)/(200),NA())</f>
        <v>0.46602500000000013</v>
      </c>
      <c r="D58" s="70">
        <f ca="1">IF(TODAY()&gt;=$A58,SUMIFS(Tabla1[Avance_km],Tabla1[Fecha],"&lt;="&amp;'Grafico %'!$A58,Tabla1[nombre_actividad],'Grafico %'!D$1)/(200),NA())</f>
        <v>0.31533</v>
      </c>
      <c r="E58" s="70">
        <f ca="1">IF(TODAY()&gt;=$A58,SUMIFS(Tabla1[Avance_km],Tabla1[Fecha],"&lt;="&amp;'Grafico %'!$A58,Tabla1[nombre_actividad],'Grafico %'!E$1,Tabla1[Avance_km],"&gt;0")/(200),NA())</f>
        <v>0.42296500000000026</v>
      </c>
      <c r="F58" s="68">
        <f ca="1">IF(TODAY()&gt;=$A58,SUMIFS(Tabla1[Avance_Med],Tabla1[Fecha],"&lt;="&amp;'Grafico %'!$A58,Tabla1[nombre_actividad],'Grafico %'!F$1)/500,NA())</f>
        <v>0.45600000000000002</v>
      </c>
      <c r="G58" s="70">
        <f ca="1">IF(TODAY()&gt;=$A58,SUMIFS(Tabla1[Avance_km],Tabla1[Fecha],"&lt;="&amp;'Grafico %'!$A58,Tabla1[nombre_actividad],'Grafico %'!G$1)/(200),NA())</f>
        <v>0</v>
      </c>
      <c r="H58" s="70"/>
    </row>
    <row r="59" spans="1:8" x14ac:dyDescent="0.25">
      <c r="A59" s="62">
        <f t="shared" si="0"/>
        <v>46020</v>
      </c>
      <c r="B59" s="33">
        <v>1</v>
      </c>
      <c r="C59" s="69">
        <f ca="1">IF(TODAY()&gt;=$A59,SUMIFS(Tabla1[Avance_km],Tabla1[Fecha],"&lt;="&amp;'Grafico %'!$A59,Tabla1[nombre_actividad],'Grafico %'!C$1)/(200),NA())</f>
        <v>0.46602500000000013</v>
      </c>
      <c r="D59" s="70">
        <f ca="1">IF(TODAY()&gt;=$A59,SUMIFS(Tabla1[Avance_km],Tabla1[Fecha],"&lt;="&amp;'Grafico %'!$A59,Tabla1[nombre_actividad],'Grafico %'!D$1)/(200),NA())</f>
        <v>0.31533</v>
      </c>
      <c r="E59" s="70">
        <f ca="1">IF(TODAY()&gt;=$A59,SUMIFS(Tabla1[Avance_km],Tabla1[Fecha],"&lt;="&amp;'Grafico %'!$A59,Tabla1[nombre_actividad],'Grafico %'!E$1,Tabla1[Avance_km],"&gt;0")/(200),NA())</f>
        <v>0.42296500000000026</v>
      </c>
      <c r="F59" s="68">
        <f ca="1">IF(TODAY()&gt;=$A59,SUMIFS(Tabla1[Avance_Med],Tabla1[Fecha],"&lt;="&amp;'Grafico %'!$A59,Tabla1[nombre_actividad],'Grafico %'!F$1)/500,NA())</f>
        <v>0.45600000000000002</v>
      </c>
      <c r="G59" s="70">
        <f ca="1">IF(TODAY()&gt;=$A59,SUMIFS(Tabla1[Avance_km],Tabla1[Fecha],"&lt;="&amp;'Grafico %'!$A59,Tabla1[nombre_actividad],'Grafico %'!G$1)/(200),NA())</f>
        <v>0</v>
      </c>
      <c r="H59" s="70"/>
    </row>
    <row r="60" spans="1:8" x14ac:dyDescent="0.25">
      <c r="A60" s="62">
        <f t="shared" si="0"/>
        <v>46021</v>
      </c>
      <c r="B60" s="33">
        <v>1</v>
      </c>
      <c r="C60" s="69">
        <f ca="1">IF(TODAY()&gt;=$A60,SUMIFS(Tabla1[Avance_km],Tabla1[Fecha],"&lt;="&amp;'Grafico %'!$A60,Tabla1[nombre_actividad],'Grafico %'!C$1)/(200),NA())</f>
        <v>0.46602500000000013</v>
      </c>
      <c r="D60" s="70">
        <f ca="1">IF(TODAY()&gt;=$A60,SUMIFS(Tabla1[Avance_km],Tabla1[Fecha],"&lt;="&amp;'Grafico %'!$A60,Tabla1[nombre_actividad],'Grafico %'!D$1)/(200),NA())</f>
        <v>0.31533</v>
      </c>
      <c r="E60" s="70">
        <f ca="1">IF(TODAY()&gt;=$A60,SUMIFS(Tabla1[Avance_km],Tabla1[Fecha],"&lt;="&amp;'Grafico %'!$A60,Tabla1[nombre_actividad],'Grafico %'!E$1,Tabla1[Avance_km],"&gt;0")/(200),NA())</f>
        <v>0.42296500000000026</v>
      </c>
      <c r="F60" s="68">
        <f ca="1">IF(TODAY()&gt;=$A60,SUMIFS(Tabla1[Avance_Med],Tabla1[Fecha],"&lt;="&amp;'Grafico %'!$A60,Tabla1[nombre_actividad],'Grafico %'!F$1)/500,NA())</f>
        <v>0.45600000000000002</v>
      </c>
      <c r="G60" s="70">
        <f ca="1">IF(TODAY()&gt;=$A60,SUMIFS(Tabla1[Avance_km],Tabla1[Fecha],"&lt;="&amp;'Grafico %'!$A60,Tabla1[nombre_actividad],'Grafico %'!G$1)/(200),NA())</f>
        <v>0</v>
      </c>
      <c r="H60" s="70"/>
    </row>
    <row r="61" spans="1:8" x14ac:dyDescent="0.25">
      <c r="A61" s="62">
        <f t="shared" si="0"/>
        <v>46022</v>
      </c>
      <c r="B61" s="33">
        <v>1</v>
      </c>
      <c r="C61" s="69">
        <f ca="1">IF(TODAY()&gt;=$A61,SUMIFS(Tabla1[Avance_km],Tabla1[Fecha],"&lt;="&amp;'Grafico %'!$A61,Tabla1[nombre_actividad],'Grafico %'!C$1)/(200),NA())</f>
        <v>0.46602500000000013</v>
      </c>
      <c r="D61" s="70">
        <f ca="1">IF(TODAY()&gt;=$A61,SUMIFS(Tabla1[Avance_km],Tabla1[Fecha],"&lt;="&amp;'Grafico %'!$A61,Tabla1[nombre_actividad],'Grafico %'!D$1)/(200),NA())</f>
        <v>0.31533</v>
      </c>
      <c r="E61" s="70">
        <f ca="1">IF(TODAY()&gt;=$A61,SUMIFS(Tabla1[Avance_km],Tabla1[Fecha],"&lt;="&amp;'Grafico %'!$A61,Tabla1[nombre_actividad],'Grafico %'!E$1,Tabla1[Avance_km],"&gt;0")/(200),NA())</f>
        <v>0.42296500000000026</v>
      </c>
      <c r="F61" s="68">
        <f ca="1">IF(TODAY()&gt;=$A61,SUMIFS(Tabla1[Avance_Med],Tabla1[Fecha],"&lt;="&amp;'Grafico %'!$A61,Tabla1[nombre_actividad],'Grafico %'!F$1)/500,NA())</f>
        <v>0.45600000000000002</v>
      </c>
      <c r="G61" s="70">
        <f ca="1">IF(TODAY()&gt;=$A61,SUMIFS(Tabla1[Avance_km],Tabla1[Fecha],"&lt;="&amp;'Grafico %'!$A61,Tabla1[nombre_actividad],'Grafico %'!G$1)/(200),NA())</f>
        <v>0</v>
      </c>
      <c r="H61" s="70"/>
    </row>
    <row r="62" spans="1:8" x14ac:dyDescent="0.25">
      <c r="A62" s="62">
        <f t="shared" si="0"/>
        <v>46023</v>
      </c>
      <c r="B62" s="33">
        <v>1</v>
      </c>
      <c r="C62" s="69">
        <f ca="1">IF(TODAY()&gt;=$A62,SUMIFS(Tabla1[Avance_km],Tabla1[Fecha],"&lt;="&amp;'Grafico %'!$A62,Tabla1[nombre_actividad],'Grafico %'!C$1)/(200),NA())</f>
        <v>0.46602500000000013</v>
      </c>
      <c r="D62" s="70">
        <f ca="1">IF(TODAY()&gt;=$A62,SUMIFS(Tabla1[Avance_km],Tabla1[Fecha],"&lt;="&amp;'Grafico %'!$A62,Tabla1[nombre_actividad],'Grafico %'!D$1)/(200),NA())</f>
        <v>0.31533</v>
      </c>
      <c r="E62" s="70">
        <f ca="1">IF(TODAY()&gt;=$A62,SUMIFS(Tabla1[Avance_km],Tabla1[Fecha],"&lt;="&amp;'Grafico %'!$A62,Tabla1[nombre_actividad],'Grafico %'!E$1,Tabla1[Avance_km],"&gt;0")/(200),NA())</f>
        <v>0.42296500000000026</v>
      </c>
      <c r="F62" s="68">
        <f ca="1">IF(TODAY()&gt;=$A62,SUMIFS(Tabla1[Avance_Med],Tabla1[Fecha],"&lt;="&amp;'Grafico %'!$A62,Tabla1[nombre_actividad],'Grafico %'!F$1)/500,NA())</f>
        <v>0.45600000000000002</v>
      </c>
      <c r="G62" s="70">
        <f ca="1">IF(TODAY()&gt;=$A62,SUMIFS(Tabla1[Avance_km],Tabla1[Fecha],"&lt;="&amp;'Grafico %'!$A62,Tabla1[nombre_actividad],'Grafico %'!G$1)/(200),NA())</f>
        <v>0</v>
      </c>
      <c r="H62" s="70"/>
    </row>
    <row r="63" spans="1:8" x14ac:dyDescent="0.25">
      <c r="A63" s="62">
        <f t="shared" si="0"/>
        <v>46024</v>
      </c>
      <c r="B63" s="33">
        <v>1</v>
      </c>
      <c r="C63" s="69">
        <f ca="1">IF(TODAY()&gt;=$A63,SUMIFS(Tabla1[Avance_km],Tabla1[Fecha],"&lt;="&amp;'Grafico %'!$A63,Tabla1[nombre_actividad],'Grafico %'!C$1)/(200),NA())</f>
        <v>0.46602500000000013</v>
      </c>
      <c r="D63" s="70">
        <f ca="1">IF(TODAY()&gt;=$A63,SUMIFS(Tabla1[Avance_km],Tabla1[Fecha],"&lt;="&amp;'Grafico %'!$A63,Tabla1[nombre_actividad],'Grafico %'!D$1)/(200),NA())</f>
        <v>0.31533</v>
      </c>
      <c r="E63" s="70">
        <f ca="1">IF(TODAY()&gt;=$A63,SUMIFS(Tabla1[Avance_km],Tabla1[Fecha],"&lt;="&amp;'Grafico %'!$A63,Tabla1[nombre_actividad],'Grafico %'!E$1,Tabla1[Avance_km],"&gt;0")/(200),NA())</f>
        <v>0.42296500000000026</v>
      </c>
      <c r="F63" s="68">
        <f ca="1">IF(TODAY()&gt;=$A63,SUMIFS(Tabla1[Avance_Med],Tabla1[Fecha],"&lt;="&amp;'Grafico %'!$A63,Tabla1[nombre_actividad],'Grafico %'!F$1)/500,NA())</f>
        <v>0.45600000000000002</v>
      </c>
      <c r="G63" s="70">
        <f ca="1">IF(TODAY()&gt;=$A63,SUMIFS(Tabla1[Avance_km],Tabla1[Fecha],"&lt;="&amp;'Grafico %'!$A63,Tabla1[nombre_actividad],'Grafico %'!G$1)/(200),NA())</f>
        <v>0</v>
      </c>
      <c r="H63" s="70"/>
    </row>
    <row r="64" spans="1:8" x14ac:dyDescent="0.25">
      <c r="A64" s="62">
        <f t="shared" si="0"/>
        <v>46025</v>
      </c>
      <c r="B64" s="33">
        <v>1</v>
      </c>
      <c r="C64" s="69">
        <f ca="1">IF(TODAY()&gt;=$A64,SUMIFS(Tabla1[Avance_km],Tabla1[Fecha],"&lt;="&amp;'Grafico %'!$A64,Tabla1[nombre_actividad],'Grafico %'!C$1)/(200),NA())</f>
        <v>0.46602500000000013</v>
      </c>
      <c r="D64" s="70">
        <f ca="1">IF(TODAY()&gt;=$A64,SUMIFS(Tabla1[Avance_km],Tabla1[Fecha],"&lt;="&amp;'Grafico %'!$A64,Tabla1[nombre_actividad],'Grafico %'!D$1)/(200),NA())</f>
        <v>0.31533</v>
      </c>
      <c r="E64" s="70">
        <f ca="1">IF(TODAY()&gt;=$A64,SUMIFS(Tabla1[Avance_km],Tabla1[Fecha],"&lt;="&amp;'Grafico %'!$A64,Tabla1[nombre_actividad],'Grafico %'!E$1,Tabla1[Avance_km],"&gt;0")/(200),NA())</f>
        <v>0.42296500000000026</v>
      </c>
      <c r="F64" s="68">
        <f ca="1">IF(TODAY()&gt;=$A64,SUMIFS(Tabla1[Avance_Med],Tabla1[Fecha],"&lt;="&amp;'Grafico %'!$A64,Tabla1[nombre_actividad],'Grafico %'!F$1)/500,NA())</f>
        <v>0.45600000000000002</v>
      </c>
      <c r="G64" s="70">
        <f ca="1">IF(TODAY()&gt;=$A64,SUMIFS(Tabla1[Avance_km],Tabla1[Fecha],"&lt;="&amp;'Grafico %'!$A64,Tabla1[nombre_actividad],'Grafico %'!G$1)/(200),NA())</f>
        <v>0</v>
      </c>
      <c r="H64" s="70"/>
    </row>
    <row r="65" spans="1:8" x14ac:dyDescent="0.25">
      <c r="A65" s="62">
        <f t="shared" si="0"/>
        <v>46026</v>
      </c>
      <c r="B65" s="33">
        <v>1</v>
      </c>
      <c r="C65" s="69">
        <f ca="1">IF(TODAY()&gt;=$A65,SUMIFS(Tabla1[Avance_km],Tabla1[Fecha],"&lt;="&amp;'Grafico %'!$A65,Tabla1[nombre_actividad],'Grafico %'!C$1)/(200),NA())</f>
        <v>0.46602500000000013</v>
      </c>
      <c r="D65" s="70">
        <f ca="1">IF(TODAY()&gt;=$A65,SUMIFS(Tabla1[Avance_km],Tabla1[Fecha],"&lt;="&amp;'Grafico %'!$A65,Tabla1[nombre_actividad],'Grafico %'!D$1)/(200),NA())</f>
        <v>0.31533</v>
      </c>
      <c r="E65" s="70">
        <f ca="1">IF(TODAY()&gt;=$A65,SUMIFS(Tabla1[Avance_km],Tabla1[Fecha],"&lt;="&amp;'Grafico %'!$A65,Tabla1[nombre_actividad],'Grafico %'!E$1,Tabla1[Avance_km],"&gt;0")/(200),NA())</f>
        <v>0.42296500000000026</v>
      </c>
      <c r="F65" s="68">
        <f ca="1">IF(TODAY()&gt;=$A65,SUMIFS(Tabla1[Avance_Med],Tabla1[Fecha],"&lt;="&amp;'Grafico %'!$A65,Tabla1[nombre_actividad],'Grafico %'!F$1)/500,NA())</f>
        <v>0.45600000000000002</v>
      </c>
      <c r="G65" s="70">
        <f ca="1">IF(TODAY()&gt;=$A65,SUMIFS(Tabla1[Avance_km],Tabla1[Fecha],"&lt;="&amp;'Grafico %'!$A65,Tabla1[nombre_actividad],'Grafico %'!G$1)/(200),NA())</f>
        <v>0</v>
      </c>
      <c r="H65" s="70"/>
    </row>
    <row r="66" spans="1:8" x14ac:dyDescent="0.25">
      <c r="A66" s="62">
        <f t="shared" si="0"/>
        <v>46027</v>
      </c>
      <c r="B66" s="33">
        <v>1</v>
      </c>
      <c r="C66" s="69">
        <f ca="1">IF(TODAY()&gt;=$A66,SUMIFS(Tabla1[Avance_km],Tabla1[Fecha],"&lt;="&amp;'Grafico %'!$A66,Tabla1[nombre_actividad],'Grafico %'!C$1)/(200),NA())</f>
        <v>0.47677500000000017</v>
      </c>
      <c r="D66" s="70">
        <f ca="1">IF(TODAY()&gt;=$A66,SUMIFS(Tabla1[Avance_km],Tabla1[Fecha],"&lt;="&amp;'Grafico %'!$A66,Tabla1[nombre_actividad],'Grafico %'!D$1)/(200),NA())</f>
        <v>0.31752999999999998</v>
      </c>
      <c r="E66" s="70">
        <f ca="1">IF(TODAY()&gt;=$A66,SUMIFS(Tabla1[Avance_km],Tabla1[Fecha],"&lt;="&amp;'Grafico %'!$A66,Tabla1[nombre_actividad],'Grafico %'!E$1,Tabla1[Avance_km],"&gt;0")/(200),NA())</f>
        <v>0.42296500000000026</v>
      </c>
      <c r="F66" s="68">
        <f ca="1">IF(TODAY()&gt;=$A66,SUMIFS(Tabla1[Avance_Med],Tabla1[Fecha],"&lt;="&amp;'Grafico %'!$A66,Tabla1[nombre_actividad],'Grafico %'!F$1)/500,NA())</f>
        <v>0.45600000000000002</v>
      </c>
      <c r="G66" s="70">
        <f ca="1">IF(TODAY()&gt;=$A66,SUMIFS(Tabla1[Avance_km],Tabla1[Fecha],"&lt;="&amp;'Grafico %'!$A66,Tabla1[nombre_actividad],'Grafico %'!G$1)/(200),NA())</f>
        <v>0</v>
      </c>
      <c r="H66" s="70"/>
    </row>
    <row r="67" spans="1:8" x14ac:dyDescent="0.25">
      <c r="A67" s="62">
        <f t="shared" si="0"/>
        <v>46028</v>
      </c>
      <c r="B67" s="33"/>
      <c r="C67" s="69">
        <f ca="1">IF(TODAY()&gt;=$A67,SUMIFS(Tabla1[Avance_km],Tabla1[Fecha],"&lt;="&amp;'Grafico %'!$A67,Tabla1[nombre_actividad],'Grafico %'!C$1)/(200),NA())</f>
        <v>0.49769500000000017</v>
      </c>
      <c r="D67" s="70">
        <f ca="1">IF(TODAY()&gt;=$A67,SUMIFS(Tabla1[Avance_km],Tabla1[Fecha],"&lt;="&amp;'Grafico %'!$A67,Tabla1[nombre_actividad],'Grafico %'!D$1)/(200),NA())</f>
        <v>0.34140999999999999</v>
      </c>
      <c r="E67" s="70">
        <f ca="1">IF(TODAY()&gt;=$A67,SUMIFS(Tabla1[Avance_km],Tabla1[Fecha],"&lt;="&amp;'Grafico %'!$A67,Tabla1[nombre_actividad],'Grafico %'!E$1,Tabla1[Avance_km],"&gt;0")/(200),NA())</f>
        <v>0.42296500000000026</v>
      </c>
      <c r="F67" s="68">
        <f ca="1">IF(TODAY()&gt;=$A67,SUMIFS(Tabla1[Avance_Med],Tabla1[Fecha],"&lt;="&amp;'Grafico %'!$A67,Tabla1[nombre_actividad],'Grafico %'!F$1)/500,NA())</f>
        <v>0.45600000000000002</v>
      </c>
      <c r="G67" s="70">
        <f ca="1">IF(TODAY()&gt;=$A67,SUMIFS(Tabla1[Avance_km],Tabla1[Fecha],"&lt;="&amp;'Grafico %'!$A67,Tabla1[nombre_actividad],'Grafico %'!G$1)/(200),NA())</f>
        <v>0</v>
      </c>
      <c r="H67" s="70"/>
    </row>
    <row r="68" spans="1:8" x14ac:dyDescent="0.25">
      <c r="A68" s="62">
        <f t="shared" ref="A68:A131" si="1">+A67+1</f>
        <v>46029</v>
      </c>
      <c r="B68" s="33"/>
      <c r="C68" s="69">
        <f ca="1">IF(TODAY()&gt;=$A68,SUMIFS(Tabla1[Avance_km],Tabla1[Fecha],"&lt;="&amp;'Grafico %'!$A68,Tabla1[nombre_actividad],'Grafico %'!C$1)/(200),NA())</f>
        <v>0.49769500000000017</v>
      </c>
      <c r="D68" s="70">
        <f ca="1">IF(TODAY()&gt;=$A68,SUMIFS(Tabla1[Avance_km],Tabla1[Fecha],"&lt;="&amp;'Grafico %'!$A68,Tabla1[nombre_actividad],'Grafico %'!D$1)/(200),NA())</f>
        <v>0.34140999999999999</v>
      </c>
      <c r="E68" s="70">
        <f ca="1">IF(TODAY()&gt;=$A68,SUMIFS(Tabla1[Avance_km],Tabla1[Fecha],"&lt;="&amp;'Grafico %'!$A68,Tabla1[nombre_actividad],'Grafico %'!E$1,Tabla1[Avance_km],"&gt;0")/(200),NA())</f>
        <v>0.47096500000000019</v>
      </c>
      <c r="F68" s="68">
        <f ca="1">IF(TODAY()&gt;=$A68,SUMIFS(Tabla1[Avance_Med],Tabla1[Fecha],"&lt;="&amp;'Grafico %'!$A68,Tabla1[nombre_actividad],'Grafico %'!F$1)/500,NA())</f>
        <v>0.46600000000000003</v>
      </c>
      <c r="G68" s="70">
        <f ca="1">IF(TODAY()&gt;=$A68,SUMIFS(Tabla1[Avance_km],Tabla1[Fecha],"&lt;="&amp;'Grafico %'!$A68,Tabla1[nombre_actividad],'Grafico %'!G$1)/(200),NA())</f>
        <v>0</v>
      </c>
      <c r="H68" s="70"/>
    </row>
    <row r="69" spans="1:8" x14ac:dyDescent="0.25">
      <c r="A69" s="62">
        <f t="shared" si="1"/>
        <v>46030</v>
      </c>
      <c r="B69" s="33"/>
      <c r="C69" s="69">
        <f ca="1">IF(TODAY()&gt;=$A69,SUMIFS(Tabla1[Avance_km],Tabla1[Fecha],"&lt;="&amp;'Grafico %'!$A69,Tabla1[nombre_actividad],'Grafico %'!C$1)/(200),NA())</f>
        <v>0.49769500000000017</v>
      </c>
      <c r="D69" s="70">
        <f ca="1">IF(TODAY()&gt;=$A69,SUMIFS(Tabla1[Avance_km],Tabla1[Fecha],"&lt;="&amp;'Grafico %'!$A69,Tabla1[nombre_actividad],'Grafico %'!D$1)/(200),NA())</f>
        <v>0.34140999999999999</v>
      </c>
      <c r="E69" s="70">
        <f ca="1">IF(TODAY()&gt;=$A69,SUMIFS(Tabla1[Avance_km],Tabla1[Fecha],"&lt;="&amp;'Grafico %'!$A69,Tabla1[nombre_actividad],'Grafico %'!E$1,Tabla1[Avance_km],"&gt;0")/(200),NA())</f>
        <v>0.49763500000000022</v>
      </c>
      <c r="F69" s="68">
        <f ca="1">IF(TODAY()&gt;=$A69,SUMIFS(Tabla1[Avance_Med],Tabla1[Fecha],"&lt;="&amp;'Grafico %'!$A69,Tabla1[nombre_actividad],'Grafico %'!F$1)/500,NA())</f>
        <v>0.48399999999999999</v>
      </c>
      <c r="G69" s="70">
        <f ca="1">IF(TODAY()&gt;=$A69,SUMIFS(Tabla1[Avance_km],Tabla1[Fecha],"&lt;="&amp;'Grafico %'!$A69,Tabla1[nombre_actividad],'Grafico %'!G$1)/(200),NA())</f>
        <v>0</v>
      </c>
      <c r="H69" s="70"/>
    </row>
    <row r="70" spans="1:8" x14ac:dyDescent="0.25">
      <c r="A70" s="62">
        <f t="shared" si="1"/>
        <v>46031</v>
      </c>
      <c r="B70" s="33"/>
      <c r="C70" s="69">
        <f ca="1">IF(TODAY()&gt;=$A70,SUMIFS(Tabla1[Avance_km],Tabla1[Fecha],"&lt;="&amp;'Grafico %'!$A70,Tabla1[nombre_actividad],'Grafico %'!C$1)/(200),NA())</f>
        <v>0.49913000000000018</v>
      </c>
      <c r="D70" s="70">
        <f ca="1">IF(TODAY()&gt;=$A70,SUMIFS(Tabla1[Avance_km],Tabla1[Fecha],"&lt;="&amp;'Grafico %'!$A70,Tabla1[nombre_actividad],'Grafico %'!D$1)/(200),NA())</f>
        <v>0.351215</v>
      </c>
      <c r="E70" s="70">
        <f ca="1">IF(TODAY()&gt;=$A70,SUMIFS(Tabla1[Avance_km],Tabla1[Fecha],"&lt;="&amp;'Grafico %'!$A70,Tabla1[nombre_actividad],'Grafico %'!E$1,Tabla1[Avance_km],"&gt;0")/(200),NA())</f>
        <v>0.49763500000000022</v>
      </c>
      <c r="F70" s="68">
        <f ca="1">IF(TODAY()&gt;=$A70,SUMIFS(Tabla1[Avance_Med],Tabla1[Fecha],"&lt;="&amp;'Grafico %'!$A70,Tabla1[nombre_actividad],'Grafico %'!F$1)/500,NA())</f>
        <v>0.5</v>
      </c>
      <c r="G70" s="70">
        <f ca="1">IF(TODAY()&gt;=$A70,SUMIFS(Tabla1[Avance_km],Tabla1[Fecha],"&lt;="&amp;'Grafico %'!$A70,Tabla1[nombre_actividad],'Grafico %'!G$1)/(200),NA())</f>
        <v>0</v>
      </c>
      <c r="H70" s="70"/>
    </row>
    <row r="71" spans="1:8" x14ac:dyDescent="0.25">
      <c r="A71" s="62">
        <f t="shared" si="1"/>
        <v>46032</v>
      </c>
      <c r="B71" s="33"/>
      <c r="C71" s="69">
        <f ca="1">IF(TODAY()&gt;=$A71,SUMIFS(Tabla1[Avance_km],Tabla1[Fecha],"&lt;="&amp;'Grafico %'!$A71,Tabla1[nombre_actividad],'Grafico %'!C$1)/(200),NA())</f>
        <v>0.49913000000000018</v>
      </c>
      <c r="D71" s="70">
        <f ca="1">IF(TODAY()&gt;=$A71,SUMIFS(Tabla1[Avance_km],Tabla1[Fecha],"&lt;="&amp;'Grafico %'!$A71,Tabla1[nombre_actividad],'Grafico %'!D$1)/(200),NA())</f>
        <v>0.35719499999999998</v>
      </c>
      <c r="E71" s="70">
        <f ca="1">IF(TODAY()&gt;=$A71,SUMIFS(Tabla1[Avance_km],Tabla1[Fecha],"&lt;="&amp;'Grafico %'!$A71,Tabla1[nombre_actividad],'Grafico %'!E$1,Tabla1[Avance_km],"&gt;0")/(200),NA())</f>
        <v>0.49763500000000022</v>
      </c>
      <c r="F71" s="68">
        <f ca="1">IF(TODAY()&gt;=$A71,SUMIFS(Tabla1[Avance_Med],Tabla1[Fecha],"&lt;="&amp;'Grafico %'!$A71,Tabla1[nombre_actividad],'Grafico %'!F$1)/500,NA())</f>
        <v>0.5</v>
      </c>
      <c r="G71" s="70">
        <f ca="1">IF(TODAY()&gt;=$A71,SUMIFS(Tabla1[Avance_km],Tabla1[Fecha],"&lt;="&amp;'Grafico %'!$A71,Tabla1[nombre_actividad],'Grafico %'!G$1)/(200),NA())</f>
        <v>0</v>
      </c>
      <c r="H71" s="70"/>
    </row>
    <row r="72" spans="1:8" x14ac:dyDescent="0.25">
      <c r="A72" s="62">
        <f t="shared" si="1"/>
        <v>46033</v>
      </c>
      <c r="B72" s="33"/>
      <c r="C72" s="69">
        <f ca="1">IF(TODAY()&gt;=$A72,SUMIFS(Tabla1[Avance_km],Tabla1[Fecha],"&lt;="&amp;'Grafico %'!$A72,Tabla1[nombre_actividad],'Grafico %'!C$1)/(200),NA())</f>
        <v>0.49913000000000018</v>
      </c>
      <c r="D72" s="70">
        <f ca="1">IF(TODAY()&gt;=$A72,SUMIFS(Tabla1[Avance_km],Tabla1[Fecha],"&lt;="&amp;'Grafico %'!$A72,Tabla1[nombre_actividad],'Grafico %'!D$1)/(200),NA())</f>
        <v>0.36290499999999992</v>
      </c>
      <c r="E72" s="70">
        <f ca="1">IF(TODAY()&gt;=$A72,SUMIFS(Tabla1[Avance_km],Tabla1[Fecha],"&lt;="&amp;'Grafico %'!$A72,Tabla1[nombre_actividad],'Grafico %'!E$1,Tabla1[Avance_km],"&gt;0")/(200),NA())</f>
        <v>0.49763500000000022</v>
      </c>
      <c r="F72" s="68">
        <f ca="1">IF(TODAY()&gt;=$A72,SUMIFS(Tabla1[Avance_Med],Tabla1[Fecha],"&lt;="&amp;'Grafico %'!$A72,Tabla1[nombre_actividad],'Grafico %'!F$1)/500,NA())</f>
        <v>0.5</v>
      </c>
      <c r="G72" s="70">
        <f ca="1">IF(TODAY()&gt;=$A72,SUMIFS(Tabla1[Avance_km],Tabla1[Fecha],"&lt;="&amp;'Grafico %'!$A72,Tabla1[nombre_actividad],'Grafico %'!G$1)/(200),NA())</f>
        <v>0</v>
      </c>
      <c r="H72" s="70"/>
    </row>
    <row r="73" spans="1:8" x14ac:dyDescent="0.25">
      <c r="A73" s="62">
        <f t="shared" si="1"/>
        <v>46034</v>
      </c>
      <c r="B73" s="33"/>
      <c r="C73" s="69">
        <f ca="1">IF(TODAY()&gt;=$A73,SUMIFS(Tabla1[Avance_km],Tabla1[Fecha],"&lt;="&amp;'Grafico %'!$A73,Tabla1[nombre_actividad],'Grafico %'!C$1)/(200),NA())</f>
        <v>0.49913000000000018</v>
      </c>
      <c r="D73" s="70">
        <f ca="1">IF(TODAY()&gt;=$A73,SUMIFS(Tabla1[Avance_km],Tabla1[Fecha],"&lt;="&amp;'Grafico %'!$A73,Tabla1[nombre_actividad],'Grafico %'!D$1)/(200),NA())</f>
        <v>0.38090499999999994</v>
      </c>
      <c r="E73" s="70">
        <f ca="1">IF(TODAY()&gt;=$A73,SUMIFS(Tabla1[Avance_km],Tabla1[Fecha],"&lt;="&amp;'Grafico %'!$A73,Tabla1[nombre_actividad],'Grafico %'!E$1,Tabla1[Avance_km],"&gt;0")/(200),NA())</f>
        <v>0.49763500000000022</v>
      </c>
      <c r="F73" s="68">
        <f ca="1">IF(TODAY()&gt;=$A73,SUMIFS(Tabla1[Avance_Med],Tabla1[Fecha],"&lt;="&amp;'Grafico %'!$A73,Tabla1[nombre_actividad],'Grafico %'!F$1)/500,NA())</f>
        <v>0.51600000000000001</v>
      </c>
      <c r="G73" s="70">
        <f ca="1">IF(TODAY()&gt;=$A73,SUMIFS(Tabla1[Avance_km],Tabla1[Fecha],"&lt;="&amp;'Grafico %'!$A73,Tabla1[nombre_actividad],'Grafico %'!G$1)/(200),NA())</f>
        <v>0</v>
      </c>
      <c r="H73" s="70"/>
    </row>
    <row r="74" spans="1:8" x14ac:dyDescent="0.25">
      <c r="A74" s="62">
        <f t="shared" si="1"/>
        <v>46035</v>
      </c>
      <c r="B74" s="33"/>
      <c r="C74" s="69">
        <f ca="1">IF(TODAY()&gt;=$A74,SUMIFS(Tabla1[Avance_km],Tabla1[Fecha],"&lt;="&amp;'Grafico %'!$A74,Tabla1[nombre_actividad],'Grafico %'!C$1)/(200),NA())</f>
        <v>0.49934500000000021</v>
      </c>
      <c r="D74" s="70">
        <f ca="1">IF(TODAY()&gt;=$A74,SUMIFS(Tabla1[Avance_km],Tabla1[Fecha],"&lt;="&amp;'Grafico %'!$A74,Tabla1[nombre_actividad],'Grafico %'!D$1)/(200),NA())</f>
        <v>0.38117999999999996</v>
      </c>
      <c r="E74" s="70">
        <f ca="1">IF(TODAY()&gt;=$A74,SUMIFS(Tabla1[Avance_km],Tabla1[Fecha],"&lt;="&amp;'Grafico %'!$A74,Tabla1[nombre_actividad],'Grafico %'!E$1,Tabla1[Avance_km],"&gt;0")/(200),NA())</f>
        <v>0.49934500000000026</v>
      </c>
      <c r="F74" s="68">
        <f ca="1">IF(TODAY()&gt;=$A74,SUMIFS(Tabla1[Avance_Med],Tabla1[Fecha],"&lt;="&amp;'Grafico %'!$A74,Tabla1[nombre_actividad],'Grafico %'!F$1)/500,NA())</f>
        <v>0.53200000000000003</v>
      </c>
      <c r="G74" s="70">
        <f ca="1">IF(TODAY()&gt;=$A74,SUMIFS(Tabla1[Avance_km],Tabla1[Fecha],"&lt;="&amp;'Grafico %'!$A74,Tabla1[nombre_actividad],'Grafico %'!G$1)/(200),NA())</f>
        <v>0</v>
      </c>
      <c r="H74" s="70"/>
    </row>
    <row r="75" spans="1:8" x14ac:dyDescent="0.25">
      <c r="A75" s="62">
        <f t="shared" si="1"/>
        <v>46036</v>
      </c>
      <c r="B75" s="33"/>
      <c r="C75" s="69">
        <f ca="1">IF(TODAY()&gt;=$A75,SUMIFS(Tabla1[Avance_km],Tabla1[Fecha],"&lt;="&amp;'Grafico %'!$A75,Tabla1[nombre_actividad],'Grafico %'!C$1)/(200),NA())</f>
        <v>0.49934500000000021</v>
      </c>
      <c r="D75" s="70">
        <f ca="1">IF(TODAY()&gt;=$A75,SUMIFS(Tabla1[Avance_km],Tabla1[Fecha],"&lt;="&amp;'Grafico %'!$A75,Tabla1[nombre_actividad],'Grafico %'!D$1)/(200),NA())</f>
        <v>0.40367999999999993</v>
      </c>
      <c r="E75" s="70">
        <f ca="1">IF(TODAY()&gt;=$A75,SUMIFS(Tabla1[Avance_km],Tabla1[Fecha],"&lt;="&amp;'Grafico %'!$A75,Tabla1[nombre_actividad],'Grafico %'!E$1,Tabla1[Avance_km],"&gt;0")/(200),NA())</f>
        <v>0.49934500000000026</v>
      </c>
      <c r="F75" s="68">
        <f ca="1">IF(TODAY()&gt;=$A75,SUMIFS(Tabla1[Avance_Med],Tabla1[Fecha],"&lt;="&amp;'Grafico %'!$A75,Tabla1[nombre_actividad],'Grafico %'!F$1)/500,NA())</f>
        <v>0.54200000000000004</v>
      </c>
      <c r="G75" s="70">
        <f ca="1">IF(TODAY()&gt;=$A75,SUMIFS(Tabla1[Avance_km],Tabla1[Fecha],"&lt;="&amp;'Grafico %'!$A75,Tabla1[nombre_actividad],'Grafico %'!G$1)/(200),NA())</f>
        <v>0</v>
      </c>
      <c r="H75" s="70"/>
    </row>
    <row r="76" spans="1:8" x14ac:dyDescent="0.25">
      <c r="A76" s="62">
        <f t="shared" si="1"/>
        <v>46037</v>
      </c>
      <c r="B76" s="33"/>
      <c r="C76" s="69">
        <f ca="1">IF(TODAY()&gt;=$A76,SUMIFS(Tabla1[Avance_km],Tabla1[Fecha],"&lt;="&amp;'Grafico %'!$A76,Tabla1[nombre_actividad],'Grafico %'!C$1)/(200),NA())</f>
        <v>0.49934500000000021</v>
      </c>
      <c r="D76" s="70">
        <f ca="1">IF(TODAY()&gt;=$A76,SUMIFS(Tabla1[Avance_km],Tabla1[Fecha],"&lt;="&amp;'Grafico %'!$A76,Tabla1[nombre_actividad],'Grafico %'!D$1)/(200),NA())</f>
        <v>0.41392999999999991</v>
      </c>
      <c r="E76" s="70">
        <f ca="1">IF(TODAY()&gt;=$A76,SUMIFS(Tabla1[Avance_km],Tabla1[Fecha],"&lt;="&amp;'Grafico %'!$A76,Tabla1[nombre_actividad],'Grafico %'!E$1,Tabla1[Avance_km],"&gt;0")/(200),NA())</f>
        <v>0.49934500000000026</v>
      </c>
      <c r="F76" s="68">
        <f ca="1">IF(TODAY()&gt;=$A76,SUMIFS(Tabla1[Avance_Med],Tabla1[Fecha],"&lt;="&amp;'Grafico %'!$A76,Tabla1[nombre_actividad],'Grafico %'!F$1)/500,NA())</f>
        <v>0.55800000000000005</v>
      </c>
      <c r="G76" s="70">
        <f ca="1">IF(TODAY()&gt;=$A76,SUMIFS(Tabla1[Avance_km],Tabla1[Fecha],"&lt;="&amp;'Grafico %'!$A76,Tabla1[nombre_actividad],'Grafico %'!G$1)/(200),NA())</f>
        <v>0</v>
      </c>
      <c r="H76" s="70"/>
    </row>
    <row r="77" spans="1:8" x14ac:dyDescent="0.25">
      <c r="A77" s="62">
        <f t="shared" si="1"/>
        <v>46038</v>
      </c>
      <c r="B77" s="33"/>
      <c r="C77" s="69">
        <f ca="1">IF(TODAY()&gt;=$A77,SUMIFS(Tabla1[Avance_km],Tabla1[Fecha],"&lt;="&amp;'Grafico %'!$A77,Tabla1[nombre_actividad],'Grafico %'!C$1)/(200),NA())</f>
        <v>0.49934500000000021</v>
      </c>
      <c r="D77" s="70">
        <f ca="1">IF(TODAY()&gt;=$A77,SUMIFS(Tabla1[Avance_km],Tabla1[Fecha],"&lt;="&amp;'Grafico %'!$A77,Tabla1[nombre_actividad],'Grafico %'!D$1)/(200),NA())</f>
        <v>0.43784999999999996</v>
      </c>
      <c r="E77" s="70">
        <f ca="1">IF(TODAY()&gt;=$A77,SUMIFS(Tabla1[Avance_km],Tabla1[Fecha],"&lt;="&amp;'Grafico %'!$A77,Tabla1[nombre_actividad],'Grafico %'!E$1,Tabla1[Avance_km],"&gt;0")/(200),NA())</f>
        <v>0.49934500000000026</v>
      </c>
      <c r="F77" s="68">
        <f ca="1">IF(TODAY()&gt;=$A77,SUMIFS(Tabla1[Avance_Med],Tabla1[Fecha],"&lt;="&amp;'Grafico %'!$A77,Tabla1[nombre_actividad],'Grafico %'!F$1)/500,NA())</f>
        <v>0.57199999999999995</v>
      </c>
      <c r="G77" s="70">
        <f ca="1">IF(TODAY()&gt;=$A77,SUMIFS(Tabla1[Avance_km],Tabla1[Fecha],"&lt;="&amp;'Grafico %'!$A77,Tabla1[nombre_actividad],'Grafico %'!G$1)/(200),NA())</f>
        <v>0</v>
      </c>
      <c r="H77" s="70"/>
    </row>
    <row r="78" spans="1:8" x14ac:dyDescent="0.25">
      <c r="A78" s="62">
        <f t="shared" si="1"/>
        <v>46039</v>
      </c>
      <c r="B78" s="33"/>
      <c r="C78" s="69">
        <f ca="1">IF(TODAY()&gt;=$A78,SUMIFS(Tabla1[Avance_km],Tabla1[Fecha],"&lt;="&amp;'Grafico %'!$A78,Tabla1[nombre_actividad],'Grafico %'!C$1)/(200),NA())</f>
        <v>0.49934500000000021</v>
      </c>
      <c r="D78" s="70">
        <f ca="1">IF(TODAY()&gt;=$A78,SUMIFS(Tabla1[Avance_km],Tabla1[Fecha],"&lt;="&amp;'Grafico %'!$A78,Tabla1[nombre_actividad],'Grafico %'!D$1)/(200),NA())</f>
        <v>0.44712499999999999</v>
      </c>
      <c r="E78" s="70">
        <f ca="1">IF(TODAY()&gt;=$A78,SUMIFS(Tabla1[Avance_km],Tabla1[Fecha],"&lt;="&amp;'Grafico %'!$A78,Tabla1[nombre_actividad],'Grafico %'!E$1,Tabla1[Avance_km],"&gt;0")/(200),NA())</f>
        <v>0.49934500000000026</v>
      </c>
      <c r="F78" s="68">
        <f ca="1">IF(TODAY()&gt;=$A78,SUMIFS(Tabla1[Avance_Med],Tabla1[Fecha],"&lt;="&amp;'Grafico %'!$A78,Tabla1[nombre_actividad],'Grafico %'!F$1)/500,NA())</f>
        <v>0.58399999999999996</v>
      </c>
      <c r="G78" s="70">
        <f ca="1">IF(TODAY()&gt;=$A78,SUMIFS(Tabla1[Avance_km],Tabla1[Fecha],"&lt;="&amp;'Grafico %'!$A78,Tabla1[nombre_actividad],'Grafico %'!G$1)/(200),NA())</f>
        <v>0</v>
      </c>
      <c r="H78" s="70"/>
    </row>
    <row r="79" spans="1:8" x14ac:dyDescent="0.25">
      <c r="A79" s="62">
        <f t="shared" si="1"/>
        <v>46040</v>
      </c>
      <c r="B79" s="33"/>
      <c r="C79" s="69">
        <f ca="1">IF(TODAY()&gt;=$A79,SUMIFS(Tabla1[Avance_km],Tabla1[Fecha],"&lt;="&amp;'Grafico %'!$A79,Tabla1[nombre_actividad],'Grafico %'!C$1)/(200),NA())</f>
        <v>0.49934500000000021</v>
      </c>
      <c r="D79" s="70">
        <f ca="1">IF(TODAY()&gt;=$A79,SUMIFS(Tabla1[Avance_km],Tabla1[Fecha],"&lt;="&amp;'Grafico %'!$A79,Tabla1[nombre_actividad],'Grafico %'!D$1)/(200),NA())</f>
        <v>0.46532499999999999</v>
      </c>
      <c r="E79" s="70">
        <f ca="1">IF(TODAY()&gt;=$A79,SUMIFS(Tabla1[Avance_km],Tabla1[Fecha],"&lt;="&amp;'Grafico %'!$A79,Tabla1[nombre_actividad],'Grafico %'!E$1,Tabla1[Avance_km],"&gt;0")/(200),NA())</f>
        <v>0.49934500000000026</v>
      </c>
      <c r="F79" s="68">
        <f ca="1">IF(TODAY()&gt;=$A79,SUMIFS(Tabla1[Avance_Med],Tabla1[Fecha],"&lt;="&amp;'Grafico %'!$A79,Tabla1[nombre_actividad],'Grafico %'!F$1)/500,NA())</f>
        <v>0.58399999999999996</v>
      </c>
      <c r="G79" s="70">
        <f ca="1">IF(TODAY()&gt;=$A79,SUMIFS(Tabla1[Avance_km],Tabla1[Fecha],"&lt;="&amp;'Grafico %'!$A79,Tabla1[nombre_actividad],'Grafico %'!G$1)/(200),NA())</f>
        <v>0</v>
      </c>
      <c r="H79" s="70"/>
    </row>
    <row r="80" spans="1:8" x14ac:dyDescent="0.25">
      <c r="A80" s="62">
        <f t="shared" si="1"/>
        <v>46041</v>
      </c>
      <c r="B80" s="33"/>
      <c r="C80" s="69">
        <f ca="1">IF(TODAY()&gt;=$A80,SUMIFS(Tabla1[Avance_km],Tabla1[Fecha],"&lt;="&amp;'Grafico %'!$A80,Tabla1[nombre_actividad],'Grafico %'!C$1)/(200),NA())</f>
        <v>0.49934500000000021</v>
      </c>
      <c r="D80" s="70">
        <f ca="1">IF(TODAY()&gt;=$A80,SUMIFS(Tabla1[Avance_km],Tabla1[Fecha],"&lt;="&amp;'Grafico %'!$A80,Tabla1[nombre_actividad],'Grafico %'!D$1)/(200),NA())</f>
        <v>0.49032500000000001</v>
      </c>
      <c r="E80" s="70">
        <f ca="1">IF(TODAY()&gt;=$A80,SUMIFS(Tabla1[Avance_km],Tabla1[Fecha],"&lt;="&amp;'Grafico %'!$A80,Tabla1[nombre_actividad],'Grafico %'!E$1,Tabla1[Avance_km],"&gt;0")/(200),NA())</f>
        <v>0.49934500000000026</v>
      </c>
      <c r="F80" s="68">
        <f ca="1">IF(TODAY()&gt;=$A80,SUMIFS(Tabla1[Avance_Med],Tabla1[Fecha],"&lt;="&amp;'Grafico %'!$A80,Tabla1[nombre_actividad],'Grafico %'!F$1)/500,NA())</f>
        <v>0.59599999999999997</v>
      </c>
      <c r="G80" s="70">
        <f ca="1">IF(TODAY()&gt;=$A80,SUMIFS(Tabla1[Avance_km],Tabla1[Fecha],"&lt;="&amp;'Grafico %'!$A80,Tabla1[nombre_actividad],'Grafico %'!G$1)/(200),NA())</f>
        <v>0</v>
      </c>
      <c r="H80" s="70"/>
    </row>
    <row r="81" spans="1:8" x14ac:dyDescent="0.25">
      <c r="A81" s="62">
        <f t="shared" si="1"/>
        <v>46042</v>
      </c>
      <c r="B81" s="33"/>
      <c r="C81" s="69">
        <f ca="1">IF(TODAY()&gt;=$A81,SUMIFS(Tabla1[Avance_km],Tabla1[Fecha],"&lt;="&amp;'Grafico %'!$A81,Tabla1[nombre_actividad],'Grafico %'!C$1)/(200),NA())</f>
        <v>0.49953000000000025</v>
      </c>
      <c r="D81" s="70">
        <f ca="1">IF(TODAY()&gt;=$A81,SUMIFS(Tabla1[Avance_km],Tabla1[Fecha],"&lt;="&amp;'Grafico %'!$A81,Tabla1[nombre_actividad],'Grafico %'!D$1)/(200),NA())</f>
        <v>0.49953000000000003</v>
      </c>
      <c r="E81" s="70">
        <f ca="1">IF(TODAY()&gt;=$A81,SUMIFS(Tabla1[Avance_km],Tabla1[Fecha],"&lt;="&amp;'Grafico %'!$A81,Tabla1[nombre_actividad],'Grafico %'!E$1,Tabla1[Avance_km],"&gt;0")/(200),NA())</f>
        <v>0.49953000000000031</v>
      </c>
      <c r="F81" s="68">
        <f ca="1">IF(TODAY()&gt;=$A81,SUMIFS(Tabla1[Avance_Med],Tabla1[Fecha],"&lt;="&amp;'Grafico %'!$A81,Tabla1[nombre_actividad],'Grafico %'!F$1)/500,NA())</f>
        <v>0.61399999999999999</v>
      </c>
      <c r="G81" s="70">
        <f ca="1">IF(TODAY()&gt;=$A81,SUMIFS(Tabla1[Avance_km],Tabla1[Fecha],"&lt;="&amp;'Grafico %'!$A81,Tabla1[nombre_actividad],'Grafico %'!G$1)/(200),NA())</f>
        <v>0</v>
      </c>
      <c r="H81" s="70"/>
    </row>
    <row r="82" spans="1:8" x14ac:dyDescent="0.25">
      <c r="A82" s="62">
        <f t="shared" si="1"/>
        <v>46043</v>
      </c>
      <c r="B82" s="33"/>
      <c r="C82" s="69">
        <f ca="1">IF(TODAY()&gt;=$A82,SUMIFS(Tabla1[Avance_km],Tabla1[Fecha],"&lt;="&amp;'Grafico %'!$A82,Tabla1[nombre_actividad],'Grafico %'!C$1)/(200),NA())</f>
        <v>0.49953000000000025</v>
      </c>
      <c r="D82" s="70">
        <f ca="1">IF(TODAY()&gt;=$A82,SUMIFS(Tabla1[Avance_km],Tabla1[Fecha],"&lt;="&amp;'Grafico %'!$A82,Tabla1[nombre_actividad],'Grafico %'!D$1)/(200),NA())</f>
        <v>0.49953000000000003</v>
      </c>
      <c r="E82" s="70">
        <f ca="1">IF(TODAY()&gt;=$A82,SUMIFS(Tabla1[Avance_km],Tabla1[Fecha],"&lt;="&amp;'Grafico %'!$A82,Tabla1[nombre_actividad],'Grafico %'!E$1,Tabla1[Avance_km],"&gt;0")/(200),NA())</f>
        <v>0.49953000000000031</v>
      </c>
      <c r="F82" s="68">
        <f ca="1">IF(TODAY()&gt;=$A82,SUMIFS(Tabla1[Avance_Med],Tabla1[Fecha],"&lt;="&amp;'Grafico %'!$A82,Tabla1[nombre_actividad],'Grafico %'!F$1)/500,NA())</f>
        <v>0.61799999999999999</v>
      </c>
      <c r="G82" s="70">
        <f ca="1">IF(TODAY()&gt;=$A82,SUMIFS(Tabla1[Avance_km],Tabla1[Fecha],"&lt;="&amp;'Grafico %'!$A82,Tabla1[nombre_actividad],'Grafico %'!G$1)/(200),NA())</f>
        <v>0</v>
      </c>
      <c r="H82" s="70"/>
    </row>
    <row r="83" spans="1:8" x14ac:dyDescent="0.25">
      <c r="A83" s="62">
        <f t="shared" si="1"/>
        <v>46044</v>
      </c>
      <c r="B83" s="33"/>
      <c r="C83" s="69">
        <f ca="1">IF(TODAY()&gt;=$A83,SUMIFS(Tabla1[Avance_km],Tabla1[Fecha],"&lt;="&amp;'Grafico %'!$A83,Tabla1[nombre_actividad],'Grafico %'!C$1)/(200),NA())</f>
        <v>0.49953000000000025</v>
      </c>
      <c r="D83" s="70">
        <f ca="1">IF(TODAY()&gt;=$A83,SUMIFS(Tabla1[Avance_km],Tabla1[Fecha],"&lt;="&amp;'Grafico %'!$A83,Tabla1[nombre_actividad],'Grafico %'!D$1)/(200),NA())</f>
        <v>0.49953000000000003</v>
      </c>
      <c r="E83" s="70">
        <f ca="1">IF(TODAY()&gt;=$A83,SUMIFS(Tabla1[Avance_km],Tabla1[Fecha],"&lt;="&amp;'Grafico %'!$A83,Tabla1[nombre_actividad],'Grafico %'!E$1,Tabla1[Avance_km],"&gt;0")/(200),NA())</f>
        <v>0.49953000000000031</v>
      </c>
      <c r="F83" s="68">
        <f ca="1">IF(TODAY()&gt;=$A83,SUMIFS(Tabla1[Avance_Med],Tabla1[Fecha],"&lt;="&amp;'Grafico %'!$A83,Tabla1[nombre_actividad],'Grafico %'!F$1)/500,NA())</f>
        <v>0.63</v>
      </c>
      <c r="G83" s="70">
        <f ca="1">IF(TODAY()&gt;=$A83,SUMIFS(Tabla1[Avance_km],Tabla1[Fecha],"&lt;="&amp;'Grafico %'!$A83,Tabla1[nombre_actividad],'Grafico %'!G$1)/(200),NA())</f>
        <v>0</v>
      </c>
      <c r="H83" s="70"/>
    </row>
    <row r="84" spans="1:8" x14ac:dyDescent="0.25">
      <c r="A84" s="62">
        <f t="shared" si="1"/>
        <v>46045</v>
      </c>
      <c r="B84" s="33"/>
      <c r="C84" s="69">
        <f ca="1">IF(TODAY()&gt;=$A84,SUMIFS(Tabla1[Avance_km],Tabla1[Fecha],"&lt;="&amp;'Grafico %'!$A84,Tabla1[nombre_actividad],'Grafico %'!C$1)/(200),NA())</f>
        <v>0.49953000000000025</v>
      </c>
      <c r="D84" s="70">
        <f ca="1">IF(TODAY()&gt;=$A84,SUMIFS(Tabla1[Avance_km],Tabla1[Fecha],"&lt;="&amp;'Grafico %'!$A84,Tabla1[nombre_actividad],'Grafico %'!D$1)/(200),NA())</f>
        <v>0.49953000000000003</v>
      </c>
      <c r="E84" s="70">
        <f ca="1">IF(TODAY()&gt;=$A84,SUMIFS(Tabla1[Avance_km],Tabla1[Fecha],"&lt;="&amp;'Grafico %'!$A84,Tabla1[nombre_actividad],'Grafico %'!E$1,Tabla1[Avance_km],"&gt;0")/(200),NA())</f>
        <v>0.49953000000000031</v>
      </c>
      <c r="F84" s="68">
        <f ca="1">IF(TODAY()&gt;=$A84,SUMIFS(Tabla1[Avance_Med],Tabla1[Fecha],"&lt;="&amp;'Grafico %'!$A84,Tabla1[nombre_actividad],'Grafico %'!F$1)/500,NA())</f>
        <v>0.64800000000000002</v>
      </c>
      <c r="G84" s="70">
        <f ca="1">IF(TODAY()&gt;=$A84,SUMIFS(Tabla1[Avance_km],Tabla1[Fecha],"&lt;="&amp;'Grafico %'!$A84,Tabla1[nombre_actividad],'Grafico %'!G$1)/(200),NA())</f>
        <v>0</v>
      </c>
      <c r="H84" s="70"/>
    </row>
    <row r="85" spans="1:8" x14ac:dyDescent="0.25">
      <c r="A85" s="62">
        <f t="shared" si="1"/>
        <v>46046</v>
      </c>
      <c r="B85" s="33"/>
      <c r="C85" s="69">
        <f ca="1">IF(TODAY()&gt;=$A85,SUMIFS(Tabla1[Avance_km],Tabla1[Fecha],"&lt;="&amp;'Grafico %'!$A85,Tabla1[nombre_actividad],'Grafico %'!C$1)/(200),NA())</f>
        <v>0.49953000000000025</v>
      </c>
      <c r="D85" s="70">
        <f ca="1">IF(TODAY()&gt;=$A85,SUMIFS(Tabla1[Avance_km],Tabla1[Fecha],"&lt;="&amp;'Grafico %'!$A85,Tabla1[nombre_actividad],'Grafico %'!D$1)/(200),NA())</f>
        <v>0.49953000000000003</v>
      </c>
      <c r="E85" s="70">
        <f ca="1">IF(TODAY()&gt;=$A85,SUMIFS(Tabla1[Avance_km],Tabla1[Fecha],"&lt;="&amp;'Grafico %'!$A85,Tabla1[nombre_actividad],'Grafico %'!E$1,Tabla1[Avance_km],"&gt;0")/(200),NA())</f>
        <v>0.49953000000000031</v>
      </c>
      <c r="F85" s="68">
        <f ca="1">IF(TODAY()&gt;=$A85,SUMIFS(Tabla1[Avance_Med],Tabla1[Fecha],"&lt;="&amp;'Grafico %'!$A85,Tabla1[nombre_actividad],'Grafico %'!F$1)/500,NA())</f>
        <v>0.64800000000000002</v>
      </c>
      <c r="G85" s="70">
        <f ca="1">IF(TODAY()&gt;=$A85,SUMIFS(Tabla1[Avance_km],Tabla1[Fecha],"&lt;="&amp;'Grafico %'!$A85,Tabla1[nombre_actividad],'Grafico %'!G$1)/(200),NA())</f>
        <v>0</v>
      </c>
      <c r="H85" s="70"/>
    </row>
    <row r="86" spans="1:8" x14ac:dyDescent="0.25">
      <c r="A86" s="62">
        <f t="shared" si="1"/>
        <v>46047</v>
      </c>
      <c r="B86" s="33"/>
      <c r="C86" s="69">
        <f ca="1">IF(TODAY()&gt;=$A86,SUMIFS(Tabla1[Avance_km],Tabla1[Fecha],"&lt;="&amp;'Grafico %'!$A86,Tabla1[nombre_actividad],'Grafico %'!C$1)/(200),NA())</f>
        <v>0.49953000000000025</v>
      </c>
      <c r="D86" s="70">
        <f ca="1">IF(TODAY()&gt;=$A86,SUMIFS(Tabla1[Avance_km],Tabla1[Fecha],"&lt;="&amp;'Grafico %'!$A86,Tabla1[nombre_actividad],'Grafico %'!D$1)/(200),NA())</f>
        <v>0.49953000000000003</v>
      </c>
      <c r="E86" s="70">
        <f ca="1">IF(TODAY()&gt;=$A86,SUMIFS(Tabla1[Avance_km],Tabla1[Fecha],"&lt;="&amp;'Grafico %'!$A86,Tabla1[nombre_actividad],'Grafico %'!E$1,Tabla1[Avance_km],"&gt;0")/(200),NA())</f>
        <v>0.49953000000000031</v>
      </c>
      <c r="F86" s="68">
        <f ca="1">IF(TODAY()&gt;=$A86,SUMIFS(Tabla1[Avance_Med],Tabla1[Fecha],"&lt;="&amp;'Grafico %'!$A86,Tabla1[nombre_actividad],'Grafico %'!F$1)/500,NA())</f>
        <v>0.64800000000000002</v>
      </c>
      <c r="G86" s="70">
        <f ca="1">IF(TODAY()&gt;=$A86,SUMIFS(Tabla1[Avance_km],Tabla1[Fecha],"&lt;="&amp;'Grafico %'!$A86,Tabla1[nombre_actividad],'Grafico %'!G$1)/(200),NA())</f>
        <v>0</v>
      </c>
      <c r="H86" s="70"/>
    </row>
    <row r="87" spans="1:8" x14ac:dyDescent="0.25">
      <c r="A87" s="62">
        <f t="shared" si="1"/>
        <v>46048</v>
      </c>
      <c r="B87" s="33"/>
      <c r="C87" s="69">
        <f ca="1">IF(TODAY()&gt;=$A87,SUMIFS(Tabla1[Avance_km],Tabla1[Fecha],"&lt;="&amp;'Grafico %'!$A87,Tabla1[nombre_actividad],'Grafico %'!C$1)/(200),NA())</f>
        <v>0.49953000000000025</v>
      </c>
      <c r="D87" s="70">
        <f ca="1">IF(TODAY()&gt;=$A87,SUMIFS(Tabla1[Avance_km],Tabla1[Fecha],"&lt;="&amp;'Grafico %'!$A87,Tabla1[nombre_actividad],'Grafico %'!D$1)/(200),NA())</f>
        <v>0.49953000000000003</v>
      </c>
      <c r="E87" s="70">
        <f ca="1">IF(TODAY()&gt;=$A87,SUMIFS(Tabla1[Avance_km],Tabla1[Fecha],"&lt;="&amp;'Grafico %'!$A87,Tabla1[nombre_actividad],'Grafico %'!E$1,Tabla1[Avance_km],"&gt;0")/(200),NA())</f>
        <v>0.49953000000000031</v>
      </c>
      <c r="F87" s="68">
        <f ca="1">IF(TODAY()&gt;=$A87,SUMIFS(Tabla1[Avance_Med],Tabla1[Fecha],"&lt;="&amp;'Grafico %'!$A87,Tabla1[nombre_actividad],'Grafico %'!F$1)/500,NA())</f>
        <v>0.66400000000000003</v>
      </c>
      <c r="G87" s="70">
        <f ca="1">IF(TODAY()&gt;=$A87,SUMIFS(Tabla1[Avance_km],Tabla1[Fecha],"&lt;="&amp;'Grafico %'!$A87,Tabla1[nombre_actividad],'Grafico %'!G$1)/(200),NA())</f>
        <v>0</v>
      </c>
      <c r="H87" s="70"/>
    </row>
    <row r="88" spans="1:8" x14ac:dyDescent="0.25">
      <c r="A88" s="62">
        <f t="shared" si="1"/>
        <v>46049</v>
      </c>
      <c r="B88" s="33"/>
      <c r="C88" s="69">
        <f ca="1">IF(TODAY()&gt;=$A88,SUMIFS(Tabla1[Avance_km],Tabla1[Fecha],"&lt;="&amp;'Grafico %'!$A88,Tabla1[nombre_actividad],'Grafico %'!C$1)/(200),NA())</f>
        <v>0.49953000000000025</v>
      </c>
      <c r="D88" s="70">
        <f ca="1">IF(TODAY()&gt;=$A88,SUMIFS(Tabla1[Avance_km],Tabla1[Fecha],"&lt;="&amp;'Grafico %'!$A88,Tabla1[nombre_actividad],'Grafico %'!D$1)/(200),NA())</f>
        <v>0.49953000000000003</v>
      </c>
      <c r="E88" s="70">
        <f ca="1">IF(TODAY()&gt;=$A88,SUMIFS(Tabla1[Avance_km],Tabla1[Fecha],"&lt;="&amp;'Grafico %'!$A88,Tabla1[nombre_actividad],'Grafico %'!E$1,Tabla1[Avance_km],"&gt;0")/(200),NA())</f>
        <v>0.49953000000000031</v>
      </c>
      <c r="F88" s="68">
        <f ca="1">IF(TODAY()&gt;=$A88,SUMIFS(Tabla1[Avance_Med],Tabla1[Fecha],"&lt;="&amp;'Grafico %'!$A88,Tabla1[nombre_actividad],'Grafico %'!F$1)/500,NA())</f>
        <v>0.68400000000000005</v>
      </c>
      <c r="G88" s="70">
        <f ca="1">IF(TODAY()&gt;=$A88,SUMIFS(Tabla1[Avance_km],Tabla1[Fecha],"&lt;="&amp;'Grafico %'!$A88,Tabla1[nombre_actividad],'Grafico %'!G$1)/(200),NA())</f>
        <v>0</v>
      </c>
      <c r="H88" s="70"/>
    </row>
    <row r="89" spans="1:8" x14ac:dyDescent="0.25">
      <c r="A89" s="62">
        <f t="shared" si="1"/>
        <v>46050</v>
      </c>
      <c r="B89" s="33"/>
      <c r="C89" s="69">
        <f ca="1">IF(TODAY()&gt;=$A89,SUMIFS(Tabla1[Avance_km],Tabla1[Fecha],"&lt;="&amp;'Grafico %'!$A89,Tabla1[nombre_actividad],'Grafico %'!C$1)/(200),NA())</f>
        <v>0.49953000000000025</v>
      </c>
      <c r="D89" s="70">
        <f ca="1">IF(TODAY()&gt;=$A89,SUMIFS(Tabla1[Avance_km],Tabla1[Fecha],"&lt;="&amp;'Grafico %'!$A89,Tabla1[nombre_actividad],'Grafico %'!D$1)/(200),NA())</f>
        <v>0.49953000000000003</v>
      </c>
      <c r="E89" s="70">
        <f ca="1">IF(TODAY()&gt;=$A89,SUMIFS(Tabla1[Avance_km],Tabla1[Fecha],"&lt;="&amp;'Grafico %'!$A89,Tabla1[nombre_actividad],'Grafico %'!E$1,Tabla1[Avance_km],"&gt;0")/(200),NA())</f>
        <v>0.49953000000000031</v>
      </c>
      <c r="F89" s="68">
        <f ca="1">IF(TODAY()&gt;=$A89,SUMIFS(Tabla1[Avance_Med],Tabla1[Fecha],"&lt;="&amp;'Grafico %'!$A89,Tabla1[nombre_actividad],'Grafico %'!F$1)/500,NA())</f>
        <v>0.69799999999999995</v>
      </c>
      <c r="G89" s="70">
        <f ca="1">IF(TODAY()&gt;=$A89,SUMIFS(Tabla1[Avance_km],Tabla1[Fecha],"&lt;="&amp;'Grafico %'!$A89,Tabla1[nombre_actividad],'Grafico %'!G$1)/(200),NA())</f>
        <v>0</v>
      </c>
      <c r="H89" s="70"/>
    </row>
    <row r="90" spans="1:8" x14ac:dyDescent="0.25">
      <c r="A90" s="62">
        <f t="shared" si="1"/>
        <v>46051</v>
      </c>
      <c r="B90" s="33"/>
      <c r="C90" s="69">
        <f ca="1">IF(TODAY()&gt;=$A90,SUMIFS(Tabla1[Avance_km],Tabla1[Fecha],"&lt;="&amp;'Grafico %'!$A90,Tabla1[nombre_actividad],'Grafico %'!C$1)/(200),NA())</f>
        <v>0.49953000000000025</v>
      </c>
      <c r="D90" s="70">
        <f ca="1">IF(TODAY()&gt;=$A90,SUMIFS(Tabla1[Avance_km],Tabla1[Fecha],"&lt;="&amp;'Grafico %'!$A90,Tabla1[nombre_actividad],'Grafico %'!D$1)/(200),NA())</f>
        <v>0.49953000000000003</v>
      </c>
      <c r="E90" s="70">
        <f ca="1">IF(TODAY()&gt;=$A90,SUMIFS(Tabla1[Avance_km],Tabla1[Fecha],"&lt;="&amp;'Grafico %'!$A90,Tabla1[nombre_actividad],'Grafico %'!E$1,Tabla1[Avance_km],"&gt;0")/(200),NA())</f>
        <v>0.49953000000000031</v>
      </c>
      <c r="F90" s="68">
        <f ca="1">IF(TODAY()&gt;=$A90,SUMIFS(Tabla1[Avance_Med],Tabla1[Fecha],"&lt;="&amp;'Grafico %'!$A90,Tabla1[nombre_actividad],'Grafico %'!F$1)/500,NA())</f>
        <v>0.71599999999999997</v>
      </c>
      <c r="G90" s="70">
        <f ca="1">IF(TODAY()&gt;=$A90,SUMIFS(Tabla1[Avance_km],Tabla1[Fecha],"&lt;="&amp;'Grafico %'!$A90,Tabla1[nombre_actividad],'Grafico %'!G$1)/(200),NA())</f>
        <v>0</v>
      </c>
      <c r="H90" s="70"/>
    </row>
    <row r="91" spans="1:8" x14ac:dyDescent="0.25">
      <c r="A91" s="62">
        <f t="shared" si="1"/>
        <v>46052</v>
      </c>
      <c r="B91" s="33"/>
      <c r="C91" s="69">
        <f ca="1">IF(TODAY()&gt;=$A91,SUMIFS(Tabla1[Avance_km],Tabla1[Fecha],"&lt;="&amp;'Grafico %'!$A91,Tabla1[nombre_actividad],'Grafico %'!C$1)/(200),NA())</f>
        <v>0.49953000000000025</v>
      </c>
      <c r="D91" s="70">
        <f ca="1">IF(TODAY()&gt;=$A91,SUMIFS(Tabla1[Avance_km],Tabla1[Fecha],"&lt;="&amp;'Grafico %'!$A91,Tabla1[nombre_actividad],'Grafico %'!D$1)/(200),NA())</f>
        <v>0.49953000000000003</v>
      </c>
      <c r="E91" s="70">
        <f ca="1">IF(TODAY()&gt;=$A91,SUMIFS(Tabla1[Avance_km],Tabla1[Fecha],"&lt;="&amp;'Grafico %'!$A91,Tabla1[nombre_actividad],'Grafico %'!E$1,Tabla1[Avance_km],"&gt;0")/(200),NA())</f>
        <v>0.49953000000000031</v>
      </c>
      <c r="F91" s="68">
        <f ca="1">IF(TODAY()&gt;=$A91,SUMIFS(Tabla1[Avance_Med],Tabla1[Fecha],"&lt;="&amp;'Grafico %'!$A91,Tabla1[nombre_actividad],'Grafico %'!F$1)/500,NA())</f>
        <v>0.71599999999999997</v>
      </c>
      <c r="G91" s="70">
        <f ca="1">IF(TODAY()&gt;=$A91,SUMIFS(Tabla1[Avance_km],Tabla1[Fecha],"&lt;="&amp;'Grafico %'!$A91,Tabla1[nombre_actividad],'Grafico %'!G$1)/(200),NA())</f>
        <v>0</v>
      </c>
      <c r="H91" s="70"/>
    </row>
    <row r="92" spans="1:8" x14ac:dyDescent="0.25">
      <c r="A92" s="62">
        <f t="shared" si="1"/>
        <v>46053</v>
      </c>
      <c r="B92" s="33"/>
      <c r="C92" s="69">
        <f ca="1">IF(TODAY()&gt;=$A92,SUMIFS(Tabla1[Avance_km],Tabla1[Fecha],"&lt;="&amp;'Grafico %'!$A92,Tabla1[nombre_actividad],'Grafico %'!C$1)/(200),NA())</f>
        <v>0.49953000000000025</v>
      </c>
      <c r="D92" s="70">
        <f ca="1">IF(TODAY()&gt;=$A92,SUMIFS(Tabla1[Avance_km],Tabla1[Fecha],"&lt;="&amp;'Grafico %'!$A92,Tabla1[nombre_actividad],'Grafico %'!D$1)/(200),NA())</f>
        <v>0.49953000000000003</v>
      </c>
      <c r="E92" s="70">
        <f ca="1">IF(TODAY()&gt;=$A92,SUMIFS(Tabla1[Avance_km],Tabla1[Fecha],"&lt;="&amp;'Grafico %'!$A92,Tabla1[nombre_actividad],'Grafico %'!E$1,Tabla1[Avance_km],"&gt;0")/(200),NA())</f>
        <v>0.49953000000000031</v>
      </c>
      <c r="F92" s="68">
        <f ca="1">IF(TODAY()&gt;=$A92,SUMIFS(Tabla1[Avance_Med],Tabla1[Fecha],"&lt;="&amp;'Grafico %'!$A92,Tabla1[nombre_actividad],'Grafico %'!F$1)/500,NA())</f>
        <v>0.71599999999999997</v>
      </c>
      <c r="G92" s="70">
        <f ca="1">IF(TODAY()&gt;=$A92,SUMIFS(Tabla1[Avance_km],Tabla1[Fecha],"&lt;="&amp;'Grafico %'!$A92,Tabla1[nombre_actividad],'Grafico %'!G$1)/(200),NA())</f>
        <v>0</v>
      </c>
      <c r="H92" s="70"/>
    </row>
    <row r="93" spans="1:8" x14ac:dyDescent="0.25">
      <c r="A93" s="62">
        <f t="shared" si="1"/>
        <v>46054</v>
      </c>
      <c r="B93" s="33"/>
      <c r="C93" s="69">
        <f ca="1">IF(TODAY()&gt;=$A93,SUMIFS(Tabla1[Avance_km],Tabla1[Fecha],"&lt;="&amp;'Grafico %'!$A93,Tabla1[nombre_actividad],'Grafico %'!C$1)/(200),NA())</f>
        <v>0.49953000000000025</v>
      </c>
      <c r="D93" s="70">
        <f ca="1">IF(TODAY()&gt;=$A93,SUMIFS(Tabla1[Avance_km],Tabla1[Fecha],"&lt;="&amp;'Grafico %'!$A93,Tabla1[nombre_actividad],'Grafico %'!D$1)/(200),NA())</f>
        <v>0.49953000000000003</v>
      </c>
      <c r="E93" s="70">
        <f ca="1">IF(TODAY()&gt;=$A93,SUMIFS(Tabla1[Avance_km],Tabla1[Fecha],"&lt;="&amp;'Grafico %'!$A93,Tabla1[nombre_actividad],'Grafico %'!E$1,Tabla1[Avance_km],"&gt;0")/(200),NA())</f>
        <v>0.49953000000000031</v>
      </c>
      <c r="F93" s="68">
        <f ca="1">IF(TODAY()&gt;=$A93,SUMIFS(Tabla1[Avance_Med],Tabla1[Fecha],"&lt;="&amp;'Grafico %'!$A93,Tabla1[nombre_actividad],'Grafico %'!F$1)/500,NA())</f>
        <v>0.71599999999999997</v>
      </c>
      <c r="G93" s="70">
        <f ca="1">IF(TODAY()&gt;=$A93,SUMIFS(Tabla1[Avance_km],Tabla1[Fecha],"&lt;="&amp;'Grafico %'!$A93,Tabla1[nombre_actividad],'Grafico %'!G$1)/(200),NA())</f>
        <v>0</v>
      </c>
      <c r="H93" s="70"/>
    </row>
    <row r="94" spans="1:8" x14ac:dyDescent="0.25">
      <c r="A94" s="62">
        <f t="shared" si="1"/>
        <v>46055</v>
      </c>
      <c r="B94" s="33"/>
      <c r="C94" s="69">
        <f ca="1">IF(TODAY()&gt;=$A94,SUMIFS(Tabla1[Avance_km],Tabla1[Fecha],"&lt;="&amp;'Grafico %'!$A94,Tabla1[nombre_actividad],'Grafico %'!C$1)/(200),NA())</f>
        <v>0.49953000000000025</v>
      </c>
      <c r="D94" s="70">
        <f ca="1">IF(TODAY()&gt;=$A94,SUMIFS(Tabla1[Avance_km],Tabla1[Fecha],"&lt;="&amp;'Grafico %'!$A94,Tabla1[nombre_actividad],'Grafico %'!D$1)/(200),NA())</f>
        <v>0.49953000000000003</v>
      </c>
      <c r="E94" s="70">
        <f ca="1">IF(TODAY()&gt;=$A94,SUMIFS(Tabla1[Avance_km],Tabla1[Fecha],"&lt;="&amp;'Grafico %'!$A94,Tabla1[nombre_actividad],'Grafico %'!E$1,Tabla1[Avance_km],"&gt;0")/(200),NA())</f>
        <v>0.49953000000000031</v>
      </c>
      <c r="F94" s="68">
        <f ca="1">IF(TODAY()&gt;=$A94,SUMIFS(Tabla1[Avance_Med],Tabla1[Fecha],"&lt;="&amp;'Grafico %'!$A94,Tabla1[nombre_actividad],'Grafico %'!F$1)/500,NA())</f>
        <v>0.71599999999999997</v>
      </c>
      <c r="G94" s="70">
        <f ca="1">IF(TODAY()&gt;=$A94,SUMIFS(Tabla1[Avance_km],Tabla1[Fecha],"&lt;="&amp;'Grafico %'!$A94,Tabla1[nombre_actividad],'Grafico %'!G$1)/(200),NA())</f>
        <v>0</v>
      </c>
      <c r="H94" s="70"/>
    </row>
    <row r="95" spans="1:8" x14ac:dyDescent="0.25">
      <c r="A95" s="62">
        <f t="shared" si="1"/>
        <v>46056</v>
      </c>
      <c r="B95" s="33"/>
      <c r="C95" s="69">
        <f ca="1">IF(TODAY()&gt;=$A95,SUMIFS(Tabla1[Avance_km],Tabla1[Fecha],"&lt;="&amp;'Grafico %'!$A95,Tabla1[nombre_actividad],'Grafico %'!C$1)/(200),NA())</f>
        <v>0.49953000000000025</v>
      </c>
      <c r="D95" s="70">
        <f ca="1">IF(TODAY()&gt;=$A95,SUMIFS(Tabla1[Avance_km],Tabla1[Fecha],"&lt;="&amp;'Grafico %'!$A95,Tabla1[nombre_actividad],'Grafico %'!D$1)/(200),NA())</f>
        <v>0.49953000000000003</v>
      </c>
      <c r="E95" s="70">
        <f ca="1">IF(TODAY()&gt;=$A95,SUMIFS(Tabla1[Avance_km],Tabla1[Fecha],"&lt;="&amp;'Grafico %'!$A95,Tabla1[nombre_actividad],'Grafico %'!E$1,Tabla1[Avance_km],"&gt;0")/(200),NA())</f>
        <v>0.49953000000000031</v>
      </c>
      <c r="F95" s="68">
        <f ca="1">IF(TODAY()&gt;=$A95,SUMIFS(Tabla1[Avance_Med],Tabla1[Fecha],"&lt;="&amp;'Grafico %'!$A95,Tabla1[nombre_actividad],'Grafico %'!F$1)/500,NA())</f>
        <v>0.71599999999999997</v>
      </c>
      <c r="G95" s="70">
        <f ca="1">IF(TODAY()&gt;=$A95,SUMIFS(Tabla1[Avance_km],Tabla1[Fecha],"&lt;="&amp;'Grafico %'!$A95,Tabla1[nombre_actividad],'Grafico %'!G$1)/(200),NA())</f>
        <v>0</v>
      </c>
      <c r="H95" s="70"/>
    </row>
    <row r="96" spans="1:8" x14ac:dyDescent="0.25">
      <c r="A96" s="62">
        <f t="shared" si="1"/>
        <v>46057</v>
      </c>
      <c r="B96" s="33"/>
      <c r="C96" s="69">
        <f ca="1">IF(TODAY()&gt;=$A96,SUMIFS(Tabla1[Avance_km],Tabla1[Fecha],"&lt;="&amp;'Grafico %'!$A96,Tabla1[nombre_actividad],'Grafico %'!C$1)/(200),NA())</f>
        <v>0.49953000000000025</v>
      </c>
      <c r="D96" s="70">
        <f ca="1">IF(TODAY()&gt;=$A96,SUMIFS(Tabla1[Avance_km],Tabla1[Fecha],"&lt;="&amp;'Grafico %'!$A96,Tabla1[nombre_actividad],'Grafico %'!D$1)/(200),NA())</f>
        <v>0.49953000000000003</v>
      </c>
      <c r="E96" s="70">
        <f ca="1">IF(TODAY()&gt;=$A96,SUMIFS(Tabla1[Avance_km],Tabla1[Fecha],"&lt;="&amp;'Grafico %'!$A96,Tabla1[nombre_actividad],'Grafico %'!E$1,Tabla1[Avance_km],"&gt;0")/(200),NA())</f>
        <v>0.49953000000000031</v>
      </c>
      <c r="F96" s="68">
        <f ca="1">IF(TODAY()&gt;=$A96,SUMIFS(Tabla1[Avance_Med],Tabla1[Fecha],"&lt;="&amp;'Grafico %'!$A96,Tabla1[nombre_actividad],'Grafico %'!F$1)/500,NA())</f>
        <v>0.72</v>
      </c>
      <c r="G96" s="70">
        <f ca="1">IF(TODAY()&gt;=$A96,SUMIFS(Tabla1[Avance_km],Tabla1[Fecha],"&lt;="&amp;'Grafico %'!$A96,Tabla1[nombre_actividad],'Grafico %'!G$1)/(200),NA())</f>
        <v>0</v>
      </c>
      <c r="H96" s="70"/>
    </row>
    <row r="97" spans="1:8" x14ac:dyDescent="0.25">
      <c r="A97" s="62">
        <f t="shared" si="1"/>
        <v>46058</v>
      </c>
      <c r="B97" s="33"/>
      <c r="C97" s="69">
        <f ca="1">IF(TODAY()&gt;=$A97,SUMIFS(Tabla1[Avance_km],Tabla1[Fecha],"&lt;="&amp;'Grafico %'!$A97,Tabla1[nombre_actividad],'Grafico %'!C$1)/(200),NA())</f>
        <v>0.49953000000000025</v>
      </c>
      <c r="D97" s="70">
        <f ca="1">IF(TODAY()&gt;=$A97,SUMIFS(Tabla1[Avance_km],Tabla1[Fecha],"&lt;="&amp;'Grafico %'!$A97,Tabla1[nombre_actividad],'Grafico %'!D$1)/(200),NA())</f>
        <v>0.49953000000000003</v>
      </c>
      <c r="E97" s="70">
        <f ca="1">IF(TODAY()&gt;=$A97,SUMIFS(Tabla1[Avance_km],Tabla1[Fecha],"&lt;="&amp;'Grafico %'!$A97,Tabla1[nombre_actividad],'Grafico %'!E$1,Tabla1[Avance_km],"&gt;0")/(200),NA())</f>
        <v>0.49953000000000031</v>
      </c>
      <c r="F97" s="68">
        <f ca="1">IF(TODAY()&gt;=$A97,SUMIFS(Tabla1[Avance_Med],Tabla1[Fecha],"&lt;="&amp;'Grafico %'!$A97,Tabla1[nombre_actividad],'Grafico %'!F$1)/500,NA())</f>
        <v>0.72399999999999998</v>
      </c>
      <c r="G97" s="70">
        <f ca="1">IF(TODAY()&gt;=$A97,SUMIFS(Tabla1[Avance_km],Tabla1[Fecha],"&lt;="&amp;'Grafico %'!$A97,Tabla1[nombre_actividad],'Grafico %'!G$1)/(200),NA())</f>
        <v>0</v>
      </c>
      <c r="H97" s="70"/>
    </row>
    <row r="98" spans="1:8" x14ac:dyDescent="0.25">
      <c r="A98" s="62">
        <f t="shared" si="1"/>
        <v>46059</v>
      </c>
      <c r="B98" s="33"/>
      <c r="C98" s="69">
        <f ca="1">IF(TODAY()&gt;=$A98,SUMIFS(Tabla1[Avance_km],Tabla1[Fecha],"&lt;="&amp;'Grafico %'!$A98,Tabla1[nombre_actividad],'Grafico %'!C$1)/(200),NA())</f>
        <v>0.49953000000000025</v>
      </c>
      <c r="D98" s="70">
        <f ca="1">IF(TODAY()&gt;=$A98,SUMIFS(Tabla1[Avance_km],Tabla1[Fecha],"&lt;="&amp;'Grafico %'!$A98,Tabla1[nombre_actividad],'Grafico %'!D$1)/(200),NA())</f>
        <v>0.49953000000000003</v>
      </c>
      <c r="E98" s="70">
        <f ca="1">IF(TODAY()&gt;=$A98,SUMIFS(Tabla1[Avance_km],Tabla1[Fecha],"&lt;="&amp;'Grafico %'!$A98,Tabla1[nombre_actividad],'Grafico %'!E$1,Tabla1[Avance_km],"&gt;0")/(200),NA())</f>
        <v>0.49953000000000031</v>
      </c>
      <c r="F98" s="68">
        <f ca="1">IF(TODAY()&gt;=$A98,SUMIFS(Tabla1[Avance_Med],Tabla1[Fecha],"&lt;="&amp;'Grafico %'!$A98,Tabla1[nombre_actividad],'Grafico %'!F$1)/500,NA())</f>
        <v>0.72399999999999998</v>
      </c>
      <c r="G98" s="70">
        <f ca="1">IF(TODAY()&gt;=$A98,SUMIFS(Tabla1[Avance_km],Tabla1[Fecha],"&lt;="&amp;'Grafico %'!$A98,Tabla1[nombre_actividad],'Grafico %'!G$1)/(200),NA())</f>
        <v>0</v>
      </c>
      <c r="H98" s="70"/>
    </row>
    <row r="99" spans="1:8" x14ac:dyDescent="0.25">
      <c r="A99" s="62">
        <f t="shared" si="1"/>
        <v>46060</v>
      </c>
      <c r="B99" s="33"/>
      <c r="C99" s="69">
        <f ca="1">IF(TODAY()&gt;=$A99,SUMIFS(Tabla1[Avance_km],Tabla1[Fecha],"&lt;="&amp;'Grafico %'!$A99,Tabla1[nombre_actividad],'Grafico %'!C$1)/(200),NA())</f>
        <v>0.49953000000000025</v>
      </c>
      <c r="D99" s="70">
        <f ca="1">IF(TODAY()&gt;=$A99,SUMIFS(Tabla1[Avance_km],Tabla1[Fecha],"&lt;="&amp;'Grafico %'!$A99,Tabla1[nombre_actividad],'Grafico %'!D$1)/(200),NA())</f>
        <v>0.49953000000000003</v>
      </c>
      <c r="E99" s="70">
        <f ca="1">IF(TODAY()&gt;=$A99,SUMIFS(Tabla1[Avance_km],Tabla1[Fecha],"&lt;="&amp;'Grafico %'!$A99,Tabla1[nombre_actividad],'Grafico %'!E$1,Tabla1[Avance_km],"&gt;0")/(200),NA())</f>
        <v>0.49953000000000031</v>
      </c>
      <c r="F99" s="68">
        <f ca="1">IF(TODAY()&gt;=$A99,SUMIFS(Tabla1[Avance_Med],Tabla1[Fecha],"&lt;="&amp;'Grafico %'!$A99,Tabla1[nombre_actividad],'Grafico %'!F$1)/500,NA())</f>
        <v>0.72399999999999998</v>
      </c>
      <c r="G99" s="70">
        <f ca="1">IF(TODAY()&gt;=$A99,SUMIFS(Tabla1[Avance_km],Tabla1[Fecha],"&lt;="&amp;'Grafico %'!$A99,Tabla1[nombre_actividad],'Grafico %'!G$1)/(200),NA())</f>
        <v>0</v>
      </c>
      <c r="H99" s="70"/>
    </row>
    <row r="100" spans="1:8" x14ac:dyDescent="0.25">
      <c r="A100" s="62">
        <f t="shared" si="1"/>
        <v>46061</v>
      </c>
      <c r="B100" s="33"/>
      <c r="C100" s="69">
        <f ca="1">IF(TODAY()&gt;=$A100,SUMIFS(Tabla1[Avance_km],Tabla1[Fecha],"&lt;="&amp;'Grafico %'!$A100,Tabla1[nombre_actividad],'Grafico %'!C$1)/(200),NA())</f>
        <v>0.49953000000000025</v>
      </c>
      <c r="D100" s="70">
        <f ca="1">IF(TODAY()&gt;=$A100,SUMIFS(Tabla1[Avance_km],Tabla1[Fecha],"&lt;="&amp;'Grafico %'!$A100,Tabla1[nombre_actividad],'Grafico %'!D$1)/(200),NA())</f>
        <v>0.49953000000000003</v>
      </c>
      <c r="E100" s="70">
        <f ca="1">IF(TODAY()&gt;=$A100,SUMIFS(Tabla1[Avance_km],Tabla1[Fecha],"&lt;="&amp;'Grafico %'!$A100,Tabla1[nombre_actividad],'Grafico %'!E$1,Tabla1[Avance_km],"&gt;0")/(200),NA())</f>
        <v>0.49953000000000031</v>
      </c>
      <c r="F100" s="68">
        <f ca="1">IF(TODAY()&gt;=$A100,SUMIFS(Tabla1[Avance_Med],Tabla1[Fecha],"&lt;="&amp;'Grafico %'!$A100,Tabla1[nombre_actividad],'Grafico %'!F$1)/500,NA())</f>
        <v>0.72399999999999998</v>
      </c>
      <c r="G100" s="70">
        <f ca="1">IF(TODAY()&gt;=$A100,SUMIFS(Tabla1[Avance_km],Tabla1[Fecha],"&lt;="&amp;'Grafico %'!$A100,Tabla1[nombre_actividad],'Grafico %'!G$1)/(200),NA())</f>
        <v>0</v>
      </c>
      <c r="H100" s="70"/>
    </row>
    <row r="101" spans="1:8" x14ac:dyDescent="0.25">
      <c r="A101" s="62">
        <f t="shared" si="1"/>
        <v>46062</v>
      </c>
      <c r="B101" s="33"/>
      <c r="C101" s="69">
        <f ca="1">IF(TODAY()&gt;=$A101,SUMIFS(Tabla1[Avance_km],Tabla1[Fecha],"&lt;="&amp;'Grafico %'!$A101,Tabla1[nombre_actividad],'Grafico %'!C$1)/(200),NA())</f>
        <v>0.49953000000000025</v>
      </c>
      <c r="D101" s="70">
        <f ca="1">IF(TODAY()&gt;=$A101,SUMIFS(Tabla1[Avance_km],Tabla1[Fecha],"&lt;="&amp;'Grafico %'!$A101,Tabla1[nombre_actividad],'Grafico %'!D$1)/(200),NA())</f>
        <v>0.49953000000000003</v>
      </c>
      <c r="E101" s="70">
        <f ca="1">IF(TODAY()&gt;=$A101,SUMIFS(Tabla1[Avance_km],Tabla1[Fecha],"&lt;="&amp;'Grafico %'!$A101,Tabla1[nombre_actividad],'Grafico %'!E$1,Tabla1[Avance_km],"&gt;0")/(200),NA())</f>
        <v>0.49953000000000031</v>
      </c>
      <c r="F101" s="68">
        <f ca="1">IF(TODAY()&gt;=$A101,SUMIFS(Tabla1[Avance_Med],Tabla1[Fecha],"&lt;="&amp;'Grafico %'!$A101,Tabla1[nombre_actividad],'Grafico %'!F$1)/500,NA())</f>
        <v>0.72599999999999998</v>
      </c>
      <c r="G101" s="70">
        <f ca="1">IF(TODAY()&gt;=$A101,SUMIFS(Tabla1[Avance_km],Tabla1[Fecha],"&lt;="&amp;'Grafico %'!$A101,Tabla1[nombre_actividad],'Grafico %'!G$1)/(200),NA())</f>
        <v>0</v>
      </c>
      <c r="H101" s="70"/>
    </row>
    <row r="102" spans="1:8" x14ac:dyDescent="0.25">
      <c r="A102" s="62">
        <f t="shared" si="1"/>
        <v>46063</v>
      </c>
      <c r="B102" s="33"/>
      <c r="C102" s="69">
        <f ca="1">IF(TODAY()&gt;=$A102,SUMIFS(Tabla1[Avance_km],Tabla1[Fecha],"&lt;="&amp;'Grafico %'!$A102,Tabla1[nombre_actividad],'Grafico %'!C$1)/(200),NA())</f>
        <v>0.49953000000000025</v>
      </c>
      <c r="D102" s="70">
        <f ca="1">IF(TODAY()&gt;=$A102,SUMIFS(Tabla1[Avance_km],Tabla1[Fecha],"&lt;="&amp;'Grafico %'!$A102,Tabla1[nombre_actividad],'Grafico %'!D$1)/(200),NA())</f>
        <v>0.49953000000000003</v>
      </c>
      <c r="E102" s="70">
        <f ca="1">IF(TODAY()&gt;=$A102,SUMIFS(Tabla1[Avance_km],Tabla1[Fecha],"&lt;="&amp;'Grafico %'!$A102,Tabla1[nombre_actividad],'Grafico %'!E$1,Tabla1[Avance_km],"&gt;0")/(200),NA())</f>
        <v>0.49953000000000031</v>
      </c>
      <c r="F102" s="68">
        <f ca="1">IF(TODAY()&gt;=$A102,SUMIFS(Tabla1[Avance_Med],Tabla1[Fecha],"&lt;="&amp;'Grafico %'!$A102,Tabla1[nombre_actividad],'Grafico %'!F$1)/500,NA())</f>
        <v>0.73399999999999999</v>
      </c>
      <c r="G102" s="70">
        <f ca="1">IF(TODAY()&gt;=$A102,SUMIFS(Tabla1[Avance_km],Tabla1[Fecha],"&lt;="&amp;'Grafico %'!$A102,Tabla1[nombre_actividad],'Grafico %'!G$1)/(200),NA())</f>
        <v>0</v>
      </c>
      <c r="H102" s="70"/>
    </row>
    <row r="103" spans="1:8" x14ac:dyDescent="0.25">
      <c r="A103" s="62">
        <f t="shared" si="1"/>
        <v>46064</v>
      </c>
      <c r="B103" s="33"/>
      <c r="C103" s="69">
        <f ca="1">IF(TODAY()&gt;=$A103,SUMIFS(Tabla1[Avance_km],Tabla1[Fecha],"&lt;="&amp;'Grafico %'!$A103,Tabla1[nombre_actividad],'Grafico %'!C$1)/(200),NA())</f>
        <v>0.49953000000000025</v>
      </c>
      <c r="D103" s="70">
        <f ca="1">IF(TODAY()&gt;=$A103,SUMIFS(Tabla1[Avance_km],Tabla1[Fecha],"&lt;="&amp;'Grafico %'!$A103,Tabla1[nombre_actividad],'Grafico %'!D$1)/(200),NA())</f>
        <v>0.49953000000000003</v>
      </c>
      <c r="E103" s="70">
        <f ca="1">IF(TODAY()&gt;=$A103,SUMIFS(Tabla1[Avance_km],Tabla1[Fecha],"&lt;="&amp;'Grafico %'!$A103,Tabla1[nombre_actividad],'Grafico %'!E$1,Tabla1[Avance_km],"&gt;0")/(200),NA())</f>
        <v>0.49953000000000031</v>
      </c>
      <c r="F103" s="68">
        <f ca="1">IF(TODAY()&gt;=$A103,SUMIFS(Tabla1[Avance_Med],Tabla1[Fecha],"&lt;="&amp;'Grafico %'!$A103,Tabla1[nombre_actividad],'Grafico %'!F$1)/500,NA())</f>
        <v>0.74199999999999999</v>
      </c>
      <c r="G103" s="70">
        <f ca="1">IF(TODAY()&gt;=$A103,SUMIFS(Tabla1[Avance_km],Tabla1[Fecha],"&lt;="&amp;'Grafico %'!$A103,Tabla1[nombre_actividad],'Grafico %'!G$1)/(200),NA())</f>
        <v>0</v>
      </c>
      <c r="H103" s="70"/>
    </row>
    <row r="104" spans="1:8" x14ac:dyDescent="0.25">
      <c r="A104" s="62">
        <f t="shared" si="1"/>
        <v>46065</v>
      </c>
      <c r="B104" s="33"/>
      <c r="C104" s="69">
        <f ca="1">IF(TODAY()&gt;=$A104,SUMIFS(Tabla1[Avance_km],Tabla1[Fecha],"&lt;="&amp;'Grafico %'!$A104,Tabla1[nombre_actividad],'Grafico %'!C$1)/(200),NA())</f>
        <v>0.49953000000000025</v>
      </c>
      <c r="D104" s="70">
        <f ca="1">IF(TODAY()&gt;=$A104,SUMIFS(Tabla1[Avance_km],Tabla1[Fecha],"&lt;="&amp;'Grafico %'!$A104,Tabla1[nombre_actividad],'Grafico %'!D$1)/(200),NA())</f>
        <v>0.49953000000000003</v>
      </c>
      <c r="E104" s="70">
        <f ca="1">IF(TODAY()&gt;=$A104,SUMIFS(Tabla1[Avance_km],Tabla1[Fecha],"&lt;="&amp;'Grafico %'!$A104,Tabla1[nombre_actividad],'Grafico %'!E$1,Tabla1[Avance_km],"&gt;0")/(200),NA())</f>
        <v>0.49953000000000031</v>
      </c>
      <c r="F104" s="68">
        <f ca="1">IF(TODAY()&gt;=$A104,SUMIFS(Tabla1[Avance_Med],Tabla1[Fecha],"&lt;="&amp;'Grafico %'!$A104,Tabla1[nombre_actividad],'Grafico %'!F$1)/500,NA())</f>
        <v>0.752</v>
      </c>
      <c r="G104" s="70">
        <f ca="1">IF(TODAY()&gt;=$A104,SUMIFS(Tabla1[Avance_km],Tabla1[Fecha],"&lt;="&amp;'Grafico %'!$A104,Tabla1[nombre_actividad],'Grafico %'!G$1)/(200),NA())</f>
        <v>0</v>
      </c>
      <c r="H104" s="70"/>
    </row>
    <row r="105" spans="1:8" x14ac:dyDescent="0.25">
      <c r="A105" s="62">
        <f t="shared" si="1"/>
        <v>46066</v>
      </c>
      <c r="B105" s="33">
        <v>1</v>
      </c>
      <c r="C105" s="69">
        <f ca="1">IF(TODAY()&gt;=$A105,SUMIFS(Tabla1[Avance_km],Tabla1[Fecha],"&lt;="&amp;'Grafico %'!$A105,Tabla1[nombre_actividad],'Grafico %'!C$1)/(200),NA())</f>
        <v>0.49953000000000025</v>
      </c>
      <c r="D105" s="70">
        <f ca="1">IF(TODAY()&gt;=$A105,SUMIFS(Tabla1[Avance_km],Tabla1[Fecha],"&lt;="&amp;'Grafico %'!$A105,Tabla1[nombre_actividad],'Grafico %'!D$1)/(200),NA())</f>
        <v>0.49953000000000003</v>
      </c>
      <c r="E105" s="70">
        <f ca="1">IF(TODAY()&gt;=$A105,SUMIFS(Tabla1[Avance_km],Tabla1[Fecha],"&lt;="&amp;'Grafico %'!$A105,Tabla1[nombre_actividad],'Grafico %'!E$1,Tabla1[Avance_km],"&gt;0")/(200),NA())</f>
        <v>0.49953000000000031</v>
      </c>
      <c r="F105" s="68">
        <f ca="1">IF(TODAY()&gt;=$A105,SUMIFS(Tabla1[Avance_Med],Tabla1[Fecha],"&lt;="&amp;'Grafico %'!$A105,Tabla1[nombre_actividad],'Grafico %'!F$1)/500,NA())</f>
        <v>0.752</v>
      </c>
      <c r="G105" s="70">
        <f ca="1">IF(TODAY()&gt;=$A105,SUMIFS(Tabla1[Avance_km],Tabla1[Fecha],"&lt;="&amp;'Grafico %'!$A105,Tabla1[nombre_actividad],'Grafico %'!G$1)/(200),NA())</f>
        <v>0</v>
      </c>
      <c r="H105" s="70"/>
    </row>
    <row r="106" spans="1:8" x14ac:dyDescent="0.25">
      <c r="A106" s="62">
        <f t="shared" si="1"/>
        <v>46067</v>
      </c>
      <c r="B106" s="33">
        <v>1</v>
      </c>
      <c r="C106" s="69">
        <f ca="1">IF(TODAY()&gt;=$A106,SUMIFS(Tabla1[Avance_km],Tabla1[Fecha],"&lt;="&amp;'Grafico %'!$A106,Tabla1[nombre_actividad],'Grafico %'!C$1)/(200),NA())</f>
        <v>0.49953000000000025</v>
      </c>
      <c r="D106" s="70">
        <f ca="1">IF(TODAY()&gt;=$A106,SUMIFS(Tabla1[Avance_km],Tabla1[Fecha],"&lt;="&amp;'Grafico %'!$A106,Tabla1[nombre_actividad],'Grafico %'!D$1)/(200),NA())</f>
        <v>0.49953000000000003</v>
      </c>
      <c r="E106" s="70">
        <f ca="1">IF(TODAY()&gt;=$A106,SUMIFS(Tabla1[Avance_km],Tabla1[Fecha],"&lt;="&amp;'Grafico %'!$A106,Tabla1[nombre_actividad],'Grafico %'!E$1,Tabla1[Avance_km],"&gt;0")/(200),NA())</f>
        <v>0.49953000000000031</v>
      </c>
      <c r="F106" s="68">
        <f ca="1">IF(TODAY()&gt;=$A106,SUMIFS(Tabla1[Avance_Med],Tabla1[Fecha],"&lt;="&amp;'Grafico %'!$A106,Tabla1[nombre_actividad],'Grafico %'!F$1)/500,NA())</f>
        <v>0.752</v>
      </c>
      <c r="G106" s="70">
        <f ca="1">IF(TODAY()&gt;=$A106,SUMIFS(Tabla1[Avance_km],Tabla1[Fecha],"&lt;="&amp;'Grafico %'!$A106,Tabla1[nombre_actividad],'Grafico %'!G$1)/(200),NA())</f>
        <v>0</v>
      </c>
      <c r="H106" s="70"/>
    </row>
    <row r="107" spans="1:8" x14ac:dyDescent="0.25">
      <c r="A107" s="62">
        <f t="shared" si="1"/>
        <v>46068</v>
      </c>
      <c r="B107" s="33">
        <v>1</v>
      </c>
      <c r="C107" s="69">
        <f ca="1">IF(TODAY()&gt;=$A107,SUMIFS(Tabla1[Avance_km],Tabla1[Fecha],"&lt;="&amp;'Grafico %'!$A107,Tabla1[nombre_actividad],'Grafico %'!C$1)/(200),NA())</f>
        <v>0.49953000000000025</v>
      </c>
      <c r="D107" s="70">
        <f ca="1">IF(TODAY()&gt;=$A107,SUMIFS(Tabla1[Avance_km],Tabla1[Fecha],"&lt;="&amp;'Grafico %'!$A107,Tabla1[nombre_actividad],'Grafico %'!D$1)/(200),NA())</f>
        <v>0.49953000000000003</v>
      </c>
      <c r="E107" s="70">
        <f ca="1">IF(TODAY()&gt;=$A107,SUMIFS(Tabla1[Avance_km],Tabla1[Fecha],"&lt;="&amp;'Grafico %'!$A107,Tabla1[nombre_actividad],'Grafico %'!E$1,Tabla1[Avance_km],"&gt;0")/(200),NA())</f>
        <v>0.49953000000000031</v>
      </c>
      <c r="F107" s="68">
        <f ca="1">IF(TODAY()&gt;=$A107,SUMIFS(Tabla1[Avance_Med],Tabla1[Fecha],"&lt;="&amp;'Grafico %'!$A107,Tabla1[nombre_actividad],'Grafico %'!F$1)/500,NA())</f>
        <v>0.752</v>
      </c>
      <c r="G107" s="70">
        <f ca="1">IF(TODAY()&gt;=$A107,SUMIFS(Tabla1[Avance_km],Tabla1[Fecha],"&lt;="&amp;'Grafico %'!$A107,Tabla1[nombre_actividad],'Grafico %'!G$1)/(200),NA())</f>
        <v>0</v>
      </c>
      <c r="H107" s="70"/>
    </row>
    <row r="108" spans="1:8" x14ac:dyDescent="0.25">
      <c r="A108" s="62">
        <f t="shared" si="1"/>
        <v>46069</v>
      </c>
      <c r="B108" s="33">
        <v>1</v>
      </c>
      <c r="C108" s="69">
        <f ca="1">IF(TODAY()&gt;=$A108,SUMIFS(Tabla1[Avance_km],Tabla1[Fecha],"&lt;="&amp;'Grafico %'!$A108,Tabla1[nombre_actividad],'Grafico %'!C$1)/(200),NA())</f>
        <v>0.49953000000000025</v>
      </c>
      <c r="D108" s="70">
        <f ca="1">IF(TODAY()&gt;=$A108,SUMIFS(Tabla1[Avance_km],Tabla1[Fecha],"&lt;="&amp;'Grafico %'!$A108,Tabla1[nombre_actividad],'Grafico %'!D$1)/(200),NA())</f>
        <v>0.49953000000000003</v>
      </c>
      <c r="E108" s="70">
        <f ca="1">IF(TODAY()&gt;=$A108,SUMIFS(Tabla1[Avance_km],Tabla1[Fecha],"&lt;="&amp;'Grafico %'!$A108,Tabla1[nombre_actividad],'Grafico %'!E$1,Tabla1[Avance_km],"&gt;0")/(200),NA())</f>
        <v>0.49953000000000031</v>
      </c>
      <c r="F108" s="68">
        <f ca="1">IF(TODAY()&gt;=$A108,SUMIFS(Tabla1[Avance_Med],Tabla1[Fecha],"&lt;="&amp;'Grafico %'!$A108,Tabla1[nombre_actividad],'Grafico %'!F$1)/500,NA())</f>
        <v>0.752</v>
      </c>
      <c r="G108" s="70">
        <f ca="1">IF(TODAY()&gt;=$A108,SUMIFS(Tabla1[Avance_km],Tabla1[Fecha],"&lt;="&amp;'Grafico %'!$A108,Tabla1[nombre_actividad],'Grafico %'!G$1)/(200),NA())</f>
        <v>0</v>
      </c>
      <c r="H108" s="70"/>
    </row>
    <row r="109" spans="1:8" x14ac:dyDescent="0.25">
      <c r="A109" s="62">
        <f t="shared" si="1"/>
        <v>46070</v>
      </c>
      <c r="B109" s="33">
        <v>1</v>
      </c>
      <c r="C109" s="69">
        <f ca="1">IF(TODAY()&gt;=$A109,SUMIFS(Tabla1[Avance_km],Tabla1[Fecha],"&lt;="&amp;'Grafico %'!$A109,Tabla1[nombre_actividad],'Grafico %'!C$1)/(200),NA())</f>
        <v>0.49953000000000025</v>
      </c>
      <c r="D109" s="70">
        <f ca="1">IF(TODAY()&gt;=$A109,SUMIFS(Tabla1[Avance_km],Tabla1[Fecha],"&lt;="&amp;'Grafico %'!$A109,Tabla1[nombre_actividad],'Grafico %'!D$1)/(200),NA())</f>
        <v>0.49953000000000003</v>
      </c>
      <c r="E109" s="70">
        <f ca="1">IF(TODAY()&gt;=$A109,SUMIFS(Tabla1[Avance_km],Tabla1[Fecha],"&lt;="&amp;'Grafico %'!$A109,Tabla1[nombre_actividad],'Grafico %'!E$1,Tabla1[Avance_km],"&gt;0")/(200),NA())</f>
        <v>0.49953000000000031</v>
      </c>
      <c r="F109" s="68">
        <f ca="1">IF(TODAY()&gt;=$A109,SUMIFS(Tabla1[Avance_Med],Tabla1[Fecha],"&lt;="&amp;'Grafico %'!$A109,Tabla1[nombre_actividad],'Grafico %'!F$1)/500,NA())</f>
        <v>0.752</v>
      </c>
      <c r="G109" s="70">
        <f ca="1">IF(TODAY()&gt;=$A109,SUMIFS(Tabla1[Avance_km],Tabla1[Fecha],"&lt;="&amp;'Grafico %'!$A109,Tabla1[nombre_actividad],'Grafico %'!G$1)/(200),NA())</f>
        <v>0</v>
      </c>
      <c r="H109" s="70"/>
    </row>
    <row r="110" spans="1:8" x14ac:dyDescent="0.25">
      <c r="A110" s="62">
        <f t="shared" si="1"/>
        <v>46071</v>
      </c>
      <c r="B110" s="33">
        <v>1</v>
      </c>
      <c r="C110" s="69">
        <f ca="1">IF(TODAY()&gt;=$A110,SUMIFS(Tabla1[Avance_km],Tabla1[Fecha],"&lt;="&amp;'Grafico %'!$A110,Tabla1[nombre_actividad],'Grafico %'!C$1)/(200),NA())</f>
        <v>0.49953000000000025</v>
      </c>
      <c r="D110" s="70">
        <f ca="1">IF(TODAY()&gt;=$A110,SUMIFS(Tabla1[Avance_km],Tabla1[Fecha],"&lt;="&amp;'Grafico %'!$A110,Tabla1[nombre_actividad],'Grafico %'!D$1)/(200),NA())</f>
        <v>0.49953000000000003</v>
      </c>
      <c r="E110" s="70">
        <f ca="1">IF(TODAY()&gt;=$A110,SUMIFS(Tabla1[Avance_km],Tabla1[Fecha],"&lt;="&amp;'Grafico %'!$A110,Tabla1[nombre_actividad],'Grafico %'!E$1,Tabla1[Avance_km],"&gt;0")/(200),NA())</f>
        <v>0.49953000000000031</v>
      </c>
      <c r="F110" s="68">
        <f ca="1">IF(TODAY()&gt;=$A110,SUMIFS(Tabla1[Avance_Med],Tabla1[Fecha],"&lt;="&amp;'Grafico %'!$A110,Tabla1[nombre_actividad],'Grafico %'!F$1)/500,NA())</f>
        <v>0.752</v>
      </c>
      <c r="G110" s="70">
        <f ca="1">IF(TODAY()&gt;=$A110,SUMIFS(Tabla1[Avance_km],Tabla1[Fecha],"&lt;="&amp;'Grafico %'!$A110,Tabla1[nombre_actividad],'Grafico %'!G$1)/(200),NA())</f>
        <v>0</v>
      </c>
      <c r="H110" s="70"/>
    </row>
    <row r="111" spans="1:8" x14ac:dyDescent="0.25">
      <c r="A111" s="62">
        <f t="shared" si="1"/>
        <v>46072</v>
      </c>
      <c r="B111" s="33">
        <v>1</v>
      </c>
      <c r="C111" s="69">
        <f ca="1">IF(TODAY()&gt;=$A111,SUMIFS(Tabla1[Avance_km],Tabla1[Fecha],"&lt;="&amp;'Grafico %'!$A111,Tabla1[nombre_actividad],'Grafico %'!C$1)/(200),NA())</f>
        <v>0.49953000000000025</v>
      </c>
      <c r="D111" s="70">
        <f ca="1">IF(TODAY()&gt;=$A111,SUMIFS(Tabla1[Avance_km],Tabla1[Fecha],"&lt;="&amp;'Grafico %'!$A111,Tabla1[nombre_actividad],'Grafico %'!D$1)/(200),NA())</f>
        <v>0.49953000000000003</v>
      </c>
      <c r="E111" s="70">
        <f ca="1">IF(TODAY()&gt;=$A111,SUMIFS(Tabla1[Avance_km],Tabla1[Fecha],"&lt;="&amp;'Grafico %'!$A111,Tabla1[nombre_actividad],'Grafico %'!E$1,Tabla1[Avance_km],"&gt;0")/(200),NA())</f>
        <v>0.49953000000000031</v>
      </c>
      <c r="F111" s="68">
        <f ca="1">IF(TODAY()&gt;=$A111,SUMIFS(Tabla1[Avance_Med],Tabla1[Fecha],"&lt;="&amp;'Grafico %'!$A111,Tabla1[nombre_actividad],'Grafico %'!F$1)/500,NA())</f>
        <v>0.752</v>
      </c>
      <c r="G111" s="70">
        <f ca="1">IF(TODAY()&gt;=$A111,SUMIFS(Tabla1[Avance_km],Tabla1[Fecha],"&lt;="&amp;'Grafico %'!$A111,Tabla1[nombre_actividad],'Grafico %'!G$1)/(200),NA())</f>
        <v>0</v>
      </c>
      <c r="H111" s="70"/>
    </row>
    <row r="112" spans="1:8" x14ac:dyDescent="0.25">
      <c r="A112" s="62">
        <f t="shared" si="1"/>
        <v>46073</v>
      </c>
      <c r="B112" s="33">
        <v>1</v>
      </c>
      <c r="C112" s="69">
        <f ca="1">IF(TODAY()&gt;=$A112,SUMIFS(Tabla1[Avance_km],Tabla1[Fecha],"&lt;="&amp;'Grafico %'!$A112,Tabla1[nombre_actividad],'Grafico %'!C$1)/(200),NA())</f>
        <v>0.49953000000000025</v>
      </c>
      <c r="D112" s="70">
        <f ca="1">IF(TODAY()&gt;=$A112,SUMIFS(Tabla1[Avance_km],Tabla1[Fecha],"&lt;="&amp;'Grafico %'!$A112,Tabla1[nombre_actividad],'Grafico %'!D$1)/(200),NA())</f>
        <v>0.49953000000000003</v>
      </c>
      <c r="E112" s="70">
        <f ca="1">IF(TODAY()&gt;=$A112,SUMIFS(Tabla1[Avance_km],Tabla1[Fecha],"&lt;="&amp;'Grafico %'!$A112,Tabla1[nombre_actividad],'Grafico %'!E$1,Tabla1[Avance_km],"&gt;0")/(200),NA())</f>
        <v>0.49953000000000031</v>
      </c>
      <c r="F112" s="68">
        <f ca="1">IF(TODAY()&gt;=$A112,SUMIFS(Tabla1[Avance_Med],Tabla1[Fecha],"&lt;="&amp;'Grafico %'!$A112,Tabla1[nombre_actividad],'Grafico %'!F$1)/500,NA())</f>
        <v>0.752</v>
      </c>
      <c r="G112" s="70">
        <f ca="1">IF(TODAY()&gt;=$A112,SUMIFS(Tabla1[Avance_km],Tabla1[Fecha],"&lt;="&amp;'Grafico %'!$A112,Tabla1[nombre_actividad],'Grafico %'!G$1)/(200),NA())</f>
        <v>0</v>
      </c>
      <c r="H112" s="70"/>
    </row>
    <row r="113" spans="1:8" x14ac:dyDescent="0.25">
      <c r="A113" s="62">
        <f t="shared" si="1"/>
        <v>46074</v>
      </c>
      <c r="B113" s="33">
        <v>1</v>
      </c>
      <c r="C113" s="69">
        <f ca="1">IF(TODAY()&gt;=$A113,SUMIFS(Tabla1[Avance_km],Tabla1[Fecha],"&lt;="&amp;'Grafico %'!$A113,Tabla1[nombre_actividad],'Grafico %'!C$1)/(200),NA())</f>
        <v>0.49953000000000025</v>
      </c>
      <c r="D113" s="70">
        <f ca="1">IF(TODAY()&gt;=$A113,SUMIFS(Tabla1[Avance_km],Tabla1[Fecha],"&lt;="&amp;'Grafico %'!$A113,Tabla1[nombre_actividad],'Grafico %'!D$1)/(200),NA())</f>
        <v>0.49953000000000003</v>
      </c>
      <c r="E113" s="70">
        <f ca="1">IF(TODAY()&gt;=$A113,SUMIFS(Tabla1[Avance_km],Tabla1[Fecha],"&lt;="&amp;'Grafico %'!$A113,Tabla1[nombre_actividad],'Grafico %'!E$1,Tabla1[Avance_km],"&gt;0")/(200),NA())</f>
        <v>0.49953000000000031</v>
      </c>
      <c r="F113" s="68">
        <f ca="1">IF(TODAY()&gt;=$A113,SUMIFS(Tabla1[Avance_Med],Tabla1[Fecha],"&lt;="&amp;'Grafico %'!$A113,Tabla1[nombre_actividad],'Grafico %'!F$1)/500,NA())</f>
        <v>0.752</v>
      </c>
      <c r="G113" s="70">
        <f ca="1">IF(TODAY()&gt;=$A113,SUMIFS(Tabla1[Avance_km],Tabla1[Fecha],"&lt;="&amp;'Grafico %'!$A113,Tabla1[nombre_actividad],'Grafico %'!G$1)/(200),NA())</f>
        <v>0</v>
      </c>
      <c r="H113" s="70"/>
    </row>
    <row r="114" spans="1:8" x14ac:dyDescent="0.25">
      <c r="A114" s="62">
        <f t="shared" si="1"/>
        <v>46075</v>
      </c>
      <c r="B114" s="33">
        <v>1</v>
      </c>
      <c r="C114" s="69">
        <f ca="1">IF(TODAY()&gt;=$A114,SUMIFS(Tabla1[Avance_km],Tabla1[Fecha],"&lt;="&amp;'Grafico %'!$A114,Tabla1[nombre_actividad],'Grafico %'!C$1)/(200),NA())</f>
        <v>0.49953000000000025</v>
      </c>
      <c r="D114" s="70">
        <f ca="1">IF(TODAY()&gt;=$A114,SUMIFS(Tabla1[Avance_km],Tabla1[Fecha],"&lt;="&amp;'Grafico %'!$A114,Tabla1[nombre_actividad],'Grafico %'!D$1)/(200),NA())</f>
        <v>0.49953000000000003</v>
      </c>
      <c r="E114" s="70">
        <f ca="1">IF(TODAY()&gt;=$A114,SUMIFS(Tabla1[Avance_km],Tabla1[Fecha],"&lt;="&amp;'Grafico %'!$A114,Tabla1[nombre_actividad],'Grafico %'!E$1,Tabla1[Avance_km],"&gt;0")/(200),NA())</f>
        <v>0.49953000000000031</v>
      </c>
      <c r="F114" s="68">
        <f ca="1">IF(TODAY()&gt;=$A114,SUMIFS(Tabla1[Avance_Med],Tabla1[Fecha],"&lt;="&amp;'Grafico %'!$A114,Tabla1[nombre_actividad],'Grafico %'!F$1)/500,NA())</f>
        <v>0.752</v>
      </c>
      <c r="G114" s="70">
        <f ca="1">IF(TODAY()&gt;=$A114,SUMIFS(Tabla1[Avance_km],Tabla1[Fecha],"&lt;="&amp;'Grafico %'!$A114,Tabla1[nombre_actividad],'Grafico %'!G$1)/(200),NA())</f>
        <v>0</v>
      </c>
      <c r="H114" s="70"/>
    </row>
    <row r="115" spans="1:8" x14ac:dyDescent="0.25">
      <c r="A115" s="62">
        <f t="shared" si="1"/>
        <v>46076</v>
      </c>
      <c r="B115" s="33">
        <v>1</v>
      </c>
      <c r="C115" s="69">
        <f ca="1">IF(TODAY()&gt;=$A115,SUMIFS(Tabla1[Avance_km],Tabla1[Fecha],"&lt;="&amp;'Grafico %'!$A115,Tabla1[nombre_actividad],'Grafico %'!C$1)/(200),NA())</f>
        <v>0.49953000000000025</v>
      </c>
      <c r="D115" s="70">
        <f ca="1">IF(TODAY()&gt;=$A115,SUMIFS(Tabla1[Avance_km],Tabla1[Fecha],"&lt;="&amp;'Grafico %'!$A115,Tabla1[nombre_actividad],'Grafico %'!D$1)/(200),NA())</f>
        <v>0.49953000000000003</v>
      </c>
      <c r="E115" s="70">
        <f ca="1">IF(TODAY()&gt;=$A115,SUMIFS(Tabla1[Avance_km],Tabla1[Fecha],"&lt;="&amp;'Grafico %'!$A115,Tabla1[nombre_actividad],'Grafico %'!E$1,Tabla1[Avance_km],"&gt;0")/(200),NA())</f>
        <v>0.49953000000000031</v>
      </c>
      <c r="F115" s="68">
        <f ca="1">IF(TODAY()&gt;=$A115,SUMIFS(Tabla1[Avance_Med],Tabla1[Fecha],"&lt;="&amp;'Grafico %'!$A115,Tabla1[nombre_actividad],'Grafico %'!F$1)/500,NA())</f>
        <v>0.752</v>
      </c>
      <c r="G115" s="70">
        <f ca="1">IF(TODAY()&gt;=$A115,SUMIFS(Tabla1[Avance_km],Tabla1[Fecha],"&lt;="&amp;'Grafico %'!$A115,Tabla1[nombre_actividad],'Grafico %'!G$1)/(200),NA())</f>
        <v>0</v>
      </c>
      <c r="H115" s="70"/>
    </row>
    <row r="116" spans="1:8" x14ac:dyDescent="0.25">
      <c r="A116" s="62">
        <f t="shared" si="1"/>
        <v>46077</v>
      </c>
      <c r="B116" s="33">
        <v>1</v>
      </c>
      <c r="C116" s="69">
        <f ca="1">IF(TODAY()&gt;=$A116,SUMIFS(Tabla1[Avance_km],Tabla1[Fecha],"&lt;="&amp;'Grafico %'!$A116,Tabla1[nombre_actividad],'Grafico %'!C$1)/(200),NA())</f>
        <v>0.49953000000000025</v>
      </c>
      <c r="D116" s="70">
        <f ca="1">IF(TODAY()&gt;=$A116,SUMIFS(Tabla1[Avance_km],Tabla1[Fecha],"&lt;="&amp;'Grafico %'!$A116,Tabla1[nombre_actividad],'Grafico %'!D$1)/(200),NA())</f>
        <v>0.49953000000000003</v>
      </c>
      <c r="E116" s="70">
        <f ca="1">IF(TODAY()&gt;=$A116,SUMIFS(Tabla1[Avance_km],Tabla1[Fecha],"&lt;="&amp;'Grafico %'!$A116,Tabla1[nombre_actividad],'Grafico %'!E$1,Tabla1[Avance_km],"&gt;0")/(200),NA())</f>
        <v>0.49953000000000031</v>
      </c>
      <c r="F116" s="68">
        <f ca="1">IF(TODAY()&gt;=$A116,SUMIFS(Tabla1[Avance_Med],Tabla1[Fecha],"&lt;="&amp;'Grafico %'!$A116,Tabla1[nombre_actividad],'Grafico %'!F$1)/500,NA())</f>
        <v>0.752</v>
      </c>
      <c r="G116" s="70">
        <f ca="1">IF(TODAY()&gt;=$A116,SUMIFS(Tabla1[Avance_km],Tabla1[Fecha],"&lt;="&amp;'Grafico %'!$A116,Tabla1[nombre_actividad],'Grafico %'!G$1)/(200),NA())</f>
        <v>0</v>
      </c>
      <c r="H116" s="70"/>
    </row>
    <row r="117" spans="1:8" x14ac:dyDescent="0.25">
      <c r="A117" s="62">
        <f t="shared" si="1"/>
        <v>46078</v>
      </c>
      <c r="B117" s="33">
        <v>1</v>
      </c>
      <c r="C117" s="69">
        <f ca="1">IF(TODAY()&gt;=$A117,SUMIFS(Tabla1[Avance_km],Tabla1[Fecha],"&lt;="&amp;'Grafico %'!$A117,Tabla1[nombre_actividad],'Grafico %'!C$1)/(200),NA())</f>
        <v>0.49953000000000025</v>
      </c>
      <c r="D117" s="70">
        <f ca="1">IF(TODAY()&gt;=$A117,SUMIFS(Tabla1[Avance_km],Tabla1[Fecha],"&lt;="&amp;'Grafico %'!$A117,Tabla1[nombre_actividad],'Grafico %'!D$1)/(200),NA())</f>
        <v>0.49953000000000003</v>
      </c>
      <c r="E117" s="70">
        <f ca="1">IF(TODAY()&gt;=$A117,SUMIFS(Tabla1[Avance_km],Tabla1[Fecha],"&lt;="&amp;'Grafico %'!$A117,Tabla1[nombre_actividad],'Grafico %'!E$1,Tabla1[Avance_km],"&gt;0")/(200),NA())</f>
        <v>0.49953000000000031</v>
      </c>
      <c r="F117" s="68">
        <f ca="1">IF(TODAY()&gt;=$A117,SUMIFS(Tabla1[Avance_Med],Tabla1[Fecha],"&lt;="&amp;'Grafico %'!$A117,Tabla1[nombre_actividad],'Grafico %'!F$1)/500,NA())</f>
        <v>0.752</v>
      </c>
      <c r="G117" s="70">
        <f ca="1">IF(TODAY()&gt;=$A117,SUMIFS(Tabla1[Avance_km],Tabla1[Fecha],"&lt;="&amp;'Grafico %'!$A117,Tabla1[nombre_actividad],'Grafico %'!G$1)/(200),NA())</f>
        <v>0</v>
      </c>
      <c r="H117" s="70"/>
    </row>
    <row r="118" spans="1:8" x14ac:dyDescent="0.25">
      <c r="A118" s="62">
        <f t="shared" si="1"/>
        <v>46079</v>
      </c>
      <c r="B118" s="33">
        <v>1</v>
      </c>
      <c r="C118" s="69">
        <f ca="1">IF(TODAY()&gt;=$A118,SUMIFS(Tabla1[Avance_km],Tabla1[Fecha],"&lt;="&amp;'Grafico %'!$A118,Tabla1[nombre_actividad],'Grafico %'!C$1)/(200),NA())</f>
        <v>0.49953000000000025</v>
      </c>
      <c r="D118" s="70">
        <f ca="1">IF(TODAY()&gt;=$A118,SUMIFS(Tabla1[Avance_km],Tabla1[Fecha],"&lt;="&amp;'Grafico %'!$A118,Tabla1[nombre_actividad],'Grafico %'!D$1)/(200),NA())</f>
        <v>0.49953000000000003</v>
      </c>
      <c r="E118" s="70">
        <f ca="1">IF(TODAY()&gt;=$A118,SUMIFS(Tabla1[Avance_km],Tabla1[Fecha],"&lt;="&amp;'Grafico %'!$A118,Tabla1[nombre_actividad],'Grafico %'!E$1,Tabla1[Avance_km],"&gt;0")/(200),NA())</f>
        <v>0.49953000000000031</v>
      </c>
      <c r="F118" s="68">
        <f ca="1">IF(TODAY()&gt;=$A118,SUMIFS(Tabla1[Avance_Med],Tabla1[Fecha],"&lt;="&amp;'Grafico %'!$A118,Tabla1[nombre_actividad],'Grafico %'!F$1)/500,NA())</f>
        <v>0.752</v>
      </c>
      <c r="G118" s="70">
        <f ca="1">IF(TODAY()&gt;=$A118,SUMIFS(Tabla1[Avance_km],Tabla1[Fecha],"&lt;="&amp;'Grafico %'!$A118,Tabla1[nombre_actividad],'Grafico %'!G$1)/(200),NA())</f>
        <v>0</v>
      </c>
      <c r="H118" s="70"/>
    </row>
    <row r="119" spans="1:8" x14ac:dyDescent="0.25">
      <c r="A119" s="62">
        <f t="shared" si="1"/>
        <v>46080</v>
      </c>
      <c r="B119" s="33">
        <v>1</v>
      </c>
      <c r="C119" s="69">
        <f ca="1">IF(TODAY()&gt;=$A119,SUMIFS(Tabla1[Avance_km],Tabla1[Fecha],"&lt;="&amp;'Grafico %'!$A119,Tabla1[nombre_actividad],'Grafico %'!C$1)/(200),NA())</f>
        <v>0.49953000000000025</v>
      </c>
      <c r="D119" s="70">
        <f ca="1">IF(TODAY()&gt;=$A119,SUMIFS(Tabla1[Avance_km],Tabla1[Fecha],"&lt;="&amp;'Grafico %'!$A119,Tabla1[nombre_actividad],'Grafico %'!D$1)/(200),NA())</f>
        <v>0.49953000000000003</v>
      </c>
      <c r="E119" s="70">
        <f ca="1">IF(TODAY()&gt;=$A119,SUMIFS(Tabla1[Avance_km],Tabla1[Fecha],"&lt;="&amp;'Grafico %'!$A119,Tabla1[nombre_actividad],'Grafico %'!E$1,Tabla1[Avance_km],"&gt;0")/(200),NA())</f>
        <v>0.49953000000000031</v>
      </c>
      <c r="F119" s="68">
        <f ca="1">IF(TODAY()&gt;=$A119,SUMIFS(Tabla1[Avance_Med],Tabla1[Fecha],"&lt;="&amp;'Grafico %'!$A119,Tabla1[nombre_actividad],'Grafico %'!F$1)/500,NA())</f>
        <v>0.752</v>
      </c>
      <c r="G119" s="70">
        <f ca="1">IF(TODAY()&gt;=$A119,SUMIFS(Tabla1[Avance_km],Tabla1[Fecha],"&lt;="&amp;'Grafico %'!$A119,Tabla1[nombre_actividad],'Grafico %'!G$1)/(200),NA())</f>
        <v>0</v>
      </c>
      <c r="H119" s="70"/>
    </row>
    <row r="120" spans="1:8" x14ac:dyDescent="0.25">
      <c r="A120" s="62">
        <f t="shared" si="1"/>
        <v>46081</v>
      </c>
      <c r="B120" s="33">
        <v>1</v>
      </c>
      <c r="C120" s="69">
        <f ca="1">IF(TODAY()&gt;=$A120,SUMIFS(Tabla1[Avance_km],Tabla1[Fecha],"&lt;="&amp;'Grafico %'!$A120,Tabla1[nombre_actividad],'Grafico %'!C$1)/(200),NA())</f>
        <v>0.49953000000000025</v>
      </c>
      <c r="D120" s="70">
        <f ca="1">IF(TODAY()&gt;=$A120,SUMIFS(Tabla1[Avance_km],Tabla1[Fecha],"&lt;="&amp;'Grafico %'!$A120,Tabla1[nombre_actividad],'Grafico %'!D$1)/(200),NA())</f>
        <v>0.49953000000000003</v>
      </c>
      <c r="E120" s="70">
        <f ca="1">IF(TODAY()&gt;=$A120,SUMIFS(Tabla1[Avance_km],Tabla1[Fecha],"&lt;="&amp;'Grafico %'!$A120,Tabla1[nombre_actividad],'Grafico %'!E$1,Tabla1[Avance_km],"&gt;0")/(200),NA())</f>
        <v>0.49953000000000031</v>
      </c>
      <c r="F120" s="68">
        <f ca="1">IF(TODAY()&gt;=$A120,SUMIFS(Tabla1[Avance_Med],Tabla1[Fecha],"&lt;="&amp;'Grafico %'!$A120,Tabla1[nombre_actividad],'Grafico %'!F$1)/500,NA())</f>
        <v>0.752</v>
      </c>
      <c r="G120" s="70">
        <f ca="1">IF(TODAY()&gt;=$A120,SUMIFS(Tabla1[Avance_km],Tabla1[Fecha],"&lt;="&amp;'Grafico %'!$A120,Tabla1[nombre_actividad],'Grafico %'!G$1)/(200),NA())</f>
        <v>0</v>
      </c>
      <c r="H120" s="70"/>
    </row>
    <row r="121" spans="1:8" x14ac:dyDescent="0.25">
      <c r="A121" s="62">
        <f t="shared" si="1"/>
        <v>46082</v>
      </c>
      <c r="B121" s="33">
        <v>1</v>
      </c>
      <c r="C121" s="69">
        <f ca="1">IF(TODAY()&gt;=$A121,SUMIFS(Tabla1[Avance_km],Tabla1[Fecha],"&lt;="&amp;'Grafico %'!$A121,Tabla1[nombre_actividad],'Grafico %'!C$1)/(200),NA())</f>
        <v>0.49953000000000025</v>
      </c>
      <c r="D121" s="70">
        <f ca="1">IF(TODAY()&gt;=$A121,SUMIFS(Tabla1[Avance_km],Tabla1[Fecha],"&lt;="&amp;'Grafico %'!$A121,Tabla1[nombre_actividad],'Grafico %'!D$1)/(200),NA())</f>
        <v>0.49953000000000003</v>
      </c>
      <c r="E121" s="70">
        <f ca="1">IF(TODAY()&gt;=$A121,SUMIFS(Tabla1[Avance_km],Tabla1[Fecha],"&lt;="&amp;'Grafico %'!$A121,Tabla1[nombre_actividad],'Grafico %'!E$1,Tabla1[Avance_km],"&gt;0")/(200),NA())</f>
        <v>0.49953000000000031</v>
      </c>
      <c r="F121" s="68">
        <f ca="1">IF(TODAY()&gt;=$A121,SUMIFS(Tabla1[Avance_Med],Tabla1[Fecha],"&lt;="&amp;'Grafico %'!$A121,Tabla1[nombre_actividad],'Grafico %'!F$1)/500,NA())</f>
        <v>0.752</v>
      </c>
      <c r="G121" s="70">
        <f ca="1">IF(TODAY()&gt;=$A121,SUMIFS(Tabla1[Avance_km],Tabla1[Fecha],"&lt;="&amp;'Grafico %'!$A121,Tabla1[nombre_actividad],'Grafico %'!G$1)/(200),NA())</f>
        <v>0</v>
      </c>
      <c r="H121" s="70"/>
    </row>
    <row r="122" spans="1:8" x14ac:dyDescent="0.25">
      <c r="A122" s="62">
        <f t="shared" si="1"/>
        <v>46083</v>
      </c>
      <c r="B122" s="33">
        <v>1</v>
      </c>
      <c r="C122" s="69">
        <f ca="1">IF(TODAY()&gt;=$A122,SUMIFS(Tabla1[Avance_km],Tabla1[Fecha],"&lt;="&amp;'Grafico %'!$A122,Tabla1[nombre_actividad],'Grafico %'!C$1)/(200),NA())</f>
        <v>0.49953000000000025</v>
      </c>
      <c r="D122" s="70">
        <f ca="1">IF(TODAY()&gt;=$A122,SUMIFS(Tabla1[Avance_km],Tabla1[Fecha],"&lt;="&amp;'Grafico %'!$A122,Tabla1[nombre_actividad],'Grafico %'!D$1)/(200),NA())</f>
        <v>0.49953000000000003</v>
      </c>
      <c r="E122" s="70">
        <f ca="1">IF(TODAY()&gt;=$A122,SUMIFS(Tabla1[Avance_km],Tabla1[Fecha],"&lt;="&amp;'Grafico %'!$A122,Tabla1[nombre_actividad],'Grafico %'!E$1,Tabla1[Avance_km],"&gt;0")/(200),NA())</f>
        <v>0.49953000000000031</v>
      </c>
      <c r="F122" s="68">
        <f ca="1">IF(TODAY()&gt;=$A122,SUMIFS(Tabla1[Avance_Med],Tabla1[Fecha],"&lt;="&amp;'Grafico %'!$A122,Tabla1[nombre_actividad],'Grafico %'!F$1)/500,NA())</f>
        <v>0.752</v>
      </c>
      <c r="G122" s="70">
        <f ca="1">IF(TODAY()&gt;=$A122,SUMIFS(Tabla1[Avance_km],Tabla1[Fecha],"&lt;="&amp;'Grafico %'!$A122,Tabla1[nombre_actividad],'Grafico %'!G$1)/(200),NA())</f>
        <v>0</v>
      </c>
      <c r="H122" s="70"/>
    </row>
    <row r="123" spans="1:8" x14ac:dyDescent="0.25">
      <c r="A123" s="62">
        <f t="shared" si="1"/>
        <v>46084</v>
      </c>
      <c r="B123" s="33">
        <v>1</v>
      </c>
      <c r="C123" s="69">
        <f ca="1">IF(TODAY()&gt;=$A123,SUMIFS(Tabla1[Avance_km],Tabla1[Fecha],"&lt;="&amp;'Grafico %'!$A123,Tabla1[nombre_actividad],'Grafico %'!C$1)/(200),NA())</f>
        <v>0.49953000000000025</v>
      </c>
      <c r="D123" s="70">
        <f ca="1">IF(TODAY()&gt;=$A123,SUMIFS(Tabla1[Avance_km],Tabla1[Fecha],"&lt;="&amp;'Grafico %'!$A123,Tabla1[nombre_actividad],'Grafico %'!D$1)/(200),NA())</f>
        <v>0.49953000000000003</v>
      </c>
      <c r="E123" s="70">
        <f ca="1">IF(TODAY()&gt;=$A123,SUMIFS(Tabla1[Avance_km],Tabla1[Fecha],"&lt;="&amp;'Grafico %'!$A123,Tabla1[nombre_actividad],'Grafico %'!E$1,Tabla1[Avance_km],"&gt;0")/(200),NA())</f>
        <v>0.49953000000000031</v>
      </c>
      <c r="F123" s="68">
        <f ca="1">IF(TODAY()&gt;=$A123,SUMIFS(Tabla1[Avance_Med],Tabla1[Fecha],"&lt;="&amp;'Grafico %'!$A123,Tabla1[nombre_actividad],'Grafico %'!F$1)/500,NA())</f>
        <v>0.752</v>
      </c>
      <c r="G123" s="70">
        <f ca="1">IF(TODAY()&gt;=$A123,SUMIFS(Tabla1[Avance_km],Tabla1[Fecha],"&lt;="&amp;'Grafico %'!$A123,Tabla1[nombre_actividad],'Grafico %'!G$1)/(200),NA())</f>
        <v>0</v>
      </c>
      <c r="H123" s="70"/>
    </row>
    <row r="124" spans="1:8" x14ac:dyDescent="0.25">
      <c r="A124" s="62">
        <f t="shared" si="1"/>
        <v>46085</v>
      </c>
      <c r="B124" s="33">
        <v>1</v>
      </c>
      <c r="C124" s="69">
        <f ca="1">IF(TODAY()&gt;=$A124,SUMIFS(Tabla1[Avance_km],Tabla1[Fecha],"&lt;="&amp;'Grafico %'!$A124,Tabla1[nombre_actividad],'Grafico %'!C$1)/(200),NA())</f>
        <v>0.49953000000000025</v>
      </c>
      <c r="D124" s="70">
        <f ca="1">IF(TODAY()&gt;=$A124,SUMIFS(Tabla1[Avance_km],Tabla1[Fecha],"&lt;="&amp;'Grafico %'!$A124,Tabla1[nombre_actividad],'Grafico %'!D$1)/(200),NA())</f>
        <v>0.49953000000000003</v>
      </c>
      <c r="E124" s="70">
        <f ca="1">IF(TODAY()&gt;=$A124,SUMIFS(Tabla1[Avance_km],Tabla1[Fecha],"&lt;="&amp;'Grafico %'!$A124,Tabla1[nombre_actividad],'Grafico %'!E$1,Tabla1[Avance_km],"&gt;0")/(200),NA())</f>
        <v>0.49953000000000031</v>
      </c>
      <c r="F124" s="68">
        <f ca="1">IF(TODAY()&gt;=$A124,SUMIFS(Tabla1[Avance_Med],Tabla1[Fecha],"&lt;="&amp;'Grafico %'!$A124,Tabla1[nombre_actividad],'Grafico %'!F$1)/500,NA())</f>
        <v>0.752</v>
      </c>
      <c r="G124" s="70">
        <f ca="1">IF(TODAY()&gt;=$A124,SUMIFS(Tabla1[Avance_km],Tabla1[Fecha],"&lt;="&amp;'Grafico %'!$A124,Tabla1[nombre_actividad],'Grafico %'!G$1)/(200),NA())</f>
        <v>0</v>
      </c>
      <c r="H124" s="70"/>
    </row>
    <row r="125" spans="1:8" x14ac:dyDescent="0.25">
      <c r="A125" s="62">
        <f t="shared" si="1"/>
        <v>46086</v>
      </c>
      <c r="B125" s="33">
        <v>1</v>
      </c>
      <c r="C125" s="69">
        <f ca="1">IF(TODAY()&gt;=$A125,SUMIFS(Tabla1[Avance_km],Tabla1[Fecha],"&lt;="&amp;'Grafico %'!$A125,Tabla1[nombre_actividad],'Grafico %'!C$1)/(200),NA())</f>
        <v>0.49953000000000025</v>
      </c>
      <c r="D125" s="70">
        <f ca="1">IF(TODAY()&gt;=$A125,SUMIFS(Tabla1[Avance_km],Tabla1[Fecha],"&lt;="&amp;'Grafico %'!$A125,Tabla1[nombre_actividad],'Grafico %'!D$1)/(200),NA())</f>
        <v>0.49953000000000003</v>
      </c>
      <c r="E125" s="70">
        <f ca="1">IF(TODAY()&gt;=$A125,SUMIFS(Tabla1[Avance_km],Tabla1[Fecha],"&lt;="&amp;'Grafico %'!$A125,Tabla1[nombre_actividad],'Grafico %'!E$1,Tabla1[Avance_km],"&gt;0")/(200),NA())</f>
        <v>0.49953000000000031</v>
      </c>
      <c r="F125" s="68">
        <f ca="1">IF(TODAY()&gt;=$A125,SUMIFS(Tabla1[Avance_Med],Tabla1[Fecha],"&lt;="&amp;'Grafico %'!$A125,Tabla1[nombre_actividad],'Grafico %'!F$1)/500,NA())</f>
        <v>0.752</v>
      </c>
      <c r="G125" s="70">
        <f ca="1">IF(TODAY()&gt;=$A125,SUMIFS(Tabla1[Avance_km],Tabla1[Fecha],"&lt;="&amp;'Grafico %'!$A125,Tabla1[nombre_actividad],'Grafico %'!G$1)/(200),NA())</f>
        <v>0</v>
      </c>
      <c r="H125" s="70"/>
    </row>
    <row r="126" spans="1:8" x14ac:dyDescent="0.25">
      <c r="A126" s="62">
        <f t="shared" si="1"/>
        <v>46087</v>
      </c>
      <c r="B126" s="33">
        <v>1</v>
      </c>
      <c r="C126" s="69">
        <f ca="1">IF(TODAY()&gt;=$A126,SUMIFS(Tabla1[Avance_km],Tabla1[Fecha],"&lt;="&amp;'Grafico %'!$A126,Tabla1[nombre_actividad],'Grafico %'!C$1)/(200),NA())</f>
        <v>0.49953000000000025</v>
      </c>
      <c r="D126" s="70">
        <f ca="1">IF(TODAY()&gt;=$A126,SUMIFS(Tabla1[Avance_km],Tabla1[Fecha],"&lt;="&amp;'Grafico %'!$A126,Tabla1[nombre_actividad],'Grafico %'!D$1)/(200),NA())</f>
        <v>0.49953000000000003</v>
      </c>
      <c r="E126" s="70">
        <f ca="1">IF(TODAY()&gt;=$A126,SUMIFS(Tabla1[Avance_km],Tabla1[Fecha],"&lt;="&amp;'Grafico %'!$A126,Tabla1[nombre_actividad],'Grafico %'!E$1,Tabla1[Avance_km],"&gt;0")/(200),NA())</f>
        <v>0.49953000000000031</v>
      </c>
      <c r="F126" s="68">
        <f ca="1">IF(TODAY()&gt;=$A126,SUMIFS(Tabla1[Avance_Med],Tabla1[Fecha],"&lt;="&amp;'Grafico %'!$A126,Tabla1[nombre_actividad],'Grafico %'!F$1)/500,NA())</f>
        <v>0.752</v>
      </c>
      <c r="G126" s="70">
        <f ca="1">IF(TODAY()&gt;=$A126,SUMIFS(Tabla1[Avance_km],Tabla1[Fecha],"&lt;="&amp;'Grafico %'!$A126,Tabla1[nombre_actividad],'Grafico %'!G$1)/(200),NA())</f>
        <v>0</v>
      </c>
      <c r="H126" s="70"/>
    </row>
    <row r="127" spans="1:8" x14ac:dyDescent="0.25">
      <c r="A127" s="62">
        <f t="shared" si="1"/>
        <v>46088</v>
      </c>
      <c r="B127" s="33">
        <v>1</v>
      </c>
      <c r="C127" s="69">
        <f ca="1">IF(TODAY()&gt;=$A127,SUMIFS(Tabla1[Avance_km],Tabla1[Fecha],"&lt;="&amp;'Grafico %'!$A127,Tabla1[nombre_actividad],'Grafico %'!C$1)/(200),NA())</f>
        <v>0.49953000000000025</v>
      </c>
      <c r="D127" s="70">
        <f ca="1">IF(TODAY()&gt;=$A127,SUMIFS(Tabla1[Avance_km],Tabla1[Fecha],"&lt;="&amp;'Grafico %'!$A127,Tabla1[nombre_actividad],'Grafico %'!D$1)/(200),NA())</f>
        <v>0.49953000000000003</v>
      </c>
      <c r="E127" s="70">
        <f ca="1">IF(TODAY()&gt;=$A127,SUMIFS(Tabla1[Avance_km],Tabla1[Fecha],"&lt;="&amp;'Grafico %'!$A127,Tabla1[nombre_actividad],'Grafico %'!E$1,Tabla1[Avance_km],"&gt;0")/(200),NA())</f>
        <v>0.49953000000000031</v>
      </c>
      <c r="F127" s="68">
        <f ca="1">IF(TODAY()&gt;=$A127,SUMIFS(Tabla1[Avance_Med],Tabla1[Fecha],"&lt;="&amp;'Grafico %'!$A127,Tabla1[nombre_actividad],'Grafico %'!F$1)/500,NA())</f>
        <v>0.752</v>
      </c>
      <c r="G127" s="70">
        <f ca="1">IF(TODAY()&gt;=$A127,SUMIFS(Tabla1[Avance_km],Tabla1[Fecha],"&lt;="&amp;'Grafico %'!$A127,Tabla1[nombre_actividad],'Grafico %'!G$1)/(200),NA())</f>
        <v>0</v>
      </c>
      <c r="H127" s="70"/>
    </row>
    <row r="128" spans="1:8" x14ac:dyDescent="0.25">
      <c r="A128" s="62">
        <f t="shared" si="1"/>
        <v>46089</v>
      </c>
      <c r="B128" s="33">
        <v>1</v>
      </c>
      <c r="C128" s="69">
        <f ca="1">IF(TODAY()&gt;=$A128,SUMIFS(Tabla1[Avance_km],Tabla1[Fecha],"&lt;="&amp;'Grafico %'!$A128,Tabla1[nombre_actividad],'Grafico %'!C$1)/(200),NA())</f>
        <v>0.49953000000000025</v>
      </c>
      <c r="D128" s="70">
        <f ca="1">IF(TODAY()&gt;=$A128,SUMIFS(Tabla1[Avance_km],Tabla1[Fecha],"&lt;="&amp;'Grafico %'!$A128,Tabla1[nombre_actividad],'Grafico %'!D$1)/(200),NA())</f>
        <v>0.49953000000000003</v>
      </c>
      <c r="E128" s="70">
        <f ca="1">IF(TODAY()&gt;=$A128,SUMIFS(Tabla1[Avance_km],Tabla1[Fecha],"&lt;="&amp;'Grafico %'!$A128,Tabla1[nombre_actividad],'Grafico %'!E$1,Tabla1[Avance_km],"&gt;0")/(200),NA())</f>
        <v>0.49953000000000031</v>
      </c>
      <c r="F128" s="68">
        <f ca="1">IF(TODAY()&gt;=$A128,SUMIFS(Tabla1[Avance_Med],Tabla1[Fecha],"&lt;="&amp;'Grafico %'!$A128,Tabla1[nombre_actividad],'Grafico %'!F$1)/500,NA())</f>
        <v>0.752</v>
      </c>
      <c r="G128" s="70">
        <f ca="1">IF(TODAY()&gt;=$A128,SUMIFS(Tabla1[Avance_km],Tabla1[Fecha],"&lt;="&amp;'Grafico %'!$A128,Tabla1[nombre_actividad],'Grafico %'!G$1)/(200),NA())</f>
        <v>0</v>
      </c>
      <c r="H128" s="70"/>
    </row>
    <row r="129" spans="1:8" x14ac:dyDescent="0.25">
      <c r="A129" s="62">
        <f t="shared" si="1"/>
        <v>46090</v>
      </c>
      <c r="B129" s="33">
        <v>1</v>
      </c>
      <c r="C129" s="69">
        <f ca="1">IF(TODAY()&gt;=$A129,SUMIFS(Tabla1[Avance_km],Tabla1[Fecha],"&lt;="&amp;'Grafico %'!$A129,Tabla1[nombre_actividad],'Grafico %'!C$1)/(200),NA())</f>
        <v>0.49953000000000025</v>
      </c>
      <c r="D129" s="70">
        <f ca="1">IF(TODAY()&gt;=$A129,SUMIFS(Tabla1[Avance_km],Tabla1[Fecha],"&lt;="&amp;'Grafico %'!$A129,Tabla1[nombre_actividad],'Grafico %'!D$1)/(200),NA())</f>
        <v>0.49953000000000003</v>
      </c>
      <c r="E129" s="70">
        <f ca="1">IF(TODAY()&gt;=$A129,SUMIFS(Tabla1[Avance_km],Tabla1[Fecha],"&lt;="&amp;'Grafico %'!$A129,Tabla1[nombre_actividad],'Grafico %'!E$1,Tabla1[Avance_km],"&gt;0")/(200),NA())</f>
        <v>0.49953000000000031</v>
      </c>
      <c r="F129" s="68">
        <f ca="1">IF(TODAY()&gt;=$A129,SUMIFS(Tabla1[Avance_Med],Tabla1[Fecha],"&lt;="&amp;'Grafico %'!$A129,Tabla1[nombre_actividad],'Grafico %'!F$1)/500,NA())</f>
        <v>0.752</v>
      </c>
      <c r="G129" s="70">
        <f ca="1">IF(TODAY()&gt;=$A129,SUMIFS(Tabla1[Avance_km],Tabla1[Fecha],"&lt;="&amp;'Grafico %'!$A129,Tabla1[nombre_actividad],'Grafico %'!G$1)/(200),NA())</f>
        <v>0</v>
      </c>
      <c r="H129" s="70"/>
    </row>
    <row r="130" spans="1:8" x14ac:dyDescent="0.25">
      <c r="A130" s="62">
        <f t="shared" si="1"/>
        <v>46091</v>
      </c>
      <c r="B130" s="33">
        <v>1</v>
      </c>
      <c r="C130" s="69">
        <f ca="1">IF(TODAY()&gt;=$A130,SUMIFS(Tabla1[Avance_km],Tabla1[Fecha],"&lt;="&amp;'Grafico %'!$A130,Tabla1[nombre_actividad],'Grafico %'!C$1)/(200),NA())</f>
        <v>0.49953000000000025</v>
      </c>
      <c r="D130" s="70">
        <f ca="1">IF(TODAY()&gt;=$A130,SUMIFS(Tabla1[Avance_km],Tabla1[Fecha],"&lt;="&amp;'Grafico %'!$A130,Tabla1[nombre_actividad],'Grafico %'!D$1)/(200),NA())</f>
        <v>0.49953000000000003</v>
      </c>
      <c r="E130" s="70">
        <f ca="1">IF(TODAY()&gt;=$A130,SUMIFS(Tabla1[Avance_km],Tabla1[Fecha],"&lt;="&amp;'Grafico %'!$A130,Tabla1[nombre_actividad],'Grafico %'!E$1,Tabla1[Avance_km],"&gt;0")/(200),NA())</f>
        <v>0.49953000000000031</v>
      </c>
      <c r="F130" s="68">
        <f ca="1">IF(TODAY()&gt;=$A130,SUMIFS(Tabla1[Avance_Med],Tabla1[Fecha],"&lt;="&amp;'Grafico %'!$A130,Tabla1[nombre_actividad],'Grafico %'!F$1)/500,NA())</f>
        <v>0.752</v>
      </c>
      <c r="G130" s="70">
        <f ca="1">IF(TODAY()&gt;=$A130,SUMIFS(Tabla1[Avance_km],Tabla1[Fecha],"&lt;="&amp;'Grafico %'!$A130,Tabla1[nombre_actividad],'Grafico %'!G$1)/(200),NA())</f>
        <v>0</v>
      </c>
      <c r="H130" s="70"/>
    </row>
    <row r="131" spans="1:8" x14ac:dyDescent="0.25">
      <c r="A131" s="62">
        <f t="shared" si="1"/>
        <v>46092</v>
      </c>
      <c r="B131" s="33">
        <v>1</v>
      </c>
      <c r="C131" s="69">
        <f ca="1">IF(TODAY()&gt;=$A131,SUMIFS(Tabla1[Avance_km],Tabla1[Fecha],"&lt;="&amp;'Grafico %'!$A131,Tabla1[nombre_actividad],'Grafico %'!C$1)/(200),NA())</f>
        <v>0.49953000000000025</v>
      </c>
      <c r="D131" s="70">
        <f ca="1">IF(TODAY()&gt;=$A131,SUMIFS(Tabla1[Avance_km],Tabla1[Fecha],"&lt;="&amp;'Grafico %'!$A131,Tabla1[nombre_actividad],'Grafico %'!D$1)/(200),NA())</f>
        <v>0.49953000000000003</v>
      </c>
      <c r="E131" s="70">
        <f ca="1">IF(TODAY()&gt;=$A131,SUMIFS(Tabla1[Avance_km],Tabla1[Fecha],"&lt;="&amp;'Grafico %'!$A131,Tabla1[nombre_actividad],'Grafico %'!E$1,Tabla1[Avance_km],"&gt;0")/(200),NA())</f>
        <v>0.49953000000000031</v>
      </c>
      <c r="F131" s="68">
        <f ca="1">IF(TODAY()&gt;=$A131,SUMIFS(Tabla1[Avance_Med],Tabla1[Fecha],"&lt;="&amp;'Grafico %'!$A131,Tabla1[nombre_actividad],'Grafico %'!F$1)/500,NA())</f>
        <v>0.752</v>
      </c>
      <c r="G131" s="70">
        <f ca="1">IF(TODAY()&gt;=$A131,SUMIFS(Tabla1[Avance_km],Tabla1[Fecha],"&lt;="&amp;'Grafico %'!$A131,Tabla1[nombre_actividad],'Grafico %'!G$1)/(200),NA())</f>
        <v>0</v>
      </c>
      <c r="H131" s="70"/>
    </row>
    <row r="132" spans="1:8" x14ac:dyDescent="0.25">
      <c r="A132" s="62">
        <f t="shared" ref="A132:A195" si="2">+A131+1</f>
        <v>46093</v>
      </c>
      <c r="B132" s="33">
        <v>1</v>
      </c>
      <c r="C132" s="69">
        <f ca="1">IF(TODAY()&gt;=$A132,SUMIFS(Tabla1[Avance_km],Tabla1[Fecha],"&lt;="&amp;'Grafico %'!$A132,Tabla1[nombre_actividad],'Grafico %'!C$1)/(200),NA())</f>
        <v>0.49953000000000025</v>
      </c>
      <c r="D132" s="70">
        <f ca="1">IF(TODAY()&gt;=$A132,SUMIFS(Tabla1[Avance_km],Tabla1[Fecha],"&lt;="&amp;'Grafico %'!$A132,Tabla1[nombre_actividad],'Grafico %'!D$1)/(200),NA())</f>
        <v>0.49953000000000003</v>
      </c>
      <c r="E132" s="70">
        <f ca="1">IF(TODAY()&gt;=$A132,SUMIFS(Tabla1[Avance_km],Tabla1[Fecha],"&lt;="&amp;'Grafico %'!$A132,Tabla1[nombre_actividad],'Grafico %'!E$1,Tabla1[Avance_km],"&gt;0")/(200),NA())</f>
        <v>0.49953000000000031</v>
      </c>
      <c r="F132" s="68">
        <f ca="1">IF(TODAY()&gt;=$A132,SUMIFS(Tabla1[Avance_Med],Tabla1[Fecha],"&lt;="&amp;'Grafico %'!$A132,Tabla1[nombre_actividad],'Grafico %'!F$1)/500,NA())</f>
        <v>0.752</v>
      </c>
      <c r="G132" s="70">
        <f ca="1">IF(TODAY()&gt;=$A132,SUMIFS(Tabla1[Avance_km],Tabla1[Fecha],"&lt;="&amp;'Grafico %'!$A132,Tabla1[nombre_actividad],'Grafico %'!G$1)/(200),NA())</f>
        <v>0</v>
      </c>
      <c r="H132" s="70"/>
    </row>
    <row r="133" spans="1:8" x14ac:dyDescent="0.25">
      <c r="A133" s="62">
        <f t="shared" si="2"/>
        <v>46094</v>
      </c>
      <c r="B133" s="33">
        <v>1</v>
      </c>
      <c r="C133" s="69">
        <f ca="1">IF(TODAY()&gt;=$A133,SUMIFS(Tabla1[Avance_km],Tabla1[Fecha],"&lt;="&amp;'Grafico %'!$A133,Tabla1[nombre_actividad],'Grafico %'!C$1)/(200),NA())</f>
        <v>0.49953000000000025</v>
      </c>
      <c r="D133" s="70">
        <f ca="1">IF(TODAY()&gt;=$A133,SUMIFS(Tabla1[Avance_km],Tabla1[Fecha],"&lt;="&amp;'Grafico %'!$A133,Tabla1[nombre_actividad],'Grafico %'!D$1)/(200),NA())</f>
        <v>0.49953000000000003</v>
      </c>
      <c r="E133" s="70">
        <f ca="1">IF(TODAY()&gt;=$A133,SUMIFS(Tabla1[Avance_km],Tabla1[Fecha],"&lt;="&amp;'Grafico %'!$A133,Tabla1[nombre_actividad],'Grafico %'!E$1,Tabla1[Avance_km],"&gt;0")/(200),NA())</f>
        <v>0.49953000000000031</v>
      </c>
      <c r="F133" s="68">
        <f ca="1">IF(TODAY()&gt;=$A133,SUMIFS(Tabla1[Avance_Med],Tabla1[Fecha],"&lt;="&amp;'Grafico %'!$A133,Tabla1[nombre_actividad],'Grafico %'!F$1)/500,NA())</f>
        <v>0.752</v>
      </c>
      <c r="G133" s="70">
        <f ca="1">IF(TODAY()&gt;=$A133,SUMIFS(Tabla1[Avance_km],Tabla1[Fecha],"&lt;="&amp;'Grafico %'!$A133,Tabla1[nombre_actividad],'Grafico %'!G$1)/(200),NA())</f>
        <v>0</v>
      </c>
      <c r="H133" s="70"/>
    </row>
    <row r="134" spans="1:8" x14ac:dyDescent="0.25">
      <c r="A134" s="62">
        <f t="shared" si="2"/>
        <v>46095</v>
      </c>
      <c r="B134" s="33">
        <v>1</v>
      </c>
      <c r="C134" s="69">
        <f ca="1">IF(TODAY()&gt;=$A134,SUMIFS(Tabla1[Avance_km],Tabla1[Fecha],"&lt;="&amp;'Grafico %'!$A134,Tabla1[nombre_actividad],'Grafico %'!C$1)/(200),NA())</f>
        <v>0.49953000000000025</v>
      </c>
      <c r="D134" s="70">
        <f ca="1">IF(TODAY()&gt;=$A134,SUMIFS(Tabla1[Avance_km],Tabla1[Fecha],"&lt;="&amp;'Grafico %'!$A134,Tabla1[nombre_actividad],'Grafico %'!D$1)/(200),NA())</f>
        <v>0.49953000000000003</v>
      </c>
      <c r="E134" s="70">
        <f ca="1">IF(TODAY()&gt;=$A134,SUMIFS(Tabla1[Avance_km],Tabla1[Fecha],"&lt;="&amp;'Grafico %'!$A134,Tabla1[nombre_actividad],'Grafico %'!E$1,Tabla1[Avance_km],"&gt;0")/(200),NA())</f>
        <v>0.49953000000000031</v>
      </c>
      <c r="F134" s="68">
        <f ca="1">IF(TODAY()&gt;=$A134,SUMIFS(Tabla1[Avance_Med],Tabla1[Fecha],"&lt;="&amp;'Grafico %'!$A134,Tabla1[nombre_actividad],'Grafico %'!F$1)/500,NA())</f>
        <v>0.752</v>
      </c>
      <c r="G134" s="70">
        <f ca="1">IF(TODAY()&gt;=$A134,SUMIFS(Tabla1[Avance_km],Tabla1[Fecha],"&lt;="&amp;'Grafico %'!$A134,Tabla1[nombre_actividad],'Grafico %'!G$1)/(200),NA())</f>
        <v>0</v>
      </c>
      <c r="H134" s="70"/>
    </row>
    <row r="135" spans="1:8" x14ac:dyDescent="0.25">
      <c r="A135" s="62">
        <f t="shared" si="2"/>
        <v>46096</v>
      </c>
      <c r="B135" s="33">
        <v>1</v>
      </c>
      <c r="C135" s="69">
        <f ca="1">IF(TODAY()&gt;=$A135,SUMIFS(Tabla1[Avance_km],Tabla1[Fecha],"&lt;="&amp;'Grafico %'!$A135,Tabla1[nombre_actividad],'Grafico %'!C$1)/(200),NA())</f>
        <v>0.49953000000000025</v>
      </c>
      <c r="D135" s="70">
        <f ca="1">IF(TODAY()&gt;=$A135,SUMIFS(Tabla1[Avance_km],Tabla1[Fecha],"&lt;="&amp;'Grafico %'!$A135,Tabla1[nombre_actividad],'Grafico %'!D$1)/(200),NA())</f>
        <v>0.49953000000000003</v>
      </c>
      <c r="E135" s="70">
        <f ca="1">IF(TODAY()&gt;=$A135,SUMIFS(Tabla1[Avance_km],Tabla1[Fecha],"&lt;="&amp;'Grafico %'!$A135,Tabla1[nombre_actividad],'Grafico %'!E$1,Tabla1[Avance_km],"&gt;0")/(200),NA())</f>
        <v>0.49953000000000031</v>
      </c>
      <c r="F135" s="68">
        <f ca="1">IF(TODAY()&gt;=$A135,SUMIFS(Tabla1[Avance_Med],Tabla1[Fecha],"&lt;="&amp;'Grafico %'!$A135,Tabla1[nombre_actividad],'Grafico %'!F$1)/500,NA())</f>
        <v>0.752</v>
      </c>
      <c r="G135" s="70">
        <f ca="1">IF(TODAY()&gt;=$A135,SUMIFS(Tabla1[Avance_km],Tabla1[Fecha],"&lt;="&amp;'Grafico %'!$A135,Tabla1[nombre_actividad],'Grafico %'!G$1)/(200),NA())</f>
        <v>0</v>
      </c>
      <c r="H135" s="70"/>
    </row>
    <row r="136" spans="1:8" x14ac:dyDescent="0.25">
      <c r="A136" s="62">
        <f t="shared" si="2"/>
        <v>46097</v>
      </c>
      <c r="B136" s="33">
        <v>1</v>
      </c>
      <c r="C136" s="69">
        <f ca="1">IF(TODAY()&gt;=$A136,SUMIFS(Tabla1[Avance_km],Tabla1[Fecha],"&lt;="&amp;'Grafico %'!$A136,Tabla1[nombre_actividad],'Grafico %'!C$1)/(200),NA())</f>
        <v>0.49953000000000025</v>
      </c>
      <c r="D136" s="70">
        <f ca="1">IF(TODAY()&gt;=$A136,SUMIFS(Tabla1[Avance_km],Tabla1[Fecha],"&lt;="&amp;'Grafico %'!$A136,Tabla1[nombre_actividad],'Grafico %'!D$1)/(200),NA())</f>
        <v>0.49953000000000003</v>
      </c>
      <c r="E136" s="70">
        <f ca="1">IF(TODAY()&gt;=$A136,SUMIFS(Tabla1[Avance_km],Tabla1[Fecha],"&lt;="&amp;'Grafico %'!$A136,Tabla1[nombre_actividad],'Grafico %'!E$1,Tabla1[Avance_km],"&gt;0")/(200),NA())</f>
        <v>0.49953000000000031</v>
      </c>
      <c r="F136" s="68">
        <f ca="1">IF(TODAY()&gt;=$A136,SUMIFS(Tabla1[Avance_Med],Tabla1[Fecha],"&lt;="&amp;'Grafico %'!$A136,Tabla1[nombre_actividad],'Grafico %'!F$1)/500,NA())</f>
        <v>0.752</v>
      </c>
      <c r="G136" s="70">
        <f ca="1">IF(TODAY()&gt;=$A136,SUMIFS(Tabla1[Avance_km],Tabla1[Fecha],"&lt;="&amp;'Grafico %'!$A136,Tabla1[nombre_actividad],'Grafico %'!G$1)/(200),NA())</f>
        <v>0</v>
      </c>
      <c r="H136" s="70"/>
    </row>
    <row r="137" spans="1:8" x14ac:dyDescent="0.25">
      <c r="A137" s="62">
        <f t="shared" si="2"/>
        <v>46098</v>
      </c>
      <c r="B137" s="33">
        <v>1</v>
      </c>
      <c r="C137" s="69">
        <f ca="1">IF(TODAY()&gt;=$A137,SUMIFS(Tabla1[Avance_km],Tabla1[Fecha],"&lt;="&amp;'Grafico %'!$A137,Tabla1[nombre_actividad],'Grafico %'!C$1)/(200),NA())</f>
        <v>0.49953000000000025</v>
      </c>
      <c r="D137" s="70">
        <f ca="1">IF(TODAY()&gt;=$A137,SUMIFS(Tabla1[Avance_km],Tabla1[Fecha],"&lt;="&amp;'Grafico %'!$A137,Tabla1[nombre_actividad],'Grafico %'!D$1)/(200),NA())</f>
        <v>0.49953000000000003</v>
      </c>
      <c r="E137" s="70">
        <f ca="1">IF(TODAY()&gt;=$A137,SUMIFS(Tabla1[Avance_km],Tabla1[Fecha],"&lt;="&amp;'Grafico %'!$A137,Tabla1[nombre_actividad],'Grafico %'!E$1,Tabla1[Avance_km],"&gt;0")/(200),NA())</f>
        <v>0.49953000000000031</v>
      </c>
      <c r="F137" s="68">
        <f ca="1">IF(TODAY()&gt;=$A137,SUMIFS(Tabla1[Avance_Med],Tabla1[Fecha],"&lt;="&amp;'Grafico %'!$A137,Tabla1[nombre_actividad],'Grafico %'!F$1)/500,NA())</f>
        <v>0.752</v>
      </c>
      <c r="G137" s="70">
        <f ca="1">IF(TODAY()&gt;=$A137,SUMIFS(Tabla1[Avance_km],Tabla1[Fecha],"&lt;="&amp;'Grafico %'!$A137,Tabla1[nombre_actividad],'Grafico %'!G$1)/(200),NA())</f>
        <v>0</v>
      </c>
      <c r="H137" s="70"/>
    </row>
    <row r="138" spans="1:8" x14ac:dyDescent="0.25">
      <c r="A138" s="62">
        <f t="shared" si="2"/>
        <v>46099</v>
      </c>
      <c r="B138" s="33">
        <v>1</v>
      </c>
      <c r="C138" s="69">
        <f ca="1">IF(TODAY()&gt;=$A138,SUMIFS(Tabla1[Avance_km],Tabla1[Fecha],"&lt;="&amp;'Grafico %'!$A138,Tabla1[nombre_actividad],'Grafico %'!C$1)/(200),NA())</f>
        <v>0.49953000000000025</v>
      </c>
      <c r="D138" s="70">
        <f ca="1">IF(TODAY()&gt;=$A138,SUMIFS(Tabla1[Avance_km],Tabla1[Fecha],"&lt;="&amp;'Grafico %'!$A138,Tabla1[nombre_actividad],'Grafico %'!D$1)/(200),NA())</f>
        <v>0.49953000000000003</v>
      </c>
      <c r="E138" s="70">
        <f ca="1">IF(TODAY()&gt;=$A138,SUMIFS(Tabla1[Avance_km],Tabla1[Fecha],"&lt;="&amp;'Grafico %'!$A138,Tabla1[nombre_actividad],'Grafico %'!E$1,Tabla1[Avance_km],"&gt;0")/(200),NA())</f>
        <v>0.49953000000000031</v>
      </c>
      <c r="F138" s="68">
        <f ca="1">IF(TODAY()&gt;=$A138,SUMIFS(Tabla1[Avance_Med],Tabla1[Fecha],"&lt;="&amp;'Grafico %'!$A138,Tabla1[nombre_actividad],'Grafico %'!F$1)/500,NA())</f>
        <v>0.752</v>
      </c>
      <c r="G138" s="70">
        <f ca="1">IF(TODAY()&gt;=$A138,SUMIFS(Tabla1[Avance_km],Tabla1[Fecha],"&lt;="&amp;'Grafico %'!$A138,Tabla1[nombre_actividad],'Grafico %'!G$1)/(200),NA())</f>
        <v>0</v>
      </c>
      <c r="H138" s="70"/>
    </row>
    <row r="139" spans="1:8" x14ac:dyDescent="0.25">
      <c r="A139" s="62">
        <f t="shared" si="2"/>
        <v>46100</v>
      </c>
      <c r="B139" s="33">
        <v>1</v>
      </c>
      <c r="C139" s="69">
        <f ca="1">IF(TODAY()&gt;=$A139,SUMIFS(Tabla1[Avance_km],Tabla1[Fecha],"&lt;="&amp;'Grafico %'!$A139,Tabla1[nombre_actividad],'Grafico %'!C$1)/(200),NA())</f>
        <v>0.49953000000000025</v>
      </c>
      <c r="D139" s="70">
        <f ca="1">IF(TODAY()&gt;=$A139,SUMIFS(Tabla1[Avance_km],Tabla1[Fecha],"&lt;="&amp;'Grafico %'!$A139,Tabla1[nombre_actividad],'Grafico %'!D$1)/(200),NA())</f>
        <v>0.49953000000000003</v>
      </c>
      <c r="E139" s="70">
        <f ca="1">IF(TODAY()&gt;=$A139,SUMIFS(Tabla1[Avance_km],Tabla1[Fecha],"&lt;="&amp;'Grafico %'!$A139,Tabla1[nombre_actividad],'Grafico %'!E$1,Tabla1[Avance_km],"&gt;0")/(200),NA())</f>
        <v>0.49953000000000031</v>
      </c>
      <c r="F139" s="68">
        <f ca="1">IF(TODAY()&gt;=$A139,SUMIFS(Tabla1[Avance_Med],Tabla1[Fecha],"&lt;="&amp;'Grafico %'!$A139,Tabla1[nombre_actividad],'Grafico %'!F$1)/500,NA())</f>
        <v>0.752</v>
      </c>
      <c r="G139" s="70">
        <f ca="1">IF(TODAY()&gt;=$A139,SUMIFS(Tabla1[Avance_km],Tabla1[Fecha],"&lt;="&amp;'Grafico %'!$A139,Tabla1[nombre_actividad],'Grafico %'!G$1)/(200),NA())</f>
        <v>0</v>
      </c>
      <c r="H139" s="70"/>
    </row>
    <row r="140" spans="1:8" x14ac:dyDescent="0.25">
      <c r="A140" s="62">
        <f t="shared" si="2"/>
        <v>46101</v>
      </c>
      <c r="B140" s="33">
        <v>1</v>
      </c>
      <c r="C140" s="69">
        <f ca="1">IF(TODAY()&gt;=$A140,SUMIFS(Tabla1[Avance_km],Tabla1[Fecha],"&lt;="&amp;'Grafico %'!$A140,Tabla1[nombre_actividad],'Grafico %'!C$1)/(200),NA())</f>
        <v>0.49953000000000025</v>
      </c>
      <c r="D140" s="70">
        <f ca="1">IF(TODAY()&gt;=$A140,SUMIFS(Tabla1[Avance_km],Tabla1[Fecha],"&lt;="&amp;'Grafico %'!$A140,Tabla1[nombre_actividad],'Grafico %'!D$1)/(200),NA())</f>
        <v>0.49953000000000003</v>
      </c>
      <c r="E140" s="70">
        <f ca="1">IF(TODAY()&gt;=$A140,SUMIFS(Tabla1[Avance_km],Tabla1[Fecha],"&lt;="&amp;'Grafico %'!$A140,Tabla1[nombre_actividad],'Grafico %'!E$1,Tabla1[Avance_km],"&gt;0")/(200),NA())</f>
        <v>0.49953000000000031</v>
      </c>
      <c r="F140" s="68">
        <f ca="1">IF(TODAY()&gt;=$A140,SUMIFS(Tabla1[Avance_Med],Tabla1[Fecha],"&lt;="&amp;'Grafico %'!$A140,Tabla1[nombre_actividad],'Grafico %'!F$1)/500,NA())</f>
        <v>0.752</v>
      </c>
      <c r="G140" s="70">
        <f ca="1">IF(TODAY()&gt;=$A140,SUMIFS(Tabla1[Avance_km],Tabla1[Fecha],"&lt;="&amp;'Grafico %'!$A140,Tabla1[nombre_actividad],'Grafico %'!G$1)/(200),NA())</f>
        <v>0</v>
      </c>
      <c r="H140" s="70"/>
    </row>
    <row r="141" spans="1:8" x14ac:dyDescent="0.25">
      <c r="A141" s="62">
        <f t="shared" si="2"/>
        <v>46102</v>
      </c>
      <c r="B141" s="33">
        <v>1</v>
      </c>
      <c r="C141" s="69">
        <f ca="1">IF(TODAY()&gt;=$A141,SUMIFS(Tabla1[Avance_km],Tabla1[Fecha],"&lt;="&amp;'Grafico %'!$A141,Tabla1[nombre_actividad],'Grafico %'!C$1)/(200),NA())</f>
        <v>0.49953000000000025</v>
      </c>
      <c r="D141" s="70">
        <f ca="1">IF(TODAY()&gt;=$A141,SUMIFS(Tabla1[Avance_km],Tabla1[Fecha],"&lt;="&amp;'Grafico %'!$A141,Tabla1[nombre_actividad],'Grafico %'!D$1)/(200),NA())</f>
        <v>0.49953000000000003</v>
      </c>
      <c r="E141" s="70">
        <f ca="1">IF(TODAY()&gt;=$A141,SUMIFS(Tabla1[Avance_km],Tabla1[Fecha],"&lt;="&amp;'Grafico %'!$A141,Tabla1[nombre_actividad],'Grafico %'!E$1,Tabla1[Avance_km],"&gt;0")/(200),NA())</f>
        <v>0.49953000000000031</v>
      </c>
      <c r="F141" s="68">
        <f ca="1">IF(TODAY()&gt;=$A141,SUMIFS(Tabla1[Avance_Med],Tabla1[Fecha],"&lt;="&amp;'Grafico %'!$A141,Tabla1[nombre_actividad],'Grafico %'!F$1)/500,NA())</f>
        <v>0.752</v>
      </c>
      <c r="G141" s="70">
        <f ca="1">IF(TODAY()&gt;=$A141,SUMIFS(Tabla1[Avance_km],Tabla1[Fecha],"&lt;="&amp;'Grafico %'!$A141,Tabla1[nombre_actividad],'Grafico %'!G$1)/(200),NA())</f>
        <v>0</v>
      </c>
      <c r="H141" s="70"/>
    </row>
    <row r="142" spans="1:8" x14ac:dyDescent="0.25">
      <c r="A142" s="62">
        <f t="shared" si="2"/>
        <v>46103</v>
      </c>
      <c r="B142" s="33">
        <v>1</v>
      </c>
      <c r="C142" s="69">
        <f ca="1">IF(TODAY()&gt;=$A142,SUMIFS(Tabla1[Avance_km],Tabla1[Fecha],"&lt;="&amp;'Grafico %'!$A142,Tabla1[nombre_actividad],'Grafico %'!C$1)/(200),NA())</f>
        <v>0.49953000000000025</v>
      </c>
      <c r="D142" s="70">
        <f ca="1">IF(TODAY()&gt;=$A142,SUMIFS(Tabla1[Avance_km],Tabla1[Fecha],"&lt;="&amp;'Grafico %'!$A142,Tabla1[nombre_actividad],'Grafico %'!D$1)/(200),NA())</f>
        <v>0.49953000000000003</v>
      </c>
      <c r="E142" s="70">
        <f ca="1">IF(TODAY()&gt;=$A142,SUMIFS(Tabla1[Avance_km],Tabla1[Fecha],"&lt;="&amp;'Grafico %'!$A142,Tabla1[nombre_actividad],'Grafico %'!E$1,Tabla1[Avance_km],"&gt;0")/(200),NA())</f>
        <v>0.49953000000000031</v>
      </c>
      <c r="F142" s="68">
        <f ca="1">IF(TODAY()&gt;=$A142,SUMIFS(Tabla1[Avance_Med],Tabla1[Fecha],"&lt;="&amp;'Grafico %'!$A142,Tabla1[nombre_actividad],'Grafico %'!F$1)/500,NA())</f>
        <v>0.752</v>
      </c>
      <c r="G142" s="70">
        <f ca="1">IF(TODAY()&gt;=$A142,SUMIFS(Tabla1[Avance_km],Tabla1[Fecha],"&lt;="&amp;'Grafico %'!$A142,Tabla1[nombre_actividad],'Grafico %'!G$1)/(200),NA())</f>
        <v>0</v>
      </c>
      <c r="H142" s="70"/>
    </row>
    <row r="143" spans="1:8" x14ac:dyDescent="0.25">
      <c r="A143" s="62">
        <f t="shared" si="2"/>
        <v>46104</v>
      </c>
      <c r="B143" s="33">
        <v>1</v>
      </c>
      <c r="C143" s="69">
        <f ca="1">IF(TODAY()&gt;=$A143,SUMIFS(Tabla1[Avance_km],Tabla1[Fecha],"&lt;="&amp;'Grafico %'!$A143,Tabla1[nombre_actividad],'Grafico %'!C$1)/(200),NA())</f>
        <v>0.49953000000000025</v>
      </c>
      <c r="D143" s="70">
        <f ca="1">IF(TODAY()&gt;=$A143,SUMIFS(Tabla1[Avance_km],Tabla1[Fecha],"&lt;="&amp;'Grafico %'!$A143,Tabla1[nombre_actividad],'Grafico %'!D$1)/(200),NA())</f>
        <v>0.49953000000000003</v>
      </c>
      <c r="E143" s="70">
        <f ca="1">IF(TODAY()&gt;=$A143,SUMIFS(Tabla1[Avance_km],Tabla1[Fecha],"&lt;="&amp;'Grafico %'!$A143,Tabla1[nombre_actividad],'Grafico %'!E$1,Tabla1[Avance_km],"&gt;0")/(200),NA())</f>
        <v>0.49953000000000031</v>
      </c>
      <c r="F143" s="68">
        <f ca="1">IF(TODAY()&gt;=$A143,SUMIFS(Tabla1[Avance_Med],Tabla1[Fecha],"&lt;="&amp;'Grafico %'!$A143,Tabla1[nombre_actividad],'Grafico %'!F$1)/500,NA())</f>
        <v>0.752</v>
      </c>
      <c r="G143" s="70">
        <f ca="1">IF(TODAY()&gt;=$A143,SUMIFS(Tabla1[Avance_km],Tabla1[Fecha],"&lt;="&amp;'Grafico %'!$A143,Tabla1[nombre_actividad],'Grafico %'!G$1)/(200),NA())</f>
        <v>0</v>
      </c>
      <c r="H143" s="70"/>
    </row>
    <row r="144" spans="1:8" x14ac:dyDescent="0.25">
      <c r="A144" s="62">
        <f t="shared" si="2"/>
        <v>46105</v>
      </c>
      <c r="B144" s="33">
        <v>1</v>
      </c>
      <c r="C144" s="69">
        <f ca="1">IF(TODAY()&gt;=$A144,SUMIFS(Tabla1[Avance_km],Tabla1[Fecha],"&lt;="&amp;'Grafico %'!$A144,Tabla1[nombre_actividad],'Grafico %'!C$1)/(200),NA())</f>
        <v>0.49953000000000025</v>
      </c>
      <c r="D144" s="70">
        <f ca="1">IF(TODAY()&gt;=$A144,SUMIFS(Tabla1[Avance_km],Tabla1[Fecha],"&lt;="&amp;'Grafico %'!$A144,Tabla1[nombre_actividad],'Grafico %'!D$1)/(200),NA())</f>
        <v>0.49953000000000003</v>
      </c>
      <c r="E144" s="70">
        <f ca="1">IF(TODAY()&gt;=$A144,SUMIFS(Tabla1[Avance_km],Tabla1[Fecha],"&lt;="&amp;'Grafico %'!$A144,Tabla1[nombre_actividad],'Grafico %'!E$1,Tabla1[Avance_km],"&gt;0")/(200),NA())</f>
        <v>0.49953000000000031</v>
      </c>
      <c r="F144" s="68">
        <f ca="1">IF(TODAY()&gt;=$A144,SUMIFS(Tabla1[Avance_Med],Tabla1[Fecha],"&lt;="&amp;'Grafico %'!$A144,Tabla1[nombre_actividad],'Grafico %'!F$1)/500,NA())</f>
        <v>0.752</v>
      </c>
      <c r="G144" s="70">
        <f ca="1">IF(TODAY()&gt;=$A144,SUMIFS(Tabla1[Avance_km],Tabla1[Fecha],"&lt;="&amp;'Grafico %'!$A144,Tabla1[nombre_actividad],'Grafico %'!G$1)/(200),NA())</f>
        <v>0</v>
      </c>
      <c r="H144" s="70"/>
    </row>
    <row r="145" spans="1:8" x14ac:dyDescent="0.25">
      <c r="A145" s="62">
        <f t="shared" si="2"/>
        <v>46106</v>
      </c>
      <c r="B145" s="33">
        <v>1</v>
      </c>
      <c r="C145" s="69">
        <f ca="1">IF(TODAY()&gt;=$A145,SUMIFS(Tabla1[Avance_km],Tabla1[Fecha],"&lt;="&amp;'Grafico %'!$A145,Tabla1[nombre_actividad],'Grafico %'!C$1)/(200),NA())</f>
        <v>0.49953000000000025</v>
      </c>
      <c r="D145" s="70">
        <f ca="1">IF(TODAY()&gt;=$A145,SUMIFS(Tabla1[Avance_km],Tabla1[Fecha],"&lt;="&amp;'Grafico %'!$A145,Tabla1[nombre_actividad],'Grafico %'!D$1)/(200),NA())</f>
        <v>0.49953000000000003</v>
      </c>
      <c r="E145" s="70">
        <f ca="1">IF(TODAY()&gt;=$A145,SUMIFS(Tabla1[Avance_km],Tabla1[Fecha],"&lt;="&amp;'Grafico %'!$A145,Tabla1[nombre_actividad],'Grafico %'!E$1,Tabla1[Avance_km],"&gt;0")/(200),NA())</f>
        <v>0.49953000000000031</v>
      </c>
      <c r="F145" s="68">
        <f ca="1">IF(TODAY()&gt;=$A145,SUMIFS(Tabla1[Avance_Med],Tabla1[Fecha],"&lt;="&amp;'Grafico %'!$A145,Tabla1[nombre_actividad],'Grafico %'!F$1)/500,NA())</f>
        <v>0.752</v>
      </c>
      <c r="G145" s="70">
        <f ca="1">IF(TODAY()&gt;=$A145,SUMIFS(Tabla1[Avance_km],Tabla1[Fecha],"&lt;="&amp;'Grafico %'!$A145,Tabla1[nombre_actividad],'Grafico %'!G$1)/(200),NA())</f>
        <v>0</v>
      </c>
      <c r="H145" s="70"/>
    </row>
    <row r="146" spans="1:8" x14ac:dyDescent="0.25">
      <c r="A146" s="62">
        <f t="shared" si="2"/>
        <v>46107</v>
      </c>
      <c r="B146" s="33">
        <v>1</v>
      </c>
      <c r="C146" s="69">
        <f ca="1">IF(TODAY()&gt;=$A146,SUMIFS(Tabla1[Avance_km],Tabla1[Fecha],"&lt;="&amp;'Grafico %'!$A146,Tabla1[nombre_actividad],'Grafico %'!C$1)/(200),NA())</f>
        <v>0.49953000000000025</v>
      </c>
      <c r="D146" s="70">
        <f ca="1">IF(TODAY()&gt;=$A146,SUMIFS(Tabla1[Avance_km],Tabla1[Fecha],"&lt;="&amp;'Grafico %'!$A146,Tabla1[nombre_actividad],'Grafico %'!D$1)/(200),NA())</f>
        <v>0.49953000000000003</v>
      </c>
      <c r="E146" s="70">
        <f ca="1">IF(TODAY()&gt;=$A146,SUMIFS(Tabla1[Avance_km],Tabla1[Fecha],"&lt;="&amp;'Grafico %'!$A146,Tabla1[nombre_actividad],'Grafico %'!E$1,Tabla1[Avance_km],"&gt;0")/(200),NA())</f>
        <v>0.49953000000000031</v>
      </c>
      <c r="F146" s="68">
        <f ca="1">IF(TODAY()&gt;=$A146,SUMIFS(Tabla1[Avance_Med],Tabla1[Fecha],"&lt;="&amp;'Grafico %'!$A146,Tabla1[nombre_actividad],'Grafico %'!F$1)/500,NA())</f>
        <v>0.752</v>
      </c>
      <c r="G146" s="70">
        <f ca="1">IF(TODAY()&gt;=$A146,SUMIFS(Tabla1[Avance_km],Tabla1[Fecha],"&lt;="&amp;'Grafico %'!$A146,Tabla1[nombre_actividad],'Grafico %'!G$1)/(200),NA())</f>
        <v>0</v>
      </c>
      <c r="H146" s="70"/>
    </row>
    <row r="147" spans="1:8" x14ac:dyDescent="0.25">
      <c r="A147" s="62">
        <f t="shared" si="2"/>
        <v>46108</v>
      </c>
      <c r="B147" s="33">
        <v>1</v>
      </c>
      <c r="C147" s="69">
        <f ca="1">IF(TODAY()&gt;=$A147,SUMIFS(Tabla1[Avance_km],Tabla1[Fecha],"&lt;="&amp;'Grafico %'!$A147,Tabla1[nombre_actividad],'Grafico %'!C$1)/(200),NA())</f>
        <v>0.49953000000000025</v>
      </c>
      <c r="D147" s="70">
        <f ca="1">IF(TODAY()&gt;=$A147,SUMIFS(Tabla1[Avance_km],Tabla1[Fecha],"&lt;="&amp;'Grafico %'!$A147,Tabla1[nombre_actividad],'Grafico %'!D$1)/(200),NA())</f>
        <v>0.49953000000000003</v>
      </c>
      <c r="E147" s="70">
        <f ca="1">IF(TODAY()&gt;=$A147,SUMIFS(Tabla1[Avance_km],Tabla1[Fecha],"&lt;="&amp;'Grafico %'!$A147,Tabla1[nombre_actividad],'Grafico %'!E$1,Tabla1[Avance_km],"&gt;0")/(200),NA())</f>
        <v>0.49953000000000031</v>
      </c>
      <c r="F147" s="68">
        <f ca="1">IF(TODAY()&gt;=$A147,SUMIFS(Tabla1[Avance_Med],Tabla1[Fecha],"&lt;="&amp;'Grafico %'!$A147,Tabla1[nombre_actividad],'Grafico %'!F$1)/500,NA())</f>
        <v>0.752</v>
      </c>
      <c r="G147" s="70">
        <f ca="1">IF(TODAY()&gt;=$A147,SUMIFS(Tabla1[Avance_km],Tabla1[Fecha],"&lt;="&amp;'Grafico %'!$A147,Tabla1[nombre_actividad],'Grafico %'!G$1)/(200),NA())</f>
        <v>0</v>
      </c>
      <c r="H147" s="70"/>
    </row>
    <row r="148" spans="1:8" x14ac:dyDescent="0.25">
      <c r="A148" s="62">
        <f t="shared" si="2"/>
        <v>46109</v>
      </c>
      <c r="B148" s="33">
        <v>1</v>
      </c>
      <c r="C148" s="69">
        <f ca="1">IF(TODAY()&gt;=$A148,SUMIFS(Tabla1[Avance_km],Tabla1[Fecha],"&lt;="&amp;'Grafico %'!$A148,Tabla1[nombre_actividad],'Grafico %'!C$1)/(200),NA())</f>
        <v>0.49953000000000025</v>
      </c>
      <c r="D148" s="70">
        <f ca="1">IF(TODAY()&gt;=$A148,SUMIFS(Tabla1[Avance_km],Tabla1[Fecha],"&lt;="&amp;'Grafico %'!$A148,Tabla1[nombre_actividad],'Grafico %'!D$1)/(200),NA())</f>
        <v>0.49953000000000003</v>
      </c>
      <c r="E148" s="70">
        <f ca="1">IF(TODAY()&gt;=$A148,SUMIFS(Tabla1[Avance_km],Tabla1[Fecha],"&lt;="&amp;'Grafico %'!$A148,Tabla1[nombre_actividad],'Grafico %'!E$1,Tabla1[Avance_km],"&gt;0")/(200),NA())</f>
        <v>0.49953000000000031</v>
      </c>
      <c r="F148" s="68">
        <f ca="1">IF(TODAY()&gt;=$A148,SUMIFS(Tabla1[Avance_Med],Tabla1[Fecha],"&lt;="&amp;'Grafico %'!$A148,Tabla1[nombre_actividad],'Grafico %'!F$1)/500,NA())</f>
        <v>0.752</v>
      </c>
      <c r="G148" s="70">
        <f ca="1">IF(TODAY()&gt;=$A148,SUMIFS(Tabla1[Avance_km],Tabla1[Fecha],"&lt;="&amp;'Grafico %'!$A148,Tabla1[nombre_actividad],'Grafico %'!G$1)/(200),NA())</f>
        <v>0</v>
      </c>
      <c r="H148" s="70"/>
    </row>
    <row r="149" spans="1:8" x14ac:dyDescent="0.25">
      <c r="A149" s="62">
        <f t="shared" si="2"/>
        <v>46110</v>
      </c>
      <c r="B149" s="33">
        <v>1</v>
      </c>
      <c r="C149" s="69">
        <f ca="1">IF(TODAY()&gt;=$A149,SUMIFS(Tabla1[Avance_km],Tabla1[Fecha],"&lt;="&amp;'Grafico %'!$A149,Tabla1[nombre_actividad],'Grafico %'!C$1)/(200),NA())</f>
        <v>0.49953000000000025</v>
      </c>
      <c r="D149" s="70">
        <f ca="1">IF(TODAY()&gt;=$A149,SUMIFS(Tabla1[Avance_km],Tabla1[Fecha],"&lt;="&amp;'Grafico %'!$A149,Tabla1[nombre_actividad],'Grafico %'!D$1)/(200),NA())</f>
        <v>0.49953000000000003</v>
      </c>
      <c r="E149" s="70">
        <f ca="1">IF(TODAY()&gt;=$A149,SUMIFS(Tabla1[Avance_km],Tabla1[Fecha],"&lt;="&amp;'Grafico %'!$A149,Tabla1[nombre_actividad],'Grafico %'!E$1,Tabla1[Avance_km],"&gt;0")/(200),NA())</f>
        <v>0.49953000000000031</v>
      </c>
      <c r="F149" s="68">
        <f ca="1">IF(TODAY()&gt;=$A149,SUMIFS(Tabla1[Avance_Med],Tabla1[Fecha],"&lt;="&amp;'Grafico %'!$A149,Tabla1[nombre_actividad],'Grafico %'!F$1)/500,NA())</f>
        <v>0.752</v>
      </c>
      <c r="G149" s="70">
        <f ca="1">IF(TODAY()&gt;=$A149,SUMIFS(Tabla1[Avance_km],Tabla1[Fecha],"&lt;="&amp;'Grafico %'!$A149,Tabla1[nombre_actividad],'Grafico %'!G$1)/(200),NA())</f>
        <v>0</v>
      </c>
      <c r="H149" s="70"/>
    </row>
    <row r="150" spans="1:8" x14ac:dyDescent="0.25">
      <c r="A150" s="62">
        <f t="shared" si="2"/>
        <v>46111</v>
      </c>
      <c r="B150" s="33"/>
      <c r="C150" s="69">
        <f ca="1">IF(TODAY()&gt;=$A150,SUMIFS(Tabla1[Avance_km],Tabla1[Fecha],"&lt;="&amp;'Grafico %'!$A150,Tabla1[nombre_actividad],'Grafico %'!C$1)/(200),NA())</f>
        <v>0.50953000000000026</v>
      </c>
      <c r="D150" s="70">
        <f ca="1">IF(TODAY()&gt;=$A150,SUMIFS(Tabla1[Avance_km],Tabla1[Fecha],"&lt;="&amp;'Grafico %'!$A150,Tabla1[nombre_actividad],'Grafico %'!D$1)/(200),NA())</f>
        <v>0.49953000000000003</v>
      </c>
      <c r="E150" s="70">
        <f ca="1">IF(TODAY()&gt;=$A150,SUMIFS(Tabla1[Avance_km],Tabla1[Fecha],"&lt;="&amp;'Grafico %'!$A150,Tabla1[nombre_actividad],'Grafico %'!E$1,Tabla1[Avance_km],"&gt;0")/(200),NA())</f>
        <v>0.49953000000000031</v>
      </c>
      <c r="F150" s="68">
        <f ca="1">IF(TODAY()&gt;=$A150,SUMIFS(Tabla1[Avance_Med],Tabla1[Fecha],"&lt;="&amp;'Grafico %'!$A150,Tabla1[nombre_actividad],'Grafico %'!F$1)/500,NA())</f>
        <v>0.752</v>
      </c>
      <c r="G150" s="70">
        <f ca="1">IF(TODAY()&gt;=$A150,SUMIFS(Tabla1[Avance_km],Tabla1[Fecha],"&lt;="&amp;'Grafico %'!$A150,Tabla1[nombre_actividad],'Grafico %'!G$1)/(200),NA())</f>
        <v>0</v>
      </c>
      <c r="H150" s="70"/>
    </row>
    <row r="151" spans="1:8" x14ac:dyDescent="0.25">
      <c r="A151" s="62">
        <f t="shared" si="2"/>
        <v>46112</v>
      </c>
      <c r="B151" s="33"/>
      <c r="C151" s="69">
        <f ca="1">IF(TODAY()&gt;=$A151,SUMIFS(Tabla1[Avance_km],Tabla1[Fecha],"&lt;="&amp;'Grafico %'!$A151,Tabla1[nombre_actividad],'Grafico %'!C$1)/(200),NA())</f>
        <v>0.51753000000000027</v>
      </c>
      <c r="D151" s="70">
        <f ca="1">IF(TODAY()&gt;=$A151,SUMIFS(Tabla1[Avance_km],Tabla1[Fecha],"&lt;="&amp;'Grafico %'!$A151,Tabla1[nombre_actividad],'Grafico %'!D$1)/(200),NA())</f>
        <v>0.49953000000000003</v>
      </c>
      <c r="E151" s="70">
        <f ca="1">IF(TODAY()&gt;=$A151,SUMIFS(Tabla1[Avance_km],Tabla1[Fecha],"&lt;="&amp;'Grafico %'!$A151,Tabla1[nombre_actividad],'Grafico %'!E$1,Tabla1[Avance_km],"&gt;0")/(200),NA())</f>
        <v>0.49953000000000031</v>
      </c>
      <c r="F151" s="68">
        <f ca="1">IF(TODAY()&gt;=$A151,SUMIFS(Tabla1[Avance_Med],Tabla1[Fecha],"&lt;="&amp;'Grafico %'!$A151,Tabla1[nombre_actividad],'Grafico %'!F$1)/500,NA())</f>
        <v>0.752</v>
      </c>
      <c r="G151" s="70">
        <f ca="1">IF(TODAY()&gt;=$A151,SUMIFS(Tabla1[Avance_km],Tabla1[Fecha],"&lt;="&amp;'Grafico %'!$A151,Tabla1[nombre_actividad],'Grafico %'!G$1)/(200),NA())</f>
        <v>0</v>
      </c>
      <c r="H151" s="70"/>
    </row>
    <row r="152" spans="1:8" x14ac:dyDescent="0.25">
      <c r="A152" s="62">
        <f t="shared" si="2"/>
        <v>46113</v>
      </c>
      <c r="B152" s="33"/>
      <c r="C152" s="69">
        <f ca="1">IF(TODAY()&gt;=$A152,SUMIFS(Tabla1[Avance_km],Tabla1[Fecha],"&lt;="&amp;'Grafico %'!$A152,Tabla1[nombre_actividad],'Grafico %'!C$1)/(200),NA())</f>
        <v>0.52453000000000027</v>
      </c>
      <c r="D152" s="70">
        <f ca="1">IF(TODAY()&gt;=$A152,SUMIFS(Tabla1[Avance_km],Tabla1[Fecha],"&lt;="&amp;'Grafico %'!$A152,Tabla1[nombre_actividad],'Grafico %'!D$1)/(200),NA())</f>
        <v>0.49953000000000003</v>
      </c>
      <c r="E152" s="70">
        <f ca="1">IF(TODAY()&gt;=$A152,SUMIFS(Tabla1[Avance_km],Tabla1[Fecha],"&lt;="&amp;'Grafico %'!$A152,Tabla1[nombre_actividad],'Grafico %'!E$1,Tabla1[Avance_km],"&gt;0")/(200),NA())</f>
        <v>0.49953000000000031</v>
      </c>
      <c r="F152" s="68">
        <f ca="1">IF(TODAY()&gt;=$A152,SUMIFS(Tabla1[Avance_Med],Tabla1[Fecha],"&lt;="&amp;'Grafico %'!$A152,Tabla1[nombre_actividad],'Grafico %'!F$1)/500,NA())</f>
        <v>0.752</v>
      </c>
      <c r="G152" s="70">
        <f ca="1">IF(TODAY()&gt;=$A152,SUMIFS(Tabla1[Avance_km],Tabla1[Fecha],"&lt;="&amp;'Grafico %'!$A152,Tabla1[nombre_actividad],'Grafico %'!G$1)/(200),NA())</f>
        <v>0</v>
      </c>
      <c r="H152" s="70"/>
    </row>
    <row r="153" spans="1:8" x14ac:dyDescent="0.25">
      <c r="A153" s="62">
        <f t="shared" si="2"/>
        <v>46114</v>
      </c>
      <c r="B153" s="33"/>
      <c r="C153" s="69">
        <f ca="1">IF(TODAY()&gt;=$A153,SUMIFS(Tabla1[Avance_km],Tabla1[Fecha],"&lt;="&amp;'Grafico %'!$A153,Tabla1[nombre_actividad],'Grafico %'!C$1)/(200),NA())</f>
        <v>0.53825000000000023</v>
      </c>
      <c r="D153" s="70">
        <f ca="1">IF(TODAY()&gt;=$A153,SUMIFS(Tabla1[Avance_km],Tabla1[Fecha],"&lt;="&amp;'Grafico %'!$A153,Tabla1[nombre_actividad],'Grafico %'!D$1)/(200),NA())</f>
        <v>0.49953000000000003</v>
      </c>
      <c r="E153" s="70">
        <f ca="1">IF(TODAY()&gt;=$A153,SUMIFS(Tabla1[Avance_km],Tabla1[Fecha],"&lt;="&amp;'Grafico %'!$A153,Tabla1[nombre_actividad],'Grafico %'!E$1,Tabla1[Avance_km],"&gt;0")/(200),NA())</f>
        <v>0.49953000000000031</v>
      </c>
      <c r="F153" s="68">
        <f ca="1">IF(TODAY()&gt;=$A153,SUMIFS(Tabla1[Avance_Med],Tabla1[Fecha],"&lt;="&amp;'Grafico %'!$A153,Tabla1[nombre_actividad],'Grafico %'!F$1)/500,NA())</f>
        <v>0.752</v>
      </c>
      <c r="G153" s="70">
        <f ca="1">IF(TODAY()&gt;=$A153,SUMIFS(Tabla1[Avance_km],Tabla1[Fecha],"&lt;="&amp;'Grafico %'!$A153,Tabla1[nombre_actividad],'Grafico %'!G$1)/(200),NA())</f>
        <v>0</v>
      </c>
      <c r="H153" s="70"/>
    </row>
    <row r="154" spans="1:8" x14ac:dyDescent="0.25">
      <c r="A154" s="62">
        <f t="shared" si="2"/>
        <v>46115</v>
      </c>
      <c r="B154" s="33"/>
      <c r="C154" s="69">
        <f ca="1">IF(TODAY()&gt;=$A154,SUMIFS(Tabla1[Avance_km],Tabla1[Fecha],"&lt;="&amp;'Grafico %'!$A154,Tabla1[nombre_actividad],'Grafico %'!C$1)/(200),NA())</f>
        <v>0.54325000000000023</v>
      </c>
      <c r="D154" s="70">
        <f ca="1">IF(TODAY()&gt;=$A154,SUMIFS(Tabla1[Avance_km],Tabla1[Fecha],"&lt;="&amp;'Grafico %'!$A154,Tabla1[nombre_actividad],'Grafico %'!D$1)/(200),NA())</f>
        <v>0.49953000000000003</v>
      </c>
      <c r="E154" s="70">
        <f ca="1">IF(TODAY()&gt;=$A154,SUMIFS(Tabla1[Avance_km],Tabla1[Fecha],"&lt;="&amp;'Grafico %'!$A154,Tabla1[nombre_actividad],'Grafico %'!E$1,Tabla1[Avance_km],"&gt;0")/(200),NA())</f>
        <v>0.49953000000000031</v>
      </c>
      <c r="F154" s="68">
        <f ca="1">IF(TODAY()&gt;=$A154,SUMIFS(Tabla1[Avance_Med],Tabla1[Fecha],"&lt;="&amp;'Grafico %'!$A154,Tabla1[nombre_actividad],'Grafico %'!F$1)/500,NA())</f>
        <v>0.752</v>
      </c>
      <c r="G154" s="70">
        <f ca="1">IF(TODAY()&gt;=$A154,SUMIFS(Tabla1[Avance_km],Tabla1[Fecha],"&lt;="&amp;'Grafico %'!$A154,Tabla1[nombre_actividad],'Grafico %'!G$1)/(200),NA())</f>
        <v>0</v>
      </c>
      <c r="H154" s="70"/>
    </row>
    <row r="155" spans="1:8" x14ac:dyDescent="0.25">
      <c r="A155" s="62">
        <f t="shared" si="2"/>
        <v>46116</v>
      </c>
      <c r="B155" s="33"/>
      <c r="C155" s="69">
        <f ca="1">IF(TODAY()&gt;=$A155,SUMIFS(Tabla1[Avance_km],Tabla1[Fecha],"&lt;="&amp;'Grafico %'!$A155,Tabla1[nombre_actividad],'Grafico %'!C$1)/(200),NA())</f>
        <v>0.54764000000000024</v>
      </c>
      <c r="D155" s="70">
        <f ca="1">IF(TODAY()&gt;=$A155,SUMIFS(Tabla1[Avance_km],Tabla1[Fecha],"&lt;="&amp;'Grafico %'!$A155,Tabla1[nombre_actividad],'Grafico %'!D$1)/(200),NA())</f>
        <v>0.49953000000000003</v>
      </c>
      <c r="E155" s="70">
        <f ca="1">IF(TODAY()&gt;=$A155,SUMIFS(Tabla1[Avance_km],Tabla1[Fecha],"&lt;="&amp;'Grafico %'!$A155,Tabla1[nombre_actividad],'Grafico %'!E$1,Tabla1[Avance_km],"&gt;0")/(200),NA())</f>
        <v>0.49953000000000031</v>
      </c>
      <c r="F155" s="68">
        <f ca="1">IF(TODAY()&gt;=$A155,SUMIFS(Tabla1[Avance_Med],Tabla1[Fecha],"&lt;="&amp;'Grafico %'!$A155,Tabla1[nombre_actividad],'Grafico %'!F$1)/500,NA())</f>
        <v>0.752</v>
      </c>
      <c r="G155" s="70">
        <f ca="1">IF(TODAY()&gt;=$A155,SUMIFS(Tabla1[Avance_km],Tabla1[Fecha],"&lt;="&amp;'Grafico %'!$A155,Tabla1[nombre_actividad],'Grafico %'!G$1)/(200),NA())</f>
        <v>0</v>
      </c>
      <c r="H155" s="70"/>
    </row>
    <row r="156" spans="1:8" x14ac:dyDescent="0.25">
      <c r="A156" s="62">
        <f t="shared" si="2"/>
        <v>46117</v>
      </c>
      <c r="B156" s="33"/>
      <c r="C156" s="69">
        <f ca="1">IF(TODAY()&gt;=$A156,SUMIFS(Tabla1[Avance_km],Tabla1[Fecha],"&lt;="&amp;'Grafico %'!$A156,Tabla1[nombre_actividad],'Grafico %'!C$1)/(200),NA())</f>
        <v>0.54764000000000024</v>
      </c>
      <c r="D156" s="70">
        <f ca="1">IF(TODAY()&gt;=$A156,SUMIFS(Tabla1[Avance_km],Tabla1[Fecha],"&lt;="&amp;'Grafico %'!$A156,Tabla1[nombre_actividad],'Grafico %'!D$1)/(200),NA())</f>
        <v>0.49953000000000003</v>
      </c>
      <c r="E156" s="70">
        <f ca="1">IF(TODAY()&gt;=$A156,SUMIFS(Tabla1[Avance_km],Tabla1[Fecha],"&lt;="&amp;'Grafico %'!$A156,Tabla1[nombre_actividad],'Grafico %'!E$1,Tabla1[Avance_km],"&gt;0")/(200),NA())</f>
        <v>0.49953000000000031</v>
      </c>
      <c r="F156" s="68">
        <f ca="1">IF(TODAY()&gt;=$A156,SUMIFS(Tabla1[Avance_Med],Tabla1[Fecha],"&lt;="&amp;'Grafico %'!$A156,Tabla1[nombre_actividad],'Grafico %'!F$1)/500,NA())</f>
        <v>0.752</v>
      </c>
      <c r="G156" s="70">
        <f ca="1">IF(TODAY()&gt;=$A156,SUMIFS(Tabla1[Avance_km],Tabla1[Fecha],"&lt;="&amp;'Grafico %'!$A156,Tabla1[nombre_actividad],'Grafico %'!G$1)/(200),NA())</f>
        <v>0</v>
      </c>
      <c r="H156" s="70"/>
    </row>
    <row r="157" spans="1:8" x14ac:dyDescent="0.25">
      <c r="A157" s="62">
        <f t="shared" si="2"/>
        <v>46118</v>
      </c>
      <c r="B157" s="33"/>
      <c r="C157" s="69">
        <f ca="1">IF(TODAY()&gt;=$A157,SUMIFS(Tabla1[Avance_km],Tabla1[Fecha],"&lt;="&amp;'Grafico %'!$A157,Tabla1[nombre_actividad],'Grafico %'!C$1)/(200),NA())</f>
        <v>0.54764000000000024</v>
      </c>
      <c r="D157" s="70">
        <f ca="1">IF(TODAY()&gt;=$A157,SUMIFS(Tabla1[Avance_km],Tabla1[Fecha],"&lt;="&amp;'Grafico %'!$A157,Tabla1[nombre_actividad],'Grafico %'!D$1)/(200),NA())</f>
        <v>0.49953000000000003</v>
      </c>
      <c r="E157" s="70">
        <f ca="1">IF(TODAY()&gt;=$A157,SUMIFS(Tabla1[Avance_km],Tabla1[Fecha],"&lt;="&amp;'Grafico %'!$A157,Tabla1[nombre_actividad],'Grafico %'!E$1,Tabla1[Avance_km],"&gt;0")/(200),NA())</f>
        <v>0.49953000000000031</v>
      </c>
      <c r="F157" s="68">
        <f ca="1">IF(TODAY()&gt;=$A157,SUMIFS(Tabla1[Avance_Med],Tabla1[Fecha],"&lt;="&amp;'Grafico %'!$A157,Tabla1[nombre_actividad],'Grafico %'!F$1)/500,NA())</f>
        <v>0.752</v>
      </c>
      <c r="G157" s="70">
        <f ca="1">IF(TODAY()&gt;=$A157,SUMIFS(Tabla1[Avance_km],Tabla1[Fecha],"&lt;="&amp;'Grafico %'!$A157,Tabla1[nombre_actividad],'Grafico %'!G$1)/(200),NA())</f>
        <v>0</v>
      </c>
      <c r="H157" s="70"/>
    </row>
    <row r="158" spans="1:8" x14ac:dyDescent="0.25">
      <c r="A158" s="62">
        <f t="shared" si="2"/>
        <v>46119</v>
      </c>
      <c r="B158" s="33"/>
      <c r="C158" s="69">
        <f ca="1">IF(TODAY()&gt;=$A158,SUMIFS(Tabla1[Avance_km],Tabla1[Fecha],"&lt;="&amp;'Grafico %'!$A158,Tabla1[nombre_actividad],'Grafico %'!C$1)/(200),NA())</f>
        <v>0.55264000000000024</v>
      </c>
      <c r="D158" s="70">
        <f ca="1">IF(TODAY()&gt;=$A158,SUMIFS(Tabla1[Avance_km],Tabla1[Fecha],"&lt;="&amp;'Grafico %'!$A158,Tabla1[nombre_actividad],'Grafico %'!D$1)/(200),NA())</f>
        <v>0.49953000000000003</v>
      </c>
      <c r="E158" s="70">
        <f ca="1">IF(TODAY()&gt;=$A158,SUMIFS(Tabla1[Avance_km],Tabla1[Fecha],"&lt;="&amp;'Grafico %'!$A158,Tabla1[nombre_actividad],'Grafico %'!E$1,Tabla1[Avance_km],"&gt;0")/(200),NA())</f>
        <v>0.49953000000000031</v>
      </c>
      <c r="F158" s="68">
        <f ca="1">IF(TODAY()&gt;=$A158,SUMIFS(Tabla1[Avance_Med],Tabla1[Fecha],"&lt;="&amp;'Grafico %'!$A158,Tabla1[nombre_actividad],'Grafico %'!F$1)/500,NA())</f>
        <v>0.752</v>
      </c>
      <c r="G158" s="70">
        <f ca="1">IF(TODAY()&gt;=$A158,SUMIFS(Tabla1[Avance_km],Tabla1[Fecha],"&lt;="&amp;'Grafico %'!$A158,Tabla1[nombre_actividad],'Grafico %'!G$1)/(200),NA())</f>
        <v>0</v>
      </c>
      <c r="H158" s="70"/>
    </row>
    <row r="159" spans="1:8" x14ac:dyDescent="0.25">
      <c r="A159" s="62">
        <f t="shared" si="2"/>
        <v>46120</v>
      </c>
      <c r="B159" s="33"/>
      <c r="C159" s="69">
        <f ca="1">IF(TODAY()&gt;=$A159,SUMIFS(Tabla1[Avance_km],Tabla1[Fecha],"&lt;="&amp;'Grafico %'!$A159,Tabla1[nombre_actividad],'Grafico %'!C$1)/(200),NA())</f>
        <v>0.56264000000000025</v>
      </c>
      <c r="D159" s="70">
        <f ca="1">IF(TODAY()&gt;=$A159,SUMIFS(Tabla1[Avance_km],Tabla1[Fecha],"&lt;="&amp;'Grafico %'!$A159,Tabla1[nombre_actividad],'Grafico %'!D$1)/(200),NA())</f>
        <v>0.49953000000000003</v>
      </c>
      <c r="E159" s="70">
        <f ca="1">IF(TODAY()&gt;=$A159,SUMIFS(Tabla1[Avance_km],Tabla1[Fecha],"&lt;="&amp;'Grafico %'!$A159,Tabla1[nombre_actividad],'Grafico %'!E$1,Tabla1[Avance_km],"&gt;0")/(200),NA())</f>
        <v>0.49953000000000031</v>
      </c>
      <c r="F159" s="68">
        <f ca="1">IF(TODAY()&gt;=$A159,SUMIFS(Tabla1[Avance_Med],Tabla1[Fecha],"&lt;="&amp;'Grafico %'!$A159,Tabla1[nombre_actividad],'Grafico %'!F$1)/500,NA())</f>
        <v>0.752</v>
      </c>
      <c r="G159" s="70">
        <f ca="1">IF(TODAY()&gt;=$A159,SUMIFS(Tabla1[Avance_km],Tabla1[Fecha],"&lt;="&amp;'Grafico %'!$A159,Tabla1[nombre_actividad],'Grafico %'!G$1)/(200),NA())</f>
        <v>0</v>
      </c>
      <c r="H159" s="70"/>
    </row>
    <row r="160" spans="1:8" x14ac:dyDescent="0.25">
      <c r="A160" s="62">
        <f t="shared" si="2"/>
        <v>46121</v>
      </c>
      <c r="B160" s="33"/>
      <c r="C160" s="69">
        <f ca="1">IF(TODAY()&gt;=$A160,SUMIFS(Tabla1[Avance_km],Tabla1[Fecha],"&lt;="&amp;'Grafico %'!$A160,Tabla1[nombre_actividad],'Grafico %'!C$1)/(200),NA())</f>
        <v>0.57639000000000029</v>
      </c>
      <c r="D160" s="70">
        <f ca="1">IF(TODAY()&gt;=$A160,SUMIFS(Tabla1[Avance_km],Tabla1[Fecha],"&lt;="&amp;'Grafico %'!$A160,Tabla1[nombre_actividad],'Grafico %'!D$1)/(200),NA())</f>
        <v>0.49953000000000003</v>
      </c>
      <c r="E160" s="70">
        <f ca="1">IF(TODAY()&gt;=$A160,SUMIFS(Tabla1[Avance_km],Tabla1[Fecha],"&lt;="&amp;'Grafico %'!$A160,Tabla1[nombre_actividad],'Grafico %'!E$1,Tabla1[Avance_km],"&gt;0")/(200),NA())</f>
        <v>0.49953000000000031</v>
      </c>
      <c r="F160" s="68">
        <f ca="1">IF(TODAY()&gt;=$A160,SUMIFS(Tabla1[Avance_Med],Tabla1[Fecha],"&lt;="&amp;'Grafico %'!$A160,Tabla1[nombre_actividad],'Grafico %'!F$1)/500,NA())</f>
        <v>0.752</v>
      </c>
      <c r="G160" s="70">
        <f ca="1">IF(TODAY()&gt;=$A160,SUMIFS(Tabla1[Avance_km],Tabla1[Fecha],"&lt;="&amp;'Grafico %'!$A160,Tabla1[nombre_actividad],'Grafico %'!G$1)/(200),NA())</f>
        <v>0</v>
      </c>
      <c r="H160" s="70"/>
    </row>
    <row r="161" spans="1:8" x14ac:dyDescent="0.25">
      <c r="A161" s="62">
        <f t="shared" si="2"/>
        <v>46122</v>
      </c>
      <c r="B161" s="33"/>
      <c r="C161" s="69">
        <f ca="1">IF(TODAY()&gt;=$A161,SUMIFS(Tabla1[Avance_km],Tabla1[Fecha],"&lt;="&amp;'Grafico %'!$A161,Tabla1[nombre_actividad],'Grafico %'!C$1)/(200),NA())</f>
        <v>0.59139000000000019</v>
      </c>
      <c r="D161" s="70">
        <f ca="1">IF(TODAY()&gt;=$A161,SUMIFS(Tabla1[Avance_km],Tabla1[Fecha],"&lt;="&amp;'Grafico %'!$A161,Tabla1[nombre_actividad],'Grafico %'!D$1)/(200),NA())</f>
        <v>0.49953000000000003</v>
      </c>
      <c r="E161" s="70">
        <f ca="1">IF(TODAY()&gt;=$A161,SUMIFS(Tabla1[Avance_km],Tabla1[Fecha],"&lt;="&amp;'Grafico %'!$A161,Tabla1[nombre_actividad],'Grafico %'!E$1,Tabla1[Avance_km],"&gt;0")/(200),NA())</f>
        <v>0.49953000000000031</v>
      </c>
      <c r="F161" s="68">
        <f ca="1">IF(TODAY()&gt;=$A161,SUMIFS(Tabla1[Avance_Med],Tabla1[Fecha],"&lt;="&amp;'Grafico %'!$A161,Tabla1[nombre_actividad],'Grafico %'!F$1)/500,NA())</f>
        <v>0.752</v>
      </c>
      <c r="G161" s="70">
        <f ca="1">IF(TODAY()&gt;=$A161,SUMIFS(Tabla1[Avance_km],Tabla1[Fecha],"&lt;="&amp;'Grafico %'!$A161,Tabla1[nombre_actividad],'Grafico %'!G$1)/(200),NA())</f>
        <v>0</v>
      </c>
      <c r="H161" s="70"/>
    </row>
    <row r="162" spans="1:8" x14ac:dyDescent="0.25">
      <c r="A162" s="62">
        <f t="shared" si="2"/>
        <v>46123</v>
      </c>
      <c r="B162" s="33"/>
      <c r="C162" s="69">
        <f ca="1">IF(TODAY()&gt;=$A162,SUMIFS(Tabla1[Avance_km],Tabla1[Fecha],"&lt;="&amp;'Grafico %'!$A162,Tabla1[nombre_actividad],'Grafico %'!C$1)/(200),NA())</f>
        <v>0.59764000000000028</v>
      </c>
      <c r="D162" s="70">
        <f ca="1">IF(TODAY()&gt;=$A162,SUMIFS(Tabla1[Avance_km],Tabla1[Fecha],"&lt;="&amp;'Grafico %'!$A162,Tabla1[nombre_actividad],'Grafico %'!D$1)/(200),NA())</f>
        <v>0.49953000000000003</v>
      </c>
      <c r="E162" s="70">
        <f ca="1">IF(TODAY()&gt;=$A162,SUMIFS(Tabla1[Avance_km],Tabla1[Fecha],"&lt;="&amp;'Grafico %'!$A162,Tabla1[nombre_actividad],'Grafico %'!E$1,Tabla1[Avance_km],"&gt;0")/(200),NA())</f>
        <v>0.49953000000000031</v>
      </c>
      <c r="F162" s="68">
        <f ca="1">IF(TODAY()&gt;=$A162,SUMIFS(Tabla1[Avance_Med],Tabla1[Fecha],"&lt;="&amp;'Grafico %'!$A162,Tabla1[nombre_actividad],'Grafico %'!F$1)/500,NA())</f>
        <v>0.752</v>
      </c>
      <c r="G162" s="70">
        <f ca="1">IF(TODAY()&gt;=$A162,SUMIFS(Tabla1[Avance_km],Tabla1[Fecha],"&lt;="&amp;'Grafico %'!$A162,Tabla1[nombre_actividad],'Grafico %'!G$1)/(200),NA())</f>
        <v>0</v>
      </c>
      <c r="H162" s="70"/>
    </row>
    <row r="163" spans="1:8" x14ac:dyDescent="0.25">
      <c r="A163" s="62">
        <f t="shared" si="2"/>
        <v>46124</v>
      </c>
      <c r="B163" s="33"/>
      <c r="C163" s="69">
        <f ca="1">IF(TODAY()&gt;=$A163,SUMIFS(Tabla1[Avance_km],Tabla1[Fecha],"&lt;="&amp;'Grafico %'!$A163,Tabla1[nombre_actividad],'Grafico %'!C$1)/(200),NA())</f>
        <v>0.59764000000000028</v>
      </c>
      <c r="D163" s="70">
        <f ca="1">IF(TODAY()&gt;=$A163,SUMIFS(Tabla1[Avance_km],Tabla1[Fecha],"&lt;="&amp;'Grafico %'!$A163,Tabla1[nombre_actividad],'Grafico %'!D$1)/(200),NA())</f>
        <v>0.49953000000000003</v>
      </c>
      <c r="E163" s="70">
        <f ca="1">IF(TODAY()&gt;=$A163,SUMIFS(Tabla1[Avance_km],Tabla1[Fecha],"&lt;="&amp;'Grafico %'!$A163,Tabla1[nombre_actividad],'Grafico %'!E$1,Tabla1[Avance_km],"&gt;0")/(200),NA())</f>
        <v>0.49953000000000031</v>
      </c>
      <c r="F163" s="68">
        <f ca="1">IF(TODAY()&gt;=$A163,SUMIFS(Tabla1[Avance_Med],Tabla1[Fecha],"&lt;="&amp;'Grafico %'!$A163,Tabla1[nombre_actividad],'Grafico %'!F$1)/500,NA())</f>
        <v>0.752</v>
      </c>
      <c r="G163" s="70">
        <f ca="1">IF(TODAY()&gt;=$A163,SUMIFS(Tabla1[Avance_km],Tabla1[Fecha],"&lt;="&amp;'Grafico %'!$A163,Tabla1[nombre_actividad],'Grafico %'!G$1)/(200),NA())</f>
        <v>0</v>
      </c>
      <c r="H163" s="70"/>
    </row>
    <row r="164" spans="1:8" x14ac:dyDescent="0.25">
      <c r="A164" s="62">
        <f t="shared" si="2"/>
        <v>46125</v>
      </c>
      <c r="B164" s="33"/>
      <c r="C164" s="69">
        <f ca="1">IF(TODAY()&gt;=$A164,SUMIFS(Tabla1[Avance_km],Tabla1[Fecha],"&lt;="&amp;'Grafico %'!$A164,Tabla1[nombre_actividad],'Grafico %'!C$1)/(200),NA())</f>
        <v>0.60364000000000029</v>
      </c>
      <c r="D164" s="70">
        <f ca="1">IF(TODAY()&gt;=$A164,SUMIFS(Tabla1[Avance_km],Tabla1[Fecha],"&lt;="&amp;'Grafico %'!$A164,Tabla1[nombre_actividad],'Grafico %'!D$1)/(200),NA())</f>
        <v>0.49953000000000003</v>
      </c>
      <c r="E164" s="70">
        <f ca="1">IF(TODAY()&gt;=$A164,SUMIFS(Tabla1[Avance_km],Tabla1[Fecha],"&lt;="&amp;'Grafico %'!$A164,Tabla1[nombre_actividad],'Grafico %'!E$1,Tabla1[Avance_km],"&gt;0")/(200),NA())</f>
        <v>0.49953000000000031</v>
      </c>
      <c r="F164" s="68">
        <f ca="1">IF(TODAY()&gt;=$A164,SUMIFS(Tabla1[Avance_Med],Tabla1[Fecha],"&lt;="&amp;'Grafico %'!$A164,Tabla1[nombre_actividad],'Grafico %'!F$1)/500,NA())</f>
        <v>0.752</v>
      </c>
      <c r="G164" s="70">
        <f ca="1">IF(TODAY()&gt;=$A164,SUMIFS(Tabla1[Avance_km],Tabla1[Fecha],"&lt;="&amp;'Grafico %'!$A164,Tabla1[nombre_actividad],'Grafico %'!G$1)/(200),NA())</f>
        <v>0</v>
      </c>
      <c r="H164" s="70"/>
    </row>
    <row r="165" spans="1:8" x14ac:dyDescent="0.25">
      <c r="A165" s="62">
        <f t="shared" si="2"/>
        <v>46126</v>
      </c>
      <c r="B165" s="33"/>
      <c r="C165" s="69">
        <f ca="1">IF(TODAY()&gt;=$A165,SUMIFS(Tabla1[Avance_km],Tabla1[Fecha],"&lt;="&amp;'Grafico %'!$A165,Tabla1[nombre_actividad],'Grafico %'!C$1)/(200),NA())</f>
        <v>0.61514000000000024</v>
      </c>
      <c r="D165" s="70">
        <f ca="1">IF(TODAY()&gt;=$A165,SUMIFS(Tabla1[Avance_km],Tabla1[Fecha],"&lt;="&amp;'Grafico %'!$A165,Tabla1[nombre_actividad],'Grafico %'!D$1)/(200),NA())</f>
        <v>0.49953000000000003</v>
      </c>
      <c r="E165" s="70">
        <f ca="1">IF(TODAY()&gt;=$A165,SUMIFS(Tabla1[Avance_km],Tabla1[Fecha],"&lt;="&amp;'Grafico %'!$A165,Tabla1[nombre_actividad],'Grafico %'!E$1,Tabla1[Avance_km],"&gt;0")/(200),NA())</f>
        <v>0.49953000000000031</v>
      </c>
      <c r="F165" s="68">
        <f ca="1">IF(TODAY()&gt;=$A165,SUMIFS(Tabla1[Avance_Med],Tabla1[Fecha],"&lt;="&amp;'Grafico %'!$A165,Tabla1[nombre_actividad],'Grafico %'!F$1)/500,NA())</f>
        <v>0.752</v>
      </c>
      <c r="G165" s="70">
        <f ca="1">IF(TODAY()&gt;=$A165,SUMIFS(Tabla1[Avance_km],Tabla1[Fecha],"&lt;="&amp;'Grafico %'!$A165,Tabla1[nombre_actividad],'Grafico %'!G$1)/(200),NA())</f>
        <v>0</v>
      </c>
      <c r="H165" s="70"/>
    </row>
    <row r="166" spans="1:8" x14ac:dyDescent="0.25">
      <c r="A166" s="62">
        <f t="shared" si="2"/>
        <v>46127</v>
      </c>
      <c r="B166" s="33"/>
      <c r="C166" s="69">
        <f ca="1">IF(TODAY()&gt;=$A166,SUMIFS(Tabla1[Avance_km],Tabla1[Fecha],"&lt;="&amp;'Grafico %'!$A166,Tabla1[nombre_actividad],'Grafico %'!C$1)/(200),NA())</f>
        <v>0.62443000000000026</v>
      </c>
      <c r="D166" s="70">
        <f ca="1">IF(TODAY()&gt;=$A166,SUMIFS(Tabla1[Avance_km],Tabla1[Fecha],"&lt;="&amp;'Grafico %'!$A166,Tabla1[nombre_actividad],'Grafico %'!D$1)/(200),NA())</f>
        <v>0.49953000000000003</v>
      </c>
      <c r="E166" s="70">
        <f ca="1">IF(TODAY()&gt;=$A166,SUMIFS(Tabla1[Avance_km],Tabla1[Fecha],"&lt;="&amp;'Grafico %'!$A166,Tabla1[nombre_actividad],'Grafico %'!E$1,Tabla1[Avance_km],"&gt;0")/(200),NA())</f>
        <v>0.49953000000000031</v>
      </c>
      <c r="F166" s="68">
        <f ca="1">IF(TODAY()&gt;=$A166,SUMIFS(Tabla1[Avance_Med],Tabla1[Fecha],"&lt;="&amp;'Grafico %'!$A166,Tabla1[nombre_actividad],'Grafico %'!F$1)/500,NA())</f>
        <v>0.752</v>
      </c>
      <c r="G166" s="70">
        <f ca="1">IF(TODAY()&gt;=$A166,SUMIFS(Tabla1[Avance_km],Tabla1[Fecha],"&lt;="&amp;'Grafico %'!$A166,Tabla1[nombre_actividad],'Grafico %'!G$1)/(200),NA())</f>
        <v>0</v>
      </c>
      <c r="H166" s="70"/>
    </row>
    <row r="167" spans="1:8" x14ac:dyDescent="0.25">
      <c r="A167" s="62">
        <f t="shared" si="2"/>
        <v>46128</v>
      </c>
      <c r="B167" s="33"/>
      <c r="C167" s="69">
        <f ca="1">IF(TODAY()&gt;=$A167,SUMIFS(Tabla1[Avance_km],Tabla1[Fecha],"&lt;="&amp;'Grafico %'!$A167,Tabla1[nombre_actividad],'Grafico %'!C$1)/(200),NA())</f>
        <v>0.62571000000000021</v>
      </c>
      <c r="D167" s="70">
        <f ca="1">IF(TODAY()&gt;=$A167,SUMIFS(Tabla1[Avance_km],Tabla1[Fecha],"&lt;="&amp;'Grafico %'!$A167,Tabla1[nombre_actividad],'Grafico %'!D$1)/(200),NA())</f>
        <v>0.49953000000000003</v>
      </c>
      <c r="E167" s="70">
        <f ca="1">IF(TODAY()&gt;=$A167,SUMIFS(Tabla1[Avance_km],Tabla1[Fecha],"&lt;="&amp;'Grafico %'!$A167,Tabla1[nombre_actividad],'Grafico %'!E$1,Tabla1[Avance_km],"&gt;0")/(200),NA())</f>
        <v>0.49953000000000031</v>
      </c>
      <c r="F167" s="68">
        <f ca="1">IF(TODAY()&gt;=$A167,SUMIFS(Tabla1[Avance_Med],Tabla1[Fecha],"&lt;="&amp;'Grafico %'!$A167,Tabla1[nombre_actividad],'Grafico %'!F$1)/500,NA())</f>
        <v>0.752</v>
      </c>
      <c r="G167" s="70">
        <f ca="1">IF(TODAY()&gt;=$A167,SUMIFS(Tabla1[Avance_km],Tabla1[Fecha],"&lt;="&amp;'Grafico %'!$A167,Tabla1[nombre_actividad],'Grafico %'!G$1)/(200),NA())</f>
        <v>0</v>
      </c>
      <c r="H167" s="70"/>
    </row>
    <row r="168" spans="1:8" x14ac:dyDescent="0.25">
      <c r="A168" s="62">
        <f t="shared" si="2"/>
        <v>46129</v>
      </c>
      <c r="B168" s="33"/>
      <c r="C168" s="69">
        <f ca="1">IF(TODAY()&gt;=$A168,SUMIFS(Tabla1[Avance_km],Tabla1[Fecha],"&lt;="&amp;'Grafico %'!$A168,Tabla1[nombre_actividad],'Grafico %'!C$1)/(200),NA())</f>
        <v>0.62571000000000021</v>
      </c>
      <c r="D168" s="70">
        <f ca="1">IF(TODAY()&gt;=$A168,SUMIFS(Tabla1[Avance_km],Tabla1[Fecha],"&lt;="&amp;'Grafico %'!$A168,Tabla1[nombre_actividad],'Grafico %'!D$1)/(200),NA())</f>
        <v>0.49953000000000003</v>
      </c>
      <c r="E168" s="70">
        <f ca="1">IF(TODAY()&gt;=$A168,SUMIFS(Tabla1[Avance_km],Tabla1[Fecha],"&lt;="&amp;'Grafico %'!$A168,Tabla1[nombre_actividad],'Grafico %'!E$1,Tabla1[Avance_km],"&gt;0")/(200),NA())</f>
        <v>0.49953000000000031</v>
      </c>
      <c r="F168" s="68">
        <f ca="1">IF(TODAY()&gt;=$A168,SUMIFS(Tabla1[Avance_Med],Tabla1[Fecha],"&lt;="&amp;'Grafico %'!$A168,Tabla1[nombre_actividad],'Grafico %'!F$1)/500,NA())</f>
        <v>0.752</v>
      </c>
      <c r="G168" s="70">
        <f ca="1">IF(TODAY()&gt;=$A168,SUMIFS(Tabla1[Avance_km],Tabla1[Fecha],"&lt;="&amp;'Grafico %'!$A168,Tabla1[nombre_actividad],'Grafico %'!G$1)/(200),NA())</f>
        <v>0</v>
      </c>
      <c r="H168" s="70"/>
    </row>
    <row r="169" spans="1:8" x14ac:dyDescent="0.25">
      <c r="A169" s="62">
        <f t="shared" si="2"/>
        <v>46130</v>
      </c>
      <c r="B169" s="33"/>
      <c r="C169" s="69">
        <f ca="1">IF(TODAY()&gt;=$A169,SUMIFS(Tabla1[Avance_km],Tabla1[Fecha],"&lt;="&amp;'Grafico %'!$A169,Tabla1[nombre_actividad],'Grafico %'!C$1)/(200),NA())</f>
        <v>0.62571000000000021</v>
      </c>
      <c r="D169" s="70">
        <f ca="1">IF(TODAY()&gt;=$A169,SUMIFS(Tabla1[Avance_km],Tabla1[Fecha],"&lt;="&amp;'Grafico %'!$A169,Tabla1[nombre_actividad],'Grafico %'!D$1)/(200),NA())</f>
        <v>0.49953000000000003</v>
      </c>
      <c r="E169" s="70">
        <f ca="1">IF(TODAY()&gt;=$A169,SUMIFS(Tabla1[Avance_km],Tabla1[Fecha],"&lt;="&amp;'Grafico %'!$A169,Tabla1[nombre_actividad],'Grafico %'!E$1,Tabla1[Avance_km],"&gt;0")/(200),NA())</f>
        <v>0.49953000000000031</v>
      </c>
      <c r="F169" s="68">
        <f ca="1">IF(TODAY()&gt;=$A169,SUMIFS(Tabla1[Avance_Med],Tabla1[Fecha],"&lt;="&amp;'Grafico %'!$A169,Tabla1[nombre_actividad],'Grafico %'!F$1)/500,NA())</f>
        <v>0.752</v>
      </c>
      <c r="G169" s="70">
        <f ca="1">IF(TODAY()&gt;=$A169,SUMIFS(Tabla1[Avance_km],Tabla1[Fecha],"&lt;="&amp;'Grafico %'!$A169,Tabla1[nombre_actividad],'Grafico %'!G$1)/(200),NA())</f>
        <v>0</v>
      </c>
      <c r="H169" s="70"/>
    </row>
    <row r="170" spans="1:8" x14ac:dyDescent="0.25">
      <c r="A170" s="62">
        <f t="shared" si="2"/>
        <v>46131</v>
      </c>
      <c r="B170" s="33"/>
      <c r="C170" s="69">
        <f ca="1">IF(TODAY()&gt;=$A170,SUMIFS(Tabla1[Avance_km],Tabla1[Fecha],"&lt;="&amp;'Grafico %'!$A170,Tabla1[nombre_actividad],'Grafico %'!C$1)/(200),NA())</f>
        <v>0.62571000000000021</v>
      </c>
      <c r="D170" s="70">
        <f ca="1">IF(TODAY()&gt;=$A170,SUMIFS(Tabla1[Avance_km],Tabla1[Fecha],"&lt;="&amp;'Grafico %'!$A170,Tabla1[nombre_actividad],'Grafico %'!D$1)/(200),NA())</f>
        <v>0.49953000000000003</v>
      </c>
      <c r="E170" s="70">
        <f ca="1">IF(TODAY()&gt;=$A170,SUMIFS(Tabla1[Avance_km],Tabla1[Fecha],"&lt;="&amp;'Grafico %'!$A170,Tabla1[nombre_actividad],'Grafico %'!E$1,Tabla1[Avance_km],"&gt;0")/(200),NA())</f>
        <v>0.49953000000000031</v>
      </c>
      <c r="F170" s="68">
        <f ca="1">IF(TODAY()&gt;=$A170,SUMIFS(Tabla1[Avance_Med],Tabla1[Fecha],"&lt;="&amp;'Grafico %'!$A170,Tabla1[nombre_actividad],'Grafico %'!F$1)/500,NA())</f>
        <v>0.752</v>
      </c>
      <c r="G170" s="70">
        <f ca="1">IF(TODAY()&gt;=$A170,SUMIFS(Tabla1[Avance_km],Tabla1[Fecha],"&lt;="&amp;'Grafico %'!$A170,Tabla1[nombre_actividad],'Grafico %'!G$1)/(200),NA())</f>
        <v>0</v>
      </c>
      <c r="H170" s="70"/>
    </row>
    <row r="171" spans="1:8" x14ac:dyDescent="0.25">
      <c r="A171" s="62">
        <f t="shared" si="2"/>
        <v>46132</v>
      </c>
      <c r="B171" s="33"/>
      <c r="C171" s="69">
        <f ca="1">IF(TODAY()&gt;=$A171,SUMIFS(Tabla1[Avance_km],Tabla1[Fecha],"&lt;="&amp;'Grafico %'!$A171,Tabla1[nombre_actividad],'Grafico %'!C$1)/(200),NA())</f>
        <v>0.62571000000000021</v>
      </c>
      <c r="D171" s="70">
        <f ca="1">IF(TODAY()&gt;=$A171,SUMIFS(Tabla1[Avance_km],Tabla1[Fecha],"&lt;="&amp;'Grafico %'!$A171,Tabla1[nombre_actividad],'Grafico %'!D$1)/(200),NA())</f>
        <v>0.49953000000000003</v>
      </c>
      <c r="E171" s="70">
        <f ca="1">IF(TODAY()&gt;=$A171,SUMIFS(Tabla1[Avance_km],Tabla1[Fecha],"&lt;="&amp;'Grafico %'!$A171,Tabla1[nombre_actividad],'Grafico %'!E$1,Tabla1[Avance_km],"&gt;0")/(200),NA())</f>
        <v>0.49953000000000031</v>
      </c>
      <c r="F171" s="68">
        <f ca="1">IF(TODAY()&gt;=$A171,SUMIFS(Tabla1[Avance_Med],Tabla1[Fecha],"&lt;="&amp;'Grafico %'!$A171,Tabla1[nombre_actividad],'Grafico %'!F$1)/500,NA())</f>
        <v>0.752</v>
      </c>
      <c r="G171" s="70">
        <f ca="1">IF(TODAY()&gt;=$A171,SUMIFS(Tabla1[Avance_km],Tabla1[Fecha],"&lt;="&amp;'Grafico %'!$A171,Tabla1[nombre_actividad],'Grafico %'!G$1)/(200),NA())</f>
        <v>0</v>
      </c>
      <c r="H171" s="70"/>
    </row>
    <row r="172" spans="1:8" x14ac:dyDescent="0.25">
      <c r="A172" s="62">
        <f t="shared" si="2"/>
        <v>46133</v>
      </c>
      <c r="B172" s="33"/>
      <c r="C172" s="69">
        <f ca="1">IF(TODAY()&gt;=$A172,SUMIFS(Tabla1[Avance_km],Tabla1[Fecha],"&lt;="&amp;'Grafico %'!$A172,Tabla1[nombre_actividad],'Grafico %'!C$1)/(200),NA())</f>
        <v>0.62571000000000021</v>
      </c>
      <c r="D172" s="70">
        <f ca="1">IF(TODAY()&gt;=$A172,SUMIFS(Tabla1[Avance_km],Tabla1[Fecha],"&lt;="&amp;'Grafico %'!$A172,Tabla1[nombre_actividad],'Grafico %'!D$1)/(200),NA())</f>
        <v>0.49953000000000003</v>
      </c>
      <c r="E172" s="70">
        <f ca="1">IF(TODAY()&gt;=$A172,SUMIFS(Tabla1[Avance_km],Tabla1[Fecha],"&lt;="&amp;'Grafico %'!$A172,Tabla1[nombre_actividad],'Grafico %'!E$1,Tabla1[Avance_km],"&gt;0")/(200),NA())</f>
        <v>0.49953000000000031</v>
      </c>
      <c r="F172" s="68">
        <f ca="1">IF(TODAY()&gt;=$A172,SUMIFS(Tabla1[Avance_Med],Tabla1[Fecha],"&lt;="&amp;'Grafico %'!$A172,Tabla1[nombre_actividad],'Grafico %'!F$1)/500,NA())</f>
        <v>0.752</v>
      </c>
      <c r="G172" s="70">
        <f ca="1">IF(TODAY()&gt;=$A172,SUMIFS(Tabla1[Avance_km],Tabla1[Fecha],"&lt;="&amp;'Grafico %'!$A172,Tabla1[nombre_actividad],'Grafico %'!G$1)/(200),NA())</f>
        <v>0</v>
      </c>
      <c r="H172" s="70"/>
    </row>
    <row r="173" spans="1:8" x14ac:dyDescent="0.25">
      <c r="A173" s="62">
        <f t="shared" si="2"/>
        <v>46134</v>
      </c>
      <c r="B173" s="33"/>
      <c r="C173" s="69">
        <f ca="1">IF(TODAY()&gt;=$A173,SUMIFS(Tabla1[Avance_km],Tabla1[Fecha],"&lt;="&amp;'Grafico %'!$A173,Tabla1[nombre_actividad],'Grafico %'!C$1)/(200),NA())</f>
        <v>0.62571000000000021</v>
      </c>
      <c r="D173" s="70">
        <f ca="1">IF(TODAY()&gt;=$A173,SUMIFS(Tabla1[Avance_km],Tabla1[Fecha],"&lt;="&amp;'Grafico %'!$A173,Tabla1[nombre_actividad],'Grafico %'!D$1)/(200),NA())</f>
        <v>0.49953000000000003</v>
      </c>
      <c r="E173" s="70">
        <f ca="1">IF(TODAY()&gt;=$A173,SUMIFS(Tabla1[Avance_km],Tabla1[Fecha],"&lt;="&amp;'Grafico %'!$A173,Tabla1[nombre_actividad],'Grafico %'!E$1,Tabla1[Avance_km],"&gt;0")/(200),NA())</f>
        <v>0.49953000000000031</v>
      </c>
      <c r="F173" s="68">
        <f ca="1">IF(TODAY()&gt;=$A173,SUMIFS(Tabla1[Avance_Med],Tabla1[Fecha],"&lt;="&amp;'Grafico %'!$A173,Tabla1[nombre_actividad],'Grafico %'!F$1)/500,NA())</f>
        <v>0.752</v>
      </c>
      <c r="G173" s="70">
        <f ca="1">IF(TODAY()&gt;=$A173,SUMIFS(Tabla1[Avance_km],Tabla1[Fecha],"&lt;="&amp;'Grafico %'!$A173,Tabla1[nombre_actividad],'Grafico %'!G$1)/(200),NA())</f>
        <v>0</v>
      </c>
      <c r="H173" s="70"/>
    </row>
    <row r="174" spans="1:8" x14ac:dyDescent="0.25">
      <c r="A174" s="62">
        <f t="shared" si="2"/>
        <v>46135</v>
      </c>
      <c r="B174" s="33"/>
      <c r="C174" s="69">
        <f ca="1">IF(TODAY()&gt;=$A174,SUMIFS(Tabla1[Avance_km],Tabla1[Fecha],"&lt;="&amp;'Grafico %'!$A174,Tabla1[nombre_actividad],'Grafico %'!C$1)/(200),NA())</f>
        <v>0.62571000000000021</v>
      </c>
      <c r="D174" s="70">
        <f ca="1">IF(TODAY()&gt;=$A174,SUMIFS(Tabla1[Avance_km],Tabla1[Fecha],"&lt;="&amp;'Grafico %'!$A174,Tabla1[nombre_actividad],'Grafico %'!D$1)/(200),NA())</f>
        <v>0.49953000000000003</v>
      </c>
      <c r="E174" s="70">
        <f ca="1">IF(TODAY()&gt;=$A174,SUMIFS(Tabla1[Avance_km],Tabla1[Fecha],"&lt;="&amp;'Grafico %'!$A174,Tabla1[nombre_actividad],'Grafico %'!E$1,Tabla1[Avance_km],"&gt;0")/(200),NA())</f>
        <v>0.50459000000000032</v>
      </c>
      <c r="F174" s="68">
        <f ca="1">IF(TODAY()&gt;=$A174,SUMIFS(Tabla1[Avance_Med],Tabla1[Fecha],"&lt;="&amp;'Grafico %'!$A174,Tabla1[nombre_actividad],'Grafico %'!F$1)/500,NA())</f>
        <v>0.752</v>
      </c>
      <c r="G174" s="70">
        <f ca="1">IF(TODAY()&gt;=$A174,SUMIFS(Tabla1[Avance_km],Tabla1[Fecha],"&lt;="&amp;'Grafico %'!$A174,Tabla1[nombre_actividad],'Grafico %'!G$1)/(200),NA())</f>
        <v>0</v>
      </c>
      <c r="H174" s="70"/>
    </row>
    <row r="175" spans="1:8" x14ac:dyDescent="0.25">
      <c r="A175" s="62">
        <f t="shared" si="2"/>
        <v>46136</v>
      </c>
      <c r="B175" s="33"/>
      <c r="C175" s="69">
        <f ca="1">IF(TODAY()&gt;=$A175,SUMIFS(Tabla1[Avance_km],Tabla1[Fecha],"&lt;="&amp;'Grafico %'!$A175,Tabla1[nombre_actividad],'Grafico %'!C$1)/(200),NA())</f>
        <v>0.62571000000000021</v>
      </c>
      <c r="D175" s="70">
        <f ca="1">IF(TODAY()&gt;=$A175,SUMIFS(Tabla1[Avance_km],Tabla1[Fecha],"&lt;="&amp;'Grafico %'!$A175,Tabla1[nombre_actividad],'Grafico %'!D$1)/(200),NA())</f>
        <v>0.49953000000000003</v>
      </c>
      <c r="E175" s="70">
        <f ca="1">IF(TODAY()&gt;=$A175,SUMIFS(Tabla1[Avance_km],Tabla1[Fecha],"&lt;="&amp;'Grafico %'!$A175,Tabla1[nombre_actividad],'Grafico %'!E$1,Tabla1[Avance_km],"&gt;0")/(200),NA())</f>
        <v>0.5135350000000003</v>
      </c>
      <c r="F175" s="68">
        <f ca="1">IF(TODAY()&gt;=$A175,SUMIFS(Tabla1[Avance_Med],Tabla1[Fecha],"&lt;="&amp;'Grafico %'!$A175,Tabla1[nombre_actividad],'Grafico %'!F$1)/500,NA())</f>
        <v>0.752</v>
      </c>
      <c r="G175" s="70">
        <f ca="1">IF(TODAY()&gt;=$A175,SUMIFS(Tabla1[Avance_km],Tabla1[Fecha],"&lt;="&amp;'Grafico %'!$A175,Tabla1[nombre_actividad],'Grafico %'!G$1)/(200),NA())</f>
        <v>0</v>
      </c>
      <c r="H175" s="70"/>
    </row>
    <row r="176" spans="1:8" x14ac:dyDescent="0.25">
      <c r="A176" s="62">
        <f t="shared" si="2"/>
        <v>46137</v>
      </c>
      <c r="B176" s="33"/>
      <c r="C176" s="69">
        <f ca="1">IF(TODAY()&gt;=$A176,SUMIFS(Tabla1[Avance_km],Tabla1[Fecha],"&lt;="&amp;'Grafico %'!$A176,Tabla1[nombre_actividad],'Grafico %'!C$1)/(200),NA())</f>
        <v>0.62571000000000021</v>
      </c>
      <c r="D176" s="70">
        <f ca="1">IF(TODAY()&gt;=$A176,SUMIFS(Tabla1[Avance_km],Tabla1[Fecha],"&lt;="&amp;'Grafico %'!$A176,Tabla1[nombre_actividad],'Grafico %'!D$1)/(200),NA())</f>
        <v>0.49953000000000003</v>
      </c>
      <c r="E176" s="70">
        <f ca="1">IF(TODAY()&gt;=$A176,SUMIFS(Tabla1[Avance_km],Tabla1[Fecha],"&lt;="&amp;'Grafico %'!$A176,Tabla1[nombre_actividad],'Grafico %'!E$1,Tabla1[Avance_km],"&gt;0")/(200),NA())</f>
        <v>0.5154150000000004</v>
      </c>
      <c r="F176" s="68">
        <f ca="1">IF(TODAY()&gt;=$A176,SUMIFS(Tabla1[Avance_Med],Tabla1[Fecha],"&lt;="&amp;'Grafico %'!$A176,Tabla1[nombre_actividad],'Grafico %'!F$1)/500,NA())</f>
        <v>0.752</v>
      </c>
      <c r="G176" s="70">
        <f ca="1">IF(TODAY()&gt;=$A176,SUMIFS(Tabla1[Avance_km],Tabla1[Fecha],"&lt;="&amp;'Grafico %'!$A176,Tabla1[nombre_actividad],'Grafico %'!G$1)/(200),NA())</f>
        <v>0</v>
      </c>
      <c r="H176" s="70"/>
    </row>
    <row r="177" spans="1:8" x14ac:dyDescent="0.25">
      <c r="A177" s="62">
        <f t="shared" si="2"/>
        <v>46138</v>
      </c>
      <c r="B177" s="33"/>
      <c r="C177" s="69">
        <f ca="1">IF(TODAY()&gt;=$A177,SUMIFS(Tabla1[Avance_km],Tabla1[Fecha],"&lt;="&amp;'Grafico %'!$A177,Tabla1[nombre_actividad],'Grafico %'!C$1)/(200),NA())</f>
        <v>0.62571000000000021</v>
      </c>
      <c r="D177" s="70">
        <f ca="1">IF(TODAY()&gt;=$A177,SUMIFS(Tabla1[Avance_km],Tabla1[Fecha],"&lt;="&amp;'Grafico %'!$A177,Tabla1[nombre_actividad],'Grafico %'!D$1)/(200),NA())</f>
        <v>0.49953000000000003</v>
      </c>
      <c r="E177" s="70">
        <f ca="1">IF(TODAY()&gt;=$A177,SUMIFS(Tabla1[Avance_km],Tabla1[Fecha],"&lt;="&amp;'Grafico %'!$A177,Tabla1[nombre_actividad],'Grafico %'!E$1,Tabla1[Avance_km],"&gt;0")/(200),NA())</f>
        <v>0.5154150000000004</v>
      </c>
      <c r="F177" s="68">
        <f ca="1">IF(TODAY()&gt;=$A177,SUMIFS(Tabla1[Avance_Med],Tabla1[Fecha],"&lt;="&amp;'Grafico %'!$A177,Tabla1[nombre_actividad],'Grafico %'!F$1)/500,NA())</f>
        <v>0.752</v>
      </c>
      <c r="G177" s="70">
        <f ca="1">IF(TODAY()&gt;=$A177,SUMIFS(Tabla1[Avance_km],Tabla1[Fecha],"&lt;="&amp;'Grafico %'!$A177,Tabla1[nombre_actividad],'Grafico %'!G$1)/(200),NA())</f>
        <v>0</v>
      </c>
      <c r="H177" s="70"/>
    </row>
    <row r="178" spans="1:8" x14ac:dyDescent="0.25">
      <c r="A178" s="62">
        <f t="shared" si="2"/>
        <v>46139</v>
      </c>
      <c r="B178" s="33"/>
      <c r="C178" s="69">
        <f ca="1">IF(TODAY()&gt;=$A178,SUMIFS(Tabla1[Avance_km],Tabla1[Fecha],"&lt;="&amp;'Grafico %'!$A178,Tabla1[nombre_actividad],'Grafico %'!C$1)/(200),NA())</f>
        <v>0.62571000000000021</v>
      </c>
      <c r="D178" s="70">
        <f ca="1">IF(TODAY()&gt;=$A178,SUMIFS(Tabla1[Avance_km],Tabla1[Fecha],"&lt;="&amp;'Grafico %'!$A178,Tabla1[nombre_actividad],'Grafico %'!D$1)/(200),NA())</f>
        <v>0.49953000000000003</v>
      </c>
      <c r="E178" s="70">
        <f ca="1">IF(TODAY()&gt;=$A178,SUMIFS(Tabla1[Avance_km],Tabla1[Fecha],"&lt;="&amp;'Grafico %'!$A178,Tabla1[nombre_actividad],'Grafico %'!E$1,Tabla1[Avance_km],"&gt;0")/(200),NA())</f>
        <v>0.52124000000000037</v>
      </c>
      <c r="F178" s="68">
        <f ca="1">IF(TODAY()&gt;=$A178,SUMIFS(Tabla1[Avance_Med],Tabla1[Fecha],"&lt;="&amp;'Grafico %'!$A178,Tabla1[nombre_actividad],'Grafico %'!F$1)/500,NA())</f>
        <v>0.752</v>
      </c>
      <c r="G178" s="70">
        <f ca="1">IF(TODAY()&gt;=$A178,SUMIFS(Tabla1[Avance_km],Tabla1[Fecha],"&lt;="&amp;'Grafico %'!$A178,Tabla1[nombre_actividad],'Grafico %'!G$1)/(200),NA())</f>
        <v>0</v>
      </c>
      <c r="H178" s="70"/>
    </row>
    <row r="179" spans="1:8" x14ac:dyDescent="0.25">
      <c r="A179" s="62">
        <f t="shared" si="2"/>
        <v>46140</v>
      </c>
      <c r="B179" s="33"/>
      <c r="C179" s="69">
        <f ca="1">IF(TODAY()&gt;=$A179,SUMIFS(Tabla1[Avance_km],Tabla1[Fecha],"&lt;="&amp;'Grafico %'!$A179,Tabla1[nombre_actividad],'Grafico %'!C$1)/(200),NA())</f>
        <v>0.62571000000000021</v>
      </c>
      <c r="D179" s="70">
        <f ca="1">IF(TODAY()&gt;=$A179,SUMIFS(Tabla1[Avance_km],Tabla1[Fecha],"&lt;="&amp;'Grafico %'!$A179,Tabla1[nombre_actividad],'Grafico %'!D$1)/(200),NA())</f>
        <v>0.49953000000000003</v>
      </c>
      <c r="E179" s="70">
        <f ca="1">IF(TODAY()&gt;=$A179,SUMIFS(Tabla1[Avance_km],Tabla1[Fecha],"&lt;="&amp;'Grafico %'!$A179,Tabla1[nombre_actividad],'Grafico %'!E$1,Tabla1[Avance_km],"&gt;0")/(200),NA())</f>
        <v>0.52690000000000037</v>
      </c>
      <c r="F179" s="68">
        <f ca="1">IF(TODAY()&gt;=$A179,SUMIFS(Tabla1[Avance_Med],Tabla1[Fecha],"&lt;="&amp;'Grafico %'!$A179,Tabla1[nombre_actividad],'Grafico %'!F$1)/500,NA())</f>
        <v>0.752</v>
      </c>
      <c r="G179" s="70">
        <f ca="1">IF(TODAY()&gt;=$A179,SUMIFS(Tabla1[Avance_km],Tabla1[Fecha],"&lt;="&amp;'Grafico %'!$A179,Tabla1[nombre_actividad],'Grafico %'!G$1)/(200),NA())</f>
        <v>0</v>
      </c>
      <c r="H179" s="70"/>
    </row>
    <row r="180" spans="1:8" x14ac:dyDescent="0.25">
      <c r="A180" s="62">
        <f t="shared" si="2"/>
        <v>46141</v>
      </c>
      <c r="B180" s="33"/>
      <c r="C180" s="69">
        <f ca="1">IF(TODAY()&gt;=$A180,SUMIFS(Tabla1[Avance_km],Tabla1[Fecha],"&lt;="&amp;'Grafico %'!$A180,Tabla1[nombre_actividad],'Grafico %'!C$1)/(200),NA())</f>
        <v>0.62571000000000021</v>
      </c>
      <c r="D180" s="70">
        <f ca="1">IF(TODAY()&gt;=$A180,SUMIFS(Tabla1[Avance_km],Tabla1[Fecha],"&lt;="&amp;'Grafico %'!$A180,Tabla1[nombre_actividad],'Grafico %'!D$1)/(200),NA())</f>
        <v>0.49953000000000003</v>
      </c>
      <c r="E180" s="70">
        <f ca="1">IF(TODAY()&gt;=$A180,SUMIFS(Tabla1[Avance_km],Tabla1[Fecha],"&lt;="&amp;'Grafico %'!$A180,Tabla1[nombre_actividad],'Grafico %'!E$1,Tabla1[Avance_km],"&gt;0")/(200),NA())</f>
        <v>0.52690000000000037</v>
      </c>
      <c r="F180" s="68">
        <f ca="1">IF(TODAY()&gt;=$A180,SUMIFS(Tabla1[Avance_Med],Tabla1[Fecha],"&lt;="&amp;'Grafico %'!$A180,Tabla1[nombre_actividad],'Grafico %'!F$1)/500,NA())</f>
        <v>0.752</v>
      </c>
      <c r="G180" s="70">
        <f ca="1">IF(TODAY()&gt;=$A180,SUMIFS(Tabla1[Avance_km],Tabla1[Fecha],"&lt;="&amp;'Grafico %'!$A180,Tabla1[nombre_actividad],'Grafico %'!G$1)/(200),NA())</f>
        <v>0</v>
      </c>
      <c r="H180" s="70"/>
    </row>
    <row r="181" spans="1:8" x14ac:dyDescent="0.25">
      <c r="A181" s="62">
        <f t="shared" si="2"/>
        <v>46142</v>
      </c>
      <c r="B181" s="33"/>
      <c r="C181" s="69">
        <f ca="1">IF(TODAY()&gt;=$A181,SUMIFS(Tabla1[Avance_km],Tabla1[Fecha],"&lt;="&amp;'Grafico %'!$A181,Tabla1[nombre_actividad],'Grafico %'!C$1)/(200),NA())</f>
        <v>0.62571000000000021</v>
      </c>
      <c r="D181" s="70">
        <f ca="1">IF(TODAY()&gt;=$A181,SUMIFS(Tabla1[Avance_km],Tabla1[Fecha],"&lt;="&amp;'Grafico %'!$A181,Tabla1[nombre_actividad],'Grafico %'!D$1)/(200),NA())</f>
        <v>0.49953000000000003</v>
      </c>
      <c r="E181" s="70">
        <f ca="1">IF(TODAY()&gt;=$A181,SUMIFS(Tabla1[Avance_km],Tabla1[Fecha],"&lt;="&amp;'Grafico %'!$A181,Tabla1[nombre_actividad],'Grafico %'!E$1,Tabla1[Avance_km],"&gt;0")/(200),NA())</f>
        <v>0.52930500000000036</v>
      </c>
      <c r="F181" s="68">
        <f ca="1">IF(TODAY()&gt;=$A181,SUMIFS(Tabla1[Avance_Med],Tabla1[Fecha],"&lt;="&amp;'Grafico %'!$A181,Tabla1[nombre_actividad],'Grafico %'!F$1)/500,NA())</f>
        <v>0.752</v>
      </c>
      <c r="G181" s="70">
        <f ca="1">IF(TODAY()&gt;=$A181,SUMIFS(Tabla1[Avance_km],Tabla1[Fecha],"&lt;="&amp;'Grafico %'!$A181,Tabla1[nombre_actividad],'Grafico %'!G$1)/(200),NA())</f>
        <v>0</v>
      </c>
      <c r="H181" s="70"/>
    </row>
    <row r="182" spans="1:8" x14ac:dyDescent="0.25">
      <c r="A182" s="62">
        <f t="shared" si="2"/>
        <v>46143</v>
      </c>
      <c r="B182" s="33"/>
      <c r="C182" s="69">
        <f ca="1">IF(TODAY()&gt;=$A182,SUMIFS(Tabla1[Avance_km],Tabla1[Fecha],"&lt;="&amp;'Grafico %'!$A182,Tabla1[nombre_actividad],'Grafico %'!C$1)/(200),NA())</f>
        <v>0.62571000000000021</v>
      </c>
      <c r="D182" s="70">
        <f ca="1">IF(TODAY()&gt;=$A182,SUMIFS(Tabla1[Avance_km],Tabla1[Fecha],"&lt;="&amp;'Grafico %'!$A182,Tabla1[nombre_actividad],'Grafico %'!D$1)/(200),NA())</f>
        <v>0.49953000000000003</v>
      </c>
      <c r="E182" s="70">
        <f ca="1">IF(TODAY()&gt;=$A182,SUMIFS(Tabla1[Avance_km],Tabla1[Fecha],"&lt;="&amp;'Grafico %'!$A182,Tabla1[nombre_actividad],'Grafico %'!E$1,Tabla1[Avance_km],"&gt;0")/(200),NA())</f>
        <v>0.53641000000000039</v>
      </c>
      <c r="F182" s="68">
        <f ca="1">IF(TODAY()&gt;=$A182,SUMIFS(Tabla1[Avance_Med],Tabla1[Fecha],"&lt;="&amp;'Grafico %'!$A182,Tabla1[nombre_actividad],'Grafico %'!F$1)/500,NA())</f>
        <v>0.752</v>
      </c>
      <c r="G182" s="70">
        <f ca="1">IF(TODAY()&gt;=$A182,SUMIFS(Tabla1[Avance_km],Tabla1[Fecha],"&lt;="&amp;'Grafico %'!$A182,Tabla1[nombre_actividad],'Grafico %'!G$1)/(200),NA())</f>
        <v>0</v>
      </c>
      <c r="H182" s="70"/>
    </row>
    <row r="183" spans="1:8" x14ac:dyDescent="0.25">
      <c r="A183" s="62">
        <f t="shared" si="2"/>
        <v>46144</v>
      </c>
      <c r="B183" s="33"/>
      <c r="C183" s="69">
        <f ca="1">IF(TODAY()&gt;=$A183,SUMIFS(Tabla1[Avance_km],Tabla1[Fecha],"&lt;="&amp;'Grafico %'!$A183,Tabla1[nombre_actividad],'Grafico %'!C$1)/(200),NA())</f>
        <v>0.62571000000000021</v>
      </c>
      <c r="D183" s="70">
        <f ca="1">IF(TODAY()&gt;=$A183,SUMIFS(Tabla1[Avance_km],Tabla1[Fecha],"&lt;="&amp;'Grafico %'!$A183,Tabla1[nombre_actividad],'Grafico %'!D$1)/(200),NA())</f>
        <v>0.49953000000000003</v>
      </c>
      <c r="E183" s="70">
        <f ca="1">IF(TODAY()&gt;=$A183,SUMIFS(Tabla1[Avance_km],Tabla1[Fecha],"&lt;="&amp;'Grafico %'!$A183,Tabla1[nombre_actividad],'Grafico %'!E$1,Tabla1[Avance_km],"&gt;0")/(200),NA())</f>
        <v>0.53641000000000039</v>
      </c>
      <c r="F183" s="68">
        <f ca="1">IF(TODAY()&gt;=$A183,SUMIFS(Tabla1[Avance_Med],Tabla1[Fecha],"&lt;="&amp;'Grafico %'!$A183,Tabla1[nombre_actividad],'Grafico %'!F$1)/500,NA())</f>
        <v>0.752</v>
      </c>
      <c r="G183" s="70">
        <f ca="1">IF(TODAY()&gt;=$A183,SUMIFS(Tabla1[Avance_km],Tabla1[Fecha],"&lt;="&amp;'Grafico %'!$A183,Tabla1[nombre_actividad],'Grafico %'!G$1)/(200),NA())</f>
        <v>0</v>
      </c>
      <c r="H183" s="70"/>
    </row>
    <row r="184" spans="1:8" x14ac:dyDescent="0.25">
      <c r="A184" s="62">
        <f t="shared" si="2"/>
        <v>46145</v>
      </c>
      <c r="B184" s="33"/>
      <c r="C184" s="69">
        <f ca="1">IF(TODAY()&gt;=$A184,SUMIFS(Tabla1[Avance_km],Tabla1[Fecha],"&lt;="&amp;'Grafico %'!$A184,Tabla1[nombre_actividad],'Grafico %'!C$1)/(200),NA())</f>
        <v>0.62571000000000021</v>
      </c>
      <c r="D184" s="70">
        <f ca="1">IF(TODAY()&gt;=$A184,SUMIFS(Tabla1[Avance_km],Tabla1[Fecha],"&lt;="&amp;'Grafico %'!$A184,Tabla1[nombre_actividad],'Grafico %'!D$1)/(200),NA())</f>
        <v>0.49953000000000003</v>
      </c>
      <c r="E184" s="70">
        <f ca="1">IF(TODAY()&gt;=$A184,SUMIFS(Tabla1[Avance_km],Tabla1[Fecha],"&lt;="&amp;'Grafico %'!$A184,Tabla1[nombre_actividad],'Grafico %'!E$1,Tabla1[Avance_km],"&gt;0")/(200),NA())</f>
        <v>0.53641000000000039</v>
      </c>
      <c r="F184" s="68">
        <f ca="1">IF(TODAY()&gt;=$A184,SUMIFS(Tabla1[Avance_Med],Tabla1[Fecha],"&lt;="&amp;'Grafico %'!$A184,Tabla1[nombre_actividad],'Grafico %'!F$1)/500,NA())</f>
        <v>0.752</v>
      </c>
      <c r="G184" s="70">
        <f ca="1">IF(TODAY()&gt;=$A184,SUMIFS(Tabla1[Avance_km],Tabla1[Fecha],"&lt;="&amp;'Grafico %'!$A184,Tabla1[nombre_actividad],'Grafico %'!G$1)/(200),NA())</f>
        <v>0</v>
      </c>
      <c r="H184" s="70"/>
    </row>
    <row r="185" spans="1:8" x14ac:dyDescent="0.25">
      <c r="A185" s="62">
        <f t="shared" si="2"/>
        <v>46146</v>
      </c>
      <c r="B185" s="33"/>
      <c r="C185" s="69">
        <f ca="1">IF(TODAY()&gt;=$A185,SUMIFS(Tabla1[Avance_km],Tabla1[Fecha],"&lt;="&amp;'Grafico %'!$A185,Tabla1[nombre_actividad],'Grafico %'!C$1)/(200),NA())</f>
        <v>0.62571000000000021</v>
      </c>
      <c r="D185" s="70">
        <f ca="1">IF(TODAY()&gt;=$A185,SUMIFS(Tabla1[Avance_km],Tabla1[Fecha],"&lt;="&amp;'Grafico %'!$A185,Tabla1[nombre_actividad],'Grafico %'!D$1)/(200),NA())</f>
        <v>0.49953000000000003</v>
      </c>
      <c r="E185" s="70">
        <f ca="1">IF(TODAY()&gt;=$A185,SUMIFS(Tabla1[Avance_km],Tabla1[Fecha],"&lt;="&amp;'Grafico %'!$A185,Tabla1[nombre_actividad],'Grafico %'!E$1,Tabla1[Avance_km],"&gt;0")/(200),NA())</f>
        <v>0.54462500000000036</v>
      </c>
      <c r="F185" s="68">
        <f ca="1">IF(TODAY()&gt;=$A185,SUMIFS(Tabla1[Avance_Med],Tabla1[Fecha],"&lt;="&amp;'Grafico %'!$A185,Tabla1[nombre_actividad],'Grafico %'!F$1)/500,NA())</f>
        <v>0.752</v>
      </c>
      <c r="G185" s="70">
        <f ca="1">IF(TODAY()&gt;=$A185,SUMIFS(Tabla1[Avance_km],Tabla1[Fecha],"&lt;="&amp;'Grafico %'!$A185,Tabla1[nombre_actividad],'Grafico %'!G$1)/(200),NA())</f>
        <v>0</v>
      </c>
      <c r="H185" s="70"/>
    </row>
    <row r="186" spans="1:8" x14ac:dyDescent="0.25">
      <c r="A186" s="62">
        <f t="shared" si="2"/>
        <v>46147</v>
      </c>
      <c r="B186" s="33"/>
      <c r="C186" s="69">
        <f ca="1">IF(TODAY()&gt;=$A186,SUMIFS(Tabla1[Avance_km],Tabla1[Fecha],"&lt;="&amp;'Grafico %'!$A186,Tabla1[nombre_actividad],'Grafico %'!C$1)/(200),NA())</f>
        <v>0.62571000000000021</v>
      </c>
      <c r="D186" s="70">
        <f ca="1">IF(TODAY()&gt;=$A186,SUMIFS(Tabla1[Avance_km],Tabla1[Fecha],"&lt;="&amp;'Grafico %'!$A186,Tabla1[nombre_actividad],'Grafico %'!D$1)/(200),NA())</f>
        <v>0.49953000000000003</v>
      </c>
      <c r="E186" s="70">
        <f ca="1">IF(TODAY()&gt;=$A186,SUMIFS(Tabla1[Avance_km],Tabla1[Fecha],"&lt;="&amp;'Grafico %'!$A186,Tabla1[nombre_actividad],'Grafico %'!E$1,Tabla1[Avance_km],"&gt;0")/(200),NA())</f>
        <v>0.55028500000000047</v>
      </c>
      <c r="F186" s="68">
        <f ca="1">IF(TODAY()&gt;=$A186,SUMIFS(Tabla1[Avance_Med],Tabla1[Fecha],"&lt;="&amp;'Grafico %'!$A186,Tabla1[nombre_actividad],'Grafico %'!F$1)/500,NA())</f>
        <v>0.752</v>
      </c>
      <c r="G186" s="70">
        <f ca="1">IF(TODAY()&gt;=$A186,SUMIFS(Tabla1[Avance_km],Tabla1[Fecha],"&lt;="&amp;'Grafico %'!$A186,Tabla1[nombre_actividad],'Grafico %'!G$1)/(200),NA())</f>
        <v>0</v>
      </c>
      <c r="H186" s="70"/>
    </row>
    <row r="187" spans="1:8" x14ac:dyDescent="0.25">
      <c r="A187" s="62">
        <f t="shared" si="2"/>
        <v>46148</v>
      </c>
      <c r="B187" s="33"/>
      <c r="C187" s="69">
        <f ca="1">IF(TODAY()&gt;=$A187,SUMIFS(Tabla1[Avance_km],Tabla1[Fecha],"&lt;="&amp;'Grafico %'!$A187,Tabla1[nombre_actividad],'Grafico %'!C$1)/(200),NA())</f>
        <v>0.62571000000000021</v>
      </c>
      <c r="D187" s="70">
        <f ca="1">IF(TODAY()&gt;=$A187,SUMIFS(Tabla1[Avance_km],Tabla1[Fecha],"&lt;="&amp;'Grafico %'!$A187,Tabla1[nombre_actividad],'Grafico %'!D$1)/(200),NA())</f>
        <v>0.49953000000000003</v>
      </c>
      <c r="E187" s="70">
        <f ca="1">IF(TODAY()&gt;=$A187,SUMIFS(Tabla1[Avance_km],Tabla1[Fecha],"&lt;="&amp;'Grafico %'!$A187,Tabla1[nombre_actividad],'Grafico %'!E$1,Tabla1[Avance_km],"&gt;0")/(200),NA())</f>
        <v>0.55926500000000046</v>
      </c>
      <c r="F187" s="68">
        <f ca="1">IF(TODAY()&gt;=$A187,SUMIFS(Tabla1[Avance_Med],Tabla1[Fecha],"&lt;="&amp;'Grafico %'!$A187,Tabla1[nombre_actividad],'Grafico %'!F$1)/500,NA())</f>
        <v>0.752</v>
      </c>
      <c r="G187" s="70">
        <f ca="1">IF(TODAY()&gt;=$A187,SUMIFS(Tabla1[Avance_km],Tabla1[Fecha],"&lt;="&amp;'Grafico %'!$A187,Tabla1[nombre_actividad],'Grafico %'!G$1)/(200),NA())</f>
        <v>0</v>
      </c>
      <c r="H187" s="70"/>
    </row>
    <row r="188" spans="1:8" x14ac:dyDescent="0.25">
      <c r="A188" s="62">
        <f t="shared" si="2"/>
        <v>46149</v>
      </c>
      <c r="B188" s="33"/>
      <c r="C188" s="69">
        <f ca="1">IF(TODAY()&gt;=$A188,SUMIFS(Tabla1[Avance_km],Tabla1[Fecha],"&lt;="&amp;'Grafico %'!$A188,Tabla1[nombre_actividad],'Grafico %'!C$1)/(200),NA())</f>
        <v>0.62571000000000021</v>
      </c>
      <c r="D188" s="70">
        <f ca="1">IF(TODAY()&gt;=$A188,SUMIFS(Tabla1[Avance_km],Tabla1[Fecha],"&lt;="&amp;'Grafico %'!$A188,Tabla1[nombre_actividad],'Grafico %'!D$1)/(200),NA())</f>
        <v>0.49953000000000003</v>
      </c>
      <c r="E188" s="70">
        <f ca="1">IF(TODAY()&gt;=$A188,SUMIFS(Tabla1[Avance_km],Tabla1[Fecha],"&lt;="&amp;'Grafico %'!$A188,Tabla1[nombre_actividad],'Grafico %'!E$1,Tabla1[Avance_km],"&gt;0")/(200),NA())</f>
        <v>0.57023500000000049</v>
      </c>
      <c r="F188" s="68">
        <f ca="1">IF(TODAY()&gt;=$A188,SUMIFS(Tabla1[Avance_Med],Tabla1[Fecha],"&lt;="&amp;'Grafico %'!$A188,Tabla1[nombre_actividad],'Grafico %'!F$1)/500,NA())</f>
        <v>0.752</v>
      </c>
      <c r="G188" s="70">
        <f ca="1">IF(TODAY()&gt;=$A188,SUMIFS(Tabla1[Avance_km],Tabla1[Fecha],"&lt;="&amp;'Grafico %'!$A188,Tabla1[nombre_actividad],'Grafico %'!G$1)/(200),NA())</f>
        <v>0</v>
      </c>
      <c r="H188" s="70"/>
    </row>
    <row r="189" spans="1:8" x14ac:dyDescent="0.25">
      <c r="A189" s="62">
        <f t="shared" si="2"/>
        <v>46150</v>
      </c>
      <c r="B189" s="33"/>
      <c r="C189" s="69">
        <f ca="1">IF(TODAY()&gt;=$A189,SUMIFS(Tabla1[Avance_km],Tabla1[Fecha],"&lt;="&amp;'Grafico %'!$A189,Tabla1[nombre_actividad],'Grafico %'!C$1)/(200),NA())</f>
        <v>0.62571000000000021</v>
      </c>
      <c r="D189" s="70">
        <f ca="1">IF(TODAY()&gt;=$A189,SUMIFS(Tabla1[Avance_km],Tabla1[Fecha],"&lt;="&amp;'Grafico %'!$A189,Tabla1[nombre_actividad],'Grafico %'!D$1)/(200),NA())</f>
        <v>0.49953000000000003</v>
      </c>
      <c r="E189" s="70">
        <f ca="1">IF(TODAY()&gt;=$A189,SUMIFS(Tabla1[Avance_km],Tabla1[Fecha],"&lt;="&amp;'Grafico %'!$A189,Tabla1[nombre_actividad],'Grafico %'!E$1,Tabla1[Avance_km],"&gt;0")/(200),NA())</f>
        <v>0.58355500000000049</v>
      </c>
      <c r="F189" s="68">
        <f ca="1">IF(TODAY()&gt;=$A189,SUMIFS(Tabla1[Avance_Med],Tabla1[Fecha],"&lt;="&amp;'Grafico %'!$A189,Tabla1[nombre_actividad],'Grafico %'!F$1)/500,NA())</f>
        <v>0.752</v>
      </c>
      <c r="G189" s="70">
        <f ca="1">IF(TODAY()&gt;=$A189,SUMIFS(Tabla1[Avance_km],Tabla1[Fecha],"&lt;="&amp;'Grafico %'!$A189,Tabla1[nombre_actividad],'Grafico %'!G$1)/(200),NA())</f>
        <v>0</v>
      </c>
      <c r="H189" s="70"/>
    </row>
    <row r="190" spans="1:8" x14ac:dyDescent="0.25">
      <c r="A190" s="62">
        <f t="shared" si="2"/>
        <v>46151</v>
      </c>
      <c r="B190" s="33"/>
      <c r="C190" s="69">
        <f ca="1">IF(TODAY()&gt;=$A190,SUMIFS(Tabla1[Avance_km],Tabla1[Fecha],"&lt;="&amp;'Grafico %'!$A190,Tabla1[nombre_actividad],'Grafico %'!C$1)/(200),NA())</f>
        <v>0.62571000000000021</v>
      </c>
      <c r="D190" s="70">
        <f ca="1">IF(TODAY()&gt;=$A190,SUMIFS(Tabla1[Avance_km],Tabla1[Fecha],"&lt;="&amp;'Grafico %'!$A190,Tabla1[nombre_actividad],'Grafico %'!D$1)/(200),NA())</f>
        <v>0.49953000000000003</v>
      </c>
      <c r="E190" s="70">
        <f ca="1">IF(TODAY()&gt;=$A190,SUMIFS(Tabla1[Avance_km],Tabla1[Fecha],"&lt;="&amp;'Grafico %'!$A190,Tabla1[nombre_actividad],'Grafico %'!E$1,Tabla1[Avance_km],"&gt;0")/(200),NA())</f>
        <v>0.58557000000000048</v>
      </c>
      <c r="F190" s="68">
        <f ca="1">IF(TODAY()&gt;=$A190,SUMIFS(Tabla1[Avance_Med],Tabla1[Fecha],"&lt;="&amp;'Grafico %'!$A190,Tabla1[nombre_actividad],'Grafico %'!F$1)/500,NA())</f>
        <v>0.752</v>
      </c>
      <c r="G190" s="70">
        <f ca="1">IF(TODAY()&gt;=$A190,SUMIFS(Tabla1[Avance_km],Tabla1[Fecha],"&lt;="&amp;'Grafico %'!$A190,Tabla1[nombre_actividad],'Grafico %'!G$1)/(200),NA())</f>
        <v>0</v>
      </c>
      <c r="H190" s="70"/>
    </row>
    <row r="191" spans="1:8" x14ac:dyDescent="0.25">
      <c r="A191" s="62">
        <f t="shared" si="2"/>
        <v>46152</v>
      </c>
      <c r="B191" s="33"/>
      <c r="C191" s="69">
        <f ca="1">IF(TODAY()&gt;=$A191,SUMIFS(Tabla1[Avance_km],Tabla1[Fecha],"&lt;="&amp;'Grafico %'!$A191,Tabla1[nombre_actividad],'Grafico %'!C$1)/(200),NA())</f>
        <v>0.62571000000000021</v>
      </c>
      <c r="D191" s="70">
        <f ca="1">IF(TODAY()&gt;=$A191,SUMIFS(Tabla1[Avance_km],Tabla1[Fecha],"&lt;="&amp;'Grafico %'!$A191,Tabla1[nombre_actividad],'Grafico %'!D$1)/(200),NA())</f>
        <v>0.49953000000000003</v>
      </c>
      <c r="E191" s="70">
        <f ca="1">IF(TODAY()&gt;=$A191,SUMIFS(Tabla1[Avance_km],Tabla1[Fecha],"&lt;="&amp;'Grafico %'!$A191,Tabla1[nombre_actividad],'Grafico %'!E$1,Tabla1[Avance_km],"&gt;0")/(200),NA())</f>
        <v>0.58557000000000048</v>
      </c>
      <c r="F191" s="68">
        <f ca="1">IF(TODAY()&gt;=$A191,SUMIFS(Tabla1[Avance_Med],Tabla1[Fecha],"&lt;="&amp;'Grafico %'!$A191,Tabla1[nombre_actividad],'Grafico %'!F$1)/500,NA())</f>
        <v>0.752</v>
      </c>
      <c r="G191" s="70">
        <f ca="1">IF(TODAY()&gt;=$A191,SUMIFS(Tabla1[Avance_km],Tabla1[Fecha],"&lt;="&amp;'Grafico %'!$A191,Tabla1[nombre_actividad],'Grafico %'!G$1)/(200),NA())</f>
        <v>0</v>
      </c>
      <c r="H191" s="70"/>
    </row>
    <row r="192" spans="1:8" x14ac:dyDescent="0.25">
      <c r="A192" s="62">
        <f t="shared" si="2"/>
        <v>46153</v>
      </c>
      <c r="B192" s="33"/>
      <c r="C192" s="69">
        <f ca="1">IF(TODAY()&gt;=$A192,SUMIFS(Tabla1[Avance_km],Tabla1[Fecha],"&lt;="&amp;'Grafico %'!$A192,Tabla1[nombre_actividad],'Grafico %'!C$1)/(200),NA())</f>
        <v>0.62571000000000021</v>
      </c>
      <c r="D192" s="70">
        <f ca="1">IF(TODAY()&gt;=$A192,SUMIFS(Tabla1[Avance_km],Tabla1[Fecha],"&lt;="&amp;'Grafico %'!$A192,Tabla1[nombre_actividad],'Grafico %'!D$1)/(200),NA())</f>
        <v>0.49953000000000003</v>
      </c>
      <c r="E192" s="70">
        <f ca="1">IF(TODAY()&gt;=$A192,SUMIFS(Tabla1[Avance_km],Tabla1[Fecha],"&lt;="&amp;'Grafico %'!$A192,Tabla1[nombre_actividad],'Grafico %'!E$1,Tabla1[Avance_km],"&gt;0")/(200),NA())</f>
        <v>0.59172000000000058</v>
      </c>
      <c r="F192" s="68">
        <f ca="1">IF(TODAY()&gt;=$A192,SUMIFS(Tabla1[Avance_Med],Tabla1[Fecha],"&lt;="&amp;'Grafico %'!$A192,Tabla1[nombre_actividad],'Grafico %'!F$1)/500,NA())</f>
        <v>0.752</v>
      </c>
      <c r="G192" s="70">
        <f ca="1">IF(TODAY()&gt;=$A192,SUMIFS(Tabla1[Avance_km],Tabla1[Fecha],"&lt;="&amp;'Grafico %'!$A192,Tabla1[nombre_actividad],'Grafico %'!G$1)/(200),NA())</f>
        <v>0</v>
      </c>
      <c r="H192" s="70"/>
    </row>
    <row r="193" spans="1:8" x14ac:dyDescent="0.25">
      <c r="A193" s="62">
        <f t="shared" si="2"/>
        <v>46154</v>
      </c>
      <c r="B193" s="33"/>
      <c r="C193" s="69">
        <f ca="1">IF(TODAY()&gt;=$A193,SUMIFS(Tabla1[Avance_km],Tabla1[Fecha],"&lt;="&amp;'Grafico %'!$A193,Tabla1[nombre_actividad],'Grafico %'!C$1)/(200),NA())</f>
        <v>0.62571000000000021</v>
      </c>
      <c r="D193" s="70">
        <f ca="1">IF(TODAY()&gt;=$A193,SUMIFS(Tabla1[Avance_km],Tabla1[Fecha],"&lt;="&amp;'Grafico %'!$A193,Tabla1[nombre_actividad],'Grafico %'!D$1)/(200),NA())</f>
        <v>0.49953000000000003</v>
      </c>
      <c r="E193" s="70">
        <f ca="1">IF(TODAY()&gt;=$A193,SUMIFS(Tabla1[Avance_km],Tabla1[Fecha],"&lt;="&amp;'Grafico %'!$A193,Tabla1[nombre_actividad],'Grafico %'!E$1,Tabla1[Avance_km],"&gt;0")/(200),NA())</f>
        <v>0.59553000000000056</v>
      </c>
      <c r="F193" s="68">
        <f ca="1">IF(TODAY()&gt;=$A193,SUMIFS(Tabla1[Avance_Med],Tabla1[Fecha],"&lt;="&amp;'Grafico %'!$A193,Tabla1[nombre_actividad],'Grafico %'!F$1)/500,NA())</f>
        <v>0.752</v>
      </c>
      <c r="G193" s="70">
        <f ca="1">IF(TODAY()&gt;=$A193,SUMIFS(Tabla1[Avance_km],Tabla1[Fecha],"&lt;="&amp;'Grafico %'!$A193,Tabla1[nombre_actividad],'Grafico %'!G$1)/(200),NA())</f>
        <v>0</v>
      </c>
      <c r="H193" s="70"/>
    </row>
    <row r="194" spans="1:8" x14ac:dyDescent="0.25">
      <c r="A194" s="62">
        <f t="shared" si="2"/>
        <v>46155</v>
      </c>
      <c r="B194" s="33"/>
      <c r="C194" s="69">
        <f ca="1">IF(TODAY()&gt;=$A194,SUMIFS(Tabla1[Avance_km],Tabla1[Fecha],"&lt;="&amp;'Grafico %'!$A194,Tabla1[nombre_actividad],'Grafico %'!C$1)/(200),NA())</f>
        <v>0.62571000000000021</v>
      </c>
      <c r="D194" s="70">
        <f ca="1">IF(TODAY()&gt;=$A194,SUMIFS(Tabla1[Avance_km],Tabla1[Fecha],"&lt;="&amp;'Grafico %'!$A194,Tabla1[nombre_actividad],'Grafico %'!D$1)/(200),NA())</f>
        <v>0.49953000000000003</v>
      </c>
      <c r="E194" s="70">
        <f ca="1">IF(TODAY()&gt;=$A194,SUMIFS(Tabla1[Avance_km],Tabla1[Fecha],"&lt;="&amp;'Grafico %'!$A194,Tabla1[nombre_actividad],'Grafico %'!E$1,Tabla1[Avance_km],"&gt;0")/(200),NA())</f>
        <v>0.60228500000000051</v>
      </c>
      <c r="F194" s="68">
        <f ca="1">IF(TODAY()&gt;=$A194,SUMIFS(Tabla1[Avance_Med],Tabla1[Fecha],"&lt;="&amp;'Grafico %'!$A194,Tabla1[nombre_actividad],'Grafico %'!F$1)/500,NA())</f>
        <v>0.752</v>
      </c>
      <c r="G194" s="70">
        <f ca="1">IF(TODAY()&gt;=$A194,SUMIFS(Tabla1[Avance_km],Tabla1[Fecha],"&lt;="&amp;'Grafico %'!$A194,Tabla1[nombre_actividad],'Grafico %'!G$1)/(200),NA())</f>
        <v>0</v>
      </c>
      <c r="H194" s="70"/>
    </row>
    <row r="195" spans="1:8" x14ac:dyDescent="0.25">
      <c r="A195" s="62">
        <f t="shared" si="2"/>
        <v>46156</v>
      </c>
      <c r="B195" s="33"/>
      <c r="C195" s="69">
        <f ca="1">IF(TODAY()&gt;=$A195,SUMIFS(Tabla1[Avance_km],Tabla1[Fecha],"&lt;="&amp;'Grafico %'!$A195,Tabla1[nombre_actividad],'Grafico %'!C$1)/(200),NA())</f>
        <v>0.62571000000000021</v>
      </c>
      <c r="D195" s="70">
        <f ca="1">IF(TODAY()&gt;=$A195,SUMIFS(Tabla1[Avance_km],Tabla1[Fecha],"&lt;="&amp;'Grafico %'!$A195,Tabla1[nombre_actividad],'Grafico %'!D$1)/(200),NA())</f>
        <v>0.49953000000000003</v>
      </c>
      <c r="E195" s="70">
        <f ca="1">IF(TODAY()&gt;=$A195,SUMIFS(Tabla1[Avance_km],Tabla1[Fecha],"&lt;="&amp;'Grafico %'!$A195,Tabla1[nombre_actividad],'Grafico %'!E$1,Tabla1[Avance_km],"&gt;0")/(200),NA())</f>
        <v>0.60733000000000059</v>
      </c>
      <c r="F195" s="68">
        <f ca="1">IF(TODAY()&gt;=$A195,SUMIFS(Tabla1[Avance_Med],Tabla1[Fecha],"&lt;="&amp;'Grafico %'!$A195,Tabla1[nombre_actividad],'Grafico %'!F$1)/500,NA())</f>
        <v>0.752</v>
      </c>
      <c r="G195" s="70">
        <f ca="1">IF(TODAY()&gt;=$A195,SUMIFS(Tabla1[Avance_km],Tabla1[Fecha],"&lt;="&amp;'Grafico %'!$A195,Tabla1[nombre_actividad],'Grafico %'!G$1)/(200),NA())</f>
        <v>0</v>
      </c>
      <c r="H195" s="70"/>
    </row>
    <row r="196" spans="1:8" x14ac:dyDescent="0.25">
      <c r="A196" s="62">
        <f t="shared" ref="A196:A259" si="3">+A195+1</f>
        <v>46157</v>
      </c>
      <c r="B196" s="33"/>
      <c r="C196" s="69">
        <f ca="1">IF(TODAY()&gt;=$A196,SUMIFS(Tabla1[Avance_km],Tabla1[Fecha],"&lt;="&amp;'Grafico %'!$A196,Tabla1[nombre_actividad],'Grafico %'!C$1)/(200),NA())</f>
        <v>0.62571000000000021</v>
      </c>
      <c r="D196" s="70">
        <f ca="1">IF(TODAY()&gt;=$A196,SUMIFS(Tabla1[Avance_km],Tabla1[Fecha],"&lt;="&amp;'Grafico %'!$A196,Tabla1[nombre_actividad],'Grafico %'!D$1)/(200),NA())</f>
        <v>0.51158000000000003</v>
      </c>
      <c r="E196" s="70">
        <f ca="1">IF(TODAY()&gt;=$A196,SUMIFS(Tabla1[Avance_km],Tabla1[Fecha],"&lt;="&amp;'Grafico %'!$A196,Tabla1[nombre_actividad],'Grafico %'!E$1,Tabla1[Avance_km],"&gt;0")/(200),NA())</f>
        <v>0.60733000000000059</v>
      </c>
      <c r="F196" s="68">
        <f ca="1">IF(TODAY()&gt;=$A196,SUMIFS(Tabla1[Avance_Med],Tabla1[Fecha],"&lt;="&amp;'Grafico %'!$A196,Tabla1[nombre_actividad],'Grafico %'!F$1)/500,NA())</f>
        <v>0.752</v>
      </c>
      <c r="G196" s="70">
        <f ca="1">IF(TODAY()&gt;=$A196,SUMIFS(Tabla1[Avance_km],Tabla1[Fecha],"&lt;="&amp;'Grafico %'!$A196,Tabla1[nombre_actividad],'Grafico %'!G$1)/(200),NA())</f>
        <v>0</v>
      </c>
      <c r="H196" s="70"/>
    </row>
    <row r="197" spans="1:8" x14ac:dyDescent="0.25">
      <c r="A197" s="62">
        <f t="shared" si="3"/>
        <v>46158</v>
      </c>
      <c r="B197" s="33"/>
      <c r="C197" s="69">
        <f ca="1">IF(TODAY()&gt;=$A197,SUMIFS(Tabla1[Avance_km],Tabla1[Fecha],"&lt;="&amp;'Grafico %'!$A197,Tabla1[nombre_actividad],'Grafico %'!C$1)/(200),NA())</f>
        <v>0.62571000000000021</v>
      </c>
      <c r="D197" s="70">
        <f ca="1">IF(TODAY()&gt;=$A197,SUMIFS(Tabla1[Avance_km],Tabla1[Fecha],"&lt;="&amp;'Grafico %'!$A197,Tabla1[nombre_actividad],'Grafico %'!D$1)/(200),NA())</f>
        <v>0.52121000000000006</v>
      </c>
      <c r="E197" s="70">
        <f ca="1">IF(TODAY()&gt;=$A197,SUMIFS(Tabla1[Avance_km],Tabla1[Fecha],"&lt;="&amp;'Grafico %'!$A197,Tabla1[nombre_actividad],'Grafico %'!E$1,Tabla1[Avance_km],"&gt;0")/(200),NA())</f>
        <v>0.60733000000000059</v>
      </c>
      <c r="F197" s="68">
        <f ca="1">IF(TODAY()&gt;=$A197,SUMIFS(Tabla1[Avance_Med],Tabla1[Fecha],"&lt;="&amp;'Grafico %'!$A197,Tabla1[nombre_actividad],'Grafico %'!F$1)/500,NA())</f>
        <v>0.752</v>
      </c>
      <c r="G197" s="70">
        <f ca="1">IF(TODAY()&gt;=$A197,SUMIFS(Tabla1[Avance_km],Tabla1[Fecha],"&lt;="&amp;'Grafico %'!$A197,Tabla1[nombre_actividad],'Grafico %'!G$1)/(200),NA())</f>
        <v>0</v>
      </c>
      <c r="H197" s="70"/>
    </row>
    <row r="198" spans="1:8" x14ac:dyDescent="0.25">
      <c r="A198" s="62">
        <f t="shared" si="3"/>
        <v>46159</v>
      </c>
      <c r="B198" s="33"/>
      <c r="C198" s="69">
        <f ca="1">IF(TODAY()&gt;=$A198,SUMIFS(Tabla1[Avance_km],Tabla1[Fecha],"&lt;="&amp;'Grafico %'!$A198,Tabla1[nombre_actividad],'Grafico %'!C$1)/(200),NA())</f>
        <v>0.62571000000000021</v>
      </c>
      <c r="D198" s="70">
        <f ca="1">IF(TODAY()&gt;=$A198,SUMIFS(Tabla1[Avance_km],Tabla1[Fecha],"&lt;="&amp;'Grafico %'!$A198,Tabla1[nombre_actividad],'Grafico %'!D$1)/(200),NA())</f>
        <v>0.52121000000000006</v>
      </c>
      <c r="E198" s="70">
        <f ca="1">IF(TODAY()&gt;=$A198,SUMIFS(Tabla1[Avance_km],Tabla1[Fecha],"&lt;="&amp;'Grafico %'!$A198,Tabla1[nombre_actividad],'Grafico %'!E$1,Tabla1[Avance_km],"&gt;0")/(200),NA())</f>
        <v>0.60733000000000059</v>
      </c>
      <c r="F198" s="68">
        <f ca="1">IF(TODAY()&gt;=$A198,SUMIFS(Tabla1[Avance_Med],Tabla1[Fecha],"&lt;="&amp;'Grafico %'!$A198,Tabla1[nombre_actividad],'Grafico %'!F$1)/500,NA())</f>
        <v>0.752</v>
      </c>
      <c r="G198" s="70">
        <f ca="1">IF(TODAY()&gt;=$A198,SUMIFS(Tabla1[Avance_km],Tabla1[Fecha],"&lt;="&amp;'Grafico %'!$A198,Tabla1[nombre_actividad],'Grafico %'!G$1)/(200),NA())</f>
        <v>0</v>
      </c>
      <c r="H198" s="70"/>
    </row>
    <row r="199" spans="1:8" x14ac:dyDescent="0.25">
      <c r="A199" s="62">
        <f t="shared" si="3"/>
        <v>46160</v>
      </c>
      <c r="B199" s="33"/>
      <c r="C199" s="69">
        <f ca="1">IF(TODAY()&gt;=$A199,SUMIFS(Tabla1[Avance_km],Tabla1[Fecha],"&lt;="&amp;'Grafico %'!$A199,Tabla1[nombre_actividad],'Grafico %'!C$1)/(200),NA())</f>
        <v>0.62571000000000021</v>
      </c>
      <c r="D199" s="70">
        <f ca="1">IF(TODAY()&gt;=$A199,SUMIFS(Tabla1[Avance_km],Tabla1[Fecha],"&lt;="&amp;'Grafico %'!$A199,Tabla1[nombre_actividad],'Grafico %'!D$1)/(200),NA())</f>
        <v>0.52121000000000006</v>
      </c>
      <c r="E199" s="70">
        <f ca="1">IF(TODAY()&gt;=$A199,SUMIFS(Tabla1[Avance_km],Tabla1[Fecha],"&lt;="&amp;'Grafico %'!$A199,Tabla1[nombre_actividad],'Grafico %'!E$1,Tabla1[Avance_km],"&gt;0")/(200),NA())</f>
        <v>0.61268500000000048</v>
      </c>
      <c r="F199" s="68">
        <f ca="1">IF(TODAY()&gt;=$A199,SUMIFS(Tabla1[Avance_Med],Tabla1[Fecha],"&lt;="&amp;'Grafico %'!$A199,Tabla1[nombre_actividad],'Grafico %'!F$1)/500,NA())</f>
        <v>0.752</v>
      </c>
      <c r="G199" s="70">
        <f ca="1">IF(TODAY()&gt;=$A199,SUMIFS(Tabla1[Avance_km],Tabla1[Fecha],"&lt;="&amp;'Grafico %'!$A199,Tabla1[nombre_actividad],'Grafico %'!G$1)/(200),NA())</f>
        <v>0</v>
      </c>
      <c r="H199" s="70"/>
    </row>
    <row r="200" spans="1:8" x14ac:dyDescent="0.25">
      <c r="A200" s="62">
        <f t="shared" si="3"/>
        <v>46161</v>
      </c>
      <c r="B200" s="33"/>
      <c r="C200" s="69">
        <f ca="1">IF(TODAY()&gt;=$A200,SUMIFS(Tabla1[Avance_km],Tabla1[Fecha],"&lt;="&amp;'Grafico %'!$A200,Tabla1[nombre_actividad],'Grafico %'!C$1)/(200),NA())</f>
        <v>0.62571000000000021</v>
      </c>
      <c r="D200" s="70">
        <f ca="1">IF(TODAY()&gt;=$A200,SUMIFS(Tabla1[Avance_km],Tabla1[Fecha],"&lt;="&amp;'Grafico %'!$A200,Tabla1[nombre_actividad],'Grafico %'!D$1)/(200),NA())</f>
        <v>0.52121000000000006</v>
      </c>
      <c r="E200" s="70">
        <f ca="1">IF(TODAY()&gt;=$A200,SUMIFS(Tabla1[Avance_km],Tabla1[Fecha],"&lt;="&amp;'Grafico %'!$A200,Tabla1[nombre_actividad],'Grafico %'!E$1,Tabla1[Avance_km],"&gt;0")/(200),NA())</f>
        <v>0.61905500000000058</v>
      </c>
      <c r="F200" s="68">
        <f ca="1">IF(TODAY()&gt;=$A200,SUMIFS(Tabla1[Avance_Med],Tabla1[Fecha],"&lt;="&amp;'Grafico %'!$A200,Tabla1[nombre_actividad],'Grafico %'!F$1)/500,NA())</f>
        <v>0.752</v>
      </c>
      <c r="G200" s="70">
        <f ca="1">IF(TODAY()&gt;=$A200,SUMIFS(Tabla1[Avance_km],Tabla1[Fecha],"&lt;="&amp;'Grafico %'!$A200,Tabla1[nombre_actividad],'Grafico %'!G$1)/(200),NA())</f>
        <v>0</v>
      </c>
      <c r="H200" s="70"/>
    </row>
    <row r="201" spans="1:8" x14ac:dyDescent="0.25">
      <c r="A201" s="62">
        <f t="shared" si="3"/>
        <v>46162</v>
      </c>
      <c r="B201" s="33"/>
      <c r="C201" s="69">
        <f ca="1">IF(TODAY()&gt;=$A201,SUMIFS(Tabla1[Avance_km],Tabla1[Fecha],"&lt;="&amp;'Grafico %'!$A201,Tabla1[nombre_actividad],'Grafico %'!C$1)/(200),NA())</f>
        <v>0.62571000000000021</v>
      </c>
      <c r="D201" s="70">
        <f ca="1">IF(TODAY()&gt;=$A201,SUMIFS(Tabla1[Avance_km],Tabla1[Fecha],"&lt;="&amp;'Grafico %'!$A201,Tabla1[nombre_actividad],'Grafico %'!D$1)/(200),NA())</f>
        <v>0.52121000000000006</v>
      </c>
      <c r="E201" s="70">
        <f ca="1">IF(TODAY()&gt;=$A201,SUMIFS(Tabla1[Avance_km],Tabla1[Fecha],"&lt;="&amp;'Grafico %'!$A201,Tabla1[nombre_actividad],'Grafico %'!E$1,Tabla1[Avance_km],"&gt;0")/(200),NA())</f>
        <v>0.6238200000000006</v>
      </c>
      <c r="F201" s="68">
        <f ca="1">IF(TODAY()&gt;=$A201,SUMIFS(Tabla1[Avance_Med],Tabla1[Fecha],"&lt;="&amp;'Grafico %'!$A201,Tabla1[nombre_actividad],'Grafico %'!F$1)/500,NA())</f>
        <v>0.752</v>
      </c>
      <c r="G201" s="70">
        <f ca="1">IF(TODAY()&gt;=$A201,SUMIFS(Tabla1[Avance_km],Tabla1[Fecha],"&lt;="&amp;'Grafico %'!$A201,Tabla1[nombre_actividad],'Grafico %'!G$1)/(200),NA())</f>
        <v>0</v>
      </c>
      <c r="H201" s="70"/>
    </row>
    <row r="202" spans="1:8" x14ac:dyDescent="0.25">
      <c r="A202" s="62">
        <f t="shared" si="3"/>
        <v>46163</v>
      </c>
      <c r="B202" s="33"/>
      <c r="C202" s="69">
        <f ca="1">IF(TODAY()&gt;=$A202,SUMIFS(Tabla1[Avance_km],Tabla1[Fecha],"&lt;="&amp;'Grafico %'!$A202,Tabla1[nombre_actividad],'Grafico %'!C$1)/(200),NA())</f>
        <v>0.62571000000000021</v>
      </c>
      <c r="D202" s="70">
        <f ca="1">IF(TODAY()&gt;=$A202,SUMIFS(Tabla1[Avance_km],Tabla1[Fecha],"&lt;="&amp;'Grafico %'!$A202,Tabla1[nombre_actividad],'Grafico %'!D$1)/(200),NA())</f>
        <v>0.53407000000000004</v>
      </c>
      <c r="E202" s="70">
        <f ca="1">IF(TODAY()&gt;=$A202,SUMIFS(Tabla1[Avance_km],Tabla1[Fecha],"&lt;="&amp;'Grafico %'!$A202,Tabla1[nombre_actividad],'Grafico %'!E$1,Tabla1[Avance_km],"&gt;0")/(200),NA())</f>
        <v>0.6238200000000006</v>
      </c>
      <c r="F202" s="68">
        <f ca="1">IF(TODAY()&gt;=$A202,SUMIFS(Tabla1[Avance_Med],Tabla1[Fecha],"&lt;="&amp;'Grafico %'!$A202,Tabla1[nombre_actividad],'Grafico %'!F$1)/500,NA())</f>
        <v>0.752</v>
      </c>
      <c r="G202" s="70">
        <f ca="1">IF(TODAY()&gt;=$A202,SUMIFS(Tabla1[Avance_km],Tabla1[Fecha],"&lt;="&amp;'Grafico %'!$A202,Tabla1[nombre_actividad],'Grafico %'!G$1)/(200),NA())</f>
        <v>0</v>
      </c>
      <c r="H202" s="70"/>
    </row>
    <row r="203" spans="1:8" x14ac:dyDescent="0.25">
      <c r="A203" s="62">
        <f t="shared" si="3"/>
        <v>46164</v>
      </c>
      <c r="B203" s="33"/>
      <c r="C203" s="69">
        <f ca="1">IF(TODAY()&gt;=$A203,SUMIFS(Tabla1[Avance_km],Tabla1[Fecha],"&lt;="&amp;'Grafico %'!$A203,Tabla1[nombre_actividad],'Grafico %'!C$1)/(200),NA())</f>
        <v>0.62571000000000021</v>
      </c>
      <c r="D203" s="70">
        <f ca="1">IF(TODAY()&gt;=$A203,SUMIFS(Tabla1[Avance_km],Tabla1[Fecha],"&lt;="&amp;'Grafico %'!$A203,Tabla1[nombre_actividad],'Grafico %'!D$1)/(200),NA())</f>
        <v>0.54683500000000007</v>
      </c>
      <c r="E203" s="70">
        <f ca="1">IF(TODAY()&gt;=$A203,SUMIFS(Tabla1[Avance_km],Tabla1[Fecha],"&lt;="&amp;'Grafico %'!$A203,Tabla1[nombre_actividad],'Grafico %'!E$1,Tabla1[Avance_km],"&gt;0")/(200),NA())</f>
        <v>0.6238200000000006</v>
      </c>
      <c r="F203" s="68">
        <f ca="1">IF(TODAY()&gt;=$A203,SUMIFS(Tabla1[Avance_Med],Tabla1[Fecha],"&lt;="&amp;'Grafico %'!$A203,Tabla1[nombre_actividad],'Grafico %'!F$1)/500,NA())</f>
        <v>0.752</v>
      </c>
      <c r="G203" s="70">
        <f ca="1">IF(TODAY()&gt;=$A203,SUMIFS(Tabla1[Avance_km],Tabla1[Fecha],"&lt;="&amp;'Grafico %'!$A203,Tabla1[nombre_actividad],'Grafico %'!G$1)/(200),NA())</f>
        <v>0</v>
      </c>
      <c r="H203" s="70"/>
    </row>
    <row r="204" spans="1:8" x14ac:dyDescent="0.25">
      <c r="A204" s="62">
        <f t="shared" si="3"/>
        <v>46165</v>
      </c>
      <c r="B204" s="33"/>
      <c r="C204" s="69">
        <f ca="1">IF(TODAY()&gt;=$A204,SUMIFS(Tabla1[Avance_km],Tabla1[Fecha],"&lt;="&amp;'Grafico %'!$A204,Tabla1[nombre_actividad],'Grafico %'!C$1)/(200),NA())</f>
        <v>0.62571000000000021</v>
      </c>
      <c r="D204" s="70">
        <f ca="1">IF(TODAY()&gt;=$A204,SUMIFS(Tabla1[Avance_km],Tabla1[Fecha],"&lt;="&amp;'Grafico %'!$A204,Tabla1[nombre_actividad],'Grafico %'!D$1)/(200),NA())</f>
        <v>0.55579500000000004</v>
      </c>
      <c r="E204" s="70">
        <f ca="1">IF(TODAY()&gt;=$A204,SUMIFS(Tabla1[Avance_km],Tabla1[Fecha],"&lt;="&amp;'Grafico %'!$A204,Tabla1[nombre_actividad],'Grafico %'!E$1,Tabla1[Avance_km],"&gt;0")/(200),NA())</f>
        <v>0.6238200000000006</v>
      </c>
      <c r="F204" s="68">
        <f ca="1">IF(TODAY()&gt;=$A204,SUMIFS(Tabla1[Avance_Med],Tabla1[Fecha],"&lt;="&amp;'Grafico %'!$A204,Tabla1[nombre_actividad],'Grafico %'!F$1)/500,NA())</f>
        <v>0.752</v>
      </c>
      <c r="G204" s="70">
        <f ca="1">IF(TODAY()&gt;=$A204,SUMIFS(Tabla1[Avance_km],Tabla1[Fecha],"&lt;="&amp;'Grafico %'!$A204,Tabla1[nombre_actividad],'Grafico %'!G$1)/(200),NA())</f>
        <v>0</v>
      </c>
      <c r="H204" s="70"/>
    </row>
    <row r="205" spans="1:8" x14ac:dyDescent="0.25">
      <c r="A205" s="62">
        <f t="shared" si="3"/>
        <v>46166</v>
      </c>
      <c r="B205" s="33"/>
      <c r="C205" s="69">
        <f ca="1">IF(TODAY()&gt;=$A205,SUMIFS(Tabla1[Avance_km],Tabla1[Fecha],"&lt;="&amp;'Grafico %'!$A205,Tabla1[nombre_actividad],'Grafico %'!C$1)/(200),NA())</f>
        <v>0.62571000000000021</v>
      </c>
      <c r="D205" s="70">
        <f ca="1">IF(TODAY()&gt;=$A205,SUMIFS(Tabla1[Avance_km],Tabla1[Fecha],"&lt;="&amp;'Grafico %'!$A205,Tabla1[nombre_actividad],'Grafico %'!D$1)/(200),NA())</f>
        <v>0.55579500000000004</v>
      </c>
      <c r="E205" s="70">
        <f ca="1">IF(TODAY()&gt;=$A205,SUMIFS(Tabla1[Avance_km],Tabla1[Fecha],"&lt;="&amp;'Grafico %'!$A205,Tabla1[nombre_actividad],'Grafico %'!E$1,Tabla1[Avance_km],"&gt;0")/(200),NA())</f>
        <v>0.6238200000000006</v>
      </c>
      <c r="F205" s="68">
        <f ca="1">IF(TODAY()&gt;=$A205,SUMIFS(Tabla1[Avance_Med],Tabla1[Fecha],"&lt;="&amp;'Grafico %'!$A205,Tabla1[nombre_actividad],'Grafico %'!F$1)/500,NA())</f>
        <v>0.752</v>
      </c>
      <c r="G205" s="70">
        <f ca="1">IF(TODAY()&gt;=$A205,SUMIFS(Tabla1[Avance_km],Tabla1[Fecha],"&lt;="&amp;'Grafico %'!$A205,Tabla1[nombre_actividad],'Grafico %'!G$1)/(200),NA())</f>
        <v>0</v>
      </c>
      <c r="H205" s="70"/>
    </row>
    <row r="206" spans="1:8" x14ac:dyDescent="0.25">
      <c r="A206" s="62">
        <f t="shared" si="3"/>
        <v>46167</v>
      </c>
      <c r="B206" s="33"/>
      <c r="C206" s="69">
        <f ca="1">IF(TODAY()&gt;=$A206,SUMIFS(Tabla1[Avance_km],Tabla1[Fecha],"&lt;="&amp;'Grafico %'!$A206,Tabla1[nombre_actividad],'Grafico %'!C$1)/(200),NA())</f>
        <v>0.62584000000000028</v>
      </c>
      <c r="D206" s="70">
        <f ca="1">IF(TODAY()&gt;=$A206,SUMIFS(Tabla1[Avance_km],Tabla1[Fecha],"&lt;="&amp;'Grafico %'!$A206,Tabla1[nombre_actividad],'Grafico %'!D$1)/(200),NA())</f>
        <v>0.55579500000000004</v>
      </c>
      <c r="E206" s="70">
        <f ca="1">IF(TODAY()&gt;=$A206,SUMIFS(Tabla1[Avance_km],Tabla1[Fecha],"&lt;="&amp;'Grafico %'!$A206,Tabla1[nombre_actividad],'Grafico %'!E$1,Tabla1[Avance_km],"&gt;0")/(200),NA())</f>
        <v>0.62834000000000056</v>
      </c>
      <c r="F206" s="68">
        <f ca="1">IF(TODAY()&gt;=$A206,SUMIFS(Tabla1[Avance_Med],Tabla1[Fecha],"&lt;="&amp;'Grafico %'!$A206,Tabla1[nombre_actividad],'Grafico %'!F$1)/500,NA())</f>
        <v>0.752</v>
      </c>
      <c r="G206" s="70">
        <f ca="1">IF(TODAY()&gt;=$A206,SUMIFS(Tabla1[Avance_km],Tabla1[Fecha],"&lt;="&amp;'Grafico %'!$A206,Tabla1[nombre_actividad],'Grafico %'!G$1)/(200),NA())</f>
        <v>0</v>
      </c>
      <c r="H206" s="70"/>
    </row>
    <row r="207" spans="1:8" x14ac:dyDescent="0.25">
      <c r="A207" s="62">
        <f t="shared" si="3"/>
        <v>46168</v>
      </c>
      <c r="B207" s="33"/>
      <c r="C207" s="69">
        <f ca="1">IF(TODAY()&gt;=$A207,SUMIFS(Tabla1[Avance_km],Tabla1[Fecha],"&lt;="&amp;'Grafico %'!$A207,Tabla1[nombre_actividad],'Grafico %'!C$1)/(200),NA())</f>
        <v>0.63544000000000023</v>
      </c>
      <c r="D207" s="70">
        <f ca="1">IF(TODAY()&gt;=$A207,SUMIFS(Tabla1[Avance_km],Tabla1[Fecha],"&lt;="&amp;'Grafico %'!$A207,Tabla1[nombre_actividad],'Grafico %'!D$1)/(200),NA())</f>
        <v>0.55579500000000004</v>
      </c>
      <c r="E207" s="70">
        <f ca="1">IF(TODAY()&gt;=$A207,SUMIFS(Tabla1[Avance_km],Tabla1[Fecha],"&lt;="&amp;'Grafico %'!$A207,Tabla1[nombre_actividad],'Grafico %'!E$1,Tabla1[Avance_km],"&gt;0")/(200),NA())</f>
        <v>0.62834000000000056</v>
      </c>
      <c r="F207" s="68">
        <f ca="1">IF(TODAY()&gt;=$A207,SUMIFS(Tabla1[Avance_Med],Tabla1[Fecha],"&lt;="&amp;'Grafico %'!$A207,Tabla1[nombre_actividad],'Grafico %'!F$1)/500,NA())</f>
        <v>0.752</v>
      </c>
      <c r="G207" s="70">
        <f ca="1">IF(TODAY()&gt;=$A207,SUMIFS(Tabla1[Avance_km],Tabla1[Fecha],"&lt;="&amp;'Grafico %'!$A207,Tabla1[nombre_actividad],'Grafico %'!G$1)/(200),NA())</f>
        <v>0</v>
      </c>
      <c r="H207" s="70"/>
    </row>
    <row r="208" spans="1:8" x14ac:dyDescent="0.25">
      <c r="A208" s="62">
        <f t="shared" si="3"/>
        <v>46169</v>
      </c>
      <c r="B208" s="33"/>
      <c r="C208" s="69">
        <f ca="1">IF(TODAY()&gt;=$A208,SUMIFS(Tabla1[Avance_km],Tabla1[Fecha],"&lt;="&amp;'Grafico %'!$A208,Tabla1[nombre_actividad],'Grafico %'!C$1)/(200),NA())</f>
        <v>0.63544000000000023</v>
      </c>
      <c r="D208" s="70">
        <f ca="1">IF(TODAY()&gt;=$A208,SUMIFS(Tabla1[Avance_km],Tabla1[Fecha],"&lt;="&amp;'Grafico %'!$A208,Tabla1[nombre_actividad],'Grafico %'!D$1)/(200),NA())</f>
        <v>0.55579500000000004</v>
      </c>
      <c r="E208" s="70">
        <f ca="1">IF(TODAY()&gt;=$A208,SUMIFS(Tabla1[Avance_km],Tabla1[Fecha],"&lt;="&amp;'Grafico %'!$A208,Tabla1[nombre_actividad],'Grafico %'!E$1,Tabla1[Avance_km],"&gt;0")/(200),NA())</f>
        <v>0.62883500000000059</v>
      </c>
      <c r="F208" s="68">
        <f ca="1">IF(TODAY()&gt;=$A208,SUMIFS(Tabla1[Avance_Med],Tabla1[Fecha],"&lt;="&amp;'Grafico %'!$A208,Tabla1[nombre_actividad],'Grafico %'!F$1)/500,NA())</f>
        <v>0.752</v>
      </c>
      <c r="G208" s="70">
        <f ca="1">IF(TODAY()&gt;=$A208,SUMIFS(Tabla1[Avance_km],Tabla1[Fecha],"&lt;="&amp;'Grafico %'!$A208,Tabla1[nombre_actividad],'Grafico %'!G$1)/(200),NA())</f>
        <v>0</v>
      </c>
      <c r="H208" s="70"/>
    </row>
    <row r="209" spans="1:8" x14ac:dyDescent="0.25">
      <c r="A209" s="62">
        <f t="shared" si="3"/>
        <v>46170</v>
      </c>
      <c r="B209" s="33"/>
      <c r="C209" s="69">
        <f ca="1">IF(TODAY()&gt;=$A209,SUMIFS(Tabla1[Avance_km],Tabla1[Fecha],"&lt;="&amp;'Grafico %'!$A209,Tabla1[nombre_actividad],'Grafico %'!C$1)/(200),NA())</f>
        <v>0.63708500000000023</v>
      </c>
      <c r="D209" s="70">
        <f ca="1">IF(TODAY()&gt;=$A209,SUMIFS(Tabla1[Avance_km],Tabla1[Fecha],"&lt;="&amp;'Grafico %'!$A209,Tabla1[nombre_actividad],'Grafico %'!D$1)/(200),NA())</f>
        <v>0.55579500000000004</v>
      </c>
      <c r="E209" s="70">
        <f ca="1">IF(TODAY()&gt;=$A209,SUMIFS(Tabla1[Avance_km],Tabla1[Fecha],"&lt;="&amp;'Grafico %'!$A209,Tabla1[nombre_actividad],'Grafico %'!E$1,Tabla1[Avance_km],"&gt;0")/(200),NA())</f>
        <v>0.62883500000000059</v>
      </c>
      <c r="F209" s="68">
        <f ca="1">IF(TODAY()&gt;=$A209,SUMIFS(Tabla1[Avance_Med],Tabla1[Fecha],"&lt;="&amp;'Grafico %'!$A209,Tabla1[nombre_actividad],'Grafico %'!F$1)/500,NA())</f>
        <v>0.752</v>
      </c>
      <c r="G209" s="70">
        <f ca="1">IF(TODAY()&gt;=$A209,SUMIFS(Tabla1[Avance_km],Tabla1[Fecha],"&lt;="&amp;'Grafico %'!$A209,Tabla1[nombre_actividad],'Grafico %'!G$1)/(200),NA())</f>
        <v>0</v>
      </c>
      <c r="H209" s="70"/>
    </row>
    <row r="210" spans="1:8" x14ac:dyDescent="0.25">
      <c r="A210" s="62">
        <f t="shared" si="3"/>
        <v>46171</v>
      </c>
      <c r="B210" s="33"/>
      <c r="C210" s="69">
        <f ca="1">IF(TODAY()&gt;=$A210,SUMIFS(Tabla1[Avance_km],Tabla1[Fecha],"&lt;="&amp;'Grafico %'!$A210,Tabla1[nombre_actividad],'Grafico %'!C$1)/(200),NA())</f>
        <v>0.64153000000000016</v>
      </c>
      <c r="D210" s="70">
        <f ca="1">IF(TODAY()&gt;=$A210,SUMIFS(Tabla1[Avance_km],Tabla1[Fecha],"&lt;="&amp;'Grafico %'!$A210,Tabla1[nombre_actividad],'Grafico %'!D$1)/(200),NA())</f>
        <v>0.55579500000000004</v>
      </c>
      <c r="E210" s="70">
        <f ca="1">IF(TODAY()&gt;=$A210,SUMIFS(Tabla1[Avance_km],Tabla1[Fecha],"&lt;="&amp;'Grafico %'!$A210,Tabla1[nombre_actividad],'Grafico %'!E$1,Tabla1[Avance_km],"&gt;0")/(200),NA())</f>
        <v>0.62883500000000059</v>
      </c>
      <c r="F210" s="68">
        <f ca="1">IF(TODAY()&gt;=$A210,SUMIFS(Tabla1[Avance_Med],Tabla1[Fecha],"&lt;="&amp;'Grafico %'!$A210,Tabla1[nombre_actividad],'Grafico %'!F$1)/500,NA())</f>
        <v>0.752</v>
      </c>
      <c r="G210" s="70">
        <f ca="1">IF(TODAY()&gt;=$A210,SUMIFS(Tabla1[Avance_km],Tabla1[Fecha],"&lt;="&amp;'Grafico %'!$A210,Tabla1[nombre_actividad],'Grafico %'!G$1)/(200),NA())</f>
        <v>0</v>
      </c>
      <c r="H210" s="70"/>
    </row>
    <row r="211" spans="1:8" x14ac:dyDescent="0.25">
      <c r="A211" s="62">
        <f t="shared" si="3"/>
        <v>46172</v>
      </c>
      <c r="B211" s="33"/>
      <c r="C211" s="69">
        <f ca="1">IF(TODAY()&gt;=$A211,SUMIFS(Tabla1[Avance_km],Tabla1[Fecha],"&lt;="&amp;'Grafico %'!$A211,Tabla1[nombre_actividad],'Grafico %'!C$1)/(200),NA())</f>
        <v>0.64384500000000022</v>
      </c>
      <c r="D211" s="70">
        <f ca="1">IF(TODAY()&gt;=$A211,SUMIFS(Tabla1[Avance_km],Tabla1[Fecha],"&lt;="&amp;'Grafico %'!$A211,Tabla1[nombre_actividad],'Grafico %'!D$1)/(200),NA())</f>
        <v>0.55579500000000004</v>
      </c>
      <c r="E211" s="70">
        <f ca="1">IF(TODAY()&gt;=$A211,SUMIFS(Tabla1[Avance_km],Tabla1[Fecha],"&lt;="&amp;'Grafico %'!$A211,Tabla1[nombre_actividad],'Grafico %'!E$1,Tabla1[Avance_km],"&gt;0")/(200),NA())</f>
        <v>0.62883500000000059</v>
      </c>
      <c r="F211" s="68">
        <f ca="1">IF(TODAY()&gt;=$A211,SUMIFS(Tabla1[Avance_Med],Tabla1[Fecha],"&lt;="&amp;'Grafico %'!$A211,Tabla1[nombre_actividad],'Grafico %'!F$1)/500,NA())</f>
        <v>0.752</v>
      </c>
      <c r="G211" s="70">
        <f ca="1">IF(TODAY()&gt;=$A211,SUMIFS(Tabla1[Avance_km],Tabla1[Fecha],"&lt;="&amp;'Grafico %'!$A211,Tabla1[nombre_actividad],'Grafico %'!G$1)/(200),NA())</f>
        <v>0</v>
      </c>
      <c r="H211" s="70"/>
    </row>
    <row r="212" spans="1:8" x14ac:dyDescent="0.25">
      <c r="A212" s="62">
        <f t="shared" si="3"/>
        <v>46173</v>
      </c>
      <c r="B212" s="33"/>
      <c r="C212" s="69">
        <f ca="1">IF(TODAY()&gt;=$A212,SUMIFS(Tabla1[Avance_km],Tabla1[Fecha],"&lt;="&amp;'Grafico %'!$A212,Tabla1[nombre_actividad],'Grafico %'!C$1)/(200),NA())</f>
        <v>0.64384500000000022</v>
      </c>
      <c r="D212" s="70">
        <f ca="1">IF(TODAY()&gt;=$A212,SUMIFS(Tabla1[Avance_km],Tabla1[Fecha],"&lt;="&amp;'Grafico %'!$A212,Tabla1[nombre_actividad],'Grafico %'!D$1)/(200),NA())</f>
        <v>0.55579500000000004</v>
      </c>
      <c r="E212" s="70">
        <f ca="1">IF(TODAY()&gt;=$A212,SUMIFS(Tabla1[Avance_km],Tabla1[Fecha],"&lt;="&amp;'Grafico %'!$A212,Tabla1[nombre_actividad],'Grafico %'!E$1,Tabla1[Avance_km],"&gt;0")/(200),NA())</f>
        <v>0.62883500000000059</v>
      </c>
      <c r="F212" s="68">
        <f ca="1">IF(TODAY()&gt;=$A212,SUMIFS(Tabla1[Avance_Med],Tabla1[Fecha],"&lt;="&amp;'Grafico %'!$A212,Tabla1[nombre_actividad],'Grafico %'!F$1)/500,NA())</f>
        <v>0.752</v>
      </c>
      <c r="G212" s="70">
        <f ca="1">IF(TODAY()&gt;=$A212,SUMIFS(Tabla1[Avance_km],Tabla1[Fecha],"&lt;="&amp;'Grafico %'!$A212,Tabla1[nombre_actividad],'Grafico %'!G$1)/(200),NA())</f>
        <v>0</v>
      </c>
      <c r="H212" s="70"/>
    </row>
    <row r="213" spans="1:8" x14ac:dyDescent="0.25">
      <c r="A213" s="62">
        <f t="shared" si="3"/>
        <v>46174</v>
      </c>
      <c r="B213" s="33"/>
      <c r="C213" s="69">
        <f ca="1">IF(TODAY()&gt;=$A213,SUMIFS(Tabla1[Avance_km],Tabla1[Fecha],"&lt;="&amp;'Grafico %'!$A213,Tabla1[nombre_actividad],'Grafico %'!C$1)/(200),NA())</f>
        <v>0.64384500000000022</v>
      </c>
      <c r="D213" s="70">
        <f ca="1">IF(TODAY()&gt;=$A213,SUMIFS(Tabla1[Avance_km],Tabla1[Fecha],"&lt;="&amp;'Grafico %'!$A213,Tabla1[nombre_actividad],'Grafico %'!D$1)/(200),NA())</f>
        <v>0.56575500000000001</v>
      </c>
      <c r="E213" s="70">
        <f ca="1">IF(TODAY()&gt;=$A213,SUMIFS(Tabla1[Avance_km],Tabla1[Fecha],"&lt;="&amp;'Grafico %'!$A213,Tabla1[nombre_actividad],'Grafico %'!E$1,Tabla1[Avance_km],"&gt;0")/(200),NA())</f>
        <v>0.62883500000000059</v>
      </c>
      <c r="F213" s="68">
        <f ca="1">IF(TODAY()&gt;=$A213,SUMIFS(Tabla1[Avance_Med],Tabla1[Fecha],"&lt;="&amp;'Grafico %'!$A213,Tabla1[nombre_actividad],'Grafico %'!F$1)/500,NA())</f>
        <v>0.752</v>
      </c>
      <c r="G213" s="70">
        <f ca="1">IF(TODAY()&gt;=$A213,SUMIFS(Tabla1[Avance_km],Tabla1[Fecha],"&lt;="&amp;'Grafico %'!$A213,Tabla1[nombre_actividad],'Grafico %'!G$1)/(200),NA())</f>
        <v>0</v>
      </c>
      <c r="H213" s="70"/>
    </row>
    <row r="214" spans="1:8" x14ac:dyDescent="0.25">
      <c r="A214" s="62">
        <f t="shared" si="3"/>
        <v>46175</v>
      </c>
      <c r="B214" s="33"/>
      <c r="C214" s="69">
        <f ca="1">IF(TODAY()&gt;=$A214,SUMIFS(Tabla1[Avance_km],Tabla1[Fecha],"&lt;="&amp;'Grafico %'!$A214,Tabla1[nombre_actividad],'Grafico %'!C$1)/(200),NA())</f>
        <v>0.64384500000000022</v>
      </c>
      <c r="D214" s="70">
        <f ca="1">IF(TODAY()&gt;=$A214,SUMIFS(Tabla1[Avance_km],Tabla1[Fecha],"&lt;="&amp;'Grafico %'!$A214,Tabla1[nombre_actividad],'Grafico %'!D$1)/(200),NA())</f>
        <v>0.57572000000000001</v>
      </c>
      <c r="E214" s="70">
        <f ca="1">IF(TODAY()&gt;=$A214,SUMIFS(Tabla1[Avance_km],Tabla1[Fecha],"&lt;="&amp;'Grafico %'!$A214,Tabla1[nombre_actividad],'Grafico %'!E$1,Tabla1[Avance_km],"&gt;0")/(200),NA())</f>
        <v>0.62883500000000059</v>
      </c>
      <c r="F214" s="68">
        <f ca="1">IF(TODAY()&gt;=$A214,SUMIFS(Tabla1[Avance_Med],Tabla1[Fecha],"&lt;="&amp;'Grafico %'!$A214,Tabla1[nombre_actividad],'Grafico %'!F$1)/500,NA())</f>
        <v>0.752</v>
      </c>
      <c r="G214" s="70">
        <f ca="1">IF(TODAY()&gt;=$A214,SUMIFS(Tabla1[Avance_km],Tabla1[Fecha],"&lt;="&amp;'Grafico %'!$A214,Tabla1[nombre_actividad],'Grafico %'!G$1)/(200),NA())</f>
        <v>0</v>
      </c>
      <c r="H214" s="70"/>
    </row>
    <row r="215" spans="1:8" x14ac:dyDescent="0.25">
      <c r="A215" s="62">
        <f t="shared" si="3"/>
        <v>46176</v>
      </c>
      <c r="B215" s="33"/>
      <c r="C215" s="69">
        <f ca="1">IF(TODAY()&gt;=$A215,SUMIFS(Tabla1[Avance_km],Tabla1[Fecha],"&lt;="&amp;'Grafico %'!$A215,Tabla1[nombre_actividad],'Grafico %'!C$1)/(200),NA())</f>
        <v>0.64384500000000022</v>
      </c>
      <c r="D215" s="70">
        <f ca="1">IF(TODAY()&gt;=$A215,SUMIFS(Tabla1[Avance_km],Tabla1[Fecha],"&lt;="&amp;'Grafico %'!$A215,Tabla1[nombre_actividad],'Grafico %'!D$1)/(200),NA())</f>
        <v>0.57919000000000009</v>
      </c>
      <c r="E215" s="70">
        <f ca="1">IF(TODAY()&gt;=$A215,SUMIFS(Tabla1[Avance_km],Tabla1[Fecha],"&lt;="&amp;'Grafico %'!$A215,Tabla1[nombre_actividad],'Grafico %'!E$1,Tabla1[Avance_km],"&gt;0")/(200),NA())</f>
        <v>0.62883500000000059</v>
      </c>
      <c r="F215" s="68">
        <f ca="1">IF(TODAY()&gt;=$A215,SUMIFS(Tabla1[Avance_Med],Tabla1[Fecha],"&lt;="&amp;'Grafico %'!$A215,Tabla1[nombre_actividad],'Grafico %'!F$1)/500,NA())</f>
        <v>0.752</v>
      </c>
      <c r="G215" s="70">
        <f ca="1">IF(TODAY()&gt;=$A215,SUMIFS(Tabla1[Avance_km],Tabla1[Fecha],"&lt;="&amp;'Grafico %'!$A215,Tabla1[nombre_actividad],'Grafico %'!G$1)/(200),NA())</f>
        <v>0</v>
      </c>
      <c r="H215" s="70"/>
    </row>
    <row r="216" spans="1:8" x14ac:dyDescent="0.25">
      <c r="A216" s="62">
        <f t="shared" si="3"/>
        <v>46177</v>
      </c>
      <c r="B216" s="33"/>
      <c r="C216" s="69">
        <f ca="1">IF(TODAY()&gt;=$A216,SUMIFS(Tabla1[Avance_km],Tabla1[Fecha],"&lt;="&amp;'Grafico %'!$A216,Tabla1[nombre_actividad],'Grafico %'!C$1)/(200),NA())</f>
        <v>0.64384500000000022</v>
      </c>
      <c r="D216" s="70">
        <f ca="1">IF(TODAY()&gt;=$A216,SUMIFS(Tabla1[Avance_km],Tabla1[Fecha],"&lt;="&amp;'Grafico %'!$A216,Tabla1[nombre_actividad],'Grafico %'!D$1)/(200),NA())</f>
        <v>0.58650000000000002</v>
      </c>
      <c r="E216" s="70">
        <f ca="1">IF(TODAY()&gt;=$A216,SUMIFS(Tabla1[Avance_km],Tabla1[Fecha],"&lt;="&amp;'Grafico %'!$A216,Tabla1[nombre_actividad],'Grafico %'!E$1,Tabla1[Avance_km],"&gt;0")/(200),NA())</f>
        <v>0.62883500000000059</v>
      </c>
      <c r="F216" s="68">
        <f ca="1">IF(TODAY()&gt;=$A216,SUMIFS(Tabla1[Avance_Med],Tabla1[Fecha],"&lt;="&amp;'Grafico %'!$A216,Tabla1[nombre_actividad],'Grafico %'!F$1)/500,NA())</f>
        <v>0.752</v>
      </c>
      <c r="G216" s="70">
        <f ca="1">IF(TODAY()&gt;=$A216,SUMIFS(Tabla1[Avance_km],Tabla1[Fecha],"&lt;="&amp;'Grafico %'!$A216,Tabla1[nombre_actividad],'Grafico %'!G$1)/(200),NA())</f>
        <v>0</v>
      </c>
      <c r="H216" s="70"/>
    </row>
    <row r="217" spans="1:8" x14ac:dyDescent="0.25">
      <c r="A217" s="62">
        <f t="shared" si="3"/>
        <v>46178</v>
      </c>
      <c r="B217" s="33"/>
      <c r="C217" s="69">
        <f ca="1">IF(TODAY()&gt;=$A217,SUMIFS(Tabla1[Avance_km],Tabla1[Fecha],"&lt;="&amp;'Grafico %'!$A217,Tabla1[nombre_actividad],'Grafico %'!C$1)/(200),NA())</f>
        <v>0.6548550000000003</v>
      </c>
      <c r="D217" s="70">
        <f ca="1">IF(TODAY()&gt;=$A217,SUMIFS(Tabla1[Avance_km],Tabla1[Fecha],"&lt;="&amp;'Grafico %'!$A217,Tabla1[nombre_actividad],'Grafico %'!D$1)/(200),NA())</f>
        <v>0.58650000000000002</v>
      </c>
      <c r="E217" s="70">
        <f ca="1">IF(TODAY()&gt;=$A217,SUMIFS(Tabla1[Avance_km],Tabla1[Fecha],"&lt;="&amp;'Grafico %'!$A217,Tabla1[nombre_actividad],'Grafico %'!E$1,Tabla1[Avance_km],"&gt;0")/(200),NA())</f>
        <v>0.62883500000000059</v>
      </c>
      <c r="F217" s="68">
        <f ca="1">IF(TODAY()&gt;=$A217,SUMIFS(Tabla1[Avance_Med],Tabla1[Fecha],"&lt;="&amp;'Grafico %'!$A217,Tabla1[nombre_actividad],'Grafico %'!F$1)/500,NA())</f>
        <v>0.752</v>
      </c>
      <c r="G217" s="70">
        <f ca="1">IF(TODAY()&gt;=$A217,SUMIFS(Tabla1[Avance_km],Tabla1[Fecha],"&lt;="&amp;'Grafico %'!$A217,Tabla1[nombre_actividad],'Grafico %'!G$1)/(200),NA())</f>
        <v>0</v>
      </c>
      <c r="H217" s="70"/>
    </row>
    <row r="218" spans="1:8" x14ac:dyDescent="0.25">
      <c r="A218" s="62">
        <f t="shared" si="3"/>
        <v>46179</v>
      </c>
      <c r="B218" s="33"/>
      <c r="C218" s="69">
        <f ca="1">IF(TODAY()&gt;=$A218,SUMIFS(Tabla1[Avance_km],Tabla1[Fecha],"&lt;="&amp;'Grafico %'!$A218,Tabla1[nombre_actividad],'Grafico %'!C$1)/(200),NA())</f>
        <v>0.6548550000000003</v>
      </c>
      <c r="D218" s="70">
        <f ca="1">IF(TODAY()&gt;=$A218,SUMIFS(Tabla1[Avance_km],Tabla1[Fecha],"&lt;="&amp;'Grafico %'!$A218,Tabla1[nombre_actividad],'Grafico %'!D$1)/(200),NA())</f>
        <v>0.59589999999999999</v>
      </c>
      <c r="E218" s="70">
        <f ca="1">IF(TODAY()&gt;=$A218,SUMIFS(Tabla1[Avance_km],Tabla1[Fecha],"&lt;="&amp;'Grafico %'!$A218,Tabla1[nombre_actividad],'Grafico %'!E$1,Tabla1[Avance_km],"&gt;0")/(200),NA())</f>
        <v>0.62883500000000059</v>
      </c>
      <c r="F218" s="68">
        <f ca="1">IF(TODAY()&gt;=$A218,SUMIFS(Tabla1[Avance_Med],Tabla1[Fecha],"&lt;="&amp;'Grafico %'!$A218,Tabla1[nombre_actividad],'Grafico %'!F$1)/500,NA())</f>
        <v>0.752</v>
      </c>
      <c r="G218" s="70">
        <f ca="1">IF(TODAY()&gt;=$A218,SUMIFS(Tabla1[Avance_km],Tabla1[Fecha],"&lt;="&amp;'Grafico %'!$A218,Tabla1[nombre_actividad],'Grafico %'!G$1)/(200),NA())</f>
        <v>0</v>
      </c>
      <c r="H218" s="70"/>
    </row>
    <row r="219" spans="1:8" x14ac:dyDescent="0.25">
      <c r="A219" s="62">
        <f t="shared" si="3"/>
        <v>46180</v>
      </c>
      <c r="B219" s="33"/>
      <c r="C219" s="69">
        <f ca="1">IF(TODAY()&gt;=$A219,SUMIFS(Tabla1[Avance_km],Tabla1[Fecha],"&lt;="&amp;'Grafico %'!$A219,Tabla1[nombre_actividad],'Grafico %'!C$1)/(200),NA())</f>
        <v>0.6548550000000003</v>
      </c>
      <c r="D219" s="70">
        <f ca="1">IF(TODAY()&gt;=$A219,SUMIFS(Tabla1[Avance_km],Tabla1[Fecha],"&lt;="&amp;'Grafico %'!$A219,Tabla1[nombre_actividad],'Grafico %'!D$1)/(200),NA())</f>
        <v>0.59589999999999999</v>
      </c>
      <c r="E219" s="70">
        <f ca="1">IF(TODAY()&gt;=$A219,SUMIFS(Tabla1[Avance_km],Tabla1[Fecha],"&lt;="&amp;'Grafico %'!$A219,Tabla1[nombre_actividad],'Grafico %'!E$1,Tabla1[Avance_km],"&gt;0")/(200),NA())</f>
        <v>0.62883500000000059</v>
      </c>
      <c r="F219" s="68">
        <f ca="1">IF(TODAY()&gt;=$A219,SUMIFS(Tabla1[Avance_Med],Tabla1[Fecha],"&lt;="&amp;'Grafico %'!$A219,Tabla1[nombre_actividad],'Grafico %'!F$1)/500,NA())</f>
        <v>0.752</v>
      </c>
      <c r="G219" s="70">
        <f ca="1">IF(TODAY()&gt;=$A219,SUMIFS(Tabla1[Avance_km],Tabla1[Fecha],"&lt;="&amp;'Grafico %'!$A219,Tabla1[nombre_actividad],'Grafico %'!G$1)/(200),NA())</f>
        <v>0</v>
      </c>
      <c r="H219" s="70"/>
    </row>
    <row r="220" spans="1:8" x14ac:dyDescent="0.25">
      <c r="A220" s="62">
        <f t="shared" si="3"/>
        <v>46181</v>
      </c>
      <c r="B220" s="33"/>
      <c r="C220" s="69">
        <f ca="1">IF(TODAY()&gt;=$A220,SUMIFS(Tabla1[Avance_km],Tabla1[Fecha],"&lt;="&amp;'Grafico %'!$A220,Tabla1[nombre_actividad],'Grafico %'!C$1)/(200),NA())</f>
        <v>0.6548550000000003</v>
      </c>
      <c r="D220" s="70">
        <f ca="1">IF(TODAY()&gt;=$A220,SUMIFS(Tabla1[Avance_km],Tabla1[Fecha],"&lt;="&amp;'Grafico %'!$A220,Tabla1[nombre_actividad],'Grafico %'!D$1)/(200),NA())</f>
        <v>0.60281000000000007</v>
      </c>
      <c r="E220" s="70">
        <f ca="1">IF(TODAY()&gt;=$A220,SUMIFS(Tabla1[Avance_km],Tabla1[Fecha],"&lt;="&amp;'Grafico %'!$A220,Tabla1[nombre_actividad],'Grafico %'!E$1,Tabla1[Avance_km],"&gt;0")/(200),NA())</f>
        <v>0.62883500000000059</v>
      </c>
      <c r="F220" s="68">
        <f ca="1">IF(TODAY()&gt;=$A220,SUMIFS(Tabla1[Avance_Med],Tabla1[Fecha],"&lt;="&amp;'Grafico %'!$A220,Tabla1[nombre_actividad],'Grafico %'!F$1)/500,NA())</f>
        <v>0.752</v>
      </c>
      <c r="G220" s="70">
        <f ca="1">IF(TODAY()&gt;=$A220,SUMIFS(Tabla1[Avance_km],Tabla1[Fecha],"&lt;="&amp;'Grafico %'!$A220,Tabla1[nombre_actividad],'Grafico %'!G$1)/(200),NA())</f>
        <v>0</v>
      </c>
      <c r="H220" s="70"/>
    </row>
    <row r="221" spans="1:8" x14ac:dyDescent="0.25">
      <c r="A221" s="62">
        <f t="shared" si="3"/>
        <v>46182</v>
      </c>
      <c r="B221" s="33"/>
      <c r="C221" s="69">
        <f ca="1">IF(TODAY()&gt;=$A221,SUMIFS(Tabla1[Avance_km],Tabla1[Fecha],"&lt;="&amp;'Grafico %'!$A221,Tabla1[nombre_actividad],'Grafico %'!C$1)/(200),NA())</f>
        <v>0.6548550000000003</v>
      </c>
      <c r="D221" s="70">
        <f ca="1">IF(TODAY()&gt;=$A221,SUMIFS(Tabla1[Avance_km],Tabla1[Fecha],"&lt;="&amp;'Grafico %'!$A221,Tabla1[nombre_actividad],'Grafico %'!D$1)/(200),NA())</f>
        <v>0.60976500000000011</v>
      </c>
      <c r="E221" s="70">
        <f ca="1">IF(TODAY()&gt;=$A221,SUMIFS(Tabla1[Avance_km],Tabla1[Fecha],"&lt;="&amp;'Grafico %'!$A221,Tabla1[nombre_actividad],'Grafico %'!E$1,Tabla1[Avance_km],"&gt;0")/(200),NA())</f>
        <v>0.62883500000000059</v>
      </c>
      <c r="F221" s="68">
        <f ca="1">IF(TODAY()&gt;=$A221,SUMIFS(Tabla1[Avance_Med],Tabla1[Fecha],"&lt;="&amp;'Grafico %'!$A221,Tabla1[nombre_actividad],'Grafico %'!F$1)/500,NA())</f>
        <v>0.752</v>
      </c>
      <c r="G221" s="70">
        <f ca="1">IF(TODAY()&gt;=$A221,SUMIFS(Tabla1[Avance_km],Tabla1[Fecha],"&lt;="&amp;'Grafico %'!$A221,Tabla1[nombre_actividad],'Grafico %'!G$1)/(200),NA())</f>
        <v>0</v>
      </c>
      <c r="H221" s="70"/>
    </row>
    <row r="222" spans="1:8" x14ac:dyDescent="0.25">
      <c r="A222" s="62">
        <f t="shared" si="3"/>
        <v>46183</v>
      </c>
      <c r="B222" s="33"/>
      <c r="C222" s="69">
        <f ca="1">IF(TODAY()&gt;=$A222,SUMIFS(Tabla1[Avance_km],Tabla1[Fecha],"&lt;="&amp;'Grafico %'!$A222,Tabla1[nombre_actividad],'Grafico %'!C$1)/(200),NA())</f>
        <v>0.6548550000000003</v>
      </c>
      <c r="D222" s="70">
        <f ca="1">IF(TODAY()&gt;=$A222,SUMIFS(Tabla1[Avance_km],Tabla1[Fecha],"&lt;="&amp;'Grafico %'!$A222,Tabla1[nombre_actividad],'Grafico %'!D$1)/(200),NA())</f>
        <v>0.6149</v>
      </c>
      <c r="E222" s="70">
        <f ca="1">IF(TODAY()&gt;=$A222,SUMIFS(Tabla1[Avance_km],Tabla1[Fecha],"&lt;="&amp;'Grafico %'!$A222,Tabla1[nombre_actividad],'Grafico %'!E$1,Tabla1[Avance_km],"&gt;0")/(200),NA())</f>
        <v>0.62883500000000059</v>
      </c>
      <c r="F222" s="68">
        <f ca="1">IF(TODAY()&gt;=$A222,SUMIFS(Tabla1[Avance_Med],Tabla1[Fecha],"&lt;="&amp;'Grafico %'!$A222,Tabla1[nombre_actividad],'Grafico %'!F$1)/500,NA())</f>
        <v>0.752</v>
      </c>
      <c r="G222" s="70">
        <f ca="1">IF(TODAY()&gt;=$A222,SUMIFS(Tabla1[Avance_km],Tabla1[Fecha],"&lt;="&amp;'Grafico %'!$A222,Tabla1[nombre_actividad],'Grafico %'!G$1)/(200),NA())</f>
        <v>0</v>
      </c>
      <c r="H222" s="70"/>
    </row>
    <row r="223" spans="1:8" x14ac:dyDescent="0.25">
      <c r="A223" s="62">
        <f t="shared" si="3"/>
        <v>46184</v>
      </c>
      <c r="B223" s="33"/>
      <c r="C223" s="69">
        <f ca="1">IF(TODAY()&gt;=$A223,SUMIFS(Tabla1[Avance_km],Tabla1[Fecha],"&lt;="&amp;'Grafico %'!$A223,Tabla1[nombre_actividad],'Grafico %'!C$1)/(200),NA())</f>
        <v>0.6548550000000003</v>
      </c>
      <c r="D223" s="70">
        <f ca="1">IF(TODAY()&gt;=$A223,SUMIFS(Tabla1[Avance_km],Tabla1[Fecha],"&lt;="&amp;'Grafico %'!$A223,Tabla1[nombre_actividad],'Grafico %'!D$1)/(200),NA())</f>
        <v>0.61941500000000005</v>
      </c>
      <c r="E223" s="70">
        <f ca="1">IF(TODAY()&gt;=$A223,SUMIFS(Tabla1[Avance_km],Tabla1[Fecha],"&lt;="&amp;'Grafico %'!$A223,Tabla1[nombre_actividad],'Grafico %'!E$1,Tabla1[Avance_km],"&gt;0")/(200),NA())</f>
        <v>0.62883500000000059</v>
      </c>
      <c r="F223" s="68">
        <f ca="1">IF(TODAY()&gt;=$A223,SUMIFS(Tabla1[Avance_Med],Tabla1[Fecha],"&lt;="&amp;'Grafico %'!$A223,Tabla1[nombre_actividad],'Grafico %'!F$1)/500,NA())</f>
        <v>0.752</v>
      </c>
      <c r="G223" s="70">
        <f ca="1">IF(TODAY()&gt;=$A223,SUMIFS(Tabla1[Avance_km],Tabla1[Fecha],"&lt;="&amp;'Grafico %'!$A223,Tabla1[nombre_actividad],'Grafico %'!G$1)/(200),NA())</f>
        <v>0</v>
      </c>
      <c r="H223" s="70"/>
    </row>
    <row r="224" spans="1:8" x14ac:dyDescent="0.25">
      <c r="A224" s="62">
        <f t="shared" si="3"/>
        <v>46185</v>
      </c>
      <c r="B224" s="33"/>
      <c r="C224" s="69">
        <f ca="1">IF(TODAY()&gt;=$A224,SUMIFS(Tabla1[Avance_km],Tabla1[Fecha],"&lt;="&amp;'Grafico %'!$A224,Tabla1[nombre_actividad],'Grafico %'!C$1)/(200),NA())</f>
        <v>0.6548550000000003</v>
      </c>
      <c r="D224" s="70">
        <f ca="1">IF(TODAY()&gt;=$A224,SUMIFS(Tabla1[Avance_km],Tabla1[Fecha],"&lt;="&amp;'Grafico %'!$A224,Tabla1[nombre_actividad],'Grafico %'!D$1)/(200),NA())</f>
        <v>0.62377500000000008</v>
      </c>
      <c r="E224" s="70">
        <f ca="1">IF(TODAY()&gt;=$A224,SUMIFS(Tabla1[Avance_km],Tabla1[Fecha],"&lt;="&amp;'Grafico %'!$A224,Tabla1[nombre_actividad],'Grafico %'!E$1,Tabla1[Avance_km],"&gt;0")/(200),NA())</f>
        <v>0.62883500000000059</v>
      </c>
      <c r="F224" s="68">
        <f ca="1">IF(TODAY()&gt;=$A224,SUMIFS(Tabla1[Avance_Med],Tabla1[Fecha],"&lt;="&amp;'Grafico %'!$A224,Tabla1[nombre_actividad],'Grafico %'!F$1)/500,NA())</f>
        <v>0.752</v>
      </c>
      <c r="G224" s="70">
        <f ca="1">IF(TODAY()&gt;=$A224,SUMIFS(Tabla1[Avance_km],Tabla1[Fecha],"&lt;="&amp;'Grafico %'!$A224,Tabla1[nombre_actividad],'Grafico %'!G$1)/(200),NA())</f>
        <v>0</v>
      </c>
      <c r="H224" s="70"/>
    </row>
    <row r="225" spans="1:8" x14ac:dyDescent="0.25">
      <c r="A225" s="62">
        <f t="shared" si="3"/>
        <v>46186</v>
      </c>
      <c r="B225" s="33"/>
      <c r="C225" s="69">
        <f ca="1">IF(TODAY()&gt;=$A225,SUMIFS(Tabla1[Avance_km],Tabla1[Fecha],"&lt;="&amp;'Grafico %'!$A225,Tabla1[nombre_actividad],'Grafico %'!C$1)/(200),NA())</f>
        <v>0.6548550000000003</v>
      </c>
      <c r="D225" s="70">
        <f ca="1">IF(TODAY()&gt;=$A225,SUMIFS(Tabla1[Avance_km],Tabla1[Fecha],"&lt;="&amp;'Grafico %'!$A225,Tabla1[nombre_actividad],'Grafico %'!D$1)/(200),NA())</f>
        <v>0.62377500000000008</v>
      </c>
      <c r="E225" s="70">
        <f ca="1">IF(TODAY()&gt;=$A225,SUMIFS(Tabla1[Avance_km],Tabla1[Fecha],"&lt;="&amp;'Grafico %'!$A225,Tabla1[nombre_actividad],'Grafico %'!E$1,Tabla1[Avance_km],"&gt;0")/(200),NA())</f>
        <v>0.62883500000000059</v>
      </c>
      <c r="F225" s="68">
        <f ca="1">IF(TODAY()&gt;=$A225,SUMIFS(Tabla1[Avance_Med],Tabla1[Fecha],"&lt;="&amp;'Grafico %'!$A225,Tabla1[nombre_actividad],'Grafico %'!F$1)/500,NA())</f>
        <v>0.752</v>
      </c>
      <c r="G225" s="70">
        <f ca="1">IF(TODAY()&gt;=$A225,SUMIFS(Tabla1[Avance_km],Tabla1[Fecha],"&lt;="&amp;'Grafico %'!$A225,Tabla1[nombre_actividad],'Grafico %'!G$1)/(200),NA())</f>
        <v>0</v>
      </c>
      <c r="H225" s="70"/>
    </row>
    <row r="226" spans="1:8" x14ac:dyDescent="0.25">
      <c r="A226" s="62">
        <f t="shared" si="3"/>
        <v>46187</v>
      </c>
      <c r="B226" s="33"/>
      <c r="C226" s="69">
        <f ca="1">IF(TODAY()&gt;=$A226,SUMIFS(Tabla1[Avance_km],Tabla1[Fecha],"&lt;="&amp;'Grafico %'!$A226,Tabla1[nombre_actividad],'Grafico %'!C$1)/(200),NA())</f>
        <v>0.6548550000000003</v>
      </c>
      <c r="D226" s="70">
        <f ca="1">IF(TODAY()&gt;=$A226,SUMIFS(Tabla1[Avance_km],Tabla1[Fecha],"&lt;="&amp;'Grafico %'!$A226,Tabla1[nombre_actividad],'Grafico %'!D$1)/(200),NA())</f>
        <v>0.62377500000000008</v>
      </c>
      <c r="E226" s="70">
        <f ca="1">IF(TODAY()&gt;=$A226,SUMIFS(Tabla1[Avance_km],Tabla1[Fecha],"&lt;="&amp;'Grafico %'!$A226,Tabla1[nombre_actividad],'Grafico %'!E$1,Tabla1[Avance_km],"&gt;0")/(200),NA())</f>
        <v>0.62883500000000059</v>
      </c>
      <c r="F226" s="68">
        <f ca="1">IF(TODAY()&gt;=$A226,SUMIFS(Tabla1[Avance_Med],Tabla1[Fecha],"&lt;="&amp;'Grafico %'!$A226,Tabla1[nombre_actividad],'Grafico %'!F$1)/500,NA())</f>
        <v>0.752</v>
      </c>
      <c r="G226" s="70">
        <f ca="1">IF(TODAY()&gt;=$A226,SUMIFS(Tabla1[Avance_km],Tabla1[Fecha],"&lt;="&amp;'Grafico %'!$A226,Tabla1[nombre_actividad],'Grafico %'!G$1)/(200),NA())</f>
        <v>0</v>
      </c>
      <c r="H226" s="70"/>
    </row>
    <row r="227" spans="1:8" x14ac:dyDescent="0.25">
      <c r="A227" s="62">
        <f t="shared" si="3"/>
        <v>46188</v>
      </c>
      <c r="B227" s="33"/>
      <c r="C227" s="69">
        <f ca="1">IF(TODAY()&gt;=$A227,SUMIFS(Tabla1[Avance_km],Tabla1[Fecha],"&lt;="&amp;'Grafico %'!$A227,Tabla1[nombre_actividad],'Grafico %'!C$1)/(200),NA())</f>
        <v>0.6548550000000003</v>
      </c>
      <c r="D227" s="70">
        <f ca="1">IF(TODAY()&gt;=$A227,SUMIFS(Tabla1[Avance_km],Tabla1[Fecha],"&lt;="&amp;'Grafico %'!$A227,Tabla1[nombre_actividad],'Grafico %'!D$1)/(200),NA())</f>
        <v>0.62611000000000006</v>
      </c>
      <c r="E227" s="70">
        <f ca="1">IF(TODAY()&gt;=$A227,SUMIFS(Tabla1[Avance_km],Tabla1[Fecha],"&lt;="&amp;'Grafico %'!$A227,Tabla1[nombre_actividad],'Grafico %'!E$1,Tabla1[Avance_km],"&gt;0")/(200),NA())</f>
        <v>0.62883500000000059</v>
      </c>
      <c r="F227" s="68">
        <f ca="1">IF(TODAY()&gt;=$A227,SUMIFS(Tabla1[Avance_Med],Tabla1[Fecha],"&lt;="&amp;'Grafico %'!$A227,Tabla1[nombre_actividad],'Grafico %'!F$1)/500,NA())</f>
        <v>0.752</v>
      </c>
      <c r="G227" s="70">
        <f ca="1">IF(TODAY()&gt;=$A227,SUMIFS(Tabla1[Avance_km],Tabla1[Fecha],"&lt;="&amp;'Grafico %'!$A227,Tabla1[nombre_actividad],'Grafico %'!G$1)/(200),NA())</f>
        <v>0</v>
      </c>
      <c r="H227" s="70"/>
    </row>
    <row r="228" spans="1:8" x14ac:dyDescent="0.25">
      <c r="A228" s="62">
        <f t="shared" si="3"/>
        <v>46189</v>
      </c>
      <c r="B228" s="33"/>
      <c r="C228" s="69">
        <f ca="1">IF(TODAY()&gt;=$A228,SUMIFS(Tabla1[Avance_km],Tabla1[Fecha],"&lt;="&amp;'Grafico %'!$A228,Tabla1[nombre_actividad],'Grafico %'!C$1)/(200),NA())</f>
        <v>0.6548550000000003</v>
      </c>
      <c r="D228" s="70">
        <f ca="1">IF(TODAY()&gt;=$A228,SUMIFS(Tabla1[Avance_km],Tabla1[Fecha],"&lt;="&amp;'Grafico %'!$A228,Tabla1[nombre_actividad],'Grafico %'!D$1)/(200),NA())</f>
        <v>0.62960000000000005</v>
      </c>
      <c r="E228" s="70">
        <f ca="1">IF(TODAY()&gt;=$A228,SUMIFS(Tabla1[Avance_km],Tabla1[Fecha],"&lt;="&amp;'Grafico %'!$A228,Tabla1[nombre_actividad],'Grafico %'!E$1,Tabla1[Avance_km],"&gt;0")/(200),NA())</f>
        <v>0.62883500000000059</v>
      </c>
      <c r="F228" s="68">
        <f ca="1">IF(TODAY()&gt;=$A228,SUMIFS(Tabla1[Avance_Med],Tabla1[Fecha],"&lt;="&amp;'Grafico %'!$A228,Tabla1[nombre_actividad],'Grafico %'!F$1)/500,NA())</f>
        <v>0.752</v>
      </c>
      <c r="G228" s="70">
        <f ca="1">IF(TODAY()&gt;=$A228,SUMIFS(Tabla1[Avance_km],Tabla1[Fecha],"&lt;="&amp;'Grafico %'!$A228,Tabla1[nombre_actividad],'Grafico %'!G$1)/(200),NA())</f>
        <v>0</v>
      </c>
      <c r="H228" s="70"/>
    </row>
    <row r="229" spans="1:8" x14ac:dyDescent="0.25">
      <c r="A229" s="62">
        <f t="shared" si="3"/>
        <v>46190</v>
      </c>
      <c r="B229" s="33"/>
      <c r="C229" s="69">
        <f ca="1">IF(TODAY()&gt;=$A229,SUMIFS(Tabla1[Avance_km],Tabla1[Fecha],"&lt;="&amp;'Grafico %'!$A229,Tabla1[nombre_actividad],'Grafico %'!C$1)/(200),NA())</f>
        <v>0.6548550000000003</v>
      </c>
      <c r="D229" s="70">
        <f ca="1">IF(TODAY()&gt;=$A229,SUMIFS(Tabla1[Avance_km],Tabla1[Fecha],"&lt;="&amp;'Grafico %'!$A229,Tabla1[nombre_actividad],'Grafico %'!D$1)/(200),NA())</f>
        <v>0.631795</v>
      </c>
      <c r="E229" s="70">
        <f ca="1">IF(TODAY()&gt;=$A229,SUMIFS(Tabla1[Avance_km],Tabla1[Fecha],"&lt;="&amp;'Grafico %'!$A229,Tabla1[nombre_actividad],'Grafico %'!E$1,Tabla1[Avance_km],"&gt;0")/(200),NA())</f>
        <v>0.62883500000000059</v>
      </c>
      <c r="F229" s="68">
        <f ca="1">IF(TODAY()&gt;=$A229,SUMIFS(Tabla1[Avance_Med],Tabla1[Fecha],"&lt;="&amp;'Grafico %'!$A229,Tabla1[nombre_actividad],'Grafico %'!F$1)/500,NA())</f>
        <v>0.752</v>
      </c>
      <c r="G229" s="70">
        <f ca="1">IF(TODAY()&gt;=$A229,SUMIFS(Tabla1[Avance_km],Tabla1[Fecha],"&lt;="&amp;'Grafico %'!$A229,Tabla1[nombre_actividad],'Grafico %'!G$1)/(200),NA())</f>
        <v>0</v>
      </c>
      <c r="H229" s="70"/>
    </row>
    <row r="230" spans="1:8" x14ac:dyDescent="0.25">
      <c r="A230" s="62">
        <f t="shared" si="3"/>
        <v>46191</v>
      </c>
      <c r="B230" s="33"/>
      <c r="C230" s="69">
        <f ca="1">IF(TODAY()&gt;=$A230,SUMIFS(Tabla1[Avance_km],Tabla1[Fecha],"&lt;="&amp;'Grafico %'!$A230,Tabla1[nombre_actividad],'Grafico %'!C$1)/(200),NA())</f>
        <v>0.6548550000000003</v>
      </c>
      <c r="D230" s="70">
        <f ca="1">IF(TODAY()&gt;=$A230,SUMIFS(Tabla1[Avance_km],Tabla1[Fecha],"&lt;="&amp;'Grafico %'!$A230,Tabla1[nombre_actividad],'Grafico %'!D$1)/(200),NA())</f>
        <v>0.63765499999999997</v>
      </c>
      <c r="E230" s="70">
        <f ca="1">IF(TODAY()&gt;=$A230,SUMIFS(Tabla1[Avance_km],Tabla1[Fecha],"&lt;="&amp;'Grafico %'!$A230,Tabla1[nombre_actividad],'Grafico %'!E$1,Tabla1[Avance_km],"&gt;0")/(200),NA())</f>
        <v>0.62883500000000059</v>
      </c>
      <c r="F230" s="68">
        <f ca="1">IF(TODAY()&gt;=$A230,SUMIFS(Tabla1[Avance_Med],Tabla1[Fecha],"&lt;="&amp;'Grafico %'!$A230,Tabla1[nombre_actividad],'Grafico %'!F$1)/500,NA())</f>
        <v>0.752</v>
      </c>
      <c r="G230" s="70">
        <f ca="1">IF(TODAY()&gt;=$A230,SUMIFS(Tabla1[Avance_km],Tabla1[Fecha],"&lt;="&amp;'Grafico %'!$A230,Tabla1[nombre_actividad],'Grafico %'!G$1)/(200),NA())</f>
        <v>0</v>
      </c>
      <c r="H230" s="70"/>
    </row>
    <row r="231" spans="1:8" x14ac:dyDescent="0.25">
      <c r="A231" s="62">
        <f t="shared" si="3"/>
        <v>46192</v>
      </c>
      <c r="B231" s="33"/>
      <c r="C231" s="69">
        <f ca="1">IF(TODAY()&gt;=$A231,SUMIFS(Tabla1[Avance_km],Tabla1[Fecha],"&lt;="&amp;'Grafico %'!$A231,Tabla1[nombre_actividad],'Grafico %'!C$1)/(200),NA())</f>
        <v>0.6627000000000004</v>
      </c>
      <c r="D231" s="70">
        <f ca="1">IF(TODAY()&gt;=$A231,SUMIFS(Tabla1[Avance_km],Tabla1[Fecha],"&lt;="&amp;'Grafico %'!$A231,Tabla1[nombre_actividad],'Grafico %'!D$1)/(200),NA())</f>
        <v>0.63832</v>
      </c>
      <c r="E231" s="70">
        <f ca="1">IF(TODAY()&gt;=$A231,SUMIFS(Tabla1[Avance_km],Tabla1[Fecha],"&lt;="&amp;'Grafico %'!$A231,Tabla1[nombre_actividad],'Grafico %'!E$1,Tabla1[Avance_km],"&gt;0")/(200),NA())</f>
        <v>0.62883500000000059</v>
      </c>
      <c r="F231" s="68">
        <f ca="1">IF(TODAY()&gt;=$A231,SUMIFS(Tabla1[Avance_Med],Tabla1[Fecha],"&lt;="&amp;'Grafico %'!$A231,Tabla1[nombre_actividad],'Grafico %'!F$1)/500,NA())</f>
        <v>0.752</v>
      </c>
      <c r="G231" s="70">
        <f ca="1">IF(TODAY()&gt;=$A231,SUMIFS(Tabla1[Avance_km],Tabla1[Fecha],"&lt;="&amp;'Grafico %'!$A231,Tabla1[nombre_actividad],'Grafico %'!G$1)/(200),NA())</f>
        <v>0</v>
      </c>
      <c r="H231" s="70"/>
    </row>
    <row r="232" spans="1:8" x14ac:dyDescent="0.25">
      <c r="A232" s="62">
        <f t="shared" si="3"/>
        <v>46193</v>
      </c>
      <c r="B232" s="33"/>
      <c r="C232" s="69">
        <f ca="1">IF(TODAY()&gt;=$A232,SUMIFS(Tabla1[Avance_km],Tabla1[Fecha],"&lt;="&amp;'Grafico %'!$A232,Tabla1[nombre_actividad],'Grafico %'!C$1)/(200),NA())</f>
        <v>0.66277000000000041</v>
      </c>
      <c r="D232" s="70">
        <f ca="1">IF(TODAY()&gt;=$A232,SUMIFS(Tabla1[Avance_km],Tabla1[Fecha],"&lt;="&amp;'Grafico %'!$A232,Tabla1[nombre_actividad],'Grafico %'!D$1)/(200),NA())</f>
        <v>0.63839000000000001</v>
      </c>
      <c r="E232" s="70">
        <f ca="1">IF(TODAY()&gt;=$A232,SUMIFS(Tabla1[Avance_km],Tabla1[Fecha],"&lt;="&amp;'Grafico %'!$A232,Tabla1[nombre_actividad],'Grafico %'!E$1,Tabla1[Avance_km],"&gt;0")/(200),NA())</f>
        <v>0.62883500000000059</v>
      </c>
      <c r="F232" s="68">
        <f ca="1">IF(TODAY()&gt;=$A232,SUMIFS(Tabla1[Avance_Med],Tabla1[Fecha],"&lt;="&amp;'Grafico %'!$A232,Tabla1[nombre_actividad],'Grafico %'!F$1)/500,NA())</f>
        <v>0.752</v>
      </c>
      <c r="G232" s="70">
        <f ca="1">IF(TODAY()&gt;=$A232,SUMIFS(Tabla1[Avance_km],Tabla1[Fecha],"&lt;="&amp;'Grafico %'!$A232,Tabla1[nombre_actividad],'Grafico %'!G$1)/(200),NA())</f>
        <v>0</v>
      </c>
      <c r="H232" s="70"/>
    </row>
    <row r="233" spans="1:8" x14ac:dyDescent="0.25">
      <c r="A233" s="62">
        <f t="shared" si="3"/>
        <v>46194</v>
      </c>
      <c r="B233" s="33"/>
      <c r="C233" s="69">
        <f ca="1">IF(TODAY()&gt;=$A233,SUMIFS(Tabla1[Avance_km],Tabla1[Fecha],"&lt;="&amp;'Grafico %'!$A233,Tabla1[nombre_actividad],'Grafico %'!C$1)/(200),NA())</f>
        <v>0.66277000000000041</v>
      </c>
      <c r="D233" s="70">
        <f ca="1">IF(TODAY()&gt;=$A233,SUMIFS(Tabla1[Avance_km],Tabla1[Fecha],"&lt;="&amp;'Grafico %'!$A233,Tabla1[nombre_actividad],'Grafico %'!D$1)/(200),NA())</f>
        <v>0.63839000000000001</v>
      </c>
      <c r="E233" s="70">
        <f ca="1">IF(TODAY()&gt;=$A233,SUMIFS(Tabla1[Avance_km],Tabla1[Fecha],"&lt;="&amp;'Grafico %'!$A233,Tabla1[nombre_actividad],'Grafico %'!E$1,Tabla1[Avance_km],"&gt;0")/(200),NA())</f>
        <v>0.62883500000000059</v>
      </c>
      <c r="F233" s="68">
        <f ca="1">IF(TODAY()&gt;=$A233,SUMIFS(Tabla1[Avance_Med],Tabla1[Fecha],"&lt;="&amp;'Grafico %'!$A233,Tabla1[nombre_actividad],'Grafico %'!F$1)/500,NA())</f>
        <v>0.752</v>
      </c>
      <c r="G233" s="70">
        <f ca="1">IF(TODAY()&gt;=$A233,SUMIFS(Tabla1[Avance_km],Tabla1[Fecha],"&lt;="&amp;'Grafico %'!$A233,Tabla1[nombre_actividad],'Grafico %'!G$1)/(200),NA())</f>
        <v>0</v>
      </c>
      <c r="H233" s="70"/>
    </row>
    <row r="234" spans="1:8" x14ac:dyDescent="0.25">
      <c r="A234" s="62">
        <f t="shared" si="3"/>
        <v>46195</v>
      </c>
      <c r="B234" s="33"/>
      <c r="C234" s="69">
        <f ca="1">IF(TODAY()&gt;=$A234,SUMIFS(Tabla1[Avance_km],Tabla1[Fecha],"&lt;="&amp;'Grafico %'!$A234,Tabla1[nombre_actividad],'Grafico %'!C$1)/(200),NA())</f>
        <v>0.66277000000000041</v>
      </c>
      <c r="D234" s="70">
        <f ca="1">IF(TODAY()&gt;=$A234,SUMIFS(Tabla1[Avance_km],Tabla1[Fecha],"&lt;="&amp;'Grafico %'!$A234,Tabla1[nombre_actividad],'Grafico %'!D$1)/(200),NA())</f>
        <v>0.64086999999999994</v>
      </c>
      <c r="E234" s="70">
        <f ca="1">IF(TODAY()&gt;=$A234,SUMIFS(Tabla1[Avance_km],Tabla1[Fecha],"&lt;="&amp;'Grafico %'!$A234,Tabla1[nombre_actividad],'Grafico %'!E$1,Tabla1[Avance_km],"&gt;0")/(200),NA())</f>
        <v>0.62883500000000059</v>
      </c>
      <c r="F234" s="68">
        <f ca="1">IF(TODAY()&gt;=$A234,SUMIFS(Tabla1[Avance_Med],Tabla1[Fecha],"&lt;="&amp;'Grafico %'!$A234,Tabla1[nombre_actividad],'Grafico %'!F$1)/500,NA())</f>
        <v>0.752</v>
      </c>
      <c r="G234" s="70">
        <f ca="1">IF(TODAY()&gt;=$A234,SUMIFS(Tabla1[Avance_km],Tabla1[Fecha],"&lt;="&amp;'Grafico %'!$A234,Tabla1[nombre_actividad],'Grafico %'!G$1)/(200),NA())</f>
        <v>0</v>
      </c>
      <c r="H234" s="70"/>
    </row>
    <row r="235" spans="1:8" x14ac:dyDescent="0.25">
      <c r="A235" s="62">
        <f t="shared" si="3"/>
        <v>46196</v>
      </c>
      <c r="B235" s="33"/>
      <c r="C235" s="69">
        <f ca="1">IF(TODAY()&gt;=$A235,SUMIFS(Tabla1[Avance_km],Tabla1[Fecha],"&lt;="&amp;'Grafico %'!$A235,Tabla1[nombre_actividad],'Grafico %'!C$1)/(200),NA())</f>
        <v>0.66277000000000041</v>
      </c>
      <c r="D235" s="70">
        <f ca="1">IF(TODAY()&gt;=$A235,SUMIFS(Tabla1[Avance_km],Tabla1[Fecha],"&lt;="&amp;'Grafico %'!$A235,Tabla1[nombre_actividad],'Grafico %'!D$1)/(200),NA())</f>
        <v>0.64522499999999994</v>
      </c>
      <c r="E235" s="70">
        <f ca="1">IF(TODAY()&gt;=$A235,SUMIFS(Tabla1[Avance_km],Tabla1[Fecha],"&lt;="&amp;'Grafico %'!$A235,Tabla1[nombre_actividad],'Grafico %'!E$1,Tabla1[Avance_km],"&gt;0")/(200),NA())</f>
        <v>0.62883500000000059</v>
      </c>
      <c r="F235" s="68">
        <f ca="1">IF(TODAY()&gt;=$A235,SUMIFS(Tabla1[Avance_Med],Tabla1[Fecha],"&lt;="&amp;'Grafico %'!$A235,Tabla1[nombre_actividad],'Grafico %'!F$1)/500,NA())</f>
        <v>0.752</v>
      </c>
      <c r="G235" s="70">
        <f ca="1">IF(TODAY()&gt;=$A235,SUMIFS(Tabla1[Avance_km],Tabla1[Fecha],"&lt;="&amp;'Grafico %'!$A235,Tabla1[nombre_actividad],'Grafico %'!G$1)/(200),NA())</f>
        <v>0</v>
      </c>
      <c r="H235" s="70"/>
    </row>
    <row r="236" spans="1:8" x14ac:dyDescent="0.25">
      <c r="A236" s="62">
        <f t="shared" si="3"/>
        <v>46197</v>
      </c>
      <c r="B236" s="33"/>
      <c r="C236" s="69">
        <f ca="1">IF(TODAY()&gt;=$A236,SUMIFS(Tabla1[Avance_km],Tabla1[Fecha],"&lt;="&amp;'Grafico %'!$A236,Tabla1[nombre_actividad],'Grafico %'!C$1)/(200),NA())</f>
        <v>0.66277000000000041</v>
      </c>
      <c r="D236" s="70">
        <f ca="1">IF(TODAY()&gt;=$A236,SUMIFS(Tabla1[Avance_km],Tabla1[Fecha],"&lt;="&amp;'Grafico %'!$A236,Tabla1[nombre_actividad],'Grafico %'!D$1)/(200),NA())</f>
        <v>0.64522499999999994</v>
      </c>
      <c r="E236" s="70">
        <f ca="1">IF(TODAY()&gt;=$A236,SUMIFS(Tabla1[Avance_km],Tabla1[Fecha],"&lt;="&amp;'Grafico %'!$A236,Tabla1[nombre_actividad],'Grafico %'!E$1,Tabla1[Avance_km],"&gt;0")/(200),NA())</f>
        <v>0.62883500000000059</v>
      </c>
      <c r="F236" s="68">
        <f ca="1">IF(TODAY()&gt;=$A236,SUMIFS(Tabla1[Avance_Med],Tabla1[Fecha],"&lt;="&amp;'Grafico %'!$A236,Tabla1[nombre_actividad],'Grafico %'!F$1)/500,NA())</f>
        <v>0.752</v>
      </c>
      <c r="G236" s="70">
        <f ca="1">IF(TODAY()&gt;=$A236,SUMIFS(Tabla1[Avance_km],Tabla1[Fecha],"&lt;="&amp;'Grafico %'!$A236,Tabla1[nombre_actividad],'Grafico %'!G$1)/(200),NA())</f>
        <v>0</v>
      </c>
      <c r="H236" s="70"/>
    </row>
    <row r="237" spans="1:8" x14ac:dyDescent="0.25">
      <c r="A237" s="62">
        <f t="shared" si="3"/>
        <v>46198</v>
      </c>
      <c r="B237" s="33"/>
      <c r="C237" s="69">
        <f ca="1">IF(TODAY()&gt;=$A237,SUMIFS(Tabla1[Avance_km],Tabla1[Fecha],"&lt;="&amp;'Grafico %'!$A237,Tabla1[nombre_actividad],'Grafico %'!C$1)/(200),NA())</f>
        <v>0.66293500000000039</v>
      </c>
      <c r="D237" s="70">
        <f ca="1">IF(TODAY()&gt;=$A237,SUMIFS(Tabla1[Avance_km],Tabla1[Fecha],"&lt;="&amp;'Grafico %'!$A237,Tabla1[nombre_actividad],'Grafico %'!D$1)/(200),NA())</f>
        <v>0.65256999999999987</v>
      </c>
      <c r="E237" s="70">
        <f ca="1">IF(TODAY()&gt;=$A237,SUMIFS(Tabla1[Avance_km],Tabla1[Fecha],"&lt;="&amp;'Grafico %'!$A237,Tabla1[nombre_actividad],'Grafico %'!E$1,Tabla1[Avance_km],"&gt;0")/(200),NA())</f>
        <v>0.62883500000000059</v>
      </c>
      <c r="F237" s="68">
        <f ca="1">IF(TODAY()&gt;=$A237,SUMIFS(Tabla1[Avance_Med],Tabla1[Fecha],"&lt;="&amp;'Grafico %'!$A237,Tabla1[nombre_actividad],'Grafico %'!F$1)/500,NA())</f>
        <v>0.752</v>
      </c>
      <c r="G237" s="70">
        <f ca="1">IF(TODAY()&gt;=$A237,SUMIFS(Tabla1[Avance_km],Tabla1[Fecha],"&lt;="&amp;'Grafico %'!$A237,Tabla1[nombre_actividad],'Grafico %'!G$1)/(200),NA())</f>
        <v>0</v>
      </c>
      <c r="H237" s="70"/>
    </row>
    <row r="238" spans="1:8" x14ac:dyDescent="0.25">
      <c r="A238" s="62">
        <f t="shared" si="3"/>
        <v>46199</v>
      </c>
      <c r="B238" s="33"/>
      <c r="C238" s="69">
        <f ca="1">IF(TODAY()&gt;=$A238,SUMIFS(Tabla1[Avance_km],Tabla1[Fecha],"&lt;="&amp;'Grafico %'!$A238,Tabla1[nombre_actividad],'Grafico %'!C$1)/(200),NA())</f>
        <v>0.66622000000000026</v>
      </c>
      <c r="D238" s="70">
        <f ca="1">IF(TODAY()&gt;=$A238,SUMIFS(Tabla1[Avance_km],Tabla1[Fecha],"&lt;="&amp;'Grafico %'!$A238,Tabla1[nombre_actividad],'Grafico %'!D$1)/(200),NA())</f>
        <v>0.65259999999999996</v>
      </c>
      <c r="E238" s="70">
        <f ca="1">IF(TODAY()&gt;=$A238,SUMIFS(Tabla1[Avance_km],Tabla1[Fecha],"&lt;="&amp;'Grafico %'!$A238,Tabla1[nombre_actividad],'Grafico %'!E$1,Tabla1[Avance_km],"&gt;0")/(200),NA())</f>
        <v>0.62883500000000059</v>
      </c>
      <c r="F238" s="68">
        <f ca="1">IF(TODAY()&gt;=$A238,SUMIFS(Tabla1[Avance_Med],Tabla1[Fecha],"&lt;="&amp;'Grafico %'!$A238,Tabla1[nombre_actividad],'Grafico %'!F$1)/500,NA())</f>
        <v>0.752</v>
      </c>
      <c r="G238" s="70">
        <f ca="1">IF(TODAY()&gt;=$A238,SUMIFS(Tabla1[Avance_km],Tabla1[Fecha],"&lt;="&amp;'Grafico %'!$A238,Tabla1[nombre_actividad],'Grafico %'!G$1)/(200),NA())</f>
        <v>0</v>
      </c>
      <c r="H238" s="70"/>
    </row>
    <row r="239" spans="1:8" x14ac:dyDescent="0.25">
      <c r="A239" s="62">
        <f t="shared" si="3"/>
        <v>46200</v>
      </c>
      <c r="B239" s="33"/>
      <c r="C239" s="69">
        <f ca="1">IF(TODAY()&gt;=$A239,SUMIFS(Tabla1[Avance_km],Tabla1[Fecha],"&lt;="&amp;'Grafico %'!$A239,Tabla1[nombre_actividad],'Grafico %'!C$1)/(200),NA())</f>
        <v>0.67043000000000019</v>
      </c>
      <c r="D239" s="70">
        <f ca="1">IF(TODAY()&gt;=$A239,SUMIFS(Tabla1[Avance_km],Tabla1[Fecha],"&lt;="&amp;'Grafico %'!$A239,Tabla1[nombre_actividad],'Grafico %'!D$1)/(200),NA())</f>
        <v>0.65259999999999996</v>
      </c>
      <c r="E239" s="70">
        <f ca="1">IF(TODAY()&gt;=$A239,SUMIFS(Tabla1[Avance_km],Tabla1[Fecha],"&lt;="&amp;'Grafico %'!$A239,Tabla1[nombre_actividad],'Grafico %'!E$1,Tabla1[Avance_km],"&gt;0")/(200),NA())</f>
        <v>0.62883500000000059</v>
      </c>
      <c r="F239" s="68">
        <f ca="1">IF(TODAY()&gt;=$A239,SUMIFS(Tabla1[Avance_Med],Tabla1[Fecha],"&lt;="&amp;'Grafico %'!$A239,Tabla1[nombre_actividad],'Grafico %'!F$1)/500,NA())</f>
        <v>0.752</v>
      </c>
      <c r="G239" s="70">
        <f ca="1">IF(TODAY()&gt;=$A239,SUMIFS(Tabla1[Avance_km],Tabla1[Fecha],"&lt;="&amp;'Grafico %'!$A239,Tabla1[nombre_actividad],'Grafico %'!G$1)/(200),NA())</f>
        <v>0</v>
      </c>
      <c r="H239" s="70"/>
    </row>
    <row r="240" spans="1:8" x14ac:dyDescent="0.25">
      <c r="A240" s="62">
        <f t="shared" si="3"/>
        <v>46201</v>
      </c>
      <c r="B240" s="33"/>
      <c r="C240" s="69">
        <f ca="1">IF(TODAY()&gt;=$A240,SUMIFS(Tabla1[Avance_km],Tabla1[Fecha],"&lt;="&amp;'Grafico %'!$A240,Tabla1[nombre_actividad],'Grafico %'!C$1)/(200),NA())</f>
        <v>0.67043000000000019</v>
      </c>
      <c r="D240" s="70">
        <f ca="1">IF(TODAY()&gt;=$A240,SUMIFS(Tabla1[Avance_km],Tabla1[Fecha],"&lt;="&amp;'Grafico %'!$A240,Tabla1[nombre_actividad],'Grafico %'!D$1)/(200),NA())</f>
        <v>0.65259999999999996</v>
      </c>
      <c r="E240" s="70">
        <f ca="1">IF(TODAY()&gt;=$A240,SUMIFS(Tabla1[Avance_km],Tabla1[Fecha],"&lt;="&amp;'Grafico %'!$A240,Tabla1[nombre_actividad],'Grafico %'!E$1,Tabla1[Avance_km],"&gt;0")/(200),NA())</f>
        <v>0.62883500000000059</v>
      </c>
      <c r="F240" s="68">
        <f ca="1">IF(TODAY()&gt;=$A240,SUMIFS(Tabla1[Avance_Med],Tabla1[Fecha],"&lt;="&amp;'Grafico %'!$A240,Tabla1[nombre_actividad],'Grafico %'!F$1)/500,NA())</f>
        <v>0.752</v>
      </c>
      <c r="G240" s="70">
        <f ca="1">IF(TODAY()&gt;=$A240,SUMIFS(Tabla1[Avance_km],Tabla1[Fecha],"&lt;="&amp;'Grafico %'!$A240,Tabla1[nombre_actividad],'Grafico %'!G$1)/(200),NA())</f>
        <v>0</v>
      </c>
      <c r="H240" s="70"/>
    </row>
    <row r="241" spans="1:8" x14ac:dyDescent="0.25">
      <c r="A241" s="62">
        <f t="shared" si="3"/>
        <v>46202</v>
      </c>
      <c r="B241" s="33"/>
      <c r="C241" s="69">
        <f ca="1">IF(TODAY()&gt;=$A241,SUMIFS(Tabla1[Avance_km],Tabla1[Fecha],"&lt;="&amp;'Grafico %'!$A241,Tabla1[nombre_actividad],'Grafico %'!C$1)/(200),NA())</f>
        <v>0.67043000000000019</v>
      </c>
      <c r="D241" s="70">
        <f ca="1">IF(TODAY()&gt;=$A241,SUMIFS(Tabla1[Avance_km],Tabla1[Fecha],"&lt;="&amp;'Grafico %'!$A241,Tabla1[nombre_actividad],'Grafico %'!D$1)/(200),NA())</f>
        <v>0.65605999999999998</v>
      </c>
      <c r="E241" s="70">
        <f ca="1">IF(TODAY()&gt;=$A241,SUMIFS(Tabla1[Avance_km],Tabla1[Fecha],"&lt;="&amp;'Grafico %'!$A241,Tabla1[nombre_actividad],'Grafico %'!E$1,Tabla1[Avance_km],"&gt;0")/(200),NA())</f>
        <v>0.62883500000000059</v>
      </c>
      <c r="F241" s="68">
        <f ca="1">IF(TODAY()&gt;=$A241,SUMIFS(Tabla1[Avance_Med],Tabla1[Fecha],"&lt;="&amp;'Grafico %'!$A241,Tabla1[nombre_actividad],'Grafico %'!F$1)/500,NA())</f>
        <v>0.752</v>
      </c>
      <c r="G241" s="70">
        <f ca="1">IF(TODAY()&gt;=$A241,SUMIFS(Tabla1[Avance_km],Tabla1[Fecha],"&lt;="&amp;'Grafico %'!$A241,Tabla1[nombre_actividad],'Grafico %'!G$1)/(200),NA())</f>
        <v>0</v>
      </c>
      <c r="H241" s="70"/>
    </row>
    <row r="242" spans="1:8" x14ac:dyDescent="0.25">
      <c r="A242" s="62">
        <f t="shared" si="3"/>
        <v>46203</v>
      </c>
      <c r="B242" s="33"/>
      <c r="C242" s="69">
        <f ca="1">IF(TODAY()&gt;=$A242,SUMIFS(Tabla1[Avance_km],Tabla1[Fecha],"&lt;="&amp;'Grafico %'!$A242,Tabla1[nombre_actividad],'Grafico %'!C$1)/(200),NA())</f>
        <v>0.67093000000000014</v>
      </c>
      <c r="D242" s="70">
        <f ca="1">IF(TODAY()&gt;=$A242,SUMIFS(Tabla1[Avance_km],Tabla1[Fecha],"&lt;="&amp;'Grafico %'!$A242,Tabla1[nombre_actividad],'Grafico %'!D$1)/(200),NA())</f>
        <v>0.65743499999999999</v>
      </c>
      <c r="E242" s="70">
        <f ca="1">IF(TODAY()&gt;=$A242,SUMIFS(Tabla1[Avance_km],Tabla1[Fecha],"&lt;="&amp;'Grafico %'!$A242,Tabla1[nombre_actividad],'Grafico %'!E$1,Tabla1[Avance_km],"&gt;0")/(200),NA())</f>
        <v>0.62883500000000059</v>
      </c>
      <c r="F242" s="68">
        <f ca="1">IF(TODAY()&gt;=$A242,SUMIFS(Tabla1[Avance_Med],Tabla1[Fecha],"&lt;="&amp;'Grafico %'!$A242,Tabla1[nombre_actividad],'Grafico %'!F$1)/500,NA())</f>
        <v>0.752</v>
      </c>
      <c r="G242" s="70">
        <f ca="1">IF(TODAY()&gt;=$A242,SUMIFS(Tabla1[Avance_km],Tabla1[Fecha],"&lt;="&amp;'Grafico %'!$A242,Tabla1[nombre_actividad],'Grafico %'!G$1)/(200),NA())</f>
        <v>0</v>
      </c>
      <c r="H242" s="70"/>
    </row>
    <row r="243" spans="1:8" x14ac:dyDescent="0.25">
      <c r="A243" s="62">
        <f t="shared" si="3"/>
        <v>46204</v>
      </c>
      <c r="B243" s="33"/>
      <c r="C243" s="69">
        <f ca="1">IF(TODAY()&gt;=$A243,SUMIFS(Tabla1[Avance_km],Tabla1[Fecha],"&lt;="&amp;'Grafico %'!$A243,Tabla1[nombre_actividad],'Grafico %'!C$1)/(200),NA())</f>
        <v>0.67093000000000014</v>
      </c>
      <c r="D243" s="70">
        <f ca="1">IF(TODAY()&gt;=$A243,SUMIFS(Tabla1[Avance_km],Tabla1[Fecha],"&lt;="&amp;'Grafico %'!$A243,Tabla1[nombre_actividad],'Grafico %'!D$1)/(200),NA())</f>
        <v>0.66173499999999985</v>
      </c>
      <c r="E243" s="70">
        <f ca="1">IF(TODAY()&gt;=$A243,SUMIFS(Tabla1[Avance_km],Tabla1[Fecha],"&lt;="&amp;'Grafico %'!$A243,Tabla1[nombre_actividad],'Grafico %'!E$1,Tabla1[Avance_km],"&gt;0")/(200),NA())</f>
        <v>0.62883500000000059</v>
      </c>
      <c r="F243" s="68">
        <f ca="1">IF(TODAY()&gt;=$A243,SUMIFS(Tabla1[Avance_Med],Tabla1[Fecha],"&lt;="&amp;'Grafico %'!$A243,Tabla1[nombre_actividad],'Grafico %'!F$1)/500,NA())</f>
        <v>0.752</v>
      </c>
      <c r="G243" s="70">
        <f ca="1">IF(TODAY()&gt;=$A243,SUMIFS(Tabla1[Avance_km],Tabla1[Fecha],"&lt;="&amp;'Grafico %'!$A243,Tabla1[nombre_actividad],'Grafico %'!G$1)/(200),NA())</f>
        <v>0</v>
      </c>
      <c r="H243" s="70"/>
    </row>
    <row r="244" spans="1:8" x14ac:dyDescent="0.25">
      <c r="A244" s="62">
        <f t="shared" si="3"/>
        <v>46205</v>
      </c>
      <c r="B244" s="33"/>
      <c r="C244" s="69">
        <f ca="1">IF(TODAY()&gt;=$A244,SUMIFS(Tabla1[Avance_km],Tabla1[Fecha],"&lt;="&amp;'Grafico %'!$A244,Tabla1[nombre_actividad],'Grafico %'!C$1)/(200),NA())</f>
        <v>0.67763000000000018</v>
      </c>
      <c r="D244" s="70">
        <f ca="1">IF(TODAY()&gt;=$A244,SUMIFS(Tabla1[Avance_km],Tabla1[Fecha],"&lt;="&amp;'Grafico %'!$A244,Tabla1[nombre_actividad],'Grafico %'!D$1)/(200),NA())</f>
        <v>0.66173499999999985</v>
      </c>
      <c r="E244" s="70">
        <f ca="1">IF(TODAY()&gt;=$A244,SUMIFS(Tabla1[Avance_km],Tabla1[Fecha],"&lt;="&amp;'Grafico %'!$A244,Tabla1[nombre_actividad],'Grafico %'!E$1,Tabla1[Avance_km],"&gt;0")/(200),NA())</f>
        <v>0.62883500000000059</v>
      </c>
      <c r="F244" s="68">
        <f ca="1">IF(TODAY()&gt;=$A244,SUMIFS(Tabla1[Avance_Med],Tabla1[Fecha],"&lt;="&amp;'Grafico %'!$A244,Tabla1[nombre_actividad],'Grafico %'!F$1)/500,NA())</f>
        <v>0.752</v>
      </c>
      <c r="G244" s="70">
        <f ca="1">IF(TODAY()&gt;=$A244,SUMIFS(Tabla1[Avance_km],Tabla1[Fecha],"&lt;="&amp;'Grafico %'!$A244,Tabla1[nombre_actividad],'Grafico %'!G$1)/(200),NA())</f>
        <v>0</v>
      </c>
      <c r="H244" s="70"/>
    </row>
    <row r="245" spans="1:8" x14ac:dyDescent="0.25">
      <c r="A245" s="62">
        <f t="shared" si="3"/>
        <v>46206</v>
      </c>
      <c r="B245" s="33"/>
      <c r="C245" s="69">
        <f ca="1">IF(TODAY()&gt;=$A245,SUMIFS(Tabla1[Avance_km],Tabla1[Fecha],"&lt;="&amp;'Grafico %'!$A245,Tabla1[nombre_actividad],'Grafico %'!C$1)/(200),NA())</f>
        <v>0.69114500000000012</v>
      </c>
      <c r="D245" s="70">
        <f ca="1">IF(TODAY()&gt;=$A245,SUMIFS(Tabla1[Avance_km],Tabla1[Fecha],"&lt;="&amp;'Grafico %'!$A245,Tabla1[nombre_actividad],'Grafico %'!D$1)/(200),NA())</f>
        <v>0.66173499999999985</v>
      </c>
      <c r="E245" s="70">
        <f ca="1">IF(TODAY()&gt;=$A245,SUMIFS(Tabla1[Avance_km],Tabla1[Fecha],"&lt;="&amp;'Grafico %'!$A245,Tabla1[nombre_actividad],'Grafico %'!E$1,Tabla1[Avance_km],"&gt;0")/(200),NA())</f>
        <v>0.62883500000000059</v>
      </c>
      <c r="F245" s="68">
        <f ca="1">IF(TODAY()&gt;=$A245,SUMIFS(Tabla1[Avance_Med],Tabla1[Fecha],"&lt;="&amp;'Grafico %'!$A245,Tabla1[nombre_actividad],'Grafico %'!F$1)/500,NA())</f>
        <v>0.752</v>
      </c>
      <c r="G245" s="70">
        <f ca="1">IF(TODAY()&gt;=$A245,SUMIFS(Tabla1[Avance_km],Tabla1[Fecha],"&lt;="&amp;'Grafico %'!$A245,Tabla1[nombre_actividad],'Grafico %'!G$1)/(200),NA())</f>
        <v>0</v>
      </c>
      <c r="H245" s="70"/>
    </row>
    <row r="246" spans="1:8" x14ac:dyDescent="0.25">
      <c r="A246" s="62">
        <f t="shared" si="3"/>
        <v>46207</v>
      </c>
      <c r="B246" s="33"/>
      <c r="C246" s="69">
        <f ca="1">IF(TODAY()&gt;=$A246,SUMIFS(Tabla1[Avance_km],Tabla1[Fecha],"&lt;="&amp;'Grafico %'!$A246,Tabla1[nombre_actividad],'Grafico %'!C$1)/(200),NA())</f>
        <v>0.69849500000000009</v>
      </c>
      <c r="D246" s="70">
        <f ca="1">IF(TODAY()&gt;=$A246,SUMIFS(Tabla1[Avance_km],Tabla1[Fecha],"&lt;="&amp;'Grafico %'!$A246,Tabla1[nombre_actividad],'Grafico %'!D$1)/(200),NA())</f>
        <v>0.66173499999999985</v>
      </c>
      <c r="E246" s="70">
        <f ca="1">IF(TODAY()&gt;=$A246,SUMIFS(Tabla1[Avance_km],Tabla1[Fecha],"&lt;="&amp;'Grafico %'!$A246,Tabla1[nombre_actividad],'Grafico %'!E$1,Tabla1[Avance_km],"&gt;0")/(200),NA())</f>
        <v>0.62883500000000059</v>
      </c>
      <c r="F246" s="68">
        <f ca="1">IF(TODAY()&gt;=$A246,SUMIFS(Tabla1[Avance_Med],Tabla1[Fecha],"&lt;="&amp;'Grafico %'!$A246,Tabla1[nombre_actividad],'Grafico %'!F$1)/500,NA())</f>
        <v>0.752</v>
      </c>
      <c r="G246" s="70">
        <f ca="1">IF(TODAY()&gt;=$A246,SUMIFS(Tabla1[Avance_km],Tabla1[Fecha],"&lt;="&amp;'Grafico %'!$A246,Tabla1[nombre_actividad],'Grafico %'!G$1)/(200),NA())</f>
        <v>0</v>
      </c>
      <c r="H246" s="70"/>
    </row>
    <row r="247" spans="1:8" x14ac:dyDescent="0.25">
      <c r="A247" s="62">
        <f t="shared" si="3"/>
        <v>46208</v>
      </c>
      <c r="B247" s="33"/>
      <c r="C247" s="69">
        <f ca="1">IF(TODAY()&gt;=$A247,SUMIFS(Tabla1[Avance_km],Tabla1[Fecha],"&lt;="&amp;'Grafico %'!$A247,Tabla1[nombre_actividad],'Grafico %'!C$1)/(200),NA())</f>
        <v>0.69849500000000009</v>
      </c>
      <c r="D247" s="70">
        <f ca="1">IF(TODAY()&gt;=$A247,SUMIFS(Tabla1[Avance_km],Tabla1[Fecha],"&lt;="&amp;'Grafico %'!$A247,Tabla1[nombre_actividad],'Grafico %'!D$1)/(200),NA())</f>
        <v>0.66173499999999985</v>
      </c>
      <c r="E247" s="70">
        <f ca="1">IF(TODAY()&gt;=$A247,SUMIFS(Tabla1[Avance_km],Tabla1[Fecha],"&lt;="&amp;'Grafico %'!$A247,Tabla1[nombre_actividad],'Grafico %'!E$1,Tabla1[Avance_km],"&gt;0")/(200),NA())</f>
        <v>0.62883500000000059</v>
      </c>
      <c r="F247" s="68">
        <f ca="1">IF(TODAY()&gt;=$A247,SUMIFS(Tabla1[Avance_Med],Tabla1[Fecha],"&lt;="&amp;'Grafico %'!$A247,Tabla1[nombre_actividad],'Grafico %'!F$1)/500,NA())</f>
        <v>0.752</v>
      </c>
      <c r="G247" s="70">
        <f ca="1">IF(TODAY()&gt;=$A247,SUMIFS(Tabla1[Avance_km],Tabla1[Fecha],"&lt;="&amp;'Grafico %'!$A247,Tabla1[nombre_actividad],'Grafico %'!G$1)/(200),NA())</f>
        <v>0</v>
      </c>
      <c r="H247" s="70"/>
    </row>
    <row r="248" spans="1:8" x14ac:dyDescent="0.25">
      <c r="A248" s="62">
        <f t="shared" si="3"/>
        <v>46209</v>
      </c>
      <c r="B248" s="33"/>
      <c r="C248" s="69">
        <f ca="1">IF(TODAY()&gt;=$A248,SUMIFS(Tabla1[Avance_km],Tabla1[Fecha],"&lt;="&amp;'Grafico %'!$A248,Tabla1[nombre_actividad],'Grafico %'!C$1)/(200),NA())</f>
        <v>0.72785500000000014</v>
      </c>
      <c r="D248" s="70">
        <f ca="1">IF(TODAY()&gt;=$A248,SUMIFS(Tabla1[Avance_km],Tabla1[Fecha],"&lt;="&amp;'Grafico %'!$A248,Tabla1[nombre_actividad],'Grafico %'!D$1)/(200),NA())</f>
        <v>0.66173499999999985</v>
      </c>
      <c r="E248" s="70">
        <f ca="1">IF(TODAY()&gt;=$A248,SUMIFS(Tabla1[Avance_km],Tabla1[Fecha],"&lt;="&amp;'Grafico %'!$A248,Tabla1[nombre_actividad],'Grafico %'!E$1,Tabla1[Avance_km],"&gt;0")/(200),NA())</f>
        <v>0.62883500000000059</v>
      </c>
      <c r="F248" s="68">
        <f ca="1">IF(TODAY()&gt;=$A248,SUMIFS(Tabla1[Avance_Med],Tabla1[Fecha],"&lt;="&amp;'Grafico %'!$A248,Tabla1[nombre_actividad],'Grafico %'!F$1)/500,NA())</f>
        <v>0.752</v>
      </c>
      <c r="G248" s="70">
        <f ca="1">IF(TODAY()&gt;=$A248,SUMIFS(Tabla1[Avance_km],Tabla1[Fecha],"&lt;="&amp;'Grafico %'!$A248,Tabla1[nombre_actividad],'Grafico %'!G$1)/(200),NA())</f>
        <v>0</v>
      </c>
      <c r="H248" s="70"/>
    </row>
    <row r="249" spans="1:8" x14ac:dyDescent="0.25">
      <c r="A249" s="62">
        <f t="shared" si="3"/>
        <v>46210</v>
      </c>
      <c r="B249" s="33"/>
      <c r="C249" s="69">
        <f ca="1">IF(TODAY()&gt;=$A249,SUMIFS(Tabla1[Avance_km],Tabla1[Fecha],"&lt;="&amp;'Grafico %'!$A249,Tabla1[nombre_actividad],'Grafico %'!C$1)/(200),NA())</f>
        <v>0.72785500000000014</v>
      </c>
      <c r="D249" s="70">
        <f ca="1">IF(TODAY()&gt;=$A249,SUMIFS(Tabla1[Avance_km],Tabla1[Fecha],"&lt;="&amp;'Grafico %'!$A249,Tabla1[nombre_actividad],'Grafico %'!D$1)/(200),NA())</f>
        <v>0.66835499999999992</v>
      </c>
      <c r="E249" s="70">
        <f ca="1">IF(TODAY()&gt;=$A249,SUMIFS(Tabla1[Avance_km],Tabla1[Fecha],"&lt;="&amp;'Grafico %'!$A249,Tabla1[nombre_actividad],'Grafico %'!E$1,Tabla1[Avance_km],"&gt;0")/(200),NA())</f>
        <v>0.62883500000000059</v>
      </c>
      <c r="F249" s="68">
        <f ca="1">IF(TODAY()&gt;=$A249,SUMIFS(Tabla1[Avance_Med],Tabla1[Fecha],"&lt;="&amp;'Grafico %'!$A249,Tabla1[nombre_actividad],'Grafico %'!F$1)/500,NA())</f>
        <v>0.752</v>
      </c>
      <c r="G249" s="70">
        <f ca="1">IF(TODAY()&gt;=$A249,SUMIFS(Tabla1[Avance_km],Tabla1[Fecha],"&lt;="&amp;'Grafico %'!$A249,Tabla1[nombre_actividad],'Grafico %'!G$1)/(200),NA())</f>
        <v>0</v>
      </c>
      <c r="H249" s="70"/>
    </row>
    <row r="250" spans="1:8" x14ac:dyDescent="0.25">
      <c r="A250" s="62">
        <f t="shared" si="3"/>
        <v>46211</v>
      </c>
      <c r="B250" s="33"/>
      <c r="C250" s="69">
        <f ca="1">IF(TODAY()&gt;=$A250,SUMIFS(Tabla1[Avance_km],Tabla1[Fecha],"&lt;="&amp;'Grafico %'!$A250,Tabla1[nombre_actividad],'Grafico %'!C$1)/(200),NA())</f>
        <v>0.72785500000000014</v>
      </c>
      <c r="D250" s="70">
        <f ca="1">IF(TODAY()&gt;=$A250,SUMIFS(Tabla1[Avance_km],Tabla1[Fecha],"&lt;="&amp;'Grafico %'!$A250,Tabla1[nombre_actividad],'Grafico %'!D$1)/(200),NA())</f>
        <v>0.66856999999999989</v>
      </c>
      <c r="E250" s="70">
        <f ca="1">IF(TODAY()&gt;=$A250,SUMIFS(Tabla1[Avance_km],Tabla1[Fecha],"&lt;="&amp;'Grafico %'!$A250,Tabla1[nombre_actividad],'Grafico %'!E$1,Tabla1[Avance_km],"&gt;0")/(200),NA())</f>
        <v>0.62883500000000059</v>
      </c>
      <c r="F250" s="68">
        <f ca="1">IF(TODAY()&gt;=$A250,SUMIFS(Tabla1[Avance_Med],Tabla1[Fecha],"&lt;="&amp;'Grafico %'!$A250,Tabla1[nombre_actividad],'Grafico %'!F$1)/500,NA())</f>
        <v>0.752</v>
      </c>
      <c r="G250" s="70">
        <f ca="1">IF(TODAY()&gt;=$A250,SUMIFS(Tabla1[Avance_km],Tabla1[Fecha],"&lt;="&amp;'Grafico %'!$A250,Tabla1[nombre_actividad],'Grafico %'!G$1)/(200),NA())</f>
        <v>0</v>
      </c>
      <c r="H250" s="70"/>
    </row>
    <row r="251" spans="1:8" x14ac:dyDescent="0.25">
      <c r="A251" s="62">
        <f t="shared" si="3"/>
        <v>46212</v>
      </c>
      <c r="B251" s="33"/>
      <c r="C251" s="69">
        <f ca="1">IF(TODAY()&gt;=$A251,SUMIFS(Tabla1[Avance_km],Tabla1[Fecha],"&lt;="&amp;'Grafico %'!$A251,Tabla1[nombre_actividad],'Grafico %'!C$1)/(200),NA())</f>
        <v>0.72785500000000014</v>
      </c>
      <c r="D251" s="70">
        <f ca="1">IF(TODAY()&gt;=$A251,SUMIFS(Tabla1[Avance_km],Tabla1[Fecha],"&lt;="&amp;'Grafico %'!$A251,Tabla1[nombre_actividad],'Grafico %'!D$1)/(200),NA())</f>
        <v>0.67717499999999975</v>
      </c>
      <c r="E251" s="70">
        <f ca="1">IF(TODAY()&gt;=$A251,SUMIFS(Tabla1[Avance_km],Tabla1[Fecha],"&lt;="&amp;'Grafico %'!$A251,Tabla1[nombre_actividad],'Grafico %'!E$1,Tabla1[Avance_km],"&gt;0")/(200),NA())</f>
        <v>0.62883500000000059</v>
      </c>
      <c r="F251" s="68">
        <f ca="1">IF(TODAY()&gt;=$A251,SUMIFS(Tabla1[Avance_Med],Tabla1[Fecha],"&lt;="&amp;'Grafico %'!$A251,Tabla1[nombre_actividad],'Grafico %'!F$1)/500,NA())</f>
        <v>0.752</v>
      </c>
      <c r="G251" s="70">
        <f ca="1">IF(TODAY()&gt;=$A251,SUMIFS(Tabla1[Avance_km],Tabla1[Fecha],"&lt;="&amp;'Grafico %'!$A251,Tabla1[nombre_actividad],'Grafico %'!G$1)/(200),NA())</f>
        <v>0</v>
      </c>
      <c r="H251" s="70"/>
    </row>
    <row r="252" spans="1:8" x14ac:dyDescent="0.25">
      <c r="A252" s="62">
        <f t="shared" si="3"/>
        <v>46213</v>
      </c>
      <c r="B252" s="33"/>
      <c r="C252" s="69">
        <f ca="1">IF(TODAY()&gt;=$A252,SUMIFS(Tabla1[Avance_km],Tabla1[Fecha],"&lt;="&amp;'Grafico %'!$A252,Tabla1[nombre_actividad],'Grafico %'!C$1)/(200),NA())</f>
        <v>0.72785500000000014</v>
      </c>
      <c r="D252" s="70">
        <f ca="1">IF(TODAY()&gt;=$A252,SUMIFS(Tabla1[Avance_km],Tabla1[Fecha],"&lt;="&amp;'Grafico %'!$A252,Tabla1[nombre_actividad],'Grafico %'!D$1)/(200),NA())</f>
        <v>0.68892499999999968</v>
      </c>
      <c r="E252" s="70">
        <f ca="1">IF(TODAY()&gt;=$A252,SUMIFS(Tabla1[Avance_km],Tabla1[Fecha],"&lt;="&amp;'Grafico %'!$A252,Tabla1[nombre_actividad],'Grafico %'!E$1,Tabla1[Avance_km],"&gt;0")/(200),NA())</f>
        <v>0.62883500000000059</v>
      </c>
      <c r="F252" s="68">
        <f ca="1">IF(TODAY()&gt;=$A252,SUMIFS(Tabla1[Avance_Med],Tabla1[Fecha],"&lt;="&amp;'Grafico %'!$A252,Tabla1[nombre_actividad],'Grafico %'!F$1)/500,NA())</f>
        <v>0.752</v>
      </c>
      <c r="G252" s="70">
        <f ca="1">IF(TODAY()&gt;=$A252,SUMIFS(Tabla1[Avance_km],Tabla1[Fecha],"&lt;="&amp;'Grafico %'!$A252,Tabla1[nombre_actividad],'Grafico %'!G$1)/(200),NA())</f>
        <v>0</v>
      </c>
      <c r="H252" s="70"/>
    </row>
    <row r="253" spans="1:8" x14ac:dyDescent="0.25">
      <c r="A253" s="62">
        <f t="shared" si="3"/>
        <v>46214</v>
      </c>
      <c r="B253" s="33"/>
      <c r="C253" s="69">
        <f ca="1">IF(TODAY()&gt;=$A253,SUMIFS(Tabla1[Avance_km],Tabla1[Fecha],"&lt;="&amp;'Grafico %'!$A253,Tabla1[nombre_actividad],'Grafico %'!C$1)/(200),NA())</f>
        <v>0.72785500000000014</v>
      </c>
      <c r="D253" s="70">
        <f ca="1">IF(TODAY()&gt;=$A253,SUMIFS(Tabla1[Avance_km],Tabla1[Fecha],"&lt;="&amp;'Grafico %'!$A253,Tabla1[nombre_actividad],'Grafico %'!D$1)/(200),NA())</f>
        <v>0.69252499999999972</v>
      </c>
      <c r="E253" s="70">
        <f ca="1">IF(TODAY()&gt;=$A253,SUMIFS(Tabla1[Avance_km],Tabla1[Fecha],"&lt;="&amp;'Grafico %'!$A253,Tabla1[nombre_actividad],'Grafico %'!E$1,Tabla1[Avance_km],"&gt;0")/(200),NA())</f>
        <v>0.62883500000000059</v>
      </c>
      <c r="F253" s="68">
        <f ca="1">IF(TODAY()&gt;=$A253,SUMIFS(Tabla1[Avance_Med],Tabla1[Fecha],"&lt;="&amp;'Grafico %'!$A253,Tabla1[nombre_actividad],'Grafico %'!F$1)/500,NA())</f>
        <v>0.752</v>
      </c>
      <c r="G253" s="70">
        <f ca="1">IF(TODAY()&gt;=$A253,SUMIFS(Tabla1[Avance_km],Tabla1[Fecha],"&lt;="&amp;'Grafico %'!$A253,Tabla1[nombre_actividad],'Grafico %'!G$1)/(200),NA())</f>
        <v>0</v>
      </c>
      <c r="H253" s="70"/>
    </row>
    <row r="254" spans="1:8" x14ac:dyDescent="0.25">
      <c r="A254" s="62">
        <f t="shared" si="3"/>
        <v>46215</v>
      </c>
      <c r="B254" s="33"/>
      <c r="C254" s="69">
        <f ca="1">IF(TODAY()&gt;=$A254,SUMIFS(Tabla1[Avance_km],Tabla1[Fecha],"&lt;="&amp;'Grafico %'!$A254,Tabla1[nombre_actividad],'Grafico %'!C$1)/(200),NA())</f>
        <v>0.72785500000000014</v>
      </c>
      <c r="D254" s="70">
        <f ca="1">IF(TODAY()&gt;=$A254,SUMIFS(Tabla1[Avance_km],Tabla1[Fecha],"&lt;="&amp;'Grafico %'!$A254,Tabla1[nombre_actividad],'Grafico %'!D$1)/(200),NA())</f>
        <v>0.70102499999999968</v>
      </c>
      <c r="E254" s="70">
        <f ca="1">IF(TODAY()&gt;=$A254,SUMIFS(Tabla1[Avance_km],Tabla1[Fecha],"&lt;="&amp;'Grafico %'!$A254,Tabla1[nombre_actividad],'Grafico %'!E$1,Tabla1[Avance_km],"&gt;0")/(200),NA())</f>
        <v>0.62883500000000059</v>
      </c>
      <c r="F254" s="68">
        <f ca="1">IF(TODAY()&gt;=$A254,SUMIFS(Tabla1[Avance_Med],Tabla1[Fecha],"&lt;="&amp;'Grafico %'!$A254,Tabla1[nombre_actividad],'Grafico %'!F$1)/500,NA())</f>
        <v>0.752</v>
      </c>
      <c r="G254" s="70">
        <f ca="1">IF(TODAY()&gt;=$A254,SUMIFS(Tabla1[Avance_km],Tabla1[Fecha],"&lt;="&amp;'Grafico %'!$A254,Tabla1[nombre_actividad],'Grafico %'!G$1)/(200),NA())</f>
        <v>0</v>
      </c>
      <c r="H254" s="70"/>
    </row>
    <row r="255" spans="1:8" x14ac:dyDescent="0.25">
      <c r="A255" s="62">
        <f t="shared" si="3"/>
        <v>46216</v>
      </c>
      <c r="B255" s="33"/>
      <c r="C255" s="69">
        <f ca="1">IF(TODAY()&gt;=$A255,SUMIFS(Tabla1[Avance_km],Tabla1[Fecha],"&lt;="&amp;'Grafico %'!$A255,Tabla1[nombre_actividad],'Grafico %'!C$1)/(200),NA())</f>
        <v>0.72785500000000014</v>
      </c>
      <c r="D255" s="70">
        <f ca="1">IF(TODAY()&gt;=$A255,SUMIFS(Tabla1[Avance_km],Tabla1[Fecha],"&lt;="&amp;'Grafico %'!$A255,Tabla1[nombre_actividad],'Grafico %'!D$1)/(200),NA())</f>
        <v>0.70352499999999962</v>
      </c>
      <c r="E255" s="70">
        <f ca="1">IF(TODAY()&gt;=$A255,SUMIFS(Tabla1[Avance_km],Tabla1[Fecha],"&lt;="&amp;'Grafico %'!$A255,Tabla1[nombre_actividad],'Grafico %'!E$1,Tabla1[Avance_km],"&gt;0")/(200),NA())</f>
        <v>0.62883500000000059</v>
      </c>
      <c r="F255" s="68">
        <f ca="1">IF(TODAY()&gt;=$A255,SUMIFS(Tabla1[Avance_Med],Tabla1[Fecha],"&lt;="&amp;'Grafico %'!$A255,Tabla1[nombre_actividad],'Grafico %'!F$1)/500,NA())</f>
        <v>0.752</v>
      </c>
      <c r="G255" s="70">
        <f ca="1">IF(TODAY()&gt;=$A255,SUMIFS(Tabla1[Avance_km],Tabla1[Fecha],"&lt;="&amp;'Grafico %'!$A255,Tabla1[nombre_actividad],'Grafico %'!G$1)/(200),NA())</f>
        <v>0</v>
      </c>
      <c r="H255" s="70"/>
    </row>
    <row r="256" spans="1:8" x14ac:dyDescent="0.25">
      <c r="A256" s="62">
        <f t="shared" si="3"/>
        <v>46217</v>
      </c>
      <c r="B256" s="33"/>
      <c r="C256" s="69">
        <f ca="1">IF(TODAY()&gt;=$A256,SUMIFS(Tabla1[Avance_km],Tabla1[Fecha],"&lt;="&amp;'Grafico %'!$A256,Tabla1[nombre_actividad],'Grafico %'!C$1)/(200),NA())</f>
        <v>0.72785500000000014</v>
      </c>
      <c r="D256" s="70">
        <f ca="1">IF(TODAY()&gt;=$A256,SUMIFS(Tabla1[Avance_km],Tabla1[Fecha],"&lt;="&amp;'Grafico %'!$A256,Tabla1[nombre_actividad],'Grafico %'!D$1)/(200),NA())</f>
        <v>0.70902499999999957</v>
      </c>
      <c r="E256" s="70">
        <f ca="1">IF(TODAY()&gt;=$A256,SUMIFS(Tabla1[Avance_km],Tabla1[Fecha],"&lt;="&amp;'Grafico %'!$A256,Tabla1[nombre_actividad],'Grafico %'!E$1,Tabla1[Avance_km],"&gt;0")/(200),NA())</f>
        <v>0.62883500000000059</v>
      </c>
      <c r="F256" s="68">
        <f ca="1">IF(TODAY()&gt;=$A256,SUMIFS(Tabla1[Avance_Med],Tabla1[Fecha],"&lt;="&amp;'Grafico %'!$A256,Tabla1[nombre_actividad],'Grafico %'!F$1)/500,NA())</f>
        <v>0.752</v>
      </c>
      <c r="G256" s="70">
        <f ca="1">IF(TODAY()&gt;=$A256,SUMIFS(Tabla1[Avance_km],Tabla1[Fecha],"&lt;="&amp;'Grafico %'!$A256,Tabla1[nombre_actividad],'Grafico %'!G$1)/(200),NA())</f>
        <v>0</v>
      </c>
      <c r="H256" s="70"/>
    </row>
    <row r="257" spans="1:8" x14ac:dyDescent="0.25">
      <c r="A257" s="62">
        <f t="shared" si="3"/>
        <v>46218</v>
      </c>
      <c r="B257" s="33"/>
      <c r="C257" s="69">
        <f ca="1">IF(TODAY()&gt;=$A257,SUMIFS(Tabla1[Avance_km],Tabla1[Fecha],"&lt;="&amp;'Grafico %'!$A257,Tabla1[nombre_actividad],'Grafico %'!C$1)/(200),NA())</f>
        <v>0.72785500000000014</v>
      </c>
      <c r="D257" s="70">
        <f ca="1">IF(TODAY()&gt;=$A257,SUMIFS(Tabla1[Avance_km],Tabla1[Fecha],"&lt;="&amp;'Grafico %'!$A257,Tabla1[nombre_actividad],'Grafico %'!D$1)/(200),NA())</f>
        <v>0.71252499999999952</v>
      </c>
      <c r="E257" s="70">
        <f ca="1">IF(TODAY()&gt;=$A257,SUMIFS(Tabla1[Avance_km],Tabla1[Fecha],"&lt;="&amp;'Grafico %'!$A257,Tabla1[nombre_actividad],'Grafico %'!E$1,Tabla1[Avance_km],"&gt;0")/(200),NA())</f>
        <v>0.62883500000000059</v>
      </c>
      <c r="F257" s="68">
        <f ca="1">IF(TODAY()&gt;=$A257,SUMIFS(Tabla1[Avance_Med],Tabla1[Fecha],"&lt;="&amp;'Grafico %'!$A257,Tabla1[nombre_actividad],'Grafico %'!F$1)/500,NA())</f>
        <v>0.752</v>
      </c>
      <c r="G257" s="70">
        <f ca="1">IF(TODAY()&gt;=$A257,SUMIFS(Tabla1[Avance_km],Tabla1[Fecha],"&lt;="&amp;'Grafico %'!$A257,Tabla1[nombre_actividad],'Grafico %'!G$1)/(200),NA())</f>
        <v>0</v>
      </c>
      <c r="H257" s="70"/>
    </row>
    <row r="258" spans="1:8" x14ac:dyDescent="0.25">
      <c r="A258" s="62">
        <f t="shared" si="3"/>
        <v>46219</v>
      </c>
      <c r="B258" s="33"/>
      <c r="C258" s="69">
        <f ca="1">IF(TODAY()&gt;=$A258,SUMIFS(Tabla1[Avance_km],Tabla1[Fecha],"&lt;="&amp;'Grafico %'!$A258,Tabla1[nombre_actividad],'Grafico %'!C$1)/(200),NA())</f>
        <v>0.72852000000000006</v>
      </c>
      <c r="D258" s="70">
        <f ca="1">IF(TODAY()&gt;=$A258,SUMIFS(Tabla1[Avance_km],Tabla1[Fecha],"&lt;="&amp;'Grafico %'!$A258,Tabla1[nombre_actividad],'Grafico %'!D$1)/(200),NA())</f>
        <v>0.71318999999999944</v>
      </c>
      <c r="E258" s="70">
        <f ca="1">IF(TODAY()&gt;=$A258,SUMIFS(Tabla1[Avance_km],Tabla1[Fecha],"&lt;="&amp;'Grafico %'!$A258,Tabla1[nombre_actividad],'Grafico %'!E$1,Tabla1[Avance_km],"&gt;0")/(200),NA())</f>
        <v>0.62883500000000059</v>
      </c>
      <c r="F258" s="68">
        <f ca="1">IF(TODAY()&gt;=$A258,SUMIFS(Tabla1[Avance_Med],Tabla1[Fecha],"&lt;="&amp;'Grafico %'!$A258,Tabla1[nombre_actividad],'Grafico %'!F$1)/500,NA())</f>
        <v>0.752</v>
      </c>
      <c r="G258" s="70">
        <f ca="1">IF(TODAY()&gt;=$A258,SUMIFS(Tabla1[Avance_km],Tabla1[Fecha],"&lt;="&amp;'Grafico %'!$A258,Tabla1[nombre_actividad],'Grafico %'!G$1)/(200),NA())</f>
        <v>0</v>
      </c>
      <c r="H258" s="70"/>
    </row>
    <row r="259" spans="1:8" x14ac:dyDescent="0.25">
      <c r="A259" s="62">
        <f t="shared" si="3"/>
        <v>46220</v>
      </c>
      <c r="B259" s="33"/>
      <c r="C259" s="69">
        <f ca="1">IF(TODAY()&gt;=$A259,SUMIFS(Tabla1[Avance_km],Tabla1[Fecha],"&lt;="&amp;'Grafico %'!$A259,Tabla1[nombre_actividad],'Grafico %'!C$1)/(200),NA())</f>
        <v>0.72971999999999992</v>
      </c>
      <c r="D259" s="70">
        <f ca="1">IF(TODAY()&gt;=$A259,SUMIFS(Tabla1[Avance_km],Tabla1[Fecha],"&lt;="&amp;'Grafico %'!$A259,Tabla1[nombre_actividad],'Grafico %'!D$1)/(200),NA())</f>
        <v>0.71438999999999941</v>
      </c>
      <c r="E259" s="70">
        <f ca="1">IF(TODAY()&gt;=$A259,SUMIFS(Tabla1[Avance_km],Tabla1[Fecha],"&lt;="&amp;'Grafico %'!$A259,Tabla1[nombre_actividad],'Grafico %'!E$1,Tabla1[Avance_km],"&gt;0")/(200),NA())</f>
        <v>0.62883500000000059</v>
      </c>
      <c r="F259" s="68">
        <f ca="1">IF(TODAY()&gt;=$A259,SUMIFS(Tabla1[Avance_Med],Tabla1[Fecha],"&lt;="&amp;'Grafico %'!$A259,Tabla1[nombre_actividad],'Grafico %'!F$1)/500,NA())</f>
        <v>0.752</v>
      </c>
      <c r="G259" s="70">
        <f ca="1">IF(TODAY()&gt;=$A259,SUMIFS(Tabla1[Avance_km],Tabla1[Fecha],"&lt;="&amp;'Grafico %'!$A259,Tabla1[nombre_actividad],'Grafico %'!G$1)/(200),NA())</f>
        <v>0</v>
      </c>
      <c r="H259" s="70"/>
    </row>
    <row r="260" spans="1:8" x14ac:dyDescent="0.25">
      <c r="A260" s="62">
        <f t="shared" ref="A260:A323" si="4">+A259+1</f>
        <v>46221</v>
      </c>
      <c r="B260" s="33"/>
      <c r="C260" s="69">
        <f ca="1">IF(TODAY()&gt;=$A260,SUMIFS(Tabla1[Avance_km],Tabla1[Fecha],"&lt;="&amp;'Grafico %'!$A260,Tabla1[nombre_actividad],'Grafico %'!C$1)/(200),NA())</f>
        <v>0.72971999999999992</v>
      </c>
      <c r="D260" s="70">
        <f ca="1">IF(TODAY()&gt;=$A260,SUMIFS(Tabla1[Avance_km],Tabla1[Fecha],"&lt;="&amp;'Grafico %'!$A260,Tabla1[nombre_actividad],'Grafico %'!D$1)/(200),NA())</f>
        <v>0.71488999999999936</v>
      </c>
      <c r="E260" s="70">
        <f ca="1">IF(TODAY()&gt;=$A260,SUMIFS(Tabla1[Avance_km],Tabla1[Fecha],"&lt;="&amp;'Grafico %'!$A260,Tabla1[nombre_actividad],'Grafico %'!E$1,Tabla1[Avance_km],"&gt;0")/(200),NA())</f>
        <v>0.62883500000000059</v>
      </c>
      <c r="F260" s="68">
        <f ca="1">IF(TODAY()&gt;=$A260,SUMIFS(Tabla1[Avance_Med],Tabla1[Fecha],"&lt;="&amp;'Grafico %'!$A260,Tabla1[nombre_actividad],'Grafico %'!F$1)/500,NA())</f>
        <v>0.752</v>
      </c>
      <c r="G260" s="70">
        <f ca="1">IF(TODAY()&gt;=$A260,SUMIFS(Tabla1[Avance_km],Tabla1[Fecha],"&lt;="&amp;'Grafico %'!$A260,Tabla1[nombre_actividad],'Grafico %'!G$1)/(200),NA())</f>
        <v>0</v>
      </c>
      <c r="H260" s="70"/>
    </row>
    <row r="261" spans="1:8" x14ac:dyDescent="0.25">
      <c r="A261" s="62">
        <f t="shared" si="4"/>
        <v>46222</v>
      </c>
      <c r="B261" s="33"/>
      <c r="C261" s="69">
        <f ca="1">IF(TODAY()&gt;=$A261,SUMIFS(Tabla1[Avance_km],Tabla1[Fecha],"&lt;="&amp;'Grafico %'!$A261,Tabla1[nombre_actividad],'Grafico %'!C$1)/(200),NA())</f>
        <v>0.72971999999999992</v>
      </c>
      <c r="D261" s="70">
        <f ca="1">IF(TODAY()&gt;=$A261,SUMIFS(Tabla1[Avance_km],Tabla1[Fecha],"&lt;="&amp;'Grafico %'!$A261,Tabla1[nombre_actividad],'Grafico %'!D$1)/(200),NA())</f>
        <v>0.71488999999999936</v>
      </c>
      <c r="E261" s="70">
        <f ca="1">IF(TODAY()&gt;=$A261,SUMIFS(Tabla1[Avance_km],Tabla1[Fecha],"&lt;="&amp;'Grafico %'!$A261,Tabla1[nombre_actividad],'Grafico %'!E$1,Tabla1[Avance_km],"&gt;0")/(200),NA())</f>
        <v>0.62883500000000059</v>
      </c>
      <c r="F261" s="68">
        <f ca="1">IF(TODAY()&gt;=$A261,SUMIFS(Tabla1[Avance_Med],Tabla1[Fecha],"&lt;="&amp;'Grafico %'!$A261,Tabla1[nombre_actividad],'Grafico %'!F$1)/500,NA())</f>
        <v>0.752</v>
      </c>
      <c r="G261" s="70">
        <f ca="1">IF(TODAY()&gt;=$A261,SUMIFS(Tabla1[Avance_km],Tabla1[Fecha],"&lt;="&amp;'Grafico %'!$A261,Tabla1[nombre_actividad],'Grafico %'!G$1)/(200),NA())</f>
        <v>0</v>
      </c>
      <c r="H261" s="70"/>
    </row>
    <row r="262" spans="1:8" x14ac:dyDescent="0.25">
      <c r="A262" s="62">
        <f t="shared" si="4"/>
        <v>46223</v>
      </c>
      <c r="B262" s="33"/>
      <c r="C262" s="69">
        <f ca="1">IF(TODAY()&gt;=$A262,SUMIFS(Tabla1[Avance_km],Tabla1[Fecha],"&lt;="&amp;'Grafico %'!$A262,Tabla1[nombre_actividad],'Grafico %'!C$1)/(200),NA())</f>
        <v>0.7401049999999999</v>
      </c>
      <c r="D262" s="70">
        <f ca="1">IF(TODAY()&gt;=$A262,SUMIFS(Tabla1[Avance_km],Tabla1[Fecha],"&lt;="&amp;'Grafico %'!$A262,Tabla1[nombre_actividad],'Grafico %'!D$1)/(200),NA())</f>
        <v>0.71488999999999936</v>
      </c>
      <c r="E262" s="70">
        <f ca="1">IF(TODAY()&gt;=$A262,SUMIFS(Tabla1[Avance_km],Tabla1[Fecha],"&lt;="&amp;'Grafico %'!$A262,Tabla1[nombre_actividad],'Grafico %'!E$1,Tabla1[Avance_km],"&gt;0")/(200),NA())</f>
        <v>0.62883500000000059</v>
      </c>
      <c r="F262" s="68">
        <f ca="1">IF(TODAY()&gt;=$A262,SUMIFS(Tabla1[Avance_Med],Tabla1[Fecha],"&lt;="&amp;'Grafico %'!$A262,Tabla1[nombre_actividad],'Grafico %'!F$1)/500,NA())</f>
        <v>0.752</v>
      </c>
      <c r="G262" s="70">
        <f ca="1">IF(TODAY()&gt;=$A262,SUMIFS(Tabla1[Avance_km],Tabla1[Fecha],"&lt;="&amp;'Grafico %'!$A262,Tabla1[nombre_actividad],'Grafico %'!G$1)/(200),NA())</f>
        <v>0</v>
      </c>
      <c r="H262" s="70"/>
    </row>
    <row r="263" spans="1:8" x14ac:dyDescent="0.25">
      <c r="A263" s="62">
        <f t="shared" si="4"/>
        <v>46224</v>
      </c>
      <c r="B263" s="33"/>
      <c r="C263" s="69">
        <f ca="1">IF(TODAY()&gt;=$A263,SUMIFS(Tabla1[Avance_km],Tabla1[Fecha],"&lt;="&amp;'Grafico %'!$A263,Tabla1[nombre_actividad],'Grafico %'!C$1)/(200),NA())</f>
        <v>0.7401049999999999</v>
      </c>
      <c r="D263" s="70">
        <f ca="1">IF(TODAY()&gt;=$A263,SUMIFS(Tabla1[Avance_km],Tabla1[Fecha],"&lt;="&amp;'Grafico %'!$A263,Tabla1[nombre_actividad],'Grafico %'!D$1)/(200),NA())</f>
        <v>0.71488999999999936</v>
      </c>
      <c r="E263" s="70">
        <f ca="1">IF(TODAY()&gt;=$A263,SUMIFS(Tabla1[Avance_km],Tabla1[Fecha],"&lt;="&amp;'Grafico %'!$A263,Tabla1[nombre_actividad],'Grafico %'!E$1,Tabla1[Avance_km],"&gt;0")/(200),NA())</f>
        <v>0.62883500000000059</v>
      </c>
      <c r="F263" s="68">
        <f ca="1">IF(TODAY()&gt;=$A263,SUMIFS(Tabla1[Avance_Med],Tabla1[Fecha],"&lt;="&amp;'Grafico %'!$A263,Tabla1[nombre_actividad],'Grafico %'!F$1)/500,NA())</f>
        <v>0.752</v>
      </c>
      <c r="G263" s="70">
        <f ca="1">IF(TODAY()&gt;=$A263,SUMIFS(Tabla1[Avance_km],Tabla1[Fecha],"&lt;="&amp;'Grafico %'!$A263,Tabla1[nombre_actividad],'Grafico %'!G$1)/(200),NA())</f>
        <v>0</v>
      </c>
      <c r="H263" s="70"/>
    </row>
    <row r="264" spans="1:8" x14ac:dyDescent="0.25">
      <c r="A264" s="62">
        <f t="shared" si="4"/>
        <v>46225</v>
      </c>
      <c r="B264" s="33"/>
      <c r="C264" s="69">
        <f ca="1">IF(TODAY()&gt;=$A264,SUMIFS(Tabla1[Avance_km],Tabla1[Fecha],"&lt;="&amp;'Grafico %'!$A264,Tabla1[nombre_actividad],'Grafico %'!C$1)/(200),NA())</f>
        <v>0.7401049999999999</v>
      </c>
      <c r="D264" s="70">
        <f ca="1">IF(TODAY()&gt;=$A264,SUMIFS(Tabla1[Avance_km],Tabla1[Fecha],"&lt;="&amp;'Grafico %'!$A264,Tabla1[nombre_actividad],'Grafico %'!D$1)/(200),NA())</f>
        <v>0.71488999999999936</v>
      </c>
      <c r="E264" s="70">
        <f ca="1">IF(TODAY()&gt;=$A264,SUMIFS(Tabla1[Avance_km],Tabla1[Fecha],"&lt;="&amp;'Grafico %'!$A264,Tabla1[nombre_actividad],'Grafico %'!E$1,Tabla1[Avance_km],"&gt;0")/(200),NA())</f>
        <v>0.63136500000000062</v>
      </c>
      <c r="F264" s="68">
        <f ca="1">IF(TODAY()&gt;=$A264,SUMIFS(Tabla1[Avance_Med],Tabla1[Fecha],"&lt;="&amp;'Grafico %'!$A264,Tabla1[nombre_actividad],'Grafico %'!F$1)/500,NA())</f>
        <v>0.752</v>
      </c>
      <c r="G264" s="70">
        <f ca="1">IF(TODAY()&gt;=$A264,SUMIFS(Tabla1[Avance_km],Tabla1[Fecha],"&lt;="&amp;'Grafico %'!$A264,Tabla1[nombre_actividad],'Grafico %'!G$1)/(200),NA())</f>
        <v>0</v>
      </c>
      <c r="H264" s="70"/>
    </row>
    <row r="265" spans="1:8" x14ac:dyDescent="0.25">
      <c r="A265" s="62">
        <f t="shared" si="4"/>
        <v>46226</v>
      </c>
      <c r="B265" s="33"/>
      <c r="C265" s="69">
        <f ca="1">IF(TODAY()&gt;=$A265,SUMIFS(Tabla1[Avance_km],Tabla1[Fecha],"&lt;="&amp;'Grafico %'!$A265,Tabla1[nombre_actividad],'Grafico %'!C$1)/(200),NA())</f>
        <v>0.7401049999999999</v>
      </c>
      <c r="D265" s="70">
        <f ca="1">IF(TODAY()&gt;=$A265,SUMIFS(Tabla1[Avance_km],Tabla1[Fecha],"&lt;="&amp;'Grafico %'!$A265,Tabla1[nombre_actividad],'Grafico %'!D$1)/(200),NA())</f>
        <v>0.71488999999999936</v>
      </c>
      <c r="E265" s="70">
        <f ca="1">IF(TODAY()&gt;=$A265,SUMIFS(Tabla1[Avance_km],Tabla1[Fecha],"&lt;="&amp;'Grafico %'!$A265,Tabla1[nombre_actividad],'Grafico %'!E$1,Tabla1[Avance_km],"&gt;0")/(200),NA())</f>
        <v>0.6318200000000006</v>
      </c>
      <c r="F265" s="68">
        <f ca="1">IF(TODAY()&gt;=$A265,SUMIFS(Tabla1[Avance_Med],Tabla1[Fecha],"&lt;="&amp;'Grafico %'!$A265,Tabla1[nombre_actividad],'Grafico %'!F$1)/500,NA())</f>
        <v>0.752</v>
      </c>
      <c r="G265" s="70">
        <f ca="1">IF(TODAY()&gt;=$A265,SUMIFS(Tabla1[Avance_km],Tabla1[Fecha],"&lt;="&amp;'Grafico %'!$A265,Tabla1[nombre_actividad],'Grafico %'!G$1)/(200),NA())</f>
        <v>0</v>
      </c>
      <c r="H265" s="70"/>
    </row>
    <row r="266" spans="1:8" x14ac:dyDescent="0.25">
      <c r="A266" s="62">
        <f t="shared" si="4"/>
        <v>46227</v>
      </c>
      <c r="B266" s="33"/>
      <c r="C266" s="69">
        <f ca="1">IF(TODAY()&gt;=$A266,SUMIFS(Tabla1[Avance_km],Tabla1[Fecha],"&lt;="&amp;'Grafico %'!$A266,Tabla1[nombre_actividad],'Grafico %'!C$1)/(200),NA())</f>
        <v>0.7401049999999999</v>
      </c>
      <c r="D266" s="70">
        <f ca="1">IF(TODAY()&gt;=$A266,SUMIFS(Tabla1[Avance_km],Tabla1[Fecha],"&lt;="&amp;'Grafico %'!$A266,Tabla1[nombre_actividad],'Grafico %'!D$1)/(200),NA())</f>
        <v>0.71488999999999936</v>
      </c>
      <c r="E266" s="70">
        <f ca="1">IF(TODAY()&gt;=$A266,SUMIFS(Tabla1[Avance_km],Tabla1[Fecha],"&lt;="&amp;'Grafico %'!$A266,Tabla1[nombre_actividad],'Grafico %'!E$1,Tabla1[Avance_km],"&gt;0")/(200),NA())</f>
        <v>0.64014500000000052</v>
      </c>
      <c r="F266" s="68">
        <f ca="1">IF(TODAY()&gt;=$A266,SUMIFS(Tabla1[Avance_Med],Tabla1[Fecha],"&lt;="&amp;'Grafico %'!$A266,Tabla1[nombre_actividad],'Grafico %'!F$1)/500,NA())</f>
        <v>0.752</v>
      </c>
      <c r="G266" s="70">
        <f ca="1">IF(TODAY()&gt;=$A266,SUMIFS(Tabla1[Avance_km],Tabla1[Fecha],"&lt;="&amp;'Grafico %'!$A266,Tabla1[nombre_actividad],'Grafico %'!G$1)/(200),NA())</f>
        <v>0</v>
      </c>
      <c r="H266" s="70"/>
    </row>
    <row r="267" spans="1:8" x14ac:dyDescent="0.25">
      <c r="A267" s="62">
        <f t="shared" si="4"/>
        <v>46228</v>
      </c>
      <c r="B267" s="33"/>
      <c r="C267" s="69">
        <f ca="1">IF(TODAY()&gt;=$A267,SUMIFS(Tabla1[Avance_km],Tabla1[Fecha],"&lt;="&amp;'Grafico %'!$A267,Tabla1[nombre_actividad],'Grafico %'!C$1)/(200),NA())</f>
        <v>0.7401049999999999</v>
      </c>
      <c r="D267" s="70">
        <f ca="1">IF(TODAY()&gt;=$A267,SUMIFS(Tabla1[Avance_km],Tabla1[Fecha],"&lt;="&amp;'Grafico %'!$A267,Tabla1[nombre_actividad],'Grafico %'!D$1)/(200),NA())</f>
        <v>0.72527499999999934</v>
      </c>
      <c r="E267" s="70">
        <f ca="1">IF(TODAY()&gt;=$A267,SUMIFS(Tabla1[Avance_km],Tabla1[Fecha],"&lt;="&amp;'Grafico %'!$A267,Tabla1[nombre_actividad],'Grafico %'!E$1,Tabla1[Avance_km],"&gt;0")/(200),NA())</f>
        <v>0.64014500000000052</v>
      </c>
      <c r="F267" s="68">
        <f ca="1">IF(TODAY()&gt;=$A267,SUMIFS(Tabla1[Avance_Med],Tabla1[Fecha],"&lt;="&amp;'Grafico %'!$A267,Tabla1[nombre_actividad],'Grafico %'!F$1)/500,NA())</f>
        <v>0.752</v>
      </c>
      <c r="G267" s="70">
        <f ca="1">IF(TODAY()&gt;=$A267,SUMIFS(Tabla1[Avance_km],Tabla1[Fecha],"&lt;="&amp;'Grafico %'!$A267,Tabla1[nombre_actividad],'Grafico %'!G$1)/(200),NA())</f>
        <v>0</v>
      </c>
      <c r="H267" s="70"/>
    </row>
    <row r="268" spans="1:8" x14ac:dyDescent="0.25">
      <c r="A268" s="62">
        <f t="shared" si="4"/>
        <v>46229</v>
      </c>
      <c r="B268" s="33"/>
      <c r="C268" s="69">
        <f ca="1">IF(TODAY()&gt;=$A268,SUMIFS(Tabla1[Avance_km],Tabla1[Fecha],"&lt;="&amp;'Grafico %'!$A268,Tabla1[nombre_actividad],'Grafico %'!C$1)/(200),NA())</f>
        <v>0.7401049999999999</v>
      </c>
      <c r="D268" s="70">
        <f ca="1">IF(TODAY()&gt;=$A268,SUMIFS(Tabla1[Avance_km],Tabla1[Fecha],"&lt;="&amp;'Grafico %'!$A268,Tabla1[nombre_actividad],'Grafico %'!D$1)/(200),NA())</f>
        <v>0.72527499999999934</v>
      </c>
      <c r="E268" s="70">
        <f ca="1">IF(TODAY()&gt;=$A268,SUMIFS(Tabla1[Avance_km],Tabla1[Fecha],"&lt;="&amp;'Grafico %'!$A268,Tabla1[nombre_actividad],'Grafico %'!E$1,Tabla1[Avance_km],"&gt;0")/(200),NA())</f>
        <v>0.64014500000000052</v>
      </c>
      <c r="F268" s="68">
        <f ca="1">IF(TODAY()&gt;=$A268,SUMIFS(Tabla1[Avance_Med],Tabla1[Fecha],"&lt;="&amp;'Grafico %'!$A268,Tabla1[nombre_actividad],'Grafico %'!F$1)/500,NA())</f>
        <v>0.752</v>
      </c>
      <c r="G268" s="70">
        <f ca="1">IF(TODAY()&gt;=$A268,SUMIFS(Tabla1[Avance_km],Tabla1[Fecha],"&lt;="&amp;'Grafico %'!$A268,Tabla1[nombre_actividad],'Grafico %'!G$1)/(200),NA())</f>
        <v>0</v>
      </c>
      <c r="H268" s="70"/>
    </row>
    <row r="269" spans="1:8" x14ac:dyDescent="0.25">
      <c r="A269" s="62">
        <f t="shared" si="4"/>
        <v>46230</v>
      </c>
      <c r="B269" s="33"/>
      <c r="C269" s="69">
        <f ca="1">IF(TODAY()&gt;=$A269,SUMIFS(Tabla1[Avance_km],Tabla1[Fecha],"&lt;="&amp;'Grafico %'!$A269,Tabla1[nombre_actividad],'Grafico %'!C$1)/(200),NA())</f>
        <v>0.7401049999999999</v>
      </c>
      <c r="D269" s="70">
        <f ca="1">IF(TODAY()&gt;=$A269,SUMIFS(Tabla1[Avance_km],Tabla1[Fecha],"&lt;="&amp;'Grafico %'!$A269,Tabla1[nombre_actividad],'Grafico %'!D$1)/(200),NA())</f>
        <v>0.72527499999999934</v>
      </c>
      <c r="E269" s="70">
        <f ca="1">IF(TODAY()&gt;=$A269,SUMIFS(Tabla1[Avance_km],Tabla1[Fecha],"&lt;="&amp;'Grafico %'!$A269,Tabla1[nombre_actividad],'Grafico %'!E$1,Tabla1[Avance_km],"&gt;0")/(200),NA())</f>
        <v>0.65165500000000065</v>
      </c>
      <c r="F269" s="68">
        <f ca="1">IF(TODAY()&gt;=$A269,SUMIFS(Tabla1[Avance_Med],Tabla1[Fecha],"&lt;="&amp;'Grafico %'!$A269,Tabla1[nombre_actividad],'Grafico %'!F$1)/500,NA())</f>
        <v>0.752</v>
      </c>
      <c r="G269" s="70">
        <f ca="1">IF(TODAY()&gt;=$A269,SUMIFS(Tabla1[Avance_km],Tabla1[Fecha],"&lt;="&amp;'Grafico %'!$A269,Tabla1[nombre_actividad],'Grafico %'!G$1)/(200),NA())</f>
        <v>0</v>
      </c>
      <c r="H269" s="70"/>
    </row>
    <row r="270" spans="1:8" x14ac:dyDescent="0.25">
      <c r="A270" s="62">
        <f t="shared" si="4"/>
        <v>46231</v>
      </c>
      <c r="B270" s="33"/>
      <c r="C270" s="69">
        <f ca="1">IF(TODAY()&gt;=$A270,SUMIFS(Tabla1[Avance_km],Tabla1[Fecha],"&lt;="&amp;'Grafico %'!$A270,Tabla1[nombre_actividad],'Grafico %'!C$1)/(200),NA())</f>
        <v>0.7401049999999999</v>
      </c>
      <c r="D270" s="70">
        <f ca="1">IF(TODAY()&gt;=$A270,SUMIFS(Tabla1[Avance_km],Tabla1[Fecha],"&lt;="&amp;'Grafico %'!$A270,Tabla1[nombre_actividad],'Grafico %'!D$1)/(200),NA())</f>
        <v>0.72527499999999934</v>
      </c>
      <c r="E270" s="70">
        <f ca="1">IF(TODAY()&gt;=$A270,SUMIFS(Tabla1[Avance_km],Tabla1[Fecha],"&lt;="&amp;'Grafico %'!$A270,Tabla1[nombre_actividad],'Grafico %'!E$1,Tabla1[Avance_km],"&gt;0")/(200),NA())</f>
        <v>0.65883500000000073</v>
      </c>
      <c r="F270" s="68">
        <f ca="1">IF(TODAY()&gt;=$A270,SUMIFS(Tabla1[Avance_Med],Tabla1[Fecha],"&lt;="&amp;'Grafico %'!$A270,Tabla1[nombre_actividad],'Grafico %'!F$1)/500,NA())</f>
        <v>0.752</v>
      </c>
      <c r="G270" s="70">
        <f ca="1">IF(TODAY()&gt;=$A270,SUMIFS(Tabla1[Avance_km],Tabla1[Fecha],"&lt;="&amp;'Grafico %'!$A270,Tabla1[nombre_actividad],'Grafico %'!G$1)/(200),NA())</f>
        <v>0</v>
      </c>
      <c r="H270" s="70"/>
    </row>
    <row r="271" spans="1:8" x14ac:dyDescent="0.25">
      <c r="A271" s="62">
        <f t="shared" si="4"/>
        <v>46232</v>
      </c>
      <c r="B271" s="33"/>
      <c r="C271" s="69">
        <f ca="1">IF(TODAY()&gt;=$A271,SUMIFS(Tabla1[Avance_km],Tabla1[Fecha],"&lt;="&amp;'Grafico %'!$A271,Tabla1[nombre_actividad],'Grafico %'!C$1)/(200),NA())</f>
        <v>0.7401049999999999</v>
      </c>
      <c r="D271" s="70">
        <f ca="1">IF(TODAY()&gt;=$A271,SUMIFS(Tabla1[Avance_km],Tabla1[Fecha],"&lt;="&amp;'Grafico %'!$A271,Tabla1[nombre_actividad],'Grafico %'!D$1)/(200),NA())</f>
        <v>0.72527499999999934</v>
      </c>
      <c r="E271" s="70">
        <f ca="1">IF(TODAY()&gt;=$A271,SUMIFS(Tabla1[Avance_km],Tabla1[Fecha],"&lt;="&amp;'Grafico %'!$A271,Tabla1[nombre_actividad],'Grafico %'!E$1,Tabla1[Avance_km],"&gt;0")/(200),NA())</f>
        <v>0.66208500000000048</v>
      </c>
      <c r="F271" s="68">
        <f ca="1">IF(TODAY()&gt;=$A271,SUMIFS(Tabla1[Avance_Med],Tabla1[Fecha],"&lt;="&amp;'Grafico %'!$A271,Tabla1[nombre_actividad],'Grafico %'!F$1)/500,NA())</f>
        <v>0.752</v>
      </c>
      <c r="G271" s="70">
        <f ca="1">IF(TODAY()&gt;=$A271,SUMIFS(Tabla1[Avance_km],Tabla1[Fecha],"&lt;="&amp;'Grafico %'!$A271,Tabla1[nombre_actividad],'Grafico %'!G$1)/(200),NA())</f>
        <v>0</v>
      </c>
      <c r="H271" s="70"/>
    </row>
    <row r="272" spans="1:8" x14ac:dyDescent="0.25">
      <c r="A272" s="62">
        <f t="shared" si="4"/>
        <v>46233</v>
      </c>
      <c r="B272" s="33"/>
      <c r="C272" s="69">
        <f ca="1">IF(TODAY()&gt;=$A272,SUMIFS(Tabla1[Avance_km],Tabla1[Fecha],"&lt;="&amp;'Grafico %'!$A272,Tabla1[nombre_actividad],'Grafico %'!C$1)/(200),NA())</f>
        <v>0.7401049999999999</v>
      </c>
      <c r="D272" s="70">
        <f ca="1">IF(TODAY()&gt;=$A272,SUMIFS(Tabla1[Avance_km],Tabla1[Fecha],"&lt;="&amp;'Grafico %'!$A272,Tabla1[nombre_actividad],'Grafico %'!D$1)/(200),NA())</f>
        <v>0.72527499999999934</v>
      </c>
      <c r="E272" s="70">
        <f ca="1">IF(TODAY()&gt;=$A272,SUMIFS(Tabla1[Avance_km],Tabla1[Fecha],"&lt;="&amp;'Grafico %'!$A272,Tabla1[nombre_actividad],'Grafico %'!E$1,Tabla1[Avance_km],"&gt;0")/(200),NA())</f>
        <v>0.67068500000000042</v>
      </c>
      <c r="F272" s="68">
        <f ca="1">IF(TODAY()&gt;=$A272,SUMIFS(Tabla1[Avance_Med],Tabla1[Fecha],"&lt;="&amp;'Grafico %'!$A272,Tabla1[nombre_actividad],'Grafico %'!F$1)/500,NA())</f>
        <v>0.752</v>
      </c>
      <c r="G272" s="70">
        <f ca="1">IF(TODAY()&gt;=$A272,SUMIFS(Tabla1[Avance_km],Tabla1[Fecha],"&lt;="&amp;'Grafico %'!$A272,Tabla1[nombre_actividad],'Grafico %'!G$1)/(200),NA())</f>
        <v>0</v>
      </c>
      <c r="H272" s="70"/>
    </row>
    <row r="273" spans="1:8" x14ac:dyDescent="0.25">
      <c r="A273" s="62">
        <f t="shared" si="4"/>
        <v>46234</v>
      </c>
      <c r="B273" s="33"/>
      <c r="C273" s="69">
        <f ca="1">IF(TODAY()&gt;=$A273,SUMIFS(Tabla1[Avance_km],Tabla1[Fecha],"&lt;="&amp;'Grafico %'!$A273,Tabla1[nombre_actividad],'Grafico %'!C$1)/(200),NA())</f>
        <v>0.7401049999999999</v>
      </c>
      <c r="D273" s="70">
        <f ca="1">IF(TODAY()&gt;=$A273,SUMIFS(Tabla1[Avance_km],Tabla1[Fecha],"&lt;="&amp;'Grafico %'!$A273,Tabla1[nombre_actividad],'Grafico %'!D$1)/(200),NA())</f>
        <v>0.72527499999999934</v>
      </c>
      <c r="E273" s="70">
        <f ca="1">IF(TODAY()&gt;=$A273,SUMIFS(Tabla1[Avance_km],Tabla1[Fecha],"&lt;="&amp;'Grafico %'!$A273,Tabla1[nombre_actividad],'Grafico %'!E$1,Tabla1[Avance_km],"&gt;0")/(200),NA())</f>
        <v>0.68152500000000049</v>
      </c>
      <c r="F273" s="68">
        <f ca="1">IF(TODAY()&gt;=$A273,SUMIFS(Tabla1[Avance_Med],Tabla1[Fecha],"&lt;="&amp;'Grafico %'!$A273,Tabla1[nombre_actividad],'Grafico %'!F$1)/500,NA())</f>
        <v>0.752</v>
      </c>
      <c r="G273" s="70">
        <f ca="1">IF(TODAY()&gt;=$A273,SUMIFS(Tabla1[Avance_km],Tabla1[Fecha],"&lt;="&amp;'Grafico %'!$A273,Tabla1[nombre_actividad],'Grafico %'!G$1)/(200),NA())</f>
        <v>0</v>
      </c>
      <c r="H273" s="70"/>
    </row>
    <row r="274" spans="1:8" x14ac:dyDescent="0.25">
      <c r="A274" s="62">
        <f t="shared" si="4"/>
        <v>46235</v>
      </c>
      <c r="B274" s="33"/>
      <c r="C274" s="69">
        <f ca="1">IF(TODAY()&gt;=$A274,SUMIFS(Tabla1[Avance_km],Tabla1[Fecha],"&lt;="&amp;'Grafico %'!$A274,Tabla1[nombre_actividad],'Grafico %'!C$1)/(200),NA())</f>
        <v>0.7401049999999999</v>
      </c>
      <c r="D274" s="70">
        <f ca="1">IF(TODAY()&gt;=$A274,SUMIFS(Tabla1[Avance_km],Tabla1[Fecha],"&lt;="&amp;'Grafico %'!$A274,Tabla1[nombre_actividad],'Grafico %'!D$1)/(200),NA())</f>
        <v>0.72527499999999934</v>
      </c>
      <c r="E274" s="70">
        <f ca="1">IF(TODAY()&gt;=$A274,SUMIFS(Tabla1[Avance_km],Tabla1[Fecha],"&lt;="&amp;'Grafico %'!$A274,Tabla1[nombre_actividad],'Grafico %'!E$1,Tabla1[Avance_km],"&gt;0")/(200),NA())</f>
        <v>0.68692500000000056</v>
      </c>
      <c r="F274" s="68">
        <f ca="1">IF(TODAY()&gt;=$A274,SUMIFS(Tabla1[Avance_Med],Tabla1[Fecha],"&lt;="&amp;'Grafico %'!$A274,Tabla1[nombre_actividad],'Grafico %'!F$1)/500,NA())</f>
        <v>0.752</v>
      </c>
      <c r="G274" s="70">
        <f ca="1">IF(TODAY()&gt;=$A274,SUMIFS(Tabla1[Avance_km],Tabla1[Fecha],"&lt;="&amp;'Grafico %'!$A274,Tabla1[nombre_actividad],'Grafico %'!G$1)/(200),NA())</f>
        <v>0</v>
      </c>
      <c r="H274" s="70"/>
    </row>
    <row r="275" spans="1:8" x14ac:dyDescent="0.25">
      <c r="A275" s="62">
        <f t="shared" si="4"/>
        <v>46236</v>
      </c>
      <c r="B275" s="33"/>
      <c r="C275" s="69">
        <f ca="1">IF(TODAY()&gt;=$A275,SUMIFS(Tabla1[Avance_km],Tabla1[Fecha],"&lt;="&amp;'Grafico %'!$A275,Tabla1[nombre_actividad],'Grafico %'!C$1)/(200),NA())</f>
        <v>0.7401049999999999</v>
      </c>
      <c r="D275" s="70">
        <f ca="1">IF(TODAY()&gt;=$A275,SUMIFS(Tabla1[Avance_km],Tabla1[Fecha],"&lt;="&amp;'Grafico %'!$A275,Tabla1[nombre_actividad],'Grafico %'!D$1)/(200),NA())</f>
        <v>0.72527499999999934</v>
      </c>
      <c r="E275" s="70">
        <f ca="1">IF(TODAY()&gt;=$A275,SUMIFS(Tabla1[Avance_km],Tabla1[Fecha],"&lt;="&amp;'Grafico %'!$A275,Tabla1[nombre_actividad],'Grafico %'!E$1,Tabla1[Avance_km],"&gt;0")/(200),NA())</f>
        <v>0.68692500000000056</v>
      </c>
      <c r="F275" s="68">
        <f ca="1">IF(TODAY()&gt;=$A275,SUMIFS(Tabla1[Avance_Med],Tabla1[Fecha],"&lt;="&amp;'Grafico %'!$A275,Tabla1[nombre_actividad],'Grafico %'!F$1)/500,NA())</f>
        <v>0.752</v>
      </c>
      <c r="G275" s="70">
        <f ca="1">IF(TODAY()&gt;=$A275,SUMIFS(Tabla1[Avance_km],Tabla1[Fecha],"&lt;="&amp;'Grafico %'!$A275,Tabla1[nombre_actividad],'Grafico %'!G$1)/(200),NA())</f>
        <v>0</v>
      </c>
      <c r="H275" s="70"/>
    </row>
    <row r="276" spans="1:8" x14ac:dyDescent="0.25">
      <c r="A276" s="62">
        <f t="shared" si="4"/>
        <v>46237</v>
      </c>
      <c r="B276" s="33"/>
      <c r="C276" s="69">
        <f ca="1">IF(TODAY()&gt;=$A276,SUMIFS(Tabla1[Avance_km],Tabla1[Fecha],"&lt;="&amp;'Grafico %'!$A276,Tabla1[nombre_actividad],'Grafico %'!C$1)/(200),NA())</f>
        <v>0.7401049999999999</v>
      </c>
      <c r="D276" s="70">
        <f ca="1">IF(TODAY()&gt;=$A276,SUMIFS(Tabla1[Avance_km],Tabla1[Fecha],"&lt;="&amp;'Grafico %'!$A276,Tabla1[nombre_actividad],'Grafico %'!D$1)/(200),NA())</f>
        <v>0.72527499999999934</v>
      </c>
      <c r="E276" s="70">
        <f ca="1">IF(TODAY()&gt;=$A276,SUMIFS(Tabla1[Avance_km],Tabla1[Fecha],"&lt;="&amp;'Grafico %'!$A276,Tabla1[nombre_actividad],'Grafico %'!E$1,Tabla1[Avance_km],"&gt;0")/(200),NA())</f>
        <v>0.69292500000000046</v>
      </c>
      <c r="F276" s="68">
        <f ca="1">IF(TODAY()&gt;=$A276,SUMIFS(Tabla1[Avance_Med],Tabla1[Fecha],"&lt;="&amp;'Grafico %'!$A276,Tabla1[nombre_actividad],'Grafico %'!F$1)/500,NA())</f>
        <v>0.752</v>
      </c>
      <c r="G276" s="70">
        <f ca="1">IF(TODAY()&gt;=$A276,SUMIFS(Tabla1[Avance_km],Tabla1[Fecha],"&lt;="&amp;'Grafico %'!$A276,Tabla1[nombre_actividad],'Grafico %'!G$1)/(200),NA())</f>
        <v>0</v>
      </c>
      <c r="H276" s="70"/>
    </row>
    <row r="277" spans="1:8" x14ac:dyDescent="0.25">
      <c r="A277" s="62">
        <f t="shared" si="4"/>
        <v>46238</v>
      </c>
      <c r="B277" s="33"/>
      <c r="C277" s="69">
        <f ca="1">IF(TODAY()&gt;=$A277,SUMIFS(Tabla1[Avance_km],Tabla1[Fecha],"&lt;="&amp;'Grafico %'!$A277,Tabla1[nombre_actividad],'Grafico %'!C$1)/(200),NA())</f>
        <v>0.7401049999999999</v>
      </c>
      <c r="D277" s="70">
        <f ca="1">IF(TODAY()&gt;=$A277,SUMIFS(Tabla1[Avance_km],Tabla1[Fecha],"&lt;="&amp;'Grafico %'!$A277,Tabla1[nombre_actividad],'Grafico %'!D$1)/(200),NA())</f>
        <v>0.72527499999999934</v>
      </c>
      <c r="E277" s="70">
        <f ca="1">IF(TODAY()&gt;=$A277,SUMIFS(Tabla1[Avance_km],Tabla1[Fecha],"&lt;="&amp;'Grafico %'!$A277,Tabla1[nombre_actividad],'Grafico %'!E$1,Tabla1[Avance_km],"&gt;0")/(200),NA())</f>
        <v>0.69402000000000041</v>
      </c>
      <c r="F277" s="68">
        <f ca="1">IF(TODAY()&gt;=$A277,SUMIFS(Tabla1[Avance_Med],Tabla1[Fecha],"&lt;="&amp;'Grafico %'!$A277,Tabla1[nombre_actividad],'Grafico %'!F$1)/500,NA())</f>
        <v>0.752</v>
      </c>
      <c r="G277" s="70">
        <f ca="1">IF(TODAY()&gt;=$A277,SUMIFS(Tabla1[Avance_km],Tabla1[Fecha],"&lt;="&amp;'Grafico %'!$A277,Tabla1[nombre_actividad],'Grafico %'!G$1)/(200),NA())</f>
        <v>0</v>
      </c>
      <c r="H277" s="70"/>
    </row>
    <row r="278" spans="1:8" x14ac:dyDescent="0.25">
      <c r="A278" s="62">
        <f t="shared" si="4"/>
        <v>46239</v>
      </c>
      <c r="B278" s="33"/>
      <c r="C278" s="69">
        <f ca="1">IF(TODAY()&gt;=$A278,SUMIFS(Tabla1[Avance_km],Tabla1[Fecha],"&lt;="&amp;'Grafico %'!$A278,Tabla1[nombre_actividad],'Grafico %'!C$1)/(200),NA())</f>
        <v>0.74017999999999984</v>
      </c>
      <c r="D278" s="70">
        <f ca="1">IF(TODAY()&gt;=$A278,SUMIFS(Tabla1[Avance_km],Tabla1[Fecha],"&lt;="&amp;'Grafico %'!$A278,Tabla1[nombre_actividad],'Grafico %'!D$1)/(200),NA())</f>
        <v>0.72534999999999927</v>
      </c>
      <c r="E278" s="70">
        <f ca="1">IF(TODAY()&gt;=$A278,SUMIFS(Tabla1[Avance_km],Tabla1[Fecha],"&lt;="&amp;'Grafico %'!$A278,Tabla1[nombre_actividad],'Grafico %'!E$1,Tabla1[Avance_km],"&gt;0")/(200),NA())</f>
        <v>0.69412500000000033</v>
      </c>
      <c r="F278" s="68">
        <f ca="1">IF(TODAY()&gt;=$A278,SUMIFS(Tabla1[Avance_Med],Tabla1[Fecha],"&lt;="&amp;'Grafico %'!$A278,Tabla1[nombre_actividad],'Grafico %'!F$1)/500,NA())</f>
        <v>0.752</v>
      </c>
      <c r="G278" s="70">
        <f ca="1">IF(TODAY()&gt;=$A278,SUMIFS(Tabla1[Avance_km],Tabla1[Fecha],"&lt;="&amp;'Grafico %'!$A278,Tabla1[nombre_actividad],'Grafico %'!G$1)/(200),NA())</f>
        <v>0</v>
      </c>
      <c r="H278" s="70"/>
    </row>
    <row r="279" spans="1:8" x14ac:dyDescent="0.25">
      <c r="A279" s="62">
        <f t="shared" si="4"/>
        <v>46240</v>
      </c>
      <c r="B279" s="33"/>
      <c r="C279" s="69">
        <f ca="1">IF(TODAY()&gt;=$A279,SUMIFS(Tabla1[Avance_km],Tabla1[Fecha],"&lt;="&amp;'Grafico %'!$A279,Tabla1[nombre_actividad],'Grafico %'!C$1)/(200),NA())</f>
        <v>0.74017999999999984</v>
      </c>
      <c r="D279" s="70">
        <f ca="1">IF(TODAY()&gt;=$A279,SUMIFS(Tabla1[Avance_km],Tabla1[Fecha],"&lt;="&amp;'Grafico %'!$A279,Tabla1[nombre_actividad],'Grafico %'!D$1)/(200),NA())</f>
        <v>0.72534999999999927</v>
      </c>
      <c r="E279" s="70">
        <f ca="1">IF(TODAY()&gt;=$A279,SUMIFS(Tabla1[Avance_km],Tabla1[Fecha],"&lt;="&amp;'Grafico %'!$A279,Tabla1[nombre_actividad],'Grafico %'!E$1,Tabla1[Avance_km],"&gt;0")/(200),NA())</f>
        <v>0.7106250000000004</v>
      </c>
      <c r="F279" s="68">
        <f ca="1">IF(TODAY()&gt;=$A279,SUMIFS(Tabla1[Avance_Med],Tabla1[Fecha],"&lt;="&amp;'Grafico %'!$A279,Tabla1[nombre_actividad],'Grafico %'!F$1)/500,NA())</f>
        <v>0.752</v>
      </c>
      <c r="G279" s="70">
        <f ca="1">IF(TODAY()&gt;=$A279,SUMIFS(Tabla1[Avance_km],Tabla1[Fecha],"&lt;="&amp;'Grafico %'!$A279,Tabla1[nombre_actividad],'Grafico %'!G$1)/(200),NA())</f>
        <v>0</v>
      </c>
      <c r="H279" s="70"/>
    </row>
    <row r="280" spans="1:8" x14ac:dyDescent="0.25">
      <c r="A280" s="62">
        <f t="shared" si="4"/>
        <v>46241</v>
      </c>
      <c r="B280" s="33"/>
      <c r="C280" s="69">
        <f ca="1">IF(TODAY()&gt;=$A280,SUMIFS(Tabla1[Avance_km],Tabla1[Fecha],"&lt;="&amp;'Grafico %'!$A280,Tabla1[nombre_actividad],'Grafico %'!C$1)/(200),NA())</f>
        <v>0.74017999999999984</v>
      </c>
      <c r="D280" s="70">
        <f ca="1">IF(TODAY()&gt;=$A280,SUMIFS(Tabla1[Avance_km],Tabla1[Fecha],"&lt;="&amp;'Grafico %'!$A280,Tabla1[nombre_actividad],'Grafico %'!D$1)/(200),NA())</f>
        <v>0.72534999999999927</v>
      </c>
      <c r="E280" s="70">
        <f ca="1">IF(TODAY()&gt;=$A280,SUMIFS(Tabla1[Avance_km],Tabla1[Fecha],"&lt;="&amp;'Grafico %'!$A280,Tabla1[nombre_actividad],'Grafico %'!E$1,Tabla1[Avance_km],"&gt;0")/(200),NA())</f>
        <v>0.73061000000000031</v>
      </c>
      <c r="F280" s="68">
        <f ca="1">IF(TODAY()&gt;=$A280,SUMIFS(Tabla1[Avance_Med],Tabla1[Fecha],"&lt;="&amp;'Grafico %'!$A280,Tabla1[nombre_actividad],'Grafico %'!F$1)/500,NA())</f>
        <v>0.752</v>
      </c>
      <c r="G280" s="70">
        <f ca="1">IF(TODAY()&gt;=$A280,SUMIFS(Tabla1[Avance_km],Tabla1[Fecha],"&lt;="&amp;'Grafico %'!$A280,Tabla1[nombre_actividad],'Grafico %'!G$1)/(200),NA())</f>
        <v>0</v>
      </c>
      <c r="H280" s="70"/>
    </row>
    <row r="281" spans="1:8" x14ac:dyDescent="0.25">
      <c r="A281" s="62">
        <f t="shared" si="4"/>
        <v>46242</v>
      </c>
      <c r="B281" s="33"/>
      <c r="C281" s="69">
        <f ca="1">IF(TODAY()&gt;=$A281,SUMIFS(Tabla1[Avance_km],Tabla1[Fecha],"&lt;="&amp;'Grafico %'!$A281,Tabla1[nombre_actividad],'Grafico %'!C$1)/(200),NA())</f>
        <v>0.74017999999999984</v>
      </c>
      <c r="D281" s="70">
        <f ca="1">IF(TODAY()&gt;=$A281,SUMIFS(Tabla1[Avance_km],Tabla1[Fecha],"&lt;="&amp;'Grafico %'!$A281,Tabla1[nombre_actividad],'Grafico %'!D$1)/(200),NA())</f>
        <v>0.72534999999999927</v>
      </c>
      <c r="E281" s="70">
        <f ca="1">IF(TODAY()&gt;=$A281,SUMIFS(Tabla1[Avance_km],Tabla1[Fecha],"&lt;="&amp;'Grafico %'!$A281,Tabla1[nombre_actividad],'Grafico %'!E$1,Tabla1[Avance_km],"&gt;0")/(200),NA())</f>
        <v>0.73061000000000031</v>
      </c>
      <c r="F281" s="68">
        <f ca="1">IF(TODAY()&gt;=$A281,SUMIFS(Tabla1[Avance_Med],Tabla1[Fecha],"&lt;="&amp;'Grafico %'!$A281,Tabla1[nombre_actividad],'Grafico %'!F$1)/500,NA())</f>
        <v>0.752</v>
      </c>
      <c r="G281" s="70">
        <f ca="1">IF(TODAY()&gt;=$A281,SUMIFS(Tabla1[Avance_km],Tabla1[Fecha],"&lt;="&amp;'Grafico %'!$A281,Tabla1[nombre_actividad],'Grafico %'!G$1)/(200),NA())</f>
        <v>0</v>
      </c>
      <c r="H281" s="70"/>
    </row>
    <row r="282" spans="1:8" x14ac:dyDescent="0.25">
      <c r="A282" s="62">
        <f t="shared" si="4"/>
        <v>46243</v>
      </c>
      <c r="B282" s="33"/>
      <c r="C282" s="69">
        <f ca="1">IF(TODAY()&gt;=$A282,SUMIFS(Tabla1[Avance_km],Tabla1[Fecha],"&lt;="&amp;'Grafico %'!$A282,Tabla1[nombre_actividad],'Grafico %'!C$1)/(200),NA())</f>
        <v>0.74017999999999984</v>
      </c>
      <c r="D282" s="70">
        <f ca="1">IF(TODAY()&gt;=$A282,SUMIFS(Tabla1[Avance_km],Tabla1[Fecha],"&lt;="&amp;'Grafico %'!$A282,Tabla1[nombre_actividad],'Grafico %'!D$1)/(200),NA())</f>
        <v>0.73770999999999931</v>
      </c>
      <c r="E282" s="70">
        <f ca="1">IF(TODAY()&gt;=$A282,SUMIFS(Tabla1[Avance_km],Tabla1[Fecha],"&lt;="&amp;'Grafico %'!$A282,Tabla1[nombre_actividad],'Grafico %'!E$1,Tabla1[Avance_km],"&gt;0")/(200),NA())</f>
        <v>0.73061000000000031</v>
      </c>
      <c r="F282" s="68">
        <f ca="1">IF(TODAY()&gt;=$A282,SUMIFS(Tabla1[Avance_Med],Tabla1[Fecha],"&lt;="&amp;'Grafico %'!$A282,Tabla1[nombre_actividad],'Grafico %'!F$1)/500,NA())</f>
        <v>0.752</v>
      </c>
      <c r="G282" s="70">
        <f ca="1">IF(TODAY()&gt;=$A282,SUMIFS(Tabla1[Avance_km],Tabla1[Fecha],"&lt;="&amp;'Grafico %'!$A282,Tabla1[nombre_actividad],'Grafico %'!G$1)/(200),NA())</f>
        <v>0</v>
      </c>
      <c r="H282" s="70"/>
    </row>
    <row r="283" spans="1:8" x14ac:dyDescent="0.25">
      <c r="A283" s="62">
        <f t="shared" si="4"/>
        <v>46244</v>
      </c>
      <c r="B283" s="33"/>
      <c r="C283" s="69">
        <f ca="1">IF(TODAY()&gt;=$A283,SUMIFS(Tabla1[Avance_km],Tabla1[Fecha],"&lt;="&amp;'Grafico %'!$A283,Tabla1[nombre_actividad],'Grafico %'!C$1)/(200),NA())</f>
        <v>0.74017999999999984</v>
      </c>
      <c r="D283" s="70">
        <f ca="1">IF(TODAY()&gt;=$A283,SUMIFS(Tabla1[Avance_km],Tabla1[Fecha],"&lt;="&amp;'Grafico %'!$A283,Tabla1[nombre_actividad],'Grafico %'!D$1)/(200),NA())</f>
        <v>0.73770999999999931</v>
      </c>
      <c r="E283" s="70">
        <f ca="1">IF(TODAY()&gt;=$A283,SUMIFS(Tabla1[Avance_km],Tabla1[Fecha],"&lt;="&amp;'Grafico %'!$A283,Tabla1[nombre_actividad],'Grafico %'!E$1,Tabla1[Avance_km],"&gt;0")/(200),NA())</f>
        <v>0.73061000000000031</v>
      </c>
      <c r="F283" s="68">
        <f ca="1">IF(TODAY()&gt;=$A283,SUMIFS(Tabla1[Avance_Med],Tabla1[Fecha],"&lt;="&amp;'Grafico %'!$A283,Tabla1[nombre_actividad],'Grafico %'!F$1)/500,NA())</f>
        <v>0.752</v>
      </c>
      <c r="G283" s="70">
        <f ca="1">IF(TODAY()&gt;=$A283,SUMIFS(Tabla1[Avance_km],Tabla1[Fecha],"&lt;="&amp;'Grafico %'!$A283,Tabla1[nombre_actividad],'Grafico %'!G$1)/(200),NA())</f>
        <v>0</v>
      </c>
      <c r="H283" s="70"/>
    </row>
    <row r="284" spans="1:8" x14ac:dyDescent="0.25">
      <c r="A284" s="62">
        <f t="shared" si="4"/>
        <v>46245</v>
      </c>
      <c r="B284" s="33"/>
      <c r="C284" s="69">
        <f ca="1">IF(TODAY()&gt;=$A284,SUMIFS(Tabla1[Avance_km],Tabla1[Fecha],"&lt;="&amp;'Grafico %'!$A284,Tabla1[nombre_actividad],'Grafico %'!C$1)/(200),NA())</f>
        <v>0.74017999999999984</v>
      </c>
      <c r="D284" s="70">
        <f ca="1">IF(TODAY()&gt;=$A284,SUMIFS(Tabla1[Avance_km],Tabla1[Fecha],"&lt;="&amp;'Grafico %'!$A284,Tabla1[nombre_actividad],'Grafico %'!D$1)/(200),NA())</f>
        <v>0.73770999999999931</v>
      </c>
      <c r="E284" s="70">
        <f ca="1">IF(TODAY()&gt;=$A284,SUMIFS(Tabla1[Avance_km],Tabla1[Fecha],"&lt;="&amp;'Grafico %'!$A284,Tabla1[nombre_actividad],'Grafico %'!E$1,Tabla1[Avance_km],"&gt;0")/(200),NA())</f>
        <v>0.73061000000000031</v>
      </c>
      <c r="F284" s="68">
        <f ca="1">IF(TODAY()&gt;=$A284,SUMIFS(Tabla1[Avance_Med],Tabla1[Fecha],"&lt;="&amp;'Grafico %'!$A284,Tabla1[nombre_actividad],'Grafico %'!F$1)/500,NA())</f>
        <v>0.752</v>
      </c>
      <c r="G284" s="70">
        <f ca="1">IF(TODAY()&gt;=$A284,SUMIFS(Tabla1[Avance_km],Tabla1[Fecha],"&lt;="&amp;'Grafico %'!$A284,Tabla1[nombre_actividad],'Grafico %'!G$1)/(200),NA())</f>
        <v>0</v>
      </c>
      <c r="H284" s="70"/>
    </row>
    <row r="285" spans="1:8" x14ac:dyDescent="0.25">
      <c r="A285" s="62">
        <f t="shared" si="4"/>
        <v>46246</v>
      </c>
      <c r="B285" s="33"/>
      <c r="C285" s="69">
        <f ca="1">IF(TODAY()&gt;=$A285,SUMIFS(Tabla1[Avance_km],Tabla1[Fecha],"&lt;="&amp;'Grafico %'!$A285,Tabla1[nombre_actividad],'Grafico %'!C$1)/(200),NA())</f>
        <v>0.74017999999999984</v>
      </c>
      <c r="D285" s="70">
        <f ca="1">IF(TODAY()&gt;=$A285,SUMIFS(Tabla1[Avance_km],Tabla1[Fecha],"&lt;="&amp;'Grafico %'!$A285,Tabla1[nombre_actividad],'Grafico %'!D$1)/(200),NA())</f>
        <v>0.73770999999999931</v>
      </c>
      <c r="E285" s="70">
        <f ca="1">IF(TODAY()&gt;=$A285,SUMIFS(Tabla1[Avance_km],Tabla1[Fecha],"&lt;="&amp;'Grafico %'!$A285,Tabla1[nombre_actividad],'Grafico %'!E$1,Tabla1[Avance_km],"&gt;0")/(200),NA())</f>
        <v>0.73061000000000031</v>
      </c>
      <c r="F285" s="68">
        <f ca="1">IF(TODAY()&gt;=$A285,SUMIFS(Tabla1[Avance_Med],Tabla1[Fecha],"&lt;="&amp;'Grafico %'!$A285,Tabla1[nombre_actividad],'Grafico %'!F$1)/500,NA())</f>
        <v>0.752</v>
      </c>
      <c r="G285" s="70">
        <f ca="1">IF(TODAY()&gt;=$A285,SUMIFS(Tabla1[Avance_km],Tabla1[Fecha],"&lt;="&amp;'Grafico %'!$A285,Tabla1[nombre_actividad],'Grafico %'!G$1)/(200),NA())</f>
        <v>0</v>
      </c>
      <c r="H285" s="70"/>
    </row>
    <row r="286" spans="1:8" x14ac:dyDescent="0.25">
      <c r="A286" s="62">
        <f t="shared" si="4"/>
        <v>46247</v>
      </c>
      <c r="B286" s="33"/>
      <c r="C286" s="69">
        <f ca="1">IF(TODAY()&gt;=$A286,SUMIFS(Tabla1[Avance_km],Tabla1[Fecha],"&lt;="&amp;'Grafico %'!$A286,Tabla1[nombre_actividad],'Grafico %'!C$1)/(200),NA())</f>
        <v>0.74017999999999984</v>
      </c>
      <c r="D286" s="70">
        <f ca="1">IF(TODAY()&gt;=$A286,SUMIFS(Tabla1[Avance_km],Tabla1[Fecha],"&lt;="&amp;'Grafico %'!$A286,Tabla1[nombre_actividad],'Grafico %'!D$1)/(200),NA())</f>
        <v>0.73770999999999931</v>
      </c>
      <c r="E286" s="70">
        <f ca="1">IF(TODAY()&gt;=$A286,SUMIFS(Tabla1[Avance_km],Tabla1[Fecha],"&lt;="&amp;'Grafico %'!$A286,Tabla1[nombre_actividad],'Grafico %'!E$1,Tabla1[Avance_km],"&gt;0")/(200),NA())</f>
        <v>0.74347000000000041</v>
      </c>
      <c r="F286" s="68">
        <f ca="1">IF(TODAY()&gt;=$A286,SUMIFS(Tabla1[Avance_Med],Tabla1[Fecha],"&lt;="&amp;'Grafico %'!$A286,Tabla1[nombre_actividad],'Grafico %'!F$1)/500,NA())</f>
        <v>0.752</v>
      </c>
      <c r="G286" s="70">
        <f ca="1">IF(TODAY()&gt;=$A286,SUMIFS(Tabla1[Avance_km],Tabla1[Fecha],"&lt;="&amp;'Grafico %'!$A286,Tabla1[nombre_actividad],'Grafico %'!G$1)/(200),NA())</f>
        <v>0</v>
      </c>
      <c r="H286" s="70"/>
    </row>
    <row r="287" spans="1:8" x14ac:dyDescent="0.25">
      <c r="A287" s="62">
        <f t="shared" si="4"/>
        <v>46248</v>
      </c>
      <c r="B287" s="33"/>
      <c r="C287" s="69">
        <f ca="1">IF(TODAY()&gt;=$A287,SUMIFS(Tabla1[Avance_km],Tabla1[Fecha],"&lt;="&amp;'Grafico %'!$A287,Tabla1[nombre_actividad],'Grafico %'!C$1)/(200),NA())</f>
        <v>0.74020999999999981</v>
      </c>
      <c r="D287" s="70">
        <f ca="1">IF(TODAY()&gt;=$A287,SUMIFS(Tabla1[Avance_km],Tabla1[Fecha],"&lt;="&amp;'Grafico %'!$A287,Tabla1[nombre_actividad],'Grafico %'!D$1)/(200),NA())</f>
        <v>0.73773999999999929</v>
      </c>
      <c r="E287" s="70">
        <f ca="1">IF(TODAY()&gt;=$A287,SUMIFS(Tabla1[Avance_km],Tabla1[Fecha],"&lt;="&amp;'Grafico %'!$A287,Tabla1[nombre_actividad],'Grafico %'!E$1,Tabla1[Avance_km],"&gt;0")/(200),NA())</f>
        <v>0.74350000000000038</v>
      </c>
      <c r="F287" s="68">
        <f ca="1">IF(TODAY()&gt;=$A287,SUMIFS(Tabla1[Avance_Med],Tabla1[Fecha],"&lt;="&amp;'Grafico %'!$A287,Tabla1[nombre_actividad],'Grafico %'!F$1)/500,NA())</f>
        <v>0.752</v>
      </c>
      <c r="G287" s="70">
        <f ca="1">IF(TODAY()&gt;=$A287,SUMIFS(Tabla1[Avance_km],Tabla1[Fecha],"&lt;="&amp;'Grafico %'!$A287,Tabla1[nombre_actividad],'Grafico %'!G$1)/(200),NA())</f>
        <v>0</v>
      </c>
      <c r="H287" s="70"/>
    </row>
    <row r="288" spans="1:8" x14ac:dyDescent="0.25">
      <c r="A288" s="62">
        <f t="shared" si="4"/>
        <v>46249</v>
      </c>
      <c r="B288" s="33"/>
      <c r="C288" s="69">
        <f ca="1">IF(TODAY()&gt;=$A288,SUMIFS(Tabla1[Avance_km],Tabla1[Fecha],"&lt;="&amp;'Grafico %'!$A288,Tabla1[nombre_actividad],'Grafico %'!C$1)/(200),NA())</f>
        <v>0.74443499999999985</v>
      </c>
      <c r="D288" s="70">
        <f ca="1">IF(TODAY()&gt;=$A288,SUMIFS(Tabla1[Avance_km],Tabla1[Fecha],"&lt;="&amp;'Grafico %'!$A288,Tabla1[nombre_actividad],'Grafico %'!D$1)/(200),NA())</f>
        <v>0.73773999999999929</v>
      </c>
      <c r="E288" s="70">
        <f ca="1">IF(TODAY()&gt;=$A288,SUMIFS(Tabla1[Avance_km],Tabla1[Fecha],"&lt;="&amp;'Grafico %'!$A288,Tabla1[nombre_actividad],'Grafico %'!E$1,Tabla1[Avance_km],"&gt;0")/(200),NA())</f>
        <v>0.74350000000000038</v>
      </c>
      <c r="F288" s="68">
        <f ca="1">IF(TODAY()&gt;=$A288,SUMIFS(Tabla1[Avance_Med],Tabla1[Fecha],"&lt;="&amp;'Grafico %'!$A288,Tabla1[nombre_actividad],'Grafico %'!F$1)/500,NA())</f>
        <v>0.752</v>
      </c>
      <c r="G288" s="70">
        <f ca="1">IF(TODAY()&gt;=$A288,SUMIFS(Tabla1[Avance_km],Tabla1[Fecha],"&lt;="&amp;'Grafico %'!$A288,Tabla1[nombre_actividad],'Grafico %'!G$1)/(200),NA())</f>
        <v>0</v>
      </c>
      <c r="H288" s="70"/>
    </row>
    <row r="289" spans="1:8" x14ac:dyDescent="0.25">
      <c r="A289" s="62">
        <f t="shared" si="4"/>
        <v>46250</v>
      </c>
      <c r="B289" s="33"/>
      <c r="C289" s="69">
        <f ca="1">IF(TODAY()&gt;=$A289,SUMIFS(Tabla1[Avance_km],Tabla1[Fecha],"&lt;="&amp;'Grafico %'!$A289,Tabla1[nombre_actividad],'Grafico %'!C$1)/(200),NA())</f>
        <v>0.74980999999999975</v>
      </c>
      <c r="D289" s="70">
        <f ca="1">IF(TODAY()&gt;=$A289,SUMIFS(Tabla1[Avance_km],Tabla1[Fecha],"&lt;="&amp;'Grafico %'!$A289,Tabla1[nombre_actividad],'Grafico %'!D$1)/(200),NA())</f>
        <v>0.73773999999999929</v>
      </c>
      <c r="E289" s="70">
        <f ca="1">IF(TODAY()&gt;=$A289,SUMIFS(Tabla1[Avance_km],Tabla1[Fecha],"&lt;="&amp;'Grafico %'!$A289,Tabla1[nombre_actividad],'Grafico %'!E$1,Tabla1[Avance_km],"&gt;0")/(200),NA())</f>
        <v>0.74350000000000038</v>
      </c>
      <c r="F289" s="68">
        <f ca="1">IF(TODAY()&gt;=$A289,SUMIFS(Tabla1[Avance_Med],Tabla1[Fecha],"&lt;="&amp;'Grafico %'!$A289,Tabla1[nombre_actividad],'Grafico %'!F$1)/500,NA())</f>
        <v>0.752</v>
      </c>
      <c r="G289" s="70">
        <f ca="1">IF(TODAY()&gt;=$A289,SUMIFS(Tabla1[Avance_km],Tabla1[Fecha],"&lt;="&amp;'Grafico %'!$A289,Tabla1[nombre_actividad],'Grafico %'!G$1)/(200),NA())</f>
        <v>0</v>
      </c>
      <c r="H289" s="70"/>
    </row>
    <row r="290" spans="1:8" x14ac:dyDescent="0.25">
      <c r="A290" s="62">
        <f t="shared" si="4"/>
        <v>46251</v>
      </c>
      <c r="B290" s="33"/>
      <c r="C290" s="69">
        <f ca="1">IF(TODAY()&gt;=$A290,SUMIFS(Tabla1[Avance_km],Tabla1[Fecha],"&lt;="&amp;'Grafico %'!$A290,Tabla1[nombre_actividad],'Grafico %'!C$1)/(200),NA())</f>
        <v>0.76170999999999978</v>
      </c>
      <c r="D290" s="70">
        <f ca="1">IF(TODAY()&gt;=$A290,SUMIFS(Tabla1[Avance_km],Tabla1[Fecha],"&lt;="&amp;'Grafico %'!$A290,Tabla1[nombre_actividad],'Grafico %'!D$1)/(200),NA())</f>
        <v>0.73773999999999929</v>
      </c>
      <c r="E290" s="70">
        <f ca="1">IF(TODAY()&gt;=$A290,SUMIFS(Tabla1[Avance_km],Tabla1[Fecha],"&lt;="&amp;'Grafico %'!$A290,Tabla1[nombre_actividad],'Grafico %'!E$1,Tabla1[Avance_km],"&gt;0")/(200),NA())</f>
        <v>0.74350000000000038</v>
      </c>
      <c r="F290" s="68">
        <f ca="1">IF(TODAY()&gt;=$A290,SUMIFS(Tabla1[Avance_Med],Tabla1[Fecha],"&lt;="&amp;'Grafico %'!$A290,Tabla1[nombre_actividad],'Grafico %'!F$1)/500,NA())</f>
        <v>0.752</v>
      </c>
      <c r="G290" s="70">
        <f ca="1">IF(TODAY()&gt;=$A290,SUMIFS(Tabla1[Avance_km],Tabla1[Fecha],"&lt;="&amp;'Grafico %'!$A290,Tabla1[nombre_actividad],'Grafico %'!G$1)/(200),NA())</f>
        <v>0</v>
      </c>
      <c r="H290" s="70"/>
    </row>
    <row r="291" spans="1:8" x14ac:dyDescent="0.25">
      <c r="A291" s="62">
        <f t="shared" si="4"/>
        <v>46252</v>
      </c>
      <c r="B291" s="33"/>
      <c r="C291" s="69">
        <f ca="1">IF(TODAY()&gt;=$A291,SUMIFS(Tabla1[Avance_km],Tabla1[Fecha],"&lt;="&amp;'Grafico %'!$A291,Tabla1[nombre_actividad],'Grafico %'!C$1)/(200),NA())</f>
        <v>0.76170999999999978</v>
      </c>
      <c r="D291" s="70">
        <f ca="1">IF(TODAY()&gt;=$A291,SUMIFS(Tabla1[Avance_km],Tabla1[Fecha],"&lt;="&amp;'Grafico %'!$A291,Tabla1[nombre_actividad],'Grafico %'!D$1)/(200),NA())</f>
        <v>0.75264499999999923</v>
      </c>
      <c r="E291" s="70">
        <f ca="1">IF(TODAY()&gt;=$A291,SUMIFS(Tabla1[Avance_km],Tabla1[Fecha],"&lt;="&amp;'Grafico %'!$A291,Tabla1[nombre_actividad],'Grafico %'!E$1,Tabla1[Avance_km],"&gt;0")/(200),NA())</f>
        <v>0.74350000000000038</v>
      </c>
      <c r="F291" s="68">
        <f ca="1">IF(TODAY()&gt;=$A291,SUMIFS(Tabla1[Avance_Med],Tabla1[Fecha],"&lt;="&amp;'Grafico %'!$A291,Tabla1[nombre_actividad],'Grafico %'!F$1)/500,NA())</f>
        <v>0.752</v>
      </c>
      <c r="G291" s="70">
        <f ca="1">IF(TODAY()&gt;=$A291,SUMIFS(Tabla1[Avance_km],Tabla1[Fecha],"&lt;="&amp;'Grafico %'!$A291,Tabla1[nombre_actividad],'Grafico %'!G$1)/(200),NA())</f>
        <v>0</v>
      </c>
      <c r="H291" s="70"/>
    </row>
    <row r="292" spans="1:8" x14ac:dyDescent="0.25">
      <c r="A292" s="62">
        <f t="shared" si="4"/>
        <v>46253</v>
      </c>
      <c r="B292" s="33"/>
      <c r="C292" s="69">
        <f ca="1">IF(TODAY()&gt;=$A292,SUMIFS(Tabla1[Avance_km],Tabla1[Fecha],"&lt;="&amp;'Grafico %'!$A292,Tabla1[nombre_actividad],'Grafico %'!C$1)/(200),NA())</f>
        <v>0.77485999999999988</v>
      </c>
      <c r="D292" s="70">
        <f ca="1">IF(TODAY()&gt;=$A292,SUMIFS(Tabla1[Avance_km],Tabla1[Fecha],"&lt;="&amp;'Grafico %'!$A292,Tabla1[nombre_actividad],'Grafico %'!D$1)/(200),NA())</f>
        <v>0.75264499999999923</v>
      </c>
      <c r="E292" s="70">
        <f ca="1">IF(TODAY()&gt;=$A292,SUMIFS(Tabla1[Avance_km],Tabla1[Fecha],"&lt;="&amp;'Grafico %'!$A292,Tabla1[nombre_actividad],'Grafico %'!E$1,Tabla1[Avance_km],"&gt;0")/(200),NA())</f>
        <v>0.74350000000000038</v>
      </c>
      <c r="F292" s="68">
        <f ca="1">IF(TODAY()&gt;=$A292,SUMIFS(Tabla1[Avance_Med],Tabla1[Fecha],"&lt;="&amp;'Grafico %'!$A292,Tabla1[nombre_actividad],'Grafico %'!F$1)/500,NA())</f>
        <v>0.752</v>
      </c>
      <c r="G292" s="70">
        <f ca="1">IF(TODAY()&gt;=$A292,SUMIFS(Tabla1[Avance_km],Tabla1[Fecha],"&lt;="&amp;'Grafico %'!$A292,Tabla1[nombre_actividad],'Grafico %'!G$1)/(200),NA())</f>
        <v>0</v>
      </c>
      <c r="H292" s="70"/>
    </row>
    <row r="293" spans="1:8" x14ac:dyDescent="0.25">
      <c r="A293" s="62">
        <f t="shared" si="4"/>
        <v>46254</v>
      </c>
      <c r="B293" s="33"/>
      <c r="C293" s="69">
        <f ca="1">IF(TODAY()&gt;=$A293,SUMIFS(Tabla1[Avance_km],Tabla1[Fecha],"&lt;="&amp;'Grafico %'!$A293,Tabla1[nombre_actividad],'Grafico %'!C$1)/(200),NA())</f>
        <v>0.77485999999999988</v>
      </c>
      <c r="D293" s="70">
        <f ca="1">IF(TODAY()&gt;=$A293,SUMIFS(Tabla1[Avance_km],Tabla1[Fecha],"&lt;="&amp;'Grafico %'!$A293,Tabla1[nombre_actividad],'Grafico %'!D$1)/(200),NA())</f>
        <v>0.76243499999999931</v>
      </c>
      <c r="E293" s="70">
        <f ca="1">IF(TODAY()&gt;=$A293,SUMIFS(Tabla1[Avance_km],Tabla1[Fecha],"&lt;="&amp;'Grafico %'!$A293,Tabla1[nombre_actividad],'Grafico %'!E$1,Tabla1[Avance_km],"&gt;0")/(200),NA())</f>
        <v>0.74350000000000038</v>
      </c>
      <c r="F293" s="68">
        <f ca="1">IF(TODAY()&gt;=$A293,SUMIFS(Tabla1[Avance_Med],Tabla1[Fecha],"&lt;="&amp;'Grafico %'!$A293,Tabla1[nombre_actividad],'Grafico %'!F$1)/500,NA())</f>
        <v>0.752</v>
      </c>
      <c r="G293" s="70">
        <f ca="1">IF(TODAY()&gt;=$A293,SUMIFS(Tabla1[Avance_km],Tabla1[Fecha],"&lt;="&amp;'Grafico %'!$A293,Tabla1[nombre_actividad],'Grafico %'!G$1)/(200),NA())</f>
        <v>0</v>
      </c>
      <c r="H293" s="70"/>
    </row>
    <row r="294" spans="1:8" x14ac:dyDescent="0.25">
      <c r="A294" s="62">
        <f t="shared" si="4"/>
        <v>46255</v>
      </c>
      <c r="B294" s="33"/>
      <c r="C294" s="69">
        <f ca="1">IF(TODAY()&gt;=$A294,SUMIFS(Tabla1[Avance_km],Tabla1[Fecha],"&lt;="&amp;'Grafico %'!$A294,Tabla1[nombre_actividad],'Grafico %'!C$1)/(200),NA())</f>
        <v>0.77790999999999999</v>
      </c>
      <c r="D294" s="70">
        <f ca="1">IF(TODAY()&gt;=$A294,SUMIFS(Tabla1[Avance_km],Tabla1[Fecha],"&lt;="&amp;'Grafico %'!$A294,Tabla1[nombre_actividad],'Grafico %'!D$1)/(200),NA())</f>
        <v>0.77543999999999924</v>
      </c>
      <c r="E294" s="70">
        <f ca="1">IF(TODAY()&gt;=$A294,SUMIFS(Tabla1[Avance_km],Tabla1[Fecha],"&lt;="&amp;'Grafico %'!$A294,Tabla1[nombre_actividad],'Grafico %'!E$1,Tabla1[Avance_km],"&gt;0")/(200),NA())</f>
        <v>0.74350000000000038</v>
      </c>
      <c r="F294" s="68">
        <f ca="1">IF(TODAY()&gt;=$A294,SUMIFS(Tabla1[Avance_Med],Tabla1[Fecha],"&lt;="&amp;'Grafico %'!$A294,Tabla1[nombre_actividad],'Grafico %'!F$1)/500,NA())</f>
        <v>0.752</v>
      </c>
      <c r="G294" s="70">
        <f ca="1">IF(TODAY()&gt;=$A294,SUMIFS(Tabla1[Avance_km],Tabla1[Fecha],"&lt;="&amp;'Grafico %'!$A294,Tabla1[nombre_actividad],'Grafico %'!G$1)/(200),NA())</f>
        <v>0</v>
      </c>
      <c r="H294" s="70"/>
    </row>
    <row r="295" spans="1:8" x14ac:dyDescent="0.25">
      <c r="A295" s="62">
        <f t="shared" si="4"/>
        <v>46256</v>
      </c>
      <c r="B295" s="33"/>
      <c r="C295" s="69">
        <f ca="1">IF(TODAY()&gt;=$A295,SUMIFS(Tabla1[Avance_km],Tabla1[Fecha],"&lt;="&amp;'Grafico %'!$A295,Tabla1[nombre_actividad],'Grafico %'!C$1)/(200),NA())</f>
        <v>0.78215999999999997</v>
      </c>
      <c r="D295" s="70">
        <f ca="1">IF(TODAY()&gt;=$A295,SUMIFS(Tabla1[Avance_km],Tabla1[Fecha],"&lt;="&amp;'Grafico %'!$A295,Tabla1[nombre_actividad],'Grafico %'!D$1)/(200),NA())</f>
        <v>0.77543999999999924</v>
      </c>
      <c r="E295" s="70">
        <f ca="1">IF(TODAY()&gt;=$A295,SUMIFS(Tabla1[Avance_km],Tabla1[Fecha],"&lt;="&amp;'Grafico %'!$A295,Tabla1[nombre_actividad],'Grafico %'!E$1,Tabla1[Avance_km],"&gt;0")/(200),NA())</f>
        <v>0.74350000000000038</v>
      </c>
      <c r="F295" s="68">
        <f ca="1">IF(TODAY()&gt;=$A295,SUMIFS(Tabla1[Avance_Med],Tabla1[Fecha],"&lt;="&amp;'Grafico %'!$A295,Tabla1[nombre_actividad],'Grafico %'!F$1)/500,NA())</f>
        <v>0.752</v>
      </c>
      <c r="G295" s="70">
        <f ca="1">IF(TODAY()&gt;=$A295,SUMIFS(Tabla1[Avance_km],Tabla1[Fecha],"&lt;="&amp;'Grafico %'!$A295,Tabla1[nombre_actividad],'Grafico %'!G$1)/(200),NA())</f>
        <v>0</v>
      </c>
      <c r="H295" s="70"/>
    </row>
    <row r="296" spans="1:8" x14ac:dyDescent="0.25">
      <c r="A296" s="62">
        <f t="shared" si="4"/>
        <v>46257</v>
      </c>
      <c r="B296" s="33"/>
      <c r="C296" s="69">
        <f ca="1">IF(TODAY()&gt;=$A296,SUMIFS(Tabla1[Avance_km],Tabla1[Fecha],"&lt;="&amp;'Grafico %'!$A296,Tabla1[nombre_actividad],'Grafico %'!C$1)/(200),NA())</f>
        <v>0.78215999999999997</v>
      </c>
      <c r="D296" s="70">
        <f ca="1">IF(TODAY()&gt;=$A296,SUMIFS(Tabla1[Avance_km],Tabla1[Fecha],"&lt;="&amp;'Grafico %'!$A296,Tabla1[nombre_actividad],'Grafico %'!D$1)/(200),NA())</f>
        <v>0.77543999999999924</v>
      </c>
      <c r="E296" s="70">
        <f ca="1">IF(TODAY()&gt;=$A296,SUMIFS(Tabla1[Avance_km],Tabla1[Fecha],"&lt;="&amp;'Grafico %'!$A296,Tabla1[nombre_actividad],'Grafico %'!E$1,Tabla1[Avance_km],"&gt;0")/(200),NA())</f>
        <v>0.74350000000000038</v>
      </c>
      <c r="F296" s="68">
        <f ca="1">IF(TODAY()&gt;=$A296,SUMIFS(Tabla1[Avance_Med],Tabla1[Fecha],"&lt;="&amp;'Grafico %'!$A296,Tabla1[nombre_actividad],'Grafico %'!F$1)/500,NA())</f>
        <v>0.752</v>
      </c>
      <c r="G296" s="70">
        <f ca="1">IF(TODAY()&gt;=$A296,SUMIFS(Tabla1[Avance_km],Tabla1[Fecha],"&lt;="&amp;'Grafico %'!$A296,Tabla1[nombre_actividad],'Grafico %'!G$1)/(200),NA())</f>
        <v>0</v>
      </c>
      <c r="H296" s="70"/>
    </row>
    <row r="297" spans="1:8" x14ac:dyDescent="0.25">
      <c r="A297" s="62">
        <f t="shared" si="4"/>
        <v>46258</v>
      </c>
      <c r="B297" s="33"/>
      <c r="C297" s="69">
        <f ca="1">IF(TODAY()&gt;=$A297,SUMIFS(Tabla1[Avance_km],Tabla1[Fecha],"&lt;="&amp;'Grafico %'!$A297,Tabla1[nombre_actividad],'Grafico %'!C$1)/(200),NA())</f>
        <v>0.79020999999999997</v>
      </c>
      <c r="D297" s="70">
        <f ca="1">IF(TODAY()&gt;=$A297,SUMIFS(Tabla1[Avance_km],Tabla1[Fecha],"&lt;="&amp;'Grafico %'!$A297,Tabla1[nombre_actividad],'Grafico %'!D$1)/(200),NA())</f>
        <v>0.77543999999999924</v>
      </c>
      <c r="E297" s="70">
        <f ca="1">IF(TODAY()&gt;=$A297,SUMIFS(Tabla1[Avance_km],Tabla1[Fecha],"&lt;="&amp;'Grafico %'!$A297,Tabla1[nombre_actividad],'Grafico %'!E$1,Tabla1[Avance_km],"&gt;0")/(200),NA())</f>
        <v>0.74350000000000038</v>
      </c>
      <c r="F297" s="68">
        <f ca="1">IF(TODAY()&gt;=$A297,SUMIFS(Tabla1[Avance_Med],Tabla1[Fecha],"&lt;="&amp;'Grafico %'!$A297,Tabla1[nombre_actividad],'Grafico %'!F$1)/500,NA())</f>
        <v>0.752</v>
      </c>
      <c r="G297" s="70">
        <f ca="1">IF(TODAY()&gt;=$A297,SUMIFS(Tabla1[Avance_km],Tabla1[Fecha],"&lt;="&amp;'Grafico %'!$A297,Tabla1[nombre_actividad],'Grafico %'!G$1)/(200),NA())</f>
        <v>0</v>
      </c>
      <c r="H297" s="70">
        <v>0</v>
      </c>
    </row>
    <row r="298" spans="1:8" x14ac:dyDescent="0.25">
      <c r="A298" s="62">
        <f t="shared" si="4"/>
        <v>46259</v>
      </c>
      <c r="B298" s="33"/>
      <c r="C298" s="69">
        <f ca="1">IF(TODAY()&gt;=$A298,SUMIFS(Tabla1[Avance_km],Tabla1[Fecha],"&lt;="&amp;'Grafico %'!$A298,Tabla1[nombre_actividad],'Grafico %'!C$1)/(200),NA())</f>
        <v>0.79020999999999997</v>
      </c>
      <c r="D298" s="70">
        <f ca="1">IF(TODAY()&gt;=$A298,SUMIFS(Tabla1[Avance_km],Tabla1[Fecha],"&lt;="&amp;'Grafico %'!$A298,Tabla1[nombre_actividad],'Grafico %'!D$1)/(200),NA())</f>
        <v>0.77543999999999924</v>
      </c>
      <c r="E298" s="70">
        <f ca="1">IF(TODAY()&gt;=$A298,SUMIFS(Tabla1[Avance_km],Tabla1[Fecha],"&lt;="&amp;'Grafico %'!$A298,Tabla1[nombre_actividad],'Grafico %'!E$1,Tabla1[Avance_km],"&gt;0")/(200),NA())</f>
        <v>0.74350000000000038</v>
      </c>
      <c r="F298" s="68">
        <f ca="1">IF(TODAY()&gt;=$A298,SUMIFS(Tabla1[Avance_Med],Tabla1[Fecha],"&lt;="&amp;'Grafico %'!$A298,Tabla1[nombre_actividad],'Grafico %'!F$1)/500,NA())</f>
        <v>0.752</v>
      </c>
      <c r="G298" s="70">
        <f ca="1">IF(TODAY()&gt;=$A298,SUMIFS(Tabla1[Avance_km],Tabla1[Fecha],"&lt;="&amp;'Grafico %'!$A298,Tabla1[nombre_actividad],'Grafico %'!G$1)/(200),NA())</f>
        <v>0</v>
      </c>
      <c r="H298" s="70">
        <f ca="1">IF(TODAY()&gt;=$A298,SUMIFS(Tabla1[Avance_km],Tabla1[Fecha],"&lt;="&amp;'Grafico %'!$A298,Tabla1[nombre_actividad],'Grafico %'!H$1)/(200),NA())</f>
        <v>5.2377634657001758E-2</v>
      </c>
    </row>
    <row r="299" spans="1:8" x14ac:dyDescent="0.25">
      <c r="A299" s="62">
        <f t="shared" si="4"/>
        <v>46260</v>
      </c>
      <c r="B299" s="33"/>
      <c r="C299" s="69">
        <f ca="1">IF(TODAY()&gt;=$A299,SUMIFS(Tabla1[Avance_km],Tabla1[Fecha],"&lt;="&amp;'Grafico %'!$A299,Tabla1[nombre_actividad],'Grafico %'!C$1)/(200),NA())</f>
        <v>0.79020999999999997</v>
      </c>
      <c r="D299" s="70">
        <f ca="1">IF(TODAY()&gt;=$A299,SUMIFS(Tabla1[Avance_km],Tabla1[Fecha],"&lt;="&amp;'Grafico %'!$A299,Tabla1[nombre_actividad],'Grafico %'!D$1)/(200),NA())</f>
        <v>0.77543999999999924</v>
      </c>
      <c r="E299" s="70">
        <f ca="1">IF(TODAY()&gt;=$A299,SUMIFS(Tabla1[Avance_km],Tabla1[Fecha],"&lt;="&amp;'Grafico %'!$A299,Tabla1[nombre_actividad],'Grafico %'!E$1,Tabla1[Avance_km],"&gt;0")/(200),NA())</f>
        <v>0.74350000000000038</v>
      </c>
      <c r="F299" s="68">
        <f ca="1">IF(TODAY()&gt;=$A299,SUMIFS(Tabla1[Avance_Med],Tabla1[Fecha],"&lt;="&amp;'Grafico %'!$A299,Tabla1[nombre_actividad],'Grafico %'!F$1)/500,NA())</f>
        <v>0.752</v>
      </c>
      <c r="G299" s="70">
        <f ca="1">IF(TODAY()&gt;=$A299,SUMIFS(Tabla1[Avance_km],Tabla1[Fecha],"&lt;="&amp;'Grafico %'!$A299,Tabla1[nombre_actividad],'Grafico %'!G$1)/(200),NA())</f>
        <v>0</v>
      </c>
      <c r="H299" s="70">
        <f ca="1">IF(TODAY()&gt;=$A299,SUMIFS(Tabla1[Avance_km],Tabla1[Fecha],"&lt;="&amp;'Grafico %'!$A299,Tabla1[nombre_actividad],'Grafico %'!H$1)/(200),NA())</f>
        <v>8.5200952375389521E-2</v>
      </c>
    </row>
    <row r="300" spans="1:8" x14ac:dyDescent="0.25">
      <c r="A300" s="62">
        <f t="shared" si="4"/>
        <v>46261</v>
      </c>
      <c r="B300" s="33"/>
      <c r="C300" s="69">
        <f ca="1">IF(TODAY()&gt;=$A300,SUMIFS(Tabla1[Avance_km],Tabla1[Fecha],"&lt;="&amp;'Grafico %'!$A300,Tabla1[nombre_actividad],'Grafico %'!C$1)/(200),NA())</f>
        <v>0.79020999999999997</v>
      </c>
      <c r="D300" s="70">
        <f ca="1">IF(TODAY()&gt;=$A300,SUMIFS(Tabla1[Avance_km],Tabla1[Fecha],"&lt;="&amp;'Grafico %'!$A300,Tabla1[nombre_actividad],'Grafico %'!D$1)/(200),NA())</f>
        <v>0.77543999999999924</v>
      </c>
      <c r="E300" s="70">
        <f ca="1">IF(TODAY()&gt;=$A300,SUMIFS(Tabla1[Avance_km],Tabla1[Fecha],"&lt;="&amp;'Grafico %'!$A300,Tabla1[nombre_actividad],'Grafico %'!E$1,Tabla1[Avance_km],"&gt;0")/(200),NA())</f>
        <v>0.74350000000000038</v>
      </c>
      <c r="F300" s="68">
        <f ca="1">IF(TODAY()&gt;=$A300,SUMIFS(Tabla1[Avance_Med],Tabla1[Fecha],"&lt;="&amp;'Grafico %'!$A300,Tabla1[nombre_actividad],'Grafico %'!F$1)/500,NA())</f>
        <v>0.752</v>
      </c>
      <c r="G300" s="70">
        <f ca="1">IF(TODAY()&gt;=$A300,SUMIFS(Tabla1[Avance_km],Tabla1[Fecha],"&lt;="&amp;'Grafico %'!$A300,Tabla1[nombre_actividad],'Grafico %'!G$1)/(200),NA())</f>
        <v>0</v>
      </c>
      <c r="H300" s="70">
        <f ca="1">IF(TODAY()&gt;=$A300,SUMIFS(Tabla1[Avance_km],Tabla1[Fecha],"&lt;="&amp;'Grafico %'!$A300,Tabla1[nombre_actividad],'Grafico %'!H$1)/(200),NA())</f>
        <v>0.109643848548657</v>
      </c>
    </row>
    <row r="301" spans="1:8" x14ac:dyDescent="0.25">
      <c r="A301" s="62">
        <f t="shared" si="4"/>
        <v>46262</v>
      </c>
      <c r="B301" s="33"/>
      <c r="C301" s="69">
        <f ca="1">IF(TODAY()&gt;=$A301,SUMIFS(Tabla1[Avance_km],Tabla1[Fecha],"&lt;="&amp;'Grafico %'!$A301,Tabla1[nombre_actividad],'Grafico %'!C$1)/(200),NA())</f>
        <v>0.79695499999999997</v>
      </c>
      <c r="D301" s="70">
        <f ca="1">IF(TODAY()&gt;=$A301,SUMIFS(Tabla1[Avance_km],Tabla1[Fecha],"&lt;="&amp;'Grafico %'!$A301,Tabla1[nombre_actividad],'Grafico %'!D$1)/(200),NA())</f>
        <v>0.77543999999999924</v>
      </c>
      <c r="E301" s="70">
        <f ca="1">IF(TODAY()&gt;=$A301,SUMIFS(Tabla1[Avance_km],Tabla1[Fecha],"&lt;="&amp;'Grafico %'!$A301,Tabla1[nombre_actividad],'Grafico %'!E$1,Tabla1[Avance_km],"&gt;0")/(200),NA())</f>
        <v>0.74350000000000038</v>
      </c>
      <c r="F301" s="68">
        <f ca="1">IF(TODAY()&gt;=$A301,SUMIFS(Tabla1[Avance_Med],Tabla1[Fecha],"&lt;="&amp;'Grafico %'!$A301,Tabla1[nombre_actividad],'Grafico %'!F$1)/500,NA())</f>
        <v>0.752</v>
      </c>
      <c r="G301" s="70">
        <f ca="1">IF(TODAY()&gt;=$A301,SUMIFS(Tabla1[Avance_km],Tabla1[Fecha],"&lt;="&amp;'Grafico %'!$A301,Tabla1[nombre_actividad],'Grafico %'!G$1)/(200),NA())</f>
        <v>0</v>
      </c>
      <c r="H301" s="70">
        <f ca="1">IF(TODAY()&gt;=$A301,SUMIFS(Tabla1[Avance_km],Tabla1[Fecha],"&lt;="&amp;'Grafico %'!$A301,Tabla1[nombre_actividad],'Grafico %'!H$1)/(200),NA())</f>
        <v>0.109643848548657</v>
      </c>
    </row>
    <row r="302" spans="1:8" x14ac:dyDescent="0.25">
      <c r="A302" s="62">
        <f t="shared" si="4"/>
        <v>46263</v>
      </c>
      <c r="B302" s="33"/>
      <c r="C302" s="69">
        <f ca="1">IF(TODAY()&gt;=$A302,SUMIFS(Tabla1[Avance_km],Tabla1[Fecha],"&lt;="&amp;'Grafico %'!$A302,Tabla1[nombre_actividad],'Grafico %'!C$1)/(200),NA())</f>
        <v>0.79695499999999997</v>
      </c>
      <c r="D302" s="70">
        <f ca="1">IF(TODAY()&gt;=$A302,SUMIFS(Tabla1[Avance_km],Tabla1[Fecha],"&lt;="&amp;'Grafico %'!$A302,Tabla1[nombre_actividad],'Grafico %'!D$1)/(200),NA())</f>
        <v>0.77543999999999924</v>
      </c>
      <c r="E302" s="70">
        <f ca="1">IF(TODAY()&gt;=$A302,SUMIFS(Tabla1[Avance_km],Tabla1[Fecha],"&lt;="&amp;'Grafico %'!$A302,Tabla1[nombre_actividad],'Grafico %'!E$1,Tabla1[Avance_km],"&gt;0")/(200),NA())</f>
        <v>0.74350000000000038</v>
      </c>
      <c r="F302" s="68">
        <f ca="1">IF(TODAY()&gt;=$A302,SUMIFS(Tabla1[Avance_Med],Tabla1[Fecha],"&lt;="&amp;'Grafico %'!$A302,Tabla1[nombre_actividad],'Grafico %'!F$1)/500,NA())</f>
        <v>0.752</v>
      </c>
      <c r="G302" s="70">
        <f ca="1">IF(TODAY()&gt;=$A302,SUMIFS(Tabla1[Avance_km],Tabla1[Fecha],"&lt;="&amp;'Grafico %'!$A302,Tabla1[nombre_actividad],'Grafico %'!G$1)/(200),NA())</f>
        <v>0</v>
      </c>
      <c r="H302" s="70">
        <f ca="1">IF(TODAY()&gt;=$A302,SUMIFS(Tabla1[Avance_km],Tabla1[Fecha],"&lt;="&amp;'Grafico %'!$A302,Tabla1[nombre_actividad],'Grafico %'!H$1)/(200),NA())</f>
        <v>0.109643848548657</v>
      </c>
    </row>
    <row r="303" spans="1:8" x14ac:dyDescent="0.25">
      <c r="A303" s="62">
        <f t="shared" si="4"/>
        <v>46264</v>
      </c>
      <c r="B303" s="33"/>
      <c r="C303" s="69">
        <f ca="1">IF(TODAY()&gt;=$A303,SUMIFS(Tabla1[Avance_km],Tabla1[Fecha],"&lt;="&amp;'Grafico %'!$A303,Tabla1[nombre_actividad],'Grafico %'!C$1)/(200),NA())</f>
        <v>0.79695499999999997</v>
      </c>
      <c r="D303" s="70">
        <f ca="1">IF(TODAY()&gt;=$A303,SUMIFS(Tabla1[Avance_km],Tabla1[Fecha],"&lt;="&amp;'Grafico %'!$A303,Tabla1[nombre_actividad],'Grafico %'!D$1)/(200),NA())</f>
        <v>0.77543999999999924</v>
      </c>
      <c r="E303" s="70">
        <f ca="1">IF(TODAY()&gt;=$A303,SUMIFS(Tabla1[Avance_km],Tabla1[Fecha],"&lt;="&amp;'Grafico %'!$A303,Tabla1[nombre_actividad],'Grafico %'!E$1,Tabla1[Avance_km],"&gt;0")/(200),NA())</f>
        <v>0.74350000000000038</v>
      </c>
      <c r="F303" s="68">
        <f ca="1">IF(TODAY()&gt;=$A303,SUMIFS(Tabla1[Avance_Med],Tabla1[Fecha],"&lt;="&amp;'Grafico %'!$A303,Tabla1[nombre_actividad],'Grafico %'!F$1)/500,NA())</f>
        <v>0.752</v>
      </c>
      <c r="G303" s="70">
        <f ca="1">IF(TODAY()&gt;=$A303,SUMIFS(Tabla1[Avance_km],Tabla1[Fecha],"&lt;="&amp;'Grafico %'!$A303,Tabla1[nombre_actividad],'Grafico %'!G$1)/(200),NA())</f>
        <v>0</v>
      </c>
      <c r="H303" s="70">
        <f ca="1">IF(TODAY()&gt;=$A303,SUMIFS(Tabla1[Avance_km],Tabla1[Fecha],"&lt;="&amp;'Grafico %'!$A303,Tabla1[nombre_actividad],'Grafico %'!H$1)/(200),NA())</f>
        <v>0.109643848548657</v>
      </c>
    </row>
    <row r="304" spans="1:8" x14ac:dyDescent="0.25">
      <c r="A304" s="62">
        <f t="shared" si="4"/>
        <v>46265</v>
      </c>
      <c r="B304" s="33"/>
      <c r="C304" s="69">
        <f ca="1">IF(TODAY()&gt;=$A304,SUMIFS(Tabla1[Avance_km],Tabla1[Fecha],"&lt;="&amp;'Grafico %'!$A304,Tabla1[nombre_actividad],'Grafico %'!C$1)/(200),NA())</f>
        <v>0.80095499999999997</v>
      </c>
      <c r="D304" s="70">
        <f ca="1">IF(TODAY()&gt;=$A304,SUMIFS(Tabla1[Avance_km],Tabla1[Fecha],"&lt;="&amp;'Grafico %'!$A304,Tabla1[nombre_actividad],'Grafico %'!D$1)/(200),NA())</f>
        <v>0.77543999999999924</v>
      </c>
      <c r="E304" s="70">
        <f ca="1">IF(TODAY()&gt;=$A304,SUMIFS(Tabla1[Avance_km],Tabla1[Fecha],"&lt;="&amp;'Grafico %'!$A304,Tabla1[nombre_actividad],'Grafico %'!E$1,Tabla1[Avance_km],"&gt;0")/(200),NA())</f>
        <v>0.74350000000000038</v>
      </c>
      <c r="F304" s="68">
        <f ca="1">IF(TODAY()&gt;=$A304,SUMIFS(Tabla1[Avance_Med],Tabla1[Fecha],"&lt;="&amp;'Grafico %'!$A304,Tabla1[nombre_actividad],'Grafico %'!F$1)/500,NA())</f>
        <v>0.752</v>
      </c>
      <c r="G304" s="70">
        <f ca="1">IF(TODAY()&gt;=$A304,SUMIFS(Tabla1[Avance_km],Tabla1[Fecha],"&lt;="&amp;'Grafico %'!$A304,Tabla1[nombre_actividad],'Grafico %'!G$1)/(200),NA())</f>
        <v>0</v>
      </c>
      <c r="H304" s="70">
        <f ca="1">IF(TODAY()&gt;=$A304,SUMIFS(Tabla1[Avance_km],Tabla1[Fecha],"&lt;="&amp;'Grafico %'!$A304,Tabla1[nombre_actividad],'Grafico %'!H$1)/(200),NA())</f>
        <v>0.109643848548657</v>
      </c>
    </row>
    <row r="305" spans="1:8" x14ac:dyDescent="0.25">
      <c r="A305" s="62">
        <f t="shared" si="4"/>
        <v>46266</v>
      </c>
      <c r="B305" s="33"/>
      <c r="C305" s="69">
        <f ca="1">IF(TODAY()&gt;=$A305,SUMIFS(Tabla1[Avance_km],Tabla1[Fecha],"&lt;="&amp;'Grafico %'!$A305,Tabla1[nombre_actividad],'Grafico %'!C$1)/(200),NA())</f>
        <v>0.82477999999999996</v>
      </c>
      <c r="D305" s="70">
        <f ca="1">IF(TODAY()&gt;=$A305,SUMIFS(Tabla1[Avance_km],Tabla1[Fecha],"&lt;="&amp;'Grafico %'!$A305,Tabla1[nombre_actividad],'Grafico %'!D$1)/(200),NA())</f>
        <v>0.77543999999999924</v>
      </c>
      <c r="E305" s="70">
        <f ca="1">IF(TODAY()&gt;=$A305,SUMIFS(Tabla1[Avance_km],Tabla1[Fecha],"&lt;="&amp;'Grafico %'!$A305,Tabla1[nombre_actividad],'Grafico %'!E$1,Tabla1[Avance_km],"&gt;0")/(200),NA())</f>
        <v>0.74350000000000038</v>
      </c>
      <c r="F305" s="68">
        <f ca="1">IF(TODAY()&gt;=$A305,SUMIFS(Tabla1[Avance_Med],Tabla1[Fecha],"&lt;="&amp;'Grafico %'!$A305,Tabla1[nombre_actividad],'Grafico %'!F$1)/500,NA())</f>
        <v>0.752</v>
      </c>
      <c r="G305" s="70">
        <f ca="1">IF(TODAY()&gt;=$A305,SUMIFS(Tabla1[Avance_km],Tabla1[Fecha],"&lt;="&amp;'Grafico %'!$A305,Tabla1[nombre_actividad],'Grafico %'!G$1)/(200),NA())</f>
        <v>0</v>
      </c>
      <c r="H305" s="70">
        <f ca="1">IF(TODAY()&gt;=$A305,SUMIFS(Tabla1[Avance_km],Tabla1[Fecha],"&lt;="&amp;'Grafico %'!$A305,Tabla1[nombre_actividad],'Grafico %'!H$1)/(200),NA())</f>
        <v>0.109643848548657</v>
      </c>
    </row>
    <row r="306" spans="1:8" x14ac:dyDescent="0.25">
      <c r="A306" s="62">
        <f t="shared" si="4"/>
        <v>46267</v>
      </c>
      <c r="B306" s="33"/>
      <c r="C306" s="69">
        <f ca="1">IF(TODAY()&gt;=$A306,SUMIFS(Tabla1[Avance_km],Tabla1[Fecha],"&lt;="&amp;'Grafico %'!$A306,Tabla1[nombre_actividad],'Grafico %'!C$1)/(200),NA())</f>
        <v>0.82477999999999996</v>
      </c>
      <c r="D306" s="70">
        <f ca="1">IF(TODAY()&gt;=$A306,SUMIFS(Tabla1[Avance_km],Tabla1[Fecha],"&lt;="&amp;'Grafico %'!$A306,Tabla1[nombre_actividad],'Grafico %'!D$1)/(200),NA())</f>
        <v>0.78443999999999936</v>
      </c>
      <c r="E306" s="70">
        <f ca="1">IF(TODAY()&gt;=$A306,SUMIFS(Tabla1[Avance_km],Tabla1[Fecha],"&lt;="&amp;'Grafico %'!$A306,Tabla1[nombre_actividad],'Grafico %'!E$1,Tabla1[Avance_km],"&gt;0")/(200),NA())</f>
        <v>0.74350000000000038</v>
      </c>
      <c r="F306" s="68">
        <f ca="1">IF(TODAY()&gt;=$A306,SUMIFS(Tabla1[Avance_Med],Tabla1[Fecha],"&lt;="&amp;'Grafico %'!$A306,Tabla1[nombre_actividad],'Grafico %'!F$1)/500,NA())</f>
        <v>0.752</v>
      </c>
      <c r="G306" s="70">
        <f ca="1">IF(TODAY()&gt;=$A306,SUMIFS(Tabla1[Avance_km],Tabla1[Fecha],"&lt;="&amp;'Grafico %'!$A306,Tabla1[nombre_actividad],'Grafico %'!G$1)/(200),NA())</f>
        <v>0</v>
      </c>
      <c r="H306" s="70">
        <f ca="1">IF(TODAY()&gt;=$A306,SUMIFS(Tabla1[Avance_km],Tabla1[Fecha],"&lt;="&amp;'Grafico %'!$A306,Tabla1[nombre_actividad],'Grafico %'!H$1)/(200),NA())</f>
        <v>0.109643848548657</v>
      </c>
    </row>
    <row r="307" spans="1:8" x14ac:dyDescent="0.25">
      <c r="A307" s="62">
        <f t="shared" si="4"/>
        <v>46268</v>
      </c>
      <c r="B307" s="33"/>
      <c r="C307" s="69">
        <f ca="1">IF(TODAY()&gt;=$A307,SUMIFS(Tabla1[Avance_km],Tabla1[Fecha],"&lt;="&amp;'Grafico %'!$A307,Tabla1[nombre_actividad],'Grafico %'!C$1)/(200),NA())</f>
        <v>0.82477999999999996</v>
      </c>
      <c r="D307" s="70">
        <f ca="1">IF(TODAY()&gt;=$A307,SUMIFS(Tabla1[Avance_km],Tabla1[Fecha],"&lt;="&amp;'Grafico %'!$A307,Tabla1[nombre_actividad],'Grafico %'!D$1)/(200),NA())</f>
        <v>0.79120499999999938</v>
      </c>
      <c r="E307" s="70">
        <f ca="1">IF(TODAY()&gt;=$A307,SUMIFS(Tabla1[Avance_km],Tabla1[Fecha],"&lt;="&amp;'Grafico %'!$A307,Tabla1[nombre_actividad],'Grafico %'!E$1,Tabla1[Avance_km],"&gt;0")/(200),NA())</f>
        <v>0.74350000000000038</v>
      </c>
      <c r="F307" s="68">
        <f ca="1">IF(TODAY()&gt;=$A307,SUMIFS(Tabla1[Avance_Med],Tabla1[Fecha],"&lt;="&amp;'Grafico %'!$A307,Tabla1[nombre_actividad],'Grafico %'!F$1)/500,NA())</f>
        <v>0.752</v>
      </c>
      <c r="G307" s="70">
        <f ca="1">IF(TODAY()&gt;=$A307,SUMIFS(Tabla1[Avance_km],Tabla1[Fecha],"&lt;="&amp;'Grafico %'!$A307,Tabla1[nombre_actividad],'Grafico %'!G$1)/(200),NA())</f>
        <v>0</v>
      </c>
      <c r="H307" s="70">
        <f ca="1">IF(TODAY()&gt;=$A307,SUMIFS(Tabla1[Avance_km],Tabla1[Fecha],"&lt;="&amp;'Grafico %'!$A307,Tabla1[nombre_actividad],'Grafico %'!H$1)/(200),NA())</f>
        <v>0.109643848548657</v>
      </c>
    </row>
    <row r="308" spans="1:8" x14ac:dyDescent="0.25">
      <c r="A308" s="62">
        <f t="shared" si="4"/>
        <v>46269</v>
      </c>
      <c r="B308" s="33"/>
      <c r="C308" s="69">
        <f ca="1">IF(TODAY()&gt;=$A308,SUMIFS(Tabla1[Avance_km],Tabla1[Fecha],"&lt;="&amp;'Grafico %'!$A308,Tabla1[nombre_actividad],'Grafico %'!C$1)/(200),NA())</f>
        <v>0.82477999999999996</v>
      </c>
      <c r="D308" s="70">
        <f ca="1">IF(TODAY()&gt;=$A308,SUMIFS(Tabla1[Avance_km],Tabla1[Fecha],"&lt;="&amp;'Grafico %'!$A308,Tabla1[nombre_actividad],'Grafico %'!D$1)/(200),NA())</f>
        <v>0.79120499999999938</v>
      </c>
      <c r="E308" s="70">
        <f ca="1">IF(TODAY()&gt;=$A308,SUMIFS(Tabla1[Avance_km],Tabla1[Fecha],"&lt;="&amp;'Grafico %'!$A308,Tabla1[nombre_actividad],'Grafico %'!E$1,Tabla1[Avance_km],"&gt;0")/(200),NA())</f>
        <v>0.74350000000000038</v>
      </c>
      <c r="F308" s="68">
        <f ca="1">IF(TODAY()&gt;=$A308,SUMIFS(Tabla1[Avance_Med],Tabla1[Fecha],"&lt;="&amp;'Grafico %'!$A308,Tabla1[nombre_actividad],'Grafico %'!F$1)/500,NA())</f>
        <v>0.752</v>
      </c>
      <c r="G308" s="70">
        <f ca="1">IF(TODAY()&gt;=$A308,SUMIFS(Tabla1[Avance_km],Tabla1[Fecha],"&lt;="&amp;'Grafico %'!$A308,Tabla1[nombre_actividad],'Grafico %'!G$1)/(200),NA())</f>
        <v>0</v>
      </c>
      <c r="H308" s="70">
        <f ca="1">IF(TODAY()&gt;=$A308,SUMIFS(Tabla1[Avance_km],Tabla1[Fecha],"&lt;="&amp;'Grafico %'!$A308,Tabla1[nombre_actividad],'Grafico %'!H$1)/(200),NA())</f>
        <v>0.17249701013705909</v>
      </c>
    </row>
    <row r="309" spans="1:8" x14ac:dyDescent="0.25">
      <c r="A309" s="62">
        <f t="shared" si="4"/>
        <v>46270</v>
      </c>
      <c r="B309" s="33"/>
      <c r="C309" s="69">
        <f ca="1">IF(TODAY()&gt;=$A309,SUMIFS(Tabla1[Avance_km],Tabla1[Fecha],"&lt;="&amp;'Grafico %'!$A309,Tabla1[nombre_actividad],'Grafico %'!C$1)/(200),NA())</f>
        <v>0.82477999999999996</v>
      </c>
      <c r="D309" s="70">
        <f ca="1">IF(TODAY()&gt;=$A309,SUMIFS(Tabla1[Avance_km],Tabla1[Fecha],"&lt;="&amp;'Grafico %'!$A309,Tabla1[nombre_actividad],'Grafico %'!D$1)/(200),NA())</f>
        <v>0.79120499999999938</v>
      </c>
      <c r="E309" s="70">
        <f ca="1">IF(TODAY()&gt;=$A309,SUMIFS(Tabla1[Avance_km],Tabla1[Fecha],"&lt;="&amp;'Grafico %'!$A309,Tabla1[nombre_actividad],'Grafico %'!E$1,Tabla1[Avance_km],"&gt;0")/(200),NA())</f>
        <v>0.74350000000000038</v>
      </c>
      <c r="F309" s="68">
        <f ca="1">IF(TODAY()&gt;=$A309,SUMIFS(Tabla1[Avance_Med],Tabla1[Fecha],"&lt;="&amp;'Grafico %'!$A309,Tabla1[nombre_actividad],'Grafico %'!F$1)/500,NA())</f>
        <v>0.752</v>
      </c>
      <c r="G309" s="70">
        <f ca="1">IF(TODAY()&gt;=$A309,SUMIFS(Tabla1[Avance_km],Tabla1[Fecha],"&lt;="&amp;'Grafico %'!$A309,Tabla1[nombre_actividad],'Grafico %'!G$1)/(200),NA())</f>
        <v>0</v>
      </c>
      <c r="H309" s="70">
        <f ca="1">IF(TODAY()&gt;=$A309,SUMIFS(Tabla1[Avance_km],Tabla1[Fecha],"&lt;="&amp;'Grafico %'!$A309,Tabla1[nombre_actividad],'Grafico %'!H$1)/(200),NA())</f>
        <v>0.20741543324172695</v>
      </c>
    </row>
    <row r="310" spans="1:8" x14ac:dyDescent="0.25">
      <c r="A310" s="62">
        <f t="shared" si="4"/>
        <v>46271</v>
      </c>
      <c r="B310" s="33"/>
      <c r="C310" s="69">
        <f ca="1">IF(TODAY()&gt;=$A310,SUMIFS(Tabla1[Avance_km],Tabla1[Fecha],"&lt;="&amp;'Grafico %'!$A310,Tabla1[nombre_actividad],'Grafico %'!C$1)/(200),NA())</f>
        <v>0.82477999999999996</v>
      </c>
      <c r="D310" s="70">
        <f ca="1">IF(TODAY()&gt;=$A310,SUMIFS(Tabla1[Avance_km],Tabla1[Fecha],"&lt;="&amp;'Grafico %'!$A310,Tabla1[nombre_actividad],'Grafico %'!D$1)/(200),NA())</f>
        <v>0.79120499999999938</v>
      </c>
      <c r="E310" s="70">
        <f ca="1">IF(TODAY()&gt;=$A310,SUMIFS(Tabla1[Avance_km],Tabla1[Fecha],"&lt;="&amp;'Grafico %'!$A310,Tabla1[nombre_actividad],'Grafico %'!E$1,Tabla1[Avance_km],"&gt;0")/(200),NA())</f>
        <v>0.74350000000000038</v>
      </c>
      <c r="F310" s="68">
        <f ca="1">IF(TODAY()&gt;=$A310,SUMIFS(Tabla1[Avance_Med],Tabla1[Fecha],"&lt;="&amp;'Grafico %'!$A310,Tabla1[nombre_actividad],'Grafico %'!F$1)/500,NA())</f>
        <v>0.752</v>
      </c>
      <c r="G310" s="70">
        <f ca="1">IF(TODAY()&gt;=$A310,SUMIFS(Tabla1[Avance_km],Tabla1[Fecha],"&lt;="&amp;'Grafico %'!$A310,Tabla1[nombre_actividad],'Grafico %'!G$1)/(200),NA())</f>
        <v>0</v>
      </c>
      <c r="H310" s="70">
        <f ca="1">IF(TODAY()&gt;=$A310,SUMIFS(Tabla1[Avance_km],Tabla1[Fecha],"&lt;="&amp;'Grafico %'!$A310,Tabla1[nombre_actividad],'Grafico %'!H$1)/(200),NA())</f>
        <v>0.20741543324172695</v>
      </c>
    </row>
    <row r="311" spans="1:8" x14ac:dyDescent="0.25">
      <c r="A311" s="62">
        <f t="shared" si="4"/>
        <v>46272</v>
      </c>
      <c r="B311" s="33"/>
      <c r="C311" s="69">
        <f ca="1">IF(TODAY()&gt;=$A311,SUMIFS(Tabla1[Avance_km],Tabla1[Fecha],"&lt;="&amp;'Grafico %'!$A311,Tabla1[nombre_actividad],'Grafico %'!C$1)/(200),NA())</f>
        <v>0.82477999999999996</v>
      </c>
      <c r="D311" s="70">
        <f ca="1">IF(TODAY()&gt;=$A311,SUMIFS(Tabla1[Avance_km],Tabla1[Fecha],"&lt;="&amp;'Grafico %'!$A311,Tabla1[nombre_actividad],'Grafico %'!D$1)/(200),NA())</f>
        <v>0.79486499999999938</v>
      </c>
      <c r="E311" s="70">
        <f ca="1">IF(TODAY()&gt;=$A311,SUMIFS(Tabla1[Avance_km],Tabla1[Fecha],"&lt;="&amp;'Grafico %'!$A311,Tabla1[nombre_actividad],'Grafico %'!E$1,Tabla1[Avance_km],"&gt;0")/(200),NA())</f>
        <v>0.74350000000000038</v>
      </c>
      <c r="F311" s="68">
        <f ca="1">IF(TODAY()&gt;=$A311,SUMIFS(Tabla1[Avance_Med],Tabla1[Fecha],"&lt;="&amp;'Grafico %'!$A311,Tabla1[nombre_actividad],'Grafico %'!F$1)/500,NA())</f>
        <v>0.752</v>
      </c>
      <c r="G311" s="70">
        <f ca="1">IF(TODAY()&gt;=$A311,SUMIFS(Tabla1[Avance_km],Tabla1[Fecha],"&lt;="&amp;'Grafico %'!$A311,Tabla1[nombre_actividad],'Grafico %'!G$1)/(200),NA())</f>
        <v>0</v>
      </c>
      <c r="H311" s="70">
        <f ca="1">IF(TODAY()&gt;=$A311,SUMIFS(Tabla1[Avance_km],Tabla1[Fecha],"&lt;="&amp;'Grafico %'!$A311,Tabla1[nombre_actividad],'Grafico %'!H$1)/(200),NA())</f>
        <v>0.20741543324172695</v>
      </c>
    </row>
    <row r="312" spans="1:8" x14ac:dyDescent="0.25">
      <c r="A312" s="62">
        <f t="shared" si="4"/>
        <v>46273</v>
      </c>
      <c r="B312" s="33"/>
      <c r="C312" s="69">
        <f ca="1">IF(TODAY()&gt;=$A312,SUMIFS(Tabla1[Avance_km],Tabla1[Fecha],"&lt;="&amp;'Grafico %'!$A312,Tabla1[nombre_actividad],'Grafico %'!C$1)/(200),NA())</f>
        <v>0.82477999999999996</v>
      </c>
      <c r="D312" s="70">
        <f ca="1">IF(TODAY()&gt;=$A312,SUMIFS(Tabla1[Avance_km],Tabla1[Fecha],"&lt;="&amp;'Grafico %'!$A312,Tabla1[nombre_actividad],'Grafico %'!D$1)/(200),NA())</f>
        <v>0.80426999999999937</v>
      </c>
      <c r="E312" s="70">
        <f ca="1">IF(TODAY()&gt;=$A312,SUMIFS(Tabla1[Avance_km],Tabla1[Fecha],"&lt;="&amp;'Grafico %'!$A312,Tabla1[nombre_actividad],'Grafico %'!E$1,Tabla1[Avance_km],"&gt;0")/(200),NA())</f>
        <v>0.74350000000000038</v>
      </c>
      <c r="F312" s="68">
        <f ca="1">IF(TODAY()&gt;=$A312,SUMIFS(Tabla1[Avance_Med],Tabla1[Fecha],"&lt;="&amp;'Grafico %'!$A312,Tabla1[nombre_actividad],'Grafico %'!F$1)/500,NA())</f>
        <v>0.752</v>
      </c>
      <c r="G312" s="70">
        <f ca="1">IF(TODAY()&gt;=$A312,SUMIFS(Tabla1[Avance_km],Tabla1[Fecha],"&lt;="&amp;'Grafico %'!$A312,Tabla1[nombre_actividad],'Grafico %'!G$1)/(200),NA())</f>
        <v>0</v>
      </c>
      <c r="H312" s="70">
        <f ca="1">IF(TODAY()&gt;=$A312,SUMIFS(Tabla1[Avance_km],Tabla1[Fecha],"&lt;="&amp;'Grafico %'!$A312,Tabla1[nombre_actividad],'Grafico %'!H$1)/(200),NA())</f>
        <v>0.20741543324172695</v>
      </c>
    </row>
    <row r="313" spans="1:8" x14ac:dyDescent="0.25">
      <c r="A313" s="62">
        <f t="shared" si="4"/>
        <v>46274</v>
      </c>
      <c r="B313" s="33"/>
      <c r="C313" s="69">
        <f ca="1">IF(TODAY()&gt;=$A313,SUMIFS(Tabla1[Avance_km],Tabla1[Fecha],"&lt;="&amp;'Grafico %'!$A313,Tabla1[nombre_actividad],'Grafico %'!C$1)/(200),NA())</f>
        <v>0.82477999999999996</v>
      </c>
      <c r="D313" s="70">
        <f ca="1">IF(TODAY()&gt;=$A313,SUMIFS(Tabla1[Avance_km],Tabla1[Fecha],"&lt;="&amp;'Grafico %'!$A313,Tabla1[nombre_actividad],'Grafico %'!D$1)/(200),NA())</f>
        <v>0.80993499999999941</v>
      </c>
      <c r="E313" s="70">
        <f ca="1">IF(TODAY()&gt;=$A313,SUMIFS(Tabla1[Avance_km],Tabla1[Fecha],"&lt;="&amp;'Grafico %'!$A313,Tabla1[nombre_actividad],'Grafico %'!E$1,Tabla1[Avance_km],"&gt;0")/(200),NA())</f>
        <v>0.74350000000000038</v>
      </c>
      <c r="F313" s="68">
        <f ca="1">IF(TODAY()&gt;=$A313,SUMIFS(Tabla1[Avance_Med],Tabla1[Fecha],"&lt;="&amp;'Grafico %'!$A313,Tabla1[nombre_actividad],'Grafico %'!F$1)/500,NA())</f>
        <v>0.752</v>
      </c>
      <c r="G313" s="70">
        <f ca="1">IF(TODAY()&gt;=$A313,SUMIFS(Tabla1[Avance_km],Tabla1[Fecha],"&lt;="&amp;'Grafico %'!$A313,Tabla1[nombre_actividad],'Grafico %'!G$1)/(200),NA())</f>
        <v>0</v>
      </c>
      <c r="H313" s="70">
        <f ca="1">IF(TODAY()&gt;=$A313,SUMIFS(Tabla1[Avance_km],Tabla1[Fecha],"&lt;="&amp;'Grafico %'!$A313,Tabla1[nombre_actividad],'Grafico %'!H$1)/(200),NA())</f>
        <v>0.20741543324172695</v>
      </c>
    </row>
    <row r="314" spans="1:8" x14ac:dyDescent="0.25">
      <c r="A314" s="62">
        <f t="shared" si="4"/>
        <v>46275</v>
      </c>
      <c r="B314" s="33"/>
      <c r="C314" s="69">
        <f ca="1">IF(TODAY()&gt;=$A314,SUMIFS(Tabla1[Avance_km],Tabla1[Fecha],"&lt;="&amp;'Grafico %'!$A314,Tabla1[nombre_actividad],'Grafico %'!C$1)/(200),NA())</f>
        <v>0.83150999999999997</v>
      </c>
      <c r="D314" s="70">
        <f ca="1">IF(TODAY()&gt;=$A314,SUMIFS(Tabla1[Avance_km],Tabla1[Fecha],"&lt;="&amp;'Grafico %'!$A314,Tabla1[nombre_actividad],'Grafico %'!D$1)/(200),NA())</f>
        <v>0.80993499999999941</v>
      </c>
      <c r="E314" s="70">
        <f ca="1">IF(TODAY()&gt;=$A314,SUMIFS(Tabla1[Avance_km],Tabla1[Fecha],"&lt;="&amp;'Grafico %'!$A314,Tabla1[nombre_actividad],'Grafico %'!E$1,Tabla1[Avance_km],"&gt;0")/(200),NA())</f>
        <v>0.74350000000000038</v>
      </c>
      <c r="F314" s="68">
        <f ca="1">IF(TODAY()&gt;=$A314,SUMIFS(Tabla1[Avance_Med],Tabla1[Fecha],"&lt;="&amp;'Grafico %'!$A314,Tabla1[nombre_actividad],'Grafico %'!F$1)/500,NA())</f>
        <v>0.752</v>
      </c>
      <c r="G314" s="70">
        <f ca="1">IF(TODAY()&gt;=$A314,SUMIFS(Tabla1[Avance_km],Tabla1[Fecha],"&lt;="&amp;'Grafico %'!$A314,Tabla1[nombre_actividad],'Grafico %'!G$1)/(200),NA())</f>
        <v>0</v>
      </c>
      <c r="H314" s="70">
        <f ca="1">IF(TODAY()&gt;=$A314,SUMIFS(Tabla1[Avance_km],Tabla1[Fecha],"&lt;="&amp;'Grafico %'!$A314,Tabla1[nombre_actividad],'Grafico %'!H$1)/(200),NA())</f>
        <v>0.20741543324172695</v>
      </c>
    </row>
    <row r="315" spans="1:8" x14ac:dyDescent="0.25">
      <c r="A315" s="62">
        <f t="shared" si="4"/>
        <v>46276</v>
      </c>
      <c r="B315" s="33"/>
      <c r="C315" s="69">
        <f ca="1">IF(TODAY()&gt;=$A315,SUMIFS(Tabla1[Avance_km],Tabla1[Fecha],"&lt;="&amp;'Grafico %'!$A315,Tabla1[nombre_actividad],'Grafico %'!C$1)/(200),NA())</f>
        <v>0.83150999999999997</v>
      </c>
      <c r="D315" s="70">
        <f ca="1">IF(TODAY()&gt;=$A315,SUMIFS(Tabla1[Avance_km],Tabla1[Fecha],"&lt;="&amp;'Grafico %'!$A315,Tabla1[nombre_actividad],'Grafico %'!D$1)/(200),NA())</f>
        <v>0.81884499999999949</v>
      </c>
      <c r="E315" s="70">
        <f ca="1">IF(TODAY()&gt;=$A315,SUMIFS(Tabla1[Avance_km],Tabla1[Fecha],"&lt;="&amp;'Grafico %'!$A315,Tabla1[nombre_actividad],'Grafico %'!E$1,Tabla1[Avance_km],"&gt;0")/(200),NA())</f>
        <v>0.74350000000000038</v>
      </c>
      <c r="F315" s="68">
        <f ca="1">IF(TODAY()&gt;=$A315,SUMIFS(Tabla1[Avance_Med],Tabla1[Fecha],"&lt;="&amp;'Grafico %'!$A315,Tabla1[nombre_actividad],'Grafico %'!F$1)/500,NA())</f>
        <v>0.752</v>
      </c>
      <c r="G315" s="70">
        <f ca="1">IF(TODAY()&gt;=$A315,SUMIFS(Tabla1[Avance_km],Tabla1[Fecha],"&lt;="&amp;'Grafico %'!$A315,Tabla1[nombre_actividad],'Grafico %'!G$1)/(200),NA())</f>
        <v>0</v>
      </c>
      <c r="H315" s="70">
        <f ca="1">IF(TODAY()&gt;=$A315,SUMIFS(Tabla1[Avance_km],Tabla1[Fecha],"&lt;="&amp;'Grafico %'!$A315,Tabla1[nombre_actividad],'Grafico %'!H$1)/(200),NA())</f>
        <v>0.20741543324172695</v>
      </c>
    </row>
    <row r="316" spans="1:8" x14ac:dyDescent="0.25">
      <c r="A316" s="62">
        <f t="shared" si="4"/>
        <v>46277</v>
      </c>
      <c r="B316" s="33"/>
      <c r="C316" s="69">
        <f ca="1">IF(TODAY()&gt;=$A316,SUMIFS(Tabla1[Avance_km],Tabla1[Fecha],"&lt;="&amp;'Grafico %'!$A316,Tabla1[nombre_actividad],'Grafico %'!C$1)/(200),NA())</f>
        <v>0.83150999999999997</v>
      </c>
      <c r="D316" s="70">
        <f ca="1">IF(TODAY()&gt;=$A316,SUMIFS(Tabla1[Avance_km],Tabla1[Fecha],"&lt;="&amp;'Grafico %'!$A316,Tabla1[nombre_actividad],'Grafico %'!D$1)/(200),NA())</f>
        <v>0.8255749999999995</v>
      </c>
      <c r="E316" s="70">
        <f ca="1">IF(TODAY()&gt;=$A316,SUMIFS(Tabla1[Avance_km],Tabla1[Fecha],"&lt;="&amp;'Grafico %'!$A316,Tabla1[nombre_actividad],'Grafico %'!E$1,Tabla1[Avance_km],"&gt;0")/(200),NA())</f>
        <v>0.74350000000000038</v>
      </c>
      <c r="F316" s="68">
        <f ca="1">IF(TODAY()&gt;=$A316,SUMIFS(Tabla1[Avance_Med],Tabla1[Fecha],"&lt;="&amp;'Grafico %'!$A316,Tabla1[nombre_actividad],'Grafico %'!F$1)/500,NA())</f>
        <v>0.752</v>
      </c>
      <c r="G316" s="70">
        <f ca="1">IF(TODAY()&gt;=$A316,SUMIFS(Tabla1[Avance_km],Tabla1[Fecha],"&lt;="&amp;'Grafico %'!$A316,Tabla1[nombre_actividad],'Grafico %'!G$1)/(200),NA())</f>
        <v>0</v>
      </c>
      <c r="H316" s="70">
        <f ca="1">IF(TODAY()&gt;=$A316,SUMIFS(Tabla1[Avance_km],Tabla1[Fecha],"&lt;="&amp;'Grafico %'!$A316,Tabla1[nombre_actividad],'Grafico %'!H$1)/(200),NA())</f>
        <v>0.20741543324172695</v>
      </c>
    </row>
    <row r="317" spans="1:8" x14ac:dyDescent="0.25">
      <c r="A317" s="62">
        <f t="shared" si="4"/>
        <v>46278</v>
      </c>
      <c r="B317" s="33"/>
      <c r="C317" s="69">
        <f ca="1">IF(TODAY()&gt;=$A317,SUMIFS(Tabla1[Avance_km],Tabla1[Fecha],"&lt;="&amp;'Grafico %'!$A317,Tabla1[nombre_actividad],'Grafico %'!C$1)/(200),NA())</f>
        <v>0.83150999999999997</v>
      </c>
      <c r="D317" s="70">
        <f ca="1">IF(TODAY()&gt;=$A317,SUMIFS(Tabla1[Avance_km],Tabla1[Fecha],"&lt;="&amp;'Grafico %'!$A317,Tabla1[nombre_actividad],'Grafico %'!D$1)/(200),NA())</f>
        <v>0.8255749999999995</v>
      </c>
      <c r="E317" s="70">
        <f ca="1">IF(TODAY()&gt;=$A317,SUMIFS(Tabla1[Avance_km],Tabla1[Fecha],"&lt;="&amp;'Grafico %'!$A317,Tabla1[nombre_actividad],'Grafico %'!E$1,Tabla1[Avance_km],"&gt;0")/(200),NA())</f>
        <v>0.74350000000000038</v>
      </c>
      <c r="F317" s="68">
        <f ca="1">IF(TODAY()&gt;=$A317,SUMIFS(Tabla1[Avance_Med],Tabla1[Fecha],"&lt;="&amp;'Grafico %'!$A317,Tabla1[nombre_actividad],'Grafico %'!F$1)/500,NA())</f>
        <v>0.752</v>
      </c>
      <c r="G317" s="70">
        <f ca="1">IF(TODAY()&gt;=$A317,SUMIFS(Tabla1[Avance_km],Tabla1[Fecha],"&lt;="&amp;'Grafico %'!$A317,Tabla1[nombre_actividad],'Grafico %'!G$1)/(200),NA())</f>
        <v>0</v>
      </c>
      <c r="H317" s="70">
        <f ca="1">IF(TODAY()&gt;=$A317,SUMIFS(Tabla1[Avance_km],Tabla1[Fecha],"&lt;="&amp;'Grafico %'!$A317,Tabla1[nombre_actividad],'Grafico %'!H$1)/(200),NA())</f>
        <v>0.20741543324172695</v>
      </c>
    </row>
    <row r="318" spans="1:8" x14ac:dyDescent="0.25">
      <c r="A318" s="62">
        <f t="shared" si="4"/>
        <v>46279</v>
      </c>
      <c r="B318" s="33"/>
      <c r="C318" s="69">
        <f ca="1">IF(TODAY()&gt;=$A318,SUMIFS(Tabla1[Avance_km],Tabla1[Fecha],"&lt;="&amp;'Grafico %'!$A318,Tabla1[nombre_actividad],'Grafico %'!C$1)/(200),NA())</f>
        <v>0.83150999999999997</v>
      </c>
      <c r="D318" s="70">
        <f ca="1">IF(TODAY()&gt;=$A318,SUMIFS(Tabla1[Avance_km],Tabla1[Fecha],"&lt;="&amp;'Grafico %'!$A318,Tabla1[nombre_actividad],'Grafico %'!D$1)/(200),NA())</f>
        <v>0.82903999999999956</v>
      </c>
      <c r="E318" s="70">
        <f ca="1">IF(TODAY()&gt;=$A318,SUMIFS(Tabla1[Avance_km],Tabla1[Fecha],"&lt;="&amp;'Grafico %'!$A318,Tabla1[nombre_actividad],'Grafico %'!E$1,Tabla1[Avance_km],"&gt;0")/(200),NA())</f>
        <v>0.74350000000000038</v>
      </c>
      <c r="F318" s="68">
        <f ca="1">IF(TODAY()&gt;=$A318,SUMIFS(Tabla1[Avance_Med],Tabla1[Fecha],"&lt;="&amp;'Grafico %'!$A318,Tabla1[nombre_actividad],'Grafico %'!F$1)/500,NA())</f>
        <v>0.752</v>
      </c>
      <c r="G318" s="70">
        <f ca="1">IF(TODAY()&gt;=$A318,SUMIFS(Tabla1[Avance_km],Tabla1[Fecha],"&lt;="&amp;'Grafico %'!$A318,Tabla1[nombre_actividad],'Grafico %'!G$1)/(200),NA())</f>
        <v>0</v>
      </c>
      <c r="H318" s="70">
        <f ca="1">IF(TODAY()&gt;=$A318,SUMIFS(Tabla1[Avance_km],Tabla1[Fecha],"&lt;="&amp;'Grafico %'!$A318,Tabla1[nombre_actividad],'Grafico %'!H$1)/(200),NA())</f>
        <v>0.20741543324172695</v>
      </c>
    </row>
    <row r="319" spans="1:8" x14ac:dyDescent="0.25">
      <c r="A319" s="62">
        <f t="shared" si="4"/>
        <v>46280</v>
      </c>
      <c r="B319" s="33"/>
      <c r="C319" s="69">
        <f ca="1">IF(TODAY()&gt;=$A319,SUMIFS(Tabla1[Avance_km],Tabla1[Fecha],"&lt;="&amp;'Grafico %'!$A319,Tabla1[nombre_actividad],'Grafico %'!C$1)/(200),NA())</f>
        <v>0.85321000000000002</v>
      </c>
      <c r="D319" s="70">
        <f ca="1">IF(TODAY()&gt;=$A319,SUMIFS(Tabla1[Avance_km],Tabla1[Fecha],"&lt;="&amp;'Grafico %'!$A319,Tabla1[nombre_actividad],'Grafico %'!D$1)/(200),NA())</f>
        <v>0.82903999999999956</v>
      </c>
      <c r="E319" s="70">
        <f ca="1">IF(TODAY()&gt;=$A319,SUMIFS(Tabla1[Avance_km],Tabla1[Fecha],"&lt;="&amp;'Grafico %'!$A319,Tabla1[nombre_actividad],'Grafico %'!E$1,Tabla1[Avance_km],"&gt;0")/(200),NA())</f>
        <v>0.74350000000000038</v>
      </c>
      <c r="F319" s="68">
        <f ca="1">IF(TODAY()&gt;=$A319,SUMIFS(Tabla1[Avance_Med],Tabla1[Fecha],"&lt;="&amp;'Grafico %'!$A319,Tabla1[nombre_actividad],'Grafico %'!F$1)/500,NA())</f>
        <v>0.752</v>
      </c>
      <c r="G319" s="70">
        <f ca="1">IF(TODAY()&gt;=$A319,SUMIFS(Tabla1[Avance_km],Tabla1[Fecha],"&lt;="&amp;'Grafico %'!$A319,Tabla1[nombre_actividad],'Grafico %'!G$1)/(200),NA())</f>
        <v>0</v>
      </c>
      <c r="H319" s="70">
        <f ca="1">IF(TODAY()&gt;=$A319,SUMIFS(Tabla1[Avance_km],Tabla1[Fecha],"&lt;="&amp;'Grafico %'!$A319,Tabla1[nombre_actividad],'Grafico %'!H$1)/(200),NA())</f>
        <v>0.20741543324172695</v>
      </c>
    </row>
    <row r="320" spans="1:8" x14ac:dyDescent="0.25">
      <c r="A320" s="62">
        <f t="shared" si="4"/>
        <v>46281</v>
      </c>
      <c r="B320" s="33"/>
      <c r="C320" s="69">
        <f ca="1">IF(TODAY()&gt;=$A320,SUMIFS(Tabla1[Avance_km],Tabla1[Fecha],"&lt;="&amp;'Grafico %'!$A320,Tabla1[nombre_actividad],'Grafico %'!C$1)/(200),NA())</f>
        <v>0.85321000000000002</v>
      </c>
      <c r="D320" s="70">
        <f ca="1">IF(TODAY()&gt;=$A320,SUMIFS(Tabla1[Avance_km],Tabla1[Fecha],"&lt;="&amp;'Grafico %'!$A320,Tabla1[nombre_actividad],'Grafico %'!D$1)/(200),NA())</f>
        <v>0.82903999999999956</v>
      </c>
      <c r="E320" s="70">
        <f ca="1">IF(TODAY()&gt;=$A320,SUMIFS(Tabla1[Avance_km],Tabla1[Fecha],"&lt;="&amp;'Grafico %'!$A320,Tabla1[nombre_actividad],'Grafico %'!E$1,Tabla1[Avance_km],"&gt;0")/(200),NA())</f>
        <v>0.74350000000000038</v>
      </c>
      <c r="F320" s="68">
        <f ca="1">IF(TODAY()&gt;=$A320,SUMIFS(Tabla1[Avance_Med],Tabla1[Fecha],"&lt;="&amp;'Grafico %'!$A320,Tabla1[nombre_actividad],'Grafico %'!F$1)/500,NA())</f>
        <v>0.76</v>
      </c>
      <c r="G320" s="70">
        <f ca="1">IF(TODAY()&gt;=$A320,SUMIFS(Tabla1[Avance_km],Tabla1[Fecha],"&lt;="&amp;'Grafico %'!$A320,Tabla1[nombre_actividad],'Grafico %'!G$1)/(200),NA())</f>
        <v>0</v>
      </c>
      <c r="H320" s="70">
        <f ca="1">IF(TODAY()&gt;=$A320,SUMIFS(Tabla1[Avance_km],Tabla1[Fecha],"&lt;="&amp;'Grafico %'!$A320,Tabla1[nombre_actividad],'Grafico %'!H$1)/(200),NA())</f>
        <v>0.20741543324172695</v>
      </c>
    </row>
    <row r="321" spans="1:8" x14ac:dyDescent="0.25">
      <c r="A321" s="62">
        <f t="shared" si="4"/>
        <v>46282</v>
      </c>
      <c r="B321" s="33"/>
      <c r="C321" s="69">
        <f ca="1">IF(TODAY()&gt;=$A321,SUMIFS(Tabla1[Avance_km],Tabla1[Fecha],"&lt;="&amp;'Grafico %'!$A321,Tabla1[nombre_actividad],'Grafico %'!C$1)/(200),NA())</f>
        <v>0.85321000000000002</v>
      </c>
      <c r="D321" s="70">
        <f ca="1">IF(TODAY()&gt;=$A321,SUMIFS(Tabla1[Avance_km],Tabla1[Fecha],"&lt;="&amp;'Grafico %'!$A321,Tabla1[nombre_actividad],'Grafico %'!D$1)/(200),NA())</f>
        <v>0.82903999999999956</v>
      </c>
      <c r="E321" s="70">
        <f ca="1">IF(TODAY()&gt;=$A321,SUMIFS(Tabla1[Avance_km],Tabla1[Fecha],"&lt;="&amp;'Grafico %'!$A321,Tabla1[nombre_actividad],'Grafico %'!E$1,Tabla1[Avance_km],"&gt;0")/(200),NA())</f>
        <v>0.74350000000000038</v>
      </c>
      <c r="F321" s="68">
        <f ca="1">IF(TODAY()&gt;=$A321,SUMIFS(Tabla1[Avance_Med],Tabla1[Fecha],"&lt;="&amp;'Grafico %'!$A321,Tabla1[nombre_actividad],'Grafico %'!F$1)/500,NA())</f>
        <v>0.76</v>
      </c>
      <c r="G321" s="70">
        <f ca="1">IF(TODAY()&gt;=$A321,SUMIFS(Tabla1[Avance_km],Tabla1[Fecha],"&lt;="&amp;'Grafico %'!$A321,Tabla1[nombre_actividad],'Grafico %'!G$1)/(200),NA())</f>
        <v>0</v>
      </c>
      <c r="H321" s="70">
        <f ca="1">IF(TODAY()&gt;=$A321,SUMIFS(Tabla1[Avance_km],Tabla1[Fecha],"&lt;="&amp;'Grafico %'!$A321,Tabla1[nombre_actividad],'Grafico %'!H$1)/(200),NA())</f>
        <v>0.22277953940778081</v>
      </c>
    </row>
    <row r="322" spans="1:8" x14ac:dyDescent="0.25">
      <c r="A322" s="62">
        <f t="shared" si="4"/>
        <v>46283</v>
      </c>
      <c r="B322" s="33"/>
      <c r="C322" s="69">
        <f ca="1">IF(TODAY()&gt;=$A322,SUMIFS(Tabla1[Avance_km],Tabla1[Fecha],"&lt;="&amp;'Grafico %'!$A322,Tabla1[nombre_actividad],'Grafico %'!C$1)/(200),NA())</f>
        <v>0.85321000000000002</v>
      </c>
      <c r="D322" s="70">
        <f ca="1">IF(TODAY()&gt;=$A322,SUMIFS(Tabla1[Avance_km],Tabla1[Fecha],"&lt;="&amp;'Grafico %'!$A322,Tabla1[nombre_actividad],'Grafico %'!D$1)/(200),NA())</f>
        <v>0.82903999999999956</v>
      </c>
      <c r="E322" s="70">
        <f ca="1">IF(TODAY()&gt;=$A322,SUMIFS(Tabla1[Avance_km],Tabla1[Fecha],"&lt;="&amp;'Grafico %'!$A322,Tabla1[nombre_actividad],'Grafico %'!E$1,Tabla1[Avance_km],"&gt;0")/(200),NA())</f>
        <v>0.74350000000000038</v>
      </c>
      <c r="F322" s="68">
        <f ca="1">IF(TODAY()&gt;=$A322,SUMIFS(Tabla1[Avance_Med],Tabla1[Fecha],"&lt;="&amp;'Grafico %'!$A322,Tabla1[nombre_actividad],'Grafico %'!F$1)/500,NA())</f>
        <v>0.76</v>
      </c>
      <c r="G322" s="70">
        <f ca="1">IF(TODAY()&gt;=$A322,SUMIFS(Tabla1[Avance_km],Tabla1[Fecha],"&lt;="&amp;'Grafico %'!$A322,Tabla1[nombre_actividad],'Grafico %'!G$1)/(200),NA())</f>
        <v>0</v>
      </c>
      <c r="H322" s="70">
        <f ca="1">IF(TODAY()&gt;=$A322,SUMIFS(Tabla1[Avance_km],Tabla1[Fecha],"&lt;="&amp;'Grafico %'!$A322,Tabla1[nombre_actividad],'Grafico %'!H$1)/(200),NA())</f>
        <v>0.24931754096732836</v>
      </c>
    </row>
    <row r="323" spans="1:8" x14ac:dyDescent="0.25">
      <c r="A323" s="62">
        <f t="shared" si="4"/>
        <v>46284</v>
      </c>
      <c r="B323" s="33"/>
      <c r="C323" s="69">
        <f ca="1">IF(TODAY()&gt;=$A323,SUMIFS(Tabla1[Avance_km],Tabla1[Fecha],"&lt;="&amp;'Grafico %'!$A323,Tabla1[nombre_actividad],'Grafico %'!C$1)/(200),NA())</f>
        <v>0.85321000000000002</v>
      </c>
      <c r="D323" s="70">
        <f ca="1">IF(TODAY()&gt;=$A323,SUMIFS(Tabla1[Avance_km],Tabla1[Fecha],"&lt;="&amp;'Grafico %'!$A323,Tabla1[nombre_actividad],'Grafico %'!D$1)/(200),NA())</f>
        <v>0.82903999999999956</v>
      </c>
      <c r="E323" s="70">
        <f ca="1">IF(TODAY()&gt;=$A323,SUMIFS(Tabla1[Avance_km],Tabla1[Fecha],"&lt;="&amp;'Grafico %'!$A323,Tabla1[nombre_actividad],'Grafico %'!E$1,Tabla1[Avance_km],"&gt;0")/(200),NA())</f>
        <v>0.74350000000000038</v>
      </c>
      <c r="F323" s="68">
        <f ca="1">IF(TODAY()&gt;=$A323,SUMIFS(Tabla1[Avance_Med],Tabla1[Fecha],"&lt;="&amp;'Grafico %'!$A323,Tabla1[nombre_actividad],'Grafico %'!F$1)/500,NA())</f>
        <v>0.76200000000000001</v>
      </c>
      <c r="G323" s="70">
        <f ca="1">IF(TODAY()&gt;=$A323,SUMIFS(Tabla1[Avance_km],Tabla1[Fecha],"&lt;="&amp;'Grafico %'!$A323,Tabla1[nombre_actividad],'Grafico %'!G$1)/(200),NA())</f>
        <v>0</v>
      </c>
      <c r="H323" s="70">
        <f ca="1">IF(TODAY()&gt;=$A323,SUMIFS(Tabla1[Avance_km],Tabla1[Fecha],"&lt;="&amp;'Grafico %'!$A323,Tabla1[nombre_actividad],'Grafico %'!H$1)/(200),NA())</f>
        <v>0.24931754096732836</v>
      </c>
    </row>
    <row r="324" spans="1:8" x14ac:dyDescent="0.25">
      <c r="A324" s="62">
        <f t="shared" ref="A324:A387" si="5">+A323+1</f>
        <v>46285</v>
      </c>
      <c r="B324" s="33"/>
      <c r="C324" s="69">
        <f ca="1">IF(TODAY()&gt;=$A324,SUMIFS(Tabla1[Avance_km],Tabla1[Fecha],"&lt;="&amp;'Grafico %'!$A324,Tabla1[nombre_actividad],'Grafico %'!C$1)/(200),NA())</f>
        <v>0.85321000000000002</v>
      </c>
      <c r="D324" s="70">
        <f ca="1">IF(TODAY()&gt;=$A324,SUMIFS(Tabla1[Avance_km],Tabla1[Fecha],"&lt;="&amp;'Grafico %'!$A324,Tabla1[nombre_actividad],'Grafico %'!D$1)/(200),NA())</f>
        <v>0.82903999999999956</v>
      </c>
      <c r="E324" s="70">
        <f ca="1">IF(TODAY()&gt;=$A324,SUMIFS(Tabla1[Avance_km],Tabla1[Fecha],"&lt;="&amp;'Grafico %'!$A324,Tabla1[nombre_actividad],'Grafico %'!E$1,Tabla1[Avance_km],"&gt;0")/(200),NA())</f>
        <v>0.74350000000000038</v>
      </c>
      <c r="F324" s="68">
        <f ca="1">IF(TODAY()&gt;=$A324,SUMIFS(Tabla1[Avance_Med],Tabla1[Fecha],"&lt;="&amp;'Grafico %'!$A324,Tabla1[nombre_actividad],'Grafico %'!F$1)/500,NA())</f>
        <v>0.76200000000000001</v>
      </c>
      <c r="G324" s="70">
        <f ca="1">IF(TODAY()&gt;=$A324,SUMIFS(Tabla1[Avance_km],Tabla1[Fecha],"&lt;="&amp;'Grafico %'!$A324,Tabla1[nombre_actividad],'Grafico %'!G$1)/(200),NA())</f>
        <v>0</v>
      </c>
      <c r="H324" s="70">
        <f ca="1">IF(TODAY()&gt;=$A324,SUMIFS(Tabla1[Avance_km],Tabla1[Fecha],"&lt;="&amp;'Grafico %'!$A324,Tabla1[nombre_actividad],'Grafico %'!H$1)/(200),NA())</f>
        <v>0.24931754096732836</v>
      </c>
    </row>
    <row r="325" spans="1:8" x14ac:dyDescent="0.25">
      <c r="A325" s="62">
        <f t="shared" si="5"/>
        <v>46286</v>
      </c>
      <c r="B325" s="33"/>
      <c r="C325" s="69">
        <f ca="1">IF(TODAY()&gt;=$A325,SUMIFS(Tabla1[Avance_km],Tabla1[Fecha],"&lt;="&amp;'Grafico %'!$A325,Tabla1[nombre_actividad],'Grafico %'!C$1)/(200),NA())</f>
        <v>0.85321000000000002</v>
      </c>
      <c r="D325" s="70">
        <f ca="1">IF(TODAY()&gt;=$A325,SUMIFS(Tabla1[Avance_km],Tabla1[Fecha],"&lt;="&amp;'Grafico %'!$A325,Tabla1[nombre_actividad],'Grafico %'!D$1)/(200),NA())</f>
        <v>0.82903999999999956</v>
      </c>
      <c r="E325" s="70">
        <f ca="1">IF(TODAY()&gt;=$A325,SUMIFS(Tabla1[Avance_km],Tabla1[Fecha],"&lt;="&amp;'Grafico %'!$A325,Tabla1[nombre_actividad],'Grafico %'!E$1,Tabla1[Avance_km],"&gt;0")/(200),NA())</f>
        <v>0.74350000000000038</v>
      </c>
      <c r="F325" s="68">
        <f ca="1">IF(TODAY()&gt;=$A325,SUMIFS(Tabla1[Avance_Med],Tabla1[Fecha],"&lt;="&amp;'Grafico %'!$A325,Tabla1[nombre_actividad],'Grafico %'!F$1)/500,NA())</f>
        <v>0.76800000000000002</v>
      </c>
      <c r="G325" s="70">
        <f ca="1">IF(TODAY()&gt;=$A325,SUMIFS(Tabla1[Avance_km],Tabla1[Fecha],"&lt;="&amp;'Grafico %'!$A325,Tabla1[nombre_actividad],'Grafico %'!G$1)/(200),NA())</f>
        <v>0</v>
      </c>
      <c r="H325" s="70">
        <f ca="1">IF(TODAY()&gt;=$A325,SUMIFS(Tabla1[Avance_km],Tabla1[Fecha],"&lt;="&amp;'Grafico %'!$A325,Tabla1[nombre_actividad],'Grafico %'!H$1)/(200),NA())</f>
        <v>0.24931754096732836</v>
      </c>
    </row>
    <row r="326" spans="1:8" x14ac:dyDescent="0.25">
      <c r="A326" s="62">
        <f t="shared" si="5"/>
        <v>46287</v>
      </c>
      <c r="B326" s="33"/>
      <c r="C326" s="69">
        <f ca="1">IF(TODAY()&gt;=$A326,SUMIFS(Tabla1[Avance_km],Tabla1[Fecha],"&lt;="&amp;'Grafico %'!$A326,Tabla1[nombre_actividad],'Grafico %'!C$1)/(200),NA())</f>
        <v>0.85321000000000002</v>
      </c>
      <c r="D326" s="70">
        <f ca="1">IF(TODAY()&gt;=$A326,SUMIFS(Tabla1[Avance_km],Tabla1[Fecha],"&lt;="&amp;'Grafico %'!$A326,Tabla1[nombre_actividad],'Grafico %'!D$1)/(200),NA())</f>
        <v>0.82903999999999956</v>
      </c>
      <c r="E326" s="70">
        <f ca="1">IF(TODAY()&gt;=$A326,SUMIFS(Tabla1[Avance_km],Tabla1[Fecha],"&lt;="&amp;'Grafico %'!$A326,Tabla1[nombre_actividad],'Grafico %'!E$1,Tabla1[Avance_km],"&gt;0")/(200),NA())</f>
        <v>0.74350000000000038</v>
      </c>
      <c r="F326" s="68">
        <f ca="1">IF(TODAY()&gt;=$A326,SUMIFS(Tabla1[Avance_Med],Tabla1[Fecha],"&lt;="&amp;'Grafico %'!$A326,Tabla1[nombre_actividad],'Grafico %'!F$1)/500,NA())</f>
        <v>0.77400000000000002</v>
      </c>
      <c r="G326" s="70">
        <f ca="1">IF(TODAY()&gt;=$A326,SUMIFS(Tabla1[Avance_km],Tabla1[Fecha],"&lt;="&amp;'Grafico %'!$A326,Tabla1[nombre_actividad],'Grafico %'!G$1)/(200),NA())</f>
        <v>0</v>
      </c>
      <c r="H326" s="70">
        <f ca="1">IF(TODAY()&gt;=$A326,SUMIFS(Tabla1[Avance_km],Tabla1[Fecha],"&lt;="&amp;'Grafico %'!$A326,Tabla1[nombre_actividad],'Grafico %'!H$1)/(200),NA())</f>
        <v>0.24931754096732836</v>
      </c>
    </row>
    <row r="327" spans="1:8" x14ac:dyDescent="0.25">
      <c r="A327" s="62">
        <f t="shared" si="5"/>
        <v>46288</v>
      </c>
      <c r="B327" s="33"/>
      <c r="C327" s="69">
        <f ca="1">IF(TODAY()&gt;=$A327,SUMIFS(Tabla1[Avance_km],Tabla1[Fecha],"&lt;="&amp;'Grafico %'!$A327,Tabla1[nombre_actividad],'Grafico %'!C$1)/(200),NA())</f>
        <v>0.85321000000000002</v>
      </c>
      <c r="D327" s="70">
        <f ca="1">IF(TODAY()&gt;=$A327,SUMIFS(Tabla1[Avance_km],Tabla1[Fecha],"&lt;="&amp;'Grafico %'!$A327,Tabla1[nombre_actividad],'Grafico %'!D$1)/(200),NA())</f>
        <v>0.82903999999999956</v>
      </c>
      <c r="E327" s="70">
        <f ca="1">IF(TODAY()&gt;=$A327,SUMIFS(Tabla1[Avance_km],Tabla1[Fecha],"&lt;="&amp;'Grafico %'!$A327,Tabla1[nombre_actividad],'Grafico %'!E$1,Tabla1[Avance_km],"&gt;0")/(200),NA())</f>
        <v>0.74350000000000038</v>
      </c>
      <c r="F327" s="68">
        <f ca="1">IF(TODAY()&gt;=$A327,SUMIFS(Tabla1[Avance_Med],Tabla1[Fecha],"&lt;="&amp;'Grafico %'!$A327,Tabla1[nombre_actividad],'Grafico %'!F$1)/500,NA())</f>
        <v>0.77800000000000002</v>
      </c>
      <c r="G327" s="70">
        <f ca="1">IF(TODAY()&gt;=$A327,SUMIFS(Tabla1[Avance_km],Tabla1[Fecha],"&lt;="&amp;'Grafico %'!$A327,Tabla1[nombre_actividad],'Grafico %'!G$1)/(200),NA())</f>
        <v>0</v>
      </c>
      <c r="H327" s="70">
        <f ca="1">IF(TODAY()&gt;=$A327,SUMIFS(Tabla1[Avance_km],Tabla1[Fecha],"&lt;="&amp;'Grafico %'!$A327,Tabla1[nombre_actividad],'Grafico %'!H$1)/(200),NA())</f>
        <v>0.24931754096732836</v>
      </c>
    </row>
    <row r="328" spans="1:8" x14ac:dyDescent="0.25">
      <c r="A328" s="62">
        <f t="shared" si="5"/>
        <v>46289</v>
      </c>
      <c r="B328" s="33"/>
      <c r="C328" s="69">
        <f ca="1">IF(TODAY()&gt;=$A328,SUMIFS(Tabla1[Avance_km],Tabla1[Fecha],"&lt;="&amp;'Grafico %'!$A328,Tabla1[nombre_actividad],'Grafico %'!C$1)/(200),NA())</f>
        <v>0.85321000000000002</v>
      </c>
      <c r="D328" s="70">
        <f ca="1">IF(TODAY()&gt;=$A328,SUMIFS(Tabla1[Avance_km],Tabla1[Fecha],"&lt;="&amp;'Grafico %'!$A328,Tabla1[nombre_actividad],'Grafico %'!D$1)/(200),NA())</f>
        <v>0.82903999999999956</v>
      </c>
      <c r="E328" s="70">
        <f ca="1">IF(TODAY()&gt;=$A328,SUMIFS(Tabla1[Avance_km],Tabla1[Fecha],"&lt;="&amp;'Grafico %'!$A328,Tabla1[nombre_actividad],'Grafico %'!E$1,Tabla1[Avance_km],"&gt;0")/(200),NA())</f>
        <v>0.74350000000000038</v>
      </c>
      <c r="F328" s="68">
        <f ca="1">IF(TODAY()&gt;=$A328,SUMIFS(Tabla1[Avance_Med],Tabla1[Fecha],"&lt;="&amp;'Grafico %'!$A328,Tabla1[nombre_actividad],'Grafico %'!F$1)/500,NA())</f>
        <v>0.78200000000000003</v>
      </c>
      <c r="G328" s="70">
        <f ca="1">IF(TODAY()&gt;=$A328,SUMIFS(Tabla1[Avance_km],Tabla1[Fecha],"&lt;="&amp;'Grafico %'!$A328,Tabla1[nombre_actividad],'Grafico %'!G$1)/(200),NA())</f>
        <v>0</v>
      </c>
      <c r="H328" s="70">
        <f ca="1">IF(TODAY()&gt;=$A328,SUMIFS(Tabla1[Avance_km],Tabla1[Fecha],"&lt;="&amp;'Grafico %'!$A328,Tabla1[nombre_actividad],'Grafico %'!H$1)/(200),NA())</f>
        <v>0.24931754096732836</v>
      </c>
    </row>
    <row r="329" spans="1:8" x14ac:dyDescent="0.25">
      <c r="A329" s="62">
        <f t="shared" si="5"/>
        <v>46290</v>
      </c>
      <c r="B329" s="33"/>
      <c r="C329" s="69">
        <f ca="1">IF(TODAY()&gt;=$A329,SUMIFS(Tabla1[Avance_km],Tabla1[Fecha],"&lt;="&amp;'Grafico %'!$A329,Tabla1[nombre_actividad],'Grafico %'!C$1)/(200),NA())</f>
        <v>0.85321000000000002</v>
      </c>
      <c r="D329" s="70">
        <f ca="1">IF(TODAY()&gt;=$A329,SUMIFS(Tabla1[Avance_km],Tabla1[Fecha],"&lt;="&amp;'Grafico %'!$A329,Tabla1[nombre_actividad],'Grafico %'!D$1)/(200),NA())</f>
        <v>0.82903999999999956</v>
      </c>
      <c r="E329" s="70">
        <f ca="1">IF(TODAY()&gt;=$A329,SUMIFS(Tabla1[Avance_km],Tabla1[Fecha],"&lt;="&amp;'Grafico %'!$A329,Tabla1[nombre_actividad],'Grafico %'!E$1,Tabla1[Avance_km],"&gt;0")/(200),NA())</f>
        <v>0.74350000000000038</v>
      </c>
      <c r="F329" s="68">
        <f ca="1">IF(TODAY()&gt;=$A329,SUMIFS(Tabla1[Avance_Med],Tabla1[Fecha],"&lt;="&amp;'Grafico %'!$A329,Tabla1[nombre_actividad],'Grafico %'!F$1)/500,NA())</f>
        <v>0.79</v>
      </c>
      <c r="G329" s="70">
        <f ca="1">IF(TODAY()&gt;=$A329,SUMIFS(Tabla1[Avance_km],Tabla1[Fecha],"&lt;="&amp;'Grafico %'!$A329,Tabla1[nombre_actividad],'Grafico %'!G$1)/(200),NA())</f>
        <v>0</v>
      </c>
      <c r="H329" s="70">
        <f ca="1">IF(TODAY()&gt;=$A329,SUMIFS(Tabla1[Avance_km],Tabla1[Fecha],"&lt;="&amp;'Grafico %'!$A329,Tabla1[nombre_actividad],'Grafico %'!H$1)/(200),NA())</f>
        <v>0.24931754096732836</v>
      </c>
    </row>
    <row r="330" spans="1:8" x14ac:dyDescent="0.25">
      <c r="A330" s="62">
        <f t="shared" si="5"/>
        <v>46291</v>
      </c>
      <c r="B330" s="33"/>
      <c r="C330" s="69">
        <f ca="1">IF(TODAY()&gt;=$A330,SUMIFS(Tabla1[Avance_km],Tabla1[Fecha],"&lt;="&amp;'Grafico %'!$A330,Tabla1[nombre_actividad],'Grafico %'!C$1)/(200),NA())</f>
        <v>0.85321000000000002</v>
      </c>
      <c r="D330" s="70">
        <f ca="1">IF(TODAY()&gt;=$A330,SUMIFS(Tabla1[Avance_km],Tabla1[Fecha],"&lt;="&amp;'Grafico %'!$A330,Tabla1[nombre_actividad],'Grafico %'!D$1)/(200),NA())</f>
        <v>0.82903999999999956</v>
      </c>
      <c r="E330" s="70">
        <f ca="1">IF(TODAY()&gt;=$A330,SUMIFS(Tabla1[Avance_km],Tabla1[Fecha],"&lt;="&amp;'Grafico %'!$A330,Tabla1[nombre_actividad],'Grafico %'!E$1,Tabla1[Avance_km],"&gt;0")/(200),NA())</f>
        <v>0.74350000000000038</v>
      </c>
      <c r="F330" s="68">
        <f ca="1">IF(TODAY()&gt;=$A330,SUMIFS(Tabla1[Avance_Med],Tabla1[Fecha],"&lt;="&amp;'Grafico %'!$A330,Tabla1[nombre_actividad],'Grafico %'!F$1)/500,NA())</f>
        <v>0.79200000000000004</v>
      </c>
      <c r="G330" s="70">
        <f ca="1">IF(TODAY()&gt;=$A330,SUMIFS(Tabla1[Avance_km],Tabla1[Fecha],"&lt;="&amp;'Grafico %'!$A330,Tabla1[nombre_actividad],'Grafico %'!G$1)/(200),NA())</f>
        <v>0</v>
      </c>
      <c r="H330" s="70">
        <f ca="1">IF(TODAY()&gt;=$A330,SUMIFS(Tabla1[Avance_km],Tabla1[Fecha],"&lt;="&amp;'Grafico %'!$A330,Tabla1[nombre_actividad],'Grafico %'!H$1)/(200),NA())</f>
        <v>0.24931754096732836</v>
      </c>
    </row>
    <row r="331" spans="1:8" x14ac:dyDescent="0.25">
      <c r="A331" s="62">
        <f t="shared" si="5"/>
        <v>46292</v>
      </c>
      <c r="B331" s="33"/>
      <c r="C331" s="69">
        <f ca="1">IF(TODAY()&gt;=$A331,SUMIFS(Tabla1[Avance_km],Tabla1[Fecha],"&lt;="&amp;'Grafico %'!$A331,Tabla1[nombre_actividad],'Grafico %'!C$1)/(200),NA())</f>
        <v>0.85321000000000002</v>
      </c>
      <c r="D331" s="70">
        <f ca="1">IF(TODAY()&gt;=$A331,SUMIFS(Tabla1[Avance_km],Tabla1[Fecha],"&lt;="&amp;'Grafico %'!$A331,Tabla1[nombre_actividad],'Grafico %'!D$1)/(200),NA())</f>
        <v>0.82903999999999956</v>
      </c>
      <c r="E331" s="70">
        <f ca="1">IF(TODAY()&gt;=$A331,SUMIFS(Tabla1[Avance_km],Tabla1[Fecha],"&lt;="&amp;'Grafico %'!$A331,Tabla1[nombre_actividad],'Grafico %'!E$1,Tabla1[Avance_km],"&gt;0")/(200),NA())</f>
        <v>0.74350000000000038</v>
      </c>
      <c r="F331" s="68">
        <f ca="1">IF(TODAY()&gt;=$A331,SUMIFS(Tabla1[Avance_Med],Tabla1[Fecha],"&lt;="&amp;'Grafico %'!$A331,Tabla1[nombre_actividad],'Grafico %'!F$1)/500,NA())</f>
        <v>0.79200000000000004</v>
      </c>
      <c r="G331" s="70">
        <f ca="1">IF(TODAY()&gt;=$A331,SUMIFS(Tabla1[Avance_km],Tabla1[Fecha],"&lt;="&amp;'Grafico %'!$A331,Tabla1[nombre_actividad],'Grafico %'!G$1)/(200),NA())</f>
        <v>0</v>
      </c>
      <c r="H331" s="70">
        <f ca="1">IF(TODAY()&gt;=$A331,SUMIFS(Tabla1[Avance_km],Tabla1[Fecha],"&lt;="&amp;'Grafico %'!$A331,Tabla1[nombre_actividad],'Grafico %'!H$1)/(200),NA())</f>
        <v>0.24931754096732836</v>
      </c>
    </row>
    <row r="332" spans="1:8" x14ac:dyDescent="0.25">
      <c r="A332" s="62">
        <f t="shared" si="5"/>
        <v>46293</v>
      </c>
      <c r="B332" s="33"/>
      <c r="C332" s="69">
        <f ca="1">IF(TODAY()&gt;=$A332,SUMIFS(Tabla1[Avance_km],Tabla1[Fecha],"&lt;="&amp;'Grafico %'!$A332,Tabla1[nombre_actividad],'Grafico %'!C$1)/(200),NA())</f>
        <v>0.86820999999999993</v>
      </c>
      <c r="D332" s="70">
        <f ca="1">IF(TODAY()&gt;=$A332,SUMIFS(Tabla1[Avance_km],Tabla1[Fecha],"&lt;="&amp;'Grafico %'!$A332,Tabla1[nombre_actividad],'Grafico %'!D$1)/(200),NA())</f>
        <v>0.82903999999999956</v>
      </c>
      <c r="E332" s="70">
        <f ca="1">IF(TODAY()&gt;=$A332,SUMIFS(Tabla1[Avance_km],Tabla1[Fecha],"&lt;="&amp;'Grafico %'!$A332,Tabla1[nombre_actividad],'Grafico %'!E$1,Tabla1[Avance_km],"&gt;0")/(200),NA())</f>
        <v>0.74350000000000038</v>
      </c>
      <c r="F332" s="68">
        <f ca="1">IF(TODAY()&gt;=$A332,SUMIFS(Tabla1[Avance_Med],Tabla1[Fecha],"&lt;="&amp;'Grafico %'!$A332,Tabla1[nombre_actividad],'Grafico %'!F$1)/500,NA())</f>
        <v>0.79200000000000004</v>
      </c>
      <c r="G332" s="70">
        <f ca="1">IF(TODAY()&gt;=$A332,SUMIFS(Tabla1[Avance_km],Tabla1[Fecha],"&lt;="&amp;'Grafico %'!$A332,Tabla1[nombre_actividad],'Grafico %'!G$1)/(200),NA())</f>
        <v>0</v>
      </c>
      <c r="H332" s="70">
        <f ca="1">IF(TODAY()&gt;=$A332,SUMIFS(Tabla1[Avance_km],Tabla1[Fecha],"&lt;="&amp;'Grafico %'!$A332,Tabla1[nombre_actividad],'Grafico %'!H$1)/(200),NA())</f>
        <v>0.24931754096732836</v>
      </c>
    </row>
    <row r="333" spans="1:8" x14ac:dyDescent="0.25">
      <c r="A333" s="62">
        <f t="shared" si="5"/>
        <v>46294</v>
      </c>
      <c r="B333" s="33"/>
      <c r="C333" s="69">
        <f ca="1">IF(TODAY()&gt;=$A333,SUMIFS(Tabla1[Avance_km],Tabla1[Fecha],"&lt;="&amp;'Grafico %'!$A333,Tabla1[nombre_actividad],'Grafico %'!C$1)/(200),NA())</f>
        <v>0.89146000000000003</v>
      </c>
      <c r="D333" s="70">
        <f ca="1">IF(TODAY()&gt;=$A333,SUMIFS(Tabla1[Avance_km],Tabla1[Fecha],"&lt;="&amp;'Grafico %'!$A333,Tabla1[nombre_actividad],'Grafico %'!D$1)/(200),NA())</f>
        <v>0.82903999999999956</v>
      </c>
      <c r="E333" s="70">
        <f ca="1">IF(TODAY()&gt;=$A333,SUMIFS(Tabla1[Avance_km],Tabla1[Fecha],"&lt;="&amp;'Grafico %'!$A333,Tabla1[nombre_actividad],'Grafico %'!E$1,Tabla1[Avance_km],"&gt;0")/(200),NA())</f>
        <v>0.74350000000000038</v>
      </c>
      <c r="F333" s="68">
        <f ca="1">IF(TODAY()&gt;=$A333,SUMIFS(Tabla1[Avance_Med],Tabla1[Fecha],"&lt;="&amp;'Grafico %'!$A333,Tabla1[nombre_actividad],'Grafico %'!F$1)/500,NA())</f>
        <v>0.79200000000000004</v>
      </c>
      <c r="G333" s="70">
        <f ca="1">IF(TODAY()&gt;=$A333,SUMIFS(Tabla1[Avance_km],Tabla1[Fecha],"&lt;="&amp;'Grafico %'!$A333,Tabla1[nombre_actividad],'Grafico %'!G$1)/(200),NA())</f>
        <v>0</v>
      </c>
      <c r="H333" s="70">
        <f ca="1">IF(TODAY()&gt;=$A333,SUMIFS(Tabla1[Avance_km],Tabla1[Fecha],"&lt;="&amp;'Grafico %'!$A333,Tabla1[nombre_actividad],'Grafico %'!H$1)/(200),NA())</f>
        <v>0.27035959399194526</v>
      </c>
    </row>
    <row r="334" spans="1:8" x14ac:dyDescent="0.25">
      <c r="A334" s="62">
        <f t="shared" si="5"/>
        <v>46295</v>
      </c>
      <c r="B334" s="33"/>
      <c r="C334" s="69">
        <f ca="1">IF(TODAY()&gt;=$A334,SUMIFS(Tabla1[Avance_km],Tabla1[Fecha],"&lt;="&amp;'Grafico %'!$A334,Tabla1[nombre_actividad],'Grafico %'!C$1)/(200),NA())</f>
        <v>0.90130500000000002</v>
      </c>
      <c r="D334" s="70">
        <f ca="1">IF(TODAY()&gt;=$A334,SUMIFS(Tabla1[Avance_km],Tabla1[Fecha],"&lt;="&amp;'Grafico %'!$A334,Tabla1[nombre_actividad],'Grafico %'!D$1)/(200),NA())</f>
        <v>0.82903999999999956</v>
      </c>
      <c r="E334" s="70">
        <f ca="1">IF(TODAY()&gt;=$A334,SUMIFS(Tabla1[Avance_km],Tabla1[Fecha],"&lt;="&amp;'Grafico %'!$A334,Tabla1[nombre_actividad],'Grafico %'!E$1,Tabla1[Avance_km],"&gt;0")/(200),NA())</f>
        <v>0.74350000000000038</v>
      </c>
      <c r="F334" s="68">
        <f ca="1">IF(TODAY()&gt;=$A334,SUMIFS(Tabla1[Avance_Med],Tabla1[Fecha],"&lt;="&amp;'Grafico %'!$A334,Tabla1[nombre_actividad],'Grafico %'!F$1)/500,NA())</f>
        <v>0.79200000000000004</v>
      </c>
      <c r="G334" s="70">
        <f ca="1">IF(TODAY()&gt;=$A334,SUMIFS(Tabla1[Avance_km],Tabla1[Fecha],"&lt;="&amp;'Grafico %'!$A334,Tabla1[nombre_actividad],'Grafico %'!G$1)/(200),NA())</f>
        <v>0</v>
      </c>
      <c r="H334" s="70">
        <f ca="1">IF(TODAY()&gt;=$A334,SUMIFS(Tabla1[Avance_km],Tabla1[Fecha],"&lt;="&amp;'Grafico %'!$A334,Tabla1[nombre_actividad],'Grafico %'!H$1)/(200),NA())</f>
        <v>0.27035959399194526</v>
      </c>
    </row>
    <row r="335" spans="1:8" x14ac:dyDescent="0.25">
      <c r="A335" s="62">
        <f t="shared" si="5"/>
        <v>46296</v>
      </c>
      <c r="B335" s="33"/>
      <c r="C335" s="69">
        <f ca="1">IF(TODAY()&gt;=$A335,SUMIFS(Tabla1[Avance_km],Tabla1[Fecha],"&lt;="&amp;'Grafico %'!$A335,Tabla1[nombre_actividad],'Grafico %'!C$1)/(200),NA())</f>
        <v>0.90130500000000002</v>
      </c>
      <c r="D335" s="70">
        <f ca="1">IF(TODAY()&gt;=$A335,SUMIFS(Tabla1[Avance_km],Tabla1[Fecha],"&lt;="&amp;'Grafico %'!$A335,Tabla1[nombre_actividad],'Grafico %'!D$1)/(200),NA())</f>
        <v>0.83685499999999946</v>
      </c>
      <c r="E335" s="70">
        <f ca="1">IF(TODAY()&gt;=$A335,SUMIFS(Tabla1[Avance_km],Tabla1[Fecha],"&lt;="&amp;'Grafico %'!$A335,Tabla1[nombre_actividad],'Grafico %'!E$1,Tabla1[Avance_km],"&gt;0")/(200),NA())</f>
        <v>0.74350000000000038</v>
      </c>
      <c r="F335" s="68">
        <f ca="1">IF(TODAY()&gt;=$A335,SUMIFS(Tabla1[Avance_Med],Tabla1[Fecha],"&lt;="&amp;'Grafico %'!$A335,Tabla1[nombre_actividad],'Grafico %'!F$1)/500,NA())</f>
        <v>0.79200000000000004</v>
      </c>
      <c r="G335" s="70">
        <f ca="1">IF(TODAY()&gt;=$A335,SUMIFS(Tabla1[Avance_km],Tabla1[Fecha],"&lt;="&amp;'Grafico %'!$A335,Tabla1[nombre_actividad],'Grafico %'!G$1)/(200),NA())</f>
        <v>0</v>
      </c>
      <c r="H335" s="70">
        <f ca="1">IF(TODAY()&gt;=$A335,SUMIFS(Tabla1[Avance_km],Tabla1[Fecha],"&lt;="&amp;'Grafico %'!$A335,Tabla1[nombre_actividad],'Grafico %'!H$1)/(200),NA())</f>
        <v>0.28438762934168982</v>
      </c>
    </row>
    <row r="336" spans="1:8" x14ac:dyDescent="0.25">
      <c r="A336" s="62">
        <f t="shared" si="5"/>
        <v>46297</v>
      </c>
      <c r="B336" s="33"/>
      <c r="C336" s="69">
        <f ca="1">IF(TODAY()&gt;=$A336,SUMIFS(Tabla1[Avance_km],Tabla1[Fecha],"&lt;="&amp;'Grafico %'!$A336,Tabla1[nombre_actividad],'Grafico %'!C$1)/(200),NA())</f>
        <v>0.90130500000000002</v>
      </c>
      <c r="D336" s="70">
        <f ca="1">IF(TODAY()&gt;=$A336,SUMIFS(Tabla1[Avance_km],Tabla1[Fecha],"&lt;="&amp;'Grafico %'!$A336,Tabla1[nombre_actividad],'Grafico %'!D$1)/(200),NA())</f>
        <v>0.84886499999999943</v>
      </c>
      <c r="E336" s="70">
        <f ca="1">IF(TODAY()&gt;=$A336,SUMIFS(Tabla1[Avance_km],Tabla1[Fecha],"&lt;="&amp;'Grafico %'!$A336,Tabla1[nombre_actividad],'Grafico %'!E$1,Tabla1[Avance_km],"&gt;0")/(200),NA())</f>
        <v>0.74350000000000038</v>
      </c>
      <c r="F336" s="68">
        <f ca="1">IF(TODAY()&gt;=$A336,SUMIFS(Tabla1[Avance_Med],Tabla1[Fecha],"&lt;="&amp;'Grafico %'!$A336,Tabla1[nombre_actividad],'Grafico %'!F$1)/500,NA())</f>
        <v>0.79200000000000004</v>
      </c>
      <c r="G336" s="70">
        <f ca="1">IF(TODAY()&gt;=$A336,SUMIFS(Tabla1[Avance_km],Tabla1[Fecha],"&lt;="&amp;'Grafico %'!$A336,Tabla1[nombre_actividad],'Grafico %'!G$1)/(200),NA())</f>
        <v>0</v>
      </c>
      <c r="H336" s="70">
        <f ca="1">IF(TODAY()&gt;=$A336,SUMIFS(Tabla1[Avance_km],Tabla1[Fecha],"&lt;="&amp;'Grafico %'!$A336,Tabla1[nombre_actividad],'Grafico %'!H$1)/(200),NA())</f>
        <v>0.29841566469143443</v>
      </c>
    </row>
    <row r="337" spans="1:8" x14ac:dyDescent="0.25">
      <c r="A337" s="62">
        <f t="shared" si="5"/>
        <v>46298</v>
      </c>
      <c r="B337" s="33"/>
      <c r="C337" s="69">
        <f ca="1">IF(TODAY()&gt;=$A337,SUMIFS(Tabla1[Avance_km],Tabla1[Fecha],"&lt;="&amp;'Grafico %'!$A337,Tabla1[nombre_actividad],'Grafico %'!C$1)/(200),NA())</f>
        <v>0.90130500000000002</v>
      </c>
      <c r="D337" s="70">
        <f ca="1">IF(TODAY()&gt;=$A337,SUMIFS(Tabla1[Avance_km],Tabla1[Fecha],"&lt;="&amp;'Grafico %'!$A337,Tabla1[nombre_actividad],'Grafico %'!D$1)/(200),NA())</f>
        <v>0.84886499999999943</v>
      </c>
      <c r="E337" s="70">
        <f ca="1">IF(TODAY()&gt;=$A337,SUMIFS(Tabla1[Avance_km],Tabla1[Fecha],"&lt;="&amp;'Grafico %'!$A337,Tabla1[nombre_actividad],'Grafico %'!E$1,Tabla1[Avance_km],"&gt;0")/(200),NA())</f>
        <v>0.74350000000000038</v>
      </c>
      <c r="F337" s="68">
        <f ca="1">IF(TODAY()&gt;=$A337,SUMIFS(Tabla1[Avance_Med],Tabla1[Fecha],"&lt;="&amp;'Grafico %'!$A337,Tabla1[nombre_actividad],'Grafico %'!F$1)/500,NA())</f>
        <v>0.79200000000000004</v>
      </c>
      <c r="G337" s="70">
        <f ca="1">IF(TODAY()&gt;=$A337,SUMIFS(Tabla1[Avance_km],Tabla1[Fecha],"&lt;="&amp;'Grafico %'!$A337,Tabla1[nombre_actividad],'Grafico %'!G$1)/(200),NA())</f>
        <v>0</v>
      </c>
      <c r="H337" s="70">
        <f ca="1">IF(TODAY()&gt;=$A337,SUMIFS(Tabla1[Avance_km],Tabla1[Fecha],"&lt;="&amp;'Grafico %'!$A337,Tabla1[nombre_actividad],'Grafico %'!H$1)/(200),NA())</f>
        <v>0.29841566469143443</v>
      </c>
    </row>
    <row r="338" spans="1:8" x14ac:dyDescent="0.25">
      <c r="A338" s="62">
        <f t="shared" si="5"/>
        <v>46299</v>
      </c>
      <c r="B338" s="33"/>
      <c r="C338" s="69">
        <f ca="1">IF(TODAY()&gt;=$A338,SUMIFS(Tabla1[Avance_km],Tabla1[Fecha],"&lt;="&amp;'Grafico %'!$A338,Tabla1[nombre_actividad],'Grafico %'!C$1)/(200),NA())</f>
        <v>0.90130500000000002</v>
      </c>
      <c r="D338" s="70">
        <f ca="1">IF(TODAY()&gt;=$A338,SUMIFS(Tabla1[Avance_km],Tabla1[Fecha],"&lt;="&amp;'Grafico %'!$A338,Tabla1[nombre_actividad],'Grafico %'!D$1)/(200),NA())</f>
        <v>0.84886499999999943</v>
      </c>
      <c r="E338" s="70">
        <f ca="1">IF(TODAY()&gt;=$A338,SUMIFS(Tabla1[Avance_km],Tabla1[Fecha],"&lt;="&amp;'Grafico %'!$A338,Tabla1[nombre_actividad],'Grafico %'!E$1,Tabla1[Avance_km],"&gt;0")/(200),NA())</f>
        <v>0.74350000000000038</v>
      </c>
      <c r="F338" s="68">
        <f ca="1">IF(TODAY()&gt;=$A338,SUMIFS(Tabla1[Avance_Med],Tabla1[Fecha],"&lt;="&amp;'Grafico %'!$A338,Tabla1[nombre_actividad],'Grafico %'!F$1)/500,NA())</f>
        <v>0.79200000000000004</v>
      </c>
      <c r="G338" s="70">
        <f ca="1">IF(TODAY()&gt;=$A338,SUMIFS(Tabla1[Avance_km],Tabla1[Fecha],"&lt;="&amp;'Grafico %'!$A338,Tabla1[nombre_actividad],'Grafico %'!G$1)/(200),NA())</f>
        <v>0</v>
      </c>
      <c r="H338" s="70">
        <f ca="1">IF(TODAY()&gt;=$A338,SUMIFS(Tabla1[Avance_km],Tabla1[Fecha],"&lt;="&amp;'Grafico %'!$A338,Tabla1[nombre_actividad],'Grafico %'!H$1)/(200),NA())</f>
        <v>0.29841566469143443</v>
      </c>
    </row>
    <row r="339" spans="1:8" x14ac:dyDescent="0.25">
      <c r="A339" s="62">
        <f t="shared" si="5"/>
        <v>46300</v>
      </c>
      <c r="B339" s="33"/>
      <c r="C339" s="69">
        <f ca="1">IF(TODAY()&gt;=$A339,SUMIFS(Tabla1[Avance_km],Tabla1[Fecha],"&lt;="&amp;'Grafico %'!$A339,Tabla1[nombre_actividad],'Grafico %'!C$1)/(200),NA())</f>
        <v>0.90130500000000002</v>
      </c>
      <c r="D339" s="70">
        <f ca="1">IF(TODAY()&gt;=$A339,SUMIFS(Tabla1[Avance_km],Tabla1[Fecha],"&lt;="&amp;'Grafico %'!$A339,Tabla1[nombre_actividad],'Grafico %'!D$1)/(200),NA())</f>
        <v>0.85343499999999939</v>
      </c>
      <c r="E339" s="70">
        <f ca="1">IF(TODAY()&gt;=$A339,SUMIFS(Tabla1[Avance_km],Tabla1[Fecha],"&lt;="&amp;'Grafico %'!$A339,Tabla1[nombre_actividad],'Grafico %'!E$1,Tabla1[Avance_km],"&gt;0")/(200),NA())</f>
        <v>0.74350000000000038</v>
      </c>
      <c r="F339" s="68">
        <f ca="1">IF(TODAY()&gt;=$A339,SUMIFS(Tabla1[Avance_Med],Tabla1[Fecha],"&lt;="&amp;'Grafico %'!$A339,Tabla1[nombre_actividad],'Grafico %'!F$1)/500,NA())</f>
        <v>0.79200000000000004</v>
      </c>
      <c r="G339" s="70">
        <f ca="1">IF(TODAY()&gt;=$A339,SUMIFS(Tabla1[Avance_km],Tabla1[Fecha],"&lt;="&amp;'Grafico %'!$A339,Tabla1[nombre_actividad],'Grafico %'!G$1)/(200),NA())</f>
        <v>0</v>
      </c>
      <c r="H339" s="70">
        <f ca="1">IF(TODAY()&gt;=$A339,SUMIFS(Tabla1[Avance_km],Tabla1[Fecha],"&lt;="&amp;'Grafico %'!$A339,Tabla1[nombre_actividad],'Grafico %'!H$1)/(200),NA())</f>
        <v>0.29841566469143443</v>
      </c>
    </row>
    <row r="340" spans="1:8" x14ac:dyDescent="0.25">
      <c r="A340" s="62">
        <f t="shared" si="5"/>
        <v>46301</v>
      </c>
      <c r="B340" s="33"/>
      <c r="C340" s="69">
        <f ca="1">IF(TODAY()&gt;=$A340,SUMIFS(Tabla1[Avance_km],Tabla1[Fecha],"&lt;="&amp;'Grafico %'!$A340,Tabla1[nombre_actividad],'Grafico %'!C$1)/(200),NA())</f>
        <v>0.90767999999999982</v>
      </c>
      <c r="D340" s="70">
        <f ca="1">IF(TODAY()&gt;=$A340,SUMIFS(Tabla1[Avance_km],Tabla1[Fecha],"&lt;="&amp;'Grafico %'!$A340,Tabla1[nombre_actividad],'Grafico %'!D$1)/(200),NA())</f>
        <v>0.85343499999999939</v>
      </c>
      <c r="E340" s="70">
        <f ca="1">IF(TODAY()&gt;=$A340,SUMIFS(Tabla1[Avance_km],Tabla1[Fecha],"&lt;="&amp;'Grafico %'!$A340,Tabla1[nombre_actividad],'Grafico %'!E$1,Tabla1[Avance_km],"&gt;0")/(200),NA())</f>
        <v>0.74350000000000038</v>
      </c>
      <c r="F340" s="68">
        <f ca="1">IF(TODAY()&gt;=$A340,SUMIFS(Tabla1[Avance_Med],Tabla1[Fecha],"&lt;="&amp;'Grafico %'!$A340,Tabla1[nombre_actividad],'Grafico %'!F$1)/500,NA())</f>
        <v>0.79200000000000004</v>
      </c>
      <c r="G340" s="70">
        <f ca="1">IF(TODAY()&gt;=$A340,SUMIFS(Tabla1[Avance_km],Tabla1[Fecha],"&lt;="&amp;'Grafico %'!$A340,Tabla1[nombre_actividad],'Grafico %'!G$1)/(200),NA())</f>
        <v>0</v>
      </c>
      <c r="H340" s="70">
        <f ca="1">IF(TODAY()&gt;=$A340,SUMIFS(Tabla1[Avance_km],Tabla1[Fecha],"&lt;="&amp;'Grafico %'!$A340,Tabla1[nombre_actividad],'Grafico %'!H$1)/(200),NA())</f>
        <v>0.29841566469143443</v>
      </c>
    </row>
    <row r="341" spans="1:8" x14ac:dyDescent="0.25">
      <c r="A341" s="62">
        <f t="shared" si="5"/>
        <v>46302</v>
      </c>
      <c r="B341" s="33"/>
      <c r="C341" s="69">
        <f ca="1">IF(TODAY()&gt;=$A341,SUMIFS(Tabla1[Avance_km],Tabla1[Fecha],"&lt;="&amp;'Grafico %'!$A341,Tabla1[nombre_actividad],'Grafico %'!C$1)/(200),NA())</f>
        <v>0.90894249999999988</v>
      </c>
      <c r="D341" s="70">
        <f ca="1">IF(TODAY()&gt;=$A341,SUMIFS(Tabla1[Avance_km],Tabla1[Fecha],"&lt;="&amp;'Grafico %'!$A341,Tabla1[nombre_actividad],'Grafico %'!D$1)/(200),NA())</f>
        <v>0.85343499999999939</v>
      </c>
      <c r="E341" s="70">
        <f ca="1">IF(TODAY()&gt;=$A341,SUMIFS(Tabla1[Avance_km],Tabla1[Fecha],"&lt;="&amp;'Grafico %'!$A341,Tabla1[nombre_actividad],'Grafico %'!E$1,Tabla1[Avance_km],"&gt;0")/(200),NA())</f>
        <v>0.74350000000000038</v>
      </c>
      <c r="F341" s="68">
        <f ca="1">IF(TODAY()&gt;=$A341,SUMIFS(Tabla1[Avance_Med],Tabla1[Fecha],"&lt;="&amp;'Grafico %'!$A341,Tabla1[nombre_actividad],'Grafico %'!F$1)/500,NA())</f>
        <v>0.79200000000000004</v>
      </c>
      <c r="G341" s="70">
        <f ca="1">IF(TODAY()&gt;=$A341,SUMIFS(Tabla1[Avance_km],Tabla1[Fecha],"&lt;="&amp;'Grafico %'!$A341,Tabla1[nombre_actividad],'Grafico %'!G$1)/(200),NA())</f>
        <v>0</v>
      </c>
      <c r="H341" s="70">
        <f ca="1">IF(TODAY()&gt;=$A341,SUMIFS(Tabla1[Avance_km],Tabla1[Fecha],"&lt;="&amp;'Grafico %'!$A341,Tabla1[nombre_actividad],'Grafico %'!H$1)/(200),NA())</f>
        <v>0.29841566469143443</v>
      </c>
    </row>
    <row r="342" spans="1:8" x14ac:dyDescent="0.25">
      <c r="A342" s="62">
        <f t="shared" si="5"/>
        <v>46303</v>
      </c>
      <c r="B342" s="33"/>
      <c r="C342" s="69">
        <f ca="1">IF(TODAY()&gt;=$A342,SUMIFS(Tabla1[Avance_km],Tabla1[Fecha],"&lt;="&amp;'Grafico %'!$A342,Tabla1[nombre_actividad],'Grafico %'!C$1)/(200),NA())</f>
        <v>0.90942749999999994</v>
      </c>
      <c r="D342" s="70">
        <f ca="1">IF(TODAY()&gt;=$A342,SUMIFS(Tabla1[Avance_km],Tabla1[Fecha],"&lt;="&amp;'Grafico %'!$A342,Tabla1[nombre_actividad],'Grafico %'!D$1)/(200),NA())</f>
        <v>0.85343499999999939</v>
      </c>
      <c r="E342" s="70">
        <f ca="1">IF(TODAY()&gt;=$A342,SUMIFS(Tabla1[Avance_km],Tabla1[Fecha],"&lt;="&amp;'Grafico %'!$A342,Tabla1[nombre_actividad],'Grafico %'!E$1,Tabla1[Avance_km],"&gt;0")/(200),NA())</f>
        <v>0.7516225000000003</v>
      </c>
      <c r="F342" s="68">
        <f ca="1">IF(TODAY()&gt;=$A342,SUMIFS(Tabla1[Avance_Med],Tabla1[Fecha],"&lt;="&amp;'Grafico %'!$A342,Tabla1[nombre_actividad],'Grafico %'!F$1)/500,NA())</f>
        <v>0.79200000000000004</v>
      </c>
      <c r="G342" s="70">
        <f ca="1">IF(TODAY()&gt;=$A342,SUMIFS(Tabla1[Avance_km],Tabla1[Fecha],"&lt;="&amp;'Grafico %'!$A342,Tabla1[nombre_actividad],'Grafico %'!G$1)/(200),NA())</f>
        <v>0</v>
      </c>
      <c r="H342" s="70">
        <f ca="1">IF(TODAY()&gt;=$A342,SUMIFS(Tabla1[Avance_km],Tabla1[Fecha],"&lt;="&amp;'Grafico %'!$A342,Tabla1[nombre_actividad],'Grafico %'!H$1)/(200),NA())</f>
        <v>0.29841566469143443</v>
      </c>
    </row>
    <row r="343" spans="1:8" x14ac:dyDescent="0.25">
      <c r="A343" s="62">
        <f t="shared" si="5"/>
        <v>46304</v>
      </c>
      <c r="B343" s="33"/>
      <c r="C343" s="69">
        <f ca="1">IF(TODAY()&gt;=$A343,SUMIFS(Tabla1[Avance_km],Tabla1[Fecha],"&lt;="&amp;'Grafico %'!$A343,Tabla1[nombre_actividad],'Grafico %'!C$1)/(200),NA())</f>
        <v>0.90942749999999994</v>
      </c>
      <c r="D343" s="70">
        <f ca="1">IF(TODAY()&gt;=$A343,SUMIFS(Tabla1[Avance_km],Tabla1[Fecha],"&lt;="&amp;'Grafico %'!$A343,Tabla1[nombre_actividad],'Grafico %'!D$1)/(200),NA())</f>
        <v>0.85710499999999923</v>
      </c>
      <c r="E343" s="70">
        <f ca="1">IF(TODAY()&gt;=$A343,SUMIFS(Tabla1[Avance_km],Tabla1[Fecha],"&lt;="&amp;'Grafico %'!$A343,Tabla1[nombre_actividad],'Grafico %'!E$1,Tabla1[Avance_km],"&gt;0")/(200),NA())</f>
        <v>0.7516225000000003</v>
      </c>
      <c r="F343" s="68">
        <f ca="1">IF(TODAY()&gt;=$A343,SUMIFS(Tabla1[Avance_Med],Tabla1[Fecha],"&lt;="&amp;'Grafico %'!$A343,Tabla1[nombre_actividad],'Grafico %'!F$1)/500,NA())</f>
        <v>0.79200000000000004</v>
      </c>
      <c r="G343" s="70">
        <f ca="1">IF(TODAY()&gt;=$A343,SUMIFS(Tabla1[Avance_km],Tabla1[Fecha],"&lt;="&amp;'Grafico %'!$A343,Tabla1[nombre_actividad],'Grafico %'!G$1)/(200),NA())</f>
        <v>0</v>
      </c>
      <c r="H343" s="70">
        <f ca="1">IF(TODAY()&gt;=$A343,SUMIFS(Tabla1[Avance_km],Tabla1[Fecha],"&lt;="&amp;'Grafico %'!$A343,Tabla1[nombre_actividad],'Grafico %'!H$1)/(200),NA())</f>
        <v>0.29841566469143443</v>
      </c>
    </row>
    <row r="344" spans="1:8" x14ac:dyDescent="0.25">
      <c r="A344" s="62">
        <f t="shared" si="5"/>
        <v>46305</v>
      </c>
      <c r="B344" s="33"/>
      <c r="C344" s="69">
        <f ca="1">IF(TODAY()&gt;=$A344,SUMIFS(Tabla1[Avance_km],Tabla1[Fecha],"&lt;="&amp;'Grafico %'!$A344,Tabla1[nombre_actividad],'Grafico %'!C$1)/(200),NA())</f>
        <v>0.90942749999999994</v>
      </c>
      <c r="D344" s="70">
        <f ca="1">IF(TODAY()&gt;=$A344,SUMIFS(Tabla1[Avance_km],Tabla1[Fecha],"&lt;="&amp;'Grafico %'!$A344,Tabla1[nombre_actividad],'Grafico %'!D$1)/(200),NA())</f>
        <v>0.85710499999999923</v>
      </c>
      <c r="E344" s="70">
        <f ca="1">IF(TODAY()&gt;=$A344,SUMIFS(Tabla1[Avance_km],Tabla1[Fecha],"&lt;="&amp;'Grafico %'!$A344,Tabla1[nombre_actividad],'Grafico %'!E$1,Tabla1[Avance_km],"&gt;0")/(200),NA())</f>
        <v>0.7516225000000003</v>
      </c>
      <c r="F344" s="68">
        <f ca="1">IF(TODAY()&gt;=$A344,SUMIFS(Tabla1[Avance_Med],Tabla1[Fecha],"&lt;="&amp;'Grafico %'!$A344,Tabla1[nombre_actividad],'Grafico %'!F$1)/500,NA())</f>
        <v>0.79200000000000004</v>
      </c>
      <c r="G344" s="70">
        <f ca="1">IF(TODAY()&gt;=$A344,SUMIFS(Tabla1[Avance_km],Tabla1[Fecha],"&lt;="&amp;'Grafico %'!$A344,Tabla1[nombre_actividad],'Grafico %'!G$1)/(200),NA())</f>
        <v>0</v>
      </c>
      <c r="H344" s="70">
        <f ca="1">IF(TODAY()&gt;=$A344,SUMIFS(Tabla1[Avance_km],Tabla1[Fecha],"&lt;="&amp;'Grafico %'!$A344,Tabla1[nombre_actividad],'Grafico %'!H$1)/(200),NA())</f>
        <v>0.34162820123420379</v>
      </c>
    </row>
    <row r="345" spans="1:8" x14ac:dyDescent="0.25">
      <c r="A345" s="62">
        <f t="shared" si="5"/>
        <v>46306</v>
      </c>
      <c r="B345" s="33"/>
      <c r="C345" s="69">
        <f ca="1">IF(TODAY()&gt;=$A345,SUMIFS(Tabla1[Avance_km],Tabla1[Fecha],"&lt;="&amp;'Grafico %'!$A345,Tabla1[nombre_actividad],'Grafico %'!C$1)/(200),NA())</f>
        <v>0.90942749999999994</v>
      </c>
      <c r="D345" s="70">
        <f ca="1">IF(TODAY()&gt;=$A345,SUMIFS(Tabla1[Avance_km],Tabla1[Fecha],"&lt;="&amp;'Grafico %'!$A345,Tabla1[nombre_actividad],'Grafico %'!D$1)/(200),NA())</f>
        <v>0.85710499999999923</v>
      </c>
      <c r="E345" s="70">
        <f ca="1">IF(TODAY()&gt;=$A345,SUMIFS(Tabla1[Avance_km],Tabla1[Fecha],"&lt;="&amp;'Grafico %'!$A345,Tabla1[nombre_actividad],'Grafico %'!E$1,Tabla1[Avance_km],"&gt;0")/(200),NA())</f>
        <v>0.7516225000000003</v>
      </c>
      <c r="F345" s="68">
        <f ca="1">IF(TODAY()&gt;=$A345,SUMIFS(Tabla1[Avance_Med],Tabla1[Fecha],"&lt;="&amp;'Grafico %'!$A345,Tabla1[nombre_actividad],'Grafico %'!F$1)/500,NA())</f>
        <v>0.79200000000000004</v>
      </c>
      <c r="G345" s="70">
        <f ca="1">IF(TODAY()&gt;=$A345,SUMIFS(Tabla1[Avance_km],Tabla1[Fecha],"&lt;="&amp;'Grafico %'!$A345,Tabla1[nombre_actividad],'Grafico %'!G$1)/(200),NA())</f>
        <v>0</v>
      </c>
      <c r="H345" s="70">
        <f ca="1">IF(TODAY()&gt;=$A345,SUMIFS(Tabla1[Avance_km],Tabla1[Fecha],"&lt;="&amp;'Grafico %'!$A345,Tabla1[nombre_actividad],'Grafico %'!H$1)/(200),NA())</f>
        <v>0.37952227174094011</v>
      </c>
    </row>
    <row r="346" spans="1:8" x14ac:dyDescent="0.25">
      <c r="A346" s="62">
        <f t="shared" si="5"/>
        <v>46307</v>
      </c>
      <c r="B346" s="33"/>
      <c r="C346" s="69">
        <f ca="1">IF(TODAY()&gt;=$A346,SUMIFS(Tabla1[Avance_km],Tabla1[Fecha],"&lt;="&amp;'Grafico %'!$A346,Tabla1[nombre_actividad],'Grafico %'!C$1)/(200),NA())</f>
        <v>0.90942749999999994</v>
      </c>
      <c r="D346" s="70">
        <f ca="1">IF(TODAY()&gt;=$A346,SUMIFS(Tabla1[Avance_km],Tabla1[Fecha],"&lt;="&amp;'Grafico %'!$A346,Tabla1[nombre_actividad],'Grafico %'!D$1)/(200),NA())</f>
        <v>0.85710499999999923</v>
      </c>
      <c r="E346" s="70">
        <f ca="1">IF(TODAY()&gt;=$A346,SUMIFS(Tabla1[Avance_km],Tabla1[Fecha],"&lt;="&amp;'Grafico %'!$A346,Tabla1[nombre_actividad],'Grafico %'!E$1,Tabla1[Avance_km],"&gt;0")/(200),NA())</f>
        <v>0.7516225000000003</v>
      </c>
      <c r="F346" s="68">
        <f ca="1">IF(TODAY()&gt;=$A346,SUMIFS(Tabla1[Avance_Med],Tabla1[Fecha],"&lt;="&amp;'Grafico %'!$A346,Tabla1[nombre_actividad],'Grafico %'!F$1)/500,NA())</f>
        <v>0.79200000000000004</v>
      </c>
      <c r="G346" s="70">
        <f ca="1">IF(TODAY()&gt;=$A346,SUMIFS(Tabla1[Avance_km],Tabla1[Fecha],"&lt;="&amp;'Grafico %'!$A346,Tabla1[nombre_actividad],'Grafico %'!G$1)/(200),NA())</f>
        <v>0</v>
      </c>
      <c r="H346" s="70">
        <f ca="1">IF(TODAY()&gt;=$A346,SUMIFS(Tabla1[Avance_km],Tabla1[Fecha],"&lt;="&amp;'Grafico %'!$A346,Tabla1[nombre_actividad],'Grafico %'!H$1)/(200),NA())</f>
        <v>0.43137731559226333</v>
      </c>
    </row>
    <row r="347" spans="1:8" x14ac:dyDescent="0.25">
      <c r="A347" s="62">
        <f t="shared" si="5"/>
        <v>46308</v>
      </c>
      <c r="B347" s="33"/>
      <c r="C347" s="69">
        <f ca="1">IF(TODAY()&gt;=$A347,SUMIFS(Tabla1[Avance_km],Tabla1[Fecha],"&lt;="&amp;'Grafico %'!$A347,Tabla1[nombre_actividad],'Grafico %'!C$1)/(200),NA())</f>
        <v>0.90942749999999994</v>
      </c>
      <c r="D347" s="70">
        <f ca="1">IF(TODAY()&gt;=$A347,SUMIFS(Tabla1[Avance_km],Tabla1[Fecha],"&lt;="&amp;'Grafico %'!$A347,Tabla1[nombre_actividad],'Grafico %'!D$1)/(200),NA())</f>
        <v>0.86152249999999919</v>
      </c>
      <c r="E347" s="70">
        <f ca="1">IF(TODAY()&gt;=$A347,SUMIFS(Tabla1[Avance_km],Tabla1[Fecha],"&lt;="&amp;'Grafico %'!$A347,Tabla1[nombre_actividad],'Grafico %'!E$1,Tabla1[Avance_km],"&gt;0")/(200),NA())</f>
        <v>0.7516225000000003</v>
      </c>
      <c r="F347" s="68">
        <f ca="1">IF(TODAY()&gt;=$A347,SUMIFS(Tabla1[Avance_Med],Tabla1[Fecha],"&lt;="&amp;'Grafico %'!$A347,Tabla1[nombre_actividad],'Grafico %'!F$1)/500,NA())</f>
        <v>0.79200000000000004</v>
      </c>
      <c r="G347" s="70">
        <f ca="1">IF(TODAY()&gt;=$A347,SUMIFS(Tabla1[Avance_km],Tabla1[Fecha],"&lt;="&amp;'Grafico %'!$A347,Tabla1[nombre_actividad],'Grafico %'!G$1)/(200),NA())</f>
        <v>0</v>
      </c>
      <c r="H347" s="70">
        <f ca="1">IF(TODAY()&gt;=$A347,SUMIFS(Tabla1[Avance_km],Tabla1[Fecha],"&lt;="&amp;'Grafico %'!$A347,Tabla1[nombre_actividad],'Grafico %'!H$1)/(200),NA())</f>
        <v>0.43137731559226333</v>
      </c>
    </row>
    <row r="348" spans="1:8" x14ac:dyDescent="0.25">
      <c r="A348" s="62">
        <f t="shared" si="5"/>
        <v>46309</v>
      </c>
      <c r="B348" s="33"/>
      <c r="C348" s="69">
        <f ca="1">IF(TODAY()&gt;=$A348,SUMIFS(Tabla1[Avance_km],Tabla1[Fecha],"&lt;="&amp;'Grafico %'!$A348,Tabla1[nombre_actividad],'Grafico %'!C$1)/(200),NA())</f>
        <v>0.90942749999999994</v>
      </c>
      <c r="D348" s="70">
        <f ca="1">IF(TODAY()&gt;=$A348,SUMIFS(Tabla1[Avance_km],Tabla1[Fecha],"&lt;="&amp;'Grafico %'!$A348,Tabla1[nombre_actividad],'Grafico %'!D$1)/(200),NA())</f>
        <v>0.86768249999999936</v>
      </c>
      <c r="E348" s="70">
        <f ca="1">IF(TODAY()&gt;=$A348,SUMIFS(Tabla1[Avance_km],Tabla1[Fecha],"&lt;="&amp;'Grafico %'!$A348,Tabla1[nombre_actividad],'Grafico %'!E$1,Tabla1[Avance_km],"&gt;0")/(200),NA())</f>
        <v>0.7516225000000003</v>
      </c>
      <c r="F348" s="68">
        <f ca="1">IF(TODAY()&gt;=$A348,SUMIFS(Tabla1[Avance_Med],Tabla1[Fecha],"&lt;="&amp;'Grafico %'!$A348,Tabla1[nombre_actividad],'Grafico %'!F$1)/500,NA())</f>
        <v>0.79200000000000004</v>
      </c>
      <c r="G348" s="70">
        <f ca="1">IF(TODAY()&gt;=$A348,SUMIFS(Tabla1[Avance_km],Tabla1[Fecha],"&lt;="&amp;'Grafico %'!$A348,Tabla1[nombre_actividad],'Grafico %'!G$1)/(200),NA())</f>
        <v>0</v>
      </c>
      <c r="H348" s="70">
        <f ca="1">IF(TODAY()&gt;=$A348,SUMIFS(Tabla1[Avance_km],Tabla1[Fecha],"&lt;="&amp;'Grafico %'!$A348,Tabla1[nombre_actividad],'Grafico %'!H$1)/(200),NA())</f>
        <v>0.43137731559226333</v>
      </c>
    </row>
    <row r="349" spans="1:8" x14ac:dyDescent="0.25">
      <c r="A349" s="62">
        <f t="shared" si="5"/>
        <v>46310</v>
      </c>
      <c r="B349" s="33"/>
      <c r="C349" s="69">
        <f ca="1">IF(TODAY()&gt;=$A349,SUMIFS(Tabla1[Avance_km],Tabla1[Fecha],"&lt;="&amp;'Grafico %'!$A349,Tabla1[nombre_actividad],'Grafico %'!C$1)/(200),NA())</f>
        <v>0.90942749999999994</v>
      </c>
      <c r="D349" s="70">
        <f ca="1">IF(TODAY()&gt;=$A349,SUMIFS(Tabla1[Avance_km],Tabla1[Fecha],"&lt;="&amp;'Grafico %'!$A349,Tabla1[nombre_actividad],'Grafico %'!D$1)/(200),NA())</f>
        <v>0.88111249999999941</v>
      </c>
      <c r="E349" s="70">
        <f ca="1">IF(TODAY()&gt;=$A349,SUMIFS(Tabla1[Avance_km],Tabla1[Fecha],"&lt;="&amp;'Grafico %'!$A349,Tabla1[nombre_actividad],'Grafico %'!E$1,Tabla1[Avance_km],"&gt;0")/(200),NA())</f>
        <v>0.7516225000000003</v>
      </c>
      <c r="F349" s="68">
        <f ca="1">IF(TODAY()&gt;=$A349,SUMIFS(Tabla1[Avance_Med],Tabla1[Fecha],"&lt;="&amp;'Grafico %'!$A349,Tabla1[nombre_actividad],'Grafico %'!F$1)/500,NA())</f>
        <v>0.79200000000000004</v>
      </c>
      <c r="G349" s="70">
        <f ca="1">IF(TODAY()&gt;=$A349,SUMIFS(Tabla1[Avance_km],Tabla1[Fecha],"&lt;="&amp;'Grafico %'!$A349,Tabla1[nombre_actividad],'Grafico %'!G$1)/(200),NA())</f>
        <v>0</v>
      </c>
      <c r="H349" s="70">
        <f ca="1">IF(TODAY()&gt;=$A349,SUMIFS(Tabla1[Avance_km],Tabla1[Fecha],"&lt;="&amp;'Grafico %'!$A349,Tabla1[nombre_actividad],'Grafico %'!H$1)/(200),NA())</f>
        <v>0.43137731559226333</v>
      </c>
    </row>
    <row r="350" spans="1:8" x14ac:dyDescent="0.25">
      <c r="A350" s="62">
        <f t="shared" si="5"/>
        <v>46311</v>
      </c>
      <c r="B350" s="33"/>
      <c r="C350" s="69">
        <f ca="1">IF(TODAY()&gt;=$A350,SUMIFS(Tabla1[Avance_km],Tabla1[Fecha],"&lt;="&amp;'Grafico %'!$A350,Tabla1[nombre_actividad],'Grafico %'!C$1)/(200),NA())</f>
        <v>0.90942749999999994</v>
      </c>
      <c r="D350" s="70">
        <f ca="1">IF(TODAY()&gt;=$A350,SUMIFS(Tabla1[Avance_km],Tabla1[Fecha],"&lt;="&amp;'Grafico %'!$A350,Tabla1[nombre_actividad],'Grafico %'!D$1)/(200),NA())</f>
        <v>0.89507249999999938</v>
      </c>
      <c r="E350" s="70">
        <f ca="1">IF(TODAY()&gt;=$A350,SUMIFS(Tabla1[Avance_km],Tabla1[Fecha],"&lt;="&amp;'Grafico %'!$A350,Tabla1[nombre_actividad],'Grafico %'!E$1,Tabla1[Avance_km],"&gt;0")/(200),NA())</f>
        <v>0.7516225000000003</v>
      </c>
      <c r="F350" s="68">
        <f ca="1">IF(TODAY()&gt;=$A350,SUMIFS(Tabla1[Avance_Med],Tabla1[Fecha],"&lt;="&amp;'Grafico %'!$A350,Tabla1[nombre_actividad],'Grafico %'!F$1)/500,NA())</f>
        <v>0.79200000000000004</v>
      </c>
      <c r="G350" s="70">
        <f ca="1">IF(TODAY()&gt;=$A350,SUMIFS(Tabla1[Avance_km],Tabla1[Fecha],"&lt;="&amp;'Grafico %'!$A350,Tabla1[nombre_actividad],'Grafico %'!G$1)/(200),NA())</f>
        <v>0</v>
      </c>
      <c r="H350" s="70">
        <f ca="1">IF(TODAY()&gt;=$A350,SUMIFS(Tabla1[Avance_km],Tabla1[Fecha],"&lt;="&amp;'Grafico %'!$A350,Tabla1[nombre_actividad],'Grafico %'!H$1)/(200),NA())</f>
        <v>0.43137731559226333</v>
      </c>
    </row>
    <row r="351" spans="1:8" x14ac:dyDescent="0.25">
      <c r="A351" s="62">
        <f t="shared" si="5"/>
        <v>46312</v>
      </c>
      <c r="B351" s="33"/>
      <c r="C351" s="69">
        <f ca="1">IF(TODAY()&gt;=$A351,SUMIFS(Tabla1[Avance_km],Tabla1[Fecha],"&lt;="&amp;'Grafico %'!$A351,Tabla1[nombre_actividad],'Grafico %'!C$1)/(200),NA())</f>
        <v>0.90942749999999994</v>
      </c>
      <c r="D351" s="70">
        <f ca="1">IF(TODAY()&gt;=$A351,SUMIFS(Tabla1[Avance_km],Tabla1[Fecha],"&lt;="&amp;'Grafico %'!$A351,Tabla1[nombre_actividad],'Grafico %'!D$1)/(200),NA())</f>
        <v>0.90212749999999942</v>
      </c>
      <c r="E351" s="70">
        <f ca="1">IF(TODAY()&gt;=$A351,SUMIFS(Tabla1[Avance_km],Tabla1[Fecha],"&lt;="&amp;'Grafico %'!$A351,Tabla1[nombre_actividad],'Grafico %'!E$1,Tabla1[Avance_km],"&gt;0")/(200),NA())</f>
        <v>0.7516225000000003</v>
      </c>
      <c r="F351" s="68">
        <f ca="1">IF(TODAY()&gt;=$A351,SUMIFS(Tabla1[Avance_Med],Tabla1[Fecha],"&lt;="&amp;'Grafico %'!$A351,Tabla1[nombre_actividad],'Grafico %'!F$1)/500,NA())</f>
        <v>0.79200000000000004</v>
      </c>
      <c r="G351" s="70">
        <f ca="1">IF(TODAY()&gt;=$A351,SUMIFS(Tabla1[Avance_km],Tabla1[Fecha],"&lt;="&amp;'Grafico %'!$A351,Tabla1[nombre_actividad],'Grafico %'!G$1)/(200),NA())</f>
        <v>0</v>
      </c>
      <c r="H351" s="70">
        <f ca="1">IF(TODAY()&gt;=$A351,SUMIFS(Tabla1[Avance_km],Tabla1[Fecha],"&lt;="&amp;'Grafico %'!$A351,Tabla1[nombre_actividad],'Grafico %'!H$1)/(200),NA())</f>
        <v>0.43137731559226333</v>
      </c>
    </row>
    <row r="352" spans="1:8" x14ac:dyDescent="0.25">
      <c r="A352" s="62">
        <f t="shared" si="5"/>
        <v>46313</v>
      </c>
      <c r="B352" s="33"/>
      <c r="C352" s="69">
        <f ca="1">IF(TODAY()&gt;=$A352,SUMIFS(Tabla1[Avance_km],Tabla1[Fecha],"&lt;="&amp;'Grafico %'!$A352,Tabla1[nombre_actividad],'Grafico %'!C$1)/(200),NA())</f>
        <v>0.90942749999999994</v>
      </c>
      <c r="D352" s="70">
        <f ca="1">IF(TODAY()&gt;=$A352,SUMIFS(Tabla1[Avance_km],Tabla1[Fecha],"&lt;="&amp;'Grafico %'!$A352,Tabla1[nombre_actividad],'Grafico %'!D$1)/(200),NA())</f>
        <v>0.90212749999999942</v>
      </c>
      <c r="E352" s="70">
        <f ca="1">IF(TODAY()&gt;=$A352,SUMIFS(Tabla1[Avance_km],Tabla1[Fecha],"&lt;="&amp;'Grafico %'!$A352,Tabla1[nombre_actividad],'Grafico %'!E$1,Tabla1[Avance_km],"&gt;0")/(200),NA())</f>
        <v>0.7516225000000003</v>
      </c>
      <c r="F352" s="68">
        <f ca="1">IF(TODAY()&gt;=$A352,SUMIFS(Tabla1[Avance_Med],Tabla1[Fecha],"&lt;="&amp;'Grafico %'!$A352,Tabla1[nombre_actividad],'Grafico %'!F$1)/500,NA())</f>
        <v>0.79200000000000004</v>
      </c>
      <c r="G352" s="70">
        <f ca="1">IF(TODAY()&gt;=$A352,SUMIFS(Tabla1[Avance_km],Tabla1[Fecha],"&lt;="&amp;'Grafico %'!$A352,Tabla1[nombre_actividad],'Grafico %'!G$1)/(200),NA())</f>
        <v>0</v>
      </c>
      <c r="H352" s="70">
        <f ca="1">IF(TODAY()&gt;=$A352,SUMIFS(Tabla1[Avance_km],Tabla1[Fecha],"&lt;="&amp;'Grafico %'!$A352,Tabla1[nombre_actividad],'Grafico %'!H$1)/(200),NA())</f>
        <v>0.43137731559226333</v>
      </c>
    </row>
    <row r="353" spans="1:8" x14ac:dyDescent="0.25">
      <c r="A353" s="62">
        <f t="shared" si="5"/>
        <v>46314</v>
      </c>
      <c r="B353" s="33"/>
      <c r="C353" s="69">
        <f ca="1">IF(TODAY()&gt;=$A353,SUMIFS(Tabla1[Avance_km],Tabla1[Fecha],"&lt;="&amp;'Grafico %'!$A353,Tabla1[nombre_actividad],'Grafico %'!C$1)/(200),NA())</f>
        <v>0.90942749999999994</v>
      </c>
      <c r="D353" s="70">
        <f ca="1">IF(TODAY()&gt;=$A353,SUMIFS(Tabla1[Avance_km],Tabla1[Fecha],"&lt;="&amp;'Grafico %'!$A353,Tabla1[nombre_actividad],'Grafico %'!D$1)/(200),NA())</f>
        <v>0.90212749999999942</v>
      </c>
      <c r="E353" s="70">
        <f ca="1">IF(TODAY()&gt;=$A353,SUMIFS(Tabla1[Avance_km],Tabla1[Fecha],"&lt;="&amp;'Grafico %'!$A353,Tabla1[nombre_actividad],'Grafico %'!E$1,Tabla1[Avance_km],"&gt;0")/(200),NA())</f>
        <v>0.7516225000000003</v>
      </c>
      <c r="F353" s="68">
        <f ca="1">IF(TODAY()&gt;=$A353,SUMIFS(Tabla1[Avance_Med],Tabla1[Fecha],"&lt;="&amp;'Grafico %'!$A353,Tabla1[nombre_actividad],'Grafico %'!F$1)/500,NA())</f>
        <v>0.79200000000000004</v>
      </c>
      <c r="G353" s="70">
        <f ca="1">IF(TODAY()&gt;=$A353,SUMIFS(Tabla1[Avance_km],Tabla1[Fecha],"&lt;="&amp;'Grafico %'!$A353,Tabla1[nombre_actividad],'Grafico %'!G$1)/(200),NA())</f>
        <v>0</v>
      </c>
      <c r="H353" s="70">
        <f ca="1">IF(TODAY()&gt;=$A353,SUMIFS(Tabla1[Avance_km],Tabla1[Fecha],"&lt;="&amp;'Grafico %'!$A353,Tabla1[nombre_actividad],'Grafico %'!H$1)/(200),NA())</f>
        <v>0.44796722175656489</v>
      </c>
    </row>
    <row r="354" spans="1:8" x14ac:dyDescent="0.25">
      <c r="A354" s="62">
        <f t="shared" si="5"/>
        <v>46315</v>
      </c>
      <c r="B354" s="33"/>
      <c r="C354" s="69">
        <f ca="1">IF(TODAY()&gt;=$A354,SUMIFS(Tabla1[Avance_km],Tabla1[Fecha],"&lt;="&amp;'Grafico %'!$A354,Tabla1[nombre_actividad],'Grafico %'!C$1)/(200),NA())</f>
        <v>0.90942749999999994</v>
      </c>
      <c r="D354" s="70">
        <f ca="1">IF(TODAY()&gt;=$A354,SUMIFS(Tabla1[Avance_km],Tabla1[Fecha],"&lt;="&amp;'Grafico %'!$A354,Tabla1[nombre_actividad],'Grafico %'!D$1)/(200),NA())</f>
        <v>0.90212749999999942</v>
      </c>
      <c r="E354" s="70">
        <f ca="1">IF(TODAY()&gt;=$A354,SUMIFS(Tabla1[Avance_km],Tabla1[Fecha],"&lt;="&amp;'Grafico %'!$A354,Tabla1[nombre_actividad],'Grafico %'!E$1,Tabla1[Avance_km],"&gt;0")/(200),NA())</f>
        <v>0.7516225000000003</v>
      </c>
      <c r="F354" s="68">
        <f ca="1">IF(TODAY()&gt;=$A354,SUMIFS(Tabla1[Avance_Med],Tabla1[Fecha],"&lt;="&amp;'Grafico %'!$A354,Tabla1[nombre_actividad],'Grafico %'!F$1)/500,NA())</f>
        <v>0.79200000000000004</v>
      </c>
      <c r="G354" s="70">
        <f ca="1">IF(TODAY()&gt;=$A354,SUMIFS(Tabla1[Avance_km],Tabla1[Fecha],"&lt;="&amp;'Grafico %'!$A354,Tabla1[nombre_actividad],'Grafico %'!G$1)/(200),NA())</f>
        <v>0</v>
      </c>
      <c r="H354" s="70">
        <f ca="1">IF(TODAY()&gt;=$A354,SUMIFS(Tabla1[Avance_km],Tabla1[Fecha],"&lt;="&amp;'Grafico %'!$A354,Tabla1[nombre_actividad],'Grafico %'!H$1)/(200),NA())</f>
        <v>0.48225302782945467</v>
      </c>
    </row>
    <row r="355" spans="1:8" x14ac:dyDescent="0.25">
      <c r="A355" s="62">
        <f t="shared" si="5"/>
        <v>46316</v>
      </c>
      <c r="B355" s="33"/>
      <c r="C355" s="69">
        <f ca="1">IF(TODAY()&gt;=$A355,SUMIFS(Tabla1[Avance_km],Tabla1[Fecha],"&lt;="&amp;'Grafico %'!$A355,Tabla1[nombre_actividad],'Grafico %'!C$1)/(200),NA())</f>
        <v>0.90942749999999994</v>
      </c>
      <c r="D355" s="70">
        <f ca="1">IF(TODAY()&gt;=$A355,SUMIFS(Tabla1[Avance_km],Tabla1[Fecha],"&lt;="&amp;'Grafico %'!$A355,Tabla1[nombre_actividad],'Grafico %'!D$1)/(200),NA())</f>
        <v>0.90212749999999942</v>
      </c>
      <c r="E355" s="70">
        <f ca="1">IF(TODAY()&gt;=$A355,SUMIFS(Tabla1[Avance_km],Tabla1[Fecha],"&lt;="&amp;'Grafico %'!$A355,Tabla1[nombre_actividad],'Grafico %'!E$1,Tabla1[Avance_km],"&gt;0")/(200),NA())</f>
        <v>0.7516225000000003</v>
      </c>
      <c r="F355" s="68">
        <f ca="1">IF(TODAY()&gt;=$A355,SUMIFS(Tabla1[Avance_Med],Tabla1[Fecha],"&lt;="&amp;'Grafico %'!$A355,Tabla1[nombre_actividad],'Grafico %'!F$1)/500,NA())</f>
        <v>0.79200000000000004</v>
      </c>
      <c r="G355" s="70">
        <f ca="1">IF(TODAY()&gt;=$A355,SUMIFS(Tabla1[Avance_km],Tabla1[Fecha],"&lt;="&amp;'Grafico %'!$A355,Tabla1[nombre_actividad],'Grafico %'!G$1)/(200),NA())</f>
        <v>0</v>
      </c>
      <c r="H355" s="70">
        <f ca="1">IF(TODAY()&gt;=$A355,SUMIFS(Tabla1[Avance_km],Tabla1[Fecha],"&lt;="&amp;'Grafico %'!$A355,Tabla1[nombre_actividad],'Grafico %'!H$1)/(200),NA())</f>
        <v>0.50326690897090343</v>
      </c>
    </row>
    <row r="356" spans="1:8" x14ac:dyDescent="0.25">
      <c r="A356" s="62">
        <f t="shared" si="5"/>
        <v>46317</v>
      </c>
      <c r="B356" s="33"/>
      <c r="C356" s="69">
        <f ca="1">IF(TODAY()&gt;=$A356,SUMIFS(Tabla1[Avance_km],Tabla1[Fecha],"&lt;="&amp;'Grafico %'!$A356,Tabla1[nombre_actividad],'Grafico %'!C$1)/(200),NA())</f>
        <v>0.90942749999999994</v>
      </c>
      <c r="D356" s="70">
        <f ca="1">IF(TODAY()&gt;=$A356,SUMIFS(Tabla1[Avance_km],Tabla1[Fecha],"&lt;="&amp;'Grafico %'!$A356,Tabla1[nombre_actividad],'Grafico %'!D$1)/(200),NA())</f>
        <v>0.90212749999999942</v>
      </c>
      <c r="E356" s="70">
        <f ca="1">IF(TODAY()&gt;=$A356,SUMIFS(Tabla1[Avance_km],Tabla1[Fecha],"&lt;="&amp;'Grafico %'!$A356,Tabla1[nombre_actividad],'Grafico %'!E$1,Tabla1[Avance_km],"&gt;0")/(200),NA())</f>
        <v>0.7516225000000003</v>
      </c>
      <c r="F356" s="68">
        <f ca="1">IF(TODAY()&gt;=$A356,SUMIFS(Tabla1[Avance_Med],Tabla1[Fecha],"&lt;="&amp;'Grafico %'!$A356,Tabla1[nombre_actividad],'Grafico %'!F$1)/500,NA())</f>
        <v>0.79200000000000004</v>
      </c>
      <c r="G356" s="70">
        <f ca="1">IF(TODAY()&gt;=$A356,SUMIFS(Tabla1[Avance_km],Tabla1[Fecha],"&lt;="&amp;'Grafico %'!$A356,Tabla1[nombre_actividad],'Grafico %'!G$1)/(200),NA())</f>
        <v>0</v>
      </c>
      <c r="H356" s="70">
        <f ca="1">IF(TODAY()&gt;=$A356,SUMIFS(Tabla1[Avance_km],Tabla1[Fecha],"&lt;="&amp;'Grafico %'!$A356,Tabla1[nombre_actividad],'Grafico %'!H$1)/(200),NA())</f>
        <v>0.54750665874237403</v>
      </c>
    </row>
    <row r="357" spans="1:8" x14ac:dyDescent="0.25">
      <c r="A357" s="62">
        <f t="shared" si="5"/>
        <v>46318</v>
      </c>
      <c r="B357" s="33"/>
      <c r="C357" s="69">
        <f ca="1">IF(TODAY()&gt;=$A357,SUMIFS(Tabla1[Avance_km],Tabla1[Fecha],"&lt;="&amp;'Grafico %'!$A357,Tabla1[nombre_actividad],'Grafico %'!C$1)/(200),NA())</f>
        <v>0.90942749999999994</v>
      </c>
      <c r="D357" s="70">
        <f ca="1">IF(TODAY()&gt;=$A357,SUMIFS(Tabla1[Avance_km],Tabla1[Fecha],"&lt;="&amp;'Grafico %'!$A357,Tabla1[nombre_actividad],'Grafico %'!D$1)/(200),NA())</f>
        <v>0.90212749999999942</v>
      </c>
      <c r="E357" s="70">
        <f ca="1">IF(TODAY()&gt;=$A357,SUMIFS(Tabla1[Avance_km],Tabla1[Fecha],"&lt;="&amp;'Grafico %'!$A357,Tabla1[nombre_actividad],'Grafico %'!E$1,Tabla1[Avance_km],"&gt;0")/(200),NA())</f>
        <v>0.7516225000000003</v>
      </c>
      <c r="F357" s="68">
        <f ca="1">IF(TODAY()&gt;=$A357,SUMIFS(Tabla1[Avance_Med],Tabla1[Fecha],"&lt;="&amp;'Grafico %'!$A357,Tabla1[nombre_actividad],'Grafico %'!F$1)/500,NA())</f>
        <v>0.79200000000000004</v>
      </c>
      <c r="G357" s="70">
        <f ca="1">IF(TODAY()&gt;=$A357,SUMIFS(Tabla1[Avance_km],Tabla1[Fecha],"&lt;="&amp;'Grafico %'!$A357,Tabla1[nombre_actividad],'Grafico %'!G$1)/(200),NA())</f>
        <v>0</v>
      </c>
      <c r="H357" s="70">
        <f ca="1">IF(TODAY()&gt;=$A357,SUMIFS(Tabla1[Avance_km],Tabla1[Fecha],"&lt;="&amp;'Grafico %'!$A357,Tabla1[nombre_actividad],'Grafico %'!H$1)/(200),NA())</f>
        <v>0.59395839600241851</v>
      </c>
    </row>
    <row r="358" spans="1:8" x14ac:dyDescent="0.25">
      <c r="A358" s="62">
        <f t="shared" si="5"/>
        <v>46319</v>
      </c>
      <c r="B358" s="33"/>
      <c r="C358" s="69">
        <f ca="1">IF(TODAY()&gt;=$A358,SUMIFS(Tabla1[Avance_km],Tabla1[Fecha],"&lt;="&amp;'Grafico %'!$A358,Tabla1[nombre_actividad],'Grafico %'!C$1)/(200),NA())</f>
        <v>0.90942749999999994</v>
      </c>
      <c r="D358" s="70">
        <f ca="1">IF(TODAY()&gt;=$A358,SUMIFS(Tabla1[Avance_km],Tabla1[Fecha],"&lt;="&amp;'Grafico %'!$A358,Tabla1[nombre_actividad],'Grafico %'!D$1)/(200),NA())</f>
        <v>0.90962749999999948</v>
      </c>
      <c r="E358" s="70">
        <f ca="1">IF(TODAY()&gt;=$A358,SUMIFS(Tabla1[Avance_km],Tabla1[Fecha],"&lt;="&amp;'Grafico %'!$A358,Tabla1[nombre_actividad],'Grafico %'!E$1,Tabla1[Avance_km],"&gt;0")/(200),NA())</f>
        <v>0.7516225000000003</v>
      </c>
      <c r="F358" s="68">
        <f ca="1">IF(TODAY()&gt;=$A358,SUMIFS(Tabla1[Avance_Med],Tabla1[Fecha],"&lt;="&amp;'Grafico %'!$A358,Tabla1[nombre_actividad],'Grafico %'!F$1)/500,NA())</f>
        <v>0.79200000000000004</v>
      </c>
      <c r="G358" s="70">
        <f ca="1">IF(TODAY()&gt;=$A358,SUMIFS(Tabla1[Avance_km],Tabla1[Fecha],"&lt;="&amp;'Grafico %'!$A358,Tabla1[nombre_actividad],'Grafico %'!G$1)/(200),NA())</f>
        <v>0</v>
      </c>
      <c r="H358" s="70">
        <f ca="1">IF(TODAY()&gt;=$A358,SUMIFS(Tabla1[Avance_km],Tabla1[Fecha],"&lt;="&amp;'Grafico %'!$A358,Tabla1[nombre_actividad],'Grafico %'!H$1)/(200),NA())</f>
        <v>0.59395839600241851</v>
      </c>
    </row>
    <row r="359" spans="1:8" x14ac:dyDescent="0.25">
      <c r="A359" s="62">
        <f t="shared" si="5"/>
        <v>46320</v>
      </c>
      <c r="B359" s="33"/>
      <c r="C359" s="69">
        <f ca="1">IF(TODAY()&gt;=$A359,SUMIFS(Tabla1[Avance_km],Tabla1[Fecha],"&lt;="&amp;'Grafico %'!$A359,Tabla1[nombre_actividad],'Grafico %'!C$1)/(200),NA())</f>
        <v>0.90942749999999994</v>
      </c>
      <c r="D359" s="70">
        <f ca="1">IF(TODAY()&gt;=$A359,SUMIFS(Tabla1[Avance_km],Tabla1[Fecha],"&lt;="&amp;'Grafico %'!$A359,Tabla1[nombre_actividad],'Grafico %'!D$1)/(200),NA())</f>
        <v>0.90962749999999948</v>
      </c>
      <c r="E359" s="70">
        <f ca="1">IF(TODAY()&gt;=$A359,SUMIFS(Tabla1[Avance_km],Tabla1[Fecha],"&lt;="&amp;'Grafico %'!$A359,Tabla1[nombre_actividad],'Grafico %'!E$1,Tabla1[Avance_km],"&gt;0")/(200),NA())</f>
        <v>0.7516225000000003</v>
      </c>
      <c r="F359" s="68">
        <f ca="1">IF(TODAY()&gt;=$A359,SUMIFS(Tabla1[Avance_Med],Tabla1[Fecha],"&lt;="&amp;'Grafico %'!$A359,Tabla1[nombre_actividad],'Grafico %'!F$1)/500,NA())</f>
        <v>0.79200000000000004</v>
      </c>
      <c r="G359" s="70">
        <f ca="1">IF(TODAY()&gt;=$A359,SUMIFS(Tabla1[Avance_km],Tabla1[Fecha],"&lt;="&amp;'Grafico %'!$A359,Tabla1[nombre_actividad],'Grafico %'!G$1)/(200),NA())</f>
        <v>0</v>
      </c>
      <c r="H359" s="70">
        <f ca="1">IF(TODAY()&gt;=$A359,SUMIFS(Tabla1[Avance_km],Tabla1[Fecha],"&lt;="&amp;'Grafico %'!$A359,Tabla1[nombre_actividad],'Grafico %'!H$1)/(200),NA())</f>
        <v>0.59395839600241851</v>
      </c>
    </row>
    <row r="360" spans="1:8" x14ac:dyDescent="0.25">
      <c r="A360" s="62">
        <f t="shared" si="5"/>
        <v>46321</v>
      </c>
      <c r="B360" s="33"/>
      <c r="C360" s="69">
        <f ca="1">IF(TODAY()&gt;=$A360,SUMIFS(Tabla1[Avance_km],Tabla1[Fecha],"&lt;="&amp;'Grafico %'!$A360,Tabla1[nombre_actividad],'Grafico %'!C$1)/(200),NA())</f>
        <v>0.90942749999999994</v>
      </c>
      <c r="D360" s="70">
        <f ca="1">IF(TODAY()&gt;=$A360,SUMIFS(Tabla1[Avance_km],Tabla1[Fecha],"&lt;="&amp;'Grafico %'!$A360,Tabla1[nombre_actividad],'Grafico %'!D$1)/(200),NA())</f>
        <v>0.90962749999999948</v>
      </c>
      <c r="E360" s="70">
        <f ca="1">IF(TODAY()&gt;=$A360,SUMIFS(Tabla1[Avance_km],Tabla1[Fecha],"&lt;="&amp;'Grafico %'!$A360,Tabla1[nombre_actividad],'Grafico %'!E$1,Tabla1[Avance_km],"&gt;0")/(200),NA())</f>
        <v>0.7516225000000003</v>
      </c>
      <c r="F360" s="68">
        <f ca="1">IF(TODAY()&gt;=$A360,SUMIFS(Tabla1[Avance_Med],Tabla1[Fecha],"&lt;="&amp;'Grafico %'!$A360,Tabla1[nombre_actividad],'Grafico %'!F$1)/500,NA())</f>
        <v>0.79200000000000004</v>
      </c>
      <c r="G360" s="70">
        <f ca="1">IF(TODAY()&gt;=$A360,SUMIFS(Tabla1[Avance_km],Tabla1[Fecha],"&lt;="&amp;'Grafico %'!$A360,Tabla1[nombre_actividad],'Grafico %'!G$1)/(200),NA())</f>
        <v>0</v>
      </c>
      <c r="H360" s="70">
        <f ca="1">IF(TODAY()&gt;=$A360,SUMIFS(Tabla1[Avance_km],Tabla1[Fecha],"&lt;="&amp;'Grafico %'!$A360,Tabla1[nombre_actividad],'Grafico %'!H$1)/(200),NA())</f>
        <v>0.59395839600241851</v>
      </c>
    </row>
    <row r="361" spans="1:8" x14ac:dyDescent="0.25">
      <c r="A361" s="62">
        <f t="shared" si="5"/>
        <v>46322</v>
      </c>
      <c r="B361" s="33"/>
      <c r="C361" s="69" t="e">
        <f ca="1">IF(TODAY()&gt;=$A361,SUMIFS(Tabla1[Avance_km],Tabla1[Fecha],"&lt;="&amp;'Grafico %'!$A361,Tabla1[nombre_actividad],'Grafico %'!C$1)/(200),NA())</f>
        <v>#N/A</v>
      </c>
      <c r="D361" s="70" t="e">
        <f ca="1">IF(TODAY()&gt;=$A361,SUMIFS(Tabla1[Avance_km],Tabla1[Fecha],"&lt;="&amp;'Grafico %'!$A361,Tabla1[nombre_actividad],'Grafico %'!D$1)/(200),NA())</f>
        <v>#N/A</v>
      </c>
      <c r="E361" s="70" t="e">
        <f ca="1">IF(TODAY()&gt;=$A361,SUMIFS(Tabla1[Avance_km],Tabla1[Fecha],"&lt;="&amp;'Grafico %'!$A361,Tabla1[nombre_actividad],'Grafico %'!E$1,Tabla1[Avance_km],"&gt;0")/(200),NA())</f>
        <v>#N/A</v>
      </c>
      <c r="F361" s="68" t="e">
        <f ca="1">IF(TODAY()&gt;=$A361,SUMIFS(Tabla1[Avance_Med],Tabla1[Fecha],"&lt;="&amp;'Grafico %'!$A361,Tabla1[nombre_actividad],'Grafico %'!F$1)/500,NA())</f>
        <v>#N/A</v>
      </c>
      <c r="G361" s="70" t="e">
        <f ca="1">IF(TODAY()&gt;=$A361,SUMIFS(Tabla1[Avance_km],Tabla1[Fecha],"&lt;="&amp;'Grafico %'!$A361,Tabla1[nombre_actividad],'Grafico %'!G$1)/(200),NA())</f>
        <v>#N/A</v>
      </c>
      <c r="H361" s="70" t="e">
        <f ca="1">IF(TODAY()&gt;=$A361,SUMIFS(Tabla1[Avance_km],Tabla1[Fecha],"&lt;="&amp;'Grafico %'!$A361,Tabla1[nombre_actividad],'Grafico %'!H$1)/(200),NA())</f>
        <v>#N/A</v>
      </c>
    </row>
    <row r="362" spans="1:8" x14ac:dyDescent="0.25">
      <c r="A362" s="62">
        <f t="shared" si="5"/>
        <v>46323</v>
      </c>
      <c r="B362" s="33"/>
      <c r="C362" s="69" t="e">
        <f ca="1">IF(TODAY()&gt;=$A362,SUMIFS(Tabla1[Avance_km],Tabla1[Fecha],"&lt;="&amp;'Grafico %'!$A362,Tabla1[nombre_actividad],'Grafico %'!C$1)/(200),NA())</f>
        <v>#N/A</v>
      </c>
      <c r="D362" s="70" t="e">
        <f ca="1">IF(TODAY()&gt;=$A362,SUMIFS(Tabla1[Avance_km],Tabla1[Fecha],"&lt;="&amp;'Grafico %'!$A362,Tabla1[nombre_actividad],'Grafico %'!D$1)/(200),NA())</f>
        <v>#N/A</v>
      </c>
      <c r="E362" s="70" t="e">
        <f ca="1">IF(TODAY()&gt;=$A362,SUMIFS(Tabla1[Avance_km],Tabla1[Fecha],"&lt;="&amp;'Grafico %'!$A362,Tabla1[nombre_actividad],'Grafico %'!E$1,Tabla1[Avance_km],"&gt;0")/(200),NA())</f>
        <v>#N/A</v>
      </c>
      <c r="F362" s="68" t="e">
        <f ca="1">IF(TODAY()&gt;=$A362,SUMIFS(Tabla1[Avance_Med],Tabla1[Fecha],"&lt;="&amp;'Grafico %'!$A362,Tabla1[nombre_actividad],'Grafico %'!F$1)/500,NA())</f>
        <v>#N/A</v>
      </c>
      <c r="G362" s="70" t="e">
        <f ca="1">IF(TODAY()&gt;=$A362,SUMIFS(Tabla1[Avance_km],Tabla1[Fecha],"&lt;="&amp;'Grafico %'!$A362,Tabla1[nombre_actividad],'Grafico %'!G$1)/(200),NA())</f>
        <v>#N/A</v>
      </c>
      <c r="H362" s="70" t="e">
        <f ca="1">IF(TODAY()&gt;=$A362,SUMIFS(Tabla1[Avance_km],Tabla1[Fecha],"&lt;="&amp;'Grafico %'!$A362,Tabla1[nombre_actividad],'Grafico %'!H$1)/(200),NA())</f>
        <v>#N/A</v>
      </c>
    </row>
    <row r="363" spans="1:8" x14ac:dyDescent="0.25">
      <c r="A363" s="62">
        <f t="shared" si="5"/>
        <v>46324</v>
      </c>
      <c r="B363" s="33"/>
      <c r="C363" s="69" t="e">
        <f ca="1">IF(TODAY()&gt;=$A363,SUMIFS(Tabla1[Avance_km],Tabla1[Fecha],"&lt;="&amp;'Grafico %'!$A363,Tabla1[nombre_actividad],'Grafico %'!C$1)/(200),NA())</f>
        <v>#N/A</v>
      </c>
      <c r="D363" s="70" t="e">
        <f ca="1">IF(TODAY()&gt;=$A363,SUMIFS(Tabla1[Avance_km],Tabla1[Fecha],"&lt;="&amp;'Grafico %'!$A363,Tabla1[nombre_actividad],'Grafico %'!D$1)/(200),NA())</f>
        <v>#N/A</v>
      </c>
      <c r="E363" s="70" t="e">
        <f ca="1">IF(TODAY()&gt;=$A363,SUMIFS(Tabla1[Avance_km],Tabla1[Fecha],"&lt;="&amp;'Grafico %'!$A363,Tabla1[nombre_actividad],'Grafico %'!E$1,Tabla1[Avance_km],"&gt;0")/(200),NA())</f>
        <v>#N/A</v>
      </c>
      <c r="F363" s="68" t="e">
        <f ca="1">IF(TODAY()&gt;=$A363,SUMIFS(Tabla1[Avance_Med],Tabla1[Fecha],"&lt;="&amp;'Grafico %'!$A363,Tabla1[nombre_actividad],'Grafico %'!F$1)/500,NA())</f>
        <v>#N/A</v>
      </c>
      <c r="G363" s="70" t="e">
        <f ca="1">IF(TODAY()&gt;=$A363,SUMIFS(Tabla1[Avance_km],Tabla1[Fecha],"&lt;="&amp;'Grafico %'!$A363,Tabla1[nombre_actividad],'Grafico %'!G$1)/(200),NA())</f>
        <v>#N/A</v>
      </c>
      <c r="H363" s="70" t="e">
        <f ca="1">IF(TODAY()&gt;=$A363,SUMIFS(Tabla1[Avance_km],Tabla1[Fecha],"&lt;="&amp;'Grafico %'!$A363,Tabla1[nombre_actividad],'Grafico %'!H$1)/(200),NA())</f>
        <v>#N/A</v>
      </c>
    </row>
    <row r="364" spans="1:8" x14ac:dyDescent="0.25">
      <c r="A364" s="62">
        <f t="shared" si="5"/>
        <v>46325</v>
      </c>
      <c r="B364" s="33"/>
      <c r="C364" s="69" t="e">
        <f ca="1">IF(TODAY()&gt;=$A364,SUMIFS(Tabla1[Avance_km],Tabla1[Fecha],"&lt;="&amp;'Grafico %'!$A364,Tabla1[nombre_actividad],'Grafico %'!C$1)/(200),NA())</f>
        <v>#N/A</v>
      </c>
      <c r="D364" s="70" t="e">
        <f ca="1">IF(TODAY()&gt;=$A364,SUMIFS(Tabla1[Avance_km],Tabla1[Fecha],"&lt;="&amp;'Grafico %'!$A364,Tabla1[nombre_actividad],'Grafico %'!D$1)/(200),NA())</f>
        <v>#N/A</v>
      </c>
      <c r="E364" s="70" t="e">
        <f ca="1">IF(TODAY()&gt;=$A364,SUMIFS(Tabla1[Avance_km],Tabla1[Fecha],"&lt;="&amp;'Grafico %'!$A364,Tabla1[nombre_actividad],'Grafico %'!E$1,Tabla1[Avance_km],"&gt;0")/(200),NA())</f>
        <v>#N/A</v>
      </c>
      <c r="F364" s="68" t="e">
        <f ca="1">IF(TODAY()&gt;=$A364,SUMIFS(Tabla1[Avance_Med],Tabla1[Fecha],"&lt;="&amp;'Grafico %'!$A364,Tabla1[nombre_actividad],'Grafico %'!F$1)/500,NA())</f>
        <v>#N/A</v>
      </c>
      <c r="G364" s="70" t="e">
        <f ca="1">IF(TODAY()&gt;=$A364,SUMIFS(Tabla1[Avance_km],Tabla1[Fecha],"&lt;="&amp;'Grafico %'!$A364,Tabla1[nombre_actividad],'Grafico %'!G$1)/(200),NA())</f>
        <v>#N/A</v>
      </c>
      <c r="H364" s="70" t="e">
        <f ca="1">IF(TODAY()&gt;=$A364,SUMIFS(Tabla1[Avance_km],Tabla1[Fecha],"&lt;="&amp;'Grafico %'!$A364,Tabla1[nombre_actividad],'Grafico %'!H$1)/(200),NA())</f>
        <v>#N/A</v>
      </c>
    </row>
    <row r="365" spans="1:8" x14ac:dyDescent="0.25">
      <c r="A365" s="62">
        <f t="shared" si="5"/>
        <v>46326</v>
      </c>
      <c r="B365" s="33"/>
      <c r="C365" s="69" t="e">
        <f ca="1">IF(TODAY()&gt;=$A365,SUMIFS(Tabla1[Avance_km],Tabla1[Fecha],"&lt;="&amp;'Grafico %'!$A365,Tabla1[nombre_actividad],'Grafico %'!C$1)/(200),NA())</f>
        <v>#N/A</v>
      </c>
      <c r="D365" s="70" t="e">
        <f ca="1">IF(TODAY()&gt;=$A365,SUMIFS(Tabla1[Avance_km],Tabla1[Fecha],"&lt;="&amp;'Grafico %'!$A365,Tabla1[nombre_actividad],'Grafico %'!D$1)/(200),NA())</f>
        <v>#N/A</v>
      </c>
      <c r="E365" s="70" t="e">
        <f ca="1">IF(TODAY()&gt;=$A365,SUMIFS(Tabla1[Avance_km],Tabla1[Fecha],"&lt;="&amp;'Grafico %'!$A365,Tabla1[nombre_actividad],'Grafico %'!E$1,Tabla1[Avance_km],"&gt;0")/(200),NA())</f>
        <v>#N/A</v>
      </c>
      <c r="F365" s="68" t="e">
        <f ca="1">IF(TODAY()&gt;=$A365,SUMIFS(Tabla1[Avance_Med],Tabla1[Fecha],"&lt;="&amp;'Grafico %'!$A365,Tabla1[nombre_actividad],'Grafico %'!F$1)/500,NA())</f>
        <v>#N/A</v>
      </c>
      <c r="G365" s="70" t="e">
        <f ca="1">IF(TODAY()&gt;=$A365,SUMIFS(Tabla1[Avance_km],Tabla1[Fecha],"&lt;="&amp;'Grafico %'!$A365,Tabla1[nombre_actividad],'Grafico %'!G$1)/(200),NA())</f>
        <v>#N/A</v>
      </c>
      <c r="H365" s="70" t="e">
        <f ca="1">IF(TODAY()&gt;=$A365,SUMIFS(Tabla1[Avance_km],Tabla1[Fecha],"&lt;="&amp;'Grafico %'!$A365,Tabla1[nombre_actividad],'Grafico %'!H$1)/(200),NA())</f>
        <v>#N/A</v>
      </c>
    </row>
    <row r="366" spans="1:8" x14ac:dyDescent="0.25">
      <c r="A366" s="62">
        <f t="shared" si="5"/>
        <v>46327</v>
      </c>
      <c r="B366" s="33"/>
      <c r="C366" s="69" t="e">
        <f ca="1">IF(TODAY()&gt;=$A366,SUMIFS(Tabla1[Avance_km],Tabla1[Fecha],"&lt;="&amp;'Grafico %'!$A366,Tabla1[nombre_actividad],'Grafico %'!C$1)/(200),NA())</f>
        <v>#N/A</v>
      </c>
      <c r="D366" s="70" t="e">
        <f ca="1">IF(TODAY()&gt;=$A366,SUMIFS(Tabla1[Avance_km],Tabla1[Fecha],"&lt;="&amp;'Grafico %'!$A366,Tabla1[nombre_actividad],'Grafico %'!D$1)/(200),NA())</f>
        <v>#N/A</v>
      </c>
      <c r="E366" s="70" t="e">
        <f ca="1">IF(TODAY()&gt;=$A366,SUMIFS(Tabla1[Avance_km],Tabla1[Fecha],"&lt;="&amp;'Grafico %'!$A366,Tabla1[nombre_actividad],'Grafico %'!E$1,Tabla1[Avance_km],"&gt;0")/(200),NA())</f>
        <v>#N/A</v>
      </c>
      <c r="F366" s="68" t="e">
        <f ca="1">IF(TODAY()&gt;=$A366,SUMIFS(Tabla1[Avance_Med],Tabla1[Fecha],"&lt;="&amp;'Grafico %'!$A366,Tabla1[nombre_actividad],'Grafico %'!F$1)/500,NA())</f>
        <v>#N/A</v>
      </c>
      <c r="G366" s="70" t="e">
        <f ca="1">IF(TODAY()&gt;=$A366,SUMIFS(Tabla1[Avance_km],Tabla1[Fecha],"&lt;="&amp;'Grafico %'!$A366,Tabla1[nombre_actividad],'Grafico %'!G$1)/(200),NA())</f>
        <v>#N/A</v>
      </c>
      <c r="H366" s="70" t="e">
        <f ca="1">IF(TODAY()&gt;=$A366,SUMIFS(Tabla1[Avance_km],Tabla1[Fecha],"&lt;="&amp;'Grafico %'!$A366,Tabla1[nombre_actividad],'Grafico %'!H$1)/(200),NA())</f>
        <v>#N/A</v>
      </c>
    </row>
    <row r="367" spans="1:8" x14ac:dyDescent="0.25">
      <c r="A367" s="62">
        <f t="shared" si="5"/>
        <v>46328</v>
      </c>
      <c r="B367" s="33"/>
      <c r="C367" s="69" t="e">
        <f ca="1">IF(TODAY()&gt;=$A367,SUMIFS(Tabla1[Avance_km],Tabla1[Fecha],"&lt;="&amp;'Grafico %'!$A367,Tabla1[nombre_actividad],'Grafico %'!C$1)/(200),NA())</f>
        <v>#N/A</v>
      </c>
      <c r="D367" s="70" t="e">
        <f ca="1">IF(TODAY()&gt;=$A367,SUMIFS(Tabla1[Avance_km],Tabla1[Fecha],"&lt;="&amp;'Grafico %'!$A367,Tabla1[nombre_actividad],'Grafico %'!D$1)/(200),NA())</f>
        <v>#N/A</v>
      </c>
      <c r="E367" s="70" t="e">
        <f ca="1">IF(TODAY()&gt;=$A367,SUMIFS(Tabla1[Avance_km],Tabla1[Fecha],"&lt;="&amp;'Grafico %'!$A367,Tabla1[nombre_actividad],'Grafico %'!E$1,Tabla1[Avance_km],"&gt;0")/(200),NA())</f>
        <v>#N/A</v>
      </c>
      <c r="F367" s="68" t="e">
        <f ca="1">IF(TODAY()&gt;=$A367,SUMIFS(Tabla1[Avance_Med],Tabla1[Fecha],"&lt;="&amp;'Grafico %'!$A367,Tabla1[nombre_actividad],'Grafico %'!F$1)/500,NA())</f>
        <v>#N/A</v>
      </c>
      <c r="G367" s="70" t="e">
        <f ca="1">IF(TODAY()&gt;=$A367,SUMIFS(Tabla1[Avance_km],Tabla1[Fecha],"&lt;="&amp;'Grafico %'!$A367,Tabla1[nombre_actividad],'Grafico %'!G$1)/(200),NA())</f>
        <v>#N/A</v>
      </c>
      <c r="H367" s="70" t="e">
        <f ca="1">IF(TODAY()&gt;=$A367,SUMIFS(Tabla1[Avance_km],Tabla1[Fecha],"&lt;="&amp;'Grafico %'!$A367,Tabla1[nombre_actividad],'Grafico %'!H$1)/(200),NA())</f>
        <v>#N/A</v>
      </c>
    </row>
    <row r="368" spans="1:8" x14ac:dyDescent="0.25">
      <c r="A368" s="62">
        <f t="shared" si="5"/>
        <v>46329</v>
      </c>
      <c r="B368" s="33"/>
      <c r="C368" s="69" t="e">
        <f ca="1">IF(TODAY()&gt;=$A368,SUMIFS(Tabla1[Avance_km],Tabla1[Fecha],"&lt;="&amp;'Grafico %'!$A368,Tabla1[nombre_actividad],'Grafico %'!C$1)/(200),NA())</f>
        <v>#N/A</v>
      </c>
      <c r="D368" s="70" t="e">
        <f ca="1">IF(TODAY()&gt;=$A368,SUMIFS(Tabla1[Avance_km],Tabla1[Fecha],"&lt;="&amp;'Grafico %'!$A368,Tabla1[nombre_actividad],'Grafico %'!D$1)/(200),NA())</f>
        <v>#N/A</v>
      </c>
      <c r="E368" s="70" t="e">
        <f ca="1">IF(TODAY()&gt;=$A368,SUMIFS(Tabla1[Avance_km],Tabla1[Fecha],"&lt;="&amp;'Grafico %'!$A368,Tabla1[nombre_actividad],'Grafico %'!E$1,Tabla1[Avance_km],"&gt;0")/(200),NA())</f>
        <v>#N/A</v>
      </c>
      <c r="F368" s="68" t="e">
        <f ca="1">IF(TODAY()&gt;=$A368,SUMIFS(Tabla1[Avance_Med],Tabla1[Fecha],"&lt;="&amp;'Grafico %'!$A368,Tabla1[nombre_actividad],'Grafico %'!F$1)/500,NA())</f>
        <v>#N/A</v>
      </c>
      <c r="G368" s="70" t="e">
        <f ca="1">IF(TODAY()&gt;=$A368,SUMIFS(Tabla1[Avance_km],Tabla1[Fecha],"&lt;="&amp;'Grafico %'!$A368,Tabla1[nombre_actividad],'Grafico %'!G$1)/(200),NA())</f>
        <v>#N/A</v>
      </c>
      <c r="H368" s="70" t="e">
        <f ca="1">IF(TODAY()&gt;=$A368,SUMIFS(Tabla1[Avance_km],Tabla1[Fecha],"&lt;="&amp;'Grafico %'!$A368,Tabla1[nombre_actividad],'Grafico %'!H$1)/(200),NA())</f>
        <v>#N/A</v>
      </c>
    </row>
    <row r="369" spans="1:8" x14ac:dyDescent="0.25">
      <c r="A369" s="62">
        <f t="shared" si="5"/>
        <v>46330</v>
      </c>
      <c r="B369" s="33"/>
      <c r="C369" s="69" t="e">
        <f ca="1">IF(TODAY()&gt;=$A369,SUMIFS(Tabla1[Avance_km],Tabla1[Fecha],"&lt;="&amp;'Grafico %'!$A369,Tabla1[nombre_actividad],'Grafico %'!C$1)/(200),NA())</f>
        <v>#N/A</v>
      </c>
      <c r="D369" s="70" t="e">
        <f ca="1">IF(TODAY()&gt;=$A369,SUMIFS(Tabla1[Avance_km],Tabla1[Fecha],"&lt;="&amp;'Grafico %'!$A369,Tabla1[nombre_actividad],'Grafico %'!D$1)/(200),NA())</f>
        <v>#N/A</v>
      </c>
      <c r="E369" s="70" t="e">
        <f ca="1">IF(TODAY()&gt;=$A369,SUMIFS(Tabla1[Avance_km],Tabla1[Fecha],"&lt;="&amp;'Grafico %'!$A369,Tabla1[nombre_actividad],'Grafico %'!E$1,Tabla1[Avance_km],"&gt;0")/(200),NA())</f>
        <v>#N/A</v>
      </c>
      <c r="F369" s="68" t="e">
        <f ca="1">IF(TODAY()&gt;=$A369,SUMIFS(Tabla1[Avance_Med],Tabla1[Fecha],"&lt;="&amp;'Grafico %'!$A369,Tabla1[nombre_actividad],'Grafico %'!F$1)/500,NA())</f>
        <v>#N/A</v>
      </c>
      <c r="G369" s="70" t="e">
        <f ca="1">IF(TODAY()&gt;=$A369,SUMIFS(Tabla1[Avance_km],Tabla1[Fecha],"&lt;="&amp;'Grafico %'!$A369,Tabla1[nombre_actividad],'Grafico %'!G$1)/(200),NA())</f>
        <v>#N/A</v>
      </c>
      <c r="H369" s="70" t="e">
        <f ca="1">IF(TODAY()&gt;=$A369,SUMIFS(Tabla1[Avance_km],Tabla1[Fecha],"&lt;="&amp;'Grafico %'!$A369,Tabla1[nombre_actividad],'Grafico %'!H$1)/(200),NA())</f>
        <v>#N/A</v>
      </c>
    </row>
    <row r="370" spans="1:8" x14ac:dyDescent="0.25">
      <c r="A370" s="62">
        <f t="shared" si="5"/>
        <v>46331</v>
      </c>
      <c r="B370" s="33"/>
      <c r="C370" s="69" t="e">
        <f ca="1">IF(TODAY()&gt;=$A370,SUMIFS(Tabla1[Avance_km],Tabla1[Fecha],"&lt;="&amp;'Grafico %'!$A370,Tabla1[nombre_actividad],'Grafico %'!C$1)/(200),NA())</f>
        <v>#N/A</v>
      </c>
      <c r="D370" s="70" t="e">
        <f ca="1">IF(TODAY()&gt;=$A370,SUMIFS(Tabla1[Avance_km],Tabla1[Fecha],"&lt;="&amp;'Grafico %'!$A370,Tabla1[nombre_actividad],'Grafico %'!D$1)/(200),NA())</f>
        <v>#N/A</v>
      </c>
      <c r="E370" s="70" t="e">
        <f ca="1">IF(TODAY()&gt;=$A370,SUMIFS(Tabla1[Avance_km],Tabla1[Fecha],"&lt;="&amp;'Grafico %'!$A370,Tabla1[nombre_actividad],'Grafico %'!E$1,Tabla1[Avance_km],"&gt;0")/(200),NA())</f>
        <v>#N/A</v>
      </c>
      <c r="F370" s="68" t="e">
        <f ca="1">IF(TODAY()&gt;=$A370,SUMIFS(Tabla1[Avance_Med],Tabla1[Fecha],"&lt;="&amp;'Grafico %'!$A370,Tabla1[nombre_actividad],'Grafico %'!F$1)/500,NA())</f>
        <v>#N/A</v>
      </c>
      <c r="G370" s="70" t="e">
        <f ca="1">IF(TODAY()&gt;=$A370,SUMIFS(Tabla1[Avance_km],Tabla1[Fecha],"&lt;="&amp;'Grafico %'!$A370,Tabla1[nombre_actividad],'Grafico %'!G$1)/(200),NA())</f>
        <v>#N/A</v>
      </c>
      <c r="H370" s="70" t="e">
        <f ca="1">IF(TODAY()&gt;=$A370,SUMIFS(Tabla1[Avance_km],Tabla1[Fecha],"&lt;="&amp;'Grafico %'!$A370,Tabla1[nombre_actividad],'Grafico %'!H$1)/(200),NA())</f>
        <v>#N/A</v>
      </c>
    </row>
    <row r="371" spans="1:8" x14ac:dyDescent="0.25">
      <c r="A371" s="62">
        <f t="shared" si="5"/>
        <v>46332</v>
      </c>
      <c r="B371" s="33"/>
      <c r="C371" s="69" t="e">
        <f ca="1">IF(TODAY()&gt;=$A371,SUMIFS(Tabla1[Avance_km],Tabla1[Fecha],"&lt;="&amp;'Grafico %'!$A371,Tabla1[nombre_actividad],'Grafico %'!C$1)/(200),NA())</f>
        <v>#N/A</v>
      </c>
      <c r="D371" s="70" t="e">
        <f ca="1">IF(TODAY()&gt;=$A371,SUMIFS(Tabla1[Avance_km],Tabla1[Fecha],"&lt;="&amp;'Grafico %'!$A371,Tabla1[nombre_actividad],'Grafico %'!D$1)/(200),NA())</f>
        <v>#N/A</v>
      </c>
      <c r="E371" s="70" t="e">
        <f ca="1">IF(TODAY()&gt;=$A371,SUMIFS(Tabla1[Avance_km],Tabla1[Fecha],"&lt;="&amp;'Grafico %'!$A371,Tabla1[nombre_actividad],'Grafico %'!E$1,Tabla1[Avance_km],"&gt;0")/(200),NA())</f>
        <v>#N/A</v>
      </c>
      <c r="F371" s="68" t="e">
        <f ca="1">IF(TODAY()&gt;=$A371,SUMIFS(Tabla1[Avance_Med],Tabla1[Fecha],"&lt;="&amp;'Grafico %'!$A371,Tabla1[nombre_actividad],'Grafico %'!F$1)/500,NA())</f>
        <v>#N/A</v>
      </c>
      <c r="G371" s="70" t="e">
        <f ca="1">IF(TODAY()&gt;=$A371,SUMIFS(Tabla1[Avance_km],Tabla1[Fecha],"&lt;="&amp;'Grafico %'!$A371,Tabla1[nombre_actividad],'Grafico %'!G$1)/(200),NA())</f>
        <v>#N/A</v>
      </c>
      <c r="H371" s="70" t="e">
        <f ca="1">IF(TODAY()&gt;=$A371,SUMIFS(Tabla1[Avance_km],Tabla1[Fecha],"&lt;="&amp;'Grafico %'!$A371,Tabla1[nombre_actividad],'Grafico %'!H$1)/(200),NA())</f>
        <v>#N/A</v>
      </c>
    </row>
    <row r="372" spans="1:8" x14ac:dyDescent="0.25">
      <c r="A372" s="62">
        <f t="shared" si="5"/>
        <v>46333</v>
      </c>
      <c r="B372" s="33"/>
      <c r="C372" s="69" t="e">
        <f ca="1">IF(TODAY()&gt;=$A372,SUMIFS(Tabla1[Avance_km],Tabla1[Fecha],"&lt;="&amp;'Grafico %'!$A372,Tabla1[nombre_actividad],'Grafico %'!C$1)/(200),NA())</f>
        <v>#N/A</v>
      </c>
      <c r="D372" s="70" t="e">
        <f ca="1">IF(TODAY()&gt;=$A372,SUMIFS(Tabla1[Avance_km],Tabla1[Fecha],"&lt;="&amp;'Grafico %'!$A372,Tabla1[nombre_actividad],'Grafico %'!D$1)/(200),NA())</f>
        <v>#N/A</v>
      </c>
      <c r="E372" s="70" t="e">
        <f ca="1">IF(TODAY()&gt;=$A372,SUMIFS(Tabla1[Avance_km],Tabla1[Fecha],"&lt;="&amp;'Grafico %'!$A372,Tabla1[nombre_actividad],'Grafico %'!E$1,Tabla1[Avance_km],"&gt;0")/(200),NA())</f>
        <v>#N/A</v>
      </c>
      <c r="F372" s="68" t="e">
        <f ca="1">IF(TODAY()&gt;=$A372,SUMIFS(Tabla1[Avance_Med],Tabla1[Fecha],"&lt;="&amp;'Grafico %'!$A372,Tabla1[nombre_actividad],'Grafico %'!F$1)/500,NA())</f>
        <v>#N/A</v>
      </c>
      <c r="G372" s="70" t="e">
        <f ca="1">IF(TODAY()&gt;=$A372,SUMIFS(Tabla1[Avance_km],Tabla1[Fecha],"&lt;="&amp;'Grafico %'!$A372,Tabla1[nombre_actividad],'Grafico %'!G$1)/(200),NA())</f>
        <v>#N/A</v>
      </c>
      <c r="H372" s="70" t="e">
        <f ca="1">IF(TODAY()&gt;=$A372,SUMIFS(Tabla1[Avance_km],Tabla1[Fecha],"&lt;="&amp;'Grafico %'!$A372,Tabla1[nombre_actividad],'Grafico %'!H$1)/(200),NA())</f>
        <v>#N/A</v>
      </c>
    </row>
    <row r="373" spans="1:8" x14ac:dyDescent="0.25">
      <c r="A373" s="62">
        <f t="shared" si="5"/>
        <v>46334</v>
      </c>
      <c r="B373" s="33"/>
      <c r="C373" s="69" t="e">
        <f ca="1">IF(TODAY()&gt;=$A373,SUMIFS(Tabla1[Avance_km],Tabla1[Fecha],"&lt;="&amp;'Grafico %'!$A373,Tabla1[nombre_actividad],'Grafico %'!C$1)/(200),NA())</f>
        <v>#N/A</v>
      </c>
      <c r="D373" s="70" t="e">
        <f ca="1">IF(TODAY()&gt;=$A373,SUMIFS(Tabla1[Avance_km],Tabla1[Fecha],"&lt;="&amp;'Grafico %'!$A373,Tabla1[nombre_actividad],'Grafico %'!D$1)/(200),NA())</f>
        <v>#N/A</v>
      </c>
      <c r="E373" s="70" t="e">
        <f ca="1">IF(TODAY()&gt;=$A373,SUMIFS(Tabla1[Avance_km],Tabla1[Fecha],"&lt;="&amp;'Grafico %'!$A373,Tabla1[nombre_actividad],'Grafico %'!E$1,Tabla1[Avance_km],"&gt;0")/(200),NA())</f>
        <v>#N/A</v>
      </c>
      <c r="F373" s="68" t="e">
        <f ca="1">IF(TODAY()&gt;=$A373,SUMIFS(Tabla1[Avance_Med],Tabla1[Fecha],"&lt;="&amp;'Grafico %'!$A373,Tabla1[nombre_actividad],'Grafico %'!F$1)/500,NA())</f>
        <v>#N/A</v>
      </c>
      <c r="G373" s="70" t="e">
        <f ca="1">IF(TODAY()&gt;=$A373,SUMIFS(Tabla1[Avance_km],Tabla1[Fecha],"&lt;="&amp;'Grafico %'!$A373,Tabla1[nombre_actividad],'Grafico %'!G$1)/(200),NA())</f>
        <v>#N/A</v>
      </c>
      <c r="H373" s="70" t="e">
        <f ca="1">IF(TODAY()&gt;=$A373,SUMIFS(Tabla1[Avance_km],Tabla1[Fecha],"&lt;="&amp;'Grafico %'!$A373,Tabla1[nombre_actividad],'Grafico %'!H$1)/(200),NA())</f>
        <v>#N/A</v>
      </c>
    </row>
    <row r="374" spans="1:8" x14ac:dyDescent="0.25">
      <c r="A374" s="62">
        <f t="shared" si="5"/>
        <v>46335</v>
      </c>
      <c r="B374" s="33"/>
      <c r="C374" s="69" t="e">
        <f ca="1">IF(TODAY()&gt;=$A374,SUMIFS(Tabla1[Avance_km],Tabla1[Fecha],"&lt;="&amp;'Grafico %'!$A374,Tabla1[nombre_actividad],'Grafico %'!C$1)/(200),NA())</f>
        <v>#N/A</v>
      </c>
      <c r="D374" s="70" t="e">
        <f ca="1">IF(TODAY()&gt;=$A374,SUMIFS(Tabla1[Avance_km],Tabla1[Fecha],"&lt;="&amp;'Grafico %'!$A374,Tabla1[nombre_actividad],'Grafico %'!D$1)/(200),NA())</f>
        <v>#N/A</v>
      </c>
      <c r="E374" s="70" t="e">
        <f ca="1">IF(TODAY()&gt;=$A374,SUMIFS(Tabla1[Avance_km],Tabla1[Fecha],"&lt;="&amp;'Grafico %'!$A374,Tabla1[nombre_actividad],'Grafico %'!E$1,Tabla1[Avance_km],"&gt;0")/(200),NA())</f>
        <v>#N/A</v>
      </c>
      <c r="F374" s="68" t="e">
        <f ca="1">IF(TODAY()&gt;=$A374,SUMIFS(Tabla1[Avance_Med],Tabla1[Fecha],"&lt;="&amp;'Grafico %'!$A374,Tabla1[nombre_actividad],'Grafico %'!F$1)/500,NA())</f>
        <v>#N/A</v>
      </c>
      <c r="G374" s="70" t="e">
        <f ca="1">IF(TODAY()&gt;=$A374,SUMIFS(Tabla1[Avance_km],Tabla1[Fecha],"&lt;="&amp;'Grafico %'!$A374,Tabla1[nombre_actividad],'Grafico %'!G$1)/(200),NA())</f>
        <v>#N/A</v>
      </c>
      <c r="H374" s="70" t="e">
        <f ca="1">IF(TODAY()&gt;=$A374,SUMIFS(Tabla1[Avance_km],Tabla1[Fecha],"&lt;="&amp;'Grafico %'!$A374,Tabla1[nombre_actividad],'Grafico %'!H$1)/(200),NA())</f>
        <v>#N/A</v>
      </c>
    </row>
    <row r="375" spans="1:8" x14ac:dyDescent="0.25">
      <c r="A375" s="62">
        <f t="shared" si="5"/>
        <v>46336</v>
      </c>
      <c r="B375" s="33"/>
      <c r="C375" s="69" t="e">
        <f ca="1">IF(TODAY()&gt;=$A375,SUMIFS(Tabla1[Avance_km],Tabla1[Fecha],"&lt;="&amp;'Grafico %'!$A375,Tabla1[nombre_actividad],'Grafico %'!C$1)/(200),NA())</f>
        <v>#N/A</v>
      </c>
      <c r="D375" s="70" t="e">
        <f ca="1">IF(TODAY()&gt;=$A375,SUMIFS(Tabla1[Avance_km],Tabla1[Fecha],"&lt;="&amp;'Grafico %'!$A375,Tabla1[nombre_actividad],'Grafico %'!D$1)/(200),NA())</f>
        <v>#N/A</v>
      </c>
      <c r="E375" s="70" t="e">
        <f ca="1">IF(TODAY()&gt;=$A375,SUMIFS(Tabla1[Avance_km],Tabla1[Fecha],"&lt;="&amp;'Grafico %'!$A375,Tabla1[nombre_actividad],'Grafico %'!E$1,Tabla1[Avance_km],"&gt;0")/(200),NA())</f>
        <v>#N/A</v>
      </c>
      <c r="F375" s="68" t="e">
        <f ca="1">IF(TODAY()&gt;=$A375,SUMIFS(Tabla1[Avance_Med],Tabla1[Fecha],"&lt;="&amp;'Grafico %'!$A375,Tabla1[nombre_actividad],'Grafico %'!F$1)/500,NA())</f>
        <v>#N/A</v>
      </c>
      <c r="G375" s="70" t="e">
        <f ca="1">IF(TODAY()&gt;=$A375,SUMIFS(Tabla1[Avance_km],Tabla1[Fecha],"&lt;="&amp;'Grafico %'!$A375,Tabla1[nombre_actividad],'Grafico %'!G$1)/(200),NA())</f>
        <v>#N/A</v>
      </c>
      <c r="H375" s="70" t="e">
        <f ca="1">IF(TODAY()&gt;=$A375,SUMIFS(Tabla1[Avance_km],Tabla1[Fecha],"&lt;="&amp;'Grafico %'!$A375,Tabla1[nombre_actividad],'Grafico %'!H$1)/(200),NA())</f>
        <v>#N/A</v>
      </c>
    </row>
    <row r="376" spans="1:8" x14ac:dyDescent="0.25">
      <c r="A376" s="62">
        <f t="shared" si="5"/>
        <v>46337</v>
      </c>
      <c r="B376" s="33"/>
      <c r="C376" s="69" t="e">
        <f ca="1">IF(TODAY()&gt;=$A376,SUMIFS(Tabla1[Avance_km],Tabla1[Fecha],"&lt;="&amp;'Grafico %'!$A376,Tabla1[nombre_actividad],'Grafico %'!C$1)/(200),NA())</f>
        <v>#N/A</v>
      </c>
      <c r="D376" s="70" t="e">
        <f ca="1">IF(TODAY()&gt;=$A376,SUMIFS(Tabla1[Avance_km],Tabla1[Fecha],"&lt;="&amp;'Grafico %'!$A376,Tabla1[nombre_actividad],'Grafico %'!D$1)/(200),NA())</f>
        <v>#N/A</v>
      </c>
      <c r="E376" s="70" t="e">
        <f ca="1">IF(TODAY()&gt;=$A376,SUMIFS(Tabla1[Avance_km],Tabla1[Fecha],"&lt;="&amp;'Grafico %'!$A376,Tabla1[nombre_actividad],'Grafico %'!E$1,Tabla1[Avance_km],"&gt;0")/(200),NA())</f>
        <v>#N/A</v>
      </c>
      <c r="F376" s="68" t="e">
        <f ca="1">IF(TODAY()&gt;=$A376,SUMIFS(Tabla1[Avance_Med],Tabla1[Fecha],"&lt;="&amp;'Grafico %'!$A376,Tabla1[nombre_actividad],'Grafico %'!F$1)/500,NA())</f>
        <v>#N/A</v>
      </c>
      <c r="G376" s="70" t="e">
        <f ca="1">IF(TODAY()&gt;=$A376,SUMIFS(Tabla1[Avance_km],Tabla1[Fecha],"&lt;="&amp;'Grafico %'!$A376,Tabla1[nombre_actividad],'Grafico %'!G$1)/(200),NA())</f>
        <v>#N/A</v>
      </c>
      <c r="H376" s="70" t="e">
        <f ca="1">IF(TODAY()&gt;=$A376,SUMIFS(Tabla1[Avance_km],Tabla1[Fecha],"&lt;="&amp;'Grafico %'!$A376,Tabla1[nombre_actividad],'Grafico %'!H$1)/(200),NA())</f>
        <v>#N/A</v>
      </c>
    </row>
    <row r="377" spans="1:8" x14ac:dyDescent="0.25">
      <c r="A377" s="62">
        <f t="shared" si="5"/>
        <v>46338</v>
      </c>
      <c r="B377" s="33"/>
      <c r="C377" s="69" t="e">
        <f ca="1">IF(TODAY()&gt;=$A377,SUMIFS(Tabla1[Avance_km],Tabla1[Fecha],"&lt;="&amp;'Grafico %'!$A377,Tabla1[nombre_actividad],'Grafico %'!C$1)/(200),NA())</f>
        <v>#N/A</v>
      </c>
      <c r="D377" s="70" t="e">
        <f ca="1">IF(TODAY()&gt;=$A377,SUMIFS(Tabla1[Avance_km],Tabla1[Fecha],"&lt;="&amp;'Grafico %'!$A377,Tabla1[nombre_actividad],'Grafico %'!D$1)/(200),NA())</f>
        <v>#N/A</v>
      </c>
      <c r="E377" s="70" t="e">
        <f ca="1">IF(TODAY()&gt;=$A377,SUMIFS(Tabla1[Avance_km],Tabla1[Fecha],"&lt;="&amp;'Grafico %'!$A377,Tabla1[nombre_actividad],'Grafico %'!E$1,Tabla1[Avance_km],"&gt;0")/(200),NA())</f>
        <v>#N/A</v>
      </c>
      <c r="F377" s="68" t="e">
        <f ca="1">IF(TODAY()&gt;=$A377,SUMIFS(Tabla1[Avance_Med],Tabla1[Fecha],"&lt;="&amp;'Grafico %'!$A377,Tabla1[nombre_actividad],'Grafico %'!F$1)/500,NA())</f>
        <v>#N/A</v>
      </c>
      <c r="G377" s="70" t="e">
        <f ca="1">IF(TODAY()&gt;=$A377,SUMIFS(Tabla1[Avance_km],Tabla1[Fecha],"&lt;="&amp;'Grafico %'!$A377,Tabla1[nombre_actividad],'Grafico %'!G$1)/(200),NA())</f>
        <v>#N/A</v>
      </c>
      <c r="H377" s="70" t="e">
        <f ca="1">IF(TODAY()&gt;=$A377,SUMIFS(Tabla1[Avance_km],Tabla1[Fecha],"&lt;="&amp;'Grafico %'!$A377,Tabla1[nombre_actividad],'Grafico %'!H$1)/(200),NA())</f>
        <v>#N/A</v>
      </c>
    </row>
    <row r="378" spans="1:8" x14ac:dyDescent="0.25">
      <c r="A378" s="62">
        <f t="shared" si="5"/>
        <v>46339</v>
      </c>
      <c r="B378" s="33"/>
      <c r="C378" s="69" t="e">
        <f ca="1">IF(TODAY()&gt;=$A378,SUMIFS(Tabla1[Avance_km],Tabla1[Fecha],"&lt;="&amp;'Grafico %'!$A378,Tabla1[nombre_actividad],'Grafico %'!C$1)/(200),NA())</f>
        <v>#N/A</v>
      </c>
      <c r="D378" s="70" t="e">
        <f ca="1">IF(TODAY()&gt;=$A378,SUMIFS(Tabla1[Avance_km],Tabla1[Fecha],"&lt;="&amp;'Grafico %'!$A378,Tabla1[nombre_actividad],'Grafico %'!D$1)/(200),NA())</f>
        <v>#N/A</v>
      </c>
      <c r="E378" s="70" t="e">
        <f ca="1">IF(TODAY()&gt;=$A378,SUMIFS(Tabla1[Avance_km],Tabla1[Fecha],"&lt;="&amp;'Grafico %'!$A378,Tabla1[nombre_actividad],'Grafico %'!E$1,Tabla1[Avance_km],"&gt;0")/(200),NA())</f>
        <v>#N/A</v>
      </c>
      <c r="F378" s="68" t="e">
        <f ca="1">IF(TODAY()&gt;=$A378,SUMIFS(Tabla1[Avance_Med],Tabla1[Fecha],"&lt;="&amp;'Grafico %'!$A378,Tabla1[nombre_actividad],'Grafico %'!F$1)/500,NA())</f>
        <v>#N/A</v>
      </c>
      <c r="G378" s="70" t="e">
        <f ca="1">IF(TODAY()&gt;=$A378,SUMIFS(Tabla1[Avance_km],Tabla1[Fecha],"&lt;="&amp;'Grafico %'!$A378,Tabla1[nombre_actividad],'Grafico %'!G$1)/(200),NA())</f>
        <v>#N/A</v>
      </c>
      <c r="H378" s="70" t="e">
        <f ca="1">IF(TODAY()&gt;=$A378,SUMIFS(Tabla1[Avance_km],Tabla1[Fecha],"&lt;="&amp;'Grafico %'!$A378,Tabla1[nombre_actividad],'Grafico %'!H$1)/(200),NA())</f>
        <v>#N/A</v>
      </c>
    </row>
    <row r="379" spans="1:8" x14ac:dyDescent="0.25">
      <c r="A379" s="62">
        <f t="shared" si="5"/>
        <v>46340</v>
      </c>
      <c r="B379" s="33"/>
      <c r="C379" s="69" t="e">
        <f ca="1">IF(TODAY()&gt;=$A379,SUMIFS(Tabla1[Avance_km],Tabla1[Fecha],"&lt;="&amp;'Grafico %'!$A379,Tabla1[nombre_actividad],'Grafico %'!C$1)/(200),NA())</f>
        <v>#N/A</v>
      </c>
      <c r="D379" s="70" t="e">
        <f ca="1">IF(TODAY()&gt;=$A379,SUMIFS(Tabla1[Avance_km],Tabla1[Fecha],"&lt;="&amp;'Grafico %'!$A379,Tabla1[nombre_actividad],'Grafico %'!D$1)/(200),NA())</f>
        <v>#N/A</v>
      </c>
      <c r="E379" s="70" t="e">
        <f ca="1">IF(TODAY()&gt;=$A379,SUMIFS(Tabla1[Avance_km],Tabla1[Fecha],"&lt;="&amp;'Grafico %'!$A379,Tabla1[nombre_actividad],'Grafico %'!E$1,Tabla1[Avance_km],"&gt;0")/(200),NA())</f>
        <v>#N/A</v>
      </c>
      <c r="F379" s="68" t="e">
        <f ca="1">IF(TODAY()&gt;=$A379,SUMIFS(Tabla1[Avance_Med],Tabla1[Fecha],"&lt;="&amp;'Grafico %'!$A379,Tabla1[nombre_actividad],'Grafico %'!F$1)/500,NA())</f>
        <v>#N/A</v>
      </c>
      <c r="G379" s="70" t="e">
        <f ca="1">IF(TODAY()&gt;=$A379,SUMIFS(Tabla1[Avance_km],Tabla1[Fecha],"&lt;="&amp;'Grafico %'!$A379,Tabla1[nombre_actividad],'Grafico %'!G$1)/(200),NA())</f>
        <v>#N/A</v>
      </c>
      <c r="H379" s="70" t="e">
        <f ca="1">IF(TODAY()&gt;=$A379,SUMIFS(Tabla1[Avance_km],Tabla1[Fecha],"&lt;="&amp;'Grafico %'!$A379,Tabla1[nombre_actividad],'Grafico %'!H$1)/(200),NA())</f>
        <v>#N/A</v>
      </c>
    </row>
    <row r="380" spans="1:8" x14ac:dyDescent="0.25">
      <c r="A380" s="62">
        <f t="shared" si="5"/>
        <v>46341</v>
      </c>
      <c r="B380" s="33"/>
      <c r="C380" s="69" t="e">
        <f ca="1">IF(TODAY()&gt;=$A380,SUMIFS(Tabla1[Avance_km],Tabla1[Fecha],"&lt;="&amp;'Grafico %'!$A380,Tabla1[nombre_actividad],'Grafico %'!C$1)/(200),NA())</f>
        <v>#N/A</v>
      </c>
      <c r="D380" s="70" t="e">
        <f ca="1">IF(TODAY()&gt;=$A380,SUMIFS(Tabla1[Avance_km],Tabla1[Fecha],"&lt;="&amp;'Grafico %'!$A380,Tabla1[nombre_actividad],'Grafico %'!D$1)/(200),NA())</f>
        <v>#N/A</v>
      </c>
      <c r="E380" s="70" t="e">
        <f ca="1">IF(TODAY()&gt;=$A380,SUMIFS(Tabla1[Avance_km],Tabla1[Fecha],"&lt;="&amp;'Grafico %'!$A380,Tabla1[nombre_actividad],'Grafico %'!E$1,Tabla1[Avance_km],"&gt;0")/(200),NA())</f>
        <v>#N/A</v>
      </c>
      <c r="F380" s="68" t="e">
        <f ca="1">IF(TODAY()&gt;=$A380,SUMIFS(Tabla1[Avance_Med],Tabla1[Fecha],"&lt;="&amp;'Grafico %'!$A380,Tabla1[nombre_actividad],'Grafico %'!F$1)/500,NA())</f>
        <v>#N/A</v>
      </c>
      <c r="G380" s="70" t="e">
        <f ca="1">IF(TODAY()&gt;=$A380,SUMIFS(Tabla1[Avance_km],Tabla1[Fecha],"&lt;="&amp;'Grafico %'!$A380,Tabla1[nombre_actividad],'Grafico %'!G$1)/(200),NA())</f>
        <v>#N/A</v>
      </c>
      <c r="H380" s="70" t="e">
        <f ca="1">IF(TODAY()&gt;=$A380,SUMIFS(Tabla1[Avance_km],Tabla1[Fecha],"&lt;="&amp;'Grafico %'!$A380,Tabla1[nombre_actividad],'Grafico %'!H$1)/(200),NA())</f>
        <v>#N/A</v>
      </c>
    </row>
    <row r="381" spans="1:8" x14ac:dyDescent="0.25">
      <c r="A381" s="62">
        <f t="shared" si="5"/>
        <v>46342</v>
      </c>
      <c r="B381" s="33"/>
      <c r="C381" s="69" t="e">
        <f ca="1">IF(TODAY()&gt;=$A381,SUMIFS(Tabla1[Avance_km],Tabla1[Fecha],"&lt;="&amp;'Grafico %'!$A381,Tabla1[nombre_actividad],'Grafico %'!C$1)/(200),NA())</f>
        <v>#N/A</v>
      </c>
      <c r="D381" s="70" t="e">
        <f ca="1">IF(TODAY()&gt;=$A381,SUMIFS(Tabla1[Avance_km],Tabla1[Fecha],"&lt;="&amp;'Grafico %'!$A381,Tabla1[nombre_actividad],'Grafico %'!D$1)/(200),NA())</f>
        <v>#N/A</v>
      </c>
      <c r="E381" s="70" t="e">
        <f ca="1">IF(TODAY()&gt;=$A381,SUMIFS(Tabla1[Avance_km],Tabla1[Fecha],"&lt;="&amp;'Grafico %'!$A381,Tabla1[nombre_actividad],'Grafico %'!E$1,Tabla1[Avance_km],"&gt;0")/(200),NA())</f>
        <v>#N/A</v>
      </c>
      <c r="F381" s="68" t="e">
        <f ca="1">IF(TODAY()&gt;=$A381,SUMIFS(Tabla1[Avance_Med],Tabla1[Fecha],"&lt;="&amp;'Grafico %'!$A381,Tabla1[nombre_actividad],'Grafico %'!F$1)/500,NA())</f>
        <v>#N/A</v>
      </c>
      <c r="G381" s="70" t="e">
        <f ca="1">IF(TODAY()&gt;=$A381,SUMIFS(Tabla1[Avance_km],Tabla1[Fecha],"&lt;="&amp;'Grafico %'!$A381,Tabla1[nombre_actividad],'Grafico %'!G$1)/(200),NA())</f>
        <v>#N/A</v>
      </c>
      <c r="H381" s="70" t="e">
        <f ca="1">IF(TODAY()&gt;=$A381,SUMIFS(Tabla1[Avance_km],Tabla1[Fecha],"&lt;="&amp;'Grafico %'!$A381,Tabla1[nombre_actividad],'Grafico %'!H$1)/(200),NA())</f>
        <v>#N/A</v>
      </c>
    </row>
    <row r="382" spans="1:8" x14ac:dyDescent="0.25">
      <c r="A382" s="62">
        <f t="shared" si="5"/>
        <v>46343</v>
      </c>
      <c r="B382" s="33"/>
      <c r="C382" s="69" t="e">
        <f ca="1">IF(TODAY()&gt;=$A382,SUMIFS(Tabla1[Avance_km],Tabla1[Fecha],"&lt;="&amp;'Grafico %'!$A382,Tabla1[nombre_actividad],'Grafico %'!C$1)/(200),NA())</f>
        <v>#N/A</v>
      </c>
      <c r="D382" s="70" t="e">
        <f ca="1">IF(TODAY()&gt;=$A382,SUMIFS(Tabla1[Avance_km],Tabla1[Fecha],"&lt;="&amp;'Grafico %'!$A382,Tabla1[nombre_actividad],'Grafico %'!D$1)/(200),NA())</f>
        <v>#N/A</v>
      </c>
      <c r="E382" s="70" t="e">
        <f ca="1">IF(TODAY()&gt;=$A382,SUMIFS(Tabla1[Avance_km],Tabla1[Fecha],"&lt;="&amp;'Grafico %'!$A382,Tabla1[nombre_actividad],'Grafico %'!E$1,Tabla1[Avance_km],"&gt;0")/(200),NA())</f>
        <v>#N/A</v>
      </c>
      <c r="F382" s="68" t="e">
        <f ca="1">IF(TODAY()&gt;=$A382,SUMIFS(Tabla1[Avance_Med],Tabla1[Fecha],"&lt;="&amp;'Grafico %'!$A382,Tabla1[nombre_actividad],'Grafico %'!F$1)/500,NA())</f>
        <v>#N/A</v>
      </c>
      <c r="G382" s="70" t="e">
        <f ca="1">IF(TODAY()&gt;=$A382,SUMIFS(Tabla1[Avance_km],Tabla1[Fecha],"&lt;="&amp;'Grafico %'!$A382,Tabla1[nombre_actividad],'Grafico %'!G$1)/(200),NA())</f>
        <v>#N/A</v>
      </c>
      <c r="H382" s="70" t="e">
        <f ca="1">IF(TODAY()&gt;=$A382,SUMIFS(Tabla1[Avance_km],Tabla1[Fecha],"&lt;="&amp;'Grafico %'!$A382,Tabla1[nombre_actividad],'Grafico %'!H$1)/(200),NA())</f>
        <v>#N/A</v>
      </c>
    </row>
    <row r="383" spans="1:8" x14ac:dyDescent="0.25">
      <c r="A383" s="62">
        <f t="shared" si="5"/>
        <v>46344</v>
      </c>
      <c r="B383" s="33"/>
      <c r="C383" s="69" t="e">
        <f ca="1">IF(TODAY()&gt;=$A383,SUMIFS(Tabla1[Avance_km],Tabla1[Fecha],"&lt;="&amp;'Grafico %'!$A383,Tabla1[nombre_actividad],'Grafico %'!C$1)/(200),NA())</f>
        <v>#N/A</v>
      </c>
      <c r="D383" s="70" t="e">
        <f ca="1">IF(TODAY()&gt;=$A383,SUMIFS(Tabla1[Avance_km],Tabla1[Fecha],"&lt;="&amp;'Grafico %'!$A383,Tabla1[nombre_actividad],'Grafico %'!D$1)/(200),NA())</f>
        <v>#N/A</v>
      </c>
      <c r="E383" s="70" t="e">
        <f ca="1">IF(TODAY()&gt;=$A383,SUMIFS(Tabla1[Avance_km],Tabla1[Fecha],"&lt;="&amp;'Grafico %'!$A383,Tabla1[nombre_actividad],'Grafico %'!E$1,Tabla1[Avance_km],"&gt;0")/(200),NA())</f>
        <v>#N/A</v>
      </c>
      <c r="F383" s="68" t="e">
        <f ca="1">IF(TODAY()&gt;=$A383,SUMIFS(Tabla1[Avance_Med],Tabla1[Fecha],"&lt;="&amp;'Grafico %'!$A383,Tabla1[nombre_actividad],'Grafico %'!F$1)/500,NA())</f>
        <v>#N/A</v>
      </c>
      <c r="G383" s="70" t="e">
        <f ca="1">IF(TODAY()&gt;=$A383,SUMIFS(Tabla1[Avance_km],Tabla1[Fecha],"&lt;="&amp;'Grafico %'!$A383,Tabla1[nombre_actividad],'Grafico %'!G$1)/(200),NA())</f>
        <v>#N/A</v>
      </c>
      <c r="H383" s="70" t="e">
        <f ca="1">IF(TODAY()&gt;=$A383,SUMIFS(Tabla1[Avance_km],Tabla1[Fecha],"&lt;="&amp;'Grafico %'!$A383,Tabla1[nombre_actividad],'Grafico %'!H$1)/(200),NA())</f>
        <v>#N/A</v>
      </c>
    </row>
    <row r="384" spans="1:8" x14ac:dyDescent="0.25">
      <c r="A384" s="62">
        <f t="shared" si="5"/>
        <v>46345</v>
      </c>
      <c r="B384" s="33"/>
      <c r="C384" s="69" t="e">
        <f ca="1">IF(TODAY()&gt;=$A384,SUMIFS(Tabla1[Avance_km],Tabla1[Fecha],"&lt;="&amp;'Grafico %'!$A384,Tabla1[nombre_actividad],'Grafico %'!C$1)/(200),NA())</f>
        <v>#N/A</v>
      </c>
      <c r="D384" s="70" t="e">
        <f ca="1">IF(TODAY()&gt;=$A384,SUMIFS(Tabla1[Avance_km],Tabla1[Fecha],"&lt;="&amp;'Grafico %'!$A384,Tabla1[nombre_actividad],'Grafico %'!D$1)/(200),NA())</f>
        <v>#N/A</v>
      </c>
      <c r="E384" s="70" t="e">
        <f ca="1">IF(TODAY()&gt;=$A384,SUMIFS(Tabla1[Avance_km],Tabla1[Fecha],"&lt;="&amp;'Grafico %'!$A384,Tabla1[nombre_actividad],'Grafico %'!E$1,Tabla1[Avance_km],"&gt;0")/(200),NA())</f>
        <v>#N/A</v>
      </c>
      <c r="F384" s="68" t="e">
        <f ca="1">IF(TODAY()&gt;=$A384,SUMIFS(Tabla1[Avance_Med],Tabla1[Fecha],"&lt;="&amp;'Grafico %'!$A384,Tabla1[nombre_actividad],'Grafico %'!F$1)/500,NA())</f>
        <v>#N/A</v>
      </c>
      <c r="G384" s="70" t="e">
        <f ca="1">IF(TODAY()&gt;=$A384,SUMIFS(Tabla1[Avance_km],Tabla1[Fecha],"&lt;="&amp;'Grafico %'!$A384,Tabla1[nombre_actividad],'Grafico %'!G$1)/(200),NA())</f>
        <v>#N/A</v>
      </c>
      <c r="H384" s="70" t="e">
        <f ca="1">IF(TODAY()&gt;=$A384,SUMIFS(Tabla1[Avance_km],Tabla1[Fecha],"&lt;="&amp;'Grafico %'!$A384,Tabla1[nombre_actividad],'Grafico %'!H$1)/(200),NA())</f>
        <v>#N/A</v>
      </c>
    </row>
    <row r="385" spans="1:8" x14ac:dyDescent="0.25">
      <c r="A385" s="62">
        <f t="shared" si="5"/>
        <v>46346</v>
      </c>
      <c r="B385" s="33"/>
      <c r="C385" s="69" t="e">
        <f ca="1">IF(TODAY()&gt;=$A385,SUMIFS(Tabla1[Avance_km],Tabla1[Fecha],"&lt;="&amp;'Grafico %'!$A385,Tabla1[nombre_actividad],'Grafico %'!C$1)/(200),NA())</f>
        <v>#N/A</v>
      </c>
      <c r="D385" s="70" t="e">
        <f ca="1">IF(TODAY()&gt;=$A385,SUMIFS(Tabla1[Avance_km],Tabla1[Fecha],"&lt;="&amp;'Grafico %'!$A385,Tabla1[nombre_actividad],'Grafico %'!D$1)/(200),NA())</f>
        <v>#N/A</v>
      </c>
      <c r="E385" s="70" t="e">
        <f ca="1">IF(TODAY()&gt;=$A385,SUMIFS(Tabla1[Avance_km],Tabla1[Fecha],"&lt;="&amp;'Grafico %'!$A385,Tabla1[nombre_actividad],'Grafico %'!E$1,Tabla1[Avance_km],"&gt;0")/(200),NA())</f>
        <v>#N/A</v>
      </c>
      <c r="F385" s="68" t="e">
        <f ca="1">IF(TODAY()&gt;=$A385,SUMIFS(Tabla1[Avance_Med],Tabla1[Fecha],"&lt;="&amp;'Grafico %'!$A385,Tabla1[nombre_actividad],'Grafico %'!F$1)/500,NA())</f>
        <v>#N/A</v>
      </c>
      <c r="G385" s="70" t="e">
        <f ca="1">IF(TODAY()&gt;=$A385,SUMIFS(Tabla1[Avance_km],Tabla1[Fecha],"&lt;="&amp;'Grafico %'!$A385,Tabla1[nombre_actividad],'Grafico %'!G$1)/(200),NA())</f>
        <v>#N/A</v>
      </c>
      <c r="H385" s="70" t="e">
        <f ca="1">IF(TODAY()&gt;=$A385,SUMIFS(Tabla1[Avance_km],Tabla1[Fecha],"&lt;="&amp;'Grafico %'!$A385,Tabla1[nombre_actividad],'Grafico %'!H$1)/(200),NA())</f>
        <v>#N/A</v>
      </c>
    </row>
    <row r="386" spans="1:8" x14ac:dyDescent="0.25">
      <c r="A386" s="62">
        <f t="shared" si="5"/>
        <v>46347</v>
      </c>
      <c r="B386" s="33"/>
      <c r="C386" s="69" t="e">
        <f ca="1">IF(TODAY()&gt;=$A386,SUMIFS(Tabla1[Avance_km],Tabla1[Fecha],"&lt;="&amp;'Grafico %'!$A386,Tabla1[nombre_actividad],'Grafico %'!C$1)/(200),NA())</f>
        <v>#N/A</v>
      </c>
      <c r="D386" s="70" t="e">
        <f ca="1">IF(TODAY()&gt;=$A386,SUMIFS(Tabla1[Avance_km],Tabla1[Fecha],"&lt;="&amp;'Grafico %'!$A386,Tabla1[nombre_actividad],'Grafico %'!D$1)/(200),NA())</f>
        <v>#N/A</v>
      </c>
      <c r="E386" s="70" t="e">
        <f ca="1">IF(TODAY()&gt;=$A386,SUMIFS(Tabla1[Avance_km],Tabla1[Fecha],"&lt;="&amp;'Grafico %'!$A386,Tabla1[nombre_actividad],'Grafico %'!E$1,Tabla1[Avance_km],"&gt;0")/(200),NA())</f>
        <v>#N/A</v>
      </c>
      <c r="F386" s="68" t="e">
        <f ca="1">IF(TODAY()&gt;=$A386,SUMIFS(Tabla1[Avance_Med],Tabla1[Fecha],"&lt;="&amp;'Grafico %'!$A386,Tabla1[nombre_actividad],'Grafico %'!F$1)/500,NA())</f>
        <v>#N/A</v>
      </c>
      <c r="G386" s="70" t="e">
        <f ca="1">IF(TODAY()&gt;=$A386,SUMIFS(Tabla1[Avance_km],Tabla1[Fecha],"&lt;="&amp;'Grafico %'!$A386,Tabla1[nombre_actividad],'Grafico %'!G$1)/(200),NA())</f>
        <v>#N/A</v>
      </c>
      <c r="H386" s="70" t="e">
        <f ca="1">IF(TODAY()&gt;=$A386,SUMIFS(Tabla1[Avance_km],Tabla1[Fecha],"&lt;="&amp;'Grafico %'!$A386,Tabla1[nombre_actividad],'Grafico %'!H$1)/(200),NA())</f>
        <v>#N/A</v>
      </c>
    </row>
    <row r="387" spans="1:8" x14ac:dyDescent="0.25">
      <c r="A387" s="62">
        <f t="shared" si="5"/>
        <v>46348</v>
      </c>
      <c r="B387" s="33"/>
      <c r="C387" s="69" t="e">
        <f ca="1">IF(TODAY()&gt;=$A387,SUMIFS(Tabla1[Avance_km],Tabla1[Fecha],"&lt;="&amp;'Grafico %'!$A387,Tabla1[nombre_actividad],'Grafico %'!C$1)/(200),NA())</f>
        <v>#N/A</v>
      </c>
      <c r="D387" s="70" t="e">
        <f ca="1">IF(TODAY()&gt;=$A387,SUMIFS(Tabla1[Avance_km],Tabla1[Fecha],"&lt;="&amp;'Grafico %'!$A387,Tabla1[nombre_actividad],'Grafico %'!D$1)/(200),NA())</f>
        <v>#N/A</v>
      </c>
      <c r="E387" s="70" t="e">
        <f ca="1">IF(TODAY()&gt;=$A387,SUMIFS(Tabla1[Avance_km],Tabla1[Fecha],"&lt;="&amp;'Grafico %'!$A387,Tabla1[nombre_actividad],'Grafico %'!E$1,Tabla1[Avance_km],"&gt;0")/(200),NA())</f>
        <v>#N/A</v>
      </c>
      <c r="F387" s="68" t="e">
        <f ca="1">IF(TODAY()&gt;=$A387,SUMIFS(Tabla1[Avance_Med],Tabla1[Fecha],"&lt;="&amp;'Grafico %'!$A387,Tabla1[nombre_actividad],'Grafico %'!F$1)/500,NA())</f>
        <v>#N/A</v>
      </c>
      <c r="G387" s="70" t="e">
        <f ca="1">IF(TODAY()&gt;=$A387,SUMIFS(Tabla1[Avance_km],Tabla1[Fecha],"&lt;="&amp;'Grafico %'!$A387,Tabla1[nombre_actividad],'Grafico %'!G$1)/(200),NA())</f>
        <v>#N/A</v>
      </c>
      <c r="H387" s="70" t="e">
        <f ca="1">IF(TODAY()&gt;=$A387,SUMIFS(Tabla1[Avance_km],Tabla1[Fecha],"&lt;="&amp;'Grafico %'!$A387,Tabla1[nombre_actividad],'Grafico %'!H$1)/(200),NA())</f>
        <v>#N/A</v>
      </c>
    </row>
    <row r="388" spans="1:8" x14ac:dyDescent="0.25">
      <c r="A388" s="62">
        <f t="shared" ref="A388:A426" si="6">+A387+1</f>
        <v>46349</v>
      </c>
      <c r="B388" s="33"/>
      <c r="C388" s="69" t="e">
        <f ca="1">IF(TODAY()&gt;=$A388,SUMIFS(Tabla1[Avance_km],Tabla1[Fecha],"&lt;="&amp;'Grafico %'!$A388,Tabla1[nombre_actividad],'Grafico %'!C$1)/(200),NA())</f>
        <v>#N/A</v>
      </c>
      <c r="D388" s="70" t="e">
        <f ca="1">IF(TODAY()&gt;=$A388,SUMIFS(Tabla1[Avance_km],Tabla1[Fecha],"&lt;="&amp;'Grafico %'!$A388,Tabla1[nombre_actividad],'Grafico %'!D$1)/(200),NA())</f>
        <v>#N/A</v>
      </c>
      <c r="E388" s="70" t="e">
        <f ca="1">IF(TODAY()&gt;=$A388,SUMIFS(Tabla1[Avance_km],Tabla1[Fecha],"&lt;="&amp;'Grafico %'!$A388,Tabla1[nombre_actividad],'Grafico %'!E$1,Tabla1[Avance_km],"&gt;0")/(200),NA())</f>
        <v>#N/A</v>
      </c>
      <c r="F388" s="68" t="e">
        <f ca="1">IF(TODAY()&gt;=$A388,SUMIFS(Tabla1[Avance_Med],Tabla1[Fecha],"&lt;="&amp;'Grafico %'!$A388,Tabla1[nombre_actividad],'Grafico %'!F$1)/500,NA())</f>
        <v>#N/A</v>
      </c>
      <c r="G388" s="70" t="e">
        <f ca="1">IF(TODAY()&gt;=$A388,SUMIFS(Tabla1[Avance_km],Tabla1[Fecha],"&lt;="&amp;'Grafico %'!$A388,Tabla1[nombre_actividad],'Grafico %'!G$1)/(200),NA())</f>
        <v>#N/A</v>
      </c>
      <c r="H388" s="70" t="e">
        <f ca="1">IF(TODAY()&gt;=$A388,SUMIFS(Tabla1[Avance_km],Tabla1[Fecha],"&lt;="&amp;'Grafico %'!$A388,Tabla1[nombre_actividad],'Grafico %'!H$1)/(200),NA())</f>
        <v>#N/A</v>
      </c>
    </row>
    <row r="389" spans="1:8" x14ac:dyDescent="0.25">
      <c r="A389" s="62">
        <f t="shared" si="6"/>
        <v>46350</v>
      </c>
      <c r="B389" s="33"/>
      <c r="C389" s="69" t="e">
        <f ca="1">IF(TODAY()&gt;=$A389,SUMIFS(Tabla1[Avance_km],Tabla1[Fecha],"&lt;="&amp;'Grafico %'!$A389,Tabla1[nombre_actividad],'Grafico %'!C$1)/(200),NA())</f>
        <v>#N/A</v>
      </c>
      <c r="D389" s="70" t="e">
        <f ca="1">IF(TODAY()&gt;=$A389,SUMIFS(Tabla1[Avance_km],Tabla1[Fecha],"&lt;="&amp;'Grafico %'!$A389,Tabla1[nombre_actividad],'Grafico %'!D$1)/(200),NA())</f>
        <v>#N/A</v>
      </c>
      <c r="E389" s="70" t="e">
        <f ca="1">IF(TODAY()&gt;=$A389,SUMIFS(Tabla1[Avance_km],Tabla1[Fecha],"&lt;="&amp;'Grafico %'!$A389,Tabla1[nombre_actividad],'Grafico %'!E$1,Tabla1[Avance_km],"&gt;0")/(200),NA())</f>
        <v>#N/A</v>
      </c>
      <c r="F389" s="68" t="e">
        <f ca="1">IF(TODAY()&gt;=$A389,SUMIFS(Tabla1[Avance_Med],Tabla1[Fecha],"&lt;="&amp;'Grafico %'!$A389,Tabla1[nombre_actividad],'Grafico %'!F$1)/500,NA())</f>
        <v>#N/A</v>
      </c>
      <c r="G389" s="70" t="e">
        <f ca="1">IF(TODAY()&gt;=$A389,SUMIFS(Tabla1[Avance_km],Tabla1[Fecha],"&lt;="&amp;'Grafico %'!$A389,Tabla1[nombre_actividad],'Grafico %'!G$1)/(200),NA())</f>
        <v>#N/A</v>
      </c>
      <c r="H389" s="70" t="e">
        <f ca="1">IF(TODAY()&gt;=$A389,SUMIFS(Tabla1[Avance_km],Tabla1[Fecha],"&lt;="&amp;'Grafico %'!$A389,Tabla1[nombre_actividad],'Grafico %'!H$1)/(200),NA())</f>
        <v>#N/A</v>
      </c>
    </row>
    <row r="390" spans="1:8" x14ac:dyDescent="0.25">
      <c r="A390" s="62">
        <f t="shared" si="6"/>
        <v>46351</v>
      </c>
      <c r="B390" s="33"/>
      <c r="C390" s="69" t="e">
        <f ca="1">IF(TODAY()&gt;=$A390,SUMIFS(Tabla1[Avance_km],Tabla1[Fecha],"&lt;="&amp;'Grafico %'!$A390,Tabla1[nombre_actividad],'Grafico %'!C$1)/(200),NA())</f>
        <v>#N/A</v>
      </c>
      <c r="D390" s="70" t="e">
        <f ca="1">IF(TODAY()&gt;=$A390,SUMIFS(Tabla1[Avance_km],Tabla1[Fecha],"&lt;="&amp;'Grafico %'!$A390,Tabla1[nombre_actividad],'Grafico %'!D$1)/(200),NA())</f>
        <v>#N/A</v>
      </c>
      <c r="E390" s="70" t="e">
        <f ca="1">IF(TODAY()&gt;=$A390,SUMIFS(Tabla1[Avance_km],Tabla1[Fecha],"&lt;="&amp;'Grafico %'!$A390,Tabla1[nombre_actividad],'Grafico %'!E$1,Tabla1[Avance_km],"&gt;0")/(200),NA())</f>
        <v>#N/A</v>
      </c>
      <c r="F390" s="68" t="e">
        <f ca="1">IF(TODAY()&gt;=$A390,SUMIFS(Tabla1[Avance_Med],Tabla1[Fecha],"&lt;="&amp;'Grafico %'!$A390,Tabla1[nombre_actividad],'Grafico %'!F$1)/500,NA())</f>
        <v>#N/A</v>
      </c>
      <c r="G390" s="70" t="e">
        <f ca="1">IF(TODAY()&gt;=$A390,SUMIFS(Tabla1[Avance_km],Tabla1[Fecha],"&lt;="&amp;'Grafico %'!$A390,Tabla1[nombre_actividad],'Grafico %'!G$1)/(200),NA())</f>
        <v>#N/A</v>
      </c>
      <c r="H390" s="70" t="e">
        <f ca="1">IF(TODAY()&gt;=$A390,SUMIFS(Tabla1[Avance_km],Tabla1[Fecha],"&lt;="&amp;'Grafico %'!$A390,Tabla1[nombre_actividad],'Grafico %'!H$1)/(200),NA())</f>
        <v>#N/A</v>
      </c>
    </row>
    <row r="391" spans="1:8" x14ac:dyDescent="0.25">
      <c r="A391" s="62">
        <f t="shared" si="6"/>
        <v>46352</v>
      </c>
      <c r="B391" s="33"/>
      <c r="C391" s="69" t="e">
        <f ca="1">IF(TODAY()&gt;=$A391,SUMIFS(Tabla1[Avance_km],Tabla1[Fecha],"&lt;="&amp;'Grafico %'!$A391,Tabla1[nombre_actividad],'Grafico %'!C$1)/(200),NA())</f>
        <v>#N/A</v>
      </c>
      <c r="D391" s="70" t="e">
        <f ca="1">IF(TODAY()&gt;=$A391,SUMIFS(Tabla1[Avance_km],Tabla1[Fecha],"&lt;="&amp;'Grafico %'!$A391,Tabla1[nombre_actividad],'Grafico %'!D$1)/(200),NA())</f>
        <v>#N/A</v>
      </c>
      <c r="E391" s="70" t="e">
        <f ca="1">IF(TODAY()&gt;=$A391,SUMIFS(Tabla1[Avance_km],Tabla1[Fecha],"&lt;="&amp;'Grafico %'!$A391,Tabla1[nombre_actividad],'Grafico %'!E$1,Tabla1[Avance_km],"&gt;0")/(200),NA())</f>
        <v>#N/A</v>
      </c>
      <c r="F391" s="68" t="e">
        <f ca="1">IF(TODAY()&gt;=$A391,SUMIFS(Tabla1[Avance_Med],Tabla1[Fecha],"&lt;="&amp;'Grafico %'!$A391,Tabla1[nombre_actividad],'Grafico %'!F$1)/500,NA())</f>
        <v>#N/A</v>
      </c>
      <c r="G391" s="70" t="e">
        <f ca="1">IF(TODAY()&gt;=$A391,SUMIFS(Tabla1[Avance_km],Tabla1[Fecha],"&lt;="&amp;'Grafico %'!$A391,Tabla1[nombre_actividad],'Grafico %'!G$1)/(200),NA())</f>
        <v>#N/A</v>
      </c>
      <c r="H391" s="70" t="e">
        <f ca="1">IF(TODAY()&gt;=$A391,SUMIFS(Tabla1[Avance_km],Tabla1[Fecha],"&lt;="&amp;'Grafico %'!$A391,Tabla1[nombre_actividad],'Grafico %'!H$1)/(200),NA())</f>
        <v>#N/A</v>
      </c>
    </row>
    <row r="392" spans="1:8" x14ac:dyDescent="0.25">
      <c r="A392" s="62">
        <f t="shared" si="6"/>
        <v>46353</v>
      </c>
      <c r="B392" s="33"/>
      <c r="C392" s="69" t="e">
        <f ca="1">IF(TODAY()&gt;=$A392,SUMIFS(Tabla1[Avance_km],Tabla1[Fecha],"&lt;="&amp;'Grafico %'!$A392,Tabla1[nombre_actividad],'Grafico %'!C$1)/(200),NA())</f>
        <v>#N/A</v>
      </c>
      <c r="D392" s="70" t="e">
        <f ca="1">IF(TODAY()&gt;=$A392,SUMIFS(Tabla1[Avance_km],Tabla1[Fecha],"&lt;="&amp;'Grafico %'!$A392,Tabla1[nombre_actividad],'Grafico %'!D$1)/(200),NA())</f>
        <v>#N/A</v>
      </c>
      <c r="E392" s="70" t="e">
        <f ca="1">IF(TODAY()&gt;=$A392,SUMIFS(Tabla1[Avance_km],Tabla1[Fecha],"&lt;="&amp;'Grafico %'!$A392,Tabla1[nombre_actividad],'Grafico %'!E$1,Tabla1[Avance_km],"&gt;0")/(200),NA())</f>
        <v>#N/A</v>
      </c>
      <c r="F392" s="68" t="e">
        <f ca="1">IF(TODAY()&gt;=$A392,SUMIFS(Tabla1[Avance_Med],Tabla1[Fecha],"&lt;="&amp;'Grafico %'!$A392,Tabla1[nombre_actividad],'Grafico %'!F$1)/500,NA())</f>
        <v>#N/A</v>
      </c>
      <c r="G392" s="70" t="e">
        <f ca="1">IF(TODAY()&gt;=$A392,SUMIFS(Tabla1[Avance_km],Tabla1[Fecha],"&lt;="&amp;'Grafico %'!$A392,Tabla1[nombre_actividad],'Grafico %'!G$1)/(200),NA())</f>
        <v>#N/A</v>
      </c>
      <c r="H392" s="70" t="e">
        <f ca="1">IF(TODAY()&gt;=$A392,SUMIFS(Tabla1[Avance_km],Tabla1[Fecha],"&lt;="&amp;'Grafico %'!$A392,Tabla1[nombre_actividad],'Grafico %'!H$1)/(200),NA())</f>
        <v>#N/A</v>
      </c>
    </row>
    <row r="393" spans="1:8" x14ac:dyDescent="0.25">
      <c r="A393" s="62">
        <f t="shared" si="6"/>
        <v>46354</v>
      </c>
      <c r="B393" s="33"/>
      <c r="C393" s="69" t="e">
        <f ca="1">IF(TODAY()&gt;=$A393,SUMIFS(Tabla1[Avance_km],Tabla1[Fecha],"&lt;="&amp;'Grafico %'!$A393,Tabla1[nombre_actividad],'Grafico %'!C$1)/(200),NA())</f>
        <v>#N/A</v>
      </c>
      <c r="D393" s="70" t="e">
        <f ca="1">IF(TODAY()&gt;=$A393,SUMIFS(Tabla1[Avance_km],Tabla1[Fecha],"&lt;="&amp;'Grafico %'!$A393,Tabla1[nombre_actividad],'Grafico %'!D$1)/(200),NA())</f>
        <v>#N/A</v>
      </c>
      <c r="E393" s="70" t="e">
        <f ca="1">IF(TODAY()&gt;=$A393,SUMIFS(Tabla1[Avance_km],Tabla1[Fecha],"&lt;="&amp;'Grafico %'!$A393,Tabla1[nombre_actividad],'Grafico %'!E$1,Tabla1[Avance_km],"&gt;0")/(200),NA())</f>
        <v>#N/A</v>
      </c>
      <c r="F393" s="68" t="e">
        <f ca="1">IF(TODAY()&gt;=$A393,SUMIFS(Tabla1[Avance_Med],Tabla1[Fecha],"&lt;="&amp;'Grafico %'!$A393,Tabla1[nombre_actividad],'Grafico %'!F$1)/500,NA())</f>
        <v>#N/A</v>
      </c>
      <c r="G393" s="70" t="e">
        <f ca="1">IF(TODAY()&gt;=$A393,SUMIFS(Tabla1[Avance_km],Tabla1[Fecha],"&lt;="&amp;'Grafico %'!$A393,Tabla1[nombre_actividad],'Grafico %'!G$1)/(200),NA())</f>
        <v>#N/A</v>
      </c>
      <c r="H393" s="70" t="e">
        <f ca="1">IF(TODAY()&gt;=$A393,SUMIFS(Tabla1[Avance_km],Tabla1[Fecha],"&lt;="&amp;'Grafico %'!$A393,Tabla1[nombre_actividad],'Grafico %'!H$1)/(200),NA())</f>
        <v>#N/A</v>
      </c>
    </row>
    <row r="394" spans="1:8" x14ac:dyDescent="0.25">
      <c r="A394" s="62">
        <f t="shared" si="6"/>
        <v>46355</v>
      </c>
      <c r="B394" s="33"/>
      <c r="C394" s="69" t="e">
        <f ca="1">IF(TODAY()&gt;=$A394,SUMIFS(Tabla1[Avance_km],Tabla1[Fecha],"&lt;="&amp;'Grafico %'!$A394,Tabla1[nombre_actividad],'Grafico %'!C$1)/(200),NA())</f>
        <v>#N/A</v>
      </c>
      <c r="D394" s="70" t="e">
        <f ca="1">IF(TODAY()&gt;=$A394,SUMIFS(Tabla1[Avance_km],Tabla1[Fecha],"&lt;="&amp;'Grafico %'!$A394,Tabla1[nombre_actividad],'Grafico %'!D$1)/(200),NA())</f>
        <v>#N/A</v>
      </c>
      <c r="E394" s="70" t="e">
        <f ca="1">IF(TODAY()&gt;=$A394,SUMIFS(Tabla1[Avance_km],Tabla1[Fecha],"&lt;="&amp;'Grafico %'!$A394,Tabla1[nombre_actividad],'Grafico %'!E$1,Tabla1[Avance_km],"&gt;0")/(200),NA())</f>
        <v>#N/A</v>
      </c>
      <c r="F394" s="68" t="e">
        <f ca="1">IF(TODAY()&gt;=$A394,SUMIFS(Tabla1[Avance_Med],Tabla1[Fecha],"&lt;="&amp;'Grafico %'!$A394,Tabla1[nombre_actividad],'Grafico %'!F$1)/500,NA())</f>
        <v>#N/A</v>
      </c>
      <c r="G394" s="70" t="e">
        <f ca="1">IF(TODAY()&gt;=$A394,SUMIFS(Tabla1[Avance_km],Tabla1[Fecha],"&lt;="&amp;'Grafico %'!$A394,Tabla1[nombre_actividad],'Grafico %'!G$1)/(200),NA())</f>
        <v>#N/A</v>
      </c>
      <c r="H394" s="70" t="e">
        <f ca="1">IF(TODAY()&gt;=$A394,SUMIFS(Tabla1[Avance_km],Tabla1[Fecha],"&lt;="&amp;'Grafico %'!$A394,Tabla1[nombre_actividad],'Grafico %'!H$1)/(200),NA())</f>
        <v>#N/A</v>
      </c>
    </row>
    <row r="395" spans="1:8" x14ac:dyDescent="0.25">
      <c r="A395" s="62">
        <f t="shared" si="6"/>
        <v>46356</v>
      </c>
      <c r="B395" s="33"/>
      <c r="C395" s="69" t="e">
        <f ca="1">IF(TODAY()&gt;=$A395,SUMIFS(Tabla1[Avance_km],Tabla1[Fecha],"&lt;="&amp;'Grafico %'!$A395,Tabla1[nombre_actividad],'Grafico %'!C$1)/(200),NA())</f>
        <v>#N/A</v>
      </c>
      <c r="D395" s="70" t="e">
        <f ca="1">IF(TODAY()&gt;=$A395,SUMIFS(Tabla1[Avance_km],Tabla1[Fecha],"&lt;="&amp;'Grafico %'!$A395,Tabla1[nombre_actividad],'Grafico %'!D$1)/(200),NA())</f>
        <v>#N/A</v>
      </c>
      <c r="E395" s="70" t="e">
        <f ca="1">IF(TODAY()&gt;=$A395,SUMIFS(Tabla1[Avance_km],Tabla1[Fecha],"&lt;="&amp;'Grafico %'!$A395,Tabla1[nombre_actividad],'Grafico %'!E$1,Tabla1[Avance_km],"&gt;0")/(200),NA())</f>
        <v>#N/A</v>
      </c>
      <c r="F395" s="68" t="e">
        <f ca="1">IF(TODAY()&gt;=$A395,SUMIFS(Tabla1[Avance_Med],Tabla1[Fecha],"&lt;="&amp;'Grafico %'!$A395,Tabla1[nombre_actividad],'Grafico %'!F$1)/500,NA())</f>
        <v>#N/A</v>
      </c>
      <c r="G395" s="70" t="e">
        <f ca="1">IF(TODAY()&gt;=$A395,SUMIFS(Tabla1[Avance_km],Tabla1[Fecha],"&lt;="&amp;'Grafico %'!$A395,Tabla1[nombre_actividad],'Grafico %'!G$1)/(200),NA())</f>
        <v>#N/A</v>
      </c>
      <c r="H395" s="70" t="e">
        <f ca="1">IF(TODAY()&gt;=$A395,SUMIFS(Tabla1[Avance_km],Tabla1[Fecha],"&lt;="&amp;'Grafico %'!$A395,Tabla1[nombre_actividad],'Grafico %'!H$1)/(200),NA())</f>
        <v>#N/A</v>
      </c>
    </row>
    <row r="396" spans="1:8" x14ac:dyDescent="0.25">
      <c r="A396" s="62">
        <f t="shared" si="6"/>
        <v>46357</v>
      </c>
      <c r="B396" s="33"/>
      <c r="C396" s="69" t="e">
        <f ca="1">IF(TODAY()&gt;=$A396,SUMIFS(Tabla1[Avance_km],Tabla1[Fecha],"&lt;="&amp;'Grafico %'!$A396,Tabla1[nombre_actividad],'Grafico %'!C$1)/(200),NA())</f>
        <v>#N/A</v>
      </c>
      <c r="D396" s="70" t="e">
        <f ca="1">IF(TODAY()&gt;=$A396,SUMIFS(Tabla1[Avance_km],Tabla1[Fecha],"&lt;="&amp;'Grafico %'!$A396,Tabla1[nombre_actividad],'Grafico %'!D$1)/(200),NA())</f>
        <v>#N/A</v>
      </c>
      <c r="E396" s="70" t="e">
        <f ca="1">IF(TODAY()&gt;=$A396,SUMIFS(Tabla1[Avance_km],Tabla1[Fecha],"&lt;="&amp;'Grafico %'!$A396,Tabla1[nombre_actividad],'Grafico %'!E$1,Tabla1[Avance_km],"&gt;0")/(200),NA())</f>
        <v>#N/A</v>
      </c>
      <c r="F396" s="68" t="e">
        <f ca="1">IF(TODAY()&gt;=$A396,SUMIFS(Tabla1[Avance_Med],Tabla1[Fecha],"&lt;="&amp;'Grafico %'!$A396,Tabla1[nombre_actividad],'Grafico %'!F$1)/500,NA())</f>
        <v>#N/A</v>
      </c>
      <c r="G396" s="70" t="e">
        <f ca="1">IF(TODAY()&gt;=$A396,SUMIFS(Tabla1[Avance_km],Tabla1[Fecha],"&lt;="&amp;'Grafico %'!$A396,Tabla1[nombre_actividad],'Grafico %'!G$1)/(200),NA())</f>
        <v>#N/A</v>
      </c>
      <c r="H396" s="70" t="e">
        <f ca="1">IF(TODAY()&gt;=$A396,SUMIFS(Tabla1[Avance_km],Tabla1[Fecha],"&lt;="&amp;'Grafico %'!$A396,Tabla1[nombre_actividad],'Grafico %'!H$1)/(200),NA())</f>
        <v>#N/A</v>
      </c>
    </row>
    <row r="397" spans="1:8" x14ac:dyDescent="0.25">
      <c r="A397" s="62">
        <f t="shared" si="6"/>
        <v>46358</v>
      </c>
      <c r="B397" s="33"/>
      <c r="C397" s="69" t="e">
        <f ca="1">IF(TODAY()&gt;=$A397,SUMIFS(Tabla1[Avance_km],Tabla1[Fecha],"&lt;="&amp;'Grafico %'!$A397,Tabla1[nombre_actividad],'Grafico %'!C$1)/(200),NA())</f>
        <v>#N/A</v>
      </c>
      <c r="D397" s="70" t="e">
        <f ca="1">IF(TODAY()&gt;=$A397,SUMIFS(Tabla1[Avance_km],Tabla1[Fecha],"&lt;="&amp;'Grafico %'!$A397,Tabla1[nombre_actividad],'Grafico %'!D$1)/(200),NA())</f>
        <v>#N/A</v>
      </c>
      <c r="E397" s="70" t="e">
        <f ca="1">IF(TODAY()&gt;=$A397,SUMIFS(Tabla1[Avance_km],Tabla1[Fecha],"&lt;="&amp;'Grafico %'!$A397,Tabla1[nombre_actividad],'Grafico %'!E$1,Tabla1[Avance_km],"&gt;0")/(200),NA())</f>
        <v>#N/A</v>
      </c>
      <c r="F397" s="68" t="e">
        <f ca="1">IF(TODAY()&gt;=$A397,SUMIFS(Tabla1[Avance_Med],Tabla1[Fecha],"&lt;="&amp;'Grafico %'!$A397,Tabla1[nombre_actividad],'Grafico %'!F$1)/500,NA())</f>
        <v>#N/A</v>
      </c>
      <c r="G397" s="70" t="e">
        <f ca="1">IF(TODAY()&gt;=$A397,SUMIFS(Tabla1[Avance_km],Tabla1[Fecha],"&lt;="&amp;'Grafico %'!$A397,Tabla1[nombre_actividad],'Grafico %'!G$1)/(200),NA())</f>
        <v>#N/A</v>
      </c>
      <c r="H397" s="70" t="e">
        <f ca="1">IF(TODAY()&gt;=$A397,SUMIFS(Tabla1[Avance_km],Tabla1[Fecha],"&lt;="&amp;'Grafico %'!$A397,Tabla1[nombre_actividad],'Grafico %'!H$1)/(200),NA())</f>
        <v>#N/A</v>
      </c>
    </row>
    <row r="398" spans="1:8" x14ac:dyDescent="0.25">
      <c r="A398" s="62">
        <f t="shared" si="6"/>
        <v>46359</v>
      </c>
      <c r="B398" s="33"/>
      <c r="C398" s="69" t="e">
        <f ca="1">IF(TODAY()&gt;=$A398,SUMIFS(Tabla1[Avance_km],Tabla1[Fecha],"&lt;="&amp;'Grafico %'!$A398,Tabla1[nombre_actividad],'Grafico %'!C$1)/(200),NA())</f>
        <v>#N/A</v>
      </c>
      <c r="D398" s="70" t="e">
        <f ca="1">IF(TODAY()&gt;=$A398,SUMIFS(Tabla1[Avance_km],Tabla1[Fecha],"&lt;="&amp;'Grafico %'!$A398,Tabla1[nombre_actividad],'Grafico %'!D$1)/(200),NA())</f>
        <v>#N/A</v>
      </c>
      <c r="E398" s="70" t="e">
        <f ca="1">IF(TODAY()&gt;=$A398,SUMIFS(Tabla1[Avance_km],Tabla1[Fecha],"&lt;="&amp;'Grafico %'!$A398,Tabla1[nombre_actividad],'Grafico %'!E$1,Tabla1[Avance_km],"&gt;0")/(200),NA())</f>
        <v>#N/A</v>
      </c>
      <c r="F398" s="68" t="e">
        <f ca="1">IF(TODAY()&gt;=$A398,SUMIFS(Tabla1[Avance_Med],Tabla1[Fecha],"&lt;="&amp;'Grafico %'!$A398,Tabla1[nombre_actividad],'Grafico %'!F$1)/500,NA())</f>
        <v>#N/A</v>
      </c>
      <c r="G398" s="70" t="e">
        <f ca="1">IF(TODAY()&gt;=$A398,SUMIFS(Tabla1[Avance_km],Tabla1[Fecha],"&lt;="&amp;'Grafico %'!$A398,Tabla1[nombre_actividad],'Grafico %'!G$1)/(200),NA())</f>
        <v>#N/A</v>
      </c>
      <c r="H398" s="70" t="e">
        <f ca="1">IF(TODAY()&gt;=$A398,SUMIFS(Tabla1[Avance_km],Tabla1[Fecha],"&lt;="&amp;'Grafico %'!$A398,Tabla1[nombre_actividad],'Grafico %'!H$1)/(200),NA())</f>
        <v>#N/A</v>
      </c>
    </row>
    <row r="399" spans="1:8" x14ac:dyDescent="0.25">
      <c r="A399" s="62">
        <f t="shared" si="6"/>
        <v>46360</v>
      </c>
      <c r="B399" s="33"/>
      <c r="C399" s="69" t="e">
        <f ca="1">IF(TODAY()&gt;=$A399,SUMIFS(Tabla1[Avance_km],Tabla1[Fecha],"&lt;="&amp;'Grafico %'!$A399,Tabla1[nombre_actividad],'Grafico %'!C$1)/(200),NA())</f>
        <v>#N/A</v>
      </c>
      <c r="D399" s="70" t="e">
        <f ca="1">IF(TODAY()&gt;=$A399,SUMIFS(Tabla1[Avance_km],Tabla1[Fecha],"&lt;="&amp;'Grafico %'!$A399,Tabla1[nombre_actividad],'Grafico %'!D$1)/(200),NA())</f>
        <v>#N/A</v>
      </c>
      <c r="E399" s="70" t="e">
        <f ca="1">IF(TODAY()&gt;=$A399,SUMIFS(Tabla1[Avance_km],Tabla1[Fecha],"&lt;="&amp;'Grafico %'!$A399,Tabla1[nombre_actividad],'Grafico %'!E$1,Tabla1[Avance_km],"&gt;0")/(200),NA())</f>
        <v>#N/A</v>
      </c>
      <c r="F399" s="68" t="e">
        <f ca="1">IF(TODAY()&gt;=$A399,SUMIFS(Tabla1[Avance_Med],Tabla1[Fecha],"&lt;="&amp;'Grafico %'!$A399,Tabla1[nombre_actividad],'Grafico %'!F$1)/500,NA())</f>
        <v>#N/A</v>
      </c>
      <c r="G399" s="70" t="e">
        <f ca="1">IF(TODAY()&gt;=$A399,SUMIFS(Tabla1[Avance_km],Tabla1[Fecha],"&lt;="&amp;'Grafico %'!$A399,Tabla1[nombre_actividad],'Grafico %'!G$1)/(200),NA())</f>
        <v>#N/A</v>
      </c>
      <c r="H399" s="70" t="e">
        <f ca="1">IF(TODAY()&gt;=$A399,SUMIFS(Tabla1[Avance_km],Tabla1[Fecha],"&lt;="&amp;'Grafico %'!$A399,Tabla1[nombre_actividad],'Grafico %'!H$1)/(200),NA())</f>
        <v>#N/A</v>
      </c>
    </row>
    <row r="400" spans="1:8" x14ac:dyDescent="0.25">
      <c r="A400" s="62">
        <f t="shared" si="6"/>
        <v>46361</v>
      </c>
      <c r="B400" s="33"/>
      <c r="C400" s="69" t="e">
        <f ca="1">IF(TODAY()&gt;=$A400,SUMIFS(Tabla1[Avance_km],Tabla1[Fecha],"&lt;="&amp;'Grafico %'!$A400,Tabla1[nombre_actividad],'Grafico %'!C$1)/(200),NA())</f>
        <v>#N/A</v>
      </c>
      <c r="D400" s="70" t="e">
        <f ca="1">IF(TODAY()&gt;=$A400,SUMIFS(Tabla1[Avance_km],Tabla1[Fecha],"&lt;="&amp;'Grafico %'!$A400,Tabla1[nombre_actividad],'Grafico %'!D$1)/(200),NA())</f>
        <v>#N/A</v>
      </c>
      <c r="E400" s="70" t="e">
        <f ca="1">IF(TODAY()&gt;=$A400,SUMIFS(Tabla1[Avance_km],Tabla1[Fecha],"&lt;="&amp;'Grafico %'!$A400,Tabla1[nombre_actividad],'Grafico %'!E$1,Tabla1[Avance_km],"&gt;0")/(200),NA())</f>
        <v>#N/A</v>
      </c>
      <c r="F400" s="68" t="e">
        <f ca="1">IF(TODAY()&gt;=$A400,SUMIFS(Tabla1[Avance_Med],Tabla1[Fecha],"&lt;="&amp;'Grafico %'!$A400,Tabla1[nombre_actividad],'Grafico %'!F$1)/500,NA())</f>
        <v>#N/A</v>
      </c>
      <c r="G400" s="70" t="e">
        <f ca="1">IF(TODAY()&gt;=$A400,SUMIFS(Tabla1[Avance_km],Tabla1[Fecha],"&lt;="&amp;'Grafico %'!$A400,Tabla1[nombre_actividad],'Grafico %'!G$1)/(200),NA())</f>
        <v>#N/A</v>
      </c>
      <c r="H400" s="70" t="e">
        <f ca="1">IF(TODAY()&gt;=$A400,SUMIFS(Tabla1[Avance_km],Tabla1[Fecha],"&lt;="&amp;'Grafico %'!$A400,Tabla1[nombre_actividad],'Grafico %'!H$1)/(200),NA())</f>
        <v>#N/A</v>
      </c>
    </row>
    <row r="401" spans="1:8" x14ac:dyDescent="0.25">
      <c r="A401" s="62">
        <f t="shared" si="6"/>
        <v>46362</v>
      </c>
      <c r="B401" s="33"/>
      <c r="C401" s="69" t="e">
        <f ca="1">IF(TODAY()&gt;=$A401,SUMIFS(Tabla1[Avance_km],Tabla1[Fecha],"&lt;="&amp;'Grafico %'!$A401,Tabla1[nombre_actividad],'Grafico %'!C$1)/(200),NA())</f>
        <v>#N/A</v>
      </c>
      <c r="D401" s="70" t="e">
        <f ca="1">IF(TODAY()&gt;=$A401,SUMIFS(Tabla1[Avance_km],Tabla1[Fecha],"&lt;="&amp;'Grafico %'!$A401,Tabla1[nombre_actividad],'Grafico %'!D$1)/(200),NA())</f>
        <v>#N/A</v>
      </c>
      <c r="E401" s="70" t="e">
        <f ca="1">IF(TODAY()&gt;=$A401,SUMIFS(Tabla1[Avance_km],Tabla1[Fecha],"&lt;="&amp;'Grafico %'!$A401,Tabla1[nombre_actividad],'Grafico %'!E$1,Tabla1[Avance_km],"&gt;0")/(200),NA())</f>
        <v>#N/A</v>
      </c>
      <c r="F401" s="68" t="e">
        <f ca="1">IF(TODAY()&gt;=$A401,SUMIFS(Tabla1[Avance_Med],Tabla1[Fecha],"&lt;="&amp;'Grafico %'!$A401,Tabla1[nombre_actividad],'Grafico %'!F$1)/500,NA())</f>
        <v>#N/A</v>
      </c>
      <c r="G401" s="70" t="e">
        <f ca="1">IF(TODAY()&gt;=$A401,SUMIFS(Tabla1[Avance_km],Tabla1[Fecha],"&lt;="&amp;'Grafico %'!$A401,Tabla1[nombre_actividad],'Grafico %'!G$1)/(200),NA())</f>
        <v>#N/A</v>
      </c>
      <c r="H401" s="70" t="e">
        <f ca="1">IF(TODAY()&gt;=$A401,SUMIFS(Tabla1[Avance_km],Tabla1[Fecha],"&lt;="&amp;'Grafico %'!$A401,Tabla1[nombre_actividad],'Grafico %'!H$1)/(200),NA())</f>
        <v>#N/A</v>
      </c>
    </row>
    <row r="402" spans="1:8" x14ac:dyDescent="0.25">
      <c r="A402" s="62">
        <f t="shared" si="6"/>
        <v>46363</v>
      </c>
      <c r="B402" s="33"/>
      <c r="C402" s="69" t="e">
        <f ca="1">IF(TODAY()&gt;=$A402,SUMIFS(Tabla1[Avance_km],Tabla1[Fecha],"&lt;="&amp;'Grafico %'!$A402,Tabla1[nombre_actividad],'Grafico %'!C$1)/(200),NA())</f>
        <v>#N/A</v>
      </c>
      <c r="D402" s="70" t="e">
        <f ca="1">IF(TODAY()&gt;=$A402,SUMIFS(Tabla1[Avance_km],Tabla1[Fecha],"&lt;="&amp;'Grafico %'!$A402,Tabla1[nombre_actividad],'Grafico %'!D$1)/(200),NA())</f>
        <v>#N/A</v>
      </c>
      <c r="E402" s="70" t="e">
        <f ca="1">IF(TODAY()&gt;=$A402,SUMIFS(Tabla1[Avance_km],Tabla1[Fecha],"&lt;="&amp;'Grafico %'!$A402,Tabla1[nombre_actividad],'Grafico %'!E$1,Tabla1[Avance_km],"&gt;0")/(200),NA())</f>
        <v>#N/A</v>
      </c>
      <c r="F402" s="68" t="e">
        <f ca="1">IF(TODAY()&gt;=$A402,SUMIFS(Tabla1[Avance_Med],Tabla1[Fecha],"&lt;="&amp;'Grafico %'!$A402,Tabla1[nombre_actividad],'Grafico %'!F$1)/500,NA())</f>
        <v>#N/A</v>
      </c>
      <c r="G402" s="70" t="e">
        <f ca="1">IF(TODAY()&gt;=$A402,SUMIFS(Tabla1[Avance_km],Tabla1[Fecha],"&lt;="&amp;'Grafico %'!$A402,Tabla1[nombre_actividad],'Grafico %'!G$1)/(200),NA())</f>
        <v>#N/A</v>
      </c>
      <c r="H402" s="70" t="e">
        <f ca="1">IF(TODAY()&gt;=$A402,SUMIFS(Tabla1[Avance_km],Tabla1[Fecha],"&lt;="&amp;'Grafico %'!$A402,Tabla1[nombre_actividad],'Grafico %'!H$1)/(200),NA())</f>
        <v>#N/A</v>
      </c>
    </row>
    <row r="403" spans="1:8" x14ac:dyDescent="0.25">
      <c r="A403" s="62">
        <f t="shared" si="6"/>
        <v>46364</v>
      </c>
      <c r="B403" s="33"/>
      <c r="C403" s="69" t="e">
        <f ca="1">IF(TODAY()&gt;=$A403,SUMIFS(Tabla1[Avance_km],Tabla1[Fecha],"&lt;="&amp;'Grafico %'!$A403,Tabla1[nombre_actividad],'Grafico %'!C$1)/(200),NA())</f>
        <v>#N/A</v>
      </c>
      <c r="D403" s="70" t="e">
        <f ca="1">IF(TODAY()&gt;=$A403,SUMIFS(Tabla1[Avance_km],Tabla1[Fecha],"&lt;="&amp;'Grafico %'!$A403,Tabla1[nombre_actividad],'Grafico %'!D$1)/(200),NA())</f>
        <v>#N/A</v>
      </c>
      <c r="E403" s="70" t="e">
        <f ca="1">IF(TODAY()&gt;=$A403,SUMIFS(Tabla1[Avance_km],Tabla1[Fecha],"&lt;="&amp;'Grafico %'!$A403,Tabla1[nombre_actividad],'Grafico %'!E$1,Tabla1[Avance_km],"&gt;0")/(200),NA())</f>
        <v>#N/A</v>
      </c>
      <c r="F403" s="68" t="e">
        <f ca="1">IF(TODAY()&gt;=$A403,SUMIFS(Tabla1[Avance_Med],Tabla1[Fecha],"&lt;="&amp;'Grafico %'!$A403,Tabla1[nombre_actividad],'Grafico %'!F$1)/500,NA())</f>
        <v>#N/A</v>
      </c>
      <c r="G403" s="70" t="e">
        <f ca="1">IF(TODAY()&gt;=$A403,SUMIFS(Tabla1[Avance_km],Tabla1[Fecha],"&lt;="&amp;'Grafico %'!$A403,Tabla1[nombre_actividad],'Grafico %'!G$1)/(200),NA())</f>
        <v>#N/A</v>
      </c>
      <c r="H403" s="70" t="e">
        <f ca="1">IF(TODAY()&gt;=$A403,SUMIFS(Tabla1[Avance_km],Tabla1[Fecha],"&lt;="&amp;'Grafico %'!$A403,Tabla1[nombre_actividad],'Grafico %'!H$1)/(200),NA())</f>
        <v>#N/A</v>
      </c>
    </row>
    <row r="404" spans="1:8" x14ac:dyDescent="0.25">
      <c r="A404" s="62">
        <f t="shared" si="6"/>
        <v>46365</v>
      </c>
      <c r="B404" s="33"/>
      <c r="C404" s="69" t="e">
        <f ca="1">IF(TODAY()&gt;=$A404,SUMIFS(Tabla1[Avance_km],Tabla1[Fecha],"&lt;="&amp;'Grafico %'!$A404,Tabla1[nombre_actividad],'Grafico %'!C$1)/(200),NA())</f>
        <v>#N/A</v>
      </c>
      <c r="D404" s="70" t="e">
        <f ca="1">IF(TODAY()&gt;=$A404,SUMIFS(Tabla1[Avance_km],Tabla1[Fecha],"&lt;="&amp;'Grafico %'!$A404,Tabla1[nombre_actividad],'Grafico %'!D$1)/(200),NA())</f>
        <v>#N/A</v>
      </c>
      <c r="E404" s="70" t="e">
        <f ca="1">IF(TODAY()&gt;=$A404,SUMIFS(Tabla1[Avance_km],Tabla1[Fecha],"&lt;="&amp;'Grafico %'!$A404,Tabla1[nombre_actividad],'Grafico %'!E$1,Tabla1[Avance_km],"&gt;0")/(200),NA())</f>
        <v>#N/A</v>
      </c>
      <c r="F404" s="68" t="e">
        <f ca="1">IF(TODAY()&gt;=$A404,SUMIFS(Tabla1[Avance_Med],Tabla1[Fecha],"&lt;="&amp;'Grafico %'!$A404,Tabla1[nombre_actividad],'Grafico %'!F$1)/500,NA())</f>
        <v>#N/A</v>
      </c>
      <c r="G404" s="70" t="e">
        <f ca="1">IF(TODAY()&gt;=$A404,SUMIFS(Tabla1[Avance_km],Tabla1[Fecha],"&lt;="&amp;'Grafico %'!$A404,Tabla1[nombre_actividad],'Grafico %'!G$1)/(200),NA())</f>
        <v>#N/A</v>
      </c>
      <c r="H404" s="70" t="e">
        <f ca="1">IF(TODAY()&gt;=$A404,SUMIFS(Tabla1[Avance_km],Tabla1[Fecha],"&lt;="&amp;'Grafico %'!$A404,Tabla1[nombre_actividad],'Grafico %'!H$1)/(200),NA())</f>
        <v>#N/A</v>
      </c>
    </row>
    <row r="405" spans="1:8" x14ac:dyDescent="0.25">
      <c r="A405" s="62">
        <f t="shared" si="6"/>
        <v>46366</v>
      </c>
      <c r="B405" s="33"/>
      <c r="C405" s="69" t="e">
        <f ca="1">IF(TODAY()&gt;=$A405,SUMIFS(Tabla1[Avance_km],Tabla1[Fecha],"&lt;="&amp;'Grafico %'!$A405,Tabla1[nombre_actividad],'Grafico %'!C$1)/(200),NA())</f>
        <v>#N/A</v>
      </c>
      <c r="D405" s="70" t="e">
        <f ca="1">IF(TODAY()&gt;=$A405,SUMIFS(Tabla1[Avance_km],Tabla1[Fecha],"&lt;="&amp;'Grafico %'!$A405,Tabla1[nombre_actividad],'Grafico %'!D$1)/(200),NA())</f>
        <v>#N/A</v>
      </c>
      <c r="E405" s="70" t="e">
        <f ca="1">IF(TODAY()&gt;=$A405,SUMIFS(Tabla1[Avance_km],Tabla1[Fecha],"&lt;="&amp;'Grafico %'!$A405,Tabla1[nombre_actividad],'Grafico %'!E$1,Tabla1[Avance_km],"&gt;0")/(200),NA())</f>
        <v>#N/A</v>
      </c>
      <c r="F405" s="68" t="e">
        <f ca="1">IF(TODAY()&gt;=$A405,SUMIFS(Tabla1[Avance_Med],Tabla1[Fecha],"&lt;="&amp;'Grafico %'!$A405,Tabla1[nombre_actividad],'Grafico %'!F$1)/500,NA())</f>
        <v>#N/A</v>
      </c>
      <c r="G405" s="70" t="e">
        <f ca="1">IF(TODAY()&gt;=$A405,SUMIFS(Tabla1[Avance_km],Tabla1[Fecha],"&lt;="&amp;'Grafico %'!$A405,Tabla1[nombre_actividad],'Grafico %'!G$1)/(200),NA())</f>
        <v>#N/A</v>
      </c>
      <c r="H405" s="70" t="e">
        <f ca="1">IF(TODAY()&gt;=$A405,SUMIFS(Tabla1[Avance_km],Tabla1[Fecha],"&lt;="&amp;'Grafico %'!$A405,Tabla1[nombre_actividad],'Grafico %'!H$1)/(200),NA())</f>
        <v>#N/A</v>
      </c>
    </row>
    <row r="406" spans="1:8" x14ac:dyDescent="0.25">
      <c r="A406" s="62">
        <f t="shared" si="6"/>
        <v>46367</v>
      </c>
      <c r="B406" s="33"/>
      <c r="C406" s="69" t="e">
        <f ca="1">IF(TODAY()&gt;=$A406,SUMIFS(Tabla1[Avance_km],Tabla1[Fecha],"&lt;="&amp;'Grafico %'!$A406,Tabla1[nombre_actividad],'Grafico %'!C$1)/(200),NA())</f>
        <v>#N/A</v>
      </c>
      <c r="D406" s="70" t="e">
        <f ca="1">IF(TODAY()&gt;=$A406,SUMIFS(Tabla1[Avance_km],Tabla1[Fecha],"&lt;="&amp;'Grafico %'!$A406,Tabla1[nombre_actividad],'Grafico %'!D$1)/(200),NA())</f>
        <v>#N/A</v>
      </c>
      <c r="E406" s="70" t="e">
        <f ca="1">IF(TODAY()&gt;=$A406,SUMIFS(Tabla1[Avance_km],Tabla1[Fecha],"&lt;="&amp;'Grafico %'!$A406,Tabla1[nombre_actividad],'Grafico %'!E$1,Tabla1[Avance_km],"&gt;0")/(200),NA())</f>
        <v>#N/A</v>
      </c>
      <c r="F406" s="68" t="e">
        <f ca="1">IF(TODAY()&gt;=$A406,SUMIFS(Tabla1[Avance_Med],Tabla1[Fecha],"&lt;="&amp;'Grafico %'!$A406,Tabla1[nombre_actividad],'Grafico %'!F$1)/500,NA())</f>
        <v>#N/A</v>
      </c>
      <c r="G406" s="70" t="e">
        <f ca="1">IF(TODAY()&gt;=$A406,SUMIFS(Tabla1[Avance_km],Tabla1[Fecha],"&lt;="&amp;'Grafico %'!$A406,Tabla1[nombre_actividad],'Grafico %'!G$1)/(200),NA())</f>
        <v>#N/A</v>
      </c>
      <c r="H406" s="70" t="e">
        <f ca="1">IF(TODAY()&gt;=$A406,SUMIFS(Tabla1[Avance_km],Tabla1[Fecha],"&lt;="&amp;'Grafico %'!$A406,Tabla1[nombre_actividad],'Grafico %'!H$1)/(200),NA())</f>
        <v>#N/A</v>
      </c>
    </row>
    <row r="407" spans="1:8" x14ac:dyDescent="0.25">
      <c r="A407" s="62">
        <f t="shared" si="6"/>
        <v>46368</v>
      </c>
      <c r="B407" s="33"/>
      <c r="C407" s="69" t="e">
        <f ca="1">IF(TODAY()&gt;=$A407,SUMIFS(Tabla1[Avance_km],Tabla1[Fecha],"&lt;="&amp;'Grafico %'!$A407,Tabla1[nombre_actividad],'Grafico %'!C$1)/(200),NA())</f>
        <v>#N/A</v>
      </c>
      <c r="D407" s="70" t="e">
        <f ca="1">IF(TODAY()&gt;=$A407,SUMIFS(Tabla1[Avance_km],Tabla1[Fecha],"&lt;="&amp;'Grafico %'!$A407,Tabla1[nombre_actividad],'Grafico %'!D$1)/(200),NA())</f>
        <v>#N/A</v>
      </c>
      <c r="E407" s="70" t="e">
        <f ca="1">IF(TODAY()&gt;=$A407,SUMIFS(Tabla1[Avance_km],Tabla1[Fecha],"&lt;="&amp;'Grafico %'!$A407,Tabla1[nombre_actividad],'Grafico %'!E$1,Tabla1[Avance_km],"&gt;0")/(200),NA())</f>
        <v>#N/A</v>
      </c>
      <c r="F407" s="68" t="e">
        <f ca="1">IF(TODAY()&gt;=$A407,SUMIFS(Tabla1[Avance_Med],Tabla1[Fecha],"&lt;="&amp;'Grafico %'!$A407,Tabla1[nombre_actividad],'Grafico %'!F$1)/500,NA())</f>
        <v>#N/A</v>
      </c>
      <c r="G407" s="70" t="e">
        <f ca="1">IF(TODAY()&gt;=$A407,SUMIFS(Tabla1[Avance_km],Tabla1[Fecha],"&lt;="&amp;'Grafico %'!$A407,Tabla1[nombre_actividad],'Grafico %'!G$1)/(200),NA())</f>
        <v>#N/A</v>
      </c>
      <c r="H407" s="70" t="e">
        <f ca="1">IF(TODAY()&gt;=$A407,SUMIFS(Tabla1[Avance_km],Tabla1[Fecha],"&lt;="&amp;'Grafico %'!$A407,Tabla1[nombre_actividad],'Grafico %'!H$1)/(200),NA())</f>
        <v>#N/A</v>
      </c>
    </row>
    <row r="408" spans="1:8" x14ac:dyDescent="0.25">
      <c r="A408" s="62">
        <f t="shared" si="6"/>
        <v>46369</v>
      </c>
      <c r="B408" s="33"/>
      <c r="C408" s="69" t="e">
        <f ca="1">IF(TODAY()&gt;=$A408,SUMIFS(Tabla1[Avance_km],Tabla1[Fecha],"&lt;="&amp;'Grafico %'!$A408,Tabla1[nombre_actividad],'Grafico %'!C$1)/(200),NA())</f>
        <v>#N/A</v>
      </c>
      <c r="D408" s="70" t="e">
        <f ca="1">IF(TODAY()&gt;=$A408,SUMIFS(Tabla1[Avance_km],Tabla1[Fecha],"&lt;="&amp;'Grafico %'!$A408,Tabla1[nombre_actividad],'Grafico %'!D$1)/(200),NA())</f>
        <v>#N/A</v>
      </c>
      <c r="E408" s="70" t="e">
        <f ca="1">IF(TODAY()&gt;=$A408,SUMIFS(Tabla1[Avance_km],Tabla1[Fecha],"&lt;="&amp;'Grafico %'!$A408,Tabla1[nombre_actividad],'Grafico %'!E$1,Tabla1[Avance_km],"&gt;0")/(200),NA())</f>
        <v>#N/A</v>
      </c>
      <c r="F408" s="68" t="e">
        <f ca="1">IF(TODAY()&gt;=$A408,SUMIFS(Tabla1[Avance_Med],Tabla1[Fecha],"&lt;="&amp;'Grafico %'!$A408,Tabla1[nombre_actividad],'Grafico %'!F$1)/500,NA())</f>
        <v>#N/A</v>
      </c>
      <c r="G408" s="70" t="e">
        <f ca="1">IF(TODAY()&gt;=$A408,SUMIFS(Tabla1[Avance_km],Tabla1[Fecha],"&lt;="&amp;'Grafico %'!$A408,Tabla1[nombre_actividad],'Grafico %'!G$1)/(200),NA())</f>
        <v>#N/A</v>
      </c>
      <c r="H408" s="70" t="e">
        <f ca="1">IF(TODAY()&gt;=$A408,SUMIFS(Tabla1[Avance_km],Tabla1[Fecha],"&lt;="&amp;'Grafico %'!$A408,Tabla1[nombre_actividad],'Grafico %'!H$1)/(200),NA())</f>
        <v>#N/A</v>
      </c>
    </row>
    <row r="409" spans="1:8" x14ac:dyDescent="0.25">
      <c r="A409" s="62">
        <f t="shared" si="6"/>
        <v>46370</v>
      </c>
      <c r="B409" s="33"/>
      <c r="C409" s="69" t="e">
        <f ca="1">IF(TODAY()&gt;=$A409,SUMIFS(Tabla1[Avance_km],Tabla1[Fecha],"&lt;="&amp;'Grafico %'!$A409,Tabla1[nombre_actividad],'Grafico %'!C$1)/(200),NA())</f>
        <v>#N/A</v>
      </c>
      <c r="D409" s="70" t="e">
        <f ca="1">IF(TODAY()&gt;=$A409,SUMIFS(Tabla1[Avance_km],Tabla1[Fecha],"&lt;="&amp;'Grafico %'!$A409,Tabla1[nombre_actividad],'Grafico %'!D$1)/(200),NA())</f>
        <v>#N/A</v>
      </c>
      <c r="E409" s="70" t="e">
        <f ca="1">IF(TODAY()&gt;=$A409,SUMIFS(Tabla1[Avance_km],Tabla1[Fecha],"&lt;="&amp;'Grafico %'!$A409,Tabla1[nombre_actividad],'Grafico %'!E$1,Tabla1[Avance_km],"&gt;0")/(200),NA())</f>
        <v>#N/A</v>
      </c>
      <c r="F409" s="68" t="e">
        <f ca="1">IF(TODAY()&gt;=$A409,SUMIFS(Tabla1[Avance_Med],Tabla1[Fecha],"&lt;="&amp;'Grafico %'!$A409,Tabla1[nombre_actividad],'Grafico %'!F$1)/500,NA())</f>
        <v>#N/A</v>
      </c>
      <c r="G409" s="70" t="e">
        <f ca="1">IF(TODAY()&gt;=$A409,SUMIFS(Tabla1[Avance_km],Tabla1[Fecha],"&lt;="&amp;'Grafico %'!$A409,Tabla1[nombre_actividad],'Grafico %'!G$1)/(200),NA())</f>
        <v>#N/A</v>
      </c>
      <c r="H409" s="70" t="e">
        <f ca="1">IF(TODAY()&gt;=$A409,SUMIFS(Tabla1[Avance_km],Tabla1[Fecha],"&lt;="&amp;'Grafico %'!$A409,Tabla1[nombre_actividad],'Grafico %'!H$1)/(200),NA())</f>
        <v>#N/A</v>
      </c>
    </row>
    <row r="410" spans="1:8" x14ac:dyDescent="0.25">
      <c r="A410" s="62">
        <f t="shared" si="6"/>
        <v>46371</v>
      </c>
      <c r="B410" s="33"/>
      <c r="C410" s="69" t="e">
        <f ca="1">IF(TODAY()&gt;=$A410,SUMIFS(Tabla1[Avance_km],Tabla1[Fecha],"&lt;="&amp;'Grafico %'!$A410,Tabla1[nombre_actividad],'Grafico %'!C$1)/(200),NA())</f>
        <v>#N/A</v>
      </c>
      <c r="D410" s="70" t="e">
        <f ca="1">IF(TODAY()&gt;=$A410,SUMIFS(Tabla1[Avance_km],Tabla1[Fecha],"&lt;="&amp;'Grafico %'!$A410,Tabla1[nombre_actividad],'Grafico %'!D$1)/(200),NA())</f>
        <v>#N/A</v>
      </c>
      <c r="E410" s="70" t="e">
        <f ca="1">IF(TODAY()&gt;=$A410,SUMIFS(Tabla1[Avance_km],Tabla1[Fecha],"&lt;="&amp;'Grafico %'!$A410,Tabla1[nombre_actividad],'Grafico %'!E$1,Tabla1[Avance_km],"&gt;0")/(200),NA())</f>
        <v>#N/A</v>
      </c>
      <c r="F410" s="68" t="e">
        <f ca="1">IF(TODAY()&gt;=$A410,SUMIFS(Tabla1[Avance_Med],Tabla1[Fecha],"&lt;="&amp;'Grafico %'!$A410,Tabla1[nombre_actividad],'Grafico %'!F$1)/500,NA())</f>
        <v>#N/A</v>
      </c>
      <c r="G410" s="70" t="e">
        <f ca="1">IF(TODAY()&gt;=$A410,SUMIFS(Tabla1[Avance_km],Tabla1[Fecha],"&lt;="&amp;'Grafico %'!$A410,Tabla1[nombre_actividad],'Grafico %'!G$1)/(200),NA())</f>
        <v>#N/A</v>
      </c>
      <c r="H410" s="70" t="e">
        <f ca="1">IF(TODAY()&gt;=$A410,SUMIFS(Tabla1[Avance_km],Tabla1[Fecha],"&lt;="&amp;'Grafico %'!$A410,Tabla1[nombre_actividad],'Grafico %'!H$1)/(200),NA())</f>
        <v>#N/A</v>
      </c>
    </row>
    <row r="411" spans="1:8" x14ac:dyDescent="0.25">
      <c r="A411" s="62">
        <f t="shared" si="6"/>
        <v>46372</v>
      </c>
      <c r="B411" s="33"/>
      <c r="C411" s="69" t="e">
        <f ca="1">IF(TODAY()&gt;=$A411,SUMIFS(Tabla1[Avance_km],Tabla1[Fecha],"&lt;="&amp;'Grafico %'!$A411,Tabla1[nombre_actividad],'Grafico %'!C$1)/(200),NA())</f>
        <v>#N/A</v>
      </c>
      <c r="D411" s="70" t="e">
        <f ca="1">IF(TODAY()&gt;=$A411,SUMIFS(Tabla1[Avance_km],Tabla1[Fecha],"&lt;="&amp;'Grafico %'!$A411,Tabla1[nombre_actividad],'Grafico %'!D$1)/(200),NA())</f>
        <v>#N/A</v>
      </c>
      <c r="E411" s="70" t="e">
        <f ca="1">IF(TODAY()&gt;=$A411,SUMIFS(Tabla1[Avance_km],Tabla1[Fecha],"&lt;="&amp;'Grafico %'!$A411,Tabla1[nombre_actividad],'Grafico %'!E$1,Tabla1[Avance_km],"&gt;0")/(200),NA())</f>
        <v>#N/A</v>
      </c>
      <c r="F411" s="68" t="e">
        <f ca="1">IF(TODAY()&gt;=$A411,SUMIFS(Tabla1[Avance_Med],Tabla1[Fecha],"&lt;="&amp;'Grafico %'!$A411,Tabla1[nombre_actividad],'Grafico %'!F$1)/500,NA())</f>
        <v>#N/A</v>
      </c>
      <c r="G411" s="70" t="e">
        <f ca="1">IF(TODAY()&gt;=$A411,SUMIFS(Tabla1[Avance_km],Tabla1[Fecha],"&lt;="&amp;'Grafico %'!$A411,Tabla1[nombre_actividad],'Grafico %'!G$1)/(200),NA())</f>
        <v>#N/A</v>
      </c>
      <c r="H411" s="70" t="e">
        <f ca="1">IF(TODAY()&gt;=$A411,SUMIFS(Tabla1[Avance_km],Tabla1[Fecha],"&lt;="&amp;'Grafico %'!$A411,Tabla1[nombre_actividad],'Grafico %'!H$1)/(200),NA())</f>
        <v>#N/A</v>
      </c>
    </row>
    <row r="412" spans="1:8" x14ac:dyDescent="0.25">
      <c r="A412" s="62">
        <f t="shared" si="6"/>
        <v>46373</v>
      </c>
      <c r="B412" s="33"/>
      <c r="C412" s="69" t="e">
        <f ca="1">IF(TODAY()&gt;=$A412,SUMIFS(Tabla1[Avance_km],Tabla1[Fecha],"&lt;="&amp;'Grafico %'!$A412,Tabla1[nombre_actividad],'Grafico %'!C$1)/(200),NA())</f>
        <v>#N/A</v>
      </c>
      <c r="D412" s="70" t="e">
        <f ca="1">IF(TODAY()&gt;=$A412,SUMIFS(Tabla1[Avance_km],Tabla1[Fecha],"&lt;="&amp;'Grafico %'!$A412,Tabla1[nombre_actividad],'Grafico %'!D$1)/(200),NA())</f>
        <v>#N/A</v>
      </c>
      <c r="E412" s="70" t="e">
        <f ca="1">IF(TODAY()&gt;=$A412,SUMIFS(Tabla1[Avance_km],Tabla1[Fecha],"&lt;="&amp;'Grafico %'!$A412,Tabla1[nombre_actividad],'Grafico %'!E$1,Tabla1[Avance_km],"&gt;0")/(200),NA())</f>
        <v>#N/A</v>
      </c>
      <c r="F412" s="68" t="e">
        <f ca="1">IF(TODAY()&gt;=$A412,SUMIFS(Tabla1[Avance_Med],Tabla1[Fecha],"&lt;="&amp;'Grafico %'!$A412,Tabla1[nombre_actividad],'Grafico %'!F$1)/500,NA())</f>
        <v>#N/A</v>
      </c>
      <c r="G412" s="70" t="e">
        <f ca="1">IF(TODAY()&gt;=$A412,SUMIFS(Tabla1[Avance_km],Tabla1[Fecha],"&lt;="&amp;'Grafico %'!$A412,Tabla1[nombre_actividad],'Grafico %'!G$1)/(200),NA())</f>
        <v>#N/A</v>
      </c>
      <c r="H412" s="70" t="e">
        <f ca="1">IF(TODAY()&gt;=$A412,SUMIFS(Tabla1[Avance_km],Tabla1[Fecha],"&lt;="&amp;'Grafico %'!$A412,Tabla1[nombre_actividad],'Grafico %'!H$1)/(200),NA())</f>
        <v>#N/A</v>
      </c>
    </row>
    <row r="413" spans="1:8" x14ac:dyDescent="0.25">
      <c r="A413" s="62">
        <f t="shared" si="6"/>
        <v>46374</v>
      </c>
      <c r="B413" s="33"/>
      <c r="C413" s="69" t="e">
        <f ca="1">IF(TODAY()&gt;=$A413,SUMIFS(Tabla1[Avance_km],Tabla1[Fecha],"&lt;="&amp;'Grafico %'!$A413,Tabla1[nombre_actividad],'Grafico %'!C$1)/(200),NA())</f>
        <v>#N/A</v>
      </c>
      <c r="D413" s="70" t="e">
        <f ca="1">IF(TODAY()&gt;=$A413,SUMIFS(Tabla1[Avance_km],Tabla1[Fecha],"&lt;="&amp;'Grafico %'!$A413,Tabla1[nombre_actividad],'Grafico %'!D$1)/(200),NA())</f>
        <v>#N/A</v>
      </c>
      <c r="E413" s="70" t="e">
        <f ca="1">IF(TODAY()&gt;=$A413,SUMIFS(Tabla1[Avance_km],Tabla1[Fecha],"&lt;="&amp;'Grafico %'!$A413,Tabla1[nombre_actividad],'Grafico %'!E$1,Tabla1[Avance_km],"&gt;0")/(200),NA())</f>
        <v>#N/A</v>
      </c>
      <c r="F413" s="68" t="e">
        <f ca="1">IF(TODAY()&gt;=$A413,SUMIFS(Tabla1[Avance_Med],Tabla1[Fecha],"&lt;="&amp;'Grafico %'!$A413,Tabla1[nombre_actividad],'Grafico %'!F$1)/500,NA())</f>
        <v>#N/A</v>
      </c>
      <c r="G413" s="70" t="e">
        <f ca="1">IF(TODAY()&gt;=$A413,SUMIFS(Tabla1[Avance_km],Tabla1[Fecha],"&lt;="&amp;'Grafico %'!$A413,Tabla1[nombre_actividad],'Grafico %'!G$1)/(200),NA())</f>
        <v>#N/A</v>
      </c>
      <c r="H413" s="70" t="e">
        <f ca="1">IF(TODAY()&gt;=$A413,SUMIFS(Tabla1[Avance_km],Tabla1[Fecha],"&lt;="&amp;'Grafico %'!$A413,Tabla1[nombre_actividad],'Grafico %'!H$1)/(200),NA())</f>
        <v>#N/A</v>
      </c>
    </row>
    <row r="414" spans="1:8" x14ac:dyDescent="0.25">
      <c r="A414" s="62">
        <f t="shared" si="6"/>
        <v>46375</v>
      </c>
      <c r="B414" s="33"/>
      <c r="C414" s="69" t="e">
        <f ca="1">IF(TODAY()&gt;=$A414,SUMIFS(Tabla1[Avance_km],Tabla1[Fecha],"&lt;="&amp;'Grafico %'!$A414,Tabla1[nombre_actividad],'Grafico %'!C$1)/(200),NA())</f>
        <v>#N/A</v>
      </c>
      <c r="D414" s="70" t="e">
        <f ca="1">IF(TODAY()&gt;=$A414,SUMIFS(Tabla1[Avance_km],Tabla1[Fecha],"&lt;="&amp;'Grafico %'!$A414,Tabla1[nombre_actividad],'Grafico %'!D$1)/(200),NA())</f>
        <v>#N/A</v>
      </c>
      <c r="E414" s="70" t="e">
        <f ca="1">IF(TODAY()&gt;=$A414,SUMIFS(Tabla1[Avance_km],Tabla1[Fecha],"&lt;="&amp;'Grafico %'!$A414,Tabla1[nombre_actividad],'Grafico %'!E$1,Tabla1[Avance_km],"&gt;0")/(200),NA())</f>
        <v>#N/A</v>
      </c>
      <c r="F414" s="68" t="e">
        <f ca="1">IF(TODAY()&gt;=$A414,SUMIFS(Tabla1[Avance_Med],Tabla1[Fecha],"&lt;="&amp;'Grafico %'!$A414,Tabla1[nombre_actividad],'Grafico %'!F$1)/500,NA())</f>
        <v>#N/A</v>
      </c>
      <c r="G414" s="70" t="e">
        <f ca="1">IF(TODAY()&gt;=$A414,SUMIFS(Tabla1[Avance_km],Tabla1[Fecha],"&lt;="&amp;'Grafico %'!$A414,Tabla1[nombre_actividad],'Grafico %'!G$1)/(200),NA())</f>
        <v>#N/A</v>
      </c>
      <c r="H414" s="70" t="e">
        <f ca="1">IF(TODAY()&gt;=$A414,SUMIFS(Tabla1[Avance_km],Tabla1[Fecha],"&lt;="&amp;'Grafico %'!$A414,Tabla1[nombre_actividad],'Grafico %'!H$1)/(200),NA())</f>
        <v>#N/A</v>
      </c>
    </row>
    <row r="415" spans="1:8" x14ac:dyDescent="0.25">
      <c r="A415" s="62">
        <f t="shared" si="6"/>
        <v>46376</v>
      </c>
      <c r="B415" s="33"/>
      <c r="C415" s="69" t="e">
        <f ca="1">IF(TODAY()&gt;=$A415,SUMIFS(Tabla1[Avance_km],Tabla1[Fecha],"&lt;="&amp;'Grafico %'!$A415,Tabla1[nombre_actividad],'Grafico %'!C$1)/(200),NA())</f>
        <v>#N/A</v>
      </c>
      <c r="D415" s="70" t="e">
        <f ca="1">IF(TODAY()&gt;=$A415,SUMIFS(Tabla1[Avance_km],Tabla1[Fecha],"&lt;="&amp;'Grafico %'!$A415,Tabla1[nombre_actividad],'Grafico %'!D$1)/(200),NA())</f>
        <v>#N/A</v>
      </c>
      <c r="E415" s="70" t="e">
        <f ca="1">IF(TODAY()&gt;=$A415,SUMIFS(Tabla1[Avance_km],Tabla1[Fecha],"&lt;="&amp;'Grafico %'!$A415,Tabla1[nombre_actividad],'Grafico %'!E$1,Tabla1[Avance_km],"&gt;0")/(200),NA())</f>
        <v>#N/A</v>
      </c>
      <c r="F415" s="68" t="e">
        <f ca="1">IF(TODAY()&gt;=$A415,SUMIFS(Tabla1[Avance_Med],Tabla1[Fecha],"&lt;="&amp;'Grafico %'!$A415,Tabla1[nombre_actividad],'Grafico %'!F$1)/500,NA())</f>
        <v>#N/A</v>
      </c>
      <c r="G415" s="70" t="e">
        <f ca="1">IF(TODAY()&gt;=$A415,SUMIFS(Tabla1[Avance_km],Tabla1[Fecha],"&lt;="&amp;'Grafico %'!$A415,Tabla1[nombre_actividad],'Grafico %'!G$1)/(200),NA())</f>
        <v>#N/A</v>
      </c>
      <c r="H415" s="70" t="e">
        <f ca="1">IF(TODAY()&gt;=$A415,SUMIFS(Tabla1[Avance_km],Tabla1[Fecha],"&lt;="&amp;'Grafico %'!$A415,Tabla1[nombre_actividad],'Grafico %'!H$1)/(200),NA())</f>
        <v>#N/A</v>
      </c>
    </row>
    <row r="416" spans="1:8" x14ac:dyDescent="0.25">
      <c r="A416" s="62">
        <f t="shared" si="6"/>
        <v>46377</v>
      </c>
      <c r="B416" s="33"/>
      <c r="C416" s="69" t="e">
        <f ca="1">IF(TODAY()&gt;=$A416,SUMIFS(Tabla1[Avance_km],Tabla1[Fecha],"&lt;="&amp;'Grafico %'!$A416,Tabla1[nombre_actividad],'Grafico %'!C$1)/(200),NA())</f>
        <v>#N/A</v>
      </c>
      <c r="D416" s="70" t="e">
        <f ca="1">IF(TODAY()&gt;=$A416,SUMIFS(Tabla1[Avance_km],Tabla1[Fecha],"&lt;="&amp;'Grafico %'!$A416,Tabla1[nombre_actividad],'Grafico %'!D$1)/(200),NA())</f>
        <v>#N/A</v>
      </c>
      <c r="E416" s="70" t="e">
        <f ca="1">IF(TODAY()&gt;=$A416,SUMIFS(Tabla1[Avance_km],Tabla1[Fecha],"&lt;="&amp;'Grafico %'!$A416,Tabla1[nombre_actividad],'Grafico %'!E$1,Tabla1[Avance_km],"&gt;0")/(200),NA())</f>
        <v>#N/A</v>
      </c>
      <c r="F416" s="68" t="e">
        <f ca="1">IF(TODAY()&gt;=$A416,SUMIFS(Tabla1[Avance_Med],Tabla1[Fecha],"&lt;="&amp;'Grafico %'!$A416,Tabla1[nombre_actividad],'Grafico %'!F$1)/500,NA())</f>
        <v>#N/A</v>
      </c>
      <c r="G416" s="70" t="e">
        <f ca="1">IF(TODAY()&gt;=$A416,SUMIFS(Tabla1[Avance_km],Tabla1[Fecha],"&lt;="&amp;'Grafico %'!$A416,Tabla1[nombre_actividad],'Grafico %'!G$1)/(200),NA())</f>
        <v>#N/A</v>
      </c>
      <c r="H416" s="70" t="e">
        <f ca="1">IF(TODAY()&gt;=$A416,SUMIFS(Tabla1[Avance_km],Tabla1[Fecha],"&lt;="&amp;'Grafico %'!$A416,Tabla1[nombre_actividad],'Grafico %'!H$1)/(200),NA())</f>
        <v>#N/A</v>
      </c>
    </row>
    <row r="417" spans="1:8" x14ac:dyDescent="0.25">
      <c r="A417" s="62">
        <f t="shared" si="6"/>
        <v>46378</v>
      </c>
      <c r="B417" s="33"/>
      <c r="C417" s="69" t="e">
        <f ca="1">IF(TODAY()&gt;=$A417,SUMIFS(Tabla1[Avance_km],Tabla1[Fecha],"&lt;="&amp;'Grafico %'!$A417,Tabla1[nombre_actividad],'Grafico %'!C$1)/(200),NA())</f>
        <v>#N/A</v>
      </c>
      <c r="D417" s="70" t="e">
        <f ca="1">IF(TODAY()&gt;=$A417,SUMIFS(Tabla1[Avance_km],Tabla1[Fecha],"&lt;="&amp;'Grafico %'!$A417,Tabla1[nombre_actividad],'Grafico %'!D$1)/(200),NA())</f>
        <v>#N/A</v>
      </c>
      <c r="E417" s="70" t="e">
        <f ca="1">IF(TODAY()&gt;=$A417,SUMIFS(Tabla1[Avance_km],Tabla1[Fecha],"&lt;="&amp;'Grafico %'!$A417,Tabla1[nombre_actividad],'Grafico %'!E$1,Tabla1[Avance_km],"&gt;0")/(200),NA())</f>
        <v>#N/A</v>
      </c>
      <c r="F417" s="68" t="e">
        <f ca="1">IF(TODAY()&gt;=$A417,SUMIFS(Tabla1[Avance_Med],Tabla1[Fecha],"&lt;="&amp;'Grafico %'!$A417,Tabla1[nombre_actividad],'Grafico %'!F$1)/500,NA())</f>
        <v>#N/A</v>
      </c>
      <c r="G417" s="70" t="e">
        <f ca="1">IF(TODAY()&gt;=$A417,SUMIFS(Tabla1[Avance_km],Tabla1[Fecha],"&lt;="&amp;'Grafico %'!$A417,Tabla1[nombre_actividad],'Grafico %'!G$1)/(200),NA())</f>
        <v>#N/A</v>
      </c>
      <c r="H417" s="70" t="e">
        <f ca="1">IF(TODAY()&gt;=$A417,SUMIFS(Tabla1[Avance_km],Tabla1[Fecha],"&lt;="&amp;'Grafico %'!$A417,Tabla1[nombre_actividad],'Grafico %'!H$1)/(200),NA())</f>
        <v>#N/A</v>
      </c>
    </row>
    <row r="418" spans="1:8" x14ac:dyDescent="0.25">
      <c r="A418" s="62">
        <f t="shared" si="6"/>
        <v>46379</v>
      </c>
      <c r="B418" s="33"/>
      <c r="C418" s="69" t="e">
        <f ca="1">IF(TODAY()&gt;=$A418,SUMIFS(Tabla1[Avance_km],Tabla1[Fecha],"&lt;="&amp;'Grafico %'!$A418,Tabla1[nombre_actividad],'Grafico %'!C$1)/(200),NA())</f>
        <v>#N/A</v>
      </c>
      <c r="D418" s="70" t="e">
        <f ca="1">IF(TODAY()&gt;=$A418,SUMIFS(Tabla1[Avance_km],Tabla1[Fecha],"&lt;="&amp;'Grafico %'!$A418,Tabla1[nombre_actividad],'Grafico %'!D$1)/(200),NA())</f>
        <v>#N/A</v>
      </c>
      <c r="E418" s="70" t="e">
        <f ca="1">IF(TODAY()&gt;=$A418,SUMIFS(Tabla1[Avance_km],Tabla1[Fecha],"&lt;="&amp;'Grafico %'!$A418,Tabla1[nombre_actividad],'Grafico %'!E$1,Tabla1[Avance_km],"&gt;0")/(200),NA())</f>
        <v>#N/A</v>
      </c>
      <c r="F418" s="68" t="e">
        <f ca="1">IF(TODAY()&gt;=$A418,SUMIFS(Tabla1[Avance_Med],Tabla1[Fecha],"&lt;="&amp;'Grafico %'!$A418,Tabla1[nombre_actividad],'Grafico %'!F$1)/500,NA())</f>
        <v>#N/A</v>
      </c>
      <c r="G418" s="70" t="e">
        <f ca="1">IF(TODAY()&gt;=$A418,SUMIFS(Tabla1[Avance_km],Tabla1[Fecha],"&lt;="&amp;'Grafico %'!$A418,Tabla1[nombre_actividad],'Grafico %'!G$1)/(200),NA())</f>
        <v>#N/A</v>
      </c>
      <c r="H418" s="70" t="e">
        <f ca="1">IF(TODAY()&gt;=$A418,SUMIFS(Tabla1[Avance_km],Tabla1[Fecha],"&lt;="&amp;'Grafico %'!$A418,Tabla1[nombre_actividad],'Grafico %'!H$1)/(200),NA())</f>
        <v>#N/A</v>
      </c>
    </row>
    <row r="419" spans="1:8" x14ac:dyDescent="0.25">
      <c r="A419" s="62">
        <f t="shared" si="6"/>
        <v>46380</v>
      </c>
      <c r="B419" s="33"/>
      <c r="C419" s="69" t="e">
        <f ca="1">IF(TODAY()&gt;=$A419,SUMIFS(Tabla1[Avance_km],Tabla1[Fecha],"&lt;="&amp;'Grafico %'!$A419,Tabla1[nombre_actividad],'Grafico %'!C$1)/(200),NA())</f>
        <v>#N/A</v>
      </c>
      <c r="D419" s="70" t="e">
        <f ca="1">IF(TODAY()&gt;=$A419,SUMIFS(Tabla1[Avance_km],Tabla1[Fecha],"&lt;="&amp;'Grafico %'!$A419,Tabla1[nombre_actividad],'Grafico %'!D$1)/(200),NA())</f>
        <v>#N/A</v>
      </c>
      <c r="E419" s="70" t="e">
        <f ca="1">IF(TODAY()&gt;=$A419,SUMIFS(Tabla1[Avance_km],Tabla1[Fecha],"&lt;="&amp;'Grafico %'!$A419,Tabla1[nombre_actividad],'Grafico %'!E$1,Tabla1[Avance_km],"&gt;0")/(200),NA())</f>
        <v>#N/A</v>
      </c>
      <c r="F419" s="68" t="e">
        <f ca="1">IF(TODAY()&gt;=$A419,SUMIFS(Tabla1[Avance_Med],Tabla1[Fecha],"&lt;="&amp;'Grafico %'!$A419,Tabla1[nombre_actividad],'Grafico %'!F$1)/500,NA())</f>
        <v>#N/A</v>
      </c>
      <c r="G419" s="70" t="e">
        <f ca="1">IF(TODAY()&gt;=$A419,SUMIFS(Tabla1[Avance_km],Tabla1[Fecha],"&lt;="&amp;'Grafico %'!$A419,Tabla1[nombre_actividad],'Grafico %'!G$1)/(200),NA())</f>
        <v>#N/A</v>
      </c>
      <c r="H419" s="70" t="e">
        <f ca="1">IF(TODAY()&gt;=$A419,SUMIFS(Tabla1[Avance_km],Tabla1[Fecha],"&lt;="&amp;'Grafico %'!$A419,Tabla1[nombre_actividad],'Grafico %'!H$1)/(200),NA())</f>
        <v>#N/A</v>
      </c>
    </row>
    <row r="420" spans="1:8" x14ac:dyDescent="0.25">
      <c r="A420" s="62">
        <f t="shared" si="6"/>
        <v>46381</v>
      </c>
      <c r="B420" s="33"/>
      <c r="C420" s="69" t="e">
        <f ca="1">IF(TODAY()&gt;=$A420,SUMIFS(Tabla1[Avance_km],Tabla1[Fecha],"&lt;="&amp;'Grafico %'!$A420,Tabla1[nombre_actividad],'Grafico %'!C$1)/(200),NA())</f>
        <v>#N/A</v>
      </c>
      <c r="D420" s="70" t="e">
        <f ca="1">IF(TODAY()&gt;=$A420,SUMIFS(Tabla1[Avance_km],Tabla1[Fecha],"&lt;="&amp;'Grafico %'!$A420,Tabla1[nombre_actividad],'Grafico %'!D$1)/(200),NA())</f>
        <v>#N/A</v>
      </c>
      <c r="E420" s="70" t="e">
        <f ca="1">IF(TODAY()&gt;=$A420,SUMIFS(Tabla1[Avance_km],Tabla1[Fecha],"&lt;="&amp;'Grafico %'!$A420,Tabla1[nombre_actividad],'Grafico %'!E$1,Tabla1[Avance_km],"&gt;0")/(200),NA())</f>
        <v>#N/A</v>
      </c>
      <c r="F420" s="68" t="e">
        <f ca="1">IF(TODAY()&gt;=$A420,SUMIFS(Tabla1[Avance_Med],Tabla1[Fecha],"&lt;="&amp;'Grafico %'!$A420,Tabla1[nombre_actividad],'Grafico %'!F$1)/500,NA())</f>
        <v>#N/A</v>
      </c>
      <c r="G420" s="70" t="e">
        <f ca="1">IF(TODAY()&gt;=$A420,SUMIFS(Tabla1[Avance_km],Tabla1[Fecha],"&lt;="&amp;'Grafico %'!$A420,Tabla1[nombre_actividad],'Grafico %'!G$1)/(200),NA())</f>
        <v>#N/A</v>
      </c>
      <c r="H420" s="70" t="e">
        <f ca="1">IF(TODAY()&gt;=$A420,SUMIFS(Tabla1[Avance_km],Tabla1[Fecha],"&lt;="&amp;'Grafico %'!$A420,Tabla1[nombre_actividad],'Grafico %'!H$1)/(200),NA())</f>
        <v>#N/A</v>
      </c>
    </row>
    <row r="421" spans="1:8" x14ac:dyDescent="0.25">
      <c r="A421" s="62">
        <f t="shared" si="6"/>
        <v>46382</v>
      </c>
      <c r="B421" s="33"/>
      <c r="C421" s="69" t="e">
        <f ca="1">IF(TODAY()&gt;=$A421,SUMIFS(Tabla1[Avance_km],Tabla1[Fecha],"&lt;="&amp;'Grafico %'!$A421,Tabla1[nombre_actividad],'Grafico %'!C$1)/(200),NA())</f>
        <v>#N/A</v>
      </c>
      <c r="D421" s="70" t="e">
        <f ca="1">IF(TODAY()&gt;=$A421,SUMIFS(Tabla1[Avance_km],Tabla1[Fecha],"&lt;="&amp;'Grafico %'!$A421,Tabla1[nombre_actividad],'Grafico %'!D$1)/(200),NA())</f>
        <v>#N/A</v>
      </c>
      <c r="E421" s="70" t="e">
        <f ca="1">IF(TODAY()&gt;=$A421,SUMIFS(Tabla1[Avance_km],Tabla1[Fecha],"&lt;="&amp;'Grafico %'!$A421,Tabla1[nombre_actividad],'Grafico %'!E$1,Tabla1[Avance_km],"&gt;0")/(200),NA())</f>
        <v>#N/A</v>
      </c>
      <c r="F421" s="68" t="e">
        <f ca="1">IF(TODAY()&gt;=$A421,SUMIFS(Tabla1[Avance_Med],Tabla1[Fecha],"&lt;="&amp;'Grafico %'!$A421,Tabla1[nombre_actividad],'Grafico %'!F$1)/500,NA())</f>
        <v>#N/A</v>
      </c>
      <c r="G421" s="70" t="e">
        <f ca="1">IF(TODAY()&gt;=$A421,SUMIFS(Tabla1[Avance_km],Tabla1[Fecha],"&lt;="&amp;'Grafico %'!$A421,Tabla1[nombre_actividad],'Grafico %'!G$1)/(200),NA())</f>
        <v>#N/A</v>
      </c>
      <c r="H421" s="70" t="e">
        <f ca="1">IF(TODAY()&gt;=$A421,SUMIFS(Tabla1[Avance_km],Tabla1[Fecha],"&lt;="&amp;'Grafico %'!$A421,Tabla1[nombre_actividad],'Grafico %'!H$1)/(200),NA())</f>
        <v>#N/A</v>
      </c>
    </row>
    <row r="422" spans="1:8" x14ac:dyDescent="0.25">
      <c r="A422" s="62">
        <f t="shared" si="6"/>
        <v>46383</v>
      </c>
      <c r="B422" s="33"/>
      <c r="C422" s="69" t="e">
        <f ca="1">IF(TODAY()&gt;=$A422,SUMIFS(Tabla1[Avance_km],Tabla1[Fecha],"&lt;="&amp;'Grafico %'!$A422,Tabla1[nombre_actividad],'Grafico %'!C$1)/(200),NA())</f>
        <v>#N/A</v>
      </c>
      <c r="D422" s="70" t="e">
        <f ca="1">IF(TODAY()&gt;=$A422,SUMIFS(Tabla1[Avance_km],Tabla1[Fecha],"&lt;="&amp;'Grafico %'!$A422,Tabla1[nombre_actividad],'Grafico %'!D$1)/(200),NA())</f>
        <v>#N/A</v>
      </c>
      <c r="E422" s="70" t="e">
        <f ca="1">IF(TODAY()&gt;=$A422,SUMIFS(Tabla1[Avance_km],Tabla1[Fecha],"&lt;="&amp;'Grafico %'!$A422,Tabla1[nombre_actividad],'Grafico %'!E$1,Tabla1[Avance_km],"&gt;0")/(200),NA())</f>
        <v>#N/A</v>
      </c>
      <c r="F422" s="68" t="e">
        <f ca="1">IF(TODAY()&gt;=$A422,SUMIFS(Tabla1[Avance_Med],Tabla1[Fecha],"&lt;="&amp;'Grafico %'!$A422,Tabla1[nombre_actividad],'Grafico %'!F$1)/500,NA())</f>
        <v>#N/A</v>
      </c>
      <c r="G422" s="70" t="e">
        <f ca="1">IF(TODAY()&gt;=$A422,SUMIFS(Tabla1[Avance_km],Tabla1[Fecha],"&lt;="&amp;'Grafico %'!$A422,Tabla1[nombre_actividad],'Grafico %'!G$1)/(200),NA())</f>
        <v>#N/A</v>
      </c>
      <c r="H422" s="70" t="e">
        <f ca="1">IF(TODAY()&gt;=$A422,SUMIFS(Tabla1[Avance_km],Tabla1[Fecha],"&lt;="&amp;'Grafico %'!$A422,Tabla1[nombre_actividad],'Grafico %'!H$1)/(200),NA())</f>
        <v>#N/A</v>
      </c>
    </row>
    <row r="423" spans="1:8" x14ac:dyDescent="0.25">
      <c r="A423" s="62">
        <f t="shared" si="6"/>
        <v>46384</v>
      </c>
      <c r="B423" s="33"/>
      <c r="C423" s="69" t="e">
        <f ca="1">IF(TODAY()&gt;=$A423,SUMIFS(Tabla1[Avance_km],Tabla1[Fecha],"&lt;="&amp;'Grafico %'!$A423,Tabla1[nombre_actividad],'Grafico %'!C$1)/(200),NA())</f>
        <v>#N/A</v>
      </c>
      <c r="D423" s="70" t="e">
        <f ca="1">IF(TODAY()&gt;=$A423,SUMIFS(Tabla1[Avance_km],Tabla1[Fecha],"&lt;="&amp;'Grafico %'!$A423,Tabla1[nombre_actividad],'Grafico %'!D$1)/(200),NA())</f>
        <v>#N/A</v>
      </c>
      <c r="E423" s="70" t="e">
        <f ca="1">IF(TODAY()&gt;=$A423,SUMIFS(Tabla1[Avance_km],Tabla1[Fecha],"&lt;="&amp;'Grafico %'!$A423,Tabla1[nombre_actividad],'Grafico %'!E$1,Tabla1[Avance_km],"&gt;0")/(200),NA())</f>
        <v>#N/A</v>
      </c>
      <c r="F423" s="68" t="e">
        <f ca="1">IF(TODAY()&gt;=$A423,SUMIFS(Tabla1[Avance_Med],Tabla1[Fecha],"&lt;="&amp;'Grafico %'!$A423,Tabla1[nombre_actividad],'Grafico %'!F$1)/500,NA())</f>
        <v>#N/A</v>
      </c>
      <c r="G423" s="70" t="e">
        <f ca="1">IF(TODAY()&gt;=$A423,SUMIFS(Tabla1[Avance_km],Tabla1[Fecha],"&lt;="&amp;'Grafico %'!$A423,Tabla1[nombre_actividad],'Grafico %'!G$1)/(200),NA())</f>
        <v>#N/A</v>
      </c>
      <c r="H423" s="70" t="e">
        <f ca="1">IF(TODAY()&gt;=$A423,SUMIFS(Tabla1[Avance_km],Tabla1[Fecha],"&lt;="&amp;'Grafico %'!$A423,Tabla1[nombre_actividad],'Grafico %'!H$1)/(200),NA())</f>
        <v>#N/A</v>
      </c>
    </row>
    <row r="424" spans="1:8" x14ac:dyDescent="0.25">
      <c r="A424" s="62">
        <f t="shared" si="6"/>
        <v>46385</v>
      </c>
      <c r="B424" s="33"/>
      <c r="C424" s="69" t="e">
        <f ca="1">IF(TODAY()&gt;=$A424,SUMIFS(Tabla1[Avance_km],Tabla1[Fecha],"&lt;="&amp;'Grafico %'!$A424,Tabla1[nombre_actividad],'Grafico %'!C$1)/(200),NA())</f>
        <v>#N/A</v>
      </c>
      <c r="D424" s="70" t="e">
        <f ca="1">IF(TODAY()&gt;=$A424,SUMIFS(Tabla1[Avance_km],Tabla1[Fecha],"&lt;="&amp;'Grafico %'!$A424,Tabla1[nombre_actividad],'Grafico %'!D$1)/(200),NA())</f>
        <v>#N/A</v>
      </c>
      <c r="E424" s="70" t="e">
        <f ca="1">IF(TODAY()&gt;=$A424,SUMIFS(Tabla1[Avance_km],Tabla1[Fecha],"&lt;="&amp;'Grafico %'!$A424,Tabla1[nombre_actividad],'Grafico %'!E$1,Tabla1[Avance_km],"&gt;0")/(200),NA())</f>
        <v>#N/A</v>
      </c>
      <c r="F424" s="68" t="e">
        <f ca="1">IF(TODAY()&gt;=$A424,SUMIFS(Tabla1[Avance_Med],Tabla1[Fecha],"&lt;="&amp;'Grafico %'!$A424,Tabla1[nombre_actividad],'Grafico %'!F$1)/500,NA())</f>
        <v>#N/A</v>
      </c>
      <c r="G424" s="70" t="e">
        <f ca="1">IF(TODAY()&gt;=$A424,SUMIFS(Tabla1[Avance_km],Tabla1[Fecha],"&lt;="&amp;'Grafico %'!$A424,Tabla1[nombre_actividad],'Grafico %'!G$1)/(200),NA())</f>
        <v>#N/A</v>
      </c>
      <c r="H424" s="70" t="e">
        <f ca="1">IF(TODAY()&gt;=$A424,SUMIFS(Tabla1[Avance_km],Tabla1[Fecha],"&lt;="&amp;'Grafico %'!$A424,Tabla1[nombre_actividad],'Grafico %'!H$1)/(200),NA())</f>
        <v>#N/A</v>
      </c>
    </row>
    <row r="425" spans="1:8" x14ac:dyDescent="0.25">
      <c r="A425" s="62">
        <f t="shared" si="6"/>
        <v>46386</v>
      </c>
      <c r="B425" s="33"/>
      <c r="C425" s="69" t="e">
        <f ca="1">IF(TODAY()&gt;=$A425,SUMIFS(Tabla1[Avance_km],Tabla1[Fecha],"&lt;="&amp;'Grafico %'!$A425,Tabla1[nombre_actividad],'Grafico %'!C$1)/(200),NA())</f>
        <v>#N/A</v>
      </c>
      <c r="D425" s="70" t="e">
        <f ca="1">IF(TODAY()&gt;=$A425,SUMIFS(Tabla1[Avance_km],Tabla1[Fecha],"&lt;="&amp;'Grafico %'!$A425,Tabla1[nombre_actividad],'Grafico %'!D$1)/(200),NA())</f>
        <v>#N/A</v>
      </c>
      <c r="E425" s="70" t="e">
        <f ca="1">IF(TODAY()&gt;=$A425,SUMIFS(Tabla1[Avance_km],Tabla1[Fecha],"&lt;="&amp;'Grafico %'!$A425,Tabla1[nombre_actividad],'Grafico %'!E$1,Tabla1[Avance_km],"&gt;0")/(200),NA())</f>
        <v>#N/A</v>
      </c>
      <c r="F425" s="68" t="e">
        <f ca="1">IF(TODAY()&gt;=$A425,SUMIFS(Tabla1[Avance_Med],Tabla1[Fecha],"&lt;="&amp;'Grafico %'!$A425,Tabla1[nombre_actividad],'Grafico %'!F$1)/500,NA())</f>
        <v>#N/A</v>
      </c>
      <c r="G425" s="70" t="e">
        <f ca="1">IF(TODAY()&gt;=$A425,SUMIFS(Tabla1[Avance_km],Tabla1[Fecha],"&lt;="&amp;'Grafico %'!$A425,Tabla1[nombre_actividad],'Grafico %'!G$1)/(200),NA())</f>
        <v>#N/A</v>
      </c>
      <c r="H425" s="70" t="e">
        <f ca="1">IF(TODAY()&gt;=$A425,SUMIFS(Tabla1[Avance_km],Tabla1[Fecha],"&lt;="&amp;'Grafico %'!$A425,Tabla1[nombre_actividad],'Grafico %'!H$1)/(200),NA())</f>
        <v>#N/A</v>
      </c>
    </row>
    <row r="426" spans="1:8" x14ac:dyDescent="0.25">
      <c r="A426" s="62">
        <f t="shared" si="6"/>
        <v>46387</v>
      </c>
      <c r="B426" s="33"/>
      <c r="C426" s="69" t="e">
        <f ca="1">IF(TODAY()&gt;=$A426,SUMIFS(Tabla1[Avance_km],Tabla1[Fecha],"&lt;="&amp;'Grafico %'!$A426,Tabla1[nombre_actividad],'Grafico %'!C$1)/(200),NA())</f>
        <v>#N/A</v>
      </c>
      <c r="D426" s="70" t="e">
        <f ca="1">IF(TODAY()&gt;=$A426,SUMIFS(Tabla1[Avance_km],Tabla1[Fecha],"&lt;="&amp;'Grafico %'!$A426,Tabla1[nombre_actividad],'Grafico %'!D$1)/(200),NA())</f>
        <v>#N/A</v>
      </c>
      <c r="E426" s="70" t="e">
        <f ca="1">IF(TODAY()&gt;=$A426,SUMIFS(Tabla1[Avance_km],Tabla1[Fecha],"&lt;="&amp;'Grafico %'!$A426,Tabla1[nombre_actividad],'Grafico %'!E$1,Tabla1[Avance_km],"&gt;0")/(200),NA())</f>
        <v>#N/A</v>
      </c>
      <c r="F426" s="68" t="e">
        <f ca="1">IF(TODAY()&gt;=$A426,SUMIFS(Tabla1[Avance_Med],Tabla1[Fecha],"&lt;="&amp;'Grafico %'!$A426,Tabla1[nombre_actividad],'Grafico %'!F$1)/500,NA())</f>
        <v>#N/A</v>
      </c>
      <c r="G426" s="70" t="e">
        <f ca="1">IF(TODAY()&gt;=$A426,SUMIFS(Tabla1[Avance_km],Tabla1[Fecha],"&lt;="&amp;'Grafico %'!$A426,Tabla1[nombre_actividad],'Grafico %'!G$1)/(200),NA())</f>
        <v>#N/A</v>
      </c>
      <c r="H426" s="70" t="e">
        <f ca="1">IF(TODAY()&gt;=$A426,SUMIFS(Tabla1[Avance_km],Tabla1[Fecha],"&lt;="&amp;'Grafico %'!$A426,Tabla1[nombre_actividad],'Grafico %'!H$1)/(200),NA())</f>
        <v>#N/A</v>
      </c>
    </row>
  </sheetData>
  <conditionalFormatting sqref="C2:H426">
    <cfRule type="expression" dxfId="32" priority="1">
      <formula>C2=0</formula>
    </cfRule>
    <cfRule type="expression" dxfId="31" priority="2">
      <formula>IF(ISNUMBER(C2),FALSE,TRUE)</formula>
    </cfRule>
  </conditionalFormatting>
  <pageMargins left="0.7" right="0.7" top="0.75" bottom="0.75" header="0.3" footer="0.3"/>
  <pageSetup paperSize="119" scale="38" orientation="portrait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E457-5454-4F81-BB41-E396636F1174}">
  <sheetPr codeName="Hoja20"/>
  <dimension ref="A1:CS546"/>
  <sheetViews>
    <sheetView showGridLines="0" topLeftCell="K1" zoomScaleNormal="100" workbookViewId="0">
      <selection activeCell="X35" sqref="X35"/>
    </sheetView>
  </sheetViews>
  <sheetFormatPr baseColWidth="10" defaultColWidth="11.42578125" defaultRowHeight="15" outlineLevelCol="1" x14ac:dyDescent="0.25"/>
  <cols>
    <col min="1" max="1" width="8.28515625" style="1" hidden="1" customWidth="1" outlineLevel="1"/>
    <col min="2" max="2" width="9" style="1" hidden="1" customWidth="1" outlineLevel="1"/>
    <col min="3" max="3" width="13.7109375" style="108" hidden="1" customWidth="1" outlineLevel="1"/>
    <col min="4" max="5" width="11.42578125" style="108" hidden="1" customWidth="1" outlineLevel="1"/>
    <col min="6" max="7" width="27.7109375" style="96" hidden="1" customWidth="1" outlineLevel="1"/>
    <col min="8" max="8" width="27.7109375" style="108" hidden="1" customWidth="1" outlineLevel="1"/>
    <col min="9" max="9" width="15.7109375" style="229" hidden="1" customWidth="1" outlineLevel="1"/>
    <col min="10" max="10" width="17.28515625" style="229" hidden="1" customWidth="1" outlineLevel="1"/>
    <col min="11" max="11" width="15" style="61" bestFit="1" customWidth="1" collapsed="1"/>
    <col min="12" max="12" width="17.85546875" style="61" bestFit="1" customWidth="1"/>
    <col min="13" max="13" width="13.5703125" style="61" bestFit="1" customWidth="1"/>
    <col min="14" max="14" width="17.85546875" style="61" bestFit="1" customWidth="1"/>
    <col min="15" max="15" width="19.28515625" style="61" hidden="1" customWidth="1" outlineLevel="1"/>
    <col min="16" max="16" width="27.28515625" style="61" bestFit="1" customWidth="1" collapsed="1"/>
    <col min="17" max="17" width="17" style="61" hidden="1" customWidth="1" outlineLevel="1"/>
    <col min="18" max="18" width="12" style="61" customWidth="1" collapsed="1"/>
    <col min="19" max="19" width="19.28515625" style="61" bestFit="1" customWidth="1"/>
    <col min="20" max="23" width="15.85546875" style="61" customWidth="1"/>
    <col min="24" max="24" width="14.42578125" style="61" customWidth="1"/>
    <col min="25" max="28" width="12.28515625" style="61" bestFit="1" customWidth="1"/>
    <col min="29" max="29" width="15.42578125" style="61" bestFit="1" customWidth="1"/>
    <col min="30" max="30" width="14.140625" style="61" customWidth="1" outlineLevel="1"/>
    <col min="31" max="32" width="12.28515625" style="61" customWidth="1" outlineLevel="1"/>
    <col min="33" max="34" width="12.28515625" style="61" bestFit="1" customWidth="1"/>
    <col min="35" max="36" width="11.28515625" style="61" bestFit="1" customWidth="1"/>
    <col min="37" max="53" width="12.28515625" style="61" bestFit="1" customWidth="1"/>
    <col min="54" max="54" width="11.28515625" style="61" bestFit="1" customWidth="1"/>
    <col min="55" max="72" width="12.28515625" style="61" bestFit="1" customWidth="1"/>
    <col min="73" max="73" width="11.28515625" style="61" bestFit="1" customWidth="1"/>
    <col min="74" max="95" width="12.28515625" style="61" bestFit="1" customWidth="1"/>
    <col min="96" max="96" width="5.42578125" style="61" bestFit="1" customWidth="1"/>
    <col min="97" max="97" width="12.42578125" style="61" bestFit="1" customWidth="1"/>
    <col min="98" max="16384" width="11.42578125" style="61"/>
  </cols>
  <sheetData>
    <row r="1" spans="1:31" s="1" customFormat="1" x14ac:dyDescent="0.25">
      <c r="A1" s="33" t="s">
        <v>174</v>
      </c>
      <c r="B1" s="33"/>
      <c r="C1" s="110" t="s">
        <v>78</v>
      </c>
      <c r="D1" s="110" t="s">
        <v>79</v>
      </c>
      <c r="E1" s="110" t="s">
        <v>80</v>
      </c>
      <c r="F1" s="67" t="s">
        <v>81</v>
      </c>
      <c r="G1" s="67" t="s">
        <v>82</v>
      </c>
      <c r="H1" s="110" t="s">
        <v>83</v>
      </c>
      <c r="I1" s="228" t="s">
        <v>414</v>
      </c>
      <c r="J1" s="228" t="s">
        <v>343</v>
      </c>
    </row>
    <row r="2" spans="1:31" x14ac:dyDescent="0.25">
      <c r="A2" s="62">
        <v>45962</v>
      </c>
      <c r="B2" s="62"/>
      <c r="C2" s="110">
        <f ca="1">IF(TODAY()&gt;=$A2,SUMIFS(Tabla1[Avance_km],Tabla1[Fecha],"&lt;="&amp;EV!$A2-1,Tabla1[nombre_actividad],EV!C$1),NA())</f>
        <v>0</v>
      </c>
      <c r="D2" s="110"/>
      <c r="E2" s="110"/>
      <c r="F2" s="67"/>
      <c r="G2" s="67"/>
      <c r="H2" s="110"/>
      <c r="I2" s="228">
        <f ca="1">+C2*Catalogo!$F$19+EV!D2*Catalogo!$F$14+EV!E2*Catalogo!$F$16+EV!F2*Catalogo!$F$18</f>
        <v>0</v>
      </c>
      <c r="J2" s="228">
        <f ca="1">IF(TODAY()&gt;=$A2,SUMIFS(Tabla1[EV],Tabla1[Fecha],"&lt;="&amp;A2,Tabla1[EV],"&gt;0"),NA())</f>
        <v>0</v>
      </c>
      <c r="O2" s="64"/>
      <c r="Y2" s="64"/>
    </row>
    <row r="3" spans="1:31" x14ac:dyDescent="0.25">
      <c r="A3" s="62">
        <f>+A2+1</f>
        <v>45963</v>
      </c>
      <c r="B3" s="62"/>
      <c r="C3" s="110">
        <f ca="1">IF(TODAY()&gt;=$A3,SUMIFS(Tabla1[Avance_km],Tabla1[Fecha],"&lt;="&amp;EV!$A3-1,Tabla1[nombre_actividad],EV!C$1),NA())</f>
        <v>0</v>
      </c>
      <c r="D3" s="110"/>
      <c r="E3" s="110"/>
      <c r="F3" s="67"/>
      <c r="G3" s="67"/>
      <c r="H3" s="110"/>
      <c r="I3" s="228">
        <f ca="1">+C3*Catalogo!$F$19+EV!D3*Catalogo!$F$14+EV!E3*Catalogo!$F$16+EV!F3*Catalogo!$F$18</f>
        <v>0</v>
      </c>
      <c r="J3" s="228">
        <f ca="1">IF(TODAY()&gt;=$A3,SUMIFS(Tabla1[EV],Tabla1[Fecha],"&lt;="&amp;A3,Tabla1[EV],"&gt;0"),NA())</f>
        <v>0</v>
      </c>
      <c r="O3" s="64"/>
      <c r="Y3" s="64"/>
      <c r="AD3" s="64">
        <f ca="1">+TODAY()</f>
        <v>46321</v>
      </c>
      <c r="AE3" s="61">
        <v>0</v>
      </c>
    </row>
    <row r="4" spans="1:31" x14ac:dyDescent="0.25">
      <c r="A4" s="62">
        <f>+A3+1</f>
        <v>45964</v>
      </c>
      <c r="B4" s="62"/>
      <c r="C4" s="110">
        <f ca="1">IF(TODAY()&gt;=$A4,SUMIFS(Tabla1[Avance_km],Tabla1[Fecha],"&lt;="&amp;EV!$A4,Tabla1[nombre_actividad],EV!C$1),NA())</f>
        <v>1.1000000000000001</v>
      </c>
      <c r="D4" s="110"/>
      <c r="E4" s="110"/>
      <c r="F4" s="67"/>
      <c r="G4" s="67"/>
      <c r="H4" s="110"/>
      <c r="I4" s="228">
        <f ca="1">+C4*Catalogo!$F$19+EV!D4*Catalogo!$F$14+EV!E4*Catalogo!$F$16+EV!F4*Catalogo!$F$18</f>
        <v>2483.1620000000003</v>
      </c>
      <c r="J4" s="228">
        <f ca="1">IF(TODAY()&gt;=$A4,SUMIFS(Tabla1[EV],Tabla1[Fecha],"&lt;="&amp;A4,Tabla1[EV],"&gt;0"),NA())</f>
        <v>2483.1620000000003</v>
      </c>
      <c r="AD4" s="64">
        <f ca="1">+TODAY()</f>
        <v>46321</v>
      </c>
      <c r="AE4" s="344">
        <f ca="1">100*AC35/12000000</f>
        <v>93.617205852499865</v>
      </c>
    </row>
    <row r="5" spans="1:31" x14ac:dyDescent="0.25">
      <c r="A5" s="62">
        <f t="shared" ref="A5:A68" si="0">+A4+1</f>
        <v>45965</v>
      </c>
      <c r="B5" s="62"/>
      <c r="C5" s="110">
        <f ca="1">IF(TODAY()&gt;=$A5,SUMIFS(Tabla1[Avance_km],Tabla1[Fecha],"&lt;="&amp;EV!$A5,Tabla1[nombre_actividad],EV!C$1),NA())</f>
        <v>4</v>
      </c>
      <c r="D5" s="110"/>
      <c r="E5" s="110"/>
      <c r="F5" s="67"/>
      <c r="G5" s="67"/>
      <c r="H5" s="110"/>
      <c r="I5" s="228">
        <f ca="1">+C5*Catalogo!$F$19+EV!D5*Catalogo!$F$14+EV!E5*Catalogo!$F$16+EV!F5*Catalogo!$F$18</f>
        <v>9029.68</v>
      </c>
      <c r="J5" s="228">
        <f ca="1">IF(TODAY()&gt;=$A5,SUMIFS(Tabla1[EV],Tabla1[Fecha],"&lt;="&amp;A5,Tabla1[EV],"&gt;0"),NA())</f>
        <v>9029.68</v>
      </c>
      <c r="Y5" s="64"/>
    </row>
    <row r="6" spans="1:31" x14ac:dyDescent="0.25">
      <c r="A6" s="62">
        <f t="shared" si="0"/>
        <v>45966</v>
      </c>
      <c r="B6" s="62"/>
      <c r="C6" s="110">
        <f ca="1">IF(TODAY()&gt;=$A6,SUMIFS(Tabla1[Avance_km],Tabla1[Fecha],"&lt;="&amp;EV!$A6,Tabla1[nombre_actividad],EV!C$1),NA())</f>
        <v>8</v>
      </c>
      <c r="D6" s="110"/>
      <c r="E6" s="110"/>
      <c r="F6" s="67"/>
      <c r="G6" s="67"/>
      <c r="H6" s="110"/>
      <c r="I6" s="228">
        <f ca="1">+C6*Catalogo!$F$19+EV!D6*Catalogo!$F$14+EV!E6*Catalogo!$F$16+EV!F6*Catalogo!$F$18</f>
        <v>18059.36</v>
      </c>
      <c r="J6" s="228">
        <f ca="1">IF(TODAY()&gt;=$A6,SUMIFS(Tabla1[EV],Tabla1[Fecha],"&lt;="&amp;A6,Tabla1[EV],"&gt;0"),NA())</f>
        <v>18059.36</v>
      </c>
      <c r="Y6" s="64"/>
    </row>
    <row r="7" spans="1:31" x14ac:dyDescent="0.25">
      <c r="A7" s="62">
        <f t="shared" si="0"/>
        <v>45967</v>
      </c>
      <c r="B7" s="62"/>
      <c r="C7" s="110">
        <f ca="1">IF(TODAY()&gt;=$A7,SUMIFS(Tabla1[Avance_km],Tabla1[Fecha],"&lt;="&amp;EV!$A7,Tabla1[nombre_actividad],EV!C$1),NA())</f>
        <v>13.5</v>
      </c>
      <c r="D7" s="110"/>
      <c r="E7" s="110"/>
      <c r="F7" s="67"/>
      <c r="G7" s="67"/>
      <c r="H7" s="110"/>
      <c r="I7" s="228">
        <f ca="1">+C7*Catalogo!$F$19+EV!D7*Catalogo!$F$14+EV!E7*Catalogo!$F$16+EV!F7*Catalogo!$F$18</f>
        <v>30475.170000000002</v>
      </c>
      <c r="J7" s="228">
        <f ca="1">IF(TODAY()&gt;=$A7,SUMIFS(Tabla1[EV],Tabla1[Fecha],"&lt;="&amp;A7,Tabla1[EV],"&gt;0"),NA())</f>
        <v>30475.170000000002</v>
      </c>
    </row>
    <row r="8" spans="1:31" x14ac:dyDescent="0.25">
      <c r="A8" s="62">
        <f t="shared" si="0"/>
        <v>45968</v>
      </c>
      <c r="B8" s="62"/>
      <c r="C8" s="110">
        <f ca="1">IF(TODAY()&gt;=$A8,SUMIFS(Tabla1[Avance_km],Tabla1[Fecha],"&lt;="&amp;EV!$A8,Tabla1[nombre_actividad],EV!C$1),NA())</f>
        <v>17.5</v>
      </c>
      <c r="D8" s="110"/>
      <c r="E8" s="110"/>
      <c r="F8" s="67"/>
      <c r="G8" s="67"/>
      <c r="H8" s="110"/>
      <c r="I8" s="228">
        <f ca="1">+C8*Catalogo!$F$19+EV!D8*Catalogo!$F$14+EV!E8*Catalogo!$F$16+EV!F8*Catalogo!$F$18</f>
        <v>39504.85</v>
      </c>
      <c r="J8" s="228">
        <f ca="1">IF(TODAY()&gt;=$A8,SUMIFS(Tabla1[EV],Tabla1[Fecha],"&lt;="&amp;A8,Tabla1[EV],"&gt;0"),NA())</f>
        <v>39504.850000000006</v>
      </c>
      <c r="Y8" s="64"/>
    </row>
    <row r="9" spans="1:31" x14ac:dyDescent="0.25">
      <c r="A9" s="62">
        <f t="shared" si="0"/>
        <v>45969</v>
      </c>
      <c r="B9" s="62"/>
      <c r="C9" s="110">
        <f ca="1">IF(TODAY()&gt;=$A9,SUMIFS(Tabla1[Avance_km],Tabla1[Fecha],"&lt;="&amp;EV!$A9,Tabla1[nombre_actividad],EV!C$1),NA())</f>
        <v>20.5</v>
      </c>
      <c r="D9" s="110"/>
      <c r="E9" s="110"/>
      <c r="F9" s="67"/>
      <c r="G9" s="67"/>
      <c r="H9" s="110"/>
      <c r="I9" s="228">
        <f ca="1">+C9*Catalogo!$F$19+EV!D9*Catalogo!$F$14+EV!E9*Catalogo!$F$16+EV!F9*Catalogo!$F$18</f>
        <v>46277.11</v>
      </c>
      <c r="J9" s="228">
        <f ca="1">IF(TODAY()&gt;=$A9,SUMIFS(Tabla1[EV],Tabla1[Fecha],"&lt;="&amp;A9,Tabla1[EV],"&gt;0"),NA())</f>
        <v>46277.110000000008</v>
      </c>
      <c r="Y9" s="64"/>
    </row>
    <row r="10" spans="1:31" x14ac:dyDescent="0.25">
      <c r="A10" s="62">
        <f t="shared" si="0"/>
        <v>45970</v>
      </c>
      <c r="B10" s="62"/>
      <c r="C10" s="110">
        <f ca="1">IF(TODAY()&gt;=$A10,SUMIFS(Tabla1[Avance_km],Tabla1[Fecha],"&lt;="&amp;EV!$A10,Tabla1[nombre_actividad],EV!C$1),NA())</f>
        <v>20.5</v>
      </c>
      <c r="D10" s="110"/>
      <c r="E10" s="110"/>
      <c r="F10" s="67"/>
      <c r="G10" s="67"/>
      <c r="H10" s="110"/>
      <c r="I10" s="228">
        <f ca="1">+C10*Catalogo!$F$19+EV!D10*Catalogo!$F$14+EV!E10*Catalogo!$F$16+EV!F10*Catalogo!$F$18</f>
        <v>46277.11</v>
      </c>
      <c r="J10" s="228">
        <f ca="1">IF(TODAY()&gt;=$A10,SUMIFS(Tabla1[EV],Tabla1[Fecha],"&lt;="&amp;A10,Tabla1[EV],"&gt;0"),NA())</f>
        <v>46277.110000000008</v>
      </c>
    </row>
    <row r="11" spans="1:31" x14ac:dyDescent="0.25">
      <c r="A11" s="62">
        <f t="shared" si="0"/>
        <v>45971</v>
      </c>
      <c r="B11" s="62"/>
      <c r="C11" s="110">
        <f ca="1">IF(TODAY()&gt;=$A11,SUMIFS(Tabla1[Avance_km],Tabla1[Fecha],"&lt;="&amp;EV!$A11,Tabla1[nombre_actividad],EV!C$1),NA())</f>
        <v>26</v>
      </c>
      <c r="D11" s="110"/>
      <c r="E11" s="110"/>
      <c r="F11" s="67"/>
      <c r="G11" s="67"/>
      <c r="H11" s="110"/>
      <c r="I11" s="228">
        <f ca="1">+C11*Catalogo!$F$19+EV!D11*Catalogo!$F$14+EV!E11*Catalogo!$F$16+EV!F11*Catalogo!$F$18</f>
        <v>58692.92</v>
      </c>
      <c r="J11" s="228">
        <f ca="1">IF(TODAY()&gt;=$A11,SUMIFS(Tabla1[EV],Tabla1[Fecha],"&lt;="&amp;A11,Tabla1[EV],"&gt;0"),NA())</f>
        <v>58692.920000000013</v>
      </c>
      <c r="Y11" s="64"/>
    </row>
    <row r="12" spans="1:31" x14ac:dyDescent="0.25">
      <c r="A12" s="62">
        <f t="shared" si="0"/>
        <v>45972</v>
      </c>
      <c r="B12" s="62"/>
      <c r="C12" s="110">
        <f ca="1">IF(TODAY()&gt;=$A12,SUMIFS(Tabla1[Avance_km],Tabla1[Fecha],"&lt;="&amp;EV!$A12,Tabla1[nombre_actividad],EV!C$1),NA())</f>
        <v>31.54</v>
      </c>
      <c r="D12" s="110"/>
      <c r="E12" s="110"/>
      <c r="F12" s="67"/>
      <c r="G12" s="67"/>
      <c r="H12" s="110"/>
      <c r="I12" s="228">
        <f ca="1">+C12*Catalogo!$F$19+EV!D12*Catalogo!$F$14+EV!E12*Catalogo!$F$16+EV!F12*Catalogo!$F$18</f>
        <v>71199.026800000007</v>
      </c>
      <c r="J12" s="228">
        <f ca="1">IF(TODAY()&gt;=$A12,SUMIFS(Tabla1[EV],Tabla1[Fecha],"&lt;="&amp;A12,Tabla1[EV],"&gt;0"),NA())</f>
        <v>71199.026800000021</v>
      </c>
      <c r="Y12" s="64"/>
    </row>
    <row r="13" spans="1:31" x14ac:dyDescent="0.25">
      <c r="A13" s="62">
        <f t="shared" si="0"/>
        <v>45973</v>
      </c>
      <c r="B13" s="62"/>
      <c r="C13" s="110">
        <f ca="1">IF(TODAY()&gt;=$A13,SUMIFS(Tabla1[Avance_km],Tabla1[Fecha],"&lt;="&amp;EV!$A13,Tabla1[nombre_actividad],EV!C$1),NA())</f>
        <v>35.786999999999999</v>
      </c>
      <c r="D13" s="110"/>
      <c r="E13" s="110"/>
      <c r="F13" s="67"/>
      <c r="G13" s="67"/>
      <c r="H13" s="110"/>
      <c r="I13" s="228">
        <f ca="1">+C13*Catalogo!$F$19+EV!D13*Catalogo!$F$14+EV!E13*Catalogo!$F$16+EV!F13*Catalogo!$F$18</f>
        <v>80786.289539999998</v>
      </c>
      <c r="J13" s="228">
        <f ca="1">IF(TODAY()&gt;=$A13,SUMIFS(Tabla1[EV],Tabla1[Fecha],"&lt;="&amp;A13,Tabla1[EV],"&gt;0"),NA())</f>
        <v>80786.289540000027</v>
      </c>
    </row>
    <row r="14" spans="1:31" x14ac:dyDescent="0.25">
      <c r="A14" s="62">
        <f t="shared" si="0"/>
        <v>45974</v>
      </c>
      <c r="B14" s="62"/>
      <c r="C14" s="110">
        <f ca="1">IF(TODAY()&gt;=$A14,SUMIFS(Tabla1[Avance_km],Tabla1[Fecha],"&lt;="&amp;EV!$A14,Tabla1[nombre_actividad],EV!C$1),NA())</f>
        <v>41.429000000000002</v>
      </c>
      <c r="D14" s="110"/>
      <c r="E14" s="110"/>
      <c r="F14" s="67"/>
      <c r="G14" s="67"/>
      <c r="H14" s="110"/>
      <c r="I14" s="228">
        <f ca="1">+C14*Catalogo!$F$19+EV!D14*Catalogo!$F$14+EV!E14*Catalogo!$F$16+EV!F14*Catalogo!$F$18</f>
        <v>93522.653180000008</v>
      </c>
      <c r="J14" s="228">
        <f ca="1">IF(TODAY()&gt;=$A14,SUMIFS(Tabla1[EV],Tabla1[Fecha],"&lt;="&amp;A14,Tabla1[EV],"&gt;0"),NA())</f>
        <v>93522.653180000023</v>
      </c>
      <c r="Y14" s="64"/>
    </row>
    <row r="15" spans="1:31" x14ac:dyDescent="0.25">
      <c r="A15" s="62">
        <f t="shared" si="0"/>
        <v>45975</v>
      </c>
      <c r="B15" s="62"/>
      <c r="C15" s="110">
        <f ca="1">IF(TODAY()&gt;=$A15,SUMIFS(Tabla1[Avance_km],Tabla1[Fecha],"&lt;="&amp;EV!$A15,Tabla1[nombre_actividad],EV!C$1),NA())</f>
        <v>47.429000000000002</v>
      </c>
      <c r="D15" s="110"/>
      <c r="E15" s="110"/>
      <c r="F15" s="67"/>
      <c r="G15" s="67"/>
      <c r="H15" s="110"/>
      <c r="I15" s="228">
        <f ca="1">+C15*Catalogo!$F$19+EV!D15*Catalogo!$F$14+EV!E15*Catalogo!$F$16+EV!F15*Catalogo!$F$18</f>
        <v>107067.17318000001</v>
      </c>
      <c r="J15" s="228">
        <f ca="1">IF(TODAY()&gt;=$A15,SUMIFS(Tabla1[EV],Tabla1[Fecha],"&lt;="&amp;A15,Tabla1[EV],"&gt;0"),NA())</f>
        <v>107067.17318000003</v>
      </c>
      <c r="Y15" s="64"/>
    </row>
    <row r="16" spans="1:31" x14ac:dyDescent="0.25">
      <c r="A16" s="62">
        <f t="shared" si="0"/>
        <v>45976</v>
      </c>
      <c r="B16" s="62"/>
      <c r="C16" s="110">
        <f ca="1">IF(TODAY()&gt;=$A16,SUMIFS(Tabla1[Avance_km],Tabla1[Fecha],"&lt;="&amp;EV!$A16,Tabla1[nombre_actividad],EV!C$1),NA())</f>
        <v>52.429000000000002</v>
      </c>
      <c r="D16" s="110"/>
      <c r="E16" s="110"/>
      <c r="F16" s="67"/>
      <c r="G16" s="67"/>
      <c r="H16" s="110"/>
      <c r="I16" s="228">
        <f ca="1">+C16*Catalogo!$F$19+EV!D16*Catalogo!$F$14+EV!E16*Catalogo!$F$16+EV!F16*Catalogo!$F$18</f>
        <v>118354.27318</v>
      </c>
      <c r="J16" s="228">
        <f ca="1">IF(TODAY()&gt;=$A16,SUMIFS(Tabla1[EV],Tabla1[Fecha],"&lt;="&amp;A16,Tabla1[EV],"&gt;0"),NA())</f>
        <v>118354.27318000003</v>
      </c>
    </row>
    <row r="17" spans="1:25" x14ac:dyDescent="0.25">
      <c r="A17" s="62">
        <f t="shared" si="0"/>
        <v>45977</v>
      </c>
      <c r="B17" s="62"/>
      <c r="C17" s="110">
        <f ca="1">IF(TODAY()&gt;=$A17,SUMIFS(Tabla1[Avance_km],Tabla1[Fecha],"&lt;="&amp;EV!$A17,Tabla1[nombre_actividad],EV!C$1),NA())</f>
        <v>56.429000000000002</v>
      </c>
      <c r="D17" s="110">
        <f ca="1">IF(TODAY()&gt;=$A17,SUMIFS(Tabla1[Avance_km],Tabla1[Fecha],"&lt;="&amp;EV!$A17,Tabla1[nombre_actividad],EV!D$1),NA())</f>
        <v>0</v>
      </c>
      <c r="E17" s="110"/>
      <c r="F17" s="67"/>
      <c r="G17" s="67"/>
      <c r="H17" s="110"/>
      <c r="I17" s="228">
        <f ca="1">+C17*Catalogo!$F$19+EV!D17*Catalogo!$F$14+EV!E17*Catalogo!$F$16+EV!F17*Catalogo!$F$18</f>
        <v>127383.95318000001</v>
      </c>
      <c r="J17" s="228">
        <f ca="1">IF(TODAY()&gt;=$A17,SUMIFS(Tabla1[EV],Tabla1[Fecha],"&lt;="&amp;A17,Tabla1[EV],"&gt;0"),NA())</f>
        <v>127383.95318000004</v>
      </c>
      <c r="Y17" s="64"/>
    </row>
    <row r="18" spans="1:25" x14ac:dyDescent="0.25">
      <c r="A18" s="62">
        <f t="shared" si="0"/>
        <v>45978</v>
      </c>
      <c r="B18" s="62"/>
      <c r="C18" s="110">
        <f ca="1">IF(TODAY()&gt;=$A18,SUMIFS(Tabla1[Avance_km],Tabla1[Fecha],"&lt;="&amp;EV!$A18,Tabla1[nombre_actividad],EV!C$1),NA())</f>
        <v>56.429000000000002</v>
      </c>
      <c r="D18" s="110">
        <f ca="1">IF(TODAY()&gt;=$A18,SUMIFS(Tabla1[Avance_km],Tabla1[Fecha],"&lt;="&amp;EV!$A18,Tabla1[nombre_actividad],EV!D$1),NA())</f>
        <v>5</v>
      </c>
      <c r="E18" s="110"/>
      <c r="F18" s="67"/>
      <c r="G18" s="67"/>
      <c r="H18" s="110"/>
      <c r="I18" s="228">
        <f ca="1">+C18*Catalogo!$F$19+EV!D18*Catalogo!$F$14+EV!E18*Catalogo!$F$16+EV!F18*Catalogo!$F$18</f>
        <v>199991.00318</v>
      </c>
      <c r="J18" s="228">
        <f ca="1">IF(TODAY()&gt;=$A18,SUMIFS(Tabla1[EV],Tabla1[Fecha],"&lt;="&amp;A18,Tabla1[EV],"&gt;0"),NA())</f>
        <v>199991.00318000006</v>
      </c>
      <c r="Y18" s="64"/>
    </row>
    <row r="19" spans="1:25" x14ac:dyDescent="0.25">
      <c r="A19" s="62">
        <f t="shared" si="0"/>
        <v>45979</v>
      </c>
      <c r="B19" s="62"/>
      <c r="C19" s="110">
        <f ca="1">IF(TODAY()&gt;=$A19,SUMIFS(Tabla1[Avance_km],Tabla1[Fecha],"&lt;="&amp;EV!$A19,Tabla1[nombre_actividad],EV!C$1),NA())</f>
        <v>56.429000000000002</v>
      </c>
      <c r="D19" s="110">
        <f ca="1">IF(TODAY()&gt;=$A19,SUMIFS(Tabla1[Avance_km],Tabla1[Fecha],"&lt;="&amp;EV!$A19,Tabla1[nombre_actividad],EV!D$1),NA())</f>
        <v>9</v>
      </c>
      <c r="E19" s="110"/>
      <c r="F19" s="67">
        <f ca="1">IF(TODAY()&gt;=$A19,SUMIFS(Tabla1[Avance_Med],Tabla1[Fecha],"&lt;="&amp;EV!$A19,Tabla1[nombre_actividad],EV!F$1),NA())</f>
        <v>0</v>
      </c>
      <c r="G19" s="67"/>
      <c r="H19" s="110"/>
      <c r="I19" s="228">
        <f ca="1">+C19*Catalogo!$F$19+EV!D19*Catalogo!$F$14+EV!E19*Catalogo!$F$16+EV!F19*Catalogo!$F$18</f>
        <v>258076.64318000001</v>
      </c>
      <c r="J19" s="228">
        <f ca="1">IF(TODAY()&gt;=$A19,SUMIFS(Tabla1[EV],Tabla1[Fecha],"&lt;="&amp;A19,Tabla1[EV],"&gt;0"),NA())</f>
        <v>258076.64318000007</v>
      </c>
    </row>
    <row r="20" spans="1:25" x14ac:dyDescent="0.25">
      <c r="A20" s="62">
        <f t="shared" si="0"/>
        <v>45980</v>
      </c>
      <c r="B20" s="62"/>
      <c r="C20" s="110">
        <f ca="1">IF(TODAY()&gt;=$A20,SUMIFS(Tabla1[Avance_km],Tabla1[Fecha],"&lt;="&amp;EV!$A20,Tabla1[nombre_actividad],EV!C$1),NA())</f>
        <v>59.728999999999999</v>
      </c>
      <c r="D20" s="110">
        <f ca="1">IF(TODAY()&gt;=$A20,SUMIFS(Tabla1[Avance_km],Tabla1[Fecha],"&lt;="&amp;EV!$A20,Tabla1[nombre_actividad],EV!D$1),NA())</f>
        <v>15</v>
      </c>
      <c r="E20" s="110"/>
      <c r="F20" s="67">
        <f ca="1">IF(TODAY()&gt;=$A20,SUMIFS(Tabla1[Avance_Med],Tabla1[Fecha],"&lt;="&amp;EV!$A20,Tabla1[nombre_actividad],EV!F$1),NA())</f>
        <v>9</v>
      </c>
      <c r="G20" s="67"/>
      <c r="H20" s="110"/>
      <c r="I20" s="228">
        <f ca="1">+C20*Catalogo!$F$19+EV!D20*Catalogo!$F$14+EV!E20*Catalogo!$F$16+EV!F20*Catalogo!$F$18</f>
        <v>394576.58918000001</v>
      </c>
      <c r="J20" s="228">
        <f ca="1">IF(TODAY()&gt;=$A20,SUMIFS(Tabla1[EV],Tabla1[Fecha],"&lt;="&amp;A20,Tabla1[EV],"&gt;0"),NA())</f>
        <v>394576.58918000007</v>
      </c>
      <c r="Y20" s="64"/>
    </row>
    <row r="21" spans="1:25" x14ac:dyDescent="0.25">
      <c r="A21" s="62">
        <f t="shared" si="0"/>
        <v>45981</v>
      </c>
      <c r="B21" s="62"/>
      <c r="C21" s="110">
        <f ca="1">IF(TODAY()&gt;=$A21,SUMIFS(Tabla1[Avance_km],Tabla1[Fecha],"&lt;="&amp;EV!$A21,Tabla1[nombre_actividad],EV!C$1),NA())</f>
        <v>66.429000000000002</v>
      </c>
      <c r="D21" s="110">
        <f ca="1">IF(TODAY()&gt;=$A21,SUMIFS(Tabla1[Avance_km],Tabla1[Fecha],"&lt;="&amp;EV!$A21,Tabla1[nombre_actividad],EV!D$1),NA())</f>
        <v>18.5</v>
      </c>
      <c r="E21" s="110"/>
      <c r="F21" s="67">
        <f ca="1">IF(TODAY()&gt;=$A21,SUMIFS(Tabla1[Avance_Med],Tabla1[Fecha],"&lt;="&amp;EV!$A21,Tabla1[nombre_actividad],EV!F$1),NA())</f>
        <v>21</v>
      </c>
      <c r="G21" s="67"/>
      <c r="H21" s="110"/>
      <c r="I21" s="228">
        <f ca="1">+C21*Catalogo!$F$19+EV!D21*Catalogo!$F$14+EV!E21*Catalogo!$F$16+EV!F21*Catalogo!$F$18</f>
        <v>516422.23818000004</v>
      </c>
      <c r="J21" s="228">
        <f ca="1">IF(TODAY()&gt;=$A21,SUMIFS(Tabla1[EV],Tabla1[Fecha],"&lt;="&amp;A21,Tabla1[EV],"&gt;0"),NA())</f>
        <v>516422.23818000004</v>
      </c>
      <c r="Y21" s="64"/>
    </row>
    <row r="22" spans="1:25" x14ac:dyDescent="0.25">
      <c r="A22" s="62">
        <f t="shared" si="0"/>
        <v>45982</v>
      </c>
      <c r="B22" s="62"/>
      <c r="C22" s="110">
        <f ca="1">IF(TODAY()&gt;=$A22,SUMIFS(Tabla1[Avance_km],Tabla1[Fecha],"&lt;="&amp;EV!$A22,Tabla1[nombre_actividad],EV!C$1),NA())</f>
        <v>67.317000000000007</v>
      </c>
      <c r="D22" s="110">
        <f ca="1">IF(TODAY()&gt;=$A22,SUMIFS(Tabla1[Avance_km],Tabla1[Fecha],"&lt;="&amp;EV!$A22,Tabla1[nombre_actividad],EV!D$1),NA())</f>
        <v>24.009</v>
      </c>
      <c r="E22" s="110"/>
      <c r="F22" s="67">
        <f ca="1">IF(TODAY()&gt;=$A22,SUMIFS(Tabla1[Avance_Med],Tabla1[Fecha],"&lt;="&amp;EV!$A22,Tabla1[nombre_actividad],EV!F$1),NA())</f>
        <v>32</v>
      </c>
      <c r="G22" s="67"/>
      <c r="H22" s="110"/>
      <c r="I22" s="228">
        <f ca="1">+C22*Catalogo!$F$19+EV!D22*Catalogo!$F$14+EV!E22*Catalogo!$F$16+EV!F22*Catalogo!$F$18</f>
        <v>649663.27483000001</v>
      </c>
      <c r="J22" s="228">
        <f ca="1">IF(TODAY()&gt;=$A22,SUMIFS(Tabla1[EV],Tabla1[Fecha],"&lt;="&amp;A22,Tabla1[EV],"&gt;0"),NA())</f>
        <v>649785.27549999999</v>
      </c>
    </row>
    <row r="23" spans="1:25" x14ac:dyDescent="0.25">
      <c r="A23" s="62">
        <f t="shared" si="0"/>
        <v>45983</v>
      </c>
      <c r="B23" s="62"/>
      <c r="C23" s="110">
        <f ca="1">IF(TODAY()&gt;=$A23,SUMIFS(Tabla1[Avance_km],Tabla1[Fecha],"&lt;="&amp;EV!$A23,Tabla1[nombre_actividad],EV!C$1),NA())</f>
        <v>68.672000000000011</v>
      </c>
      <c r="D23" s="110">
        <f ca="1">IF(TODAY()&gt;=$A23,SUMIFS(Tabla1[Avance_km],Tabla1[Fecha],"&lt;="&amp;EV!$A23,Tabla1[nombre_actividad],EV!D$1),NA())</f>
        <v>28.509</v>
      </c>
      <c r="E23" s="110"/>
      <c r="F23" s="67">
        <f ca="1">IF(TODAY()&gt;=$A23,SUMIFS(Tabla1[Avance_Med],Tabla1[Fecha],"&lt;="&amp;EV!$A23,Tabla1[nombre_actividad],EV!F$1),NA())</f>
        <v>32</v>
      </c>
      <c r="G23" s="67"/>
      <c r="H23" s="110"/>
      <c r="I23" s="228">
        <f ca="1">+C23*Catalogo!$F$19+EV!D23*Catalogo!$F$14+EV!E23*Catalogo!$F$16+EV!F23*Catalogo!$F$18</f>
        <v>718068.42393000005</v>
      </c>
      <c r="J23" s="228">
        <f ca="1">IF(TODAY()&gt;=$A23,SUMIFS(Tabla1[EV],Tabla1[Fecha],"&lt;="&amp;A23,Tabla1[EV],"&gt;0"),NA())</f>
        <v>718190.42460000003</v>
      </c>
      <c r="Y23" s="64"/>
    </row>
    <row r="24" spans="1:25" x14ac:dyDescent="0.25">
      <c r="A24" s="62">
        <f t="shared" si="0"/>
        <v>45984</v>
      </c>
      <c r="B24" s="62"/>
      <c r="C24" s="110">
        <f ca="1">IF(TODAY()&gt;=$A24,SUMIFS(Tabla1[Avance_km],Tabla1[Fecha],"&lt;="&amp;EV!$A24,Tabla1[nombre_actividad],EV!C$1),NA())</f>
        <v>68.672000000000011</v>
      </c>
      <c r="D24" s="110">
        <f ca="1">IF(TODAY()&gt;=$A24,SUMIFS(Tabla1[Avance_km],Tabla1[Fecha],"&lt;="&amp;EV!$A24,Tabla1[nombre_actividad],EV!D$1),NA())</f>
        <v>31.548999999999999</v>
      </c>
      <c r="E24" s="110">
        <f ca="1">IF(TODAY()&gt;=$A24,SUMIFS(Tabla1[Avance_km],Tabla1[Fecha],"&lt;="&amp;EV!$A24,Tabla1[nombre_actividad],EV!E$1,Tabla1[Avance_km],"&gt;0"),NA())</f>
        <v>8.9999999999999993E-3</v>
      </c>
      <c r="F24" s="67">
        <f ca="1">IF(TODAY()&gt;=$A24,SUMIFS(Tabla1[Avance_Med],Tabla1[Fecha],"&lt;="&amp;EV!$A24,Tabla1[nombre_actividad],EV!F$1),NA())</f>
        <v>32</v>
      </c>
      <c r="G24" s="67"/>
      <c r="H24" s="110"/>
      <c r="I24" s="228">
        <f ca="1">+C24*Catalogo!$F$19+EV!D24*Catalogo!$F$14+EV!E24*Catalogo!$F$16+EV!F24*Catalogo!$F$18</f>
        <v>762335.51099999994</v>
      </c>
      <c r="J24" s="228">
        <f ca="1">IF(TODAY()&gt;=$A24,SUMIFS(Tabla1[EV],Tabla1[Fecha],"&lt;="&amp;A24,Tabla1[EV],"&gt;0"),NA())</f>
        <v>762335.51100000006</v>
      </c>
      <c r="Y24" s="64"/>
    </row>
    <row r="25" spans="1:25" x14ac:dyDescent="0.25">
      <c r="A25" s="62">
        <f t="shared" si="0"/>
        <v>45985</v>
      </c>
      <c r="B25" s="62"/>
      <c r="C25" s="110">
        <f ca="1">IF(TODAY()&gt;=$A25,SUMIFS(Tabla1[Avance_km],Tabla1[Fecha],"&lt;="&amp;EV!$A25,Tabla1[nombre_actividad],EV!C$1),NA())</f>
        <v>72.02200000000002</v>
      </c>
      <c r="D25" s="110">
        <f ca="1">IF(TODAY()&gt;=$A25,SUMIFS(Tabla1[Avance_km],Tabla1[Fecha],"&lt;="&amp;EV!$A25,Tabla1[nombre_actividad],EV!D$1),NA())</f>
        <v>31.548999999999999</v>
      </c>
      <c r="E25" s="110">
        <f ca="1">IF(TODAY()&gt;=$A25,SUMIFS(Tabla1[Avance_km],Tabla1[Fecha],"&lt;="&amp;EV!$A25,Tabla1[nombre_actividad],EV!E$1,Tabla1[Avance_km],"&gt;0"),NA())</f>
        <v>3.0089999999999999</v>
      </c>
      <c r="F25" s="67">
        <f ca="1">IF(TODAY()&gt;=$A25,SUMIFS(Tabla1[Avance_Med],Tabla1[Fecha],"&lt;="&amp;EV!$A25,Tabla1[nombre_actividad],EV!F$1),NA())</f>
        <v>38</v>
      </c>
      <c r="G25" s="67"/>
      <c r="H25" s="110"/>
      <c r="I25" s="228">
        <f ca="1">+C25*Catalogo!$F$19+EV!D25*Catalogo!$F$14+EV!E25*Catalogo!$F$16+EV!F25*Catalogo!$F$18</f>
        <v>838512.75800000003</v>
      </c>
      <c r="J25" s="228">
        <f ca="1">IF(TODAY()&gt;=$A25,SUMIFS(Tabla1[EV],Tabla1[Fecha],"&lt;="&amp;A25,Tabla1[EV],"&gt;0"),NA())</f>
        <v>838512.75800000015</v>
      </c>
    </row>
    <row r="26" spans="1:25" x14ac:dyDescent="0.25">
      <c r="A26" s="62">
        <f t="shared" si="0"/>
        <v>45986</v>
      </c>
      <c r="B26" s="62"/>
      <c r="C26" s="110">
        <f ca="1">IF(TODAY()&gt;=$A26,SUMIFS(Tabla1[Avance_km],Tabla1[Fecha],"&lt;="&amp;EV!$A26,Tabla1[nombre_actividad],EV!C$1),NA())</f>
        <v>72.02200000000002</v>
      </c>
      <c r="D26" s="110">
        <f ca="1">IF(TODAY()&gt;=$A26,SUMIFS(Tabla1[Avance_km],Tabla1[Fecha],"&lt;="&amp;EV!$A26,Tabla1[nombre_actividad],EV!D$1),NA())</f>
        <v>31.548999999999999</v>
      </c>
      <c r="E26" s="110">
        <f ca="1">IF(TODAY()&gt;=$A26,SUMIFS(Tabla1[Avance_km],Tabla1[Fecha],"&lt;="&amp;EV!$A26,Tabla1[nombre_actividad],EV!E$1,Tabla1[Avance_km],"&gt;0"),NA())</f>
        <v>12.009</v>
      </c>
      <c r="F26" s="67">
        <f ca="1">IF(TODAY()&gt;=$A26,SUMIFS(Tabla1[Avance_Med],Tabla1[Fecha],"&lt;="&amp;EV!$A26,Tabla1[nombre_actividad],EV!F$1),NA())</f>
        <v>48</v>
      </c>
      <c r="G26" s="67"/>
      <c r="H26" s="110"/>
      <c r="I26" s="228">
        <f ca="1">+C26*Catalogo!$F$19+EV!D26*Catalogo!$F$14+EV!E26*Catalogo!$F$16+EV!F26*Catalogo!$F$18</f>
        <v>1007093.4280000001</v>
      </c>
      <c r="J26" s="228">
        <f ca="1">IF(TODAY()&gt;=$A26,SUMIFS(Tabla1[EV],Tabla1[Fecha],"&lt;="&amp;A26,Tabla1[EV],"&gt;0"),NA())</f>
        <v>1007093.4280000002</v>
      </c>
    </row>
    <row r="27" spans="1:25" x14ac:dyDescent="0.25">
      <c r="A27" s="62">
        <f t="shared" si="0"/>
        <v>45987</v>
      </c>
      <c r="B27" s="62"/>
      <c r="C27" s="110">
        <f ca="1">IF(TODAY()&gt;=$A27,SUMIFS(Tabla1[Avance_km],Tabla1[Fecha],"&lt;="&amp;EV!$A27,Tabla1[nombre_actividad],EV!C$1),NA())</f>
        <v>72.02200000000002</v>
      </c>
      <c r="D27" s="110">
        <f ca="1">IF(TODAY()&gt;=$A27,SUMIFS(Tabla1[Avance_km],Tabla1[Fecha],"&lt;="&amp;EV!$A27,Tabla1[nombre_actividad],EV!D$1),NA())</f>
        <v>31.548999999999999</v>
      </c>
      <c r="E27" s="110">
        <f ca="1">IF(TODAY()&gt;=$A27,SUMIFS(Tabla1[Avance_km],Tabla1[Fecha],"&lt;="&amp;EV!$A27,Tabla1[nombre_actividad],EV!E$1,Tabla1[Avance_km],"&gt;0"),NA())</f>
        <v>24.009</v>
      </c>
      <c r="F27" s="67">
        <f ca="1">IF(TODAY()&gt;=$A27,SUMIFS(Tabla1[Avance_Med],Tabla1[Fecha],"&lt;="&amp;EV!$A27,Tabla1[nombre_actividad],EV!F$1),NA())</f>
        <v>60</v>
      </c>
      <c r="G27" s="67"/>
      <c r="H27" s="110"/>
      <c r="I27" s="228">
        <f ca="1">+C27*Catalogo!$F$19+EV!D27*Catalogo!$F$14+EV!E27*Catalogo!$F$16+EV!F27*Catalogo!$F$18</f>
        <v>1225656.9879999999</v>
      </c>
      <c r="J27" s="228">
        <f ca="1">IF(TODAY()&gt;=$A27,SUMIFS(Tabla1[EV],Tabla1[Fecha],"&lt;="&amp;A27,Tabla1[EV],"&gt;0"),NA())</f>
        <v>1225656.9880000001</v>
      </c>
    </row>
    <row r="28" spans="1:25" x14ac:dyDescent="0.25">
      <c r="A28" s="62">
        <f t="shared" si="0"/>
        <v>45988</v>
      </c>
      <c r="B28" s="62"/>
      <c r="C28" s="110">
        <f ca="1">IF(TODAY()&gt;=$A28,SUMIFS(Tabla1[Avance_km],Tabla1[Fecha],"&lt;="&amp;EV!$A28,Tabla1[nombre_actividad],EV!C$1),NA())</f>
        <v>72.02200000000002</v>
      </c>
      <c r="D28" s="110">
        <f ca="1">IF(TODAY()&gt;=$A28,SUMIFS(Tabla1[Avance_km],Tabla1[Fecha],"&lt;="&amp;EV!$A28,Tabla1[nombre_actividad],EV!D$1),NA())</f>
        <v>31.548999999999999</v>
      </c>
      <c r="E28" s="110">
        <f ca="1">IF(TODAY()&gt;=$A28,SUMIFS(Tabla1[Avance_km],Tabla1[Fecha],"&lt;="&amp;EV!$A28,Tabla1[nombre_actividad],EV!E$1,Tabla1[Avance_km],"&gt;0"),NA())</f>
        <v>31.548999999999999</v>
      </c>
      <c r="F28" s="67">
        <f ca="1">IF(TODAY()&gt;=$A28,SUMIFS(Tabla1[Avance_Med],Tabla1[Fecha],"&lt;="&amp;EV!$A28,Tabla1[nombre_actividad],EV!F$1),NA())</f>
        <v>66</v>
      </c>
      <c r="G28" s="67"/>
      <c r="H28" s="110"/>
      <c r="I28" s="228">
        <f ca="1">+C28*Catalogo!$F$19+EV!D28*Catalogo!$F$14+EV!E28*Catalogo!$F$16+EV!F28*Catalogo!$F$18</f>
        <v>1355814.4382</v>
      </c>
      <c r="J28" s="228">
        <f ca="1">IF(TODAY()&gt;=$A28,SUMIFS(Tabla1[EV],Tabla1[Fecha],"&lt;="&amp;A28,Tabla1[EV],"&gt;0"),NA())</f>
        <v>1355814.4382000002</v>
      </c>
    </row>
    <row r="29" spans="1:25" x14ac:dyDescent="0.25">
      <c r="A29" s="62">
        <f t="shared" si="0"/>
        <v>45989</v>
      </c>
      <c r="B29" s="62"/>
      <c r="C29" s="110">
        <f ca="1">IF(TODAY()&gt;=$A29,SUMIFS(Tabla1[Avance_km],Tabla1[Fecha],"&lt;="&amp;EV!$A29,Tabla1[nombre_actividad],EV!C$1),NA())</f>
        <v>72.02200000000002</v>
      </c>
      <c r="D29" s="110">
        <f ca="1">IF(TODAY()&gt;=$A29,SUMIFS(Tabla1[Avance_km],Tabla1[Fecha],"&lt;="&amp;EV!$A29,Tabla1[nombre_actividad],EV!D$1),NA())</f>
        <v>31.548999999999999</v>
      </c>
      <c r="E29" s="110">
        <f ca="1">IF(TODAY()&gt;=$A29,SUMIFS(Tabla1[Avance_km],Tabla1[Fecha],"&lt;="&amp;EV!$A29,Tabla1[nombre_actividad],EV!E$1,Tabla1[Avance_km],"&gt;0"),NA())</f>
        <v>41.548999999999999</v>
      </c>
      <c r="F29" s="67">
        <f ca="1">IF(TODAY()&gt;=$A29,SUMIFS(Tabla1[Avance_Med],Tabla1[Fecha],"&lt;="&amp;EV!$A29,Tabla1[nombre_actividad],EV!F$1),NA())</f>
        <v>86</v>
      </c>
      <c r="G29" s="67"/>
      <c r="H29" s="110"/>
      <c r="I29" s="228">
        <f ca="1">+C29*Catalogo!$F$19+EV!D29*Catalogo!$F$14+EV!E29*Catalogo!$F$16+EV!F29*Catalogo!$F$18</f>
        <v>1584530.7382</v>
      </c>
      <c r="J29" s="228">
        <f ca="1">IF(TODAY()&gt;=$A29,SUMIFS(Tabla1[EV],Tabla1[Fecha],"&lt;="&amp;A29,Tabla1[EV],"&gt;0"),NA())</f>
        <v>1584530.7382</v>
      </c>
    </row>
    <row r="30" spans="1:25" x14ac:dyDescent="0.25">
      <c r="A30" s="62">
        <f t="shared" si="0"/>
        <v>45990</v>
      </c>
      <c r="B30" s="62"/>
      <c r="C30" s="110">
        <f ca="1">IF(TODAY()&gt;=$A30,SUMIFS(Tabla1[Avance_km],Tabla1[Fecha],"&lt;="&amp;EV!$A30,Tabla1[nombre_actividad],EV!C$1),NA())</f>
        <v>72.02200000000002</v>
      </c>
      <c r="D30" s="110">
        <f ca="1">IF(TODAY()&gt;=$A30,SUMIFS(Tabla1[Avance_km],Tabla1[Fecha],"&lt;="&amp;EV!$A30,Tabla1[nombre_actividad],EV!D$1),NA())</f>
        <v>31.548999999999999</v>
      </c>
      <c r="E30" s="110">
        <f ca="1">IF(TODAY()&gt;=$A30,SUMIFS(Tabla1[Avance_km],Tabla1[Fecha],"&lt;="&amp;EV!$A30,Tabla1[nombre_actividad],EV!E$1,Tabla1[Avance_km],"&gt;0"),NA())</f>
        <v>53.048999999999999</v>
      </c>
      <c r="F30" s="67">
        <f ca="1">IF(TODAY()&gt;=$A30,SUMIFS(Tabla1[Avance_Med],Tabla1[Fecha],"&lt;="&amp;EV!$A30,Tabla1[nombre_actividad],EV!F$1),NA())</f>
        <v>98</v>
      </c>
      <c r="G30" s="67"/>
      <c r="H30" s="110"/>
      <c r="I30" s="228">
        <f ca="1">+C30*Catalogo!$F$19+EV!D30*Catalogo!$F$14+EV!E30*Catalogo!$F$16+EV!F30*Catalogo!$F$18</f>
        <v>1796316.4832000001</v>
      </c>
      <c r="J30" s="228">
        <f ca="1">IF(TODAY()&gt;=$A30,SUMIFS(Tabla1[EV],Tabla1[Fecha],"&lt;="&amp;A30,Tabla1[EV],"&gt;0"),NA())</f>
        <v>1796316.4831999999</v>
      </c>
    </row>
    <row r="31" spans="1:25" x14ac:dyDescent="0.25">
      <c r="A31" s="62">
        <f t="shared" si="0"/>
        <v>45991</v>
      </c>
      <c r="B31" s="62"/>
      <c r="C31" s="110">
        <f ca="1">IF(TODAY()&gt;=$A31,SUMIFS(Tabla1[Avance_km],Tabla1[Fecha],"&lt;="&amp;EV!$A31,Tabla1[nombre_actividad],EV!C$1),NA())</f>
        <v>72.02200000000002</v>
      </c>
      <c r="D31" s="110">
        <f ca="1">IF(TODAY()&gt;=$A31,SUMIFS(Tabla1[Avance_km],Tabla1[Fecha],"&lt;="&amp;EV!$A31,Tabla1[nombre_actividad],EV!D$1),NA())</f>
        <v>31.548999999999999</v>
      </c>
      <c r="E31" s="110">
        <f ca="1">IF(TODAY()&gt;=$A31,SUMIFS(Tabla1[Avance_km],Tabla1[Fecha],"&lt;="&amp;EV!$A31,Tabla1[nombre_actividad],EV!E$1,Tabla1[Avance_km],"&gt;0"),NA())</f>
        <v>53.048999999999999</v>
      </c>
      <c r="F31" s="67">
        <f ca="1">IF(TODAY()&gt;=$A31,SUMIFS(Tabla1[Avance_Med],Tabla1[Fecha],"&lt;="&amp;EV!$A31,Tabla1[nombre_actividad],EV!F$1),NA())</f>
        <v>98</v>
      </c>
      <c r="G31" s="67"/>
      <c r="H31" s="110"/>
      <c r="I31" s="228">
        <f ca="1">+C31*Catalogo!$F$19+EV!D31*Catalogo!$F$14+EV!E31*Catalogo!$F$16+EV!F31*Catalogo!$F$18</f>
        <v>1796316.4832000001</v>
      </c>
      <c r="J31" s="228">
        <f ca="1">IF(TODAY()&gt;=$A31,SUMIFS(Tabla1[EV],Tabla1[Fecha],"&lt;="&amp;A31,Tabla1[EV],"&gt;0"),NA())</f>
        <v>1796316.4831999999</v>
      </c>
    </row>
    <row r="32" spans="1:25" x14ac:dyDescent="0.25">
      <c r="A32" s="62">
        <f t="shared" si="0"/>
        <v>45992</v>
      </c>
      <c r="B32" s="62"/>
      <c r="C32" s="110">
        <f ca="1">IF(TODAY()&gt;=$A32,SUMIFS(Tabla1[Avance_km],Tabla1[Fecha],"&lt;="&amp;EV!$A32,Tabla1[nombre_actividad],EV!C$1),NA())</f>
        <v>72.042000000000016</v>
      </c>
      <c r="D32" s="110">
        <f ca="1">IF(TODAY()&gt;=$A32,SUMIFS(Tabla1[Avance_km],Tabla1[Fecha],"&lt;="&amp;EV!$A32,Tabla1[nombre_actividad],EV!D$1),NA())</f>
        <v>31.548999999999999</v>
      </c>
      <c r="E32" s="110">
        <f ca="1">IF(TODAY()&gt;=$A32,SUMIFS(Tabla1[Avance_km],Tabla1[Fecha],"&lt;="&amp;EV!$A32,Tabla1[nombre_actividad],EV!E$1,Tabla1[Avance_km],"&gt;0"),NA())</f>
        <v>63.25</v>
      </c>
      <c r="F32" s="67">
        <f ca="1">IF(TODAY()&gt;=$A32,SUMIFS(Tabla1[Avance_Med],Tabla1[Fecha],"&lt;="&amp;EV!$A32,Tabla1[nombre_actividad],EV!F$1),NA())</f>
        <v>116</v>
      </c>
      <c r="G32" s="67"/>
      <c r="H32" s="110"/>
      <c r="I32" s="228">
        <f ca="1">+C32*Catalogo!$F$19+EV!D32*Catalogo!$F$14+EV!E32*Catalogo!$F$16+EV!F32*Catalogo!$F$18</f>
        <v>2018486.6132299998</v>
      </c>
      <c r="J32" s="228">
        <f ca="1">IF(TODAY()&gt;=$A32,SUMIFS(Tabla1[EV],Tabla1[Fecha],"&lt;="&amp;A32,Tabla1[EV],"&gt;0"),NA())</f>
        <v>2018486.61323</v>
      </c>
    </row>
    <row r="33" spans="1:29" x14ac:dyDescent="0.25">
      <c r="A33" s="62">
        <f t="shared" si="0"/>
        <v>45993</v>
      </c>
      <c r="B33" s="62"/>
      <c r="C33" s="110">
        <f ca="1">IF(TODAY()&gt;=$A33,SUMIFS(Tabla1[Avance_km],Tabla1[Fecha],"&lt;="&amp;EV!$A33,Tabla1[nombre_actividad],EV!C$1),NA())</f>
        <v>72.535000000000011</v>
      </c>
      <c r="D33" s="110">
        <f ca="1">IF(TODAY()&gt;=$A33,SUMIFS(Tabla1[Avance_km],Tabla1[Fecha],"&lt;="&amp;EV!$A33,Tabla1[nombre_actividad],EV!D$1),NA())</f>
        <v>31.548999999999999</v>
      </c>
      <c r="E33" s="110">
        <f ca="1">IF(TODAY()&gt;=$A33,SUMIFS(Tabla1[Avance_km],Tabla1[Fecha],"&lt;="&amp;EV!$A33,Tabla1[nombre_actividad],EV!E$1,Tabla1[Avance_km],"&gt;0"),NA())</f>
        <v>71.021000000000015</v>
      </c>
      <c r="F33" s="67">
        <f ca="1">IF(TODAY()&gt;=$A33,SUMIFS(Tabla1[Avance_Med],Tabla1[Fecha],"&lt;="&amp;EV!$A33,Tabla1[nombre_actividad],EV!F$1),NA())</f>
        <v>128</v>
      </c>
      <c r="G33" s="67"/>
      <c r="H33" s="110"/>
      <c r="I33" s="228">
        <f ca="1">+C33*Catalogo!$F$19+EV!D33*Catalogo!$F$14+EV!E33*Catalogo!$F$16+EV!F33*Catalogo!$F$18</f>
        <v>2180836.3220200003</v>
      </c>
      <c r="J33" s="228">
        <f ca="1">IF(TODAY()&gt;=$A33,SUMIFS(Tabla1[EV],Tabla1[Fecha],"&lt;="&amp;A33,Tabla1[EV],"&gt;0"),NA())</f>
        <v>2180836.3220199994</v>
      </c>
    </row>
    <row r="34" spans="1:29" x14ac:dyDescent="0.25">
      <c r="A34" s="62">
        <f t="shared" si="0"/>
        <v>45994</v>
      </c>
      <c r="B34" s="62"/>
      <c r="C34" s="110">
        <f ca="1">IF(TODAY()&gt;=$A34,SUMIFS(Tabla1[Avance_km],Tabla1[Fecha],"&lt;="&amp;EV!$A34,Tabla1[nombre_actividad],EV!C$1),NA())</f>
        <v>73.64400000000002</v>
      </c>
      <c r="D34" s="110">
        <f ca="1">IF(TODAY()&gt;=$A34,SUMIFS(Tabla1[Avance_km],Tabla1[Fecha],"&lt;="&amp;EV!$A34,Tabla1[nombre_actividad],EV!D$1),NA())</f>
        <v>31.548999999999999</v>
      </c>
      <c r="E34" s="110">
        <f ca="1">IF(TODAY()&gt;=$A34,SUMIFS(Tabla1[Avance_km],Tabla1[Fecha],"&lt;="&amp;EV!$A34,Tabla1[nombre_actividad],EV!E$1,Tabla1[Avance_km],"&gt;0"),NA())</f>
        <v>73.644000000000034</v>
      </c>
      <c r="F34" s="67">
        <f ca="1">IF(TODAY()&gt;=$A34,SUMIFS(Tabla1[Avance_Med],Tabla1[Fecha],"&lt;="&amp;EV!$A34,Tabla1[nombre_actividad],EV!F$1),NA())</f>
        <v>138</v>
      </c>
      <c r="G34" s="67"/>
      <c r="H34" s="110"/>
      <c r="I34" s="228">
        <f ca="1">+C34*Catalogo!$F$19+EV!D34*Catalogo!$F$14+EV!E34*Catalogo!$F$16+EV!F34*Catalogo!$F$18</f>
        <v>2265476.2182900002</v>
      </c>
      <c r="J34" s="228">
        <f ca="1">IF(TODAY()&gt;=$A34,SUMIFS(Tabla1[EV],Tabla1[Fecha],"&lt;="&amp;A34,Tabla1[EV],"&gt;0"),NA())</f>
        <v>2265476.2182899988</v>
      </c>
    </row>
    <row r="35" spans="1:29" x14ac:dyDescent="0.25">
      <c r="A35" s="62">
        <f t="shared" si="0"/>
        <v>45995</v>
      </c>
      <c r="B35" s="62"/>
      <c r="C35" s="110">
        <f ca="1">IF(TODAY()&gt;=$A35,SUMIFS(Tabla1[Avance_km],Tabla1[Fecha],"&lt;="&amp;EV!$A35,Tabla1[nombre_actividad],EV!C$1),NA())</f>
        <v>77.136000000000038</v>
      </c>
      <c r="D35" s="110">
        <f ca="1">IF(TODAY()&gt;=$A35,SUMIFS(Tabla1[Avance_km],Tabla1[Fecha],"&lt;="&amp;EV!$A35,Tabla1[nombre_actividad],EV!D$1),NA())</f>
        <v>31.548999999999999</v>
      </c>
      <c r="E35" s="110">
        <f ca="1">IF(TODAY()&gt;=$A35,SUMIFS(Tabla1[Avance_km],Tabla1[Fecha],"&lt;="&amp;EV!$A35,Tabla1[nombre_actividad],EV!E$1,Tabla1[Avance_km],"&gt;0"),NA())</f>
        <v>74.136000000000053</v>
      </c>
      <c r="F35" s="67">
        <f ca="1">IF(TODAY()&gt;=$A35,SUMIFS(Tabla1[Avance_Med],Tabla1[Fecha],"&lt;="&amp;EV!$A35,Tabla1[nombre_actividad],EV!F$1),NA())</f>
        <v>157</v>
      </c>
      <c r="G35" s="67"/>
      <c r="H35" s="110"/>
      <c r="I35" s="228">
        <f ca="1">+C35*Catalogo!$F$19+EV!D35*Catalogo!$F$14+EV!E35*Catalogo!$F$16+EV!F35*Catalogo!$F$18</f>
        <v>2368530.4988900009</v>
      </c>
      <c r="J35" s="228">
        <f ca="1">IF(TODAY()&gt;=$A35,SUMIFS(Tabla1[EV],Tabla1[Fecha],"&lt;="&amp;A35,Tabla1[EV],"&gt;0"),NA())</f>
        <v>2368530.4988899995</v>
      </c>
      <c r="L35" s="34" t="s">
        <v>78</v>
      </c>
      <c r="M35" s="63">
        <f ca="1">+_xlfn.XLOOKUP(TODAY(),A:A,C:C)</f>
        <v>181.88549999999998</v>
      </c>
      <c r="N35" s="61" t="s">
        <v>175</v>
      </c>
      <c r="O35" s="74">
        <f ca="1">+$M$35*Catalogo!F19</f>
        <v>410591.96540999995</v>
      </c>
      <c r="P35" s="109">
        <f ca="1">+$M$42-M35*1000</f>
        <v>-82044.499999999956</v>
      </c>
      <c r="Q35" s="74">
        <f ca="1">+$M$35*Catalogo!J19</f>
        <v>291016.8</v>
      </c>
      <c r="R35" s="117"/>
      <c r="S35"/>
      <c r="T35" s="113"/>
      <c r="U35"/>
      <c r="V35"/>
      <c r="W35"/>
      <c r="X35"/>
      <c r="Y35"/>
      <c r="Z35"/>
      <c r="AA35"/>
      <c r="AB35"/>
      <c r="AC35" s="435">
        <f ca="1">+_xlfn.XLOOKUP(TODAY(),A:A,J:J)</f>
        <v>11234064.702299984</v>
      </c>
    </row>
    <row r="36" spans="1:29" x14ac:dyDescent="0.25">
      <c r="A36" s="62">
        <f t="shared" si="0"/>
        <v>45996</v>
      </c>
      <c r="B36" s="62"/>
      <c r="C36" s="110">
        <f ca="1">IF(TODAY()&gt;=$A36,SUMIFS(Tabla1[Avance_km],Tabla1[Fecha],"&lt;="&amp;EV!$A36,Tabla1[nombre_actividad],EV!C$1),NA())</f>
        <v>83.786000000000044</v>
      </c>
      <c r="D36" s="110">
        <f ca="1">IF(TODAY()&gt;=$A36,SUMIFS(Tabla1[Avance_km],Tabla1[Fecha],"&lt;="&amp;EV!$A36,Tabla1[nombre_actividad],EV!D$1),NA())</f>
        <v>31.548999999999999</v>
      </c>
      <c r="E36" s="110">
        <f ca="1">IF(TODAY()&gt;=$A36,SUMIFS(Tabla1[Avance_km],Tabla1[Fecha],"&lt;="&amp;EV!$A36,Tabla1[nombre_actividad],EV!E$1,Tabla1[Avance_km],"&gt;0"),NA())</f>
        <v>74.136000000000053</v>
      </c>
      <c r="F36" s="67">
        <f ca="1">IF(TODAY()&gt;=$A36,SUMIFS(Tabla1[Avance_Med],Tabla1[Fecha],"&lt;="&amp;EV!$A36,Tabla1[nombre_actividad],EV!F$1),NA())</f>
        <v>171</v>
      </c>
      <c r="G36" s="67"/>
      <c r="H36" s="110"/>
      <c r="I36" s="228">
        <f ca="1">+C36*Catalogo!$F$19+EV!D36*Catalogo!$F$14+EV!E36*Catalogo!$F$16+EV!F36*Catalogo!$F$18</f>
        <v>2448754.3418900007</v>
      </c>
      <c r="J36" s="228">
        <f ca="1">IF(TODAY()&gt;=$A36,SUMIFS(Tabla1[EV],Tabla1[Fecha],"&lt;="&amp;A36,Tabla1[EV],"&gt;0"),NA())</f>
        <v>2448754.3418899993</v>
      </c>
      <c r="L36" s="34" t="s">
        <v>79</v>
      </c>
      <c r="M36" s="63">
        <f ca="1">+_xlfn.XLOOKUP(TODAY(),A:A,D:D)</f>
        <v>181.92549999999989</v>
      </c>
      <c r="N36" s="61" t="s">
        <v>175</v>
      </c>
      <c r="O36" s="74">
        <f ca="1">+$M$36*Catalogo!F14</f>
        <v>2641814.7749549984</v>
      </c>
      <c r="P36" s="109">
        <f ca="1">+$M$42-M36*1000</f>
        <v>-82084.499999999869</v>
      </c>
      <c r="Q36" s="74">
        <f ca="1">+$M$36*Catalogo!J14</f>
        <v>1419018.8999999992</v>
      </c>
      <c r="R36" s="117"/>
      <c r="S36"/>
      <c r="T36"/>
      <c r="U36"/>
      <c r="V36"/>
      <c r="W36"/>
      <c r="X36"/>
      <c r="Y36" s="117"/>
      <c r="Z36"/>
      <c r="AA36"/>
      <c r="AB36"/>
      <c r="AC36"/>
    </row>
    <row r="37" spans="1:29" x14ac:dyDescent="0.25">
      <c r="A37" s="62">
        <f t="shared" si="0"/>
        <v>45997</v>
      </c>
      <c r="B37" s="62"/>
      <c r="C37" s="110">
        <f ca="1">IF(TODAY()&gt;=$A37,SUMIFS(Tabla1[Avance_km],Tabla1[Fecha],"&lt;="&amp;EV!$A37,Tabla1[nombre_actividad],EV!C$1),NA())</f>
        <v>83.799000000000035</v>
      </c>
      <c r="D37" s="110">
        <f ca="1">IF(TODAY()&gt;=$A37,SUMIFS(Tabla1[Avance_km],Tabla1[Fecha],"&lt;="&amp;EV!$A37,Tabla1[nombre_actividad],EV!D$1),NA())</f>
        <v>31.548999999999999</v>
      </c>
      <c r="E37" s="110">
        <f ca="1">IF(TODAY()&gt;=$A37,SUMIFS(Tabla1[Avance_km],Tabla1[Fecha],"&lt;="&amp;EV!$A37,Tabla1[nombre_actividad],EV!E$1,Tabla1[Avance_km],"&gt;0"),NA())</f>
        <v>74.149000000000044</v>
      </c>
      <c r="F37" s="67">
        <f ca="1">IF(TODAY()&gt;=$A37,SUMIFS(Tabla1[Avance_Med],Tabla1[Fecha],"&lt;="&amp;EV!$A37,Tabla1[nombre_actividad],EV!F$1),NA())</f>
        <v>178</v>
      </c>
      <c r="G37" s="67"/>
      <c r="H37" s="110"/>
      <c r="I37" s="228">
        <f ca="1">+C37*Catalogo!$F$19+EV!D37*Catalogo!$F$14+EV!E37*Catalogo!$F$16+EV!F37*Catalogo!$F$18</f>
        <v>2481565.9115400007</v>
      </c>
      <c r="J37" s="228">
        <f ca="1">IF(TODAY()&gt;=$A37,SUMIFS(Tabla1[EV],Tabla1[Fecha],"&lt;="&amp;A37,Tabla1[EV],"&gt;0"),NA())</f>
        <v>2481565.9115399993</v>
      </c>
      <c r="L37" s="34" t="s">
        <v>80</v>
      </c>
      <c r="M37" s="63">
        <f ca="1">+_xlfn.XLOOKUP(TODAY(),A:A,E:E)</f>
        <v>150.32450000000006</v>
      </c>
      <c r="N37" s="61" t="s">
        <v>175</v>
      </c>
      <c r="O37" s="74">
        <f ca="1">+$M$37*Catalogo!F16</f>
        <v>2037743.3019350006</v>
      </c>
      <c r="P37" s="109">
        <f t="shared" ref="P37" ca="1" si="1">+$M$42-M37*1000</f>
        <v>-50483.500000000044</v>
      </c>
      <c r="Q37" s="74">
        <f ca="1">+$M$37*Catalogo!J16</f>
        <v>1232660.9000000004</v>
      </c>
      <c r="R37" s="117"/>
      <c r="S37"/>
      <c r="T37"/>
      <c r="U37"/>
      <c r="V37"/>
      <c r="W37"/>
      <c r="X37"/>
      <c r="Y37"/>
      <c r="Z37"/>
      <c r="AA37"/>
      <c r="AB37"/>
      <c r="AC37"/>
    </row>
    <row r="38" spans="1:29" x14ac:dyDescent="0.25">
      <c r="A38" s="62">
        <f t="shared" si="0"/>
        <v>45998</v>
      </c>
      <c r="B38" s="62"/>
      <c r="C38" s="110">
        <f ca="1">IF(TODAY()&gt;=$A38,SUMIFS(Tabla1[Avance_km],Tabla1[Fecha],"&lt;="&amp;EV!$A38,Tabla1[nombre_actividad],EV!C$1),NA())</f>
        <v>83.799000000000035</v>
      </c>
      <c r="D38" s="110">
        <f ca="1">IF(TODAY()&gt;=$A38,SUMIFS(Tabla1[Avance_km],Tabla1[Fecha],"&lt;="&amp;EV!$A38,Tabla1[nombre_actividad],EV!D$1),NA())</f>
        <v>31.548999999999999</v>
      </c>
      <c r="E38" s="110">
        <f ca="1">IF(TODAY()&gt;=$A38,SUMIFS(Tabla1[Avance_km],Tabla1[Fecha],"&lt;="&amp;EV!$A38,Tabla1[nombre_actividad],EV!E$1,Tabla1[Avance_km],"&gt;0"),NA())</f>
        <v>74.149000000000044</v>
      </c>
      <c r="F38" s="67">
        <f ca="1">IF(TODAY()&gt;=$A38,SUMIFS(Tabla1[Avance_Med],Tabla1[Fecha],"&lt;="&amp;EV!$A38,Tabla1[nombre_actividad],EV!F$1),NA())</f>
        <v>178</v>
      </c>
      <c r="G38" s="67"/>
      <c r="H38" s="110"/>
      <c r="I38" s="228">
        <f ca="1">+C38*Catalogo!$F$19+EV!D38*Catalogo!$F$14+EV!E38*Catalogo!$F$16+EV!F38*Catalogo!$F$18</f>
        <v>2481565.9115400007</v>
      </c>
      <c r="J38" s="228">
        <f ca="1">IF(TODAY()&gt;=$A38,SUMIFS(Tabla1[EV],Tabla1[Fecha],"&lt;="&amp;A38,Tabla1[EV],"&gt;0"),NA())</f>
        <v>2481565.9115399993</v>
      </c>
      <c r="L38" s="34" t="s">
        <v>81</v>
      </c>
      <c r="M38" s="67">
        <f ca="1">+_xlfn.XLOOKUP(TODAY(),A:A,F:F)</f>
        <v>396</v>
      </c>
      <c r="N38" s="61" t="s">
        <v>176</v>
      </c>
      <c r="O38" s="74">
        <f ca="1">+$M$38*Catalogo!F18</f>
        <v>1844568</v>
      </c>
      <c r="P38" s="112">
        <f ca="1">O52-M38</f>
        <v>-396</v>
      </c>
      <c r="Q38" s="74">
        <v>0</v>
      </c>
      <c r="R38" s="117"/>
      <c r="S38"/>
      <c r="T38"/>
      <c r="U38"/>
      <c r="V38"/>
      <c r="W38" s="111"/>
      <c r="X38" s="111"/>
      <c r="Y38"/>
      <c r="Z38"/>
      <c r="AA38"/>
      <c r="AB38" s="111"/>
      <c r="AC38"/>
    </row>
    <row r="39" spans="1:29" x14ac:dyDescent="0.25">
      <c r="A39" s="62">
        <f t="shared" si="0"/>
        <v>45999</v>
      </c>
      <c r="B39" s="62"/>
      <c r="C39" s="110">
        <f ca="1">IF(TODAY()&gt;=$A39,SUMIFS(Tabla1[Avance_km],Tabla1[Fecha],"&lt;="&amp;EV!$A39,Tabla1[nombre_actividad],EV!C$1),NA())</f>
        <v>84.593000000000032</v>
      </c>
      <c r="D39" s="110">
        <f ca="1">IF(TODAY()&gt;=$A39,SUMIFS(Tabla1[Avance_km],Tabla1[Fecha],"&lt;="&amp;EV!$A39,Tabla1[nombre_actividad],EV!D$1),NA())</f>
        <v>31.548999999999999</v>
      </c>
      <c r="E39" s="110">
        <f ca="1">IF(TODAY()&gt;=$A39,SUMIFS(Tabla1[Avance_km],Tabla1[Fecha],"&lt;="&amp;EV!$A39,Tabla1[nombre_actividad],EV!E$1,Tabla1[Avance_km],"&gt;0"),NA())</f>
        <v>74.149000000000044</v>
      </c>
      <c r="F39" s="67">
        <f ca="1">IF(TODAY()&gt;=$A39,SUMIFS(Tabla1[Avance_Med],Tabla1[Fecha],"&lt;="&amp;EV!$A39,Tabla1[nombre_actividad],EV!F$1),NA())</f>
        <v>192</v>
      </c>
      <c r="G39" s="67"/>
      <c r="H39" s="110"/>
      <c r="I39" s="228">
        <f ca="1">+C39*Catalogo!$F$19+EV!D39*Catalogo!$F$14+EV!E39*Catalogo!$F$16+EV!F39*Catalogo!$F$18</f>
        <v>2548570.3030200005</v>
      </c>
      <c r="J39" s="228">
        <f ca="1">IF(TODAY()&gt;=$A39,SUMIFS(Tabla1[EV],Tabla1[Fecha],"&lt;="&amp;A39,Tabla1[EV],"&gt;0"),NA())</f>
        <v>2548570.3030199995</v>
      </c>
      <c r="L39" s="34" t="s">
        <v>82</v>
      </c>
      <c r="M39" s="63">
        <f ca="1">+_xlfn.XLOOKUP(TODAY(),A:A,G:G)</f>
        <v>0</v>
      </c>
      <c r="N39" s="61" t="s">
        <v>175</v>
      </c>
      <c r="O39" s="74"/>
      <c r="Q39" s="74"/>
      <c r="R39" s="117"/>
      <c r="S39"/>
      <c r="T39"/>
      <c r="U39"/>
      <c r="V39"/>
      <c r="W39"/>
      <c r="X39"/>
      <c r="Y39"/>
      <c r="Z39"/>
      <c r="AA39"/>
      <c r="AB39"/>
      <c r="AC39"/>
    </row>
    <row r="40" spans="1:29" x14ac:dyDescent="0.25">
      <c r="A40" s="62">
        <f t="shared" si="0"/>
        <v>46000</v>
      </c>
      <c r="B40" s="62"/>
      <c r="C40" s="110">
        <f ca="1">IF(TODAY()&gt;=$A40,SUMIFS(Tabla1[Avance_km],Tabla1[Fecha],"&lt;="&amp;EV!$A40,Tabla1[nombre_actividad],EV!C$1),NA())</f>
        <v>84.593000000000032</v>
      </c>
      <c r="D40" s="110">
        <f ca="1">IF(TODAY()&gt;=$A40,SUMIFS(Tabla1[Avance_km],Tabla1[Fecha],"&lt;="&amp;EV!$A40,Tabla1[nombre_actividad],EV!D$1),NA())</f>
        <v>35.848999999999997</v>
      </c>
      <c r="E40" s="110">
        <f ca="1">IF(TODAY()&gt;=$A40,SUMIFS(Tabla1[Avance_km],Tabla1[Fecha],"&lt;="&amp;EV!$A40,Tabla1[nombre_actividad],EV!E$1,Tabla1[Avance_km],"&gt;0"),NA())</f>
        <v>74.149000000000044</v>
      </c>
      <c r="F40" s="67">
        <f ca="1">IF(TODAY()&gt;=$A40,SUMIFS(Tabla1[Avance_Med],Tabla1[Fecha],"&lt;="&amp;EV!$A40,Tabla1[nombre_actividad],EV!F$1),NA())</f>
        <v>210</v>
      </c>
      <c r="G40" s="67"/>
      <c r="H40" s="110"/>
      <c r="I40" s="228">
        <f ca="1">+C40*Catalogo!$F$19+EV!D40*Catalogo!$F$14+EV!E40*Catalogo!$F$16+EV!F40*Catalogo!$F$18</f>
        <v>2694856.3660200005</v>
      </c>
      <c r="J40" s="228">
        <f ca="1">IF(TODAY()&gt;=$A40,SUMIFS(Tabla1[EV],Tabla1[Fecha],"&lt;="&amp;A40,Tabla1[EV],"&gt;0"),NA())</f>
        <v>2694856.3660199996</v>
      </c>
      <c r="L40" s="34" t="s">
        <v>83</v>
      </c>
      <c r="M40" s="63">
        <f ca="1">+_xlfn.XLOOKUP(TODAY(),A:A,H:H)</f>
        <v>118.7916792004837</v>
      </c>
      <c r="N40" s="61" t="s">
        <v>175</v>
      </c>
      <c r="O40" s="74"/>
      <c r="Q40" s="74"/>
      <c r="R40" s="117"/>
      <c r="S40"/>
      <c r="T40"/>
      <c r="U40"/>
      <c r="V40"/>
      <c r="W40"/>
      <c r="X40"/>
      <c r="Y40"/>
      <c r="Z40"/>
      <c r="AA40"/>
      <c r="AB40"/>
      <c r="AC40"/>
    </row>
    <row r="41" spans="1:29" x14ac:dyDescent="0.25">
      <c r="A41" s="62">
        <f t="shared" si="0"/>
        <v>46001</v>
      </c>
      <c r="B41" s="62"/>
      <c r="C41" s="110">
        <f ca="1">IF(TODAY()&gt;=$A41,SUMIFS(Tabla1[Avance_km],Tabla1[Fecha],"&lt;="&amp;EV!$A41,Tabla1[nombre_actividad],EV!C$1),NA())</f>
        <v>84.593000000000032</v>
      </c>
      <c r="D41" s="110">
        <f ca="1">IF(TODAY()&gt;=$A41,SUMIFS(Tabla1[Avance_km],Tabla1[Fecha],"&lt;="&amp;EV!$A41,Tabla1[nombre_actividad],EV!D$1),NA())</f>
        <v>40.148999999999994</v>
      </c>
      <c r="E41" s="110">
        <f ca="1">IF(TODAY()&gt;=$A41,SUMIFS(Tabla1[Avance_km],Tabla1[Fecha],"&lt;="&amp;EV!$A41,Tabla1[nombre_actividad],EV!E$1,Tabla1[Avance_km],"&gt;0"),NA())</f>
        <v>74.149000000000044</v>
      </c>
      <c r="F41" s="67">
        <f ca="1">IF(TODAY()&gt;=$A41,SUMIFS(Tabla1[Avance_Med],Tabla1[Fecha],"&lt;="&amp;EV!$A41,Tabla1[nombre_actividad],EV!F$1),NA())</f>
        <v>228</v>
      </c>
      <c r="G41" s="67"/>
      <c r="H41" s="110"/>
      <c r="I41" s="228">
        <f ca="1">+C41*Catalogo!$F$19+EV!D41*Catalogo!$F$14+EV!E41*Catalogo!$F$16+EV!F41*Catalogo!$F$18</f>
        <v>2841142.4290200006</v>
      </c>
      <c r="J41" s="228">
        <f ca="1">IF(TODAY()&gt;=$A41,SUMIFS(Tabla1[EV],Tabla1[Fecha],"&lt;="&amp;A41,Tabla1[EV],"&gt;0"),NA())</f>
        <v>2841142.4290199997</v>
      </c>
      <c r="O41" s="75">
        <f ca="1">SUM(O35:O40)</f>
        <v>6934718.0422999989</v>
      </c>
      <c r="Q41" s="75">
        <f t="shared" ref="Q41" ca="1" si="2">SUM(Q35:Q40)</f>
        <v>2942696.5999999996</v>
      </c>
      <c r="R41" s="138"/>
      <c r="S41" s="113"/>
      <c r="T41"/>
      <c r="U41"/>
      <c r="V41"/>
      <c r="W41"/>
      <c r="X41"/>
      <c r="Y41"/>
      <c r="Z41"/>
      <c r="AA41"/>
      <c r="AB41"/>
      <c r="AC41"/>
    </row>
    <row r="42" spans="1:29" x14ac:dyDescent="0.25">
      <c r="A42" s="62">
        <f t="shared" si="0"/>
        <v>46002</v>
      </c>
      <c r="B42" s="62"/>
      <c r="C42" s="110">
        <f ca="1">IF(TODAY()&gt;=$A42,SUMIFS(Tabla1[Avance_km],Tabla1[Fecha],"&lt;="&amp;EV!$A42,Tabla1[nombre_actividad],EV!C$1),NA())</f>
        <v>84.593000000000032</v>
      </c>
      <c r="D42" s="110">
        <f ca="1">IF(TODAY()&gt;=$A42,SUMIFS(Tabla1[Avance_km],Tabla1[Fecha],"&lt;="&amp;EV!$A42,Tabla1[nombre_actividad],EV!D$1),NA())</f>
        <v>44.848999999999997</v>
      </c>
      <c r="E42" s="110">
        <f ca="1">IF(TODAY()&gt;=$A42,SUMIFS(Tabla1[Avance_km],Tabla1[Fecha],"&lt;="&amp;EV!$A42,Tabla1[nombre_actividad],EV!E$1,Tabla1[Avance_km],"&gt;0"),NA())</f>
        <v>74.149000000000044</v>
      </c>
      <c r="F42" s="67">
        <f ca="1">IF(TODAY()&gt;=$A42,SUMIFS(Tabla1[Avance_Med],Tabla1[Fecha],"&lt;="&amp;EV!$A42,Tabla1[nombre_actividad],EV!F$1),NA())</f>
        <v>228</v>
      </c>
      <c r="G42" s="67"/>
      <c r="H42" s="110"/>
      <c r="I42" s="228">
        <f ca="1">+C42*Catalogo!$F$19+EV!D42*Catalogo!$F$14+EV!E42*Catalogo!$F$16+EV!F42*Catalogo!$F$18</f>
        <v>2909393.0560200005</v>
      </c>
      <c r="J42" s="228">
        <f ca="1">IF(TODAY()&gt;=$A42,SUMIFS(Tabla1[EV],Tabla1[Fecha],"&lt;="&amp;A42,Tabla1[EV],"&gt;0"),NA())</f>
        <v>2909393.0560199996</v>
      </c>
      <c r="L42" s="61" t="s">
        <v>177</v>
      </c>
      <c r="M42" s="107">
        <v>99841.000000000015</v>
      </c>
      <c r="O42" s="1" t="s">
        <v>178</v>
      </c>
      <c r="Q42" s="76" t="s">
        <v>179</v>
      </c>
      <c r="R42"/>
      <c r="S42"/>
      <c r="T42"/>
      <c r="U42"/>
      <c r="V42"/>
    </row>
    <row r="43" spans="1:29" x14ac:dyDescent="0.25">
      <c r="A43" s="62">
        <f t="shared" si="0"/>
        <v>46003</v>
      </c>
      <c r="B43" s="62"/>
      <c r="C43" s="110">
        <f ca="1">IF(TODAY()&gt;=$A43,SUMIFS(Tabla1[Avance_km],Tabla1[Fecha],"&lt;="&amp;EV!$A43,Tabla1[nombre_actividad],EV!C$1),NA())</f>
        <v>84.593000000000032</v>
      </c>
      <c r="D43" s="110">
        <f ca="1">IF(TODAY()&gt;=$A43,SUMIFS(Tabla1[Avance_km],Tabla1[Fecha],"&lt;="&amp;EV!$A43,Tabla1[nombre_actividad],EV!D$1),NA())</f>
        <v>49.573999999999998</v>
      </c>
      <c r="E43" s="110">
        <f ca="1">IF(TODAY()&gt;=$A43,SUMIFS(Tabla1[Avance_km],Tabla1[Fecha],"&lt;="&amp;EV!$A43,Tabla1[nombre_actividad],EV!E$1,Tabla1[Avance_km],"&gt;0"),NA())</f>
        <v>74.149000000000044</v>
      </c>
      <c r="F43" s="67">
        <f ca="1">IF(TODAY()&gt;=$A43,SUMIFS(Tabla1[Avance_Med],Tabla1[Fecha],"&lt;="&amp;EV!$A43,Tabla1[nombre_actividad],EV!F$1),NA())</f>
        <v>228</v>
      </c>
      <c r="G43" s="67"/>
      <c r="H43" s="110"/>
      <c r="I43" s="228">
        <f ca="1">+C43*Catalogo!$F$19+EV!D43*Catalogo!$F$14+EV!E43*Catalogo!$F$16+EV!F43*Catalogo!$F$18</f>
        <v>2978006.7182700005</v>
      </c>
      <c r="J43" s="228">
        <f ca="1">IF(TODAY()&gt;=$A43,SUMIFS(Tabla1[EV],Tabla1[Fecha],"&lt;="&amp;A43,Tabla1[EV],"&gt;0"),NA())</f>
        <v>2978006.7182699996</v>
      </c>
      <c r="O43" s="74">
        <f ca="1">+O41-Q41</f>
        <v>3992021.4422999993</v>
      </c>
      <c r="Q43" s="138"/>
      <c r="R43"/>
      <c r="S43"/>
      <c r="T43"/>
      <c r="U43"/>
      <c r="V43"/>
    </row>
    <row r="44" spans="1:29" x14ac:dyDescent="0.25">
      <c r="A44" s="62">
        <f t="shared" si="0"/>
        <v>46004</v>
      </c>
      <c r="B44" s="62"/>
      <c r="C44" s="110">
        <f ca="1">IF(TODAY()&gt;=$A44,SUMIFS(Tabla1[Avance_km],Tabla1[Fecha],"&lt;="&amp;EV!$A44,Tabla1[nombre_actividad],EV!C$1),NA())</f>
        <v>84.593000000000032</v>
      </c>
      <c r="D44" s="110">
        <f ca="1">IF(TODAY()&gt;=$A44,SUMIFS(Tabla1[Avance_km],Tabla1[Fecha],"&lt;="&amp;EV!$A44,Tabla1[nombre_actividad],EV!D$1),NA())</f>
        <v>51.923000000000002</v>
      </c>
      <c r="E44" s="110">
        <f ca="1">IF(TODAY()&gt;=$A44,SUMIFS(Tabla1[Avance_km],Tabla1[Fecha],"&lt;="&amp;EV!$A44,Tabla1[nombre_actividad],EV!E$1,Tabla1[Avance_km],"&gt;0"),NA())</f>
        <v>74.149000000000044</v>
      </c>
      <c r="F44" s="67">
        <f ca="1">IF(TODAY()&gt;=$A44,SUMIFS(Tabla1[Avance_Med],Tabla1[Fecha],"&lt;="&amp;EV!$A44,Tabla1[nombre_actividad],EV!F$1),NA())</f>
        <v>228</v>
      </c>
      <c r="G44" s="67"/>
      <c r="H44" s="110"/>
      <c r="I44" s="228">
        <f ca="1">+C44*Catalogo!$F$19+EV!D44*Catalogo!$F$14+EV!E44*Catalogo!$F$16+EV!F44*Catalogo!$F$18</f>
        <v>3012117.5103600007</v>
      </c>
      <c r="J44" s="228">
        <f ca="1">IF(TODAY()&gt;=$A44,SUMIFS(Tabla1[EV],Tabla1[Fecha],"&lt;="&amp;A44,Tabla1[EV],"&gt;0"),NA())</f>
        <v>3012117.5103599997</v>
      </c>
    </row>
    <row r="45" spans="1:29" x14ac:dyDescent="0.25">
      <c r="A45" s="62">
        <f t="shared" si="0"/>
        <v>46005</v>
      </c>
      <c r="B45" s="62"/>
      <c r="C45" s="110">
        <f ca="1">IF(TODAY()&gt;=$A45,SUMIFS(Tabla1[Avance_km],Tabla1[Fecha],"&lt;="&amp;EV!$A45,Tabla1[nombre_actividad],EV!C$1),NA())</f>
        <v>84.593000000000032</v>
      </c>
      <c r="D45" s="110">
        <f ca="1">IF(TODAY()&gt;=$A45,SUMIFS(Tabla1[Avance_km],Tabla1[Fecha],"&lt;="&amp;EV!$A45,Tabla1[nombre_actividad],EV!D$1),NA())</f>
        <v>51.923000000000002</v>
      </c>
      <c r="E45" s="110">
        <f ca="1">IF(TODAY()&gt;=$A45,SUMIFS(Tabla1[Avance_km],Tabla1[Fecha],"&lt;="&amp;EV!$A45,Tabla1[nombre_actividad],EV!E$1,Tabla1[Avance_km],"&gt;0"),NA())</f>
        <v>74.149000000000044</v>
      </c>
      <c r="F45" s="67">
        <f ca="1">IF(TODAY()&gt;=$A45,SUMIFS(Tabla1[Avance_Med],Tabla1[Fecha],"&lt;="&amp;EV!$A45,Tabla1[nombre_actividad],EV!F$1),NA())</f>
        <v>228</v>
      </c>
      <c r="G45" s="67"/>
      <c r="H45" s="110"/>
      <c r="I45" s="228">
        <f ca="1">+C45*Catalogo!$F$19+EV!D45*Catalogo!$F$14+EV!E45*Catalogo!$F$16+EV!F45*Catalogo!$F$18</f>
        <v>3012117.5103600007</v>
      </c>
      <c r="J45" s="228">
        <f ca="1">IF(TODAY()&gt;=$A45,SUMIFS(Tabla1[EV],Tabla1[Fecha],"&lt;="&amp;A45,Tabla1[EV],"&gt;0"),NA())</f>
        <v>3012117.5103599997</v>
      </c>
    </row>
    <row r="46" spans="1:29" x14ac:dyDescent="0.25">
      <c r="A46" s="62">
        <f t="shared" si="0"/>
        <v>46006</v>
      </c>
      <c r="B46" s="62"/>
      <c r="C46" s="110">
        <f ca="1">IF(TODAY()&gt;=$A46,SUMIFS(Tabla1[Avance_km],Tabla1[Fecha],"&lt;="&amp;EV!$A46,Tabla1[nombre_actividad],EV!C$1),NA())</f>
        <v>84.593000000000032</v>
      </c>
      <c r="D46" s="110">
        <f ca="1">IF(TODAY()&gt;=$A46,SUMIFS(Tabla1[Avance_km],Tabla1[Fecha],"&lt;="&amp;EV!$A46,Tabla1[nombre_actividad],EV!D$1),NA())</f>
        <v>51.923000000000002</v>
      </c>
      <c r="E46" s="110">
        <f ca="1">IF(TODAY()&gt;=$A46,SUMIFS(Tabla1[Avance_km],Tabla1[Fecha],"&lt;="&amp;EV!$A46,Tabla1[nombre_actividad],EV!E$1,Tabla1[Avance_km],"&gt;0"),NA())</f>
        <v>84.593000000000046</v>
      </c>
      <c r="F46" s="67">
        <f ca="1">IF(TODAY()&gt;=$A46,SUMIFS(Tabla1[Avance_Med],Tabla1[Fecha],"&lt;="&amp;EV!$A46,Tabla1[nombre_actividad],EV!F$1),NA())</f>
        <v>228</v>
      </c>
      <c r="G46" s="67"/>
      <c r="H46" s="110"/>
      <c r="I46" s="228">
        <f ca="1">+C46*Catalogo!$F$19+EV!D46*Catalogo!$F$14+EV!E46*Catalogo!$F$16+EV!F46*Catalogo!$F$18</f>
        <v>3153692.5100800004</v>
      </c>
      <c r="J46" s="228">
        <f ca="1">IF(TODAY()&gt;=$A46,SUMIFS(Tabla1[EV],Tabla1[Fecha],"&lt;="&amp;A46,Tabla1[EV],"&gt;0"),NA())</f>
        <v>3153692.5100799999</v>
      </c>
      <c r="L46" s="479" t="s">
        <v>568</v>
      </c>
      <c r="M46" t="s">
        <v>585</v>
      </c>
      <c r="N46"/>
    </row>
    <row r="47" spans="1:29" x14ac:dyDescent="0.25">
      <c r="A47" s="62">
        <f t="shared" si="0"/>
        <v>46007</v>
      </c>
      <c r="B47" s="62"/>
      <c r="C47" s="110">
        <f ca="1">IF(TODAY()&gt;=$A47,SUMIFS(Tabla1[Avance_km],Tabla1[Fecha],"&lt;="&amp;EV!$A47,Tabla1[nombre_actividad],EV!C$1),NA())</f>
        <v>84.593000000000032</v>
      </c>
      <c r="D47" s="110">
        <f ca="1">IF(TODAY()&gt;=$A47,SUMIFS(Tabla1[Avance_km],Tabla1[Fecha],"&lt;="&amp;EV!$A47,Tabla1[nombre_actividad],EV!D$1),NA())</f>
        <v>52.207999999999998</v>
      </c>
      <c r="E47" s="110">
        <f ca="1">IF(TODAY()&gt;=$A47,SUMIFS(Tabla1[Avance_km],Tabla1[Fecha],"&lt;="&amp;EV!$A47,Tabla1[nombre_actividad],EV!E$1,Tabla1[Avance_km],"&gt;0"),NA())</f>
        <v>84.593000000000046</v>
      </c>
      <c r="F47" s="67">
        <f ca="1">IF(TODAY()&gt;=$A47,SUMIFS(Tabla1[Avance_Med],Tabla1[Fecha],"&lt;="&amp;EV!$A47,Tabla1[nombre_actividad],EV!F$1),NA())</f>
        <v>228</v>
      </c>
      <c r="G47" s="67"/>
      <c r="H47" s="110"/>
      <c r="I47" s="228">
        <f ca="1">+C47*Catalogo!$F$19+EV!D47*Catalogo!$F$14+EV!E47*Catalogo!$F$16+EV!F47*Catalogo!$F$18</f>
        <v>3157831.1119300006</v>
      </c>
      <c r="J47" s="228">
        <f ca="1">IF(TODAY()&gt;=$A47,SUMIFS(Tabla1[EV],Tabla1[Fecha],"&lt;="&amp;A47,Tabla1[EV],"&gt;0"),NA())</f>
        <v>3157831.1119299997</v>
      </c>
      <c r="L47" s="95" t="s">
        <v>570</v>
      </c>
      <c r="M47" s="227">
        <v>3334945.4827499995</v>
      </c>
      <c r="N47"/>
    </row>
    <row r="48" spans="1:29" x14ac:dyDescent="0.25">
      <c r="A48" s="62">
        <f t="shared" si="0"/>
        <v>46008</v>
      </c>
      <c r="B48" s="62"/>
      <c r="C48" s="110">
        <f ca="1">IF(TODAY()&gt;=$A48,SUMIFS(Tabla1[Avance_km],Tabla1[Fecha],"&lt;="&amp;EV!$A48,Tabla1[nombre_actividad],EV!C$1),NA())</f>
        <v>88.205000000000027</v>
      </c>
      <c r="D48" s="110">
        <f ca="1">IF(TODAY()&gt;=$A48,SUMIFS(Tabla1[Avance_km],Tabla1[Fecha],"&lt;="&amp;EV!$A48,Tabla1[nombre_actividad],EV!D$1),NA())</f>
        <v>52.572000000000003</v>
      </c>
      <c r="E48" s="110">
        <f ca="1">IF(TODAY()&gt;=$A48,SUMIFS(Tabla1[Avance_km],Tabla1[Fecha],"&lt;="&amp;EV!$A48,Tabla1[nombre_actividad],EV!E$1,Tabla1[Avance_km],"&gt;0"),NA())</f>
        <v>84.593000000000046</v>
      </c>
      <c r="F48" s="67">
        <f ca="1">IF(TODAY()&gt;=$A48,SUMIFS(Tabla1[Avance_Med],Tabla1[Fecha],"&lt;="&amp;EV!$A48,Tabla1[nombre_actividad],EV!F$1),NA())</f>
        <v>228</v>
      </c>
      <c r="G48" s="67"/>
      <c r="H48" s="110"/>
      <c r="I48" s="228">
        <f ca="1">+C48*Catalogo!$F$19+EV!D48*Catalogo!$F$14+EV!E48*Catalogo!$F$16+EV!F48*Catalogo!$F$18</f>
        <v>3171270.7062100004</v>
      </c>
      <c r="J48" s="228">
        <f ca="1">IF(TODAY()&gt;=$A48,SUMIFS(Tabla1[EV],Tabla1[Fecha],"&lt;="&amp;A48,Tabla1[EV],"&gt;0"),NA())</f>
        <v>3171270.706209999</v>
      </c>
      <c r="L48" s="480" t="s">
        <v>583</v>
      </c>
      <c r="M48" s="227">
        <v>1796316.4831999999</v>
      </c>
      <c r="N48"/>
    </row>
    <row r="49" spans="1:97" x14ac:dyDescent="0.25">
      <c r="A49" s="62">
        <f t="shared" si="0"/>
        <v>46009</v>
      </c>
      <c r="B49" s="62"/>
      <c r="C49" s="110">
        <f ca="1">IF(TODAY()&gt;=$A49,SUMIFS(Tabla1[Avance_km],Tabla1[Fecha],"&lt;="&amp;EV!$A49,Tabla1[nombre_actividad],EV!C$1),NA())</f>
        <v>93.205000000000027</v>
      </c>
      <c r="D49" s="110">
        <f ca="1">IF(TODAY()&gt;=$A49,SUMIFS(Tabla1[Avance_km],Tabla1[Fecha],"&lt;="&amp;EV!$A49,Tabla1[nombre_actividad],EV!D$1),NA())</f>
        <v>52.572000000000003</v>
      </c>
      <c r="E49" s="110">
        <f ca="1">IF(TODAY()&gt;=$A49,SUMIFS(Tabla1[Avance_km],Tabla1[Fecha],"&lt;="&amp;EV!$A49,Tabla1[nombre_actividad],EV!E$1,Tabla1[Avance_km],"&gt;0"),NA())</f>
        <v>84.593000000000046</v>
      </c>
      <c r="F49" s="67">
        <f ca="1">IF(TODAY()&gt;=$A49,SUMIFS(Tabla1[Avance_Med],Tabla1[Fecha],"&lt;="&amp;EV!$A49,Tabla1[nombre_actividad],EV!F$1),NA())</f>
        <v>228</v>
      </c>
      <c r="G49" s="67"/>
      <c r="H49" s="110"/>
      <c r="I49" s="228">
        <f ca="1">+C49*Catalogo!$F$19+EV!D49*Catalogo!$F$14+EV!E49*Catalogo!$F$16+EV!F49*Catalogo!$F$18</f>
        <v>3182557.8062100005</v>
      </c>
      <c r="J49" s="228">
        <f ca="1">IF(TODAY()&gt;=$A49,SUMIFS(Tabla1[EV],Tabla1[Fecha],"&lt;="&amp;A49,Tabla1[EV],"&gt;0"),NA())</f>
        <v>3182557.8062099991</v>
      </c>
      <c r="L49" s="480" t="s">
        <v>584</v>
      </c>
      <c r="M49" s="227">
        <v>3334945.4827499995</v>
      </c>
      <c r="N49"/>
    </row>
    <row r="50" spans="1:97" x14ac:dyDescent="0.25">
      <c r="A50" s="62">
        <f t="shared" si="0"/>
        <v>46010</v>
      </c>
      <c r="B50" s="62"/>
      <c r="C50" s="110">
        <f ca="1">IF(TODAY()&gt;=$A50,SUMIFS(Tabla1[Avance_km],Tabla1[Fecha],"&lt;="&amp;EV!$A50,Tabla1[nombre_actividad],EV!C$1),NA())</f>
        <v>93.205000000000027</v>
      </c>
      <c r="D50" s="110">
        <f ca="1">IF(TODAY()&gt;=$A50,SUMIFS(Tabla1[Avance_km],Tabla1[Fecha],"&lt;="&amp;EV!$A50,Tabla1[nombre_actividad],EV!D$1),NA())</f>
        <v>58.344000000000001</v>
      </c>
      <c r="E50" s="110">
        <f ca="1">IF(TODAY()&gt;=$A50,SUMIFS(Tabla1[Avance_km],Tabla1[Fecha],"&lt;="&amp;EV!$A50,Tabla1[nombre_actividad],EV!E$1,Tabla1[Avance_km],"&gt;0"),NA())</f>
        <v>84.593000000000046</v>
      </c>
      <c r="F50" s="67">
        <f ca="1">IF(TODAY()&gt;=$A50,SUMIFS(Tabla1[Avance_Med],Tabla1[Fecha],"&lt;="&amp;EV!$A50,Tabla1[nombre_actividad],EV!F$1),NA())</f>
        <v>228</v>
      </c>
      <c r="G50" s="67"/>
      <c r="H50" s="110"/>
      <c r="I50" s="228">
        <f ca="1">+C50*Catalogo!$F$19+EV!D50*Catalogo!$F$14+EV!E50*Catalogo!$F$16+EV!F50*Catalogo!$F$18</f>
        <v>3266375.3847300005</v>
      </c>
      <c r="J50" s="228">
        <f ca="1">IF(TODAY()&gt;=$A50,SUMIFS(Tabla1[EV],Tabla1[Fecha],"&lt;="&amp;A50,Tabla1[EV],"&gt;0"),NA())</f>
        <v>3266375.3847299996</v>
      </c>
      <c r="L50" s="95" t="s">
        <v>571</v>
      </c>
      <c r="M50" s="227" t="e">
        <v>#N/A</v>
      </c>
      <c r="N50"/>
    </row>
    <row r="51" spans="1:97" x14ac:dyDescent="0.25">
      <c r="A51" s="62">
        <f t="shared" si="0"/>
        <v>46011</v>
      </c>
      <c r="B51" s="62"/>
      <c r="C51" s="110">
        <f ca="1">IF(TODAY()&gt;=$A51,SUMIFS(Tabla1[Avance_km],Tabla1[Fecha],"&lt;="&amp;EV!$A51,Tabla1[nombre_actividad],EV!C$1),NA())</f>
        <v>93.205000000000027</v>
      </c>
      <c r="D51" s="110">
        <f ca="1">IF(TODAY()&gt;=$A51,SUMIFS(Tabla1[Avance_km],Tabla1[Fecha],"&lt;="&amp;EV!$A51,Tabla1[nombre_actividad],EV!D$1),NA())</f>
        <v>60.515999999999998</v>
      </c>
      <c r="E51" s="110">
        <f ca="1">IF(TODAY()&gt;=$A51,SUMIFS(Tabla1[Avance_km],Tabla1[Fecha],"&lt;="&amp;EV!$A51,Tabla1[nombre_actividad],EV!E$1,Tabla1[Avance_km],"&gt;0"),NA())</f>
        <v>84.593000000000046</v>
      </c>
      <c r="F51" s="67">
        <f ca="1">IF(TODAY()&gt;=$A51,SUMIFS(Tabla1[Avance_Med],Tabla1[Fecha],"&lt;="&amp;EV!$A51,Tabla1[nombre_actividad],EV!F$1),NA())</f>
        <v>228</v>
      </c>
      <c r="G51" s="67"/>
      <c r="H51" s="110"/>
      <c r="I51" s="228">
        <f ca="1">+C51*Catalogo!$F$19+EV!D51*Catalogo!$F$14+EV!E51*Catalogo!$F$16+EV!F51*Catalogo!$F$18</f>
        <v>3297915.8872500006</v>
      </c>
      <c r="J51" s="228">
        <f ca="1">IF(TODAY()&gt;=$A51,SUMIFS(Tabla1[EV],Tabla1[Fecha],"&lt;="&amp;A51,Tabla1[EV],"&gt;0"),NA())</f>
        <v>3297915.8872499997</v>
      </c>
      <c r="L51" s="480" t="s">
        <v>573</v>
      </c>
      <c r="M51" s="227">
        <v>4698158.5607600007</v>
      </c>
      <c r="N51"/>
    </row>
    <row r="52" spans="1:97" x14ac:dyDescent="0.25">
      <c r="A52" s="62">
        <f t="shared" si="0"/>
        <v>46012</v>
      </c>
      <c r="B52" s="62"/>
      <c r="C52" s="110">
        <f ca="1">IF(TODAY()&gt;=$A52,SUMIFS(Tabla1[Avance_km],Tabla1[Fecha],"&lt;="&amp;EV!$A52,Tabla1[nombre_actividad],EV!C$1),NA())</f>
        <v>93.205000000000027</v>
      </c>
      <c r="D52" s="110">
        <f ca="1">IF(TODAY()&gt;=$A52,SUMIFS(Tabla1[Avance_km],Tabla1[Fecha],"&lt;="&amp;EV!$A52,Tabla1[nombre_actividad],EV!D$1),NA())</f>
        <v>60.515999999999998</v>
      </c>
      <c r="E52" s="110">
        <f ca="1">IF(TODAY()&gt;=$A52,SUMIFS(Tabla1[Avance_km],Tabla1[Fecha],"&lt;="&amp;EV!$A52,Tabla1[nombre_actividad],EV!E$1,Tabla1[Avance_km],"&gt;0"),NA())</f>
        <v>84.593000000000046</v>
      </c>
      <c r="F52" s="67">
        <f ca="1">IF(TODAY()&gt;=$A52,SUMIFS(Tabla1[Avance_Med],Tabla1[Fecha],"&lt;="&amp;EV!$A52,Tabla1[nombre_actividad],EV!F$1),NA())</f>
        <v>228</v>
      </c>
      <c r="G52" s="67"/>
      <c r="H52" s="110"/>
      <c r="I52" s="228">
        <f ca="1">+C52*Catalogo!$F$19+EV!D52*Catalogo!$F$14+EV!E52*Catalogo!$F$16+EV!F52*Catalogo!$F$18</f>
        <v>3297915.8872500006</v>
      </c>
      <c r="J52" s="228">
        <f ca="1">IF(TODAY()&gt;=$A52,SUMIFS(Tabla1[EV],Tabla1[Fecha],"&lt;="&amp;A52,Tabla1[EV],"&gt;0"),NA())</f>
        <v>3297915.8872499997</v>
      </c>
      <c r="L52" s="480" t="s">
        <v>574</v>
      </c>
      <c r="M52" s="227">
        <v>4782002.5607600007</v>
      </c>
      <c r="N52"/>
    </row>
    <row r="53" spans="1:97" x14ac:dyDescent="0.25">
      <c r="A53" s="62">
        <f t="shared" si="0"/>
        <v>46013</v>
      </c>
      <c r="B53" s="326">
        <v>12000000</v>
      </c>
      <c r="C53" s="110">
        <f ca="1">IF(TODAY()&gt;=$A53,SUMIFS(Tabla1[Avance_km],Tabla1[Fecha],"&lt;="&amp;EV!$A53,Tabla1[nombre_actividad],EV!C$1),NA())</f>
        <v>93.205000000000027</v>
      </c>
      <c r="D53" s="110">
        <f ca="1">IF(TODAY()&gt;=$A53,SUMIFS(Tabla1[Avance_km],Tabla1[Fecha],"&lt;="&amp;EV!$A53,Tabla1[nombre_actividad],EV!D$1),NA())</f>
        <v>63.065999999999995</v>
      </c>
      <c r="E53" s="110">
        <f ca="1">IF(TODAY()&gt;=$A53,SUMIFS(Tabla1[Avance_km],Tabla1[Fecha],"&lt;="&amp;EV!$A53,Tabla1[nombre_actividad],EV!E$1,Tabla1[Avance_km],"&gt;0"),NA())</f>
        <v>84.593000000000046</v>
      </c>
      <c r="F53" s="67">
        <f ca="1">IF(TODAY()&gt;=$A53,SUMIFS(Tabla1[Avance_Med],Tabla1[Fecha],"&lt;="&amp;EV!$A53,Tabla1[nombre_actividad],EV!F$1),NA())</f>
        <v>228</v>
      </c>
      <c r="G53" s="67"/>
      <c r="H53" s="110"/>
      <c r="I53" s="228">
        <f ca="1">+C53*Catalogo!$F$19+EV!D53*Catalogo!$F$14+EV!E53*Catalogo!$F$16+EV!F53*Catalogo!$F$18</f>
        <v>3334945.4827500004</v>
      </c>
      <c r="J53" s="228">
        <f ca="1">IF(TODAY()&gt;=$A53,SUMIFS(Tabla1[EV],Tabla1[Fecha],"&lt;="&amp;A53,Tabla1[EV],"&gt;0"),NA())</f>
        <v>3334945.4827499995</v>
      </c>
      <c r="L53" s="480" t="s">
        <v>575</v>
      </c>
      <c r="M53" s="227">
        <v>6294812.4527599998</v>
      </c>
      <c r="N53"/>
    </row>
    <row r="54" spans="1:97" x14ac:dyDescent="0.25">
      <c r="A54" s="62">
        <f t="shared" si="0"/>
        <v>46014</v>
      </c>
      <c r="B54" s="326">
        <v>12000000</v>
      </c>
      <c r="C54" s="110">
        <f ca="1">IF(TODAY()&gt;=$A54,SUMIFS(Tabla1[Avance_km],Tabla1[Fecha],"&lt;="&amp;EV!$A54,Tabla1[nombre_actividad],EV!C$1),NA())</f>
        <v>93.205000000000027</v>
      </c>
      <c r="D54" s="110">
        <f ca="1">IF(TODAY()&gt;=$A54,SUMIFS(Tabla1[Avance_km],Tabla1[Fecha],"&lt;="&amp;EV!$A54,Tabla1[nombre_actividad],EV!D$1),NA())</f>
        <v>63.065999999999995</v>
      </c>
      <c r="E54" s="110">
        <f ca="1">IF(TODAY()&gt;=$A54,SUMIFS(Tabla1[Avance_km],Tabla1[Fecha],"&lt;="&amp;EV!$A54,Tabla1[nombre_actividad],EV!E$1,Tabla1[Avance_km],"&gt;0"),NA())</f>
        <v>84.593000000000046</v>
      </c>
      <c r="F54" s="67">
        <f ca="1">IF(TODAY()&gt;=$A54,SUMIFS(Tabla1[Avance_Med],Tabla1[Fecha],"&lt;="&amp;EV!$A54,Tabla1[nombre_actividad],EV!F$1),NA())</f>
        <v>228</v>
      </c>
      <c r="G54" s="67"/>
      <c r="H54" s="110"/>
      <c r="I54" s="228">
        <f ca="1">+C54*Catalogo!$F$19+EV!D54*Catalogo!$F$14+EV!E54*Catalogo!$F$16+EV!F54*Catalogo!$F$18</f>
        <v>3334945.4827500004</v>
      </c>
      <c r="J54" s="228">
        <f ca="1">IF(TODAY()&gt;=$A54,SUMIFS(Tabla1[EV],Tabla1[Fecha],"&lt;="&amp;A54,Tabla1[EV],"&gt;0"),NA())</f>
        <v>3334945.4827499995</v>
      </c>
      <c r="L54" s="480" t="s">
        <v>576</v>
      </c>
      <c r="M54" s="227">
        <v>6607119.6085300017</v>
      </c>
      <c r="N54"/>
      <c r="O54"/>
      <c r="P54"/>
      <c r="Q54"/>
      <c r="R54"/>
      <c r="S54"/>
    </row>
    <row r="55" spans="1:97" x14ac:dyDescent="0.25">
      <c r="A55" s="62">
        <f t="shared" si="0"/>
        <v>46015</v>
      </c>
      <c r="B55" s="326">
        <v>12000000</v>
      </c>
      <c r="C55" s="110">
        <f ca="1">IF(TODAY()&gt;=$A55,SUMIFS(Tabla1[Avance_km],Tabla1[Fecha],"&lt;="&amp;EV!$A55,Tabla1[nombre_actividad],EV!C$1),NA())</f>
        <v>93.205000000000027</v>
      </c>
      <c r="D55" s="110">
        <f ca="1">IF(TODAY()&gt;=$A55,SUMIFS(Tabla1[Avance_km],Tabla1[Fecha],"&lt;="&amp;EV!$A55,Tabla1[nombre_actividad],EV!D$1),NA())</f>
        <v>63.065999999999995</v>
      </c>
      <c r="E55" s="110">
        <f ca="1">IF(TODAY()&gt;=$A55,SUMIFS(Tabla1[Avance_km],Tabla1[Fecha],"&lt;="&amp;EV!$A55,Tabla1[nombre_actividad],EV!E$1,Tabla1[Avance_km],"&gt;0"),NA())</f>
        <v>84.593000000000046</v>
      </c>
      <c r="F55" s="67">
        <f ca="1">IF(TODAY()&gt;=$A55,SUMIFS(Tabla1[Avance_Med],Tabla1[Fecha],"&lt;="&amp;EV!$A55,Tabla1[nombre_actividad],EV!F$1),NA())</f>
        <v>228</v>
      </c>
      <c r="G55" s="67"/>
      <c r="H55" s="110"/>
      <c r="I55" s="228">
        <f ca="1">+C55*Catalogo!$F$19+EV!D55*Catalogo!$F$14+EV!E55*Catalogo!$F$16+EV!F55*Catalogo!$F$18</f>
        <v>3334945.4827500004</v>
      </c>
      <c r="J55" s="228">
        <f ca="1">IF(TODAY()&gt;=$A55,SUMIFS(Tabla1[EV],Tabla1[Fecha],"&lt;="&amp;A55,Tabla1[EV],"&gt;0"),NA())</f>
        <v>3334945.4827499995</v>
      </c>
      <c r="L55" s="480" t="s">
        <v>577</v>
      </c>
      <c r="M55" s="227">
        <v>7048555.068380001</v>
      </c>
      <c r="N55"/>
      <c r="O55"/>
      <c r="P55"/>
      <c r="Q55"/>
      <c r="R55"/>
      <c r="S55"/>
    </row>
    <row r="56" spans="1:97" x14ac:dyDescent="0.25">
      <c r="A56" s="62">
        <f t="shared" si="0"/>
        <v>46016</v>
      </c>
      <c r="B56" s="326">
        <v>12000000</v>
      </c>
      <c r="C56" s="110">
        <f ca="1">IF(TODAY()&gt;=$A56,SUMIFS(Tabla1[Avance_km],Tabla1[Fecha],"&lt;="&amp;EV!$A56,Tabla1[nombre_actividad],EV!C$1),NA())</f>
        <v>93.205000000000027</v>
      </c>
      <c r="D56" s="110">
        <f ca="1">IF(TODAY()&gt;=$A56,SUMIFS(Tabla1[Avance_km],Tabla1[Fecha],"&lt;="&amp;EV!$A56,Tabla1[nombre_actividad],EV!D$1),NA())</f>
        <v>63.065999999999995</v>
      </c>
      <c r="E56" s="110">
        <f ca="1">IF(TODAY()&gt;=$A56,SUMIFS(Tabla1[Avance_km],Tabla1[Fecha],"&lt;="&amp;EV!$A56,Tabla1[nombre_actividad],EV!E$1,Tabla1[Avance_km],"&gt;0"),NA())</f>
        <v>84.593000000000046</v>
      </c>
      <c r="F56" s="67">
        <f ca="1">IF(TODAY()&gt;=$A56,SUMIFS(Tabla1[Avance_Med],Tabla1[Fecha],"&lt;="&amp;EV!$A56,Tabla1[nombre_actividad],EV!F$1),NA())</f>
        <v>228</v>
      </c>
      <c r="G56" s="67"/>
      <c r="H56" s="110"/>
      <c r="I56" s="228">
        <f ca="1">+C56*Catalogo!$F$19+EV!D56*Catalogo!$F$14+EV!E56*Catalogo!$F$16+EV!F56*Catalogo!$F$18</f>
        <v>3334945.4827500004</v>
      </c>
      <c r="J56" s="228">
        <f ca="1">IF(TODAY()&gt;=$A56,SUMIFS(Tabla1[EV],Tabla1[Fecha],"&lt;="&amp;A56,Tabla1[EV],"&gt;0"),NA())</f>
        <v>3334945.4827499995</v>
      </c>
      <c r="L56" s="480" t="s">
        <v>578</v>
      </c>
      <c r="M56" s="227">
        <v>7355974.7349999985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</row>
    <row r="57" spans="1:97" x14ac:dyDescent="0.25">
      <c r="A57" s="62">
        <f t="shared" si="0"/>
        <v>46017</v>
      </c>
      <c r="B57" s="326">
        <v>12000000</v>
      </c>
      <c r="C57" s="110">
        <f ca="1">IF(TODAY()&gt;=$A57,SUMIFS(Tabla1[Avance_km],Tabla1[Fecha],"&lt;="&amp;EV!$A57,Tabla1[nombre_actividad],EV!C$1),NA())</f>
        <v>93.205000000000027</v>
      </c>
      <c r="D57" s="110">
        <f ca="1">IF(TODAY()&gt;=$A57,SUMIFS(Tabla1[Avance_km],Tabla1[Fecha],"&lt;="&amp;EV!$A57,Tabla1[nombre_actividad],EV!D$1),NA())</f>
        <v>63.065999999999995</v>
      </c>
      <c r="E57" s="110">
        <f ca="1">IF(TODAY()&gt;=$A57,SUMIFS(Tabla1[Avance_km],Tabla1[Fecha],"&lt;="&amp;EV!$A57,Tabla1[nombre_actividad],EV!E$1,Tabla1[Avance_km],"&gt;0"),NA())</f>
        <v>84.593000000000046</v>
      </c>
      <c r="F57" s="67">
        <f ca="1">IF(TODAY()&gt;=$A57,SUMIFS(Tabla1[Avance_Med],Tabla1[Fecha],"&lt;="&amp;EV!$A57,Tabla1[nombre_actividad],EV!F$1),NA())</f>
        <v>228</v>
      </c>
      <c r="G57" s="67"/>
      <c r="H57" s="110"/>
      <c r="I57" s="228">
        <f ca="1">+C57*Catalogo!$F$19+EV!D57*Catalogo!$F$14+EV!E57*Catalogo!$F$16+EV!F57*Catalogo!$F$18</f>
        <v>3334945.4827500004</v>
      </c>
      <c r="J57" s="228">
        <f ca="1">IF(TODAY()&gt;=$A57,SUMIFS(Tabla1[EV],Tabla1[Fecha],"&lt;="&amp;A57,Tabla1[EV],"&gt;0"),NA())</f>
        <v>3334945.4827499995</v>
      </c>
      <c r="L57" s="480" t="s">
        <v>579</v>
      </c>
      <c r="M57" s="227">
        <v>7724656.7850499954</v>
      </c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</row>
    <row r="58" spans="1:97" x14ac:dyDescent="0.25">
      <c r="A58" s="62">
        <f t="shared" si="0"/>
        <v>46018</v>
      </c>
      <c r="B58" s="326">
        <v>12000000</v>
      </c>
      <c r="C58" s="110">
        <f ca="1">IF(TODAY()&gt;=$A58,SUMIFS(Tabla1[Avance_km],Tabla1[Fecha],"&lt;="&amp;EV!$A58,Tabla1[nombre_actividad],EV!C$1),NA())</f>
        <v>93.205000000000027</v>
      </c>
      <c r="D58" s="110">
        <f ca="1">IF(TODAY()&gt;=$A58,SUMIFS(Tabla1[Avance_km],Tabla1[Fecha],"&lt;="&amp;EV!$A58,Tabla1[nombre_actividad],EV!D$1),NA())</f>
        <v>63.065999999999995</v>
      </c>
      <c r="E58" s="110">
        <f ca="1">IF(TODAY()&gt;=$A58,SUMIFS(Tabla1[Avance_km],Tabla1[Fecha],"&lt;="&amp;EV!$A58,Tabla1[nombre_actividad],EV!E$1,Tabla1[Avance_km],"&gt;0"),NA())</f>
        <v>84.593000000000046</v>
      </c>
      <c r="F58" s="67">
        <f ca="1">IF(TODAY()&gt;=$A58,SUMIFS(Tabla1[Avance_Med],Tabla1[Fecha],"&lt;="&amp;EV!$A58,Tabla1[nombre_actividad],EV!F$1),NA())</f>
        <v>228</v>
      </c>
      <c r="G58" s="67"/>
      <c r="H58" s="110"/>
      <c r="I58" s="228">
        <f ca="1">+C58*Catalogo!$F$19+EV!D58*Catalogo!$F$14+EV!E58*Catalogo!$F$16+EV!F58*Catalogo!$F$18</f>
        <v>3334945.4827500004</v>
      </c>
      <c r="J58" s="228">
        <f ca="1">IF(TODAY()&gt;=$A58,SUMIFS(Tabla1[EV],Tabla1[Fecha],"&lt;="&amp;A58,Tabla1[EV],"&gt;0"),NA())</f>
        <v>3334945.4827499995</v>
      </c>
      <c r="L58" s="480" t="s">
        <v>580</v>
      </c>
      <c r="M58" s="227">
        <v>8749126.711509997</v>
      </c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</row>
    <row r="59" spans="1:97" x14ac:dyDescent="0.25">
      <c r="A59" s="62">
        <f t="shared" si="0"/>
        <v>46019</v>
      </c>
      <c r="B59" s="326">
        <v>12000000</v>
      </c>
      <c r="C59" s="110">
        <f ca="1">IF(TODAY()&gt;=$A59,SUMIFS(Tabla1[Avance_km],Tabla1[Fecha],"&lt;="&amp;EV!$A59,Tabla1[nombre_actividad],EV!C$1),NA())</f>
        <v>93.205000000000027</v>
      </c>
      <c r="D59" s="110">
        <f ca="1">IF(TODAY()&gt;=$A59,SUMIFS(Tabla1[Avance_km],Tabla1[Fecha],"&lt;="&amp;EV!$A59,Tabla1[nombre_actividad],EV!D$1),NA())</f>
        <v>63.065999999999995</v>
      </c>
      <c r="E59" s="110">
        <f ca="1">IF(TODAY()&gt;=$A59,SUMIFS(Tabla1[Avance_km],Tabla1[Fecha],"&lt;="&amp;EV!$A59,Tabla1[nombre_actividad],EV!E$1,Tabla1[Avance_km],"&gt;0"),NA())</f>
        <v>84.593000000000046</v>
      </c>
      <c r="F59" s="67">
        <f ca="1">IF(TODAY()&gt;=$A59,SUMIFS(Tabla1[Avance_Med],Tabla1[Fecha],"&lt;="&amp;EV!$A59,Tabla1[nombre_actividad],EV!F$1),NA())</f>
        <v>228</v>
      </c>
      <c r="G59" s="67"/>
      <c r="H59" s="110"/>
      <c r="I59" s="228">
        <f ca="1">+C59*Catalogo!$F$19+EV!D59*Catalogo!$F$14+EV!E59*Catalogo!$F$16+EV!F59*Catalogo!$F$18</f>
        <v>3334945.4827500004</v>
      </c>
      <c r="J59" s="228">
        <f ca="1">IF(TODAY()&gt;=$A59,SUMIFS(Tabla1[EV],Tabla1[Fecha],"&lt;="&amp;A59,Tabla1[EV],"&gt;0"),NA())</f>
        <v>3334945.4827499995</v>
      </c>
      <c r="L59" s="480" t="s">
        <v>581</v>
      </c>
      <c r="M59" s="227" t="e">
        <v>#N/A</v>
      </c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</row>
    <row r="60" spans="1:97" x14ac:dyDescent="0.25">
      <c r="A60" s="62">
        <f t="shared" si="0"/>
        <v>46020</v>
      </c>
      <c r="B60" s="326">
        <v>12000000</v>
      </c>
      <c r="C60" s="110">
        <f ca="1">IF(TODAY()&gt;=$A60,SUMIFS(Tabla1[Avance_km],Tabla1[Fecha],"&lt;="&amp;EV!$A60,Tabla1[nombre_actividad],EV!C$1),NA())</f>
        <v>93.205000000000027</v>
      </c>
      <c r="D60" s="110">
        <f ca="1">IF(TODAY()&gt;=$A60,SUMIFS(Tabla1[Avance_km],Tabla1[Fecha],"&lt;="&amp;EV!$A60,Tabla1[nombre_actividad],EV!D$1),NA())</f>
        <v>63.065999999999995</v>
      </c>
      <c r="E60" s="110">
        <f ca="1">IF(TODAY()&gt;=$A60,SUMIFS(Tabla1[Avance_km],Tabla1[Fecha],"&lt;="&amp;EV!$A60,Tabla1[nombre_actividad],EV!E$1,Tabla1[Avance_km],"&gt;0"),NA())</f>
        <v>84.593000000000046</v>
      </c>
      <c r="F60" s="67">
        <f ca="1">IF(TODAY()&gt;=$A60,SUMIFS(Tabla1[Avance_Med],Tabla1[Fecha],"&lt;="&amp;EV!$A60,Tabla1[nombre_actividad],EV!F$1),NA())</f>
        <v>228</v>
      </c>
      <c r="G60" s="67"/>
      <c r="H60" s="110"/>
      <c r="I60" s="228">
        <f ca="1">+C60*Catalogo!$F$19+EV!D60*Catalogo!$F$14+EV!E60*Catalogo!$F$16+EV!F60*Catalogo!$F$18</f>
        <v>3334945.4827500004</v>
      </c>
      <c r="J60" s="228">
        <f ca="1">IF(TODAY()&gt;=$A60,SUMIFS(Tabla1[EV],Tabla1[Fecha],"&lt;="&amp;A60,Tabla1[EV],"&gt;0"),NA())</f>
        <v>3334945.4827499995</v>
      </c>
      <c r="L60" s="480" t="s">
        <v>582</v>
      </c>
      <c r="M60" s="227" t="e">
        <v>#N/A</v>
      </c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</row>
    <row r="61" spans="1:97" x14ac:dyDescent="0.25">
      <c r="A61" s="62">
        <f t="shared" si="0"/>
        <v>46021</v>
      </c>
      <c r="B61" s="326">
        <v>12000000</v>
      </c>
      <c r="C61" s="110">
        <f ca="1">IF(TODAY()&gt;=$A61,SUMIFS(Tabla1[Avance_km],Tabla1[Fecha],"&lt;="&amp;EV!$A61,Tabla1[nombre_actividad],EV!C$1),NA())</f>
        <v>93.205000000000027</v>
      </c>
      <c r="D61" s="110">
        <f ca="1">IF(TODAY()&gt;=$A61,SUMIFS(Tabla1[Avance_km],Tabla1[Fecha],"&lt;="&amp;EV!$A61,Tabla1[nombre_actividad],EV!D$1),NA())</f>
        <v>63.065999999999995</v>
      </c>
      <c r="E61" s="110">
        <f ca="1">IF(TODAY()&gt;=$A61,SUMIFS(Tabla1[Avance_km],Tabla1[Fecha],"&lt;="&amp;EV!$A61,Tabla1[nombre_actividad],EV!E$1,Tabla1[Avance_km],"&gt;0"),NA())</f>
        <v>84.593000000000046</v>
      </c>
      <c r="F61" s="67">
        <f ca="1">IF(TODAY()&gt;=$A61,SUMIFS(Tabla1[Avance_Med],Tabla1[Fecha],"&lt;="&amp;EV!$A61,Tabla1[nombre_actividad],EV!F$1),NA())</f>
        <v>228</v>
      </c>
      <c r="G61" s="67"/>
      <c r="H61" s="110"/>
      <c r="I61" s="228">
        <f ca="1">+C61*Catalogo!$F$19+EV!D61*Catalogo!$F$14+EV!E61*Catalogo!$F$16+EV!F61*Catalogo!$F$18</f>
        <v>3334945.4827500004</v>
      </c>
      <c r="J61" s="228">
        <f ca="1">IF(TODAY()&gt;=$A61,SUMIFS(Tabla1[EV],Tabla1[Fecha],"&lt;="&amp;A61,Tabla1[EV],"&gt;0"),NA())</f>
        <v>3334945.4827499995</v>
      </c>
      <c r="L61" s="480" t="s">
        <v>583</v>
      </c>
      <c r="M61" s="227" t="e">
        <v>#N/A</v>
      </c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</row>
    <row r="62" spans="1:97" x14ac:dyDescent="0.25">
      <c r="A62" s="62">
        <f t="shared" si="0"/>
        <v>46022</v>
      </c>
      <c r="B62" s="326">
        <v>12000000</v>
      </c>
      <c r="C62" s="110">
        <f ca="1">IF(TODAY()&gt;=$A62,SUMIFS(Tabla1[Avance_km],Tabla1[Fecha],"&lt;="&amp;EV!$A62,Tabla1[nombre_actividad],EV!C$1),NA())</f>
        <v>93.205000000000027</v>
      </c>
      <c r="D62" s="110">
        <f ca="1">IF(TODAY()&gt;=$A62,SUMIFS(Tabla1[Avance_km],Tabla1[Fecha],"&lt;="&amp;EV!$A62,Tabla1[nombre_actividad],EV!D$1),NA())</f>
        <v>63.065999999999995</v>
      </c>
      <c r="E62" s="110">
        <f ca="1">IF(TODAY()&gt;=$A62,SUMIFS(Tabla1[Avance_km],Tabla1[Fecha],"&lt;="&amp;EV!$A62,Tabla1[nombre_actividad],EV!E$1,Tabla1[Avance_km],"&gt;0"),NA())</f>
        <v>84.593000000000046</v>
      </c>
      <c r="F62" s="67">
        <f ca="1">IF(TODAY()&gt;=$A62,SUMIFS(Tabla1[Avance_Med],Tabla1[Fecha],"&lt;="&amp;EV!$A62,Tabla1[nombre_actividad],EV!F$1),NA())</f>
        <v>228</v>
      </c>
      <c r="G62" s="67"/>
      <c r="H62" s="110"/>
      <c r="I62" s="228">
        <f ca="1">+C62*Catalogo!$F$19+EV!D62*Catalogo!$F$14+EV!E62*Catalogo!$F$16+EV!F62*Catalogo!$F$18</f>
        <v>3334945.4827500004</v>
      </c>
      <c r="J62" s="228">
        <f ca="1">IF(TODAY()&gt;=$A62,SUMIFS(Tabla1[EV],Tabla1[Fecha],"&lt;="&amp;A62,Tabla1[EV],"&gt;0"),NA())</f>
        <v>3334945.4827499995</v>
      </c>
      <c r="L62" s="480" t="s">
        <v>584</v>
      </c>
      <c r="M62" s="227" t="e">
        <v>#N/A</v>
      </c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</row>
    <row r="63" spans="1:97" x14ac:dyDescent="0.25">
      <c r="A63" s="62">
        <f t="shared" si="0"/>
        <v>46023</v>
      </c>
      <c r="B63" s="326">
        <v>12000000</v>
      </c>
      <c r="C63" s="110">
        <f ca="1">IF(TODAY()&gt;=$A63,SUMIFS(Tabla1[Avance_km],Tabla1[Fecha],"&lt;="&amp;EV!$A63,Tabla1[nombre_actividad],EV!C$1),NA())</f>
        <v>93.205000000000027</v>
      </c>
      <c r="D63" s="110">
        <f ca="1">IF(TODAY()&gt;=$A63,SUMIFS(Tabla1[Avance_km],Tabla1[Fecha],"&lt;="&amp;EV!$A63,Tabla1[nombre_actividad],EV!D$1),NA())</f>
        <v>63.065999999999995</v>
      </c>
      <c r="E63" s="110">
        <f ca="1">IF(TODAY()&gt;=$A63,SUMIFS(Tabla1[Avance_km],Tabla1[Fecha],"&lt;="&amp;EV!$A63,Tabla1[nombre_actividad],EV!E$1,Tabla1[Avance_km],"&gt;0"),NA())</f>
        <v>84.593000000000046</v>
      </c>
      <c r="F63" s="67">
        <f ca="1">IF(TODAY()&gt;=$A63,SUMIFS(Tabla1[Avance_Med],Tabla1[Fecha],"&lt;="&amp;EV!$A63,Tabla1[nombre_actividad],EV!F$1),NA())</f>
        <v>228</v>
      </c>
      <c r="G63" s="67"/>
      <c r="H63" s="110"/>
      <c r="I63" s="228">
        <f ca="1">+C63*Catalogo!$F$19+EV!D63*Catalogo!$F$14+EV!E63*Catalogo!$F$16+EV!F63*Catalogo!$F$18</f>
        <v>3334945.4827500004</v>
      </c>
      <c r="J63" s="228">
        <f ca="1">IF(TODAY()&gt;=$A63,SUMIFS(Tabla1[EV],Tabla1[Fecha],"&lt;="&amp;A63,Tabla1[EV],"&gt;0"),NA())</f>
        <v>3334945.4827499995</v>
      </c>
      <c r="L63" s="95" t="s">
        <v>572</v>
      </c>
      <c r="M63" s="227" t="e">
        <v>#N/A</v>
      </c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</row>
    <row r="64" spans="1:97" x14ac:dyDescent="0.25">
      <c r="A64" s="62">
        <f t="shared" si="0"/>
        <v>46024</v>
      </c>
      <c r="B64" s="326">
        <v>12000000</v>
      </c>
      <c r="C64" s="110">
        <f ca="1">IF(TODAY()&gt;=$A64,SUMIFS(Tabla1[Avance_km],Tabla1[Fecha],"&lt;="&amp;EV!$A64,Tabla1[nombre_actividad],EV!C$1),NA())</f>
        <v>93.205000000000027</v>
      </c>
      <c r="D64" s="110">
        <f ca="1">IF(TODAY()&gt;=$A64,SUMIFS(Tabla1[Avance_km],Tabla1[Fecha],"&lt;="&amp;EV!$A64,Tabla1[nombre_actividad],EV!D$1),NA())</f>
        <v>63.065999999999995</v>
      </c>
      <c r="E64" s="110">
        <f ca="1">IF(TODAY()&gt;=$A64,SUMIFS(Tabla1[Avance_km],Tabla1[Fecha],"&lt;="&amp;EV!$A64,Tabla1[nombre_actividad],EV!E$1,Tabla1[Avance_km],"&gt;0"),NA())</f>
        <v>84.593000000000046</v>
      </c>
      <c r="F64" s="67">
        <f ca="1">IF(TODAY()&gt;=$A64,SUMIFS(Tabla1[Avance_Med],Tabla1[Fecha],"&lt;="&amp;EV!$A64,Tabla1[nombre_actividad],EV!F$1),NA())</f>
        <v>228</v>
      </c>
      <c r="G64" s="67"/>
      <c r="H64" s="110"/>
      <c r="I64" s="228">
        <f ca="1">+C64*Catalogo!$F$19+EV!D64*Catalogo!$F$14+EV!E64*Catalogo!$F$16+EV!F64*Catalogo!$F$18</f>
        <v>3334945.4827500004</v>
      </c>
      <c r="J64" s="228">
        <f ca="1">IF(TODAY()&gt;=$A64,SUMIFS(Tabla1[EV],Tabla1[Fecha],"&lt;="&amp;A64,Tabla1[EV],"&gt;0"),NA())</f>
        <v>3334945.4827499995</v>
      </c>
      <c r="L64" s="95" t="s">
        <v>569</v>
      </c>
      <c r="M64" s="227" t="e">
        <v>#N/A</v>
      </c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</row>
    <row r="65" spans="1:97" x14ac:dyDescent="0.25">
      <c r="A65" s="62">
        <f t="shared" si="0"/>
        <v>46025</v>
      </c>
      <c r="B65" s="326">
        <v>12000000</v>
      </c>
      <c r="C65" s="110">
        <f ca="1">IF(TODAY()&gt;=$A65,SUMIFS(Tabla1[Avance_km],Tabla1[Fecha],"&lt;="&amp;EV!$A65,Tabla1[nombre_actividad],EV!C$1),NA())</f>
        <v>93.205000000000027</v>
      </c>
      <c r="D65" s="110">
        <f ca="1">IF(TODAY()&gt;=$A65,SUMIFS(Tabla1[Avance_km],Tabla1[Fecha],"&lt;="&amp;EV!$A65,Tabla1[nombre_actividad],EV!D$1),NA())</f>
        <v>63.065999999999995</v>
      </c>
      <c r="E65" s="110">
        <f ca="1">IF(TODAY()&gt;=$A65,SUMIFS(Tabla1[Avance_km],Tabla1[Fecha],"&lt;="&amp;EV!$A65,Tabla1[nombre_actividad],EV!E$1,Tabla1[Avance_km],"&gt;0"),NA())</f>
        <v>84.593000000000046</v>
      </c>
      <c r="F65" s="67">
        <f ca="1">IF(TODAY()&gt;=$A65,SUMIFS(Tabla1[Avance_Med],Tabla1[Fecha],"&lt;="&amp;EV!$A65,Tabla1[nombre_actividad],EV!F$1),NA())</f>
        <v>228</v>
      </c>
      <c r="G65" s="67"/>
      <c r="H65" s="110"/>
      <c r="I65" s="228">
        <f ca="1">+C65*Catalogo!$F$19+EV!D65*Catalogo!$F$14+EV!E65*Catalogo!$F$16+EV!F65*Catalogo!$F$18</f>
        <v>3334945.4827500004</v>
      </c>
      <c r="J65" s="228">
        <f ca="1">IF(TODAY()&gt;=$A65,SUMIFS(Tabla1[EV],Tabla1[Fecha],"&lt;="&amp;A65,Tabla1[EV],"&gt;0"),NA())</f>
        <v>3334945.4827499995</v>
      </c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</row>
    <row r="66" spans="1:97" x14ac:dyDescent="0.25">
      <c r="A66" s="62">
        <f t="shared" si="0"/>
        <v>46026</v>
      </c>
      <c r="B66" s="326">
        <v>12000000</v>
      </c>
      <c r="C66" s="110">
        <f ca="1">IF(TODAY()&gt;=$A66,SUMIFS(Tabla1[Avance_km],Tabla1[Fecha],"&lt;="&amp;EV!$A66,Tabla1[nombre_actividad],EV!C$1),NA())</f>
        <v>93.205000000000027</v>
      </c>
      <c r="D66" s="110">
        <f ca="1">IF(TODAY()&gt;=$A66,SUMIFS(Tabla1[Avance_km],Tabla1[Fecha],"&lt;="&amp;EV!$A66,Tabla1[nombre_actividad],EV!D$1),NA())</f>
        <v>63.065999999999995</v>
      </c>
      <c r="E66" s="110">
        <f ca="1">IF(TODAY()&gt;=$A66,SUMIFS(Tabla1[Avance_km],Tabla1[Fecha],"&lt;="&amp;EV!$A66,Tabla1[nombre_actividad],EV!E$1,Tabla1[Avance_km],"&gt;0"),NA())</f>
        <v>84.593000000000046</v>
      </c>
      <c r="F66" s="67">
        <f ca="1">IF(TODAY()&gt;=$A66,SUMIFS(Tabla1[Avance_Med],Tabla1[Fecha],"&lt;="&amp;EV!$A66,Tabla1[nombre_actividad],EV!F$1),NA())</f>
        <v>228</v>
      </c>
      <c r="G66" s="67"/>
      <c r="H66" s="110"/>
      <c r="I66" s="228">
        <f ca="1">+C66*Catalogo!$F$19+EV!D66*Catalogo!$F$14+EV!E66*Catalogo!$F$16+EV!F66*Catalogo!$F$18</f>
        <v>3334945.4827500004</v>
      </c>
      <c r="J66" s="228">
        <f ca="1">IF(TODAY()&gt;=$A66,SUMIFS(Tabla1[EV],Tabla1[Fecha],"&lt;="&amp;A66,Tabla1[EV],"&gt;0"),NA())</f>
        <v>3334945.4827499995</v>
      </c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</row>
    <row r="67" spans="1:97" x14ac:dyDescent="0.25">
      <c r="A67" s="62">
        <f t="shared" si="0"/>
        <v>46027</v>
      </c>
      <c r="B67" s="326">
        <v>12000000</v>
      </c>
      <c r="C67" s="110">
        <f ca="1">IF(TODAY()&gt;=$A67,SUMIFS(Tabla1[Avance_km],Tabla1[Fecha],"&lt;="&amp;EV!$A67,Tabla1[nombre_actividad],EV!C$1),NA())</f>
        <v>95.355000000000032</v>
      </c>
      <c r="D67" s="110">
        <f ca="1">IF(TODAY()&gt;=$A67,SUMIFS(Tabla1[Avance_km],Tabla1[Fecha],"&lt;="&amp;EV!$A67,Tabla1[nombre_actividad],EV!D$1),NA())</f>
        <v>63.506</v>
      </c>
      <c r="E67" s="110">
        <f ca="1">IF(TODAY()&gt;=$A67,SUMIFS(Tabla1[Avance_km],Tabla1[Fecha],"&lt;="&amp;EV!$A67,Tabla1[nombre_actividad],EV!E$1,Tabla1[Avance_km],"&gt;0"),NA())</f>
        <v>84.593000000000046</v>
      </c>
      <c r="F67" s="67">
        <f ca="1">IF(TODAY()&gt;=$A67,SUMIFS(Tabla1[Avance_Med],Tabla1[Fecha],"&lt;="&amp;EV!$A67,Tabla1[nombre_actividad],EV!F$1),NA())</f>
        <v>228</v>
      </c>
      <c r="G67" s="67"/>
      <c r="H67" s="110"/>
      <c r="I67" s="228">
        <f ca="1">+C67*Catalogo!$F$19+EV!D67*Catalogo!$F$14+EV!E67*Catalogo!$F$16+EV!F67*Catalogo!$F$18</f>
        <v>3346188.3561500004</v>
      </c>
      <c r="J67" s="228">
        <f ca="1">IF(TODAY()&gt;=$A67,SUMIFS(Tabla1[EV],Tabla1[Fecha],"&lt;="&amp;A67,Tabla1[EV],"&gt;0"),NA())</f>
        <v>3346188.3561499999</v>
      </c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</row>
    <row r="68" spans="1:97" x14ac:dyDescent="0.25">
      <c r="A68" s="62">
        <f t="shared" si="0"/>
        <v>46028</v>
      </c>
      <c r="B68" s="62"/>
      <c r="C68" s="110">
        <f ca="1">IF(TODAY()&gt;=$A68,SUMIFS(Tabla1[Avance_km],Tabla1[Fecha],"&lt;="&amp;EV!$A68,Tabla1[nombre_actividad],EV!C$1),NA())</f>
        <v>99.53900000000003</v>
      </c>
      <c r="D68" s="110">
        <f ca="1">IF(TODAY()&gt;=$A68,SUMIFS(Tabla1[Avance_km],Tabla1[Fecha],"&lt;="&amp;EV!$A68,Tabla1[nombre_actividad],EV!D$1),NA())</f>
        <v>68.281999999999996</v>
      </c>
      <c r="E68" s="110">
        <f ca="1">IF(TODAY()&gt;=$A68,SUMIFS(Tabla1[Avance_km],Tabla1[Fecha],"&lt;="&amp;EV!$A68,Tabla1[nombre_actividad],EV!E$1,Tabla1[Avance_km],"&gt;0"),NA())</f>
        <v>84.593000000000046</v>
      </c>
      <c r="F68" s="67">
        <f ca="1">IF(TODAY()&gt;=$A68,SUMIFS(Tabla1[Avance_Med],Tabla1[Fecha],"&lt;="&amp;EV!$A68,Tabla1[nombre_actividad],EV!F$1),NA())</f>
        <v>228</v>
      </c>
      <c r="G68" s="67"/>
      <c r="H68" s="110"/>
      <c r="I68" s="228">
        <f ca="1">+C68*Catalogo!$F$19+EV!D68*Catalogo!$F$14+EV!E68*Catalogo!$F$16+EV!F68*Catalogo!$F$18</f>
        <v>3424987.6555900006</v>
      </c>
      <c r="J68" s="228">
        <f ca="1">IF(TODAY()&gt;=$A68,SUMIFS(Tabla1[EV],Tabla1[Fecha],"&lt;="&amp;A68,Tabla1[EV],"&gt;0"),NA())</f>
        <v>3424987.6555899996</v>
      </c>
      <c r="L68"/>
      <c r="M68"/>
      <c r="N68"/>
      <c r="O68"/>
      <c r="P68"/>
      <c r="Q68"/>
      <c r="R68"/>
      <c r="S68"/>
      <c r="T68"/>
      <c r="U68"/>
      <c r="V68"/>
    </row>
    <row r="69" spans="1:97" x14ac:dyDescent="0.25">
      <c r="A69" s="62">
        <f t="shared" ref="A69:A132" si="3">+A68+1</f>
        <v>46029</v>
      </c>
      <c r="B69" s="62"/>
      <c r="C69" s="110">
        <f ca="1">IF(TODAY()&gt;=$A69,SUMIFS(Tabla1[Avance_km],Tabla1[Fecha],"&lt;="&amp;EV!$A69,Tabla1[nombre_actividad],EV!C$1),NA())</f>
        <v>99.53900000000003</v>
      </c>
      <c r="D69" s="110">
        <f ca="1">IF(TODAY()&gt;=$A69,SUMIFS(Tabla1[Avance_km],Tabla1[Fecha],"&lt;="&amp;EV!$A69,Tabla1[nombre_actividad],EV!D$1),NA())</f>
        <v>68.281999999999996</v>
      </c>
      <c r="E69" s="110">
        <f ca="1">IF(TODAY()&gt;=$A69,SUMIFS(Tabla1[Avance_km],Tabla1[Fecha],"&lt;="&amp;EV!$A69,Tabla1[nombre_actividad],EV!E$1,Tabla1[Avance_km],"&gt;0"),NA())</f>
        <v>94.19300000000004</v>
      </c>
      <c r="F69" s="67">
        <f ca="1">IF(TODAY()&gt;=$A69,SUMIFS(Tabla1[Avance_Med],Tabla1[Fecha],"&lt;="&amp;EV!$A69,Tabla1[nombre_actividad],EV!F$1),NA())</f>
        <v>233</v>
      </c>
      <c r="G69" s="67"/>
      <c r="H69" s="110"/>
      <c r="I69" s="228">
        <f ca="1">+C69*Catalogo!$F$19+EV!D69*Catalogo!$F$14+EV!E69*Catalogo!$F$16+EV!F69*Catalogo!$F$18</f>
        <v>3578411.7035900005</v>
      </c>
      <c r="J69" s="228">
        <f ca="1">IF(TODAY()&gt;=$A69,SUMIFS(Tabla1[EV],Tabla1[Fecha],"&lt;="&amp;A69,Tabla1[EV],"&gt;0"),NA())</f>
        <v>3578411.7035899996</v>
      </c>
      <c r="L69"/>
      <c r="M69"/>
      <c r="N69"/>
      <c r="O69"/>
      <c r="P69"/>
      <c r="Q69"/>
      <c r="R69"/>
      <c r="S69"/>
      <c r="T69"/>
      <c r="U69"/>
      <c r="V69"/>
    </row>
    <row r="70" spans="1:97" x14ac:dyDescent="0.25">
      <c r="A70" s="62">
        <f t="shared" si="3"/>
        <v>46030</v>
      </c>
      <c r="B70" s="62"/>
      <c r="C70" s="110">
        <f ca="1">IF(TODAY()&gt;=$A70,SUMIFS(Tabla1[Avance_km],Tabla1[Fecha],"&lt;="&amp;EV!$A70,Tabla1[nombre_actividad],EV!C$1),NA())</f>
        <v>99.53900000000003</v>
      </c>
      <c r="D70" s="110">
        <f ca="1">IF(TODAY()&gt;=$A70,SUMIFS(Tabla1[Avance_km],Tabla1[Fecha],"&lt;="&amp;EV!$A70,Tabla1[nombre_actividad],EV!D$1),NA())</f>
        <v>68.281999999999996</v>
      </c>
      <c r="E70" s="110">
        <f ca="1">IF(TODAY()&gt;=$A70,SUMIFS(Tabla1[Avance_km],Tabla1[Fecha],"&lt;="&amp;EV!$A70,Tabla1[nombre_actividad],EV!E$1,Tabla1[Avance_km],"&gt;0"),NA())</f>
        <v>99.527000000000044</v>
      </c>
      <c r="F70" s="67">
        <f ca="1">IF(TODAY()&gt;=$A70,SUMIFS(Tabla1[Avance_Med],Tabla1[Fecha],"&lt;="&amp;EV!$A70,Tabla1[nombre_actividad],EV!F$1),NA())</f>
        <v>242</v>
      </c>
      <c r="G70" s="67"/>
      <c r="H70" s="110"/>
      <c r="I70" s="228">
        <f ca="1">+C70*Catalogo!$F$19+EV!D70*Catalogo!$F$14+EV!E70*Catalogo!$F$16+EV!F70*Catalogo!$F$18</f>
        <v>3692639.4340100004</v>
      </c>
      <c r="J70" s="228">
        <f ca="1">IF(TODAY()&gt;=$A70,SUMIFS(Tabla1[EV],Tabla1[Fecha],"&lt;="&amp;A70,Tabla1[EV],"&gt;0"),NA())</f>
        <v>3692639.4340099995</v>
      </c>
      <c r="L70"/>
      <c r="M70"/>
      <c r="N70"/>
      <c r="O70"/>
      <c r="P70"/>
      <c r="Q70"/>
      <c r="R70"/>
      <c r="S70"/>
      <c r="T70"/>
      <c r="U70"/>
      <c r="V70"/>
    </row>
    <row r="71" spans="1:97" x14ac:dyDescent="0.25">
      <c r="A71" s="62">
        <f t="shared" si="3"/>
        <v>46031</v>
      </c>
      <c r="B71" s="62"/>
      <c r="C71" s="110">
        <f ca="1">IF(TODAY()&gt;=$A71,SUMIFS(Tabla1[Avance_km],Tabla1[Fecha],"&lt;="&amp;EV!$A71,Tabla1[nombre_actividad],EV!C$1),NA())</f>
        <v>99.826000000000036</v>
      </c>
      <c r="D71" s="110">
        <f ca="1">IF(TODAY()&gt;=$A71,SUMIFS(Tabla1[Avance_km],Tabla1[Fecha],"&lt;="&amp;EV!$A71,Tabla1[nombre_actividad],EV!D$1),NA())</f>
        <v>70.242999999999995</v>
      </c>
      <c r="E71" s="110">
        <f ca="1">IF(TODAY()&gt;=$A71,SUMIFS(Tabla1[Avance_km],Tabla1[Fecha],"&lt;="&amp;EV!$A71,Tabla1[nombre_actividad],EV!E$1,Tabla1[Avance_km],"&gt;0"),NA())</f>
        <v>99.527000000000044</v>
      </c>
      <c r="F71" s="67">
        <f ca="1">IF(TODAY()&gt;=$A71,SUMIFS(Tabla1[Avance_Med],Tabla1[Fecha],"&lt;="&amp;EV!$A71,Tabla1[nombre_actividad],EV!F$1),NA())</f>
        <v>250</v>
      </c>
      <c r="G71" s="67"/>
      <c r="H71" s="110"/>
      <c r="I71" s="228">
        <f ca="1">+C71*Catalogo!$F$19+EV!D71*Catalogo!$F$14+EV!E71*Catalogo!$F$16+EV!F71*Catalogo!$F$18</f>
        <v>3759027.7985600005</v>
      </c>
      <c r="J71" s="228">
        <f ca="1">IF(TODAY()&gt;=$A71,SUMIFS(Tabla1[EV],Tabla1[Fecha],"&lt;="&amp;A71,Tabla1[EV],"&gt;0"),NA())</f>
        <v>3759027.7985599996</v>
      </c>
      <c r="L71"/>
      <c r="M71"/>
      <c r="N71"/>
      <c r="O71"/>
      <c r="P71"/>
      <c r="Q71"/>
      <c r="R71"/>
      <c r="S71"/>
      <c r="T71"/>
      <c r="U71"/>
      <c r="V71"/>
    </row>
    <row r="72" spans="1:97" x14ac:dyDescent="0.25">
      <c r="A72" s="62">
        <f t="shared" si="3"/>
        <v>46032</v>
      </c>
      <c r="B72" s="62"/>
      <c r="C72" s="110">
        <f ca="1">IF(TODAY()&gt;=$A72,SUMIFS(Tabla1[Avance_km],Tabla1[Fecha],"&lt;="&amp;EV!$A72,Tabla1[nombre_actividad],EV!C$1),NA())</f>
        <v>99.826000000000036</v>
      </c>
      <c r="D72" s="110">
        <f ca="1">IF(TODAY()&gt;=$A72,SUMIFS(Tabla1[Avance_km],Tabla1[Fecha],"&lt;="&amp;EV!$A72,Tabla1[nombre_actividad],EV!D$1),NA())</f>
        <v>71.438999999999993</v>
      </c>
      <c r="E72" s="110">
        <f ca="1">IF(TODAY()&gt;=$A72,SUMIFS(Tabla1[Avance_km],Tabla1[Fecha],"&lt;="&amp;EV!$A72,Tabla1[nombre_actividad],EV!E$1,Tabla1[Avance_km],"&gt;0"),NA())</f>
        <v>99.527000000000044</v>
      </c>
      <c r="F72" s="67">
        <f ca="1">IF(TODAY()&gt;=$A72,SUMIFS(Tabla1[Avance_Med],Tabla1[Fecha],"&lt;="&amp;EV!$A72,Tabla1[nombre_actividad],EV!F$1),NA())</f>
        <v>250</v>
      </c>
      <c r="G72" s="67"/>
      <c r="H72" s="110"/>
      <c r="I72" s="228">
        <f ca="1">+C72*Catalogo!$F$19+EV!D72*Catalogo!$F$14+EV!E72*Catalogo!$F$16+EV!F72*Catalogo!$F$18</f>
        <v>3776395.4049200006</v>
      </c>
      <c r="J72" s="228">
        <f ca="1">IF(TODAY()&gt;=$A72,SUMIFS(Tabla1[EV],Tabla1[Fecha],"&lt;="&amp;A72,Tabla1[EV],"&gt;0"),NA())</f>
        <v>3776395.4049199997</v>
      </c>
      <c r="L72"/>
      <c r="M72"/>
      <c r="N72"/>
      <c r="O72"/>
      <c r="P72"/>
      <c r="Q72"/>
      <c r="R72"/>
      <c r="S72"/>
      <c r="T72"/>
      <c r="U72"/>
      <c r="V72"/>
    </row>
    <row r="73" spans="1:97" x14ac:dyDescent="0.25">
      <c r="A73" s="62">
        <f t="shared" si="3"/>
        <v>46033</v>
      </c>
      <c r="B73" s="62"/>
      <c r="C73" s="110">
        <f ca="1">IF(TODAY()&gt;=$A73,SUMIFS(Tabla1[Avance_km],Tabla1[Fecha],"&lt;="&amp;EV!$A73,Tabla1[nombre_actividad],EV!C$1),NA())</f>
        <v>99.826000000000036</v>
      </c>
      <c r="D73" s="110">
        <f ca="1">IF(TODAY()&gt;=$A73,SUMIFS(Tabla1[Avance_km],Tabla1[Fecha],"&lt;="&amp;EV!$A73,Tabla1[nombre_actividad],EV!D$1),NA())</f>
        <v>72.580999999999989</v>
      </c>
      <c r="E73" s="110">
        <f ca="1">IF(TODAY()&gt;=$A73,SUMIFS(Tabla1[Avance_km],Tabla1[Fecha],"&lt;="&amp;EV!$A73,Tabla1[nombre_actividad],EV!E$1,Tabla1[Avance_km],"&gt;0"),NA())</f>
        <v>99.527000000000044</v>
      </c>
      <c r="F73" s="67">
        <f ca="1">IF(TODAY()&gt;=$A73,SUMIFS(Tabla1[Avance_Med],Tabla1[Fecha],"&lt;="&amp;EV!$A73,Tabla1[nombre_actividad],EV!F$1),NA())</f>
        <v>250</v>
      </c>
      <c r="G73" s="67"/>
      <c r="H73" s="110"/>
      <c r="I73" s="228">
        <f ca="1">+C73*Catalogo!$F$19+EV!D73*Catalogo!$F$14+EV!E73*Catalogo!$F$16+EV!F73*Catalogo!$F$18</f>
        <v>3792978.8551400006</v>
      </c>
      <c r="J73" s="228">
        <f ca="1">IF(TODAY()&gt;=$A73,SUMIFS(Tabla1[EV],Tabla1[Fecha],"&lt;="&amp;A73,Tabla1[EV],"&gt;0"),NA())</f>
        <v>3792978.8551399997</v>
      </c>
      <c r="L73"/>
      <c r="M73"/>
      <c r="N73"/>
      <c r="O73"/>
      <c r="P73"/>
      <c r="Q73"/>
      <c r="R73"/>
      <c r="S73"/>
      <c r="T73"/>
      <c r="U73"/>
      <c r="V73"/>
    </row>
    <row r="74" spans="1:97" x14ac:dyDescent="0.25">
      <c r="A74" s="62">
        <f t="shared" si="3"/>
        <v>46034</v>
      </c>
      <c r="B74" s="62"/>
      <c r="C74" s="110">
        <f ca="1">IF(TODAY()&gt;=$A74,SUMIFS(Tabla1[Avance_km],Tabla1[Fecha],"&lt;="&amp;EV!$A74,Tabla1[nombre_actividad],EV!C$1),NA())</f>
        <v>99.826000000000036</v>
      </c>
      <c r="D74" s="110">
        <f ca="1">IF(TODAY()&gt;=$A74,SUMIFS(Tabla1[Avance_km],Tabla1[Fecha],"&lt;="&amp;EV!$A74,Tabla1[nombre_actividad],EV!D$1),NA())</f>
        <v>76.180999999999983</v>
      </c>
      <c r="E74" s="110">
        <f ca="1">IF(TODAY()&gt;=$A74,SUMIFS(Tabla1[Avance_km],Tabla1[Fecha],"&lt;="&amp;EV!$A74,Tabla1[nombre_actividad],EV!E$1,Tabla1[Avance_km],"&gt;0"),NA())</f>
        <v>99.527000000000044</v>
      </c>
      <c r="F74" s="67">
        <f ca="1">IF(TODAY()&gt;=$A74,SUMIFS(Tabla1[Avance_Med],Tabla1[Fecha],"&lt;="&amp;EV!$A74,Tabla1[nombre_actividad],EV!F$1),NA())</f>
        <v>258</v>
      </c>
      <c r="G74" s="67"/>
      <c r="H74" s="110"/>
      <c r="I74" s="228">
        <f ca="1">+C74*Catalogo!$F$19+EV!D74*Catalogo!$F$14+EV!E74*Catalogo!$F$16+EV!F74*Catalogo!$F$18</f>
        <v>3882519.93114</v>
      </c>
      <c r="J74" s="228">
        <f ca="1">IF(TODAY()&gt;=$A74,SUMIFS(Tabla1[EV],Tabla1[Fecha],"&lt;="&amp;A74,Tabla1[EV],"&gt;0"),NA())</f>
        <v>3882519.9311399995</v>
      </c>
      <c r="L74"/>
      <c r="M74"/>
      <c r="N74"/>
      <c r="O74"/>
      <c r="P74"/>
      <c r="Q74"/>
      <c r="R74"/>
      <c r="S74"/>
      <c r="T74"/>
      <c r="U74"/>
      <c r="V74"/>
      <c r="W74"/>
      <c r="X74"/>
      <c r="Y74"/>
    </row>
    <row r="75" spans="1:97" x14ac:dyDescent="0.25">
      <c r="A75" s="62">
        <f t="shared" si="3"/>
        <v>46035</v>
      </c>
      <c r="B75" s="62"/>
      <c r="C75" s="110">
        <f ca="1">IF(TODAY()&gt;=$A75,SUMIFS(Tabla1[Avance_km],Tabla1[Fecha],"&lt;="&amp;EV!$A75,Tabla1[nombre_actividad],EV!C$1),NA())</f>
        <v>99.869000000000042</v>
      </c>
      <c r="D75" s="110">
        <f ca="1">IF(TODAY()&gt;=$A75,SUMIFS(Tabla1[Avance_km],Tabla1[Fecha],"&lt;="&amp;EV!$A75,Tabla1[nombre_actividad],EV!D$1),NA())</f>
        <v>76.23599999999999</v>
      </c>
      <c r="E75" s="110">
        <f ca="1">IF(TODAY()&gt;=$A75,SUMIFS(Tabla1[Avance_km],Tabla1[Fecha],"&lt;="&amp;EV!$A75,Tabla1[nombre_actividad],EV!E$1,Tabla1[Avance_km],"&gt;0"),NA())</f>
        <v>99.869000000000057</v>
      </c>
      <c r="F75" s="67">
        <f ca="1">IF(TODAY()&gt;=$A75,SUMIFS(Tabla1[Avance_Med],Tabla1[Fecha],"&lt;="&amp;EV!$A75,Tabla1[nombre_actividad],EV!F$1),NA())</f>
        <v>266</v>
      </c>
      <c r="G75" s="67"/>
      <c r="H75" s="110"/>
      <c r="I75" s="228">
        <f ca="1">+C75*Catalogo!$F$19+EV!D75*Catalogo!$F$14+EV!E75*Catalogo!$F$16+EV!F75*Catalogo!$F$18</f>
        <v>3925315.7032100004</v>
      </c>
      <c r="J75" s="228">
        <f ca="1">IF(TODAY()&gt;=$A75,SUMIFS(Tabla1[EV],Tabla1[Fecha],"&lt;="&amp;A75,Tabla1[EV],"&gt;0"),NA())</f>
        <v>3925315.7032099995</v>
      </c>
      <c r="L75"/>
      <c r="M75"/>
      <c r="N75"/>
      <c r="O75"/>
      <c r="P75"/>
      <c r="Q75"/>
      <c r="R75"/>
      <c r="S75"/>
      <c r="T75"/>
      <c r="U75"/>
      <c r="V75"/>
      <c r="W75"/>
      <c r="X75"/>
      <c r="Y75"/>
    </row>
    <row r="76" spans="1:97" x14ac:dyDescent="0.25">
      <c r="A76" s="62">
        <f t="shared" si="3"/>
        <v>46036</v>
      </c>
      <c r="B76" s="62"/>
      <c r="C76" s="110">
        <f ca="1">IF(TODAY()&gt;=$A76,SUMIFS(Tabla1[Avance_km],Tabla1[Fecha],"&lt;="&amp;EV!$A76,Tabla1[nombre_actividad],EV!C$1),NA())</f>
        <v>99.869000000000042</v>
      </c>
      <c r="D76" s="110">
        <f ca="1">IF(TODAY()&gt;=$A76,SUMIFS(Tabla1[Avance_km],Tabla1[Fecha],"&lt;="&amp;EV!$A76,Tabla1[nombre_actividad],EV!D$1),NA())</f>
        <v>80.73599999999999</v>
      </c>
      <c r="E76" s="110">
        <f ca="1">IF(TODAY()&gt;=$A76,SUMIFS(Tabla1[Avance_km],Tabla1[Fecha],"&lt;="&amp;EV!$A76,Tabla1[nombre_actividad],EV!E$1,Tabla1[Avance_km],"&gt;0"),NA())</f>
        <v>99.869000000000057</v>
      </c>
      <c r="F76" s="67">
        <f ca="1">IF(TODAY()&gt;=$A76,SUMIFS(Tabla1[Avance_Med],Tabla1[Fecha],"&lt;="&amp;EV!$A76,Tabla1[nombre_actividad],EV!F$1),NA())</f>
        <v>271</v>
      </c>
      <c r="G76" s="67"/>
      <c r="H76" s="110"/>
      <c r="I76" s="228">
        <f ca="1">+C76*Catalogo!$F$19+EV!D76*Catalogo!$F$14+EV!E76*Catalogo!$F$16+EV!F76*Catalogo!$F$18</f>
        <v>4013952.0482100006</v>
      </c>
      <c r="J76" s="228">
        <f ca="1">IF(TODAY()&gt;=$A76,SUMIFS(Tabla1[EV],Tabla1[Fecha],"&lt;="&amp;A76,Tabla1[EV],"&gt;0"),NA())</f>
        <v>4013952.0482099997</v>
      </c>
      <c r="L76"/>
      <c r="M76"/>
      <c r="N76"/>
      <c r="O76"/>
      <c r="P76"/>
      <c r="Q76"/>
      <c r="R76"/>
      <c r="S76"/>
      <c r="T76"/>
      <c r="U76"/>
      <c r="V76"/>
      <c r="W76"/>
      <c r="X76"/>
      <c r="Y76"/>
    </row>
    <row r="77" spans="1:97" x14ac:dyDescent="0.25">
      <c r="A77" s="62">
        <f t="shared" si="3"/>
        <v>46037</v>
      </c>
      <c r="B77" s="62"/>
      <c r="C77" s="110">
        <f ca="1">IF(TODAY()&gt;=$A77,SUMIFS(Tabla1[Avance_km],Tabla1[Fecha],"&lt;="&amp;EV!$A77,Tabla1[nombre_actividad],EV!C$1),NA())</f>
        <v>99.869000000000042</v>
      </c>
      <c r="D77" s="110">
        <f ca="1">IF(TODAY()&gt;=$A77,SUMIFS(Tabla1[Avance_km],Tabla1[Fecha],"&lt;="&amp;EV!$A77,Tabla1[nombre_actividad],EV!D$1),NA())</f>
        <v>82.785999999999987</v>
      </c>
      <c r="E77" s="110">
        <f ca="1">IF(TODAY()&gt;=$A77,SUMIFS(Tabla1[Avance_km],Tabla1[Fecha],"&lt;="&amp;EV!$A77,Tabla1[nombre_actividad],EV!E$1,Tabla1[Avance_km],"&gt;0"),NA())</f>
        <v>99.869000000000057</v>
      </c>
      <c r="F77" s="67">
        <f ca="1">IF(TODAY()&gt;=$A77,SUMIFS(Tabla1[Avance_Med],Tabla1[Fecha],"&lt;="&amp;EV!$A77,Tabla1[nombre_actividad],EV!F$1),NA())</f>
        <v>279</v>
      </c>
      <c r="G77" s="67"/>
      <c r="H77" s="110"/>
      <c r="I77" s="228">
        <f ca="1">+C77*Catalogo!$F$19+EV!D77*Catalogo!$F$14+EV!E77*Catalogo!$F$16+EV!F77*Catalogo!$F$18</f>
        <v>4080984.9387100004</v>
      </c>
      <c r="J77" s="228">
        <f ca="1">IF(TODAY()&gt;=$A77,SUMIFS(Tabla1[EV],Tabla1[Fecha],"&lt;="&amp;A77,Tabla1[EV],"&gt;0"),NA())</f>
        <v>4080984.9387099999</v>
      </c>
      <c r="L77"/>
      <c r="M77" s="225"/>
      <c r="N77"/>
      <c r="O77"/>
      <c r="P77"/>
      <c r="Q77"/>
      <c r="R77"/>
      <c r="S77"/>
      <c r="T77"/>
      <c r="U77"/>
      <c r="V77"/>
      <c r="W77"/>
      <c r="X77"/>
      <c r="Y77"/>
    </row>
    <row r="78" spans="1:97" x14ac:dyDescent="0.25">
      <c r="A78" s="62">
        <f t="shared" si="3"/>
        <v>46038</v>
      </c>
      <c r="B78" s="62"/>
      <c r="C78" s="110">
        <f ca="1">IF(TODAY()&gt;=$A78,SUMIFS(Tabla1[Avance_km],Tabla1[Fecha],"&lt;="&amp;EV!$A78,Tabla1[nombre_actividad],EV!C$1),NA())</f>
        <v>99.869000000000042</v>
      </c>
      <c r="D78" s="110">
        <f ca="1">IF(TODAY()&gt;=$A78,SUMIFS(Tabla1[Avance_km],Tabla1[Fecha],"&lt;="&amp;EV!$A78,Tabla1[nombre_actividad],EV!D$1),NA())</f>
        <v>87.57</v>
      </c>
      <c r="E78" s="110">
        <f ca="1">IF(TODAY()&gt;=$A78,SUMIFS(Tabla1[Avance_km],Tabla1[Fecha],"&lt;="&amp;EV!$A78,Tabla1[nombre_actividad],EV!E$1,Tabla1[Avance_km],"&gt;0"),NA())</f>
        <v>99.869000000000057</v>
      </c>
      <c r="F78" s="67">
        <f ca="1">IF(TODAY()&gt;=$A78,SUMIFS(Tabla1[Avance_Med],Tabla1[Fecha],"&lt;="&amp;EV!$A78,Tabla1[nombre_actividad],EV!F$1),NA())</f>
        <v>286</v>
      </c>
      <c r="G78" s="67"/>
      <c r="H78" s="110"/>
      <c r="I78" s="228">
        <f ca="1">+C78*Catalogo!$F$19+EV!D78*Catalogo!$F$14+EV!E78*Catalogo!$F$16+EV!F78*Catalogo!$F$18</f>
        <v>4183061.3641500007</v>
      </c>
      <c r="J78" s="228">
        <f ca="1">IF(TODAY()&gt;=$A78,SUMIFS(Tabla1[EV],Tabla1[Fecha],"&lt;="&amp;A78,Tabla1[EV],"&gt;0"),NA())</f>
        <v>4183061.3641500003</v>
      </c>
      <c r="L78"/>
      <c r="M78" s="225"/>
      <c r="N78"/>
      <c r="O78"/>
      <c r="P78"/>
      <c r="Q78"/>
      <c r="R78"/>
      <c r="S78"/>
      <c r="T78"/>
      <c r="U78"/>
      <c r="V78"/>
      <c r="W78"/>
      <c r="X78"/>
      <c r="Y78"/>
    </row>
    <row r="79" spans="1:97" x14ac:dyDescent="0.25">
      <c r="A79" s="62">
        <f t="shared" si="3"/>
        <v>46039</v>
      </c>
      <c r="B79" s="62"/>
      <c r="C79" s="110">
        <f ca="1">IF(TODAY()&gt;=$A79,SUMIFS(Tabla1[Avance_km],Tabla1[Fecha],"&lt;="&amp;EV!$A79,Tabla1[nombre_actividad],EV!C$1),NA())</f>
        <v>99.869000000000042</v>
      </c>
      <c r="D79" s="110">
        <f ca="1">IF(TODAY()&gt;=$A79,SUMIFS(Tabla1[Avance_km],Tabla1[Fecha],"&lt;="&amp;EV!$A79,Tabla1[nombre_actividad],EV!D$1),NA())</f>
        <v>89.424999999999997</v>
      </c>
      <c r="E79" s="110">
        <f ca="1">IF(TODAY()&gt;=$A79,SUMIFS(Tabla1[Avance_km],Tabla1[Fecha],"&lt;="&amp;EV!$A79,Tabla1[nombre_actividad],EV!E$1,Tabla1[Avance_km],"&gt;0"),NA())</f>
        <v>99.869000000000057</v>
      </c>
      <c r="F79" s="67">
        <f ca="1">IF(TODAY()&gt;=$A79,SUMIFS(Tabla1[Avance_Med],Tabla1[Fecha],"&lt;="&amp;EV!$A79,Tabla1[nombre_actividad],EV!F$1),NA())</f>
        <v>292</v>
      </c>
      <c r="G79" s="67"/>
      <c r="H79" s="110"/>
      <c r="I79" s="228">
        <f ca="1">+C79*Catalogo!$F$19+EV!D79*Catalogo!$F$14+EV!E79*Catalogo!$F$16+EV!F79*Catalogo!$F$18</f>
        <v>4237946.5797000006</v>
      </c>
      <c r="J79" s="228">
        <f ca="1">IF(TODAY()&gt;=$A79,SUMIFS(Tabla1[EV],Tabla1[Fecha],"&lt;="&amp;A79,Tabla1[EV],"&gt;0"),NA())</f>
        <v>4237946.5797000006</v>
      </c>
      <c r="L79"/>
      <c r="M79" s="225"/>
      <c r="N79"/>
      <c r="O79"/>
      <c r="P79"/>
      <c r="Q79"/>
      <c r="R79"/>
      <c r="S79"/>
      <c r="T79"/>
      <c r="U79"/>
      <c r="V79"/>
      <c r="W79"/>
      <c r="X79"/>
      <c r="Y79"/>
    </row>
    <row r="80" spans="1:97" x14ac:dyDescent="0.25">
      <c r="A80" s="62">
        <f t="shared" si="3"/>
        <v>46040</v>
      </c>
      <c r="B80" s="62"/>
      <c r="C80" s="110">
        <f ca="1">IF(TODAY()&gt;=$A80,SUMIFS(Tabla1[Avance_km],Tabla1[Fecha],"&lt;="&amp;EV!$A80,Tabla1[nombre_actividad],EV!C$1),NA())</f>
        <v>99.869000000000042</v>
      </c>
      <c r="D80" s="110">
        <f ca="1">IF(TODAY()&gt;=$A80,SUMIFS(Tabla1[Avance_km],Tabla1[Fecha],"&lt;="&amp;EV!$A80,Tabla1[nombre_actividad],EV!D$1),NA())</f>
        <v>93.064999999999998</v>
      </c>
      <c r="E80" s="110">
        <f ca="1">IF(TODAY()&gt;=$A80,SUMIFS(Tabla1[Avance_km],Tabla1[Fecha],"&lt;="&amp;EV!$A80,Tabla1[nombre_actividad],EV!E$1,Tabla1[Avance_km],"&gt;0"),NA())</f>
        <v>99.869000000000057</v>
      </c>
      <c r="F80" s="67">
        <f ca="1">IF(TODAY()&gt;=$A80,SUMIFS(Tabla1[Avance_Med],Tabla1[Fecha],"&lt;="&amp;EV!$A80,Tabla1[nombre_actividad],EV!F$1),NA())</f>
        <v>292</v>
      </c>
      <c r="G80" s="67"/>
      <c r="H80" s="110"/>
      <c r="I80" s="228">
        <f ca="1">+C80*Catalogo!$F$19+EV!D80*Catalogo!$F$14+EV!E80*Catalogo!$F$16+EV!F80*Catalogo!$F$18</f>
        <v>4290804.5121000009</v>
      </c>
      <c r="J80" s="228">
        <f ca="1">IF(TODAY()&gt;=$A80,SUMIFS(Tabla1[EV],Tabla1[Fecha],"&lt;="&amp;A80,Tabla1[EV],"&gt;0"),NA())</f>
        <v>4290804.5121000009</v>
      </c>
      <c r="L80"/>
      <c r="M80" s="225"/>
      <c r="N80"/>
      <c r="O80"/>
      <c r="P80"/>
      <c r="Q80"/>
      <c r="R80"/>
      <c r="S80"/>
      <c r="T80"/>
      <c r="U80"/>
      <c r="V80"/>
      <c r="W80"/>
      <c r="X80"/>
      <c r="Y80"/>
    </row>
    <row r="81" spans="1:25" x14ac:dyDescent="0.25">
      <c r="A81" s="62">
        <f t="shared" si="3"/>
        <v>46041</v>
      </c>
      <c r="B81" s="62"/>
      <c r="C81" s="110">
        <f ca="1">IF(TODAY()&gt;=$A81,SUMIFS(Tabla1[Avance_km],Tabla1[Fecha],"&lt;="&amp;EV!$A81,Tabla1[nombre_actividad],EV!C$1),NA())</f>
        <v>99.869000000000042</v>
      </c>
      <c r="D81" s="110">
        <f ca="1">IF(TODAY()&gt;=$A81,SUMIFS(Tabla1[Avance_km],Tabla1[Fecha],"&lt;="&amp;EV!$A81,Tabla1[nombre_actividad],EV!D$1),NA())</f>
        <v>98.064999999999998</v>
      </c>
      <c r="E81" s="110">
        <f ca="1">IF(TODAY()&gt;=$A81,SUMIFS(Tabla1[Avance_km],Tabla1[Fecha],"&lt;="&amp;EV!$A81,Tabla1[nombre_actividad],EV!E$1,Tabla1[Avance_km],"&gt;0"),NA())</f>
        <v>99.869000000000057</v>
      </c>
      <c r="F81" s="67">
        <f ca="1">IF(TODAY()&gt;=$A81,SUMIFS(Tabla1[Avance_Med],Tabla1[Fecha],"&lt;="&amp;EV!$A81,Tabla1[nombre_actividad],EV!F$1),NA())</f>
        <v>298</v>
      </c>
      <c r="G81" s="67"/>
      <c r="H81" s="110"/>
      <c r="I81" s="228">
        <f ca="1">+C81*Catalogo!$F$19+EV!D81*Catalogo!$F$14+EV!E81*Catalogo!$F$16+EV!F81*Catalogo!$F$18</f>
        <v>4391359.5621000007</v>
      </c>
      <c r="J81" s="228">
        <f ca="1">IF(TODAY()&gt;=$A81,SUMIFS(Tabla1[EV],Tabla1[Fecha],"&lt;="&amp;A81,Tabla1[EV],"&gt;0"),NA())</f>
        <v>4391359.5621000007</v>
      </c>
      <c r="L81"/>
      <c r="M81" s="225"/>
      <c r="N81"/>
      <c r="O81"/>
      <c r="P81"/>
      <c r="Q81"/>
      <c r="R81"/>
      <c r="S81"/>
      <c r="T81"/>
      <c r="U81"/>
      <c r="V81"/>
      <c r="W81"/>
      <c r="X81"/>
      <c r="Y81"/>
    </row>
    <row r="82" spans="1:25" x14ac:dyDescent="0.25">
      <c r="A82" s="62">
        <f t="shared" si="3"/>
        <v>46042</v>
      </c>
      <c r="B82" s="62"/>
      <c r="C82" s="110">
        <f ca="1">IF(TODAY()&gt;=$A82,SUMIFS(Tabla1[Avance_km],Tabla1[Fecha],"&lt;="&amp;EV!$A82,Tabla1[nombre_actividad],EV!C$1),NA())</f>
        <v>99.906000000000049</v>
      </c>
      <c r="D82" s="110">
        <f ca="1">IF(TODAY()&gt;=$A82,SUMIFS(Tabla1[Avance_km],Tabla1[Fecha],"&lt;="&amp;EV!$A82,Tabla1[nombre_actividad],EV!D$1),NA())</f>
        <v>99.906000000000006</v>
      </c>
      <c r="E82" s="110">
        <f ca="1">IF(TODAY()&gt;=$A82,SUMIFS(Tabla1[Avance_km],Tabla1[Fecha],"&lt;="&amp;EV!$A82,Tabla1[nombre_actividad],EV!E$1,Tabla1[Avance_km],"&gt;0"),NA())</f>
        <v>99.906000000000063</v>
      </c>
      <c r="F82" s="67">
        <f ca="1">IF(TODAY()&gt;=$A82,SUMIFS(Tabla1[Avance_Med],Tabla1[Fecha],"&lt;="&amp;EV!$A82,Tabla1[nombre_actividad],EV!F$1),NA())</f>
        <v>307</v>
      </c>
      <c r="G82" s="67"/>
      <c r="H82" s="110"/>
      <c r="I82" s="228">
        <f ca="1">+C82*Catalogo!$F$19+EV!D82*Catalogo!$F$14+EV!E82*Catalogo!$F$16+EV!F82*Catalogo!$F$18</f>
        <v>4460600.5607600007</v>
      </c>
      <c r="J82" s="228">
        <f ca="1">IF(TODAY()&gt;=$A82,SUMIFS(Tabla1[EV],Tabla1[Fecha],"&lt;="&amp;A82,Tabla1[EV],"&gt;0"),NA())</f>
        <v>4460600.5607600007</v>
      </c>
      <c r="L82"/>
      <c r="M82" s="225"/>
      <c r="N82"/>
      <c r="O82"/>
      <c r="P82"/>
      <c r="Q82"/>
      <c r="R82"/>
      <c r="S82"/>
      <c r="T82"/>
      <c r="U82"/>
      <c r="V82"/>
      <c r="W82"/>
      <c r="X82"/>
      <c r="Y82"/>
    </row>
    <row r="83" spans="1:25" x14ac:dyDescent="0.25">
      <c r="A83" s="62">
        <f t="shared" si="3"/>
        <v>46043</v>
      </c>
      <c r="B83" s="62"/>
      <c r="C83" s="110">
        <f ca="1">IF(TODAY()&gt;=$A83,SUMIFS(Tabla1[Avance_km],Tabla1[Fecha],"&lt;="&amp;EV!$A83,Tabla1[nombre_actividad],EV!C$1),NA())</f>
        <v>99.906000000000049</v>
      </c>
      <c r="D83" s="110">
        <f ca="1">IF(TODAY()&gt;=$A83,SUMIFS(Tabla1[Avance_km],Tabla1[Fecha],"&lt;="&amp;EV!$A83,Tabla1[nombre_actividad],EV!D$1),NA())</f>
        <v>99.906000000000006</v>
      </c>
      <c r="E83" s="110">
        <f ca="1">IF(TODAY()&gt;=$A83,SUMIFS(Tabla1[Avance_km],Tabla1[Fecha],"&lt;="&amp;EV!$A83,Tabla1[nombre_actividad],EV!E$1,Tabla1[Avance_km],"&gt;0"),NA())</f>
        <v>99.906000000000063</v>
      </c>
      <c r="F83" s="67">
        <f ca="1">IF(TODAY()&gt;=$A83,SUMIFS(Tabla1[Avance_Med],Tabla1[Fecha],"&lt;="&amp;EV!$A83,Tabla1[nombre_actividad],EV!F$1),NA())</f>
        <v>309</v>
      </c>
      <c r="G83" s="67"/>
      <c r="H83" s="110"/>
      <c r="I83" s="228">
        <f ca="1">+C83*Catalogo!$F$19+EV!D83*Catalogo!$F$14+EV!E83*Catalogo!$F$16+EV!F83*Catalogo!$F$18</f>
        <v>4469916.5607600007</v>
      </c>
      <c r="J83" s="228">
        <f ca="1">IF(TODAY()&gt;=$A83,SUMIFS(Tabla1[EV],Tabla1[Fecha],"&lt;="&amp;A83,Tabla1[EV],"&gt;0"),NA())</f>
        <v>4469916.5607600007</v>
      </c>
      <c r="L83"/>
      <c r="M83" s="225"/>
      <c r="N83"/>
      <c r="O83"/>
      <c r="P83"/>
      <c r="Q83"/>
      <c r="R83"/>
      <c r="S83"/>
      <c r="T83"/>
      <c r="U83"/>
      <c r="V83"/>
      <c r="W83"/>
      <c r="X83"/>
      <c r="Y83"/>
    </row>
    <row r="84" spans="1:25" x14ac:dyDescent="0.25">
      <c r="A84" s="62">
        <f t="shared" si="3"/>
        <v>46044</v>
      </c>
      <c r="B84" s="62"/>
      <c r="C84" s="110">
        <f ca="1">IF(TODAY()&gt;=$A84,SUMIFS(Tabla1[Avance_km],Tabla1[Fecha],"&lt;="&amp;EV!$A84,Tabla1[nombre_actividad],EV!C$1),NA())</f>
        <v>99.906000000000049</v>
      </c>
      <c r="D84" s="110">
        <f ca="1">IF(TODAY()&gt;=$A84,SUMIFS(Tabla1[Avance_km],Tabla1[Fecha],"&lt;="&amp;EV!$A84,Tabla1[nombre_actividad],EV!D$1),NA())</f>
        <v>99.906000000000006</v>
      </c>
      <c r="E84" s="110">
        <f ca="1">IF(TODAY()&gt;=$A84,SUMIFS(Tabla1[Avance_km],Tabla1[Fecha],"&lt;="&amp;EV!$A84,Tabla1[nombre_actividad],EV!E$1,Tabla1[Avance_km],"&gt;0"),NA())</f>
        <v>99.906000000000063</v>
      </c>
      <c r="F84" s="67">
        <f ca="1">IF(TODAY()&gt;=$A84,SUMIFS(Tabla1[Avance_Med],Tabla1[Fecha],"&lt;="&amp;EV!$A84,Tabla1[nombre_actividad],EV!F$1),NA())</f>
        <v>315</v>
      </c>
      <c r="G84" s="67"/>
      <c r="H84" s="110"/>
      <c r="I84" s="228">
        <f ca="1">+C84*Catalogo!$F$19+EV!D84*Catalogo!$F$14+EV!E84*Catalogo!$F$16+EV!F84*Catalogo!$F$18</f>
        <v>4497864.5607600007</v>
      </c>
      <c r="J84" s="228">
        <f ca="1">IF(TODAY()&gt;=$A84,SUMIFS(Tabla1[EV],Tabla1[Fecha],"&lt;="&amp;A84,Tabla1[EV],"&gt;0"),NA())</f>
        <v>4497864.5607600007</v>
      </c>
      <c r="L84"/>
      <c r="M84" s="225"/>
      <c r="N84"/>
      <c r="O84"/>
      <c r="P84"/>
      <c r="Q84"/>
      <c r="R84"/>
      <c r="S84"/>
      <c r="T84"/>
      <c r="U84"/>
      <c r="V84"/>
      <c r="W84"/>
      <c r="X84"/>
      <c r="Y84"/>
    </row>
    <row r="85" spans="1:25" x14ac:dyDescent="0.25">
      <c r="A85" s="62">
        <f t="shared" si="3"/>
        <v>46045</v>
      </c>
      <c r="B85" s="62"/>
      <c r="C85" s="110">
        <f ca="1">IF(TODAY()&gt;=$A85,SUMIFS(Tabla1[Avance_km],Tabla1[Fecha],"&lt;="&amp;EV!$A85,Tabla1[nombre_actividad],EV!C$1),NA())</f>
        <v>99.906000000000049</v>
      </c>
      <c r="D85" s="110">
        <f ca="1">IF(TODAY()&gt;=$A85,SUMIFS(Tabla1[Avance_km],Tabla1[Fecha],"&lt;="&amp;EV!$A85,Tabla1[nombre_actividad],EV!D$1),NA())</f>
        <v>99.906000000000006</v>
      </c>
      <c r="E85" s="110">
        <f ca="1">IF(TODAY()&gt;=$A85,SUMIFS(Tabla1[Avance_km],Tabla1[Fecha],"&lt;="&amp;EV!$A85,Tabla1[nombre_actividad],EV!E$1,Tabla1[Avance_km],"&gt;0"),NA())</f>
        <v>99.906000000000063</v>
      </c>
      <c r="F85" s="67">
        <f ca="1">IF(TODAY()&gt;=$A85,SUMIFS(Tabla1[Avance_Med],Tabla1[Fecha],"&lt;="&amp;EV!$A85,Tabla1[nombre_actividad],EV!F$1),NA())</f>
        <v>324</v>
      </c>
      <c r="G85" s="67"/>
      <c r="H85" s="110"/>
      <c r="I85" s="228">
        <f ca="1">+C85*Catalogo!$F$19+EV!D85*Catalogo!$F$14+EV!E85*Catalogo!$F$16+EV!F85*Catalogo!$F$18</f>
        <v>4539786.5607600007</v>
      </c>
      <c r="J85" s="228">
        <f ca="1">IF(TODAY()&gt;=$A85,SUMIFS(Tabla1[EV],Tabla1[Fecha],"&lt;="&amp;A85,Tabla1[EV],"&gt;0"),NA())</f>
        <v>4539786.5607600007</v>
      </c>
      <c r="L85"/>
      <c r="M85" s="225"/>
      <c r="N85"/>
      <c r="O85"/>
      <c r="P85"/>
      <c r="Q85"/>
      <c r="R85"/>
      <c r="S85"/>
      <c r="T85"/>
      <c r="U85"/>
      <c r="V85"/>
      <c r="W85"/>
      <c r="X85"/>
      <c r="Y85"/>
    </row>
    <row r="86" spans="1:25" x14ac:dyDescent="0.25">
      <c r="A86" s="62">
        <f t="shared" si="3"/>
        <v>46046</v>
      </c>
      <c r="B86" s="62"/>
      <c r="C86" s="110">
        <f ca="1">IF(TODAY()&gt;=$A86,SUMIFS(Tabla1[Avance_km],Tabla1[Fecha],"&lt;="&amp;EV!$A86,Tabla1[nombre_actividad],EV!C$1),NA())</f>
        <v>99.906000000000049</v>
      </c>
      <c r="D86" s="110">
        <f ca="1">IF(TODAY()&gt;=$A86,SUMIFS(Tabla1[Avance_km],Tabla1[Fecha],"&lt;="&amp;EV!$A86,Tabla1[nombre_actividad],EV!D$1),NA())</f>
        <v>99.906000000000006</v>
      </c>
      <c r="E86" s="110">
        <f ca="1">IF(TODAY()&gt;=$A86,SUMIFS(Tabla1[Avance_km],Tabla1[Fecha],"&lt;="&amp;EV!$A86,Tabla1[nombre_actividad],EV!E$1,Tabla1[Avance_km],"&gt;0"),NA())</f>
        <v>99.906000000000063</v>
      </c>
      <c r="F86" s="67">
        <f ca="1">IF(TODAY()&gt;=$A86,SUMIFS(Tabla1[Avance_Med],Tabla1[Fecha],"&lt;="&amp;EV!$A86,Tabla1[nombre_actividad],EV!F$1),NA())</f>
        <v>324</v>
      </c>
      <c r="G86" s="67"/>
      <c r="H86" s="110"/>
      <c r="I86" s="228">
        <f ca="1">+C86*Catalogo!$F$19+EV!D86*Catalogo!$F$14+EV!E86*Catalogo!$F$16+EV!F86*Catalogo!$F$18</f>
        <v>4539786.5607600007</v>
      </c>
      <c r="J86" s="228">
        <f ca="1">IF(TODAY()&gt;=$A86,SUMIFS(Tabla1[EV],Tabla1[Fecha],"&lt;="&amp;A86,Tabla1[EV],"&gt;0"),NA())</f>
        <v>4539786.5607600007</v>
      </c>
      <c r="L86"/>
      <c r="M86" s="225"/>
      <c r="N86"/>
      <c r="O86"/>
      <c r="P86"/>
      <c r="Q86"/>
      <c r="R86"/>
      <c r="S86"/>
      <c r="T86"/>
      <c r="U86"/>
      <c r="V86"/>
      <c r="W86"/>
      <c r="X86"/>
      <c r="Y86"/>
    </row>
    <row r="87" spans="1:25" x14ac:dyDescent="0.25">
      <c r="A87" s="62">
        <f t="shared" si="3"/>
        <v>46047</v>
      </c>
      <c r="B87" s="62"/>
      <c r="C87" s="110">
        <f ca="1">IF(TODAY()&gt;=$A87,SUMIFS(Tabla1[Avance_km],Tabla1[Fecha],"&lt;="&amp;EV!$A87,Tabla1[nombre_actividad],EV!C$1),NA())</f>
        <v>99.906000000000049</v>
      </c>
      <c r="D87" s="110">
        <f ca="1">IF(TODAY()&gt;=$A87,SUMIFS(Tabla1[Avance_km],Tabla1[Fecha],"&lt;="&amp;EV!$A87,Tabla1[nombre_actividad],EV!D$1),NA())</f>
        <v>99.906000000000006</v>
      </c>
      <c r="E87" s="110">
        <f ca="1">IF(TODAY()&gt;=$A87,SUMIFS(Tabla1[Avance_km],Tabla1[Fecha],"&lt;="&amp;EV!$A87,Tabla1[nombre_actividad],EV!E$1,Tabla1[Avance_km],"&gt;0"),NA())</f>
        <v>99.906000000000063</v>
      </c>
      <c r="F87" s="67">
        <f ca="1">IF(TODAY()&gt;=$A87,SUMIFS(Tabla1[Avance_Med],Tabla1[Fecha],"&lt;="&amp;EV!$A87,Tabla1[nombre_actividad],EV!F$1),NA())</f>
        <v>324</v>
      </c>
      <c r="G87" s="67"/>
      <c r="H87" s="110"/>
      <c r="I87" s="228">
        <f ca="1">+C87*Catalogo!$F$19+EV!D87*Catalogo!$F$14+EV!E87*Catalogo!$F$16+EV!F87*Catalogo!$F$18</f>
        <v>4539786.5607600007</v>
      </c>
      <c r="J87" s="228">
        <f ca="1">IF(TODAY()&gt;=$A87,SUMIFS(Tabla1[EV],Tabla1[Fecha],"&lt;="&amp;A87,Tabla1[EV],"&gt;0"),NA())</f>
        <v>4539786.5607600007</v>
      </c>
      <c r="L87"/>
      <c r="M87" s="225"/>
      <c r="N87"/>
      <c r="O87"/>
      <c r="P87"/>
      <c r="Q87"/>
      <c r="R87"/>
      <c r="S87"/>
      <c r="T87"/>
      <c r="U87"/>
      <c r="V87"/>
      <c r="W87"/>
      <c r="X87"/>
      <c r="Y87"/>
    </row>
    <row r="88" spans="1:25" x14ac:dyDescent="0.25">
      <c r="A88" s="62">
        <f t="shared" si="3"/>
        <v>46048</v>
      </c>
      <c r="B88" s="62"/>
      <c r="C88" s="110">
        <f ca="1">IF(TODAY()&gt;=$A88,SUMIFS(Tabla1[Avance_km],Tabla1[Fecha],"&lt;="&amp;EV!$A88,Tabla1[nombre_actividad],EV!C$1),NA())</f>
        <v>99.906000000000049</v>
      </c>
      <c r="D88" s="110">
        <f ca="1">IF(TODAY()&gt;=$A88,SUMIFS(Tabla1[Avance_km],Tabla1[Fecha],"&lt;="&amp;EV!$A88,Tabla1[nombre_actividad],EV!D$1),NA())</f>
        <v>99.906000000000006</v>
      </c>
      <c r="E88" s="110">
        <f ca="1">IF(TODAY()&gt;=$A88,SUMIFS(Tabla1[Avance_km],Tabla1[Fecha],"&lt;="&amp;EV!$A88,Tabla1[nombre_actividad],EV!E$1,Tabla1[Avance_km],"&gt;0"),NA())</f>
        <v>99.906000000000063</v>
      </c>
      <c r="F88" s="67">
        <f ca="1">IF(TODAY()&gt;=$A88,SUMIFS(Tabla1[Avance_Med],Tabla1[Fecha],"&lt;="&amp;EV!$A88,Tabla1[nombre_actividad],EV!F$1),NA())</f>
        <v>332</v>
      </c>
      <c r="G88" s="67"/>
      <c r="H88" s="110"/>
      <c r="I88" s="228">
        <f ca="1">+C88*Catalogo!$F$19+EV!D88*Catalogo!$F$14+EV!E88*Catalogo!$F$16+EV!F88*Catalogo!$F$18</f>
        <v>4577050.5607600007</v>
      </c>
      <c r="J88" s="228">
        <f ca="1">IF(TODAY()&gt;=$A88,SUMIFS(Tabla1[EV],Tabla1[Fecha],"&lt;="&amp;A88,Tabla1[EV],"&gt;0"),NA())</f>
        <v>4577050.5607600007</v>
      </c>
      <c r="L88"/>
      <c r="M88" s="225"/>
      <c r="N88"/>
      <c r="O88"/>
      <c r="P88"/>
      <c r="Q88"/>
      <c r="R88"/>
      <c r="S88"/>
      <c r="T88"/>
      <c r="U88"/>
      <c r="V88"/>
      <c r="W88"/>
      <c r="X88"/>
      <c r="Y88"/>
    </row>
    <row r="89" spans="1:25" x14ac:dyDescent="0.25">
      <c r="A89" s="62">
        <f t="shared" si="3"/>
        <v>46049</v>
      </c>
      <c r="B89" s="62"/>
      <c r="C89" s="110">
        <f ca="1">IF(TODAY()&gt;=$A89,SUMIFS(Tabla1[Avance_km],Tabla1[Fecha],"&lt;="&amp;EV!$A89,Tabla1[nombre_actividad],EV!C$1),NA())</f>
        <v>99.906000000000049</v>
      </c>
      <c r="D89" s="110">
        <f ca="1">IF(TODAY()&gt;=$A89,SUMIFS(Tabla1[Avance_km],Tabla1[Fecha],"&lt;="&amp;EV!$A89,Tabla1[nombre_actividad],EV!D$1),NA())</f>
        <v>99.906000000000006</v>
      </c>
      <c r="E89" s="110">
        <f ca="1">IF(TODAY()&gt;=$A89,SUMIFS(Tabla1[Avance_km],Tabla1[Fecha],"&lt;="&amp;EV!$A89,Tabla1[nombre_actividad],EV!E$1,Tabla1[Avance_km],"&gt;0"),NA())</f>
        <v>99.906000000000063</v>
      </c>
      <c r="F89" s="67">
        <f ca="1">IF(TODAY()&gt;=$A89,SUMIFS(Tabla1[Avance_Med],Tabla1[Fecha],"&lt;="&amp;EV!$A89,Tabla1[nombre_actividad],EV!F$1),NA())</f>
        <v>342</v>
      </c>
      <c r="G89" s="67"/>
      <c r="H89" s="110"/>
      <c r="I89" s="228">
        <f ca="1">+C89*Catalogo!$F$19+EV!D89*Catalogo!$F$14+EV!E89*Catalogo!$F$16+EV!F89*Catalogo!$F$18</f>
        <v>4623630.5607600007</v>
      </c>
      <c r="J89" s="228">
        <f ca="1">IF(TODAY()&gt;=$A89,SUMIFS(Tabla1[EV],Tabla1[Fecha],"&lt;="&amp;A89,Tabla1[EV],"&gt;0"),NA())</f>
        <v>4623630.5607600007</v>
      </c>
      <c r="L89"/>
      <c r="M89" s="225"/>
      <c r="N89"/>
      <c r="O89"/>
      <c r="P89"/>
      <c r="Q89"/>
      <c r="R89"/>
      <c r="S89"/>
      <c r="T89"/>
      <c r="U89"/>
      <c r="V89"/>
      <c r="W89"/>
      <c r="X89"/>
      <c r="Y89"/>
    </row>
    <row r="90" spans="1:25" x14ac:dyDescent="0.25">
      <c r="A90" s="62">
        <f t="shared" si="3"/>
        <v>46050</v>
      </c>
      <c r="B90" s="62"/>
      <c r="C90" s="110">
        <f ca="1">IF(TODAY()&gt;=$A90,SUMIFS(Tabla1[Avance_km],Tabla1[Fecha],"&lt;="&amp;EV!$A90,Tabla1[nombre_actividad],EV!C$1),NA())</f>
        <v>99.906000000000049</v>
      </c>
      <c r="D90" s="110">
        <f ca="1">IF(TODAY()&gt;=$A90,SUMIFS(Tabla1[Avance_km],Tabla1[Fecha],"&lt;="&amp;EV!$A90,Tabla1[nombre_actividad],EV!D$1),NA())</f>
        <v>99.906000000000006</v>
      </c>
      <c r="E90" s="110">
        <f ca="1">IF(TODAY()&gt;=$A90,SUMIFS(Tabla1[Avance_km],Tabla1[Fecha],"&lt;="&amp;EV!$A90,Tabla1[nombre_actividad],EV!E$1,Tabla1[Avance_km],"&gt;0"),NA())</f>
        <v>99.906000000000063</v>
      </c>
      <c r="F90" s="67">
        <f ca="1">IF(TODAY()&gt;=$A90,SUMIFS(Tabla1[Avance_Med],Tabla1[Fecha],"&lt;="&amp;EV!$A90,Tabla1[nombre_actividad],EV!F$1),NA())</f>
        <v>349</v>
      </c>
      <c r="G90" s="67"/>
      <c r="H90" s="110"/>
      <c r="I90" s="228">
        <f ca="1">+C90*Catalogo!$F$19+EV!D90*Catalogo!$F$14+EV!E90*Catalogo!$F$16+EV!F90*Catalogo!$F$18</f>
        <v>4656236.5607600007</v>
      </c>
      <c r="J90" s="228">
        <f ca="1">IF(TODAY()&gt;=$A90,SUMIFS(Tabla1[EV],Tabla1[Fecha],"&lt;="&amp;A90,Tabla1[EV],"&gt;0"),NA())</f>
        <v>4656236.5607600007</v>
      </c>
      <c r="L90"/>
      <c r="M90" s="225"/>
      <c r="N90"/>
      <c r="O90"/>
      <c r="P90"/>
      <c r="Q90"/>
      <c r="R90"/>
      <c r="S90"/>
      <c r="T90"/>
      <c r="U90"/>
      <c r="V90"/>
    </row>
    <row r="91" spans="1:25" x14ac:dyDescent="0.25">
      <c r="A91" s="62">
        <f t="shared" si="3"/>
        <v>46051</v>
      </c>
      <c r="B91" s="62"/>
      <c r="C91" s="110">
        <f ca="1">IF(TODAY()&gt;=$A91,SUMIFS(Tabla1[Avance_km],Tabla1[Fecha],"&lt;="&amp;EV!$A91,Tabla1[nombre_actividad],EV!C$1),NA())</f>
        <v>99.906000000000049</v>
      </c>
      <c r="D91" s="110">
        <f ca="1">IF(TODAY()&gt;=$A91,SUMIFS(Tabla1[Avance_km],Tabla1[Fecha],"&lt;="&amp;EV!$A91,Tabla1[nombre_actividad],EV!D$1),NA())</f>
        <v>99.906000000000006</v>
      </c>
      <c r="E91" s="110">
        <f ca="1">IF(TODAY()&gt;=$A91,SUMIFS(Tabla1[Avance_km],Tabla1[Fecha],"&lt;="&amp;EV!$A91,Tabla1[nombre_actividad],EV!E$1,Tabla1[Avance_km],"&gt;0"),NA())</f>
        <v>99.906000000000063</v>
      </c>
      <c r="F91" s="67">
        <f ca="1">IF(TODAY()&gt;=$A91,SUMIFS(Tabla1[Avance_Med],Tabla1[Fecha],"&lt;="&amp;EV!$A91,Tabla1[nombre_actividad],EV!F$1),NA())</f>
        <v>358</v>
      </c>
      <c r="G91" s="67"/>
      <c r="H91" s="110"/>
      <c r="I91" s="228">
        <f ca="1">+C91*Catalogo!$F$19+EV!D91*Catalogo!$F$14+EV!E91*Catalogo!$F$16+EV!F91*Catalogo!$F$18</f>
        <v>4698158.5607600007</v>
      </c>
      <c r="J91" s="228">
        <f ca="1">IF(TODAY()&gt;=$A91,SUMIFS(Tabla1[EV],Tabla1[Fecha],"&lt;="&amp;A91,Tabla1[EV],"&gt;0"),NA())</f>
        <v>4698158.5607600007</v>
      </c>
      <c r="L91"/>
      <c r="M91" s="225"/>
      <c r="N91"/>
      <c r="O91"/>
      <c r="P91"/>
      <c r="Q91"/>
      <c r="R91"/>
      <c r="S91"/>
      <c r="T91"/>
      <c r="U91"/>
      <c r="V91"/>
    </row>
    <row r="92" spans="1:25" x14ac:dyDescent="0.25">
      <c r="A92" s="62">
        <f t="shared" si="3"/>
        <v>46052</v>
      </c>
      <c r="B92" s="62"/>
      <c r="C92" s="110">
        <f ca="1">IF(TODAY()&gt;=$A92,SUMIFS(Tabla1[Avance_km],Tabla1[Fecha],"&lt;="&amp;EV!$A92,Tabla1[nombre_actividad],EV!C$1),NA())</f>
        <v>99.906000000000049</v>
      </c>
      <c r="D92" s="110">
        <f ca="1">IF(TODAY()&gt;=$A92,SUMIFS(Tabla1[Avance_km],Tabla1[Fecha],"&lt;="&amp;EV!$A92,Tabla1[nombre_actividad],EV!D$1),NA())</f>
        <v>99.906000000000006</v>
      </c>
      <c r="E92" s="110">
        <f ca="1">IF(TODAY()&gt;=$A92,SUMIFS(Tabla1[Avance_km],Tabla1[Fecha],"&lt;="&amp;EV!$A92,Tabla1[nombre_actividad],EV!E$1,Tabla1[Avance_km],"&gt;0"),NA())</f>
        <v>99.906000000000063</v>
      </c>
      <c r="F92" s="67">
        <f ca="1">IF(TODAY()&gt;=$A92,SUMIFS(Tabla1[Avance_Med],Tabla1[Fecha],"&lt;="&amp;EV!$A92,Tabla1[nombre_actividad],EV!F$1),NA())</f>
        <v>358</v>
      </c>
      <c r="G92" s="67"/>
      <c r="H92" s="110"/>
      <c r="I92" s="228">
        <f ca="1">+C92*Catalogo!$F$19+EV!D92*Catalogo!$F$14+EV!E92*Catalogo!$F$16+EV!F92*Catalogo!$F$18</f>
        <v>4698158.5607600007</v>
      </c>
      <c r="J92" s="228">
        <f ca="1">IF(TODAY()&gt;=$A92,SUMIFS(Tabla1[EV],Tabla1[Fecha],"&lt;="&amp;A92,Tabla1[EV],"&gt;0"),NA())</f>
        <v>4698158.5607600007</v>
      </c>
      <c r="L92"/>
      <c r="M92" s="225"/>
      <c r="N92"/>
      <c r="O92"/>
      <c r="P92"/>
      <c r="Q92"/>
      <c r="R92"/>
      <c r="S92"/>
      <c r="T92"/>
      <c r="U92"/>
      <c r="V92"/>
    </row>
    <row r="93" spans="1:25" x14ac:dyDescent="0.25">
      <c r="A93" s="62">
        <f t="shared" si="3"/>
        <v>46053</v>
      </c>
      <c r="B93" s="62"/>
      <c r="C93" s="110">
        <f ca="1">IF(TODAY()&gt;=$A93,SUMIFS(Tabla1[Avance_km],Tabla1[Fecha],"&lt;="&amp;EV!$A93,Tabla1[nombre_actividad],EV!C$1),NA())</f>
        <v>99.906000000000049</v>
      </c>
      <c r="D93" s="110">
        <f ca="1">IF(TODAY()&gt;=$A93,SUMIFS(Tabla1[Avance_km],Tabla1[Fecha],"&lt;="&amp;EV!$A93,Tabla1[nombre_actividad],EV!D$1),NA())</f>
        <v>99.906000000000006</v>
      </c>
      <c r="E93" s="110">
        <f ca="1">IF(TODAY()&gt;=$A93,SUMIFS(Tabla1[Avance_km],Tabla1[Fecha],"&lt;="&amp;EV!$A93,Tabla1[nombre_actividad],EV!E$1,Tabla1[Avance_km],"&gt;0"),NA())</f>
        <v>99.906000000000063</v>
      </c>
      <c r="F93" s="67">
        <f ca="1">IF(TODAY()&gt;=$A93,SUMIFS(Tabla1[Avance_Med],Tabla1[Fecha],"&lt;="&amp;EV!$A93,Tabla1[nombre_actividad],EV!F$1),NA())</f>
        <v>358</v>
      </c>
      <c r="G93" s="67"/>
      <c r="H93" s="110"/>
      <c r="I93" s="228">
        <f ca="1">+C93*Catalogo!$F$19+EV!D93*Catalogo!$F$14+EV!E93*Catalogo!$F$16+EV!F93*Catalogo!$F$18</f>
        <v>4698158.5607600007</v>
      </c>
      <c r="J93" s="228">
        <f ca="1">IF(TODAY()&gt;=$A93,SUMIFS(Tabla1[EV],Tabla1[Fecha],"&lt;="&amp;A93,Tabla1[EV],"&gt;0"),NA())</f>
        <v>4698158.5607600007</v>
      </c>
      <c r="L93"/>
      <c r="M93" s="225"/>
      <c r="N93"/>
      <c r="O93"/>
      <c r="P93"/>
      <c r="Q93"/>
      <c r="R93"/>
      <c r="S93"/>
      <c r="T93"/>
      <c r="U93"/>
      <c r="V93"/>
    </row>
    <row r="94" spans="1:25" x14ac:dyDescent="0.25">
      <c r="A94" s="62">
        <f t="shared" si="3"/>
        <v>46054</v>
      </c>
      <c r="B94" s="62"/>
      <c r="C94" s="110">
        <f ca="1">IF(TODAY()&gt;=$A94,SUMIFS(Tabla1[Avance_km],Tabla1[Fecha],"&lt;="&amp;EV!$A94,Tabla1[nombre_actividad],EV!C$1),NA())</f>
        <v>99.906000000000049</v>
      </c>
      <c r="D94" s="110">
        <f ca="1">IF(TODAY()&gt;=$A94,SUMIFS(Tabla1[Avance_km],Tabla1[Fecha],"&lt;="&amp;EV!$A94,Tabla1[nombre_actividad],EV!D$1),NA())</f>
        <v>99.906000000000006</v>
      </c>
      <c r="E94" s="110">
        <f ca="1">IF(TODAY()&gt;=$A94,SUMIFS(Tabla1[Avance_km],Tabla1[Fecha],"&lt;="&amp;EV!$A94,Tabla1[nombre_actividad],EV!E$1,Tabla1[Avance_km],"&gt;0"),NA())</f>
        <v>99.906000000000063</v>
      </c>
      <c r="F94" s="67">
        <f ca="1">IF(TODAY()&gt;=$A94,SUMIFS(Tabla1[Avance_Med],Tabla1[Fecha],"&lt;="&amp;EV!$A94,Tabla1[nombre_actividad],EV!F$1),NA())</f>
        <v>358</v>
      </c>
      <c r="G94" s="67"/>
      <c r="H94" s="110"/>
      <c r="I94" s="228">
        <f ca="1">+C94*Catalogo!$F$19+EV!D94*Catalogo!$F$14+EV!E94*Catalogo!$F$16+EV!F94*Catalogo!$F$18</f>
        <v>4698158.5607600007</v>
      </c>
      <c r="J94" s="228">
        <f ca="1">IF(TODAY()&gt;=$A94,SUMIFS(Tabla1[EV],Tabla1[Fecha],"&lt;="&amp;A94,Tabla1[EV],"&gt;0"),NA())</f>
        <v>4698158.5607600007</v>
      </c>
      <c r="L94"/>
      <c r="M94" s="225"/>
      <c r="N94"/>
      <c r="O94"/>
      <c r="P94"/>
      <c r="Q94"/>
      <c r="R94"/>
      <c r="S94"/>
      <c r="T94"/>
      <c r="U94"/>
      <c r="V94"/>
    </row>
    <row r="95" spans="1:25" x14ac:dyDescent="0.25">
      <c r="A95" s="62">
        <f t="shared" si="3"/>
        <v>46055</v>
      </c>
      <c r="B95" s="62"/>
      <c r="C95" s="110">
        <f ca="1">IF(TODAY()&gt;=$A95,SUMIFS(Tabla1[Avance_km],Tabla1[Fecha],"&lt;="&amp;EV!$A95,Tabla1[nombre_actividad],EV!C$1),NA())</f>
        <v>99.906000000000049</v>
      </c>
      <c r="D95" s="110">
        <f ca="1">IF(TODAY()&gt;=$A95,SUMIFS(Tabla1[Avance_km],Tabla1[Fecha],"&lt;="&amp;EV!$A95,Tabla1[nombre_actividad],EV!D$1),NA())</f>
        <v>99.906000000000006</v>
      </c>
      <c r="E95" s="110">
        <f ca="1">IF(TODAY()&gt;=$A95,SUMIFS(Tabla1[Avance_km],Tabla1[Fecha],"&lt;="&amp;EV!$A95,Tabla1[nombre_actividad],EV!E$1,Tabla1[Avance_km],"&gt;0"),NA())</f>
        <v>99.906000000000063</v>
      </c>
      <c r="F95" s="67">
        <f ca="1">IF(TODAY()&gt;=$A95,SUMIFS(Tabla1[Avance_Med],Tabla1[Fecha],"&lt;="&amp;EV!$A95,Tabla1[nombre_actividad],EV!F$1),NA())</f>
        <v>358</v>
      </c>
      <c r="G95" s="67"/>
      <c r="H95" s="110"/>
      <c r="I95" s="228">
        <f ca="1">+C95*Catalogo!$F$19+EV!D95*Catalogo!$F$14+EV!E95*Catalogo!$F$16+EV!F95*Catalogo!$F$18</f>
        <v>4698158.5607600007</v>
      </c>
      <c r="J95" s="228">
        <f ca="1">IF(TODAY()&gt;=$A95,SUMIFS(Tabla1[EV],Tabla1[Fecha],"&lt;="&amp;A95,Tabla1[EV],"&gt;0"),NA())</f>
        <v>4698158.5607600007</v>
      </c>
      <c r="L95"/>
      <c r="M95" s="225"/>
      <c r="N95"/>
      <c r="O95"/>
      <c r="P95"/>
      <c r="Q95"/>
      <c r="R95"/>
      <c r="S95"/>
      <c r="T95"/>
      <c r="U95"/>
      <c r="V95"/>
    </row>
    <row r="96" spans="1:25" x14ac:dyDescent="0.25">
      <c r="A96" s="62">
        <f t="shared" si="3"/>
        <v>46056</v>
      </c>
      <c r="B96" s="62"/>
      <c r="C96" s="110">
        <f ca="1">IF(TODAY()&gt;=$A96,SUMIFS(Tabla1[Avance_km],Tabla1[Fecha],"&lt;="&amp;EV!$A96,Tabla1[nombre_actividad],EV!C$1),NA())</f>
        <v>99.906000000000049</v>
      </c>
      <c r="D96" s="110">
        <f ca="1">IF(TODAY()&gt;=$A96,SUMIFS(Tabla1[Avance_km],Tabla1[Fecha],"&lt;="&amp;EV!$A96,Tabla1[nombre_actividad],EV!D$1),NA())</f>
        <v>99.906000000000006</v>
      </c>
      <c r="E96" s="110">
        <f ca="1">IF(TODAY()&gt;=$A96,SUMIFS(Tabla1[Avance_km],Tabla1[Fecha],"&lt;="&amp;EV!$A96,Tabla1[nombre_actividad],EV!E$1,Tabla1[Avance_km],"&gt;0"),NA())</f>
        <v>99.906000000000063</v>
      </c>
      <c r="F96" s="67">
        <f ca="1">IF(TODAY()&gt;=$A96,SUMIFS(Tabla1[Avance_Med],Tabla1[Fecha],"&lt;="&amp;EV!$A96,Tabla1[nombre_actividad],EV!F$1),NA())</f>
        <v>358</v>
      </c>
      <c r="G96" s="67"/>
      <c r="H96" s="110"/>
      <c r="I96" s="228">
        <f ca="1">+C96*Catalogo!$F$19+EV!D96*Catalogo!$F$14+EV!E96*Catalogo!$F$16+EV!F96*Catalogo!$F$18</f>
        <v>4698158.5607600007</v>
      </c>
      <c r="J96" s="228">
        <f ca="1">IF(TODAY()&gt;=$A96,SUMIFS(Tabla1[EV],Tabla1[Fecha],"&lt;="&amp;A96,Tabla1[EV],"&gt;0"),NA())</f>
        <v>4698158.5607600007</v>
      </c>
      <c r="L96"/>
      <c r="M96" s="225"/>
      <c r="N96"/>
      <c r="O96"/>
      <c r="P96"/>
      <c r="Q96"/>
      <c r="R96"/>
      <c r="S96"/>
      <c r="T96"/>
      <c r="U96"/>
      <c r="V96"/>
    </row>
    <row r="97" spans="1:31" x14ac:dyDescent="0.25">
      <c r="A97" s="62">
        <f t="shared" si="3"/>
        <v>46057</v>
      </c>
      <c r="B97" s="62"/>
      <c r="C97" s="110">
        <f ca="1">IF(TODAY()&gt;=$A97,SUMIFS(Tabla1[Avance_km],Tabla1[Fecha],"&lt;="&amp;EV!$A97,Tabla1[nombre_actividad],EV!C$1),NA())</f>
        <v>99.906000000000049</v>
      </c>
      <c r="D97" s="110">
        <f ca="1">IF(TODAY()&gt;=$A97,SUMIFS(Tabla1[Avance_km],Tabla1[Fecha],"&lt;="&amp;EV!$A97,Tabla1[nombre_actividad],EV!D$1),NA())</f>
        <v>99.906000000000006</v>
      </c>
      <c r="E97" s="110">
        <f ca="1">IF(TODAY()&gt;=$A97,SUMIFS(Tabla1[Avance_km],Tabla1[Fecha],"&lt;="&amp;EV!$A97,Tabla1[nombre_actividad],EV!E$1,Tabla1[Avance_km],"&gt;0"),NA())</f>
        <v>99.906000000000063</v>
      </c>
      <c r="F97" s="67">
        <f ca="1">IF(TODAY()&gt;=$A97,SUMIFS(Tabla1[Avance_Med],Tabla1[Fecha],"&lt;="&amp;EV!$A97,Tabla1[nombre_actividad],EV!F$1),NA())</f>
        <v>360</v>
      </c>
      <c r="G97" s="67"/>
      <c r="H97" s="110"/>
      <c r="I97" s="228">
        <f ca="1">+C97*Catalogo!$F$19+EV!D97*Catalogo!$F$14+EV!E97*Catalogo!$F$16+EV!F97*Catalogo!$F$18</f>
        <v>4707474.5607600007</v>
      </c>
      <c r="J97" s="228">
        <f ca="1">IF(TODAY()&gt;=$A97,SUMIFS(Tabla1[EV],Tabla1[Fecha],"&lt;="&amp;A97,Tabla1[EV],"&gt;0"),NA())</f>
        <v>4707474.5607600007</v>
      </c>
      <c r="L97"/>
      <c r="M97" s="225"/>
      <c r="N97"/>
      <c r="O97"/>
      <c r="P97"/>
      <c r="Q97"/>
      <c r="R97"/>
      <c r="S97"/>
      <c r="T97"/>
      <c r="U97"/>
      <c r="V97"/>
    </row>
    <row r="98" spans="1:31" x14ac:dyDescent="0.25">
      <c r="A98" s="62">
        <f t="shared" si="3"/>
        <v>46058</v>
      </c>
      <c r="B98" s="62"/>
      <c r="C98" s="110">
        <f ca="1">IF(TODAY()&gt;=$A98,SUMIFS(Tabla1[Avance_km],Tabla1[Fecha],"&lt;="&amp;EV!$A98,Tabla1[nombre_actividad],EV!C$1),NA())</f>
        <v>99.906000000000049</v>
      </c>
      <c r="D98" s="110">
        <f ca="1">IF(TODAY()&gt;=$A98,SUMIFS(Tabla1[Avance_km],Tabla1[Fecha],"&lt;="&amp;EV!$A98,Tabla1[nombre_actividad],EV!D$1),NA())</f>
        <v>99.906000000000006</v>
      </c>
      <c r="E98" s="110">
        <f ca="1">IF(TODAY()&gt;=$A98,SUMIFS(Tabla1[Avance_km],Tabla1[Fecha],"&lt;="&amp;EV!$A98,Tabla1[nombre_actividad],EV!E$1,Tabla1[Avance_km],"&gt;0"),NA())</f>
        <v>99.906000000000063</v>
      </c>
      <c r="F98" s="67">
        <f ca="1">IF(TODAY()&gt;=$A98,SUMIFS(Tabla1[Avance_Med],Tabla1[Fecha],"&lt;="&amp;EV!$A98,Tabla1[nombre_actividad],EV!F$1),NA())</f>
        <v>362</v>
      </c>
      <c r="G98" s="67"/>
      <c r="H98" s="110"/>
      <c r="I98" s="228">
        <f ca="1">+C98*Catalogo!$F$19+EV!D98*Catalogo!$F$14+EV!E98*Catalogo!$F$16+EV!F98*Catalogo!$F$18</f>
        <v>4716790.5607600007</v>
      </c>
      <c r="J98" s="228">
        <f ca="1">IF(TODAY()&gt;=$A98,SUMIFS(Tabla1[EV],Tabla1[Fecha],"&lt;="&amp;A98,Tabla1[EV],"&gt;0"),NA())</f>
        <v>4716790.5607600007</v>
      </c>
      <c r="L98"/>
      <c r="M98" s="225"/>
      <c r="N98"/>
      <c r="O98"/>
      <c r="P98"/>
      <c r="Q98"/>
      <c r="R98"/>
      <c r="S98"/>
      <c r="T98"/>
      <c r="U98"/>
      <c r="V98"/>
    </row>
    <row r="99" spans="1:31" x14ac:dyDescent="0.25">
      <c r="A99" s="62">
        <f t="shared" si="3"/>
        <v>46059</v>
      </c>
      <c r="B99" s="62"/>
      <c r="C99" s="110">
        <f ca="1">IF(TODAY()&gt;=$A99,SUMIFS(Tabla1[Avance_km],Tabla1[Fecha],"&lt;="&amp;EV!$A99,Tabla1[nombre_actividad],EV!C$1),NA())</f>
        <v>99.906000000000049</v>
      </c>
      <c r="D99" s="110">
        <f ca="1">IF(TODAY()&gt;=$A99,SUMIFS(Tabla1[Avance_km],Tabla1[Fecha],"&lt;="&amp;EV!$A99,Tabla1[nombre_actividad],EV!D$1),NA())</f>
        <v>99.906000000000006</v>
      </c>
      <c r="E99" s="110">
        <f ca="1">IF(TODAY()&gt;=$A99,SUMIFS(Tabla1[Avance_km],Tabla1[Fecha],"&lt;="&amp;EV!$A99,Tabla1[nombre_actividad],EV!E$1,Tabla1[Avance_km],"&gt;0"),NA())</f>
        <v>99.906000000000063</v>
      </c>
      <c r="F99" s="67">
        <f ca="1">IF(TODAY()&gt;=$A99,SUMIFS(Tabla1[Avance_Med],Tabla1[Fecha],"&lt;="&amp;EV!$A99,Tabla1[nombre_actividad],EV!F$1),NA())</f>
        <v>362</v>
      </c>
      <c r="G99" s="67"/>
      <c r="H99" s="110"/>
      <c r="I99" s="228">
        <f ca="1">+C99*Catalogo!$F$19+EV!D99*Catalogo!$F$14+EV!E99*Catalogo!$F$16+EV!F99*Catalogo!$F$18</f>
        <v>4716790.5607600007</v>
      </c>
      <c r="J99" s="228">
        <f ca="1">IF(TODAY()&gt;=$A99,SUMIFS(Tabla1[EV],Tabla1[Fecha],"&lt;="&amp;A99,Tabla1[EV],"&gt;0"),NA())</f>
        <v>4716790.5607600007</v>
      </c>
      <c r="L99"/>
      <c r="M99" s="225"/>
      <c r="N99"/>
      <c r="O99"/>
      <c r="P99"/>
      <c r="Q99"/>
      <c r="R99"/>
      <c r="S99"/>
      <c r="T99"/>
      <c r="U99"/>
      <c r="V99"/>
    </row>
    <row r="100" spans="1:31" x14ac:dyDescent="0.25">
      <c r="A100" s="62">
        <f t="shared" si="3"/>
        <v>46060</v>
      </c>
      <c r="B100" s="62"/>
      <c r="C100" s="110">
        <f ca="1">IF(TODAY()&gt;=$A100,SUMIFS(Tabla1[Avance_km],Tabla1[Fecha],"&lt;="&amp;EV!$A100,Tabla1[nombre_actividad],EV!C$1),NA())</f>
        <v>99.906000000000049</v>
      </c>
      <c r="D100" s="110">
        <f ca="1">IF(TODAY()&gt;=$A100,SUMIFS(Tabla1[Avance_km],Tabla1[Fecha],"&lt;="&amp;EV!$A100,Tabla1[nombre_actividad],EV!D$1),NA())</f>
        <v>99.906000000000006</v>
      </c>
      <c r="E100" s="110">
        <f ca="1">IF(TODAY()&gt;=$A100,SUMIFS(Tabla1[Avance_km],Tabla1[Fecha],"&lt;="&amp;EV!$A100,Tabla1[nombre_actividad],EV!E$1,Tabla1[Avance_km],"&gt;0"),NA())</f>
        <v>99.906000000000063</v>
      </c>
      <c r="F100" s="67">
        <f ca="1">IF(TODAY()&gt;=$A100,SUMIFS(Tabla1[Avance_Med],Tabla1[Fecha],"&lt;="&amp;EV!$A100,Tabla1[nombre_actividad],EV!F$1),NA())</f>
        <v>362</v>
      </c>
      <c r="G100" s="67"/>
      <c r="H100" s="110"/>
      <c r="I100" s="228">
        <f ca="1">+C100*Catalogo!$F$19+EV!D100*Catalogo!$F$14+EV!E100*Catalogo!$F$16+EV!F100*Catalogo!$F$18</f>
        <v>4716790.5607600007</v>
      </c>
      <c r="J100" s="228">
        <f ca="1">IF(TODAY()&gt;=$A100,SUMIFS(Tabla1[EV],Tabla1[Fecha],"&lt;="&amp;A100,Tabla1[EV],"&gt;0"),NA())</f>
        <v>4716790.5607600007</v>
      </c>
      <c r="L100"/>
      <c r="M100" s="225"/>
      <c r="N100"/>
      <c r="O100"/>
      <c r="P100"/>
      <c r="Q100"/>
      <c r="R100"/>
      <c r="S100"/>
      <c r="T100"/>
      <c r="U100"/>
      <c r="V100"/>
    </row>
    <row r="101" spans="1:31" x14ac:dyDescent="0.25">
      <c r="A101" s="62">
        <f t="shared" si="3"/>
        <v>46061</v>
      </c>
      <c r="B101" s="62"/>
      <c r="C101" s="110">
        <f ca="1">IF(TODAY()&gt;=$A101,SUMIFS(Tabla1[Avance_km],Tabla1[Fecha],"&lt;="&amp;EV!$A101,Tabla1[nombre_actividad],EV!C$1),NA())</f>
        <v>99.906000000000049</v>
      </c>
      <c r="D101" s="110">
        <f ca="1">IF(TODAY()&gt;=$A101,SUMIFS(Tabla1[Avance_km],Tabla1[Fecha],"&lt;="&amp;EV!$A101,Tabla1[nombre_actividad],EV!D$1),NA())</f>
        <v>99.906000000000006</v>
      </c>
      <c r="E101" s="110">
        <f ca="1">IF(TODAY()&gt;=$A101,SUMIFS(Tabla1[Avance_km],Tabla1[Fecha],"&lt;="&amp;EV!$A101,Tabla1[nombre_actividad],EV!E$1,Tabla1[Avance_km],"&gt;0"),NA())</f>
        <v>99.906000000000063</v>
      </c>
      <c r="F101" s="67">
        <f ca="1">IF(TODAY()&gt;=$A101,SUMIFS(Tabla1[Avance_Med],Tabla1[Fecha],"&lt;="&amp;EV!$A101,Tabla1[nombre_actividad],EV!F$1),NA())</f>
        <v>362</v>
      </c>
      <c r="G101" s="67"/>
      <c r="H101" s="110"/>
      <c r="I101" s="228">
        <f ca="1">+C101*Catalogo!$F$19+EV!D101*Catalogo!$F$14+EV!E101*Catalogo!$F$16+EV!F101*Catalogo!$F$18</f>
        <v>4716790.5607600007</v>
      </c>
      <c r="J101" s="228">
        <f ca="1">IF(TODAY()&gt;=$A101,SUMIFS(Tabla1[EV],Tabla1[Fecha],"&lt;="&amp;A101,Tabla1[EV],"&gt;0"),NA())</f>
        <v>4716790.5607600007</v>
      </c>
      <c r="L101"/>
      <c r="M101" s="225"/>
      <c r="N101"/>
      <c r="O101"/>
      <c r="P101"/>
      <c r="Q101"/>
      <c r="R101"/>
      <c r="S101"/>
      <c r="T101"/>
      <c r="U101"/>
      <c r="V101"/>
    </row>
    <row r="102" spans="1:31" x14ac:dyDescent="0.25">
      <c r="A102" s="62">
        <f t="shared" si="3"/>
        <v>46062</v>
      </c>
      <c r="B102" s="62"/>
      <c r="C102" s="110">
        <f ca="1">IF(TODAY()&gt;=$A102,SUMIFS(Tabla1[Avance_km],Tabla1[Fecha],"&lt;="&amp;EV!$A102,Tabla1[nombre_actividad],EV!C$1),NA())</f>
        <v>99.906000000000049</v>
      </c>
      <c r="D102" s="110">
        <f ca="1">IF(TODAY()&gt;=$A102,SUMIFS(Tabla1[Avance_km],Tabla1[Fecha],"&lt;="&amp;EV!$A102,Tabla1[nombre_actividad],EV!D$1),NA())</f>
        <v>99.906000000000006</v>
      </c>
      <c r="E102" s="110">
        <f ca="1">IF(TODAY()&gt;=$A102,SUMIFS(Tabla1[Avance_km],Tabla1[Fecha],"&lt;="&amp;EV!$A102,Tabla1[nombre_actividad],EV!E$1,Tabla1[Avance_km],"&gt;0"),NA())</f>
        <v>99.906000000000063</v>
      </c>
      <c r="F102" s="67">
        <f ca="1">IF(TODAY()&gt;=$A102,SUMIFS(Tabla1[Avance_Med],Tabla1[Fecha],"&lt;="&amp;EV!$A102,Tabla1[nombre_actividad],EV!F$1),NA())</f>
        <v>363</v>
      </c>
      <c r="G102" s="67"/>
      <c r="H102" s="110"/>
      <c r="I102" s="228">
        <f ca="1">+C102*Catalogo!$F$19+EV!D102*Catalogo!$F$14+EV!E102*Catalogo!$F$16+EV!F102*Catalogo!$F$18</f>
        <v>4721448.5607600007</v>
      </c>
      <c r="J102" s="228">
        <f ca="1">IF(TODAY()&gt;=$A102,SUMIFS(Tabla1[EV],Tabla1[Fecha],"&lt;="&amp;A102,Tabla1[EV],"&gt;0"),NA())</f>
        <v>4721448.5607600007</v>
      </c>
      <c r="L102"/>
      <c r="M102" s="225"/>
      <c r="N102"/>
      <c r="O102"/>
      <c r="P102"/>
      <c r="Q102"/>
      <c r="R102"/>
      <c r="S102"/>
      <c r="T102"/>
      <c r="U102"/>
      <c r="V102"/>
    </row>
    <row r="103" spans="1:31" x14ac:dyDescent="0.25">
      <c r="A103" s="62">
        <f t="shared" si="3"/>
        <v>46063</v>
      </c>
      <c r="B103" s="62"/>
      <c r="C103" s="110">
        <f ca="1">IF(TODAY()&gt;=$A103,SUMIFS(Tabla1[Avance_km],Tabla1[Fecha],"&lt;="&amp;EV!$A103,Tabla1[nombre_actividad],EV!C$1),NA())</f>
        <v>99.906000000000049</v>
      </c>
      <c r="D103" s="110">
        <f ca="1">IF(TODAY()&gt;=$A103,SUMIFS(Tabla1[Avance_km],Tabla1[Fecha],"&lt;="&amp;EV!$A103,Tabla1[nombre_actividad],EV!D$1),NA())</f>
        <v>99.906000000000006</v>
      </c>
      <c r="E103" s="110">
        <f ca="1">IF(TODAY()&gt;=$A103,SUMIFS(Tabla1[Avance_km],Tabla1[Fecha],"&lt;="&amp;EV!$A103,Tabla1[nombre_actividad],EV!E$1,Tabla1[Avance_km],"&gt;0"),NA())</f>
        <v>99.906000000000063</v>
      </c>
      <c r="F103" s="67">
        <f ca="1">IF(TODAY()&gt;=$A103,SUMIFS(Tabla1[Avance_Med],Tabla1[Fecha],"&lt;="&amp;EV!$A103,Tabla1[nombre_actividad],EV!F$1),NA())</f>
        <v>367</v>
      </c>
      <c r="G103" s="67"/>
      <c r="H103" s="110"/>
      <c r="I103" s="228">
        <f ca="1">+C103*Catalogo!$F$19+EV!D103*Catalogo!$F$14+EV!E103*Catalogo!$F$16+EV!F103*Catalogo!$F$18</f>
        <v>4740080.5607600007</v>
      </c>
      <c r="J103" s="228">
        <f ca="1">IF(TODAY()&gt;=$A103,SUMIFS(Tabla1[EV],Tabla1[Fecha],"&lt;="&amp;A103,Tabla1[EV],"&gt;0"),NA())</f>
        <v>4740080.5607600007</v>
      </c>
      <c r="L103"/>
      <c r="M103" s="225"/>
      <c r="N103"/>
      <c r="O103"/>
      <c r="P103"/>
      <c r="Q103"/>
      <c r="R103"/>
      <c r="S103"/>
      <c r="T103"/>
      <c r="U103"/>
      <c r="V103"/>
    </row>
    <row r="104" spans="1:31" x14ac:dyDescent="0.25">
      <c r="A104" s="62">
        <f t="shared" si="3"/>
        <v>46064</v>
      </c>
      <c r="B104" s="62"/>
      <c r="C104" s="110">
        <f ca="1">IF(TODAY()&gt;=$A104,SUMIFS(Tabla1[Avance_km],Tabla1[Fecha],"&lt;="&amp;EV!$A104,Tabla1[nombre_actividad],EV!C$1),NA())</f>
        <v>99.906000000000049</v>
      </c>
      <c r="D104" s="110">
        <f ca="1">IF(TODAY()&gt;=$A104,SUMIFS(Tabla1[Avance_km],Tabla1[Fecha],"&lt;="&amp;EV!$A104,Tabla1[nombre_actividad],EV!D$1),NA())</f>
        <v>99.906000000000006</v>
      </c>
      <c r="E104" s="110">
        <f ca="1">IF(TODAY()&gt;=$A104,SUMIFS(Tabla1[Avance_km],Tabla1[Fecha],"&lt;="&amp;EV!$A104,Tabla1[nombre_actividad],EV!E$1,Tabla1[Avance_km],"&gt;0"),NA())</f>
        <v>99.906000000000063</v>
      </c>
      <c r="F104" s="67">
        <f ca="1">IF(TODAY()&gt;=$A104,SUMIFS(Tabla1[Avance_Med],Tabla1[Fecha],"&lt;="&amp;EV!$A104,Tabla1[nombre_actividad],EV!F$1),NA())</f>
        <v>371</v>
      </c>
      <c r="G104" s="67"/>
      <c r="H104" s="110"/>
      <c r="I104" s="228">
        <f ca="1">+C104*Catalogo!$F$19+EV!D104*Catalogo!$F$14+EV!E104*Catalogo!$F$16+EV!F104*Catalogo!$F$18</f>
        <v>4758712.5607600007</v>
      </c>
      <c r="J104" s="228">
        <f ca="1">IF(TODAY()&gt;=$A104,SUMIFS(Tabla1[EV],Tabla1[Fecha],"&lt;="&amp;A104,Tabla1[EV],"&gt;0"),NA())</f>
        <v>4758712.5607600007</v>
      </c>
      <c r="L104"/>
      <c r="M104" s="225"/>
      <c r="N104"/>
      <c r="O104"/>
      <c r="P104"/>
      <c r="Q104"/>
      <c r="R104"/>
      <c r="S104"/>
      <c r="T104"/>
      <c r="U104"/>
      <c r="V104"/>
    </row>
    <row r="105" spans="1:31" x14ac:dyDescent="0.25">
      <c r="A105" s="62">
        <f t="shared" si="3"/>
        <v>46065</v>
      </c>
      <c r="B105" s="62"/>
      <c r="C105" s="110">
        <f ca="1">IF(TODAY()&gt;=$A105,SUMIFS(Tabla1[Avance_km],Tabla1[Fecha],"&lt;="&amp;EV!$A105,Tabla1[nombre_actividad],EV!C$1),NA())</f>
        <v>99.906000000000049</v>
      </c>
      <c r="D105" s="110">
        <f ca="1">IF(TODAY()&gt;=$A105,SUMIFS(Tabla1[Avance_km],Tabla1[Fecha],"&lt;="&amp;EV!$A105,Tabla1[nombre_actividad],EV!D$1),NA())</f>
        <v>99.906000000000006</v>
      </c>
      <c r="E105" s="110">
        <f ca="1">IF(TODAY()&gt;=$A105,SUMIFS(Tabla1[Avance_km],Tabla1[Fecha],"&lt;="&amp;EV!$A105,Tabla1[nombre_actividad],EV!E$1,Tabla1[Avance_km],"&gt;0"),NA())</f>
        <v>99.906000000000063</v>
      </c>
      <c r="F105" s="67">
        <f ca="1">IF(TODAY()&gt;=$A105,SUMIFS(Tabla1[Avance_Med],Tabla1[Fecha],"&lt;="&amp;EV!$A105,Tabla1[nombre_actividad],EV!F$1),NA())</f>
        <v>376</v>
      </c>
      <c r="G105" s="67"/>
      <c r="H105" s="110"/>
      <c r="I105" s="228">
        <f ca="1">+C105*Catalogo!$F$19+EV!D105*Catalogo!$F$14+EV!E105*Catalogo!$F$16+EV!F105*Catalogo!$F$18</f>
        <v>4782002.5607600007</v>
      </c>
      <c r="J105" s="228">
        <f ca="1">IF(TODAY()&gt;=$A105,SUMIFS(Tabla1[EV],Tabla1[Fecha],"&lt;="&amp;A105,Tabla1[EV],"&gt;0"),NA())</f>
        <v>4782002.5607600007</v>
      </c>
      <c r="L105"/>
      <c r="M105" s="22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</row>
    <row r="106" spans="1:31" x14ac:dyDescent="0.25">
      <c r="A106" s="62">
        <f t="shared" si="3"/>
        <v>46066</v>
      </c>
      <c r="B106" s="326">
        <v>12000000</v>
      </c>
      <c r="C106" s="110">
        <f ca="1">IF(TODAY()&gt;=$A106,SUMIFS(Tabla1[Avance_km],Tabla1[Fecha],"&lt;="&amp;EV!$A106,Tabla1[nombre_actividad],EV!C$1),NA())</f>
        <v>99.906000000000049</v>
      </c>
      <c r="D106" s="110">
        <f ca="1">IF(TODAY()&gt;=$A106,SUMIFS(Tabla1[Avance_km],Tabla1[Fecha],"&lt;="&amp;EV!$A106,Tabla1[nombre_actividad],EV!D$1),NA())</f>
        <v>99.906000000000006</v>
      </c>
      <c r="E106" s="110">
        <f ca="1">IF(TODAY()&gt;=$A106,SUMIFS(Tabla1[Avance_km],Tabla1[Fecha],"&lt;="&amp;EV!$A106,Tabla1[nombre_actividad],EV!E$1,Tabla1[Avance_km],"&gt;0"),NA())</f>
        <v>99.906000000000063</v>
      </c>
      <c r="F106" s="67">
        <f ca="1">IF(TODAY()&gt;=$A106,SUMIFS(Tabla1[Avance_Med],Tabla1[Fecha],"&lt;="&amp;EV!$A106,Tabla1[nombre_actividad],EV!F$1),NA())</f>
        <v>376</v>
      </c>
      <c r="G106" s="67"/>
      <c r="H106" s="110"/>
      <c r="I106" s="228">
        <f ca="1">+C106*Catalogo!$F$19+EV!D106*Catalogo!$F$14+EV!E106*Catalogo!$F$16+EV!F106*Catalogo!$F$18</f>
        <v>4782002.5607600007</v>
      </c>
      <c r="J106" s="228">
        <f ca="1">IF(TODAY()&gt;=$A106,SUMIFS(Tabla1[EV],Tabla1[Fecha],"&lt;="&amp;A106,Tabla1[EV],"&gt;0"),NA())</f>
        <v>4782002.5607600007</v>
      </c>
      <c r="L106"/>
      <c r="M106" s="225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</row>
    <row r="107" spans="1:31" x14ac:dyDescent="0.25">
      <c r="A107" s="62">
        <f t="shared" si="3"/>
        <v>46067</v>
      </c>
      <c r="B107" s="326">
        <v>12000000</v>
      </c>
      <c r="C107" s="110">
        <f ca="1">IF(TODAY()&gt;=$A107,SUMIFS(Tabla1[Avance_km],Tabla1[Fecha],"&lt;="&amp;EV!$A107,Tabla1[nombre_actividad],EV!C$1),NA())</f>
        <v>99.906000000000049</v>
      </c>
      <c r="D107" s="110">
        <f ca="1">IF(TODAY()&gt;=$A107,SUMIFS(Tabla1[Avance_km],Tabla1[Fecha],"&lt;="&amp;EV!$A107,Tabla1[nombre_actividad],EV!D$1),NA())</f>
        <v>99.906000000000006</v>
      </c>
      <c r="E107" s="110">
        <f ca="1">IF(TODAY()&gt;=$A107,SUMIFS(Tabla1[Avance_km],Tabla1[Fecha],"&lt;="&amp;EV!$A107,Tabla1[nombre_actividad],EV!E$1,Tabla1[Avance_km],"&gt;0"),NA())</f>
        <v>99.906000000000063</v>
      </c>
      <c r="F107" s="67">
        <f ca="1">IF(TODAY()&gt;=$A107,SUMIFS(Tabla1[Avance_Med],Tabla1[Fecha],"&lt;="&amp;EV!$A107,Tabla1[nombre_actividad],EV!F$1),NA())</f>
        <v>376</v>
      </c>
      <c r="G107" s="67"/>
      <c r="H107" s="110"/>
      <c r="I107" s="228">
        <f ca="1">+C107*Catalogo!$F$19+EV!D107*Catalogo!$F$14+EV!E107*Catalogo!$F$16+EV!F107*Catalogo!$F$18</f>
        <v>4782002.5607600007</v>
      </c>
      <c r="J107" s="228">
        <f ca="1">IF(TODAY()&gt;=$A107,SUMIFS(Tabla1[EV],Tabla1[Fecha],"&lt;="&amp;A107,Tabla1[EV],"&gt;0"),NA())</f>
        <v>4782002.5607600007</v>
      </c>
      <c r="L107"/>
      <c r="M107" s="225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</row>
    <row r="108" spans="1:31" x14ac:dyDescent="0.25">
      <c r="A108" s="62">
        <f t="shared" si="3"/>
        <v>46068</v>
      </c>
      <c r="B108" s="326">
        <v>12000000</v>
      </c>
      <c r="C108" s="110">
        <f ca="1">IF(TODAY()&gt;=$A108,SUMIFS(Tabla1[Avance_km],Tabla1[Fecha],"&lt;="&amp;EV!$A108,Tabla1[nombre_actividad],EV!C$1),NA())</f>
        <v>99.906000000000049</v>
      </c>
      <c r="D108" s="110">
        <f ca="1">IF(TODAY()&gt;=$A108,SUMIFS(Tabla1[Avance_km],Tabla1[Fecha],"&lt;="&amp;EV!$A108,Tabla1[nombre_actividad],EV!D$1),NA())</f>
        <v>99.906000000000006</v>
      </c>
      <c r="E108" s="110">
        <f ca="1">IF(TODAY()&gt;=$A108,SUMIFS(Tabla1[Avance_km],Tabla1[Fecha],"&lt;="&amp;EV!$A108,Tabla1[nombre_actividad],EV!E$1,Tabla1[Avance_km],"&gt;0"),NA())</f>
        <v>99.906000000000063</v>
      </c>
      <c r="F108" s="67">
        <f ca="1">IF(TODAY()&gt;=$A108,SUMIFS(Tabla1[Avance_Med],Tabla1[Fecha],"&lt;="&amp;EV!$A108,Tabla1[nombre_actividad],EV!F$1),NA())</f>
        <v>376</v>
      </c>
      <c r="G108" s="67"/>
      <c r="H108" s="110"/>
      <c r="I108" s="228">
        <f ca="1">+C108*Catalogo!$F$19+EV!D108*Catalogo!$F$14+EV!E108*Catalogo!$F$16+EV!F108*Catalogo!$F$18</f>
        <v>4782002.5607600007</v>
      </c>
      <c r="J108" s="228">
        <f ca="1">IF(TODAY()&gt;=$A108,SUMIFS(Tabla1[EV],Tabla1[Fecha],"&lt;="&amp;A108,Tabla1[EV],"&gt;0"),NA())</f>
        <v>4782002.5607600007</v>
      </c>
      <c r="L108"/>
      <c r="M108" s="225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</row>
    <row r="109" spans="1:31" x14ac:dyDescent="0.25">
      <c r="A109" s="62">
        <f t="shared" si="3"/>
        <v>46069</v>
      </c>
      <c r="B109" s="326">
        <v>12000000</v>
      </c>
      <c r="C109" s="110">
        <f ca="1">IF(TODAY()&gt;=$A109,SUMIFS(Tabla1[Avance_km],Tabla1[Fecha],"&lt;="&amp;EV!$A109,Tabla1[nombre_actividad],EV!C$1),NA())</f>
        <v>99.906000000000049</v>
      </c>
      <c r="D109" s="110">
        <f ca="1">IF(TODAY()&gt;=$A109,SUMIFS(Tabla1[Avance_km],Tabla1[Fecha],"&lt;="&amp;EV!$A109,Tabla1[nombre_actividad],EV!D$1),NA())</f>
        <v>99.906000000000006</v>
      </c>
      <c r="E109" s="110">
        <f ca="1">IF(TODAY()&gt;=$A109,SUMIFS(Tabla1[Avance_km],Tabla1[Fecha],"&lt;="&amp;EV!$A109,Tabla1[nombre_actividad],EV!E$1,Tabla1[Avance_km],"&gt;0"),NA())</f>
        <v>99.906000000000063</v>
      </c>
      <c r="F109" s="67">
        <f ca="1">IF(TODAY()&gt;=$A109,SUMIFS(Tabla1[Avance_Med],Tabla1[Fecha],"&lt;="&amp;EV!$A109,Tabla1[nombre_actividad],EV!F$1),NA())</f>
        <v>376</v>
      </c>
      <c r="G109" s="67"/>
      <c r="H109" s="110"/>
      <c r="I109" s="228">
        <f ca="1">+C109*Catalogo!$F$19+EV!D109*Catalogo!$F$14+EV!E109*Catalogo!$F$16+EV!F109*Catalogo!$F$18</f>
        <v>4782002.5607600007</v>
      </c>
      <c r="J109" s="228">
        <f ca="1">IF(TODAY()&gt;=$A109,SUMIFS(Tabla1[EV],Tabla1[Fecha],"&lt;="&amp;A109,Tabla1[EV],"&gt;0"),NA())</f>
        <v>4782002.5607600007</v>
      </c>
      <c r="L109"/>
      <c r="M109" s="225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</row>
    <row r="110" spans="1:31" x14ac:dyDescent="0.25">
      <c r="A110" s="62">
        <f t="shared" si="3"/>
        <v>46070</v>
      </c>
      <c r="B110" s="326">
        <v>12000000</v>
      </c>
      <c r="C110" s="110">
        <f ca="1">IF(TODAY()&gt;=$A110,SUMIFS(Tabla1[Avance_km],Tabla1[Fecha],"&lt;="&amp;EV!$A110,Tabla1[nombre_actividad],EV!C$1),NA())</f>
        <v>99.906000000000049</v>
      </c>
      <c r="D110" s="110">
        <f ca="1">IF(TODAY()&gt;=$A110,SUMIFS(Tabla1[Avance_km],Tabla1[Fecha],"&lt;="&amp;EV!$A110,Tabla1[nombre_actividad],EV!D$1),NA())</f>
        <v>99.906000000000006</v>
      </c>
      <c r="E110" s="110">
        <f ca="1">IF(TODAY()&gt;=$A110,SUMIFS(Tabla1[Avance_km],Tabla1[Fecha],"&lt;="&amp;EV!$A110,Tabla1[nombre_actividad],EV!E$1,Tabla1[Avance_km],"&gt;0"),NA())</f>
        <v>99.906000000000063</v>
      </c>
      <c r="F110" s="67">
        <f ca="1">IF(TODAY()&gt;=$A110,SUMIFS(Tabla1[Avance_Med],Tabla1[Fecha],"&lt;="&amp;EV!$A110,Tabla1[nombre_actividad],EV!F$1),NA())</f>
        <v>376</v>
      </c>
      <c r="G110" s="67"/>
      <c r="H110" s="110"/>
      <c r="I110" s="228">
        <f ca="1">+C110*Catalogo!$F$19+EV!D110*Catalogo!$F$14+EV!E110*Catalogo!$F$16+EV!F110*Catalogo!$F$18</f>
        <v>4782002.5607600007</v>
      </c>
      <c r="J110" s="228">
        <f ca="1">IF(TODAY()&gt;=$A110,SUMIFS(Tabla1[EV],Tabla1[Fecha],"&lt;="&amp;A110,Tabla1[EV],"&gt;0"),NA())</f>
        <v>4782002.5607600007</v>
      </c>
      <c r="L110"/>
      <c r="M110" s="225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</row>
    <row r="111" spans="1:31" x14ac:dyDescent="0.25">
      <c r="A111" s="62">
        <f t="shared" si="3"/>
        <v>46071</v>
      </c>
      <c r="B111" s="326">
        <v>12000000</v>
      </c>
      <c r="C111" s="110">
        <f ca="1">IF(TODAY()&gt;=$A111,SUMIFS(Tabla1[Avance_km],Tabla1[Fecha],"&lt;="&amp;EV!$A111,Tabla1[nombre_actividad],EV!C$1),NA())</f>
        <v>99.906000000000049</v>
      </c>
      <c r="D111" s="110">
        <f ca="1">IF(TODAY()&gt;=$A111,SUMIFS(Tabla1[Avance_km],Tabla1[Fecha],"&lt;="&amp;EV!$A111,Tabla1[nombre_actividad],EV!D$1),NA())</f>
        <v>99.906000000000006</v>
      </c>
      <c r="E111" s="110">
        <f ca="1">IF(TODAY()&gt;=$A111,SUMIFS(Tabla1[Avance_km],Tabla1[Fecha],"&lt;="&amp;EV!$A111,Tabla1[nombre_actividad],EV!E$1,Tabla1[Avance_km],"&gt;0"),NA())</f>
        <v>99.906000000000063</v>
      </c>
      <c r="F111" s="67">
        <f ca="1">IF(TODAY()&gt;=$A111,SUMIFS(Tabla1[Avance_Med],Tabla1[Fecha],"&lt;="&amp;EV!$A111,Tabla1[nombre_actividad],EV!F$1),NA())</f>
        <v>376</v>
      </c>
      <c r="G111" s="67"/>
      <c r="H111" s="110"/>
      <c r="I111" s="228">
        <f ca="1">+C111*Catalogo!$F$19+EV!D111*Catalogo!$F$14+EV!E111*Catalogo!$F$16+EV!F111*Catalogo!$F$18</f>
        <v>4782002.5607600007</v>
      </c>
      <c r="J111" s="228">
        <f ca="1">IF(TODAY()&gt;=$A111,SUMIFS(Tabla1[EV],Tabla1[Fecha],"&lt;="&amp;A111,Tabla1[EV],"&gt;0"),NA())</f>
        <v>4782002.5607600007</v>
      </c>
      <c r="L111"/>
      <c r="M111" s="225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</row>
    <row r="112" spans="1:31" x14ac:dyDescent="0.25">
      <c r="A112" s="62">
        <f t="shared" si="3"/>
        <v>46072</v>
      </c>
      <c r="B112" s="326">
        <v>12000000</v>
      </c>
      <c r="C112" s="110">
        <f ca="1">IF(TODAY()&gt;=$A112,SUMIFS(Tabla1[Avance_km],Tabla1[Fecha],"&lt;="&amp;EV!$A112,Tabla1[nombre_actividad],EV!C$1),NA())</f>
        <v>99.906000000000049</v>
      </c>
      <c r="D112" s="110">
        <f ca="1">IF(TODAY()&gt;=$A112,SUMIFS(Tabla1[Avance_km],Tabla1[Fecha],"&lt;="&amp;EV!$A112,Tabla1[nombre_actividad],EV!D$1),NA())</f>
        <v>99.906000000000006</v>
      </c>
      <c r="E112" s="110">
        <f ca="1">IF(TODAY()&gt;=$A112,SUMIFS(Tabla1[Avance_km],Tabla1[Fecha],"&lt;="&amp;EV!$A112,Tabla1[nombre_actividad],EV!E$1,Tabla1[Avance_km],"&gt;0"),NA())</f>
        <v>99.906000000000063</v>
      </c>
      <c r="F112" s="67">
        <f ca="1">IF(TODAY()&gt;=$A112,SUMIFS(Tabla1[Avance_Med],Tabla1[Fecha],"&lt;="&amp;EV!$A112,Tabla1[nombre_actividad],EV!F$1),NA())</f>
        <v>376</v>
      </c>
      <c r="G112" s="67"/>
      <c r="H112" s="110"/>
      <c r="I112" s="228">
        <f ca="1">+C112*Catalogo!$F$19+EV!D112*Catalogo!$F$14+EV!E112*Catalogo!$F$16+EV!F112*Catalogo!$F$18</f>
        <v>4782002.5607600007</v>
      </c>
      <c r="J112" s="228">
        <f ca="1">IF(TODAY()&gt;=$A112,SUMIFS(Tabla1[EV],Tabla1[Fecha],"&lt;="&amp;A112,Tabla1[EV],"&gt;0"),NA())</f>
        <v>4782002.5607600007</v>
      </c>
      <c r="L112"/>
      <c r="M112" s="225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</row>
    <row r="113" spans="1:30" x14ac:dyDescent="0.25">
      <c r="A113" s="62">
        <f t="shared" si="3"/>
        <v>46073</v>
      </c>
      <c r="B113" s="326">
        <v>12000000</v>
      </c>
      <c r="C113" s="110">
        <f ca="1">IF(TODAY()&gt;=$A113,SUMIFS(Tabla1[Avance_km],Tabla1[Fecha],"&lt;="&amp;EV!$A113,Tabla1[nombre_actividad],EV!C$1),NA())</f>
        <v>99.906000000000049</v>
      </c>
      <c r="D113" s="110">
        <f ca="1">IF(TODAY()&gt;=$A113,SUMIFS(Tabla1[Avance_km],Tabla1[Fecha],"&lt;="&amp;EV!$A113,Tabla1[nombre_actividad],EV!D$1),NA())</f>
        <v>99.906000000000006</v>
      </c>
      <c r="E113" s="110">
        <f ca="1">IF(TODAY()&gt;=$A113,SUMIFS(Tabla1[Avance_km],Tabla1[Fecha],"&lt;="&amp;EV!$A113,Tabla1[nombre_actividad],EV!E$1,Tabla1[Avance_km],"&gt;0"),NA())</f>
        <v>99.906000000000063</v>
      </c>
      <c r="F113" s="67">
        <f ca="1">IF(TODAY()&gt;=$A113,SUMIFS(Tabla1[Avance_Med],Tabla1[Fecha],"&lt;="&amp;EV!$A113,Tabla1[nombre_actividad],EV!F$1),NA())</f>
        <v>376</v>
      </c>
      <c r="G113" s="67"/>
      <c r="H113" s="110"/>
      <c r="I113" s="228">
        <f ca="1">+C113*Catalogo!$F$19+EV!D113*Catalogo!$F$14+EV!E113*Catalogo!$F$16+EV!F113*Catalogo!$F$18</f>
        <v>4782002.5607600007</v>
      </c>
      <c r="J113" s="228">
        <f ca="1">IF(TODAY()&gt;=$A113,SUMIFS(Tabla1[EV],Tabla1[Fecha],"&lt;="&amp;A113,Tabla1[EV],"&gt;0"),NA())</f>
        <v>4782002.5607600007</v>
      </c>
      <c r="L113"/>
      <c r="M113" s="225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</row>
    <row r="114" spans="1:30" x14ac:dyDescent="0.25">
      <c r="A114" s="62">
        <f t="shared" si="3"/>
        <v>46074</v>
      </c>
      <c r="B114" s="326">
        <v>12000000</v>
      </c>
      <c r="C114" s="110">
        <f ca="1">IF(TODAY()&gt;=$A114,SUMIFS(Tabla1[Avance_km],Tabla1[Fecha],"&lt;="&amp;EV!$A114,Tabla1[nombre_actividad],EV!C$1),NA())</f>
        <v>99.906000000000049</v>
      </c>
      <c r="D114" s="110">
        <f ca="1">IF(TODAY()&gt;=$A114,SUMIFS(Tabla1[Avance_km],Tabla1[Fecha],"&lt;="&amp;EV!$A114,Tabla1[nombre_actividad],EV!D$1),NA())</f>
        <v>99.906000000000006</v>
      </c>
      <c r="E114" s="110">
        <f ca="1">IF(TODAY()&gt;=$A114,SUMIFS(Tabla1[Avance_km],Tabla1[Fecha],"&lt;="&amp;EV!$A114,Tabla1[nombre_actividad],EV!E$1,Tabla1[Avance_km],"&gt;0"),NA())</f>
        <v>99.906000000000063</v>
      </c>
      <c r="F114" s="67">
        <f ca="1">IF(TODAY()&gt;=$A114,SUMIFS(Tabla1[Avance_Med],Tabla1[Fecha],"&lt;="&amp;EV!$A114,Tabla1[nombre_actividad],EV!F$1),NA())</f>
        <v>376</v>
      </c>
      <c r="G114" s="67"/>
      <c r="H114" s="110"/>
      <c r="I114" s="228">
        <f ca="1">+C114*Catalogo!$F$19+EV!D114*Catalogo!$F$14+EV!E114*Catalogo!$F$16+EV!F114*Catalogo!$F$18</f>
        <v>4782002.5607600007</v>
      </c>
      <c r="J114" s="228">
        <f ca="1">IF(TODAY()&gt;=$A114,SUMIFS(Tabla1[EV],Tabla1[Fecha],"&lt;="&amp;A114,Tabla1[EV],"&gt;0"),NA())</f>
        <v>4782002.5607600007</v>
      </c>
      <c r="L114"/>
      <c r="M114" s="225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</row>
    <row r="115" spans="1:30" x14ac:dyDescent="0.25">
      <c r="A115" s="62">
        <f t="shared" si="3"/>
        <v>46075</v>
      </c>
      <c r="B115" s="326">
        <v>12000000</v>
      </c>
      <c r="C115" s="110">
        <f ca="1">IF(TODAY()&gt;=$A115,SUMIFS(Tabla1[Avance_km],Tabla1[Fecha],"&lt;="&amp;EV!$A115,Tabla1[nombre_actividad],EV!C$1),NA())</f>
        <v>99.906000000000049</v>
      </c>
      <c r="D115" s="110">
        <f ca="1">IF(TODAY()&gt;=$A115,SUMIFS(Tabla1[Avance_km],Tabla1[Fecha],"&lt;="&amp;EV!$A115,Tabla1[nombre_actividad],EV!D$1),NA())</f>
        <v>99.906000000000006</v>
      </c>
      <c r="E115" s="110">
        <f ca="1">IF(TODAY()&gt;=$A115,SUMIFS(Tabla1[Avance_km],Tabla1[Fecha],"&lt;="&amp;EV!$A115,Tabla1[nombre_actividad],EV!E$1,Tabla1[Avance_km],"&gt;0"),NA())</f>
        <v>99.906000000000063</v>
      </c>
      <c r="F115" s="67">
        <f ca="1">IF(TODAY()&gt;=$A115,SUMIFS(Tabla1[Avance_Med],Tabla1[Fecha],"&lt;="&amp;EV!$A115,Tabla1[nombre_actividad],EV!F$1),NA())</f>
        <v>376</v>
      </c>
      <c r="G115" s="67"/>
      <c r="H115" s="110"/>
      <c r="I115" s="228">
        <f ca="1">+C115*Catalogo!$F$19+EV!D115*Catalogo!$F$14+EV!E115*Catalogo!$F$16+EV!F115*Catalogo!$F$18</f>
        <v>4782002.5607600007</v>
      </c>
      <c r="J115" s="228">
        <f ca="1">IF(TODAY()&gt;=$A115,SUMIFS(Tabla1[EV],Tabla1[Fecha],"&lt;="&amp;A115,Tabla1[EV],"&gt;0"),NA())</f>
        <v>4782002.5607600007</v>
      </c>
      <c r="L115"/>
      <c r="M115" s="22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</row>
    <row r="116" spans="1:30" x14ac:dyDescent="0.25">
      <c r="A116" s="62">
        <f t="shared" si="3"/>
        <v>46076</v>
      </c>
      <c r="B116" s="326">
        <v>12000000</v>
      </c>
      <c r="C116" s="110">
        <f ca="1">IF(TODAY()&gt;=$A116,SUMIFS(Tabla1[Avance_km],Tabla1[Fecha],"&lt;="&amp;EV!$A116,Tabla1[nombre_actividad],EV!C$1),NA())</f>
        <v>99.906000000000049</v>
      </c>
      <c r="D116" s="110">
        <f ca="1">IF(TODAY()&gt;=$A116,SUMIFS(Tabla1[Avance_km],Tabla1[Fecha],"&lt;="&amp;EV!$A116,Tabla1[nombre_actividad],EV!D$1),NA())</f>
        <v>99.906000000000006</v>
      </c>
      <c r="E116" s="110">
        <f ca="1">IF(TODAY()&gt;=$A116,SUMIFS(Tabla1[Avance_km],Tabla1[Fecha],"&lt;="&amp;EV!$A116,Tabla1[nombre_actividad],EV!E$1,Tabla1[Avance_km],"&gt;0"),NA())</f>
        <v>99.906000000000063</v>
      </c>
      <c r="F116" s="67">
        <f ca="1">IF(TODAY()&gt;=$A116,SUMIFS(Tabla1[Avance_Med],Tabla1[Fecha],"&lt;="&amp;EV!$A116,Tabla1[nombre_actividad],EV!F$1),NA())</f>
        <v>376</v>
      </c>
      <c r="G116" s="67"/>
      <c r="H116" s="110"/>
      <c r="I116" s="228">
        <f ca="1">+C116*Catalogo!$F$19+EV!D116*Catalogo!$F$14+EV!E116*Catalogo!$F$16+EV!F116*Catalogo!$F$18</f>
        <v>4782002.5607600007</v>
      </c>
      <c r="J116" s="228">
        <f ca="1">IF(TODAY()&gt;=$A116,SUMIFS(Tabla1[EV],Tabla1[Fecha],"&lt;="&amp;A116,Tabla1[EV],"&gt;0"),NA())</f>
        <v>4782002.5607600007</v>
      </c>
      <c r="L116"/>
      <c r="M116" s="225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</row>
    <row r="117" spans="1:30" x14ac:dyDescent="0.25">
      <c r="A117" s="62">
        <f t="shared" si="3"/>
        <v>46077</v>
      </c>
      <c r="B117" s="326">
        <v>12000000</v>
      </c>
      <c r="C117" s="110">
        <f ca="1">IF(TODAY()&gt;=$A117,SUMIFS(Tabla1[Avance_km],Tabla1[Fecha],"&lt;="&amp;EV!$A117,Tabla1[nombre_actividad],EV!C$1),NA())</f>
        <v>99.906000000000049</v>
      </c>
      <c r="D117" s="110">
        <f ca="1">IF(TODAY()&gt;=$A117,SUMIFS(Tabla1[Avance_km],Tabla1[Fecha],"&lt;="&amp;EV!$A117,Tabla1[nombre_actividad],EV!D$1),NA())</f>
        <v>99.906000000000006</v>
      </c>
      <c r="E117" s="110">
        <f ca="1">IF(TODAY()&gt;=$A117,SUMIFS(Tabla1[Avance_km],Tabla1[Fecha],"&lt;="&amp;EV!$A117,Tabla1[nombre_actividad],EV!E$1,Tabla1[Avance_km],"&gt;0"),NA())</f>
        <v>99.906000000000063</v>
      </c>
      <c r="F117" s="67">
        <f ca="1">IF(TODAY()&gt;=$A117,SUMIFS(Tabla1[Avance_Med],Tabla1[Fecha],"&lt;="&amp;EV!$A117,Tabla1[nombre_actividad],EV!F$1),NA())</f>
        <v>376</v>
      </c>
      <c r="G117" s="67"/>
      <c r="H117" s="110"/>
      <c r="I117" s="228">
        <f ca="1">+C117*Catalogo!$F$19+EV!D117*Catalogo!$F$14+EV!E117*Catalogo!$F$16+EV!F117*Catalogo!$F$18</f>
        <v>4782002.5607600007</v>
      </c>
      <c r="J117" s="228">
        <f ca="1">IF(TODAY()&gt;=$A117,SUMIFS(Tabla1[EV],Tabla1[Fecha],"&lt;="&amp;A117,Tabla1[EV],"&gt;0"),NA())</f>
        <v>4782002.5607600007</v>
      </c>
      <c r="L117"/>
      <c r="M117" s="225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</row>
    <row r="118" spans="1:30" x14ac:dyDescent="0.25">
      <c r="A118" s="62">
        <f t="shared" si="3"/>
        <v>46078</v>
      </c>
      <c r="B118" s="326">
        <v>12000000</v>
      </c>
      <c r="C118" s="110">
        <f ca="1">IF(TODAY()&gt;=$A118,SUMIFS(Tabla1[Avance_km],Tabla1[Fecha],"&lt;="&amp;EV!$A118,Tabla1[nombre_actividad],EV!C$1),NA())</f>
        <v>99.906000000000049</v>
      </c>
      <c r="D118" s="110">
        <f ca="1">IF(TODAY()&gt;=$A118,SUMIFS(Tabla1[Avance_km],Tabla1[Fecha],"&lt;="&amp;EV!$A118,Tabla1[nombre_actividad],EV!D$1),NA())</f>
        <v>99.906000000000006</v>
      </c>
      <c r="E118" s="110">
        <f ca="1">IF(TODAY()&gt;=$A118,SUMIFS(Tabla1[Avance_km],Tabla1[Fecha],"&lt;="&amp;EV!$A118,Tabla1[nombre_actividad],EV!E$1,Tabla1[Avance_km],"&gt;0"),NA())</f>
        <v>99.906000000000063</v>
      </c>
      <c r="F118" s="67">
        <f ca="1">IF(TODAY()&gt;=$A118,SUMIFS(Tabla1[Avance_Med],Tabla1[Fecha],"&lt;="&amp;EV!$A118,Tabla1[nombre_actividad],EV!F$1),NA())</f>
        <v>376</v>
      </c>
      <c r="G118" s="67"/>
      <c r="H118" s="110"/>
      <c r="I118" s="228">
        <f ca="1">+C118*Catalogo!$F$19+EV!D118*Catalogo!$F$14+EV!E118*Catalogo!$F$16+EV!F118*Catalogo!$F$18</f>
        <v>4782002.5607600007</v>
      </c>
      <c r="J118" s="228">
        <f ca="1">IF(TODAY()&gt;=$A118,SUMIFS(Tabla1[EV],Tabla1[Fecha],"&lt;="&amp;A118,Tabla1[EV],"&gt;0"),NA())</f>
        <v>4782002.5607600007</v>
      </c>
      <c r="L118"/>
      <c r="M118" s="225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</row>
    <row r="119" spans="1:30" x14ac:dyDescent="0.25">
      <c r="A119" s="62">
        <f t="shared" si="3"/>
        <v>46079</v>
      </c>
      <c r="B119" s="326">
        <v>12000000</v>
      </c>
      <c r="C119" s="110">
        <f ca="1">IF(TODAY()&gt;=$A119,SUMIFS(Tabla1[Avance_km],Tabla1[Fecha],"&lt;="&amp;EV!$A119,Tabla1[nombre_actividad],EV!C$1),NA())</f>
        <v>99.906000000000049</v>
      </c>
      <c r="D119" s="110">
        <f ca="1">IF(TODAY()&gt;=$A119,SUMIFS(Tabla1[Avance_km],Tabla1[Fecha],"&lt;="&amp;EV!$A119,Tabla1[nombre_actividad],EV!D$1),NA())</f>
        <v>99.906000000000006</v>
      </c>
      <c r="E119" s="110">
        <f ca="1">IF(TODAY()&gt;=$A119,SUMIFS(Tabla1[Avance_km],Tabla1[Fecha],"&lt;="&amp;EV!$A119,Tabla1[nombre_actividad],EV!E$1,Tabla1[Avance_km],"&gt;0"),NA())</f>
        <v>99.906000000000063</v>
      </c>
      <c r="F119" s="67">
        <f ca="1">IF(TODAY()&gt;=$A119,SUMIFS(Tabla1[Avance_Med],Tabla1[Fecha],"&lt;="&amp;EV!$A119,Tabla1[nombre_actividad],EV!F$1),NA())</f>
        <v>376</v>
      </c>
      <c r="G119" s="67"/>
      <c r="H119" s="110"/>
      <c r="I119" s="228">
        <f ca="1">+C119*Catalogo!$F$19+EV!D119*Catalogo!$F$14+EV!E119*Catalogo!$F$16+EV!F119*Catalogo!$F$18</f>
        <v>4782002.5607600007</v>
      </c>
      <c r="J119" s="228">
        <f ca="1">IF(TODAY()&gt;=$A119,SUMIFS(Tabla1[EV],Tabla1[Fecha],"&lt;="&amp;A119,Tabla1[EV],"&gt;0"),NA())</f>
        <v>4782002.5607600007</v>
      </c>
      <c r="L119"/>
      <c r="M119" s="225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</row>
    <row r="120" spans="1:30" x14ac:dyDescent="0.25">
      <c r="A120" s="62">
        <f t="shared" si="3"/>
        <v>46080</v>
      </c>
      <c r="B120" s="326">
        <v>12000000</v>
      </c>
      <c r="C120" s="110">
        <f ca="1">IF(TODAY()&gt;=$A120,SUMIFS(Tabla1[Avance_km],Tabla1[Fecha],"&lt;="&amp;EV!$A120,Tabla1[nombre_actividad],EV!C$1),NA())</f>
        <v>99.906000000000049</v>
      </c>
      <c r="D120" s="110">
        <f ca="1">IF(TODAY()&gt;=$A120,SUMIFS(Tabla1[Avance_km],Tabla1[Fecha],"&lt;="&amp;EV!$A120,Tabla1[nombre_actividad],EV!D$1),NA())</f>
        <v>99.906000000000006</v>
      </c>
      <c r="E120" s="110">
        <f ca="1">IF(TODAY()&gt;=$A120,SUMIFS(Tabla1[Avance_km],Tabla1[Fecha],"&lt;="&amp;EV!$A120,Tabla1[nombre_actividad],EV!E$1,Tabla1[Avance_km],"&gt;0"),NA())</f>
        <v>99.906000000000063</v>
      </c>
      <c r="F120" s="67">
        <f ca="1">IF(TODAY()&gt;=$A120,SUMIFS(Tabla1[Avance_Med],Tabla1[Fecha],"&lt;="&amp;EV!$A120,Tabla1[nombre_actividad],EV!F$1),NA())</f>
        <v>376</v>
      </c>
      <c r="G120" s="67"/>
      <c r="H120" s="110"/>
      <c r="I120" s="228">
        <f ca="1">+C120*Catalogo!$F$19+EV!D120*Catalogo!$F$14+EV!E120*Catalogo!$F$16+EV!F120*Catalogo!$F$18</f>
        <v>4782002.5607600007</v>
      </c>
      <c r="J120" s="228">
        <f ca="1">IF(TODAY()&gt;=$A120,SUMIFS(Tabla1[EV],Tabla1[Fecha],"&lt;="&amp;A120,Tabla1[EV],"&gt;0"),NA())</f>
        <v>4782002.5607600007</v>
      </c>
      <c r="K120" s="291"/>
      <c r="L120"/>
      <c r="M120" s="225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</row>
    <row r="121" spans="1:30" x14ac:dyDescent="0.25">
      <c r="A121" s="62">
        <f t="shared" si="3"/>
        <v>46081</v>
      </c>
      <c r="B121" s="326">
        <v>12000000</v>
      </c>
      <c r="C121" s="110">
        <f ca="1">IF(TODAY()&gt;=$A121,SUMIFS(Tabla1[Avance_km],Tabla1[Fecha],"&lt;="&amp;EV!$A121,Tabla1[nombre_actividad],EV!C$1),NA())</f>
        <v>99.906000000000049</v>
      </c>
      <c r="D121" s="110">
        <f ca="1">IF(TODAY()&gt;=$A121,SUMIFS(Tabla1[Avance_km],Tabla1[Fecha],"&lt;="&amp;EV!$A121,Tabla1[nombre_actividad],EV!D$1),NA())</f>
        <v>99.906000000000006</v>
      </c>
      <c r="E121" s="110">
        <f ca="1">IF(TODAY()&gt;=$A121,SUMIFS(Tabla1[Avance_km],Tabla1[Fecha],"&lt;="&amp;EV!$A121,Tabla1[nombre_actividad],EV!E$1,Tabla1[Avance_km],"&gt;0"),NA())</f>
        <v>99.906000000000063</v>
      </c>
      <c r="F121" s="67">
        <f ca="1">IF(TODAY()&gt;=$A121,SUMIFS(Tabla1[Avance_Med],Tabla1[Fecha],"&lt;="&amp;EV!$A121,Tabla1[nombre_actividad],EV!F$1),NA())</f>
        <v>376</v>
      </c>
      <c r="G121" s="67"/>
      <c r="H121" s="110"/>
      <c r="I121" s="228">
        <f ca="1">+C121*Catalogo!$F$19+EV!D121*Catalogo!$F$14+EV!E121*Catalogo!$F$16+EV!F121*Catalogo!$F$18</f>
        <v>4782002.5607600007</v>
      </c>
      <c r="J121" s="228">
        <f ca="1">IF(TODAY()&gt;=$A121,SUMIFS(Tabla1[EV],Tabla1[Fecha],"&lt;="&amp;A121,Tabla1[EV],"&gt;0"),NA())</f>
        <v>4782002.5607600007</v>
      </c>
      <c r="L121"/>
      <c r="M121" s="225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</row>
    <row r="122" spans="1:30" x14ac:dyDescent="0.25">
      <c r="A122" s="62">
        <f t="shared" si="3"/>
        <v>46082</v>
      </c>
      <c r="B122" s="326">
        <v>12000000</v>
      </c>
      <c r="C122" s="110">
        <f ca="1">IF(TODAY()&gt;=$A122,SUMIFS(Tabla1[Avance_km],Tabla1[Fecha],"&lt;="&amp;EV!$A122,Tabla1[nombre_actividad],EV!C$1),NA())</f>
        <v>99.906000000000049</v>
      </c>
      <c r="D122" s="110">
        <f ca="1">IF(TODAY()&gt;=$A122,SUMIFS(Tabla1[Avance_km],Tabla1[Fecha],"&lt;="&amp;EV!$A122,Tabla1[nombre_actividad],EV!D$1),NA())</f>
        <v>99.906000000000006</v>
      </c>
      <c r="E122" s="110">
        <f ca="1">IF(TODAY()&gt;=$A122,SUMIFS(Tabla1[Avance_km],Tabla1[Fecha],"&lt;="&amp;EV!$A122,Tabla1[nombre_actividad],EV!E$1,Tabla1[Avance_km],"&gt;0"),NA())</f>
        <v>99.906000000000063</v>
      </c>
      <c r="F122" s="67">
        <f ca="1">IF(TODAY()&gt;=$A122,SUMIFS(Tabla1[Avance_Med],Tabla1[Fecha],"&lt;="&amp;EV!$A122,Tabla1[nombre_actividad],EV!F$1),NA())</f>
        <v>376</v>
      </c>
      <c r="G122" s="67"/>
      <c r="H122" s="110"/>
      <c r="I122" s="228">
        <f ca="1">+C122*Catalogo!$F$19+EV!D122*Catalogo!$F$14+EV!E122*Catalogo!$F$16+EV!F122*Catalogo!$F$18</f>
        <v>4782002.5607600007</v>
      </c>
      <c r="J122" s="228">
        <f ca="1">IF(TODAY()&gt;=$A122,SUMIFS(Tabla1[EV],Tabla1[Fecha],"&lt;="&amp;A122,Tabla1[EV],"&gt;0"),NA())</f>
        <v>4782002.5607600007</v>
      </c>
      <c r="L122"/>
      <c r="M122" s="225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</row>
    <row r="123" spans="1:30" x14ac:dyDescent="0.25">
      <c r="A123" s="62">
        <f t="shared" si="3"/>
        <v>46083</v>
      </c>
      <c r="B123" s="326">
        <v>12000000</v>
      </c>
      <c r="C123" s="110">
        <f ca="1">IF(TODAY()&gt;=$A123,SUMIFS(Tabla1[Avance_km],Tabla1[Fecha],"&lt;="&amp;EV!$A123,Tabla1[nombre_actividad],EV!C$1),NA())</f>
        <v>99.906000000000049</v>
      </c>
      <c r="D123" s="110">
        <f ca="1">IF(TODAY()&gt;=$A123,SUMIFS(Tabla1[Avance_km],Tabla1[Fecha],"&lt;="&amp;EV!$A123,Tabla1[nombre_actividad],EV!D$1),NA())</f>
        <v>99.906000000000006</v>
      </c>
      <c r="E123" s="110">
        <f ca="1">IF(TODAY()&gt;=$A123,SUMIFS(Tabla1[Avance_km],Tabla1[Fecha],"&lt;="&amp;EV!$A123,Tabla1[nombre_actividad],EV!E$1,Tabla1[Avance_km],"&gt;0"),NA())</f>
        <v>99.906000000000063</v>
      </c>
      <c r="F123" s="67">
        <f ca="1">IF(TODAY()&gt;=$A123,SUMIFS(Tabla1[Avance_Med],Tabla1[Fecha],"&lt;="&amp;EV!$A123,Tabla1[nombre_actividad],EV!F$1),NA())</f>
        <v>376</v>
      </c>
      <c r="G123" s="67"/>
      <c r="H123" s="110"/>
      <c r="I123" s="228">
        <f ca="1">+C123*Catalogo!$F$19+EV!D123*Catalogo!$F$14+EV!E123*Catalogo!$F$16+EV!F123*Catalogo!$F$18</f>
        <v>4782002.5607600007</v>
      </c>
      <c r="J123" s="228">
        <f ca="1">IF(TODAY()&gt;=$A123,SUMIFS(Tabla1[EV],Tabla1[Fecha],"&lt;="&amp;A123,Tabla1[EV],"&gt;0"),NA())</f>
        <v>4782002.5607600007</v>
      </c>
      <c r="L123"/>
      <c r="M123" s="225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</row>
    <row r="124" spans="1:30" x14ac:dyDescent="0.25">
      <c r="A124" s="62">
        <f t="shared" si="3"/>
        <v>46084</v>
      </c>
      <c r="B124" s="326">
        <v>12000000</v>
      </c>
      <c r="C124" s="110">
        <f ca="1">IF(TODAY()&gt;=$A124,SUMIFS(Tabla1[Avance_km],Tabla1[Fecha],"&lt;="&amp;EV!$A124,Tabla1[nombre_actividad],EV!C$1),NA())</f>
        <v>99.906000000000049</v>
      </c>
      <c r="D124" s="110">
        <f ca="1">IF(TODAY()&gt;=$A124,SUMIFS(Tabla1[Avance_km],Tabla1[Fecha],"&lt;="&amp;EV!$A124,Tabla1[nombre_actividad],EV!D$1),NA())</f>
        <v>99.906000000000006</v>
      </c>
      <c r="E124" s="110">
        <f ca="1">IF(TODAY()&gt;=$A124,SUMIFS(Tabla1[Avance_km],Tabla1[Fecha],"&lt;="&amp;EV!$A124,Tabla1[nombre_actividad],EV!E$1,Tabla1[Avance_km],"&gt;0"),NA())</f>
        <v>99.906000000000063</v>
      </c>
      <c r="F124" s="67">
        <f ca="1">IF(TODAY()&gt;=$A124,SUMIFS(Tabla1[Avance_Med],Tabla1[Fecha],"&lt;="&amp;EV!$A124,Tabla1[nombre_actividad],EV!F$1),NA())</f>
        <v>376</v>
      </c>
      <c r="G124" s="67"/>
      <c r="H124" s="110"/>
      <c r="I124" s="228">
        <f ca="1">+C124*Catalogo!$F$19+EV!D124*Catalogo!$F$14+EV!E124*Catalogo!$F$16+EV!F124*Catalogo!$F$18</f>
        <v>4782002.5607600007</v>
      </c>
      <c r="J124" s="228">
        <f ca="1">IF(TODAY()&gt;=$A124,SUMIFS(Tabla1[EV],Tabla1[Fecha],"&lt;="&amp;A124,Tabla1[EV],"&gt;0"),NA())</f>
        <v>4782002.5607600007</v>
      </c>
      <c r="L124"/>
      <c r="M124" s="225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</row>
    <row r="125" spans="1:30" x14ac:dyDescent="0.25">
      <c r="A125" s="62">
        <f t="shared" si="3"/>
        <v>46085</v>
      </c>
      <c r="B125" s="326">
        <v>12000000</v>
      </c>
      <c r="C125" s="110">
        <f ca="1">IF(TODAY()&gt;=$A125,SUMIFS(Tabla1[Avance_km],Tabla1[Fecha],"&lt;="&amp;EV!$A125,Tabla1[nombre_actividad],EV!C$1),NA())</f>
        <v>99.906000000000049</v>
      </c>
      <c r="D125" s="110">
        <f ca="1">IF(TODAY()&gt;=$A125,SUMIFS(Tabla1[Avance_km],Tabla1[Fecha],"&lt;="&amp;EV!$A125,Tabla1[nombre_actividad],EV!D$1),NA())</f>
        <v>99.906000000000006</v>
      </c>
      <c r="E125" s="110">
        <f ca="1">IF(TODAY()&gt;=$A125,SUMIFS(Tabla1[Avance_km],Tabla1[Fecha],"&lt;="&amp;EV!$A125,Tabla1[nombre_actividad],EV!E$1,Tabla1[Avance_km],"&gt;0"),NA())</f>
        <v>99.906000000000063</v>
      </c>
      <c r="F125" s="67">
        <f ca="1">IF(TODAY()&gt;=$A125,SUMIFS(Tabla1[Avance_Med],Tabla1[Fecha],"&lt;="&amp;EV!$A125,Tabla1[nombre_actividad],EV!F$1),NA())</f>
        <v>376</v>
      </c>
      <c r="G125" s="67"/>
      <c r="H125" s="110"/>
      <c r="I125" s="228">
        <f ca="1">+C125*Catalogo!$F$19+EV!D125*Catalogo!$F$14+EV!E125*Catalogo!$F$16+EV!F125*Catalogo!$F$18</f>
        <v>4782002.5607600007</v>
      </c>
      <c r="J125" s="228">
        <f ca="1">IF(TODAY()&gt;=$A125,SUMIFS(Tabla1[EV],Tabla1[Fecha],"&lt;="&amp;A125,Tabla1[EV],"&gt;0"),NA())</f>
        <v>4782002.5607600007</v>
      </c>
      <c r="L125"/>
      <c r="M125" s="2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</row>
    <row r="126" spans="1:30" x14ac:dyDescent="0.25">
      <c r="A126" s="62">
        <f t="shared" si="3"/>
        <v>46086</v>
      </c>
      <c r="B126" s="326">
        <v>12000000</v>
      </c>
      <c r="C126" s="110">
        <f ca="1">IF(TODAY()&gt;=$A126,SUMIFS(Tabla1[Avance_km],Tabla1[Fecha],"&lt;="&amp;EV!$A126,Tabla1[nombre_actividad],EV!C$1),NA())</f>
        <v>99.906000000000049</v>
      </c>
      <c r="D126" s="110">
        <f ca="1">IF(TODAY()&gt;=$A126,SUMIFS(Tabla1[Avance_km],Tabla1[Fecha],"&lt;="&amp;EV!$A126,Tabla1[nombre_actividad],EV!D$1),NA())</f>
        <v>99.906000000000006</v>
      </c>
      <c r="E126" s="110">
        <f ca="1">IF(TODAY()&gt;=$A126,SUMIFS(Tabla1[Avance_km],Tabla1[Fecha],"&lt;="&amp;EV!$A126,Tabla1[nombre_actividad],EV!E$1,Tabla1[Avance_km],"&gt;0"),NA())</f>
        <v>99.906000000000063</v>
      </c>
      <c r="F126" s="67">
        <f ca="1">IF(TODAY()&gt;=$A126,SUMIFS(Tabla1[Avance_Med],Tabla1[Fecha],"&lt;="&amp;EV!$A126,Tabla1[nombre_actividad],EV!F$1),NA())</f>
        <v>376</v>
      </c>
      <c r="G126" s="67"/>
      <c r="H126" s="110"/>
      <c r="I126" s="228">
        <f ca="1">+C126*Catalogo!$F$19+EV!D126*Catalogo!$F$14+EV!E126*Catalogo!$F$16+EV!F126*Catalogo!$F$18</f>
        <v>4782002.5607600007</v>
      </c>
      <c r="J126" s="228">
        <f ca="1">IF(TODAY()&gt;=$A126,SUMIFS(Tabla1[EV],Tabla1[Fecha],"&lt;="&amp;A126,Tabla1[EV],"&gt;0"),NA())</f>
        <v>4782002.5607600007</v>
      </c>
      <c r="L126"/>
      <c r="M126" s="225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</row>
    <row r="127" spans="1:30" x14ac:dyDescent="0.25">
      <c r="A127" s="62">
        <f t="shared" si="3"/>
        <v>46087</v>
      </c>
      <c r="B127" s="326">
        <v>12000000</v>
      </c>
      <c r="C127" s="110">
        <f ca="1">IF(TODAY()&gt;=$A127,SUMIFS(Tabla1[Avance_km],Tabla1[Fecha],"&lt;="&amp;EV!$A127,Tabla1[nombre_actividad],EV!C$1),NA())</f>
        <v>99.906000000000049</v>
      </c>
      <c r="D127" s="110">
        <f ca="1">IF(TODAY()&gt;=$A127,SUMIFS(Tabla1[Avance_km],Tabla1[Fecha],"&lt;="&amp;EV!$A127,Tabla1[nombre_actividad],EV!D$1),NA())</f>
        <v>99.906000000000006</v>
      </c>
      <c r="E127" s="110">
        <f ca="1">IF(TODAY()&gt;=$A127,SUMIFS(Tabla1[Avance_km],Tabla1[Fecha],"&lt;="&amp;EV!$A127,Tabla1[nombre_actividad],EV!E$1,Tabla1[Avance_km],"&gt;0"),NA())</f>
        <v>99.906000000000063</v>
      </c>
      <c r="F127" s="67">
        <f ca="1">IF(TODAY()&gt;=$A127,SUMIFS(Tabla1[Avance_Med],Tabla1[Fecha],"&lt;="&amp;EV!$A127,Tabla1[nombre_actividad],EV!F$1),NA())</f>
        <v>376</v>
      </c>
      <c r="G127" s="67"/>
      <c r="H127" s="110"/>
      <c r="I127" s="228">
        <f ca="1">+C127*Catalogo!$F$19+EV!D127*Catalogo!$F$14+EV!E127*Catalogo!$F$16+EV!F127*Catalogo!$F$18</f>
        <v>4782002.5607600007</v>
      </c>
      <c r="J127" s="228">
        <f ca="1">IF(TODAY()&gt;=$A127,SUMIFS(Tabla1[EV],Tabla1[Fecha],"&lt;="&amp;A127,Tabla1[EV],"&gt;0"),NA())</f>
        <v>4782002.5607600007</v>
      </c>
      <c r="L127"/>
      <c r="M127" s="225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</row>
    <row r="128" spans="1:30" x14ac:dyDescent="0.25">
      <c r="A128" s="62">
        <f t="shared" si="3"/>
        <v>46088</v>
      </c>
      <c r="B128" s="326">
        <v>12000000</v>
      </c>
      <c r="C128" s="110">
        <f ca="1">IF(TODAY()&gt;=$A128,SUMIFS(Tabla1[Avance_km],Tabla1[Fecha],"&lt;="&amp;EV!$A128,Tabla1[nombre_actividad],EV!C$1),NA())</f>
        <v>99.906000000000049</v>
      </c>
      <c r="D128" s="110">
        <f ca="1">IF(TODAY()&gt;=$A128,SUMIFS(Tabla1[Avance_km],Tabla1[Fecha],"&lt;="&amp;EV!$A128,Tabla1[nombre_actividad],EV!D$1),NA())</f>
        <v>99.906000000000006</v>
      </c>
      <c r="E128" s="110">
        <f ca="1">IF(TODAY()&gt;=$A128,SUMIFS(Tabla1[Avance_km],Tabla1[Fecha],"&lt;="&amp;EV!$A128,Tabla1[nombre_actividad],EV!E$1,Tabla1[Avance_km],"&gt;0"),NA())</f>
        <v>99.906000000000063</v>
      </c>
      <c r="F128" s="67">
        <f ca="1">IF(TODAY()&gt;=$A128,SUMIFS(Tabla1[Avance_Med],Tabla1[Fecha],"&lt;="&amp;EV!$A128,Tabla1[nombre_actividad],EV!F$1),NA())</f>
        <v>376</v>
      </c>
      <c r="G128" s="67"/>
      <c r="H128" s="110"/>
      <c r="I128" s="228">
        <f ca="1">+C128*Catalogo!$F$19+EV!D128*Catalogo!$F$14+EV!E128*Catalogo!$F$16+EV!F128*Catalogo!$F$18</f>
        <v>4782002.5607600007</v>
      </c>
      <c r="J128" s="228">
        <f ca="1">IF(TODAY()&gt;=$A128,SUMIFS(Tabla1[EV],Tabla1[Fecha],"&lt;="&amp;A128,Tabla1[EV],"&gt;0"),NA())</f>
        <v>4782002.5607600007</v>
      </c>
      <c r="L128"/>
      <c r="M128" s="225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</row>
    <row r="129" spans="1:30" x14ac:dyDescent="0.25">
      <c r="A129" s="62">
        <f t="shared" si="3"/>
        <v>46089</v>
      </c>
      <c r="B129" s="326">
        <v>12000000</v>
      </c>
      <c r="C129" s="110">
        <f ca="1">IF(TODAY()&gt;=$A129,SUMIFS(Tabla1[Avance_km],Tabla1[Fecha],"&lt;="&amp;EV!$A129,Tabla1[nombre_actividad],EV!C$1),NA())</f>
        <v>99.906000000000049</v>
      </c>
      <c r="D129" s="110">
        <f ca="1">IF(TODAY()&gt;=$A129,SUMIFS(Tabla1[Avance_km],Tabla1[Fecha],"&lt;="&amp;EV!$A129,Tabla1[nombre_actividad],EV!D$1),NA())</f>
        <v>99.906000000000006</v>
      </c>
      <c r="E129" s="110">
        <f ca="1">IF(TODAY()&gt;=$A129,SUMIFS(Tabla1[Avance_km],Tabla1[Fecha],"&lt;="&amp;EV!$A129,Tabla1[nombre_actividad],EV!E$1,Tabla1[Avance_km],"&gt;0"),NA())</f>
        <v>99.906000000000063</v>
      </c>
      <c r="F129" s="67">
        <f ca="1">IF(TODAY()&gt;=$A129,SUMIFS(Tabla1[Avance_Med],Tabla1[Fecha],"&lt;="&amp;EV!$A129,Tabla1[nombre_actividad],EV!F$1),NA())</f>
        <v>376</v>
      </c>
      <c r="G129" s="67"/>
      <c r="H129" s="110"/>
      <c r="I129" s="228">
        <f ca="1">+C129*Catalogo!$F$19+EV!D129*Catalogo!$F$14+EV!E129*Catalogo!$F$16+EV!F129*Catalogo!$F$18</f>
        <v>4782002.5607600007</v>
      </c>
      <c r="J129" s="228">
        <f ca="1">IF(TODAY()&gt;=$A129,SUMIFS(Tabla1[EV],Tabla1[Fecha],"&lt;="&amp;A129,Tabla1[EV],"&gt;0"),NA())</f>
        <v>4782002.5607600007</v>
      </c>
      <c r="L129"/>
      <c r="M129" s="225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</row>
    <row r="130" spans="1:30" x14ac:dyDescent="0.25">
      <c r="A130" s="62">
        <f t="shared" si="3"/>
        <v>46090</v>
      </c>
      <c r="B130" s="326">
        <v>12000000</v>
      </c>
      <c r="C130" s="110">
        <f ca="1">IF(TODAY()&gt;=$A130,SUMIFS(Tabla1[Avance_km],Tabla1[Fecha],"&lt;="&amp;EV!$A130,Tabla1[nombre_actividad],EV!C$1),NA())</f>
        <v>99.906000000000049</v>
      </c>
      <c r="D130" s="110">
        <f ca="1">IF(TODAY()&gt;=$A130,SUMIFS(Tabla1[Avance_km],Tabla1[Fecha],"&lt;="&amp;EV!$A130,Tabla1[nombre_actividad],EV!D$1),NA())</f>
        <v>99.906000000000006</v>
      </c>
      <c r="E130" s="110">
        <f ca="1">IF(TODAY()&gt;=$A130,SUMIFS(Tabla1[Avance_km],Tabla1[Fecha],"&lt;="&amp;EV!$A130,Tabla1[nombre_actividad],EV!E$1,Tabla1[Avance_km],"&gt;0"),NA())</f>
        <v>99.906000000000063</v>
      </c>
      <c r="F130" s="67">
        <f ca="1">IF(TODAY()&gt;=$A130,SUMIFS(Tabla1[Avance_Med],Tabla1[Fecha],"&lt;="&amp;EV!$A130,Tabla1[nombre_actividad],EV!F$1),NA())</f>
        <v>376</v>
      </c>
      <c r="G130" s="67"/>
      <c r="H130" s="110"/>
      <c r="I130" s="228">
        <f ca="1">+C130*Catalogo!$F$19+EV!D130*Catalogo!$F$14+EV!E130*Catalogo!$F$16+EV!F130*Catalogo!$F$18</f>
        <v>4782002.5607600007</v>
      </c>
      <c r="J130" s="228">
        <f ca="1">IF(TODAY()&gt;=$A130,SUMIFS(Tabla1[EV],Tabla1[Fecha],"&lt;="&amp;A130,Tabla1[EV],"&gt;0"),NA())</f>
        <v>4782002.5607600007</v>
      </c>
      <c r="L130"/>
      <c r="M130" s="225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</row>
    <row r="131" spans="1:30" x14ac:dyDescent="0.25">
      <c r="A131" s="62">
        <f t="shared" si="3"/>
        <v>46091</v>
      </c>
      <c r="B131" s="326">
        <v>12000000</v>
      </c>
      <c r="C131" s="110">
        <f ca="1">IF(TODAY()&gt;=$A131,SUMIFS(Tabla1[Avance_km],Tabla1[Fecha],"&lt;="&amp;EV!$A131,Tabla1[nombre_actividad],EV!C$1),NA())</f>
        <v>99.906000000000049</v>
      </c>
      <c r="D131" s="110">
        <f ca="1">IF(TODAY()&gt;=$A131,SUMIFS(Tabla1[Avance_km],Tabla1[Fecha],"&lt;="&amp;EV!$A131,Tabla1[nombre_actividad],EV!D$1),NA())</f>
        <v>99.906000000000006</v>
      </c>
      <c r="E131" s="110">
        <f ca="1">IF(TODAY()&gt;=$A131,SUMIFS(Tabla1[Avance_km],Tabla1[Fecha],"&lt;="&amp;EV!$A131,Tabla1[nombre_actividad],EV!E$1,Tabla1[Avance_km],"&gt;0"),NA())</f>
        <v>99.906000000000063</v>
      </c>
      <c r="F131" s="67">
        <f ca="1">IF(TODAY()&gt;=$A131,SUMIFS(Tabla1[Avance_Med],Tabla1[Fecha],"&lt;="&amp;EV!$A131,Tabla1[nombre_actividad],EV!F$1),NA())</f>
        <v>376</v>
      </c>
      <c r="G131" s="67"/>
      <c r="H131" s="110"/>
      <c r="I131" s="228">
        <f ca="1">+C131*Catalogo!$F$19+EV!D131*Catalogo!$F$14+EV!E131*Catalogo!$F$16+EV!F131*Catalogo!$F$18</f>
        <v>4782002.5607600007</v>
      </c>
      <c r="J131" s="228">
        <f ca="1">IF(TODAY()&gt;=$A131,SUMIFS(Tabla1[EV],Tabla1[Fecha],"&lt;="&amp;A131,Tabla1[EV],"&gt;0"),NA())</f>
        <v>4782002.5607600007</v>
      </c>
      <c r="L131"/>
      <c r="M131" s="225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</row>
    <row r="132" spans="1:30" x14ac:dyDescent="0.25">
      <c r="A132" s="62">
        <f t="shared" si="3"/>
        <v>46092</v>
      </c>
      <c r="B132" s="326">
        <v>12000000</v>
      </c>
      <c r="C132" s="110">
        <f ca="1">IF(TODAY()&gt;=$A132,SUMIFS(Tabla1[Avance_km],Tabla1[Fecha],"&lt;="&amp;EV!$A132,Tabla1[nombre_actividad],EV!C$1),NA())</f>
        <v>99.906000000000049</v>
      </c>
      <c r="D132" s="110">
        <f ca="1">IF(TODAY()&gt;=$A132,SUMIFS(Tabla1[Avance_km],Tabla1[Fecha],"&lt;="&amp;EV!$A132,Tabla1[nombre_actividad],EV!D$1),NA())</f>
        <v>99.906000000000006</v>
      </c>
      <c r="E132" s="110">
        <f ca="1">IF(TODAY()&gt;=$A132,SUMIFS(Tabla1[Avance_km],Tabla1[Fecha],"&lt;="&amp;EV!$A132,Tabla1[nombre_actividad],EV!E$1,Tabla1[Avance_km],"&gt;0"),NA())</f>
        <v>99.906000000000063</v>
      </c>
      <c r="F132" s="67">
        <f ca="1">IF(TODAY()&gt;=$A132,SUMIFS(Tabla1[Avance_Med],Tabla1[Fecha],"&lt;="&amp;EV!$A132,Tabla1[nombre_actividad],EV!F$1),NA())</f>
        <v>376</v>
      </c>
      <c r="G132" s="67"/>
      <c r="H132" s="110"/>
      <c r="I132" s="228">
        <f ca="1">+C132*Catalogo!$F$19+EV!D132*Catalogo!$F$14+EV!E132*Catalogo!$F$16+EV!F132*Catalogo!$F$18</f>
        <v>4782002.5607600007</v>
      </c>
      <c r="J132" s="228">
        <f ca="1">IF(TODAY()&gt;=$A132,SUMIFS(Tabla1[EV],Tabla1[Fecha],"&lt;="&amp;A132,Tabla1[EV],"&gt;0"),NA())</f>
        <v>4782002.5607600007</v>
      </c>
      <c r="L132"/>
      <c r="M132" s="225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</row>
    <row r="133" spans="1:30" x14ac:dyDescent="0.25">
      <c r="A133" s="62">
        <f t="shared" ref="A133:A196" si="4">+A132+1</f>
        <v>46093</v>
      </c>
      <c r="B133" s="326">
        <v>12000000</v>
      </c>
      <c r="C133" s="110">
        <f ca="1">IF(TODAY()&gt;=$A133,SUMIFS(Tabla1[Avance_km],Tabla1[Fecha],"&lt;="&amp;EV!$A133,Tabla1[nombre_actividad],EV!C$1),NA())</f>
        <v>99.906000000000049</v>
      </c>
      <c r="D133" s="110">
        <f ca="1">IF(TODAY()&gt;=$A133,SUMIFS(Tabla1[Avance_km],Tabla1[Fecha],"&lt;="&amp;EV!$A133,Tabla1[nombre_actividad],EV!D$1),NA())</f>
        <v>99.906000000000006</v>
      </c>
      <c r="E133" s="110">
        <f ca="1">IF(TODAY()&gt;=$A133,SUMIFS(Tabla1[Avance_km],Tabla1[Fecha],"&lt;="&amp;EV!$A133,Tabla1[nombre_actividad],EV!E$1,Tabla1[Avance_km],"&gt;0"),NA())</f>
        <v>99.906000000000063</v>
      </c>
      <c r="F133" s="67">
        <f ca="1">IF(TODAY()&gt;=$A133,SUMIFS(Tabla1[Avance_Med],Tabla1[Fecha],"&lt;="&amp;EV!$A133,Tabla1[nombre_actividad],EV!F$1),NA())</f>
        <v>376</v>
      </c>
      <c r="G133" s="67"/>
      <c r="H133" s="110"/>
      <c r="I133" s="228">
        <f ca="1">+C133*Catalogo!$F$19+EV!D133*Catalogo!$F$14+EV!E133*Catalogo!$F$16+EV!F133*Catalogo!$F$18</f>
        <v>4782002.5607600007</v>
      </c>
      <c r="J133" s="228">
        <f ca="1">IF(TODAY()&gt;=$A133,SUMIFS(Tabla1[EV],Tabla1[Fecha],"&lt;="&amp;A133,Tabla1[EV],"&gt;0"),NA())</f>
        <v>4782002.5607600007</v>
      </c>
      <c r="L133"/>
      <c r="M133" s="225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</row>
    <row r="134" spans="1:30" x14ac:dyDescent="0.25">
      <c r="A134" s="62">
        <f t="shared" si="4"/>
        <v>46094</v>
      </c>
      <c r="B134" s="326">
        <v>12000000</v>
      </c>
      <c r="C134" s="110">
        <f ca="1">IF(TODAY()&gt;=$A134,SUMIFS(Tabla1[Avance_km],Tabla1[Fecha],"&lt;="&amp;EV!$A134,Tabla1[nombre_actividad],EV!C$1),NA())</f>
        <v>99.906000000000049</v>
      </c>
      <c r="D134" s="110">
        <f ca="1">IF(TODAY()&gt;=$A134,SUMIFS(Tabla1[Avance_km],Tabla1[Fecha],"&lt;="&amp;EV!$A134,Tabla1[nombre_actividad],EV!D$1),NA())</f>
        <v>99.906000000000006</v>
      </c>
      <c r="E134" s="110">
        <f ca="1">IF(TODAY()&gt;=$A134,SUMIFS(Tabla1[Avance_km],Tabla1[Fecha],"&lt;="&amp;EV!$A134,Tabla1[nombre_actividad],EV!E$1,Tabla1[Avance_km],"&gt;0"),NA())</f>
        <v>99.906000000000063</v>
      </c>
      <c r="F134" s="67">
        <f ca="1">IF(TODAY()&gt;=$A134,SUMIFS(Tabla1[Avance_Med],Tabla1[Fecha],"&lt;="&amp;EV!$A134,Tabla1[nombre_actividad],EV!F$1),NA())</f>
        <v>376</v>
      </c>
      <c r="G134" s="67"/>
      <c r="H134" s="110"/>
      <c r="I134" s="228">
        <f ca="1">+C134*Catalogo!$F$19+EV!D134*Catalogo!$F$14+EV!E134*Catalogo!$F$16+EV!F134*Catalogo!$F$18</f>
        <v>4782002.5607600007</v>
      </c>
      <c r="J134" s="228">
        <f ca="1">IF(TODAY()&gt;=$A134,SUMIFS(Tabla1[EV],Tabla1[Fecha],"&lt;="&amp;A134,Tabla1[EV],"&gt;0"),NA())</f>
        <v>4782002.5607600007</v>
      </c>
      <c r="L134"/>
      <c r="M134" s="225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</row>
    <row r="135" spans="1:30" x14ac:dyDescent="0.25">
      <c r="A135" s="62">
        <f t="shared" si="4"/>
        <v>46095</v>
      </c>
      <c r="B135" s="326">
        <v>12000000</v>
      </c>
      <c r="C135" s="110">
        <f ca="1">IF(TODAY()&gt;=$A135,SUMIFS(Tabla1[Avance_km],Tabla1[Fecha],"&lt;="&amp;EV!$A135,Tabla1[nombre_actividad],EV!C$1),NA())</f>
        <v>99.906000000000049</v>
      </c>
      <c r="D135" s="110">
        <f ca="1">IF(TODAY()&gt;=$A135,SUMIFS(Tabla1[Avance_km],Tabla1[Fecha],"&lt;="&amp;EV!$A135,Tabla1[nombre_actividad],EV!D$1),NA())</f>
        <v>99.906000000000006</v>
      </c>
      <c r="E135" s="110">
        <f ca="1">IF(TODAY()&gt;=$A135,SUMIFS(Tabla1[Avance_km],Tabla1[Fecha],"&lt;="&amp;EV!$A135,Tabla1[nombre_actividad],EV!E$1,Tabla1[Avance_km],"&gt;0"),NA())</f>
        <v>99.906000000000063</v>
      </c>
      <c r="F135" s="67">
        <f ca="1">IF(TODAY()&gt;=$A135,SUMIFS(Tabla1[Avance_Med],Tabla1[Fecha],"&lt;="&amp;EV!$A135,Tabla1[nombre_actividad],EV!F$1),NA())</f>
        <v>376</v>
      </c>
      <c r="G135" s="67"/>
      <c r="H135" s="110"/>
      <c r="I135" s="228">
        <f ca="1">+C135*Catalogo!$F$19+EV!D135*Catalogo!$F$14+EV!E135*Catalogo!$F$16+EV!F135*Catalogo!$F$18</f>
        <v>4782002.5607600007</v>
      </c>
      <c r="J135" s="228">
        <f ca="1">IF(TODAY()&gt;=$A135,SUMIFS(Tabla1[EV],Tabla1[Fecha],"&lt;="&amp;A135,Tabla1[EV],"&gt;0"),NA())</f>
        <v>4782002.5607600007</v>
      </c>
      <c r="L135"/>
      <c r="M135" s="22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</row>
    <row r="136" spans="1:30" x14ac:dyDescent="0.25">
      <c r="A136" s="62">
        <f t="shared" si="4"/>
        <v>46096</v>
      </c>
      <c r="B136" s="326">
        <v>12000000</v>
      </c>
      <c r="C136" s="110">
        <f ca="1">IF(TODAY()&gt;=$A136,SUMIFS(Tabla1[Avance_km],Tabla1[Fecha],"&lt;="&amp;EV!$A136,Tabla1[nombre_actividad],EV!C$1),NA())</f>
        <v>99.906000000000049</v>
      </c>
      <c r="D136" s="110">
        <f ca="1">IF(TODAY()&gt;=$A136,SUMIFS(Tabla1[Avance_km],Tabla1[Fecha],"&lt;="&amp;EV!$A136,Tabla1[nombre_actividad],EV!D$1),NA())</f>
        <v>99.906000000000006</v>
      </c>
      <c r="E136" s="110">
        <f ca="1">IF(TODAY()&gt;=$A136,SUMIFS(Tabla1[Avance_km],Tabla1[Fecha],"&lt;="&amp;EV!$A136,Tabla1[nombre_actividad],EV!E$1,Tabla1[Avance_km],"&gt;0"),NA())</f>
        <v>99.906000000000063</v>
      </c>
      <c r="F136" s="67">
        <f ca="1">IF(TODAY()&gt;=$A136,SUMIFS(Tabla1[Avance_Med],Tabla1[Fecha],"&lt;="&amp;EV!$A136,Tabla1[nombre_actividad],EV!F$1),NA())</f>
        <v>376</v>
      </c>
      <c r="G136" s="67"/>
      <c r="H136" s="110"/>
      <c r="I136" s="228">
        <f ca="1">+C136*Catalogo!$F$19+EV!D136*Catalogo!$F$14+EV!E136*Catalogo!$F$16+EV!F136*Catalogo!$F$18</f>
        <v>4782002.5607600007</v>
      </c>
      <c r="J136" s="228">
        <f ca="1">IF(TODAY()&gt;=$A136,SUMIFS(Tabla1[EV],Tabla1[Fecha],"&lt;="&amp;A136,Tabla1[EV],"&gt;0"),NA())</f>
        <v>4782002.5607600007</v>
      </c>
      <c r="L136"/>
      <c r="M136" s="225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</row>
    <row r="137" spans="1:30" x14ac:dyDescent="0.25">
      <c r="A137" s="62">
        <f t="shared" si="4"/>
        <v>46097</v>
      </c>
      <c r="B137" s="326">
        <v>12000000</v>
      </c>
      <c r="C137" s="110">
        <f ca="1">IF(TODAY()&gt;=$A137,SUMIFS(Tabla1[Avance_km],Tabla1[Fecha],"&lt;="&amp;EV!$A137,Tabla1[nombre_actividad],EV!C$1),NA())</f>
        <v>99.906000000000049</v>
      </c>
      <c r="D137" s="110">
        <f ca="1">IF(TODAY()&gt;=$A137,SUMIFS(Tabla1[Avance_km],Tabla1[Fecha],"&lt;="&amp;EV!$A137,Tabla1[nombre_actividad],EV!D$1),NA())</f>
        <v>99.906000000000006</v>
      </c>
      <c r="E137" s="110">
        <f ca="1">IF(TODAY()&gt;=$A137,SUMIFS(Tabla1[Avance_km],Tabla1[Fecha],"&lt;="&amp;EV!$A137,Tabla1[nombre_actividad],EV!E$1,Tabla1[Avance_km],"&gt;0"),NA())</f>
        <v>99.906000000000063</v>
      </c>
      <c r="F137" s="67">
        <f ca="1">IF(TODAY()&gt;=$A137,SUMIFS(Tabla1[Avance_Med],Tabla1[Fecha],"&lt;="&amp;EV!$A137,Tabla1[nombre_actividad],EV!F$1),NA())</f>
        <v>376</v>
      </c>
      <c r="G137" s="67"/>
      <c r="H137" s="110"/>
      <c r="I137" s="228">
        <f ca="1">+C137*Catalogo!$F$19+EV!D137*Catalogo!$F$14+EV!E137*Catalogo!$F$16+EV!F137*Catalogo!$F$18</f>
        <v>4782002.5607600007</v>
      </c>
      <c r="J137" s="228">
        <f ca="1">IF(TODAY()&gt;=$A137,SUMIFS(Tabla1[EV],Tabla1[Fecha],"&lt;="&amp;A137,Tabla1[EV],"&gt;0"),NA())</f>
        <v>4782002.5607600007</v>
      </c>
      <c r="L137"/>
      <c r="M137" s="225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</row>
    <row r="138" spans="1:30" x14ac:dyDescent="0.25">
      <c r="A138" s="62">
        <f t="shared" si="4"/>
        <v>46098</v>
      </c>
      <c r="B138" s="326">
        <v>12000000</v>
      </c>
      <c r="C138" s="110">
        <f ca="1">IF(TODAY()&gt;=$A138,SUMIFS(Tabla1[Avance_km],Tabla1[Fecha],"&lt;="&amp;EV!$A138,Tabla1[nombre_actividad],EV!C$1),NA())</f>
        <v>99.906000000000049</v>
      </c>
      <c r="D138" s="110">
        <f ca="1">IF(TODAY()&gt;=$A138,SUMIFS(Tabla1[Avance_km],Tabla1[Fecha],"&lt;="&amp;EV!$A138,Tabla1[nombre_actividad],EV!D$1),NA())</f>
        <v>99.906000000000006</v>
      </c>
      <c r="E138" s="110">
        <f ca="1">IF(TODAY()&gt;=$A138,SUMIFS(Tabla1[Avance_km],Tabla1[Fecha],"&lt;="&amp;EV!$A138,Tabla1[nombre_actividad],EV!E$1,Tabla1[Avance_km],"&gt;0"),NA())</f>
        <v>99.906000000000063</v>
      </c>
      <c r="F138" s="67">
        <f ca="1">IF(TODAY()&gt;=$A138,SUMIFS(Tabla1[Avance_Med],Tabla1[Fecha],"&lt;="&amp;EV!$A138,Tabla1[nombre_actividad],EV!F$1),NA())</f>
        <v>376</v>
      </c>
      <c r="G138" s="67"/>
      <c r="H138" s="110"/>
      <c r="I138" s="228">
        <f ca="1">+C138*Catalogo!$F$19+EV!D138*Catalogo!$F$14+EV!E138*Catalogo!$F$16+EV!F138*Catalogo!$F$18</f>
        <v>4782002.5607600007</v>
      </c>
      <c r="J138" s="228">
        <f ca="1">IF(TODAY()&gt;=$A138,SUMIFS(Tabla1[EV],Tabla1[Fecha],"&lt;="&amp;A138,Tabla1[EV],"&gt;0"),NA())</f>
        <v>4782002.5607600007</v>
      </c>
      <c r="L138"/>
      <c r="M138" s="225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</row>
    <row r="139" spans="1:30" x14ac:dyDescent="0.25">
      <c r="A139" s="62">
        <f t="shared" si="4"/>
        <v>46099</v>
      </c>
      <c r="B139" s="326">
        <v>12000000</v>
      </c>
      <c r="C139" s="110">
        <f ca="1">IF(TODAY()&gt;=$A139,SUMIFS(Tabla1[Avance_km],Tabla1[Fecha],"&lt;="&amp;EV!$A139,Tabla1[nombre_actividad],EV!C$1),NA())</f>
        <v>99.906000000000049</v>
      </c>
      <c r="D139" s="110">
        <f ca="1">IF(TODAY()&gt;=$A139,SUMIFS(Tabla1[Avance_km],Tabla1[Fecha],"&lt;="&amp;EV!$A139,Tabla1[nombre_actividad],EV!D$1),NA())</f>
        <v>99.906000000000006</v>
      </c>
      <c r="E139" s="110">
        <f ca="1">IF(TODAY()&gt;=$A139,SUMIFS(Tabla1[Avance_km],Tabla1[Fecha],"&lt;="&amp;EV!$A139,Tabla1[nombre_actividad],EV!E$1,Tabla1[Avance_km],"&gt;0"),NA())</f>
        <v>99.906000000000063</v>
      </c>
      <c r="F139" s="67">
        <f ca="1">IF(TODAY()&gt;=$A139,SUMIFS(Tabla1[Avance_Med],Tabla1[Fecha],"&lt;="&amp;EV!$A139,Tabla1[nombre_actividad],EV!F$1),NA())</f>
        <v>376</v>
      </c>
      <c r="G139" s="67"/>
      <c r="H139" s="110"/>
      <c r="I139" s="228">
        <f ca="1">+C139*Catalogo!$F$19+EV!D139*Catalogo!$F$14+EV!E139*Catalogo!$F$16+EV!F139*Catalogo!$F$18</f>
        <v>4782002.5607600007</v>
      </c>
      <c r="J139" s="228">
        <f ca="1">IF(TODAY()&gt;=$A139,SUMIFS(Tabla1[EV],Tabla1[Fecha],"&lt;="&amp;A139,Tabla1[EV],"&gt;0"),NA())</f>
        <v>4782002.5607600007</v>
      </c>
      <c r="L139"/>
      <c r="M139" s="225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</row>
    <row r="140" spans="1:30" x14ac:dyDescent="0.25">
      <c r="A140" s="62">
        <f t="shared" si="4"/>
        <v>46100</v>
      </c>
      <c r="B140" s="326">
        <v>12000000</v>
      </c>
      <c r="C140" s="110">
        <f ca="1">IF(TODAY()&gt;=$A140,SUMIFS(Tabla1[Avance_km],Tabla1[Fecha],"&lt;="&amp;EV!$A140,Tabla1[nombre_actividad],EV!C$1),NA())</f>
        <v>99.906000000000049</v>
      </c>
      <c r="D140" s="110">
        <f ca="1">IF(TODAY()&gt;=$A140,SUMIFS(Tabla1[Avance_km],Tabla1[Fecha],"&lt;="&amp;EV!$A140,Tabla1[nombre_actividad],EV!D$1),NA())</f>
        <v>99.906000000000006</v>
      </c>
      <c r="E140" s="110">
        <f ca="1">IF(TODAY()&gt;=$A140,SUMIFS(Tabla1[Avance_km],Tabla1[Fecha],"&lt;="&amp;EV!$A140,Tabla1[nombre_actividad],EV!E$1,Tabla1[Avance_km],"&gt;0"),NA())</f>
        <v>99.906000000000063</v>
      </c>
      <c r="F140" s="67">
        <f ca="1">IF(TODAY()&gt;=$A140,SUMIFS(Tabla1[Avance_Med],Tabla1[Fecha],"&lt;="&amp;EV!$A140,Tabla1[nombre_actividad],EV!F$1),NA())</f>
        <v>376</v>
      </c>
      <c r="G140" s="67"/>
      <c r="H140" s="110"/>
      <c r="I140" s="228">
        <f ca="1">+C140*Catalogo!$F$19+EV!D140*Catalogo!$F$14+EV!E140*Catalogo!$F$16+EV!F140*Catalogo!$F$18</f>
        <v>4782002.5607600007</v>
      </c>
      <c r="J140" s="228">
        <f ca="1">IF(TODAY()&gt;=$A140,SUMIFS(Tabla1[EV],Tabla1[Fecha],"&lt;="&amp;A140,Tabla1[EV],"&gt;0"),NA())</f>
        <v>4782002.5607600007</v>
      </c>
      <c r="L140"/>
      <c r="M140" s="225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</row>
    <row r="141" spans="1:30" x14ac:dyDescent="0.25">
      <c r="A141" s="62">
        <f t="shared" si="4"/>
        <v>46101</v>
      </c>
      <c r="B141" s="326">
        <v>12000000</v>
      </c>
      <c r="C141" s="110">
        <f ca="1">IF(TODAY()&gt;=$A141,SUMIFS(Tabla1[Avance_km],Tabla1[Fecha],"&lt;="&amp;EV!$A141,Tabla1[nombre_actividad],EV!C$1),NA())</f>
        <v>99.906000000000049</v>
      </c>
      <c r="D141" s="110">
        <f ca="1">IF(TODAY()&gt;=$A141,SUMIFS(Tabla1[Avance_km],Tabla1[Fecha],"&lt;="&amp;EV!$A141,Tabla1[nombre_actividad],EV!D$1),NA())</f>
        <v>99.906000000000006</v>
      </c>
      <c r="E141" s="110">
        <f ca="1">IF(TODAY()&gt;=$A141,SUMIFS(Tabla1[Avance_km],Tabla1[Fecha],"&lt;="&amp;EV!$A141,Tabla1[nombre_actividad],EV!E$1,Tabla1[Avance_km],"&gt;0"),NA())</f>
        <v>99.906000000000063</v>
      </c>
      <c r="F141" s="67">
        <f ca="1">IF(TODAY()&gt;=$A141,SUMIFS(Tabla1[Avance_Med],Tabla1[Fecha],"&lt;="&amp;EV!$A141,Tabla1[nombre_actividad],EV!F$1),NA())</f>
        <v>376</v>
      </c>
      <c r="G141" s="67"/>
      <c r="H141" s="110"/>
      <c r="I141" s="228">
        <f ca="1">+C141*Catalogo!$F$19+EV!D141*Catalogo!$F$14+EV!E141*Catalogo!$F$16+EV!F141*Catalogo!$F$18</f>
        <v>4782002.5607600007</v>
      </c>
      <c r="J141" s="228">
        <f ca="1">IF(TODAY()&gt;=$A141,SUMIFS(Tabla1[EV],Tabla1[Fecha],"&lt;="&amp;A141,Tabla1[EV],"&gt;0"),NA())</f>
        <v>4782002.5607600007</v>
      </c>
      <c r="L141"/>
      <c r="M141" s="225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</row>
    <row r="142" spans="1:30" x14ac:dyDescent="0.25">
      <c r="A142" s="62">
        <f t="shared" si="4"/>
        <v>46102</v>
      </c>
      <c r="B142" s="326">
        <v>12000000</v>
      </c>
      <c r="C142" s="110">
        <f ca="1">IF(TODAY()&gt;=$A142,SUMIFS(Tabla1[Avance_km],Tabla1[Fecha],"&lt;="&amp;EV!$A142,Tabla1[nombre_actividad],EV!C$1),NA())</f>
        <v>99.906000000000049</v>
      </c>
      <c r="D142" s="110">
        <f ca="1">IF(TODAY()&gt;=$A142,SUMIFS(Tabla1[Avance_km],Tabla1[Fecha],"&lt;="&amp;EV!$A142,Tabla1[nombre_actividad],EV!D$1),NA())</f>
        <v>99.906000000000006</v>
      </c>
      <c r="E142" s="110">
        <f ca="1">IF(TODAY()&gt;=$A142,SUMIFS(Tabla1[Avance_km],Tabla1[Fecha],"&lt;="&amp;EV!$A142,Tabla1[nombre_actividad],EV!E$1,Tabla1[Avance_km],"&gt;0"),NA())</f>
        <v>99.906000000000063</v>
      </c>
      <c r="F142" s="67">
        <f ca="1">IF(TODAY()&gt;=$A142,SUMIFS(Tabla1[Avance_Med],Tabla1[Fecha],"&lt;="&amp;EV!$A142,Tabla1[nombre_actividad],EV!F$1),NA())</f>
        <v>376</v>
      </c>
      <c r="G142" s="67"/>
      <c r="H142" s="110"/>
      <c r="I142" s="228">
        <f ca="1">+C142*Catalogo!$F$19+EV!D142*Catalogo!$F$14+EV!E142*Catalogo!$F$16+EV!F142*Catalogo!$F$18</f>
        <v>4782002.5607600007</v>
      </c>
      <c r="J142" s="228">
        <f ca="1">IF(TODAY()&gt;=$A142,SUMIFS(Tabla1[EV],Tabla1[Fecha],"&lt;="&amp;A142,Tabla1[EV],"&gt;0"),NA())</f>
        <v>4782002.5607600007</v>
      </c>
      <c r="L142"/>
      <c r="M142" s="225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</row>
    <row r="143" spans="1:30" x14ac:dyDescent="0.25">
      <c r="A143" s="62">
        <f t="shared" si="4"/>
        <v>46103</v>
      </c>
      <c r="B143" s="326">
        <v>12000000</v>
      </c>
      <c r="C143" s="110">
        <f ca="1">IF(TODAY()&gt;=$A143,SUMIFS(Tabla1[Avance_km],Tabla1[Fecha],"&lt;="&amp;EV!$A143,Tabla1[nombre_actividad],EV!C$1),NA())</f>
        <v>99.906000000000049</v>
      </c>
      <c r="D143" s="110">
        <f ca="1">IF(TODAY()&gt;=$A143,SUMIFS(Tabla1[Avance_km],Tabla1[Fecha],"&lt;="&amp;EV!$A143,Tabla1[nombre_actividad],EV!D$1),NA())</f>
        <v>99.906000000000006</v>
      </c>
      <c r="E143" s="110">
        <f ca="1">IF(TODAY()&gt;=$A143,SUMIFS(Tabla1[Avance_km],Tabla1[Fecha],"&lt;="&amp;EV!$A143,Tabla1[nombre_actividad],EV!E$1,Tabla1[Avance_km],"&gt;0"),NA())</f>
        <v>99.906000000000063</v>
      </c>
      <c r="F143" s="67">
        <f ca="1">IF(TODAY()&gt;=$A143,SUMIFS(Tabla1[Avance_Med],Tabla1[Fecha],"&lt;="&amp;EV!$A143,Tabla1[nombre_actividad],EV!F$1),NA())</f>
        <v>376</v>
      </c>
      <c r="G143" s="67"/>
      <c r="H143" s="110"/>
      <c r="I143" s="228">
        <f ca="1">+C143*Catalogo!$F$19+EV!D143*Catalogo!$F$14+EV!E143*Catalogo!$F$16+EV!F143*Catalogo!$F$18</f>
        <v>4782002.5607600007</v>
      </c>
      <c r="J143" s="228">
        <f ca="1">IF(TODAY()&gt;=$A143,SUMIFS(Tabla1[EV],Tabla1[Fecha],"&lt;="&amp;A143,Tabla1[EV],"&gt;0"),NA())</f>
        <v>4782002.5607600007</v>
      </c>
      <c r="L143"/>
      <c r="M143" s="225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</row>
    <row r="144" spans="1:30" x14ac:dyDescent="0.25">
      <c r="A144" s="62">
        <f t="shared" si="4"/>
        <v>46104</v>
      </c>
      <c r="B144" s="326">
        <v>12000000</v>
      </c>
      <c r="C144" s="110">
        <f ca="1">IF(TODAY()&gt;=$A144,SUMIFS(Tabla1[Avance_km],Tabla1[Fecha],"&lt;="&amp;EV!$A144,Tabla1[nombre_actividad],EV!C$1),NA())</f>
        <v>99.906000000000049</v>
      </c>
      <c r="D144" s="110">
        <f ca="1">IF(TODAY()&gt;=$A144,SUMIFS(Tabla1[Avance_km],Tabla1[Fecha],"&lt;="&amp;EV!$A144,Tabla1[nombre_actividad],EV!D$1),NA())</f>
        <v>99.906000000000006</v>
      </c>
      <c r="E144" s="110">
        <f ca="1">IF(TODAY()&gt;=$A144,SUMIFS(Tabla1[Avance_km],Tabla1[Fecha],"&lt;="&amp;EV!$A144,Tabla1[nombre_actividad],EV!E$1,Tabla1[Avance_km],"&gt;0"),NA())</f>
        <v>99.906000000000063</v>
      </c>
      <c r="F144" s="67">
        <f ca="1">IF(TODAY()&gt;=$A144,SUMIFS(Tabla1[Avance_Med],Tabla1[Fecha],"&lt;="&amp;EV!$A144,Tabla1[nombre_actividad],EV!F$1),NA())</f>
        <v>376</v>
      </c>
      <c r="G144" s="67"/>
      <c r="H144" s="110"/>
      <c r="I144" s="228">
        <f ca="1">+C144*Catalogo!$F$19+EV!D144*Catalogo!$F$14+EV!E144*Catalogo!$F$16+EV!F144*Catalogo!$F$18</f>
        <v>4782002.5607600007</v>
      </c>
      <c r="J144" s="228">
        <f ca="1">IF(TODAY()&gt;=$A144,SUMIFS(Tabla1[EV],Tabla1[Fecha],"&lt;="&amp;A144,Tabla1[EV],"&gt;0"),NA())</f>
        <v>4782002.5607600007</v>
      </c>
      <c r="L144"/>
      <c r="M144" s="225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</row>
    <row r="145" spans="1:35" x14ac:dyDescent="0.25">
      <c r="A145" s="62">
        <f t="shared" si="4"/>
        <v>46105</v>
      </c>
      <c r="B145" s="326">
        <v>12000000</v>
      </c>
      <c r="C145" s="110">
        <f ca="1">IF(TODAY()&gt;=$A145,SUMIFS(Tabla1[Avance_km],Tabla1[Fecha],"&lt;="&amp;EV!$A145,Tabla1[nombre_actividad],EV!C$1),NA())</f>
        <v>99.906000000000049</v>
      </c>
      <c r="D145" s="110">
        <f ca="1">IF(TODAY()&gt;=$A145,SUMIFS(Tabla1[Avance_km],Tabla1[Fecha],"&lt;="&amp;EV!$A145,Tabla1[nombre_actividad],EV!D$1),NA())</f>
        <v>99.906000000000006</v>
      </c>
      <c r="E145" s="110">
        <f ca="1">IF(TODAY()&gt;=$A145,SUMIFS(Tabla1[Avance_km],Tabla1[Fecha],"&lt;="&amp;EV!$A145,Tabla1[nombre_actividad],EV!E$1,Tabla1[Avance_km],"&gt;0"),NA())</f>
        <v>99.906000000000063</v>
      </c>
      <c r="F145" s="67">
        <f ca="1">IF(TODAY()&gt;=$A145,SUMIFS(Tabla1[Avance_Med],Tabla1[Fecha],"&lt;="&amp;EV!$A145,Tabla1[nombre_actividad],EV!F$1),NA())</f>
        <v>376</v>
      </c>
      <c r="G145" s="67"/>
      <c r="H145" s="110"/>
      <c r="I145" s="228">
        <f ca="1">+C145*Catalogo!$F$19+EV!D145*Catalogo!$F$14+EV!E145*Catalogo!$F$16+EV!F145*Catalogo!$F$18</f>
        <v>4782002.5607600007</v>
      </c>
      <c r="J145" s="228">
        <f ca="1">IF(TODAY()&gt;=$A145,SUMIFS(Tabla1[EV],Tabla1[Fecha],"&lt;="&amp;A145,Tabla1[EV],"&gt;0"),NA())</f>
        <v>4782002.5607600007</v>
      </c>
      <c r="L145"/>
      <c r="M145" s="22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</row>
    <row r="146" spans="1:35" x14ac:dyDescent="0.25">
      <c r="A146" s="62">
        <f t="shared" si="4"/>
        <v>46106</v>
      </c>
      <c r="B146" s="326">
        <v>12000000</v>
      </c>
      <c r="C146" s="110">
        <f ca="1">IF(TODAY()&gt;=$A146,SUMIFS(Tabla1[Avance_km],Tabla1[Fecha],"&lt;="&amp;EV!$A146,Tabla1[nombre_actividad],EV!C$1),NA())</f>
        <v>99.906000000000049</v>
      </c>
      <c r="D146" s="110">
        <f ca="1">IF(TODAY()&gt;=$A146,SUMIFS(Tabla1[Avance_km],Tabla1[Fecha],"&lt;="&amp;EV!$A146,Tabla1[nombre_actividad],EV!D$1),NA())</f>
        <v>99.906000000000006</v>
      </c>
      <c r="E146" s="110">
        <f ca="1">IF(TODAY()&gt;=$A146,SUMIFS(Tabla1[Avance_km],Tabla1[Fecha],"&lt;="&amp;EV!$A146,Tabla1[nombre_actividad],EV!E$1,Tabla1[Avance_km],"&gt;0"),NA())</f>
        <v>99.906000000000063</v>
      </c>
      <c r="F146" s="67">
        <f ca="1">IF(TODAY()&gt;=$A146,SUMIFS(Tabla1[Avance_Med],Tabla1[Fecha],"&lt;="&amp;EV!$A146,Tabla1[nombre_actividad],EV!F$1),NA())</f>
        <v>376</v>
      </c>
      <c r="G146" s="67"/>
      <c r="H146" s="110"/>
      <c r="I146" s="228">
        <f ca="1">+C146*Catalogo!$F$19+EV!D146*Catalogo!$F$14+EV!E146*Catalogo!$F$16+EV!F146*Catalogo!$F$18</f>
        <v>4782002.5607600007</v>
      </c>
      <c r="J146" s="228">
        <f ca="1">IF(TODAY()&gt;=$A146,SUMIFS(Tabla1[EV],Tabla1[Fecha],"&lt;="&amp;A146,Tabla1[EV],"&gt;0"),NA())</f>
        <v>4782002.5607600007</v>
      </c>
      <c r="L146"/>
      <c r="M146" s="225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</row>
    <row r="147" spans="1:35" x14ac:dyDescent="0.25">
      <c r="A147" s="62">
        <f t="shared" si="4"/>
        <v>46107</v>
      </c>
      <c r="B147" s="326">
        <v>12000000</v>
      </c>
      <c r="C147" s="110">
        <f ca="1">IF(TODAY()&gt;=$A147,SUMIFS(Tabla1[Avance_km],Tabla1[Fecha],"&lt;="&amp;EV!$A147,Tabla1[nombre_actividad],EV!C$1),NA())</f>
        <v>99.906000000000049</v>
      </c>
      <c r="D147" s="110">
        <f ca="1">IF(TODAY()&gt;=$A147,SUMIFS(Tabla1[Avance_km],Tabla1[Fecha],"&lt;="&amp;EV!$A147,Tabla1[nombre_actividad],EV!D$1),NA())</f>
        <v>99.906000000000006</v>
      </c>
      <c r="E147" s="110">
        <f ca="1">IF(TODAY()&gt;=$A147,SUMIFS(Tabla1[Avance_km],Tabla1[Fecha],"&lt;="&amp;EV!$A147,Tabla1[nombre_actividad],EV!E$1,Tabla1[Avance_km],"&gt;0"),NA())</f>
        <v>99.906000000000063</v>
      </c>
      <c r="F147" s="67">
        <f ca="1">IF(TODAY()&gt;=$A147,SUMIFS(Tabla1[Avance_Med],Tabla1[Fecha],"&lt;="&amp;EV!$A147,Tabla1[nombre_actividad],EV!F$1),NA())</f>
        <v>376</v>
      </c>
      <c r="G147" s="67"/>
      <c r="H147" s="110"/>
      <c r="I147" s="228">
        <f ca="1">+C147*Catalogo!$F$19+EV!D147*Catalogo!$F$14+EV!E147*Catalogo!$F$16+EV!F147*Catalogo!$F$18</f>
        <v>4782002.5607600007</v>
      </c>
      <c r="J147" s="228">
        <f ca="1">IF(TODAY()&gt;=$A147,SUMIFS(Tabla1[EV],Tabla1[Fecha],"&lt;="&amp;A147,Tabla1[EV],"&gt;0"),NA())</f>
        <v>4782002.5607600007</v>
      </c>
      <c r="L147"/>
      <c r="M147" s="225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</row>
    <row r="148" spans="1:35" x14ac:dyDescent="0.25">
      <c r="A148" s="62">
        <f t="shared" si="4"/>
        <v>46108</v>
      </c>
      <c r="B148" s="326">
        <v>12000000</v>
      </c>
      <c r="C148" s="110">
        <f ca="1">IF(TODAY()&gt;=$A148,SUMIFS(Tabla1[Avance_km],Tabla1[Fecha],"&lt;="&amp;EV!$A148,Tabla1[nombre_actividad],EV!C$1),NA())</f>
        <v>99.906000000000049</v>
      </c>
      <c r="D148" s="110">
        <f ca="1">IF(TODAY()&gt;=$A148,SUMIFS(Tabla1[Avance_km],Tabla1[Fecha],"&lt;="&amp;EV!$A148,Tabla1[nombre_actividad],EV!D$1),NA())</f>
        <v>99.906000000000006</v>
      </c>
      <c r="E148" s="110">
        <f ca="1">IF(TODAY()&gt;=$A148,SUMIFS(Tabla1[Avance_km],Tabla1[Fecha],"&lt;="&amp;EV!$A148,Tabla1[nombre_actividad],EV!E$1,Tabla1[Avance_km],"&gt;0"),NA())</f>
        <v>99.906000000000063</v>
      </c>
      <c r="F148" s="67">
        <f ca="1">IF(TODAY()&gt;=$A148,SUMIFS(Tabla1[Avance_Med],Tabla1[Fecha],"&lt;="&amp;EV!$A148,Tabla1[nombre_actividad],EV!F$1),NA())</f>
        <v>376</v>
      </c>
      <c r="G148" s="67"/>
      <c r="H148" s="110"/>
      <c r="I148" s="228">
        <f ca="1">+C148*Catalogo!$F$19+EV!D148*Catalogo!$F$14+EV!E148*Catalogo!$F$16+EV!F148*Catalogo!$F$18</f>
        <v>4782002.5607600007</v>
      </c>
      <c r="J148" s="228">
        <f ca="1">IF(TODAY()&gt;=$A148,SUMIFS(Tabla1[EV],Tabla1[Fecha],"&lt;="&amp;A148,Tabla1[EV],"&gt;0"),NA())</f>
        <v>4782002.5607600007</v>
      </c>
      <c r="L148"/>
      <c r="M148" s="225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</row>
    <row r="149" spans="1:35" x14ac:dyDescent="0.25">
      <c r="A149" s="62">
        <f t="shared" si="4"/>
        <v>46109</v>
      </c>
      <c r="B149" s="326">
        <v>12000000</v>
      </c>
      <c r="C149" s="110">
        <f ca="1">IF(TODAY()&gt;=$A149,SUMIFS(Tabla1[Avance_km],Tabla1[Fecha],"&lt;="&amp;EV!$A149,Tabla1[nombre_actividad],EV!C$1),NA())</f>
        <v>99.906000000000049</v>
      </c>
      <c r="D149" s="110">
        <f ca="1">IF(TODAY()&gt;=$A149,SUMIFS(Tabla1[Avance_km],Tabla1[Fecha],"&lt;="&amp;EV!$A149,Tabla1[nombre_actividad],EV!D$1),NA())</f>
        <v>99.906000000000006</v>
      </c>
      <c r="E149" s="110">
        <f ca="1">IF(TODAY()&gt;=$A149,SUMIFS(Tabla1[Avance_km],Tabla1[Fecha],"&lt;="&amp;EV!$A149,Tabla1[nombre_actividad],EV!E$1,Tabla1[Avance_km],"&gt;0"),NA())</f>
        <v>99.906000000000063</v>
      </c>
      <c r="F149" s="67">
        <f ca="1">IF(TODAY()&gt;=$A149,SUMIFS(Tabla1[Avance_Med],Tabla1[Fecha],"&lt;="&amp;EV!$A149,Tabla1[nombre_actividad],EV!F$1),NA())</f>
        <v>376</v>
      </c>
      <c r="G149" s="67"/>
      <c r="H149" s="110"/>
      <c r="I149" s="228">
        <f ca="1">+C149*Catalogo!$F$19+EV!D149*Catalogo!$F$14+EV!E149*Catalogo!$F$16+EV!F149*Catalogo!$F$18</f>
        <v>4782002.5607600007</v>
      </c>
      <c r="J149" s="228">
        <f ca="1">IF(TODAY()&gt;=$A149,SUMIFS(Tabla1[EV],Tabla1[Fecha],"&lt;="&amp;A149,Tabla1[EV],"&gt;0"),NA())</f>
        <v>4782002.5607600007</v>
      </c>
      <c r="L149"/>
      <c r="M149" s="225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</row>
    <row r="150" spans="1:35" x14ac:dyDescent="0.25">
      <c r="A150" s="62">
        <f t="shared" si="4"/>
        <v>46110</v>
      </c>
      <c r="B150" s="326">
        <v>12000000</v>
      </c>
      <c r="C150" s="110">
        <f ca="1">IF(TODAY()&gt;=$A150,SUMIFS(Tabla1[Avance_km],Tabla1[Fecha],"&lt;="&amp;EV!$A150,Tabla1[nombre_actividad],EV!C$1),NA())</f>
        <v>99.906000000000049</v>
      </c>
      <c r="D150" s="110">
        <f ca="1">IF(TODAY()&gt;=$A150,SUMIFS(Tabla1[Avance_km],Tabla1[Fecha],"&lt;="&amp;EV!$A150,Tabla1[nombre_actividad],EV!D$1),NA())</f>
        <v>99.906000000000006</v>
      </c>
      <c r="E150" s="110">
        <f ca="1">IF(TODAY()&gt;=$A150,SUMIFS(Tabla1[Avance_km],Tabla1[Fecha],"&lt;="&amp;EV!$A150,Tabla1[nombre_actividad],EV!E$1,Tabla1[Avance_km],"&gt;0"),NA())</f>
        <v>99.906000000000063</v>
      </c>
      <c r="F150" s="67">
        <f ca="1">IF(TODAY()&gt;=$A150,SUMIFS(Tabla1[Avance_Med],Tabla1[Fecha],"&lt;="&amp;EV!$A150,Tabla1[nombre_actividad],EV!F$1),NA())</f>
        <v>376</v>
      </c>
      <c r="G150" s="67"/>
      <c r="H150" s="110"/>
      <c r="I150" s="228">
        <f ca="1">+C150*Catalogo!$F$19+EV!D150*Catalogo!$F$14+EV!E150*Catalogo!$F$16+EV!F150*Catalogo!$F$18</f>
        <v>4782002.5607600007</v>
      </c>
      <c r="J150" s="228">
        <f ca="1">IF(TODAY()&gt;=$A150,SUMIFS(Tabla1[EV],Tabla1[Fecha],"&lt;="&amp;A150,Tabla1[EV],"&gt;0"),NA())</f>
        <v>4782002.5607600007</v>
      </c>
      <c r="L150"/>
      <c r="M150" s="225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F150" s="261"/>
    </row>
    <row r="151" spans="1:35" x14ac:dyDescent="0.25">
      <c r="A151" s="62">
        <f t="shared" si="4"/>
        <v>46111</v>
      </c>
      <c r="B151" s="62"/>
      <c r="C151" s="110">
        <f ca="1">IF(TODAY()&gt;=$A151,SUMIFS(Tabla1[Avance_km],Tabla1[Fecha],"&lt;="&amp;EV!$A151,Tabla1[nombre_actividad],EV!C$1),NA())</f>
        <v>101.90600000000005</v>
      </c>
      <c r="D151" s="110">
        <f ca="1">IF(TODAY()&gt;=$A151,SUMIFS(Tabla1[Avance_km],Tabla1[Fecha],"&lt;="&amp;EV!$A151,Tabla1[nombre_actividad],EV!D$1),NA())</f>
        <v>99.906000000000006</v>
      </c>
      <c r="E151" s="110">
        <f ca="1">IF(TODAY()&gt;=$A151,SUMIFS(Tabla1[Avance_km],Tabla1[Fecha],"&lt;="&amp;EV!$A151,Tabla1[nombre_actividad],EV!E$1,Tabla1[Avance_km],"&gt;0"),NA())</f>
        <v>99.906000000000063</v>
      </c>
      <c r="F151" s="67">
        <f ca="1">IF(TODAY()&gt;=$A151,SUMIFS(Tabla1[Avance_Med],Tabla1[Fecha],"&lt;="&amp;EV!$A151,Tabla1[nombre_actividad],EV!F$1),NA())</f>
        <v>376</v>
      </c>
      <c r="G151" s="67"/>
      <c r="H151" s="110"/>
      <c r="I151" s="228">
        <f ca="1">+C151*Catalogo!$F$19+EV!D151*Catalogo!$F$14+EV!E151*Catalogo!$F$16+EV!F151*Catalogo!$F$18</f>
        <v>4786517.4007600006</v>
      </c>
      <c r="J151" s="228">
        <f ca="1">IF(TODAY()&gt;=$A151,SUMIFS(Tabla1[EV],Tabla1[Fecha],"&lt;="&amp;A151,Tabla1[EV],"&gt;0"),NA())</f>
        <v>6291200.5807599993</v>
      </c>
      <c r="K151" s="291"/>
      <c r="L151"/>
      <c r="M151" s="225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</row>
    <row r="152" spans="1:35" x14ac:dyDescent="0.25">
      <c r="A152" s="62">
        <f t="shared" si="4"/>
        <v>46112</v>
      </c>
      <c r="B152" s="62"/>
      <c r="C152" s="110">
        <f ca="1">IF(TODAY()&gt;=$A152,SUMIFS(Tabla1[Avance_km],Tabla1[Fecha],"&lt;="&amp;EV!$A152,Tabla1[nombre_actividad],EV!C$1),NA())</f>
        <v>103.50600000000004</v>
      </c>
      <c r="D152" s="110">
        <f ca="1">IF(TODAY()&gt;=$A152,SUMIFS(Tabla1[Avance_km],Tabla1[Fecha],"&lt;="&amp;EV!$A152,Tabla1[nombre_actividad],EV!D$1),NA())</f>
        <v>99.906000000000006</v>
      </c>
      <c r="E152" s="110">
        <f ca="1">IF(TODAY()&gt;=$A152,SUMIFS(Tabla1[Avance_km],Tabla1[Fecha],"&lt;="&amp;EV!$A152,Tabla1[nombre_actividad],EV!E$1,Tabla1[Avance_km],"&gt;0"),NA())</f>
        <v>99.906000000000063</v>
      </c>
      <c r="F152" s="67">
        <f ca="1">IF(TODAY()&gt;=$A152,SUMIFS(Tabla1[Avance_Med],Tabla1[Fecha],"&lt;="&amp;EV!$A152,Tabla1[nombre_actividad],EV!F$1),NA())</f>
        <v>376</v>
      </c>
      <c r="G152" s="67"/>
      <c r="H152" s="110"/>
      <c r="I152" s="228">
        <f ca="1">+C152*Catalogo!$F$19+EV!D152*Catalogo!$F$14+EV!E152*Catalogo!$F$16+EV!F152*Catalogo!$F$18</f>
        <v>4790129.272760001</v>
      </c>
      <c r="J152" s="228">
        <f ca="1">IF(TODAY()&gt;=$A152,SUMIFS(Tabla1[EV],Tabla1[Fecha],"&lt;="&amp;A152,Tabla1[EV],"&gt;0"),NA())</f>
        <v>6294812.4527599998</v>
      </c>
      <c r="L152"/>
      <c r="M152" s="225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</row>
    <row r="153" spans="1:35" x14ac:dyDescent="0.25">
      <c r="A153" s="62">
        <f t="shared" si="4"/>
        <v>46113</v>
      </c>
      <c r="B153" s="62"/>
      <c r="C153" s="110">
        <f ca="1">IF(TODAY()&gt;=$A153,SUMIFS(Tabla1[Avance_km],Tabla1[Fecha],"&lt;="&amp;EV!$A153,Tabla1[nombre_actividad],EV!C$1),NA())</f>
        <v>104.90600000000005</v>
      </c>
      <c r="D153" s="110">
        <f ca="1">IF(TODAY()&gt;=$A153,SUMIFS(Tabla1[Avance_km],Tabla1[Fecha],"&lt;="&amp;EV!$A153,Tabla1[nombre_actividad],EV!D$1),NA())</f>
        <v>99.906000000000006</v>
      </c>
      <c r="E153" s="110">
        <f ca="1">IF(TODAY()&gt;=$A153,SUMIFS(Tabla1[Avance_km],Tabla1[Fecha],"&lt;="&amp;EV!$A153,Tabla1[nombre_actividad],EV!E$1,Tabla1[Avance_km],"&gt;0"),NA())</f>
        <v>99.906000000000063</v>
      </c>
      <c r="F153" s="67">
        <f ca="1">IF(TODAY()&gt;=$A153,SUMIFS(Tabla1[Avance_Med],Tabla1[Fecha],"&lt;="&amp;EV!$A153,Tabla1[nombre_actividad],EV!F$1),NA())</f>
        <v>376</v>
      </c>
      <c r="G153" s="67"/>
      <c r="H153" s="110"/>
      <c r="I153" s="228">
        <f ca="1">+C153*Catalogo!$F$19+EV!D153*Catalogo!$F$14+EV!E153*Catalogo!$F$16+EV!F153*Catalogo!$F$18</f>
        <v>4793289.6607600003</v>
      </c>
      <c r="J153" s="228">
        <f ca="1">IF(TODAY()&gt;=$A153,SUMIFS(Tabla1[EV],Tabla1[Fecha],"&lt;="&amp;A153,Tabla1[EV],"&gt;0"),NA())</f>
        <v>6297972.8407600001</v>
      </c>
      <c r="L153"/>
      <c r="M153" s="225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</row>
    <row r="154" spans="1:35" x14ac:dyDescent="0.25">
      <c r="A154" s="62">
        <f t="shared" si="4"/>
        <v>46114</v>
      </c>
      <c r="B154" s="62"/>
      <c r="C154" s="110">
        <f ca="1">IF(TODAY()&gt;=$A154,SUMIFS(Tabla1[Avance_km],Tabla1[Fecha],"&lt;="&amp;EV!$A154,Tabla1[nombre_actividad],EV!C$1),NA())</f>
        <v>107.65000000000005</v>
      </c>
      <c r="D154" s="110">
        <f ca="1">IF(TODAY()&gt;=$A154,SUMIFS(Tabla1[Avance_km],Tabla1[Fecha],"&lt;="&amp;EV!$A154,Tabla1[nombre_actividad],EV!D$1),NA())</f>
        <v>99.906000000000006</v>
      </c>
      <c r="E154" s="110">
        <f ca="1">IF(TODAY()&gt;=$A154,SUMIFS(Tabla1[Avance_km],Tabla1[Fecha],"&lt;="&amp;EV!$A154,Tabla1[nombre_actividad],EV!E$1,Tabla1[Avance_km],"&gt;0"),NA())</f>
        <v>99.906000000000063</v>
      </c>
      <c r="F154" s="67">
        <f ca="1">IF(TODAY()&gt;=$A154,SUMIFS(Tabla1[Avance_Med],Tabla1[Fecha],"&lt;="&amp;EV!$A154,Tabla1[nombre_actividad],EV!F$1),NA())</f>
        <v>376</v>
      </c>
      <c r="G154" s="67"/>
      <c r="H154" s="110"/>
      <c r="I154" s="228">
        <f ca="1">+C154*Catalogo!$F$19+EV!D154*Catalogo!$F$14+EV!E154*Catalogo!$F$16+EV!F154*Catalogo!$F$18</f>
        <v>4799484.0212400006</v>
      </c>
      <c r="J154" s="228">
        <f ca="1">IF(TODAY()&gt;=$A154,SUMIFS(Tabla1[EV],Tabla1[Fecha],"&lt;="&amp;A154,Tabla1[EV],"&gt;0"),NA())</f>
        <v>6304167.2012400003</v>
      </c>
      <c r="L154"/>
      <c r="M154" s="225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</row>
    <row r="155" spans="1:35" x14ac:dyDescent="0.25">
      <c r="A155" s="62">
        <f t="shared" si="4"/>
        <v>46115</v>
      </c>
      <c r="B155" s="62"/>
      <c r="C155" s="110">
        <f ca="1">IF(TODAY()&gt;=$A155,SUMIFS(Tabla1[Avance_km],Tabla1[Fecha],"&lt;="&amp;EV!$A155,Tabla1[nombre_actividad],EV!C$1),NA())</f>
        <v>108.65000000000005</v>
      </c>
      <c r="D155" s="110">
        <f ca="1">IF(TODAY()&gt;=$A155,SUMIFS(Tabla1[Avance_km],Tabla1[Fecha],"&lt;="&amp;EV!$A155,Tabla1[nombre_actividad],EV!D$1),NA())</f>
        <v>99.906000000000006</v>
      </c>
      <c r="E155" s="110">
        <f ca="1">IF(TODAY()&gt;=$A155,SUMIFS(Tabla1[Avance_km],Tabla1[Fecha],"&lt;="&amp;EV!$A155,Tabla1[nombre_actividad],EV!E$1,Tabla1[Avance_km],"&gt;0"),NA())</f>
        <v>99.906000000000063</v>
      </c>
      <c r="F155" s="67">
        <f ca="1">IF(TODAY()&gt;=$A155,SUMIFS(Tabla1[Avance_Med],Tabla1[Fecha],"&lt;="&amp;EV!$A155,Tabla1[nombre_actividad],EV!F$1),NA())</f>
        <v>376</v>
      </c>
      <c r="G155" s="67"/>
      <c r="H155" s="110"/>
      <c r="I155" s="228">
        <f ca="1">+C155*Catalogo!$F$19+EV!D155*Catalogo!$F$14+EV!E155*Catalogo!$F$16+EV!F155*Catalogo!$F$18</f>
        <v>4801741.4412400015</v>
      </c>
      <c r="J155" s="228">
        <f ca="1">IF(TODAY()&gt;=$A155,SUMIFS(Tabla1[EV],Tabla1[Fecha],"&lt;="&amp;A155,Tabla1[EV],"&gt;0"),NA())</f>
        <v>6306424.6212400002</v>
      </c>
      <c r="L155"/>
      <c r="M155" s="22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</row>
    <row r="156" spans="1:35" x14ac:dyDescent="0.25">
      <c r="A156" s="62">
        <f t="shared" si="4"/>
        <v>46116</v>
      </c>
      <c r="B156" s="62"/>
      <c r="C156" s="110">
        <f ca="1">IF(TODAY()&gt;=$A156,SUMIFS(Tabla1[Avance_km],Tabla1[Fecha],"&lt;="&amp;EV!$A156,Tabla1[nombre_actividad],EV!C$1),NA())</f>
        <v>109.52800000000005</v>
      </c>
      <c r="D156" s="110">
        <f ca="1">IF(TODAY()&gt;=$A156,SUMIFS(Tabla1[Avance_km],Tabla1[Fecha],"&lt;="&amp;EV!$A156,Tabla1[nombre_actividad],EV!D$1),NA())</f>
        <v>99.906000000000006</v>
      </c>
      <c r="E156" s="110">
        <f ca="1">IF(TODAY()&gt;=$A156,SUMIFS(Tabla1[Avance_km],Tabla1[Fecha],"&lt;="&amp;EV!$A156,Tabla1[nombre_actividad],EV!E$1,Tabla1[Avance_km],"&gt;0"),NA())</f>
        <v>99.906000000000063</v>
      </c>
      <c r="F156" s="67">
        <f ca="1">IF(TODAY()&gt;=$A156,SUMIFS(Tabla1[Avance_Med],Tabla1[Fecha],"&lt;="&amp;EV!$A156,Tabla1[nombre_actividad],EV!F$1),NA())</f>
        <v>376</v>
      </c>
      <c r="G156" s="67"/>
      <c r="H156" s="110"/>
      <c r="I156" s="228">
        <f ca="1">+C156*Catalogo!$F$19+EV!D156*Catalogo!$F$14+EV!E156*Catalogo!$F$16+EV!F156*Catalogo!$F$18</f>
        <v>4803723.4560000012</v>
      </c>
      <c r="J156" s="228">
        <f ca="1">IF(TODAY()&gt;=$A156,SUMIFS(Tabla1[EV],Tabla1[Fecha],"&lt;="&amp;A156,Tabla1[EV],"&gt;0"),NA())</f>
        <v>6308406.6359999999</v>
      </c>
      <c r="L156"/>
      <c r="M156" s="225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</row>
    <row r="157" spans="1:35" x14ac:dyDescent="0.25">
      <c r="A157" s="62">
        <f t="shared" si="4"/>
        <v>46117</v>
      </c>
      <c r="B157" s="62"/>
      <c r="C157" s="110">
        <f ca="1">IF(TODAY()&gt;=$A157,SUMIFS(Tabla1[Avance_km],Tabla1[Fecha],"&lt;="&amp;EV!$A157,Tabla1[nombre_actividad],EV!C$1),NA())</f>
        <v>109.52800000000005</v>
      </c>
      <c r="D157" s="110">
        <f ca="1">IF(TODAY()&gt;=$A157,SUMIFS(Tabla1[Avance_km],Tabla1[Fecha],"&lt;="&amp;EV!$A157,Tabla1[nombre_actividad],EV!D$1),NA())</f>
        <v>99.906000000000006</v>
      </c>
      <c r="E157" s="110">
        <f ca="1">IF(TODAY()&gt;=$A157,SUMIFS(Tabla1[Avance_km],Tabla1[Fecha],"&lt;="&amp;EV!$A157,Tabla1[nombre_actividad],EV!E$1,Tabla1[Avance_km],"&gt;0"),NA())</f>
        <v>99.906000000000063</v>
      </c>
      <c r="F157" s="67">
        <f ca="1">IF(TODAY()&gt;=$A157,SUMIFS(Tabla1[Avance_Med],Tabla1[Fecha],"&lt;="&amp;EV!$A157,Tabla1[nombre_actividad],EV!F$1),NA())</f>
        <v>376</v>
      </c>
      <c r="G157" s="67"/>
      <c r="H157" s="110"/>
      <c r="I157" s="228">
        <f ca="1">+C157*Catalogo!$F$19+EV!D157*Catalogo!$F$14+EV!E157*Catalogo!$F$16+EV!F157*Catalogo!$F$18</f>
        <v>4803723.4560000012</v>
      </c>
      <c r="J157" s="228">
        <f ca="1">IF(TODAY()&gt;=$A157,SUMIFS(Tabla1[EV],Tabla1[Fecha],"&lt;="&amp;A157,Tabla1[EV],"&gt;0"),NA())</f>
        <v>6308406.6359999999</v>
      </c>
      <c r="L157"/>
      <c r="M157" s="225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</row>
    <row r="158" spans="1:35" x14ac:dyDescent="0.25">
      <c r="A158" s="62">
        <f t="shared" si="4"/>
        <v>46118</v>
      </c>
      <c r="B158" s="62"/>
      <c r="C158" s="110">
        <f ca="1">IF(TODAY()&gt;=$A158,SUMIFS(Tabla1[Avance_km],Tabla1[Fecha],"&lt;="&amp;EV!$A158,Tabla1[nombre_actividad],EV!C$1),NA())</f>
        <v>109.52800000000005</v>
      </c>
      <c r="D158" s="110">
        <f ca="1">IF(TODAY()&gt;=$A158,SUMIFS(Tabla1[Avance_km],Tabla1[Fecha],"&lt;="&amp;EV!$A158,Tabla1[nombre_actividad],EV!D$1),NA())</f>
        <v>99.906000000000006</v>
      </c>
      <c r="E158" s="110">
        <f ca="1">IF(TODAY()&gt;=$A158,SUMIFS(Tabla1[Avance_km],Tabla1[Fecha],"&lt;="&amp;EV!$A158,Tabla1[nombre_actividad],EV!E$1,Tabla1[Avance_km],"&gt;0"),NA())</f>
        <v>99.906000000000063</v>
      </c>
      <c r="F158" s="67">
        <f ca="1">IF(TODAY()&gt;=$A158,SUMIFS(Tabla1[Avance_Med],Tabla1[Fecha],"&lt;="&amp;EV!$A158,Tabla1[nombre_actividad],EV!F$1),NA())</f>
        <v>376</v>
      </c>
      <c r="G158" s="67"/>
      <c r="H158" s="110"/>
      <c r="I158" s="228">
        <f ca="1">+C158*Catalogo!$F$19+EV!D158*Catalogo!$F$14+EV!E158*Catalogo!$F$16+EV!F158*Catalogo!$F$18</f>
        <v>4803723.4560000012</v>
      </c>
      <c r="J158" s="228">
        <f ca="1">IF(TODAY()&gt;=$A158,SUMIFS(Tabla1[EV],Tabla1[Fecha],"&lt;="&amp;A158,Tabla1[EV],"&gt;0"),NA())</f>
        <v>6308406.6359999999</v>
      </c>
      <c r="L158"/>
      <c r="M158" s="225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</row>
    <row r="159" spans="1:35" x14ac:dyDescent="0.25">
      <c r="A159" s="62">
        <f t="shared" si="4"/>
        <v>46119</v>
      </c>
      <c r="B159" s="62"/>
      <c r="C159" s="110">
        <f ca="1">IF(TODAY()&gt;=$A159,SUMIFS(Tabla1[Avance_km],Tabla1[Fecha],"&lt;="&amp;EV!$A159,Tabla1[nombre_actividad],EV!C$1),NA())</f>
        <v>110.52800000000005</v>
      </c>
      <c r="D159" s="110">
        <f ca="1">IF(TODAY()&gt;=$A159,SUMIFS(Tabla1[Avance_km],Tabla1[Fecha],"&lt;="&amp;EV!$A159,Tabla1[nombre_actividad],EV!D$1),NA())</f>
        <v>99.906000000000006</v>
      </c>
      <c r="E159" s="110">
        <f ca="1">IF(TODAY()&gt;=$A159,SUMIFS(Tabla1[Avance_km],Tabla1[Fecha],"&lt;="&amp;EV!$A159,Tabla1[nombre_actividad],EV!E$1,Tabla1[Avance_km],"&gt;0"),NA())</f>
        <v>99.906000000000063</v>
      </c>
      <c r="F159" s="67">
        <f ca="1">IF(TODAY()&gt;=$A159,SUMIFS(Tabla1[Avance_Med],Tabla1[Fecha],"&lt;="&amp;EV!$A159,Tabla1[nombre_actividad],EV!F$1),NA())</f>
        <v>376</v>
      </c>
      <c r="G159" s="67"/>
      <c r="H159" s="110"/>
      <c r="I159" s="228">
        <f ca="1">+C159*Catalogo!$F$19+EV!D159*Catalogo!$F$14+EV!E159*Catalogo!$F$16+EV!F159*Catalogo!$F$18</f>
        <v>4805980.8760000011</v>
      </c>
      <c r="J159" s="228">
        <f ca="1">IF(TODAY()&gt;=$A159,SUMIFS(Tabla1[EV],Tabla1[Fecha],"&lt;="&amp;A159,Tabla1[EV],"&gt;0"),NA())</f>
        <v>6310664.0559999999</v>
      </c>
      <c r="L159"/>
      <c r="M159" s="225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</row>
    <row r="160" spans="1:35" x14ac:dyDescent="0.25">
      <c r="A160" s="62">
        <f t="shared" si="4"/>
        <v>46120</v>
      </c>
      <c r="B160" s="62"/>
      <c r="C160" s="110">
        <f ca="1">IF(TODAY()&gt;=$A160,SUMIFS(Tabla1[Avance_km],Tabla1[Fecha],"&lt;="&amp;EV!$A160,Tabla1[nombre_actividad],EV!C$1),NA())</f>
        <v>112.52800000000005</v>
      </c>
      <c r="D160" s="110">
        <f ca="1">IF(TODAY()&gt;=$A160,SUMIFS(Tabla1[Avance_km],Tabla1[Fecha],"&lt;="&amp;EV!$A160,Tabla1[nombre_actividad],EV!D$1),NA())</f>
        <v>99.906000000000006</v>
      </c>
      <c r="E160" s="110">
        <f ca="1">IF(TODAY()&gt;=$A160,SUMIFS(Tabla1[Avance_km],Tabla1[Fecha],"&lt;="&amp;EV!$A160,Tabla1[nombre_actividad],EV!E$1,Tabla1[Avance_km],"&gt;0"),NA())</f>
        <v>99.906000000000063</v>
      </c>
      <c r="F160" s="67">
        <f ca="1">IF(TODAY()&gt;=$A160,SUMIFS(Tabla1[Avance_Med],Tabla1[Fecha],"&lt;="&amp;EV!$A160,Tabla1[nombre_actividad],EV!F$1),NA())</f>
        <v>376</v>
      </c>
      <c r="G160" s="67"/>
      <c r="H160" s="110"/>
      <c r="I160" s="228">
        <f ca="1">+C160*Catalogo!$F$19+EV!D160*Catalogo!$F$14+EV!E160*Catalogo!$F$16+EV!F160*Catalogo!$F$18</f>
        <v>4810495.7160000009</v>
      </c>
      <c r="J160" s="228">
        <f ca="1">IF(TODAY()&gt;=$A160,SUMIFS(Tabla1[EV],Tabla1[Fecha],"&lt;="&amp;A160,Tabla1[EV],"&gt;0"),NA())</f>
        <v>6315178.8959999997</v>
      </c>
      <c r="L160"/>
      <c r="M160" s="225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</row>
    <row r="161" spans="1:35" x14ac:dyDescent="0.25">
      <c r="A161" s="62">
        <f t="shared" si="4"/>
        <v>46121</v>
      </c>
      <c r="B161" s="62"/>
      <c r="C161" s="110">
        <f ca="1">IF(TODAY()&gt;=$A161,SUMIFS(Tabla1[Avance_km],Tabla1[Fecha],"&lt;="&amp;EV!$A161,Tabla1[nombre_actividad],EV!C$1),NA())</f>
        <v>115.27800000000005</v>
      </c>
      <c r="D161" s="110">
        <f ca="1">IF(TODAY()&gt;=$A161,SUMIFS(Tabla1[Avance_km],Tabla1[Fecha],"&lt;="&amp;EV!$A161,Tabla1[nombre_actividad],EV!D$1),NA())</f>
        <v>99.906000000000006</v>
      </c>
      <c r="E161" s="110">
        <f ca="1">IF(TODAY()&gt;=$A161,SUMIFS(Tabla1[Avance_km],Tabla1[Fecha],"&lt;="&amp;EV!$A161,Tabla1[nombre_actividad],EV!E$1,Tabla1[Avance_km],"&gt;0"),NA())</f>
        <v>99.906000000000063</v>
      </c>
      <c r="F161" s="67">
        <f ca="1">IF(TODAY()&gt;=$A161,SUMIFS(Tabla1[Avance_Med],Tabla1[Fecha],"&lt;="&amp;EV!$A161,Tabla1[nombre_actividad],EV!F$1),NA())</f>
        <v>376</v>
      </c>
      <c r="G161" s="67"/>
      <c r="H161" s="110"/>
      <c r="I161" s="228">
        <f ca="1">+C161*Catalogo!$F$19+EV!D161*Catalogo!$F$14+EV!E161*Catalogo!$F$16+EV!F161*Catalogo!$F$18</f>
        <v>4816703.6210000012</v>
      </c>
      <c r="J161" s="228">
        <f ca="1">IF(TODAY()&gt;=$A161,SUMIFS(Tabla1[EV],Tabla1[Fecha],"&lt;="&amp;A161,Tabla1[EV],"&gt;0"),NA())</f>
        <v>6321386.801</v>
      </c>
      <c r="L161"/>
      <c r="M161" s="225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</row>
    <row r="162" spans="1:35" x14ac:dyDescent="0.25">
      <c r="A162" s="62">
        <f t="shared" si="4"/>
        <v>46122</v>
      </c>
      <c r="B162" s="62"/>
      <c r="C162" s="110">
        <f ca="1">IF(TODAY()&gt;=$A162,SUMIFS(Tabla1[Avance_km],Tabla1[Fecha],"&lt;="&amp;EV!$A162,Tabla1[nombre_actividad],EV!C$1),NA())</f>
        <v>118.27800000000005</v>
      </c>
      <c r="D162" s="110">
        <f ca="1">IF(TODAY()&gt;=$A162,SUMIFS(Tabla1[Avance_km],Tabla1[Fecha],"&lt;="&amp;EV!$A162,Tabla1[nombre_actividad],EV!D$1),NA())</f>
        <v>99.906000000000006</v>
      </c>
      <c r="E162" s="110">
        <f ca="1">IF(TODAY()&gt;=$A162,SUMIFS(Tabla1[Avance_km],Tabla1[Fecha],"&lt;="&amp;EV!$A162,Tabla1[nombre_actividad],EV!E$1,Tabla1[Avance_km],"&gt;0"),NA())</f>
        <v>99.906000000000063</v>
      </c>
      <c r="F162" s="67">
        <f ca="1">IF(TODAY()&gt;=$A162,SUMIFS(Tabla1[Avance_Med],Tabla1[Fecha],"&lt;="&amp;EV!$A162,Tabla1[nombre_actividad],EV!F$1),NA())</f>
        <v>376</v>
      </c>
      <c r="G162" s="67"/>
      <c r="H162" s="110"/>
      <c r="I162" s="228">
        <f ca="1">+C162*Catalogo!$F$19+EV!D162*Catalogo!$F$14+EV!E162*Catalogo!$F$16+EV!F162*Catalogo!$F$18</f>
        <v>4823475.881000001</v>
      </c>
      <c r="J162" s="228">
        <f ca="1">IF(TODAY()&gt;=$A162,SUMIFS(Tabla1[EV],Tabla1[Fecha],"&lt;="&amp;A162,Tabla1[EV],"&gt;0"),NA())</f>
        <v>6328159.0609999998</v>
      </c>
      <c r="L162"/>
      <c r="M162" s="225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</row>
    <row r="163" spans="1:35" x14ac:dyDescent="0.25">
      <c r="A163" s="62">
        <f t="shared" si="4"/>
        <v>46123</v>
      </c>
      <c r="B163" s="62"/>
      <c r="C163" s="110">
        <f ca="1">IF(TODAY()&gt;=$A163,SUMIFS(Tabla1[Avance_km],Tabla1[Fecha],"&lt;="&amp;EV!$A163,Tabla1[nombre_actividad],EV!C$1),NA())</f>
        <v>119.52800000000005</v>
      </c>
      <c r="D163" s="110">
        <f ca="1">IF(TODAY()&gt;=$A163,SUMIFS(Tabla1[Avance_km],Tabla1[Fecha],"&lt;="&amp;EV!$A163,Tabla1[nombre_actividad],EV!D$1),NA())</f>
        <v>99.906000000000006</v>
      </c>
      <c r="E163" s="110">
        <f ca="1">IF(TODAY()&gt;=$A163,SUMIFS(Tabla1[Avance_km],Tabla1[Fecha],"&lt;="&amp;EV!$A163,Tabla1[nombre_actividad],EV!E$1,Tabla1[Avance_km],"&gt;0"),NA())</f>
        <v>99.906000000000063</v>
      </c>
      <c r="F163" s="67">
        <f ca="1">IF(TODAY()&gt;=$A163,SUMIFS(Tabla1[Avance_Med],Tabla1[Fecha],"&lt;="&amp;EV!$A163,Tabla1[nombre_actividad],EV!F$1),NA())</f>
        <v>376</v>
      </c>
      <c r="G163" s="67"/>
      <c r="H163" s="110"/>
      <c r="I163" s="228">
        <f ca="1">+C163*Catalogo!$F$19+EV!D163*Catalogo!$F$14+EV!E163*Catalogo!$F$16+EV!F163*Catalogo!$F$18</f>
        <v>4826297.6560000014</v>
      </c>
      <c r="J163" s="228">
        <f ca="1">IF(TODAY()&gt;=$A163,SUMIFS(Tabla1[EV],Tabla1[Fecha],"&lt;="&amp;A163,Tabla1[EV],"&gt;0"),NA())</f>
        <v>6330980.8360000001</v>
      </c>
      <c r="L163"/>
      <c r="M163" s="225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</row>
    <row r="164" spans="1:35" x14ac:dyDescent="0.25">
      <c r="A164" s="62">
        <f t="shared" si="4"/>
        <v>46124</v>
      </c>
      <c r="B164" s="62"/>
      <c r="C164" s="110">
        <f ca="1">IF(TODAY()&gt;=$A164,SUMIFS(Tabla1[Avance_km],Tabla1[Fecha],"&lt;="&amp;EV!$A164,Tabla1[nombre_actividad],EV!C$1),NA())</f>
        <v>119.52800000000005</v>
      </c>
      <c r="D164" s="110">
        <f ca="1">IF(TODAY()&gt;=$A164,SUMIFS(Tabla1[Avance_km],Tabla1[Fecha],"&lt;="&amp;EV!$A164,Tabla1[nombre_actividad],EV!D$1),NA())</f>
        <v>99.906000000000006</v>
      </c>
      <c r="E164" s="110">
        <f ca="1">IF(TODAY()&gt;=$A164,SUMIFS(Tabla1[Avance_km],Tabla1[Fecha],"&lt;="&amp;EV!$A164,Tabla1[nombre_actividad],EV!E$1,Tabla1[Avance_km],"&gt;0"),NA())</f>
        <v>99.906000000000063</v>
      </c>
      <c r="F164" s="67">
        <f ca="1">IF(TODAY()&gt;=$A164,SUMIFS(Tabla1[Avance_Med],Tabla1[Fecha],"&lt;="&amp;EV!$A164,Tabla1[nombre_actividad],EV!F$1),NA())</f>
        <v>376</v>
      </c>
      <c r="G164" s="67"/>
      <c r="H164" s="110"/>
      <c r="I164" s="228">
        <f ca="1">+C164*Catalogo!$F$19+EV!D164*Catalogo!$F$14+EV!E164*Catalogo!$F$16+EV!F164*Catalogo!$F$18</f>
        <v>4826297.6560000014</v>
      </c>
      <c r="J164" s="228">
        <f ca="1">IF(TODAY()&gt;=$A164,SUMIFS(Tabla1[EV],Tabla1[Fecha],"&lt;="&amp;A164,Tabla1[EV],"&gt;0"),NA())</f>
        <v>6330980.8360000001</v>
      </c>
      <c r="L164"/>
      <c r="M164" s="225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</row>
    <row r="165" spans="1:35" x14ac:dyDescent="0.25">
      <c r="A165" s="62">
        <f t="shared" si="4"/>
        <v>46125</v>
      </c>
      <c r="B165" s="62"/>
      <c r="C165" s="110">
        <f ca="1">IF(TODAY()&gt;=$A165,SUMIFS(Tabla1[Avance_km],Tabla1[Fecha],"&lt;="&amp;EV!$A165,Tabla1[nombre_actividad],EV!C$1),NA())</f>
        <v>120.72800000000005</v>
      </c>
      <c r="D165" s="110">
        <f ca="1">IF(TODAY()&gt;=$A165,SUMIFS(Tabla1[Avance_km],Tabla1[Fecha],"&lt;="&amp;EV!$A165,Tabla1[nombre_actividad],EV!D$1),NA())</f>
        <v>99.906000000000006</v>
      </c>
      <c r="E165" s="110">
        <f ca="1">IF(TODAY()&gt;=$A165,SUMIFS(Tabla1[Avance_km],Tabla1[Fecha],"&lt;="&amp;EV!$A165,Tabla1[nombre_actividad],EV!E$1,Tabla1[Avance_km],"&gt;0"),NA())</f>
        <v>99.906000000000063</v>
      </c>
      <c r="F165" s="67">
        <f ca="1">IF(TODAY()&gt;=$A165,SUMIFS(Tabla1[Avance_Med],Tabla1[Fecha],"&lt;="&amp;EV!$A165,Tabla1[nombre_actividad],EV!F$1),NA())</f>
        <v>376</v>
      </c>
      <c r="G165" s="67"/>
      <c r="H165" s="110"/>
      <c r="I165" s="228">
        <f ca="1">+C165*Catalogo!$F$19+EV!D165*Catalogo!$F$14+EV!E165*Catalogo!$F$16+EV!F165*Catalogo!$F$18</f>
        <v>4829006.5600000005</v>
      </c>
      <c r="J165" s="228">
        <f ca="1">IF(TODAY()&gt;=$A165,SUMIFS(Tabla1[EV],Tabla1[Fecha],"&lt;="&amp;A165,Tabla1[EV],"&gt;0"),NA())</f>
        <v>6333689.7400000002</v>
      </c>
      <c r="L165"/>
      <c r="M165" s="22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</row>
    <row r="166" spans="1:35" x14ac:dyDescent="0.25">
      <c r="A166" s="62">
        <f t="shared" si="4"/>
        <v>46126</v>
      </c>
      <c r="B166" s="62"/>
      <c r="C166" s="110">
        <f ca="1">IF(TODAY()&gt;=$A166,SUMIFS(Tabla1[Avance_km],Tabla1[Fecha],"&lt;="&amp;EV!$A166,Tabla1[nombre_actividad],EV!C$1),NA())</f>
        <v>123.02800000000005</v>
      </c>
      <c r="D166" s="110">
        <f ca="1">IF(TODAY()&gt;=$A166,SUMIFS(Tabla1[Avance_km],Tabla1[Fecha],"&lt;="&amp;EV!$A166,Tabla1[nombre_actividad],EV!D$1),NA())</f>
        <v>99.906000000000006</v>
      </c>
      <c r="E166" s="110">
        <f ca="1">IF(TODAY()&gt;=$A166,SUMIFS(Tabla1[Avance_km],Tabla1[Fecha],"&lt;="&amp;EV!$A166,Tabla1[nombre_actividad],EV!E$1,Tabla1[Avance_km],"&gt;0"),NA())</f>
        <v>99.906000000000063</v>
      </c>
      <c r="F166" s="67">
        <f ca="1">IF(TODAY()&gt;=$A166,SUMIFS(Tabla1[Avance_Med],Tabla1[Fecha],"&lt;="&amp;EV!$A166,Tabla1[nombre_actividad],EV!F$1),NA())</f>
        <v>376</v>
      </c>
      <c r="G166" s="67"/>
      <c r="H166" s="110"/>
      <c r="I166" s="228">
        <f ca="1">+C166*Catalogo!$F$19+EV!D166*Catalogo!$F$14+EV!E166*Catalogo!$F$16+EV!F166*Catalogo!$F$18</f>
        <v>4834198.6260000011</v>
      </c>
      <c r="J166" s="228">
        <f ca="1">IF(TODAY()&gt;=$A166,SUMIFS(Tabla1[EV],Tabla1[Fecha],"&lt;="&amp;A166,Tabla1[EV],"&gt;0"),NA())</f>
        <v>6338881.8059999999</v>
      </c>
      <c r="L166"/>
      <c r="M166" s="225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</row>
    <row r="167" spans="1:35" x14ac:dyDescent="0.25">
      <c r="A167" s="62">
        <f t="shared" si="4"/>
        <v>46127</v>
      </c>
      <c r="B167" s="62"/>
      <c r="C167" s="110">
        <f ca="1">IF(TODAY()&gt;=$A167,SUMIFS(Tabla1[Avance_km],Tabla1[Fecha],"&lt;="&amp;EV!$A167,Tabla1[nombre_actividad],EV!C$1),NA())</f>
        <v>124.88600000000005</v>
      </c>
      <c r="D167" s="110">
        <f ca="1">IF(TODAY()&gt;=$A167,SUMIFS(Tabla1[Avance_km],Tabla1[Fecha],"&lt;="&amp;EV!$A167,Tabla1[nombre_actividad],EV!D$1),NA())</f>
        <v>99.906000000000006</v>
      </c>
      <c r="E167" s="110">
        <f ca="1">IF(TODAY()&gt;=$A167,SUMIFS(Tabla1[Avance_km],Tabla1[Fecha],"&lt;="&amp;EV!$A167,Tabla1[nombre_actividad],EV!E$1,Tabla1[Avance_km],"&gt;0"),NA())</f>
        <v>99.906000000000063</v>
      </c>
      <c r="F167" s="67">
        <f ca="1">IF(TODAY()&gt;=$A167,SUMIFS(Tabla1[Avance_Med],Tabla1[Fecha],"&lt;="&amp;EV!$A167,Tabla1[nombre_actividad],EV!F$1),NA())</f>
        <v>376</v>
      </c>
      <c r="G167" s="67"/>
      <c r="H167" s="110"/>
      <c r="I167" s="228">
        <f ca="1">+C167*Catalogo!$F$19+EV!D167*Catalogo!$F$14+EV!E167*Catalogo!$F$16+EV!F167*Catalogo!$F$18</f>
        <v>4838392.9123600014</v>
      </c>
      <c r="J167" s="228">
        <f ca="1">IF(TODAY()&gt;=$A167,SUMIFS(Tabla1[EV],Tabla1[Fecha],"&lt;="&amp;A167,Tabla1[EV],"&gt;0"),NA())</f>
        <v>6343076.0923600001</v>
      </c>
      <c r="L167"/>
      <c r="M167" s="225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</row>
    <row r="168" spans="1:35" x14ac:dyDescent="0.25">
      <c r="A168" s="62">
        <f t="shared" si="4"/>
        <v>46128</v>
      </c>
      <c r="B168" s="62"/>
      <c r="C168" s="110">
        <f ca="1">IF(TODAY()&gt;=$A168,SUMIFS(Tabla1[Avance_km],Tabla1[Fecha],"&lt;="&amp;EV!$A168,Tabla1[nombre_actividad],EV!C$1),NA())</f>
        <v>125.14200000000005</v>
      </c>
      <c r="D168" s="110">
        <f ca="1">IF(TODAY()&gt;=$A168,SUMIFS(Tabla1[Avance_km],Tabla1[Fecha],"&lt;="&amp;EV!$A168,Tabla1[nombre_actividad],EV!D$1),NA())</f>
        <v>99.906000000000006</v>
      </c>
      <c r="E168" s="110">
        <f ca="1">IF(TODAY()&gt;=$A168,SUMIFS(Tabla1[Avance_km],Tabla1[Fecha],"&lt;="&amp;EV!$A168,Tabla1[nombre_actividad],EV!E$1,Tabla1[Avance_km],"&gt;0"),NA())</f>
        <v>99.906000000000063</v>
      </c>
      <c r="F168" s="67">
        <f ca="1">IF(TODAY()&gt;=$A168,SUMIFS(Tabla1[Avance_Med],Tabla1[Fecha],"&lt;="&amp;EV!$A168,Tabla1[nombre_actividad],EV!F$1),NA())</f>
        <v>376</v>
      </c>
      <c r="G168" s="67"/>
      <c r="H168" s="110"/>
      <c r="I168" s="228">
        <f ca="1">+C168*Catalogo!$F$19+EV!D168*Catalogo!$F$14+EV!E168*Catalogo!$F$16+EV!F168*Catalogo!$F$18</f>
        <v>4838970.8118800009</v>
      </c>
      <c r="J168" s="228">
        <f ca="1">IF(TODAY()&gt;=$A168,SUMIFS(Tabla1[EV],Tabla1[Fecha],"&lt;="&amp;A168,Tabla1[EV],"&gt;0"),NA())</f>
        <v>6343653.9918800006</v>
      </c>
      <c r="L168"/>
      <c r="M168" s="225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</row>
    <row r="169" spans="1:35" x14ac:dyDescent="0.25">
      <c r="A169" s="62">
        <f t="shared" si="4"/>
        <v>46129</v>
      </c>
      <c r="B169" s="62"/>
      <c r="C169" s="110">
        <f ca="1">IF(TODAY()&gt;=$A169,SUMIFS(Tabla1[Avance_km],Tabla1[Fecha],"&lt;="&amp;EV!$A169,Tabla1[nombre_actividad],EV!C$1),NA())</f>
        <v>125.14200000000005</v>
      </c>
      <c r="D169" s="110">
        <f ca="1">IF(TODAY()&gt;=$A169,SUMIFS(Tabla1[Avance_km],Tabla1[Fecha],"&lt;="&amp;EV!$A169,Tabla1[nombre_actividad],EV!D$1),NA())</f>
        <v>99.906000000000006</v>
      </c>
      <c r="E169" s="110">
        <f ca="1">IF(TODAY()&gt;=$A169,SUMIFS(Tabla1[Avance_km],Tabla1[Fecha],"&lt;="&amp;EV!$A169,Tabla1[nombre_actividad],EV!E$1,Tabla1[Avance_km],"&gt;0"),NA())</f>
        <v>99.906000000000063</v>
      </c>
      <c r="F169" s="67">
        <f ca="1">IF(TODAY()&gt;=$A169,SUMIFS(Tabla1[Avance_Med],Tabla1[Fecha],"&lt;="&amp;EV!$A169,Tabla1[nombre_actividad],EV!F$1),NA())</f>
        <v>376</v>
      </c>
      <c r="G169" s="67"/>
      <c r="H169" s="110"/>
      <c r="I169" s="228">
        <f ca="1">+C169*Catalogo!$F$19+EV!D169*Catalogo!$F$14+EV!E169*Catalogo!$F$16+EV!F169*Catalogo!$F$18</f>
        <v>4838970.8118800009</v>
      </c>
      <c r="J169" s="228">
        <f ca="1">IF(TODAY()&gt;=$A169,SUMIFS(Tabla1[EV],Tabla1[Fecha],"&lt;="&amp;A169,Tabla1[EV],"&gt;0"),NA())</f>
        <v>6343653.9918800006</v>
      </c>
      <c r="L169"/>
      <c r="M169" s="225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</row>
    <row r="170" spans="1:35" x14ac:dyDescent="0.25">
      <c r="A170" s="62">
        <f t="shared" si="4"/>
        <v>46130</v>
      </c>
      <c r="B170" s="62"/>
      <c r="C170" s="110">
        <f ca="1">IF(TODAY()&gt;=$A170,SUMIFS(Tabla1[Avance_km],Tabla1[Fecha],"&lt;="&amp;EV!$A170,Tabla1[nombre_actividad],EV!C$1),NA())</f>
        <v>125.14200000000005</v>
      </c>
      <c r="D170" s="110">
        <f ca="1">IF(TODAY()&gt;=$A170,SUMIFS(Tabla1[Avance_km],Tabla1[Fecha],"&lt;="&amp;EV!$A170,Tabla1[nombre_actividad],EV!D$1),NA())</f>
        <v>99.906000000000006</v>
      </c>
      <c r="E170" s="110">
        <f ca="1">IF(TODAY()&gt;=$A170,SUMIFS(Tabla1[Avance_km],Tabla1[Fecha],"&lt;="&amp;EV!$A170,Tabla1[nombre_actividad],EV!E$1,Tabla1[Avance_km],"&gt;0"),NA())</f>
        <v>99.906000000000063</v>
      </c>
      <c r="F170" s="67">
        <f ca="1">IF(TODAY()&gt;=$A170,SUMIFS(Tabla1[Avance_Med],Tabla1[Fecha],"&lt;="&amp;EV!$A170,Tabla1[nombre_actividad],EV!F$1),NA())</f>
        <v>376</v>
      </c>
      <c r="G170" s="67"/>
      <c r="H170" s="110"/>
      <c r="I170" s="228">
        <f ca="1">+C170*Catalogo!$F$19+EV!D170*Catalogo!$F$14+EV!E170*Catalogo!$F$16+EV!F170*Catalogo!$F$18</f>
        <v>4838970.8118800009</v>
      </c>
      <c r="J170" s="228">
        <f ca="1">IF(TODAY()&gt;=$A170,SUMIFS(Tabla1[EV],Tabla1[Fecha],"&lt;="&amp;A170,Tabla1[EV],"&gt;0"),NA())</f>
        <v>6343653.9918800006</v>
      </c>
      <c r="L170"/>
      <c r="M170" s="225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</row>
    <row r="171" spans="1:35" x14ac:dyDescent="0.25">
      <c r="A171" s="62">
        <f t="shared" si="4"/>
        <v>46131</v>
      </c>
      <c r="B171" s="62"/>
      <c r="C171" s="110">
        <f ca="1">IF(TODAY()&gt;=$A171,SUMIFS(Tabla1[Avance_km],Tabla1[Fecha],"&lt;="&amp;EV!$A171,Tabla1[nombre_actividad],EV!C$1),NA())</f>
        <v>125.14200000000005</v>
      </c>
      <c r="D171" s="110">
        <f ca="1">IF(TODAY()&gt;=$A171,SUMIFS(Tabla1[Avance_km],Tabla1[Fecha],"&lt;="&amp;EV!$A171,Tabla1[nombre_actividad],EV!D$1),NA())</f>
        <v>99.906000000000006</v>
      </c>
      <c r="E171" s="110">
        <f ca="1">IF(TODAY()&gt;=$A171,SUMIFS(Tabla1[Avance_km],Tabla1[Fecha],"&lt;="&amp;EV!$A171,Tabla1[nombre_actividad],EV!E$1,Tabla1[Avance_km],"&gt;0"),NA())</f>
        <v>99.906000000000063</v>
      </c>
      <c r="F171" s="67">
        <f ca="1">IF(TODAY()&gt;=$A171,SUMIFS(Tabla1[Avance_Med],Tabla1[Fecha],"&lt;="&amp;EV!$A171,Tabla1[nombre_actividad],EV!F$1),NA())</f>
        <v>376</v>
      </c>
      <c r="G171" s="67"/>
      <c r="H171" s="110"/>
      <c r="I171" s="228">
        <f ca="1">+C171*Catalogo!$F$19+EV!D171*Catalogo!$F$14+EV!E171*Catalogo!$F$16+EV!F171*Catalogo!$F$18</f>
        <v>4838970.8118800009</v>
      </c>
      <c r="J171" s="228">
        <f ca="1">IF(TODAY()&gt;=$A171,SUMIFS(Tabla1[EV],Tabla1[Fecha],"&lt;="&amp;A171,Tabla1[EV],"&gt;0"),NA())</f>
        <v>6343653.9918800006</v>
      </c>
      <c r="K171" s="291"/>
      <c r="L171"/>
      <c r="M171" s="225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35" x14ac:dyDescent="0.25">
      <c r="A172" s="62">
        <f t="shared" si="4"/>
        <v>46132</v>
      </c>
      <c r="B172" s="62"/>
      <c r="C172" s="110">
        <f ca="1">IF(TODAY()&gt;=$A172,SUMIFS(Tabla1[Avance_km],Tabla1[Fecha],"&lt;="&amp;EV!$A172,Tabla1[nombre_actividad],EV!C$1),NA())</f>
        <v>125.14200000000005</v>
      </c>
      <c r="D172" s="110">
        <f ca="1">IF(TODAY()&gt;=$A172,SUMIFS(Tabla1[Avance_km],Tabla1[Fecha],"&lt;="&amp;EV!$A172,Tabla1[nombre_actividad],EV!D$1),NA())</f>
        <v>99.906000000000006</v>
      </c>
      <c r="E172" s="110">
        <f ca="1">IF(TODAY()&gt;=$A172,SUMIFS(Tabla1[Avance_km],Tabla1[Fecha],"&lt;="&amp;EV!$A172,Tabla1[nombre_actividad],EV!E$1,Tabla1[Avance_km],"&gt;0"),NA())</f>
        <v>99.906000000000063</v>
      </c>
      <c r="F172" s="67">
        <f ca="1">IF(TODAY()&gt;=$A172,SUMIFS(Tabla1[Avance_Med],Tabla1[Fecha],"&lt;="&amp;EV!$A172,Tabla1[nombre_actividad],EV!F$1),NA())</f>
        <v>376</v>
      </c>
      <c r="G172" s="67"/>
      <c r="H172" s="110"/>
      <c r="I172" s="228">
        <f ca="1">+C172*Catalogo!$F$19+EV!D172*Catalogo!$F$14+EV!E172*Catalogo!$F$16+EV!F172*Catalogo!$F$18</f>
        <v>4838970.8118800009</v>
      </c>
      <c r="J172" s="228">
        <f ca="1">IF(TODAY()&gt;=$A172,SUMIFS(Tabla1[EV],Tabla1[Fecha],"&lt;="&amp;A172,Tabla1[EV],"&gt;0"),NA())</f>
        <v>6343653.9918800006</v>
      </c>
      <c r="L172"/>
      <c r="M172" s="225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35" x14ac:dyDescent="0.25">
      <c r="A173" s="62">
        <f t="shared" si="4"/>
        <v>46133</v>
      </c>
      <c r="B173" s="62"/>
      <c r="C173" s="110">
        <f ca="1">IF(TODAY()&gt;=$A173,SUMIFS(Tabla1[Avance_km],Tabla1[Fecha],"&lt;="&amp;EV!$A173,Tabla1[nombre_actividad],EV!C$1),NA())</f>
        <v>125.14200000000005</v>
      </c>
      <c r="D173" s="110">
        <f ca="1">IF(TODAY()&gt;=$A173,SUMIFS(Tabla1[Avance_km],Tabla1[Fecha],"&lt;="&amp;EV!$A173,Tabla1[nombre_actividad],EV!D$1),NA())</f>
        <v>99.906000000000006</v>
      </c>
      <c r="E173" s="110">
        <f ca="1">IF(TODAY()&gt;=$A173,SUMIFS(Tabla1[Avance_km],Tabla1[Fecha],"&lt;="&amp;EV!$A173,Tabla1[nombre_actividad],EV!E$1,Tabla1[Avance_km],"&gt;0"),NA())</f>
        <v>99.906000000000063</v>
      </c>
      <c r="F173" s="67">
        <f ca="1">IF(TODAY()&gt;=$A173,SUMIFS(Tabla1[Avance_Med],Tabla1[Fecha],"&lt;="&amp;EV!$A173,Tabla1[nombre_actividad],EV!F$1),NA())</f>
        <v>376</v>
      </c>
      <c r="G173" s="67"/>
      <c r="H173" s="110"/>
      <c r="I173" s="228">
        <f ca="1">+C173*Catalogo!$F$19+EV!D173*Catalogo!$F$14+EV!E173*Catalogo!$F$16+EV!F173*Catalogo!$F$18</f>
        <v>4838970.8118800009</v>
      </c>
      <c r="J173" s="228">
        <f ca="1">IF(TODAY()&gt;=$A173,SUMIFS(Tabla1[EV],Tabla1[Fecha],"&lt;="&amp;A173,Tabla1[EV],"&gt;0"),NA())</f>
        <v>6343653.9918800006</v>
      </c>
      <c r="L173"/>
      <c r="M173" s="225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35" x14ac:dyDescent="0.25">
      <c r="A174" s="62">
        <f t="shared" si="4"/>
        <v>46134</v>
      </c>
      <c r="B174" s="62"/>
      <c r="C174" s="110">
        <f ca="1">IF(TODAY()&gt;=$A174,SUMIFS(Tabla1[Avance_km],Tabla1[Fecha],"&lt;="&amp;EV!$A174,Tabla1[nombre_actividad],EV!C$1),NA())</f>
        <v>125.14200000000005</v>
      </c>
      <c r="D174" s="110">
        <f ca="1">IF(TODAY()&gt;=$A174,SUMIFS(Tabla1[Avance_km],Tabla1[Fecha],"&lt;="&amp;EV!$A174,Tabla1[nombre_actividad],EV!D$1),NA())</f>
        <v>99.906000000000006</v>
      </c>
      <c r="E174" s="110">
        <f ca="1">IF(TODAY()&gt;=$A174,SUMIFS(Tabla1[Avance_km],Tabla1[Fecha],"&lt;="&amp;EV!$A174,Tabla1[nombre_actividad],EV!E$1,Tabla1[Avance_km],"&gt;0"),NA())</f>
        <v>99.906000000000063</v>
      </c>
      <c r="F174" s="67">
        <f ca="1">IF(TODAY()&gt;=$A174,SUMIFS(Tabla1[Avance_Med],Tabla1[Fecha],"&lt;="&amp;EV!$A174,Tabla1[nombre_actividad],EV!F$1),NA())</f>
        <v>376</v>
      </c>
      <c r="G174" s="67"/>
      <c r="H174" s="110"/>
      <c r="I174" s="228">
        <f ca="1">+C174*Catalogo!$F$19+EV!D174*Catalogo!$F$14+EV!E174*Catalogo!$F$16+EV!F174*Catalogo!$F$18</f>
        <v>4838970.8118800009</v>
      </c>
      <c r="J174" s="228">
        <f ca="1">IF(TODAY()&gt;=$A174,SUMIFS(Tabla1[EV],Tabla1[Fecha],"&lt;="&amp;A174,Tabla1[EV],"&gt;0"),NA())</f>
        <v>6386652.0718800006</v>
      </c>
      <c r="L174"/>
      <c r="M174" s="225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35" x14ac:dyDescent="0.25">
      <c r="A175" s="62">
        <f t="shared" si="4"/>
        <v>46135</v>
      </c>
      <c r="B175" s="62"/>
      <c r="C175" s="110">
        <f ca="1">IF(TODAY()&gt;=$A175,SUMIFS(Tabla1[Avance_km],Tabla1[Fecha],"&lt;="&amp;EV!$A175,Tabla1[nombre_actividad],EV!C$1),NA())</f>
        <v>125.14200000000005</v>
      </c>
      <c r="D175" s="110">
        <f ca="1">IF(TODAY()&gt;=$A175,SUMIFS(Tabla1[Avance_km],Tabla1[Fecha],"&lt;="&amp;EV!$A175,Tabla1[nombre_actividad],EV!D$1),NA())</f>
        <v>99.906000000000006</v>
      </c>
      <c r="E175" s="110">
        <f ca="1">IF(TODAY()&gt;=$A175,SUMIFS(Tabla1[Avance_km],Tabla1[Fecha],"&lt;="&amp;EV!$A175,Tabla1[nombre_actividad],EV!E$1,Tabla1[Avance_km],"&gt;0"),NA())</f>
        <v>100.91800000000006</v>
      </c>
      <c r="F175" s="67">
        <f ca="1">IF(TODAY()&gt;=$A175,SUMIFS(Tabla1[Avance_Med],Tabla1[Fecha],"&lt;="&amp;EV!$A175,Tabla1[nombre_actividad],EV!F$1),NA())</f>
        <v>376</v>
      </c>
      <c r="G175" s="67"/>
      <c r="H175" s="110"/>
      <c r="I175" s="228">
        <f ca="1">+C175*Catalogo!$F$19+EV!D175*Catalogo!$F$14+EV!E175*Catalogo!$F$16+EV!F175*Catalogo!$F$18</f>
        <v>4852689.1094400007</v>
      </c>
      <c r="J175" s="228">
        <f ca="1">IF(TODAY()&gt;=$A175,SUMIFS(Tabla1[EV],Tabla1[Fecha],"&lt;="&amp;A175,Tabla1[EV],"&gt;0"),NA())</f>
        <v>6540114.1294400012</v>
      </c>
      <c r="L175"/>
      <c r="M175" s="22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35" x14ac:dyDescent="0.25">
      <c r="A176" s="62">
        <f t="shared" si="4"/>
        <v>46136</v>
      </c>
      <c r="B176" s="62"/>
      <c r="C176" s="110">
        <f ca="1">IF(TODAY()&gt;=$A176,SUMIFS(Tabla1[Avance_km],Tabla1[Fecha],"&lt;="&amp;EV!$A176,Tabla1[nombre_actividad],EV!C$1),NA())</f>
        <v>125.14200000000005</v>
      </c>
      <c r="D176" s="110">
        <f ca="1">IF(TODAY()&gt;=$A176,SUMIFS(Tabla1[Avance_km],Tabla1[Fecha],"&lt;="&amp;EV!$A176,Tabla1[nombre_actividad],EV!D$1),NA())</f>
        <v>99.906000000000006</v>
      </c>
      <c r="E176" s="110">
        <f ca="1">IF(TODAY()&gt;=$A176,SUMIFS(Tabla1[Avance_km],Tabla1[Fecha],"&lt;="&amp;EV!$A176,Tabla1[nombre_actividad],EV!E$1,Tabla1[Avance_km],"&gt;0"),NA())</f>
        <v>102.70700000000006</v>
      </c>
      <c r="F176" s="67">
        <f ca="1">IF(TODAY()&gt;=$A176,SUMIFS(Tabla1[Avance_Med],Tabla1[Fecha],"&lt;="&amp;EV!$A176,Tabla1[nombre_actividad],EV!F$1),NA())</f>
        <v>376</v>
      </c>
      <c r="G176" s="67"/>
      <c r="H176" s="110"/>
      <c r="I176" s="228">
        <f ca="1">+C176*Catalogo!$F$19+EV!D176*Catalogo!$F$14+EV!E176*Catalogo!$F$16+EV!F176*Catalogo!$F$18</f>
        <v>4876940.1315100007</v>
      </c>
      <c r="J176" s="228">
        <f ca="1">IF(TODAY()&gt;=$A176,SUMIFS(Tabla1[EV],Tabla1[Fecha],"&lt;="&amp;A176,Tabla1[EV],"&gt;0"),NA())</f>
        <v>6564365.1515100012</v>
      </c>
      <c r="L176"/>
      <c r="M176" s="225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:30" x14ac:dyDescent="0.25">
      <c r="A177" s="62">
        <f t="shared" si="4"/>
        <v>46137</v>
      </c>
      <c r="B177" s="62"/>
      <c r="C177" s="110">
        <f ca="1">IF(TODAY()&gt;=$A177,SUMIFS(Tabla1[Avance_km],Tabla1[Fecha],"&lt;="&amp;EV!$A177,Tabla1[nombre_actividad],EV!C$1),NA())</f>
        <v>125.14200000000005</v>
      </c>
      <c r="D177" s="110">
        <f ca="1">IF(TODAY()&gt;=$A177,SUMIFS(Tabla1[Avance_km],Tabla1[Fecha],"&lt;="&amp;EV!$A177,Tabla1[nombre_actividad],EV!D$1),NA())</f>
        <v>99.906000000000006</v>
      </c>
      <c r="E177" s="110">
        <f ca="1">IF(TODAY()&gt;=$A177,SUMIFS(Tabla1[Avance_km],Tabla1[Fecha],"&lt;="&amp;EV!$A177,Tabla1[nombre_actividad],EV!E$1,Tabla1[Avance_km],"&gt;0"),NA())</f>
        <v>103.08300000000007</v>
      </c>
      <c r="F177" s="67">
        <f ca="1">IF(TODAY()&gt;=$A177,SUMIFS(Tabla1[Avance_Med],Tabla1[Fecha],"&lt;="&amp;EV!$A177,Tabla1[nombre_actividad],EV!F$1),NA())</f>
        <v>376</v>
      </c>
      <c r="G177" s="67"/>
      <c r="H177" s="110"/>
      <c r="I177" s="228">
        <f ca="1">+C177*Catalogo!$F$19+EV!D177*Catalogo!$F$14+EV!E177*Catalogo!$F$16+EV!F177*Catalogo!$F$18</f>
        <v>4882037.0483900011</v>
      </c>
      <c r="J177" s="228">
        <f ca="1">IF(TODAY()&gt;=$A177,SUMIFS(Tabla1[EV],Tabla1[Fecha],"&lt;="&amp;A177,Tabla1[EV],"&gt;0"),NA())</f>
        <v>6569462.0683900015</v>
      </c>
      <c r="L177"/>
      <c r="M177" s="225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:30" x14ac:dyDescent="0.25">
      <c r="A178" s="62">
        <f t="shared" si="4"/>
        <v>46138</v>
      </c>
      <c r="B178" s="62"/>
      <c r="C178" s="110">
        <f ca="1">IF(TODAY()&gt;=$A178,SUMIFS(Tabla1[Avance_km],Tabla1[Fecha],"&lt;="&amp;EV!$A178,Tabla1[nombre_actividad],EV!C$1),NA())</f>
        <v>125.14200000000005</v>
      </c>
      <c r="D178" s="110">
        <f ca="1">IF(TODAY()&gt;=$A178,SUMIFS(Tabla1[Avance_km],Tabla1[Fecha],"&lt;="&amp;EV!$A178,Tabla1[nombre_actividad],EV!D$1),NA())</f>
        <v>99.906000000000006</v>
      </c>
      <c r="E178" s="110">
        <f ca="1">IF(TODAY()&gt;=$A178,SUMIFS(Tabla1[Avance_km],Tabla1[Fecha],"&lt;="&amp;EV!$A178,Tabla1[nombre_actividad],EV!E$1,Tabla1[Avance_km],"&gt;0"),NA())</f>
        <v>103.08300000000007</v>
      </c>
      <c r="F178" s="67">
        <f ca="1">IF(TODAY()&gt;=$A178,SUMIFS(Tabla1[Avance_Med],Tabla1[Fecha],"&lt;="&amp;EV!$A178,Tabla1[nombre_actividad],EV!F$1),NA())</f>
        <v>376</v>
      </c>
      <c r="G178" s="67"/>
      <c r="H178" s="110"/>
      <c r="I178" s="228">
        <f ca="1">+C178*Catalogo!$F$19+EV!D178*Catalogo!$F$14+EV!E178*Catalogo!$F$16+EV!F178*Catalogo!$F$18</f>
        <v>4882037.0483900011</v>
      </c>
      <c r="J178" s="228">
        <f ca="1">IF(TODAY()&gt;=$A178,SUMIFS(Tabla1[EV],Tabla1[Fecha],"&lt;="&amp;A178,Tabla1[EV],"&gt;0"),NA())</f>
        <v>6569462.0683900015</v>
      </c>
      <c r="L178"/>
      <c r="M178" s="225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:30" x14ac:dyDescent="0.25">
      <c r="A179" s="62">
        <f t="shared" si="4"/>
        <v>46139</v>
      </c>
      <c r="B179" s="62"/>
      <c r="C179" s="110">
        <f ca="1">IF(TODAY()&gt;=$A179,SUMIFS(Tabla1[Avance_km],Tabla1[Fecha],"&lt;="&amp;EV!$A179,Tabla1[nombre_actividad],EV!C$1),NA())</f>
        <v>125.14200000000005</v>
      </c>
      <c r="D179" s="110">
        <f ca="1">IF(TODAY()&gt;=$A179,SUMIFS(Tabla1[Avance_km],Tabla1[Fecha],"&lt;="&amp;EV!$A179,Tabla1[nombre_actividad],EV!D$1),NA())</f>
        <v>99.906000000000006</v>
      </c>
      <c r="E179" s="110">
        <f ca="1">IF(TODAY()&gt;=$A179,SUMIFS(Tabla1[Avance_km],Tabla1[Fecha],"&lt;="&amp;EV!$A179,Tabla1[nombre_actividad],EV!E$1,Tabla1[Avance_km],"&gt;0"),NA())</f>
        <v>104.24800000000008</v>
      </c>
      <c r="F179" s="67">
        <f ca="1">IF(TODAY()&gt;=$A179,SUMIFS(Tabla1[Avance_Med],Tabla1[Fecha],"&lt;="&amp;EV!$A179,Tabla1[nombre_actividad],EV!F$1),NA())</f>
        <v>376</v>
      </c>
      <c r="G179" s="67"/>
      <c r="H179" s="110"/>
      <c r="I179" s="228">
        <f ca="1">+C179*Catalogo!$F$19+EV!D179*Catalogo!$F$14+EV!E179*Catalogo!$F$16+EV!F179*Catalogo!$F$18</f>
        <v>4897829.3573400006</v>
      </c>
      <c r="J179" s="228">
        <f ca="1">IF(TODAY()&gt;=$A179,SUMIFS(Tabla1[EV],Tabla1[Fecha],"&lt;="&amp;A179,Tabla1[EV],"&gt;0"),NA())</f>
        <v>6585254.377340002</v>
      </c>
      <c r="L179"/>
      <c r="M179" s="225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:30" x14ac:dyDescent="0.25">
      <c r="A180" s="62">
        <f t="shared" si="4"/>
        <v>46140</v>
      </c>
      <c r="B180" s="62"/>
      <c r="C180" s="110">
        <f ca="1">IF(TODAY()&gt;=$A180,SUMIFS(Tabla1[Avance_km],Tabla1[Fecha],"&lt;="&amp;EV!$A180,Tabla1[nombre_actividad],EV!C$1),NA())</f>
        <v>125.14200000000005</v>
      </c>
      <c r="D180" s="110">
        <f ca="1">IF(TODAY()&gt;=$A180,SUMIFS(Tabla1[Avance_km],Tabla1[Fecha],"&lt;="&amp;EV!$A180,Tabla1[nombre_actividad],EV!D$1),NA())</f>
        <v>99.906000000000006</v>
      </c>
      <c r="E180" s="110">
        <f ca="1">IF(TODAY()&gt;=$A180,SUMIFS(Tabla1[Avance_km],Tabla1[Fecha],"&lt;="&amp;EV!$A180,Tabla1[nombre_actividad],EV!E$1,Tabla1[Avance_km],"&gt;0"),NA())</f>
        <v>105.38000000000008</v>
      </c>
      <c r="F180" s="67">
        <f ca="1">IF(TODAY()&gt;=$A180,SUMIFS(Tabla1[Avance_Med],Tabla1[Fecha],"&lt;="&amp;EV!$A180,Tabla1[nombre_actividad],EV!F$1),NA())</f>
        <v>376</v>
      </c>
      <c r="G180" s="67"/>
      <c r="H180" s="110"/>
      <c r="I180" s="228">
        <f ca="1">+C180*Catalogo!$F$19+EV!D180*Catalogo!$F$14+EV!E180*Catalogo!$F$16+EV!F180*Catalogo!$F$18</f>
        <v>4913174.3305000011</v>
      </c>
      <c r="J180" s="228">
        <f ca="1">IF(TODAY()&gt;=$A180,SUMIFS(Tabla1[EV],Tabla1[Fecha],"&lt;="&amp;A180,Tabla1[EV],"&gt;0"),NA())</f>
        <v>6600599.3505000016</v>
      </c>
      <c r="L180"/>
      <c r="M180" s="225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:30" x14ac:dyDescent="0.25">
      <c r="A181" s="62">
        <f t="shared" si="4"/>
        <v>46141</v>
      </c>
      <c r="B181" s="62"/>
      <c r="C181" s="110">
        <f ca="1">IF(TODAY()&gt;=$A181,SUMIFS(Tabla1[Avance_km],Tabla1[Fecha],"&lt;="&amp;EV!$A181,Tabla1[nombre_actividad],EV!C$1),NA())</f>
        <v>125.14200000000005</v>
      </c>
      <c r="D181" s="110">
        <f ca="1">IF(TODAY()&gt;=$A181,SUMIFS(Tabla1[Avance_km],Tabla1[Fecha],"&lt;="&amp;EV!$A181,Tabla1[nombre_actividad],EV!D$1),NA())</f>
        <v>99.906000000000006</v>
      </c>
      <c r="E181" s="110">
        <f ca="1">IF(TODAY()&gt;=$A181,SUMIFS(Tabla1[Avance_km],Tabla1[Fecha],"&lt;="&amp;EV!$A181,Tabla1[nombre_actividad],EV!E$1,Tabla1[Avance_km],"&gt;0"),NA())</f>
        <v>105.38000000000008</v>
      </c>
      <c r="F181" s="67">
        <f ca="1">IF(TODAY()&gt;=$A181,SUMIFS(Tabla1[Avance_Med],Tabla1[Fecha],"&lt;="&amp;EV!$A181,Tabla1[nombre_actividad],EV!F$1),NA())</f>
        <v>376</v>
      </c>
      <c r="G181" s="67"/>
      <c r="H181" s="110"/>
      <c r="I181" s="228">
        <f ca="1">+C181*Catalogo!$F$19+EV!D181*Catalogo!$F$14+EV!E181*Catalogo!$F$16+EV!F181*Catalogo!$F$18</f>
        <v>4913174.3305000011</v>
      </c>
      <c r="J181" s="228">
        <f ca="1">IF(TODAY()&gt;=$A181,SUMIFS(Tabla1[EV],Tabla1[Fecha],"&lt;="&amp;A181,Tabla1[EV],"&gt;0"),NA())</f>
        <v>6600599.3505000016</v>
      </c>
      <c r="L181"/>
      <c r="M181" s="225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:30" x14ac:dyDescent="0.25">
      <c r="A182" s="62">
        <f t="shared" si="4"/>
        <v>46142</v>
      </c>
      <c r="B182" s="62"/>
      <c r="C182" s="110">
        <f ca="1">IF(TODAY()&gt;=$A182,SUMIFS(Tabla1[Avance_km],Tabla1[Fecha],"&lt;="&amp;EV!$A182,Tabla1[nombre_actividad],EV!C$1),NA())</f>
        <v>125.14200000000005</v>
      </c>
      <c r="D182" s="110">
        <f ca="1">IF(TODAY()&gt;=$A182,SUMIFS(Tabla1[Avance_km],Tabla1[Fecha],"&lt;="&amp;EV!$A182,Tabla1[nombre_actividad],EV!D$1),NA())</f>
        <v>99.906000000000006</v>
      </c>
      <c r="E182" s="110">
        <f ca="1">IF(TODAY()&gt;=$A182,SUMIFS(Tabla1[Avance_km],Tabla1[Fecha],"&lt;="&amp;EV!$A182,Tabla1[nombre_actividad],EV!E$1,Tabla1[Avance_km],"&gt;0"),NA())</f>
        <v>105.86100000000008</v>
      </c>
      <c r="F182" s="67">
        <f ca="1">IF(TODAY()&gt;=$A182,SUMIFS(Tabla1[Avance_Med],Tabla1[Fecha],"&lt;="&amp;EV!$A182,Tabla1[nombre_actividad],EV!F$1),NA())</f>
        <v>376</v>
      </c>
      <c r="G182" s="67"/>
      <c r="H182" s="110"/>
      <c r="I182" s="228">
        <f ca="1">+C182*Catalogo!$F$19+EV!D182*Catalogo!$F$14+EV!E182*Catalogo!$F$16+EV!F182*Catalogo!$F$18</f>
        <v>4919694.5885300012</v>
      </c>
      <c r="J182" s="228">
        <f ca="1">IF(TODAY()&gt;=$A182,SUMIFS(Tabla1[EV],Tabla1[Fecha],"&lt;="&amp;A182,Tabla1[EV],"&gt;0"),NA())</f>
        <v>6607119.6085300017</v>
      </c>
      <c r="L182"/>
      <c r="M182" s="225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:30" x14ac:dyDescent="0.25">
      <c r="A183" s="62">
        <f t="shared" si="4"/>
        <v>46143</v>
      </c>
      <c r="B183" s="62"/>
      <c r="C183" s="110">
        <f ca="1">IF(TODAY()&gt;=$A183,SUMIFS(Tabla1[Avance_km],Tabla1[Fecha],"&lt;="&amp;EV!$A183,Tabla1[nombre_actividad],EV!C$1),NA())</f>
        <v>125.14200000000005</v>
      </c>
      <c r="D183" s="110">
        <f ca="1">IF(TODAY()&gt;=$A183,SUMIFS(Tabla1[Avance_km],Tabla1[Fecha],"&lt;="&amp;EV!$A183,Tabla1[nombre_actividad],EV!D$1),NA())</f>
        <v>99.906000000000006</v>
      </c>
      <c r="E183" s="110">
        <f ca="1">IF(TODAY()&gt;=$A183,SUMIFS(Tabla1[Avance_km],Tabla1[Fecha],"&lt;="&amp;EV!$A183,Tabla1[nombre_actividad],EV!E$1,Tabla1[Avance_km],"&gt;0"),NA())</f>
        <v>107.28200000000008</v>
      </c>
      <c r="F183" s="67">
        <f ca="1">IF(TODAY()&gt;=$A183,SUMIFS(Tabla1[Avance_Med],Tabla1[Fecha],"&lt;="&amp;EV!$A183,Tabla1[nombre_actividad],EV!F$1),NA())</f>
        <v>376</v>
      </c>
      <c r="G183" s="67"/>
      <c r="H183" s="110"/>
      <c r="I183" s="228">
        <f ca="1">+C183*Catalogo!$F$19+EV!D183*Catalogo!$F$14+EV!E183*Catalogo!$F$16+EV!F183*Catalogo!$F$18</f>
        <v>4938957.1387600014</v>
      </c>
      <c r="J183" s="228">
        <f ca="1">IF(TODAY()&gt;=$A183,SUMIFS(Tabla1[EV],Tabla1[Fecha],"&lt;="&amp;A183,Tabla1[EV],"&gt;0"),NA())</f>
        <v>6626382.1587600019</v>
      </c>
      <c r="L183"/>
      <c r="M183" s="225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:30" x14ac:dyDescent="0.25">
      <c r="A184" s="62">
        <f t="shared" si="4"/>
        <v>46144</v>
      </c>
      <c r="B184" s="62"/>
      <c r="C184" s="110">
        <f ca="1">IF(TODAY()&gt;=$A184,SUMIFS(Tabla1[Avance_km],Tabla1[Fecha],"&lt;="&amp;EV!$A184,Tabla1[nombre_actividad],EV!C$1),NA())</f>
        <v>125.14200000000005</v>
      </c>
      <c r="D184" s="110">
        <f ca="1">IF(TODAY()&gt;=$A184,SUMIFS(Tabla1[Avance_km],Tabla1[Fecha],"&lt;="&amp;EV!$A184,Tabla1[nombre_actividad],EV!D$1),NA())</f>
        <v>99.906000000000006</v>
      </c>
      <c r="E184" s="110">
        <f ca="1">IF(TODAY()&gt;=$A184,SUMIFS(Tabla1[Avance_km],Tabla1[Fecha],"&lt;="&amp;EV!$A184,Tabla1[nombre_actividad],EV!E$1,Tabla1[Avance_km],"&gt;0"),NA())</f>
        <v>107.28200000000008</v>
      </c>
      <c r="F184" s="67">
        <f ca="1">IF(TODAY()&gt;=$A184,SUMIFS(Tabla1[Avance_Med],Tabla1[Fecha],"&lt;="&amp;EV!$A184,Tabla1[nombre_actividad],EV!F$1),NA())</f>
        <v>376</v>
      </c>
      <c r="G184" s="67"/>
      <c r="H184" s="110"/>
      <c r="I184" s="228">
        <f ca="1">+C184*Catalogo!$F$19+EV!D184*Catalogo!$F$14+EV!E184*Catalogo!$F$16+EV!F184*Catalogo!$F$18</f>
        <v>4938957.1387600014</v>
      </c>
      <c r="J184" s="228">
        <f ca="1">IF(TODAY()&gt;=$A184,SUMIFS(Tabla1[EV],Tabla1[Fecha],"&lt;="&amp;A184,Tabla1[EV],"&gt;0"),NA())</f>
        <v>6626382.1587600019</v>
      </c>
      <c r="L184"/>
      <c r="M184" s="225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:30" x14ac:dyDescent="0.25">
      <c r="A185" s="62">
        <f t="shared" si="4"/>
        <v>46145</v>
      </c>
      <c r="B185" s="62"/>
      <c r="C185" s="110">
        <f ca="1">IF(TODAY()&gt;=$A185,SUMIFS(Tabla1[Avance_km],Tabla1[Fecha],"&lt;="&amp;EV!$A185,Tabla1[nombre_actividad],EV!C$1),NA())</f>
        <v>125.14200000000005</v>
      </c>
      <c r="D185" s="110">
        <f ca="1">IF(TODAY()&gt;=$A185,SUMIFS(Tabla1[Avance_km],Tabla1[Fecha],"&lt;="&amp;EV!$A185,Tabla1[nombre_actividad],EV!D$1),NA())</f>
        <v>99.906000000000006</v>
      </c>
      <c r="E185" s="110">
        <f ca="1">IF(TODAY()&gt;=$A185,SUMIFS(Tabla1[Avance_km],Tabla1[Fecha],"&lt;="&amp;EV!$A185,Tabla1[nombre_actividad],EV!E$1,Tabla1[Avance_km],"&gt;0"),NA())</f>
        <v>107.28200000000008</v>
      </c>
      <c r="F185" s="67">
        <f ca="1">IF(TODAY()&gt;=$A185,SUMIFS(Tabla1[Avance_Med],Tabla1[Fecha],"&lt;="&amp;EV!$A185,Tabla1[nombre_actividad],EV!F$1),NA())</f>
        <v>376</v>
      </c>
      <c r="G185" s="67"/>
      <c r="H185" s="110"/>
      <c r="I185" s="228">
        <f ca="1">+C185*Catalogo!$F$19+EV!D185*Catalogo!$F$14+EV!E185*Catalogo!$F$16+EV!F185*Catalogo!$F$18</f>
        <v>4938957.1387600014</v>
      </c>
      <c r="J185" s="228">
        <f ca="1">IF(TODAY()&gt;=$A185,SUMIFS(Tabla1[EV],Tabla1[Fecha],"&lt;="&amp;A185,Tabla1[EV],"&gt;0"),NA())</f>
        <v>6626382.1587600019</v>
      </c>
      <c r="L185"/>
      <c r="M185" s="22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:30" x14ac:dyDescent="0.25">
      <c r="A186" s="62">
        <f t="shared" si="4"/>
        <v>46146</v>
      </c>
      <c r="B186" s="62"/>
      <c r="C186" s="110">
        <f ca="1">IF(TODAY()&gt;=$A186,SUMIFS(Tabla1[Avance_km],Tabla1[Fecha],"&lt;="&amp;EV!$A186,Tabla1[nombre_actividad],EV!C$1),NA())</f>
        <v>125.14200000000005</v>
      </c>
      <c r="D186" s="110">
        <f ca="1">IF(TODAY()&gt;=$A186,SUMIFS(Tabla1[Avance_km],Tabla1[Fecha],"&lt;="&amp;EV!$A186,Tabla1[nombre_actividad],EV!D$1),NA())</f>
        <v>99.906000000000006</v>
      </c>
      <c r="E186" s="110">
        <f ca="1">IF(TODAY()&gt;=$A186,SUMIFS(Tabla1[Avance_km],Tabla1[Fecha],"&lt;="&amp;EV!$A186,Tabla1[nombre_actividad],EV!E$1,Tabla1[Avance_km],"&gt;0"),NA())</f>
        <v>108.92500000000008</v>
      </c>
      <c r="F186" s="67">
        <f ca="1">IF(TODAY()&gt;=$A186,SUMIFS(Tabla1[Avance_Med],Tabla1[Fecha],"&lt;="&amp;EV!$A186,Tabla1[nombre_actividad],EV!F$1),NA())</f>
        <v>376</v>
      </c>
      <c r="G186" s="67"/>
      <c r="H186" s="110"/>
      <c r="I186" s="228">
        <f ca="1">+C186*Catalogo!$F$19+EV!D186*Catalogo!$F$14+EV!E186*Catalogo!$F$16+EV!F186*Catalogo!$F$18</f>
        <v>4961229.0388500011</v>
      </c>
      <c r="J186" s="228">
        <f ca="1">IF(TODAY()&gt;=$A186,SUMIFS(Tabla1[EV],Tabla1[Fecha],"&lt;="&amp;A186,Tabla1[EV],"&gt;0"),NA())</f>
        <v>6648654.0588500015</v>
      </c>
      <c r="L186"/>
      <c r="M186" s="225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:30" x14ac:dyDescent="0.25">
      <c r="A187" s="62">
        <f t="shared" si="4"/>
        <v>46147</v>
      </c>
      <c r="B187" s="62"/>
      <c r="C187" s="110">
        <f ca="1">IF(TODAY()&gt;=$A187,SUMIFS(Tabla1[Avance_km],Tabla1[Fecha],"&lt;="&amp;EV!$A187,Tabla1[nombre_actividad],EV!C$1),NA())</f>
        <v>125.14200000000005</v>
      </c>
      <c r="D187" s="110">
        <f ca="1">IF(TODAY()&gt;=$A187,SUMIFS(Tabla1[Avance_km],Tabla1[Fecha],"&lt;="&amp;EV!$A187,Tabla1[nombre_actividad],EV!D$1),NA())</f>
        <v>99.906000000000006</v>
      </c>
      <c r="E187" s="110">
        <f ca="1">IF(TODAY()&gt;=$A187,SUMIFS(Tabla1[Avance_km],Tabla1[Fecha],"&lt;="&amp;EV!$A187,Tabla1[nombre_actividad],EV!E$1,Tabla1[Avance_km],"&gt;0"),NA())</f>
        <v>110.05700000000009</v>
      </c>
      <c r="F187" s="67">
        <f ca="1">IF(TODAY()&gt;=$A187,SUMIFS(Tabla1[Avance_Med],Tabla1[Fecha],"&lt;="&amp;EV!$A187,Tabla1[nombre_actividad],EV!F$1),NA())</f>
        <v>376</v>
      </c>
      <c r="G187" s="67"/>
      <c r="H187" s="110"/>
      <c r="I187" s="228">
        <f ca="1">+C187*Catalogo!$F$19+EV!D187*Catalogo!$F$14+EV!E187*Catalogo!$F$16+EV!F187*Catalogo!$F$18</f>
        <v>4976574.0120100006</v>
      </c>
      <c r="J187" s="228">
        <f ca="1">IF(TODAY()&gt;=$A187,SUMIFS(Tabla1[EV],Tabla1[Fecha],"&lt;="&amp;A187,Tabla1[EV],"&gt;0"),NA())</f>
        <v>6663999.0320100011</v>
      </c>
      <c r="L187"/>
      <c r="M187" s="225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:30" x14ac:dyDescent="0.25">
      <c r="A188" s="62">
        <f t="shared" si="4"/>
        <v>46148</v>
      </c>
      <c r="B188" s="62"/>
      <c r="C188" s="110">
        <f ca="1">IF(TODAY()&gt;=$A188,SUMIFS(Tabla1[Avance_km],Tabla1[Fecha],"&lt;="&amp;EV!$A188,Tabla1[nombre_actividad],EV!C$1),NA())</f>
        <v>125.14200000000005</v>
      </c>
      <c r="D188" s="110">
        <f ca="1">IF(TODAY()&gt;=$A188,SUMIFS(Tabla1[Avance_km],Tabla1[Fecha],"&lt;="&amp;EV!$A188,Tabla1[nombre_actividad],EV!D$1),NA())</f>
        <v>99.906000000000006</v>
      </c>
      <c r="E188" s="110">
        <f ca="1">IF(TODAY()&gt;=$A188,SUMIFS(Tabla1[Avance_km],Tabla1[Fecha],"&lt;="&amp;EV!$A188,Tabla1[nombre_actividad],EV!E$1,Tabla1[Avance_km],"&gt;0"),NA())</f>
        <v>111.85300000000009</v>
      </c>
      <c r="F188" s="67">
        <f ca="1">IF(TODAY()&gt;=$A188,SUMIFS(Tabla1[Avance_Med],Tabla1[Fecha],"&lt;="&amp;EV!$A188,Tabla1[nombre_actividad],EV!F$1),NA())</f>
        <v>376</v>
      </c>
      <c r="G188" s="67"/>
      <c r="H188" s="110"/>
      <c r="I188" s="228">
        <f ca="1">+C188*Catalogo!$F$19+EV!D188*Catalogo!$F$14+EV!E188*Catalogo!$F$16+EV!F188*Catalogo!$F$18</f>
        <v>5000919.9234900009</v>
      </c>
      <c r="J188" s="228">
        <f ca="1">IF(TODAY()&gt;=$A188,SUMIFS(Tabla1[EV],Tabla1[Fecha],"&lt;="&amp;A188,Tabla1[EV],"&gt;0"),NA())</f>
        <v>6688344.9434900014</v>
      </c>
      <c r="L188"/>
      <c r="M188" s="225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:30" x14ac:dyDescent="0.25">
      <c r="A189" s="62">
        <f t="shared" si="4"/>
        <v>46149</v>
      </c>
      <c r="B189" s="62"/>
      <c r="C189" s="110">
        <f ca="1">IF(TODAY()&gt;=$A189,SUMIFS(Tabla1[Avance_km],Tabla1[Fecha],"&lt;="&amp;EV!$A189,Tabla1[nombre_actividad],EV!C$1),NA())</f>
        <v>125.14200000000005</v>
      </c>
      <c r="D189" s="110">
        <f ca="1">IF(TODAY()&gt;=$A189,SUMIFS(Tabla1[Avance_km],Tabla1[Fecha],"&lt;="&amp;EV!$A189,Tabla1[nombre_actividad],EV!D$1),NA())</f>
        <v>99.906000000000006</v>
      </c>
      <c r="E189" s="110">
        <f ca="1">IF(TODAY()&gt;=$A189,SUMIFS(Tabla1[Avance_km],Tabla1[Fecha],"&lt;="&amp;EV!$A189,Tabla1[nombre_actividad],EV!E$1,Tabla1[Avance_km],"&gt;0"),NA())</f>
        <v>114.0470000000001</v>
      </c>
      <c r="F189" s="67">
        <f ca="1">IF(TODAY()&gt;=$A189,SUMIFS(Tabla1[Avance_Med],Tabla1[Fecha],"&lt;="&amp;EV!$A189,Tabla1[nombre_actividad],EV!F$1),NA())</f>
        <v>376</v>
      </c>
      <c r="G189" s="67"/>
      <c r="H189" s="110"/>
      <c r="I189" s="228">
        <f ca="1">+C189*Catalogo!$F$19+EV!D189*Catalogo!$F$14+EV!E189*Catalogo!$F$16+EV!F189*Catalogo!$F$18</f>
        <v>5030660.9757100008</v>
      </c>
      <c r="J189" s="228">
        <f ca="1">IF(TODAY()&gt;=$A189,SUMIFS(Tabla1[EV],Tabla1[Fecha],"&lt;="&amp;A189,Tabla1[EV],"&gt;0"),NA())</f>
        <v>6718085.9957100013</v>
      </c>
      <c r="L189"/>
      <c r="M189" s="225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:30" x14ac:dyDescent="0.25">
      <c r="A190" s="62">
        <f t="shared" si="4"/>
        <v>46150</v>
      </c>
      <c r="B190" s="62"/>
      <c r="C190" s="110">
        <f ca="1">IF(TODAY()&gt;=$A190,SUMIFS(Tabla1[Avance_km],Tabla1[Fecha],"&lt;="&amp;EV!$A190,Tabla1[nombre_actividad],EV!C$1),NA())</f>
        <v>125.14200000000005</v>
      </c>
      <c r="D190" s="110">
        <f ca="1">IF(TODAY()&gt;=$A190,SUMIFS(Tabla1[Avance_km],Tabla1[Fecha],"&lt;="&amp;EV!$A190,Tabla1[nombre_actividad],EV!D$1),NA())</f>
        <v>99.906000000000006</v>
      </c>
      <c r="E190" s="110">
        <f ca="1">IF(TODAY()&gt;=$A190,SUMIFS(Tabla1[Avance_km],Tabla1[Fecha],"&lt;="&amp;EV!$A190,Tabla1[nombre_actividad],EV!E$1,Tabla1[Avance_km],"&gt;0"),NA())</f>
        <v>116.7110000000001</v>
      </c>
      <c r="F190" s="67">
        <f ca="1">IF(TODAY()&gt;=$A190,SUMIFS(Tabla1[Avance_Med],Tabla1[Fecha],"&lt;="&amp;EV!$A190,Tabla1[nombre_actividad],EV!F$1),NA())</f>
        <v>376</v>
      </c>
      <c r="G190" s="67"/>
      <c r="H190" s="110"/>
      <c r="I190" s="228">
        <f ca="1">+C190*Catalogo!$F$19+EV!D190*Catalogo!$F$14+EV!E190*Catalogo!$F$16+EV!F190*Catalogo!$F$18</f>
        <v>5066773.1740300013</v>
      </c>
      <c r="J190" s="228">
        <f ca="1">IF(TODAY()&gt;=$A190,SUMIFS(Tabla1[EV],Tabla1[Fecha],"&lt;="&amp;A190,Tabla1[EV],"&gt;0"),NA())</f>
        <v>6754198.1940300008</v>
      </c>
      <c r="L190"/>
      <c r="M190" s="225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</row>
    <row r="191" spans="1:30" x14ac:dyDescent="0.25">
      <c r="A191" s="62">
        <f t="shared" si="4"/>
        <v>46151</v>
      </c>
      <c r="B191" s="62"/>
      <c r="C191" s="110">
        <f ca="1">IF(TODAY()&gt;=$A191,SUMIFS(Tabla1[Avance_km],Tabla1[Fecha],"&lt;="&amp;EV!$A191,Tabla1[nombre_actividad],EV!C$1),NA())</f>
        <v>125.14200000000005</v>
      </c>
      <c r="D191" s="110">
        <f ca="1">IF(TODAY()&gt;=$A191,SUMIFS(Tabla1[Avance_km],Tabla1[Fecha],"&lt;="&amp;EV!$A191,Tabla1[nombre_actividad],EV!D$1),NA())</f>
        <v>99.906000000000006</v>
      </c>
      <c r="E191" s="110">
        <f ca="1">IF(TODAY()&gt;=$A191,SUMIFS(Tabla1[Avance_km],Tabla1[Fecha],"&lt;="&amp;EV!$A191,Tabla1[nombre_actividad],EV!E$1,Tabla1[Avance_km],"&gt;0"),NA())</f>
        <v>117.1140000000001</v>
      </c>
      <c r="F191" s="67">
        <f ca="1">IF(TODAY()&gt;=$A191,SUMIFS(Tabla1[Avance_Med],Tabla1[Fecha],"&lt;="&amp;EV!$A191,Tabla1[nombre_actividad],EV!F$1),NA())</f>
        <v>376</v>
      </c>
      <c r="G191" s="67"/>
      <c r="H191" s="110"/>
      <c r="I191" s="228">
        <f ca="1">+C191*Catalogo!$F$19+EV!D191*Catalogo!$F$14+EV!E191*Catalogo!$F$16+EV!F191*Catalogo!$F$18</f>
        <v>5072236.0929200016</v>
      </c>
      <c r="J191" s="228">
        <f ca="1">IF(TODAY()&gt;=$A191,SUMIFS(Tabla1[EV],Tabla1[Fecha],"&lt;="&amp;A191,Tabla1[EV],"&gt;0"),NA())</f>
        <v>6759661.1129200011</v>
      </c>
      <c r="L191"/>
      <c r="M191" s="225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</row>
    <row r="192" spans="1:30" x14ac:dyDescent="0.25">
      <c r="A192" s="62">
        <f t="shared" si="4"/>
        <v>46152</v>
      </c>
      <c r="B192" s="62"/>
      <c r="C192" s="110">
        <f ca="1">IF(TODAY()&gt;=$A192,SUMIFS(Tabla1[Avance_km],Tabla1[Fecha],"&lt;="&amp;EV!$A192,Tabla1[nombre_actividad],EV!C$1),NA())</f>
        <v>125.14200000000005</v>
      </c>
      <c r="D192" s="110">
        <f ca="1">IF(TODAY()&gt;=$A192,SUMIFS(Tabla1[Avance_km],Tabla1[Fecha],"&lt;="&amp;EV!$A192,Tabla1[nombre_actividad],EV!D$1),NA())</f>
        <v>99.906000000000006</v>
      </c>
      <c r="E192" s="110">
        <f ca="1">IF(TODAY()&gt;=$A192,SUMIFS(Tabla1[Avance_km],Tabla1[Fecha],"&lt;="&amp;EV!$A192,Tabla1[nombre_actividad],EV!E$1,Tabla1[Avance_km],"&gt;0"),NA())</f>
        <v>117.1140000000001</v>
      </c>
      <c r="F192" s="67">
        <f ca="1">IF(TODAY()&gt;=$A192,SUMIFS(Tabla1[Avance_Med],Tabla1[Fecha],"&lt;="&amp;EV!$A192,Tabla1[nombre_actividad],EV!F$1),NA())</f>
        <v>376</v>
      </c>
      <c r="G192" s="67"/>
      <c r="H192" s="110"/>
      <c r="I192" s="228">
        <f ca="1">+C192*Catalogo!$F$19+EV!D192*Catalogo!$F$14+EV!E192*Catalogo!$F$16+EV!F192*Catalogo!$F$18</f>
        <v>5072236.0929200016</v>
      </c>
      <c r="J192" s="228">
        <f ca="1">IF(TODAY()&gt;=$A192,SUMIFS(Tabla1[EV],Tabla1[Fecha],"&lt;="&amp;A192,Tabla1[EV],"&gt;0"),NA())</f>
        <v>6759661.1129200011</v>
      </c>
      <c r="L192"/>
      <c r="M192" s="225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</row>
    <row r="193" spans="1:30" x14ac:dyDescent="0.25">
      <c r="A193" s="62">
        <f t="shared" si="4"/>
        <v>46153</v>
      </c>
      <c r="B193" s="62"/>
      <c r="C193" s="110">
        <f ca="1">IF(TODAY()&gt;=$A193,SUMIFS(Tabla1[Avance_km],Tabla1[Fecha],"&lt;="&amp;EV!$A193,Tabla1[nombre_actividad],EV!C$1),NA())</f>
        <v>125.14200000000005</v>
      </c>
      <c r="D193" s="110">
        <f ca="1">IF(TODAY()&gt;=$A193,SUMIFS(Tabla1[Avance_km],Tabla1[Fecha],"&lt;="&amp;EV!$A193,Tabla1[nombre_actividad],EV!D$1),NA())</f>
        <v>99.906000000000006</v>
      </c>
      <c r="E193" s="110">
        <f ca="1">IF(TODAY()&gt;=$A193,SUMIFS(Tabla1[Avance_km],Tabla1[Fecha],"&lt;="&amp;EV!$A193,Tabla1[nombre_actividad],EV!E$1,Tabla1[Avance_km],"&gt;0"),NA())</f>
        <v>118.34400000000011</v>
      </c>
      <c r="F193" s="67">
        <f ca="1">IF(TODAY()&gt;=$A193,SUMIFS(Tabla1[Avance_Med],Tabla1[Fecha],"&lt;="&amp;EV!$A193,Tabla1[nombre_actividad],EV!F$1),NA())</f>
        <v>376</v>
      </c>
      <c r="G193" s="67"/>
      <c r="H193" s="110"/>
      <c r="I193" s="228">
        <f ca="1">+C193*Catalogo!$F$19+EV!D193*Catalogo!$F$14+EV!E193*Catalogo!$F$16+EV!F193*Catalogo!$F$18</f>
        <v>5088909.5178200016</v>
      </c>
      <c r="J193" s="228">
        <f ca="1">IF(TODAY()&gt;=$A193,SUMIFS(Tabla1[EV],Tabla1[Fecha],"&lt;="&amp;A193,Tabla1[EV],"&gt;0"),NA())</f>
        <v>6776334.5378200011</v>
      </c>
      <c r="L193"/>
      <c r="M193" s="225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</row>
    <row r="194" spans="1:30" x14ac:dyDescent="0.25">
      <c r="A194" s="62">
        <f t="shared" si="4"/>
        <v>46154</v>
      </c>
      <c r="B194" s="62"/>
      <c r="C194" s="110">
        <f ca="1">IF(TODAY()&gt;=$A194,SUMIFS(Tabla1[Avance_km],Tabla1[Fecha],"&lt;="&amp;EV!$A194,Tabla1[nombre_actividad],EV!C$1),NA())</f>
        <v>125.14200000000005</v>
      </c>
      <c r="D194" s="110">
        <f ca="1">IF(TODAY()&gt;=$A194,SUMIFS(Tabla1[Avance_km],Tabla1[Fecha],"&lt;="&amp;EV!$A194,Tabla1[nombre_actividad],EV!D$1),NA())</f>
        <v>99.906000000000006</v>
      </c>
      <c r="E194" s="110">
        <f ca="1">IF(TODAY()&gt;=$A194,SUMIFS(Tabla1[Avance_km],Tabla1[Fecha],"&lt;="&amp;EV!$A194,Tabla1[nombre_actividad],EV!E$1,Tabla1[Avance_km],"&gt;0"),NA())</f>
        <v>119.10600000000011</v>
      </c>
      <c r="F194" s="67">
        <f ca="1">IF(TODAY()&gt;=$A194,SUMIFS(Tabla1[Avance_Med],Tabla1[Fecha],"&lt;="&amp;EV!$A194,Tabla1[nombre_actividad],EV!F$1),NA())</f>
        <v>376</v>
      </c>
      <c r="G194" s="67"/>
      <c r="H194" s="110"/>
      <c r="I194" s="228">
        <f ca="1">+C194*Catalogo!$F$19+EV!D194*Catalogo!$F$14+EV!E194*Catalogo!$F$16+EV!F194*Catalogo!$F$18</f>
        <v>5099238.9078800017</v>
      </c>
      <c r="J194" s="228">
        <f ca="1">IF(TODAY()&gt;=$A194,SUMIFS(Tabla1[EV],Tabla1[Fecha],"&lt;="&amp;A194,Tabla1[EV],"&gt;0"),NA())</f>
        <v>6786663.9278800013</v>
      </c>
      <c r="L194"/>
      <c r="M194" s="225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</row>
    <row r="195" spans="1:30" x14ac:dyDescent="0.25">
      <c r="A195" s="62">
        <f t="shared" si="4"/>
        <v>46155</v>
      </c>
      <c r="B195" s="62"/>
      <c r="C195" s="110">
        <f ca="1">IF(TODAY()&gt;=$A195,SUMIFS(Tabla1[Avance_km],Tabla1[Fecha],"&lt;="&amp;EV!$A195,Tabla1[nombre_actividad],EV!C$1),NA())</f>
        <v>125.14200000000005</v>
      </c>
      <c r="D195" s="110">
        <f ca="1">IF(TODAY()&gt;=$A195,SUMIFS(Tabla1[Avance_km],Tabla1[Fecha],"&lt;="&amp;EV!$A195,Tabla1[nombre_actividad],EV!D$1),NA())</f>
        <v>99.906000000000006</v>
      </c>
      <c r="E195" s="110">
        <f ca="1">IF(TODAY()&gt;=$A195,SUMIFS(Tabla1[Avance_km],Tabla1[Fecha],"&lt;="&amp;EV!$A195,Tabla1[nombre_actividad],EV!E$1,Tabla1[Avance_km],"&gt;0"),NA())</f>
        <v>120.45700000000011</v>
      </c>
      <c r="F195" s="67">
        <f ca="1">IF(TODAY()&gt;=$A195,SUMIFS(Tabla1[Avance_Med],Tabla1[Fecha],"&lt;="&amp;EV!$A195,Tabla1[nombre_actividad],EV!F$1),NA())</f>
        <v>376</v>
      </c>
      <c r="G195" s="67"/>
      <c r="H195" s="110"/>
      <c r="I195" s="228">
        <f ca="1">+C195*Catalogo!$F$19+EV!D195*Catalogo!$F$14+EV!E195*Catalogo!$F$16+EV!F195*Catalogo!$F$18</f>
        <v>5117552.5640100017</v>
      </c>
      <c r="J195" s="228">
        <f ca="1">IF(TODAY()&gt;=$A195,SUMIFS(Tabla1[EV],Tabla1[Fecha],"&lt;="&amp;A195,Tabla1[EV],"&gt;0"),NA())</f>
        <v>6804977.5840100013</v>
      </c>
      <c r="L195"/>
      <c r="M195" s="22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</row>
    <row r="196" spans="1:30" x14ac:dyDescent="0.25">
      <c r="A196" s="62">
        <f t="shared" si="4"/>
        <v>46156</v>
      </c>
      <c r="B196" s="62"/>
      <c r="C196" s="110">
        <f ca="1">IF(TODAY()&gt;=$A196,SUMIFS(Tabla1[Avance_km],Tabla1[Fecha],"&lt;="&amp;EV!$A196,Tabla1[nombre_actividad],EV!C$1),NA())</f>
        <v>125.14200000000005</v>
      </c>
      <c r="D196" s="110">
        <f ca="1">IF(TODAY()&gt;=$A196,SUMIFS(Tabla1[Avance_km],Tabla1[Fecha],"&lt;="&amp;EV!$A196,Tabla1[nombre_actividad],EV!D$1),NA())</f>
        <v>99.906000000000006</v>
      </c>
      <c r="E196" s="110">
        <f ca="1">IF(TODAY()&gt;=$A196,SUMIFS(Tabla1[Avance_km],Tabla1[Fecha],"&lt;="&amp;EV!$A196,Tabla1[nombre_actividad],EV!E$1,Tabla1[Avance_km],"&gt;0"),NA())</f>
        <v>121.46600000000011</v>
      </c>
      <c r="F196" s="67">
        <f ca="1">IF(TODAY()&gt;=$A196,SUMIFS(Tabla1[Avance_Med],Tabla1[Fecha],"&lt;="&amp;EV!$A196,Tabla1[nombre_actividad],EV!F$1),NA())</f>
        <v>376</v>
      </c>
      <c r="G196" s="67"/>
      <c r="H196" s="110"/>
      <c r="I196" s="228">
        <f ca="1">+C196*Catalogo!$F$19+EV!D196*Catalogo!$F$14+EV!E196*Catalogo!$F$16+EV!F196*Catalogo!$F$18</f>
        <v>5131230.1946800016</v>
      </c>
      <c r="J196" s="228">
        <f ca="1">IF(TODAY()&gt;=$A196,SUMIFS(Tabla1[EV],Tabla1[Fecha],"&lt;="&amp;A196,Tabla1[EV],"&gt;0"),NA())</f>
        <v>6818655.2146800011</v>
      </c>
      <c r="L196"/>
      <c r="M196" s="225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</row>
    <row r="197" spans="1:30" x14ac:dyDescent="0.25">
      <c r="A197" s="62">
        <f t="shared" ref="A197:A262" si="5">+A196+1</f>
        <v>46157</v>
      </c>
      <c r="B197" s="62"/>
      <c r="C197" s="110">
        <f ca="1">IF(TODAY()&gt;=$A197,SUMIFS(Tabla1[Avance_km],Tabla1[Fecha],"&lt;="&amp;EV!$A197,Tabla1[nombre_actividad],EV!C$1),NA())</f>
        <v>125.14200000000005</v>
      </c>
      <c r="D197" s="110">
        <f ca="1">IF(TODAY()&gt;=$A197,SUMIFS(Tabla1[Avance_km],Tabla1[Fecha],"&lt;="&amp;EV!$A197,Tabla1[nombre_actividad],EV!D$1),NA())</f>
        <v>102.316</v>
      </c>
      <c r="E197" s="110">
        <f ca="1">IF(TODAY()&gt;=$A197,SUMIFS(Tabla1[Avance_km],Tabla1[Fecha],"&lt;="&amp;EV!$A197,Tabla1[nombre_actividad],EV!E$1,Tabla1[Avance_km],"&gt;0"),NA())</f>
        <v>121.46600000000011</v>
      </c>
      <c r="F197" s="67">
        <f ca="1">IF(TODAY()&gt;=$A197,SUMIFS(Tabla1[Avance_Med],Tabla1[Fecha],"&lt;="&amp;EV!$A197,Tabla1[nombre_actividad],EV!F$1),NA())</f>
        <v>376</v>
      </c>
      <c r="G197" s="67"/>
      <c r="H197" s="110"/>
      <c r="I197" s="228">
        <f ca="1">+C197*Catalogo!$F$19+EV!D197*Catalogo!$F$14+EV!E197*Catalogo!$F$16+EV!F197*Catalogo!$F$18</f>
        <v>5166226.7927800016</v>
      </c>
      <c r="J197" s="228">
        <f ca="1">IF(TODAY()&gt;=$A197,SUMIFS(Tabla1[EV],Tabla1[Fecha],"&lt;="&amp;A197,Tabla1[EV],"&gt;0"),NA())</f>
        <v>6853651.8127800012</v>
      </c>
      <c r="L197"/>
      <c r="M197" s="225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</row>
    <row r="198" spans="1:30" x14ac:dyDescent="0.25">
      <c r="A198" s="62">
        <f t="shared" si="5"/>
        <v>46158</v>
      </c>
      <c r="B198" s="62"/>
      <c r="C198" s="110">
        <f ca="1">IF(TODAY()&gt;=$A198,SUMIFS(Tabla1[Avance_km],Tabla1[Fecha],"&lt;="&amp;EV!$A198,Tabla1[nombre_actividad],EV!C$1),NA())</f>
        <v>125.14200000000005</v>
      </c>
      <c r="D198" s="110">
        <f ca="1">IF(TODAY()&gt;=$A198,SUMIFS(Tabla1[Avance_km],Tabla1[Fecha],"&lt;="&amp;EV!$A198,Tabla1[nombre_actividad],EV!D$1),NA())</f>
        <v>104.242</v>
      </c>
      <c r="E198" s="110">
        <f ca="1">IF(TODAY()&gt;=$A198,SUMIFS(Tabla1[Avance_km],Tabla1[Fecha],"&lt;="&amp;EV!$A198,Tabla1[nombre_actividad],EV!E$1,Tabla1[Avance_km],"&gt;0"),NA())</f>
        <v>121.46600000000011</v>
      </c>
      <c r="F198" s="67">
        <f ca="1">IF(TODAY()&gt;=$A198,SUMIFS(Tabla1[Avance_Med],Tabla1[Fecha],"&lt;="&amp;EV!$A198,Tabla1[nombre_actividad],EV!F$1),NA())</f>
        <v>376</v>
      </c>
      <c r="G198" s="67"/>
      <c r="H198" s="110"/>
      <c r="I198" s="228">
        <f ca="1">+C198*Catalogo!$F$19+EV!D198*Catalogo!$F$14+EV!E198*Catalogo!$F$16+EV!F198*Catalogo!$F$18</f>
        <v>5194195.0284400014</v>
      </c>
      <c r="J198" s="228">
        <f ca="1">IF(TODAY()&gt;=$A198,SUMIFS(Tabla1[EV],Tabla1[Fecha],"&lt;="&amp;A198,Tabla1[EV],"&gt;0"),NA())</f>
        <v>6881620.048440001</v>
      </c>
      <c r="L198"/>
      <c r="M198" s="225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</row>
    <row r="199" spans="1:30" x14ac:dyDescent="0.25">
      <c r="A199" s="62">
        <f t="shared" si="5"/>
        <v>46159</v>
      </c>
      <c r="B199" s="62"/>
      <c r="C199" s="110">
        <f ca="1">IF(TODAY()&gt;=$A199,SUMIFS(Tabla1[Avance_km],Tabla1[Fecha],"&lt;="&amp;EV!$A199,Tabla1[nombre_actividad],EV!C$1),NA())</f>
        <v>125.14200000000005</v>
      </c>
      <c r="D199" s="110">
        <f ca="1">IF(TODAY()&gt;=$A199,SUMIFS(Tabla1[Avance_km],Tabla1[Fecha],"&lt;="&amp;EV!$A199,Tabla1[nombre_actividad],EV!D$1),NA())</f>
        <v>104.242</v>
      </c>
      <c r="E199" s="110">
        <f ca="1">IF(TODAY()&gt;=$A199,SUMIFS(Tabla1[Avance_km],Tabla1[Fecha],"&lt;="&amp;EV!$A199,Tabla1[nombre_actividad],EV!E$1,Tabla1[Avance_km],"&gt;0"),NA())</f>
        <v>121.46600000000011</v>
      </c>
      <c r="F199" s="67">
        <f ca="1">IF(TODAY()&gt;=$A199,SUMIFS(Tabla1[Avance_Med],Tabla1[Fecha],"&lt;="&amp;EV!$A199,Tabla1[nombre_actividad],EV!F$1),NA())</f>
        <v>376</v>
      </c>
      <c r="G199" s="67"/>
      <c r="H199" s="110"/>
      <c r="I199" s="228">
        <f ca="1">+C199*Catalogo!$F$19+EV!D199*Catalogo!$F$14+EV!E199*Catalogo!$F$16+EV!F199*Catalogo!$F$18</f>
        <v>5194195.0284400014</v>
      </c>
      <c r="J199" s="228">
        <f ca="1">IF(TODAY()&gt;=$A199,SUMIFS(Tabla1[EV],Tabla1[Fecha],"&lt;="&amp;A199,Tabla1[EV],"&gt;0"),NA())</f>
        <v>6881620.048440001</v>
      </c>
      <c r="L199"/>
      <c r="M199" s="225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</row>
    <row r="200" spans="1:30" x14ac:dyDescent="0.25">
      <c r="A200" s="62">
        <f t="shared" si="5"/>
        <v>46160</v>
      </c>
      <c r="B200" s="62"/>
      <c r="C200" s="110">
        <f ca="1">IF(TODAY()&gt;=$A200,SUMIFS(Tabla1[Avance_km],Tabla1[Fecha],"&lt;="&amp;EV!$A200,Tabla1[nombre_actividad],EV!C$1),NA())</f>
        <v>125.14200000000005</v>
      </c>
      <c r="D200" s="110">
        <f ca="1">IF(TODAY()&gt;=$A200,SUMIFS(Tabla1[Avance_km],Tabla1[Fecha],"&lt;="&amp;EV!$A200,Tabla1[nombre_actividad],EV!D$1),NA())</f>
        <v>104.242</v>
      </c>
      <c r="E200" s="110">
        <f ca="1">IF(TODAY()&gt;=$A200,SUMIFS(Tabla1[Avance_km],Tabla1[Fecha],"&lt;="&amp;EV!$A200,Tabla1[nombre_actividad],EV!E$1,Tabla1[Avance_km],"&gt;0"),NA())</f>
        <v>122.53700000000011</v>
      </c>
      <c r="F200" s="67">
        <f ca="1">IF(TODAY()&gt;=$A200,SUMIFS(Tabla1[Avance_Med],Tabla1[Fecha],"&lt;="&amp;EV!$A200,Tabla1[nombre_actividad],EV!F$1),NA())</f>
        <v>376</v>
      </c>
      <c r="G200" s="67"/>
      <c r="H200" s="110"/>
      <c r="I200" s="228">
        <f ca="1">+C200*Catalogo!$F$19+EV!D200*Catalogo!$F$14+EV!E200*Catalogo!$F$16+EV!F200*Catalogo!$F$18</f>
        <v>5208713.1081700018</v>
      </c>
      <c r="J200" s="228">
        <f ca="1">IF(TODAY()&gt;=$A200,SUMIFS(Tabla1[EV],Tabla1[Fecha],"&lt;="&amp;A200,Tabla1[EV],"&gt;0"),NA())</f>
        <v>6896138.1281700013</v>
      </c>
      <c r="L200"/>
      <c r="M200" s="225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</row>
    <row r="201" spans="1:30" x14ac:dyDescent="0.25">
      <c r="A201" s="62">
        <f t="shared" si="5"/>
        <v>46161</v>
      </c>
      <c r="B201" s="62"/>
      <c r="C201" s="110">
        <f ca="1">IF(TODAY()&gt;=$A201,SUMIFS(Tabla1[Avance_km],Tabla1[Fecha],"&lt;="&amp;EV!$A201,Tabla1[nombre_actividad],EV!C$1),NA())</f>
        <v>125.14200000000005</v>
      </c>
      <c r="D201" s="110">
        <f ca="1">IF(TODAY()&gt;=$A201,SUMIFS(Tabla1[Avance_km],Tabla1[Fecha],"&lt;="&amp;EV!$A201,Tabla1[nombre_actividad],EV!D$1),NA())</f>
        <v>104.242</v>
      </c>
      <c r="E201" s="110">
        <f ca="1">IF(TODAY()&gt;=$A201,SUMIFS(Tabla1[Avance_km],Tabla1[Fecha],"&lt;="&amp;EV!$A201,Tabla1[nombre_actividad],EV!E$1,Tabla1[Avance_km],"&gt;0"),NA())</f>
        <v>123.81100000000011</v>
      </c>
      <c r="F201" s="67">
        <f ca="1">IF(TODAY()&gt;=$A201,SUMIFS(Tabla1[Avance_Med],Tabla1[Fecha],"&lt;="&amp;EV!$A201,Tabla1[nombre_actividad],EV!F$1),NA())</f>
        <v>376</v>
      </c>
      <c r="G201" s="67"/>
      <c r="H201" s="110"/>
      <c r="I201" s="228">
        <f ca="1">+C201*Catalogo!$F$19+EV!D201*Catalogo!$F$14+EV!E201*Catalogo!$F$16+EV!F201*Catalogo!$F$18</f>
        <v>5225982.9807900013</v>
      </c>
      <c r="J201" s="228">
        <f ca="1">IF(TODAY()&gt;=$A201,SUMIFS(Tabla1[EV],Tabla1[Fecha],"&lt;="&amp;A201,Tabla1[EV],"&gt;0"),NA())</f>
        <v>6913408.0007900009</v>
      </c>
      <c r="L201"/>
      <c r="M201" s="225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</row>
    <row r="202" spans="1:30" x14ac:dyDescent="0.25">
      <c r="A202" s="62">
        <f t="shared" si="5"/>
        <v>46162</v>
      </c>
      <c r="B202" s="62"/>
      <c r="C202" s="110">
        <f ca="1">IF(TODAY()&gt;=$A202,SUMIFS(Tabla1[Avance_km],Tabla1[Fecha],"&lt;="&amp;EV!$A202,Tabla1[nombre_actividad],EV!C$1),NA())</f>
        <v>125.14200000000005</v>
      </c>
      <c r="D202" s="110">
        <f ca="1">IF(TODAY()&gt;=$A202,SUMIFS(Tabla1[Avance_km],Tabla1[Fecha],"&lt;="&amp;EV!$A202,Tabla1[nombre_actividad],EV!D$1),NA())</f>
        <v>104.242</v>
      </c>
      <c r="E202" s="110">
        <f ca="1">IF(TODAY()&gt;=$A202,SUMIFS(Tabla1[Avance_km],Tabla1[Fecha],"&lt;="&amp;EV!$A202,Tabla1[nombre_actividad],EV!E$1,Tabla1[Avance_km],"&gt;0"),NA())</f>
        <v>124.76400000000011</v>
      </c>
      <c r="F202" s="67">
        <f ca="1">IF(TODAY()&gt;=$A202,SUMIFS(Tabla1[Avance_Med],Tabla1[Fecha],"&lt;="&amp;EV!$A202,Tabla1[nombre_actividad],EV!F$1),NA())</f>
        <v>376</v>
      </c>
      <c r="G202" s="67"/>
      <c r="H202" s="110"/>
      <c r="I202" s="228">
        <f ca="1">+C202*Catalogo!$F$19+EV!D202*Catalogo!$F$14+EV!E202*Catalogo!$F$16+EV!F202*Catalogo!$F$18</f>
        <v>5238901.4961800016</v>
      </c>
      <c r="J202" s="228">
        <f ca="1">IF(TODAY()&gt;=$A202,SUMIFS(Tabla1[EV],Tabla1[Fecha],"&lt;="&amp;A202,Tabla1[EV],"&gt;0"),NA())</f>
        <v>6926326.5161800012</v>
      </c>
      <c r="L202"/>
      <c r="M202" s="225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</row>
    <row r="203" spans="1:30" x14ac:dyDescent="0.25">
      <c r="A203" s="62">
        <f t="shared" si="5"/>
        <v>46163</v>
      </c>
      <c r="B203" s="62"/>
      <c r="C203" s="110">
        <f ca="1">IF(TODAY()&gt;=$A203,SUMIFS(Tabla1[Avance_km],Tabla1[Fecha],"&lt;="&amp;EV!$A203,Tabla1[nombre_actividad],EV!C$1),NA())</f>
        <v>125.14200000000005</v>
      </c>
      <c r="D203" s="110">
        <f ca="1">IF(TODAY()&gt;=$A203,SUMIFS(Tabla1[Avance_km],Tabla1[Fecha],"&lt;="&amp;EV!$A203,Tabla1[nombre_actividad],EV!D$1),NA())</f>
        <v>106.81400000000001</v>
      </c>
      <c r="E203" s="110">
        <f ca="1">IF(TODAY()&gt;=$A203,SUMIFS(Tabla1[Avance_km],Tabla1[Fecha],"&lt;="&amp;EV!$A203,Tabla1[nombre_actividad],EV!E$1,Tabla1[Avance_km],"&gt;0"),NA())</f>
        <v>124.76400000000011</v>
      </c>
      <c r="F203" s="67">
        <f ca="1">IF(TODAY()&gt;=$A203,SUMIFS(Tabla1[Avance_Med],Tabla1[Fecha],"&lt;="&amp;EV!$A203,Tabla1[nombre_actividad],EV!F$1),NA())</f>
        <v>376</v>
      </c>
      <c r="G203" s="67"/>
      <c r="H203" s="110"/>
      <c r="I203" s="228">
        <f ca="1">+C203*Catalogo!$F$19+EV!D203*Catalogo!$F$14+EV!E203*Catalogo!$F$16+EV!F203*Catalogo!$F$18</f>
        <v>5276250.5627000015</v>
      </c>
      <c r="J203" s="228">
        <f ca="1">IF(TODAY()&gt;=$A203,SUMIFS(Tabla1[EV],Tabla1[Fecha],"&lt;="&amp;A203,Tabla1[EV],"&gt;0"),NA())</f>
        <v>6963675.5827000011</v>
      </c>
      <c r="L203"/>
      <c r="M203" s="225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</row>
    <row r="204" spans="1:30" x14ac:dyDescent="0.25">
      <c r="A204" s="62">
        <f t="shared" si="5"/>
        <v>46164</v>
      </c>
      <c r="B204" s="62"/>
      <c r="C204" s="110">
        <f ca="1">IF(TODAY()&gt;=$A204,SUMIFS(Tabla1[Avance_km],Tabla1[Fecha],"&lt;="&amp;EV!$A204,Tabla1[nombre_actividad],EV!C$1),NA())</f>
        <v>125.14200000000005</v>
      </c>
      <c r="D204" s="110">
        <f ca="1">IF(TODAY()&gt;=$A204,SUMIFS(Tabla1[Avance_km],Tabla1[Fecha],"&lt;="&amp;EV!$A204,Tabla1[nombre_actividad],EV!D$1),NA())</f>
        <v>109.367</v>
      </c>
      <c r="E204" s="110">
        <f ca="1">IF(TODAY()&gt;=$A204,SUMIFS(Tabla1[Avance_km],Tabla1[Fecha],"&lt;="&amp;EV!$A204,Tabla1[nombre_actividad],EV!E$1,Tabla1[Avance_km],"&gt;0"),NA())</f>
        <v>124.76400000000011</v>
      </c>
      <c r="F204" s="67">
        <f ca="1">IF(TODAY()&gt;=$A204,SUMIFS(Tabla1[Avance_Med],Tabla1[Fecha],"&lt;="&amp;EV!$A204,Tabla1[nombre_actividad],EV!F$1),NA())</f>
        <v>376</v>
      </c>
      <c r="G204" s="67"/>
      <c r="H204" s="110"/>
      <c r="I204" s="228">
        <f ca="1">+C204*Catalogo!$F$19+EV!D204*Catalogo!$F$14+EV!E204*Catalogo!$F$16+EV!F204*Catalogo!$F$18</f>
        <v>5313323.7224300019</v>
      </c>
      <c r="J204" s="228">
        <f ca="1">IF(TODAY()&gt;=$A204,SUMIFS(Tabla1[EV],Tabla1[Fecha],"&lt;="&amp;A204,Tabla1[EV],"&gt;0"),NA())</f>
        <v>7000748.7424300015</v>
      </c>
      <c r="L204"/>
      <c r="M204" s="225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</row>
    <row r="205" spans="1:30" x14ac:dyDescent="0.25">
      <c r="A205" s="62">
        <f t="shared" si="5"/>
        <v>46165</v>
      </c>
      <c r="B205" s="62"/>
      <c r="C205" s="110">
        <f ca="1">IF(TODAY()&gt;=$A205,SUMIFS(Tabla1[Avance_km],Tabla1[Fecha],"&lt;="&amp;EV!$A205,Tabla1[nombre_actividad],EV!C$1),NA())</f>
        <v>125.14200000000005</v>
      </c>
      <c r="D205" s="110">
        <f ca="1">IF(TODAY()&gt;=$A205,SUMIFS(Tabla1[Avance_km],Tabla1[Fecha],"&lt;="&amp;EV!$A205,Tabla1[nombre_actividad],EV!D$1),NA())</f>
        <v>111.15900000000001</v>
      </c>
      <c r="E205" s="110">
        <f ca="1">IF(TODAY()&gt;=$A205,SUMIFS(Tabla1[Avance_km],Tabla1[Fecha],"&lt;="&amp;EV!$A205,Tabla1[nombre_actividad],EV!E$1,Tabla1[Avance_km],"&gt;0"),NA())</f>
        <v>124.76400000000011</v>
      </c>
      <c r="F205" s="67">
        <f ca="1">IF(TODAY()&gt;=$A205,SUMIFS(Tabla1[Avance_Med],Tabla1[Fecha],"&lt;="&amp;EV!$A205,Tabla1[nombre_actividad],EV!F$1),NA())</f>
        <v>376</v>
      </c>
      <c r="G205" s="67"/>
      <c r="H205" s="110"/>
      <c r="I205" s="228">
        <f ca="1">+C205*Catalogo!$F$19+EV!D205*Catalogo!$F$14+EV!E205*Catalogo!$F$16+EV!F205*Catalogo!$F$18</f>
        <v>5339346.0891500013</v>
      </c>
      <c r="J205" s="228">
        <f ca="1">IF(TODAY()&gt;=$A205,SUMIFS(Tabla1[EV],Tabla1[Fecha],"&lt;="&amp;A205,Tabla1[EV],"&gt;0"),NA())</f>
        <v>7026771.1091500018</v>
      </c>
      <c r="L205"/>
      <c r="M205" s="22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</row>
    <row r="206" spans="1:30" x14ac:dyDescent="0.25">
      <c r="A206" s="62">
        <f t="shared" si="5"/>
        <v>46166</v>
      </c>
      <c r="B206" s="62"/>
      <c r="C206" s="110">
        <f ca="1">IF(TODAY()&gt;=$A206,SUMIFS(Tabla1[Avance_km],Tabla1[Fecha],"&lt;="&amp;EV!$A206,Tabla1[nombre_actividad],EV!C$1),NA())</f>
        <v>125.14200000000005</v>
      </c>
      <c r="D206" s="110">
        <f ca="1">IF(TODAY()&gt;=$A206,SUMIFS(Tabla1[Avance_km],Tabla1[Fecha],"&lt;="&amp;EV!$A206,Tabla1[nombre_actividad],EV!D$1),NA())</f>
        <v>111.15900000000001</v>
      </c>
      <c r="E206" s="110">
        <f ca="1">IF(TODAY()&gt;=$A206,SUMIFS(Tabla1[Avance_km],Tabla1[Fecha],"&lt;="&amp;EV!$A206,Tabla1[nombre_actividad],EV!E$1,Tabla1[Avance_km],"&gt;0"),NA())</f>
        <v>124.76400000000011</v>
      </c>
      <c r="F206" s="67">
        <f ca="1">IF(TODAY()&gt;=$A206,SUMIFS(Tabla1[Avance_Med],Tabla1[Fecha],"&lt;="&amp;EV!$A206,Tabla1[nombre_actividad],EV!F$1),NA())</f>
        <v>376</v>
      </c>
      <c r="G206" s="67"/>
      <c r="H206" s="110"/>
      <c r="I206" s="228">
        <f ca="1">+C206*Catalogo!$F$19+EV!D206*Catalogo!$F$14+EV!E206*Catalogo!$F$16+EV!F206*Catalogo!$F$18</f>
        <v>5339346.0891500013</v>
      </c>
      <c r="J206" s="228">
        <f ca="1">IF(TODAY()&gt;=$A206,SUMIFS(Tabla1[EV],Tabla1[Fecha],"&lt;="&amp;A206,Tabla1[EV],"&gt;0"),NA())</f>
        <v>7026771.1091500018</v>
      </c>
      <c r="L206"/>
      <c r="M206" s="225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</row>
    <row r="207" spans="1:30" x14ac:dyDescent="0.25">
      <c r="A207" s="62">
        <f t="shared" si="5"/>
        <v>46167</v>
      </c>
      <c r="B207" s="62"/>
      <c r="C207" s="110">
        <f ca="1">IF(TODAY()&gt;=$A207,SUMIFS(Tabla1[Avance_km],Tabla1[Fecha],"&lt;="&amp;EV!$A207,Tabla1[nombre_actividad],EV!C$1),NA())</f>
        <v>125.16800000000005</v>
      </c>
      <c r="D207" s="110">
        <f ca="1">IF(TODAY()&gt;=$A207,SUMIFS(Tabla1[Avance_km],Tabla1[Fecha],"&lt;="&amp;EV!$A207,Tabla1[nombre_actividad],EV!D$1),NA())</f>
        <v>111.15900000000001</v>
      </c>
      <c r="E207" s="110">
        <f ca="1">IF(TODAY()&gt;=$A207,SUMIFS(Tabla1[Avance_km],Tabla1[Fecha],"&lt;="&amp;EV!$A207,Tabla1[nombre_actividad],EV!E$1,Tabla1[Avance_km],"&gt;0"),NA())</f>
        <v>125.66800000000011</v>
      </c>
      <c r="F207" s="67">
        <f ca="1">IF(TODAY()&gt;=$A207,SUMIFS(Tabla1[Avance_Med],Tabla1[Fecha],"&lt;="&amp;EV!$A207,Tabla1[nombre_actividad],EV!F$1),NA())</f>
        <v>376</v>
      </c>
      <c r="G207" s="67"/>
      <c r="H207" s="110"/>
      <c r="I207" s="228">
        <f ca="1">+C207*Catalogo!$F$19+EV!D207*Catalogo!$F$14+EV!E207*Catalogo!$F$16+EV!F207*Catalogo!$F$18</f>
        <v>5351659.0715900017</v>
      </c>
      <c r="J207" s="228">
        <f ca="1">IF(TODAY()&gt;=$A207,SUMIFS(Tabla1[EV],Tabla1[Fecha],"&lt;="&amp;A207,Tabla1[EV],"&gt;0"),NA())</f>
        <v>7039084.0915900012</v>
      </c>
      <c r="L207"/>
      <c r="M207" s="225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</row>
    <row r="208" spans="1:30" x14ac:dyDescent="0.25">
      <c r="A208" s="62">
        <f t="shared" si="5"/>
        <v>46168</v>
      </c>
      <c r="B208" s="62"/>
      <c r="C208" s="110">
        <f ca="1">IF(TODAY()&gt;=$A208,SUMIFS(Tabla1[Avance_km],Tabla1[Fecha],"&lt;="&amp;EV!$A208,Tabla1[nombre_actividad],EV!C$1),NA())</f>
        <v>127.08800000000005</v>
      </c>
      <c r="D208" s="110">
        <f ca="1">IF(TODAY()&gt;=$A208,SUMIFS(Tabla1[Avance_km],Tabla1[Fecha],"&lt;="&amp;EV!$A208,Tabla1[nombre_actividad],EV!D$1),NA())</f>
        <v>111.15900000000001</v>
      </c>
      <c r="E208" s="110">
        <f ca="1">IF(TODAY()&gt;=$A208,SUMIFS(Tabla1[Avance_km],Tabla1[Fecha],"&lt;="&amp;EV!$A208,Tabla1[nombre_actividad],EV!E$1,Tabla1[Avance_km],"&gt;0"),NA())</f>
        <v>125.66800000000011</v>
      </c>
      <c r="F208" s="67">
        <f ca="1">IF(TODAY()&gt;=$A208,SUMIFS(Tabla1[Avance_Med],Tabla1[Fecha],"&lt;="&amp;EV!$A208,Tabla1[nombre_actividad],EV!F$1),NA())</f>
        <v>376</v>
      </c>
      <c r="G208" s="67"/>
      <c r="H208" s="110"/>
      <c r="I208" s="228">
        <f ca="1">+C208*Catalogo!$F$19+EV!D208*Catalogo!$F$14+EV!E208*Catalogo!$F$16+EV!F208*Catalogo!$F$18</f>
        <v>5355993.3179900013</v>
      </c>
      <c r="J208" s="228">
        <f ca="1">IF(TODAY()&gt;=$A208,SUMIFS(Tabla1[EV],Tabla1[Fecha],"&lt;="&amp;A208,Tabla1[EV],"&gt;0"),NA())</f>
        <v>7043418.3379900008</v>
      </c>
      <c r="L208"/>
      <c r="M208" s="225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</row>
    <row r="209" spans="1:30" x14ac:dyDescent="0.25">
      <c r="A209" s="62">
        <f t="shared" si="5"/>
        <v>46169</v>
      </c>
      <c r="B209" s="62"/>
      <c r="C209" s="110">
        <f ca="1">IF(TODAY()&gt;=$A209,SUMIFS(Tabla1[Avance_km],Tabla1[Fecha],"&lt;="&amp;EV!$A209,Tabla1[nombre_actividad],EV!C$1),NA())</f>
        <v>127.08800000000005</v>
      </c>
      <c r="D209" s="110">
        <f ca="1">IF(TODAY()&gt;=$A209,SUMIFS(Tabla1[Avance_km],Tabla1[Fecha],"&lt;="&amp;EV!$A209,Tabla1[nombre_actividad],EV!D$1),NA())</f>
        <v>111.15900000000001</v>
      </c>
      <c r="E209" s="110">
        <f ca="1">IF(TODAY()&gt;=$A209,SUMIFS(Tabla1[Avance_km],Tabla1[Fecha],"&lt;="&amp;EV!$A209,Tabla1[nombre_actividad],EV!E$1,Tabla1[Avance_km],"&gt;0"),NA())</f>
        <v>125.76700000000011</v>
      </c>
      <c r="F209" s="67">
        <f ca="1">IF(TODAY()&gt;=$A209,SUMIFS(Tabla1[Avance_Med],Tabla1[Fecha],"&lt;="&amp;EV!$A209,Tabla1[nombre_actividad],EV!F$1),NA())</f>
        <v>376</v>
      </c>
      <c r="G209" s="67"/>
      <c r="H209" s="110"/>
      <c r="I209" s="228">
        <f ca="1">+C209*Catalogo!$F$19+EV!D209*Catalogo!$F$14+EV!E209*Catalogo!$F$16+EV!F209*Catalogo!$F$18</f>
        <v>5357335.325360002</v>
      </c>
      <c r="J209" s="228">
        <f ca="1">IF(TODAY()&gt;=$A209,SUMIFS(Tabla1[EV],Tabla1[Fecha],"&lt;="&amp;A209,Tabla1[EV],"&gt;0"),NA())</f>
        <v>7044760.3453600006</v>
      </c>
      <c r="L209"/>
      <c r="M209" s="225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</row>
    <row r="210" spans="1:30" x14ac:dyDescent="0.25">
      <c r="A210" s="62">
        <f t="shared" si="5"/>
        <v>46170</v>
      </c>
      <c r="B210" s="62"/>
      <c r="C210" s="110">
        <f ca="1">IF(TODAY()&gt;=$A210,SUMIFS(Tabla1[Avance_km],Tabla1[Fecha],"&lt;="&amp;EV!$A210,Tabla1[nombre_actividad],EV!C$1),NA())</f>
        <v>127.41700000000004</v>
      </c>
      <c r="D210" s="110">
        <f ca="1">IF(TODAY()&gt;=$A210,SUMIFS(Tabla1[Avance_km],Tabla1[Fecha],"&lt;="&amp;EV!$A210,Tabla1[nombre_actividad],EV!D$1),NA())</f>
        <v>111.15900000000001</v>
      </c>
      <c r="E210" s="110">
        <f ca="1">IF(TODAY()&gt;=$A210,SUMIFS(Tabla1[Avance_km],Tabla1[Fecha],"&lt;="&amp;EV!$A210,Tabla1[nombre_actividad],EV!E$1,Tabla1[Avance_km],"&gt;0"),NA())</f>
        <v>125.76700000000011</v>
      </c>
      <c r="F210" s="67">
        <f ca="1">IF(TODAY()&gt;=$A210,SUMIFS(Tabla1[Avance_Med],Tabla1[Fecha],"&lt;="&amp;EV!$A210,Tabla1[nombre_actividad],EV!F$1),NA())</f>
        <v>376</v>
      </c>
      <c r="G210" s="67"/>
      <c r="H210" s="110"/>
      <c r="I210" s="228">
        <f ca="1">+C210*Catalogo!$F$19+EV!D210*Catalogo!$F$14+EV!E210*Catalogo!$F$16+EV!F210*Catalogo!$F$18</f>
        <v>5358078.0165400021</v>
      </c>
      <c r="J210" s="228">
        <f ca="1">IF(TODAY()&gt;=$A210,SUMIFS(Tabla1[EV],Tabla1[Fecha],"&lt;="&amp;A210,Tabla1[EV],"&gt;0"),NA())</f>
        <v>7045503.0365400007</v>
      </c>
      <c r="L210"/>
      <c r="M210" s="225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</row>
    <row r="211" spans="1:30" x14ac:dyDescent="0.25">
      <c r="A211" s="62">
        <f t="shared" si="5"/>
        <v>46171</v>
      </c>
      <c r="B211" s="62"/>
      <c r="C211" s="110">
        <f ca="1">IF(TODAY()&gt;=$A211,SUMIFS(Tabla1[Avance_km],Tabla1[Fecha],"&lt;="&amp;EV!$A211,Tabla1[nombre_actividad],EV!C$1),NA())</f>
        <v>128.30600000000004</v>
      </c>
      <c r="D211" s="110">
        <f ca="1">IF(TODAY()&gt;=$A211,SUMIFS(Tabla1[Avance_km],Tabla1[Fecha],"&lt;="&amp;EV!$A211,Tabla1[nombre_actividad],EV!D$1),NA())</f>
        <v>111.15900000000001</v>
      </c>
      <c r="E211" s="110">
        <f ca="1">IF(TODAY()&gt;=$A211,SUMIFS(Tabla1[Avance_km],Tabla1[Fecha],"&lt;="&amp;EV!$A211,Tabla1[nombre_actividad],EV!E$1,Tabla1[Avance_km],"&gt;0"),NA())</f>
        <v>125.76700000000011</v>
      </c>
      <c r="F211" s="67">
        <f ca="1">IF(TODAY()&gt;=$A211,SUMIFS(Tabla1[Avance_Med],Tabla1[Fecha],"&lt;="&amp;EV!$A211,Tabla1[nombre_actividad],EV!F$1),NA())</f>
        <v>376</v>
      </c>
      <c r="G211" s="67"/>
      <c r="H211" s="110"/>
      <c r="I211" s="228">
        <f ca="1">+C211*Catalogo!$F$19+EV!D211*Catalogo!$F$14+EV!E211*Catalogo!$F$16+EV!F211*Catalogo!$F$18</f>
        <v>5360084.8629200011</v>
      </c>
      <c r="J211" s="228">
        <f ca="1">IF(TODAY()&gt;=$A211,SUMIFS(Tabla1[EV],Tabla1[Fecha],"&lt;="&amp;A211,Tabla1[EV],"&gt;0"),NA())</f>
        <v>7047509.8829200007</v>
      </c>
      <c r="L211"/>
      <c r="M211" s="225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</row>
    <row r="212" spans="1:30" x14ac:dyDescent="0.25">
      <c r="A212" s="62">
        <f t="shared" si="5"/>
        <v>46172</v>
      </c>
      <c r="B212" s="62"/>
      <c r="C212" s="110">
        <f ca="1">IF(TODAY()&gt;=$A212,SUMIFS(Tabla1[Avance_km],Tabla1[Fecha],"&lt;="&amp;EV!$A212,Tabla1[nombre_actividad],EV!C$1),NA())</f>
        <v>128.76900000000003</v>
      </c>
      <c r="D212" s="110">
        <f ca="1">IF(TODAY()&gt;=$A212,SUMIFS(Tabla1[Avance_km],Tabla1[Fecha],"&lt;="&amp;EV!$A212,Tabla1[nombre_actividad],EV!D$1),NA())</f>
        <v>111.15900000000001</v>
      </c>
      <c r="E212" s="110">
        <f ca="1">IF(TODAY()&gt;=$A212,SUMIFS(Tabla1[Avance_km],Tabla1[Fecha],"&lt;="&amp;EV!$A212,Tabla1[nombre_actividad],EV!E$1,Tabla1[Avance_km],"&gt;0"),NA())</f>
        <v>125.76700000000011</v>
      </c>
      <c r="F212" s="67">
        <f ca="1">IF(TODAY()&gt;=$A212,SUMIFS(Tabla1[Avance_Med],Tabla1[Fecha],"&lt;="&amp;EV!$A212,Tabla1[nombre_actividad],EV!F$1),NA())</f>
        <v>376</v>
      </c>
      <c r="G212" s="67"/>
      <c r="H212" s="110"/>
      <c r="I212" s="228">
        <f ca="1">+C212*Catalogo!$F$19+EV!D212*Catalogo!$F$14+EV!E212*Catalogo!$F$16+EV!F212*Catalogo!$F$18</f>
        <v>5361130.0483800014</v>
      </c>
      <c r="J212" s="228">
        <f ca="1">IF(TODAY()&gt;=$A212,SUMIFS(Tabla1[EV],Tabla1[Fecha],"&lt;="&amp;A212,Tabla1[EV],"&gt;0"),NA())</f>
        <v>7048555.068380001</v>
      </c>
      <c r="L212"/>
      <c r="M212" s="225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</row>
    <row r="213" spans="1:30" x14ac:dyDescent="0.25">
      <c r="A213" s="62">
        <f t="shared" si="5"/>
        <v>46173</v>
      </c>
      <c r="B213" s="62"/>
      <c r="C213" s="110">
        <f ca="1">IF(TODAY()&gt;=$A213,SUMIFS(Tabla1[Avance_km],Tabla1[Fecha],"&lt;="&amp;EV!$A213,Tabla1[nombre_actividad],EV!C$1),NA())</f>
        <v>128.76900000000003</v>
      </c>
      <c r="D213" s="110">
        <f ca="1">IF(TODAY()&gt;=$A213,SUMIFS(Tabla1[Avance_km],Tabla1[Fecha],"&lt;="&amp;EV!$A213,Tabla1[nombre_actividad],EV!D$1),NA())</f>
        <v>111.15900000000001</v>
      </c>
      <c r="E213" s="110">
        <f ca="1">IF(TODAY()&gt;=$A213,SUMIFS(Tabla1[Avance_km],Tabla1[Fecha],"&lt;="&amp;EV!$A213,Tabla1[nombre_actividad],EV!E$1,Tabla1[Avance_km],"&gt;0"),NA())</f>
        <v>125.76700000000011</v>
      </c>
      <c r="F213" s="67">
        <f ca="1">IF(TODAY()&gt;=$A213,SUMIFS(Tabla1[Avance_Med],Tabla1[Fecha],"&lt;="&amp;EV!$A213,Tabla1[nombre_actividad],EV!F$1),NA())</f>
        <v>376</v>
      </c>
      <c r="G213" s="67"/>
      <c r="H213" s="110"/>
      <c r="I213" s="228">
        <f ca="1">+C213*Catalogo!$F$19+EV!D213*Catalogo!$F$14+EV!E213*Catalogo!$F$16+EV!F213*Catalogo!$F$18</f>
        <v>5361130.0483800014</v>
      </c>
      <c r="J213" s="228">
        <f ca="1">IF(TODAY()&gt;=$A213,SUMIFS(Tabla1[EV],Tabla1[Fecha],"&lt;="&amp;A213,Tabla1[EV],"&gt;0"),NA())</f>
        <v>7048555.068380001</v>
      </c>
      <c r="L213"/>
      <c r="M213" s="225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</row>
    <row r="214" spans="1:30" x14ac:dyDescent="0.25">
      <c r="A214" s="62">
        <f t="shared" si="5"/>
        <v>46174</v>
      </c>
      <c r="B214" s="62"/>
      <c r="C214" s="110">
        <f ca="1">IF(TODAY()&gt;=$A214,SUMIFS(Tabla1[Avance_km],Tabla1[Fecha],"&lt;="&amp;EV!$A214,Tabla1[nombre_actividad],EV!C$1),NA())</f>
        <v>128.76900000000003</v>
      </c>
      <c r="D214" s="110">
        <f ca="1">IF(TODAY()&gt;=$A214,SUMIFS(Tabla1[Avance_km],Tabla1[Fecha],"&lt;="&amp;EV!$A214,Tabla1[nombre_actividad],EV!D$1),NA())</f>
        <v>113.15100000000001</v>
      </c>
      <c r="E214" s="110">
        <f ca="1">IF(TODAY()&gt;=$A214,SUMIFS(Tabla1[Avance_km],Tabla1[Fecha],"&lt;="&amp;EV!$A214,Tabla1[nombre_actividad],EV!E$1,Tabla1[Avance_km],"&gt;0"),NA())</f>
        <v>125.76700000000011</v>
      </c>
      <c r="F214" s="67">
        <f ca="1">IF(TODAY()&gt;=$A214,SUMIFS(Tabla1[Avance_Med],Tabla1[Fecha],"&lt;="&amp;EV!$A214,Tabla1[nombre_actividad],EV!F$1),NA())</f>
        <v>376</v>
      </c>
      <c r="G214" s="67"/>
      <c r="H214" s="110"/>
      <c r="I214" s="228">
        <f ca="1">+C214*Catalogo!$F$19+EV!D214*Catalogo!$F$14+EV!E214*Catalogo!$F$16+EV!F214*Catalogo!$F$18</f>
        <v>5390056.6971000014</v>
      </c>
      <c r="J214" s="228">
        <f ca="1">IF(TODAY()&gt;=$A214,SUMIFS(Tabla1[EV],Tabla1[Fecha],"&lt;="&amp;A214,Tabla1[EV],"&gt;0"),NA())</f>
        <v>7077481.7171000009</v>
      </c>
      <c r="L214"/>
      <c r="M214" s="225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</row>
    <row r="215" spans="1:30" x14ac:dyDescent="0.25">
      <c r="A215" s="62">
        <f t="shared" si="5"/>
        <v>46175</v>
      </c>
      <c r="B215" s="62"/>
      <c r="C215" s="110">
        <f ca="1">IF(TODAY()&gt;=$A215,SUMIFS(Tabla1[Avance_km],Tabla1[Fecha],"&lt;="&amp;EV!$A215,Tabla1[nombre_actividad],EV!C$1),NA())</f>
        <v>128.76900000000003</v>
      </c>
      <c r="D215" s="110">
        <f ca="1">IF(TODAY()&gt;=$A215,SUMIFS(Tabla1[Avance_km],Tabla1[Fecha],"&lt;="&amp;EV!$A215,Tabla1[nombre_actividad],EV!D$1),NA())</f>
        <v>115.14400000000001</v>
      </c>
      <c r="E215" s="110">
        <f ca="1">IF(TODAY()&gt;=$A215,SUMIFS(Tabla1[Avance_km],Tabla1[Fecha],"&lt;="&amp;EV!$A215,Tabla1[nombre_actividad],EV!E$1,Tabla1[Avance_km],"&gt;0"),NA())</f>
        <v>125.76700000000011</v>
      </c>
      <c r="F215" s="67">
        <f ca="1">IF(TODAY()&gt;=$A215,SUMIFS(Tabla1[Avance_Med],Tabla1[Fecha],"&lt;="&amp;EV!$A215,Tabla1[nombre_actividad],EV!F$1),NA())</f>
        <v>376</v>
      </c>
      <c r="G215" s="67"/>
      <c r="H215" s="110"/>
      <c r="I215" s="228">
        <f ca="1">+C215*Catalogo!$F$19+EV!D215*Catalogo!$F$14+EV!E215*Catalogo!$F$16+EV!F215*Catalogo!$F$18</f>
        <v>5418997.8672300018</v>
      </c>
      <c r="J215" s="228">
        <f ca="1">IF(TODAY()&gt;=$A215,SUMIFS(Tabla1[EV],Tabla1[Fecha],"&lt;="&amp;A215,Tabla1[EV],"&gt;0"),NA())</f>
        <v>7106422.8872300014</v>
      </c>
      <c r="L215"/>
      <c r="M215" s="22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</row>
    <row r="216" spans="1:30" x14ac:dyDescent="0.25">
      <c r="A216" s="62">
        <f t="shared" si="5"/>
        <v>46176</v>
      </c>
      <c r="B216" s="62"/>
      <c r="C216" s="110">
        <f ca="1">IF(TODAY()&gt;=$A216,SUMIFS(Tabla1[Avance_km],Tabla1[Fecha],"&lt;="&amp;EV!$A216,Tabla1[nombre_actividad],EV!C$1),NA())</f>
        <v>128.76900000000003</v>
      </c>
      <c r="D216" s="110">
        <f ca="1">IF(TODAY()&gt;=$A216,SUMIFS(Tabla1[Avance_km],Tabla1[Fecha],"&lt;="&amp;EV!$A216,Tabla1[nombre_actividad],EV!D$1),NA())</f>
        <v>115.83800000000001</v>
      </c>
      <c r="E216" s="110">
        <f ca="1">IF(TODAY()&gt;=$A216,SUMIFS(Tabla1[Avance_km],Tabla1[Fecha],"&lt;="&amp;EV!$A216,Tabla1[nombre_actividad],EV!E$1,Tabla1[Avance_km],"&gt;0"),NA())</f>
        <v>125.76700000000011</v>
      </c>
      <c r="F216" s="67">
        <f ca="1">IF(TODAY()&gt;=$A216,SUMIFS(Tabla1[Avance_Med],Tabla1[Fecha],"&lt;="&amp;EV!$A216,Tabla1[nombre_actividad],EV!F$1),NA())</f>
        <v>376</v>
      </c>
      <c r="G216" s="67"/>
      <c r="H216" s="110"/>
      <c r="I216" s="228">
        <f ca="1">+C216*Catalogo!$F$19+EV!D216*Catalogo!$F$14+EV!E216*Catalogo!$F$16+EV!F216*Catalogo!$F$18</f>
        <v>5429075.7257700013</v>
      </c>
      <c r="J216" s="228">
        <f ca="1">IF(TODAY()&gt;=$A216,SUMIFS(Tabla1[EV],Tabla1[Fecha],"&lt;="&amp;A216,Tabla1[EV],"&gt;0"),NA())</f>
        <v>7116500.7457700018</v>
      </c>
      <c r="L216"/>
      <c r="M216" s="225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</row>
    <row r="217" spans="1:30" x14ac:dyDescent="0.25">
      <c r="A217" s="62">
        <f t="shared" si="5"/>
        <v>46177</v>
      </c>
      <c r="B217" s="62"/>
      <c r="C217" s="110">
        <f ca="1">IF(TODAY()&gt;=$A217,SUMIFS(Tabla1[Avance_km],Tabla1[Fecha],"&lt;="&amp;EV!$A217,Tabla1[nombre_actividad],EV!C$1),NA())</f>
        <v>128.76900000000003</v>
      </c>
      <c r="D217" s="110">
        <f ca="1">IF(TODAY()&gt;=$A217,SUMIFS(Tabla1[Avance_km],Tabla1[Fecha],"&lt;="&amp;EV!$A217,Tabla1[nombre_actividad],EV!D$1),NA())</f>
        <v>117.30000000000001</v>
      </c>
      <c r="E217" s="110">
        <f ca="1">IF(TODAY()&gt;=$A217,SUMIFS(Tabla1[Avance_km],Tabla1[Fecha],"&lt;="&amp;EV!$A217,Tabla1[nombre_actividad],EV!E$1,Tabla1[Avance_km],"&gt;0"),NA())</f>
        <v>125.76700000000011</v>
      </c>
      <c r="F217" s="67">
        <f ca="1">IF(TODAY()&gt;=$A217,SUMIFS(Tabla1[Avance_Med],Tabla1[Fecha],"&lt;="&amp;EV!$A217,Tabla1[nombre_actividad],EV!F$1),NA())</f>
        <v>376</v>
      </c>
      <c r="G217" s="67"/>
      <c r="H217" s="110"/>
      <c r="I217" s="228">
        <f ca="1">+C217*Catalogo!$F$19+EV!D217*Catalogo!$F$14+EV!E217*Catalogo!$F$16+EV!F217*Catalogo!$F$18</f>
        <v>5450306.0271900017</v>
      </c>
      <c r="J217" s="228">
        <f ca="1">IF(TODAY()&gt;=$A217,SUMIFS(Tabla1[EV],Tabla1[Fecha],"&lt;="&amp;A217,Tabla1[EV],"&gt;0"),NA())</f>
        <v>7137731.0471900012</v>
      </c>
      <c r="L217"/>
      <c r="M217" s="225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</row>
    <row r="218" spans="1:30" x14ac:dyDescent="0.25">
      <c r="A218" s="62">
        <f t="shared" si="5"/>
        <v>46178</v>
      </c>
      <c r="B218" s="62"/>
      <c r="C218" s="110">
        <f ca="1">IF(TODAY()&gt;=$A218,SUMIFS(Tabla1[Avance_km],Tabla1[Fecha],"&lt;="&amp;EV!$A218,Tabla1[nombre_actividad],EV!C$1),NA())</f>
        <v>130.97100000000006</v>
      </c>
      <c r="D218" s="110">
        <f ca="1">IF(TODAY()&gt;=$A218,SUMIFS(Tabla1[Avance_km],Tabla1[Fecha],"&lt;="&amp;EV!$A218,Tabla1[nombre_actividad],EV!D$1),NA())</f>
        <v>117.30000000000001</v>
      </c>
      <c r="E218" s="110">
        <f ca="1">IF(TODAY()&gt;=$A218,SUMIFS(Tabla1[Avance_km],Tabla1[Fecha],"&lt;="&amp;EV!$A218,Tabla1[nombre_actividad],EV!E$1,Tabla1[Avance_km],"&gt;0"),NA())</f>
        <v>125.76700000000011</v>
      </c>
      <c r="F218" s="67">
        <f ca="1">IF(TODAY()&gt;=$A218,SUMIFS(Tabla1[Avance_Med],Tabla1[Fecha],"&lt;="&amp;EV!$A218,Tabla1[nombre_actividad],EV!F$1),NA())</f>
        <v>376</v>
      </c>
      <c r="G218" s="67"/>
      <c r="H218" s="110"/>
      <c r="I218" s="228">
        <f ca="1">+C218*Catalogo!$F$19+EV!D218*Catalogo!$F$14+EV!E218*Catalogo!$F$16+EV!F218*Catalogo!$F$18</f>
        <v>5455276.866030002</v>
      </c>
      <c r="J218" s="228">
        <f ca="1">IF(TODAY()&gt;=$A218,SUMIFS(Tabla1[EV],Tabla1[Fecha],"&lt;="&amp;A218,Tabla1[EV],"&gt;0"),NA())</f>
        <v>7142701.8860300006</v>
      </c>
      <c r="L218"/>
      <c r="M218" s="225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</row>
    <row r="219" spans="1:30" x14ac:dyDescent="0.25">
      <c r="A219" s="62">
        <f t="shared" si="5"/>
        <v>46179</v>
      </c>
      <c r="B219" s="62"/>
      <c r="C219" s="110">
        <f ca="1">IF(TODAY()&gt;=$A219,SUMIFS(Tabla1[Avance_km],Tabla1[Fecha],"&lt;="&amp;EV!$A219,Tabla1[nombre_actividad],EV!C$1),NA())</f>
        <v>130.97100000000006</v>
      </c>
      <c r="D219" s="110">
        <f ca="1">IF(TODAY()&gt;=$A219,SUMIFS(Tabla1[Avance_km],Tabla1[Fecha],"&lt;="&amp;EV!$A219,Tabla1[nombre_actividad],EV!D$1),NA())</f>
        <v>119.18</v>
      </c>
      <c r="E219" s="110">
        <f ca="1">IF(TODAY()&gt;=$A219,SUMIFS(Tabla1[Avance_km],Tabla1[Fecha],"&lt;="&amp;EV!$A219,Tabla1[nombre_actividad],EV!E$1,Tabla1[Avance_km],"&gt;0"),NA())</f>
        <v>125.76700000000011</v>
      </c>
      <c r="F219" s="67">
        <f ca="1">IF(TODAY()&gt;=$A219,SUMIFS(Tabla1[Avance_Med],Tabla1[Fecha],"&lt;="&amp;EV!$A219,Tabla1[nombre_actividad],EV!F$1),NA())</f>
        <v>376</v>
      </c>
      <c r="G219" s="67"/>
      <c r="H219" s="110"/>
      <c r="I219" s="228">
        <f ca="1">+C219*Catalogo!$F$19+EV!D219*Catalogo!$F$14+EV!E219*Catalogo!$F$16+EV!F219*Catalogo!$F$18</f>
        <v>5482577.1168300016</v>
      </c>
      <c r="J219" s="228">
        <f ca="1">IF(TODAY()&gt;=$A219,SUMIFS(Tabla1[EV],Tabla1[Fecha],"&lt;="&amp;A219,Tabla1[EV],"&gt;0"),NA())</f>
        <v>7170002.1368300002</v>
      </c>
      <c r="L219"/>
      <c r="M219" s="225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</row>
    <row r="220" spans="1:30" x14ac:dyDescent="0.25">
      <c r="A220" s="62">
        <f t="shared" si="5"/>
        <v>46180</v>
      </c>
      <c r="B220" s="62"/>
      <c r="C220" s="110">
        <f ca="1">IF(TODAY()&gt;=$A220,SUMIFS(Tabla1[Avance_km],Tabla1[Fecha],"&lt;="&amp;EV!$A220,Tabla1[nombre_actividad],EV!C$1),NA())</f>
        <v>130.97100000000006</v>
      </c>
      <c r="D220" s="110">
        <f ca="1">IF(TODAY()&gt;=$A220,SUMIFS(Tabla1[Avance_km],Tabla1[Fecha],"&lt;="&amp;EV!$A220,Tabla1[nombre_actividad],EV!D$1),NA())</f>
        <v>119.18</v>
      </c>
      <c r="E220" s="110">
        <f ca="1">IF(TODAY()&gt;=$A220,SUMIFS(Tabla1[Avance_km],Tabla1[Fecha],"&lt;="&amp;EV!$A220,Tabla1[nombre_actividad],EV!E$1,Tabla1[Avance_km],"&gt;0"),NA())</f>
        <v>125.76700000000011</v>
      </c>
      <c r="F220" s="67">
        <f ca="1">IF(TODAY()&gt;=$A220,SUMIFS(Tabla1[Avance_Med],Tabla1[Fecha],"&lt;="&amp;EV!$A220,Tabla1[nombre_actividad],EV!F$1),NA())</f>
        <v>376</v>
      </c>
      <c r="G220" s="67"/>
      <c r="H220" s="110"/>
      <c r="I220" s="228">
        <f ca="1">+C220*Catalogo!$F$19+EV!D220*Catalogo!$F$14+EV!E220*Catalogo!$F$16+EV!F220*Catalogo!$F$18</f>
        <v>5482577.1168300016</v>
      </c>
      <c r="J220" s="228">
        <f ca="1">IF(TODAY()&gt;=$A220,SUMIFS(Tabla1[EV],Tabla1[Fecha],"&lt;="&amp;A220,Tabla1[EV],"&gt;0"),NA())</f>
        <v>7170002.1368300002</v>
      </c>
      <c r="L220"/>
      <c r="M220" s="225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</row>
    <row r="221" spans="1:30" x14ac:dyDescent="0.25">
      <c r="A221" s="62">
        <f t="shared" si="5"/>
        <v>46181</v>
      </c>
      <c r="B221" s="62"/>
      <c r="C221" s="110">
        <f ca="1">IF(TODAY()&gt;=$A221,SUMIFS(Tabla1[Avance_km],Tabla1[Fecha],"&lt;="&amp;EV!$A221,Tabla1[nombre_actividad],EV!C$1),NA())</f>
        <v>130.97100000000006</v>
      </c>
      <c r="D221" s="110">
        <f ca="1">IF(TODAY()&gt;=$A221,SUMIFS(Tabla1[Avance_km],Tabla1[Fecha],"&lt;="&amp;EV!$A221,Tabla1[nombre_actividad],EV!D$1),NA())</f>
        <v>120.56200000000001</v>
      </c>
      <c r="E221" s="110">
        <f ca="1">IF(TODAY()&gt;=$A221,SUMIFS(Tabla1[Avance_km],Tabla1[Fecha],"&lt;="&amp;EV!$A221,Tabla1[nombre_actividad],EV!E$1,Tabla1[Avance_km],"&gt;0"),NA())</f>
        <v>125.76700000000011</v>
      </c>
      <c r="F221" s="67">
        <f ca="1">IF(TODAY()&gt;=$A221,SUMIFS(Tabla1[Avance_Med],Tabla1[Fecha],"&lt;="&amp;EV!$A221,Tabla1[nombre_actividad],EV!F$1),NA())</f>
        <v>376</v>
      </c>
      <c r="G221" s="67"/>
      <c r="H221" s="110"/>
      <c r="I221" s="228">
        <f ca="1">+C221*Catalogo!$F$19+EV!D221*Catalogo!$F$14+EV!E221*Catalogo!$F$16+EV!F221*Catalogo!$F$18</f>
        <v>5502645.7054500021</v>
      </c>
      <c r="J221" s="228">
        <f ca="1">IF(TODAY()&gt;=$A221,SUMIFS(Tabla1[EV],Tabla1[Fecha],"&lt;="&amp;A221,Tabla1[EV],"&gt;0"),NA())</f>
        <v>7190070.7254499998</v>
      </c>
      <c r="L221"/>
      <c r="M221" s="225"/>
      <c r="N221"/>
      <c r="O221"/>
      <c r="P221"/>
      <c r="Q221"/>
      <c r="R221"/>
      <c r="S221"/>
      <c r="T221"/>
      <c r="U221"/>
      <c r="V221"/>
    </row>
    <row r="222" spans="1:30" x14ac:dyDescent="0.25">
      <c r="A222" s="62">
        <f t="shared" si="5"/>
        <v>46182</v>
      </c>
      <c r="B222" s="62"/>
      <c r="C222" s="110">
        <f ca="1">IF(TODAY()&gt;=$A222,SUMIFS(Tabla1[Avance_km],Tabla1[Fecha],"&lt;="&amp;EV!$A222,Tabla1[nombre_actividad],EV!C$1),NA())</f>
        <v>130.97100000000006</v>
      </c>
      <c r="D222" s="110">
        <f ca="1">IF(TODAY()&gt;=$A222,SUMIFS(Tabla1[Avance_km],Tabla1[Fecha],"&lt;="&amp;EV!$A222,Tabla1[nombre_actividad],EV!D$1),NA())</f>
        <v>121.95300000000002</v>
      </c>
      <c r="E222" s="110">
        <f ca="1">IF(TODAY()&gt;=$A222,SUMIFS(Tabla1[Avance_km],Tabla1[Fecha],"&lt;="&amp;EV!$A222,Tabla1[nombre_actividad],EV!E$1,Tabla1[Avance_km],"&gt;0"),NA())</f>
        <v>125.76700000000011</v>
      </c>
      <c r="F222" s="67">
        <f ca="1">IF(TODAY()&gt;=$A222,SUMIFS(Tabla1[Avance_Med],Tabla1[Fecha],"&lt;="&amp;EV!$A222,Tabla1[nombre_actividad],EV!F$1),NA())</f>
        <v>376</v>
      </c>
      <c r="G222" s="67"/>
      <c r="H222" s="110"/>
      <c r="I222" s="228">
        <f ca="1">+C222*Catalogo!$F$19+EV!D222*Catalogo!$F$14+EV!E222*Catalogo!$F$16+EV!F222*Catalogo!$F$18</f>
        <v>5522844.9867600016</v>
      </c>
      <c r="J222" s="228">
        <f ca="1">IF(TODAY()&gt;=$A222,SUMIFS(Tabla1[EV],Tabla1[Fecha],"&lt;="&amp;A222,Tabla1[EV],"&gt;0"),NA())</f>
        <v>7210270.0067600003</v>
      </c>
      <c r="L222"/>
      <c r="M222" s="225"/>
      <c r="N222"/>
      <c r="O222"/>
      <c r="P222"/>
      <c r="Q222"/>
      <c r="R222"/>
      <c r="S222"/>
      <c r="T222"/>
      <c r="U222"/>
      <c r="V222"/>
    </row>
    <row r="223" spans="1:30" x14ac:dyDescent="0.25">
      <c r="A223" s="62">
        <f t="shared" si="5"/>
        <v>46183</v>
      </c>
      <c r="B223" s="62"/>
      <c r="C223" s="110">
        <f ca="1">IF(TODAY()&gt;=$A223,SUMIFS(Tabla1[Avance_km],Tabla1[Fecha],"&lt;="&amp;EV!$A223,Tabla1[nombre_actividad],EV!C$1),NA())</f>
        <v>130.97100000000006</v>
      </c>
      <c r="D223" s="110">
        <f ca="1">IF(TODAY()&gt;=$A223,SUMIFS(Tabla1[Avance_km],Tabla1[Fecha],"&lt;="&amp;EV!$A223,Tabla1[nombre_actividad],EV!D$1),NA())</f>
        <v>122.98</v>
      </c>
      <c r="E223" s="110">
        <f ca="1">IF(TODAY()&gt;=$A223,SUMIFS(Tabla1[Avance_km],Tabla1[Fecha],"&lt;="&amp;EV!$A223,Tabla1[nombre_actividad],EV!E$1,Tabla1[Avance_km],"&gt;0"),NA())</f>
        <v>125.76700000000011</v>
      </c>
      <c r="F223" s="67">
        <f ca="1">IF(TODAY()&gt;=$A223,SUMIFS(Tabla1[Avance_Med],Tabla1[Fecha],"&lt;="&amp;EV!$A223,Tabla1[nombre_actividad],EV!F$1),NA())</f>
        <v>376</v>
      </c>
      <c r="G223" s="67"/>
      <c r="H223" s="110"/>
      <c r="I223" s="228">
        <f ca="1">+C223*Catalogo!$F$19+EV!D223*Catalogo!$F$14+EV!E223*Catalogo!$F$16+EV!F223*Catalogo!$F$18</f>
        <v>5537758.4748300016</v>
      </c>
      <c r="J223" s="228">
        <f ca="1">IF(TODAY()&gt;=$A223,SUMIFS(Tabla1[EV],Tabla1[Fecha],"&lt;="&amp;A223,Tabla1[EV],"&gt;0"),NA())</f>
        <v>7225183.4948299993</v>
      </c>
      <c r="L223"/>
      <c r="M223" s="225"/>
      <c r="N223"/>
      <c r="O223"/>
      <c r="P223"/>
      <c r="Q223"/>
      <c r="R223"/>
      <c r="S223"/>
      <c r="T223"/>
      <c r="U223"/>
      <c r="V223"/>
    </row>
    <row r="224" spans="1:30" x14ac:dyDescent="0.25">
      <c r="A224" s="62">
        <f t="shared" si="5"/>
        <v>46184</v>
      </c>
      <c r="B224" s="62"/>
      <c r="C224" s="110">
        <f ca="1">IF(TODAY()&gt;=$A224,SUMIFS(Tabla1[Avance_km],Tabla1[Fecha],"&lt;="&amp;EV!$A224,Tabla1[nombre_actividad],EV!C$1),NA())</f>
        <v>130.97100000000006</v>
      </c>
      <c r="D224" s="110">
        <f ca="1">IF(TODAY()&gt;=$A224,SUMIFS(Tabla1[Avance_km],Tabla1[Fecha],"&lt;="&amp;EV!$A224,Tabla1[nombre_actividad],EV!D$1),NA())</f>
        <v>123.88300000000001</v>
      </c>
      <c r="E224" s="110">
        <f ca="1">IF(TODAY()&gt;=$A224,SUMIFS(Tabla1[Avance_km],Tabla1[Fecha],"&lt;="&amp;EV!$A224,Tabla1[nombre_actividad],EV!E$1,Tabla1[Avance_km],"&gt;0"),NA())</f>
        <v>125.76700000000011</v>
      </c>
      <c r="F224" s="67">
        <f ca="1">IF(TODAY()&gt;=$A224,SUMIFS(Tabla1[Avance_Med],Tabla1[Fecha],"&lt;="&amp;EV!$A224,Tabla1[nombre_actividad],EV!F$1),NA())</f>
        <v>376</v>
      </c>
      <c r="G224" s="67"/>
      <c r="H224" s="110"/>
      <c r="I224" s="228">
        <f ca="1">+C224*Catalogo!$F$19+EV!D224*Catalogo!$F$14+EV!E224*Catalogo!$F$16+EV!F224*Catalogo!$F$18</f>
        <v>5550871.3080600016</v>
      </c>
      <c r="J224" s="228">
        <f ca="1">IF(TODAY()&gt;=$A224,SUMIFS(Tabla1[EV],Tabla1[Fecha],"&lt;="&amp;A224,Tabla1[EV],"&gt;0"),NA())</f>
        <v>7238296.3280599993</v>
      </c>
      <c r="L224"/>
      <c r="M224" s="225"/>
      <c r="N224"/>
      <c r="O224"/>
      <c r="P224"/>
      <c r="Q224"/>
      <c r="R224"/>
      <c r="S224"/>
      <c r="T224"/>
      <c r="U224"/>
      <c r="V224"/>
    </row>
    <row r="225" spans="1:22" x14ac:dyDescent="0.25">
      <c r="A225" s="62">
        <f t="shared" si="5"/>
        <v>46185</v>
      </c>
      <c r="B225" s="62"/>
      <c r="C225" s="110">
        <f ca="1">IF(TODAY()&gt;=$A225,SUMIFS(Tabla1[Avance_km],Tabla1[Fecha],"&lt;="&amp;EV!$A225,Tabla1[nombre_actividad],EV!C$1),NA())</f>
        <v>130.97100000000006</v>
      </c>
      <c r="D225" s="110">
        <f ca="1">IF(TODAY()&gt;=$A225,SUMIFS(Tabla1[Avance_km],Tabla1[Fecha],"&lt;="&amp;EV!$A225,Tabla1[nombre_actividad],EV!D$1),NA())</f>
        <v>124.75500000000001</v>
      </c>
      <c r="E225" s="110">
        <f ca="1">IF(TODAY()&gt;=$A225,SUMIFS(Tabla1[Avance_km],Tabla1[Fecha],"&lt;="&amp;EV!$A225,Tabla1[nombre_actividad],EV!E$1,Tabla1[Avance_km],"&gt;0"),NA())</f>
        <v>125.76700000000011</v>
      </c>
      <c r="F225" s="67">
        <f ca="1">IF(TODAY()&gt;=$A225,SUMIFS(Tabla1[Avance_Med],Tabla1[Fecha],"&lt;="&amp;EV!$A225,Tabla1[nombre_actividad],EV!F$1),NA())</f>
        <v>376</v>
      </c>
      <c r="G225" s="67"/>
      <c r="H225" s="110"/>
      <c r="I225" s="228">
        <f ca="1">+C225*Catalogo!$F$19+EV!D225*Catalogo!$F$14+EV!E225*Catalogo!$F$16+EV!F225*Catalogo!$F$18</f>
        <v>5563533.9775800016</v>
      </c>
      <c r="J225" s="228">
        <f ca="1">IF(TODAY()&gt;=$A225,SUMIFS(Tabla1[EV],Tabla1[Fecha],"&lt;="&amp;A225,Tabla1[EV],"&gt;0"),NA())</f>
        <v>7250958.9975799993</v>
      </c>
      <c r="L225"/>
      <c r="M225" s="225"/>
      <c r="N225"/>
      <c r="O225"/>
      <c r="P225"/>
      <c r="Q225"/>
      <c r="R225"/>
      <c r="S225"/>
      <c r="T225"/>
      <c r="U225"/>
      <c r="V225"/>
    </row>
    <row r="226" spans="1:22" x14ac:dyDescent="0.25">
      <c r="A226" s="62">
        <f t="shared" si="5"/>
        <v>46186</v>
      </c>
      <c r="B226" s="62"/>
      <c r="C226" s="110">
        <f ca="1">IF(TODAY()&gt;=$A226,SUMIFS(Tabla1[Avance_km],Tabla1[Fecha],"&lt;="&amp;EV!$A226,Tabla1[nombre_actividad],EV!C$1),NA())</f>
        <v>130.97100000000006</v>
      </c>
      <c r="D226" s="110">
        <f ca="1">IF(TODAY()&gt;=$A226,SUMIFS(Tabla1[Avance_km],Tabla1[Fecha],"&lt;="&amp;EV!$A226,Tabla1[nombre_actividad],EV!D$1),NA())</f>
        <v>124.75500000000001</v>
      </c>
      <c r="E226" s="110">
        <f ca="1">IF(TODAY()&gt;=$A226,SUMIFS(Tabla1[Avance_km],Tabla1[Fecha],"&lt;="&amp;EV!$A226,Tabla1[nombre_actividad],EV!E$1,Tabla1[Avance_km],"&gt;0"),NA())</f>
        <v>125.76700000000011</v>
      </c>
      <c r="F226" s="67">
        <f ca="1">IF(TODAY()&gt;=$A226,SUMIFS(Tabla1[Avance_Med],Tabla1[Fecha],"&lt;="&amp;EV!$A226,Tabla1[nombre_actividad],EV!F$1),NA())</f>
        <v>376</v>
      </c>
      <c r="G226" s="67"/>
      <c r="H226" s="110"/>
      <c r="I226" s="228">
        <f ca="1">+C226*Catalogo!$F$19+EV!D226*Catalogo!$F$14+EV!E226*Catalogo!$F$16+EV!F226*Catalogo!$F$18</f>
        <v>5563533.9775800016</v>
      </c>
      <c r="J226" s="228">
        <f ca="1">IF(TODAY()&gt;=$A226,SUMIFS(Tabla1[EV],Tabla1[Fecha],"&lt;="&amp;A226,Tabla1[EV],"&gt;0"),NA())</f>
        <v>7250958.9975799993</v>
      </c>
      <c r="L226"/>
      <c r="M226" s="225"/>
      <c r="N226"/>
      <c r="O226"/>
      <c r="P226"/>
      <c r="Q226"/>
      <c r="R226"/>
      <c r="S226"/>
      <c r="T226"/>
      <c r="U226"/>
      <c r="V226"/>
    </row>
    <row r="227" spans="1:22" x14ac:dyDescent="0.25">
      <c r="A227" s="62">
        <f t="shared" si="5"/>
        <v>46187</v>
      </c>
      <c r="B227" s="62"/>
      <c r="C227" s="110">
        <f ca="1">IF(TODAY()&gt;=$A227,SUMIFS(Tabla1[Avance_km],Tabla1[Fecha],"&lt;="&amp;EV!$A227,Tabla1[nombre_actividad],EV!C$1),NA())</f>
        <v>130.97100000000006</v>
      </c>
      <c r="D227" s="110">
        <f ca="1">IF(TODAY()&gt;=$A227,SUMIFS(Tabla1[Avance_km],Tabla1[Fecha],"&lt;="&amp;EV!$A227,Tabla1[nombre_actividad],EV!D$1),NA())</f>
        <v>124.75500000000001</v>
      </c>
      <c r="E227" s="110">
        <f ca="1">IF(TODAY()&gt;=$A227,SUMIFS(Tabla1[Avance_km],Tabla1[Fecha],"&lt;="&amp;EV!$A227,Tabla1[nombre_actividad],EV!E$1,Tabla1[Avance_km],"&gt;0"),NA())</f>
        <v>125.76700000000011</v>
      </c>
      <c r="F227" s="67">
        <f ca="1">IF(TODAY()&gt;=$A227,SUMIFS(Tabla1[Avance_Med],Tabla1[Fecha],"&lt;="&amp;EV!$A227,Tabla1[nombre_actividad],EV!F$1),NA())</f>
        <v>376</v>
      </c>
      <c r="G227" s="67"/>
      <c r="H227" s="110"/>
      <c r="I227" s="228">
        <f ca="1">+C227*Catalogo!$F$19+EV!D227*Catalogo!$F$14+EV!E227*Catalogo!$F$16+EV!F227*Catalogo!$F$18</f>
        <v>5563533.9775800016</v>
      </c>
      <c r="J227" s="228">
        <f ca="1">IF(TODAY()&gt;=$A227,SUMIFS(Tabla1[EV],Tabla1[Fecha],"&lt;="&amp;A227,Tabla1[EV],"&gt;0"),NA())</f>
        <v>7250958.9975799993</v>
      </c>
      <c r="L227"/>
      <c r="M227" s="225"/>
      <c r="N227"/>
      <c r="O227"/>
      <c r="P227"/>
      <c r="Q227"/>
      <c r="R227"/>
      <c r="S227"/>
      <c r="T227"/>
      <c r="U227"/>
      <c r="V227"/>
    </row>
    <row r="228" spans="1:22" x14ac:dyDescent="0.25">
      <c r="A228" s="62">
        <f t="shared" si="5"/>
        <v>46188</v>
      </c>
      <c r="B228" s="62"/>
      <c r="C228" s="110">
        <f ca="1">IF(TODAY()&gt;=$A228,SUMIFS(Tabla1[Avance_km],Tabla1[Fecha],"&lt;="&amp;EV!$A228,Tabla1[nombre_actividad],EV!C$1),NA())</f>
        <v>130.97100000000006</v>
      </c>
      <c r="D228" s="110">
        <f ca="1">IF(TODAY()&gt;=$A228,SUMIFS(Tabla1[Avance_km],Tabla1[Fecha],"&lt;="&amp;EV!$A228,Tabla1[nombre_actividad],EV!D$1),NA())</f>
        <v>125.22200000000001</v>
      </c>
      <c r="E228" s="110">
        <f ca="1">IF(TODAY()&gt;=$A228,SUMIFS(Tabla1[Avance_km],Tabla1[Fecha],"&lt;="&amp;EV!$A228,Tabla1[nombre_actividad],EV!E$1,Tabla1[Avance_km],"&gt;0"),NA())</f>
        <v>125.76700000000011</v>
      </c>
      <c r="F228" s="67">
        <f ca="1">IF(TODAY()&gt;=$A228,SUMIFS(Tabla1[Avance_Med],Tabla1[Fecha],"&lt;="&amp;EV!$A228,Tabla1[nombre_actividad],EV!F$1),NA())</f>
        <v>376</v>
      </c>
      <c r="G228" s="67"/>
      <c r="H228" s="110"/>
      <c r="I228" s="228">
        <f ca="1">+C228*Catalogo!$F$19+EV!D228*Catalogo!$F$14+EV!E228*Catalogo!$F$16+EV!F228*Catalogo!$F$18</f>
        <v>5570315.4760500016</v>
      </c>
      <c r="J228" s="228">
        <f ca="1">IF(TODAY()&gt;=$A228,SUMIFS(Tabla1[EV],Tabla1[Fecha],"&lt;="&amp;A228,Tabla1[EV],"&gt;0"),NA())</f>
        <v>7257740.4960499993</v>
      </c>
      <c r="L228"/>
      <c r="M228" s="225"/>
      <c r="N228"/>
      <c r="O228"/>
      <c r="P228"/>
      <c r="Q228"/>
      <c r="R228"/>
      <c r="S228"/>
      <c r="T228"/>
      <c r="U228"/>
      <c r="V228"/>
    </row>
    <row r="229" spans="1:22" x14ac:dyDescent="0.25">
      <c r="A229" s="62">
        <f t="shared" si="5"/>
        <v>46189</v>
      </c>
      <c r="B229" s="62"/>
      <c r="C229" s="110">
        <f ca="1">IF(TODAY()&gt;=$A229,SUMIFS(Tabla1[Avance_km],Tabla1[Fecha],"&lt;="&amp;EV!$A229,Tabla1[nombre_actividad],EV!C$1),NA())</f>
        <v>130.97100000000006</v>
      </c>
      <c r="D229" s="110">
        <f ca="1">IF(TODAY()&gt;=$A229,SUMIFS(Tabla1[Avance_km],Tabla1[Fecha],"&lt;="&amp;EV!$A229,Tabla1[nombre_actividad],EV!D$1),NA())</f>
        <v>125.92</v>
      </c>
      <c r="E229" s="110">
        <f ca="1">IF(TODAY()&gt;=$A229,SUMIFS(Tabla1[Avance_km],Tabla1[Fecha],"&lt;="&amp;EV!$A229,Tabla1[nombre_actividad],EV!E$1,Tabla1[Avance_km],"&gt;0"),NA())</f>
        <v>125.76700000000011</v>
      </c>
      <c r="F229" s="67">
        <f ca="1">IF(TODAY()&gt;=$A229,SUMIFS(Tabla1[Avance_Med],Tabla1[Fecha],"&lt;="&amp;EV!$A229,Tabla1[nombre_actividad],EV!F$1),NA())</f>
        <v>376</v>
      </c>
      <c r="G229" s="67"/>
      <c r="H229" s="110"/>
      <c r="I229" s="228">
        <f ca="1">+C229*Catalogo!$F$19+EV!D229*Catalogo!$F$14+EV!E229*Catalogo!$F$16+EV!F229*Catalogo!$F$18</f>
        <v>5580451.4202300012</v>
      </c>
      <c r="J229" s="228">
        <f ca="1">IF(TODAY()&gt;=$A229,SUMIFS(Tabla1[EV],Tabla1[Fecha],"&lt;="&amp;A229,Tabla1[EV],"&gt;0"),NA())</f>
        <v>7267876.4402299989</v>
      </c>
      <c r="L229"/>
      <c r="M229" s="225"/>
      <c r="N229"/>
      <c r="O229"/>
      <c r="P229"/>
      <c r="Q229"/>
      <c r="R229"/>
      <c r="S229"/>
      <c r="T229"/>
      <c r="U229"/>
      <c r="V229"/>
    </row>
    <row r="230" spans="1:22" x14ac:dyDescent="0.25">
      <c r="A230" s="62">
        <f t="shared" si="5"/>
        <v>46190</v>
      </c>
      <c r="B230" s="62"/>
      <c r="C230" s="110">
        <f ca="1">IF(TODAY()&gt;=$A230,SUMIFS(Tabla1[Avance_km],Tabla1[Fecha],"&lt;="&amp;EV!$A230,Tabla1[nombre_actividad],EV!C$1),NA())</f>
        <v>130.97100000000006</v>
      </c>
      <c r="D230" s="110">
        <f ca="1">IF(TODAY()&gt;=$A230,SUMIFS(Tabla1[Avance_km],Tabla1[Fecha],"&lt;="&amp;EV!$A230,Tabla1[nombre_actividad],EV!D$1),NA())</f>
        <v>126.35899999999999</v>
      </c>
      <c r="E230" s="110">
        <f ca="1">IF(TODAY()&gt;=$A230,SUMIFS(Tabla1[Avance_km],Tabla1[Fecha],"&lt;="&amp;EV!$A230,Tabla1[nombre_actividad],EV!E$1,Tabla1[Avance_km],"&gt;0"),NA())</f>
        <v>125.76700000000011</v>
      </c>
      <c r="F230" s="67">
        <f ca="1">IF(TODAY()&gt;=$A230,SUMIFS(Tabla1[Avance_Med],Tabla1[Fecha],"&lt;="&amp;EV!$A230,Tabla1[nombre_actividad],EV!F$1),NA())</f>
        <v>376</v>
      </c>
      <c r="G230" s="67"/>
      <c r="H230" s="110"/>
      <c r="I230" s="228">
        <f ca="1">+C230*Catalogo!$F$19+EV!D230*Catalogo!$F$14+EV!E230*Catalogo!$F$16+EV!F230*Catalogo!$F$18</f>
        <v>5586826.3192200018</v>
      </c>
      <c r="J230" s="228">
        <f ca="1">IF(TODAY()&gt;=$A230,SUMIFS(Tabla1[EV],Tabla1[Fecha],"&lt;="&amp;A230,Tabla1[EV],"&gt;0"),NA())</f>
        <v>7274251.3392199986</v>
      </c>
      <c r="L230"/>
      <c r="M230" s="225"/>
      <c r="N230"/>
      <c r="O230"/>
      <c r="P230"/>
      <c r="Q230"/>
      <c r="R230"/>
      <c r="S230"/>
      <c r="T230"/>
      <c r="U230"/>
      <c r="V230"/>
    </row>
    <row r="231" spans="1:22" x14ac:dyDescent="0.25">
      <c r="A231" s="62">
        <f t="shared" si="5"/>
        <v>46191</v>
      </c>
      <c r="B231" s="62"/>
      <c r="C231" s="110">
        <f ca="1">IF(TODAY()&gt;=$A231,SUMIFS(Tabla1[Avance_km],Tabla1[Fecha],"&lt;="&amp;EV!$A231,Tabla1[nombre_actividad],EV!C$1),NA())</f>
        <v>130.97100000000006</v>
      </c>
      <c r="D231" s="110">
        <f ca="1">IF(TODAY()&gt;=$A231,SUMIFS(Tabla1[Avance_km],Tabla1[Fecha],"&lt;="&amp;EV!$A231,Tabla1[nombre_actividad],EV!D$1),NA())</f>
        <v>127.53099999999999</v>
      </c>
      <c r="E231" s="110">
        <f ca="1">IF(TODAY()&gt;=$A231,SUMIFS(Tabla1[Avance_km],Tabla1[Fecha],"&lt;="&amp;EV!$A231,Tabla1[nombre_actividad],EV!E$1,Tabla1[Avance_km],"&gt;0"),NA())</f>
        <v>125.76700000000011</v>
      </c>
      <c r="F231" s="67">
        <f ca="1">IF(TODAY()&gt;=$A231,SUMIFS(Tabla1[Avance_Med],Tabla1[Fecha],"&lt;="&amp;EV!$A231,Tabla1[nombre_actividad],EV!F$1),NA())</f>
        <v>376</v>
      </c>
      <c r="G231" s="67"/>
      <c r="H231" s="110"/>
      <c r="I231" s="228">
        <f ca="1">+C231*Catalogo!$F$19+EV!D231*Catalogo!$F$14+EV!E231*Catalogo!$F$16+EV!F231*Catalogo!$F$18</f>
        <v>5603845.4117400013</v>
      </c>
      <c r="J231" s="228">
        <f ca="1">IF(TODAY()&gt;=$A231,SUMIFS(Tabla1[EV],Tabla1[Fecha],"&lt;="&amp;A231,Tabla1[EV],"&gt;0"),NA())</f>
        <v>7291270.4317399981</v>
      </c>
      <c r="L231"/>
      <c r="M231" s="225"/>
      <c r="N231"/>
      <c r="O231"/>
      <c r="P231"/>
      <c r="Q231"/>
      <c r="R231"/>
      <c r="S231"/>
      <c r="T231"/>
      <c r="U231"/>
      <c r="V231"/>
    </row>
    <row r="232" spans="1:22" x14ac:dyDescent="0.25">
      <c r="A232" s="62">
        <f t="shared" si="5"/>
        <v>46192</v>
      </c>
      <c r="B232" s="62"/>
      <c r="C232" s="110">
        <f ca="1">IF(TODAY()&gt;=$A232,SUMIFS(Tabla1[Avance_km],Tabla1[Fecha],"&lt;="&amp;EV!$A232,Tabla1[nombre_actividad],EV!C$1),NA())</f>
        <v>132.54000000000008</v>
      </c>
      <c r="D232" s="110">
        <f ca="1">IF(TODAY()&gt;=$A232,SUMIFS(Tabla1[Avance_km],Tabla1[Fecha],"&lt;="&amp;EV!$A232,Tabla1[nombre_actividad],EV!D$1),NA())</f>
        <v>127.664</v>
      </c>
      <c r="E232" s="110">
        <f ca="1">IF(TODAY()&gt;=$A232,SUMIFS(Tabla1[Avance_km],Tabla1[Fecha],"&lt;="&amp;EV!$A232,Tabla1[nombre_actividad],EV!E$1,Tabla1[Avance_km],"&gt;0"),NA())</f>
        <v>125.76700000000011</v>
      </c>
      <c r="F232" s="67">
        <f ca="1">IF(TODAY()&gt;=$A232,SUMIFS(Tabla1[Avance_Med],Tabla1[Fecha],"&lt;="&amp;EV!$A232,Tabla1[nombre_actividad],EV!F$1),NA())</f>
        <v>376</v>
      </c>
      <c r="G232" s="67"/>
      <c r="H232" s="110"/>
      <c r="I232" s="228">
        <f ca="1">+C232*Catalogo!$F$19+EV!D232*Catalogo!$F$14+EV!E232*Catalogo!$F$16+EV!F232*Catalogo!$F$18</f>
        <v>5609318.651250002</v>
      </c>
      <c r="J232" s="228">
        <f ca="1">IF(TODAY()&gt;=$A232,SUMIFS(Tabla1[EV],Tabla1[Fecha],"&lt;="&amp;A232,Tabla1[EV],"&gt;0"),NA())</f>
        <v>7296743.6712499978</v>
      </c>
      <c r="L232"/>
      <c r="M232" s="225"/>
      <c r="N232"/>
      <c r="O232"/>
      <c r="P232"/>
      <c r="Q232"/>
      <c r="R232"/>
      <c r="S232"/>
      <c r="T232"/>
      <c r="U232"/>
      <c r="V232"/>
    </row>
    <row r="233" spans="1:22" x14ac:dyDescent="0.25">
      <c r="A233" s="62">
        <f t="shared" si="5"/>
        <v>46193</v>
      </c>
      <c r="B233" s="62"/>
      <c r="C233" s="110">
        <f ca="1">IF(TODAY()&gt;=$A233,SUMIFS(Tabla1[Avance_km],Tabla1[Fecha],"&lt;="&amp;EV!$A233,Tabla1[nombre_actividad],EV!C$1),NA())</f>
        <v>132.55400000000009</v>
      </c>
      <c r="D233" s="110">
        <f ca="1">IF(TODAY()&gt;=$A233,SUMIFS(Tabla1[Avance_km],Tabla1[Fecha],"&lt;="&amp;EV!$A233,Tabla1[nombre_actividad],EV!D$1),NA())</f>
        <v>127.678</v>
      </c>
      <c r="E233" s="110">
        <f ca="1">IF(TODAY()&gt;=$A233,SUMIFS(Tabla1[Avance_km],Tabla1[Fecha],"&lt;="&amp;EV!$A233,Tabla1[nombre_actividad],EV!E$1,Tabla1[Avance_km],"&gt;0"),NA())</f>
        <v>125.76700000000011</v>
      </c>
      <c r="F233" s="67">
        <f ca="1">IF(TODAY()&gt;=$A233,SUMIFS(Tabla1[Avance_Med],Tabla1[Fecha],"&lt;="&amp;EV!$A233,Tabla1[nombre_actividad],EV!F$1),NA())</f>
        <v>376</v>
      </c>
      <c r="G233" s="67"/>
      <c r="H233" s="110"/>
      <c r="I233" s="228">
        <f ca="1">+C233*Catalogo!$F$19+EV!D233*Catalogo!$F$14+EV!E233*Catalogo!$F$16+EV!F233*Catalogo!$F$18</f>
        <v>5609553.554870002</v>
      </c>
      <c r="J233" s="228">
        <f ca="1">IF(TODAY()&gt;=$A233,SUMIFS(Tabla1[EV],Tabla1[Fecha],"&lt;="&amp;A233,Tabla1[EV],"&gt;0"),NA())</f>
        <v>7296978.5748699978</v>
      </c>
      <c r="L233"/>
      <c r="M233" s="225"/>
      <c r="N233"/>
      <c r="O233"/>
      <c r="P233"/>
      <c r="Q233"/>
      <c r="R233"/>
      <c r="S233"/>
      <c r="T233"/>
      <c r="U233"/>
      <c r="V233"/>
    </row>
    <row r="234" spans="1:22" x14ac:dyDescent="0.25">
      <c r="A234" s="62">
        <f t="shared" si="5"/>
        <v>46194</v>
      </c>
      <c r="B234" s="62"/>
      <c r="C234" s="110">
        <f ca="1">IF(TODAY()&gt;=$A234,SUMIFS(Tabla1[Avance_km],Tabla1[Fecha],"&lt;="&amp;EV!$A234,Tabla1[nombre_actividad],EV!C$1),NA())</f>
        <v>132.55400000000009</v>
      </c>
      <c r="D234" s="110">
        <f ca="1">IF(TODAY()&gt;=$A234,SUMIFS(Tabla1[Avance_km],Tabla1[Fecha],"&lt;="&amp;EV!$A234,Tabla1[nombre_actividad],EV!D$1),NA())</f>
        <v>127.678</v>
      </c>
      <c r="E234" s="110">
        <f ca="1">IF(TODAY()&gt;=$A234,SUMIFS(Tabla1[Avance_km],Tabla1[Fecha],"&lt;="&amp;EV!$A234,Tabla1[nombre_actividad],EV!E$1,Tabla1[Avance_km],"&gt;0"),NA())</f>
        <v>125.76700000000011</v>
      </c>
      <c r="F234" s="67">
        <f ca="1">IF(TODAY()&gt;=$A234,SUMIFS(Tabla1[Avance_Med],Tabla1[Fecha],"&lt;="&amp;EV!$A234,Tabla1[nombre_actividad],EV!F$1),NA())</f>
        <v>376</v>
      </c>
      <c r="G234" s="67"/>
      <c r="H234" s="110"/>
      <c r="I234" s="228">
        <f ca="1">+C234*Catalogo!$F$19+EV!D234*Catalogo!$F$14+EV!E234*Catalogo!$F$16+EV!F234*Catalogo!$F$18</f>
        <v>5609553.554870002</v>
      </c>
      <c r="J234" s="228">
        <f ca="1">IF(TODAY()&gt;=$A234,SUMIFS(Tabla1[EV],Tabla1[Fecha],"&lt;="&amp;A234,Tabla1[EV],"&gt;0"),NA())</f>
        <v>7296978.5748699978</v>
      </c>
      <c r="L234"/>
      <c r="M234" s="225"/>
      <c r="N234"/>
      <c r="O234"/>
      <c r="P234"/>
      <c r="Q234"/>
      <c r="R234"/>
      <c r="S234"/>
      <c r="T234"/>
      <c r="U234"/>
      <c r="V234"/>
    </row>
    <row r="235" spans="1:22" x14ac:dyDescent="0.25">
      <c r="A235" s="62">
        <f t="shared" si="5"/>
        <v>46195</v>
      </c>
      <c r="B235" s="62"/>
      <c r="C235" s="110">
        <f ca="1">IF(TODAY()&gt;=$A235,SUMIFS(Tabla1[Avance_km],Tabla1[Fecha],"&lt;="&amp;EV!$A235,Tabla1[nombre_actividad],EV!C$1),NA())</f>
        <v>132.55400000000009</v>
      </c>
      <c r="D235" s="110">
        <f ca="1">IF(TODAY()&gt;=$A235,SUMIFS(Tabla1[Avance_km],Tabla1[Fecha],"&lt;="&amp;EV!$A235,Tabla1[nombre_actividad],EV!D$1),NA())</f>
        <v>128.17399999999998</v>
      </c>
      <c r="E235" s="110">
        <f ca="1">IF(TODAY()&gt;=$A235,SUMIFS(Tabla1[Avance_km],Tabla1[Fecha],"&lt;="&amp;EV!$A235,Tabla1[nombre_actividad],EV!E$1,Tabla1[Avance_km],"&gt;0"),NA())</f>
        <v>125.76700000000011</v>
      </c>
      <c r="F235" s="67">
        <f ca="1">IF(TODAY()&gt;=$A235,SUMIFS(Tabla1[Avance_Med],Tabla1[Fecha],"&lt;="&amp;EV!$A235,Tabla1[nombre_actividad],EV!F$1),NA())</f>
        <v>376</v>
      </c>
      <c r="G235" s="67"/>
      <c r="H235" s="110"/>
      <c r="I235" s="228">
        <f ca="1">+C235*Catalogo!$F$19+EV!D235*Catalogo!$F$14+EV!E235*Catalogo!$F$16+EV!F235*Catalogo!$F$18</f>
        <v>5616756.1742300009</v>
      </c>
      <c r="J235" s="228">
        <f ca="1">IF(TODAY()&gt;=$A235,SUMIFS(Tabla1[EV],Tabla1[Fecha],"&lt;="&amp;A235,Tabla1[EV],"&gt;0"),NA())</f>
        <v>7304181.1942299977</v>
      </c>
      <c r="L235"/>
      <c r="M235" s="225"/>
      <c r="N235"/>
      <c r="O235"/>
      <c r="P235"/>
      <c r="Q235"/>
      <c r="R235"/>
      <c r="S235"/>
      <c r="T235"/>
      <c r="U235"/>
      <c r="V235"/>
    </row>
    <row r="236" spans="1:22" x14ac:dyDescent="0.25">
      <c r="A236" s="62">
        <f t="shared" si="5"/>
        <v>46196</v>
      </c>
      <c r="B236" s="62"/>
      <c r="C236" s="110">
        <f ca="1">IF(TODAY()&gt;=$A236,SUMIFS(Tabla1[Avance_km],Tabla1[Fecha],"&lt;="&amp;EV!$A236,Tabla1[nombre_actividad],EV!C$1),NA())</f>
        <v>132.55400000000009</v>
      </c>
      <c r="D236" s="110">
        <f ca="1">IF(TODAY()&gt;=$A236,SUMIFS(Tabla1[Avance_km],Tabla1[Fecha],"&lt;="&amp;EV!$A236,Tabla1[nombre_actividad],EV!D$1),NA())</f>
        <v>129.04499999999999</v>
      </c>
      <c r="E236" s="110">
        <f ca="1">IF(TODAY()&gt;=$A236,SUMIFS(Tabla1[Avance_km],Tabla1[Fecha],"&lt;="&amp;EV!$A236,Tabla1[nombre_actividad],EV!E$1,Tabla1[Avance_km],"&gt;0"),NA())</f>
        <v>125.76700000000011</v>
      </c>
      <c r="F236" s="67">
        <f ca="1">IF(TODAY()&gt;=$A236,SUMIFS(Tabla1[Avance_Med],Tabla1[Fecha],"&lt;="&amp;EV!$A236,Tabla1[nombre_actividad],EV!F$1),NA())</f>
        <v>376</v>
      </c>
      <c r="G236" s="67"/>
      <c r="H236" s="110"/>
      <c r="I236" s="228">
        <f ca="1">+C236*Catalogo!$F$19+EV!D236*Catalogo!$F$14+EV!E236*Catalogo!$F$16+EV!F236*Catalogo!$F$18</f>
        <v>5629404.3223400014</v>
      </c>
      <c r="J236" s="228">
        <f ca="1">IF(TODAY()&gt;=$A236,SUMIFS(Tabla1[EV],Tabla1[Fecha],"&lt;="&amp;A236,Tabla1[EV],"&gt;0"),NA())</f>
        <v>7316829.3423399981</v>
      </c>
      <c r="L236"/>
      <c r="M236" s="225"/>
      <c r="N236"/>
      <c r="O236"/>
      <c r="P236"/>
      <c r="Q236"/>
      <c r="R236"/>
      <c r="S236"/>
      <c r="T236"/>
      <c r="U236"/>
      <c r="V236"/>
    </row>
    <row r="237" spans="1:22" x14ac:dyDescent="0.25">
      <c r="A237" s="62">
        <f t="shared" si="5"/>
        <v>46197</v>
      </c>
      <c r="B237" s="62"/>
      <c r="C237" s="110">
        <f ca="1">IF(TODAY()&gt;=$A237,SUMIFS(Tabla1[Avance_km],Tabla1[Fecha],"&lt;="&amp;EV!$A237,Tabla1[nombre_actividad],EV!C$1),NA())</f>
        <v>132.55400000000009</v>
      </c>
      <c r="D237" s="110">
        <f ca="1">IF(TODAY()&gt;=$A237,SUMIFS(Tabla1[Avance_km],Tabla1[Fecha],"&lt;="&amp;EV!$A237,Tabla1[nombre_actividad],EV!D$1),NA())</f>
        <v>129.04499999999999</v>
      </c>
      <c r="E237" s="110">
        <f ca="1">IF(TODAY()&gt;=$A237,SUMIFS(Tabla1[Avance_km],Tabla1[Fecha],"&lt;="&amp;EV!$A237,Tabla1[nombre_actividad],EV!E$1,Tabla1[Avance_km],"&gt;0"),NA())</f>
        <v>125.76700000000011</v>
      </c>
      <c r="F237" s="67">
        <f ca="1">IF(TODAY()&gt;=$A237,SUMIFS(Tabla1[Avance_Med],Tabla1[Fecha],"&lt;="&amp;EV!$A237,Tabla1[nombre_actividad],EV!F$1),NA())</f>
        <v>376</v>
      </c>
      <c r="G237" s="67"/>
      <c r="H237" s="110"/>
      <c r="I237" s="228">
        <f ca="1">+C237*Catalogo!$F$19+EV!D237*Catalogo!$F$14+EV!E237*Catalogo!$F$16+EV!F237*Catalogo!$F$18</f>
        <v>5629404.3223400014</v>
      </c>
      <c r="J237" s="228">
        <f ca="1">IF(TODAY()&gt;=$A237,SUMIFS(Tabla1[EV],Tabla1[Fecha],"&lt;="&amp;A237,Tabla1[EV],"&gt;0"),NA())</f>
        <v>7316829.3423399981</v>
      </c>
      <c r="L237"/>
      <c r="M237" s="225"/>
      <c r="N237"/>
      <c r="O237"/>
      <c r="P237"/>
      <c r="Q237"/>
      <c r="R237"/>
      <c r="S237"/>
      <c r="T237"/>
      <c r="U237"/>
      <c r="V237"/>
    </row>
    <row r="238" spans="1:22" x14ac:dyDescent="0.25">
      <c r="A238" s="62">
        <f t="shared" si="5"/>
        <v>46198</v>
      </c>
      <c r="B238" s="62"/>
      <c r="C238" s="110">
        <f ca="1">IF(TODAY()&gt;=$A238,SUMIFS(Tabla1[Avance_km],Tabla1[Fecha],"&lt;="&amp;EV!$A238,Tabla1[nombre_actividad],EV!C$1),NA())</f>
        <v>132.58700000000007</v>
      </c>
      <c r="D238" s="110">
        <f ca="1">IF(TODAY()&gt;=$A238,SUMIFS(Tabla1[Avance_km],Tabla1[Fecha],"&lt;="&amp;EV!$A238,Tabla1[nombre_actividad],EV!D$1),NA())</f>
        <v>130.51399999999998</v>
      </c>
      <c r="E238" s="110">
        <f ca="1">IF(TODAY()&gt;=$A238,SUMIFS(Tabla1[Avance_km],Tabla1[Fecha],"&lt;="&amp;EV!$A238,Tabla1[nombre_actividad],EV!E$1,Tabla1[Avance_km],"&gt;0"),NA())</f>
        <v>125.76700000000011</v>
      </c>
      <c r="F238" s="67">
        <f ca="1">IF(TODAY()&gt;=$A238,SUMIFS(Tabla1[Avance_Med],Tabla1[Fecha],"&lt;="&amp;EV!$A238,Tabla1[nombre_actividad],EV!F$1),NA())</f>
        <v>376</v>
      </c>
      <c r="G238" s="67"/>
      <c r="H238" s="110"/>
      <c r="I238" s="228">
        <f ca="1">+C238*Catalogo!$F$19+EV!D238*Catalogo!$F$14+EV!E238*Catalogo!$F$16+EV!F238*Catalogo!$F$18</f>
        <v>5650810.7684900016</v>
      </c>
      <c r="J238" s="228">
        <f ca="1">IF(TODAY()&gt;=$A238,SUMIFS(Tabla1[EV],Tabla1[Fecha],"&lt;="&amp;A238,Tabla1[EV],"&gt;0"),NA())</f>
        <v>7338235.7884899983</v>
      </c>
      <c r="L238"/>
      <c r="M238" s="225"/>
      <c r="N238"/>
      <c r="O238"/>
      <c r="P238"/>
      <c r="Q238"/>
      <c r="R238"/>
      <c r="S238"/>
      <c r="T238"/>
      <c r="U238"/>
      <c r="V238"/>
    </row>
    <row r="239" spans="1:22" x14ac:dyDescent="0.25">
      <c r="A239" s="62">
        <f t="shared" si="5"/>
        <v>46199</v>
      </c>
      <c r="B239" s="62"/>
      <c r="C239" s="110">
        <f ca="1">IF(TODAY()&gt;=$A239,SUMIFS(Tabla1[Avance_km],Tabla1[Fecha],"&lt;="&amp;EV!$A239,Tabla1[nombre_actividad],EV!C$1),NA())</f>
        <v>133.24400000000006</v>
      </c>
      <c r="D239" s="110">
        <f ca="1">IF(TODAY()&gt;=$A239,SUMIFS(Tabla1[Avance_km],Tabla1[Fecha],"&lt;="&amp;EV!$A239,Tabla1[nombre_actividad],EV!D$1),NA())</f>
        <v>130.51999999999998</v>
      </c>
      <c r="E239" s="110">
        <f ca="1">IF(TODAY()&gt;=$A239,SUMIFS(Tabla1[Avance_km],Tabla1[Fecha],"&lt;="&amp;EV!$A239,Tabla1[nombre_actividad],EV!E$1,Tabla1[Avance_km],"&gt;0"),NA())</f>
        <v>125.76700000000011</v>
      </c>
      <c r="F239" s="67">
        <f ca="1">IF(TODAY()&gt;=$A239,SUMIFS(Tabla1[Avance_Med],Tabla1[Fecha],"&lt;="&amp;EV!$A239,Tabla1[nombre_actividad],EV!F$1),NA())</f>
        <v>376</v>
      </c>
      <c r="G239" s="67"/>
      <c r="H239" s="110"/>
      <c r="I239" s="228">
        <f ca="1">+C239*Catalogo!$F$19+EV!D239*Catalogo!$F$14+EV!E239*Catalogo!$F$16+EV!F239*Catalogo!$F$18</f>
        <v>5652381.0218900014</v>
      </c>
      <c r="J239" s="228">
        <f ca="1">IF(TODAY()&gt;=$A239,SUMIFS(Tabla1[EV],Tabla1[Fecha],"&lt;="&amp;A239,Tabla1[EV],"&gt;0"),NA())</f>
        <v>7339806.0418899991</v>
      </c>
      <c r="L239"/>
      <c r="M239" s="225"/>
      <c r="N239"/>
      <c r="O239"/>
      <c r="P239"/>
      <c r="Q239"/>
      <c r="R239"/>
      <c r="S239"/>
      <c r="T239"/>
      <c r="U239"/>
      <c r="V239"/>
    </row>
    <row r="240" spans="1:22" x14ac:dyDescent="0.25">
      <c r="A240" s="62">
        <f t="shared" si="5"/>
        <v>46200</v>
      </c>
      <c r="B240" s="62"/>
      <c r="C240" s="110">
        <f ca="1">IF(TODAY()&gt;=$A240,SUMIFS(Tabla1[Avance_km],Tabla1[Fecha],"&lt;="&amp;EV!$A240,Tabla1[nombre_actividad],EV!C$1),NA())</f>
        <v>134.08600000000004</v>
      </c>
      <c r="D240" s="110">
        <f ca="1">IF(TODAY()&gt;=$A240,SUMIFS(Tabla1[Avance_km],Tabla1[Fecha],"&lt;="&amp;EV!$A240,Tabla1[nombre_actividad],EV!D$1),NA())</f>
        <v>130.51999999999998</v>
      </c>
      <c r="E240" s="110">
        <f ca="1">IF(TODAY()&gt;=$A240,SUMIFS(Tabla1[Avance_km],Tabla1[Fecha],"&lt;="&amp;EV!$A240,Tabla1[nombre_actividad],EV!E$1,Tabla1[Avance_km],"&gt;0"),NA())</f>
        <v>125.76700000000011</v>
      </c>
      <c r="F240" s="67">
        <f ca="1">IF(TODAY()&gt;=$A240,SUMIFS(Tabla1[Avance_Med],Tabla1[Fecha],"&lt;="&amp;EV!$A240,Tabla1[nombre_actividad],EV!F$1),NA())</f>
        <v>376</v>
      </c>
      <c r="G240" s="67"/>
      <c r="H240" s="110"/>
      <c r="I240" s="228">
        <f ca="1">+C240*Catalogo!$F$19+EV!D240*Catalogo!$F$14+EV!E240*Catalogo!$F$16+EV!F240*Catalogo!$F$18</f>
        <v>5654281.7695300011</v>
      </c>
      <c r="J240" s="228">
        <f ca="1">IF(TODAY()&gt;=$A240,SUMIFS(Tabla1[EV],Tabla1[Fecha],"&lt;="&amp;A240,Tabla1[EV],"&gt;0"),NA())</f>
        <v>7341706.7895299988</v>
      </c>
      <c r="L240"/>
      <c r="M240" s="225"/>
      <c r="N240"/>
      <c r="O240"/>
      <c r="P240"/>
      <c r="Q240"/>
      <c r="R240"/>
      <c r="S240"/>
      <c r="T240"/>
      <c r="U240"/>
      <c r="V240"/>
    </row>
    <row r="241" spans="1:22" x14ac:dyDescent="0.25">
      <c r="A241" s="62">
        <f t="shared" si="5"/>
        <v>46201</v>
      </c>
      <c r="B241" s="62"/>
      <c r="C241" s="110">
        <f ca="1">IF(TODAY()&gt;=$A241,SUMIFS(Tabla1[Avance_km],Tabla1[Fecha],"&lt;="&amp;EV!$A241,Tabla1[nombre_actividad],EV!C$1),NA())</f>
        <v>134.08600000000004</v>
      </c>
      <c r="D241" s="110">
        <f ca="1">IF(TODAY()&gt;=$A241,SUMIFS(Tabla1[Avance_km],Tabla1[Fecha],"&lt;="&amp;EV!$A241,Tabla1[nombre_actividad],EV!D$1),NA())</f>
        <v>130.51999999999998</v>
      </c>
      <c r="E241" s="110">
        <f ca="1">IF(TODAY()&gt;=$A241,SUMIFS(Tabla1[Avance_km],Tabla1[Fecha],"&lt;="&amp;EV!$A241,Tabla1[nombre_actividad],EV!E$1,Tabla1[Avance_km],"&gt;0"),NA())</f>
        <v>125.76700000000011</v>
      </c>
      <c r="F241" s="67">
        <f ca="1">IF(TODAY()&gt;=$A241,SUMIFS(Tabla1[Avance_Med],Tabla1[Fecha],"&lt;="&amp;EV!$A241,Tabla1[nombre_actividad],EV!F$1),NA())</f>
        <v>376</v>
      </c>
      <c r="G241" s="67"/>
      <c r="H241" s="110"/>
      <c r="I241" s="228">
        <f ca="1">+C241*Catalogo!$F$19+EV!D241*Catalogo!$F$14+EV!E241*Catalogo!$F$16+EV!F241*Catalogo!$F$18</f>
        <v>5654281.7695300011</v>
      </c>
      <c r="J241" s="228">
        <f ca="1">IF(TODAY()&gt;=$A241,SUMIFS(Tabla1[EV],Tabla1[Fecha],"&lt;="&amp;A241,Tabla1[EV],"&gt;0"),NA())</f>
        <v>7341706.7895299988</v>
      </c>
      <c r="L241"/>
      <c r="M241" s="225"/>
      <c r="N241"/>
      <c r="O241"/>
      <c r="P241"/>
      <c r="Q241"/>
      <c r="R241"/>
      <c r="S241"/>
      <c r="T241"/>
      <c r="U241"/>
      <c r="V241"/>
    </row>
    <row r="242" spans="1:22" x14ac:dyDescent="0.25">
      <c r="A242" s="62">
        <f t="shared" si="5"/>
        <v>46202</v>
      </c>
      <c r="B242" s="62"/>
      <c r="C242" s="110">
        <f ca="1">IF(TODAY()&gt;=$A242,SUMIFS(Tabla1[Avance_km],Tabla1[Fecha],"&lt;="&amp;EV!$A242,Tabla1[nombre_actividad],EV!C$1),NA())</f>
        <v>134.08600000000004</v>
      </c>
      <c r="D242" s="110">
        <f ca="1">IF(TODAY()&gt;=$A242,SUMIFS(Tabla1[Avance_km],Tabla1[Fecha],"&lt;="&amp;EV!$A242,Tabla1[nombre_actividad],EV!D$1),NA())</f>
        <v>131.21199999999999</v>
      </c>
      <c r="E242" s="110">
        <f ca="1">IF(TODAY()&gt;=$A242,SUMIFS(Tabla1[Avance_km],Tabla1[Fecha],"&lt;="&amp;EV!$A242,Tabla1[nombre_actividad],EV!E$1,Tabla1[Avance_km],"&gt;0"),NA())</f>
        <v>125.76700000000011</v>
      </c>
      <c r="F242" s="67">
        <f ca="1">IF(TODAY()&gt;=$A242,SUMIFS(Tabla1[Avance_Med],Tabla1[Fecha],"&lt;="&amp;EV!$A242,Tabla1[nombre_actividad],EV!F$1),NA())</f>
        <v>376</v>
      </c>
      <c r="G242" s="67"/>
      <c r="H242" s="110"/>
      <c r="I242" s="228">
        <f ca="1">+C242*Catalogo!$F$19+EV!D242*Catalogo!$F$14+EV!E242*Catalogo!$F$16+EV!F242*Catalogo!$F$18</f>
        <v>5664330.5852500014</v>
      </c>
      <c r="J242" s="228">
        <f ca="1">IF(TODAY()&gt;=$A242,SUMIFS(Tabla1[EV],Tabla1[Fecha],"&lt;="&amp;A242,Tabla1[EV],"&gt;0"),NA())</f>
        <v>7351755.6052499991</v>
      </c>
      <c r="L242"/>
      <c r="M242" s="225"/>
      <c r="N242"/>
      <c r="O242"/>
      <c r="P242"/>
      <c r="Q242"/>
      <c r="R242"/>
      <c r="S242"/>
      <c r="T242"/>
      <c r="U242"/>
      <c r="V242"/>
    </row>
    <row r="243" spans="1:22" x14ac:dyDescent="0.25">
      <c r="A243" s="62">
        <f t="shared" si="5"/>
        <v>46203</v>
      </c>
      <c r="B243" s="62"/>
      <c r="C243" s="110">
        <f ca="1">IF(TODAY()&gt;=$A243,SUMIFS(Tabla1[Avance_km],Tabla1[Fecha],"&lt;="&amp;EV!$A243,Tabla1[nombre_actividad],EV!C$1),NA())</f>
        <v>134.18600000000004</v>
      </c>
      <c r="D243" s="110">
        <f ca="1">IF(TODAY()&gt;=$A243,SUMIFS(Tabla1[Avance_km],Tabla1[Fecha],"&lt;="&amp;EV!$A243,Tabla1[nombre_actividad],EV!D$1),NA())</f>
        <v>131.48699999999999</v>
      </c>
      <c r="E243" s="110">
        <f ca="1">IF(TODAY()&gt;=$A243,SUMIFS(Tabla1[Avance_km],Tabla1[Fecha],"&lt;="&amp;EV!$A243,Tabla1[nombre_actividad],EV!E$1,Tabla1[Avance_km],"&gt;0"),NA())</f>
        <v>125.76700000000011</v>
      </c>
      <c r="F243" s="67">
        <f ca="1">IF(TODAY()&gt;=$A243,SUMIFS(Tabla1[Avance_Med],Tabla1[Fecha],"&lt;="&amp;EV!$A243,Tabla1[nombre_actividad],EV!F$1),NA())</f>
        <v>376</v>
      </c>
      <c r="G243" s="67"/>
      <c r="H243" s="110"/>
      <c r="I243" s="228">
        <f ca="1">+C243*Catalogo!$F$19+EV!D243*Catalogo!$F$14+EV!E243*Catalogo!$F$16+EV!F243*Catalogo!$F$18</f>
        <v>5668549.7150000017</v>
      </c>
      <c r="J243" s="228">
        <f ca="1">IF(TODAY()&gt;=$A243,SUMIFS(Tabla1[EV],Tabla1[Fecha],"&lt;="&amp;A243,Tabla1[EV],"&gt;0"),NA())</f>
        <v>7355974.7349999985</v>
      </c>
      <c r="L243"/>
      <c r="M243" s="225"/>
      <c r="N243"/>
      <c r="O243"/>
      <c r="P243"/>
      <c r="Q243"/>
      <c r="R243"/>
      <c r="S243"/>
      <c r="T243"/>
      <c r="U243"/>
      <c r="V243"/>
    </row>
    <row r="244" spans="1:22" x14ac:dyDescent="0.25">
      <c r="A244" s="62">
        <f t="shared" si="5"/>
        <v>46204</v>
      </c>
      <c r="B244" s="62"/>
      <c r="C244" s="110">
        <f ca="1">IF(TODAY()&gt;=$A244,SUMIFS(Tabla1[Avance_km],Tabla1[Fecha],"&lt;="&amp;EV!$A244,Tabla1[nombre_actividad],EV!C$1),NA())</f>
        <v>134.18600000000004</v>
      </c>
      <c r="D244" s="110">
        <f ca="1">IF(TODAY()&gt;=$A244,SUMIFS(Tabla1[Avance_km],Tabla1[Fecha],"&lt;="&amp;EV!$A244,Tabla1[nombre_actividad],EV!D$1),NA())</f>
        <v>132.34699999999998</v>
      </c>
      <c r="E244" s="110">
        <f ca="1">IF(TODAY()&gt;=$A244,SUMIFS(Tabla1[Avance_km],Tabla1[Fecha],"&lt;="&amp;EV!$A244,Tabla1[nombre_actividad],EV!E$1,Tabla1[Avance_km],"&gt;0"),NA())</f>
        <v>125.76700000000011</v>
      </c>
      <c r="F244" s="67">
        <f ca="1">IF(TODAY()&gt;=$A244,SUMIFS(Tabla1[Avance_Med],Tabla1[Fecha],"&lt;="&amp;EV!$A244,Tabla1[nombre_actividad],EV!F$1),NA())</f>
        <v>376</v>
      </c>
      <c r="G244" s="67"/>
      <c r="H244" s="110"/>
      <c r="I244" s="228">
        <f ca="1">+C244*Catalogo!$F$19+EV!D244*Catalogo!$F$14+EV!E244*Catalogo!$F$16+EV!F244*Catalogo!$F$18</f>
        <v>5681038.1276000012</v>
      </c>
      <c r="J244" s="228">
        <f ca="1">IF(TODAY()&gt;=$A244,SUMIFS(Tabla1[EV],Tabla1[Fecha],"&lt;="&amp;A244,Tabla1[EV],"&gt;0"),NA())</f>
        <v>7368463.1475999989</v>
      </c>
      <c r="L244"/>
      <c r="M244" s="225"/>
      <c r="N244"/>
      <c r="O244"/>
      <c r="P244"/>
      <c r="Q244"/>
      <c r="R244"/>
      <c r="S244"/>
      <c r="T244"/>
      <c r="U244"/>
      <c r="V244"/>
    </row>
    <row r="245" spans="1:22" x14ac:dyDescent="0.25">
      <c r="A245" s="62">
        <f t="shared" si="5"/>
        <v>46205</v>
      </c>
      <c r="B245" s="62"/>
      <c r="C245" s="110">
        <f ca="1">IF(TODAY()&gt;=$A245,SUMIFS(Tabla1[Avance_km],Tabla1[Fecha],"&lt;="&amp;EV!$A245,Tabla1[nombre_actividad],EV!C$1),NA())</f>
        <v>135.52600000000004</v>
      </c>
      <c r="D245" s="110">
        <f ca="1">IF(TODAY()&gt;=$A245,SUMIFS(Tabla1[Avance_km],Tabla1[Fecha],"&lt;="&amp;EV!$A245,Tabla1[nombre_actividad],EV!D$1),NA())</f>
        <v>132.34699999999998</v>
      </c>
      <c r="E245" s="110">
        <f ca="1">IF(TODAY()&gt;=$A245,SUMIFS(Tabla1[Avance_km],Tabla1[Fecha],"&lt;="&amp;EV!$A245,Tabla1[nombre_actividad],EV!E$1,Tabla1[Avance_km],"&gt;0"),NA())</f>
        <v>125.76700000000011</v>
      </c>
      <c r="F245" s="67">
        <f ca="1">IF(TODAY()&gt;=$A245,SUMIFS(Tabla1[Avance_Med],Tabla1[Fecha],"&lt;="&amp;EV!$A245,Tabla1[nombre_actividad],EV!F$1),NA())</f>
        <v>376</v>
      </c>
      <c r="G245" s="67"/>
      <c r="H245" s="110"/>
      <c r="I245" s="228">
        <f ca="1">+C245*Catalogo!$F$19+EV!D245*Catalogo!$F$14+EV!E245*Catalogo!$F$16+EV!F245*Catalogo!$F$18</f>
        <v>5684063.0704000015</v>
      </c>
      <c r="J245" s="228">
        <f ca="1">IF(TODAY()&gt;=$A245,SUMIFS(Tabla1[EV],Tabla1[Fecha],"&lt;="&amp;A245,Tabla1[EV],"&gt;0"),NA())</f>
        <v>7371488.0903999982</v>
      </c>
      <c r="L245"/>
      <c r="M245" s="225"/>
      <c r="N245"/>
      <c r="O245"/>
      <c r="P245"/>
      <c r="Q245"/>
      <c r="R245"/>
      <c r="S245"/>
      <c r="T245"/>
      <c r="U245"/>
      <c r="V245"/>
    </row>
    <row r="246" spans="1:22" x14ac:dyDescent="0.25">
      <c r="A246" s="62">
        <f t="shared" si="5"/>
        <v>46206</v>
      </c>
      <c r="B246" s="62"/>
      <c r="C246" s="110">
        <f ca="1">IF(TODAY()&gt;=$A246,SUMIFS(Tabla1[Avance_km],Tabla1[Fecha],"&lt;="&amp;EV!$A246,Tabla1[nombre_actividad],EV!C$1),NA())</f>
        <v>138.22900000000001</v>
      </c>
      <c r="D246" s="110">
        <f ca="1">IF(TODAY()&gt;=$A246,SUMIFS(Tabla1[Avance_km],Tabla1[Fecha],"&lt;="&amp;EV!$A246,Tabla1[nombre_actividad],EV!D$1),NA())</f>
        <v>132.34699999999998</v>
      </c>
      <c r="E246" s="110">
        <f ca="1">IF(TODAY()&gt;=$A246,SUMIFS(Tabla1[Avance_km],Tabla1[Fecha],"&lt;="&amp;EV!$A246,Tabla1[nombre_actividad],EV!E$1,Tabla1[Avance_km],"&gt;0"),NA())</f>
        <v>125.76700000000011</v>
      </c>
      <c r="F246" s="67">
        <f ca="1">IF(TODAY()&gt;=$A246,SUMIFS(Tabla1[Avance_Med],Tabla1[Fecha],"&lt;="&amp;EV!$A246,Tabla1[nombre_actividad],EV!F$1),NA())</f>
        <v>376</v>
      </c>
      <c r="G246" s="67"/>
      <c r="H246" s="110"/>
      <c r="I246" s="228">
        <f ca="1">+C246*Catalogo!$F$19+EV!D246*Catalogo!$F$14+EV!E246*Catalogo!$F$16+EV!F246*Catalogo!$F$18</f>
        <v>5690164.8766600015</v>
      </c>
      <c r="J246" s="228">
        <f ca="1">IF(TODAY()&gt;=$A246,SUMIFS(Tabla1[EV],Tabla1[Fecha],"&lt;="&amp;A246,Tabla1[EV],"&gt;0"),NA())</f>
        <v>7377589.8966599982</v>
      </c>
      <c r="L246"/>
      <c r="M246" s="225"/>
      <c r="N246"/>
      <c r="O246"/>
      <c r="P246"/>
      <c r="Q246"/>
      <c r="R246"/>
      <c r="S246"/>
      <c r="T246"/>
      <c r="U246"/>
      <c r="V246"/>
    </row>
    <row r="247" spans="1:22" x14ac:dyDescent="0.25">
      <c r="A247" s="62">
        <f t="shared" si="5"/>
        <v>46207</v>
      </c>
      <c r="B247" s="62"/>
      <c r="C247" s="110">
        <f ca="1">IF(TODAY()&gt;=$A247,SUMIFS(Tabla1[Avance_km],Tabla1[Fecha],"&lt;="&amp;EV!$A247,Tabla1[nombre_actividad],EV!C$1),NA())</f>
        <v>139.69900000000001</v>
      </c>
      <c r="D247" s="110">
        <f ca="1">IF(TODAY()&gt;=$A247,SUMIFS(Tabla1[Avance_km],Tabla1[Fecha],"&lt;="&amp;EV!$A247,Tabla1[nombre_actividad],EV!D$1),NA())</f>
        <v>132.34699999999998</v>
      </c>
      <c r="E247" s="110">
        <f ca="1">IF(TODAY()&gt;=$A247,SUMIFS(Tabla1[Avance_km],Tabla1[Fecha],"&lt;="&amp;EV!$A247,Tabla1[nombre_actividad],EV!E$1,Tabla1[Avance_km],"&gt;0"),NA())</f>
        <v>125.76700000000011</v>
      </c>
      <c r="F247" s="67">
        <f ca="1">IF(TODAY()&gt;=$A247,SUMIFS(Tabla1[Avance_Med],Tabla1[Fecha],"&lt;="&amp;EV!$A247,Tabla1[nombre_actividad],EV!F$1),NA())</f>
        <v>376</v>
      </c>
      <c r="G247" s="67"/>
      <c r="H247" s="110"/>
      <c r="I247" s="228">
        <f ca="1">+C247*Catalogo!$F$19+EV!D247*Catalogo!$F$14+EV!E247*Catalogo!$F$16+EV!F247*Catalogo!$F$18</f>
        <v>5693483.2840600014</v>
      </c>
      <c r="J247" s="228">
        <f ca="1">IF(TODAY()&gt;=$A247,SUMIFS(Tabla1[EV],Tabla1[Fecha],"&lt;="&amp;A247,Tabla1[EV],"&gt;0"),NA())</f>
        <v>7380908.3040599981</v>
      </c>
      <c r="L247"/>
      <c r="M247" s="225"/>
      <c r="N247"/>
      <c r="O247"/>
      <c r="P247"/>
      <c r="Q247"/>
      <c r="R247"/>
      <c r="S247"/>
      <c r="T247"/>
      <c r="U247"/>
      <c r="V247"/>
    </row>
    <row r="248" spans="1:22" x14ac:dyDescent="0.25">
      <c r="A248" s="62">
        <f t="shared" si="5"/>
        <v>46208</v>
      </c>
      <c r="B248" s="62"/>
      <c r="C248" s="110">
        <f ca="1">IF(TODAY()&gt;=$A248,SUMIFS(Tabla1[Avance_km],Tabla1[Fecha],"&lt;="&amp;EV!$A248,Tabla1[nombre_actividad],EV!C$1),NA())</f>
        <v>139.69900000000001</v>
      </c>
      <c r="D248" s="110">
        <f ca="1">IF(TODAY()&gt;=$A248,SUMIFS(Tabla1[Avance_km],Tabla1[Fecha],"&lt;="&amp;EV!$A248,Tabla1[nombre_actividad],EV!D$1),NA())</f>
        <v>132.34699999999998</v>
      </c>
      <c r="E248" s="110">
        <f ca="1">IF(TODAY()&gt;=$A248,SUMIFS(Tabla1[Avance_km],Tabla1[Fecha],"&lt;="&amp;EV!$A248,Tabla1[nombre_actividad],EV!E$1,Tabla1[Avance_km],"&gt;0"),NA())</f>
        <v>125.76700000000011</v>
      </c>
      <c r="F248" s="67">
        <f ca="1">IF(TODAY()&gt;=$A248,SUMIFS(Tabla1[Avance_Med],Tabla1[Fecha],"&lt;="&amp;EV!$A248,Tabla1[nombre_actividad],EV!F$1),NA())</f>
        <v>376</v>
      </c>
      <c r="G248" s="67"/>
      <c r="H248" s="110"/>
      <c r="I248" s="228">
        <f ca="1">+C248*Catalogo!$F$19+EV!D248*Catalogo!$F$14+EV!E248*Catalogo!$F$16+EV!F248*Catalogo!$F$18</f>
        <v>5693483.2840600014</v>
      </c>
      <c r="J248" s="228">
        <f ca="1">IF(TODAY()&gt;=$A248,SUMIFS(Tabla1[EV],Tabla1[Fecha],"&lt;="&amp;A248,Tabla1[EV],"&gt;0"),NA())</f>
        <v>7380908.3040599981</v>
      </c>
      <c r="L248"/>
      <c r="M248" s="225"/>
      <c r="N248"/>
      <c r="O248"/>
      <c r="P248"/>
      <c r="Q248"/>
      <c r="R248"/>
      <c r="S248"/>
      <c r="T248"/>
      <c r="U248"/>
      <c r="V248"/>
    </row>
    <row r="249" spans="1:22" x14ac:dyDescent="0.25">
      <c r="A249" s="62">
        <f t="shared" si="5"/>
        <v>46209</v>
      </c>
      <c r="B249" s="62"/>
      <c r="C249" s="110">
        <f ca="1">IF(TODAY()&gt;=$A249,SUMIFS(Tabla1[Avance_km],Tabla1[Fecha],"&lt;="&amp;EV!$A249,Tabla1[nombre_actividad],EV!C$1),NA())</f>
        <v>145.57100000000003</v>
      </c>
      <c r="D249" s="110">
        <f ca="1">IF(TODAY()&gt;=$A249,SUMIFS(Tabla1[Avance_km],Tabla1[Fecha],"&lt;="&amp;EV!$A249,Tabla1[nombre_actividad],EV!D$1),NA())</f>
        <v>132.34699999999998</v>
      </c>
      <c r="E249" s="110">
        <f ca="1">IF(TODAY()&gt;=$A249,SUMIFS(Tabla1[Avance_km],Tabla1[Fecha],"&lt;="&amp;EV!$A249,Tabla1[nombre_actividad],EV!E$1,Tabla1[Avance_km],"&gt;0"),NA())</f>
        <v>125.76700000000011</v>
      </c>
      <c r="F249" s="67">
        <f ca="1">IF(TODAY()&gt;=$A249,SUMIFS(Tabla1[Avance_Med],Tabla1[Fecha],"&lt;="&amp;EV!$A249,Tabla1[nombre_actividad],EV!F$1),NA())</f>
        <v>376</v>
      </c>
      <c r="G249" s="67"/>
      <c r="H249" s="110"/>
      <c r="I249" s="228">
        <f ca="1">+C249*Catalogo!$F$19+EV!D249*Catalogo!$F$14+EV!E249*Catalogo!$F$16+EV!F249*Catalogo!$F$18</f>
        <v>5706738.8543000007</v>
      </c>
      <c r="J249" s="228">
        <f ca="1">IF(TODAY()&gt;=$A249,SUMIFS(Tabla1[EV],Tabla1[Fecha],"&lt;="&amp;A249,Tabla1[EV],"&gt;0"),NA())</f>
        <v>7394163.8742999984</v>
      </c>
      <c r="L249"/>
      <c r="M249" s="225"/>
      <c r="N249"/>
      <c r="O249"/>
      <c r="P249"/>
      <c r="Q249"/>
      <c r="R249"/>
      <c r="S249"/>
      <c r="T249"/>
      <c r="U249"/>
      <c r="V249"/>
    </row>
    <row r="250" spans="1:22" x14ac:dyDescent="0.25">
      <c r="A250" s="62">
        <f t="shared" si="5"/>
        <v>46210</v>
      </c>
      <c r="B250" s="62"/>
      <c r="C250" s="110">
        <f ca="1">IF(TODAY()&gt;=$A250,SUMIFS(Tabla1[Avance_km],Tabla1[Fecha],"&lt;="&amp;EV!$A250,Tabla1[nombre_actividad],EV!C$1),NA())</f>
        <v>145.57100000000003</v>
      </c>
      <c r="D250" s="110">
        <f ca="1">IF(TODAY()&gt;=$A250,SUMIFS(Tabla1[Avance_km],Tabla1[Fecha],"&lt;="&amp;EV!$A250,Tabla1[nombre_actividad],EV!D$1),NA())</f>
        <v>133.67099999999999</v>
      </c>
      <c r="E250" s="110">
        <f ca="1">IF(TODAY()&gt;=$A250,SUMIFS(Tabla1[Avance_km],Tabla1[Fecha],"&lt;="&amp;EV!$A250,Tabla1[nombre_actividad],EV!E$1,Tabla1[Avance_km],"&gt;0"),NA())</f>
        <v>125.76700000000011</v>
      </c>
      <c r="F250" s="67">
        <f ca="1">IF(TODAY()&gt;=$A250,SUMIFS(Tabla1[Avance_Med],Tabla1[Fecha],"&lt;="&amp;EV!$A250,Tabla1[nombre_actividad],EV!F$1),NA())</f>
        <v>376</v>
      </c>
      <c r="G250" s="67"/>
      <c r="H250" s="110"/>
      <c r="I250" s="228">
        <f ca="1">+C250*Catalogo!$F$19+EV!D250*Catalogo!$F$14+EV!E250*Catalogo!$F$16+EV!F250*Catalogo!$F$18</f>
        <v>5725965.2011400014</v>
      </c>
      <c r="J250" s="228">
        <f ca="1">IF(TODAY()&gt;=$A250,SUMIFS(Tabla1[EV],Tabla1[Fecha],"&lt;="&amp;A250,Tabla1[EV],"&gt;0"),NA())</f>
        <v>7413390.2211399982</v>
      </c>
      <c r="L250"/>
      <c r="M250" s="225"/>
      <c r="N250"/>
      <c r="O250"/>
      <c r="P250"/>
      <c r="Q250"/>
      <c r="R250"/>
      <c r="S250"/>
      <c r="T250"/>
      <c r="U250"/>
      <c r="V250"/>
    </row>
    <row r="251" spans="1:22" x14ac:dyDescent="0.25">
      <c r="A251" s="62">
        <f t="shared" si="5"/>
        <v>46211</v>
      </c>
      <c r="B251" s="62"/>
      <c r="C251" s="110">
        <f ca="1">IF(TODAY()&gt;=$A251,SUMIFS(Tabla1[Avance_km],Tabla1[Fecha],"&lt;="&amp;EV!$A251,Tabla1[nombre_actividad],EV!C$1),NA())</f>
        <v>145.57100000000003</v>
      </c>
      <c r="D251" s="110">
        <f ca="1">IF(TODAY()&gt;=$A251,SUMIFS(Tabla1[Avance_km],Tabla1[Fecha],"&lt;="&amp;EV!$A251,Tabla1[nombre_actividad],EV!D$1),NA())</f>
        <v>133.71399999999997</v>
      </c>
      <c r="E251" s="110">
        <f ca="1">IF(TODAY()&gt;=$A251,SUMIFS(Tabla1[Avance_km],Tabla1[Fecha],"&lt;="&amp;EV!$A251,Tabla1[nombre_actividad],EV!E$1,Tabla1[Avance_km],"&gt;0"),NA())</f>
        <v>125.76700000000011</v>
      </c>
      <c r="F251" s="67">
        <f ca="1">IF(TODAY()&gt;=$A251,SUMIFS(Tabla1[Avance_Med],Tabla1[Fecha],"&lt;="&amp;EV!$A251,Tabla1[nombre_actividad],EV!F$1),NA())</f>
        <v>376</v>
      </c>
      <c r="G251" s="67"/>
      <c r="H251" s="110"/>
      <c r="I251" s="228">
        <f ca="1">+C251*Catalogo!$F$19+EV!D251*Catalogo!$F$14+EV!E251*Catalogo!$F$16+EV!F251*Catalogo!$F$18</f>
        <v>5726589.621770001</v>
      </c>
      <c r="J251" s="228">
        <f ca="1">IF(TODAY()&gt;=$A251,SUMIFS(Tabla1[EV],Tabla1[Fecha],"&lt;="&amp;A251,Tabla1[EV],"&gt;0"),NA())</f>
        <v>7414014.6417699978</v>
      </c>
      <c r="L251"/>
      <c r="M251" s="225"/>
      <c r="N251"/>
      <c r="O251"/>
      <c r="P251"/>
      <c r="Q251"/>
      <c r="R251"/>
      <c r="S251"/>
      <c r="T251"/>
      <c r="U251"/>
      <c r="V251"/>
    </row>
    <row r="252" spans="1:22" x14ac:dyDescent="0.25">
      <c r="A252" s="62">
        <f t="shared" si="5"/>
        <v>46212</v>
      </c>
      <c r="B252" s="62"/>
      <c r="C252" s="110">
        <f ca="1">IF(TODAY()&gt;=$A252,SUMIFS(Tabla1[Avance_km],Tabla1[Fecha],"&lt;="&amp;EV!$A252,Tabla1[nombre_actividad],EV!C$1),NA())</f>
        <v>145.57100000000003</v>
      </c>
      <c r="D252" s="110">
        <f ca="1">IF(TODAY()&gt;=$A252,SUMIFS(Tabla1[Avance_km],Tabla1[Fecha],"&lt;="&amp;EV!$A252,Tabla1[nombre_actividad],EV!D$1),NA())</f>
        <v>135.43499999999995</v>
      </c>
      <c r="E252" s="110">
        <f ca="1">IF(TODAY()&gt;=$A252,SUMIFS(Tabla1[Avance_km],Tabla1[Fecha],"&lt;="&amp;EV!$A252,Tabla1[nombre_actividad],EV!E$1,Tabla1[Avance_km],"&gt;0"),NA())</f>
        <v>125.76700000000011</v>
      </c>
      <c r="F252" s="67">
        <f ca="1">IF(TODAY()&gt;=$A252,SUMIFS(Tabla1[Avance_Med],Tabla1[Fecha],"&lt;="&amp;EV!$A252,Tabla1[nombre_actividad],EV!F$1),NA())</f>
        <v>376</v>
      </c>
      <c r="G252" s="67"/>
      <c r="H252" s="110"/>
      <c r="I252" s="228">
        <f ca="1">+C252*Catalogo!$F$19+EV!D252*Catalogo!$F$14+EV!E252*Catalogo!$F$16+EV!F252*Catalogo!$F$18</f>
        <v>5751580.9683800004</v>
      </c>
      <c r="J252" s="228">
        <f ca="1">IF(TODAY()&gt;=$A252,SUMIFS(Tabla1[EV],Tabla1[Fecha],"&lt;="&amp;A252,Tabla1[EV],"&gt;0"),NA())</f>
        <v>7439005.9883799981</v>
      </c>
      <c r="L252"/>
      <c r="M252" s="225"/>
      <c r="N252"/>
      <c r="O252"/>
      <c r="P252"/>
      <c r="Q252"/>
      <c r="R252"/>
      <c r="S252"/>
      <c r="T252"/>
      <c r="U252"/>
      <c r="V252"/>
    </row>
    <row r="253" spans="1:22" x14ac:dyDescent="0.25">
      <c r="A253" s="62">
        <f t="shared" si="5"/>
        <v>46213</v>
      </c>
      <c r="B253" s="62"/>
      <c r="C253" s="110">
        <f ca="1">IF(TODAY()&gt;=$A253,SUMIFS(Tabla1[Avance_km],Tabla1[Fecha],"&lt;="&amp;EV!$A253,Tabla1[nombre_actividad],EV!C$1),NA())</f>
        <v>145.57100000000003</v>
      </c>
      <c r="D253" s="110">
        <f ca="1">IF(TODAY()&gt;=$A253,SUMIFS(Tabla1[Avance_km],Tabla1[Fecha],"&lt;="&amp;EV!$A253,Tabla1[nombre_actividad],EV!D$1),NA())</f>
        <v>137.78499999999994</v>
      </c>
      <c r="E253" s="110">
        <f ca="1">IF(TODAY()&gt;=$A253,SUMIFS(Tabla1[Avance_km],Tabla1[Fecha],"&lt;="&amp;EV!$A253,Tabla1[nombre_actividad],EV!E$1,Tabla1[Avance_km],"&gt;0"),NA())</f>
        <v>125.76700000000011</v>
      </c>
      <c r="F253" s="67">
        <f ca="1">IF(TODAY()&gt;=$A253,SUMIFS(Tabla1[Avance_Med],Tabla1[Fecha],"&lt;="&amp;EV!$A253,Tabla1[nombre_actividad],EV!F$1),NA())</f>
        <v>376</v>
      </c>
      <c r="G253" s="67"/>
      <c r="H253" s="110"/>
      <c r="I253" s="228">
        <f ca="1">+C253*Catalogo!$F$19+EV!D253*Catalogo!$F$14+EV!E253*Catalogo!$F$16+EV!F253*Catalogo!$F$18</f>
        <v>5785706.2818800006</v>
      </c>
      <c r="J253" s="228">
        <f ca="1">IF(TODAY()&gt;=$A253,SUMIFS(Tabla1[EV],Tabla1[Fecha],"&lt;="&amp;A253,Tabla1[EV],"&gt;0"),NA())</f>
        <v>7473131.3018799983</v>
      </c>
      <c r="L253"/>
      <c r="M253" s="225"/>
      <c r="N253"/>
      <c r="O253"/>
      <c r="P253"/>
      <c r="Q253"/>
      <c r="R253"/>
      <c r="S253"/>
      <c r="T253"/>
      <c r="U253"/>
      <c r="V253"/>
    </row>
    <row r="254" spans="1:22" x14ac:dyDescent="0.25">
      <c r="A254" s="62">
        <f t="shared" si="5"/>
        <v>46214</v>
      </c>
      <c r="B254" s="62"/>
      <c r="C254" s="110">
        <f ca="1">IF(TODAY()&gt;=$A254,SUMIFS(Tabla1[Avance_km],Tabla1[Fecha],"&lt;="&amp;EV!$A254,Tabla1[nombre_actividad],EV!C$1),NA())</f>
        <v>145.57100000000003</v>
      </c>
      <c r="D254" s="110">
        <f ca="1">IF(TODAY()&gt;=$A254,SUMIFS(Tabla1[Avance_km],Tabla1[Fecha],"&lt;="&amp;EV!$A254,Tabla1[nombre_actividad],EV!D$1),NA())</f>
        <v>138.50499999999994</v>
      </c>
      <c r="E254" s="110">
        <f ca="1">IF(TODAY()&gt;=$A254,SUMIFS(Tabla1[Avance_km],Tabla1[Fecha],"&lt;="&amp;EV!$A254,Tabla1[nombre_actividad],EV!E$1,Tabla1[Avance_km],"&gt;0"),NA())</f>
        <v>125.76700000000011</v>
      </c>
      <c r="F254" s="67">
        <f ca="1">IF(TODAY()&gt;=$A254,SUMIFS(Tabla1[Avance_Med],Tabla1[Fecha],"&lt;="&amp;EV!$A254,Tabla1[nombre_actividad],EV!F$1),NA())</f>
        <v>376</v>
      </c>
      <c r="G254" s="67"/>
      <c r="H254" s="110"/>
      <c r="I254" s="228">
        <f ca="1">+C254*Catalogo!$F$19+EV!D254*Catalogo!$F$14+EV!E254*Catalogo!$F$16+EV!F254*Catalogo!$F$18</f>
        <v>5796161.6970800003</v>
      </c>
      <c r="J254" s="228">
        <f ca="1">IF(TODAY()&gt;=$A254,SUMIFS(Tabla1[EV],Tabla1[Fecha],"&lt;="&amp;A254,Tabla1[EV],"&gt;0"),NA())</f>
        <v>7483586.717079998</v>
      </c>
      <c r="L254"/>
      <c r="M254" s="225"/>
      <c r="N254"/>
      <c r="O254"/>
      <c r="P254"/>
      <c r="Q254"/>
      <c r="R254"/>
      <c r="S254"/>
      <c r="T254"/>
      <c r="U254"/>
      <c r="V254"/>
    </row>
    <row r="255" spans="1:22" x14ac:dyDescent="0.25">
      <c r="A255" s="62">
        <f t="shared" si="5"/>
        <v>46215</v>
      </c>
      <c r="B255" s="62"/>
      <c r="C255" s="110">
        <f ca="1">IF(TODAY()&gt;=$A255,SUMIFS(Tabla1[Avance_km],Tabla1[Fecha],"&lt;="&amp;EV!$A255,Tabla1[nombre_actividad],EV!C$1),NA())</f>
        <v>145.57100000000003</v>
      </c>
      <c r="D255" s="110">
        <f ca="1">IF(TODAY()&gt;=$A255,SUMIFS(Tabla1[Avance_km],Tabla1[Fecha],"&lt;="&amp;EV!$A255,Tabla1[nombre_actividad],EV!D$1),NA())</f>
        <v>140.20499999999993</v>
      </c>
      <c r="E255" s="110">
        <f ca="1">IF(TODAY()&gt;=$A255,SUMIFS(Tabla1[Avance_km],Tabla1[Fecha],"&lt;="&amp;EV!$A255,Tabla1[nombre_actividad],EV!E$1,Tabla1[Avance_km],"&gt;0"),NA())</f>
        <v>125.76700000000011</v>
      </c>
      <c r="F255" s="67">
        <f ca="1">IF(TODAY()&gt;=$A255,SUMIFS(Tabla1[Avance_Med],Tabla1[Fecha],"&lt;="&amp;EV!$A255,Tabla1[nombre_actividad],EV!F$1),NA())</f>
        <v>376</v>
      </c>
      <c r="G255" s="67"/>
      <c r="H255" s="110"/>
      <c r="I255" s="228">
        <f ca="1">+C255*Catalogo!$F$19+EV!D255*Catalogo!$F$14+EV!E255*Catalogo!$F$16+EV!F255*Catalogo!$F$18</f>
        <v>5820848.0940800002</v>
      </c>
      <c r="J255" s="228">
        <f ca="1">IF(TODAY()&gt;=$A255,SUMIFS(Tabla1[EV],Tabla1[Fecha],"&lt;="&amp;A255,Tabla1[EV],"&gt;0"),NA())</f>
        <v>7508273.1140799979</v>
      </c>
      <c r="L255"/>
      <c r="M255" s="225"/>
      <c r="N255"/>
      <c r="O255"/>
      <c r="P255"/>
      <c r="Q255"/>
      <c r="R255"/>
      <c r="S255"/>
      <c r="T255"/>
      <c r="U255"/>
      <c r="V255"/>
    </row>
    <row r="256" spans="1:22" x14ac:dyDescent="0.25">
      <c r="A256" s="62">
        <f t="shared" si="5"/>
        <v>46216</v>
      </c>
      <c r="B256" s="62"/>
      <c r="C256" s="110">
        <f ca="1">IF(TODAY()&gt;=$A256,SUMIFS(Tabla1[Avance_km],Tabla1[Fecha],"&lt;="&amp;EV!$A256,Tabla1[nombre_actividad],EV!C$1),NA())</f>
        <v>145.57100000000003</v>
      </c>
      <c r="D256" s="110">
        <f ca="1">IF(TODAY()&gt;=$A256,SUMIFS(Tabla1[Avance_km],Tabla1[Fecha],"&lt;="&amp;EV!$A256,Tabla1[nombre_actividad],EV!D$1),NA())</f>
        <v>140.70499999999993</v>
      </c>
      <c r="E256" s="110">
        <f ca="1">IF(TODAY()&gt;=$A256,SUMIFS(Tabla1[Avance_km],Tabla1[Fecha],"&lt;="&amp;EV!$A256,Tabla1[nombre_actividad],EV!E$1,Tabla1[Avance_km],"&gt;0"),NA())</f>
        <v>125.76700000000011</v>
      </c>
      <c r="F256" s="67">
        <f ca="1">IF(TODAY()&gt;=$A256,SUMIFS(Tabla1[Avance_Med],Tabla1[Fecha],"&lt;="&amp;EV!$A256,Tabla1[nombre_actividad],EV!F$1),NA())</f>
        <v>376</v>
      </c>
      <c r="G256" s="67"/>
      <c r="H256" s="110"/>
      <c r="I256" s="228">
        <f ca="1">+C256*Catalogo!$F$19+EV!D256*Catalogo!$F$14+EV!E256*Catalogo!$F$16+EV!F256*Catalogo!$F$18</f>
        <v>5828108.7990800003</v>
      </c>
      <c r="J256" s="228">
        <f ca="1">IF(TODAY()&gt;=$A256,SUMIFS(Tabla1[EV],Tabla1[Fecha],"&lt;="&amp;A256,Tabla1[EV],"&gt;0"),NA())</f>
        <v>7515533.8190799979</v>
      </c>
      <c r="L256"/>
      <c r="N256"/>
      <c r="O256"/>
      <c r="P256"/>
      <c r="Q256"/>
      <c r="R256"/>
      <c r="S256"/>
      <c r="T256"/>
      <c r="U256"/>
      <c r="V256"/>
    </row>
    <row r="257" spans="1:22" x14ac:dyDescent="0.25">
      <c r="A257" s="62">
        <f t="shared" si="5"/>
        <v>46217</v>
      </c>
      <c r="B257" s="62"/>
      <c r="C257" s="110">
        <f ca="1">IF(TODAY()&gt;=$A257,SUMIFS(Tabla1[Avance_km],Tabla1[Fecha],"&lt;="&amp;EV!$A257,Tabla1[nombre_actividad],EV!C$1),NA())</f>
        <v>145.57100000000003</v>
      </c>
      <c r="D257" s="110">
        <f ca="1">IF(TODAY()&gt;=$A257,SUMIFS(Tabla1[Avance_km],Tabla1[Fecha],"&lt;="&amp;EV!$A257,Tabla1[nombre_actividad],EV!D$1),NA())</f>
        <v>141.80499999999992</v>
      </c>
      <c r="E257" s="110">
        <f ca="1">IF(TODAY()&gt;=$A257,SUMIFS(Tabla1[Avance_km],Tabla1[Fecha],"&lt;="&amp;EV!$A257,Tabla1[nombre_actividad],EV!E$1,Tabla1[Avance_km],"&gt;0"),NA())</f>
        <v>125.76700000000011</v>
      </c>
      <c r="F257" s="67">
        <f ca="1">IF(TODAY()&gt;=$A257,SUMIFS(Tabla1[Avance_Med],Tabla1[Fecha],"&lt;="&amp;EV!$A257,Tabla1[nombre_actividad],EV!F$1),NA())</f>
        <v>376</v>
      </c>
      <c r="G257" s="67"/>
      <c r="H257" s="110"/>
      <c r="I257" s="228">
        <f ca="1">+C257*Catalogo!$F$19+EV!D257*Catalogo!$F$14+EV!E257*Catalogo!$F$16+EV!F257*Catalogo!$F$18</f>
        <v>5844082.3500800002</v>
      </c>
      <c r="J257" s="228">
        <f ca="1">IF(TODAY()&gt;=$A257,SUMIFS(Tabla1[EV],Tabla1[Fecha],"&lt;="&amp;A257,Tabla1[EV],"&gt;0"),NA())</f>
        <v>7531507.3700799979</v>
      </c>
      <c r="L257"/>
      <c r="N257"/>
      <c r="O257"/>
      <c r="P257"/>
      <c r="Q257"/>
      <c r="R257"/>
      <c r="S257"/>
      <c r="T257"/>
      <c r="U257"/>
      <c r="V257"/>
    </row>
    <row r="258" spans="1:22" x14ac:dyDescent="0.25">
      <c r="A258" s="62">
        <f t="shared" si="5"/>
        <v>46218</v>
      </c>
      <c r="B258" s="62"/>
      <c r="C258" s="110">
        <f ca="1">IF(TODAY()&gt;=$A258,SUMIFS(Tabla1[Avance_km],Tabla1[Fecha],"&lt;="&amp;EV!$A258,Tabla1[nombre_actividad],EV!C$1),NA())</f>
        <v>145.57100000000003</v>
      </c>
      <c r="D258" s="110">
        <f ca="1">IF(TODAY()&gt;=$A258,SUMIFS(Tabla1[Avance_km],Tabla1[Fecha],"&lt;="&amp;EV!$A258,Tabla1[nombre_actividad],EV!D$1),NA())</f>
        <v>142.50499999999991</v>
      </c>
      <c r="E258" s="110">
        <f ca="1">IF(TODAY()&gt;=$A258,SUMIFS(Tabla1[Avance_km],Tabla1[Fecha],"&lt;="&amp;EV!$A258,Tabla1[nombre_actividad],EV!E$1,Tabla1[Avance_km],"&gt;0"),NA())</f>
        <v>125.76700000000011</v>
      </c>
      <c r="F258" s="67">
        <f ca="1">IF(TODAY()&gt;=$A258,SUMIFS(Tabla1[Avance_Med],Tabla1[Fecha],"&lt;="&amp;EV!$A258,Tabla1[nombre_actividad],EV!F$1),NA())</f>
        <v>376</v>
      </c>
      <c r="G258" s="67"/>
      <c r="H258" s="110"/>
      <c r="I258" s="228">
        <f ca="1">+C258*Catalogo!$F$19+EV!D258*Catalogo!$F$14+EV!E258*Catalogo!$F$16+EV!F258*Catalogo!$F$18</f>
        <v>5854247.33708</v>
      </c>
      <c r="J258" s="228">
        <f ca="1">IF(TODAY()&gt;=$A258,SUMIFS(Tabla1[EV],Tabla1[Fecha],"&lt;="&amp;A258,Tabla1[EV],"&gt;0"),NA())</f>
        <v>7541672.3570799977</v>
      </c>
      <c r="L258"/>
      <c r="N258"/>
      <c r="O258"/>
      <c r="P258"/>
      <c r="Q258"/>
      <c r="R258"/>
      <c r="S258"/>
      <c r="T258"/>
      <c r="U258"/>
      <c r="V258"/>
    </row>
    <row r="259" spans="1:22" x14ac:dyDescent="0.25">
      <c r="A259" s="62">
        <f t="shared" si="5"/>
        <v>46219</v>
      </c>
      <c r="B259" s="62"/>
      <c r="C259" s="110">
        <f ca="1">IF(TODAY()&gt;=$A259,SUMIFS(Tabla1[Avance_km],Tabla1[Fecha],"&lt;="&amp;EV!$A259,Tabla1[nombre_actividad],EV!C$1),NA())</f>
        <v>145.70400000000001</v>
      </c>
      <c r="D259" s="110">
        <f ca="1">IF(TODAY()&gt;=$A259,SUMIFS(Tabla1[Avance_km],Tabla1[Fecha],"&lt;="&amp;EV!$A259,Tabla1[nombre_actividad],EV!D$1),NA())</f>
        <v>142.63799999999989</v>
      </c>
      <c r="E259" s="110">
        <f ca="1">IF(TODAY()&gt;=$A259,SUMIFS(Tabla1[Avance_km],Tabla1[Fecha],"&lt;="&amp;EV!$A259,Tabla1[nombre_actividad],EV!E$1,Tabla1[Avance_km],"&gt;0"),NA())</f>
        <v>125.76700000000011</v>
      </c>
      <c r="F259" s="67">
        <f ca="1">IF(TODAY()&gt;=$A259,SUMIFS(Tabla1[Avance_Med],Tabla1[Fecha],"&lt;="&amp;EV!$A259,Tabla1[nombre_actividad],EV!F$1),NA())</f>
        <v>376</v>
      </c>
      <c r="G259" s="67"/>
      <c r="H259" s="110"/>
      <c r="I259" s="228">
        <f ca="1">+C259*Catalogo!$F$19+EV!D259*Catalogo!$F$14+EV!E259*Catalogo!$F$16+EV!F259*Catalogo!$F$18</f>
        <v>5856478.9214699995</v>
      </c>
      <c r="J259" s="228">
        <f ca="1">IF(TODAY()&gt;=$A259,SUMIFS(Tabla1[EV],Tabla1[Fecha],"&lt;="&amp;A259,Tabla1[EV],"&gt;0"),NA())</f>
        <v>7543903.9414699981</v>
      </c>
      <c r="L259"/>
      <c r="N259"/>
      <c r="O259"/>
      <c r="P259"/>
      <c r="Q259"/>
      <c r="R259"/>
      <c r="S259"/>
      <c r="T259"/>
      <c r="U259"/>
      <c r="V259"/>
    </row>
    <row r="260" spans="1:22" x14ac:dyDescent="0.25">
      <c r="A260" s="62">
        <f t="shared" si="5"/>
        <v>46220</v>
      </c>
      <c r="B260" s="62"/>
      <c r="C260" s="110">
        <f ca="1">IF(TODAY()&gt;=$A260,SUMIFS(Tabla1[Avance_km],Tabla1[Fecha],"&lt;="&amp;EV!$A260,Tabla1[nombre_actividad],EV!C$1),NA())</f>
        <v>145.94399999999999</v>
      </c>
      <c r="D260" s="110">
        <f ca="1">IF(TODAY()&gt;=$A260,SUMIFS(Tabla1[Avance_km],Tabla1[Fecha],"&lt;="&amp;EV!$A260,Tabla1[nombre_actividad],EV!D$1),NA())</f>
        <v>142.87799999999987</v>
      </c>
      <c r="E260" s="110">
        <f ca="1">IF(TODAY()&gt;=$A260,SUMIFS(Tabla1[Avance_km],Tabla1[Fecha],"&lt;="&amp;EV!$A260,Tabla1[nombre_actividad],EV!E$1,Tabla1[Avance_km],"&gt;0"),NA())</f>
        <v>125.76700000000011</v>
      </c>
      <c r="F260" s="67">
        <f ca="1">IF(TODAY()&gt;=$A260,SUMIFS(Tabla1[Avance_Med],Tabla1[Fecha],"&lt;="&amp;EV!$A260,Tabla1[nombre_actividad],EV!F$1),NA())</f>
        <v>376</v>
      </c>
      <c r="G260" s="67"/>
      <c r="H260" s="110"/>
      <c r="I260" s="228">
        <f ca="1">+C260*Catalogo!$F$19+EV!D260*Catalogo!$F$14+EV!E260*Catalogo!$F$16+EV!F260*Catalogo!$F$18</f>
        <v>5860505.8406699998</v>
      </c>
      <c r="J260" s="228">
        <f ca="1">IF(TODAY()&gt;=$A260,SUMIFS(Tabla1[EV],Tabla1[Fecha],"&lt;="&amp;A260,Tabla1[EV],"&gt;0"),NA())</f>
        <v>7547930.8606699957</v>
      </c>
      <c r="L260"/>
    </row>
    <row r="261" spans="1:22" x14ac:dyDescent="0.25">
      <c r="A261" s="62">
        <f t="shared" ref="A261:A324" si="6">+A260+1</f>
        <v>46221</v>
      </c>
      <c r="B261" s="62"/>
      <c r="C261" s="110">
        <f ca="1">IF(TODAY()&gt;=$A261,SUMIFS(Tabla1[Avance_km],Tabla1[Fecha],"&lt;="&amp;EV!$A261,Tabla1[nombre_actividad],EV!C$1),NA())</f>
        <v>145.94399999999999</v>
      </c>
      <c r="D261" s="110">
        <f ca="1">IF(TODAY()&gt;=$A261,SUMIFS(Tabla1[Avance_km],Tabla1[Fecha],"&lt;="&amp;EV!$A261,Tabla1[nombre_actividad],EV!D$1),NA())</f>
        <v>142.97799999999987</v>
      </c>
      <c r="E261" s="110">
        <f ca="1">IF(TODAY()&gt;=$A261,SUMIFS(Tabla1[Avance_km],Tabla1[Fecha],"&lt;="&amp;EV!$A261,Tabla1[nombre_actividad],EV!E$1,Tabla1[Avance_km],"&gt;0"),NA())</f>
        <v>125.76700000000011</v>
      </c>
      <c r="F261" s="67">
        <f ca="1">IF(TODAY()&gt;=$A261,SUMIFS(Tabla1[Avance_Med],Tabla1[Fecha],"&lt;="&amp;EV!$A261,Tabla1[nombre_actividad],EV!F$1),NA())</f>
        <v>376</v>
      </c>
      <c r="G261" s="67"/>
      <c r="H261" s="110"/>
      <c r="I261" s="228">
        <f ca="1">+C261*Catalogo!$F$19+EV!D261*Catalogo!$F$14+EV!E261*Catalogo!$F$16+EV!F261*Catalogo!$F$18</f>
        <v>5861957.9816699997</v>
      </c>
      <c r="J261" s="228">
        <f ca="1">IF(TODAY()&gt;=$A261,SUMIFS(Tabla1[EV],Tabla1[Fecha],"&lt;="&amp;A261,Tabla1[EV],"&gt;0"),NA())</f>
        <v>7549383.0016699955</v>
      </c>
      <c r="L261"/>
    </row>
    <row r="262" spans="1:22" x14ac:dyDescent="0.25">
      <c r="A262" s="62">
        <f t="shared" si="5"/>
        <v>46222</v>
      </c>
      <c r="B262" s="62"/>
      <c r="C262" s="110">
        <f ca="1">IF(TODAY()&gt;=$A262,SUMIFS(Tabla1[Avance_km],Tabla1[Fecha],"&lt;="&amp;EV!$A262,Tabla1[nombre_actividad],EV!C$1),NA())</f>
        <v>145.94399999999999</v>
      </c>
      <c r="D262" s="110">
        <f ca="1">IF(TODAY()&gt;=$A262,SUMIFS(Tabla1[Avance_km],Tabla1[Fecha],"&lt;="&amp;EV!$A262,Tabla1[nombre_actividad],EV!D$1),NA())</f>
        <v>142.97799999999987</v>
      </c>
      <c r="E262" s="110">
        <f ca="1">IF(TODAY()&gt;=$A262,SUMIFS(Tabla1[Avance_km],Tabla1[Fecha],"&lt;="&amp;EV!$A262,Tabla1[nombre_actividad],EV!E$1,Tabla1[Avance_km],"&gt;0"),NA())</f>
        <v>125.76700000000011</v>
      </c>
      <c r="F262" s="67">
        <f ca="1">IF(TODAY()&gt;=$A262,SUMIFS(Tabla1[Avance_Med],Tabla1[Fecha],"&lt;="&amp;EV!$A262,Tabla1[nombre_actividad],EV!F$1),NA())</f>
        <v>376</v>
      </c>
      <c r="G262" s="67"/>
      <c r="H262" s="110"/>
      <c r="I262" s="228">
        <f ca="1">+C262*Catalogo!$F$19+EV!D262*Catalogo!$F$14+EV!E262*Catalogo!$F$16+EV!F262*Catalogo!$F$18</f>
        <v>5861957.9816699997</v>
      </c>
      <c r="J262" s="228">
        <f ca="1">IF(TODAY()&gt;=$A262,SUMIFS(Tabla1[EV],Tabla1[Fecha],"&lt;="&amp;A262,Tabla1[EV],"&gt;0"),NA())</f>
        <v>7549383.0016699955</v>
      </c>
      <c r="L262"/>
    </row>
    <row r="263" spans="1:22" x14ac:dyDescent="0.25">
      <c r="A263" s="62">
        <f t="shared" si="6"/>
        <v>46223</v>
      </c>
      <c r="B263" s="62"/>
      <c r="C263" s="110">
        <f ca="1">IF(TODAY()&gt;=$A263,SUMIFS(Tabla1[Avance_km],Tabla1[Fecha],"&lt;="&amp;EV!$A263,Tabla1[nombre_actividad],EV!C$1),NA())</f>
        <v>148.02099999999999</v>
      </c>
      <c r="D263" s="110">
        <f ca="1">IF(TODAY()&gt;=$A263,SUMIFS(Tabla1[Avance_km],Tabla1[Fecha],"&lt;="&amp;EV!$A263,Tabla1[nombre_actividad],EV!D$1),NA())</f>
        <v>142.97799999999987</v>
      </c>
      <c r="E263" s="110">
        <f ca="1">IF(TODAY()&gt;=$A263,SUMIFS(Tabla1[Avance_km],Tabla1[Fecha],"&lt;="&amp;EV!$A263,Tabla1[nombre_actividad],EV!E$1,Tabla1[Avance_km],"&gt;0"),NA())</f>
        <v>125.76700000000011</v>
      </c>
      <c r="F263" s="67">
        <f ca="1">IF(TODAY()&gt;=$A263,SUMIFS(Tabla1[Avance_Med],Tabla1[Fecha],"&lt;="&amp;EV!$A263,Tabla1[nombre_actividad],EV!F$1),NA())</f>
        <v>376</v>
      </c>
      <c r="G263" s="67"/>
      <c r="H263" s="110"/>
      <c r="I263" s="228">
        <f ca="1">+C263*Catalogo!$F$19+EV!D263*Catalogo!$F$14+EV!E263*Catalogo!$F$16+EV!F263*Catalogo!$F$18</f>
        <v>5866646.6430099998</v>
      </c>
      <c r="J263" s="228">
        <f ca="1">IF(TODAY()&gt;=$A263,SUMIFS(Tabla1[EV],Tabla1[Fecha],"&lt;="&amp;A263,Tabla1[EV],"&gt;0"),NA())</f>
        <v>7554071.6630099956</v>
      </c>
      <c r="L263"/>
    </row>
    <row r="264" spans="1:22" x14ac:dyDescent="0.25">
      <c r="A264" s="62">
        <f t="shared" si="6"/>
        <v>46224</v>
      </c>
      <c r="B264" s="62"/>
      <c r="C264" s="110">
        <f ca="1">IF(TODAY()&gt;=$A264,SUMIFS(Tabla1[Avance_km],Tabla1[Fecha],"&lt;="&amp;EV!$A264,Tabla1[nombre_actividad],EV!C$1),NA())</f>
        <v>148.02099999999999</v>
      </c>
      <c r="D264" s="110">
        <f ca="1">IF(TODAY()&gt;=$A264,SUMIFS(Tabla1[Avance_km],Tabla1[Fecha],"&lt;="&amp;EV!$A264,Tabla1[nombre_actividad],EV!D$1),NA())</f>
        <v>142.97799999999987</v>
      </c>
      <c r="E264" s="110">
        <f ca="1">IF(TODAY()&gt;=$A264,SUMIFS(Tabla1[Avance_km],Tabla1[Fecha],"&lt;="&amp;EV!$A264,Tabla1[nombre_actividad],EV!E$1,Tabla1[Avance_km],"&gt;0"),NA())</f>
        <v>125.76700000000011</v>
      </c>
      <c r="F264" s="67">
        <f ca="1">IF(TODAY()&gt;=$A264,SUMIFS(Tabla1[Avance_Med],Tabla1[Fecha],"&lt;="&amp;EV!$A264,Tabla1[nombre_actividad],EV!F$1),NA())</f>
        <v>376</v>
      </c>
      <c r="G264" s="67"/>
      <c r="H264" s="110"/>
      <c r="I264" s="228">
        <f ca="1">+C264*Catalogo!$F$19+EV!D264*Catalogo!$F$14+EV!E264*Catalogo!$F$16+EV!F264*Catalogo!$F$18</f>
        <v>5866646.6430099998</v>
      </c>
      <c r="J264" s="228">
        <f ca="1">IF(TODAY()&gt;=$A264,SUMIFS(Tabla1[EV],Tabla1[Fecha],"&lt;="&amp;A264,Tabla1[EV],"&gt;0"),NA())</f>
        <v>7554071.6630099956</v>
      </c>
      <c r="L264"/>
    </row>
    <row r="265" spans="1:22" x14ac:dyDescent="0.25">
      <c r="A265" s="62">
        <f t="shared" si="6"/>
        <v>46225</v>
      </c>
      <c r="B265" s="62"/>
      <c r="C265" s="110">
        <f ca="1">IF(TODAY()&gt;=$A265,SUMIFS(Tabla1[Avance_km],Tabla1[Fecha],"&lt;="&amp;EV!$A265,Tabla1[nombre_actividad],EV!C$1),NA())</f>
        <v>148.02099999999999</v>
      </c>
      <c r="D265" s="110">
        <f ca="1">IF(TODAY()&gt;=$A265,SUMIFS(Tabla1[Avance_km],Tabla1[Fecha],"&lt;="&amp;EV!$A265,Tabla1[nombre_actividad],EV!D$1),NA())</f>
        <v>142.97799999999987</v>
      </c>
      <c r="E265" s="110">
        <f ca="1">IF(TODAY()&gt;=$A265,SUMIFS(Tabla1[Avance_km],Tabla1[Fecha],"&lt;="&amp;EV!$A265,Tabla1[nombre_actividad],EV!E$1,Tabla1[Avance_km],"&gt;0"),NA())</f>
        <v>126.27300000000012</v>
      </c>
      <c r="F265" s="67">
        <f ca="1">IF(TODAY()&gt;=$A265,SUMIFS(Tabla1[Avance_Med],Tabla1[Fecha],"&lt;="&amp;EV!$A265,Tabla1[nombre_actividad],EV!F$1),NA())</f>
        <v>376</v>
      </c>
      <c r="G265" s="67"/>
      <c r="H265" s="110"/>
      <c r="I265" s="228">
        <f ca="1">+C265*Catalogo!$F$19+EV!D265*Catalogo!$F$14+EV!E265*Catalogo!$F$16+EV!F265*Catalogo!$F$18</f>
        <v>5873505.7917899992</v>
      </c>
      <c r="J265" s="228">
        <f ca="1">IF(TODAY()&gt;=$A265,SUMIFS(Tabla1[EV],Tabla1[Fecha],"&lt;="&amp;A265,Tabla1[EV],"&gt;0"),NA())</f>
        <v>7560930.811789996</v>
      </c>
      <c r="L265"/>
    </row>
    <row r="266" spans="1:22" x14ac:dyDescent="0.25">
      <c r="A266" s="62">
        <f t="shared" si="6"/>
        <v>46226</v>
      </c>
      <c r="B266" s="62"/>
      <c r="C266" s="110">
        <f ca="1">IF(TODAY()&gt;=$A266,SUMIFS(Tabla1[Avance_km],Tabla1[Fecha],"&lt;="&amp;EV!$A266,Tabla1[nombre_actividad],EV!C$1),NA())</f>
        <v>148.02099999999999</v>
      </c>
      <c r="D266" s="110">
        <f ca="1">IF(TODAY()&gt;=$A266,SUMIFS(Tabla1[Avance_km],Tabla1[Fecha],"&lt;="&amp;EV!$A266,Tabla1[nombre_actividad],EV!D$1),NA())</f>
        <v>142.97799999999987</v>
      </c>
      <c r="E266" s="110">
        <f ca="1">IF(TODAY()&gt;=$A266,SUMIFS(Tabla1[Avance_km],Tabla1[Fecha],"&lt;="&amp;EV!$A266,Tabla1[nombre_actividad],EV!E$1,Tabla1[Avance_km],"&gt;0"),NA())</f>
        <v>126.36400000000012</v>
      </c>
      <c r="F266" s="67">
        <f ca="1">IF(TODAY()&gt;=$A266,SUMIFS(Tabla1[Avance_Med],Tabla1[Fecha],"&lt;="&amp;EV!$A266,Tabla1[nombre_actividad],EV!F$1),NA())</f>
        <v>376</v>
      </c>
      <c r="G266" s="67"/>
      <c r="H266" s="110"/>
      <c r="I266" s="228">
        <f ca="1">+C266*Catalogo!$F$19+EV!D266*Catalogo!$F$14+EV!E266*Catalogo!$F$16+EV!F266*Catalogo!$F$18</f>
        <v>5874739.3541199993</v>
      </c>
      <c r="J266" s="228">
        <f ca="1">IF(TODAY()&gt;=$A266,SUMIFS(Tabla1[EV],Tabla1[Fecha],"&lt;="&amp;A266,Tabla1[EV],"&gt;0"),NA())</f>
        <v>7562164.3741199952</v>
      </c>
      <c r="L266"/>
    </row>
    <row r="267" spans="1:22" x14ac:dyDescent="0.25">
      <c r="A267" s="62">
        <f t="shared" si="6"/>
        <v>46227</v>
      </c>
      <c r="B267" s="62"/>
      <c r="C267" s="110">
        <f ca="1">IF(TODAY()&gt;=$A267,SUMIFS(Tabla1[Avance_km],Tabla1[Fecha],"&lt;="&amp;EV!$A267,Tabla1[nombre_actividad],EV!C$1),NA())</f>
        <v>148.02099999999999</v>
      </c>
      <c r="D267" s="110">
        <f ca="1">IF(TODAY()&gt;=$A267,SUMIFS(Tabla1[Avance_km],Tabla1[Fecha],"&lt;="&amp;EV!$A267,Tabla1[nombre_actividad],EV!D$1),NA())</f>
        <v>142.97799999999987</v>
      </c>
      <c r="E267" s="110">
        <f ca="1">IF(TODAY()&gt;=$A267,SUMIFS(Tabla1[Avance_km],Tabla1[Fecha],"&lt;="&amp;EV!$A267,Tabla1[nombre_actividad],EV!E$1,Tabla1[Avance_km],"&gt;0"),NA())</f>
        <v>128.02900000000011</v>
      </c>
      <c r="F267" s="67">
        <f ca="1">IF(TODAY()&gt;=$A267,SUMIFS(Tabla1[Avance_Med],Tabla1[Fecha],"&lt;="&amp;EV!$A267,Tabla1[nombre_actividad],EV!F$1),NA())</f>
        <v>376</v>
      </c>
      <c r="G267" s="67"/>
      <c r="H267" s="110"/>
      <c r="I267" s="228">
        <f ca="1">+C267*Catalogo!$F$19+EV!D267*Catalogo!$F$14+EV!E267*Catalogo!$F$16+EV!F267*Catalogo!$F$18</f>
        <v>5897309.4780699993</v>
      </c>
      <c r="J267" s="228">
        <f ca="1">IF(TODAY()&gt;=$A267,SUMIFS(Tabla1[EV],Tabla1[Fecha],"&lt;="&amp;A267,Tabla1[EV],"&gt;0"),NA())</f>
        <v>7584734.4980699951</v>
      </c>
      <c r="L267"/>
    </row>
    <row r="268" spans="1:22" x14ac:dyDescent="0.25">
      <c r="A268" s="62">
        <f t="shared" si="6"/>
        <v>46228</v>
      </c>
      <c r="B268" s="62"/>
      <c r="C268" s="110">
        <f ca="1">IF(TODAY()&gt;=$A268,SUMIFS(Tabla1[Avance_km],Tabla1[Fecha],"&lt;="&amp;EV!$A268,Tabla1[nombre_actividad],EV!C$1),NA())</f>
        <v>148.02099999999999</v>
      </c>
      <c r="D268" s="110">
        <f ca="1">IF(TODAY()&gt;=$A268,SUMIFS(Tabla1[Avance_km],Tabla1[Fecha],"&lt;="&amp;EV!$A268,Tabla1[nombre_actividad],EV!D$1),NA())</f>
        <v>145.05499999999986</v>
      </c>
      <c r="E268" s="110">
        <f ca="1">IF(TODAY()&gt;=$A268,SUMIFS(Tabla1[Avance_km],Tabla1[Fecha],"&lt;="&amp;EV!$A268,Tabla1[nombre_actividad],EV!E$1,Tabla1[Avance_km],"&gt;0"),NA())</f>
        <v>128.02900000000011</v>
      </c>
      <c r="F268" s="67">
        <f ca="1">IF(TODAY()&gt;=$A268,SUMIFS(Tabla1[Avance_Med],Tabla1[Fecha],"&lt;="&amp;EV!$A268,Tabla1[nombre_actividad],EV!F$1),NA())</f>
        <v>376</v>
      </c>
      <c r="G268" s="67"/>
      <c r="H268" s="110"/>
      <c r="I268" s="228">
        <f ca="1">+C268*Catalogo!$F$19+EV!D268*Catalogo!$F$14+EV!E268*Catalogo!$F$16+EV!F268*Catalogo!$F$18</f>
        <v>5927470.4466399997</v>
      </c>
      <c r="J268" s="228">
        <f ca="1">IF(TODAY()&gt;=$A268,SUMIFS(Tabla1[EV],Tabla1[Fecha],"&lt;="&amp;A268,Tabla1[EV],"&gt;0"),NA())</f>
        <v>7614895.4666399946</v>
      </c>
      <c r="L268"/>
    </row>
    <row r="269" spans="1:22" x14ac:dyDescent="0.25">
      <c r="A269" s="62">
        <f t="shared" si="6"/>
        <v>46229</v>
      </c>
      <c r="B269" s="62"/>
      <c r="C269" s="110">
        <f ca="1">IF(TODAY()&gt;=$A269,SUMIFS(Tabla1[Avance_km],Tabla1[Fecha],"&lt;="&amp;EV!$A269,Tabla1[nombre_actividad],EV!C$1),NA())</f>
        <v>148.02099999999999</v>
      </c>
      <c r="D269" s="110">
        <f ca="1">IF(TODAY()&gt;=$A269,SUMIFS(Tabla1[Avance_km],Tabla1[Fecha],"&lt;="&amp;EV!$A269,Tabla1[nombre_actividad],EV!D$1),NA())</f>
        <v>145.05499999999986</v>
      </c>
      <c r="E269" s="110">
        <f ca="1">IF(TODAY()&gt;=$A269,SUMIFS(Tabla1[Avance_km],Tabla1[Fecha],"&lt;="&amp;EV!$A269,Tabla1[nombre_actividad],EV!E$1,Tabla1[Avance_km],"&gt;0"),NA())</f>
        <v>128.02900000000011</v>
      </c>
      <c r="F269" s="67">
        <f ca="1">IF(TODAY()&gt;=$A269,SUMIFS(Tabla1[Avance_Med],Tabla1[Fecha],"&lt;="&amp;EV!$A269,Tabla1[nombre_actividad],EV!F$1),NA())</f>
        <v>376</v>
      </c>
      <c r="G269" s="67"/>
      <c r="H269" s="110"/>
      <c r="I269" s="228">
        <f ca="1">+C269*Catalogo!$F$19+EV!D269*Catalogo!$F$14+EV!E269*Catalogo!$F$16+EV!F269*Catalogo!$F$18</f>
        <v>5927470.4466399997</v>
      </c>
      <c r="J269" s="228">
        <f ca="1">IF(TODAY()&gt;=$A269,SUMIFS(Tabla1[EV],Tabla1[Fecha],"&lt;="&amp;A269,Tabla1[EV],"&gt;0"),NA())</f>
        <v>7614895.4666399946</v>
      </c>
      <c r="L269"/>
    </row>
    <row r="270" spans="1:22" x14ac:dyDescent="0.25">
      <c r="A270" s="62">
        <f t="shared" si="6"/>
        <v>46230</v>
      </c>
      <c r="B270" s="62"/>
      <c r="C270" s="110">
        <f ca="1">IF(TODAY()&gt;=$A270,SUMIFS(Tabla1[Avance_km],Tabla1[Fecha],"&lt;="&amp;EV!$A270,Tabla1[nombre_actividad],EV!C$1),NA())</f>
        <v>148.02099999999999</v>
      </c>
      <c r="D270" s="110">
        <f ca="1">IF(TODAY()&gt;=$A270,SUMIFS(Tabla1[Avance_km],Tabla1[Fecha],"&lt;="&amp;EV!$A270,Tabla1[nombre_actividad],EV!D$1),NA())</f>
        <v>145.05499999999986</v>
      </c>
      <c r="E270" s="110">
        <f ca="1">IF(TODAY()&gt;=$A270,SUMIFS(Tabla1[Avance_km],Tabla1[Fecha],"&lt;="&amp;EV!$A270,Tabla1[nombre_actividad],EV!E$1,Tabla1[Avance_km],"&gt;0"),NA())</f>
        <v>130.33100000000013</v>
      </c>
      <c r="F270" s="67">
        <f ca="1">IF(TODAY()&gt;=$A270,SUMIFS(Tabla1[Avance_Med],Tabla1[Fecha],"&lt;="&amp;EV!$A270,Tabla1[nombre_actividad],EV!F$1),NA())</f>
        <v>376</v>
      </c>
      <c r="G270" s="67"/>
      <c r="H270" s="110"/>
      <c r="I270" s="228">
        <f ca="1">+C270*Catalogo!$F$19+EV!D270*Catalogo!$F$14+EV!E270*Catalogo!$F$16+EV!F270*Catalogo!$F$18</f>
        <v>5958675.5068999995</v>
      </c>
      <c r="J270" s="228">
        <f ca="1">IF(TODAY()&gt;=$A270,SUMIFS(Tabla1[EV],Tabla1[Fecha],"&lt;="&amp;A270,Tabla1[EV],"&gt;0"),NA())</f>
        <v>7646100.5268999944</v>
      </c>
      <c r="L270"/>
    </row>
    <row r="271" spans="1:22" x14ac:dyDescent="0.25">
      <c r="A271" s="62">
        <f t="shared" si="6"/>
        <v>46231</v>
      </c>
      <c r="B271" s="62"/>
      <c r="C271" s="110">
        <f ca="1">IF(TODAY()&gt;=$A271,SUMIFS(Tabla1[Avance_km],Tabla1[Fecha],"&lt;="&amp;EV!$A271,Tabla1[nombre_actividad],EV!C$1),NA())</f>
        <v>148.02099999999999</v>
      </c>
      <c r="D271" s="110">
        <f ca="1">IF(TODAY()&gt;=$A271,SUMIFS(Tabla1[Avance_km],Tabla1[Fecha],"&lt;="&amp;EV!$A271,Tabla1[nombre_actividad],EV!D$1),NA())</f>
        <v>145.05499999999986</v>
      </c>
      <c r="E271" s="110">
        <f ca="1">IF(TODAY()&gt;=$A271,SUMIFS(Tabla1[Avance_km],Tabla1[Fecha],"&lt;="&amp;EV!$A271,Tabla1[nombre_actividad],EV!E$1,Tabla1[Avance_km],"&gt;0"),NA())</f>
        <v>131.76700000000014</v>
      </c>
      <c r="F271" s="67">
        <f ca="1">IF(TODAY()&gt;=$A271,SUMIFS(Tabla1[Avance_Med],Tabla1[Fecha],"&lt;="&amp;EV!$A271,Tabla1[nombre_actividad],EV!F$1),NA())</f>
        <v>376</v>
      </c>
      <c r="G271" s="67"/>
      <c r="H271" s="110"/>
      <c r="I271" s="228">
        <f ca="1">+C271*Catalogo!$F$19+EV!D271*Catalogo!$F$14+EV!E271*Catalogo!$F$16+EV!F271*Catalogo!$F$18</f>
        <v>5978141.3915799996</v>
      </c>
      <c r="J271" s="228">
        <f ca="1">IF(TODAY()&gt;=$A271,SUMIFS(Tabla1[EV],Tabla1[Fecha],"&lt;="&amp;A271,Tabla1[EV],"&gt;0"),NA())</f>
        <v>7665566.4115799945</v>
      </c>
      <c r="L271"/>
    </row>
    <row r="272" spans="1:22" x14ac:dyDescent="0.25">
      <c r="A272" s="62">
        <f t="shared" si="6"/>
        <v>46232</v>
      </c>
      <c r="B272" s="62"/>
      <c r="C272" s="110">
        <f ca="1">IF(TODAY()&gt;=$A272,SUMIFS(Tabla1[Avance_km],Tabla1[Fecha],"&lt;="&amp;EV!$A272,Tabla1[nombre_actividad],EV!C$1),NA())</f>
        <v>148.02099999999999</v>
      </c>
      <c r="D272" s="110">
        <f ca="1">IF(TODAY()&gt;=$A272,SUMIFS(Tabla1[Avance_km],Tabla1[Fecha],"&lt;="&amp;EV!$A272,Tabla1[nombre_actividad],EV!D$1),NA())</f>
        <v>145.05499999999986</v>
      </c>
      <c r="E272" s="110">
        <f ca="1">IF(TODAY()&gt;=$A272,SUMIFS(Tabla1[Avance_km],Tabla1[Fecha],"&lt;="&amp;EV!$A272,Tabla1[nombre_actividad],EV!E$1,Tabla1[Avance_km],"&gt;0"),NA())</f>
        <v>132.41700000000009</v>
      </c>
      <c r="F272" s="67">
        <f ca="1">IF(TODAY()&gt;=$A272,SUMIFS(Tabla1[Avance_Med],Tabla1[Fecha],"&lt;="&amp;EV!$A272,Tabla1[nombre_actividad],EV!F$1),NA())</f>
        <v>376</v>
      </c>
      <c r="G272" s="67"/>
      <c r="H272" s="110"/>
      <c r="I272" s="228">
        <f ca="1">+C272*Catalogo!$F$19+EV!D272*Catalogo!$F$14+EV!E272*Catalogo!$F$16+EV!F272*Catalogo!$F$18</f>
        <v>5986952.5510799997</v>
      </c>
      <c r="J272" s="228">
        <f ca="1">IF(TODAY()&gt;=$A272,SUMIFS(Tabla1[EV],Tabla1[Fecha],"&lt;="&amp;A272,Tabla1[EV],"&gt;0"),NA())</f>
        <v>7674377.5710799946</v>
      </c>
      <c r="L272"/>
    </row>
    <row r="273" spans="1:12" x14ac:dyDescent="0.25">
      <c r="A273" s="62">
        <f t="shared" si="6"/>
        <v>46233</v>
      </c>
      <c r="B273" s="62"/>
      <c r="C273" s="110">
        <f ca="1">IF(TODAY()&gt;=$A273,SUMIFS(Tabla1[Avance_km],Tabla1[Fecha],"&lt;="&amp;EV!$A273,Tabla1[nombre_actividad],EV!C$1),NA())</f>
        <v>148.02099999999999</v>
      </c>
      <c r="D273" s="110">
        <f ca="1">IF(TODAY()&gt;=$A273,SUMIFS(Tabla1[Avance_km],Tabla1[Fecha],"&lt;="&amp;EV!$A273,Tabla1[nombre_actividad],EV!D$1),NA())</f>
        <v>145.05499999999986</v>
      </c>
      <c r="E273" s="110">
        <f ca="1">IF(TODAY()&gt;=$A273,SUMIFS(Tabla1[Avance_km],Tabla1[Fecha],"&lt;="&amp;EV!$A273,Tabla1[nombre_actividad],EV!E$1,Tabla1[Avance_km],"&gt;0"),NA())</f>
        <v>134.13700000000009</v>
      </c>
      <c r="F273" s="67">
        <f ca="1">IF(TODAY()&gt;=$A273,SUMIFS(Tabla1[Avance_Med],Tabla1[Fecha],"&lt;="&amp;EV!$A273,Tabla1[nombre_actividad],EV!F$1),NA())</f>
        <v>376</v>
      </c>
      <c r="G273" s="67"/>
      <c r="H273" s="110"/>
      <c r="I273" s="228">
        <f ca="1">+C273*Catalogo!$F$19+EV!D273*Catalogo!$F$14+EV!E273*Catalogo!$F$16+EV!F273*Catalogo!$F$18</f>
        <v>6010268.2346799988</v>
      </c>
      <c r="J273" s="228">
        <f ca="1">IF(TODAY()&gt;=$A273,SUMIFS(Tabla1[EV],Tabla1[Fecha],"&lt;="&amp;A273,Tabla1[EV],"&gt;0"),NA())</f>
        <v>7697693.2546799947</v>
      </c>
      <c r="L273"/>
    </row>
    <row r="274" spans="1:12" x14ac:dyDescent="0.25">
      <c r="A274" s="62">
        <f t="shared" si="6"/>
        <v>46234</v>
      </c>
      <c r="B274" s="62"/>
      <c r="C274" s="110">
        <f ca="1">IF(TODAY()&gt;=$A274,SUMIFS(Tabla1[Avance_km],Tabla1[Fecha],"&lt;="&amp;EV!$A274,Tabla1[nombre_actividad],EV!C$1),NA())</f>
        <v>148.02099999999999</v>
      </c>
      <c r="D274" s="110">
        <f ca="1">IF(TODAY()&gt;=$A274,SUMIFS(Tabla1[Avance_km],Tabla1[Fecha],"&lt;="&amp;EV!$A274,Tabla1[nombre_actividad],EV!D$1),NA())</f>
        <v>145.05499999999986</v>
      </c>
      <c r="E274" s="110">
        <f ca="1">IF(TODAY()&gt;=$A274,SUMIFS(Tabla1[Avance_km],Tabla1[Fecha],"&lt;="&amp;EV!$A274,Tabla1[nombre_actividad],EV!E$1,Tabla1[Avance_km],"&gt;0"),NA())</f>
        <v>136.30500000000009</v>
      </c>
      <c r="F274" s="67">
        <f ca="1">IF(TODAY()&gt;=$A274,SUMIFS(Tabla1[Avance_Med],Tabla1[Fecha],"&lt;="&amp;EV!$A274,Tabla1[nombre_actividad],EV!F$1),NA())</f>
        <v>376</v>
      </c>
      <c r="G274" s="67"/>
      <c r="H274" s="110"/>
      <c r="I274" s="228">
        <f ca="1">+C274*Catalogo!$F$19+EV!D274*Catalogo!$F$14+EV!E274*Catalogo!$F$16+EV!F274*Catalogo!$F$18</f>
        <v>6039656.8405199992</v>
      </c>
      <c r="J274" s="228">
        <f ca="1">IF(TODAY()&gt;=$A274,SUMIFS(Tabla1[EV],Tabla1[Fecha],"&lt;="&amp;A274,Tabla1[EV],"&gt;0"),NA())</f>
        <v>7727081.860519995</v>
      </c>
      <c r="L274"/>
    </row>
    <row r="275" spans="1:12" x14ac:dyDescent="0.25">
      <c r="A275" s="62">
        <f t="shared" si="6"/>
        <v>46235</v>
      </c>
      <c r="B275" s="62"/>
      <c r="C275" s="110">
        <f ca="1">IF(TODAY()&gt;=$A275,SUMIFS(Tabla1[Avance_km],Tabla1[Fecha],"&lt;="&amp;EV!$A275,Tabla1[nombre_actividad],EV!C$1),NA())</f>
        <v>148.02099999999999</v>
      </c>
      <c r="D275" s="110">
        <f ca="1">IF(TODAY()&gt;=$A275,SUMIFS(Tabla1[Avance_km],Tabla1[Fecha],"&lt;="&amp;EV!$A275,Tabla1[nombre_actividad],EV!D$1),NA())</f>
        <v>145.05499999999986</v>
      </c>
      <c r="E275" s="110">
        <f ca="1">IF(TODAY()&gt;=$A275,SUMIFS(Tabla1[Avance_km],Tabla1[Fecha],"&lt;="&amp;EV!$A275,Tabla1[nombre_actividad],EV!E$1,Tabla1[Avance_km],"&gt;0"),NA())</f>
        <v>137.3850000000001</v>
      </c>
      <c r="F275" s="67">
        <f ca="1">IF(TODAY()&gt;=$A275,SUMIFS(Tabla1[Avance_Med],Tabla1[Fecha],"&lt;="&amp;EV!$A275,Tabla1[nombre_actividad],EV!F$1),NA())</f>
        <v>376</v>
      </c>
      <c r="G275" s="67"/>
      <c r="H275" s="110"/>
      <c r="I275" s="228">
        <f ca="1">+C275*Catalogo!$F$19+EV!D275*Catalogo!$F$14+EV!E275*Catalogo!$F$16+EV!F275*Catalogo!$F$18</f>
        <v>6054296.9209199995</v>
      </c>
      <c r="J275" s="228">
        <f ca="1">IF(TODAY()&gt;=$A275,SUMIFS(Tabla1[EV],Tabla1[Fecha],"&lt;="&amp;A275,Tabla1[EV],"&gt;0"),NA())</f>
        <v>7741721.9409199953</v>
      </c>
      <c r="L275"/>
    </row>
    <row r="276" spans="1:12" x14ac:dyDescent="0.25">
      <c r="A276" s="62">
        <f t="shared" si="6"/>
        <v>46236</v>
      </c>
      <c r="B276" s="62"/>
      <c r="C276" s="110">
        <f ca="1">IF(TODAY()&gt;=$A276,SUMIFS(Tabla1[Avance_km],Tabla1[Fecha],"&lt;="&amp;EV!$A276,Tabla1[nombre_actividad],EV!C$1),NA())</f>
        <v>148.02099999999999</v>
      </c>
      <c r="D276" s="110">
        <f ca="1">IF(TODAY()&gt;=$A276,SUMIFS(Tabla1[Avance_km],Tabla1[Fecha],"&lt;="&amp;EV!$A276,Tabla1[nombre_actividad],EV!D$1),NA())</f>
        <v>145.05499999999986</v>
      </c>
      <c r="E276" s="110">
        <f ca="1">IF(TODAY()&gt;=$A276,SUMIFS(Tabla1[Avance_km],Tabla1[Fecha],"&lt;="&amp;EV!$A276,Tabla1[nombre_actividad],EV!E$1,Tabla1[Avance_km],"&gt;0"),NA())</f>
        <v>137.3850000000001</v>
      </c>
      <c r="F276" s="67">
        <f ca="1">IF(TODAY()&gt;=$A276,SUMIFS(Tabla1[Avance_Med],Tabla1[Fecha],"&lt;="&amp;EV!$A276,Tabla1[nombre_actividad],EV!F$1),NA())</f>
        <v>376</v>
      </c>
      <c r="G276" s="67"/>
      <c r="H276" s="110"/>
      <c r="I276" s="228">
        <f ca="1">+C276*Catalogo!$F$19+EV!D276*Catalogo!$F$14+EV!E276*Catalogo!$F$16+EV!F276*Catalogo!$F$18</f>
        <v>6054296.9209199995</v>
      </c>
      <c r="J276" s="228">
        <f ca="1">IF(TODAY()&gt;=$A276,SUMIFS(Tabla1[EV],Tabla1[Fecha],"&lt;="&amp;A276,Tabla1[EV],"&gt;0"),NA())</f>
        <v>7741721.9409199953</v>
      </c>
      <c r="L276"/>
    </row>
    <row r="277" spans="1:12" x14ac:dyDescent="0.25">
      <c r="A277" s="62">
        <f t="shared" si="6"/>
        <v>46237</v>
      </c>
      <c r="B277" s="62"/>
      <c r="C277" s="110">
        <f ca="1">IF(TODAY()&gt;=$A277,SUMIFS(Tabla1[Avance_km],Tabla1[Fecha],"&lt;="&amp;EV!$A277,Tabla1[nombre_actividad],EV!C$1),NA())</f>
        <v>148.02099999999999</v>
      </c>
      <c r="D277" s="110">
        <f ca="1">IF(TODAY()&gt;=$A277,SUMIFS(Tabla1[Avance_km],Tabla1[Fecha],"&lt;="&amp;EV!$A277,Tabla1[nombre_actividad],EV!D$1),NA())</f>
        <v>145.05499999999986</v>
      </c>
      <c r="E277" s="110">
        <f ca="1">IF(TODAY()&gt;=$A277,SUMIFS(Tabla1[Avance_km],Tabla1[Fecha],"&lt;="&amp;EV!$A277,Tabla1[nombre_actividad],EV!E$1,Tabla1[Avance_km],"&gt;0"),NA())</f>
        <v>138.58500000000009</v>
      </c>
      <c r="F277" s="67">
        <f ca="1">IF(TODAY()&gt;=$A277,SUMIFS(Tabla1[Avance_Med],Tabla1[Fecha],"&lt;="&amp;EV!$A277,Tabla1[nombre_actividad],EV!F$1),NA())</f>
        <v>376</v>
      </c>
      <c r="G277" s="67"/>
      <c r="H277" s="110"/>
      <c r="I277" s="228">
        <f ca="1">+C277*Catalogo!$F$19+EV!D277*Catalogo!$F$14+EV!E277*Catalogo!$F$16+EV!F277*Catalogo!$F$18</f>
        <v>6070563.6769199995</v>
      </c>
      <c r="J277" s="228">
        <f ca="1">IF(TODAY()&gt;=$A277,SUMIFS(Tabla1[EV],Tabla1[Fecha],"&lt;="&amp;A277,Tabla1[EV],"&gt;0"),NA())</f>
        <v>7757988.6969199954</v>
      </c>
      <c r="L277"/>
    </row>
    <row r="278" spans="1:12" x14ac:dyDescent="0.25">
      <c r="A278" s="62">
        <f t="shared" si="6"/>
        <v>46238</v>
      </c>
      <c r="B278" s="62"/>
      <c r="C278" s="110">
        <f ca="1">IF(TODAY()&gt;=$A278,SUMIFS(Tabla1[Avance_km],Tabla1[Fecha],"&lt;="&amp;EV!$A278,Tabla1[nombre_actividad],EV!C$1),NA())</f>
        <v>148.02099999999999</v>
      </c>
      <c r="D278" s="110">
        <f ca="1">IF(TODAY()&gt;=$A278,SUMIFS(Tabla1[Avance_km],Tabla1[Fecha],"&lt;="&amp;EV!$A278,Tabla1[nombre_actividad],EV!D$1),NA())</f>
        <v>145.05499999999986</v>
      </c>
      <c r="E278" s="110">
        <f ca="1">IF(TODAY()&gt;=$A278,SUMIFS(Tabla1[Avance_km],Tabla1[Fecha],"&lt;="&amp;EV!$A278,Tabla1[nombre_actividad],EV!E$1,Tabla1[Avance_km],"&gt;0"),NA())</f>
        <v>138.80400000000009</v>
      </c>
      <c r="F278" s="67">
        <f ca="1">IF(TODAY()&gt;=$A278,SUMIFS(Tabla1[Avance_Med],Tabla1[Fecha],"&lt;="&amp;EV!$A278,Tabla1[nombre_actividad],EV!F$1),NA())</f>
        <v>376</v>
      </c>
      <c r="G278" s="67"/>
      <c r="H278" s="110"/>
      <c r="I278" s="228">
        <f ca="1">+C278*Catalogo!$F$19+EV!D278*Catalogo!$F$14+EV!E278*Catalogo!$F$16+EV!F278*Catalogo!$F$18</f>
        <v>6073532.359889999</v>
      </c>
      <c r="J278" s="228">
        <f ca="1">IF(TODAY()&gt;=$A278,SUMIFS(Tabla1[EV],Tabla1[Fecha],"&lt;="&amp;A278,Tabla1[EV],"&gt;0"),NA())</f>
        <v>7760957.3798899958</v>
      </c>
      <c r="L278"/>
    </row>
    <row r="279" spans="1:12" x14ac:dyDescent="0.25">
      <c r="A279" s="62">
        <f t="shared" si="6"/>
        <v>46239</v>
      </c>
      <c r="B279" s="62"/>
      <c r="C279" s="110">
        <f ca="1">IF(TODAY()&gt;=$A279,SUMIFS(Tabla1[Avance_km],Tabla1[Fecha],"&lt;="&amp;EV!$A279,Tabla1[nombre_actividad],EV!C$1),NA())</f>
        <v>148.03599999999997</v>
      </c>
      <c r="D279" s="110">
        <f ca="1">IF(TODAY()&gt;=$A279,SUMIFS(Tabla1[Avance_km],Tabla1[Fecha],"&lt;="&amp;EV!$A279,Tabla1[nombre_actividad],EV!D$1),NA())</f>
        <v>145.06999999999985</v>
      </c>
      <c r="E279" s="110">
        <f ca="1">IF(TODAY()&gt;=$A279,SUMIFS(Tabla1[Avance_km],Tabla1[Fecha],"&lt;="&amp;EV!$A279,Tabla1[nombre_actividad],EV!E$1,Tabla1[Avance_km],"&gt;0"),NA())</f>
        <v>138.82500000000007</v>
      </c>
      <c r="F279" s="67">
        <f ca="1">IF(TODAY()&gt;=$A279,SUMIFS(Tabla1[Avance_Med],Tabla1[Fecha],"&lt;="&amp;EV!$A279,Tabla1[nombre_actividad],EV!F$1),NA())</f>
        <v>376</v>
      </c>
      <c r="G279" s="67"/>
      <c r="H279" s="110"/>
      <c r="I279" s="228">
        <f ca="1">+C279*Catalogo!$F$19+EV!D279*Catalogo!$F$14+EV!E279*Catalogo!$F$16+EV!F279*Catalogo!$F$18</f>
        <v>6074068.7105699982</v>
      </c>
      <c r="J279" s="228">
        <f ca="1">IF(TODAY()&gt;=$A279,SUMIFS(Tabla1[EV],Tabla1[Fecha],"&lt;="&amp;A279,Tabla1[EV],"&gt;0"),NA())</f>
        <v>7761493.7305699959</v>
      </c>
      <c r="L279"/>
    </row>
    <row r="280" spans="1:12" x14ac:dyDescent="0.25">
      <c r="A280" s="62">
        <f t="shared" si="6"/>
        <v>46240</v>
      </c>
      <c r="B280" s="62"/>
      <c r="C280" s="110">
        <f ca="1">IF(TODAY()&gt;=$A280,SUMIFS(Tabla1[Avance_km],Tabla1[Fecha],"&lt;="&amp;EV!$A280,Tabla1[nombre_actividad],EV!C$1),NA())</f>
        <v>148.03599999999997</v>
      </c>
      <c r="D280" s="110">
        <f ca="1">IF(TODAY()&gt;=$A280,SUMIFS(Tabla1[Avance_km],Tabla1[Fecha],"&lt;="&amp;EV!$A280,Tabla1[nombre_actividad],EV!D$1),NA())</f>
        <v>145.06999999999985</v>
      </c>
      <c r="E280" s="110">
        <f ca="1">IF(TODAY()&gt;=$A280,SUMIFS(Tabla1[Avance_km],Tabla1[Fecha],"&lt;="&amp;EV!$A280,Tabla1[nombre_actividad],EV!E$1,Tabla1[Avance_km],"&gt;0"),NA())</f>
        <v>142.12500000000009</v>
      </c>
      <c r="F280" s="67">
        <f ca="1">IF(TODAY()&gt;=$A280,SUMIFS(Tabla1[Avance_Med],Tabla1[Fecha],"&lt;="&amp;EV!$A280,Tabla1[nombre_actividad],EV!F$1),NA())</f>
        <v>376</v>
      </c>
      <c r="G280" s="67"/>
      <c r="H280" s="110"/>
      <c r="I280" s="228">
        <f ca="1">+C280*Catalogo!$F$19+EV!D280*Catalogo!$F$14+EV!E280*Catalogo!$F$16+EV!F280*Catalogo!$F$18</f>
        <v>6118802.2895699991</v>
      </c>
      <c r="J280" s="228">
        <f ca="1">IF(TODAY()&gt;=$A280,SUMIFS(Tabla1[EV],Tabla1[Fecha],"&lt;="&amp;A280,Tabla1[EV],"&gt;0"),NA())</f>
        <v>7806227.3095699959</v>
      </c>
      <c r="L280"/>
    </row>
    <row r="281" spans="1:12" x14ac:dyDescent="0.25">
      <c r="A281" s="62">
        <f t="shared" si="6"/>
        <v>46241</v>
      </c>
      <c r="B281" s="62"/>
      <c r="C281" s="110">
        <f ca="1">IF(TODAY()&gt;=$A281,SUMIFS(Tabla1[Avance_km],Tabla1[Fecha],"&lt;="&amp;EV!$A281,Tabla1[nombre_actividad],EV!C$1),NA())</f>
        <v>148.03599999999997</v>
      </c>
      <c r="D281" s="110">
        <f ca="1">IF(TODAY()&gt;=$A281,SUMIFS(Tabla1[Avance_km],Tabla1[Fecha],"&lt;="&amp;EV!$A281,Tabla1[nombre_actividad],EV!D$1),NA())</f>
        <v>145.06999999999985</v>
      </c>
      <c r="E281" s="110">
        <f ca="1">IF(TODAY()&gt;=$A281,SUMIFS(Tabla1[Avance_km],Tabla1[Fecha],"&lt;="&amp;EV!$A281,Tabla1[nombre_actividad],EV!E$1,Tabla1[Avance_km],"&gt;0"),NA())</f>
        <v>146.12200000000007</v>
      </c>
      <c r="F281" s="67">
        <f ca="1">IF(TODAY()&gt;=$A281,SUMIFS(Tabla1[Avance_Med],Tabla1[Fecha],"&lt;="&amp;EV!$A281,Tabla1[nombre_actividad],EV!F$1),NA())</f>
        <v>376</v>
      </c>
      <c r="G281" s="67"/>
      <c r="H281" s="110"/>
      <c r="I281" s="228">
        <f ca="1">+C281*Catalogo!$F$19+EV!D281*Catalogo!$F$14+EV!E281*Catalogo!$F$16+EV!F281*Catalogo!$F$18</f>
        <v>6172984.1426799987</v>
      </c>
      <c r="J281" s="228">
        <f ca="1">IF(TODAY()&gt;=$A281,SUMIFS(Tabla1[EV],Tabla1[Fecha],"&lt;="&amp;A281,Tabla1[EV],"&gt;0"),NA())</f>
        <v>7860409.1626799963</v>
      </c>
      <c r="L281"/>
    </row>
    <row r="282" spans="1:12" x14ac:dyDescent="0.25">
      <c r="A282" s="62">
        <f t="shared" si="6"/>
        <v>46242</v>
      </c>
      <c r="B282" s="62"/>
      <c r="C282" s="110">
        <f ca="1">IF(TODAY()&gt;=$A282,SUMIFS(Tabla1[Avance_km],Tabla1[Fecha],"&lt;="&amp;EV!$A282,Tabla1[nombre_actividad],EV!C$1),NA())</f>
        <v>148.03599999999997</v>
      </c>
      <c r="D282" s="110">
        <f ca="1">IF(TODAY()&gt;=$A282,SUMIFS(Tabla1[Avance_km],Tabla1[Fecha],"&lt;="&amp;EV!$A282,Tabla1[nombre_actividad],EV!D$1),NA())</f>
        <v>145.06999999999985</v>
      </c>
      <c r="E282" s="110">
        <f ca="1">IF(TODAY()&gt;=$A282,SUMIFS(Tabla1[Avance_km],Tabla1[Fecha],"&lt;="&amp;EV!$A282,Tabla1[nombre_actividad],EV!E$1,Tabla1[Avance_km],"&gt;0"),NA())</f>
        <v>146.12200000000007</v>
      </c>
      <c r="F282" s="67">
        <f ca="1">IF(TODAY()&gt;=$A282,SUMIFS(Tabla1[Avance_Med],Tabla1[Fecha],"&lt;="&amp;EV!$A282,Tabla1[nombre_actividad],EV!F$1),NA())</f>
        <v>376</v>
      </c>
      <c r="G282" s="67"/>
      <c r="H282" s="110"/>
      <c r="I282" s="228">
        <f ca="1">+C282*Catalogo!$F$19+EV!D282*Catalogo!$F$14+EV!E282*Catalogo!$F$16+EV!F282*Catalogo!$F$18</f>
        <v>6172984.1426799987</v>
      </c>
      <c r="J282" s="228">
        <f ca="1">IF(TODAY()&gt;=$A282,SUMIFS(Tabla1[EV],Tabla1[Fecha],"&lt;="&amp;A282,Tabla1[EV],"&gt;0"),NA())</f>
        <v>7860409.1626799963</v>
      </c>
      <c r="L282"/>
    </row>
    <row r="283" spans="1:12" x14ac:dyDescent="0.25">
      <c r="A283" s="62">
        <f t="shared" si="6"/>
        <v>46243</v>
      </c>
      <c r="B283" s="62"/>
      <c r="C283" s="110">
        <f ca="1">IF(TODAY()&gt;=$A283,SUMIFS(Tabla1[Avance_km],Tabla1[Fecha],"&lt;="&amp;EV!$A283,Tabla1[nombre_actividad],EV!C$1),NA())</f>
        <v>148.03599999999997</v>
      </c>
      <c r="D283" s="110">
        <f ca="1">IF(TODAY()&gt;=$A283,SUMIFS(Tabla1[Avance_km],Tabla1[Fecha],"&lt;="&amp;EV!$A283,Tabla1[nombre_actividad],EV!D$1),NA())</f>
        <v>147.54199999999986</v>
      </c>
      <c r="E283" s="110">
        <f ca="1">IF(TODAY()&gt;=$A283,SUMIFS(Tabla1[Avance_km],Tabla1[Fecha],"&lt;="&amp;EV!$A283,Tabla1[nombre_actividad],EV!E$1,Tabla1[Avance_km],"&gt;0"),NA())</f>
        <v>146.12200000000007</v>
      </c>
      <c r="F283" s="67">
        <f ca="1">IF(TODAY()&gt;=$A283,SUMIFS(Tabla1[Avance_Med],Tabla1[Fecha],"&lt;="&amp;EV!$A283,Tabla1[nombre_actividad],EV!F$1),NA())</f>
        <v>376</v>
      </c>
      <c r="G283" s="67"/>
      <c r="H283" s="110"/>
      <c r="I283" s="228">
        <f ca="1">+C283*Catalogo!$F$19+EV!D283*Catalogo!$F$14+EV!E283*Catalogo!$F$16+EV!F283*Catalogo!$F$18</f>
        <v>6208881.0681999987</v>
      </c>
      <c r="J283" s="228">
        <f ca="1">IF(TODAY()&gt;=$A283,SUMIFS(Tabla1[EV],Tabla1[Fecha],"&lt;="&amp;A283,Tabla1[EV],"&gt;0"),NA())</f>
        <v>7896306.0881999964</v>
      </c>
      <c r="L283"/>
    </row>
    <row r="284" spans="1:12" x14ac:dyDescent="0.25">
      <c r="A284" s="62">
        <f t="shared" si="6"/>
        <v>46244</v>
      </c>
      <c r="B284" s="62"/>
      <c r="C284" s="110">
        <f ca="1">IF(TODAY()&gt;=$A284,SUMIFS(Tabla1[Avance_km],Tabla1[Fecha],"&lt;="&amp;EV!$A284,Tabla1[nombre_actividad],EV!C$1),NA())</f>
        <v>148.03599999999997</v>
      </c>
      <c r="D284" s="110">
        <f ca="1">IF(TODAY()&gt;=$A284,SUMIFS(Tabla1[Avance_km],Tabla1[Fecha],"&lt;="&amp;EV!$A284,Tabla1[nombre_actividad],EV!D$1),NA())</f>
        <v>147.54199999999986</v>
      </c>
      <c r="E284" s="110">
        <f ca="1">IF(TODAY()&gt;=$A284,SUMIFS(Tabla1[Avance_km],Tabla1[Fecha],"&lt;="&amp;EV!$A284,Tabla1[nombre_actividad],EV!E$1,Tabla1[Avance_km],"&gt;0"),NA())</f>
        <v>146.12200000000007</v>
      </c>
      <c r="F284" s="67">
        <f ca="1">IF(TODAY()&gt;=$A284,SUMIFS(Tabla1[Avance_Med],Tabla1[Fecha],"&lt;="&amp;EV!$A284,Tabla1[nombre_actividad],EV!F$1),NA())</f>
        <v>376</v>
      </c>
      <c r="G284" s="67"/>
      <c r="H284" s="110"/>
      <c r="I284" s="228">
        <f ca="1">+C284*Catalogo!$F$19+EV!D284*Catalogo!$F$14+EV!E284*Catalogo!$F$16+EV!F284*Catalogo!$F$18</f>
        <v>6208881.0681999987</v>
      </c>
      <c r="J284" s="228">
        <f ca="1">IF(TODAY()&gt;=$A284,SUMIFS(Tabla1[EV],Tabla1[Fecha],"&lt;="&amp;A284,Tabla1[EV],"&gt;0"),NA())</f>
        <v>7896306.0881999964</v>
      </c>
      <c r="L284"/>
    </row>
    <row r="285" spans="1:12" x14ac:dyDescent="0.25">
      <c r="A285" s="62">
        <f t="shared" si="6"/>
        <v>46245</v>
      </c>
      <c r="B285" s="62"/>
      <c r="C285" s="110">
        <f ca="1">IF(TODAY()&gt;=$A285,SUMIFS(Tabla1[Avance_km],Tabla1[Fecha],"&lt;="&amp;EV!$A285,Tabla1[nombre_actividad],EV!C$1),NA())</f>
        <v>148.03599999999997</v>
      </c>
      <c r="D285" s="110">
        <f ca="1">IF(TODAY()&gt;=$A285,SUMIFS(Tabla1[Avance_km],Tabla1[Fecha],"&lt;="&amp;EV!$A285,Tabla1[nombre_actividad],EV!D$1),NA())</f>
        <v>147.54199999999986</v>
      </c>
      <c r="E285" s="110">
        <f ca="1">IF(TODAY()&gt;=$A285,SUMIFS(Tabla1[Avance_km],Tabla1[Fecha],"&lt;="&amp;EV!$A285,Tabla1[nombre_actividad],EV!E$1,Tabla1[Avance_km],"&gt;0"),NA())</f>
        <v>146.12200000000007</v>
      </c>
      <c r="F285" s="67">
        <f ca="1">IF(TODAY()&gt;=$A285,SUMIFS(Tabla1[Avance_Med],Tabla1[Fecha],"&lt;="&amp;EV!$A285,Tabla1[nombre_actividad],EV!F$1),NA())</f>
        <v>376</v>
      </c>
      <c r="G285" s="67"/>
      <c r="H285" s="110"/>
      <c r="I285" s="228">
        <f ca="1">+C285*Catalogo!$F$19+EV!D285*Catalogo!$F$14+EV!E285*Catalogo!$F$16+EV!F285*Catalogo!$F$18</f>
        <v>6208881.0681999987</v>
      </c>
      <c r="J285" s="228">
        <f ca="1">IF(TODAY()&gt;=$A285,SUMIFS(Tabla1[EV],Tabla1[Fecha],"&lt;="&amp;A285,Tabla1[EV],"&gt;0"),NA())</f>
        <v>7896306.0881999964</v>
      </c>
      <c r="L285"/>
    </row>
    <row r="286" spans="1:12" x14ac:dyDescent="0.25">
      <c r="A286" s="62">
        <f t="shared" si="6"/>
        <v>46246</v>
      </c>
      <c r="B286" s="62"/>
      <c r="C286" s="110">
        <f ca="1">IF(TODAY()&gt;=$A286,SUMIFS(Tabla1[Avance_km],Tabla1[Fecha],"&lt;="&amp;EV!$A286,Tabla1[nombre_actividad],EV!C$1),NA())</f>
        <v>148.03599999999997</v>
      </c>
      <c r="D286" s="110">
        <f ca="1">IF(TODAY()&gt;=$A286,SUMIFS(Tabla1[Avance_km],Tabla1[Fecha],"&lt;="&amp;EV!$A286,Tabla1[nombre_actividad],EV!D$1),NA())</f>
        <v>147.54199999999986</v>
      </c>
      <c r="E286" s="110">
        <f ca="1">IF(TODAY()&gt;=$A286,SUMIFS(Tabla1[Avance_km],Tabla1[Fecha],"&lt;="&amp;EV!$A286,Tabla1[nombre_actividad],EV!E$1,Tabla1[Avance_km],"&gt;0"),NA())</f>
        <v>146.12200000000007</v>
      </c>
      <c r="F286" s="67">
        <f ca="1">IF(TODAY()&gt;=$A286,SUMIFS(Tabla1[Avance_Med],Tabla1[Fecha],"&lt;="&amp;EV!$A286,Tabla1[nombre_actividad],EV!F$1),NA())</f>
        <v>376</v>
      </c>
      <c r="G286" s="67"/>
      <c r="H286" s="110"/>
      <c r="I286" s="228">
        <f ca="1">+C286*Catalogo!$F$19+EV!D286*Catalogo!$F$14+EV!E286*Catalogo!$F$16+EV!F286*Catalogo!$F$18</f>
        <v>6208881.0681999987</v>
      </c>
      <c r="J286" s="228">
        <f ca="1">IF(TODAY()&gt;=$A286,SUMIFS(Tabla1[EV],Tabla1[Fecha],"&lt;="&amp;A286,Tabla1[EV],"&gt;0"),NA())</f>
        <v>7896306.0881999964</v>
      </c>
      <c r="L286"/>
    </row>
    <row r="287" spans="1:12" x14ac:dyDescent="0.25">
      <c r="A287" s="62">
        <f t="shared" si="6"/>
        <v>46247</v>
      </c>
      <c r="B287" s="62"/>
      <c r="C287" s="110">
        <f ca="1">IF(TODAY()&gt;=$A287,SUMIFS(Tabla1[Avance_km],Tabla1[Fecha],"&lt;="&amp;EV!$A287,Tabla1[nombre_actividad],EV!C$1),NA())</f>
        <v>148.03599999999997</v>
      </c>
      <c r="D287" s="110">
        <f ca="1">IF(TODAY()&gt;=$A287,SUMIFS(Tabla1[Avance_km],Tabla1[Fecha],"&lt;="&amp;EV!$A287,Tabla1[nombre_actividad],EV!D$1),NA())</f>
        <v>147.54199999999986</v>
      </c>
      <c r="E287" s="110">
        <f ca="1">IF(TODAY()&gt;=$A287,SUMIFS(Tabla1[Avance_km],Tabla1[Fecha],"&lt;="&amp;EV!$A287,Tabla1[nombre_actividad],EV!E$1,Tabla1[Avance_km],"&gt;0"),NA())</f>
        <v>148.69400000000007</v>
      </c>
      <c r="F287" s="67">
        <f ca="1">IF(TODAY()&gt;=$A287,SUMIFS(Tabla1[Avance_Med],Tabla1[Fecha],"&lt;="&amp;EV!$A287,Tabla1[nombre_actividad],EV!F$1),NA())</f>
        <v>376</v>
      </c>
      <c r="G287" s="67"/>
      <c r="H287" s="110"/>
      <c r="I287" s="228">
        <f ca="1">+C287*Catalogo!$F$19+EV!D287*Catalogo!$F$14+EV!E287*Catalogo!$F$16+EV!F287*Catalogo!$F$18</f>
        <v>6243746.1485599987</v>
      </c>
      <c r="J287" s="228">
        <f ca="1">IF(TODAY()&gt;=$A287,SUMIFS(Tabla1[EV],Tabla1[Fecha],"&lt;="&amp;A287,Tabla1[EV],"&gt;0"),NA())</f>
        <v>7931171.1685599964</v>
      </c>
      <c r="L287"/>
    </row>
    <row r="288" spans="1:12" x14ac:dyDescent="0.25">
      <c r="A288" s="62">
        <f t="shared" si="6"/>
        <v>46248</v>
      </c>
      <c r="B288" s="62"/>
      <c r="C288" s="110">
        <f ca="1">IF(TODAY()&gt;=$A288,SUMIFS(Tabla1[Avance_km],Tabla1[Fecha],"&lt;="&amp;EV!$A288,Tabla1[nombre_actividad],EV!C$1),NA())</f>
        <v>148.04199999999997</v>
      </c>
      <c r="D288" s="110">
        <f ca="1">IF(TODAY()&gt;=$A288,SUMIFS(Tabla1[Avance_km],Tabla1[Fecha],"&lt;="&amp;EV!$A288,Tabla1[nombre_actividad],EV!D$1),NA())</f>
        <v>147.54799999999986</v>
      </c>
      <c r="E288" s="110">
        <f ca="1">IF(TODAY()&gt;=$A288,SUMIFS(Tabla1[Avance_km],Tabla1[Fecha],"&lt;="&amp;EV!$A288,Tabla1[nombre_actividad],EV!E$1,Tabla1[Avance_km],"&gt;0"),NA())</f>
        <v>148.70000000000007</v>
      </c>
      <c r="F288" s="67">
        <f ca="1">IF(TODAY()&gt;=$A288,SUMIFS(Tabla1[Avance_Med],Tabla1[Fecha],"&lt;="&amp;EV!$A288,Tabla1[nombre_actividad],EV!F$1),NA())</f>
        <v>376</v>
      </c>
      <c r="G288" s="67"/>
      <c r="H288" s="110"/>
      <c r="I288" s="228">
        <f ca="1">+C288*Catalogo!$F$19+EV!D288*Catalogo!$F$14+EV!E288*Catalogo!$F$16+EV!F288*Catalogo!$F$18</f>
        <v>6243928.155319999</v>
      </c>
      <c r="J288" s="228">
        <f ca="1">IF(TODAY()&gt;=$A288,SUMIFS(Tabla1[EV],Tabla1[Fecha],"&lt;="&amp;A288,Tabla1[EV],"&gt;0"),NA())</f>
        <v>7931353.1753199967</v>
      </c>
      <c r="L288"/>
    </row>
    <row r="289" spans="1:12" x14ac:dyDescent="0.25">
      <c r="A289" s="62">
        <f t="shared" si="6"/>
        <v>46249</v>
      </c>
      <c r="B289" s="62"/>
      <c r="C289" s="110">
        <f ca="1">IF(TODAY()&gt;=$A289,SUMIFS(Tabla1[Avance_km],Tabla1[Fecha],"&lt;="&amp;EV!$A289,Tabla1[nombre_actividad],EV!C$1),NA())</f>
        <v>148.88699999999997</v>
      </c>
      <c r="D289" s="110">
        <f ca="1">IF(TODAY()&gt;=$A289,SUMIFS(Tabla1[Avance_km],Tabla1[Fecha],"&lt;="&amp;EV!$A289,Tabla1[nombre_actividad],EV!D$1),NA())</f>
        <v>147.54799999999986</v>
      </c>
      <c r="E289" s="110">
        <f ca="1">IF(TODAY()&gt;=$A289,SUMIFS(Tabla1[Avance_km],Tabla1[Fecha],"&lt;="&amp;EV!$A289,Tabla1[nombre_actividad],EV!E$1,Tabla1[Avance_km],"&gt;0"),NA())</f>
        <v>148.70000000000007</v>
      </c>
      <c r="F289" s="67">
        <f ca="1">IF(TODAY()&gt;=$A289,SUMIFS(Tabla1[Avance_Med],Tabla1[Fecha],"&lt;="&amp;EV!$A289,Tabla1[nombre_actividad],EV!F$1),NA())</f>
        <v>376</v>
      </c>
      <c r="G289" s="67"/>
      <c r="H289" s="110"/>
      <c r="I289" s="228">
        <f ca="1">+C289*Catalogo!$F$19+EV!D289*Catalogo!$F$14+EV!E289*Catalogo!$F$16+EV!F289*Catalogo!$F$18</f>
        <v>6245835.6752199987</v>
      </c>
      <c r="J289" s="228">
        <f ca="1">IF(TODAY()&gt;=$A289,SUMIFS(Tabla1[EV],Tabla1[Fecha],"&lt;="&amp;A289,Tabla1[EV],"&gt;0"),NA())</f>
        <v>7933260.6952199964</v>
      </c>
      <c r="L289"/>
    </row>
    <row r="290" spans="1:12" x14ac:dyDescent="0.25">
      <c r="A290" s="62">
        <f t="shared" si="6"/>
        <v>46250</v>
      </c>
      <c r="B290" s="62"/>
      <c r="C290" s="110">
        <f ca="1">IF(TODAY()&gt;=$A290,SUMIFS(Tabla1[Avance_km],Tabla1[Fecha],"&lt;="&amp;EV!$A290,Tabla1[nombre_actividad],EV!C$1),NA())</f>
        <v>149.96199999999996</v>
      </c>
      <c r="D290" s="110">
        <f ca="1">IF(TODAY()&gt;=$A290,SUMIFS(Tabla1[Avance_km],Tabla1[Fecha],"&lt;="&amp;EV!$A290,Tabla1[nombre_actividad],EV!D$1),NA())</f>
        <v>147.54799999999986</v>
      </c>
      <c r="E290" s="110">
        <f ca="1">IF(TODAY()&gt;=$A290,SUMIFS(Tabla1[Avance_km],Tabla1[Fecha],"&lt;="&amp;EV!$A290,Tabla1[nombre_actividad],EV!E$1,Tabla1[Avance_km],"&gt;0"),NA())</f>
        <v>148.70000000000007</v>
      </c>
      <c r="F290" s="67">
        <f ca="1">IF(TODAY()&gt;=$A290,SUMIFS(Tabla1[Avance_Med],Tabla1[Fecha],"&lt;="&amp;EV!$A290,Tabla1[nombre_actividad],EV!F$1),NA())</f>
        <v>376</v>
      </c>
      <c r="G290" s="67"/>
      <c r="H290" s="110"/>
      <c r="I290" s="228">
        <f ca="1">+C290*Catalogo!$F$19+EV!D290*Catalogo!$F$14+EV!E290*Catalogo!$F$16+EV!F290*Catalogo!$F$18</f>
        <v>6248262.4017199986</v>
      </c>
      <c r="J290" s="228">
        <f ca="1">IF(TODAY()&gt;=$A290,SUMIFS(Tabla1[EV],Tabla1[Fecha],"&lt;="&amp;A290,Tabla1[EV],"&gt;0"),NA())</f>
        <v>7935687.4217199963</v>
      </c>
      <c r="L290"/>
    </row>
    <row r="291" spans="1:12" x14ac:dyDescent="0.25">
      <c r="A291" s="62">
        <f t="shared" si="6"/>
        <v>46251</v>
      </c>
      <c r="B291" s="62"/>
      <c r="C291" s="110">
        <f ca="1">IF(TODAY()&gt;=$A291,SUMIFS(Tabla1[Avance_km],Tabla1[Fecha],"&lt;="&amp;EV!$A291,Tabla1[nombre_actividad],EV!C$1),NA())</f>
        <v>152.34199999999996</v>
      </c>
      <c r="D291" s="110">
        <f ca="1">IF(TODAY()&gt;=$A291,SUMIFS(Tabla1[Avance_km],Tabla1[Fecha],"&lt;="&amp;EV!$A291,Tabla1[nombre_actividad],EV!D$1),NA())</f>
        <v>147.54799999999986</v>
      </c>
      <c r="E291" s="110">
        <f ca="1">IF(TODAY()&gt;=$A291,SUMIFS(Tabla1[Avance_km],Tabla1[Fecha],"&lt;="&amp;EV!$A291,Tabla1[nombre_actividad],EV!E$1,Tabla1[Avance_km],"&gt;0"),NA())</f>
        <v>148.70000000000007</v>
      </c>
      <c r="F291" s="67">
        <f ca="1">IF(TODAY()&gt;=$A291,SUMIFS(Tabla1[Avance_Med],Tabla1[Fecha],"&lt;="&amp;EV!$A291,Tabla1[nombre_actividad],EV!F$1),NA())</f>
        <v>376</v>
      </c>
      <c r="G291" s="67"/>
      <c r="H291" s="110"/>
      <c r="I291" s="228">
        <f ca="1">+C291*Catalogo!$F$19+EV!D291*Catalogo!$F$14+EV!E291*Catalogo!$F$16+EV!F291*Catalogo!$F$18</f>
        <v>6253635.0613199994</v>
      </c>
      <c r="J291" s="228">
        <f ca="1">IF(TODAY()&gt;=$A291,SUMIFS(Tabla1[EV],Tabla1[Fecha],"&lt;="&amp;A291,Tabla1[EV],"&gt;0"),NA())</f>
        <v>7941060.0813199962</v>
      </c>
      <c r="L291"/>
    </row>
    <row r="292" spans="1:12" x14ac:dyDescent="0.25">
      <c r="A292" s="62">
        <f t="shared" si="6"/>
        <v>46252</v>
      </c>
      <c r="B292" s="62"/>
      <c r="C292" s="110">
        <f ca="1">IF(TODAY()&gt;=$A292,SUMIFS(Tabla1[Avance_km],Tabla1[Fecha],"&lt;="&amp;EV!$A292,Tabla1[nombre_actividad],EV!C$1),NA())</f>
        <v>152.34199999999996</v>
      </c>
      <c r="D292" s="110">
        <f ca="1">IF(TODAY()&gt;=$A292,SUMIFS(Tabla1[Avance_km],Tabla1[Fecha],"&lt;="&amp;EV!$A292,Tabla1[nombre_actividad],EV!D$1),NA())</f>
        <v>150.52899999999985</v>
      </c>
      <c r="E292" s="110">
        <f ca="1">IF(TODAY()&gt;=$A292,SUMIFS(Tabla1[Avance_km],Tabla1[Fecha],"&lt;="&amp;EV!$A292,Tabla1[nombre_actividad],EV!E$1,Tabla1[Avance_km],"&gt;0"),NA())</f>
        <v>148.70000000000007</v>
      </c>
      <c r="F292" s="67">
        <f ca="1">IF(TODAY()&gt;=$A292,SUMIFS(Tabla1[Avance_Med],Tabla1[Fecha],"&lt;="&amp;EV!$A292,Tabla1[nombre_actividad],EV!F$1),NA())</f>
        <v>376</v>
      </c>
      <c r="G292" s="67"/>
      <c r="H292" s="110"/>
      <c r="I292" s="228">
        <f ca="1">+C292*Catalogo!$F$19+EV!D292*Catalogo!$F$14+EV!E292*Catalogo!$F$16+EV!F292*Catalogo!$F$18</f>
        <v>6296923.3845299985</v>
      </c>
      <c r="J292" s="228">
        <f ca="1">IF(TODAY()&gt;=$A292,SUMIFS(Tabla1[EV],Tabla1[Fecha],"&lt;="&amp;A292,Tabla1[EV],"&gt;0"),NA())</f>
        <v>7984348.4045299962</v>
      </c>
      <c r="L292"/>
    </row>
    <row r="293" spans="1:12" x14ac:dyDescent="0.25">
      <c r="A293" s="62">
        <f t="shared" si="6"/>
        <v>46253</v>
      </c>
      <c r="B293" s="62"/>
      <c r="C293" s="110">
        <f ca="1">IF(TODAY()&gt;=$A293,SUMIFS(Tabla1[Avance_km],Tabla1[Fecha],"&lt;="&amp;EV!$A293,Tabla1[nombre_actividad],EV!C$1),NA())</f>
        <v>154.97199999999998</v>
      </c>
      <c r="D293" s="110">
        <f ca="1">IF(TODAY()&gt;=$A293,SUMIFS(Tabla1[Avance_km],Tabla1[Fecha],"&lt;="&amp;EV!$A293,Tabla1[nombre_actividad],EV!D$1),NA())</f>
        <v>150.52899999999985</v>
      </c>
      <c r="E293" s="110">
        <f ca="1">IF(TODAY()&gt;=$A293,SUMIFS(Tabla1[Avance_km],Tabla1[Fecha],"&lt;="&amp;EV!$A293,Tabla1[nombre_actividad],EV!E$1,Tabla1[Avance_km],"&gt;0"),NA())</f>
        <v>148.70000000000007</v>
      </c>
      <c r="F293" s="67">
        <f ca="1">IF(TODAY()&gt;=$A293,SUMIFS(Tabla1[Avance_Med],Tabla1[Fecha],"&lt;="&amp;EV!$A293,Tabla1[nombre_actividad],EV!F$1),NA())</f>
        <v>376</v>
      </c>
      <c r="G293" s="67"/>
      <c r="H293" s="110"/>
      <c r="I293" s="228">
        <f ca="1">+C293*Catalogo!$F$19+EV!D293*Catalogo!$F$14+EV!E293*Catalogo!$F$16+EV!F293*Catalogo!$F$18</f>
        <v>6302860.3991299979</v>
      </c>
      <c r="J293" s="228">
        <f ca="1">IF(TODAY()&gt;=$A293,SUMIFS(Tabla1[EV],Tabla1[Fecha],"&lt;="&amp;A293,Tabla1[EV],"&gt;0"),NA())</f>
        <v>7990285.4191299966</v>
      </c>
      <c r="L293"/>
    </row>
    <row r="294" spans="1:12" x14ac:dyDescent="0.25">
      <c r="A294" s="62">
        <f t="shared" si="6"/>
        <v>46254</v>
      </c>
      <c r="B294" s="62"/>
      <c r="C294" s="110">
        <f ca="1">IF(TODAY()&gt;=$A294,SUMIFS(Tabla1[Avance_km],Tabla1[Fecha],"&lt;="&amp;EV!$A294,Tabla1[nombre_actividad],EV!C$1),NA())</f>
        <v>154.97199999999998</v>
      </c>
      <c r="D294" s="110">
        <f ca="1">IF(TODAY()&gt;=$A294,SUMIFS(Tabla1[Avance_km],Tabla1[Fecha],"&lt;="&amp;EV!$A294,Tabla1[nombre_actividad],EV!D$1),NA())</f>
        <v>152.48699999999985</v>
      </c>
      <c r="E294" s="110">
        <f ca="1">IF(TODAY()&gt;=$A294,SUMIFS(Tabla1[Avance_km],Tabla1[Fecha],"&lt;="&amp;EV!$A294,Tabla1[nombre_actividad],EV!E$1,Tabla1[Avance_km],"&gt;0"),NA())</f>
        <v>148.70000000000007</v>
      </c>
      <c r="F294" s="67">
        <f ca="1">IF(TODAY()&gt;=$A294,SUMIFS(Tabla1[Avance_Med],Tabla1[Fecha],"&lt;="&amp;EV!$A294,Tabla1[nombre_actividad],EV!F$1),NA())</f>
        <v>376</v>
      </c>
      <c r="G294" s="67"/>
      <c r="H294" s="110"/>
      <c r="I294" s="228">
        <f ca="1">+C294*Catalogo!$F$19+EV!D294*Catalogo!$F$14+EV!E294*Catalogo!$F$16+EV!F294*Catalogo!$F$18</f>
        <v>6331293.3199099991</v>
      </c>
      <c r="J294" s="228">
        <f ca="1">IF(TODAY()&gt;=$A294,SUMIFS(Tabla1[EV],Tabla1[Fecha],"&lt;="&amp;A294,Tabla1[EV],"&gt;0"),NA())</f>
        <v>8018718.3399099968</v>
      </c>
      <c r="L294"/>
    </row>
    <row r="295" spans="1:12" x14ac:dyDescent="0.25">
      <c r="A295" s="62">
        <f t="shared" si="6"/>
        <v>46255</v>
      </c>
      <c r="B295" s="62"/>
      <c r="C295" s="110">
        <f ca="1">IF(TODAY()&gt;=$A295,SUMIFS(Tabla1[Avance_km],Tabla1[Fecha],"&lt;="&amp;EV!$A295,Tabla1[nombre_actividad],EV!C$1),NA())</f>
        <v>155.58199999999999</v>
      </c>
      <c r="D295" s="110">
        <f ca="1">IF(TODAY()&gt;=$A295,SUMIFS(Tabla1[Avance_km],Tabla1[Fecha],"&lt;="&amp;EV!$A295,Tabla1[nombre_actividad],EV!D$1),NA())</f>
        <v>155.08799999999985</v>
      </c>
      <c r="E295" s="110">
        <f ca="1">IF(TODAY()&gt;=$A295,SUMIFS(Tabla1[Avance_km],Tabla1[Fecha],"&lt;="&amp;EV!$A295,Tabla1[nombre_actividad],EV!E$1,Tabla1[Avance_km],"&gt;0"),NA())</f>
        <v>148.70000000000007</v>
      </c>
      <c r="F295" s="67">
        <f ca="1">IF(TODAY()&gt;=$A295,SUMIFS(Tabla1[Avance_Med],Tabla1[Fecha],"&lt;="&amp;EV!$A295,Tabla1[nombre_actividad],EV!F$1),NA())</f>
        <v>376</v>
      </c>
      <c r="G295" s="67"/>
      <c r="H295" s="110"/>
      <c r="I295" s="228">
        <f ca="1">+C295*Catalogo!$F$19+EV!D295*Catalogo!$F$14+EV!E295*Catalogo!$F$16+EV!F295*Catalogo!$F$18</f>
        <v>6370440.5335199982</v>
      </c>
      <c r="J295" s="228">
        <f ca="1">IF(TODAY()&gt;=$A295,SUMIFS(Tabla1[EV],Tabla1[Fecha],"&lt;="&amp;A295,Tabla1[EV],"&gt;0"),NA())</f>
        <v>8057865.5535199968</v>
      </c>
      <c r="L295"/>
    </row>
    <row r="296" spans="1:12" x14ac:dyDescent="0.25">
      <c r="A296" s="62">
        <f t="shared" si="6"/>
        <v>46256</v>
      </c>
      <c r="B296" s="62"/>
      <c r="C296" s="110">
        <f ca="1">IF(TODAY()&gt;=$A296,SUMIFS(Tabla1[Avance_km],Tabla1[Fecha],"&lt;="&amp;EV!$A296,Tabla1[nombre_actividad],EV!C$1),NA())</f>
        <v>156.43199999999999</v>
      </c>
      <c r="D296" s="110">
        <f ca="1">IF(TODAY()&gt;=$A296,SUMIFS(Tabla1[Avance_km],Tabla1[Fecha],"&lt;="&amp;EV!$A296,Tabla1[nombre_actividad],EV!D$1),NA())</f>
        <v>155.08799999999985</v>
      </c>
      <c r="E296" s="110">
        <f ca="1">IF(TODAY()&gt;=$A296,SUMIFS(Tabla1[Avance_km],Tabla1[Fecha],"&lt;="&amp;EV!$A296,Tabla1[nombre_actividad],EV!E$1,Tabla1[Avance_km],"&gt;0"),NA())</f>
        <v>148.70000000000007</v>
      </c>
      <c r="F296" s="67">
        <f ca="1">IF(TODAY()&gt;=$A296,SUMIFS(Tabla1[Avance_Med],Tabla1[Fecha],"&lt;="&amp;EV!$A296,Tabla1[nombre_actividad],EV!F$1),NA())</f>
        <v>376</v>
      </c>
      <c r="G296" s="67"/>
      <c r="H296" s="110"/>
      <c r="I296" s="228">
        <f ca="1">+C296*Catalogo!$F$19+EV!D296*Catalogo!$F$14+EV!E296*Catalogo!$F$16+EV!F296*Catalogo!$F$18</f>
        <v>6372359.3405199982</v>
      </c>
      <c r="J296" s="228">
        <f ca="1">IF(TODAY()&gt;=$A296,SUMIFS(Tabla1[EV],Tabla1[Fecha],"&lt;="&amp;A296,Tabla1[EV],"&gt;0"),NA())</f>
        <v>8059784.3605199968</v>
      </c>
      <c r="L296"/>
    </row>
    <row r="297" spans="1:12" x14ac:dyDescent="0.25">
      <c r="A297" s="62">
        <f t="shared" si="6"/>
        <v>46257</v>
      </c>
      <c r="B297" s="62"/>
      <c r="C297" s="110">
        <f ca="1">IF(TODAY()&gt;=$A297,SUMIFS(Tabla1[Avance_km],Tabla1[Fecha],"&lt;="&amp;EV!$A297,Tabla1[nombre_actividad],EV!C$1),NA())</f>
        <v>156.43199999999999</v>
      </c>
      <c r="D297" s="110">
        <f ca="1">IF(TODAY()&gt;=$A297,SUMIFS(Tabla1[Avance_km],Tabla1[Fecha],"&lt;="&amp;EV!$A297,Tabla1[nombre_actividad],EV!D$1),NA())</f>
        <v>155.08799999999985</v>
      </c>
      <c r="E297" s="110">
        <f ca="1">IF(TODAY()&gt;=$A297,SUMIFS(Tabla1[Avance_km],Tabla1[Fecha],"&lt;="&amp;EV!$A297,Tabla1[nombre_actividad],EV!E$1,Tabla1[Avance_km],"&gt;0"),NA())</f>
        <v>148.70000000000007</v>
      </c>
      <c r="F297" s="67">
        <f ca="1">IF(TODAY()&gt;=$A297,SUMIFS(Tabla1[Avance_Med],Tabla1[Fecha],"&lt;="&amp;EV!$A297,Tabla1[nombre_actividad],EV!F$1),NA())</f>
        <v>376</v>
      </c>
      <c r="G297" s="67"/>
      <c r="H297" s="110"/>
      <c r="I297" s="228">
        <f ca="1">+C297*Catalogo!$F$19+EV!D297*Catalogo!$F$14+EV!E297*Catalogo!$F$16+EV!F297*Catalogo!$F$18</f>
        <v>6372359.3405199982</v>
      </c>
      <c r="J297" s="228">
        <f ca="1">IF(TODAY()&gt;=$A297,SUMIFS(Tabla1[EV],Tabla1[Fecha],"&lt;="&amp;A297,Tabla1[EV],"&gt;0"),NA())</f>
        <v>8059784.3605199968</v>
      </c>
      <c r="L297"/>
    </row>
    <row r="298" spans="1:12" x14ac:dyDescent="0.25">
      <c r="A298" s="62">
        <f t="shared" si="6"/>
        <v>46258</v>
      </c>
      <c r="B298" s="62"/>
      <c r="C298" s="110">
        <f ca="1">IF(TODAY()&gt;=$A298,SUMIFS(Tabla1[Avance_km],Tabla1[Fecha],"&lt;="&amp;EV!$A298,Tabla1[nombre_actividad],EV!C$1),NA())</f>
        <v>158.042</v>
      </c>
      <c r="D298" s="110">
        <f ca="1">IF(TODAY()&gt;=$A298,SUMIFS(Tabla1[Avance_km],Tabla1[Fecha],"&lt;="&amp;EV!$A298,Tabla1[nombre_actividad],EV!D$1),NA())</f>
        <v>155.08799999999985</v>
      </c>
      <c r="E298" s="110">
        <f ca="1">IF(TODAY()&gt;=$A298,SUMIFS(Tabla1[Avance_km],Tabla1[Fecha],"&lt;="&amp;EV!$A298,Tabla1[nombre_actividad],EV!E$1,Tabla1[Avance_km],"&gt;0"),NA())</f>
        <v>148.70000000000007</v>
      </c>
      <c r="F298" s="67">
        <f ca="1">IF(TODAY()&gt;=$A298,SUMIFS(Tabla1[Avance_Med],Tabla1[Fecha],"&lt;="&amp;EV!$A298,Tabla1[nombre_actividad],EV!F$1),NA())</f>
        <v>376</v>
      </c>
      <c r="G298" s="67"/>
      <c r="H298" s="110"/>
      <c r="I298" s="228">
        <f ca="1">+C298*Catalogo!$F$19+EV!D298*Catalogo!$F$14+EV!E298*Catalogo!$F$16+EV!F298*Catalogo!$F$18</f>
        <v>6375993.7867199983</v>
      </c>
      <c r="J298" s="228">
        <f ca="1">IF(TODAY()&gt;=$A298,SUMIFS(Tabla1[EV],Tabla1[Fecha],"&lt;="&amp;A298,Tabla1[EV],"&gt;0"),NA())</f>
        <v>8404753.5267199967</v>
      </c>
      <c r="L298"/>
    </row>
    <row r="299" spans="1:12" x14ac:dyDescent="0.25">
      <c r="A299" s="62">
        <f t="shared" si="6"/>
        <v>46259</v>
      </c>
      <c r="B299" s="62"/>
      <c r="C299" s="110">
        <f ca="1">IF(TODAY()&gt;=$A299,SUMIFS(Tabla1[Avance_km],Tabla1[Fecha],"&lt;="&amp;EV!$A299,Tabla1[nombre_actividad],EV!C$1),NA())</f>
        <v>158.042</v>
      </c>
      <c r="D299" s="110">
        <f ca="1">IF(TODAY()&gt;=$A299,SUMIFS(Tabla1[Avance_km],Tabla1[Fecha],"&lt;="&amp;EV!$A299,Tabla1[nombre_actividad],EV!D$1),NA())</f>
        <v>155.08799999999985</v>
      </c>
      <c r="E299" s="110">
        <f ca="1">IF(TODAY()&gt;=$A299,SUMIFS(Tabla1[Avance_km],Tabla1[Fecha],"&lt;="&amp;EV!$A299,Tabla1[nombre_actividad],EV!E$1,Tabla1[Avance_km],"&gt;0"),NA())</f>
        <v>148.70000000000007</v>
      </c>
      <c r="F299" s="67">
        <f ca="1">IF(TODAY()&gt;=$A299,SUMIFS(Tabla1[Avance_Med],Tabla1[Fecha],"&lt;="&amp;EV!$A299,Tabla1[nombre_actividad],EV!F$1),NA())</f>
        <v>376</v>
      </c>
      <c r="G299" s="67"/>
      <c r="H299" s="110">
        <f ca="1">IF(TODAY()&gt;=$A299,SUMIFS(Tabla1[Avance_km],Tabla1[Fecha],"&lt;="&amp;EV!$A299-1,Tabla1[nombre_actividad],EV!H$1),NA())</f>
        <v>0</v>
      </c>
      <c r="I299" s="228">
        <f ca="1">+C299*Catalogo!$F$19+EV!D299*Catalogo!$F$14+EV!E299*Catalogo!$F$16+EV!F299*Catalogo!$F$18</f>
        <v>6375993.7867199983</v>
      </c>
      <c r="J299" s="228">
        <f ca="1">IF(TODAY()&gt;=$A299,SUMIFS(Tabla1[EV],Tabla1[Fecha],"&lt;="&amp;A299,Tabla1[EV],"&gt;0"),NA())</f>
        <v>8569028.6267199963</v>
      </c>
      <c r="L299"/>
    </row>
    <row r="300" spans="1:12" x14ac:dyDescent="0.25">
      <c r="A300" s="62">
        <f t="shared" si="6"/>
        <v>46260</v>
      </c>
      <c r="B300" s="62"/>
      <c r="C300" s="110">
        <f ca="1">IF(TODAY()&gt;=$A300,SUMIFS(Tabla1[Avance_km],Tabla1[Fecha],"&lt;="&amp;EV!$A300,Tabla1[nombre_actividad],EV!C$1),NA())</f>
        <v>158.042</v>
      </c>
      <c r="D300" s="110">
        <f ca="1">IF(TODAY()&gt;=$A300,SUMIFS(Tabla1[Avance_km],Tabla1[Fecha],"&lt;="&amp;EV!$A300,Tabla1[nombre_actividad],EV!D$1),NA())</f>
        <v>155.08799999999985</v>
      </c>
      <c r="E300" s="110">
        <f ca="1">IF(TODAY()&gt;=$A300,SUMIFS(Tabla1[Avance_km],Tabla1[Fecha],"&lt;="&amp;EV!$A300,Tabla1[nombre_actividad],EV!E$1,Tabla1[Avance_km],"&gt;0"),NA())</f>
        <v>148.70000000000007</v>
      </c>
      <c r="F300" s="67">
        <f ca="1">IF(TODAY()&gt;=$A300,SUMIFS(Tabla1[Avance_Med],Tabla1[Fecha],"&lt;="&amp;EV!$A300,Tabla1[nombre_actividad],EV!F$1),NA())</f>
        <v>376</v>
      </c>
      <c r="G300" s="67"/>
      <c r="H300" s="110">
        <f ca="1">IF(TODAY()&gt;=$A300,SUMIFS(Tabla1[Avance_km],Tabla1[Fecha],"&lt;="&amp;EV!$A300-1,Tabla1[nombre_actividad],EV!H$1),NA())</f>
        <v>10.475526931400351</v>
      </c>
      <c r="I300" s="228">
        <f ca="1">+C300*Catalogo!$F$19+EV!D300*Catalogo!$F$14+EV!E300*Catalogo!$F$16+EV!F300*Catalogo!$F$18</f>
        <v>6375993.7867199983</v>
      </c>
      <c r="J300" s="228">
        <f ca="1">IF(TODAY()&gt;=$A300,SUMIFS(Tabla1[EV],Tabla1[Fecha],"&lt;="&amp;A300,Tabla1[EV],"&gt;0"),NA())</f>
        <v>8658940.096719997</v>
      </c>
      <c r="L300"/>
    </row>
    <row r="301" spans="1:12" x14ac:dyDescent="0.25">
      <c r="A301" s="62">
        <f t="shared" si="6"/>
        <v>46261</v>
      </c>
      <c r="B301" s="62"/>
      <c r="C301" s="110">
        <f ca="1">IF(TODAY()&gt;=$A301,SUMIFS(Tabla1[Avance_km],Tabla1[Fecha],"&lt;="&amp;EV!$A301,Tabla1[nombre_actividad],EV!C$1),NA())</f>
        <v>158.042</v>
      </c>
      <c r="D301" s="110">
        <f ca="1">IF(TODAY()&gt;=$A301,SUMIFS(Tabla1[Avance_km],Tabla1[Fecha],"&lt;="&amp;EV!$A301,Tabla1[nombre_actividad],EV!D$1),NA())</f>
        <v>155.08799999999985</v>
      </c>
      <c r="E301" s="110">
        <f ca="1">IF(TODAY()&gt;=$A301,SUMIFS(Tabla1[Avance_km],Tabla1[Fecha],"&lt;="&amp;EV!$A301,Tabla1[nombre_actividad],EV!E$1,Tabla1[Avance_km],"&gt;0"),NA())</f>
        <v>148.70000000000007</v>
      </c>
      <c r="F301" s="67">
        <f ca="1">IF(TODAY()&gt;=$A301,SUMIFS(Tabla1[Avance_Med],Tabla1[Fecha],"&lt;="&amp;EV!$A301,Tabla1[nombre_actividad],EV!F$1),NA())</f>
        <v>376</v>
      </c>
      <c r="G301" s="67"/>
      <c r="H301" s="110">
        <f ca="1">IF(TODAY()&gt;=$A301,SUMIFS(Tabla1[Avance_km],Tabla1[Fecha],"&lt;="&amp;EV!$A301-1,Tabla1[nombre_actividad],EV!H$1),NA())</f>
        <v>17.040190475077903</v>
      </c>
      <c r="I301" s="228">
        <f ca="1">+C301*Catalogo!$F$19+EV!D301*Catalogo!$F$14+EV!E301*Catalogo!$F$16+EV!F301*Catalogo!$F$18</f>
        <v>6375993.7867199983</v>
      </c>
      <c r="J301" s="228">
        <f ca="1">IF(TODAY()&gt;=$A301,SUMIFS(Tabla1[EV],Tabla1[Fecha],"&lt;="&amp;A301,Tabla1[EV],"&gt;0"),NA())</f>
        <v>8746694.7967199963</v>
      </c>
      <c r="L301"/>
    </row>
    <row r="302" spans="1:12" x14ac:dyDescent="0.25">
      <c r="A302" s="62">
        <f t="shared" si="6"/>
        <v>46262</v>
      </c>
      <c r="B302" s="62"/>
      <c r="C302" s="110">
        <f ca="1">IF(TODAY()&gt;=$A302,SUMIFS(Tabla1[Avance_km],Tabla1[Fecha],"&lt;="&amp;EV!$A302,Tabla1[nombre_actividad],EV!C$1),NA())</f>
        <v>159.39099999999999</v>
      </c>
      <c r="D302" s="110">
        <f ca="1">IF(TODAY()&gt;=$A302,SUMIFS(Tabla1[Avance_km],Tabla1[Fecha],"&lt;="&amp;EV!$A302,Tabla1[nombre_actividad],EV!D$1),NA())</f>
        <v>155.08799999999985</v>
      </c>
      <c r="E302" s="110">
        <f ca="1">IF(TODAY()&gt;=$A302,SUMIFS(Tabla1[Avance_km],Tabla1[Fecha],"&lt;="&amp;EV!$A302,Tabla1[nombre_actividad],EV!E$1,Tabla1[Avance_km],"&gt;0"),NA())</f>
        <v>148.70000000000007</v>
      </c>
      <c r="F302" s="67">
        <f ca="1">IF(TODAY()&gt;=$A302,SUMIFS(Tabla1[Avance_Med],Tabla1[Fecha],"&lt;="&amp;EV!$A302,Tabla1[nombre_actividad],EV!F$1),NA())</f>
        <v>376</v>
      </c>
      <c r="G302" s="67"/>
      <c r="H302" s="110">
        <f ca="1">IF(TODAY()&gt;=$A302,SUMIFS(Tabla1[Avance_km],Tabla1[Fecha],"&lt;="&amp;EV!$A302-1,Tabla1[nombre_actividad],EV!H$1),NA())</f>
        <v>21.928769709731398</v>
      </c>
      <c r="I302" s="228">
        <f ca="1">+C302*Catalogo!$F$19+EV!D302*Catalogo!$F$14+EV!E302*Catalogo!$F$16+EV!F302*Catalogo!$F$18</f>
        <v>6379039.0462999986</v>
      </c>
      <c r="J302" s="228">
        <f ca="1">IF(TODAY()&gt;=$A302,SUMIFS(Tabla1[EV],Tabla1[Fecha],"&lt;="&amp;A302,Tabla1[EV],"&gt;0"),NA())</f>
        <v>8749740.0562999975</v>
      </c>
      <c r="L302"/>
    </row>
    <row r="303" spans="1:12" x14ac:dyDescent="0.25">
      <c r="A303" s="62">
        <f t="shared" si="6"/>
        <v>46263</v>
      </c>
      <c r="B303" s="62"/>
      <c r="C303" s="110">
        <f ca="1">IF(TODAY()&gt;=$A303,SUMIFS(Tabla1[Avance_km],Tabla1[Fecha],"&lt;="&amp;EV!$A303,Tabla1[nombre_actividad],EV!C$1),NA())</f>
        <v>159.39099999999999</v>
      </c>
      <c r="D303" s="110">
        <f ca="1">IF(TODAY()&gt;=$A303,SUMIFS(Tabla1[Avance_km],Tabla1[Fecha],"&lt;="&amp;EV!$A303,Tabla1[nombre_actividad],EV!D$1),NA())</f>
        <v>155.08799999999985</v>
      </c>
      <c r="E303" s="110">
        <f ca="1">IF(TODAY()&gt;=$A303,SUMIFS(Tabla1[Avance_km],Tabla1[Fecha],"&lt;="&amp;EV!$A303,Tabla1[nombre_actividad],EV!E$1,Tabla1[Avance_km],"&gt;0"),NA())</f>
        <v>148.70000000000007</v>
      </c>
      <c r="F303" s="67">
        <f ca="1">IF(TODAY()&gt;=$A303,SUMIFS(Tabla1[Avance_Med],Tabla1[Fecha],"&lt;="&amp;EV!$A303,Tabla1[nombre_actividad],EV!F$1),NA())</f>
        <v>376</v>
      </c>
      <c r="G303" s="67"/>
      <c r="H303" s="110">
        <f ca="1">IF(TODAY()&gt;=$A303,SUMIFS(Tabla1[Avance_km],Tabla1[Fecha],"&lt;="&amp;EV!$A303-1,Tabla1[nombre_actividad],EV!H$1),NA())</f>
        <v>21.928769709731398</v>
      </c>
      <c r="I303" s="228">
        <f ca="1">+C303*Catalogo!$F$19+EV!D303*Catalogo!$F$14+EV!E303*Catalogo!$F$16+EV!F303*Catalogo!$F$18</f>
        <v>6379039.0462999986</v>
      </c>
      <c r="J303" s="228">
        <f ca="1">IF(TODAY()&gt;=$A303,SUMIFS(Tabla1[EV],Tabla1[Fecha],"&lt;="&amp;A303,Tabla1[EV],"&gt;0"),NA())</f>
        <v>8749740.0562999975</v>
      </c>
      <c r="L303"/>
    </row>
    <row r="304" spans="1:12" x14ac:dyDescent="0.25">
      <c r="A304" s="62">
        <f t="shared" si="6"/>
        <v>46264</v>
      </c>
      <c r="B304" s="62"/>
      <c r="C304" s="110">
        <f ca="1">IF(TODAY()&gt;=$A304,SUMIFS(Tabla1[Avance_km],Tabla1[Fecha],"&lt;="&amp;EV!$A304,Tabla1[nombre_actividad],EV!C$1),NA())</f>
        <v>159.39099999999999</v>
      </c>
      <c r="D304" s="110">
        <f ca="1">IF(TODAY()&gt;=$A304,SUMIFS(Tabla1[Avance_km],Tabla1[Fecha],"&lt;="&amp;EV!$A304,Tabla1[nombre_actividad],EV!D$1),NA())</f>
        <v>155.08799999999985</v>
      </c>
      <c r="E304" s="110">
        <f ca="1">IF(TODAY()&gt;=$A304,SUMIFS(Tabla1[Avance_km],Tabla1[Fecha],"&lt;="&amp;EV!$A304,Tabla1[nombre_actividad],EV!E$1,Tabla1[Avance_km],"&gt;0"),NA())</f>
        <v>148.70000000000007</v>
      </c>
      <c r="F304" s="67">
        <f ca="1">IF(TODAY()&gt;=$A304,SUMIFS(Tabla1[Avance_Med],Tabla1[Fecha],"&lt;="&amp;EV!$A304,Tabla1[nombre_actividad],EV!F$1),NA())</f>
        <v>376</v>
      </c>
      <c r="G304" s="67"/>
      <c r="H304" s="110">
        <f ca="1">IF(TODAY()&gt;=$A304,SUMIFS(Tabla1[Avance_km],Tabla1[Fecha],"&lt;="&amp;EV!$A304-1,Tabla1[nombre_actividad],EV!H$1),NA())</f>
        <v>21.928769709731398</v>
      </c>
      <c r="I304" s="228">
        <f ca="1">+C304*Catalogo!$F$19+EV!D304*Catalogo!$F$14+EV!E304*Catalogo!$F$16+EV!F304*Catalogo!$F$18</f>
        <v>6379039.0462999986</v>
      </c>
      <c r="J304" s="228">
        <f ca="1">IF(TODAY()&gt;=$A304,SUMIFS(Tabla1[EV],Tabla1[Fecha],"&lt;="&amp;A304,Tabla1[EV],"&gt;0"),NA())</f>
        <v>8749740.0562999975</v>
      </c>
      <c r="L304"/>
    </row>
    <row r="305" spans="1:12" x14ac:dyDescent="0.25">
      <c r="A305" s="62">
        <f t="shared" si="6"/>
        <v>46265</v>
      </c>
      <c r="B305" s="62"/>
      <c r="C305" s="110">
        <f ca="1">IF(TODAY()&gt;=$A305,SUMIFS(Tabla1[Avance_km],Tabla1[Fecha],"&lt;="&amp;EV!$A305,Tabla1[nombre_actividad],EV!C$1),NA())</f>
        <v>160.191</v>
      </c>
      <c r="D305" s="110">
        <f ca="1">IF(TODAY()&gt;=$A305,SUMIFS(Tabla1[Avance_km],Tabla1[Fecha],"&lt;="&amp;EV!$A305,Tabla1[nombre_actividad],EV!D$1),NA())</f>
        <v>155.08799999999985</v>
      </c>
      <c r="E305" s="110">
        <f ca="1">IF(TODAY()&gt;=$A305,SUMIFS(Tabla1[Avance_km],Tabla1[Fecha],"&lt;="&amp;EV!$A305,Tabla1[nombre_actividad],EV!E$1,Tabla1[Avance_km],"&gt;0"),NA())</f>
        <v>148.70000000000007</v>
      </c>
      <c r="F305" s="67">
        <f ca="1">IF(TODAY()&gt;=$A305,SUMIFS(Tabla1[Avance_Med],Tabla1[Fecha],"&lt;="&amp;EV!$A305,Tabla1[nombre_actividad],EV!F$1),NA())</f>
        <v>376</v>
      </c>
      <c r="G305" s="67"/>
      <c r="H305" s="110">
        <f ca="1">IF(TODAY()&gt;=$A305,SUMIFS(Tabla1[Avance_km],Tabla1[Fecha],"&lt;="&amp;EV!$A305-1,Tabla1[nombre_actividad],EV!H$1),NA())</f>
        <v>21.928769709731398</v>
      </c>
      <c r="I305" s="228">
        <f ca="1">+C305*Catalogo!$F$19+EV!D305*Catalogo!$F$14+EV!E305*Catalogo!$F$16+EV!F305*Catalogo!$F$18</f>
        <v>6380844.9822999984</v>
      </c>
      <c r="J305" s="228">
        <f ca="1">IF(TODAY()&gt;=$A305,SUMIFS(Tabla1[EV],Tabla1[Fecha],"&lt;="&amp;A305,Tabla1[EV],"&gt;0"),NA())</f>
        <v>8751545.9922999963</v>
      </c>
      <c r="L305"/>
    </row>
    <row r="306" spans="1:12" x14ac:dyDescent="0.25">
      <c r="A306" s="62">
        <f t="shared" si="6"/>
        <v>46266</v>
      </c>
      <c r="B306" s="62"/>
      <c r="C306" s="110">
        <f ca="1">IF(TODAY()&gt;=$A306,SUMIFS(Tabla1[Avance_km],Tabla1[Fecha],"&lt;="&amp;EV!$A306,Tabla1[nombre_actividad],EV!C$1),NA())</f>
        <v>164.95599999999999</v>
      </c>
      <c r="D306" s="110">
        <f ca="1">IF(TODAY()&gt;=$A306,SUMIFS(Tabla1[Avance_km],Tabla1[Fecha],"&lt;="&amp;EV!$A306,Tabla1[nombre_actividad],EV!D$1),NA())</f>
        <v>155.08799999999985</v>
      </c>
      <c r="E306" s="110">
        <f ca="1">IF(TODAY()&gt;=$A306,SUMIFS(Tabla1[Avance_km],Tabla1[Fecha],"&lt;="&amp;EV!$A306,Tabla1[nombre_actividad],EV!E$1,Tabla1[Avance_km],"&gt;0"),NA())</f>
        <v>148.70000000000007</v>
      </c>
      <c r="F306" s="67">
        <f ca="1">IF(TODAY()&gt;=$A306,SUMIFS(Tabla1[Avance_Med],Tabla1[Fecha],"&lt;="&amp;EV!$A306,Tabla1[nombre_actividad],EV!F$1),NA())</f>
        <v>376</v>
      </c>
      <c r="G306" s="67"/>
      <c r="H306" s="110">
        <f ca="1">IF(TODAY()&gt;=$A306,SUMIFS(Tabla1[Avance_km],Tabla1[Fecha],"&lt;="&amp;EV!$A306-1,Tabla1[nombre_actividad],EV!H$1),NA())</f>
        <v>21.928769709731398</v>
      </c>
      <c r="I306" s="228">
        <f ca="1">+C306*Catalogo!$F$19+EV!D306*Catalogo!$F$14+EV!E306*Catalogo!$F$16+EV!F306*Catalogo!$F$18</f>
        <v>6391601.5885999985</v>
      </c>
      <c r="J306" s="228">
        <f ca="1">IF(TODAY()&gt;=$A306,SUMIFS(Tabla1[EV],Tabla1[Fecha],"&lt;="&amp;A306,Tabla1[EV],"&gt;0"),NA())</f>
        <v>8762302.5985999964</v>
      </c>
      <c r="L306"/>
    </row>
    <row r="307" spans="1:12" x14ac:dyDescent="0.25">
      <c r="A307" s="62">
        <f t="shared" si="6"/>
        <v>46267</v>
      </c>
      <c r="B307" s="62"/>
      <c r="C307" s="110">
        <f ca="1">IF(TODAY()&gt;=$A307,SUMIFS(Tabla1[Avance_km],Tabla1[Fecha],"&lt;="&amp;EV!$A307,Tabla1[nombre_actividad],EV!C$1),NA())</f>
        <v>164.95599999999999</v>
      </c>
      <c r="D307" s="110">
        <f ca="1">IF(TODAY()&gt;=$A307,SUMIFS(Tabla1[Avance_km],Tabla1[Fecha],"&lt;="&amp;EV!$A307,Tabla1[nombre_actividad],EV!D$1),NA())</f>
        <v>156.88799999999986</v>
      </c>
      <c r="E307" s="110">
        <f ca="1">IF(TODAY()&gt;=$A307,SUMIFS(Tabla1[Avance_km],Tabla1[Fecha],"&lt;="&amp;EV!$A307,Tabla1[nombre_actividad],EV!E$1,Tabla1[Avance_km],"&gt;0"),NA())</f>
        <v>148.70000000000007</v>
      </c>
      <c r="F307" s="67">
        <f ca="1">IF(TODAY()&gt;=$A307,SUMIFS(Tabla1[Avance_Med],Tabla1[Fecha],"&lt;="&amp;EV!$A307,Tabla1[nombre_actividad],EV!F$1),NA())</f>
        <v>376</v>
      </c>
      <c r="G307" s="67"/>
      <c r="H307" s="110">
        <f ca="1">IF(TODAY()&gt;=$A307,SUMIFS(Tabla1[Avance_km],Tabla1[Fecha],"&lt;="&amp;EV!$A307-1,Tabla1[nombre_actividad],EV!H$1),NA())</f>
        <v>21.928769709731398</v>
      </c>
      <c r="I307" s="228">
        <f ca="1">+C307*Catalogo!$F$19+EV!D307*Catalogo!$F$14+EV!E307*Catalogo!$F$16+EV!F307*Catalogo!$F$18</f>
        <v>6417740.1265999991</v>
      </c>
      <c r="J307" s="228">
        <f ca="1">IF(TODAY()&gt;=$A307,SUMIFS(Tabla1[EV],Tabla1[Fecha],"&lt;="&amp;A307,Tabla1[EV],"&gt;0"),NA())</f>
        <v>8788441.1365999971</v>
      </c>
      <c r="L307"/>
    </row>
    <row r="308" spans="1:12" x14ac:dyDescent="0.25">
      <c r="A308" s="62">
        <f t="shared" si="6"/>
        <v>46268</v>
      </c>
      <c r="B308" s="62"/>
      <c r="C308" s="110">
        <f ca="1">IF(TODAY()&gt;=$A308,SUMIFS(Tabla1[Avance_km],Tabla1[Fecha],"&lt;="&amp;EV!$A308,Tabla1[nombre_actividad],EV!C$1),NA())</f>
        <v>164.95599999999999</v>
      </c>
      <c r="D308" s="110">
        <f ca="1">IF(TODAY()&gt;=$A308,SUMIFS(Tabla1[Avance_km],Tabla1[Fecha],"&lt;="&amp;EV!$A308,Tabla1[nombre_actividad],EV!D$1),NA())</f>
        <v>158.24099999999987</v>
      </c>
      <c r="E308" s="110">
        <f ca="1">IF(TODAY()&gt;=$A308,SUMIFS(Tabla1[Avance_km],Tabla1[Fecha],"&lt;="&amp;EV!$A308,Tabla1[nombre_actividad],EV!E$1,Tabla1[Avance_km],"&gt;0"),NA())</f>
        <v>148.70000000000007</v>
      </c>
      <c r="F308" s="67">
        <f ca="1">IF(TODAY()&gt;=$A308,SUMIFS(Tabla1[Avance_Med],Tabla1[Fecha],"&lt;="&amp;EV!$A308,Tabla1[nombre_actividad],EV!F$1),NA())</f>
        <v>376</v>
      </c>
      <c r="G308" s="67"/>
      <c r="H308" s="110">
        <f ca="1">IF(TODAY()&gt;=$A308,SUMIFS(Tabla1[Avance_km],Tabla1[Fecha],"&lt;="&amp;EV!$A308-1,Tabla1[nombre_actividad],EV!H$1),NA())</f>
        <v>21.928769709731398</v>
      </c>
      <c r="I308" s="228">
        <f ca="1">+C308*Catalogo!$F$19+EV!D308*Catalogo!$F$14+EV!E308*Catalogo!$F$16+EV!F308*Catalogo!$F$18</f>
        <v>6437387.5943299988</v>
      </c>
      <c r="J308" s="228">
        <f ca="1">IF(TODAY()&gt;=$A308,SUMIFS(Tabla1[EV],Tabla1[Fecha],"&lt;="&amp;A308,Tabla1[EV],"&gt;0"),NA())</f>
        <v>8808088.6043299977</v>
      </c>
      <c r="L308"/>
    </row>
    <row r="309" spans="1:12" x14ac:dyDescent="0.25">
      <c r="A309" s="62">
        <f t="shared" si="6"/>
        <v>46269</v>
      </c>
      <c r="B309" s="62"/>
      <c r="C309" s="110">
        <f ca="1">IF(TODAY()&gt;=$A309,SUMIFS(Tabla1[Avance_km],Tabla1[Fecha],"&lt;="&amp;EV!$A309,Tabla1[nombre_actividad],EV!C$1),NA())</f>
        <v>164.95599999999999</v>
      </c>
      <c r="D309" s="110">
        <f ca="1">IF(TODAY()&gt;=$A309,SUMIFS(Tabla1[Avance_km],Tabla1[Fecha],"&lt;="&amp;EV!$A309,Tabla1[nombre_actividad],EV!D$1),NA())</f>
        <v>158.24099999999987</v>
      </c>
      <c r="E309" s="110">
        <f ca="1">IF(TODAY()&gt;=$A309,SUMIFS(Tabla1[Avance_km],Tabla1[Fecha],"&lt;="&amp;EV!$A309,Tabla1[nombre_actividad],EV!E$1,Tabla1[Avance_km],"&gt;0"),NA())</f>
        <v>148.70000000000007</v>
      </c>
      <c r="F309" s="67">
        <f ca="1">IF(TODAY()&gt;=$A309,SUMIFS(Tabla1[Avance_Med],Tabla1[Fecha],"&lt;="&amp;EV!$A309,Tabla1[nombre_actividad],EV!F$1),NA())</f>
        <v>376</v>
      </c>
      <c r="G309" s="67"/>
      <c r="H309" s="110">
        <f ca="1">IF(TODAY()&gt;=$A309,SUMIFS(Tabla1[Avance_km],Tabla1[Fecha],"&lt;="&amp;EV!$A309-1,Tabla1[nombre_actividad],EV!H$1),NA())</f>
        <v>21.928769709731398</v>
      </c>
      <c r="I309" s="228">
        <f ca="1">+C309*Catalogo!$F$19+EV!D309*Catalogo!$F$14+EV!E309*Catalogo!$F$16+EV!F309*Catalogo!$F$18</f>
        <v>6437387.5943299988</v>
      </c>
      <c r="J309" s="228">
        <f ca="1">IF(TODAY()&gt;=$A309,SUMIFS(Tabla1[EV],Tabla1[Fecha],"&lt;="&amp;A309,Tabla1[EV],"&gt;0"),NA())</f>
        <v>9007460.6243299954</v>
      </c>
      <c r="L309"/>
    </row>
    <row r="310" spans="1:12" x14ac:dyDescent="0.25">
      <c r="A310" s="62">
        <f t="shared" si="6"/>
        <v>46270</v>
      </c>
      <c r="B310" s="62"/>
      <c r="C310" s="110">
        <f ca="1">IF(TODAY()&gt;=$A310,SUMIFS(Tabla1[Avance_km],Tabla1[Fecha],"&lt;="&amp;EV!$A310,Tabla1[nombre_actividad],EV!C$1),NA())</f>
        <v>164.95599999999999</v>
      </c>
      <c r="D310" s="110">
        <f ca="1">IF(TODAY()&gt;=$A310,SUMIFS(Tabla1[Avance_km],Tabla1[Fecha],"&lt;="&amp;EV!$A310,Tabla1[nombre_actividad],EV!D$1),NA())</f>
        <v>158.24099999999987</v>
      </c>
      <c r="E310" s="110">
        <f ca="1">IF(TODAY()&gt;=$A310,SUMIFS(Tabla1[Avance_km],Tabla1[Fecha],"&lt;="&amp;EV!$A310,Tabla1[nombre_actividad],EV!E$1,Tabla1[Avance_km],"&gt;0"),NA())</f>
        <v>148.70000000000007</v>
      </c>
      <c r="F310" s="67">
        <f ca="1">IF(TODAY()&gt;=$A310,SUMIFS(Tabla1[Avance_Med],Tabla1[Fecha],"&lt;="&amp;EV!$A310,Tabla1[nombre_actividad],EV!F$1),NA())</f>
        <v>376</v>
      </c>
      <c r="G310" s="67"/>
      <c r="H310" s="110">
        <f ca="1">IF(TODAY()&gt;=$A310,SUMIFS(Tabla1[Avance_km],Tabla1[Fecha],"&lt;="&amp;EV!$A310-1,Tabla1[nombre_actividad],EV!H$1),NA())</f>
        <v>34.499402027411818</v>
      </c>
      <c r="I310" s="228">
        <f ca="1">+C310*Catalogo!$F$19+EV!D310*Catalogo!$F$14+EV!E310*Catalogo!$F$16+EV!F310*Catalogo!$F$18</f>
        <v>6437387.5943299988</v>
      </c>
      <c r="J310" s="228">
        <f ca="1">IF(TODAY()&gt;=$A310,SUMIFS(Tabla1[EV],Tabla1[Fecha],"&lt;="&amp;A310,Tabla1[EV],"&gt;0"),NA())</f>
        <v>9103111.1243299935</v>
      </c>
      <c r="L310"/>
    </row>
    <row r="311" spans="1:12" x14ac:dyDescent="0.25">
      <c r="A311" s="62">
        <f t="shared" si="6"/>
        <v>46271</v>
      </c>
      <c r="B311" s="62"/>
      <c r="C311" s="110">
        <f ca="1">IF(TODAY()&gt;=$A311,SUMIFS(Tabla1[Avance_km],Tabla1[Fecha],"&lt;="&amp;EV!$A311,Tabla1[nombre_actividad],EV!C$1),NA())</f>
        <v>164.95599999999999</v>
      </c>
      <c r="D311" s="110">
        <f ca="1">IF(TODAY()&gt;=$A311,SUMIFS(Tabla1[Avance_km],Tabla1[Fecha],"&lt;="&amp;EV!$A311,Tabla1[nombre_actividad],EV!D$1),NA())</f>
        <v>158.24099999999987</v>
      </c>
      <c r="E311" s="110">
        <f ca="1">IF(TODAY()&gt;=$A311,SUMIFS(Tabla1[Avance_km],Tabla1[Fecha],"&lt;="&amp;EV!$A311,Tabla1[nombre_actividad],EV!E$1,Tabla1[Avance_km],"&gt;0"),NA())</f>
        <v>148.70000000000007</v>
      </c>
      <c r="F311" s="67">
        <f ca="1">IF(TODAY()&gt;=$A311,SUMIFS(Tabla1[Avance_Med],Tabla1[Fecha],"&lt;="&amp;EV!$A311,Tabla1[nombre_actividad],EV!F$1),NA())</f>
        <v>376</v>
      </c>
      <c r="G311" s="67"/>
      <c r="H311" s="110">
        <f ca="1">IF(TODAY()&gt;=$A311,SUMIFS(Tabla1[Avance_km],Tabla1[Fecha],"&lt;="&amp;EV!$A311-1,Tabla1[nombre_actividad],EV!H$1),NA())</f>
        <v>41.483086648345392</v>
      </c>
      <c r="I311" s="228">
        <f ca="1">+C311*Catalogo!$F$19+EV!D311*Catalogo!$F$14+EV!E311*Catalogo!$F$16+EV!F311*Catalogo!$F$18</f>
        <v>6437387.5943299988</v>
      </c>
      <c r="J311" s="228">
        <f ca="1">IF(TODAY()&gt;=$A311,SUMIFS(Tabla1[EV],Tabla1[Fecha],"&lt;="&amp;A311,Tabla1[EV],"&gt;0"),NA())</f>
        <v>9103111.1243299935</v>
      </c>
      <c r="L311"/>
    </row>
    <row r="312" spans="1:12" x14ac:dyDescent="0.25">
      <c r="A312" s="62">
        <f t="shared" si="6"/>
        <v>46272</v>
      </c>
      <c r="B312" s="62"/>
      <c r="C312" s="110">
        <f ca="1">IF(TODAY()&gt;=$A312,SUMIFS(Tabla1[Avance_km],Tabla1[Fecha],"&lt;="&amp;EV!$A312,Tabla1[nombre_actividad],EV!C$1),NA())</f>
        <v>164.95599999999999</v>
      </c>
      <c r="D312" s="110">
        <f ca="1">IF(TODAY()&gt;=$A312,SUMIFS(Tabla1[Avance_km],Tabla1[Fecha],"&lt;="&amp;EV!$A312,Tabla1[nombre_actividad],EV!D$1),NA())</f>
        <v>158.97299999999987</v>
      </c>
      <c r="E312" s="110">
        <f ca="1">IF(TODAY()&gt;=$A312,SUMIFS(Tabla1[Avance_km],Tabla1[Fecha],"&lt;="&amp;EV!$A312,Tabla1[nombre_actividad],EV!E$1,Tabla1[Avance_km],"&gt;0"),NA())</f>
        <v>148.70000000000007</v>
      </c>
      <c r="F312" s="67">
        <f ca="1">IF(TODAY()&gt;=$A312,SUMIFS(Tabla1[Avance_Med],Tabla1[Fecha],"&lt;="&amp;EV!$A312,Tabla1[nombre_actividad],EV!F$1),NA())</f>
        <v>376</v>
      </c>
      <c r="G312" s="67"/>
      <c r="H312" s="110">
        <f ca="1">IF(TODAY()&gt;=$A312,SUMIFS(Tabla1[Avance_km],Tabla1[Fecha],"&lt;="&amp;EV!$A312-1,Tabla1[nombre_actividad],EV!H$1),NA())</f>
        <v>41.483086648345392</v>
      </c>
      <c r="I312" s="228">
        <f ca="1">+C312*Catalogo!$F$19+EV!D312*Catalogo!$F$14+EV!E312*Catalogo!$F$16+EV!F312*Catalogo!$F$18</f>
        <v>6448017.2664499991</v>
      </c>
      <c r="J312" s="228">
        <f ca="1">IF(TODAY()&gt;=$A312,SUMIFS(Tabla1[EV],Tabla1[Fecha],"&lt;="&amp;A312,Tabla1[EV],"&gt;0"),NA())</f>
        <v>9161741.2664499935</v>
      </c>
      <c r="L312"/>
    </row>
    <row r="313" spans="1:12" x14ac:dyDescent="0.25">
      <c r="A313" s="62">
        <f t="shared" si="6"/>
        <v>46273</v>
      </c>
      <c r="B313" s="62"/>
      <c r="C313" s="110">
        <f ca="1">IF(TODAY()&gt;=$A313,SUMIFS(Tabla1[Avance_km],Tabla1[Fecha],"&lt;="&amp;EV!$A313,Tabla1[nombre_actividad],EV!C$1),NA())</f>
        <v>164.95599999999999</v>
      </c>
      <c r="D313" s="110">
        <f ca="1">IF(TODAY()&gt;=$A313,SUMIFS(Tabla1[Avance_km],Tabla1[Fecha],"&lt;="&amp;EV!$A313,Tabla1[nombre_actividad],EV!D$1),NA())</f>
        <v>160.85399999999987</v>
      </c>
      <c r="E313" s="110">
        <f ca="1">IF(TODAY()&gt;=$A313,SUMIFS(Tabla1[Avance_km],Tabla1[Fecha],"&lt;="&amp;EV!$A313,Tabla1[nombre_actividad],EV!E$1,Tabla1[Avance_km],"&gt;0"),NA())</f>
        <v>148.70000000000007</v>
      </c>
      <c r="F313" s="67">
        <f ca="1">IF(TODAY()&gt;=$A313,SUMIFS(Tabla1[Avance_Med],Tabla1[Fecha],"&lt;="&amp;EV!$A313,Tabla1[nombre_actividad],EV!F$1),NA())</f>
        <v>376</v>
      </c>
      <c r="G313" s="67"/>
      <c r="H313" s="110">
        <f ca="1">IF(TODAY()&gt;=$A313,SUMIFS(Tabla1[Avance_km],Tabla1[Fecha],"&lt;="&amp;EV!$A313-1,Tabla1[nombre_actividad],EV!H$1),NA())</f>
        <v>41.483086648345392</v>
      </c>
      <c r="I313" s="228">
        <f ca="1">+C313*Catalogo!$F$19+EV!D313*Catalogo!$F$14+EV!E313*Catalogo!$F$16+EV!F313*Catalogo!$F$18</f>
        <v>6475332.0386599991</v>
      </c>
      <c r="J313" s="228">
        <f ca="1">IF(TODAY()&gt;=$A313,SUMIFS(Tabla1[EV],Tabla1[Fecha],"&lt;="&amp;A313,Tabla1[EV],"&gt;0"),NA())</f>
        <v>9189056.0386599936</v>
      </c>
      <c r="L313"/>
    </row>
    <row r="314" spans="1:12" x14ac:dyDescent="0.25">
      <c r="A314" s="62">
        <f t="shared" si="6"/>
        <v>46274</v>
      </c>
      <c r="B314" s="62"/>
      <c r="C314" s="110">
        <f ca="1">IF(TODAY()&gt;=$A314,SUMIFS(Tabla1[Avance_km],Tabla1[Fecha],"&lt;="&amp;EV!$A314,Tabla1[nombre_actividad],EV!C$1),NA())</f>
        <v>164.95599999999999</v>
      </c>
      <c r="D314" s="110">
        <f ca="1">IF(TODAY()&gt;=$A314,SUMIFS(Tabla1[Avance_km],Tabla1[Fecha],"&lt;="&amp;EV!$A314,Tabla1[nombre_actividad],EV!D$1),NA())</f>
        <v>161.98699999999988</v>
      </c>
      <c r="E314" s="110">
        <f ca="1">IF(TODAY()&gt;=$A314,SUMIFS(Tabla1[Avance_km],Tabla1[Fecha],"&lt;="&amp;EV!$A314,Tabla1[nombre_actividad],EV!E$1,Tabla1[Avance_km],"&gt;0"),NA())</f>
        <v>148.70000000000007</v>
      </c>
      <c r="F314" s="67">
        <f ca="1">IF(TODAY()&gt;=$A314,SUMIFS(Tabla1[Avance_Med],Tabla1[Fecha],"&lt;="&amp;EV!$A314,Tabla1[nombre_actividad],EV!F$1),NA())</f>
        <v>376</v>
      </c>
      <c r="G314" s="67"/>
      <c r="H314" s="110">
        <f ca="1">IF(TODAY()&gt;=$A314,SUMIFS(Tabla1[Avance_km],Tabla1[Fecha],"&lt;="&amp;EV!$A314-1,Tabla1[nombre_actividad],EV!H$1),NA())</f>
        <v>41.483086648345392</v>
      </c>
      <c r="I314" s="228">
        <f ca="1">+C314*Catalogo!$F$19+EV!D314*Catalogo!$F$14+EV!E314*Catalogo!$F$16+EV!F314*Catalogo!$F$18</f>
        <v>6491784.7961899992</v>
      </c>
      <c r="J314" s="228">
        <f ca="1">IF(TODAY()&gt;=$A314,SUMIFS(Tabla1[EV],Tabla1[Fecha],"&lt;="&amp;A314,Tabla1[EV],"&gt;0"),NA())</f>
        <v>9228398.7361899931</v>
      </c>
      <c r="L314"/>
    </row>
    <row r="315" spans="1:12" x14ac:dyDescent="0.25">
      <c r="A315" s="62">
        <f t="shared" si="6"/>
        <v>46275</v>
      </c>
      <c r="B315" s="62"/>
      <c r="C315" s="110">
        <f ca="1">IF(TODAY()&gt;=$A315,SUMIFS(Tabla1[Avance_km],Tabla1[Fecha],"&lt;="&amp;EV!$A315,Tabla1[nombre_actividad],EV!C$1),NA())</f>
        <v>166.30199999999999</v>
      </c>
      <c r="D315" s="110">
        <f ca="1">IF(TODAY()&gt;=$A315,SUMIFS(Tabla1[Avance_km],Tabla1[Fecha],"&lt;="&amp;EV!$A315,Tabla1[nombre_actividad],EV!D$1),NA())</f>
        <v>161.98699999999988</v>
      </c>
      <c r="E315" s="110">
        <f ca="1">IF(TODAY()&gt;=$A315,SUMIFS(Tabla1[Avance_km],Tabla1[Fecha],"&lt;="&amp;EV!$A315,Tabla1[nombre_actividad],EV!E$1,Tabla1[Avance_km],"&gt;0"),NA())</f>
        <v>148.70000000000007</v>
      </c>
      <c r="F315" s="67">
        <f ca="1">IF(TODAY()&gt;=$A315,SUMIFS(Tabla1[Avance_Med],Tabla1[Fecha],"&lt;="&amp;EV!$A315,Tabla1[nombre_actividad],EV!F$1),NA())</f>
        <v>376</v>
      </c>
      <c r="G315" s="67"/>
      <c r="H315" s="110">
        <f ca="1">IF(TODAY()&gt;=$A315,SUMIFS(Tabla1[Avance_km],Tabla1[Fecha],"&lt;="&amp;EV!$A315-1,Tabla1[nombre_actividad],EV!H$1),NA())</f>
        <v>41.483086648345392</v>
      </c>
      <c r="I315" s="228">
        <f ca="1">+C315*Catalogo!$F$19+EV!D315*Catalogo!$F$14+EV!E315*Catalogo!$F$16+EV!F315*Catalogo!$F$18</f>
        <v>6494823.2835099995</v>
      </c>
      <c r="J315" s="228">
        <f ca="1">IF(TODAY()&gt;=$A315,SUMIFS(Tabla1[EV],Tabla1[Fecha],"&lt;="&amp;A315,Tabla1[EV],"&gt;0"),NA())</f>
        <v>9231437.2235099934</v>
      </c>
      <c r="L315"/>
    </row>
    <row r="316" spans="1:12" x14ac:dyDescent="0.25">
      <c r="A316" s="62">
        <f t="shared" si="6"/>
        <v>46276</v>
      </c>
      <c r="B316" s="62"/>
      <c r="C316" s="110">
        <f ca="1">IF(TODAY()&gt;=$A316,SUMIFS(Tabla1[Avance_km],Tabla1[Fecha],"&lt;="&amp;EV!$A316,Tabla1[nombre_actividad],EV!C$1),NA())</f>
        <v>166.30199999999999</v>
      </c>
      <c r="D316" s="110">
        <f ca="1">IF(TODAY()&gt;=$A316,SUMIFS(Tabla1[Avance_km],Tabla1[Fecha],"&lt;="&amp;EV!$A316,Tabla1[nombre_actividad],EV!D$1),NA())</f>
        <v>163.76899999999989</v>
      </c>
      <c r="E316" s="110">
        <f ca="1">IF(TODAY()&gt;=$A316,SUMIFS(Tabla1[Avance_km],Tabla1[Fecha],"&lt;="&amp;EV!$A316,Tabla1[nombre_actividad],EV!E$1,Tabla1[Avance_km],"&gt;0"),NA())</f>
        <v>148.70000000000007</v>
      </c>
      <c r="F316" s="67">
        <f ca="1">IF(TODAY()&gt;=$A316,SUMIFS(Tabla1[Avance_Med],Tabla1[Fecha],"&lt;="&amp;EV!$A316,Tabla1[nombre_actividad],EV!F$1),NA())</f>
        <v>376</v>
      </c>
      <c r="G316" s="67"/>
      <c r="H316" s="110">
        <f ca="1">IF(TODAY()&gt;=$A316,SUMIFS(Tabla1[Avance_km],Tabla1[Fecha],"&lt;="&amp;EV!$A316-1,Tabla1[nombre_actividad],EV!H$1),NA())</f>
        <v>41.483086648345392</v>
      </c>
      <c r="I316" s="228">
        <f ca="1">+C316*Catalogo!$F$19+EV!D316*Catalogo!$F$14+EV!E316*Catalogo!$F$16+EV!F316*Catalogo!$F$18</f>
        <v>6520700.4361299984</v>
      </c>
      <c r="J316" s="228">
        <f ca="1">IF(TODAY()&gt;=$A316,SUMIFS(Tabla1[EV],Tabla1[Fecha],"&lt;="&amp;A316,Tabla1[EV],"&gt;0"),NA())</f>
        <v>9257314.3761299942</v>
      </c>
      <c r="L316"/>
    </row>
    <row r="317" spans="1:12" x14ac:dyDescent="0.25">
      <c r="A317" s="62">
        <f t="shared" si="6"/>
        <v>46277</v>
      </c>
      <c r="B317" s="62"/>
      <c r="C317" s="110">
        <f ca="1">IF(TODAY()&gt;=$A317,SUMIFS(Tabla1[Avance_km],Tabla1[Fecha],"&lt;="&amp;EV!$A317,Tabla1[nombre_actividad],EV!C$1),NA())</f>
        <v>166.30199999999999</v>
      </c>
      <c r="D317" s="110">
        <f ca="1">IF(TODAY()&gt;=$A317,SUMIFS(Tabla1[Avance_km],Tabla1[Fecha],"&lt;="&amp;EV!$A317,Tabla1[nombre_actividad],EV!D$1),NA())</f>
        <v>165.1149999999999</v>
      </c>
      <c r="E317" s="110">
        <f ca="1">IF(TODAY()&gt;=$A317,SUMIFS(Tabla1[Avance_km],Tabla1[Fecha],"&lt;="&amp;EV!$A317,Tabla1[nombre_actividad],EV!E$1,Tabla1[Avance_km],"&gt;0"),NA())</f>
        <v>148.70000000000007</v>
      </c>
      <c r="F317" s="67">
        <f ca="1">IF(TODAY()&gt;=$A317,SUMIFS(Tabla1[Avance_Med],Tabla1[Fecha],"&lt;="&amp;EV!$A317,Tabla1[nombre_actividad],EV!F$1),NA())</f>
        <v>376</v>
      </c>
      <c r="G317" s="67"/>
      <c r="H317" s="110">
        <f ca="1">IF(TODAY()&gt;=$A317,SUMIFS(Tabla1[Avance_km],Tabla1[Fecha],"&lt;="&amp;EV!$A317-1,Tabla1[nombre_actividad],EV!H$1),NA())</f>
        <v>41.483086648345392</v>
      </c>
      <c r="I317" s="228">
        <f ca="1">+C317*Catalogo!$F$19+EV!D317*Catalogo!$F$14+EV!E317*Catalogo!$F$16+EV!F317*Catalogo!$F$18</f>
        <v>6540246.2539899992</v>
      </c>
      <c r="J317" s="228">
        <f ca="1">IF(TODAY()&gt;=$A317,SUMIFS(Tabla1[EV],Tabla1[Fecha],"&lt;="&amp;A317,Tabla1[EV],"&gt;0"),NA())</f>
        <v>9276860.193989994</v>
      </c>
      <c r="L317"/>
    </row>
    <row r="318" spans="1:12" x14ac:dyDescent="0.25">
      <c r="A318" s="62">
        <f t="shared" si="6"/>
        <v>46278</v>
      </c>
      <c r="B318" s="62"/>
      <c r="C318" s="110">
        <f ca="1">IF(TODAY()&gt;=$A318,SUMIFS(Tabla1[Avance_km],Tabla1[Fecha],"&lt;="&amp;EV!$A318,Tabla1[nombre_actividad],EV!C$1),NA())</f>
        <v>166.30199999999999</v>
      </c>
      <c r="D318" s="110">
        <f ca="1">IF(TODAY()&gt;=$A318,SUMIFS(Tabla1[Avance_km],Tabla1[Fecha],"&lt;="&amp;EV!$A318,Tabla1[nombre_actividad],EV!D$1),NA())</f>
        <v>165.1149999999999</v>
      </c>
      <c r="E318" s="110">
        <f ca="1">IF(TODAY()&gt;=$A318,SUMIFS(Tabla1[Avance_km],Tabla1[Fecha],"&lt;="&amp;EV!$A318,Tabla1[nombre_actividad],EV!E$1,Tabla1[Avance_km],"&gt;0"),NA())</f>
        <v>148.70000000000007</v>
      </c>
      <c r="F318" s="67">
        <f ca="1">IF(TODAY()&gt;=$A318,SUMIFS(Tabla1[Avance_Med],Tabla1[Fecha],"&lt;="&amp;EV!$A318,Tabla1[nombre_actividad],EV!F$1),NA())</f>
        <v>376</v>
      </c>
      <c r="G318" s="67"/>
      <c r="H318" s="110">
        <f ca="1">IF(TODAY()&gt;=$A318,SUMIFS(Tabla1[Avance_km],Tabla1[Fecha],"&lt;="&amp;EV!$A318-1,Tabla1[nombre_actividad],EV!H$1),NA())</f>
        <v>41.483086648345392</v>
      </c>
      <c r="I318" s="228">
        <f ca="1">+C318*Catalogo!$F$19+EV!D318*Catalogo!$F$14+EV!E318*Catalogo!$F$16+EV!F318*Catalogo!$F$18</f>
        <v>6540246.2539899992</v>
      </c>
      <c r="J318" s="228">
        <f ca="1">IF(TODAY()&gt;=$A318,SUMIFS(Tabla1[EV],Tabla1[Fecha],"&lt;="&amp;A318,Tabla1[EV],"&gt;0"),NA())</f>
        <v>9276860.193989994</v>
      </c>
      <c r="L318"/>
    </row>
    <row r="319" spans="1:12" x14ac:dyDescent="0.25">
      <c r="A319" s="62">
        <f t="shared" si="6"/>
        <v>46279</v>
      </c>
      <c r="B319" s="62"/>
      <c r="C319" s="110">
        <f ca="1">IF(TODAY()&gt;=$A319,SUMIFS(Tabla1[Avance_km],Tabla1[Fecha],"&lt;="&amp;EV!$A319,Tabla1[nombre_actividad],EV!C$1),NA())</f>
        <v>166.30199999999999</v>
      </c>
      <c r="D319" s="110">
        <f ca="1">IF(TODAY()&gt;=$A319,SUMIFS(Tabla1[Avance_km],Tabla1[Fecha],"&lt;="&amp;EV!$A319,Tabla1[nombre_actividad],EV!D$1),NA())</f>
        <v>165.80799999999991</v>
      </c>
      <c r="E319" s="110">
        <f ca="1">IF(TODAY()&gt;=$A319,SUMIFS(Tabla1[Avance_km],Tabla1[Fecha],"&lt;="&amp;EV!$A319,Tabla1[nombre_actividad],EV!E$1,Tabla1[Avance_km],"&gt;0"),NA())</f>
        <v>148.70000000000007</v>
      </c>
      <c r="F319" s="67">
        <f ca="1">IF(TODAY()&gt;=$A319,SUMIFS(Tabla1[Avance_Med],Tabla1[Fecha],"&lt;="&amp;EV!$A319,Tabla1[nombre_actividad],EV!F$1),NA())</f>
        <v>376</v>
      </c>
      <c r="G319" s="67"/>
      <c r="H319" s="110">
        <f ca="1">IF(TODAY()&gt;=$A319,SUMIFS(Tabla1[Avance_km],Tabla1[Fecha],"&lt;="&amp;EV!$A319-1,Tabla1[nombre_actividad],EV!H$1),NA())</f>
        <v>41.483086648345392</v>
      </c>
      <c r="I319" s="228">
        <f ca="1">+C319*Catalogo!$F$19+EV!D319*Catalogo!$F$14+EV!E319*Catalogo!$F$16+EV!F319*Catalogo!$F$18</f>
        <v>6550309.5911199991</v>
      </c>
      <c r="J319" s="228">
        <f ca="1">IF(TODAY()&gt;=$A319,SUMIFS(Tabla1[EV],Tabla1[Fecha],"&lt;="&amp;A319,Tabla1[EV],"&gt;0"),NA())</f>
        <v>9286923.5311199948</v>
      </c>
      <c r="L319"/>
    </row>
    <row r="320" spans="1:12" x14ac:dyDescent="0.25">
      <c r="A320" s="62">
        <f t="shared" si="6"/>
        <v>46280</v>
      </c>
      <c r="B320" s="62"/>
      <c r="C320" s="110">
        <f ca="1">IF(TODAY()&gt;=$A320,SUMIFS(Tabla1[Avance_km],Tabla1[Fecha],"&lt;="&amp;EV!$A320,Tabla1[nombre_actividad],EV!C$1),NA())</f>
        <v>170.642</v>
      </c>
      <c r="D320" s="110">
        <f ca="1">IF(TODAY()&gt;=$A320,SUMIFS(Tabla1[Avance_km],Tabla1[Fecha],"&lt;="&amp;EV!$A320,Tabla1[nombre_actividad],EV!D$1),NA())</f>
        <v>165.80799999999991</v>
      </c>
      <c r="E320" s="110">
        <f ca="1">IF(TODAY()&gt;=$A320,SUMIFS(Tabla1[Avance_km],Tabla1[Fecha],"&lt;="&amp;EV!$A320,Tabla1[nombre_actividad],EV!E$1,Tabla1[Avance_km],"&gt;0"),NA())</f>
        <v>148.70000000000007</v>
      </c>
      <c r="F320" s="67">
        <f ca="1">IF(TODAY()&gt;=$A320,SUMIFS(Tabla1[Avance_Med],Tabla1[Fecha],"&lt;="&amp;EV!$A320,Tabla1[nombre_actividad],EV!F$1),NA())</f>
        <v>376</v>
      </c>
      <c r="G320" s="67"/>
      <c r="H320" s="110">
        <f ca="1">IF(TODAY()&gt;=$A320,SUMIFS(Tabla1[Avance_km],Tabla1[Fecha],"&lt;="&amp;EV!$A320-1,Tabla1[nombre_actividad],EV!H$1),NA())</f>
        <v>41.483086648345392</v>
      </c>
      <c r="I320" s="228">
        <f ca="1">+C320*Catalogo!$F$19+EV!D320*Catalogo!$F$14+EV!E320*Catalogo!$F$16+EV!F320*Catalogo!$F$18</f>
        <v>6560106.7939199992</v>
      </c>
      <c r="J320" s="228">
        <f ca="1">IF(TODAY()&gt;=$A320,SUMIFS(Tabla1[EV],Tabla1[Fecha],"&lt;="&amp;A320,Tabla1[EV],"&gt;0"),NA())</f>
        <v>9317520.0839199945</v>
      </c>
      <c r="L320"/>
    </row>
    <row r="321" spans="1:12" x14ac:dyDescent="0.25">
      <c r="A321" s="62">
        <f t="shared" si="6"/>
        <v>46281</v>
      </c>
      <c r="B321" s="62"/>
      <c r="C321" s="110">
        <f ca="1">IF(TODAY()&gt;=$A321,SUMIFS(Tabla1[Avance_km],Tabla1[Fecha],"&lt;="&amp;EV!$A321,Tabla1[nombre_actividad],EV!C$1),NA())</f>
        <v>170.642</v>
      </c>
      <c r="D321" s="110">
        <f ca="1">IF(TODAY()&gt;=$A321,SUMIFS(Tabla1[Avance_km],Tabla1[Fecha],"&lt;="&amp;EV!$A321,Tabla1[nombre_actividad],EV!D$1),NA())</f>
        <v>165.80799999999991</v>
      </c>
      <c r="E321" s="110">
        <f ca="1">IF(TODAY()&gt;=$A321,SUMIFS(Tabla1[Avance_km],Tabla1[Fecha],"&lt;="&amp;EV!$A321,Tabla1[nombre_actividad],EV!E$1,Tabla1[Avance_km],"&gt;0"),NA())</f>
        <v>148.70000000000007</v>
      </c>
      <c r="F321" s="67">
        <f ca="1">IF(TODAY()&gt;=$A321,SUMIFS(Tabla1[Avance_Med],Tabla1[Fecha],"&lt;="&amp;EV!$A321,Tabla1[nombre_actividad],EV!F$1),NA())</f>
        <v>380</v>
      </c>
      <c r="G321" s="67"/>
      <c r="H321" s="110">
        <f ca="1">IF(TODAY()&gt;=$A321,SUMIFS(Tabla1[Avance_km],Tabla1[Fecha],"&lt;="&amp;EV!$A321-1,Tabla1[nombre_actividad],EV!H$1),NA())</f>
        <v>41.483086648345392</v>
      </c>
      <c r="I321" s="228">
        <f ca="1">+C321*Catalogo!$F$19+EV!D321*Catalogo!$F$14+EV!E321*Catalogo!$F$16+EV!F321*Catalogo!$F$18</f>
        <v>6578738.7939199992</v>
      </c>
      <c r="J321" s="228">
        <f ca="1">IF(TODAY()&gt;=$A321,SUMIFS(Tabla1[EV],Tabla1[Fecha],"&lt;="&amp;A321,Tabla1[EV],"&gt;0"),NA())</f>
        <v>9336152.0839199945</v>
      </c>
      <c r="L321"/>
    </row>
    <row r="322" spans="1:12" x14ac:dyDescent="0.25">
      <c r="A322" s="62">
        <f t="shared" si="6"/>
        <v>46282</v>
      </c>
      <c r="B322" s="62"/>
      <c r="C322" s="110">
        <f ca="1">IF(TODAY()&gt;=$A322,SUMIFS(Tabla1[Avance_km],Tabla1[Fecha],"&lt;="&amp;EV!$A322,Tabla1[nombre_actividad],EV!C$1),NA())</f>
        <v>170.642</v>
      </c>
      <c r="D322" s="110">
        <f ca="1">IF(TODAY()&gt;=$A322,SUMIFS(Tabla1[Avance_km],Tabla1[Fecha],"&lt;="&amp;EV!$A322,Tabla1[nombre_actividad],EV!D$1),NA())</f>
        <v>165.80799999999991</v>
      </c>
      <c r="E322" s="110">
        <f ca="1">IF(TODAY()&gt;=$A322,SUMIFS(Tabla1[Avance_km],Tabla1[Fecha],"&lt;="&amp;EV!$A322,Tabla1[nombre_actividad],EV!E$1,Tabla1[Avance_km],"&gt;0"),NA())</f>
        <v>148.70000000000007</v>
      </c>
      <c r="F322" s="67">
        <f ca="1">IF(TODAY()&gt;=$A322,SUMIFS(Tabla1[Avance_Med],Tabla1[Fecha],"&lt;="&amp;EV!$A322,Tabla1[nombre_actividad],EV!F$1),NA())</f>
        <v>380</v>
      </c>
      <c r="G322" s="67"/>
      <c r="H322" s="110">
        <f ca="1">IF(TODAY()&gt;=$A322,SUMIFS(Tabla1[Avance_km],Tabla1[Fecha],"&lt;="&amp;EV!$A322-1,Tabla1[nombre_actividad],EV!H$1),NA())</f>
        <v>41.483086648345392</v>
      </c>
      <c r="I322" s="228">
        <f ca="1">+C322*Catalogo!$F$19+EV!D322*Catalogo!$F$14+EV!E322*Catalogo!$F$16+EV!F322*Catalogo!$F$18</f>
        <v>6578738.7939199992</v>
      </c>
      <c r="J322" s="228">
        <f ca="1">IF(TODAY()&gt;=$A322,SUMIFS(Tabla1[EV],Tabla1[Fecha],"&lt;="&amp;A322,Tabla1[EV],"&gt;0"),NA())</f>
        <v>9419837.0039199907</v>
      </c>
      <c r="L322"/>
    </row>
    <row r="323" spans="1:12" x14ac:dyDescent="0.25">
      <c r="A323" s="62">
        <f t="shared" si="6"/>
        <v>46283</v>
      </c>
      <c r="B323" s="62"/>
      <c r="C323" s="110">
        <f ca="1">IF(TODAY()&gt;=$A323,SUMIFS(Tabla1[Avance_km],Tabla1[Fecha],"&lt;="&amp;EV!$A323,Tabla1[nombre_actividad],EV!C$1),NA())</f>
        <v>170.642</v>
      </c>
      <c r="D323" s="110">
        <f ca="1">IF(TODAY()&gt;=$A323,SUMIFS(Tabla1[Avance_km],Tabla1[Fecha],"&lt;="&amp;EV!$A323,Tabla1[nombre_actividad],EV!D$1),NA())</f>
        <v>165.80799999999991</v>
      </c>
      <c r="E323" s="110">
        <f ca="1">IF(TODAY()&gt;=$A323,SUMIFS(Tabla1[Avance_km],Tabla1[Fecha],"&lt;="&amp;EV!$A323,Tabla1[nombre_actividad],EV!E$1,Tabla1[Avance_km],"&gt;0"),NA())</f>
        <v>148.70000000000007</v>
      </c>
      <c r="F323" s="67">
        <f ca="1">IF(TODAY()&gt;=$A323,SUMIFS(Tabla1[Avance_Med],Tabla1[Fecha],"&lt;="&amp;EV!$A323,Tabla1[nombre_actividad],EV!F$1),NA())</f>
        <v>380</v>
      </c>
      <c r="G323" s="67"/>
      <c r="H323" s="110">
        <f ca="1">IF(TODAY()&gt;=$A323,SUMIFS(Tabla1[Avance_km],Tabla1[Fecha],"&lt;="&amp;EV!$A323-1,Tabla1[nombre_actividad],EV!H$1),NA())</f>
        <v>44.555907881556159</v>
      </c>
      <c r="I323" s="228">
        <f ca="1">+C323*Catalogo!$F$19+EV!D323*Catalogo!$F$14+EV!E323*Catalogo!$F$16+EV!F323*Catalogo!$F$18</f>
        <v>6578738.7939199992</v>
      </c>
      <c r="J323" s="228">
        <f ca="1">IF(TODAY()&gt;=$A323,SUMIFS(Tabla1[EV],Tabla1[Fecha],"&lt;="&amp;A323,Tabla1[EV],"&gt;0"),NA())</f>
        <v>9492531.3839199916</v>
      </c>
      <c r="L323"/>
    </row>
    <row r="324" spans="1:12" x14ac:dyDescent="0.25">
      <c r="A324" s="62">
        <f t="shared" si="6"/>
        <v>46284</v>
      </c>
      <c r="B324" s="62"/>
      <c r="C324" s="110">
        <f ca="1">IF(TODAY()&gt;=$A324,SUMIFS(Tabla1[Avance_km],Tabla1[Fecha],"&lt;="&amp;EV!$A324,Tabla1[nombre_actividad],EV!C$1),NA())</f>
        <v>170.642</v>
      </c>
      <c r="D324" s="110">
        <f ca="1">IF(TODAY()&gt;=$A324,SUMIFS(Tabla1[Avance_km],Tabla1[Fecha],"&lt;="&amp;EV!$A324,Tabla1[nombre_actividad],EV!D$1),NA())</f>
        <v>165.80799999999991</v>
      </c>
      <c r="E324" s="110">
        <f ca="1">IF(TODAY()&gt;=$A324,SUMIFS(Tabla1[Avance_km],Tabla1[Fecha],"&lt;="&amp;EV!$A324,Tabla1[nombre_actividad],EV!E$1,Tabla1[Avance_km],"&gt;0"),NA())</f>
        <v>148.70000000000007</v>
      </c>
      <c r="F324" s="67">
        <f ca="1">IF(TODAY()&gt;=$A324,SUMIFS(Tabla1[Avance_Med],Tabla1[Fecha],"&lt;="&amp;EV!$A324,Tabla1[nombre_actividad],EV!F$1),NA())</f>
        <v>381</v>
      </c>
      <c r="G324" s="67"/>
      <c r="H324" s="110">
        <f ca="1">IF(TODAY()&gt;=$A324,SUMIFS(Tabla1[Avance_km],Tabla1[Fecha],"&lt;="&amp;EV!$A324-1,Tabla1[nombre_actividad],EV!H$1),NA())</f>
        <v>49.86350819346567</v>
      </c>
      <c r="I324" s="228">
        <f ca="1">+C324*Catalogo!$F$19+EV!D324*Catalogo!$F$14+EV!E324*Catalogo!$F$16+EV!F324*Catalogo!$F$18</f>
        <v>6583396.7939199992</v>
      </c>
      <c r="J324" s="228">
        <f ca="1">IF(TODAY()&gt;=$A324,SUMIFS(Tabla1[EV],Tabla1[Fecha],"&lt;="&amp;A324,Tabla1[EV],"&gt;0"),NA())</f>
        <v>9497189.3839199916</v>
      </c>
      <c r="L324"/>
    </row>
    <row r="325" spans="1:12" x14ac:dyDescent="0.25">
      <c r="A325" s="62">
        <f t="shared" ref="A325:A388" si="7">+A324+1</f>
        <v>46285</v>
      </c>
      <c r="B325" s="62"/>
      <c r="C325" s="110">
        <f ca="1">IF(TODAY()&gt;=$A325,SUMIFS(Tabla1[Avance_km],Tabla1[Fecha],"&lt;="&amp;EV!$A325,Tabla1[nombre_actividad],EV!C$1),NA())</f>
        <v>170.642</v>
      </c>
      <c r="D325" s="110">
        <f ca="1">IF(TODAY()&gt;=$A325,SUMIFS(Tabla1[Avance_km],Tabla1[Fecha],"&lt;="&amp;EV!$A325,Tabla1[nombre_actividad],EV!D$1),NA())</f>
        <v>165.80799999999991</v>
      </c>
      <c r="E325" s="110">
        <f ca="1">IF(TODAY()&gt;=$A325,SUMIFS(Tabla1[Avance_km],Tabla1[Fecha],"&lt;="&amp;EV!$A325,Tabla1[nombre_actividad],EV!E$1,Tabla1[Avance_km],"&gt;0"),NA())</f>
        <v>148.70000000000007</v>
      </c>
      <c r="F325" s="67">
        <f ca="1">IF(TODAY()&gt;=$A325,SUMIFS(Tabla1[Avance_Med],Tabla1[Fecha],"&lt;="&amp;EV!$A325,Tabla1[nombre_actividad],EV!F$1),NA())</f>
        <v>381</v>
      </c>
      <c r="G325" s="67"/>
      <c r="H325" s="110">
        <f ca="1">IF(TODAY()&gt;=$A325,SUMIFS(Tabla1[Avance_km],Tabla1[Fecha],"&lt;="&amp;EV!$A325-1,Tabla1[nombre_actividad],EV!H$1),NA())</f>
        <v>49.86350819346567</v>
      </c>
      <c r="I325" s="228">
        <f ca="1">+C325*Catalogo!$F$19+EV!D325*Catalogo!$F$14+EV!E325*Catalogo!$F$16+EV!F325*Catalogo!$F$18</f>
        <v>6583396.7939199992</v>
      </c>
      <c r="J325" s="228">
        <f ca="1">IF(TODAY()&gt;=$A325,SUMIFS(Tabla1[EV],Tabla1[Fecha],"&lt;="&amp;A325,Tabla1[EV],"&gt;0"),NA())</f>
        <v>9497189.3839199916</v>
      </c>
      <c r="L325"/>
    </row>
    <row r="326" spans="1:12" x14ac:dyDescent="0.25">
      <c r="A326" s="62">
        <f t="shared" si="7"/>
        <v>46286</v>
      </c>
      <c r="B326" s="62"/>
      <c r="C326" s="110">
        <f ca="1">IF(TODAY()&gt;=$A326,SUMIFS(Tabla1[Avance_km],Tabla1[Fecha],"&lt;="&amp;EV!$A326,Tabla1[nombre_actividad],EV!C$1),NA())</f>
        <v>170.642</v>
      </c>
      <c r="D326" s="110">
        <f ca="1">IF(TODAY()&gt;=$A326,SUMIFS(Tabla1[Avance_km],Tabla1[Fecha],"&lt;="&amp;EV!$A326,Tabla1[nombre_actividad],EV!D$1),NA())</f>
        <v>165.80799999999991</v>
      </c>
      <c r="E326" s="110">
        <f ca="1">IF(TODAY()&gt;=$A326,SUMIFS(Tabla1[Avance_km],Tabla1[Fecha],"&lt;="&amp;EV!$A326,Tabla1[nombre_actividad],EV!E$1,Tabla1[Avance_km],"&gt;0"),NA())</f>
        <v>148.70000000000007</v>
      </c>
      <c r="F326" s="67">
        <f ca="1">IF(TODAY()&gt;=$A326,SUMIFS(Tabla1[Avance_Med],Tabla1[Fecha],"&lt;="&amp;EV!$A326,Tabla1[nombre_actividad],EV!F$1),NA())</f>
        <v>384</v>
      </c>
      <c r="G326" s="67"/>
      <c r="H326" s="110">
        <f ca="1">IF(TODAY()&gt;=$A326,SUMIFS(Tabla1[Avance_km],Tabla1[Fecha],"&lt;="&amp;EV!$A326-1,Tabla1[nombre_actividad],EV!H$1),NA())</f>
        <v>49.86350819346567</v>
      </c>
      <c r="I326" s="228">
        <f ca="1">+C326*Catalogo!$F$19+EV!D326*Catalogo!$F$14+EV!E326*Catalogo!$F$16+EV!F326*Catalogo!$F$18</f>
        <v>6597370.7939199992</v>
      </c>
      <c r="J326" s="228">
        <f ca="1">IF(TODAY()&gt;=$A326,SUMIFS(Tabla1[EV],Tabla1[Fecha],"&lt;="&amp;A326,Tabla1[EV],"&gt;0"),NA())</f>
        <v>9511163.3839199916</v>
      </c>
      <c r="L326" s="227"/>
    </row>
    <row r="327" spans="1:12" x14ac:dyDescent="0.25">
      <c r="A327" s="62">
        <f t="shared" si="7"/>
        <v>46287</v>
      </c>
      <c r="B327" s="62"/>
      <c r="C327" s="110">
        <f ca="1">IF(TODAY()&gt;=$A327,SUMIFS(Tabla1[Avance_km],Tabla1[Fecha],"&lt;="&amp;EV!$A327,Tabla1[nombre_actividad],EV!C$1),NA())</f>
        <v>170.642</v>
      </c>
      <c r="D327" s="110">
        <f ca="1">IF(TODAY()&gt;=$A327,SUMIFS(Tabla1[Avance_km],Tabla1[Fecha],"&lt;="&amp;EV!$A327,Tabla1[nombre_actividad],EV!D$1),NA())</f>
        <v>165.80799999999991</v>
      </c>
      <c r="E327" s="110">
        <f ca="1">IF(TODAY()&gt;=$A327,SUMIFS(Tabla1[Avance_km],Tabla1[Fecha],"&lt;="&amp;EV!$A327,Tabla1[nombre_actividad],EV!E$1,Tabla1[Avance_km],"&gt;0"),NA())</f>
        <v>148.70000000000007</v>
      </c>
      <c r="F327" s="67">
        <f ca="1">IF(TODAY()&gt;=$A327,SUMIFS(Tabla1[Avance_Med],Tabla1[Fecha],"&lt;="&amp;EV!$A327,Tabla1[nombre_actividad],EV!F$1),NA())</f>
        <v>387</v>
      </c>
      <c r="G327" s="67"/>
      <c r="H327" s="110">
        <f ca="1">IF(TODAY()&gt;=$A327,SUMIFS(Tabla1[Avance_km],Tabla1[Fecha],"&lt;="&amp;EV!$A327-1,Tabla1[nombre_actividad],EV!H$1),NA())</f>
        <v>49.86350819346567</v>
      </c>
      <c r="I327" s="228">
        <f ca="1">+C327*Catalogo!$F$19+EV!D327*Catalogo!$F$14+EV!E327*Catalogo!$F$16+EV!F327*Catalogo!$F$18</f>
        <v>6611344.7939199992</v>
      </c>
      <c r="J327" s="228">
        <f ca="1">IF(TODAY()&gt;=$A327,SUMIFS(Tabla1[EV],Tabla1[Fecha],"&lt;="&amp;A327,Tabla1[EV],"&gt;0"),NA())</f>
        <v>9525137.3839199916</v>
      </c>
      <c r="L327"/>
    </row>
    <row r="328" spans="1:12" x14ac:dyDescent="0.25">
      <c r="A328" s="62">
        <f t="shared" si="7"/>
        <v>46288</v>
      </c>
      <c r="B328" s="62"/>
      <c r="C328" s="110">
        <f ca="1">IF(TODAY()&gt;=$A328,SUMIFS(Tabla1[Avance_km],Tabla1[Fecha],"&lt;="&amp;EV!$A328,Tabla1[nombre_actividad],EV!C$1),NA())</f>
        <v>170.642</v>
      </c>
      <c r="D328" s="110">
        <f ca="1">IF(TODAY()&gt;=$A328,SUMIFS(Tabla1[Avance_km],Tabla1[Fecha],"&lt;="&amp;EV!$A328,Tabla1[nombre_actividad],EV!D$1),NA())</f>
        <v>165.80799999999991</v>
      </c>
      <c r="E328" s="110">
        <f ca="1">IF(TODAY()&gt;=$A328,SUMIFS(Tabla1[Avance_km],Tabla1[Fecha],"&lt;="&amp;EV!$A328,Tabla1[nombre_actividad],EV!E$1,Tabla1[Avance_km],"&gt;0"),NA())</f>
        <v>148.70000000000007</v>
      </c>
      <c r="F328" s="67">
        <f ca="1">IF(TODAY()&gt;=$A328,SUMIFS(Tabla1[Avance_Med],Tabla1[Fecha],"&lt;="&amp;EV!$A328,Tabla1[nombre_actividad],EV!F$1),NA())</f>
        <v>389</v>
      </c>
      <c r="G328" s="67"/>
      <c r="H328" s="110">
        <f ca="1">IF(TODAY()&gt;=$A328,SUMIFS(Tabla1[Avance_km],Tabla1[Fecha],"&lt;="&amp;EV!$A328-1,Tabla1[nombre_actividad],EV!H$1),NA())</f>
        <v>49.86350819346567</v>
      </c>
      <c r="I328" s="228">
        <f ca="1">+C328*Catalogo!$F$19+EV!D328*Catalogo!$F$14+EV!E328*Catalogo!$F$16+EV!F328*Catalogo!$F$18</f>
        <v>6620660.7939199992</v>
      </c>
      <c r="J328" s="228">
        <f ca="1">IF(TODAY()&gt;=$A328,SUMIFS(Tabla1[EV],Tabla1[Fecha],"&lt;="&amp;A328,Tabla1[EV],"&gt;0"),NA())</f>
        <v>9534453.3839199916</v>
      </c>
      <c r="L328"/>
    </row>
    <row r="329" spans="1:12" x14ac:dyDescent="0.25">
      <c r="A329" s="62">
        <f t="shared" si="7"/>
        <v>46289</v>
      </c>
      <c r="B329" s="62"/>
      <c r="C329" s="110">
        <f ca="1">IF(TODAY()&gt;=$A329,SUMIFS(Tabla1[Avance_km],Tabla1[Fecha],"&lt;="&amp;EV!$A329,Tabla1[nombre_actividad],EV!C$1),NA())</f>
        <v>170.642</v>
      </c>
      <c r="D329" s="110">
        <f ca="1">IF(TODAY()&gt;=$A329,SUMIFS(Tabla1[Avance_km],Tabla1[Fecha],"&lt;="&amp;EV!$A329,Tabla1[nombre_actividad],EV!D$1),NA())</f>
        <v>165.80799999999991</v>
      </c>
      <c r="E329" s="110">
        <f ca="1">IF(TODAY()&gt;=$A329,SUMIFS(Tabla1[Avance_km],Tabla1[Fecha],"&lt;="&amp;EV!$A329,Tabla1[nombre_actividad],EV!E$1,Tabla1[Avance_km],"&gt;0"),NA())</f>
        <v>148.70000000000007</v>
      </c>
      <c r="F329" s="67">
        <f ca="1">IF(TODAY()&gt;=$A329,SUMIFS(Tabla1[Avance_Med],Tabla1[Fecha],"&lt;="&amp;EV!$A329,Tabla1[nombre_actividad],EV!F$1),NA())</f>
        <v>391</v>
      </c>
      <c r="G329" s="67"/>
      <c r="H329" s="110">
        <f ca="1">IF(TODAY()&gt;=$A329,SUMIFS(Tabla1[Avance_km],Tabla1[Fecha],"&lt;="&amp;EV!$A329-1,Tabla1[nombre_actividad],EV!H$1),NA())</f>
        <v>49.86350819346567</v>
      </c>
      <c r="I329" s="228">
        <f ca="1">+C329*Catalogo!$F$19+EV!D329*Catalogo!$F$14+EV!E329*Catalogo!$F$16+EV!F329*Catalogo!$F$18</f>
        <v>6629976.7939199992</v>
      </c>
      <c r="J329" s="228">
        <f ca="1">IF(TODAY()&gt;=$A329,SUMIFS(Tabla1[EV],Tabla1[Fecha],"&lt;="&amp;A329,Tabla1[EV],"&gt;0"),NA())</f>
        <v>9543769.3839199916</v>
      </c>
      <c r="L329"/>
    </row>
    <row r="330" spans="1:12" x14ac:dyDescent="0.25">
      <c r="A330" s="62">
        <f t="shared" si="7"/>
        <v>46290</v>
      </c>
      <c r="B330" s="62"/>
      <c r="C330" s="110">
        <f ca="1">IF(TODAY()&gt;=$A330,SUMIFS(Tabla1[Avance_km],Tabla1[Fecha],"&lt;="&amp;EV!$A330,Tabla1[nombre_actividad],EV!C$1),NA())</f>
        <v>170.642</v>
      </c>
      <c r="D330" s="110">
        <f ca="1">IF(TODAY()&gt;=$A330,SUMIFS(Tabla1[Avance_km],Tabla1[Fecha],"&lt;="&amp;EV!$A330,Tabla1[nombre_actividad],EV!D$1),NA())</f>
        <v>165.80799999999991</v>
      </c>
      <c r="E330" s="110">
        <f ca="1">IF(TODAY()&gt;=$A330,SUMIFS(Tabla1[Avance_km],Tabla1[Fecha],"&lt;="&amp;EV!$A330,Tabla1[nombre_actividad],EV!E$1,Tabla1[Avance_km],"&gt;0"),NA())</f>
        <v>148.70000000000007</v>
      </c>
      <c r="F330" s="67">
        <f ca="1">IF(TODAY()&gt;=$A330,SUMIFS(Tabla1[Avance_Med],Tabla1[Fecha],"&lt;="&amp;EV!$A330,Tabla1[nombre_actividad],EV!F$1),NA())</f>
        <v>395</v>
      </c>
      <c r="G330" s="67"/>
      <c r="H330" s="110">
        <f ca="1">IF(TODAY()&gt;=$A330,SUMIFS(Tabla1[Avance_km],Tabla1[Fecha],"&lt;="&amp;EV!$A330-1,Tabla1[nombre_actividad],EV!H$1),NA())</f>
        <v>49.86350819346567</v>
      </c>
      <c r="I330" s="228">
        <f ca="1">+C330*Catalogo!$F$19+EV!D330*Catalogo!$F$14+EV!E330*Catalogo!$F$16+EV!F330*Catalogo!$F$18</f>
        <v>6648608.7939199992</v>
      </c>
      <c r="J330" s="228">
        <f ca="1">IF(TODAY()&gt;=$A330,SUMIFS(Tabla1[EV],Tabla1[Fecha],"&lt;="&amp;A330,Tabla1[EV],"&gt;0"),NA())</f>
        <v>9562401.3839199916</v>
      </c>
      <c r="L330"/>
    </row>
    <row r="331" spans="1:12" x14ac:dyDescent="0.25">
      <c r="A331" s="62">
        <f t="shared" si="7"/>
        <v>46291</v>
      </c>
      <c r="B331" s="62"/>
      <c r="C331" s="110">
        <f ca="1">IF(TODAY()&gt;=$A331,SUMIFS(Tabla1[Avance_km],Tabla1[Fecha],"&lt;="&amp;EV!$A331,Tabla1[nombre_actividad],EV!C$1),NA())</f>
        <v>170.642</v>
      </c>
      <c r="D331" s="110">
        <f ca="1">IF(TODAY()&gt;=$A331,SUMIFS(Tabla1[Avance_km],Tabla1[Fecha],"&lt;="&amp;EV!$A331,Tabla1[nombre_actividad],EV!D$1),NA())</f>
        <v>165.80799999999991</v>
      </c>
      <c r="E331" s="110">
        <f ca="1">IF(TODAY()&gt;=$A331,SUMIFS(Tabla1[Avance_km],Tabla1[Fecha],"&lt;="&amp;EV!$A331,Tabla1[nombre_actividad],EV!E$1,Tabla1[Avance_km],"&gt;0"),NA())</f>
        <v>148.70000000000007</v>
      </c>
      <c r="F331" s="67">
        <f ca="1">IF(TODAY()&gt;=$A331,SUMIFS(Tabla1[Avance_Med],Tabla1[Fecha],"&lt;="&amp;EV!$A331,Tabla1[nombre_actividad],EV!F$1),NA())</f>
        <v>396</v>
      </c>
      <c r="G331" s="67"/>
      <c r="H331" s="110">
        <f ca="1">IF(TODAY()&gt;=$A331,SUMIFS(Tabla1[Avance_km],Tabla1[Fecha],"&lt;="&amp;EV!$A331-1,Tabla1[nombre_actividad],EV!H$1),NA())</f>
        <v>49.86350819346567</v>
      </c>
      <c r="I331" s="228">
        <f ca="1">+C331*Catalogo!$F$19+EV!D331*Catalogo!$F$14+EV!E331*Catalogo!$F$16+EV!F331*Catalogo!$F$18</f>
        <v>6653266.7939199992</v>
      </c>
      <c r="J331" s="228">
        <f ca="1">IF(TODAY()&gt;=$A331,SUMIFS(Tabla1[EV],Tabla1[Fecha],"&lt;="&amp;A331,Tabla1[EV],"&gt;0"),NA())</f>
        <v>9844399.0839199927</v>
      </c>
      <c r="L331"/>
    </row>
    <row r="332" spans="1:12" x14ac:dyDescent="0.25">
      <c r="A332" s="62">
        <f t="shared" si="7"/>
        <v>46292</v>
      </c>
      <c r="B332" s="62"/>
      <c r="C332" s="110">
        <f ca="1">IF(TODAY()&gt;=$A332,SUMIFS(Tabla1[Avance_km],Tabla1[Fecha],"&lt;="&amp;EV!$A332,Tabla1[nombre_actividad],EV!C$1),NA())</f>
        <v>170.642</v>
      </c>
      <c r="D332" s="110">
        <f ca="1">IF(TODAY()&gt;=$A332,SUMIFS(Tabla1[Avance_km],Tabla1[Fecha],"&lt;="&amp;EV!$A332,Tabla1[nombre_actividad],EV!D$1),NA())</f>
        <v>165.80799999999991</v>
      </c>
      <c r="E332" s="110">
        <f ca="1">IF(TODAY()&gt;=$A332,SUMIFS(Tabla1[Avance_km],Tabla1[Fecha],"&lt;="&amp;EV!$A332,Tabla1[nombre_actividad],EV!E$1,Tabla1[Avance_km],"&gt;0"),NA())</f>
        <v>148.70000000000007</v>
      </c>
      <c r="F332" s="67">
        <f ca="1">IF(TODAY()&gt;=$A332,SUMIFS(Tabla1[Avance_Med],Tabla1[Fecha],"&lt;="&amp;EV!$A332,Tabla1[nombre_actividad],EV!F$1),NA())</f>
        <v>396</v>
      </c>
      <c r="G332" s="67"/>
      <c r="H332" s="110">
        <f ca="1">IF(TODAY()&gt;=$A332,SUMIFS(Tabla1[Avance_km],Tabla1[Fecha],"&lt;="&amp;EV!$A332-1,Tabla1[nombre_actividad],EV!H$1),NA())</f>
        <v>49.86350819346567</v>
      </c>
      <c r="I332" s="228">
        <f ca="1">+C332*Catalogo!$F$19+EV!D332*Catalogo!$F$14+EV!E332*Catalogo!$F$16+EV!F332*Catalogo!$F$18</f>
        <v>6653266.7939199992</v>
      </c>
      <c r="J332" s="228">
        <f ca="1">IF(TODAY()&gt;=$A332,SUMIFS(Tabla1[EV],Tabla1[Fecha],"&lt;="&amp;A332,Tabla1[EV],"&gt;0"),NA())</f>
        <v>9844399.0839199927</v>
      </c>
      <c r="L332"/>
    </row>
    <row r="333" spans="1:12" x14ac:dyDescent="0.25">
      <c r="A333" s="62">
        <f t="shared" si="7"/>
        <v>46293</v>
      </c>
      <c r="B333" s="62"/>
      <c r="C333" s="110">
        <f ca="1">IF(TODAY()&gt;=$A333,SUMIFS(Tabla1[Avance_km],Tabla1[Fecha],"&lt;="&amp;EV!$A333,Tabla1[nombre_actividad],EV!C$1),NA())</f>
        <v>173.642</v>
      </c>
      <c r="D333" s="110">
        <f ca="1">IF(TODAY()&gt;=$A333,SUMIFS(Tabla1[Avance_km],Tabla1[Fecha],"&lt;="&amp;EV!$A333,Tabla1[nombre_actividad],EV!D$1),NA())</f>
        <v>165.80799999999991</v>
      </c>
      <c r="E333" s="110">
        <f ca="1">IF(TODAY()&gt;=$A333,SUMIFS(Tabla1[Avance_km],Tabla1[Fecha],"&lt;="&amp;EV!$A333,Tabla1[nombre_actividad],EV!E$1,Tabla1[Avance_km],"&gt;0"),NA())</f>
        <v>148.70000000000007</v>
      </c>
      <c r="F333" s="67">
        <f ca="1">IF(TODAY()&gt;=$A333,SUMIFS(Tabla1[Avance_Med],Tabla1[Fecha],"&lt;="&amp;EV!$A333,Tabla1[nombre_actividad],EV!F$1),NA())</f>
        <v>396</v>
      </c>
      <c r="G333" s="67"/>
      <c r="H333" s="110">
        <f ca="1">IF(TODAY()&gt;=$A333,SUMIFS(Tabla1[Avance_km],Tabla1[Fecha],"&lt;="&amp;EV!$A333-1,Tabla1[nombre_actividad],EV!H$1),NA())</f>
        <v>49.86350819346567</v>
      </c>
      <c r="I333" s="228">
        <f ca="1">+C333*Catalogo!$F$19+EV!D333*Catalogo!$F$14+EV!E333*Catalogo!$F$16+EV!F333*Catalogo!$F$18</f>
        <v>6660039.0539199989</v>
      </c>
      <c r="J333" s="228">
        <f ca="1">IF(TODAY()&gt;=$A333,SUMIFS(Tabla1[EV],Tabla1[Fecha],"&lt;="&amp;A333,Tabla1[EV],"&gt;0"),NA())</f>
        <v>9851171.3439199924</v>
      </c>
      <c r="L333"/>
    </row>
    <row r="334" spans="1:12" x14ac:dyDescent="0.25">
      <c r="A334" s="62">
        <f t="shared" si="7"/>
        <v>46294</v>
      </c>
      <c r="B334" s="62"/>
      <c r="C334" s="110">
        <f ca="1">IF(TODAY()&gt;=$A334,SUMIFS(Tabla1[Avance_km],Tabla1[Fecha],"&lt;="&amp;EV!$A334,Tabla1[nombre_actividad],EV!C$1),NA())</f>
        <v>178.292</v>
      </c>
      <c r="D334" s="110">
        <f ca="1">IF(TODAY()&gt;=$A334,SUMIFS(Tabla1[Avance_km],Tabla1[Fecha],"&lt;="&amp;EV!$A334,Tabla1[nombre_actividad],EV!D$1),NA())</f>
        <v>165.80799999999991</v>
      </c>
      <c r="E334" s="110">
        <f ca="1">IF(TODAY()&gt;=$A334,SUMIFS(Tabla1[Avance_km],Tabla1[Fecha],"&lt;="&amp;EV!$A334,Tabla1[nombre_actividad],EV!E$1,Tabla1[Avance_km],"&gt;0"),NA())</f>
        <v>148.70000000000007</v>
      </c>
      <c r="F334" s="67">
        <f ca="1">IF(TODAY()&gt;=$A334,SUMIFS(Tabla1[Avance_Med],Tabla1[Fecha],"&lt;="&amp;EV!$A334,Tabla1[nombre_actividad],EV!F$1),NA())</f>
        <v>396</v>
      </c>
      <c r="G334" s="67"/>
      <c r="H334" s="110">
        <f ca="1">IF(TODAY()&gt;=$A334,SUMIFS(Tabla1[Avance_km],Tabla1[Fecha],"&lt;="&amp;EV!$A334-1,Tabla1[nombre_actividad],EV!H$1),NA())</f>
        <v>49.86350819346567</v>
      </c>
      <c r="I334" s="228">
        <f ca="1">+C334*Catalogo!$F$19+EV!D334*Catalogo!$F$14+EV!E334*Catalogo!$F$16+EV!F334*Catalogo!$F$18</f>
        <v>6670536.0569199994</v>
      </c>
      <c r="J334" s="228">
        <f ca="1">IF(TODAY()&gt;=$A334,SUMIFS(Tabla1[EV],Tabla1[Fecha],"&lt;="&amp;A334,Tabla1[EV],"&gt;0"),NA())</f>
        <v>9940107.2669199929</v>
      </c>
      <c r="L334"/>
    </row>
    <row r="335" spans="1:12" x14ac:dyDescent="0.25">
      <c r="A335" s="62">
        <f t="shared" si="7"/>
        <v>46295</v>
      </c>
      <c r="B335" s="62"/>
      <c r="C335" s="110">
        <f ca="1">IF(TODAY()&gt;=$A335,SUMIFS(Tabla1[Avance_km],Tabla1[Fecha],"&lt;="&amp;EV!$A335,Tabla1[nombre_actividad],EV!C$1),NA())</f>
        <v>180.261</v>
      </c>
      <c r="D335" s="110">
        <f ca="1">IF(TODAY()&gt;=$A335,SUMIFS(Tabla1[Avance_km],Tabla1[Fecha],"&lt;="&amp;EV!$A335,Tabla1[nombre_actividad],EV!D$1),NA())</f>
        <v>165.80799999999991</v>
      </c>
      <c r="E335" s="110">
        <f ca="1">IF(TODAY()&gt;=$A335,SUMIFS(Tabla1[Avance_km],Tabla1[Fecha],"&lt;="&amp;EV!$A335,Tabla1[nombre_actividad],EV!E$1,Tabla1[Avance_km],"&gt;0"),NA())</f>
        <v>148.70000000000007</v>
      </c>
      <c r="F335" s="67">
        <f ca="1">IF(TODAY()&gt;=$A335,SUMIFS(Tabla1[Avance_Med],Tabla1[Fecha],"&lt;="&amp;EV!$A335,Tabla1[nombre_actividad],EV!F$1),NA())</f>
        <v>396</v>
      </c>
      <c r="G335" s="67"/>
      <c r="H335" s="110">
        <f ca="1">IF(TODAY()&gt;=$A335,SUMIFS(Tabla1[Avance_km],Tabla1[Fecha],"&lt;="&amp;EV!$A335-1,Tabla1[nombre_actividad],EV!H$1),NA())</f>
        <v>54.071918798389049</v>
      </c>
      <c r="I335" s="228">
        <f ca="1">+C335*Catalogo!$F$19+EV!D335*Catalogo!$F$14+EV!E335*Catalogo!$F$16+EV!F335*Catalogo!$F$18</f>
        <v>6674980.9168999996</v>
      </c>
      <c r="J335" s="228">
        <f ca="1">IF(TODAY()&gt;=$A335,SUMIFS(Tabla1[EV],Tabla1[Fecha],"&lt;="&amp;A335,Tabla1[EV],"&gt;0"),NA())</f>
        <v>9944552.126899993</v>
      </c>
      <c r="L335"/>
    </row>
    <row r="336" spans="1:12" x14ac:dyDescent="0.25">
      <c r="A336" s="62">
        <f t="shared" si="7"/>
        <v>46296</v>
      </c>
      <c r="B336" s="62"/>
      <c r="C336" s="110">
        <f ca="1">IF(TODAY()&gt;=$A336,SUMIFS(Tabla1[Avance_km],Tabla1[Fecha],"&lt;="&amp;EV!$A336,Tabla1[nombre_actividad],EV!C$1),NA())</f>
        <v>180.261</v>
      </c>
      <c r="D336" s="110">
        <f ca="1">IF(TODAY()&gt;=$A336,SUMIFS(Tabla1[Avance_km],Tabla1[Fecha],"&lt;="&amp;EV!$A336,Tabla1[nombre_actividad],EV!D$1),NA())</f>
        <v>167.3709999999999</v>
      </c>
      <c r="E336" s="110">
        <f ca="1">IF(TODAY()&gt;=$A336,SUMIFS(Tabla1[Avance_km],Tabla1[Fecha],"&lt;="&amp;EV!$A336,Tabla1[nombre_actividad],EV!E$1,Tabla1[Avance_km],"&gt;0"),NA())</f>
        <v>148.70000000000007</v>
      </c>
      <c r="F336" s="67">
        <f ca="1">IF(TODAY()&gt;=$A336,SUMIFS(Tabla1[Avance_Med],Tabla1[Fecha],"&lt;="&amp;EV!$A336,Tabla1[nombre_actividad],EV!F$1),NA())</f>
        <v>396</v>
      </c>
      <c r="G336" s="67"/>
      <c r="H336" s="110">
        <f ca="1">IF(TODAY()&gt;=$A336,SUMIFS(Tabla1[Avance_km],Tabla1[Fecha],"&lt;="&amp;EV!$A336-1,Tabla1[nombre_actividad],EV!H$1),NA())</f>
        <v>54.071918798389049</v>
      </c>
      <c r="I336" s="228">
        <f ca="1">+C336*Catalogo!$F$19+EV!D336*Catalogo!$F$14+EV!E336*Catalogo!$F$16+EV!F336*Catalogo!$F$18</f>
        <v>6697677.8807299994</v>
      </c>
      <c r="J336" s="228">
        <f ca="1">IF(TODAY()&gt;=$A336,SUMIFS(Tabla1[EV],Tabla1[Fecha],"&lt;="&amp;A336,Tabla1[EV],"&gt;0"),NA())</f>
        <v>10026474.820729993</v>
      </c>
      <c r="L336"/>
    </row>
    <row r="337" spans="1:12" x14ac:dyDescent="0.25">
      <c r="A337" s="62">
        <f t="shared" si="7"/>
        <v>46297</v>
      </c>
      <c r="B337" s="62"/>
      <c r="C337" s="110">
        <f ca="1">IF(TODAY()&gt;=$A337,SUMIFS(Tabla1[Avance_km],Tabla1[Fecha],"&lt;="&amp;EV!$A337,Tabla1[nombre_actividad],EV!C$1),NA())</f>
        <v>180.261</v>
      </c>
      <c r="D337" s="110">
        <f ca="1">IF(TODAY()&gt;=$A337,SUMIFS(Tabla1[Avance_km],Tabla1[Fecha],"&lt;="&amp;EV!$A337,Tabla1[nombre_actividad],EV!D$1),NA())</f>
        <v>169.77299999999988</v>
      </c>
      <c r="E337" s="110">
        <f ca="1">IF(TODAY()&gt;=$A337,SUMIFS(Tabla1[Avance_km],Tabla1[Fecha],"&lt;="&amp;EV!$A337,Tabla1[nombre_actividad],EV!E$1,Tabla1[Avance_km],"&gt;0"),NA())</f>
        <v>148.70000000000007</v>
      </c>
      <c r="F337" s="67">
        <f ca="1">IF(TODAY()&gt;=$A337,SUMIFS(Tabla1[Avance_Med],Tabla1[Fecha],"&lt;="&amp;EV!$A337,Tabla1[nombre_actividad],EV!F$1),NA())</f>
        <v>396</v>
      </c>
      <c r="G337" s="67"/>
      <c r="H337" s="110">
        <f ca="1">IF(TODAY()&gt;=$A337,SUMIFS(Tabla1[Avance_km],Tabla1[Fecha],"&lt;="&amp;EV!$A337-1,Tabla1[nombre_actividad],EV!H$1),NA())</f>
        <v>56.877525868337969</v>
      </c>
      <c r="I337" s="228">
        <f ca="1">+C337*Catalogo!$F$19+EV!D337*Catalogo!$F$14+EV!E337*Catalogo!$F$16+EV!F337*Catalogo!$F$18</f>
        <v>6732558.3075499991</v>
      </c>
      <c r="J337" s="228">
        <f ca="1">IF(TODAY()&gt;=$A337,SUMIFS(Tabla1[EV],Tabla1[Fecha],"&lt;="&amp;A337,Tabla1[EV],"&gt;0"),NA())</f>
        <v>10128462.337549992</v>
      </c>
      <c r="L337"/>
    </row>
    <row r="338" spans="1:12" x14ac:dyDescent="0.25">
      <c r="A338" s="62">
        <f t="shared" si="7"/>
        <v>46298</v>
      </c>
      <c r="B338" s="62"/>
      <c r="C338" s="110">
        <f ca="1">IF(TODAY()&gt;=$A338,SUMIFS(Tabla1[Avance_km],Tabla1[Fecha],"&lt;="&amp;EV!$A338,Tabla1[nombre_actividad],EV!C$1),NA())</f>
        <v>180.261</v>
      </c>
      <c r="D338" s="110">
        <f ca="1">IF(TODAY()&gt;=$A338,SUMIFS(Tabla1[Avance_km],Tabla1[Fecha],"&lt;="&amp;EV!$A338,Tabla1[nombre_actividad],EV!D$1),NA())</f>
        <v>169.77299999999988</v>
      </c>
      <c r="E338" s="110">
        <f ca="1">IF(TODAY()&gt;=$A338,SUMIFS(Tabla1[Avance_km],Tabla1[Fecha],"&lt;="&amp;EV!$A338,Tabla1[nombre_actividad],EV!E$1,Tabla1[Avance_km],"&gt;0"),NA())</f>
        <v>148.70000000000007</v>
      </c>
      <c r="F338" s="67">
        <f ca="1">IF(TODAY()&gt;=$A338,SUMIFS(Tabla1[Avance_Med],Tabla1[Fecha],"&lt;="&amp;EV!$A338,Tabla1[nombre_actividad],EV!F$1),NA())</f>
        <v>396</v>
      </c>
      <c r="G338" s="67"/>
      <c r="H338" s="110">
        <f ca="1">IF(TODAY()&gt;=$A338,SUMIFS(Tabla1[Avance_km],Tabla1[Fecha],"&lt;="&amp;EV!$A338-1,Tabla1[nombre_actividad],EV!H$1),NA())</f>
        <v>59.683132938286889</v>
      </c>
      <c r="I338" s="228">
        <f ca="1">+C338*Catalogo!$F$19+EV!D338*Catalogo!$F$14+EV!E338*Catalogo!$F$16+EV!F338*Catalogo!$F$18</f>
        <v>6732558.3075499991</v>
      </c>
      <c r="J338" s="228">
        <f ca="1">IF(TODAY()&gt;=$A338,SUMIFS(Tabla1[EV],Tabla1[Fecha],"&lt;="&amp;A338,Tabla1[EV],"&gt;0"),NA())</f>
        <v>10128462.337549992</v>
      </c>
      <c r="L338"/>
    </row>
    <row r="339" spans="1:12" x14ac:dyDescent="0.25">
      <c r="A339" s="62">
        <f t="shared" si="7"/>
        <v>46299</v>
      </c>
      <c r="B339" s="62"/>
      <c r="C339" s="110">
        <f ca="1">IF(TODAY()&gt;=$A339,SUMIFS(Tabla1[Avance_km],Tabla1[Fecha],"&lt;="&amp;EV!$A339,Tabla1[nombre_actividad],EV!C$1),NA())</f>
        <v>180.261</v>
      </c>
      <c r="D339" s="110">
        <f ca="1">IF(TODAY()&gt;=$A339,SUMIFS(Tabla1[Avance_km],Tabla1[Fecha],"&lt;="&amp;EV!$A339,Tabla1[nombre_actividad],EV!D$1),NA())</f>
        <v>169.77299999999988</v>
      </c>
      <c r="E339" s="110">
        <f ca="1">IF(TODAY()&gt;=$A339,SUMIFS(Tabla1[Avance_km],Tabla1[Fecha],"&lt;="&amp;EV!$A339,Tabla1[nombre_actividad],EV!E$1,Tabla1[Avance_km],"&gt;0"),NA())</f>
        <v>148.70000000000007</v>
      </c>
      <c r="F339" s="67">
        <f ca="1">IF(TODAY()&gt;=$A339,SUMIFS(Tabla1[Avance_Med],Tabla1[Fecha],"&lt;="&amp;EV!$A339,Tabla1[nombre_actividad],EV!F$1),NA())</f>
        <v>396</v>
      </c>
      <c r="G339" s="67"/>
      <c r="H339" s="110">
        <f ca="1">IF(TODAY()&gt;=$A339,SUMIFS(Tabla1[Avance_km],Tabla1[Fecha],"&lt;="&amp;EV!$A339-1,Tabla1[nombre_actividad],EV!H$1),NA())</f>
        <v>59.683132938286889</v>
      </c>
      <c r="I339" s="228">
        <f ca="1">+C339*Catalogo!$F$19+EV!D339*Catalogo!$F$14+EV!E339*Catalogo!$F$16+EV!F339*Catalogo!$F$18</f>
        <v>6732558.3075499991</v>
      </c>
      <c r="J339" s="228">
        <f ca="1">IF(TODAY()&gt;=$A339,SUMIFS(Tabla1[EV],Tabla1[Fecha],"&lt;="&amp;A339,Tabla1[EV],"&gt;0"),NA())</f>
        <v>10128462.337549992</v>
      </c>
      <c r="L339"/>
    </row>
    <row r="340" spans="1:12" x14ac:dyDescent="0.25">
      <c r="A340" s="62">
        <f t="shared" si="7"/>
        <v>46300</v>
      </c>
      <c r="B340" s="62"/>
      <c r="C340" s="110">
        <f ca="1">IF(TODAY()&gt;=$A340,SUMIFS(Tabla1[Avance_km],Tabla1[Fecha],"&lt;="&amp;EV!$A340,Tabla1[nombre_actividad],EV!C$1),NA())</f>
        <v>180.261</v>
      </c>
      <c r="D340" s="110">
        <f ca="1">IF(TODAY()&gt;=$A340,SUMIFS(Tabla1[Avance_km],Tabla1[Fecha],"&lt;="&amp;EV!$A340,Tabla1[nombre_actividad],EV!D$1),NA())</f>
        <v>170.68699999999987</v>
      </c>
      <c r="E340" s="110">
        <f ca="1">IF(TODAY()&gt;=$A340,SUMIFS(Tabla1[Avance_km],Tabla1[Fecha],"&lt;="&amp;EV!$A340,Tabla1[nombre_actividad],EV!E$1,Tabla1[Avance_km],"&gt;0"),NA())</f>
        <v>148.70000000000007</v>
      </c>
      <c r="F340" s="67">
        <f ca="1">IF(TODAY()&gt;=$A340,SUMIFS(Tabla1[Avance_Med],Tabla1[Fecha],"&lt;="&amp;EV!$A340,Tabla1[nombre_actividad],EV!F$1),NA())</f>
        <v>396</v>
      </c>
      <c r="G340" s="67"/>
      <c r="H340" s="110">
        <f ca="1">IF(TODAY()&gt;=$A340,SUMIFS(Tabla1[Avance_km],Tabla1[Fecha],"&lt;="&amp;EV!$A340-1,Tabla1[nombre_actividad],EV!H$1),NA())</f>
        <v>59.683132938286889</v>
      </c>
      <c r="I340" s="228">
        <f ca="1">+C340*Catalogo!$F$19+EV!D340*Catalogo!$F$14+EV!E340*Catalogo!$F$16+EV!F340*Catalogo!$F$18</f>
        <v>6745830.8762899991</v>
      </c>
      <c r="J340" s="228">
        <f ca="1">IF(TODAY()&gt;=$A340,SUMIFS(Tabla1[EV],Tabla1[Fecha],"&lt;="&amp;A340,Tabla1[EV],"&gt;0"),NA())</f>
        <v>10141734.906289993</v>
      </c>
      <c r="L340"/>
    </row>
    <row r="341" spans="1:12" x14ac:dyDescent="0.25">
      <c r="A341" s="62">
        <f t="shared" si="7"/>
        <v>46301</v>
      </c>
      <c r="B341" s="62"/>
      <c r="C341" s="110">
        <f ca="1">IF(TODAY()&gt;=$A341,SUMIFS(Tabla1[Avance_km],Tabla1[Fecha],"&lt;="&amp;EV!$A341,Tabla1[nombre_actividad],EV!C$1),NA())</f>
        <v>181.53599999999997</v>
      </c>
      <c r="D341" s="110">
        <f ca="1">IF(TODAY()&gt;=$A341,SUMIFS(Tabla1[Avance_km],Tabla1[Fecha],"&lt;="&amp;EV!$A341,Tabla1[nombre_actividad],EV!D$1),NA())</f>
        <v>170.68699999999987</v>
      </c>
      <c r="E341" s="110">
        <f ca="1">IF(TODAY()&gt;=$A341,SUMIFS(Tabla1[Avance_km],Tabla1[Fecha],"&lt;="&amp;EV!$A341,Tabla1[nombre_actividad],EV!E$1,Tabla1[Avance_km],"&gt;0"),NA())</f>
        <v>148.70000000000007</v>
      </c>
      <c r="F341" s="67">
        <f ca="1">IF(TODAY()&gt;=$A341,SUMIFS(Tabla1[Avance_Med],Tabla1[Fecha],"&lt;="&amp;EV!$A341,Tabla1[nombre_actividad],EV!F$1),NA())</f>
        <v>396</v>
      </c>
      <c r="G341" s="67"/>
      <c r="H341" s="110">
        <f ca="1">IF(TODAY()&gt;=$A341,SUMIFS(Tabla1[Avance_km],Tabla1[Fecha],"&lt;="&amp;EV!$A341-1,Tabla1[nombre_actividad],EV!H$1),NA())</f>
        <v>59.683132938286889</v>
      </c>
      <c r="I341" s="228">
        <f ca="1">+C341*Catalogo!$F$19+EV!D341*Catalogo!$F$14+EV!E341*Catalogo!$F$16+EV!F341*Catalogo!$F$18</f>
        <v>6748709.0867899992</v>
      </c>
      <c r="J341" s="228">
        <f ca="1">IF(TODAY()&gt;=$A341,SUMIFS(Tabla1[EV],Tabla1[Fecha],"&lt;="&amp;A341,Tabla1[EV],"&gt;0"),NA())</f>
        <v>10144613.116789991</v>
      </c>
      <c r="L341"/>
    </row>
    <row r="342" spans="1:12" x14ac:dyDescent="0.25">
      <c r="A342" s="62">
        <f t="shared" si="7"/>
        <v>46302</v>
      </c>
      <c r="B342" s="62"/>
      <c r="C342" s="110">
        <f ca="1">IF(TODAY()&gt;=$A342,SUMIFS(Tabla1[Avance_km],Tabla1[Fecha],"&lt;="&amp;EV!$A342,Tabla1[nombre_actividad],EV!C$1),NA())</f>
        <v>181.78849999999997</v>
      </c>
      <c r="D342" s="110">
        <f ca="1">IF(TODAY()&gt;=$A342,SUMIFS(Tabla1[Avance_km],Tabla1[Fecha],"&lt;="&amp;EV!$A342,Tabla1[nombre_actividad],EV!D$1),NA())</f>
        <v>170.68699999999987</v>
      </c>
      <c r="E342" s="110">
        <f ca="1">IF(TODAY()&gt;=$A342,SUMIFS(Tabla1[Avance_km],Tabla1[Fecha],"&lt;="&amp;EV!$A342,Tabla1[nombre_actividad],EV!E$1,Tabla1[Avance_km],"&gt;0"),NA())</f>
        <v>148.70000000000007</v>
      </c>
      <c r="F342" s="67">
        <f ca="1">IF(TODAY()&gt;=$A342,SUMIFS(Tabla1[Avance_Med],Tabla1[Fecha],"&lt;="&amp;EV!$A342,Tabla1[nombre_actividad],EV!F$1),NA())</f>
        <v>396</v>
      </c>
      <c r="G342" s="67"/>
      <c r="H342" s="110">
        <f ca="1">IF(TODAY()&gt;=$A342,SUMIFS(Tabla1[Avance_km],Tabla1[Fecha],"&lt;="&amp;EV!$A342-1,Tabla1[nombre_actividad],EV!H$1),NA())</f>
        <v>59.683132938286889</v>
      </c>
      <c r="I342" s="228">
        <f ca="1">+C342*Catalogo!$F$19+EV!D342*Catalogo!$F$14+EV!E342*Catalogo!$F$16+EV!F342*Catalogo!$F$18</f>
        <v>6749279.0853399988</v>
      </c>
      <c r="J342" s="228">
        <f ca="1">IF(TODAY()&gt;=$A342,SUMIFS(Tabla1[EV],Tabla1[Fecha],"&lt;="&amp;A342,Tabla1[EV],"&gt;0"),NA())</f>
        <v>10145183.115339993</v>
      </c>
      <c r="L342"/>
    </row>
    <row r="343" spans="1:12" x14ac:dyDescent="0.25">
      <c r="A343" s="62">
        <f t="shared" si="7"/>
        <v>46303</v>
      </c>
      <c r="B343" s="62"/>
      <c r="C343" s="110">
        <f ca="1">IF(TODAY()&gt;=$A343,SUMIFS(Tabla1[Avance_km],Tabla1[Fecha],"&lt;="&amp;EV!$A343,Tabla1[nombre_actividad],EV!C$1),NA())</f>
        <v>181.88549999999998</v>
      </c>
      <c r="D343" s="110">
        <f ca="1">IF(TODAY()&gt;=$A343,SUMIFS(Tabla1[Avance_km],Tabla1[Fecha],"&lt;="&amp;EV!$A343,Tabla1[nombre_actividad],EV!D$1),NA())</f>
        <v>170.68699999999987</v>
      </c>
      <c r="E343" s="110">
        <f ca="1">IF(TODAY()&gt;=$A343,SUMIFS(Tabla1[Avance_km],Tabla1[Fecha],"&lt;="&amp;EV!$A343,Tabla1[nombre_actividad],EV!E$1,Tabla1[Avance_km],"&gt;0"),NA())</f>
        <v>150.32450000000006</v>
      </c>
      <c r="F343" s="67">
        <f ca="1">IF(TODAY()&gt;=$A343,SUMIFS(Tabla1[Avance_Med],Tabla1[Fecha],"&lt;="&amp;EV!$A343,Tabla1[nombre_actividad],EV!F$1),NA())</f>
        <v>396</v>
      </c>
      <c r="G343" s="67"/>
      <c r="H343" s="110">
        <f ca="1">IF(TODAY()&gt;=$A343,SUMIFS(Tabla1[Avance_km],Tabla1[Fecha],"&lt;="&amp;EV!$A343-1,Tabla1[nombre_actividad],EV!H$1),NA())</f>
        <v>59.683132938286889</v>
      </c>
      <c r="I343" s="228">
        <f ca="1">+C343*Catalogo!$F$19+EV!D343*Catalogo!$F$14+EV!E343*Catalogo!$F$16+EV!F343*Catalogo!$F$18</f>
        <v>6771519.176014998</v>
      </c>
      <c r="J343" s="228">
        <f ca="1">IF(TODAY()&gt;=$A343,SUMIFS(Tabla1[EV],Tabla1[Fecha],"&lt;="&amp;A343,Tabla1[EV],"&gt;0"),NA())</f>
        <v>10167423.206014993</v>
      </c>
      <c r="L343"/>
    </row>
    <row r="344" spans="1:12" x14ac:dyDescent="0.25">
      <c r="A344" s="62">
        <f t="shared" si="7"/>
        <v>46304</v>
      </c>
      <c r="B344" s="62"/>
      <c r="C344" s="110">
        <f ca="1">IF(TODAY()&gt;=$A344,SUMIFS(Tabla1[Avance_km],Tabla1[Fecha],"&lt;="&amp;EV!$A344,Tabla1[nombre_actividad],EV!C$1),NA())</f>
        <v>181.88549999999998</v>
      </c>
      <c r="D344" s="110">
        <f ca="1">IF(TODAY()&gt;=$A344,SUMIFS(Tabla1[Avance_km],Tabla1[Fecha],"&lt;="&amp;EV!$A344,Tabla1[nombre_actividad],EV!D$1),NA())</f>
        <v>171.42099999999985</v>
      </c>
      <c r="E344" s="110">
        <f ca="1">IF(TODAY()&gt;=$A344,SUMIFS(Tabla1[Avance_km],Tabla1[Fecha],"&lt;="&amp;EV!$A344,Tabla1[nombre_actividad],EV!E$1,Tabla1[Avance_km],"&gt;0"),NA())</f>
        <v>150.32450000000006</v>
      </c>
      <c r="F344" s="67">
        <f ca="1">IF(TODAY()&gt;=$A344,SUMIFS(Tabla1[Avance_Med],Tabla1[Fecha],"&lt;="&amp;EV!$A344,Tabla1[nombre_actividad],EV!F$1),NA())</f>
        <v>396</v>
      </c>
      <c r="G344" s="67"/>
      <c r="H344" s="110">
        <f ca="1">IF(TODAY()&gt;=$A344,SUMIFS(Tabla1[Avance_km],Tabla1[Fecha],"&lt;="&amp;EV!$A344-1,Tabla1[nombre_actividad],EV!H$1),NA())</f>
        <v>59.683132938286889</v>
      </c>
      <c r="I344" s="228">
        <f ca="1">+C344*Catalogo!$F$19+EV!D344*Catalogo!$F$14+EV!E344*Catalogo!$F$16+EV!F344*Catalogo!$F$18</f>
        <v>6782177.8909549983</v>
      </c>
      <c r="J344" s="228">
        <f ca="1">IF(TODAY()&gt;=$A344,SUMIFS(Tabla1[EV],Tabla1[Fecha],"&lt;="&amp;A344,Tabla1[EV],"&gt;0"),NA())</f>
        <v>10178081.920954993</v>
      </c>
      <c r="L344"/>
    </row>
    <row r="345" spans="1:12" x14ac:dyDescent="0.25">
      <c r="A345" s="62">
        <f t="shared" si="7"/>
        <v>46305</v>
      </c>
      <c r="B345" s="62"/>
      <c r="C345" s="110">
        <f ca="1">IF(TODAY()&gt;=$A345,SUMIFS(Tabla1[Avance_km],Tabla1[Fecha],"&lt;="&amp;EV!$A345,Tabla1[nombre_actividad],EV!C$1),NA())</f>
        <v>181.88549999999998</v>
      </c>
      <c r="D345" s="110">
        <f ca="1">IF(TODAY()&gt;=$A345,SUMIFS(Tabla1[Avance_km],Tabla1[Fecha],"&lt;="&amp;EV!$A345,Tabla1[nombre_actividad],EV!D$1),NA())</f>
        <v>171.42099999999985</v>
      </c>
      <c r="E345" s="110">
        <f ca="1">IF(TODAY()&gt;=$A345,SUMIFS(Tabla1[Avance_km],Tabla1[Fecha],"&lt;="&amp;EV!$A345,Tabla1[nombre_actividad],EV!E$1,Tabla1[Avance_km],"&gt;0"),NA())</f>
        <v>150.32450000000006</v>
      </c>
      <c r="F345" s="67">
        <f ca="1">IF(TODAY()&gt;=$A345,SUMIFS(Tabla1[Avance_Med],Tabla1[Fecha],"&lt;="&amp;EV!$A345,Tabla1[nombre_actividad],EV!F$1),NA())</f>
        <v>396</v>
      </c>
      <c r="G345" s="67"/>
      <c r="H345" s="110">
        <f ca="1">IF(TODAY()&gt;=$A345,SUMIFS(Tabla1[Avance_km],Tabla1[Fecha],"&lt;="&amp;EV!$A345-1,Tabla1[nombre_actividad],EV!H$1),NA())</f>
        <v>59.683132938286889</v>
      </c>
      <c r="I345" s="228">
        <f ca="1">+C345*Catalogo!$F$19+EV!D345*Catalogo!$F$14+EV!E345*Catalogo!$F$16+EV!F345*Catalogo!$F$18</f>
        <v>6782177.8909549983</v>
      </c>
      <c r="J345" s="228">
        <f ca="1">IF(TODAY()&gt;=$A345,SUMIFS(Tabla1[EV],Tabla1[Fecha],"&lt;="&amp;A345,Tabla1[EV],"&gt;0"),NA())</f>
        <v>10296452.120954994</v>
      </c>
      <c r="L345"/>
    </row>
    <row r="346" spans="1:12" x14ac:dyDescent="0.25">
      <c r="A346" s="62">
        <f t="shared" si="7"/>
        <v>46306</v>
      </c>
      <c r="B346" s="62"/>
      <c r="C346" s="110">
        <f ca="1">IF(TODAY()&gt;=$A346,SUMIFS(Tabla1[Avance_km],Tabla1[Fecha],"&lt;="&amp;EV!$A346,Tabla1[nombre_actividad],EV!C$1),NA())</f>
        <v>181.88549999999998</v>
      </c>
      <c r="D346" s="110">
        <f ca="1">IF(TODAY()&gt;=$A346,SUMIFS(Tabla1[Avance_km],Tabla1[Fecha],"&lt;="&amp;EV!$A346,Tabla1[nombre_actividad],EV!D$1),NA())</f>
        <v>171.42099999999985</v>
      </c>
      <c r="E346" s="110">
        <f ca="1">IF(TODAY()&gt;=$A346,SUMIFS(Tabla1[Avance_km],Tabla1[Fecha],"&lt;="&amp;EV!$A346,Tabla1[nombre_actividad],EV!E$1,Tabla1[Avance_km],"&gt;0"),NA())</f>
        <v>150.32450000000006</v>
      </c>
      <c r="F346" s="67">
        <f ca="1">IF(TODAY()&gt;=$A346,SUMIFS(Tabla1[Avance_Med],Tabla1[Fecha],"&lt;="&amp;EV!$A346,Tabla1[nombre_actividad],EV!F$1),NA())</f>
        <v>396</v>
      </c>
      <c r="G346" s="67"/>
      <c r="H346" s="110">
        <f ca="1">IF(TODAY()&gt;=$A346,SUMIFS(Tabla1[Avance_km],Tabla1[Fecha],"&lt;="&amp;EV!$A346-1,Tabla1[nombre_actividad],EV!H$1),NA())</f>
        <v>68.325640246840763</v>
      </c>
      <c r="I346" s="228">
        <f ca="1">+C346*Catalogo!$F$19+EV!D346*Catalogo!$F$14+EV!E346*Catalogo!$F$16+EV!F346*Catalogo!$F$18</f>
        <v>6782177.8909549983</v>
      </c>
      <c r="J346" s="228">
        <f ca="1">IF(TODAY()&gt;=$A346,SUMIFS(Tabla1[EV],Tabla1[Fecha],"&lt;="&amp;A346,Tabla1[EV],"&gt;0"),NA())</f>
        <v>10400253.680954993</v>
      </c>
      <c r="L346"/>
    </row>
    <row r="347" spans="1:12" x14ac:dyDescent="0.25">
      <c r="A347" s="62">
        <f t="shared" si="7"/>
        <v>46307</v>
      </c>
      <c r="B347" s="62"/>
      <c r="C347" s="110">
        <f ca="1">IF(TODAY()&gt;=$A347,SUMIFS(Tabla1[Avance_km],Tabla1[Fecha],"&lt;="&amp;EV!$A347,Tabla1[nombre_actividad],EV!C$1),NA())</f>
        <v>181.88549999999998</v>
      </c>
      <c r="D347" s="110">
        <f ca="1">IF(TODAY()&gt;=$A347,SUMIFS(Tabla1[Avance_km],Tabla1[Fecha],"&lt;="&amp;EV!$A347,Tabla1[nombre_actividad],EV!D$1),NA())</f>
        <v>171.42099999999985</v>
      </c>
      <c r="E347" s="110">
        <f ca="1">IF(TODAY()&gt;=$A347,SUMIFS(Tabla1[Avance_km],Tabla1[Fecha],"&lt;="&amp;EV!$A347,Tabla1[nombre_actividad],EV!E$1,Tabla1[Avance_km],"&gt;0"),NA())</f>
        <v>150.32450000000006</v>
      </c>
      <c r="F347" s="67">
        <f ca="1">IF(TODAY()&gt;=$A347,SUMIFS(Tabla1[Avance_Med],Tabla1[Fecha],"&lt;="&amp;EV!$A347,Tabla1[nombre_actividad],EV!F$1),NA())</f>
        <v>396</v>
      </c>
      <c r="G347" s="67"/>
      <c r="H347" s="110">
        <f ca="1">IF(TODAY()&gt;=$A347,SUMIFS(Tabla1[Avance_km],Tabla1[Fecha],"&lt;="&amp;EV!$A347-1,Tabla1[nombre_actividad],EV!H$1),NA())</f>
        <v>75.904454348188025</v>
      </c>
      <c r="I347" s="228">
        <f ca="1">+C347*Catalogo!$F$19+EV!D347*Catalogo!$F$14+EV!E347*Catalogo!$F$16+EV!F347*Catalogo!$F$18</f>
        <v>6782177.8909549983</v>
      </c>
      <c r="J347" s="228">
        <f ca="1">IF(TODAY()&gt;=$A347,SUMIFS(Tabla1[EV],Tabla1[Fecha],"&lt;="&amp;A347,Tabla1[EV],"&gt;0"),NA())</f>
        <v>10563097.270954991</v>
      </c>
      <c r="L347"/>
    </row>
    <row r="348" spans="1:12" x14ac:dyDescent="0.25">
      <c r="A348" s="62">
        <f t="shared" si="7"/>
        <v>46308</v>
      </c>
      <c r="B348" s="62"/>
      <c r="C348" s="110">
        <f ca="1">IF(TODAY()&gt;=$A348,SUMIFS(Tabla1[Avance_km],Tabla1[Fecha],"&lt;="&amp;EV!$A348,Tabla1[nombre_actividad],EV!C$1),NA())</f>
        <v>181.88549999999998</v>
      </c>
      <c r="D348" s="110">
        <f ca="1">IF(TODAY()&gt;=$A348,SUMIFS(Tabla1[Avance_km],Tabla1[Fecha],"&lt;="&amp;EV!$A348,Tabla1[nombre_actividad],EV!D$1),NA())</f>
        <v>172.30449999999985</v>
      </c>
      <c r="E348" s="110">
        <f ca="1">IF(TODAY()&gt;=$A348,SUMIFS(Tabla1[Avance_km],Tabla1[Fecha],"&lt;="&amp;EV!$A348,Tabla1[nombre_actividad],EV!E$1,Tabla1[Avance_km],"&gt;0"),NA())</f>
        <v>150.32450000000006</v>
      </c>
      <c r="F348" s="67">
        <f ca="1">IF(TODAY()&gt;=$A348,SUMIFS(Tabla1[Avance_Med],Tabla1[Fecha],"&lt;="&amp;EV!$A348,Tabla1[nombre_actividad],EV!F$1),NA())</f>
        <v>396</v>
      </c>
      <c r="G348" s="67"/>
      <c r="H348" s="110">
        <f ca="1">IF(TODAY()&gt;=$A348,SUMIFS(Tabla1[Avance_km],Tabla1[Fecha],"&lt;="&amp;EV!$A348-1,Tabla1[nombre_actividad],EV!H$1),NA())</f>
        <v>86.275463118452663</v>
      </c>
      <c r="I348" s="228">
        <f ca="1">+C348*Catalogo!$F$19+EV!D348*Catalogo!$F$14+EV!E348*Catalogo!$F$16+EV!F348*Catalogo!$F$18</f>
        <v>6795007.5566899981</v>
      </c>
      <c r="J348" s="228">
        <f ca="1">IF(TODAY()&gt;=$A348,SUMIFS(Tabla1[EV],Tabla1[Fecha],"&lt;="&amp;A348,Tabla1[EV],"&gt;0"),NA())</f>
        <v>10596726.286689991</v>
      </c>
      <c r="L348"/>
    </row>
    <row r="349" spans="1:12" x14ac:dyDescent="0.25">
      <c r="A349" s="62">
        <f t="shared" si="7"/>
        <v>46309</v>
      </c>
      <c r="B349" s="62"/>
      <c r="C349" s="110">
        <f ca="1">IF(TODAY()&gt;=$A349,SUMIFS(Tabla1[Avance_km],Tabla1[Fecha],"&lt;="&amp;EV!$A349,Tabla1[nombre_actividad],EV!C$1),NA())</f>
        <v>181.88549999999998</v>
      </c>
      <c r="D349" s="110">
        <f ca="1">IF(TODAY()&gt;=$A349,SUMIFS(Tabla1[Avance_km],Tabla1[Fecha],"&lt;="&amp;EV!$A349,Tabla1[nombre_actividad],EV!D$1),NA())</f>
        <v>173.53649999999988</v>
      </c>
      <c r="E349" s="110">
        <f ca="1">IF(TODAY()&gt;=$A349,SUMIFS(Tabla1[Avance_km],Tabla1[Fecha],"&lt;="&amp;EV!$A349,Tabla1[nombre_actividad],EV!E$1,Tabla1[Avance_km],"&gt;0"),NA())</f>
        <v>150.32450000000006</v>
      </c>
      <c r="F349" s="67">
        <f ca="1">IF(TODAY()&gt;=$A349,SUMIFS(Tabla1[Avance_Med],Tabla1[Fecha],"&lt;="&amp;EV!$A349,Tabla1[nombre_actividad],EV!F$1),NA())</f>
        <v>396</v>
      </c>
      <c r="G349" s="67"/>
      <c r="H349" s="110">
        <f ca="1">IF(TODAY()&gt;=$A349,SUMIFS(Tabla1[Avance_km],Tabla1[Fecha],"&lt;="&amp;EV!$A349-1,Tabla1[nombre_actividad],EV!H$1),NA())</f>
        <v>86.275463118452663</v>
      </c>
      <c r="I349" s="228">
        <f ca="1">+C349*Catalogo!$F$19+EV!D349*Catalogo!$F$14+EV!E349*Catalogo!$F$16+EV!F349*Catalogo!$F$18</f>
        <v>6812897.9338099984</v>
      </c>
      <c r="J349" s="228">
        <f ca="1">IF(TODAY()&gt;=$A349,SUMIFS(Tabla1[EV],Tabla1[Fecha],"&lt;="&amp;A349,Tabla1[EV],"&gt;0"),NA())</f>
        <v>10614616.663809991</v>
      </c>
      <c r="L349"/>
    </row>
    <row r="350" spans="1:12" x14ac:dyDescent="0.25">
      <c r="A350" s="62">
        <f t="shared" si="7"/>
        <v>46310</v>
      </c>
      <c r="B350" s="62"/>
      <c r="C350" s="110">
        <f ca="1">IF(TODAY()&gt;=$A350,SUMIFS(Tabla1[Avance_km],Tabla1[Fecha],"&lt;="&amp;EV!$A350,Tabla1[nombre_actividad],EV!C$1),NA())</f>
        <v>181.88549999999998</v>
      </c>
      <c r="D350" s="110">
        <f ca="1">IF(TODAY()&gt;=$A350,SUMIFS(Tabla1[Avance_km],Tabla1[Fecha],"&lt;="&amp;EV!$A350,Tabla1[nombre_actividad],EV!D$1),NA())</f>
        <v>176.22249999999988</v>
      </c>
      <c r="E350" s="110">
        <f ca="1">IF(TODAY()&gt;=$A350,SUMIFS(Tabla1[Avance_km],Tabla1[Fecha],"&lt;="&amp;EV!$A350,Tabla1[nombre_actividad],EV!E$1,Tabla1[Avance_km],"&gt;0"),NA())</f>
        <v>150.32450000000006</v>
      </c>
      <c r="F350" s="67">
        <f ca="1">IF(TODAY()&gt;=$A350,SUMIFS(Tabla1[Avance_Med],Tabla1[Fecha],"&lt;="&amp;EV!$A350,Tabla1[nombre_actividad],EV!F$1),NA())</f>
        <v>396</v>
      </c>
      <c r="G350" s="67"/>
      <c r="H350" s="110">
        <f ca="1">IF(TODAY()&gt;=$A350,SUMIFS(Tabla1[Avance_km],Tabla1[Fecha],"&lt;="&amp;EV!$A350-1,Tabla1[nombre_actividad],EV!H$1),NA())</f>
        <v>86.275463118452663</v>
      </c>
      <c r="I350" s="228">
        <f ca="1">+C350*Catalogo!$F$19+EV!D350*Catalogo!$F$14+EV!E350*Catalogo!$F$16+EV!F350*Catalogo!$F$18</f>
        <v>6851902.4410699988</v>
      </c>
      <c r="J350" s="228">
        <f ca="1">IF(TODAY()&gt;=$A350,SUMIFS(Tabla1[EV],Tabla1[Fecha],"&lt;="&amp;A350,Tabla1[EV],"&gt;0"),NA())</f>
        <v>10653621.171069991</v>
      </c>
      <c r="L350"/>
    </row>
    <row r="351" spans="1:12" x14ac:dyDescent="0.25">
      <c r="A351" s="62">
        <f t="shared" si="7"/>
        <v>46311</v>
      </c>
      <c r="B351" s="62"/>
      <c r="C351" s="110">
        <f ca="1">IF(TODAY()&gt;=$A351,SUMIFS(Tabla1[Avance_km],Tabla1[Fecha],"&lt;="&amp;EV!$A351,Tabla1[nombre_actividad],EV!C$1),NA())</f>
        <v>181.88549999999998</v>
      </c>
      <c r="D351" s="110">
        <f ca="1">IF(TODAY()&gt;=$A351,SUMIFS(Tabla1[Avance_km],Tabla1[Fecha],"&lt;="&amp;EV!$A351,Tabla1[nombre_actividad],EV!D$1),NA())</f>
        <v>179.01449999999988</v>
      </c>
      <c r="E351" s="110">
        <f ca="1">IF(TODAY()&gt;=$A351,SUMIFS(Tabla1[Avance_km],Tabla1[Fecha],"&lt;="&amp;EV!$A351,Tabla1[nombre_actividad],EV!E$1,Tabla1[Avance_km],"&gt;0"),NA())</f>
        <v>150.32450000000006</v>
      </c>
      <c r="F351" s="67">
        <f ca="1">IF(TODAY()&gt;=$A351,SUMIFS(Tabla1[Avance_Med],Tabla1[Fecha],"&lt;="&amp;EV!$A351,Tabla1[nombre_actividad],EV!F$1),NA())</f>
        <v>396</v>
      </c>
      <c r="G351" s="67"/>
      <c r="H351" s="110">
        <f ca="1">IF(TODAY()&gt;=$A351,SUMIFS(Tabla1[Avance_km],Tabla1[Fecha],"&lt;="&amp;EV!$A351-1,Tabla1[nombre_actividad],EV!H$1),NA())</f>
        <v>86.275463118452663</v>
      </c>
      <c r="I351" s="228">
        <f ca="1">+C351*Catalogo!$F$19+EV!D351*Catalogo!$F$14+EV!E351*Catalogo!$F$16+EV!F351*Catalogo!$F$18</f>
        <v>6892446.2177899983</v>
      </c>
      <c r="J351" s="228">
        <f ca="1">IF(TODAY()&gt;=$A351,SUMIFS(Tabla1[EV],Tabla1[Fecha],"&lt;="&amp;A351,Tabla1[EV],"&gt;0"),NA())</f>
        <v>10726793.147789991</v>
      </c>
      <c r="L351"/>
    </row>
    <row r="352" spans="1:12" x14ac:dyDescent="0.25">
      <c r="A352" s="62">
        <f t="shared" si="7"/>
        <v>46312</v>
      </c>
      <c r="B352" s="62"/>
      <c r="C352" s="110">
        <f ca="1">IF(TODAY()&gt;=$A352,SUMIFS(Tabla1[Avance_km],Tabla1[Fecha],"&lt;="&amp;EV!$A352,Tabla1[nombre_actividad],EV!C$1),NA())</f>
        <v>181.88549999999998</v>
      </c>
      <c r="D352" s="110">
        <f ca="1">IF(TODAY()&gt;=$A352,SUMIFS(Tabla1[Avance_km],Tabla1[Fecha],"&lt;="&amp;EV!$A352,Tabla1[nombre_actividad],EV!D$1),NA())</f>
        <v>180.42549999999989</v>
      </c>
      <c r="E352" s="110">
        <f ca="1">IF(TODAY()&gt;=$A352,SUMIFS(Tabla1[Avance_km],Tabla1[Fecha],"&lt;="&amp;EV!$A352,Tabla1[nombre_actividad],EV!E$1,Tabla1[Avance_km],"&gt;0"),NA())</f>
        <v>150.32450000000006</v>
      </c>
      <c r="F352" s="67">
        <f ca="1">IF(TODAY()&gt;=$A352,SUMIFS(Tabla1[Avance_Med],Tabla1[Fecha],"&lt;="&amp;EV!$A352,Tabla1[nombre_actividad],EV!F$1),NA())</f>
        <v>396</v>
      </c>
      <c r="G352" s="67"/>
      <c r="H352" s="110">
        <f ca="1">IF(TODAY()&gt;=$A352,SUMIFS(Tabla1[Avance_km],Tabla1[Fecha],"&lt;="&amp;EV!$A352-1,Tabla1[nombre_actividad],EV!H$1),NA())</f>
        <v>86.275463118452663</v>
      </c>
      <c r="I352" s="228">
        <f ca="1">+C352*Catalogo!$F$19+EV!D352*Catalogo!$F$14+EV!E352*Catalogo!$F$16+EV!F352*Catalogo!$F$18</f>
        <v>6912935.9272999987</v>
      </c>
      <c r="J352" s="228">
        <f ca="1">IF(TODAY()&gt;=$A352,SUMIFS(Tabla1[EV],Tabla1[Fecha],"&lt;="&amp;A352,Tabla1[EV],"&gt;0"),NA())</f>
        <v>10747282.857299989</v>
      </c>
      <c r="L352"/>
    </row>
    <row r="353" spans="1:12" x14ac:dyDescent="0.25">
      <c r="A353" s="62">
        <f t="shared" si="7"/>
        <v>46313</v>
      </c>
      <c r="B353" s="62"/>
      <c r="C353" s="110">
        <f ca="1">IF(TODAY()&gt;=$A353,SUMIFS(Tabla1[Avance_km],Tabla1[Fecha],"&lt;="&amp;EV!$A353,Tabla1[nombre_actividad],EV!C$1),NA())</f>
        <v>181.88549999999998</v>
      </c>
      <c r="D353" s="110">
        <f ca="1">IF(TODAY()&gt;=$A353,SUMIFS(Tabla1[Avance_km],Tabla1[Fecha],"&lt;="&amp;EV!$A353,Tabla1[nombre_actividad],EV!D$1),NA())</f>
        <v>180.42549999999989</v>
      </c>
      <c r="E353" s="110">
        <f ca="1">IF(TODAY()&gt;=$A353,SUMIFS(Tabla1[Avance_km],Tabla1[Fecha],"&lt;="&amp;EV!$A353,Tabla1[nombre_actividad],EV!E$1,Tabla1[Avance_km],"&gt;0"),NA())</f>
        <v>150.32450000000006</v>
      </c>
      <c r="F353" s="67">
        <f ca="1">IF(TODAY()&gt;=$A353,SUMIFS(Tabla1[Avance_Med],Tabla1[Fecha],"&lt;="&amp;EV!$A353,Tabla1[nombre_actividad],EV!F$1),NA())</f>
        <v>396</v>
      </c>
      <c r="G353" s="67"/>
      <c r="H353" s="110">
        <f ca="1">IF(TODAY()&gt;=$A353,SUMIFS(Tabla1[Avance_km],Tabla1[Fecha],"&lt;="&amp;EV!$A353-1,Tabla1[nombre_actividad],EV!H$1),NA())</f>
        <v>86.275463118452663</v>
      </c>
      <c r="I353" s="228">
        <f ca="1">+C353*Catalogo!$F$19+EV!D353*Catalogo!$F$14+EV!E353*Catalogo!$F$16+EV!F353*Catalogo!$F$18</f>
        <v>6912935.9272999987</v>
      </c>
      <c r="J353" s="228">
        <f ca="1">IF(TODAY()&gt;=$A353,SUMIFS(Tabla1[EV],Tabla1[Fecha],"&lt;="&amp;A353,Tabla1[EV],"&gt;0"),NA())</f>
        <v>10747282.857299989</v>
      </c>
      <c r="L353"/>
    </row>
    <row r="354" spans="1:12" x14ac:dyDescent="0.25">
      <c r="A354" s="62">
        <f t="shared" si="7"/>
        <v>46314</v>
      </c>
      <c r="B354" s="62"/>
      <c r="C354" s="110">
        <f ca="1">IF(TODAY()&gt;=$A354,SUMIFS(Tabla1[Avance_km],Tabla1[Fecha],"&lt;="&amp;EV!$A354,Tabla1[nombre_actividad],EV!C$1),NA())</f>
        <v>181.88549999999998</v>
      </c>
      <c r="D354" s="110">
        <f ca="1">IF(TODAY()&gt;=$A354,SUMIFS(Tabla1[Avance_km],Tabla1[Fecha],"&lt;="&amp;EV!$A354,Tabla1[nombre_actividad],EV!D$1),NA())</f>
        <v>180.42549999999989</v>
      </c>
      <c r="E354" s="110">
        <f ca="1">IF(TODAY()&gt;=$A354,SUMIFS(Tabla1[Avance_km],Tabla1[Fecha],"&lt;="&amp;EV!$A354,Tabla1[nombre_actividad],EV!E$1,Tabla1[Avance_km],"&gt;0"),NA())</f>
        <v>150.32450000000006</v>
      </c>
      <c r="F354" s="67">
        <f ca="1">IF(TODAY()&gt;=$A354,SUMIFS(Tabla1[Avance_Med],Tabla1[Fecha],"&lt;="&amp;EV!$A354,Tabla1[nombre_actividad],EV!F$1),NA())</f>
        <v>396</v>
      </c>
      <c r="G354" s="67"/>
      <c r="H354" s="110">
        <f ca="1">IF(TODAY()&gt;=$A354,SUMIFS(Tabla1[Avance_km],Tabla1[Fecha],"&lt;="&amp;EV!$A354-1,Tabla1[nombre_actividad],EV!H$1),NA())</f>
        <v>86.275463118452663</v>
      </c>
      <c r="I354" s="228">
        <f ca="1">+C354*Catalogo!$F$19+EV!D354*Catalogo!$F$14+EV!E354*Catalogo!$F$16+EV!F354*Catalogo!$F$18</f>
        <v>6912935.9272999987</v>
      </c>
      <c r="J354" s="228">
        <f ca="1">IF(TODAY()&gt;=$A354,SUMIFS(Tabla1[EV],Tabla1[Fecha],"&lt;="&amp;A354,Tabla1[EV],"&gt;0"),NA())</f>
        <v>10792726.857299987</v>
      </c>
      <c r="L354"/>
    </row>
    <row r="355" spans="1:12" x14ac:dyDescent="0.25">
      <c r="A355" s="62">
        <f t="shared" si="7"/>
        <v>46315</v>
      </c>
      <c r="B355" s="62"/>
      <c r="C355" s="110">
        <f ca="1">IF(TODAY()&gt;=$A355,SUMIFS(Tabla1[Avance_km],Tabla1[Fecha],"&lt;="&amp;EV!$A355,Tabla1[nombre_actividad],EV!C$1),NA())</f>
        <v>181.88549999999998</v>
      </c>
      <c r="D355" s="110">
        <f ca="1">IF(TODAY()&gt;=$A355,SUMIFS(Tabla1[Avance_km],Tabla1[Fecha],"&lt;="&amp;EV!$A355,Tabla1[nombre_actividad],EV!D$1),NA())</f>
        <v>180.42549999999989</v>
      </c>
      <c r="E355" s="110">
        <f ca="1">IF(TODAY()&gt;=$A355,SUMIFS(Tabla1[Avance_km],Tabla1[Fecha],"&lt;="&amp;EV!$A355,Tabla1[nombre_actividad],EV!E$1,Tabla1[Avance_km],"&gt;0"),NA())</f>
        <v>150.32450000000006</v>
      </c>
      <c r="F355" s="67">
        <f ca="1">IF(TODAY()&gt;=$A355,SUMIFS(Tabla1[Avance_Med],Tabla1[Fecha],"&lt;="&amp;EV!$A355,Tabla1[nombre_actividad],EV!F$1),NA())</f>
        <v>396</v>
      </c>
      <c r="G355" s="67"/>
      <c r="H355" s="110">
        <f ca="1">IF(TODAY()&gt;=$A355,SUMIFS(Tabla1[Avance_km],Tabla1[Fecha],"&lt;="&amp;EV!$A355-1,Tabla1[nombre_actividad],EV!H$1),NA())</f>
        <v>89.593444351312982</v>
      </c>
      <c r="I355" s="228">
        <f ca="1">+C355*Catalogo!$F$19+EV!D355*Catalogo!$F$14+EV!E355*Catalogo!$F$16+EV!F355*Catalogo!$F$18</f>
        <v>6912935.9272999987</v>
      </c>
      <c r="J355" s="228">
        <f ca="1">IF(TODAY()&gt;=$A355,SUMIFS(Tabla1[EV],Tabla1[Fecha],"&lt;="&amp;A355,Tabla1[EV],"&gt;0"),NA())</f>
        <v>10886644.457299985</v>
      </c>
      <c r="L355"/>
    </row>
    <row r="356" spans="1:12" x14ac:dyDescent="0.25">
      <c r="A356" s="62">
        <f t="shared" si="7"/>
        <v>46316</v>
      </c>
      <c r="B356" s="62"/>
      <c r="C356" s="110">
        <f ca="1">IF(TODAY()&gt;=$A356,SUMIFS(Tabla1[Avance_km],Tabla1[Fecha],"&lt;="&amp;EV!$A356,Tabla1[nombre_actividad],EV!C$1),NA())</f>
        <v>181.88549999999998</v>
      </c>
      <c r="D356" s="110">
        <f ca="1">IF(TODAY()&gt;=$A356,SUMIFS(Tabla1[Avance_km],Tabla1[Fecha],"&lt;="&amp;EV!$A356,Tabla1[nombre_actividad],EV!D$1),NA())</f>
        <v>180.42549999999989</v>
      </c>
      <c r="E356" s="110">
        <f ca="1">IF(TODAY()&gt;=$A356,SUMIFS(Tabla1[Avance_km],Tabla1[Fecha],"&lt;="&amp;EV!$A356,Tabla1[nombre_actividad],EV!E$1,Tabla1[Avance_km],"&gt;0"),NA())</f>
        <v>150.32450000000006</v>
      </c>
      <c r="F356" s="67">
        <f ca="1">IF(TODAY()&gt;=$A356,SUMIFS(Tabla1[Avance_Med],Tabla1[Fecha],"&lt;="&amp;EV!$A356,Tabla1[nombre_actividad],EV!F$1),NA())</f>
        <v>396</v>
      </c>
      <c r="G356" s="67"/>
      <c r="H356" s="110">
        <f ca="1">IF(TODAY()&gt;=$A356,SUMIFS(Tabla1[Avance_km],Tabla1[Fecha],"&lt;="&amp;EV!$A356-1,Tabla1[nombre_actividad],EV!H$1),NA())</f>
        <v>96.450605565890939</v>
      </c>
      <c r="I356" s="228">
        <f ca="1">+C356*Catalogo!$F$19+EV!D356*Catalogo!$F$14+EV!E356*Catalogo!$F$16+EV!F356*Catalogo!$F$18</f>
        <v>6912935.9272999987</v>
      </c>
      <c r="J356" s="228">
        <f ca="1">IF(TODAY()&gt;=$A356,SUMIFS(Tabla1[EV],Tabla1[Fecha],"&lt;="&amp;A356,Tabla1[EV],"&gt;0"),NA())</f>
        <v>10944206.857299985</v>
      </c>
      <c r="L356"/>
    </row>
    <row r="357" spans="1:12" x14ac:dyDescent="0.25">
      <c r="A357" s="62">
        <f t="shared" si="7"/>
        <v>46317</v>
      </c>
      <c r="B357" s="62"/>
      <c r="C357" s="110">
        <f ca="1">IF(TODAY()&gt;=$A357,SUMIFS(Tabla1[Avance_km],Tabla1[Fecha],"&lt;="&amp;EV!$A357,Tabla1[nombre_actividad],EV!C$1),NA())</f>
        <v>181.88549999999998</v>
      </c>
      <c r="D357" s="110">
        <f ca="1">IF(TODAY()&gt;=$A357,SUMIFS(Tabla1[Avance_km],Tabla1[Fecha],"&lt;="&amp;EV!$A357,Tabla1[nombre_actividad],EV!D$1),NA())</f>
        <v>180.42549999999989</v>
      </c>
      <c r="E357" s="110">
        <f ca="1">IF(TODAY()&gt;=$A357,SUMIFS(Tabla1[Avance_km],Tabla1[Fecha],"&lt;="&amp;EV!$A357,Tabla1[nombre_actividad],EV!E$1,Tabla1[Avance_km],"&gt;0"),NA())</f>
        <v>150.32450000000006</v>
      </c>
      <c r="F357" s="67">
        <f ca="1">IF(TODAY()&gt;=$A357,SUMIFS(Tabla1[Avance_Med],Tabla1[Fecha],"&lt;="&amp;EV!$A357,Tabla1[nombre_actividad],EV!F$1),NA())</f>
        <v>396</v>
      </c>
      <c r="G357" s="67"/>
      <c r="H357" s="110">
        <f ca="1">IF(TODAY()&gt;=$A357,SUMIFS(Tabla1[Avance_km],Tabla1[Fecha],"&lt;="&amp;EV!$A357-1,Tabla1[nombre_actividad],EV!H$1),NA())</f>
        <v>100.65338179418067</v>
      </c>
      <c r="I357" s="228">
        <f ca="1">+C357*Catalogo!$F$19+EV!D357*Catalogo!$F$14+EV!E357*Catalogo!$F$16+EV!F357*Catalogo!$F$18</f>
        <v>6912935.9272999987</v>
      </c>
      <c r="J357" s="228">
        <f ca="1">IF(TODAY()&gt;=$A357,SUMIFS(Tabla1[EV],Tabla1[Fecha],"&lt;="&amp;A357,Tabla1[EV],"&gt;0"),NA())</f>
        <v>11085039.387299985</v>
      </c>
      <c r="L357"/>
    </row>
    <row r="358" spans="1:12" x14ac:dyDescent="0.25">
      <c r="A358" s="62">
        <f t="shared" si="7"/>
        <v>46318</v>
      </c>
      <c r="B358" s="62"/>
      <c r="C358" s="110">
        <f ca="1">IF(TODAY()&gt;=$A358,SUMIFS(Tabla1[Avance_km],Tabla1[Fecha],"&lt;="&amp;EV!$A358,Tabla1[nombre_actividad],EV!C$1),NA())</f>
        <v>181.88549999999998</v>
      </c>
      <c r="D358" s="110">
        <f ca="1">IF(TODAY()&gt;=$A358,SUMIFS(Tabla1[Avance_km],Tabla1[Fecha],"&lt;="&amp;EV!$A358,Tabla1[nombre_actividad],EV!D$1),NA())</f>
        <v>180.42549999999989</v>
      </c>
      <c r="E358" s="110">
        <f ca="1">IF(TODAY()&gt;=$A358,SUMIFS(Tabla1[Avance_km],Tabla1[Fecha],"&lt;="&amp;EV!$A358,Tabla1[nombre_actividad],EV!E$1,Tabla1[Avance_km],"&gt;0"),NA())</f>
        <v>150.32450000000006</v>
      </c>
      <c r="F358" s="67">
        <f ca="1">IF(TODAY()&gt;=$A358,SUMIFS(Tabla1[Avance_Med],Tabla1[Fecha],"&lt;="&amp;EV!$A358,Tabla1[nombre_actividad],EV!F$1),NA())</f>
        <v>396</v>
      </c>
      <c r="G358" s="67"/>
      <c r="H358" s="110">
        <f ca="1">IF(TODAY()&gt;=$A358,SUMIFS(Tabla1[Avance_km],Tabla1[Fecha],"&lt;="&amp;EV!$A358-1,Tabla1[nombre_actividad],EV!H$1),NA())</f>
        <v>109.50133174847481</v>
      </c>
      <c r="I358" s="228">
        <f ca="1">+C358*Catalogo!$F$19+EV!D358*Catalogo!$F$14+EV!E358*Catalogo!$F$16+EV!F358*Catalogo!$F$18</f>
        <v>6912935.9272999987</v>
      </c>
      <c r="J358" s="228">
        <f ca="1">IF(TODAY()&gt;=$A358,SUMIFS(Tabla1[EV],Tabla1[Fecha],"&lt;="&amp;A358,Tabla1[EV],"&gt;0"),NA())</f>
        <v>11212282.587299984</v>
      </c>
      <c r="L358"/>
    </row>
    <row r="359" spans="1:12" x14ac:dyDescent="0.25">
      <c r="A359" s="62">
        <f t="shared" si="7"/>
        <v>46319</v>
      </c>
      <c r="B359" s="62"/>
      <c r="C359" s="110">
        <f ca="1">IF(TODAY()&gt;=$A359,SUMIFS(Tabla1[Avance_km],Tabla1[Fecha],"&lt;="&amp;EV!$A359,Tabla1[nombre_actividad],EV!C$1),NA())</f>
        <v>181.88549999999998</v>
      </c>
      <c r="D359" s="110">
        <f ca="1">IF(TODAY()&gt;=$A359,SUMIFS(Tabla1[Avance_km],Tabla1[Fecha],"&lt;="&amp;EV!$A359,Tabla1[nombre_actividad],EV!D$1),NA())</f>
        <v>181.92549999999989</v>
      </c>
      <c r="E359" s="110">
        <f ca="1">IF(TODAY()&gt;=$A359,SUMIFS(Tabla1[Avance_km],Tabla1[Fecha],"&lt;="&amp;EV!$A359,Tabla1[nombre_actividad],EV!E$1,Tabla1[Avance_km],"&gt;0"),NA())</f>
        <v>150.32450000000006</v>
      </c>
      <c r="F359" s="67">
        <f ca="1">IF(TODAY()&gt;=$A359,SUMIFS(Tabla1[Avance_Med],Tabla1[Fecha],"&lt;="&amp;EV!$A359,Tabla1[nombre_actividad],EV!F$1),NA())</f>
        <v>396</v>
      </c>
      <c r="G359" s="67"/>
      <c r="H359" s="110">
        <f ca="1">IF(TODAY()&gt;=$A359,SUMIFS(Tabla1[Avance_km],Tabla1[Fecha],"&lt;="&amp;EV!$A359-1,Tabla1[nombre_actividad],EV!H$1),NA())</f>
        <v>118.7916792004837</v>
      </c>
      <c r="I359" s="228">
        <f ca="1">+C359*Catalogo!$F$19+EV!D359*Catalogo!$F$14+EV!E359*Catalogo!$F$16+EV!F359*Catalogo!$F$18</f>
        <v>6934718.0422999989</v>
      </c>
      <c r="J359" s="228">
        <f ca="1">IF(TODAY()&gt;=$A359,SUMIFS(Tabla1[EV],Tabla1[Fecha],"&lt;="&amp;A359,Tabla1[EV],"&gt;0"),NA())</f>
        <v>11234064.702299984</v>
      </c>
      <c r="L359"/>
    </row>
    <row r="360" spans="1:12" x14ac:dyDescent="0.25">
      <c r="A360" s="62">
        <f t="shared" si="7"/>
        <v>46320</v>
      </c>
      <c r="B360" s="62"/>
      <c r="C360" s="110">
        <f ca="1">IF(TODAY()&gt;=$A360,SUMIFS(Tabla1[Avance_km],Tabla1[Fecha],"&lt;="&amp;EV!$A360,Tabla1[nombre_actividad],EV!C$1),NA())</f>
        <v>181.88549999999998</v>
      </c>
      <c r="D360" s="110">
        <f ca="1">IF(TODAY()&gt;=$A360,SUMIFS(Tabla1[Avance_km],Tabla1[Fecha],"&lt;="&amp;EV!$A360,Tabla1[nombre_actividad],EV!D$1),NA())</f>
        <v>181.92549999999989</v>
      </c>
      <c r="E360" s="110">
        <f ca="1">IF(TODAY()&gt;=$A360,SUMIFS(Tabla1[Avance_km],Tabla1[Fecha],"&lt;="&amp;EV!$A360,Tabla1[nombre_actividad],EV!E$1,Tabla1[Avance_km],"&gt;0"),NA())</f>
        <v>150.32450000000006</v>
      </c>
      <c r="F360" s="67">
        <f ca="1">IF(TODAY()&gt;=$A360,SUMIFS(Tabla1[Avance_Med],Tabla1[Fecha],"&lt;="&amp;EV!$A360,Tabla1[nombre_actividad],EV!F$1),NA())</f>
        <v>396</v>
      </c>
      <c r="G360" s="67"/>
      <c r="H360" s="110">
        <f ca="1">IF(TODAY()&gt;=$A360,SUMIFS(Tabla1[Avance_km],Tabla1[Fecha],"&lt;="&amp;EV!$A360-1,Tabla1[nombre_actividad],EV!H$1),NA())</f>
        <v>118.7916792004837</v>
      </c>
      <c r="I360" s="228">
        <f ca="1">+C360*Catalogo!$F$19+EV!D360*Catalogo!$F$14+EV!E360*Catalogo!$F$16+EV!F360*Catalogo!$F$18</f>
        <v>6934718.0422999989</v>
      </c>
      <c r="J360" s="228">
        <f ca="1">IF(TODAY()&gt;=$A360,SUMIFS(Tabla1[EV],Tabla1[Fecha],"&lt;="&amp;A360,Tabla1[EV],"&gt;0"),NA())</f>
        <v>11234064.702299984</v>
      </c>
      <c r="L360"/>
    </row>
    <row r="361" spans="1:12" x14ac:dyDescent="0.25">
      <c r="A361" s="62">
        <f t="shared" si="7"/>
        <v>46321</v>
      </c>
      <c r="B361" s="62"/>
      <c r="C361" s="110">
        <f ca="1">IF(TODAY()&gt;=$A361,SUMIFS(Tabla1[Avance_km],Tabla1[Fecha],"&lt;="&amp;EV!$A361,Tabla1[nombre_actividad],EV!C$1),NA())</f>
        <v>181.88549999999998</v>
      </c>
      <c r="D361" s="110">
        <f ca="1">IF(TODAY()&gt;=$A361,SUMIFS(Tabla1[Avance_km],Tabla1[Fecha],"&lt;="&amp;EV!$A361,Tabla1[nombre_actividad],EV!D$1),NA())</f>
        <v>181.92549999999989</v>
      </c>
      <c r="E361" s="110">
        <f ca="1">IF(TODAY()&gt;=$A361,SUMIFS(Tabla1[Avance_km],Tabla1[Fecha],"&lt;="&amp;EV!$A361,Tabla1[nombre_actividad],EV!E$1,Tabla1[Avance_km],"&gt;0"),NA())</f>
        <v>150.32450000000006</v>
      </c>
      <c r="F361" s="67">
        <f ca="1">IF(TODAY()&gt;=$A361,SUMIFS(Tabla1[Avance_Med],Tabla1[Fecha],"&lt;="&amp;EV!$A361,Tabla1[nombre_actividad],EV!F$1),NA())</f>
        <v>396</v>
      </c>
      <c r="G361" s="67"/>
      <c r="H361" s="110">
        <f ca="1">IF(TODAY()&gt;=$A361,SUMIFS(Tabla1[Avance_km],Tabla1[Fecha],"&lt;="&amp;EV!$A361-1,Tabla1[nombre_actividad],EV!H$1),NA())</f>
        <v>118.7916792004837</v>
      </c>
      <c r="I361" s="228">
        <f ca="1">+C361*Catalogo!$F$19+EV!D361*Catalogo!$F$14+EV!E361*Catalogo!$F$16+EV!F361*Catalogo!$F$18</f>
        <v>6934718.0422999989</v>
      </c>
      <c r="J361" s="228">
        <f ca="1">IF(TODAY()&gt;=$A361,SUMIFS(Tabla1[EV],Tabla1[Fecha],"&lt;="&amp;A361,Tabla1[EV],"&gt;0"),NA())</f>
        <v>11234064.702299984</v>
      </c>
      <c r="L361"/>
    </row>
    <row r="362" spans="1:12" x14ac:dyDescent="0.25">
      <c r="A362" s="62">
        <f t="shared" si="7"/>
        <v>46322</v>
      </c>
      <c r="B362" s="62"/>
      <c r="C362" s="110" t="e">
        <f ca="1">IF(TODAY()&gt;=$A362,SUMIFS(Tabla1[Avance_km],Tabla1[Fecha],"&lt;="&amp;EV!$A362,Tabla1[nombre_actividad],EV!C$1),NA())</f>
        <v>#N/A</v>
      </c>
      <c r="D362" s="110" t="e">
        <f ca="1">IF(TODAY()&gt;=$A362,SUMIFS(Tabla1[Avance_km],Tabla1[Fecha],"&lt;="&amp;EV!$A362,Tabla1[nombre_actividad],EV!D$1),NA())</f>
        <v>#N/A</v>
      </c>
      <c r="E362" s="110" t="e">
        <f ca="1">IF(TODAY()&gt;=$A362,SUMIFS(Tabla1[Avance_km],Tabla1[Fecha],"&lt;="&amp;EV!$A362,Tabla1[nombre_actividad],EV!E$1,Tabla1[Avance_km],"&gt;0"),NA())</f>
        <v>#N/A</v>
      </c>
      <c r="F362" s="67" t="e">
        <f ca="1">IF(TODAY()&gt;=$A362,SUMIFS(Tabla1[Avance_Med],Tabla1[Fecha],"&lt;="&amp;EV!$A362,Tabla1[nombre_actividad],EV!F$1),NA())</f>
        <v>#N/A</v>
      </c>
      <c r="G362" s="67"/>
      <c r="H362" s="110" t="e">
        <f ca="1">IF(TODAY()&gt;=$A362,SUMIFS(Tabla1[Avance_km],Tabla1[Fecha],"&lt;="&amp;EV!$A362-1,Tabla1[nombre_actividad],EV!H$1),NA())</f>
        <v>#N/A</v>
      </c>
      <c r="I362" s="228" t="e">
        <f ca="1">+C362*Catalogo!$F$19+EV!D362*Catalogo!$F$14+EV!E362*Catalogo!$F$16+EV!F362*Catalogo!$F$18</f>
        <v>#N/A</v>
      </c>
      <c r="J362" s="228" t="e">
        <f ca="1">IF(TODAY()&gt;=$A362,SUMIFS(Tabla1[EV],Tabla1[Fecha],"&lt;="&amp;A362,Tabla1[EV],"&gt;0"),NA())</f>
        <v>#N/A</v>
      </c>
      <c r="L362"/>
    </row>
    <row r="363" spans="1:12" x14ac:dyDescent="0.25">
      <c r="A363" s="62">
        <f t="shared" si="7"/>
        <v>46323</v>
      </c>
      <c r="B363" s="62"/>
      <c r="C363" s="110" t="e">
        <f ca="1">IF(TODAY()&gt;=$A363,SUMIFS(Tabla1[Avance_km],Tabla1[Fecha],"&lt;="&amp;EV!$A363,Tabla1[nombre_actividad],EV!C$1),NA())</f>
        <v>#N/A</v>
      </c>
      <c r="D363" s="110" t="e">
        <f ca="1">IF(TODAY()&gt;=$A363,SUMIFS(Tabla1[Avance_km],Tabla1[Fecha],"&lt;="&amp;EV!$A363,Tabla1[nombre_actividad],EV!D$1),NA())</f>
        <v>#N/A</v>
      </c>
      <c r="E363" s="110" t="e">
        <f ca="1">IF(TODAY()&gt;=$A363,SUMIFS(Tabla1[Avance_km],Tabla1[Fecha],"&lt;="&amp;EV!$A363,Tabla1[nombre_actividad],EV!E$1,Tabla1[Avance_km],"&gt;0"),NA())</f>
        <v>#N/A</v>
      </c>
      <c r="F363" s="67" t="e">
        <f ca="1">IF(TODAY()&gt;=$A363,SUMIFS(Tabla1[Avance_Med],Tabla1[Fecha],"&lt;="&amp;EV!$A363,Tabla1[nombre_actividad],EV!F$1),NA())</f>
        <v>#N/A</v>
      </c>
      <c r="G363" s="67"/>
      <c r="H363" s="110" t="e">
        <f ca="1">IF(TODAY()&gt;=$A363,SUMIFS(Tabla1[Avance_km],Tabla1[Fecha],"&lt;="&amp;EV!$A363-1,Tabla1[nombre_actividad],EV!H$1),NA())</f>
        <v>#N/A</v>
      </c>
      <c r="I363" s="228" t="e">
        <f ca="1">+C363*Catalogo!$F$19+EV!D363*Catalogo!$F$14+EV!E363*Catalogo!$F$16+EV!F363*Catalogo!$F$18</f>
        <v>#N/A</v>
      </c>
      <c r="J363" s="228" t="e">
        <f ca="1">IF(TODAY()&gt;=$A363,SUMIFS(Tabla1[EV],Tabla1[Fecha],"&lt;="&amp;A363,Tabla1[EV],"&gt;0"),NA())</f>
        <v>#N/A</v>
      </c>
      <c r="L363"/>
    </row>
    <row r="364" spans="1:12" x14ac:dyDescent="0.25">
      <c r="A364" s="62">
        <f t="shared" si="7"/>
        <v>46324</v>
      </c>
      <c r="B364" s="62"/>
      <c r="C364" s="110" t="e">
        <f ca="1">IF(TODAY()&gt;=$A364,SUMIFS(Tabla1[Avance_km],Tabla1[Fecha],"&lt;="&amp;EV!$A364,Tabla1[nombre_actividad],EV!C$1),NA())</f>
        <v>#N/A</v>
      </c>
      <c r="D364" s="110" t="e">
        <f ca="1">IF(TODAY()&gt;=$A364,SUMIFS(Tabla1[Avance_km],Tabla1[Fecha],"&lt;="&amp;EV!$A364,Tabla1[nombre_actividad],EV!D$1),NA())</f>
        <v>#N/A</v>
      </c>
      <c r="E364" s="110" t="e">
        <f ca="1">IF(TODAY()&gt;=$A364,SUMIFS(Tabla1[Avance_km],Tabla1[Fecha],"&lt;="&amp;EV!$A364,Tabla1[nombre_actividad],EV!E$1,Tabla1[Avance_km],"&gt;0"),NA())</f>
        <v>#N/A</v>
      </c>
      <c r="F364" s="67" t="e">
        <f ca="1">IF(TODAY()&gt;=$A364,SUMIFS(Tabla1[Avance_Med],Tabla1[Fecha],"&lt;="&amp;EV!$A364,Tabla1[nombre_actividad],EV!F$1),NA())</f>
        <v>#N/A</v>
      </c>
      <c r="G364" s="67"/>
      <c r="H364" s="110" t="e">
        <f ca="1">IF(TODAY()&gt;=$A364,SUMIFS(Tabla1[Avance_km],Tabla1[Fecha],"&lt;="&amp;EV!$A364-1,Tabla1[nombre_actividad],EV!H$1),NA())</f>
        <v>#N/A</v>
      </c>
      <c r="I364" s="228" t="e">
        <f ca="1">+C364*Catalogo!$F$19+EV!D364*Catalogo!$F$14+EV!E364*Catalogo!$F$16+EV!F364*Catalogo!$F$18</f>
        <v>#N/A</v>
      </c>
      <c r="J364" s="228" t="e">
        <f ca="1">IF(TODAY()&gt;=$A364,SUMIFS(Tabla1[EV],Tabla1[Fecha],"&lt;="&amp;A364,Tabla1[EV],"&gt;0"),NA())</f>
        <v>#N/A</v>
      </c>
      <c r="L364"/>
    </row>
    <row r="365" spans="1:12" x14ac:dyDescent="0.25">
      <c r="A365" s="62">
        <f t="shared" si="7"/>
        <v>46325</v>
      </c>
      <c r="B365" s="62"/>
      <c r="C365" s="110" t="e">
        <f ca="1">IF(TODAY()&gt;=$A365,SUMIFS(Tabla1[Avance_km],Tabla1[Fecha],"&lt;="&amp;EV!$A365,Tabla1[nombre_actividad],EV!C$1),NA())</f>
        <v>#N/A</v>
      </c>
      <c r="D365" s="110" t="e">
        <f ca="1">IF(TODAY()&gt;=$A365,SUMIFS(Tabla1[Avance_km],Tabla1[Fecha],"&lt;="&amp;EV!$A365,Tabla1[nombre_actividad],EV!D$1),NA())</f>
        <v>#N/A</v>
      </c>
      <c r="E365" s="110" t="e">
        <f ca="1">IF(TODAY()&gt;=$A365,SUMIFS(Tabla1[Avance_km],Tabla1[Fecha],"&lt;="&amp;EV!$A365,Tabla1[nombre_actividad],EV!E$1,Tabla1[Avance_km],"&gt;0"),NA())</f>
        <v>#N/A</v>
      </c>
      <c r="F365" s="67" t="e">
        <f ca="1">IF(TODAY()&gt;=$A365,SUMIFS(Tabla1[Avance_Med],Tabla1[Fecha],"&lt;="&amp;EV!$A365,Tabla1[nombre_actividad],EV!F$1),NA())</f>
        <v>#N/A</v>
      </c>
      <c r="G365" s="67"/>
      <c r="H365" s="110" t="e">
        <f ca="1">IF(TODAY()&gt;=$A365,SUMIFS(Tabla1[Avance_km],Tabla1[Fecha],"&lt;="&amp;EV!$A365-1,Tabla1[nombre_actividad],EV!H$1),NA())</f>
        <v>#N/A</v>
      </c>
      <c r="I365" s="228" t="e">
        <f ca="1">+C365*Catalogo!$F$19+EV!D365*Catalogo!$F$14+EV!E365*Catalogo!$F$16+EV!F365*Catalogo!$F$18</f>
        <v>#N/A</v>
      </c>
      <c r="J365" s="228" t="e">
        <f ca="1">IF(TODAY()&gt;=$A365,SUMIFS(Tabla1[EV],Tabla1[Fecha],"&lt;="&amp;A365,Tabla1[EV],"&gt;0"),NA())</f>
        <v>#N/A</v>
      </c>
      <c r="L365"/>
    </row>
    <row r="366" spans="1:12" x14ac:dyDescent="0.25">
      <c r="A366" s="62">
        <f t="shared" si="7"/>
        <v>46326</v>
      </c>
      <c r="B366" s="62"/>
      <c r="C366" s="110" t="e">
        <f ca="1">IF(TODAY()&gt;=$A366,SUMIFS(Tabla1[Avance_km],Tabla1[Fecha],"&lt;="&amp;EV!$A366,Tabla1[nombre_actividad],EV!C$1),NA())</f>
        <v>#N/A</v>
      </c>
      <c r="D366" s="110" t="e">
        <f ca="1">IF(TODAY()&gt;=$A366,SUMIFS(Tabla1[Avance_km],Tabla1[Fecha],"&lt;="&amp;EV!$A366,Tabla1[nombre_actividad],EV!D$1),NA())</f>
        <v>#N/A</v>
      </c>
      <c r="E366" s="110" t="e">
        <f ca="1">IF(TODAY()&gt;=$A366,SUMIFS(Tabla1[Avance_km],Tabla1[Fecha],"&lt;="&amp;EV!$A366,Tabla1[nombre_actividad],EV!E$1,Tabla1[Avance_km],"&gt;0"),NA())</f>
        <v>#N/A</v>
      </c>
      <c r="F366" s="67" t="e">
        <f ca="1">IF(TODAY()&gt;=$A366,SUMIFS(Tabla1[Avance_Med],Tabla1[Fecha],"&lt;="&amp;EV!$A366,Tabla1[nombre_actividad],EV!F$1),NA())</f>
        <v>#N/A</v>
      </c>
      <c r="G366" s="67"/>
      <c r="H366" s="110" t="e">
        <f ca="1">IF(TODAY()&gt;=$A366,SUMIFS(Tabla1[Avance_km],Tabla1[Fecha],"&lt;="&amp;EV!$A366-1,Tabla1[nombre_actividad],EV!H$1),NA())</f>
        <v>#N/A</v>
      </c>
      <c r="I366" s="228" t="e">
        <f ca="1">+C366*Catalogo!$F$19+EV!D366*Catalogo!$F$14+EV!E366*Catalogo!$F$16+EV!F366*Catalogo!$F$18</f>
        <v>#N/A</v>
      </c>
      <c r="J366" s="228" t="e">
        <f ca="1">IF(TODAY()&gt;=$A366,SUMIFS(Tabla1[EV],Tabla1[Fecha],"&lt;="&amp;A366,Tabla1[EV],"&gt;0"),NA())</f>
        <v>#N/A</v>
      </c>
      <c r="L366"/>
    </row>
    <row r="367" spans="1:12" x14ac:dyDescent="0.25">
      <c r="A367" s="62">
        <f t="shared" si="7"/>
        <v>46327</v>
      </c>
      <c r="B367" s="62"/>
      <c r="C367" s="110" t="e">
        <f ca="1">IF(TODAY()&gt;=$A367,SUMIFS(Tabla1[Avance_km],Tabla1[Fecha],"&lt;="&amp;EV!$A367,Tabla1[nombre_actividad],EV!C$1),NA())</f>
        <v>#N/A</v>
      </c>
      <c r="D367" s="110" t="e">
        <f ca="1">IF(TODAY()&gt;=$A367,SUMIFS(Tabla1[Avance_km],Tabla1[Fecha],"&lt;="&amp;EV!$A367,Tabla1[nombre_actividad],EV!D$1),NA())</f>
        <v>#N/A</v>
      </c>
      <c r="E367" s="110" t="e">
        <f ca="1">IF(TODAY()&gt;=$A367,SUMIFS(Tabla1[Avance_km],Tabla1[Fecha],"&lt;="&amp;EV!$A367,Tabla1[nombre_actividad],EV!E$1,Tabla1[Avance_km],"&gt;0"),NA())</f>
        <v>#N/A</v>
      </c>
      <c r="F367" s="67" t="e">
        <f ca="1">IF(TODAY()&gt;=$A367,SUMIFS(Tabla1[Avance_Med],Tabla1[Fecha],"&lt;="&amp;EV!$A367,Tabla1[nombre_actividad],EV!F$1),NA())</f>
        <v>#N/A</v>
      </c>
      <c r="G367" s="67"/>
      <c r="H367" s="110" t="e">
        <f ca="1">IF(TODAY()&gt;=$A367,SUMIFS(Tabla1[Avance_km],Tabla1[Fecha],"&lt;="&amp;EV!$A367-1,Tabla1[nombre_actividad],EV!H$1),NA())</f>
        <v>#N/A</v>
      </c>
      <c r="I367" s="228" t="e">
        <f ca="1">+C367*Catalogo!$F$19+EV!D367*Catalogo!$F$14+EV!E367*Catalogo!$F$16+EV!F367*Catalogo!$F$18</f>
        <v>#N/A</v>
      </c>
      <c r="J367" s="228" t="e">
        <f ca="1">IF(TODAY()&gt;=$A367,SUMIFS(Tabla1[EV],Tabla1[Fecha],"&lt;="&amp;A367,Tabla1[EV],"&gt;0"),NA())</f>
        <v>#N/A</v>
      </c>
      <c r="L367"/>
    </row>
    <row r="368" spans="1:12" x14ac:dyDescent="0.25">
      <c r="A368" s="62">
        <f t="shared" si="7"/>
        <v>46328</v>
      </c>
      <c r="B368" s="62"/>
      <c r="C368" s="110" t="e">
        <f ca="1">IF(TODAY()&gt;=$A368,SUMIFS(Tabla1[Avance_km],Tabla1[Fecha],"&lt;="&amp;EV!$A368,Tabla1[nombre_actividad],EV!C$1),NA())</f>
        <v>#N/A</v>
      </c>
      <c r="D368" s="110" t="e">
        <f ca="1">IF(TODAY()&gt;=$A368,SUMIFS(Tabla1[Avance_km],Tabla1[Fecha],"&lt;="&amp;EV!$A368,Tabla1[nombre_actividad],EV!D$1),NA())</f>
        <v>#N/A</v>
      </c>
      <c r="E368" s="110" t="e">
        <f ca="1">IF(TODAY()&gt;=$A368,SUMIFS(Tabla1[Avance_km],Tabla1[Fecha],"&lt;="&amp;EV!$A368,Tabla1[nombre_actividad],EV!E$1,Tabla1[Avance_km],"&gt;0"),NA())</f>
        <v>#N/A</v>
      </c>
      <c r="F368" s="67" t="e">
        <f ca="1">IF(TODAY()&gt;=$A368,SUMIFS(Tabla1[Avance_Med],Tabla1[Fecha],"&lt;="&amp;EV!$A368,Tabla1[nombre_actividad],EV!F$1),NA())</f>
        <v>#N/A</v>
      </c>
      <c r="G368" s="67"/>
      <c r="H368" s="110" t="e">
        <f ca="1">IF(TODAY()&gt;=$A368,SUMIFS(Tabla1[Avance_km],Tabla1[Fecha],"&lt;="&amp;EV!$A368-1,Tabla1[nombre_actividad],EV!H$1),NA())</f>
        <v>#N/A</v>
      </c>
      <c r="I368" s="228" t="e">
        <f ca="1">+C368*Catalogo!$F$19+EV!D368*Catalogo!$F$14+EV!E368*Catalogo!$F$16+EV!F368*Catalogo!$F$18</f>
        <v>#N/A</v>
      </c>
      <c r="J368" s="228" t="e">
        <f ca="1">IF(TODAY()&gt;=$A368,SUMIFS(Tabla1[EV],Tabla1[Fecha],"&lt;="&amp;A368,Tabla1[EV],"&gt;0"),NA())</f>
        <v>#N/A</v>
      </c>
      <c r="L368"/>
    </row>
    <row r="369" spans="1:12" x14ac:dyDescent="0.25">
      <c r="A369" s="62">
        <f t="shared" si="7"/>
        <v>46329</v>
      </c>
      <c r="B369" s="62"/>
      <c r="C369" s="110" t="e">
        <f ca="1">IF(TODAY()&gt;=$A369,SUMIFS(Tabla1[Avance_km],Tabla1[Fecha],"&lt;="&amp;EV!$A369,Tabla1[nombre_actividad],EV!C$1),NA())</f>
        <v>#N/A</v>
      </c>
      <c r="D369" s="110" t="e">
        <f ca="1">IF(TODAY()&gt;=$A369,SUMIFS(Tabla1[Avance_km],Tabla1[Fecha],"&lt;="&amp;EV!$A369,Tabla1[nombre_actividad],EV!D$1),NA())</f>
        <v>#N/A</v>
      </c>
      <c r="E369" s="110" t="e">
        <f ca="1">IF(TODAY()&gt;=$A369,SUMIFS(Tabla1[Avance_km],Tabla1[Fecha],"&lt;="&amp;EV!$A369,Tabla1[nombre_actividad],EV!E$1,Tabla1[Avance_km],"&gt;0"),NA())</f>
        <v>#N/A</v>
      </c>
      <c r="F369" s="67" t="e">
        <f ca="1">IF(TODAY()&gt;=$A369,SUMIFS(Tabla1[Avance_Med],Tabla1[Fecha],"&lt;="&amp;EV!$A369,Tabla1[nombre_actividad],EV!F$1),NA())</f>
        <v>#N/A</v>
      </c>
      <c r="G369" s="67"/>
      <c r="H369" s="110" t="e">
        <f ca="1">IF(TODAY()&gt;=$A369,SUMIFS(Tabla1[Avance_km],Tabla1[Fecha],"&lt;="&amp;EV!$A369-1,Tabla1[nombre_actividad],EV!H$1),NA())</f>
        <v>#N/A</v>
      </c>
      <c r="I369" s="228" t="e">
        <f ca="1">+C369*Catalogo!$F$19+EV!D369*Catalogo!$F$14+EV!E369*Catalogo!$F$16+EV!F369*Catalogo!$F$18</f>
        <v>#N/A</v>
      </c>
      <c r="J369" s="228" t="e">
        <f ca="1">IF(TODAY()&gt;=$A369,SUMIFS(Tabla1[EV],Tabla1[Fecha],"&lt;="&amp;A369,Tabla1[EV],"&gt;0"),NA())</f>
        <v>#N/A</v>
      </c>
      <c r="L369"/>
    </row>
    <row r="370" spans="1:12" x14ac:dyDescent="0.25">
      <c r="A370" s="62">
        <f t="shared" si="7"/>
        <v>46330</v>
      </c>
      <c r="B370" s="62"/>
      <c r="C370" s="110" t="e">
        <f ca="1">IF(TODAY()&gt;=$A370,SUMIFS(Tabla1[Avance_km],Tabla1[Fecha],"&lt;="&amp;EV!$A370,Tabla1[nombre_actividad],EV!C$1),NA())</f>
        <v>#N/A</v>
      </c>
      <c r="D370" s="110" t="e">
        <f ca="1">IF(TODAY()&gt;=$A370,SUMIFS(Tabla1[Avance_km],Tabla1[Fecha],"&lt;="&amp;EV!$A370,Tabla1[nombre_actividad],EV!D$1),NA())</f>
        <v>#N/A</v>
      </c>
      <c r="E370" s="110" t="e">
        <f ca="1">IF(TODAY()&gt;=$A370,SUMIFS(Tabla1[Avance_km],Tabla1[Fecha],"&lt;="&amp;EV!$A370,Tabla1[nombre_actividad],EV!E$1,Tabla1[Avance_km],"&gt;0"),NA())</f>
        <v>#N/A</v>
      </c>
      <c r="F370" s="67" t="e">
        <f ca="1">IF(TODAY()&gt;=$A370,SUMIFS(Tabla1[Avance_Med],Tabla1[Fecha],"&lt;="&amp;EV!$A370,Tabla1[nombre_actividad],EV!F$1),NA())</f>
        <v>#N/A</v>
      </c>
      <c r="G370" s="67"/>
      <c r="H370" s="110" t="e">
        <f ca="1">IF(TODAY()&gt;=$A370,SUMIFS(Tabla1[Avance_km],Tabla1[Fecha],"&lt;="&amp;EV!$A370-1,Tabla1[nombre_actividad],EV!H$1),NA())</f>
        <v>#N/A</v>
      </c>
      <c r="I370" s="228" t="e">
        <f ca="1">+C370*Catalogo!$F$19+EV!D370*Catalogo!$F$14+EV!E370*Catalogo!$F$16+EV!F370*Catalogo!$F$18</f>
        <v>#N/A</v>
      </c>
      <c r="J370" s="228" t="e">
        <f ca="1">IF(TODAY()&gt;=$A370,SUMIFS(Tabla1[EV],Tabla1[Fecha],"&lt;="&amp;A370,Tabla1[EV],"&gt;0"),NA())</f>
        <v>#N/A</v>
      </c>
      <c r="L370"/>
    </row>
    <row r="371" spans="1:12" x14ac:dyDescent="0.25">
      <c r="A371" s="62">
        <f t="shared" si="7"/>
        <v>46331</v>
      </c>
      <c r="B371" s="62"/>
      <c r="C371" s="110" t="e">
        <f ca="1">IF(TODAY()&gt;=$A371,SUMIFS(Tabla1[Avance_km],Tabla1[Fecha],"&lt;="&amp;EV!$A371,Tabla1[nombre_actividad],EV!C$1),NA())</f>
        <v>#N/A</v>
      </c>
      <c r="D371" s="110" t="e">
        <f ca="1">IF(TODAY()&gt;=$A371,SUMIFS(Tabla1[Avance_km],Tabla1[Fecha],"&lt;="&amp;EV!$A371,Tabla1[nombre_actividad],EV!D$1),NA())</f>
        <v>#N/A</v>
      </c>
      <c r="E371" s="110" t="e">
        <f ca="1">IF(TODAY()&gt;=$A371,SUMIFS(Tabla1[Avance_km],Tabla1[Fecha],"&lt;="&amp;EV!$A371,Tabla1[nombre_actividad],EV!E$1,Tabla1[Avance_km],"&gt;0"),NA())</f>
        <v>#N/A</v>
      </c>
      <c r="F371" s="67" t="e">
        <f ca="1">IF(TODAY()&gt;=$A371,SUMIFS(Tabla1[Avance_Med],Tabla1[Fecha],"&lt;="&amp;EV!$A371,Tabla1[nombre_actividad],EV!F$1),NA())</f>
        <v>#N/A</v>
      </c>
      <c r="G371" s="67"/>
      <c r="H371" s="110" t="e">
        <f ca="1">IF(TODAY()&gt;=$A371,SUMIFS(Tabla1[Avance_km],Tabla1[Fecha],"&lt;="&amp;EV!$A371-1,Tabla1[nombre_actividad],EV!H$1),NA())</f>
        <v>#N/A</v>
      </c>
      <c r="I371" s="228" t="e">
        <f ca="1">+C371*Catalogo!$F$19+EV!D371*Catalogo!$F$14+EV!E371*Catalogo!$F$16+EV!F371*Catalogo!$F$18</f>
        <v>#N/A</v>
      </c>
      <c r="J371" s="228" t="e">
        <f ca="1">IF(TODAY()&gt;=$A371,SUMIFS(Tabla1[EV],Tabla1[Fecha],"&lt;="&amp;A371,Tabla1[EV],"&gt;0"),NA())</f>
        <v>#N/A</v>
      </c>
      <c r="L371"/>
    </row>
    <row r="372" spans="1:12" x14ac:dyDescent="0.25">
      <c r="A372" s="62">
        <f t="shared" si="7"/>
        <v>46332</v>
      </c>
      <c r="B372" s="62"/>
      <c r="C372" s="110" t="e">
        <f ca="1">IF(TODAY()&gt;=$A372,SUMIFS(Tabla1[Avance_km],Tabla1[Fecha],"&lt;="&amp;EV!$A372,Tabla1[nombre_actividad],EV!C$1),NA())</f>
        <v>#N/A</v>
      </c>
      <c r="D372" s="110" t="e">
        <f ca="1">IF(TODAY()&gt;=$A372,SUMIFS(Tabla1[Avance_km],Tabla1[Fecha],"&lt;="&amp;EV!$A372,Tabla1[nombre_actividad],EV!D$1),NA())</f>
        <v>#N/A</v>
      </c>
      <c r="E372" s="110" t="e">
        <f ca="1">IF(TODAY()&gt;=$A372,SUMIFS(Tabla1[Avance_km],Tabla1[Fecha],"&lt;="&amp;EV!$A372,Tabla1[nombre_actividad],EV!E$1,Tabla1[Avance_km],"&gt;0"),NA())</f>
        <v>#N/A</v>
      </c>
      <c r="F372" s="67" t="e">
        <f ca="1">IF(TODAY()&gt;=$A372,SUMIFS(Tabla1[Avance_Med],Tabla1[Fecha],"&lt;="&amp;EV!$A372,Tabla1[nombre_actividad],EV!F$1),NA())</f>
        <v>#N/A</v>
      </c>
      <c r="G372" s="67"/>
      <c r="H372" s="110" t="e">
        <f ca="1">IF(TODAY()&gt;=$A372,SUMIFS(Tabla1[Avance_km],Tabla1[Fecha],"&lt;="&amp;EV!$A372-1,Tabla1[nombre_actividad],EV!H$1),NA())</f>
        <v>#N/A</v>
      </c>
      <c r="I372" s="228" t="e">
        <f ca="1">+C372*Catalogo!$F$19+EV!D372*Catalogo!$F$14+EV!E372*Catalogo!$F$16+EV!F372*Catalogo!$F$18</f>
        <v>#N/A</v>
      </c>
      <c r="J372" s="228" t="e">
        <f ca="1">IF(TODAY()&gt;=$A372,SUMIFS(Tabla1[EV],Tabla1[Fecha],"&lt;="&amp;A372,Tabla1[EV],"&gt;0"),NA())</f>
        <v>#N/A</v>
      </c>
      <c r="L372"/>
    </row>
    <row r="373" spans="1:12" x14ac:dyDescent="0.25">
      <c r="A373" s="62">
        <f t="shared" si="7"/>
        <v>46333</v>
      </c>
      <c r="B373" s="62"/>
      <c r="C373" s="110" t="e">
        <f ca="1">IF(TODAY()&gt;=$A373,SUMIFS(Tabla1[Avance_km],Tabla1[Fecha],"&lt;="&amp;EV!$A373,Tabla1[nombre_actividad],EV!C$1),NA())</f>
        <v>#N/A</v>
      </c>
      <c r="D373" s="110" t="e">
        <f ca="1">IF(TODAY()&gt;=$A373,SUMIFS(Tabla1[Avance_km],Tabla1[Fecha],"&lt;="&amp;EV!$A373,Tabla1[nombre_actividad],EV!D$1),NA())</f>
        <v>#N/A</v>
      </c>
      <c r="E373" s="110" t="e">
        <f ca="1">IF(TODAY()&gt;=$A373,SUMIFS(Tabla1[Avance_km],Tabla1[Fecha],"&lt;="&amp;EV!$A373,Tabla1[nombre_actividad],EV!E$1,Tabla1[Avance_km],"&gt;0"),NA())</f>
        <v>#N/A</v>
      </c>
      <c r="F373" s="67" t="e">
        <f ca="1">IF(TODAY()&gt;=$A373,SUMIFS(Tabla1[Avance_Med],Tabla1[Fecha],"&lt;="&amp;EV!$A373,Tabla1[nombre_actividad],EV!F$1),NA())</f>
        <v>#N/A</v>
      </c>
      <c r="G373" s="67"/>
      <c r="H373" s="110" t="e">
        <f ca="1">IF(TODAY()&gt;=$A373,SUMIFS(Tabla1[Avance_km],Tabla1[Fecha],"&lt;="&amp;EV!$A373-1,Tabla1[nombre_actividad],EV!H$1),NA())</f>
        <v>#N/A</v>
      </c>
      <c r="I373" s="228" t="e">
        <f ca="1">+C373*Catalogo!$F$19+EV!D373*Catalogo!$F$14+EV!E373*Catalogo!$F$16+EV!F373*Catalogo!$F$18</f>
        <v>#N/A</v>
      </c>
      <c r="J373" s="228" t="e">
        <f ca="1">IF(TODAY()&gt;=$A373,SUMIFS(Tabla1[EV],Tabla1[Fecha],"&lt;="&amp;A373,Tabla1[EV],"&gt;0"),NA())</f>
        <v>#N/A</v>
      </c>
      <c r="L373"/>
    </row>
    <row r="374" spans="1:12" x14ac:dyDescent="0.25">
      <c r="A374" s="62">
        <f t="shared" si="7"/>
        <v>46334</v>
      </c>
      <c r="B374" s="62"/>
      <c r="C374" s="110" t="e">
        <f ca="1">IF(TODAY()&gt;=$A374,SUMIFS(Tabla1[Avance_km],Tabla1[Fecha],"&lt;="&amp;EV!$A374,Tabla1[nombre_actividad],EV!C$1),NA())</f>
        <v>#N/A</v>
      </c>
      <c r="D374" s="110" t="e">
        <f ca="1">IF(TODAY()&gt;=$A374,SUMIFS(Tabla1[Avance_km],Tabla1[Fecha],"&lt;="&amp;EV!$A374,Tabla1[nombre_actividad],EV!D$1),NA())</f>
        <v>#N/A</v>
      </c>
      <c r="E374" s="110" t="e">
        <f ca="1">IF(TODAY()&gt;=$A374,SUMIFS(Tabla1[Avance_km],Tabla1[Fecha],"&lt;="&amp;EV!$A374,Tabla1[nombre_actividad],EV!E$1,Tabla1[Avance_km],"&gt;0"),NA())</f>
        <v>#N/A</v>
      </c>
      <c r="F374" s="67" t="e">
        <f ca="1">IF(TODAY()&gt;=$A374,SUMIFS(Tabla1[Avance_Med],Tabla1[Fecha],"&lt;="&amp;EV!$A374,Tabla1[nombre_actividad],EV!F$1),NA())</f>
        <v>#N/A</v>
      </c>
      <c r="G374" s="67"/>
      <c r="H374" s="110" t="e">
        <f ca="1">IF(TODAY()&gt;=$A374,SUMIFS(Tabla1[Avance_km],Tabla1[Fecha],"&lt;="&amp;EV!$A374-1,Tabla1[nombre_actividad],EV!H$1),NA())</f>
        <v>#N/A</v>
      </c>
      <c r="I374" s="228" t="e">
        <f ca="1">+C374*Catalogo!$F$19+EV!D374*Catalogo!$F$14+EV!E374*Catalogo!$F$16+EV!F374*Catalogo!$F$18</f>
        <v>#N/A</v>
      </c>
      <c r="J374" s="228" t="e">
        <f ca="1">IF(TODAY()&gt;=$A374,SUMIFS(Tabla1[EV],Tabla1[Fecha],"&lt;="&amp;A374,Tabla1[EV],"&gt;0"),NA())</f>
        <v>#N/A</v>
      </c>
      <c r="L374"/>
    </row>
    <row r="375" spans="1:12" x14ac:dyDescent="0.25">
      <c r="A375" s="62">
        <f t="shared" si="7"/>
        <v>46335</v>
      </c>
      <c r="B375" s="62"/>
      <c r="C375" s="110" t="e">
        <f ca="1">IF(TODAY()&gt;=$A375,SUMIFS(Tabla1[Avance_km],Tabla1[Fecha],"&lt;="&amp;EV!$A375,Tabla1[nombre_actividad],EV!C$1),NA())</f>
        <v>#N/A</v>
      </c>
      <c r="D375" s="110" t="e">
        <f ca="1">IF(TODAY()&gt;=$A375,SUMIFS(Tabla1[Avance_km],Tabla1[Fecha],"&lt;="&amp;EV!$A375,Tabla1[nombre_actividad],EV!D$1),NA())</f>
        <v>#N/A</v>
      </c>
      <c r="E375" s="110" t="e">
        <f ca="1">IF(TODAY()&gt;=$A375,SUMIFS(Tabla1[Avance_km],Tabla1[Fecha],"&lt;="&amp;EV!$A375,Tabla1[nombre_actividad],EV!E$1,Tabla1[Avance_km],"&gt;0"),NA())</f>
        <v>#N/A</v>
      </c>
      <c r="F375" s="67" t="e">
        <f ca="1">IF(TODAY()&gt;=$A375,SUMIFS(Tabla1[Avance_Med],Tabla1[Fecha],"&lt;="&amp;EV!$A375,Tabla1[nombre_actividad],EV!F$1),NA())</f>
        <v>#N/A</v>
      </c>
      <c r="G375" s="67"/>
      <c r="H375" s="110" t="e">
        <f ca="1">IF(TODAY()&gt;=$A375,SUMIFS(Tabla1[Avance_km],Tabla1[Fecha],"&lt;="&amp;EV!$A375-1,Tabla1[nombre_actividad],EV!H$1),NA())</f>
        <v>#N/A</v>
      </c>
      <c r="I375" s="228" t="e">
        <f ca="1">+C375*Catalogo!$F$19+EV!D375*Catalogo!$F$14+EV!E375*Catalogo!$F$16+EV!F375*Catalogo!$F$18</f>
        <v>#N/A</v>
      </c>
      <c r="J375" s="228" t="e">
        <f ca="1">IF(TODAY()&gt;=$A375,SUMIFS(Tabla1[EV],Tabla1[Fecha],"&lt;="&amp;A375,Tabla1[EV],"&gt;0"),NA())</f>
        <v>#N/A</v>
      </c>
      <c r="L375"/>
    </row>
    <row r="376" spans="1:12" x14ac:dyDescent="0.25">
      <c r="A376" s="62">
        <f t="shared" si="7"/>
        <v>46336</v>
      </c>
      <c r="B376" s="62"/>
      <c r="C376" s="110" t="e">
        <f ca="1">IF(TODAY()&gt;=$A376,SUMIFS(Tabla1[Avance_km],Tabla1[Fecha],"&lt;="&amp;EV!$A376,Tabla1[nombre_actividad],EV!C$1),NA())</f>
        <v>#N/A</v>
      </c>
      <c r="D376" s="110" t="e">
        <f ca="1">IF(TODAY()&gt;=$A376,SUMIFS(Tabla1[Avance_km],Tabla1[Fecha],"&lt;="&amp;EV!$A376,Tabla1[nombre_actividad],EV!D$1),NA())</f>
        <v>#N/A</v>
      </c>
      <c r="E376" s="110" t="e">
        <f ca="1">IF(TODAY()&gt;=$A376,SUMIFS(Tabla1[Avance_km],Tabla1[Fecha],"&lt;="&amp;EV!$A376,Tabla1[nombre_actividad],EV!E$1,Tabla1[Avance_km],"&gt;0"),NA())</f>
        <v>#N/A</v>
      </c>
      <c r="F376" s="67" t="e">
        <f ca="1">IF(TODAY()&gt;=$A376,SUMIFS(Tabla1[Avance_Med],Tabla1[Fecha],"&lt;="&amp;EV!$A376,Tabla1[nombre_actividad],EV!F$1),NA())</f>
        <v>#N/A</v>
      </c>
      <c r="G376" s="67"/>
      <c r="H376" s="110" t="e">
        <f ca="1">IF(TODAY()&gt;=$A376,SUMIFS(Tabla1[Avance_km],Tabla1[Fecha],"&lt;="&amp;EV!$A376-1,Tabla1[nombre_actividad],EV!H$1),NA())</f>
        <v>#N/A</v>
      </c>
      <c r="I376" s="228" t="e">
        <f ca="1">+C376*Catalogo!$F$19+EV!D376*Catalogo!$F$14+EV!E376*Catalogo!$F$16+EV!F376*Catalogo!$F$18</f>
        <v>#N/A</v>
      </c>
      <c r="J376" s="228" t="e">
        <f ca="1">IF(TODAY()&gt;=$A376,SUMIFS(Tabla1[EV],Tabla1[Fecha],"&lt;="&amp;A376,Tabla1[EV],"&gt;0"),NA())</f>
        <v>#N/A</v>
      </c>
      <c r="L376"/>
    </row>
    <row r="377" spans="1:12" x14ac:dyDescent="0.25">
      <c r="A377" s="62">
        <f t="shared" si="7"/>
        <v>46337</v>
      </c>
      <c r="B377" s="62"/>
      <c r="C377" s="110" t="e">
        <f ca="1">IF(TODAY()&gt;=$A377,SUMIFS(Tabla1[Avance_km],Tabla1[Fecha],"&lt;="&amp;EV!$A377,Tabla1[nombre_actividad],EV!C$1),NA())</f>
        <v>#N/A</v>
      </c>
      <c r="D377" s="110" t="e">
        <f ca="1">IF(TODAY()&gt;=$A377,SUMIFS(Tabla1[Avance_km],Tabla1[Fecha],"&lt;="&amp;EV!$A377,Tabla1[nombre_actividad],EV!D$1),NA())</f>
        <v>#N/A</v>
      </c>
      <c r="E377" s="110" t="e">
        <f ca="1">IF(TODAY()&gt;=$A377,SUMIFS(Tabla1[Avance_km],Tabla1[Fecha],"&lt;="&amp;EV!$A377,Tabla1[nombre_actividad],EV!E$1,Tabla1[Avance_km],"&gt;0"),NA())</f>
        <v>#N/A</v>
      </c>
      <c r="F377" s="67" t="e">
        <f ca="1">IF(TODAY()&gt;=$A377,SUMIFS(Tabla1[Avance_Med],Tabla1[Fecha],"&lt;="&amp;EV!$A377,Tabla1[nombre_actividad],EV!F$1),NA())</f>
        <v>#N/A</v>
      </c>
      <c r="G377" s="67"/>
      <c r="H377" s="110" t="e">
        <f ca="1">IF(TODAY()&gt;=$A377,SUMIFS(Tabla1[Avance_km],Tabla1[Fecha],"&lt;="&amp;EV!$A377-1,Tabla1[nombre_actividad],EV!H$1),NA())</f>
        <v>#N/A</v>
      </c>
      <c r="I377" s="228" t="e">
        <f ca="1">+C377*Catalogo!$F$19+EV!D377*Catalogo!$F$14+EV!E377*Catalogo!$F$16+EV!F377*Catalogo!$F$18</f>
        <v>#N/A</v>
      </c>
      <c r="J377" s="228" t="e">
        <f ca="1">IF(TODAY()&gt;=$A377,SUMIFS(Tabla1[EV],Tabla1[Fecha],"&lt;="&amp;A377,Tabla1[EV],"&gt;0"),NA())</f>
        <v>#N/A</v>
      </c>
      <c r="L377"/>
    </row>
    <row r="378" spans="1:12" x14ac:dyDescent="0.25">
      <c r="A378" s="62">
        <f t="shared" si="7"/>
        <v>46338</v>
      </c>
      <c r="B378" s="62"/>
      <c r="C378" s="110" t="e">
        <f ca="1">IF(TODAY()&gt;=$A378,SUMIFS(Tabla1[Avance_km],Tabla1[Fecha],"&lt;="&amp;EV!$A378,Tabla1[nombre_actividad],EV!C$1),NA())</f>
        <v>#N/A</v>
      </c>
      <c r="D378" s="110" t="e">
        <f ca="1">IF(TODAY()&gt;=$A378,SUMIFS(Tabla1[Avance_km],Tabla1[Fecha],"&lt;="&amp;EV!$A378,Tabla1[nombre_actividad],EV!D$1),NA())</f>
        <v>#N/A</v>
      </c>
      <c r="E378" s="110" t="e">
        <f ca="1">IF(TODAY()&gt;=$A378,SUMIFS(Tabla1[Avance_km],Tabla1[Fecha],"&lt;="&amp;EV!$A378,Tabla1[nombre_actividad],EV!E$1,Tabla1[Avance_km],"&gt;0"),NA())</f>
        <v>#N/A</v>
      </c>
      <c r="F378" s="67" t="e">
        <f ca="1">IF(TODAY()&gt;=$A378,SUMIFS(Tabla1[Avance_Med],Tabla1[Fecha],"&lt;="&amp;EV!$A378,Tabla1[nombre_actividad],EV!F$1),NA())</f>
        <v>#N/A</v>
      </c>
      <c r="G378" s="67"/>
      <c r="H378" s="110" t="e">
        <f ca="1">IF(TODAY()&gt;=$A378,SUMIFS(Tabla1[Avance_km],Tabla1[Fecha],"&lt;="&amp;EV!$A378-1,Tabla1[nombre_actividad],EV!H$1),NA())</f>
        <v>#N/A</v>
      </c>
      <c r="I378" s="228" t="e">
        <f ca="1">+C378*Catalogo!$F$19+EV!D378*Catalogo!$F$14+EV!E378*Catalogo!$F$16+EV!F378*Catalogo!$F$18</f>
        <v>#N/A</v>
      </c>
      <c r="J378" s="228" t="e">
        <f ca="1">IF(TODAY()&gt;=$A378,SUMIFS(Tabla1[EV],Tabla1[Fecha],"&lt;="&amp;A378,Tabla1[EV],"&gt;0"),NA())</f>
        <v>#N/A</v>
      </c>
      <c r="L378"/>
    </row>
    <row r="379" spans="1:12" x14ac:dyDescent="0.25">
      <c r="A379" s="62">
        <f t="shared" si="7"/>
        <v>46339</v>
      </c>
      <c r="B379" s="62"/>
      <c r="C379" s="110" t="e">
        <f ca="1">IF(TODAY()&gt;=$A379,SUMIFS(Tabla1[Avance_km],Tabla1[Fecha],"&lt;="&amp;EV!$A379,Tabla1[nombre_actividad],EV!C$1),NA())</f>
        <v>#N/A</v>
      </c>
      <c r="D379" s="110" t="e">
        <f ca="1">IF(TODAY()&gt;=$A379,SUMIFS(Tabla1[Avance_km],Tabla1[Fecha],"&lt;="&amp;EV!$A379,Tabla1[nombre_actividad],EV!D$1),NA())</f>
        <v>#N/A</v>
      </c>
      <c r="E379" s="110" t="e">
        <f ca="1">IF(TODAY()&gt;=$A379,SUMIFS(Tabla1[Avance_km],Tabla1[Fecha],"&lt;="&amp;EV!$A379,Tabla1[nombre_actividad],EV!E$1,Tabla1[Avance_km],"&gt;0"),NA())</f>
        <v>#N/A</v>
      </c>
      <c r="F379" s="67" t="e">
        <f ca="1">IF(TODAY()&gt;=$A379,SUMIFS(Tabla1[Avance_Med],Tabla1[Fecha],"&lt;="&amp;EV!$A379,Tabla1[nombre_actividad],EV!F$1),NA())</f>
        <v>#N/A</v>
      </c>
      <c r="G379" s="67"/>
      <c r="H379" s="110" t="e">
        <f ca="1">IF(TODAY()&gt;=$A379,SUMIFS(Tabla1[Avance_km],Tabla1[Fecha],"&lt;="&amp;EV!$A379-1,Tabla1[nombre_actividad],EV!H$1),NA())</f>
        <v>#N/A</v>
      </c>
      <c r="I379" s="228" t="e">
        <f ca="1">+C379*Catalogo!$F$19+EV!D379*Catalogo!$F$14+EV!E379*Catalogo!$F$16+EV!F379*Catalogo!$F$18</f>
        <v>#N/A</v>
      </c>
      <c r="J379" s="228" t="e">
        <f ca="1">IF(TODAY()&gt;=$A379,SUMIFS(Tabla1[EV],Tabla1[Fecha],"&lt;="&amp;A379,Tabla1[EV],"&gt;0"),NA())</f>
        <v>#N/A</v>
      </c>
      <c r="L379"/>
    </row>
    <row r="380" spans="1:12" x14ac:dyDescent="0.25">
      <c r="A380" s="62">
        <f t="shared" si="7"/>
        <v>46340</v>
      </c>
      <c r="B380" s="62"/>
      <c r="C380" s="110" t="e">
        <f ca="1">IF(TODAY()&gt;=$A380,SUMIFS(Tabla1[Avance_km],Tabla1[Fecha],"&lt;="&amp;EV!$A380,Tabla1[nombre_actividad],EV!C$1),NA())</f>
        <v>#N/A</v>
      </c>
      <c r="D380" s="110" t="e">
        <f ca="1">IF(TODAY()&gt;=$A380,SUMIFS(Tabla1[Avance_km],Tabla1[Fecha],"&lt;="&amp;EV!$A380,Tabla1[nombre_actividad],EV!D$1),NA())</f>
        <v>#N/A</v>
      </c>
      <c r="E380" s="110" t="e">
        <f ca="1">IF(TODAY()&gt;=$A380,SUMIFS(Tabla1[Avance_km],Tabla1[Fecha],"&lt;="&amp;EV!$A380,Tabla1[nombre_actividad],EV!E$1,Tabla1[Avance_km],"&gt;0"),NA())</f>
        <v>#N/A</v>
      </c>
      <c r="F380" s="67" t="e">
        <f ca="1">IF(TODAY()&gt;=$A380,SUMIFS(Tabla1[Avance_Med],Tabla1[Fecha],"&lt;="&amp;EV!$A380,Tabla1[nombre_actividad],EV!F$1),NA())</f>
        <v>#N/A</v>
      </c>
      <c r="G380" s="67"/>
      <c r="H380" s="110" t="e">
        <f ca="1">IF(TODAY()&gt;=$A380,SUMIFS(Tabla1[Avance_km],Tabla1[Fecha],"&lt;="&amp;EV!$A380-1,Tabla1[nombre_actividad],EV!H$1),NA())</f>
        <v>#N/A</v>
      </c>
      <c r="I380" s="228" t="e">
        <f ca="1">+C380*Catalogo!$F$19+EV!D380*Catalogo!$F$14+EV!E380*Catalogo!$F$16+EV!F380*Catalogo!$F$18</f>
        <v>#N/A</v>
      </c>
      <c r="J380" s="228" t="e">
        <f ca="1">IF(TODAY()&gt;=$A380,SUMIFS(Tabla1[EV],Tabla1[Fecha],"&lt;="&amp;A380,Tabla1[EV],"&gt;0"),NA())</f>
        <v>#N/A</v>
      </c>
      <c r="L380"/>
    </row>
    <row r="381" spans="1:12" x14ac:dyDescent="0.25">
      <c r="A381" s="62">
        <f t="shared" si="7"/>
        <v>46341</v>
      </c>
      <c r="B381" s="62"/>
      <c r="C381" s="110" t="e">
        <f ca="1">IF(TODAY()&gt;=$A381,SUMIFS(Tabla1[Avance_km],Tabla1[Fecha],"&lt;="&amp;EV!$A381,Tabla1[nombre_actividad],EV!C$1),NA())</f>
        <v>#N/A</v>
      </c>
      <c r="D381" s="110" t="e">
        <f ca="1">IF(TODAY()&gt;=$A381,SUMIFS(Tabla1[Avance_km],Tabla1[Fecha],"&lt;="&amp;EV!$A381,Tabla1[nombre_actividad],EV!D$1),NA())</f>
        <v>#N/A</v>
      </c>
      <c r="E381" s="110" t="e">
        <f ca="1">IF(TODAY()&gt;=$A381,SUMIFS(Tabla1[Avance_km],Tabla1[Fecha],"&lt;="&amp;EV!$A381,Tabla1[nombre_actividad],EV!E$1,Tabla1[Avance_km],"&gt;0"),NA())</f>
        <v>#N/A</v>
      </c>
      <c r="F381" s="67" t="e">
        <f ca="1">IF(TODAY()&gt;=$A381,SUMIFS(Tabla1[Avance_Med],Tabla1[Fecha],"&lt;="&amp;EV!$A381,Tabla1[nombre_actividad],EV!F$1),NA())</f>
        <v>#N/A</v>
      </c>
      <c r="G381" s="67"/>
      <c r="H381" s="110" t="e">
        <f ca="1">IF(TODAY()&gt;=$A381,SUMIFS(Tabla1[Avance_km],Tabla1[Fecha],"&lt;="&amp;EV!$A381-1,Tabla1[nombre_actividad],EV!H$1),NA())</f>
        <v>#N/A</v>
      </c>
      <c r="I381" s="228" t="e">
        <f ca="1">+C381*Catalogo!$F$19+EV!D381*Catalogo!$F$14+EV!E381*Catalogo!$F$16+EV!F381*Catalogo!$F$18</f>
        <v>#N/A</v>
      </c>
      <c r="J381" s="228" t="e">
        <f ca="1">IF(TODAY()&gt;=$A381,SUMIFS(Tabla1[EV],Tabla1[Fecha],"&lt;="&amp;A381,Tabla1[EV],"&gt;0"),NA())</f>
        <v>#N/A</v>
      </c>
      <c r="L381"/>
    </row>
    <row r="382" spans="1:12" x14ac:dyDescent="0.25">
      <c r="A382" s="62">
        <f t="shared" si="7"/>
        <v>46342</v>
      </c>
      <c r="B382" s="62"/>
      <c r="C382" s="110" t="e">
        <f ca="1">IF(TODAY()&gt;=$A382,SUMIFS(Tabla1[Avance_km],Tabla1[Fecha],"&lt;="&amp;EV!$A382,Tabla1[nombre_actividad],EV!C$1),NA())</f>
        <v>#N/A</v>
      </c>
      <c r="D382" s="110" t="e">
        <f ca="1">IF(TODAY()&gt;=$A382,SUMIFS(Tabla1[Avance_km],Tabla1[Fecha],"&lt;="&amp;EV!$A382,Tabla1[nombre_actividad],EV!D$1),NA())</f>
        <v>#N/A</v>
      </c>
      <c r="E382" s="110" t="e">
        <f ca="1">IF(TODAY()&gt;=$A382,SUMIFS(Tabla1[Avance_km],Tabla1[Fecha],"&lt;="&amp;EV!$A382,Tabla1[nombre_actividad],EV!E$1,Tabla1[Avance_km],"&gt;0"),NA())</f>
        <v>#N/A</v>
      </c>
      <c r="F382" s="67" t="e">
        <f ca="1">IF(TODAY()&gt;=$A382,SUMIFS(Tabla1[Avance_Med],Tabla1[Fecha],"&lt;="&amp;EV!$A382,Tabla1[nombre_actividad],EV!F$1),NA())</f>
        <v>#N/A</v>
      </c>
      <c r="G382" s="67"/>
      <c r="H382" s="110" t="e">
        <f ca="1">IF(TODAY()&gt;=$A382,SUMIFS(Tabla1[Avance_km],Tabla1[Fecha],"&lt;="&amp;EV!$A382-1,Tabla1[nombre_actividad],EV!H$1),NA())</f>
        <v>#N/A</v>
      </c>
      <c r="I382" s="228" t="e">
        <f ca="1">+C382*Catalogo!$F$19+EV!D382*Catalogo!$F$14+EV!E382*Catalogo!$F$16+EV!F382*Catalogo!$F$18</f>
        <v>#N/A</v>
      </c>
      <c r="J382" s="228" t="e">
        <f ca="1">IF(TODAY()&gt;=$A382,SUMIFS(Tabla1[EV],Tabla1[Fecha],"&lt;="&amp;A382,Tabla1[EV],"&gt;0"),NA())</f>
        <v>#N/A</v>
      </c>
      <c r="L382"/>
    </row>
    <row r="383" spans="1:12" x14ac:dyDescent="0.25">
      <c r="A383" s="62">
        <f t="shared" si="7"/>
        <v>46343</v>
      </c>
      <c r="B383" s="62"/>
      <c r="C383" s="110" t="e">
        <f ca="1">IF(TODAY()&gt;=$A383,SUMIFS(Tabla1[Avance_km],Tabla1[Fecha],"&lt;="&amp;EV!$A383,Tabla1[nombre_actividad],EV!C$1),NA())</f>
        <v>#N/A</v>
      </c>
      <c r="D383" s="110" t="e">
        <f ca="1">IF(TODAY()&gt;=$A383,SUMIFS(Tabla1[Avance_km],Tabla1[Fecha],"&lt;="&amp;EV!$A383,Tabla1[nombre_actividad],EV!D$1),NA())</f>
        <v>#N/A</v>
      </c>
      <c r="E383" s="110" t="e">
        <f ca="1">IF(TODAY()&gt;=$A383,SUMIFS(Tabla1[Avance_km],Tabla1[Fecha],"&lt;="&amp;EV!$A383,Tabla1[nombre_actividad],EV!E$1,Tabla1[Avance_km],"&gt;0"),NA())</f>
        <v>#N/A</v>
      </c>
      <c r="F383" s="67" t="e">
        <f ca="1">IF(TODAY()&gt;=$A383,SUMIFS(Tabla1[Avance_Med],Tabla1[Fecha],"&lt;="&amp;EV!$A383,Tabla1[nombre_actividad],EV!F$1),NA())</f>
        <v>#N/A</v>
      </c>
      <c r="G383" s="67"/>
      <c r="H383" s="110" t="e">
        <f ca="1">IF(TODAY()&gt;=$A383,SUMIFS(Tabla1[Avance_km],Tabla1[Fecha],"&lt;="&amp;EV!$A383-1,Tabla1[nombre_actividad],EV!H$1),NA())</f>
        <v>#N/A</v>
      </c>
      <c r="I383" s="228" t="e">
        <f ca="1">+C383*Catalogo!$F$19+EV!D383*Catalogo!$F$14+EV!E383*Catalogo!$F$16+EV!F383*Catalogo!$F$18</f>
        <v>#N/A</v>
      </c>
      <c r="J383" s="228" t="e">
        <f ca="1">IF(TODAY()&gt;=$A383,SUMIFS(Tabla1[EV],Tabla1[Fecha],"&lt;="&amp;A383,Tabla1[EV],"&gt;0"),NA())</f>
        <v>#N/A</v>
      </c>
      <c r="L383"/>
    </row>
    <row r="384" spans="1:12" x14ac:dyDescent="0.25">
      <c r="A384" s="62">
        <f t="shared" si="7"/>
        <v>46344</v>
      </c>
      <c r="B384" s="62"/>
      <c r="C384" s="110" t="e">
        <f ca="1">IF(TODAY()&gt;=$A384,SUMIFS(Tabla1[Avance_km],Tabla1[Fecha],"&lt;="&amp;EV!$A384,Tabla1[nombre_actividad],EV!C$1),NA())</f>
        <v>#N/A</v>
      </c>
      <c r="D384" s="110" t="e">
        <f ca="1">IF(TODAY()&gt;=$A384,SUMIFS(Tabla1[Avance_km],Tabla1[Fecha],"&lt;="&amp;EV!$A384,Tabla1[nombre_actividad],EV!D$1),NA())</f>
        <v>#N/A</v>
      </c>
      <c r="E384" s="110" t="e">
        <f ca="1">IF(TODAY()&gt;=$A384,SUMIFS(Tabla1[Avance_km],Tabla1[Fecha],"&lt;="&amp;EV!$A384,Tabla1[nombre_actividad],EV!E$1,Tabla1[Avance_km],"&gt;0"),NA())</f>
        <v>#N/A</v>
      </c>
      <c r="F384" s="67" t="e">
        <f ca="1">IF(TODAY()&gt;=$A384,SUMIFS(Tabla1[Avance_Med],Tabla1[Fecha],"&lt;="&amp;EV!$A384,Tabla1[nombre_actividad],EV!F$1),NA())</f>
        <v>#N/A</v>
      </c>
      <c r="G384" s="67"/>
      <c r="H384" s="110" t="e">
        <f ca="1">IF(TODAY()&gt;=$A384,SUMIFS(Tabla1[Avance_km],Tabla1[Fecha],"&lt;="&amp;EV!$A384-1,Tabla1[nombre_actividad],EV!H$1),NA())</f>
        <v>#N/A</v>
      </c>
      <c r="I384" s="228" t="e">
        <f ca="1">+C384*Catalogo!$F$19+EV!D384*Catalogo!$F$14+EV!E384*Catalogo!$F$16+EV!F384*Catalogo!$F$18</f>
        <v>#N/A</v>
      </c>
      <c r="J384" s="228" t="e">
        <f ca="1">IF(TODAY()&gt;=$A384,SUMIFS(Tabla1[EV],Tabla1[Fecha],"&lt;="&amp;A384,Tabla1[EV],"&gt;0"),NA())</f>
        <v>#N/A</v>
      </c>
      <c r="L384"/>
    </row>
    <row r="385" spans="1:12" x14ac:dyDescent="0.25">
      <c r="A385" s="62">
        <f t="shared" si="7"/>
        <v>46345</v>
      </c>
      <c r="B385" s="62"/>
      <c r="C385" s="110" t="e">
        <f ca="1">IF(TODAY()&gt;=$A385,SUMIFS(Tabla1[Avance_km],Tabla1[Fecha],"&lt;="&amp;EV!$A385,Tabla1[nombre_actividad],EV!C$1),NA())</f>
        <v>#N/A</v>
      </c>
      <c r="D385" s="110" t="e">
        <f ca="1">IF(TODAY()&gt;=$A385,SUMIFS(Tabla1[Avance_km],Tabla1[Fecha],"&lt;="&amp;EV!$A385,Tabla1[nombre_actividad],EV!D$1),NA())</f>
        <v>#N/A</v>
      </c>
      <c r="E385" s="110" t="e">
        <f ca="1">IF(TODAY()&gt;=$A385,SUMIFS(Tabla1[Avance_km],Tabla1[Fecha],"&lt;="&amp;EV!$A385,Tabla1[nombre_actividad],EV!E$1,Tabla1[Avance_km],"&gt;0"),NA())</f>
        <v>#N/A</v>
      </c>
      <c r="F385" s="67" t="e">
        <f ca="1">IF(TODAY()&gt;=$A385,SUMIFS(Tabla1[Avance_Med],Tabla1[Fecha],"&lt;="&amp;EV!$A385,Tabla1[nombre_actividad],EV!F$1),NA())</f>
        <v>#N/A</v>
      </c>
      <c r="G385" s="67"/>
      <c r="H385" s="110" t="e">
        <f ca="1">IF(TODAY()&gt;=$A385,SUMIFS(Tabla1[Avance_km],Tabla1[Fecha],"&lt;="&amp;EV!$A385-1,Tabla1[nombre_actividad],EV!H$1),NA())</f>
        <v>#N/A</v>
      </c>
      <c r="I385" s="228" t="e">
        <f ca="1">+C385*Catalogo!$F$19+EV!D385*Catalogo!$F$14+EV!E385*Catalogo!$F$16+EV!F385*Catalogo!$F$18</f>
        <v>#N/A</v>
      </c>
      <c r="J385" s="228" t="e">
        <f ca="1">IF(TODAY()&gt;=$A385,SUMIFS(Tabla1[EV],Tabla1[Fecha],"&lt;="&amp;A385,Tabla1[EV],"&gt;0"),NA())</f>
        <v>#N/A</v>
      </c>
      <c r="L385"/>
    </row>
    <row r="386" spans="1:12" x14ac:dyDescent="0.25">
      <c r="A386" s="62">
        <f t="shared" si="7"/>
        <v>46346</v>
      </c>
      <c r="B386" s="62"/>
      <c r="C386" s="110" t="e">
        <f ca="1">IF(TODAY()&gt;=$A386,SUMIFS(Tabla1[Avance_km],Tabla1[Fecha],"&lt;="&amp;EV!$A386,Tabla1[nombre_actividad],EV!C$1),NA())</f>
        <v>#N/A</v>
      </c>
      <c r="D386" s="110" t="e">
        <f ca="1">IF(TODAY()&gt;=$A386,SUMIFS(Tabla1[Avance_km],Tabla1[Fecha],"&lt;="&amp;EV!$A386,Tabla1[nombre_actividad],EV!D$1),NA())</f>
        <v>#N/A</v>
      </c>
      <c r="E386" s="110" t="e">
        <f ca="1">IF(TODAY()&gt;=$A386,SUMIFS(Tabla1[Avance_km],Tabla1[Fecha],"&lt;="&amp;EV!$A386,Tabla1[nombre_actividad],EV!E$1,Tabla1[Avance_km],"&gt;0"),NA())</f>
        <v>#N/A</v>
      </c>
      <c r="F386" s="67" t="e">
        <f ca="1">IF(TODAY()&gt;=$A386,SUMIFS(Tabla1[Avance_Med],Tabla1[Fecha],"&lt;="&amp;EV!$A386,Tabla1[nombre_actividad],EV!F$1),NA())</f>
        <v>#N/A</v>
      </c>
      <c r="G386" s="67"/>
      <c r="H386" s="110" t="e">
        <f ca="1">IF(TODAY()&gt;=$A386,SUMIFS(Tabla1[Avance_km],Tabla1[Fecha],"&lt;="&amp;EV!$A386-1,Tabla1[nombre_actividad],EV!H$1),NA())</f>
        <v>#N/A</v>
      </c>
      <c r="I386" s="228" t="e">
        <f ca="1">+C386*Catalogo!$F$19+EV!D386*Catalogo!$F$14+EV!E386*Catalogo!$F$16+EV!F386*Catalogo!$F$18</f>
        <v>#N/A</v>
      </c>
      <c r="J386" s="228" t="e">
        <f ca="1">IF(TODAY()&gt;=$A386,SUMIFS(Tabla1[EV],Tabla1[Fecha],"&lt;="&amp;A386,Tabla1[EV],"&gt;0"),NA())</f>
        <v>#N/A</v>
      </c>
      <c r="L386"/>
    </row>
    <row r="387" spans="1:12" x14ac:dyDescent="0.25">
      <c r="A387" s="62">
        <f t="shared" si="7"/>
        <v>46347</v>
      </c>
      <c r="B387" s="62"/>
      <c r="C387" s="110" t="e">
        <f ca="1">IF(TODAY()&gt;=$A387,SUMIFS(Tabla1[Avance_km],Tabla1[Fecha],"&lt;="&amp;EV!$A387,Tabla1[nombre_actividad],EV!C$1),NA())</f>
        <v>#N/A</v>
      </c>
      <c r="D387" s="110" t="e">
        <f ca="1">IF(TODAY()&gt;=$A387,SUMIFS(Tabla1[Avance_km],Tabla1[Fecha],"&lt;="&amp;EV!$A387,Tabla1[nombre_actividad],EV!D$1),NA())</f>
        <v>#N/A</v>
      </c>
      <c r="E387" s="110" t="e">
        <f ca="1">IF(TODAY()&gt;=$A387,SUMIFS(Tabla1[Avance_km],Tabla1[Fecha],"&lt;="&amp;EV!$A387,Tabla1[nombre_actividad],EV!E$1,Tabla1[Avance_km],"&gt;0"),NA())</f>
        <v>#N/A</v>
      </c>
      <c r="F387" s="67" t="e">
        <f ca="1">IF(TODAY()&gt;=$A387,SUMIFS(Tabla1[Avance_Med],Tabla1[Fecha],"&lt;="&amp;EV!$A387,Tabla1[nombre_actividad],EV!F$1),NA())</f>
        <v>#N/A</v>
      </c>
      <c r="G387" s="67"/>
      <c r="H387" s="110" t="e">
        <f ca="1">IF(TODAY()&gt;=$A387,SUMIFS(Tabla1[Avance_km],Tabla1[Fecha],"&lt;="&amp;EV!$A387-1,Tabla1[nombre_actividad],EV!H$1),NA())</f>
        <v>#N/A</v>
      </c>
      <c r="I387" s="228" t="e">
        <f ca="1">+C387*Catalogo!$F$19+EV!D387*Catalogo!$F$14+EV!E387*Catalogo!$F$16+EV!F387*Catalogo!$F$18</f>
        <v>#N/A</v>
      </c>
      <c r="J387" s="228" t="e">
        <f ca="1">IF(TODAY()&gt;=$A387,SUMIFS(Tabla1[EV],Tabla1[Fecha],"&lt;="&amp;A387,Tabla1[EV],"&gt;0"),NA())</f>
        <v>#N/A</v>
      </c>
      <c r="L387"/>
    </row>
    <row r="388" spans="1:12" x14ac:dyDescent="0.25">
      <c r="A388" s="62">
        <f t="shared" si="7"/>
        <v>46348</v>
      </c>
      <c r="B388" s="62"/>
      <c r="C388" s="110" t="e">
        <f ca="1">IF(TODAY()&gt;=$A388,SUMIFS(Tabla1[Avance_km],Tabla1[Fecha],"&lt;="&amp;EV!$A388,Tabla1[nombre_actividad],EV!C$1),NA())</f>
        <v>#N/A</v>
      </c>
      <c r="D388" s="110" t="e">
        <f ca="1">IF(TODAY()&gt;=$A388,SUMIFS(Tabla1[Avance_km],Tabla1[Fecha],"&lt;="&amp;EV!$A388,Tabla1[nombre_actividad],EV!D$1),NA())</f>
        <v>#N/A</v>
      </c>
      <c r="E388" s="110" t="e">
        <f ca="1">IF(TODAY()&gt;=$A388,SUMIFS(Tabla1[Avance_km],Tabla1[Fecha],"&lt;="&amp;EV!$A388,Tabla1[nombre_actividad],EV!E$1,Tabla1[Avance_km],"&gt;0"),NA())</f>
        <v>#N/A</v>
      </c>
      <c r="F388" s="67" t="e">
        <f ca="1">IF(TODAY()&gt;=$A388,SUMIFS(Tabla1[Avance_Med],Tabla1[Fecha],"&lt;="&amp;EV!$A388,Tabla1[nombre_actividad],EV!F$1),NA())</f>
        <v>#N/A</v>
      </c>
      <c r="G388" s="67"/>
      <c r="H388" s="110" t="e">
        <f ca="1">IF(TODAY()&gt;=$A388,SUMIFS(Tabla1[Avance_km],Tabla1[Fecha],"&lt;="&amp;EV!$A388-1,Tabla1[nombre_actividad],EV!H$1),NA())</f>
        <v>#N/A</v>
      </c>
      <c r="I388" s="228" t="e">
        <f ca="1">+C388*Catalogo!$F$19+EV!D388*Catalogo!$F$14+EV!E388*Catalogo!$F$16+EV!F388*Catalogo!$F$18</f>
        <v>#N/A</v>
      </c>
      <c r="J388" s="228" t="e">
        <f ca="1">IF(TODAY()&gt;=$A388,SUMIFS(Tabla1[EV],Tabla1[Fecha],"&lt;="&amp;A388,Tabla1[EV],"&gt;0"),NA())</f>
        <v>#N/A</v>
      </c>
      <c r="L388"/>
    </row>
    <row r="389" spans="1:12" x14ac:dyDescent="0.25">
      <c r="A389" s="62">
        <f t="shared" ref="A389:A452" si="8">+A388+1</f>
        <v>46349</v>
      </c>
      <c r="B389" s="62"/>
      <c r="C389" s="110" t="e">
        <f ca="1">IF(TODAY()&gt;=$A389,SUMIFS(Tabla1[Avance_km],Tabla1[Fecha],"&lt;="&amp;EV!$A389,Tabla1[nombre_actividad],EV!C$1),NA())</f>
        <v>#N/A</v>
      </c>
      <c r="D389" s="110" t="e">
        <f ca="1">IF(TODAY()&gt;=$A389,SUMIFS(Tabla1[Avance_km],Tabla1[Fecha],"&lt;="&amp;EV!$A389,Tabla1[nombre_actividad],EV!D$1),NA())</f>
        <v>#N/A</v>
      </c>
      <c r="E389" s="110" t="e">
        <f ca="1">IF(TODAY()&gt;=$A389,SUMIFS(Tabla1[Avance_km],Tabla1[Fecha],"&lt;="&amp;EV!$A389,Tabla1[nombre_actividad],EV!E$1,Tabla1[Avance_km],"&gt;0"),NA())</f>
        <v>#N/A</v>
      </c>
      <c r="F389" s="67" t="e">
        <f ca="1">IF(TODAY()&gt;=$A389,SUMIFS(Tabla1[Avance_Med],Tabla1[Fecha],"&lt;="&amp;EV!$A389,Tabla1[nombre_actividad],EV!F$1),NA())</f>
        <v>#N/A</v>
      </c>
      <c r="G389" s="67"/>
      <c r="H389" s="110" t="e">
        <f ca="1">IF(TODAY()&gt;=$A389,SUMIFS(Tabla1[Avance_km],Tabla1[Fecha],"&lt;="&amp;EV!$A389-1,Tabla1[nombre_actividad],EV!H$1),NA())</f>
        <v>#N/A</v>
      </c>
      <c r="I389" s="228" t="e">
        <f ca="1">+C389*Catalogo!$F$19+EV!D389*Catalogo!$F$14+EV!E389*Catalogo!$F$16+EV!F389*Catalogo!$F$18</f>
        <v>#N/A</v>
      </c>
      <c r="J389" s="228" t="e">
        <f ca="1">IF(TODAY()&gt;=$A389,SUMIFS(Tabla1[EV],Tabla1[Fecha],"&lt;="&amp;A389,Tabla1[EV],"&gt;0"),NA())</f>
        <v>#N/A</v>
      </c>
      <c r="L389"/>
    </row>
    <row r="390" spans="1:12" x14ac:dyDescent="0.25">
      <c r="A390" s="62">
        <f t="shared" si="8"/>
        <v>46350</v>
      </c>
      <c r="B390" s="62"/>
      <c r="C390" s="110" t="e">
        <f ca="1">IF(TODAY()&gt;=$A390,SUMIFS(Tabla1[Avance_km],Tabla1[Fecha],"&lt;="&amp;EV!$A390,Tabla1[nombre_actividad],EV!C$1),NA())</f>
        <v>#N/A</v>
      </c>
      <c r="D390" s="110" t="e">
        <f ca="1">IF(TODAY()&gt;=$A390,SUMIFS(Tabla1[Avance_km],Tabla1[Fecha],"&lt;="&amp;EV!$A390,Tabla1[nombre_actividad],EV!D$1),NA())</f>
        <v>#N/A</v>
      </c>
      <c r="E390" s="110" t="e">
        <f ca="1">IF(TODAY()&gt;=$A390,SUMIFS(Tabla1[Avance_km],Tabla1[Fecha],"&lt;="&amp;EV!$A390,Tabla1[nombre_actividad],EV!E$1,Tabla1[Avance_km],"&gt;0"),NA())</f>
        <v>#N/A</v>
      </c>
      <c r="F390" s="67" t="e">
        <f ca="1">IF(TODAY()&gt;=$A390,SUMIFS(Tabla1[Avance_Med],Tabla1[Fecha],"&lt;="&amp;EV!$A390,Tabla1[nombre_actividad],EV!F$1),NA())</f>
        <v>#N/A</v>
      </c>
      <c r="G390" s="67"/>
      <c r="H390" s="110" t="e">
        <f ca="1">IF(TODAY()&gt;=$A390,SUMIFS(Tabla1[Avance_km],Tabla1[Fecha],"&lt;="&amp;EV!$A390-1,Tabla1[nombre_actividad],EV!H$1),NA())</f>
        <v>#N/A</v>
      </c>
      <c r="I390" s="228" t="e">
        <f ca="1">+C390*Catalogo!$F$19+EV!D390*Catalogo!$F$14+EV!E390*Catalogo!$F$16+EV!F390*Catalogo!$F$18</f>
        <v>#N/A</v>
      </c>
      <c r="J390" s="228" t="e">
        <f ca="1">IF(TODAY()&gt;=$A390,SUMIFS(Tabla1[EV],Tabla1[Fecha],"&lt;="&amp;A390,Tabla1[EV],"&gt;0"),NA())</f>
        <v>#N/A</v>
      </c>
      <c r="L390"/>
    </row>
    <row r="391" spans="1:12" x14ac:dyDescent="0.25">
      <c r="A391" s="62">
        <f t="shared" si="8"/>
        <v>46351</v>
      </c>
      <c r="B391" s="62"/>
      <c r="C391" s="110" t="e">
        <f ca="1">IF(TODAY()&gt;=$A391,SUMIFS(Tabla1[Avance_km],Tabla1[Fecha],"&lt;="&amp;EV!$A391,Tabla1[nombre_actividad],EV!C$1),NA())</f>
        <v>#N/A</v>
      </c>
      <c r="D391" s="110" t="e">
        <f ca="1">IF(TODAY()&gt;=$A391,SUMIFS(Tabla1[Avance_km],Tabla1[Fecha],"&lt;="&amp;EV!$A391,Tabla1[nombre_actividad],EV!D$1),NA())</f>
        <v>#N/A</v>
      </c>
      <c r="E391" s="110" t="e">
        <f ca="1">IF(TODAY()&gt;=$A391,SUMIFS(Tabla1[Avance_km],Tabla1[Fecha],"&lt;="&amp;EV!$A391,Tabla1[nombre_actividad],EV!E$1,Tabla1[Avance_km],"&gt;0"),NA())</f>
        <v>#N/A</v>
      </c>
      <c r="F391" s="67" t="e">
        <f ca="1">IF(TODAY()&gt;=$A391,SUMIFS(Tabla1[Avance_Med],Tabla1[Fecha],"&lt;="&amp;EV!$A391,Tabla1[nombre_actividad],EV!F$1),NA())</f>
        <v>#N/A</v>
      </c>
      <c r="G391" s="67"/>
      <c r="H391" s="110" t="e">
        <f ca="1">IF(TODAY()&gt;=$A391,SUMIFS(Tabla1[Avance_km],Tabla1[Fecha],"&lt;="&amp;EV!$A391-1,Tabla1[nombre_actividad],EV!H$1),NA())</f>
        <v>#N/A</v>
      </c>
      <c r="I391" s="228" t="e">
        <f ca="1">+C391*Catalogo!$F$19+EV!D391*Catalogo!$F$14+EV!E391*Catalogo!$F$16+EV!F391*Catalogo!$F$18</f>
        <v>#N/A</v>
      </c>
      <c r="J391" s="228" t="e">
        <f ca="1">IF(TODAY()&gt;=$A391,SUMIFS(Tabla1[EV],Tabla1[Fecha],"&lt;="&amp;A391,Tabla1[EV],"&gt;0"),NA())</f>
        <v>#N/A</v>
      </c>
      <c r="L391"/>
    </row>
    <row r="392" spans="1:12" x14ac:dyDescent="0.25">
      <c r="A392" s="62">
        <f t="shared" si="8"/>
        <v>46352</v>
      </c>
      <c r="B392" s="62"/>
      <c r="C392" s="110" t="e">
        <f ca="1">IF(TODAY()&gt;=$A392,SUMIFS(Tabla1[Avance_km],Tabla1[Fecha],"&lt;="&amp;EV!$A392,Tabla1[nombre_actividad],EV!C$1),NA())</f>
        <v>#N/A</v>
      </c>
      <c r="D392" s="110" t="e">
        <f ca="1">IF(TODAY()&gt;=$A392,SUMIFS(Tabla1[Avance_km],Tabla1[Fecha],"&lt;="&amp;EV!$A392,Tabla1[nombre_actividad],EV!D$1),NA())</f>
        <v>#N/A</v>
      </c>
      <c r="E392" s="110" t="e">
        <f ca="1">IF(TODAY()&gt;=$A392,SUMIFS(Tabla1[Avance_km],Tabla1[Fecha],"&lt;="&amp;EV!$A392,Tabla1[nombre_actividad],EV!E$1,Tabla1[Avance_km],"&gt;0"),NA())</f>
        <v>#N/A</v>
      </c>
      <c r="F392" s="67" t="e">
        <f ca="1">IF(TODAY()&gt;=$A392,SUMIFS(Tabla1[Avance_Med],Tabla1[Fecha],"&lt;="&amp;EV!$A392,Tabla1[nombre_actividad],EV!F$1),NA())</f>
        <v>#N/A</v>
      </c>
      <c r="G392" s="67"/>
      <c r="H392" s="110" t="e">
        <f ca="1">IF(TODAY()&gt;=$A392,SUMIFS(Tabla1[Avance_km],Tabla1[Fecha],"&lt;="&amp;EV!$A392-1,Tabla1[nombre_actividad],EV!H$1),NA())</f>
        <v>#N/A</v>
      </c>
      <c r="I392" s="228" t="e">
        <f ca="1">+C392*Catalogo!$F$19+EV!D392*Catalogo!$F$14+EV!E392*Catalogo!$F$16+EV!F392*Catalogo!$F$18</f>
        <v>#N/A</v>
      </c>
      <c r="J392" s="228" t="e">
        <f ca="1">IF(TODAY()&gt;=$A392,SUMIFS(Tabla1[EV],Tabla1[Fecha],"&lt;="&amp;A392,Tabla1[EV],"&gt;0"),NA())</f>
        <v>#N/A</v>
      </c>
      <c r="L392"/>
    </row>
    <row r="393" spans="1:12" x14ac:dyDescent="0.25">
      <c r="A393" s="62">
        <f t="shared" si="8"/>
        <v>46353</v>
      </c>
      <c r="B393" s="62"/>
      <c r="C393" s="110" t="e">
        <f ca="1">IF(TODAY()&gt;=$A393,SUMIFS(Tabla1[Avance_km],Tabla1[Fecha],"&lt;="&amp;EV!$A393,Tabla1[nombre_actividad],EV!C$1),NA())</f>
        <v>#N/A</v>
      </c>
      <c r="D393" s="110" t="e">
        <f ca="1">IF(TODAY()&gt;=$A393,SUMIFS(Tabla1[Avance_km],Tabla1[Fecha],"&lt;="&amp;EV!$A393,Tabla1[nombre_actividad],EV!D$1),NA())</f>
        <v>#N/A</v>
      </c>
      <c r="E393" s="110" t="e">
        <f ca="1">IF(TODAY()&gt;=$A393,SUMIFS(Tabla1[Avance_km],Tabla1[Fecha],"&lt;="&amp;EV!$A393,Tabla1[nombre_actividad],EV!E$1,Tabla1[Avance_km],"&gt;0"),NA())</f>
        <v>#N/A</v>
      </c>
      <c r="F393" s="67" t="e">
        <f ca="1">IF(TODAY()&gt;=$A393,SUMIFS(Tabla1[Avance_Med],Tabla1[Fecha],"&lt;="&amp;EV!$A393,Tabla1[nombre_actividad],EV!F$1),NA())</f>
        <v>#N/A</v>
      </c>
      <c r="G393" s="67"/>
      <c r="H393" s="110" t="e">
        <f ca="1">IF(TODAY()&gt;=$A393,SUMIFS(Tabla1[Avance_km],Tabla1[Fecha],"&lt;="&amp;EV!$A393-1,Tabla1[nombre_actividad],EV!H$1),NA())</f>
        <v>#N/A</v>
      </c>
      <c r="I393" s="228" t="e">
        <f ca="1">+C393*Catalogo!$F$19+EV!D393*Catalogo!$F$14+EV!E393*Catalogo!$F$16+EV!F393*Catalogo!$F$18</f>
        <v>#N/A</v>
      </c>
      <c r="J393" s="228" t="e">
        <f ca="1">IF(TODAY()&gt;=$A393,SUMIFS(Tabla1[EV],Tabla1[Fecha],"&lt;="&amp;A393,Tabla1[EV],"&gt;0"),NA())</f>
        <v>#N/A</v>
      </c>
      <c r="L393"/>
    </row>
    <row r="394" spans="1:12" x14ac:dyDescent="0.25">
      <c r="A394" s="62">
        <f t="shared" si="8"/>
        <v>46354</v>
      </c>
      <c r="B394" s="62"/>
      <c r="C394" s="110" t="e">
        <f ca="1">IF(TODAY()&gt;=$A394,SUMIFS(Tabla1[Avance_km],Tabla1[Fecha],"&lt;="&amp;EV!$A394,Tabla1[nombre_actividad],EV!C$1),NA())</f>
        <v>#N/A</v>
      </c>
      <c r="D394" s="110" t="e">
        <f ca="1">IF(TODAY()&gt;=$A394,SUMIFS(Tabla1[Avance_km],Tabla1[Fecha],"&lt;="&amp;EV!$A394,Tabla1[nombre_actividad],EV!D$1),NA())</f>
        <v>#N/A</v>
      </c>
      <c r="E394" s="110" t="e">
        <f ca="1">IF(TODAY()&gt;=$A394,SUMIFS(Tabla1[Avance_km],Tabla1[Fecha],"&lt;="&amp;EV!$A394,Tabla1[nombre_actividad],EV!E$1,Tabla1[Avance_km],"&gt;0"),NA())</f>
        <v>#N/A</v>
      </c>
      <c r="F394" s="67" t="e">
        <f ca="1">IF(TODAY()&gt;=$A394,SUMIFS(Tabla1[Avance_Med],Tabla1[Fecha],"&lt;="&amp;EV!$A394,Tabla1[nombre_actividad],EV!F$1),NA())</f>
        <v>#N/A</v>
      </c>
      <c r="G394" s="67"/>
      <c r="H394" s="110" t="e">
        <f ca="1">IF(TODAY()&gt;=$A394,SUMIFS(Tabla1[Avance_km],Tabla1[Fecha],"&lt;="&amp;EV!$A394-1,Tabla1[nombre_actividad],EV!H$1),NA())</f>
        <v>#N/A</v>
      </c>
      <c r="I394" s="228" t="e">
        <f ca="1">+C394*Catalogo!$F$19+EV!D394*Catalogo!$F$14+EV!E394*Catalogo!$F$16+EV!F394*Catalogo!$F$18</f>
        <v>#N/A</v>
      </c>
      <c r="J394" s="228" t="e">
        <f ca="1">IF(TODAY()&gt;=$A394,SUMIFS(Tabla1[EV],Tabla1[Fecha],"&lt;="&amp;A394,Tabla1[EV],"&gt;0"),NA())</f>
        <v>#N/A</v>
      </c>
      <c r="L394"/>
    </row>
    <row r="395" spans="1:12" x14ac:dyDescent="0.25">
      <c r="A395" s="62">
        <f t="shared" si="8"/>
        <v>46355</v>
      </c>
      <c r="B395" s="62"/>
      <c r="C395" s="110" t="e">
        <f ca="1">IF(TODAY()&gt;=$A395,SUMIFS(Tabla1[Avance_km],Tabla1[Fecha],"&lt;="&amp;EV!$A395,Tabla1[nombre_actividad],EV!C$1),NA())</f>
        <v>#N/A</v>
      </c>
      <c r="D395" s="110" t="e">
        <f ca="1">IF(TODAY()&gt;=$A395,SUMIFS(Tabla1[Avance_km],Tabla1[Fecha],"&lt;="&amp;EV!$A395,Tabla1[nombre_actividad],EV!D$1),NA())</f>
        <v>#N/A</v>
      </c>
      <c r="E395" s="110" t="e">
        <f ca="1">IF(TODAY()&gt;=$A395,SUMIFS(Tabla1[Avance_km],Tabla1[Fecha],"&lt;="&amp;EV!$A395,Tabla1[nombre_actividad],EV!E$1,Tabla1[Avance_km],"&gt;0"),NA())</f>
        <v>#N/A</v>
      </c>
      <c r="F395" s="67" t="e">
        <f ca="1">IF(TODAY()&gt;=$A395,SUMIFS(Tabla1[Avance_Med],Tabla1[Fecha],"&lt;="&amp;EV!$A395,Tabla1[nombre_actividad],EV!F$1),NA())</f>
        <v>#N/A</v>
      </c>
      <c r="G395" s="67"/>
      <c r="H395" s="110" t="e">
        <f ca="1">IF(TODAY()&gt;=$A395,SUMIFS(Tabla1[Avance_km],Tabla1[Fecha],"&lt;="&amp;EV!$A395-1,Tabla1[nombre_actividad],EV!H$1),NA())</f>
        <v>#N/A</v>
      </c>
      <c r="I395" s="228" t="e">
        <f ca="1">+C395*Catalogo!$F$19+EV!D395*Catalogo!$F$14+EV!E395*Catalogo!$F$16+EV!F395*Catalogo!$F$18</f>
        <v>#N/A</v>
      </c>
      <c r="J395" s="228" t="e">
        <f ca="1">IF(TODAY()&gt;=$A395,SUMIFS(Tabla1[EV],Tabla1[Fecha],"&lt;="&amp;A395,Tabla1[EV],"&gt;0"),NA())</f>
        <v>#N/A</v>
      </c>
      <c r="L395"/>
    </row>
    <row r="396" spans="1:12" x14ac:dyDescent="0.25">
      <c r="A396" s="62">
        <f t="shared" si="8"/>
        <v>46356</v>
      </c>
      <c r="B396" s="62"/>
      <c r="C396" s="110" t="e">
        <f ca="1">IF(TODAY()&gt;=$A396,SUMIFS(Tabla1[Avance_km],Tabla1[Fecha],"&lt;="&amp;EV!$A396,Tabla1[nombre_actividad],EV!C$1),NA())</f>
        <v>#N/A</v>
      </c>
      <c r="D396" s="110" t="e">
        <f ca="1">IF(TODAY()&gt;=$A396,SUMIFS(Tabla1[Avance_km],Tabla1[Fecha],"&lt;="&amp;EV!$A396,Tabla1[nombre_actividad],EV!D$1),NA())</f>
        <v>#N/A</v>
      </c>
      <c r="E396" s="110" t="e">
        <f ca="1">IF(TODAY()&gt;=$A396,SUMIFS(Tabla1[Avance_km],Tabla1[Fecha],"&lt;="&amp;EV!$A396,Tabla1[nombre_actividad],EV!E$1,Tabla1[Avance_km],"&gt;0"),NA())</f>
        <v>#N/A</v>
      </c>
      <c r="F396" s="67" t="e">
        <f ca="1">IF(TODAY()&gt;=$A396,SUMIFS(Tabla1[Avance_Med],Tabla1[Fecha],"&lt;="&amp;EV!$A396,Tabla1[nombre_actividad],EV!F$1),NA())</f>
        <v>#N/A</v>
      </c>
      <c r="G396" s="67"/>
      <c r="H396" s="110" t="e">
        <f ca="1">IF(TODAY()&gt;=$A396,SUMIFS(Tabla1[Avance_km],Tabla1[Fecha],"&lt;="&amp;EV!$A396-1,Tabla1[nombre_actividad],EV!H$1),NA())</f>
        <v>#N/A</v>
      </c>
      <c r="I396" s="228" t="e">
        <f ca="1">+C396*Catalogo!$F$19+EV!D396*Catalogo!$F$14+EV!E396*Catalogo!$F$16+EV!F396*Catalogo!$F$18</f>
        <v>#N/A</v>
      </c>
      <c r="J396" s="228" t="e">
        <f ca="1">IF(TODAY()&gt;=$A396,SUMIFS(Tabla1[EV],Tabla1[Fecha],"&lt;="&amp;A396,Tabla1[EV],"&gt;0"),NA())</f>
        <v>#N/A</v>
      </c>
      <c r="L396"/>
    </row>
    <row r="397" spans="1:12" x14ac:dyDescent="0.25">
      <c r="A397" s="62">
        <f t="shared" si="8"/>
        <v>46357</v>
      </c>
      <c r="B397" s="62"/>
      <c r="C397" s="110" t="e">
        <f ca="1">IF(TODAY()&gt;=$A397,SUMIFS(Tabla1[Avance_km],Tabla1[Fecha],"&lt;="&amp;EV!$A397,Tabla1[nombre_actividad],EV!C$1),NA())</f>
        <v>#N/A</v>
      </c>
      <c r="D397" s="110" t="e">
        <f ca="1">IF(TODAY()&gt;=$A397,SUMIFS(Tabla1[Avance_km],Tabla1[Fecha],"&lt;="&amp;EV!$A397,Tabla1[nombre_actividad],EV!D$1),NA())</f>
        <v>#N/A</v>
      </c>
      <c r="E397" s="110" t="e">
        <f ca="1">IF(TODAY()&gt;=$A397,SUMIFS(Tabla1[Avance_km],Tabla1[Fecha],"&lt;="&amp;EV!$A397,Tabla1[nombre_actividad],EV!E$1,Tabla1[Avance_km],"&gt;0"),NA())</f>
        <v>#N/A</v>
      </c>
      <c r="F397" s="67" t="e">
        <f ca="1">IF(TODAY()&gt;=$A397,SUMIFS(Tabla1[Avance_Med],Tabla1[Fecha],"&lt;="&amp;EV!$A397,Tabla1[nombre_actividad],EV!F$1),NA())</f>
        <v>#N/A</v>
      </c>
      <c r="G397" s="67"/>
      <c r="H397" s="110" t="e">
        <f ca="1">IF(TODAY()&gt;=$A397,SUMIFS(Tabla1[Avance_km],Tabla1[Fecha],"&lt;="&amp;EV!$A397-1,Tabla1[nombre_actividad],EV!H$1),NA())</f>
        <v>#N/A</v>
      </c>
      <c r="I397" s="228" t="e">
        <f ca="1">+C397*Catalogo!$F$19+EV!D397*Catalogo!$F$14+EV!E397*Catalogo!$F$16+EV!F397*Catalogo!$F$18</f>
        <v>#N/A</v>
      </c>
      <c r="J397" s="228" t="e">
        <f ca="1">IF(TODAY()&gt;=$A397,SUMIFS(Tabla1[EV],Tabla1[Fecha],"&lt;="&amp;A397,Tabla1[EV],"&gt;0"),NA())</f>
        <v>#N/A</v>
      </c>
      <c r="L397"/>
    </row>
    <row r="398" spans="1:12" x14ac:dyDescent="0.25">
      <c r="A398" s="62">
        <f t="shared" si="8"/>
        <v>46358</v>
      </c>
      <c r="B398" s="62"/>
      <c r="C398" s="110" t="e">
        <f ca="1">IF(TODAY()&gt;=$A398,SUMIFS(Tabla1[Avance_km],Tabla1[Fecha],"&lt;="&amp;EV!$A398,Tabla1[nombre_actividad],EV!C$1),NA())</f>
        <v>#N/A</v>
      </c>
      <c r="D398" s="110" t="e">
        <f ca="1">IF(TODAY()&gt;=$A398,SUMIFS(Tabla1[Avance_km],Tabla1[Fecha],"&lt;="&amp;EV!$A398,Tabla1[nombre_actividad],EV!D$1),NA())</f>
        <v>#N/A</v>
      </c>
      <c r="E398" s="110" t="e">
        <f ca="1">IF(TODAY()&gt;=$A398,SUMIFS(Tabla1[Avance_km],Tabla1[Fecha],"&lt;="&amp;EV!$A398,Tabla1[nombre_actividad],EV!E$1,Tabla1[Avance_km],"&gt;0"),NA())</f>
        <v>#N/A</v>
      </c>
      <c r="F398" s="67" t="e">
        <f ca="1">IF(TODAY()&gt;=$A398,SUMIFS(Tabla1[Avance_Med],Tabla1[Fecha],"&lt;="&amp;EV!$A398,Tabla1[nombre_actividad],EV!F$1),NA())</f>
        <v>#N/A</v>
      </c>
      <c r="G398" s="67"/>
      <c r="H398" s="110" t="e">
        <f ca="1">IF(TODAY()&gt;=$A398,SUMIFS(Tabla1[Avance_km],Tabla1[Fecha],"&lt;="&amp;EV!$A398-1,Tabla1[nombre_actividad],EV!H$1),NA())</f>
        <v>#N/A</v>
      </c>
      <c r="I398" s="228" t="e">
        <f ca="1">+C398*Catalogo!$F$19+EV!D398*Catalogo!$F$14+EV!E398*Catalogo!$F$16+EV!F398*Catalogo!$F$18</f>
        <v>#N/A</v>
      </c>
      <c r="J398" s="228" t="e">
        <f ca="1">IF(TODAY()&gt;=$A398,SUMIFS(Tabla1[EV],Tabla1[Fecha],"&lt;="&amp;A398,Tabla1[EV],"&gt;0"),NA())</f>
        <v>#N/A</v>
      </c>
      <c r="L398"/>
    </row>
    <row r="399" spans="1:12" x14ac:dyDescent="0.25">
      <c r="A399" s="62">
        <f t="shared" si="8"/>
        <v>46359</v>
      </c>
      <c r="B399" s="62"/>
      <c r="C399" s="110" t="e">
        <f ca="1">IF(TODAY()&gt;=$A399,SUMIFS(Tabla1[Avance_km],Tabla1[Fecha],"&lt;="&amp;EV!$A399,Tabla1[nombre_actividad],EV!C$1),NA())</f>
        <v>#N/A</v>
      </c>
      <c r="D399" s="110" t="e">
        <f ca="1">IF(TODAY()&gt;=$A399,SUMIFS(Tabla1[Avance_km],Tabla1[Fecha],"&lt;="&amp;EV!$A399,Tabla1[nombre_actividad],EV!D$1),NA())</f>
        <v>#N/A</v>
      </c>
      <c r="E399" s="110" t="e">
        <f ca="1">IF(TODAY()&gt;=$A399,SUMIFS(Tabla1[Avance_km],Tabla1[Fecha],"&lt;="&amp;EV!$A399,Tabla1[nombre_actividad],EV!E$1,Tabla1[Avance_km],"&gt;0"),NA())</f>
        <v>#N/A</v>
      </c>
      <c r="F399" s="67" t="e">
        <f ca="1">IF(TODAY()&gt;=$A399,SUMIFS(Tabla1[Avance_Med],Tabla1[Fecha],"&lt;="&amp;EV!$A399,Tabla1[nombre_actividad],EV!F$1),NA())</f>
        <v>#N/A</v>
      </c>
      <c r="G399" s="67"/>
      <c r="H399" s="110" t="e">
        <f ca="1">IF(TODAY()&gt;=$A399,SUMIFS(Tabla1[Avance_km],Tabla1[Fecha],"&lt;="&amp;EV!$A399-1,Tabla1[nombre_actividad],EV!H$1),NA())</f>
        <v>#N/A</v>
      </c>
      <c r="I399" s="228" t="e">
        <f ca="1">+C399*Catalogo!$F$19+EV!D399*Catalogo!$F$14+EV!E399*Catalogo!$F$16+EV!F399*Catalogo!$F$18</f>
        <v>#N/A</v>
      </c>
      <c r="J399" s="228" t="e">
        <f ca="1">IF(TODAY()&gt;=$A399,SUMIFS(Tabla1[EV],Tabla1[Fecha],"&lt;="&amp;A399,Tabla1[EV],"&gt;0"),NA())</f>
        <v>#N/A</v>
      </c>
      <c r="L399"/>
    </row>
    <row r="400" spans="1:12" x14ac:dyDescent="0.25">
      <c r="A400" s="62">
        <f t="shared" si="8"/>
        <v>46360</v>
      </c>
      <c r="B400" s="62"/>
      <c r="C400" s="110" t="e">
        <f ca="1">IF(TODAY()&gt;=$A400,SUMIFS(Tabla1[Avance_km],Tabla1[Fecha],"&lt;="&amp;EV!$A400,Tabla1[nombre_actividad],EV!C$1),NA())</f>
        <v>#N/A</v>
      </c>
      <c r="D400" s="110" t="e">
        <f ca="1">IF(TODAY()&gt;=$A400,SUMIFS(Tabla1[Avance_km],Tabla1[Fecha],"&lt;="&amp;EV!$A400,Tabla1[nombre_actividad],EV!D$1),NA())</f>
        <v>#N/A</v>
      </c>
      <c r="E400" s="110" t="e">
        <f ca="1">IF(TODAY()&gt;=$A400,SUMIFS(Tabla1[Avance_km],Tabla1[Fecha],"&lt;="&amp;EV!$A400,Tabla1[nombre_actividad],EV!E$1,Tabla1[Avance_km],"&gt;0"),NA())</f>
        <v>#N/A</v>
      </c>
      <c r="F400" s="67" t="e">
        <f ca="1">IF(TODAY()&gt;=$A400,SUMIFS(Tabla1[Avance_Med],Tabla1[Fecha],"&lt;="&amp;EV!$A400,Tabla1[nombre_actividad],EV!F$1),NA())</f>
        <v>#N/A</v>
      </c>
      <c r="G400" s="67"/>
      <c r="H400" s="110" t="e">
        <f ca="1">IF(TODAY()&gt;=$A400,SUMIFS(Tabla1[Avance_km],Tabla1[Fecha],"&lt;="&amp;EV!$A400-1,Tabla1[nombre_actividad],EV!H$1),NA())</f>
        <v>#N/A</v>
      </c>
      <c r="I400" s="228" t="e">
        <f ca="1">+C400*Catalogo!$F$19+EV!D400*Catalogo!$F$14+EV!E400*Catalogo!$F$16+EV!F400*Catalogo!$F$18</f>
        <v>#N/A</v>
      </c>
      <c r="J400" s="228" t="e">
        <f ca="1">IF(TODAY()&gt;=$A400,SUMIFS(Tabla1[EV],Tabla1[Fecha],"&lt;="&amp;A400,Tabla1[EV],"&gt;0"),NA())</f>
        <v>#N/A</v>
      </c>
      <c r="L400"/>
    </row>
    <row r="401" spans="1:12" x14ac:dyDescent="0.25">
      <c r="A401" s="62">
        <f t="shared" si="8"/>
        <v>46361</v>
      </c>
      <c r="B401" s="62"/>
      <c r="C401" s="110" t="e">
        <f ca="1">IF(TODAY()&gt;=$A401,SUMIFS(Tabla1[Avance_km],Tabla1[Fecha],"&lt;="&amp;EV!$A401,Tabla1[nombre_actividad],EV!C$1),NA())</f>
        <v>#N/A</v>
      </c>
      <c r="D401" s="110" t="e">
        <f ca="1">IF(TODAY()&gt;=$A401,SUMIFS(Tabla1[Avance_km],Tabla1[Fecha],"&lt;="&amp;EV!$A401,Tabla1[nombre_actividad],EV!D$1),NA())</f>
        <v>#N/A</v>
      </c>
      <c r="E401" s="110" t="e">
        <f ca="1">IF(TODAY()&gt;=$A401,SUMIFS(Tabla1[Avance_km],Tabla1[Fecha],"&lt;="&amp;EV!$A401,Tabla1[nombre_actividad],EV!E$1,Tabla1[Avance_km],"&gt;0"),NA())</f>
        <v>#N/A</v>
      </c>
      <c r="F401" s="67" t="e">
        <f ca="1">IF(TODAY()&gt;=$A401,SUMIFS(Tabla1[Avance_Med],Tabla1[Fecha],"&lt;="&amp;EV!$A401,Tabla1[nombre_actividad],EV!F$1),NA())</f>
        <v>#N/A</v>
      </c>
      <c r="G401" s="67"/>
      <c r="H401" s="110" t="e">
        <f ca="1">IF(TODAY()&gt;=$A401,SUMIFS(Tabla1[Avance_km],Tabla1[Fecha],"&lt;="&amp;EV!$A401-1,Tabla1[nombre_actividad],EV!H$1),NA())</f>
        <v>#N/A</v>
      </c>
      <c r="I401" s="228" t="e">
        <f ca="1">+C401*Catalogo!$F$19+EV!D401*Catalogo!$F$14+EV!E401*Catalogo!$F$16+EV!F401*Catalogo!$F$18</f>
        <v>#N/A</v>
      </c>
      <c r="J401" s="228" t="e">
        <f ca="1">IF(TODAY()&gt;=$A401,SUMIFS(Tabla1[EV],Tabla1[Fecha],"&lt;="&amp;A401,Tabla1[EV],"&gt;0"),NA())</f>
        <v>#N/A</v>
      </c>
      <c r="L401"/>
    </row>
    <row r="402" spans="1:12" x14ac:dyDescent="0.25">
      <c r="A402" s="62">
        <f t="shared" si="8"/>
        <v>46362</v>
      </c>
      <c r="B402" s="62"/>
      <c r="C402" s="110" t="e">
        <f ca="1">IF(TODAY()&gt;=$A402,SUMIFS(Tabla1[Avance_km],Tabla1[Fecha],"&lt;="&amp;EV!$A402,Tabla1[nombre_actividad],EV!C$1),NA())</f>
        <v>#N/A</v>
      </c>
      <c r="D402" s="110" t="e">
        <f ca="1">IF(TODAY()&gt;=$A402,SUMIFS(Tabla1[Avance_km],Tabla1[Fecha],"&lt;="&amp;EV!$A402,Tabla1[nombre_actividad],EV!D$1),NA())</f>
        <v>#N/A</v>
      </c>
      <c r="E402" s="110" t="e">
        <f ca="1">IF(TODAY()&gt;=$A402,SUMIFS(Tabla1[Avance_km],Tabla1[Fecha],"&lt;="&amp;EV!$A402,Tabla1[nombre_actividad],EV!E$1,Tabla1[Avance_km],"&gt;0"),NA())</f>
        <v>#N/A</v>
      </c>
      <c r="F402" s="67" t="e">
        <f ca="1">IF(TODAY()&gt;=$A402,SUMIFS(Tabla1[Avance_Med],Tabla1[Fecha],"&lt;="&amp;EV!$A402,Tabla1[nombre_actividad],EV!F$1),NA())</f>
        <v>#N/A</v>
      </c>
      <c r="G402" s="67"/>
      <c r="H402" s="110" t="e">
        <f ca="1">IF(TODAY()&gt;=$A402,SUMIFS(Tabla1[Avance_km],Tabla1[Fecha],"&lt;="&amp;EV!$A402-1,Tabla1[nombre_actividad],EV!H$1),NA())</f>
        <v>#N/A</v>
      </c>
      <c r="I402" s="228" t="e">
        <f ca="1">+C402*Catalogo!$F$19+EV!D402*Catalogo!$F$14+EV!E402*Catalogo!$F$16+EV!F402*Catalogo!$F$18</f>
        <v>#N/A</v>
      </c>
      <c r="J402" s="228" t="e">
        <f ca="1">IF(TODAY()&gt;=$A402,SUMIFS(Tabla1[EV],Tabla1[Fecha],"&lt;="&amp;A402,Tabla1[EV],"&gt;0"),NA())</f>
        <v>#N/A</v>
      </c>
      <c r="L402"/>
    </row>
    <row r="403" spans="1:12" x14ac:dyDescent="0.25">
      <c r="A403" s="62">
        <f t="shared" si="8"/>
        <v>46363</v>
      </c>
      <c r="B403" s="62"/>
      <c r="C403" s="110" t="e">
        <f ca="1">IF(TODAY()&gt;=$A403,SUMIFS(Tabla1[Avance_km],Tabla1[Fecha],"&lt;="&amp;EV!$A403,Tabla1[nombre_actividad],EV!C$1),NA())</f>
        <v>#N/A</v>
      </c>
      <c r="D403" s="110" t="e">
        <f ca="1">IF(TODAY()&gt;=$A403,SUMIFS(Tabla1[Avance_km],Tabla1[Fecha],"&lt;="&amp;EV!$A403,Tabla1[nombre_actividad],EV!D$1),NA())</f>
        <v>#N/A</v>
      </c>
      <c r="E403" s="110" t="e">
        <f ca="1">IF(TODAY()&gt;=$A403,SUMIFS(Tabla1[Avance_km],Tabla1[Fecha],"&lt;="&amp;EV!$A403,Tabla1[nombre_actividad],EV!E$1,Tabla1[Avance_km],"&gt;0"),NA())</f>
        <v>#N/A</v>
      </c>
      <c r="F403" s="67" t="e">
        <f ca="1">IF(TODAY()&gt;=$A403,SUMIFS(Tabla1[Avance_Med],Tabla1[Fecha],"&lt;="&amp;EV!$A403,Tabla1[nombre_actividad],EV!F$1),NA())</f>
        <v>#N/A</v>
      </c>
      <c r="G403" s="67"/>
      <c r="H403" s="110" t="e">
        <f ca="1">IF(TODAY()&gt;=$A403,SUMIFS(Tabla1[Avance_km],Tabla1[Fecha],"&lt;="&amp;EV!$A403-1,Tabla1[nombre_actividad],EV!H$1),NA())</f>
        <v>#N/A</v>
      </c>
      <c r="I403" s="228" t="e">
        <f ca="1">+C403*Catalogo!$F$19+EV!D403*Catalogo!$F$14+EV!E403*Catalogo!$F$16+EV!F403*Catalogo!$F$18</f>
        <v>#N/A</v>
      </c>
      <c r="J403" s="228" t="e">
        <f ca="1">IF(TODAY()&gt;=$A403,SUMIFS(Tabla1[EV],Tabla1[Fecha],"&lt;="&amp;A403,Tabla1[EV],"&gt;0"),NA())</f>
        <v>#N/A</v>
      </c>
      <c r="L403"/>
    </row>
    <row r="404" spans="1:12" x14ac:dyDescent="0.25">
      <c r="A404" s="62">
        <f t="shared" si="8"/>
        <v>46364</v>
      </c>
      <c r="B404" s="62"/>
      <c r="C404" s="110" t="e">
        <f ca="1">IF(TODAY()&gt;=$A404,SUMIFS(Tabla1[Avance_km],Tabla1[Fecha],"&lt;="&amp;EV!$A404,Tabla1[nombre_actividad],EV!C$1),NA())</f>
        <v>#N/A</v>
      </c>
      <c r="D404" s="110" t="e">
        <f ca="1">IF(TODAY()&gt;=$A404,SUMIFS(Tabla1[Avance_km],Tabla1[Fecha],"&lt;="&amp;EV!$A404,Tabla1[nombre_actividad],EV!D$1),NA())</f>
        <v>#N/A</v>
      </c>
      <c r="E404" s="110" t="e">
        <f ca="1">IF(TODAY()&gt;=$A404,SUMIFS(Tabla1[Avance_km],Tabla1[Fecha],"&lt;="&amp;EV!$A404,Tabla1[nombre_actividad],EV!E$1,Tabla1[Avance_km],"&gt;0"),NA())</f>
        <v>#N/A</v>
      </c>
      <c r="F404" s="67" t="e">
        <f ca="1">IF(TODAY()&gt;=$A404,SUMIFS(Tabla1[Avance_Med],Tabla1[Fecha],"&lt;="&amp;EV!$A404,Tabla1[nombre_actividad],EV!F$1),NA())</f>
        <v>#N/A</v>
      </c>
      <c r="G404" s="67"/>
      <c r="H404" s="110" t="e">
        <f ca="1">IF(TODAY()&gt;=$A404,SUMIFS(Tabla1[Avance_km],Tabla1[Fecha],"&lt;="&amp;EV!$A404-1,Tabla1[nombre_actividad],EV!H$1),NA())</f>
        <v>#N/A</v>
      </c>
      <c r="I404" s="228" t="e">
        <f ca="1">+C404*Catalogo!$F$19+EV!D404*Catalogo!$F$14+EV!E404*Catalogo!$F$16+EV!F404*Catalogo!$F$18</f>
        <v>#N/A</v>
      </c>
      <c r="J404" s="228" t="e">
        <f ca="1">IF(TODAY()&gt;=$A404,SUMIFS(Tabla1[EV],Tabla1[Fecha],"&lt;="&amp;A404,Tabla1[EV],"&gt;0"),NA())</f>
        <v>#N/A</v>
      </c>
      <c r="L404"/>
    </row>
    <row r="405" spans="1:12" x14ac:dyDescent="0.25">
      <c r="A405" s="62">
        <f t="shared" si="8"/>
        <v>46365</v>
      </c>
      <c r="B405" s="62"/>
      <c r="C405" s="110" t="e">
        <f ca="1">IF(TODAY()&gt;=$A405,SUMIFS(Tabla1[Avance_km],Tabla1[Fecha],"&lt;="&amp;EV!$A405,Tabla1[nombre_actividad],EV!C$1),NA())</f>
        <v>#N/A</v>
      </c>
      <c r="D405" s="110" t="e">
        <f ca="1">IF(TODAY()&gt;=$A405,SUMIFS(Tabla1[Avance_km],Tabla1[Fecha],"&lt;="&amp;EV!$A405,Tabla1[nombre_actividad],EV!D$1),NA())</f>
        <v>#N/A</v>
      </c>
      <c r="E405" s="110" t="e">
        <f ca="1">IF(TODAY()&gt;=$A405,SUMIFS(Tabla1[Avance_km],Tabla1[Fecha],"&lt;="&amp;EV!$A405,Tabla1[nombre_actividad],EV!E$1,Tabla1[Avance_km],"&gt;0"),NA())</f>
        <v>#N/A</v>
      </c>
      <c r="F405" s="67" t="e">
        <f ca="1">IF(TODAY()&gt;=$A405,SUMIFS(Tabla1[Avance_Med],Tabla1[Fecha],"&lt;="&amp;EV!$A405,Tabla1[nombre_actividad],EV!F$1),NA())</f>
        <v>#N/A</v>
      </c>
      <c r="G405" s="67"/>
      <c r="H405" s="110" t="e">
        <f ca="1">IF(TODAY()&gt;=$A405,SUMIFS(Tabla1[Avance_km],Tabla1[Fecha],"&lt;="&amp;EV!$A405-1,Tabla1[nombre_actividad],EV!H$1),NA())</f>
        <v>#N/A</v>
      </c>
      <c r="I405" s="228" t="e">
        <f ca="1">+C405*Catalogo!$F$19+EV!D405*Catalogo!$F$14+EV!E405*Catalogo!$F$16+EV!F405*Catalogo!$F$18</f>
        <v>#N/A</v>
      </c>
      <c r="J405" s="228" t="e">
        <f ca="1">IF(TODAY()&gt;=$A405,SUMIFS(Tabla1[EV],Tabla1[Fecha],"&lt;="&amp;A405,Tabla1[EV],"&gt;0"),NA())</f>
        <v>#N/A</v>
      </c>
      <c r="L405"/>
    </row>
    <row r="406" spans="1:12" x14ac:dyDescent="0.25">
      <c r="A406" s="62">
        <f t="shared" si="8"/>
        <v>46366</v>
      </c>
      <c r="B406" s="62"/>
      <c r="C406" s="110" t="e">
        <f ca="1">IF(TODAY()&gt;=$A406,SUMIFS(Tabla1[Avance_km],Tabla1[Fecha],"&lt;="&amp;EV!$A406,Tabla1[nombre_actividad],EV!C$1),NA())</f>
        <v>#N/A</v>
      </c>
      <c r="D406" s="110" t="e">
        <f ca="1">IF(TODAY()&gt;=$A406,SUMIFS(Tabla1[Avance_km],Tabla1[Fecha],"&lt;="&amp;EV!$A406,Tabla1[nombre_actividad],EV!D$1),NA())</f>
        <v>#N/A</v>
      </c>
      <c r="E406" s="110" t="e">
        <f ca="1">IF(TODAY()&gt;=$A406,SUMIFS(Tabla1[Avance_km],Tabla1[Fecha],"&lt;="&amp;EV!$A406,Tabla1[nombre_actividad],EV!E$1,Tabla1[Avance_km],"&gt;0"),NA())</f>
        <v>#N/A</v>
      </c>
      <c r="F406" s="67" t="e">
        <f ca="1">IF(TODAY()&gt;=$A406,SUMIFS(Tabla1[Avance_Med],Tabla1[Fecha],"&lt;="&amp;EV!$A406,Tabla1[nombre_actividad],EV!F$1),NA())</f>
        <v>#N/A</v>
      </c>
      <c r="G406" s="67"/>
      <c r="H406" s="110" t="e">
        <f ca="1">IF(TODAY()&gt;=$A406,SUMIFS(Tabla1[Avance_km],Tabla1[Fecha],"&lt;="&amp;EV!$A406-1,Tabla1[nombre_actividad],EV!H$1),NA())</f>
        <v>#N/A</v>
      </c>
      <c r="I406" s="228" t="e">
        <f ca="1">+C406*Catalogo!$F$19+EV!D406*Catalogo!$F$14+EV!E406*Catalogo!$F$16+EV!F406*Catalogo!$F$18</f>
        <v>#N/A</v>
      </c>
      <c r="J406" s="228" t="e">
        <f ca="1">IF(TODAY()&gt;=$A406,SUMIFS(Tabla1[EV],Tabla1[Fecha],"&lt;="&amp;A406,Tabla1[EV],"&gt;0"),NA())</f>
        <v>#N/A</v>
      </c>
      <c r="L406"/>
    </row>
    <row r="407" spans="1:12" x14ac:dyDescent="0.25">
      <c r="A407" s="62">
        <f t="shared" si="8"/>
        <v>46367</v>
      </c>
      <c r="B407" s="62"/>
      <c r="C407" s="110" t="e">
        <f ca="1">IF(TODAY()&gt;=$A407,SUMIFS(Tabla1[Avance_km],Tabla1[Fecha],"&lt;="&amp;EV!$A407,Tabla1[nombre_actividad],EV!C$1),NA())</f>
        <v>#N/A</v>
      </c>
      <c r="D407" s="110" t="e">
        <f ca="1">IF(TODAY()&gt;=$A407,SUMIFS(Tabla1[Avance_km],Tabla1[Fecha],"&lt;="&amp;EV!$A407,Tabla1[nombre_actividad],EV!D$1),NA())</f>
        <v>#N/A</v>
      </c>
      <c r="E407" s="110" t="e">
        <f ca="1">IF(TODAY()&gt;=$A407,SUMIFS(Tabla1[Avance_km],Tabla1[Fecha],"&lt;="&amp;EV!$A407,Tabla1[nombre_actividad],EV!E$1,Tabla1[Avance_km],"&gt;0"),NA())</f>
        <v>#N/A</v>
      </c>
      <c r="F407" s="67" t="e">
        <f ca="1">IF(TODAY()&gt;=$A407,SUMIFS(Tabla1[Avance_Med],Tabla1[Fecha],"&lt;="&amp;EV!$A407,Tabla1[nombre_actividad],EV!F$1),NA())</f>
        <v>#N/A</v>
      </c>
      <c r="G407" s="67"/>
      <c r="H407" s="110" t="e">
        <f ca="1">IF(TODAY()&gt;=$A407,SUMIFS(Tabla1[Avance_km],Tabla1[Fecha],"&lt;="&amp;EV!$A407-1,Tabla1[nombre_actividad],EV!H$1),NA())</f>
        <v>#N/A</v>
      </c>
      <c r="I407" s="228" t="e">
        <f ca="1">+C407*Catalogo!$F$19+EV!D407*Catalogo!$F$14+EV!E407*Catalogo!$F$16+EV!F407*Catalogo!$F$18</f>
        <v>#N/A</v>
      </c>
      <c r="J407" s="228" t="e">
        <f ca="1">IF(TODAY()&gt;=$A407,SUMIFS(Tabla1[EV],Tabla1[Fecha],"&lt;="&amp;A407,Tabla1[EV],"&gt;0"),NA())</f>
        <v>#N/A</v>
      </c>
      <c r="L407"/>
    </row>
    <row r="408" spans="1:12" x14ac:dyDescent="0.25">
      <c r="A408" s="62">
        <f t="shared" si="8"/>
        <v>46368</v>
      </c>
      <c r="B408" s="62"/>
      <c r="C408" s="110" t="e">
        <f ca="1">IF(TODAY()&gt;=$A408,SUMIFS(Tabla1[Avance_km],Tabla1[Fecha],"&lt;="&amp;EV!$A408,Tabla1[nombre_actividad],EV!C$1),NA())</f>
        <v>#N/A</v>
      </c>
      <c r="D408" s="110" t="e">
        <f ca="1">IF(TODAY()&gt;=$A408,SUMIFS(Tabla1[Avance_km],Tabla1[Fecha],"&lt;="&amp;EV!$A408,Tabla1[nombre_actividad],EV!D$1),NA())</f>
        <v>#N/A</v>
      </c>
      <c r="E408" s="110" t="e">
        <f ca="1">IF(TODAY()&gt;=$A408,SUMIFS(Tabla1[Avance_km],Tabla1[Fecha],"&lt;="&amp;EV!$A408,Tabla1[nombre_actividad],EV!E$1,Tabla1[Avance_km],"&gt;0"),NA())</f>
        <v>#N/A</v>
      </c>
      <c r="F408" s="67" t="e">
        <f ca="1">IF(TODAY()&gt;=$A408,SUMIFS(Tabla1[Avance_Med],Tabla1[Fecha],"&lt;="&amp;EV!$A408,Tabla1[nombre_actividad],EV!F$1),NA())</f>
        <v>#N/A</v>
      </c>
      <c r="G408" s="67"/>
      <c r="H408" s="110" t="e">
        <f ca="1">IF(TODAY()&gt;=$A408,SUMIFS(Tabla1[Avance_km],Tabla1[Fecha],"&lt;="&amp;EV!$A408-1,Tabla1[nombre_actividad],EV!H$1),NA())</f>
        <v>#N/A</v>
      </c>
      <c r="I408" s="228" t="e">
        <f ca="1">+C408*Catalogo!$F$19+EV!D408*Catalogo!$F$14+EV!E408*Catalogo!$F$16+EV!F408*Catalogo!$F$18</f>
        <v>#N/A</v>
      </c>
      <c r="J408" s="228" t="e">
        <f ca="1">IF(TODAY()&gt;=$A408,SUMIFS(Tabla1[EV],Tabla1[Fecha],"&lt;="&amp;A408,Tabla1[EV],"&gt;0"),NA())</f>
        <v>#N/A</v>
      </c>
      <c r="L408"/>
    </row>
    <row r="409" spans="1:12" x14ac:dyDescent="0.25">
      <c r="A409" s="62">
        <f t="shared" si="8"/>
        <v>46369</v>
      </c>
      <c r="B409" s="62"/>
      <c r="C409" s="110" t="e">
        <f ca="1">IF(TODAY()&gt;=$A409,SUMIFS(Tabla1[Avance_km],Tabla1[Fecha],"&lt;="&amp;EV!$A409,Tabla1[nombre_actividad],EV!C$1),NA())</f>
        <v>#N/A</v>
      </c>
      <c r="D409" s="110" t="e">
        <f ca="1">IF(TODAY()&gt;=$A409,SUMIFS(Tabla1[Avance_km],Tabla1[Fecha],"&lt;="&amp;EV!$A409,Tabla1[nombre_actividad],EV!D$1),NA())</f>
        <v>#N/A</v>
      </c>
      <c r="E409" s="110" t="e">
        <f ca="1">IF(TODAY()&gt;=$A409,SUMIFS(Tabla1[Avance_km],Tabla1[Fecha],"&lt;="&amp;EV!$A409,Tabla1[nombre_actividad],EV!E$1,Tabla1[Avance_km],"&gt;0"),NA())</f>
        <v>#N/A</v>
      </c>
      <c r="F409" s="67" t="e">
        <f ca="1">IF(TODAY()&gt;=$A409,SUMIFS(Tabla1[Avance_Med],Tabla1[Fecha],"&lt;="&amp;EV!$A409,Tabla1[nombre_actividad],EV!F$1),NA())</f>
        <v>#N/A</v>
      </c>
      <c r="G409" s="67"/>
      <c r="H409" s="110" t="e">
        <f ca="1">IF(TODAY()&gt;=$A409,SUMIFS(Tabla1[Avance_km],Tabla1[Fecha],"&lt;="&amp;EV!$A409-1,Tabla1[nombre_actividad],EV!H$1),NA())</f>
        <v>#N/A</v>
      </c>
      <c r="I409" s="228" t="e">
        <f ca="1">+C409*Catalogo!$F$19+EV!D409*Catalogo!$F$14+EV!E409*Catalogo!$F$16+EV!F409*Catalogo!$F$18</f>
        <v>#N/A</v>
      </c>
      <c r="J409" s="228" t="e">
        <f ca="1">IF(TODAY()&gt;=$A409,SUMIFS(Tabla1[EV],Tabla1[Fecha],"&lt;="&amp;A409,Tabla1[EV],"&gt;0"),NA())</f>
        <v>#N/A</v>
      </c>
      <c r="L409"/>
    </row>
    <row r="410" spans="1:12" x14ac:dyDescent="0.25">
      <c r="A410" s="62">
        <f t="shared" si="8"/>
        <v>46370</v>
      </c>
      <c r="B410" s="62"/>
      <c r="C410" s="110" t="e">
        <f ca="1">IF(TODAY()&gt;=$A410,SUMIFS(Tabla1[Avance_km],Tabla1[Fecha],"&lt;="&amp;EV!$A410,Tabla1[nombre_actividad],EV!C$1),NA())</f>
        <v>#N/A</v>
      </c>
      <c r="D410" s="110" t="e">
        <f ca="1">IF(TODAY()&gt;=$A410,SUMIFS(Tabla1[Avance_km],Tabla1[Fecha],"&lt;="&amp;EV!$A410,Tabla1[nombre_actividad],EV!D$1),NA())</f>
        <v>#N/A</v>
      </c>
      <c r="E410" s="110" t="e">
        <f ca="1">IF(TODAY()&gt;=$A410,SUMIFS(Tabla1[Avance_km],Tabla1[Fecha],"&lt;="&amp;EV!$A410,Tabla1[nombre_actividad],EV!E$1,Tabla1[Avance_km],"&gt;0"),NA())</f>
        <v>#N/A</v>
      </c>
      <c r="F410" s="67" t="e">
        <f ca="1">IF(TODAY()&gt;=$A410,SUMIFS(Tabla1[Avance_Med],Tabla1[Fecha],"&lt;="&amp;EV!$A410,Tabla1[nombre_actividad],EV!F$1),NA())</f>
        <v>#N/A</v>
      </c>
      <c r="G410" s="67"/>
      <c r="H410" s="110" t="e">
        <f ca="1">IF(TODAY()&gt;=$A410,SUMIFS(Tabla1[Avance_km],Tabla1[Fecha],"&lt;="&amp;EV!$A410-1,Tabla1[nombre_actividad],EV!H$1),NA())</f>
        <v>#N/A</v>
      </c>
      <c r="I410" s="228" t="e">
        <f ca="1">+C410*Catalogo!$F$19+EV!D410*Catalogo!$F$14+EV!E410*Catalogo!$F$16+EV!F410*Catalogo!$F$18</f>
        <v>#N/A</v>
      </c>
      <c r="J410" s="228" t="e">
        <f ca="1">IF(TODAY()&gt;=$A410,SUMIFS(Tabla1[EV],Tabla1[Fecha],"&lt;="&amp;A410,Tabla1[EV],"&gt;0"),NA())</f>
        <v>#N/A</v>
      </c>
      <c r="L410"/>
    </row>
    <row r="411" spans="1:12" x14ac:dyDescent="0.25">
      <c r="A411" s="62">
        <f t="shared" si="8"/>
        <v>46371</v>
      </c>
      <c r="B411" s="62"/>
      <c r="C411" s="110" t="e">
        <f ca="1">IF(TODAY()&gt;=$A411,SUMIFS(Tabla1[Avance_km],Tabla1[Fecha],"&lt;="&amp;EV!$A411,Tabla1[nombre_actividad],EV!C$1),NA())</f>
        <v>#N/A</v>
      </c>
      <c r="D411" s="110" t="e">
        <f ca="1">IF(TODAY()&gt;=$A411,SUMIFS(Tabla1[Avance_km],Tabla1[Fecha],"&lt;="&amp;EV!$A411,Tabla1[nombre_actividad],EV!D$1),NA())</f>
        <v>#N/A</v>
      </c>
      <c r="E411" s="110" t="e">
        <f ca="1">IF(TODAY()&gt;=$A411,SUMIFS(Tabla1[Avance_km],Tabla1[Fecha],"&lt;="&amp;EV!$A411,Tabla1[nombre_actividad],EV!E$1,Tabla1[Avance_km],"&gt;0"),NA())</f>
        <v>#N/A</v>
      </c>
      <c r="F411" s="67" t="e">
        <f ca="1">IF(TODAY()&gt;=$A411,SUMIFS(Tabla1[Avance_Med],Tabla1[Fecha],"&lt;="&amp;EV!$A411,Tabla1[nombre_actividad],EV!F$1),NA())</f>
        <v>#N/A</v>
      </c>
      <c r="G411" s="67"/>
      <c r="H411" s="110" t="e">
        <f ca="1">IF(TODAY()&gt;=$A411,SUMIFS(Tabla1[Avance_km],Tabla1[Fecha],"&lt;="&amp;EV!$A411-1,Tabla1[nombre_actividad],EV!H$1),NA())</f>
        <v>#N/A</v>
      </c>
      <c r="I411" s="228" t="e">
        <f ca="1">+C411*Catalogo!$F$19+EV!D411*Catalogo!$F$14+EV!E411*Catalogo!$F$16+EV!F411*Catalogo!$F$18</f>
        <v>#N/A</v>
      </c>
      <c r="J411" s="228" t="e">
        <f ca="1">IF(TODAY()&gt;=$A411,SUMIFS(Tabla1[EV],Tabla1[Fecha],"&lt;="&amp;A411,Tabla1[EV],"&gt;0"),NA())</f>
        <v>#N/A</v>
      </c>
      <c r="L411"/>
    </row>
    <row r="412" spans="1:12" x14ac:dyDescent="0.25">
      <c r="A412" s="62">
        <f t="shared" si="8"/>
        <v>46372</v>
      </c>
      <c r="B412" s="62"/>
      <c r="C412" s="110" t="e">
        <f ca="1">IF(TODAY()&gt;=$A412,SUMIFS(Tabla1[Avance_km],Tabla1[Fecha],"&lt;="&amp;EV!$A412,Tabla1[nombre_actividad],EV!C$1),NA())</f>
        <v>#N/A</v>
      </c>
      <c r="D412" s="110" t="e">
        <f ca="1">IF(TODAY()&gt;=$A412,SUMIFS(Tabla1[Avance_km],Tabla1[Fecha],"&lt;="&amp;EV!$A412,Tabla1[nombre_actividad],EV!D$1),NA())</f>
        <v>#N/A</v>
      </c>
      <c r="E412" s="110" t="e">
        <f ca="1">IF(TODAY()&gt;=$A412,SUMIFS(Tabla1[Avance_km],Tabla1[Fecha],"&lt;="&amp;EV!$A412,Tabla1[nombre_actividad],EV!E$1,Tabla1[Avance_km],"&gt;0"),NA())</f>
        <v>#N/A</v>
      </c>
      <c r="F412" s="67" t="e">
        <f ca="1">IF(TODAY()&gt;=$A412,SUMIFS(Tabla1[Avance_Med],Tabla1[Fecha],"&lt;="&amp;EV!$A412,Tabla1[nombre_actividad],EV!F$1),NA())</f>
        <v>#N/A</v>
      </c>
      <c r="G412" s="67"/>
      <c r="H412" s="110" t="e">
        <f ca="1">IF(TODAY()&gt;=$A412,SUMIFS(Tabla1[Avance_km],Tabla1[Fecha],"&lt;="&amp;EV!$A412-1,Tabla1[nombre_actividad],EV!H$1),NA())</f>
        <v>#N/A</v>
      </c>
      <c r="I412" s="228" t="e">
        <f ca="1">+C412*Catalogo!$F$19+EV!D412*Catalogo!$F$14+EV!E412*Catalogo!$F$16+EV!F412*Catalogo!$F$18</f>
        <v>#N/A</v>
      </c>
      <c r="J412" s="228" t="e">
        <f ca="1">IF(TODAY()&gt;=$A412,SUMIFS(Tabla1[EV],Tabla1[Fecha],"&lt;="&amp;A412,Tabla1[EV],"&gt;0"),NA())</f>
        <v>#N/A</v>
      </c>
      <c r="L412"/>
    </row>
    <row r="413" spans="1:12" x14ac:dyDescent="0.25">
      <c r="A413" s="62">
        <f t="shared" si="8"/>
        <v>46373</v>
      </c>
      <c r="B413" s="62"/>
      <c r="C413" s="110" t="e">
        <f ca="1">IF(TODAY()&gt;=$A413,SUMIFS(Tabla1[Avance_km],Tabla1[Fecha],"&lt;="&amp;EV!$A413,Tabla1[nombre_actividad],EV!C$1),NA())</f>
        <v>#N/A</v>
      </c>
      <c r="D413" s="110" t="e">
        <f ca="1">IF(TODAY()&gt;=$A413,SUMIFS(Tabla1[Avance_km],Tabla1[Fecha],"&lt;="&amp;EV!$A413,Tabla1[nombre_actividad],EV!D$1),NA())</f>
        <v>#N/A</v>
      </c>
      <c r="E413" s="110" t="e">
        <f ca="1">IF(TODAY()&gt;=$A413,SUMIFS(Tabla1[Avance_km],Tabla1[Fecha],"&lt;="&amp;EV!$A413,Tabla1[nombre_actividad],EV!E$1,Tabla1[Avance_km],"&gt;0"),NA())</f>
        <v>#N/A</v>
      </c>
      <c r="F413" s="67" t="e">
        <f ca="1">IF(TODAY()&gt;=$A413,SUMIFS(Tabla1[Avance_Med],Tabla1[Fecha],"&lt;="&amp;EV!$A413,Tabla1[nombre_actividad],EV!F$1),NA())</f>
        <v>#N/A</v>
      </c>
      <c r="G413" s="67"/>
      <c r="H413" s="110" t="e">
        <f ca="1">IF(TODAY()&gt;=$A413,SUMIFS(Tabla1[Avance_km],Tabla1[Fecha],"&lt;="&amp;EV!$A413-1,Tabla1[nombre_actividad],EV!H$1),NA())</f>
        <v>#N/A</v>
      </c>
      <c r="I413" s="228" t="e">
        <f ca="1">+C413*Catalogo!$F$19+EV!D413*Catalogo!$F$14+EV!E413*Catalogo!$F$16+EV!F413*Catalogo!$F$18</f>
        <v>#N/A</v>
      </c>
      <c r="J413" s="228" t="e">
        <f ca="1">IF(TODAY()&gt;=$A413,SUMIFS(Tabla1[EV],Tabla1[Fecha],"&lt;="&amp;A413,Tabla1[EV],"&gt;0"),NA())</f>
        <v>#N/A</v>
      </c>
      <c r="L413"/>
    </row>
    <row r="414" spans="1:12" x14ac:dyDescent="0.25">
      <c r="A414" s="62">
        <f t="shared" si="8"/>
        <v>46374</v>
      </c>
      <c r="B414" s="62"/>
      <c r="C414" s="110" t="e">
        <f ca="1">IF(TODAY()&gt;=$A414,SUMIFS(Tabla1[Avance_km],Tabla1[Fecha],"&lt;="&amp;EV!$A414,Tabla1[nombre_actividad],EV!C$1),NA())</f>
        <v>#N/A</v>
      </c>
      <c r="D414" s="110" t="e">
        <f ca="1">IF(TODAY()&gt;=$A414,SUMIFS(Tabla1[Avance_km],Tabla1[Fecha],"&lt;="&amp;EV!$A414,Tabla1[nombre_actividad],EV!D$1),NA())</f>
        <v>#N/A</v>
      </c>
      <c r="E414" s="110" t="e">
        <f ca="1">IF(TODAY()&gt;=$A414,SUMIFS(Tabla1[Avance_km],Tabla1[Fecha],"&lt;="&amp;EV!$A414,Tabla1[nombre_actividad],EV!E$1,Tabla1[Avance_km],"&gt;0"),NA())</f>
        <v>#N/A</v>
      </c>
      <c r="F414" s="67" t="e">
        <f ca="1">IF(TODAY()&gt;=$A414,SUMIFS(Tabla1[Avance_Med],Tabla1[Fecha],"&lt;="&amp;EV!$A414,Tabla1[nombre_actividad],EV!F$1),NA())</f>
        <v>#N/A</v>
      </c>
      <c r="G414" s="67"/>
      <c r="H414" s="110" t="e">
        <f ca="1">IF(TODAY()&gt;=$A414,SUMIFS(Tabla1[Avance_km],Tabla1[Fecha],"&lt;="&amp;EV!$A414-1,Tabla1[nombre_actividad],EV!H$1),NA())</f>
        <v>#N/A</v>
      </c>
      <c r="I414" s="228" t="e">
        <f ca="1">+C414*Catalogo!$F$19+EV!D414*Catalogo!$F$14+EV!E414*Catalogo!$F$16+EV!F414*Catalogo!$F$18</f>
        <v>#N/A</v>
      </c>
      <c r="J414" s="228" t="e">
        <f ca="1">IF(TODAY()&gt;=$A414,SUMIFS(Tabla1[EV],Tabla1[Fecha],"&lt;="&amp;A414,Tabla1[EV],"&gt;0"),NA())</f>
        <v>#N/A</v>
      </c>
      <c r="L414"/>
    </row>
    <row r="415" spans="1:12" x14ac:dyDescent="0.25">
      <c r="A415" s="62">
        <f t="shared" si="8"/>
        <v>46375</v>
      </c>
      <c r="B415" s="62"/>
      <c r="C415" s="110" t="e">
        <f ca="1">IF(TODAY()&gt;=$A415,SUMIFS(Tabla1[Avance_km],Tabla1[Fecha],"&lt;="&amp;EV!$A415,Tabla1[nombre_actividad],EV!C$1),NA())</f>
        <v>#N/A</v>
      </c>
      <c r="D415" s="110" t="e">
        <f ca="1">IF(TODAY()&gt;=$A415,SUMIFS(Tabla1[Avance_km],Tabla1[Fecha],"&lt;="&amp;EV!$A415,Tabla1[nombre_actividad],EV!D$1),NA())</f>
        <v>#N/A</v>
      </c>
      <c r="E415" s="110" t="e">
        <f ca="1">IF(TODAY()&gt;=$A415,SUMIFS(Tabla1[Avance_km],Tabla1[Fecha],"&lt;="&amp;EV!$A415,Tabla1[nombre_actividad],EV!E$1,Tabla1[Avance_km],"&gt;0"),NA())</f>
        <v>#N/A</v>
      </c>
      <c r="F415" s="67" t="e">
        <f ca="1">IF(TODAY()&gt;=$A415,SUMIFS(Tabla1[Avance_Med],Tabla1[Fecha],"&lt;="&amp;EV!$A415,Tabla1[nombre_actividad],EV!F$1),NA())</f>
        <v>#N/A</v>
      </c>
      <c r="G415" s="67"/>
      <c r="H415" s="110" t="e">
        <f ca="1">IF(TODAY()&gt;=$A415,SUMIFS(Tabla1[Avance_km],Tabla1[Fecha],"&lt;="&amp;EV!$A415-1,Tabla1[nombre_actividad],EV!H$1),NA())</f>
        <v>#N/A</v>
      </c>
      <c r="I415" s="228" t="e">
        <f ca="1">+C415*Catalogo!$F$19+EV!D415*Catalogo!$F$14+EV!E415*Catalogo!$F$16+EV!F415*Catalogo!$F$18</f>
        <v>#N/A</v>
      </c>
      <c r="J415" s="228" t="e">
        <f ca="1">IF(TODAY()&gt;=$A415,SUMIFS(Tabla1[EV],Tabla1[Fecha],"&lt;="&amp;A415,Tabla1[EV],"&gt;0"),NA())</f>
        <v>#N/A</v>
      </c>
      <c r="L415"/>
    </row>
    <row r="416" spans="1:12" x14ac:dyDescent="0.25">
      <c r="A416" s="62">
        <f t="shared" si="8"/>
        <v>46376</v>
      </c>
      <c r="B416" s="62"/>
      <c r="C416" s="110" t="e">
        <f ca="1">IF(TODAY()&gt;=$A416,SUMIFS(Tabla1[Avance_km],Tabla1[Fecha],"&lt;="&amp;EV!$A416,Tabla1[nombre_actividad],EV!C$1),NA())</f>
        <v>#N/A</v>
      </c>
      <c r="D416" s="110" t="e">
        <f ca="1">IF(TODAY()&gt;=$A416,SUMIFS(Tabla1[Avance_km],Tabla1[Fecha],"&lt;="&amp;EV!$A416,Tabla1[nombre_actividad],EV!D$1),NA())</f>
        <v>#N/A</v>
      </c>
      <c r="E416" s="110" t="e">
        <f ca="1">IF(TODAY()&gt;=$A416,SUMIFS(Tabla1[Avance_km],Tabla1[Fecha],"&lt;="&amp;EV!$A416,Tabla1[nombre_actividad],EV!E$1,Tabla1[Avance_km],"&gt;0"),NA())</f>
        <v>#N/A</v>
      </c>
      <c r="F416" s="67" t="e">
        <f ca="1">IF(TODAY()&gt;=$A416,SUMIFS(Tabla1[Avance_Med],Tabla1[Fecha],"&lt;="&amp;EV!$A416,Tabla1[nombre_actividad],EV!F$1),NA())</f>
        <v>#N/A</v>
      </c>
      <c r="G416" s="67"/>
      <c r="H416" s="110" t="e">
        <f ca="1">IF(TODAY()&gt;=$A416,SUMIFS(Tabla1[Avance_km],Tabla1[Fecha],"&lt;="&amp;EV!$A416-1,Tabla1[nombre_actividad],EV!H$1),NA())</f>
        <v>#N/A</v>
      </c>
      <c r="I416" s="228" t="e">
        <f ca="1">+C416*Catalogo!$F$19+EV!D416*Catalogo!$F$14+EV!E416*Catalogo!$F$16+EV!F416*Catalogo!$F$18</f>
        <v>#N/A</v>
      </c>
      <c r="J416" s="228" t="e">
        <f ca="1">IF(TODAY()&gt;=$A416,SUMIFS(Tabla1[EV],Tabla1[Fecha],"&lt;="&amp;A416,Tabla1[EV],"&gt;0"),NA())</f>
        <v>#N/A</v>
      </c>
      <c r="L416"/>
    </row>
    <row r="417" spans="1:12" x14ac:dyDescent="0.25">
      <c r="A417" s="62">
        <f t="shared" si="8"/>
        <v>46377</v>
      </c>
      <c r="B417" s="62"/>
      <c r="C417" s="110" t="e">
        <f ca="1">IF(TODAY()&gt;=$A417,SUMIFS(Tabla1[Avance_km],Tabla1[Fecha],"&lt;="&amp;EV!$A417,Tabla1[nombre_actividad],EV!C$1),NA())</f>
        <v>#N/A</v>
      </c>
      <c r="D417" s="110" t="e">
        <f ca="1">IF(TODAY()&gt;=$A417,SUMIFS(Tabla1[Avance_km],Tabla1[Fecha],"&lt;="&amp;EV!$A417,Tabla1[nombre_actividad],EV!D$1),NA())</f>
        <v>#N/A</v>
      </c>
      <c r="E417" s="110" t="e">
        <f ca="1">IF(TODAY()&gt;=$A417,SUMIFS(Tabla1[Avance_km],Tabla1[Fecha],"&lt;="&amp;EV!$A417,Tabla1[nombre_actividad],EV!E$1,Tabla1[Avance_km],"&gt;0"),NA())</f>
        <v>#N/A</v>
      </c>
      <c r="F417" s="67" t="e">
        <f ca="1">IF(TODAY()&gt;=$A417,SUMIFS(Tabla1[Avance_Med],Tabla1[Fecha],"&lt;="&amp;EV!$A417,Tabla1[nombre_actividad],EV!F$1),NA())</f>
        <v>#N/A</v>
      </c>
      <c r="G417" s="67"/>
      <c r="H417" s="110" t="e">
        <f ca="1">IF(TODAY()&gt;=$A417,SUMIFS(Tabla1[Avance_km],Tabla1[Fecha],"&lt;="&amp;EV!$A417-1,Tabla1[nombre_actividad],EV!H$1),NA())</f>
        <v>#N/A</v>
      </c>
      <c r="I417" s="228" t="e">
        <f ca="1">+C417*Catalogo!$F$19+EV!D417*Catalogo!$F$14+EV!E417*Catalogo!$F$16+EV!F417*Catalogo!$F$18</f>
        <v>#N/A</v>
      </c>
      <c r="J417" s="228" t="e">
        <f ca="1">IF(TODAY()&gt;=$A417,SUMIFS(Tabla1[EV],Tabla1[Fecha],"&lt;="&amp;A417,Tabla1[EV],"&gt;0"),NA())</f>
        <v>#N/A</v>
      </c>
      <c r="L417"/>
    </row>
    <row r="418" spans="1:12" x14ac:dyDescent="0.25">
      <c r="A418" s="62">
        <f t="shared" si="8"/>
        <v>46378</v>
      </c>
      <c r="B418" s="62"/>
      <c r="C418" s="110" t="e">
        <f ca="1">IF(TODAY()&gt;=$A418,SUMIFS(Tabla1[Avance_km],Tabla1[Fecha],"&lt;="&amp;EV!$A418,Tabla1[nombre_actividad],EV!C$1),NA())</f>
        <v>#N/A</v>
      </c>
      <c r="D418" s="110" t="e">
        <f ca="1">IF(TODAY()&gt;=$A418,SUMIFS(Tabla1[Avance_km],Tabla1[Fecha],"&lt;="&amp;EV!$A418,Tabla1[nombre_actividad],EV!D$1),NA())</f>
        <v>#N/A</v>
      </c>
      <c r="E418" s="110" t="e">
        <f ca="1">IF(TODAY()&gt;=$A418,SUMIFS(Tabla1[Avance_km],Tabla1[Fecha],"&lt;="&amp;EV!$A418,Tabla1[nombre_actividad],EV!E$1,Tabla1[Avance_km],"&gt;0"),NA())</f>
        <v>#N/A</v>
      </c>
      <c r="F418" s="67" t="e">
        <f ca="1">IF(TODAY()&gt;=$A418,SUMIFS(Tabla1[Avance_Med],Tabla1[Fecha],"&lt;="&amp;EV!$A418,Tabla1[nombre_actividad],EV!F$1),NA())</f>
        <v>#N/A</v>
      </c>
      <c r="G418" s="67"/>
      <c r="H418" s="110" t="e">
        <f ca="1">IF(TODAY()&gt;=$A418,SUMIFS(Tabla1[Avance_km],Tabla1[Fecha],"&lt;="&amp;EV!$A418-1,Tabla1[nombre_actividad],EV!H$1),NA())</f>
        <v>#N/A</v>
      </c>
      <c r="I418" s="228" t="e">
        <f ca="1">+C418*Catalogo!$F$19+EV!D418*Catalogo!$F$14+EV!E418*Catalogo!$F$16+EV!F418*Catalogo!$F$18</f>
        <v>#N/A</v>
      </c>
      <c r="J418" s="228" t="e">
        <f ca="1">IF(TODAY()&gt;=$A418,SUMIFS(Tabla1[EV],Tabla1[Fecha],"&lt;="&amp;A418,Tabla1[EV],"&gt;0"),NA())</f>
        <v>#N/A</v>
      </c>
      <c r="L418"/>
    </row>
    <row r="419" spans="1:12" x14ac:dyDescent="0.25">
      <c r="A419" s="62">
        <f t="shared" si="8"/>
        <v>46379</v>
      </c>
      <c r="B419" s="62"/>
      <c r="C419" s="110" t="e">
        <f ca="1">IF(TODAY()&gt;=$A419,SUMIFS(Tabla1[Avance_km],Tabla1[Fecha],"&lt;="&amp;EV!$A419,Tabla1[nombre_actividad],EV!C$1),NA())</f>
        <v>#N/A</v>
      </c>
      <c r="D419" s="110" t="e">
        <f ca="1">IF(TODAY()&gt;=$A419,SUMIFS(Tabla1[Avance_km],Tabla1[Fecha],"&lt;="&amp;EV!$A419,Tabla1[nombre_actividad],EV!D$1),NA())</f>
        <v>#N/A</v>
      </c>
      <c r="E419" s="110" t="e">
        <f ca="1">IF(TODAY()&gt;=$A419,SUMIFS(Tabla1[Avance_km],Tabla1[Fecha],"&lt;="&amp;EV!$A419,Tabla1[nombre_actividad],EV!E$1,Tabla1[Avance_km],"&gt;0"),NA())</f>
        <v>#N/A</v>
      </c>
      <c r="F419" s="67" t="e">
        <f ca="1">IF(TODAY()&gt;=$A419,SUMIFS(Tabla1[Avance_Med],Tabla1[Fecha],"&lt;="&amp;EV!$A419,Tabla1[nombre_actividad],EV!F$1),NA())</f>
        <v>#N/A</v>
      </c>
      <c r="G419" s="67"/>
      <c r="H419" s="110" t="e">
        <f ca="1">IF(TODAY()&gt;=$A419,SUMIFS(Tabla1[Avance_km],Tabla1[Fecha],"&lt;="&amp;EV!$A419-1,Tabla1[nombre_actividad],EV!H$1),NA())</f>
        <v>#N/A</v>
      </c>
      <c r="I419" s="228" t="e">
        <f ca="1">+C419*Catalogo!$F$19+EV!D419*Catalogo!$F$14+EV!E419*Catalogo!$F$16+EV!F419*Catalogo!$F$18</f>
        <v>#N/A</v>
      </c>
      <c r="J419" s="228" t="e">
        <f ca="1">IF(TODAY()&gt;=$A419,SUMIFS(Tabla1[EV],Tabla1[Fecha],"&lt;="&amp;A419,Tabla1[EV],"&gt;0"),NA())</f>
        <v>#N/A</v>
      </c>
      <c r="L419"/>
    </row>
    <row r="420" spans="1:12" x14ac:dyDescent="0.25">
      <c r="A420" s="62">
        <f t="shared" si="8"/>
        <v>46380</v>
      </c>
      <c r="B420" s="62"/>
      <c r="C420" s="110" t="e">
        <f ca="1">IF(TODAY()&gt;=$A420,SUMIFS(Tabla1[Avance_km],Tabla1[Fecha],"&lt;="&amp;EV!$A420,Tabla1[nombre_actividad],EV!C$1),NA())</f>
        <v>#N/A</v>
      </c>
      <c r="D420" s="110" t="e">
        <f ca="1">IF(TODAY()&gt;=$A420,SUMIFS(Tabla1[Avance_km],Tabla1[Fecha],"&lt;="&amp;EV!$A420,Tabla1[nombre_actividad],EV!D$1),NA())</f>
        <v>#N/A</v>
      </c>
      <c r="E420" s="110" t="e">
        <f ca="1">IF(TODAY()&gt;=$A420,SUMIFS(Tabla1[Avance_km],Tabla1[Fecha],"&lt;="&amp;EV!$A420,Tabla1[nombre_actividad],EV!E$1,Tabla1[Avance_km],"&gt;0"),NA())</f>
        <v>#N/A</v>
      </c>
      <c r="F420" s="67" t="e">
        <f ca="1">IF(TODAY()&gt;=$A420,SUMIFS(Tabla1[Avance_Med],Tabla1[Fecha],"&lt;="&amp;EV!$A420,Tabla1[nombre_actividad],EV!F$1),NA())</f>
        <v>#N/A</v>
      </c>
      <c r="G420" s="67"/>
      <c r="H420" s="110" t="e">
        <f ca="1">IF(TODAY()&gt;=$A420,SUMIFS(Tabla1[Avance_km],Tabla1[Fecha],"&lt;="&amp;EV!$A420-1,Tabla1[nombre_actividad],EV!H$1),NA())</f>
        <v>#N/A</v>
      </c>
      <c r="I420" s="228" t="e">
        <f ca="1">+C420*Catalogo!$F$19+EV!D420*Catalogo!$F$14+EV!E420*Catalogo!$F$16+EV!F420*Catalogo!$F$18</f>
        <v>#N/A</v>
      </c>
      <c r="J420" s="228" t="e">
        <f ca="1">IF(TODAY()&gt;=$A420,SUMIFS(Tabla1[EV],Tabla1[Fecha],"&lt;="&amp;A420,Tabla1[EV],"&gt;0"),NA())</f>
        <v>#N/A</v>
      </c>
      <c r="L420"/>
    </row>
    <row r="421" spans="1:12" x14ac:dyDescent="0.25">
      <c r="A421" s="62">
        <f t="shared" si="8"/>
        <v>46381</v>
      </c>
      <c r="B421" s="62"/>
      <c r="C421" s="110" t="e">
        <f ca="1">IF(TODAY()&gt;=$A421,SUMIFS(Tabla1[Avance_km],Tabla1[Fecha],"&lt;="&amp;EV!$A421,Tabla1[nombre_actividad],EV!C$1),NA())</f>
        <v>#N/A</v>
      </c>
      <c r="D421" s="110" t="e">
        <f ca="1">IF(TODAY()&gt;=$A421,SUMIFS(Tabla1[Avance_km],Tabla1[Fecha],"&lt;="&amp;EV!$A421,Tabla1[nombre_actividad],EV!D$1),NA())</f>
        <v>#N/A</v>
      </c>
      <c r="E421" s="110" t="e">
        <f ca="1">IF(TODAY()&gt;=$A421,SUMIFS(Tabla1[Avance_km],Tabla1[Fecha],"&lt;="&amp;EV!$A421,Tabla1[nombre_actividad],EV!E$1,Tabla1[Avance_km],"&gt;0"),NA())</f>
        <v>#N/A</v>
      </c>
      <c r="F421" s="67" t="e">
        <f ca="1">IF(TODAY()&gt;=$A421,SUMIFS(Tabla1[Avance_Med],Tabla1[Fecha],"&lt;="&amp;EV!$A421,Tabla1[nombre_actividad],EV!F$1),NA())</f>
        <v>#N/A</v>
      </c>
      <c r="G421" s="67"/>
      <c r="H421" s="110" t="e">
        <f ca="1">IF(TODAY()&gt;=$A421,SUMIFS(Tabla1[Avance_km],Tabla1[Fecha],"&lt;="&amp;EV!$A421-1,Tabla1[nombre_actividad],EV!H$1),NA())</f>
        <v>#N/A</v>
      </c>
      <c r="I421" s="228" t="e">
        <f ca="1">+C421*Catalogo!$F$19+EV!D421*Catalogo!$F$14+EV!E421*Catalogo!$F$16+EV!F421*Catalogo!$F$18</f>
        <v>#N/A</v>
      </c>
      <c r="J421" s="228" t="e">
        <f ca="1">IF(TODAY()&gt;=$A421,SUMIFS(Tabla1[EV],Tabla1[Fecha],"&lt;="&amp;A421,Tabla1[EV],"&gt;0"),NA())</f>
        <v>#N/A</v>
      </c>
      <c r="L421"/>
    </row>
    <row r="422" spans="1:12" x14ac:dyDescent="0.25">
      <c r="A422" s="62">
        <f t="shared" si="8"/>
        <v>46382</v>
      </c>
      <c r="B422" s="62"/>
      <c r="C422" s="110" t="e">
        <f ca="1">IF(TODAY()&gt;=$A422,SUMIFS(Tabla1[Avance_km],Tabla1[Fecha],"&lt;="&amp;EV!$A422,Tabla1[nombre_actividad],EV!C$1),NA())</f>
        <v>#N/A</v>
      </c>
      <c r="D422" s="110" t="e">
        <f ca="1">IF(TODAY()&gt;=$A422,SUMIFS(Tabla1[Avance_km],Tabla1[Fecha],"&lt;="&amp;EV!$A422,Tabla1[nombre_actividad],EV!D$1),NA())</f>
        <v>#N/A</v>
      </c>
      <c r="E422" s="110" t="e">
        <f ca="1">IF(TODAY()&gt;=$A422,SUMIFS(Tabla1[Avance_km],Tabla1[Fecha],"&lt;="&amp;EV!$A422,Tabla1[nombre_actividad],EV!E$1,Tabla1[Avance_km],"&gt;0"),NA())</f>
        <v>#N/A</v>
      </c>
      <c r="F422" s="67" t="e">
        <f ca="1">IF(TODAY()&gt;=$A422,SUMIFS(Tabla1[Avance_Med],Tabla1[Fecha],"&lt;="&amp;EV!$A422,Tabla1[nombre_actividad],EV!F$1),NA())</f>
        <v>#N/A</v>
      </c>
      <c r="G422" s="67"/>
      <c r="H422" s="110" t="e">
        <f ca="1">IF(TODAY()&gt;=$A422,SUMIFS(Tabla1[Avance_km],Tabla1[Fecha],"&lt;="&amp;EV!$A422-1,Tabla1[nombre_actividad],EV!H$1),NA())</f>
        <v>#N/A</v>
      </c>
      <c r="I422" s="228" t="e">
        <f ca="1">+C422*Catalogo!$F$19+EV!D422*Catalogo!$F$14+EV!E422*Catalogo!$F$16+EV!F422*Catalogo!$F$18</f>
        <v>#N/A</v>
      </c>
      <c r="J422" s="228" t="e">
        <f ca="1">IF(TODAY()&gt;=$A422,SUMIFS(Tabla1[EV],Tabla1[Fecha],"&lt;="&amp;A422,Tabla1[EV],"&gt;0"),NA())</f>
        <v>#N/A</v>
      </c>
      <c r="L422"/>
    </row>
    <row r="423" spans="1:12" x14ac:dyDescent="0.25">
      <c r="A423" s="62">
        <f t="shared" si="8"/>
        <v>46383</v>
      </c>
      <c r="B423" s="62"/>
      <c r="C423" s="110" t="e">
        <f ca="1">IF(TODAY()&gt;=$A423,SUMIFS(Tabla1[Avance_km],Tabla1[Fecha],"&lt;="&amp;EV!$A423,Tabla1[nombre_actividad],EV!C$1),NA())</f>
        <v>#N/A</v>
      </c>
      <c r="D423" s="110" t="e">
        <f ca="1">IF(TODAY()&gt;=$A423,SUMIFS(Tabla1[Avance_km],Tabla1[Fecha],"&lt;="&amp;EV!$A423,Tabla1[nombre_actividad],EV!D$1),NA())</f>
        <v>#N/A</v>
      </c>
      <c r="E423" s="110" t="e">
        <f ca="1">IF(TODAY()&gt;=$A423,SUMIFS(Tabla1[Avance_km],Tabla1[Fecha],"&lt;="&amp;EV!$A423,Tabla1[nombre_actividad],EV!E$1,Tabla1[Avance_km],"&gt;0"),NA())</f>
        <v>#N/A</v>
      </c>
      <c r="F423" s="67" t="e">
        <f ca="1">IF(TODAY()&gt;=$A423,SUMIFS(Tabla1[Avance_Med],Tabla1[Fecha],"&lt;="&amp;EV!$A423,Tabla1[nombre_actividad],EV!F$1),NA())</f>
        <v>#N/A</v>
      </c>
      <c r="G423" s="67"/>
      <c r="H423" s="110" t="e">
        <f ca="1">IF(TODAY()&gt;=$A423,SUMIFS(Tabla1[Avance_km],Tabla1[Fecha],"&lt;="&amp;EV!$A423-1,Tabla1[nombre_actividad],EV!H$1),NA())</f>
        <v>#N/A</v>
      </c>
      <c r="I423" s="228" t="e">
        <f ca="1">+C423*Catalogo!$F$19+EV!D423*Catalogo!$F$14+EV!E423*Catalogo!$F$16+EV!F423*Catalogo!$F$18</f>
        <v>#N/A</v>
      </c>
      <c r="J423" s="228" t="e">
        <f ca="1">IF(TODAY()&gt;=$A423,SUMIFS(Tabla1[EV],Tabla1[Fecha],"&lt;="&amp;A423,Tabla1[EV],"&gt;0"),NA())</f>
        <v>#N/A</v>
      </c>
      <c r="L423"/>
    </row>
    <row r="424" spans="1:12" x14ac:dyDescent="0.25">
      <c r="A424" s="62">
        <f t="shared" si="8"/>
        <v>46384</v>
      </c>
      <c r="B424" s="62"/>
      <c r="C424" s="110" t="e">
        <f ca="1">IF(TODAY()&gt;=$A424,SUMIFS(Tabla1[Avance_km],Tabla1[Fecha],"&lt;="&amp;EV!$A424,Tabla1[nombre_actividad],EV!C$1),NA())</f>
        <v>#N/A</v>
      </c>
      <c r="D424" s="110" t="e">
        <f ca="1">IF(TODAY()&gt;=$A424,SUMIFS(Tabla1[Avance_km],Tabla1[Fecha],"&lt;="&amp;EV!$A424,Tabla1[nombre_actividad],EV!D$1),NA())</f>
        <v>#N/A</v>
      </c>
      <c r="E424" s="110" t="e">
        <f ca="1">IF(TODAY()&gt;=$A424,SUMIFS(Tabla1[Avance_km],Tabla1[Fecha],"&lt;="&amp;EV!$A424,Tabla1[nombre_actividad],EV!E$1,Tabla1[Avance_km],"&gt;0"),NA())</f>
        <v>#N/A</v>
      </c>
      <c r="F424" s="67" t="e">
        <f ca="1">IF(TODAY()&gt;=$A424,SUMIFS(Tabla1[Avance_Med],Tabla1[Fecha],"&lt;="&amp;EV!$A424,Tabla1[nombre_actividad],EV!F$1),NA())</f>
        <v>#N/A</v>
      </c>
      <c r="G424" s="67"/>
      <c r="H424" s="110" t="e">
        <f ca="1">IF(TODAY()&gt;=$A424,SUMIFS(Tabla1[Avance_km],Tabla1[Fecha],"&lt;="&amp;EV!$A424-1,Tabla1[nombre_actividad],EV!H$1),NA())</f>
        <v>#N/A</v>
      </c>
      <c r="I424" s="228" t="e">
        <f ca="1">+C424*Catalogo!$F$19+EV!D424*Catalogo!$F$14+EV!E424*Catalogo!$F$16+EV!F424*Catalogo!$F$18</f>
        <v>#N/A</v>
      </c>
      <c r="J424" s="228" t="e">
        <f ca="1">IF(TODAY()&gt;=$A424,SUMIFS(Tabla1[EV],Tabla1[Fecha],"&lt;="&amp;A424,Tabla1[EV],"&gt;0"),NA())</f>
        <v>#N/A</v>
      </c>
      <c r="L424"/>
    </row>
    <row r="425" spans="1:12" x14ac:dyDescent="0.25">
      <c r="A425" s="62">
        <f t="shared" si="8"/>
        <v>46385</v>
      </c>
      <c r="B425" s="62"/>
      <c r="C425" s="110" t="e">
        <f ca="1">IF(TODAY()&gt;=$A425,SUMIFS(Tabla1[Avance_km],Tabla1[Fecha],"&lt;="&amp;EV!$A425,Tabla1[nombre_actividad],EV!C$1),NA())</f>
        <v>#N/A</v>
      </c>
      <c r="D425" s="110" t="e">
        <f ca="1">IF(TODAY()&gt;=$A425,SUMIFS(Tabla1[Avance_km],Tabla1[Fecha],"&lt;="&amp;EV!$A425,Tabla1[nombre_actividad],EV!D$1),NA())</f>
        <v>#N/A</v>
      </c>
      <c r="E425" s="110" t="e">
        <f ca="1">IF(TODAY()&gt;=$A425,SUMIFS(Tabla1[Avance_km],Tabla1[Fecha],"&lt;="&amp;EV!$A425,Tabla1[nombre_actividad],EV!E$1,Tabla1[Avance_km],"&gt;0"),NA())</f>
        <v>#N/A</v>
      </c>
      <c r="F425" s="67" t="e">
        <f ca="1">IF(TODAY()&gt;=$A425,SUMIFS(Tabla1[Avance_Med],Tabla1[Fecha],"&lt;="&amp;EV!$A425,Tabla1[nombre_actividad],EV!F$1),NA())</f>
        <v>#N/A</v>
      </c>
      <c r="G425" s="67"/>
      <c r="H425" s="110" t="e">
        <f ca="1">IF(TODAY()&gt;=$A425,SUMIFS(Tabla1[Avance_km],Tabla1[Fecha],"&lt;="&amp;EV!$A425-1,Tabla1[nombre_actividad],EV!H$1),NA())</f>
        <v>#N/A</v>
      </c>
      <c r="I425" s="228" t="e">
        <f ca="1">+C425*Catalogo!$F$19+EV!D425*Catalogo!$F$14+EV!E425*Catalogo!$F$16+EV!F425*Catalogo!$F$18</f>
        <v>#N/A</v>
      </c>
      <c r="J425" s="228" t="e">
        <f ca="1">IF(TODAY()&gt;=$A425,SUMIFS(Tabla1[EV],Tabla1[Fecha],"&lt;="&amp;A425,Tabla1[EV],"&gt;0"),NA())</f>
        <v>#N/A</v>
      </c>
      <c r="L425"/>
    </row>
    <row r="426" spans="1:12" x14ac:dyDescent="0.25">
      <c r="A426" s="62">
        <f t="shared" si="8"/>
        <v>46386</v>
      </c>
      <c r="B426" s="62"/>
      <c r="C426" s="110" t="e">
        <f ca="1">IF(TODAY()&gt;=$A426,SUMIFS(Tabla1[Avance_km],Tabla1[Fecha],"&lt;="&amp;EV!$A426,Tabla1[nombre_actividad],EV!C$1),NA())</f>
        <v>#N/A</v>
      </c>
      <c r="D426" s="110" t="e">
        <f ca="1">IF(TODAY()&gt;=$A426,SUMIFS(Tabla1[Avance_km],Tabla1[Fecha],"&lt;="&amp;EV!$A426,Tabla1[nombre_actividad],EV!D$1),NA())</f>
        <v>#N/A</v>
      </c>
      <c r="E426" s="110" t="e">
        <f ca="1">IF(TODAY()&gt;=$A426,SUMIFS(Tabla1[Avance_km],Tabla1[Fecha],"&lt;="&amp;EV!$A426,Tabla1[nombre_actividad],EV!E$1,Tabla1[Avance_km],"&gt;0"),NA())</f>
        <v>#N/A</v>
      </c>
      <c r="F426" s="67" t="e">
        <f ca="1">IF(TODAY()&gt;=$A426,SUMIFS(Tabla1[Avance_Med],Tabla1[Fecha],"&lt;="&amp;EV!$A426,Tabla1[nombre_actividad],EV!F$1),NA())</f>
        <v>#N/A</v>
      </c>
      <c r="G426" s="67"/>
      <c r="H426" s="110" t="e">
        <f ca="1">IF(TODAY()&gt;=$A426,SUMIFS(Tabla1[Avance_km],Tabla1[Fecha],"&lt;="&amp;EV!$A426-1,Tabla1[nombre_actividad],EV!H$1),NA())</f>
        <v>#N/A</v>
      </c>
      <c r="I426" s="228" t="e">
        <f ca="1">+C426*Catalogo!$F$19+EV!D426*Catalogo!$F$14+EV!E426*Catalogo!$F$16+EV!F426*Catalogo!$F$18</f>
        <v>#N/A</v>
      </c>
      <c r="J426" s="228" t="e">
        <f ca="1">IF(TODAY()&gt;=$A426,SUMIFS(Tabla1[EV],Tabla1[Fecha],"&lt;="&amp;A426,Tabla1[EV],"&gt;0"),NA())</f>
        <v>#N/A</v>
      </c>
      <c r="L426"/>
    </row>
    <row r="427" spans="1:12" x14ac:dyDescent="0.25">
      <c r="A427" s="62">
        <f t="shared" si="8"/>
        <v>46387</v>
      </c>
      <c r="B427" s="62"/>
      <c r="C427" s="110" t="e">
        <f ca="1">IF(TODAY()&gt;=$A427,SUMIFS(Tabla1[Avance_km],Tabla1[Fecha],"&lt;="&amp;EV!$A427,Tabla1[nombre_actividad],EV!C$1),NA())</f>
        <v>#N/A</v>
      </c>
      <c r="D427" s="110" t="e">
        <f ca="1">IF(TODAY()&gt;=$A427,SUMIFS(Tabla1[Avance_km],Tabla1[Fecha],"&lt;="&amp;EV!$A427,Tabla1[nombre_actividad],EV!D$1),NA())</f>
        <v>#N/A</v>
      </c>
      <c r="E427" s="110" t="e">
        <f ca="1">IF(TODAY()&gt;=$A427,SUMIFS(Tabla1[Avance_km],Tabla1[Fecha],"&lt;="&amp;EV!$A427,Tabla1[nombre_actividad],EV!E$1,Tabla1[Avance_km],"&gt;0"),NA())</f>
        <v>#N/A</v>
      </c>
      <c r="F427" s="67" t="e">
        <f ca="1">IF(TODAY()&gt;=$A427,SUMIFS(Tabla1[Avance_Med],Tabla1[Fecha],"&lt;="&amp;EV!$A427,Tabla1[nombre_actividad],EV!F$1),NA())</f>
        <v>#N/A</v>
      </c>
      <c r="G427" s="67"/>
      <c r="H427" s="110" t="e">
        <f ca="1">IF(TODAY()&gt;=$A427,SUMIFS(Tabla1[Avance_km],Tabla1[Fecha],"&lt;="&amp;EV!$A427-1,Tabla1[nombre_actividad],EV!H$1),NA())</f>
        <v>#N/A</v>
      </c>
      <c r="I427" s="228" t="e">
        <f ca="1">+C427*Catalogo!$F$19+EV!D427*Catalogo!$F$14+EV!E427*Catalogo!$F$16+EV!F427*Catalogo!$F$18</f>
        <v>#N/A</v>
      </c>
      <c r="J427" s="228" t="e">
        <f ca="1">IF(TODAY()&gt;=$A427,SUMIFS(Tabla1[EV],Tabla1[Fecha],"&lt;="&amp;A427,Tabla1[EV],"&gt;0"),NA())</f>
        <v>#N/A</v>
      </c>
      <c r="L427"/>
    </row>
    <row r="428" spans="1:12" x14ac:dyDescent="0.25">
      <c r="A428" s="62">
        <f t="shared" si="8"/>
        <v>46388</v>
      </c>
      <c r="B428" s="62"/>
      <c r="C428" s="110" t="e">
        <f ca="1">IF(TODAY()&gt;=$A428,SUMIFS(Tabla1[Avance_km],Tabla1[Fecha],"&lt;="&amp;EV!$A428,Tabla1[nombre_actividad],EV!C$1),NA())</f>
        <v>#N/A</v>
      </c>
      <c r="D428" s="110" t="e">
        <f ca="1">IF(TODAY()&gt;=$A428,SUMIFS(Tabla1[Avance_km],Tabla1[Fecha],"&lt;="&amp;EV!$A428,Tabla1[nombre_actividad],EV!D$1),NA())</f>
        <v>#N/A</v>
      </c>
      <c r="E428" s="110" t="e">
        <f ca="1">IF(TODAY()&gt;=$A428,SUMIFS(Tabla1[Avance_km],Tabla1[Fecha],"&lt;="&amp;EV!$A428,Tabla1[nombre_actividad],EV!E$1,Tabla1[Avance_km],"&gt;0"),NA())</f>
        <v>#N/A</v>
      </c>
      <c r="F428" s="67" t="e">
        <f ca="1">IF(TODAY()&gt;=$A428,SUMIFS(Tabla1[Avance_Med],Tabla1[Fecha],"&lt;="&amp;EV!$A428,Tabla1[nombre_actividad],EV!F$1),NA())</f>
        <v>#N/A</v>
      </c>
      <c r="G428" s="67"/>
      <c r="H428" s="110" t="e">
        <f ca="1">IF(TODAY()&gt;=$A428,SUMIFS(Tabla1[Avance_km],Tabla1[Fecha],"&lt;="&amp;EV!$A428-1,Tabla1[nombre_actividad],EV!H$1),NA())</f>
        <v>#N/A</v>
      </c>
      <c r="I428" s="228" t="e">
        <f ca="1">+C428*Catalogo!$F$19+EV!D428*Catalogo!$F$14+EV!E428*Catalogo!$F$16+EV!F428*Catalogo!$F$18</f>
        <v>#N/A</v>
      </c>
      <c r="J428" s="228" t="e">
        <f ca="1">IF(TODAY()&gt;=$A428,SUMIFS(Tabla1[EV],Tabla1[Fecha],"&lt;="&amp;A428,Tabla1[EV],"&gt;0"),NA())</f>
        <v>#N/A</v>
      </c>
      <c r="L428"/>
    </row>
    <row r="429" spans="1:12" x14ac:dyDescent="0.25">
      <c r="A429" s="62">
        <f t="shared" si="8"/>
        <v>46389</v>
      </c>
      <c r="B429" s="62"/>
      <c r="C429" s="110" t="e">
        <f ca="1">IF(TODAY()&gt;=$A429,SUMIFS(Tabla1[Avance_km],Tabla1[Fecha],"&lt;="&amp;EV!$A429,Tabla1[nombre_actividad],EV!C$1),NA())</f>
        <v>#N/A</v>
      </c>
      <c r="D429" s="110" t="e">
        <f ca="1">IF(TODAY()&gt;=$A429,SUMIFS(Tabla1[Avance_km],Tabla1[Fecha],"&lt;="&amp;EV!$A429,Tabla1[nombre_actividad],EV!D$1),NA())</f>
        <v>#N/A</v>
      </c>
      <c r="E429" s="110" t="e">
        <f ca="1">IF(TODAY()&gt;=$A429,SUMIFS(Tabla1[Avance_km],Tabla1[Fecha],"&lt;="&amp;EV!$A429,Tabla1[nombre_actividad],EV!E$1,Tabla1[Avance_km],"&gt;0"),NA())</f>
        <v>#N/A</v>
      </c>
      <c r="F429" s="67" t="e">
        <f ca="1">IF(TODAY()&gt;=$A429,SUMIFS(Tabla1[Avance_Med],Tabla1[Fecha],"&lt;="&amp;EV!$A429,Tabla1[nombre_actividad],EV!F$1),NA())</f>
        <v>#N/A</v>
      </c>
      <c r="G429" s="67"/>
      <c r="H429" s="110" t="e">
        <f ca="1">IF(TODAY()&gt;=$A429,SUMIFS(Tabla1[Avance_km],Tabla1[Fecha],"&lt;="&amp;EV!$A429-1,Tabla1[nombre_actividad],EV!H$1),NA())</f>
        <v>#N/A</v>
      </c>
      <c r="I429" s="228" t="e">
        <f ca="1">+C429*Catalogo!$F$19+EV!D429*Catalogo!$F$14+EV!E429*Catalogo!$F$16+EV!F429*Catalogo!$F$18</f>
        <v>#N/A</v>
      </c>
      <c r="J429" s="228" t="e">
        <f ca="1">IF(TODAY()&gt;=$A429,SUMIFS(Tabla1[EV],Tabla1[Fecha],"&lt;="&amp;A429,Tabla1[EV],"&gt;0"),NA())</f>
        <v>#N/A</v>
      </c>
      <c r="L429"/>
    </row>
    <row r="430" spans="1:12" x14ac:dyDescent="0.25">
      <c r="A430" s="62">
        <f t="shared" si="8"/>
        <v>46390</v>
      </c>
      <c r="B430" s="62"/>
      <c r="C430" s="110" t="e">
        <f ca="1">IF(TODAY()&gt;=$A430,SUMIFS(Tabla1[Avance_km],Tabla1[Fecha],"&lt;="&amp;EV!$A430,Tabla1[nombre_actividad],EV!C$1),NA())</f>
        <v>#N/A</v>
      </c>
      <c r="D430" s="110" t="e">
        <f ca="1">IF(TODAY()&gt;=$A430,SUMIFS(Tabla1[Avance_km],Tabla1[Fecha],"&lt;="&amp;EV!$A430,Tabla1[nombre_actividad],EV!D$1),NA())</f>
        <v>#N/A</v>
      </c>
      <c r="E430" s="110" t="e">
        <f ca="1">IF(TODAY()&gt;=$A430,SUMIFS(Tabla1[Avance_km],Tabla1[Fecha],"&lt;="&amp;EV!$A430,Tabla1[nombre_actividad],EV!E$1,Tabla1[Avance_km],"&gt;0"),NA())</f>
        <v>#N/A</v>
      </c>
      <c r="F430" s="67" t="e">
        <f ca="1">IF(TODAY()&gt;=$A430,SUMIFS(Tabla1[Avance_Med],Tabla1[Fecha],"&lt;="&amp;EV!$A430,Tabla1[nombre_actividad],EV!F$1),NA())</f>
        <v>#N/A</v>
      </c>
      <c r="G430" s="67"/>
      <c r="H430" s="110" t="e">
        <f ca="1">IF(TODAY()&gt;=$A430,SUMIFS(Tabla1[Avance_km],Tabla1[Fecha],"&lt;="&amp;EV!$A430-1,Tabla1[nombre_actividad],EV!H$1),NA())</f>
        <v>#N/A</v>
      </c>
      <c r="I430" s="228" t="e">
        <f ca="1">+C430*Catalogo!$F$19+EV!D430*Catalogo!$F$14+EV!E430*Catalogo!$F$16+EV!F430*Catalogo!$F$18</f>
        <v>#N/A</v>
      </c>
      <c r="J430" s="228" t="e">
        <f ca="1">IF(TODAY()&gt;=$A430,SUMIFS(Tabla1[EV],Tabla1[Fecha],"&lt;="&amp;A430,Tabla1[EV],"&gt;0"),NA())</f>
        <v>#N/A</v>
      </c>
      <c r="L430"/>
    </row>
    <row r="431" spans="1:12" x14ac:dyDescent="0.25">
      <c r="A431" s="62">
        <f t="shared" si="8"/>
        <v>46391</v>
      </c>
      <c r="B431" s="62"/>
      <c r="C431" s="110" t="e">
        <f ca="1">IF(TODAY()&gt;=$A431,SUMIFS(Tabla1[Avance_km],Tabla1[Fecha],"&lt;="&amp;EV!$A431,Tabla1[nombre_actividad],EV!C$1),NA())</f>
        <v>#N/A</v>
      </c>
      <c r="D431" s="110" t="e">
        <f ca="1">IF(TODAY()&gt;=$A431,SUMIFS(Tabla1[Avance_km],Tabla1[Fecha],"&lt;="&amp;EV!$A431,Tabla1[nombre_actividad],EV!D$1),NA())</f>
        <v>#N/A</v>
      </c>
      <c r="E431" s="110" t="e">
        <f ca="1">IF(TODAY()&gt;=$A431,SUMIFS(Tabla1[Avance_km],Tabla1[Fecha],"&lt;="&amp;EV!$A431,Tabla1[nombre_actividad],EV!E$1,Tabla1[Avance_km],"&gt;0"),NA())</f>
        <v>#N/A</v>
      </c>
      <c r="F431" s="67" t="e">
        <f ca="1">IF(TODAY()&gt;=$A431,SUMIFS(Tabla1[Avance_Med],Tabla1[Fecha],"&lt;="&amp;EV!$A431,Tabla1[nombre_actividad],EV!F$1),NA())</f>
        <v>#N/A</v>
      </c>
      <c r="G431" s="67"/>
      <c r="H431" s="110" t="e">
        <f ca="1">IF(TODAY()&gt;=$A431,SUMIFS(Tabla1[Avance_km],Tabla1[Fecha],"&lt;="&amp;EV!$A431-1,Tabla1[nombre_actividad],EV!H$1),NA())</f>
        <v>#N/A</v>
      </c>
      <c r="I431" s="228" t="e">
        <f ca="1">+C431*Catalogo!$F$19+EV!D431*Catalogo!$F$14+EV!E431*Catalogo!$F$16+EV!F431*Catalogo!$F$18</f>
        <v>#N/A</v>
      </c>
      <c r="J431" s="228" t="e">
        <f ca="1">IF(TODAY()&gt;=$A431,SUMIFS(Tabla1[EV],Tabla1[Fecha],"&lt;="&amp;A431,Tabla1[EV],"&gt;0"),NA())</f>
        <v>#N/A</v>
      </c>
      <c r="L431"/>
    </row>
    <row r="432" spans="1:12" x14ac:dyDescent="0.25">
      <c r="A432" s="62">
        <f t="shared" si="8"/>
        <v>46392</v>
      </c>
      <c r="B432" s="62"/>
      <c r="C432" s="110" t="e">
        <f ca="1">IF(TODAY()&gt;=$A432,SUMIFS(Tabla1[Avance_km],Tabla1[Fecha],"&lt;="&amp;EV!$A432,Tabla1[nombre_actividad],EV!C$1),NA())</f>
        <v>#N/A</v>
      </c>
      <c r="D432" s="110" t="e">
        <f ca="1">IF(TODAY()&gt;=$A432,SUMIFS(Tabla1[Avance_km],Tabla1[Fecha],"&lt;="&amp;EV!$A432,Tabla1[nombre_actividad],EV!D$1),NA())</f>
        <v>#N/A</v>
      </c>
      <c r="E432" s="110" t="e">
        <f ca="1">IF(TODAY()&gt;=$A432,SUMIFS(Tabla1[Avance_km],Tabla1[Fecha],"&lt;="&amp;EV!$A432,Tabla1[nombre_actividad],EV!E$1,Tabla1[Avance_km],"&gt;0"),NA())</f>
        <v>#N/A</v>
      </c>
      <c r="F432" s="67" t="e">
        <f ca="1">IF(TODAY()&gt;=$A432,SUMIFS(Tabla1[Avance_Med],Tabla1[Fecha],"&lt;="&amp;EV!$A432,Tabla1[nombre_actividad],EV!F$1),NA())</f>
        <v>#N/A</v>
      </c>
      <c r="G432" s="67"/>
      <c r="H432" s="110" t="e">
        <f ca="1">IF(TODAY()&gt;=$A432,SUMIFS(Tabla1[Avance_km],Tabla1[Fecha],"&lt;="&amp;EV!$A432-1,Tabla1[nombre_actividad],EV!H$1),NA())</f>
        <v>#N/A</v>
      </c>
      <c r="I432" s="228" t="e">
        <f ca="1">+C432*Catalogo!$F$19+EV!D432*Catalogo!$F$14+EV!E432*Catalogo!$F$16+EV!F432*Catalogo!$F$18</f>
        <v>#N/A</v>
      </c>
      <c r="J432" s="228" t="e">
        <f ca="1">IF(TODAY()&gt;=$A432,SUMIFS(Tabla1[EV],Tabla1[Fecha],"&lt;="&amp;A432,Tabla1[EV],"&gt;0"),NA())</f>
        <v>#N/A</v>
      </c>
      <c r="L432"/>
    </row>
    <row r="433" spans="1:12" x14ac:dyDescent="0.25">
      <c r="A433" s="62">
        <f t="shared" si="8"/>
        <v>46393</v>
      </c>
      <c r="B433" s="62"/>
      <c r="C433" s="110" t="e">
        <f ca="1">IF(TODAY()&gt;=$A433,SUMIFS(Tabla1[Avance_km],Tabla1[Fecha],"&lt;="&amp;EV!$A433,Tabla1[nombre_actividad],EV!C$1),NA())</f>
        <v>#N/A</v>
      </c>
      <c r="D433" s="110" t="e">
        <f ca="1">IF(TODAY()&gt;=$A433,SUMIFS(Tabla1[Avance_km],Tabla1[Fecha],"&lt;="&amp;EV!$A433,Tabla1[nombre_actividad],EV!D$1),NA())</f>
        <v>#N/A</v>
      </c>
      <c r="E433" s="110" t="e">
        <f ca="1">IF(TODAY()&gt;=$A433,SUMIFS(Tabla1[Avance_km],Tabla1[Fecha],"&lt;="&amp;EV!$A433,Tabla1[nombre_actividad],EV!E$1,Tabla1[Avance_km],"&gt;0"),NA())</f>
        <v>#N/A</v>
      </c>
      <c r="F433" s="67" t="e">
        <f ca="1">IF(TODAY()&gt;=$A433,SUMIFS(Tabla1[Avance_Med],Tabla1[Fecha],"&lt;="&amp;EV!$A433,Tabla1[nombre_actividad],EV!F$1),NA())</f>
        <v>#N/A</v>
      </c>
      <c r="G433" s="67"/>
      <c r="H433" s="110" t="e">
        <f ca="1">IF(TODAY()&gt;=$A433,SUMIFS(Tabla1[Avance_km],Tabla1[Fecha],"&lt;="&amp;EV!$A433-1,Tabla1[nombre_actividad],EV!H$1),NA())</f>
        <v>#N/A</v>
      </c>
      <c r="I433" s="228" t="e">
        <f ca="1">+C433*Catalogo!$F$19+EV!D433*Catalogo!$F$14+EV!E433*Catalogo!$F$16+EV!F433*Catalogo!$F$18</f>
        <v>#N/A</v>
      </c>
      <c r="J433" s="228" t="e">
        <f ca="1">IF(TODAY()&gt;=$A433,SUMIFS(Tabla1[EV],Tabla1[Fecha],"&lt;="&amp;A433,Tabla1[EV],"&gt;0"),NA())</f>
        <v>#N/A</v>
      </c>
      <c r="L433"/>
    </row>
    <row r="434" spans="1:12" x14ac:dyDescent="0.25">
      <c r="A434" s="62">
        <f t="shared" si="8"/>
        <v>46394</v>
      </c>
      <c r="B434" s="62"/>
      <c r="C434" s="110" t="e">
        <f ca="1">IF(TODAY()&gt;=$A434,SUMIFS(Tabla1[Avance_km],Tabla1[Fecha],"&lt;="&amp;EV!$A434,Tabla1[nombre_actividad],EV!C$1),NA())</f>
        <v>#N/A</v>
      </c>
      <c r="D434" s="110" t="e">
        <f ca="1">IF(TODAY()&gt;=$A434,SUMIFS(Tabla1[Avance_km],Tabla1[Fecha],"&lt;="&amp;EV!$A434,Tabla1[nombre_actividad],EV!D$1),NA())</f>
        <v>#N/A</v>
      </c>
      <c r="E434" s="110" t="e">
        <f ca="1">IF(TODAY()&gt;=$A434,SUMIFS(Tabla1[Avance_km],Tabla1[Fecha],"&lt;="&amp;EV!$A434,Tabla1[nombre_actividad],EV!E$1,Tabla1[Avance_km],"&gt;0"),NA())</f>
        <v>#N/A</v>
      </c>
      <c r="F434" s="67" t="e">
        <f ca="1">IF(TODAY()&gt;=$A434,SUMIFS(Tabla1[Avance_Med],Tabla1[Fecha],"&lt;="&amp;EV!$A434,Tabla1[nombre_actividad],EV!F$1),NA())</f>
        <v>#N/A</v>
      </c>
      <c r="G434" s="67"/>
      <c r="H434" s="110" t="e">
        <f ca="1">IF(TODAY()&gt;=$A434,SUMIFS(Tabla1[Avance_km],Tabla1[Fecha],"&lt;="&amp;EV!$A434-1,Tabla1[nombre_actividad],EV!H$1),NA())</f>
        <v>#N/A</v>
      </c>
      <c r="I434" s="228" t="e">
        <f ca="1">+C434*Catalogo!$F$19+EV!D434*Catalogo!$F$14+EV!E434*Catalogo!$F$16+EV!F434*Catalogo!$F$18</f>
        <v>#N/A</v>
      </c>
      <c r="J434" s="228" t="e">
        <f ca="1">IF(TODAY()&gt;=$A434,SUMIFS(Tabla1[EV],Tabla1[Fecha],"&lt;="&amp;A434,Tabla1[EV],"&gt;0"),NA())</f>
        <v>#N/A</v>
      </c>
      <c r="L434"/>
    </row>
    <row r="435" spans="1:12" x14ac:dyDescent="0.25">
      <c r="A435" s="62">
        <f t="shared" si="8"/>
        <v>46395</v>
      </c>
      <c r="B435" s="62"/>
      <c r="C435" s="110" t="e">
        <f ca="1">IF(TODAY()&gt;=$A435,SUMIFS(Tabla1[Avance_km],Tabla1[Fecha],"&lt;="&amp;EV!$A435,Tabla1[nombre_actividad],EV!C$1),NA())</f>
        <v>#N/A</v>
      </c>
      <c r="D435" s="110" t="e">
        <f ca="1">IF(TODAY()&gt;=$A435,SUMIFS(Tabla1[Avance_km],Tabla1[Fecha],"&lt;="&amp;EV!$A435,Tabla1[nombre_actividad],EV!D$1),NA())</f>
        <v>#N/A</v>
      </c>
      <c r="E435" s="110" t="e">
        <f ca="1">IF(TODAY()&gt;=$A435,SUMIFS(Tabla1[Avance_km],Tabla1[Fecha],"&lt;="&amp;EV!$A435,Tabla1[nombre_actividad],EV!E$1,Tabla1[Avance_km],"&gt;0"),NA())</f>
        <v>#N/A</v>
      </c>
      <c r="F435" s="67" t="e">
        <f ca="1">IF(TODAY()&gt;=$A435,SUMIFS(Tabla1[Avance_Med],Tabla1[Fecha],"&lt;="&amp;EV!$A435,Tabla1[nombre_actividad],EV!F$1),NA())</f>
        <v>#N/A</v>
      </c>
      <c r="G435" s="67"/>
      <c r="H435" s="110" t="e">
        <f ca="1">IF(TODAY()&gt;=$A435,SUMIFS(Tabla1[Avance_km],Tabla1[Fecha],"&lt;="&amp;EV!$A435-1,Tabla1[nombre_actividad],EV!H$1),NA())</f>
        <v>#N/A</v>
      </c>
      <c r="I435" s="228" t="e">
        <f ca="1">+C435*Catalogo!$F$19+EV!D435*Catalogo!$F$14+EV!E435*Catalogo!$F$16+EV!F435*Catalogo!$F$18</f>
        <v>#N/A</v>
      </c>
      <c r="J435" s="228" t="e">
        <f ca="1">IF(TODAY()&gt;=$A435,SUMIFS(Tabla1[EV],Tabla1[Fecha],"&lt;="&amp;A435,Tabla1[EV],"&gt;0"),NA())</f>
        <v>#N/A</v>
      </c>
      <c r="L435"/>
    </row>
    <row r="436" spans="1:12" x14ac:dyDescent="0.25">
      <c r="A436" s="62">
        <f t="shared" si="8"/>
        <v>46396</v>
      </c>
      <c r="B436" s="62"/>
      <c r="C436" s="110" t="e">
        <f ca="1">IF(TODAY()&gt;=$A436,SUMIFS(Tabla1[Avance_km],Tabla1[Fecha],"&lt;="&amp;EV!$A436,Tabla1[nombre_actividad],EV!C$1),NA())</f>
        <v>#N/A</v>
      </c>
      <c r="D436" s="110" t="e">
        <f ca="1">IF(TODAY()&gt;=$A436,SUMIFS(Tabla1[Avance_km],Tabla1[Fecha],"&lt;="&amp;EV!$A436,Tabla1[nombre_actividad],EV!D$1),NA())</f>
        <v>#N/A</v>
      </c>
      <c r="E436" s="110" t="e">
        <f ca="1">IF(TODAY()&gt;=$A436,SUMIFS(Tabla1[Avance_km],Tabla1[Fecha],"&lt;="&amp;EV!$A436,Tabla1[nombre_actividad],EV!E$1,Tabla1[Avance_km],"&gt;0"),NA())</f>
        <v>#N/A</v>
      </c>
      <c r="F436" s="67" t="e">
        <f ca="1">IF(TODAY()&gt;=$A436,SUMIFS(Tabla1[Avance_Med],Tabla1[Fecha],"&lt;="&amp;EV!$A436,Tabla1[nombre_actividad],EV!F$1),NA())</f>
        <v>#N/A</v>
      </c>
      <c r="G436" s="67"/>
      <c r="H436" s="110" t="e">
        <f ca="1">IF(TODAY()&gt;=$A436,SUMIFS(Tabla1[Avance_km],Tabla1[Fecha],"&lt;="&amp;EV!$A436-1,Tabla1[nombre_actividad],EV!H$1),NA())</f>
        <v>#N/A</v>
      </c>
      <c r="I436" s="228" t="e">
        <f ca="1">+C436*Catalogo!$F$19+EV!D436*Catalogo!$F$14+EV!E436*Catalogo!$F$16+EV!F436*Catalogo!$F$18</f>
        <v>#N/A</v>
      </c>
      <c r="J436" s="228" t="e">
        <f ca="1">IF(TODAY()&gt;=$A436,SUMIFS(Tabla1[EV],Tabla1[Fecha],"&lt;="&amp;A436,Tabla1[EV],"&gt;0"),NA())</f>
        <v>#N/A</v>
      </c>
      <c r="L436"/>
    </row>
    <row r="437" spans="1:12" x14ac:dyDescent="0.25">
      <c r="A437" s="62">
        <f t="shared" si="8"/>
        <v>46397</v>
      </c>
      <c r="B437" s="62"/>
      <c r="C437" s="110" t="e">
        <f ca="1">IF(TODAY()&gt;=$A437,SUMIFS(Tabla1[Avance_km],Tabla1[Fecha],"&lt;="&amp;EV!$A437,Tabla1[nombre_actividad],EV!C$1),NA())</f>
        <v>#N/A</v>
      </c>
      <c r="D437" s="110" t="e">
        <f ca="1">IF(TODAY()&gt;=$A437,SUMIFS(Tabla1[Avance_km],Tabla1[Fecha],"&lt;="&amp;EV!$A437,Tabla1[nombre_actividad],EV!D$1),NA())</f>
        <v>#N/A</v>
      </c>
      <c r="E437" s="110" t="e">
        <f ca="1">IF(TODAY()&gt;=$A437,SUMIFS(Tabla1[Avance_km],Tabla1[Fecha],"&lt;="&amp;EV!$A437,Tabla1[nombre_actividad],EV!E$1,Tabla1[Avance_km],"&gt;0"),NA())</f>
        <v>#N/A</v>
      </c>
      <c r="F437" s="67" t="e">
        <f ca="1">IF(TODAY()&gt;=$A437,SUMIFS(Tabla1[Avance_Med],Tabla1[Fecha],"&lt;="&amp;EV!$A437,Tabla1[nombre_actividad],EV!F$1),NA())</f>
        <v>#N/A</v>
      </c>
      <c r="G437" s="67"/>
      <c r="H437" s="110" t="e">
        <f ca="1">IF(TODAY()&gt;=$A437,SUMIFS(Tabla1[Avance_km],Tabla1[Fecha],"&lt;="&amp;EV!$A437-1,Tabla1[nombre_actividad],EV!H$1),NA())</f>
        <v>#N/A</v>
      </c>
      <c r="I437" s="228" t="e">
        <f ca="1">+C437*Catalogo!$F$19+EV!D437*Catalogo!$F$14+EV!E437*Catalogo!$F$16+EV!F437*Catalogo!$F$18</f>
        <v>#N/A</v>
      </c>
      <c r="J437" s="228" t="e">
        <f ca="1">IF(TODAY()&gt;=$A437,SUMIFS(Tabla1[EV],Tabla1[Fecha],"&lt;="&amp;A437,Tabla1[EV],"&gt;0"),NA())</f>
        <v>#N/A</v>
      </c>
      <c r="L437"/>
    </row>
    <row r="438" spans="1:12" x14ac:dyDescent="0.25">
      <c r="A438" s="62">
        <f t="shared" si="8"/>
        <v>46398</v>
      </c>
      <c r="B438" s="62"/>
      <c r="C438" s="110" t="e">
        <f ca="1">IF(TODAY()&gt;=$A438,SUMIFS(Tabla1[Avance_km],Tabla1[Fecha],"&lt;="&amp;EV!$A438,Tabla1[nombre_actividad],EV!C$1),NA())</f>
        <v>#N/A</v>
      </c>
      <c r="D438" s="110" t="e">
        <f ca="1">IF(TODAY()&gt;=$A438,SUMIFS(Tabla1[Avance_km],Tabla1[Fecha],"&lt;="&amp;EV!$A438,Tabla1[nombre_actividad],EV!D$1),NA())</f>
        <v>#N/A</v>
      </c>
      <c r="E438" s="110" t="e">
        <f ca="1">IF(TODAY()&gt;=$A438,SUMIFS(Tabla1[Avance_km],Tabla1[Fecha],"&lt;="&amp;EV!$A438,Tabla1[nombre_actividad],EV!E$1,Tabla1[Avance_km],"&gt;0"),NA())</f>
        <v>#N/A</v>
      </c>
      <c r="F438" s="67" t="e">
        <f ca="1">IF(TODAY()&gt;=$A438,SUMIFS(Tabla1[Avance_Med],Tabla1[Fecha],"&lt;="&amp;EV!$A438,Tabla1[nombre_actividad],EV!F$1),NA())</f>
        <v>#N/A</v>
      </c>
      <c r="G438" s="67"/>
      <c r="H438" s="110" t="e">
        <f ca="1">IF(TODAY()&gt;=$A438,SUMIFS(Tabla1[Avance_km],Tabla1[Fecha],"&lt;="&amp;EV!$A438-1,Tabla1[nombre_actividad],EV!H$1),NA())</f>
        <v>#N/A</v>
      </c>
      <c r="I438" s="228" t="e">
        <f ca="1">+C438*Catalogo!$F$19+EV!D438*Catalogo!$F$14+EV!E438*Catalogo!$F$16+EV!F438*Catalogo!$F$18</f>
        <v>#N/A</v>
      </c>
      <c r="J438" s="228" t="e">
        <f ca="1">IF(TODAY()&gt;=$A438,SUMIFS(Tabla1[EV],Tabla1[Fecha],"&lt;="&amp;A438,Tabla1[EV],"&gt;0"),NA())</f>
        <v>#N/A</v>
      </c>
      <c r="L438"/>
    </row>
    <row r="439" spans="1:12" x14ac:dyDescent="0.25">
      <c r="A439" s="62">
        <f t="shared" si="8"/>
        <v>46399</v>
      </c>
      <c r="B439" s="62"/>
      <c r="C439" s="110" t="e">
        <f ca="1">IF(TODAY()&gt;=$A439,SUMIFS(Tabla1[Avance_km],Tabla1[Fecha],"&lt;="&amp;EV!$A439,Tabla1[nombre_actividad],EV!C$1),NA())</f>
        <v>#N/A</v>
      </c>
      <c r="D439" s="110" t="e">
        <f ca="1">IF(TODAY()&gt;=$A439,SUMIFS(Tabla1[Avance_km],Tabla1[Fecha],"&lt;="&amp;EV!$A439,Tabla1[nombre_actividad],EV!D$1),NA())</f>
        <v>#N/A</v>
      </c>
      <c r="E439" s="110" t="e">
        <f ca="1">IF(TODAY()&gt;=$A439,SUMIFS(Tabla1[Avance_km],Tabla1[Fecha],"&lt;="&amp;EV!$A439,Tabla1[nombre_actividad],EV!E$1,Tabla1[Avance_km],"&gt;0"),NA())</f>
        <v>#N/A</v>
      </c>
      <c r="F439" s="67" t="e">
        <f ca="1">IF(TODAY()&gt;=$A439,SUMIFS(Tabla1[Avance_Med],Tabla1[Fecha],"&lt;="&amp;EV!$A439,Tabla1[nombre_actividad],EV!F$1),NA())</f>
        <v>#N/A</v>
      </c>
      <c r="G439" s="67"/>
      <c r="H439" s="110" t="e">
        <f ca="1">IF(TODAY()&gt;=$A439,SUMIFS(Tabla1[Avance_km],Tabla1[Fecha],"&lt;="&amp;EV!$A439-1,Tabla1[nombre_actividad],EV!H$1),NA())</f>
        <v>#N/A</v>
      </c>
      <c r="I439" s="228" t="e">
        <f ca="1">+C439*Catalogo!$F$19+EV!D439*Catalogo!$F$14+EV!E439*Catalogo!$F$16+EV!F439*Catalogo!$F$18</f>
        <v>#N/A</v>
      </c>
      <c r="J439" s="228" t="e">
        <f ca="1">IF(TODAY()&gt;=$A439,SUMIFS(Tabla1[EV],Tabla1[Fecha],"&lt;="&amp;A439,Tabla1[EV],"&gt;0"),NA())</f>
        <v>#N/A</v>
      </c>
      <c r="L439"/>
    </row>
    <row r="440" spans="1:12" x14ac:dyDescent="0.25">
      <c r="A440" s="62">
        <f t="shared" si="8"/>
        <v>46400</v>
      </c>
      <c r="B440" s="62"/>
      <c r="C440" s="110" t="e">
        <f ca="1">IF(TODAY()&gt;=$A440,SUMIFS(Tabla1[Avance_km],Tabla1[Fecha],"&lt;="&amp;EV!$A440,Tabla1[nombre_actividad],EV!C$1),NA())</f>
        <v>#N/A</v>
      </c>
      <c r="D440" s="110" t="e">
        <f ca="1">IF(TODAY()&gt;=$A440,SUMIFS(Tabla1[Avance_km],Tabla1[Fecha],"&lt;="&amp;EV!$A440,Tabla1[nombre_actividad],EV!D$1),NA())</f>
        <v>#N/A</v>
      </c>
      <c r="E440" s="110" t="e">
        <f ca="1">IF(TODAY()&gt;=$A440,SUMIFS(Tabla1[Avance_km],Tabla1[Fecha],"&lt;="&amp;EV!$A440,Tabla1[nombre_actividad],EV!E$1,Tabla1[Avance_km],"&gt;0"),NA())</f>
        <v>#N/A</v>
      </c>
      <c r="F440" s="67" t="e">
        <f ca="1">IF(TODAY()&gt;=$A440,SUMIFS(Tabla1[Avance_Med],Tabla1[Fecha],"&lt;="&amp;EV!$A440,Tabla1[nombre_actividad],EV!F$1),NA())</f>
        <v>#N/A</v>
      </c>
      <c r="G440" s="67"/>
      <c r="H440" s="110" t="e">
        <f ca="1">IF(TODAY()&gt;=$A440,SUMIFS(Tabla1[Avance_km],Tabla1[Fecha],"&lt;="&amp;EV!$A440-1,Tabla1[nombre_actividad],EV!H$1),NA())</f>
        <v>#N/A</v>
      </c>
      <c r="I440" s="228" t="e">
        <f ca="1">+C440*Catalogo!$F$19+EV!D440*Catalogo!$F$14+EV!E440*Catalogo!$F$16+EV!F440*Catalogo!$F$18</f>
        <v>#N/A</v>
      </c>
      <c r="J440" s="228" t="e">
        <f ca="1">IF(TODAY()&gt;=$A440,SUMIFS(Tabla1[EV],Tabla1[Fecha],"&lt;="&amp;A440,Tabla1[EV],"&gt;0"),NA())</f>
        <v>#N/A</v>
      </c>
      <c r="L440"/>
    </row>
    <row r="441" spans="1:12" x14ac:dyDescent="0.25">
      <c r="A441" s="62">
        <f t="shared" si="8"/>
        <v>46401</v>
      </c>
      <c r="B441" s="62"/>
      <c r="C441" s="110" t="e">
        <f ca="1">IF(TODAY()&gt;=$A441,SUMIFS(Tabla1[Avance_km],Tabla1[Fecha],"&lt;="&amp;EV!$A441,Tabla1[nombre_actividad],EV!C$1),NA())</f>
        <v>#N/A</v>
      </c>
      <c r="D441" s="110" t="e">
        <f ca="1">IF(TODAY()&gt;=$A441,SUMIFS(Tabla1[Avance_km],Tabla1[Fecha],"&lt;="&amp;EV!$A441,Tabla1[nombre_actividad],EV!D$1),NA())</f>
        <v>#N/A</v>
      </c>
      <c r="E441" s="110" t="e">
        <f ca="1">IF(TODAY()&gt;=$A441,SUMIFS(Tabla1[Avance_km],Tabla1[Fecha],"&lt;="&amp;EV!$A441,Tabla1[nombre_actividad],EV!E$1,Tabla1[Avance_km],"&gt;0"),NA())</f>
        <v>#N/A</v>
      </c>
      <c r="F441" s="67" t="e">
        <f ca="1">IF(TODAY()&gt;=$A441,SUMIFS(Tabla1[Avance_Med],Tabla1[Fecha],"&lt;="&amp;EV!$A441,Tabla1[nombre_actividad],EV!F$1),NA())</f>
        <v>#N/A</v>
      </c>
      <c r="G441" s="67"/>
      <c r="H441" s="110" t="e">
        <f ca="1">IF(TODAY()&gt;=$A441,SUMIFS(Tabla1[Avance_km],Tabla1[Fecha],"&lt;="&amp;EV!$A441-1,Tabla1[nombre_actividad],EV!H$1),NA())</f>
        <v>#N/A</v>
      </c>
      <c r="I441" s="228" t="e">
        <f ca="1">+C441*Catalogo!$F$19+EV!D441*Catalogo!$F$14+EV!E441*Catalogo!$F$16+EV!F441*Catalogo!$F$18</f>
        <v>#N/A</v>
      </c>
      <c r="J441" s="228" t="e">
        <f ca="1">IF(TODAY()&gt;=$A441,SUMIFS(Tabla1[EV],Tabla1[Fecha],"&lt;="&amp;A441,Tabla1[EV],"&gt;0"),NA())</f>
        <v>#N/A</v>
      </c>
      <c r="L441"/>
    </row>
    <row r="442" spans="1:12" x14ac:dyDescent="0.25">
      <c r="A442" s="62">
        <f t="shared" si="8"/>
        <v>46402</v>
      </c>
      <c r="B442" s="62"/>
      <c r="C442" s="110" t="e">
        <f ca="1">IF(TODAY()&gt;=$A442,SUMIFS(Tabla1[Avance_km],Tabla1[Fecha],"&lt;="&amp;EV!$A442,Tabla1[nombre_actividad],EV!C$1),NA())</f>
        <v>#N/A</v>
      </c>
      <c r="D442" s="110" t="e">
        <f ca="1">IF(TODAY()&gt;=$A442,SUMIFS(Tabla1[Avance_km],Tabla1[Fecha],"&lt;="&amp;EV!$A442,Tabla1[nombre_actividad],EV!D$1),NA())</f>
        <v>#N/A</v>
      </c>
      <c r="E442" s="110" t="e">
        <f ca="1">IF(TODAY()&gt;=$A442,SUMIFS(Tabla1[Avance_km],Tabla1[Fecha],"&lt;="&amp;EV!$A442,Tabla1[nombre_actividad],EV!E$1,Tabla1[Avance_km],"&gt;0"),NA())</f>
        <v>#N/A</v>
      </c>
      <c r="F442" s="67" t="e">
        <f ca="1">IF(TODAY()&gt;=$A442,SUMIFS(Tabla1[Avance_Med],Tabla1[Fecha],"&lt;="&amp;EV!$A442,Tabla1[nombre_actividad],EV!F$1),NA())</f>
        <v>#N/A</v>
      </c>
      <c r="G442" s="67"/>
      <c r="H442" s="110" t="e">
        <f ca="1">IF(TODAY()&gt;=$A442,SUMIFS(Tabla1[Avance_km],Tabla1[Fecha],"&lt;="&amp;EV!$A442-1,Tabla1[nombre_actividad],EV!H$1),NA())</f>
        <v>#N/A</v>
      </c>
      <c r="I442" s="228" t="e">
        <f ca="1">+C442*Catalogo!$F$19+EV!D442*Catalogo!$F$14+EV!E442*Catalogo!$F$16+EV!F442*Catalogo!$F$18</f>
        <v>#N/A</v>
      </c>
      <c r="J442" s="228" t="e">
        <f ca="1">IF(TODAY()&gt;=$A442,SUMIFS(Tabla1[EV],Tabla1[Fecha],"&lt;="&amp;A442,Tabla1[EV],"&gt;0"),NA())</f>
        <v>#N/A</v>
      </c>
      <c r="L442"/>
    </row>
    <row r="443" spans="1:12" x14ac:dyDescent="0.25">
      <c r="A443" s="62">
        <f t="shared" si="8"/>
        <v>46403</v>
      </c>
      <c r="B443" s="62"/>
      <c r="C443" s="110" t="e">
        <f ca="1">IF(TODAY()&gt;=$A443,SUMIFS(Tabla1[Avance_km],Tabla1[Fecha],"&lt;="&amp;EV!$A443,Tabla1[nombre_actividad],EV!C$1),NA())</f>
        <v>#N/A</v>
      </c>
      <c r="D443" s="110" t="e">
        <f ca="1">IF(TODAY()&gt;=$A443,SUMIFS(Tabla1[Avance_km],Tabla1[Fecha],"&lt;="&amp;EV!$A443,Tabla1[nombre_actividad],EV!D$1),NA())</f>
        <v>#N/A</v>
      </c>
      <c r="E443" s="110" t="e">
        <f ca="1">IF(TODAY()&gt;=$A443,SUMIFS(Tabla1[Avance_km],Tabla1[Fecha],"&lt;="&amp;EV!$A443,Tabla1[nombre_actividad],EV!E$1,Tabla1[Avance_km],"&gt;0"),NA())</f>
        <v>#N/A</v>
      </c>
      <c r="F443" s="67" t="e">
        <f ca="1">IF(TODAY()&gt;=$A443,SUMIFS(Tabla1[Avance_Med],Tabla1[Fecha],"&lt;="&amp;EV!$A443,Tabla1[nombre_actividad],EV!F$1),NA())</f>
        <v>#N/A</v>
      </c>
      <c r="G443" s="67"/>
      <c r="H443" s="110" t="e">
        <f ca="1">IF(TODAY()&gt;=$A443,SUMIFS(Tabla1[Avance_km],Tabla1[Fecha],"&lt;="&amp;EV!$A443-1,Tabla1[nombre_actividad],EV!H$1),NA())</f>
        <v>#N/A</v>
      </c>
      <c r="I443" s="228" t="e">
        <f ca="1">+C443*Catalogo!$F$19+EV!D443*Catalogo!$F$14+EV!E443*Catalogo!$F$16+EV!F443*Catalogo!$F$18</f>
        <v>#N/A</v>
      </c>
      <c r="J443" s="228" t="e">
        <f ca="1">IF(TODAY()&gt;=$A443,SUMIFS(Tabla1[EV],Tabla1[Fecha],"&lt;="&amp;A443,Tabla1[EV],"&gt;0"),NA())</f>
        <v>#N/A</v>
      </c>
      <c r="L443"/>
    </row>
    <row r="444" spans="1:12" x14ac:dyDescent="0.25">
      <c r="A444" s="62">
        <f t="shared" si="8"/>
        <v>46404</v>
      </c>
      <c r="B444" s="62"/>
      <c r="C444" s="110" t="e">
        <f ca="1">IF(TODAY()&gt;=$A444,SUMIFS(Tabla1[Avance_km],Tabla1[Fecha],"&lt;="&amp;EV!$A444,Tabla1[nombre_actividad],EV!C$1),NA())</f>
        <v>#N/A</v>
      </c>
      <c r="D444" s="110" t="e">
        <f ca="1">IF(TODAY()&gt;=$A444,SUMIFS(Tabla1[Avance_km],Tabla1[Fecha],"&lt;="&amp;EV!$A444,Tabla1[nombre_actividad],EV!D$1),NA())</f>
        <v>#N/A</v>
      </c>
      <c r="E444" s="110" t="e">
        <f ca="1">IF(TODAY()&gt;=$A444,SUMIFS(Tabla1[Avance_km],Tabla1[Fecha],"&lt;="&amp;EV!$A444,Tabla1[nombre_actividad],EV!E$1,Tabla1[Avance_km],"&gt;0"),NA())</f>
        <v>#N/A</v>
      </c>
      <c r="F444" s="67" t="e">
        <f ca="1">IF(TODAY()&gt;=$A444,SUMIFS(Tabla1[Avance_Med],Tabla1[Fecha],"&lt;="&amp;EV!$A444,Tabla1[nombre_actividad],EV!F$1),NA())</f>
        <v>#N/A</v>
      </c>
      <c r="G444" s="67"/>
      <c r="H444" s="110" t="e">
        <f ca="1">IF(TODAY()&gt;=$A444,SUMIFS(Tabla1[Avance_km],Tabla1[Fecha],"&lt;="&amp;EV!$A444-1,Tabla1[nombre_actividad],EV!H$1),NA())</f>
        <v>#N/A</v>
      </c>
      <c r="I444" s="228" t="e">
        <f ca="1">+C444*Catalogo!$F$19+EV!D444*Catalogo!$F$14+EV!E444*Catalogo!$F$16+EV!F444*Catalogo!$F$18</f>
        <v>#N/A</v>
      </c>
      <c r="J444" s="228" t="e">
        <f ca="1">IF(TODAY()&gt;=$A444,SUMIFS(Tabla1[EV],Tabla1[Fecha],"&lt;="&amp;A444,Tabla1[EV],"&gt;0"),NA())</f>
        <v>#N/A</v>
      </c>
      <c r="L444"/>
    </row>
    <row r="445" spans="1:12" x14ac:dyDescent="0.25">
      <c r="A445" s="62">
        <f t="shared" si="8"/>
        <v>46405</v>
      </c>
      <c r="B445" s="62"/>
      <c r="C445" s="110" t="e">
        <f ca="1">IF(TODAY()&gt;=$A445,SUMIFS(Tabla1[Avance_km],Tabla1[Fecha],"&lt;="&amp;EV!$A445,Tabla1[nombre_actividad],EV!C$1),NA())</f>
        <v>#N/A</v>
      </c>
      <c r="D445" s="110" t="e">
        <f ca="1">IF(TODAY()&gt;=$A445,SUMIFS(Tabla1[Avance_km],Tabla1[Fecha],"&lt;="&amp;EV!$A445,Tabla1[nombre_actividad],EV!D$1),NA())</f>
        <v>#N/A</v>
      </c>
      <c r="E445" s="110" t="e">
        <f ca="1">IF(TODAY()&gt;=$A445,SUMIFS(Tabla1[Avance_km],Tabla1[Fecha],"&lt;="&amp;EV!$A445,Tabla1[nombre_actividad],EV!E$1,Tabla1[Avance_km],"&gt;0"),NA())</f>
        <v>#N/A</v>
      </c>
      <c r="F445" s="67" t="e">
        <f ca="1">IF(TODAY()&gt;=$A445,SUMIFS(Tabla1[Avance_Med],Tabla1[Fecha],"&lt;="&amp;EV!$A445,Tabla1[nombre_actividad],EV!F$1),NA())</f>
        <v>#N/A</v>
      </c>
      <c r="G445" s="67"/>
      <c r="H445" s="110" t="e">
        <f ca="1">IF(TODAY()&gt;=$A445,SUMIFS(Tabla1[Avance_km],Tabla1[Fecha],"&lt;="&amp;EV!$A445-1,Tabla1[nombre_actividad],EV!H$1),NA())</f>
        <v>#N/A</v>
      </c>
      <c r="I445" s="228" t="e">
        <f ca="1">+C445*Catalogo!$F$19+EV!D445*Catalogo!$F$14+EV!E445*Catalogo!$F$16+EV!F445*Catalogo!$F$18</f>
        <v>#N/A</v>
      </c>
      <c r="J445" s="228" t="e">
        <f ca="1">IF(TODAY()&gt;=$A445,SUMIFS(Tabla1[EV],Tabla1[Fecha],"&lt;="&amp;A445,Tabla1[EV],"&gt;0"),NA())</f>
        <v>#N/A</v>
      </c>
      <c r="L445"/>
    </row>
    <row r="446" spans="1:12" x14ac:dyDescent="0.25">
      <c r="A446" s="62">
        <f t="shared" si="8"/>
        <v>46406</v>
      </c>
      <c r="B446" s="62"/>
      <c r="C446" s="110" t="e">
        <f ca="1">IF(TODAY()&gt;=$A446,SUMIFS(Tabla1[Avance_km],Tabla1[Fecha],"&lt;="&amp;EV!$A446,Tabla1[nombre_actividad],EV!C$1),NA())</f>
        <v>#N/A</v>
      </c>
      <c r="D446" s="110" t="e">
        <f ca="1">IF(TODAY()&gt;=$A446,SUMIFS(Tabla1[Avance_km],Tabla1[Fecha],"&lt;="&amp;EV!$A446,Tabla1[nombre_actividad],EV!D$1),NA())</f>
        <v>#N/A</v>
      </c>
      <c r="E446" s="110" t="e">
        <f ca="1">IF(TODAY()&gt;=$A446,SUMIFS(Tabla1[Avance_km],Tabla1[Fecha],"&lt;="&amp;EV!$A446,Tabla1[nombre_actividad],EV!E$1,Tabla1[Avance_km],"&gt;0"),NA())</f>
        <v>#N/A</v>
      </c>
      <c r="F446" s="67" t="e">
        <f ca="1">IF(TODAY()&gt;=$A446,SUMIFS(Tabla1[Avance_Med],Tabla1[Fecha],"&lt;="&amp;EV!$A446,Tabla1[nombre_actividad],EV!F$1),NA())</f>
        <v>#N/A</v>
      </c>
      <c r="G446" s="67"/>
      <c r="H446" s="110" t="e">
        <f ca="1">IF(TODAY()&gt;=$A446,SUMIFS(Tabla1[Avance_km],Tabla1[Fecha],"&lt;="&amp;EV!$A446-1,Tabla1[nombre_actividad],EV!H$1),NA())</f>
        <v>#N/A</v>
      </c>
      <c r="I446" s="228" t="e">
        <f ca="1">+C446*Catalogo!$F$19+EV!D446*Catalogo!$F$14+EV!E446*Catalogo!$F$16+EV!F446*Catalogo!$F$18</f>
        <v>#N/A</v>
      </c>
      <c r="J446" s="228" t="e">
        <f ca="1">IF(TODAY()&gt;=$A446,SUMIFS(Tabla1[EV],Tabla1[Fecha],"&lt;="&amp;A446,Tabla1[EV],"&gt;0"),NA())</f>
        <v>#N/A</v>
      </c>
      <c r="L446"/>
    </row>
    <row r="447" spans="1:12" x14ac:dyDescent="0.25">
      <c r="A447" s="62">
        <f t="shared" si="8"/>
        <v>46407</v>
      </c>
      <c r="B447" s="62"/>
      <c r="C447" s="110" t="e">
        <f ca="1">IF(TODAY()&gt;=$A447,SUMIFS(Tabla1[Avance_km],Tabla1[Fecha],"&lt;="&amp;EV!$A447,Tabla1[nombre_actividad],EV!C$1),NA())</f>
        <v>#N/A</v>
      </c>
      <c r="D447" s="110" t="e">
        <f ca="1">IF(TODAY()&gt;=$A447,SUMIFS(Tabla1[Avance_km],Tabla1[Fecha],"&lt;="&amp;EV!$A447,Tabla1[nombre_actividad],EV!D$1),NA())</f>
        <v>#N/A</v>
      </c>
      <c r="E447" s="110" t="e">
        <f ca="1">IF(TODAY()&gt;=$A447,SUMIFS(Tabla1[Avance_km],Tabla1[Fecha],"&lt;="&amp;EV!$A447,Tabla1[nombre_actividad],EV!E$1,Tabla1[Avance_km],"&gt;0"),NA())</f>
        <v>#N/A</v>
      </c>
      <c r="F447" s="67" t="e">
        <f ca="1">IF(TODAY()&gt;=$A447,SUMIFS(Tabla1[Avance_Med],Tabla1[Fecha],"&lt;="&amp;EV!$A447,Tabla1[nombre_actividad],EV!F$1),NA())</f>
        <v>#N/A</v>
      </c>
      <c r="G447" s="67"/>
      <c r="H447" s="110" t="e">
        <f ca="1">IF(TODAY()&gt;=$A447,SUMIFS(Tabla1[Avance_km],Tabla1[Fecha],"&lt;="&amp;EV!$A447-1,Tabla1[nombre_actividad],EV!H$1),NA())</f>
        <v>#N/A</v>
      </c>
      <c r="I447" s="228" t="e">
        <f ca="1">+C447*Catalogo!$F$19+EV!D447*Catalogo!$F$14+EV!E447*Catalogo!$F$16+EV!F447*Catalogo!$F$18</f>
        <v>#N/A</v>
      </c>
      <c r="J447" s="228" t="e">
        <f ca="1">IF(TODAY()&gt;=$A447,SUMIFS(Tabla1[EV],Tabla1[Fecha],"&lt;="&amp;A447,Tabla1[EV],"&gt;0"),NA())</f>
        <v>#N/A</v>
      </c>
      <c r="L447"/>
    </row>
    <row r="448" spans="1:12" x14ac:dyDescent="0.25">
      <c r="A448" s="62">
        <f t="shared" si="8"/>
        <v>46408</v>
      </c>
      <c r="B448" s="62"/>
      <c r="C448" s="110" t="e">
        <f ca="1">IF(TODAY()&gt;=$A448,SUMIFS(Tabla1[Avance_km],Tabla1[Fecha],"&lt;="&amp;EV!$A448,Tabla1[nombre_actividad],EV!C$1),NA())</f>
        <v>#N/A</v>
      </c>
      <c r="D448" s="110" t="e">
        <f ca="1">IF(TODAY()&gt;=$A448,SUMIFS(Tabla1[Avance_km],Tabla1[Fecha],"&lt;="&amp;EV!$A448,Tabla1[nombre_actividad],EV!D$1),NA())</f>
        <v>#N/A</v>
      </c>
      <c r="E448" s="110" t="e">
        <f ca="1">IF(TODAY()&gt;=$A448,SUMIFS(Tabla1[Avance_km],Tabla1[Fecha],"&lt;="&amp;EV!$A448,Tabla1[nombre_actividad],EV!E$1,Tabla1[Avance_km],"&gt;0"),NA())</f>
        <v>#N/A</v>
      </c>
      <c r="F448" s="67" t="e">
        <f ca="1">IF(TODAY()&gt;=$A448,SUMIFS(Tabla1[Avance_Med],Tabla1[Fecha],"&lt;="&amp;EV!$A448,Tabla1[nombre_actividad],EV!F$1),NA())</f>
        <v>#N/A</v>
      </c>
      <c r="G448" s="67"/>
      <c r="H448" s="110" t="e">
        <f ca="1">IF(TODAY()&gt;=$A448,SUMIFS(Tabla1[Avance_km],Tabla1[Fecha],"&lt;="&amp;EV!$A448-1,Tabla1[nombre_actividad],EV!H$1),NA())</f>
        <v>#N/A</v>
      </c>
      <c r="I448" s="228" t="e">
        <f ca="1">+C448*Catalogo!$F$19+EV!D448*Catalogo!$F$14+EV!E448*Catalogo!$F$16+EV!F448*Catalogo!$F$18</f>
        <v>#N/A</v>
      </c>
      <c r="J448" s="228" t="e">
        <f ca="1">IF(TODAY()&gt;=$A448,SUMIFS(Tabla1[EV],Tabla1[Fecha],"&lt;="&amp;A448,Tabla1[EV],"&gt;0"),NA())</f>
        <v>#N/A</v>
      </c>
      <c r="L448"/>
    </row>
    <row r="449" spans="1:12" x14ac:dyDescent="0.25">
      <c r="A449" s="62">
        <f t="shared" si="8"/>
        <v>46409</v>
      </c>
      <c r="B449" s="62"/>
      <c r="C449" s="110" t="e">
        <f ca="1">IF(TODAY()&gt;=$A449,SUMIFS(Tabla1[Avance_km],Tabla1[Fecha],"&lt;="&amp;EV!$A449,Tabla1[nombre_actividad],EV!C$1),NA())</f>
        <v>#N/A</v>
      </c>
      <c r="D449" s="110" t="e">
        <f ca="1">IF(TODAY()&gt;=$A449,SUMIFS(Tabla1[Avance_km],Tabla1[Fecha],"&lt;="&amp;EV!$A449,Tabla1[nombre_actividad],EV!D$1),NA())</f>
        <v>#N/A</v>
      </c>
      <c r="E449" s="110" t="e">
        <f ca="1">IF(TODAY()&gt;=$A449,SUMIFS(Tabla1[Avance_km],Tabla1[Fecha],"&lt;="&amp;EV!$A449,Tabla1[nombre_actividad],EV!E$1,Tabla1[Avance_km],"&gt;0"),NA())</f>
        <v>#N/A</v>
      </c>
      <c r="F449" s="67" t="e">
        <f ca="1">IF(TODAY()&gt;=$A449,SUMIFS(Tabla1[Avance_Med],Tabla1[Fecha],"&lt;="&amp;EV!$A449,Tabla1[nombre_actividad],EV!F$1),NA())</f>
        <v>#N/A</v>
      </c>
      <c r="G449" s="67"/>
      <c r="H449" s="110" t="e">
        <f ca="1">IF(TODAY()&gt;=$A449,SUMIFS(Tabla1[Avance_km],Tabla1[Fecha],"&lt;="&amp;EV!$A449-1,Tabla1[nombre_actividad],EV!H$1),NA())</f>
        <v>#N/A</v>
      </c>
      <c r="I449" s="228" t="e">
        <f ca="1">+C449*Catalogo!$F$19+EV!D449*Catalogo!$F$14+EV!E449*Catalogo!$F$16+EV!F449*Catalogo!$F$18</f>
        <v>#N/A</v>
      </c>
      <c r="J449" s="228" t="e">
        <f ca="1">IF(TODAY()&gt;=$A449,SUMIFS(Tabla1[EV],Tabla1[Fecha],"&lt;="&amp;A449,Tabla1[EV],"&gt;0"),NA())</f>
        <v>#N/A</v>
      </c>
      <c r="L449"/>
    </row>
    <row r="450" spans="1:12" x14ac:dyDescent="0.25">
      <c r="A450" s="62">
        <f t="shared" si="8"/>
        <v>46410</v>
      </c>
      <c r="B450" s="62"/>
      <c r="C450" s="110" t="e">
        <f ca="1">IF(TODAY()&gt;=$A450,SUMIFS(Tabla1[Avance_km],Tabla1[Fecha],"&lt;="&amp;EV!$A450,Tabla1[nombre_actividad],EV!C$1),NA())</f>
        <v>#N/A</v>
      </c>
      <c r="D450" s="110" t="e">
        <f ca="1">IF(TODAY()&gt;=$A450,SUMIFS(Tabla1[Avance_km],Tabla1[Fecha],"&lt;="&amp;EV!$A450,Tabla1[nombre_actividad],EV!D$1),NA())</f>
        <v>#N/A</v>
      </c>
      <c r="E450" s="110" t="e">
        <f ca="1">IF(TODAY()&gt;=$A450,SUMIFS(Tabla1[Avance_km],Tabla1[Fecha],"&lt;="&amp;EV!$A450,Tabla1[nombre_actividad],EV!E$1,Tabla1[Avance_km],"&gt;0"),NA())</f>
        <v>#N/A</v>
      </c>
      <c r="F450" s="67" t="e">
        <f ca="1">IF(TODAY()&gt;=$A450,SUMIFS(Tabla1[Avance_Med],Tabla1[Fecha],"&lt;="&amp;EV!$A450,Tabla1[nombre_actividad],EV!F$1),NA())</f>
        <v>#N/A</v>
      </c>
      <c r="G450" s="67"/>
      <c r="H450" s="110" t="e">
        <f ca="1">IF(TODAY()&gt;=$A450,SUMIFS(Tabla1[Avance_km],Tabla1[Fecha],"&lt;="&amp;EV!$A450-1,Tabla1[nombre_actividad],EV!H$1),NA())</f>
        <v>#N/A</v>
      </c>
      <c r="I450" s="228" t="e">
        <f ca="1">+C450*Catalogo!$F$19+EV!D450*Catalogo!$F$14+EV!E450*Catalogo!$F$16+EV!F450*Catalogo!$F$18</f>
        <v>#N/A</v>
      </c>
      <c r="J450" s="228" t="e">
        <f ca="1">IF(TODAY()&gt;=$A450,SUMIFS(Tabla1[EV],Tabla1[Fecha],"&lt;="&amp;A450,Tabla1[EV],"&gt;0"),NA())</f>
        <v>#N/A</v>
      </c>
      <c r="L450"/>
    </row>
    <row r="451" spans="1:12" x14ac:dyDescent="0.25">
      <c r="A451" s="62">
        <f t="shared" si="8"/>
        <v>46411</v>
      </c>
      <c r="B451" s="62"/>
      <c r="C451" s="110" t="e">
        <f ca="1">IF(TODAY()&gt;=$A451,SUMIFS(Tabla1[Avance_km],Tabla1[Fecha],"&lt;="&amp;EV!$A451,Tabla1[nombre_actividad],EV!C$1),NA())</f>
        <v>#N/A</v>
      </c>
      <c r="D451" s="110" t="e">
        <f ca="1">IF(TODAY()&gt;=$A451,SUMIFS(Tabla1[Avance_km],Tabla1[Fecha],"&lt;="&amp;EV!$A451,Tabla1[nombre_actividad],EV!D$1),NA())</f>
        <v>#N/A</v>
      </c>
      <c r="E451" s="110" t="e">
        <f ca="1">IF(TODAY()&gt;=$A451,SUMIFS(Tabla1[Avance_km],Tabla1[Fecha],"&lt;="&amp;EV!$A451,Tabla1[nombre_actividad],EV!E$1,Tabla1[Avance_km],"&gt;0"),NA())</f>
        <v>#N/A</v>
      </c>
      <c r="F451" s="67" t="e">
        <f ca="1">IF(TODAY()&gt;=$A451,SUMIFS(Tabla1[Avance_Med],Tabla1[Fecha],"&lt;="&amp;EV!$A451,Tabla1[nombre_actividad],EV!F$1),NA())</f>
        <v>#N/A</v>
      </c>
      <c r="G451" s="67"/>
      <c r="H451" s="110" t="e">
        <f ca="1">IF(TODAY()&gt;=$A451,SUMIFS(Tabla1[Avance_km],Tabla1[Fecha],"&lt;="&amp;EV!$A451-1,Tabla1[nombre_actividad],EV!H$1),NA())</f>
        <v>#N/A</v>
      </c>
      <c r="I451" s="228" t="e">
        <f ca="1">+C451*Catalogo!$F$19+EV!D451*Catalogo!$F$14+EV!E451*Catalogo!$F$16+EV!F451*Catalogo!$F$18</f>
        <v>#N/A</v>
      </c>
      <c r="J451" s="228" t="e">
        <f ca="1">IF(TODAY()&gt;=$A451,SUMIFS(Tabla1[EV],Tabla1[Fecha],"&lt;="&amp;A451,Tabla1[EV],"&gt;0"),NA())</f>
        <v>#N/A</v>
      </c>
      <c r="L451"/>
    </row>
    <row r="452" spans="1:12" x14ac:dyDescent="0.25">
      <c r="A452" s="62">
        <f t="shared" si="8"/>
        <v>46412</v>
      </c>
      <c r="B452" s="62"/>
      <c r="C452" s="110" t="e">
        <f ca="1">IF(TODAY()&gt;=$A452,SUMIFS(Tabla1[Avance_km],Tabla1[Fecha],"&lt;="&amp;EV!$A452,Tabla1[nombre_actividad],EV!C$1),NA())</f>
        <v>#N/A</v>
      </c>
      <c r="D452" s="110" t="e">
        <f ca="1">IF(TODAY()&gt;=$A452,SUMIFS(Tabla1[Avance_km],Tabla1[Fecha],"&lt;="&amp;EV!$A452,Tabla1[nombre_actividad],EV!D$1),NA())</f>
        <v>#N/A</v>
      </c>
      <c r="E452" s="110" t="e">
        <f ca="1">IF(TODAY()&gt;=$A452,SUMIFS(Tabla1[Avance_km],Tabla1[Fecha],"&lt;="&amp;EV!$A452,Tabla1[nombre_actividad],EV!E$1,Tabla1[Avance_km],"&gt;0"),NA())</f>
        <v>#N/A</v>
      </c>
      <c r="F452" s="67" t="e">
        <f ca="1">IF(TODAY()&gt;=$A452,SUMIFS(Tabla1[Avance_Med],Tabla1[Fecha],"&lt;="&amp;EV!$A452,Tabla1[nombre_actividad],EV!F$1),NA())</f>
        <v>#N/A</v>
      </c>
      <c r="G452" s="67"/>
      <c r="H452" s="110" t="e">
        <f ca="1">IF(TODAY()&gt;=$A452,SUMIFS(Tabla1[Avance_km],Tabla1[Fecha],"&lt;="&amp;EV!$A452-1,Tabla1[nombre_actividad],EV!H$1),NA())</f>
        <v>#N/A</v>
      </c>
      <c r="I452" s="228" t="e">
        <f ca="1">+C452*Catalogo!$F$19+EV!D452*Catalogo!$F$14+EV!E452*Catalogo!$F$16+EV!F452*Catalogo!$F$18</f>
        <v>#N/A</v>
      </c>
      <c r="J452" s="228" t="e">
        <f ca="1">IF(TODAY()&gt;=$A452,SUMIFS(Tabla1[EV],Tabla1[Fecha],"&lt;="&amp;A452,Tabla1[EV],"&gt;0"),NA())</f>
        <v>#N/A</v>
      </c>
      <c r="L452"/>
    </row>
    <row r="453" spans="1:12" x14ac:dyDescent="0.25">
      <c r="A453" s="62">
        <f t="shared" ref="A453:A500" si="9">+A452+1</f>
        <v>46413</v>
      </c>
      <c r="B453" s="62"/>
      <c r="C453" s="110" t="e">
        <f ca="1">IF(TODAY()&gt;=$A453,SUMIFS(Tabla1[Avance_km],Tabla1[Fecha],"&lt;="&amp;EV!$A453,Tabla1[nombre_actividad],EV!C$1),NA())</f>
        <v>#N/A</v>
      </c>
      <c r="D453" s="110" t="e">
        <f ca="1">IF(TODAY()&gt;=$A453,SUMIFS(Tabla1[Avance_km],Tabla1[Fecha],"&lt;="&amp;EV!$A453,Tabla1[nombre_actividad],EV!D$1),NA())</f>
        <v>#N/A</v>
      </c>
      <c r="E453" s="110" t="e">
        <f ca="1">IF(TODAY()&gt;=$A453,SUMIFS(Tabla1[Avance_km],Tabla1[Fecha],"&lt;="&amp;EV!$A453,Tabla1[nombre_actividad],EV!E$1,Tabla1[Avance_km],"&gt;0"),NA())</f>
        <v>#N/A</v>
      </c>
      <c r="F453" s="67" t="e">
        <f ca="1">IF(TODAY()&gt;=$A453,SUMIFS(Tabla1[Avance_Med],Tabla1[Fecha],"&lt;="&amp;EV!$A453,Tabla1[nombre_actividad],EV!F$1),NA())</f>
        <v>#N/A</v>
      </c>
      <c r="G453" s="67"/>
      <c r="H453" s="110" t="e">
        <f ca="1">IF(TODAY()&gt;=$A453,SUMIFS(Tabla1[Avance_km],Tabla1[Fecha],"&lt;="&amp;EV!$A453-1,Tabla1[nombre_actividad],EV!H$1),NA())</f>
        <v>#N/A</v>
      </c>
      <c r="I453" s="228" t="e">
        <f ca="1">+C453*Catalogo!$F$19+EV!D453*Catalogo!$F$14+EV!E453*Catalogo!$F$16+EV!F453*Catalogo!$F$18</f>
        <v>#N/A</v>
      </c>
      <c r="J453" s="228" t="e">
        <f ca="1">IF(TODAY()&gt;=$A453,SUMIFS(Tabla1[EV],Tabla1[Fecha],"&lt;="&amp;A453,Tabla1[EV],"&gt;0"),NA())</f>
        <v>#N/A</v>
      </c>
      <c r="L453"/>
    </row>
    <row r="454" spans="1:12" x14ac:dyDescent="0.25">
      <c r="A454" s="62">
        <f t="shared" si="9"/>
        <v>46414</v>
      </c>
      <c r="B454" s="62"/>
      <c r="C454" s="110" t="e">
        <f ca="1">IF(TODAY()&gt;=$A454,SUMIFS(Tabla1[Avance_km],Tabla1[Fecha],"&lt;="&amp;EV!$A454,Tabla1[nombre_actividad],EV!C$1),NA())</f>
        <v>#N/A</v>
      </c>
      <c r="D454" s="110" t="e">
        <f ca="1">IF(TODAY()&gt;=$A454,SUMIFS(Tabla1[Avance_km],Tabla1[Fecha],"&lt;="&amp;EV!$A454,Tabla1[nombre_actividad],EV!D$1),NA())</f>
        <v>#N/A</v>
      </c>
      <c r="E454" s="110" t="e">
        <f ca="1">IF(TODAY()&gt;=$A454,SUMIFS(Tabla1[Avance_km],Tabla1[Fecha],"&lt;="&amp;EV!$A454,Tabla1[nombre_actividad],EV!E$1,Tabla1[Avance_km],"&gt;0"),NA())</f>
        <v>#N/A</v>
      </c>
      <c r="F454" s="67" t="e">
        <f ca="1">IF(TODAY()&gt;=$A454,SUMIFS(Tabla1[Avance_Med],Tabla1[Fecha],"&lt;="&amp;EV!$A454,Tabla1[nombre_actividad],EV!F$1),NA())</f>
        <v>#N/A</v>
      </c>
      <c r="G454" s="67"/>
      <c r="H454" s="110" t="e">
        <f ca="1">IF(TODAY()&gt;=$A454,SUMIFS(Tabla1[Avance_km],Tabla1[Fecha],"&lt;="&amp;EV!$A454-1,Tabla1[nombre_actividad],EV!H$1),NA())</f>
        <v>#N/A</v>
      </c>
      <c r="I454" s="228" t="e">
        <f ca="1">+C454*Catalogo!$F$19+EV!D454*Catalogo!$F$14+EV!E454*Catalogo!$F$16+EV!F454*Catalogo!$F$18</f>
        <v>#N/A</v>
      </c>
      <c r="J454" s="228" t="e">
        <f ca="1">IF(TODAY()&gt;=$A454,SUMIFS(Tabla1[EV],Tabla1[Fecha],"&lt;="&amp;A454,Tabla1[EV],"&gt;0"),NA())</f>
        <v>#N/A</v>
      </c>
      <c r="L454"/>
    </row>
    <row r="455" spans="1:12" x14ac:dyDescent="0.25">
      <c r="A455" s="62">
        <f t="shared" si="9"/>
        <v>46415</v>
      </c>
      <c r="B455" s="62"/>
      <c r="C455" s="110" t="e">
        <f ca="1">IF(TODAY()&gt;=$A455,SUMIFS(Tabla1[Avance_km],Tabla1[Fecha],"&lt;="&amp;EV!$A455,Tabla1[nombre_actividad],EV!C$1),NA())</f>
        <v>#N/A</v>
      </c>
      <c r="D455" s="110" t="e">
        <f ca="1">IF(TODAY()&gt;=$A455,SUMIFS(Tabla1[Avance_km],Tabla1[Fecha],"&lt;="&amp;EV!$A455,Tabla1[nombre_actividad],EV!D$1),NA())</f>
        <v>#N/A</v>
      </c>
      <c r="E455" s="110" t="e">
        <f ca="1">IF(TODAY()&gt;=$A455,SUMIFS(Tabla1[Avance_km],Tabla1[Fecha],"&lt;="&amp;EV!$A455,Tabla1[nombre_actividad],EV!E$1,Tabla1[Avance_km],"&gt;0"),NA())</f>
        <v>#N/A</v>
      </c>
      <c r="F455" s="67" t="e">
        <f ca="1">IF(TODAY()&gt;=$A455,SUMIFS(Tabla1[Avance_Med],Tabla1[Fecha],"&lt;="&amp;EV!$A455,Tabla1[nombre_actividad],EV!F$1),NA())</f>
        <v>#N/A</v>
      </c>
      <c r="G455" s="67"/>
      <c r="H455" s="110" t="e">
        <f ca="1">IF(TODAY()&gt;=$A455,SUMIFS(Tabla1[Avance_km],Tabla1[Fecha],"&lt;="&amp;EV!$A455-1,Tabla1[nombre_actividad],EV!H$1),NA())</f>
        <v>#N/A</v>
      </c>
      <c r="I455" s="228" t="e">
        <f ca="1">+C455*Catalogo!$F$19+EV!D455*Catalogo!$F$14+EV!E455*Catalogo!$F$16+EV!F455*Catalogo!$F$18</f>
        <v>#N/A</v>
      </c>
      <c r="J455" s="228" t="e">
        <f ca="1">IF(TODAY()&gt;=$A455,SUMIFS(Tabla1[EV],Tabla1[Fecha],"&lt;="&amp;A455,Tabla1[EV],"&gt;0"),NA())</f>
        <v>#N/A</v>
      </c>
      <c r="L455"/>
    </row>
    <row r="456" spans="1:12" x14ac:dyDescent="0.25">
      <c r="A456" s="62">
        <f t="shared" si="9"/>
        <v>46416</v>
      </c>
      <c r="B456" s="62"/>
      <c r="C456" s="110" t="e">
        <f ca="1">IF(TODAY()&gt;=$A456,SUMIFS(Tabla1[Avance_km],Tabla1[Fecha],"&lt;="&amp;EV!$A456,Tabla1[nombre_actividad],EV!C$1),NA())</f>
        <v>#N/A</v>
      </c>
      <c r="D456" s="110" t="e">
        <f ca="1">IF(TODAY()&gt;=$A456,SUMIFS(Tabla1[Avance_km],Tabla1[Fecha],"&lt;="&amp;EV!$A456,Tabla1[nombre_actividad],EV!D$1),NA())</f>
        <v>#N/A</v>
      </c>
      <c r="E456" s="110" t="e">
        <f ca="1">IF(TODAY()&gt;=$A456,SUMIFS(Tabla1[Avance_km],Tabla1[Fecha],"&lt;="&amp;EV!$A456,Tabla1[nombre_actividad],EV!E$1,Tabla1[Avance_km],"&gt;0"),NA())</f>
        <v>#N/A</v>
      </c>
      <c r="F456" s="67" t="e">
        <f ca="1">IF(TODAY()&gt;=$A456,SUMIFS(Tabla1[Avance_Med],Tabla1[Fecha],"&lt;="&amp;EV!$A456,Tabla1[nombre_actividad],EV!F$1),NA())</f>
        <v>#N/A</v>
      </c>
      <c r="G456" s="67"/>
      <c r="H456" s="110" t="e">
        <f ca="1">IF(TODAY()&gt;=$A456,SUMIFS(Tabla1[Avance_km],Tabla1[Fecha],"&lt;="&amp;EV!$A456-1,Tabla1[nombre_actividad],EV!H$1),NA())</f>
        <v>#N/A</v>
      </c>
      <c r="I456" s="228" t="e">
        <f ca="1">+C456*Catalogo!$F$19+EV!D456*Catalogo!$F$14+EV!E456*Catalogo!$F$16+EV!F456*Catalogo!$F$18</f>
        <v>#N/A</v>
      </c>
      <c r="J456" s="228" t="e">
        <f ca="1">IF(TODAY()&gt;=$A456,SUMIFS(Tabla1[EV],Tabla1[Fecha],"&lt;="&amp;A456,Tabla1[EV],"&gt;0"),NA())</f>
        <v>#N/A</v>
      </c>
      <c r="L456"/>
    </row>
    <row r="457" spans="1:12" x14ac:dyDescent="0.25">
      <c r="A457" s="62">
        <f t="shared" si="9"/>
        <v>46417</v>
      </c>
      <c r="B457" s="62"/>
      <c r="C457" s="110" t="e">
        <f ca="1">IF(TODAY()&gt;=$A457,SUMIFS(Tabla1[Avance_km],Tabla1[Fecha],"&lt;="&amp;EV!$A457,Tabla1[nombre_actividad],EV!C$1),NA())</f>
        <v>#N/A</v>
      </c>
      <c r="D457" s="110" t="e">
        <f ca="1">IF(TODAY()&gt;=$A457,SUMIFS(Tabla1[Avance_km],Tabla1[Fecha],"&lt;="&amp;EV!$A457,Tabla1[nombre_actividad],EV!D$1),NA())</f>
        <v>#N/A</v>
      </c>
      <c r="E457" s="110" t="e">
        <f ca="1">IF(TODAY()&gt;=$A457,SUMIFS(Tabla1[Avance_km],Tabla1[Fecha],"&lt;="&amp;EV!$A457,Tabla1[nombre_actividad],EV!E$1,Tabla1[Avance_km],"&gt;0"),NA())</f>
        <v>#N/A</v>
      </c>
      <c r="F457" s="67" t="e">
        <f ca="1">IF(TODAY()&gt;=$A457,SUMIFS(Tabla1[Avance_Med],Tabla1[Fecha],"&lt;="&amp;EV!$A457,Tabla1[nombre_actividad],EV!F$1),NA())</f>
        <v>#N/A</v>
      </c>
      <c r="G457" s="67"/>
      <c r="H457" s="110" t="e">
        <f ca="1">IF(TODAY()&gt;=$A457,SUMIFS(Tabla1[Avance_km],Tabla1[Fecha],"&lt;="&amp;EV!$A457-1,Tabla1[nombre_actividad],EV!H$1),NA())</f>
        <v>#N/A</v>
      </c>
      <c r="I457" s="228" t="e">
        <f ca="1">+C457*Catalogo!$F$19+EV!D457*Catalogo!$F$14+EV!E457*Catalogo!$F$16+EV!F457*Catalogo!$F$18</f>
        <v>#N/A</v>
      </c>
      <c r="J457" s="228" t="e">
        <f ca="1">IF(TODAY()&gt;=$A457,SUMIFS(Tabla1[EV],Tabla1[Fecha],"&lt;="&amp;A457,Tabla1[EV],"&gt;0"),NA())</f>
        <v>#N/A</v>
      </c>
      <c r="L457"/>
    </row>
    <row r="458" spans="1:12" x14ac:dyDescent="0.25">
      <c r="A458" s="62">
        <f t="shared" si="9"/>
        <v>46418</v>
      </c>
      <c r="B458" s="62"/>
      <c r="C458" s="110" t="e">
        <f ca="1">IF(TODAY()&gt;=$A458,SUMIFS(Tabla1[Avance_km],Tabla1[Fecha],"&lt;="&amp;EV!$A458,Tabla1[nombre_actividad],EV!C$1),NA())</f>
        <v>#N/A</v>
      </c>
      <c r="D458" s="110" t="e">
        <f ca="1">IF(TODAY()&gt;=$A458,SUMIFS(Tabla1[Avance_km],Tabla1[Fecha],"&lt;="&amp;EV!$A458,Tabla1[nombre_actividad],EV!D$1),NA())</f>
        <v>#N/A</v>
      </c>
      <c r="E458" s="110" t="e">
        <f ca="1">IF(TODAY()&gt;=$A458,SUMIFS(Tabla1[Avance_km],Tabla1[Fecha],"&lt;="&amp;EV!$A458,Tabla1[nombre_actividad],EV!E$1,Tabla1[Avance_km],"&gt;0"),NA())</f>
        <v>#N/A</v>
      </c>
      <c r="F458" s="67" t="e">
        <f ca="1">IF(TODAY()&gt;=$A458,SUMIFS(Tabla1[Avance_Med],Tabla1[Fecha],"&lt;="&amp;EV!$A458,Tabla1[nombre_actividad],EV!F$1),NA())</f>
        <v>#N/A</v>
      </c>
      <c r="G458" s="67"/>
      <c r="H458" s="110" t="e">
        <f ca="1">IF(TODAY()&gt;=$A458,SUMIFS(Tabla1[Avance_km],Tabla1[Fecha],"&lt;="&amp;EV!$A458-1,Tabla1[nombre_actividad],EV!H$1),NA())</f>
        <v>#N/A</v>
      </c>
      <c r="I458" s="228" t="e">
        <f ca="1">+C458*Catalogo!$F$19+EV!D458*Catalogo!$F$14+EV!E458*Catalogo!$F$16+EV!F458*Catalogo!$F$18</f>
        <v>#N/A</v>
      </c>
      <c r="J458" s="228" t="e">
        <f ca="1">IF(TODAY()&gt;=$A458,SUMIFS(Tabla1[EV],Tabla1[Fecha],"&lt;="&amp;A458,Tabla1[EV],"&gt;0"),NA())</f>
        <v>#N/A</v>
      </c>
      <c r="L458"/>
    </row>
    <row r="459" spans="1:12" x14ac:dyDescent="0.25">
      <c r="A459" s="62">
        <f t="shared" si="9"/>
        <v>46419</v>
      </c>
      <c r="B459" s="62"/>
      <c r="C459" s="110" t="e">
        <f ca="1">IF(TODAY()&gt;=$A459,SUMIFS(Tabla1[Avance_km],Tabla1[Fecha],"&lt;="&amp;EV!$A459,Tabla1[nombre_actividad],EV!C$1),NA())</f>
        <v>#N/A</v>
      </c>
      <c r="D459" s="110" t="e">
        <f ca="1">IF(TODAY()&gt;=$A459,SUMIFS(Tabla1[Avance_km],Tabla1[Fecha],"&lt;="&amp;EV!$A459,Tabla1[nombre_actividad],EV!D$1),NA())</f>
        <v>#N/A</v>
      </c>
      <c r="E459" s="110" t="e">
        <f ca="1">IF(TODAY()&gt;=$A459,SUMIFS(Tabla1[Avance_km],Tabla1[Fecha],"&lt;="&amp;EV!$A459,Tabla1[nombre_actividad],EV!E$1,Tabla1[Avance_km],"&gt;0"),NA())</f>
        <v>#N/A</v>
      </c>
      <c r="F459" s="67" t="e">
        <f ca="1">IF(TODAY()&gt;=$A459,SUMIFS(Tabla1[Avance_Med],Tabla1[Fecha],"&lt;="&amp;EV!$A459,Tabla1[nombre_actividad],EV!F$1),NA())</f>
        <v>#N/A</v>
      </c>
      <c r="G459" s="67"/>
      <c r="H459" s="110" t="e">
        <f ca="1">IF(TODAY()&gt;=$A459,SUMIFS(Tabla1[Avance_km],Tabla1[Fecha],"&lt;="&amp;EV!$A459-1,Tabla1[nombre_actividad],EV!H$1),NA())</f>
        <v>#N/A</v>
      </c>
      <c r="I459" s="228" t="e">
        <f ca="1">+C459*Catalogo!$F$19+EV!D459*Catalogo!$F$14+EV!E459*Catalogo!$F$16+EV!F459*Catalogo!$F$18</f>
        <v>#N/A</v>
      </c>
      <c r="J459" s="228" t="e">
        <f ca="1">IF(TODAY()&gt;=$A459,SUMIFS(Tabla1[EV],Tabla1[Fecha],"&lt;="&amp;A459,Tabla1[EV],"&gt;0"),NA())</f>
        <v>#N/A</v>
      </c>
      <c r="L459"/>
    </row>
    <row r="460" spans="1:12" x14ac:dyDescent="0.25">
      <c r="A460" s="62">
        <f t="shared" si="9"/>
        <v>46420</v>
      </c>
      <c r="B460" s="62"/>
      <c r="C460" s="110" t="e">
        <f ca="1">IF(TODAY()&gt;=$A460,SUMIFS(Tabla1[Avance_km],Tabla1[Fecha],"&lt;="&amp;EV!$A460,Tabla1[nombre_actividad],EV!C$1),NA())</f>
        <v>#N/A</v>
      </c>
      <c r="D460" s="110" t="e">
        <f ca="1">IF(TODAY()&gt;=$A460,SUMIFS(Tabla1[Avance_km],Tabla1[Fecha],"&lt;="&amp;EV!$A460,Tabla1[nombre_actividad],EV!D$1),NA())</f>
        <v>#N/A</v>
      </c>
      <c r="E460" s="110" t="e">
        <f ca="1">IF(TODAY()&gt;=$A460,SUMIFS(Tabla1[Avance_km],Tabla1[Fecha],"&lt;="&amp;EV!$A460,Tabla1[nombre_actividad],EV!E$1,Tabla1[Avance_km],"&gt;0"),NA())</f>
        <v>#N/A</v>
      </c>
      <c r="F460" s="67" t="e">
        <f ca="1">IF(TODAY()&gt;=$A460,SUMIFS(Tabla1[Avance_Med],Tabla1[Fecha],"&lt;="&amp;EV!$A460,Tabla1[nombre_actividad],EV!F$1),NA())</f>
        <v>#N/A</v>
      </c>
      <c r="G460" s="67"/>
      <c r="H460" s="110" t="e">
        <f ca="1">IF(TODAY()&gt;=$A460,SUMIFS(Tabla1[Avance_km],Tabla1[Fecha],"&lt;="&amp;EV!$A460-1,Tabla1[nombre_actividad],EV!H$1),NA())</f>
        <v>#N/A</v>
      </c>
      <c r="I460" s="228" t="e">
        <f ca="1">+C460*Catalogo!$F$19+EV!D460*Catalogo!$F$14+EV!E460*Catalogo!$F$16+EV!F460*Catalogo!$F$18</f>
        <v>#N/A</v>
      </c>
      <c r="J460" s="228" t="e">
        <f ca="1">IF(TODAY()&gt;=$A460,SUMIFS(Tabla1[EV],Tabla1[Fecha],"&lt;="&amp;A460,Tabla1[EV],"&gt;0"),NA())</f>
        <v>#N/A</v>
      </c>
      <c r="L460"/>
    </row>
    <row r="461" spans="1:12" x14ac:dyDescent="0.25">
      <c r="A461" s="62">
        <f t="shared" si="9"/>
        <v>46421</v>
      </c>
      <c r="B461" s="62"/>
      <c r="C461" s="110" t="e">
        <f ca="1">IF(TODAY()&gt;=$A461,SUMIFS(Tabla1[Avance_km],Tabla1[Fecha],"&lt;="&amp;EV!$A461,Tabla1[nombre_actividad],EV!C$1),NA())</f>
        <v>#N/A</v>
      </c>
      <c r="D461" s="110" t="e">
        <f ca="1">IF(TODAY()&gt;=$A461,SUMIFS(Tabla1[Avance_km],Tabla1[Fecha],"&lt;="&amp;EV!$A461,Tabla1[nombre_actividad],EV!D$1),NA())</f>
        <v>#N/A</v>
      </c>
      <c r="E461" s="110" t="e">
        <f ca="1">IF(TODAY()&gt;=$A461,SUMIFS(Tabla1[Avance_km],Tabla1[Fecha],"&lt;="&amp;EV!$A461,Tabla1[nombre_actividad],EV!E$1,Tabla1[Avance_km],"&gt;0"),NA())</f>
        <v>#N/A</v>
      </c>
      <c r="F461" s="67" t="e">
        <f ca="1">IF(TODAY()&gt;=$A461,SUMIFS(Tabla1[Avance_Med],Tabla1[Fecha],"&lt;="&amp;EV!$A461,Tabla1[nombre_actividad],EV!F$1),NA())</f>
        <v>#N/A</v>
      </c>
      <c r="G461" s="67"/>
      <c r="H461" s="110" t="e">
        <f ca="1">IF(TODAY()&gt;=$A461,SUMIFS(Tabla1[Avance_km],Tabla1[Fecha],"&lt;="&amp;EV!$A461-1,Tabla1[nombre_actividad],EV!H$1),NA())</f>
        <v>#N/A</v>
      </c>
      <c r="I461" s="228" t="e">
        <f ca="1">+C461*Catalogo!$F$19+EV!D461*Catalogo!$F$14+EV!E461*Catalogo!$F$16+EV!F461*Catalogo!$F$18</f>
        <v>#N/A</v>
      </c>
      <c r="J461" s="228" t="e">
        <f ca="1">IF(TODAY()&gt;=$A461,SUMIFS(Tabla1[EV],Tabla1[Fecha],"&lt;="&amp;A461,Tabla1[EV],"&gt;0"),NA())</f>
        <v>#N/A</v>
      </c>
      <c r="L461"/>
    </row>
    <row r="462" spans="1:12" x14ac:dyDescent="0.25">
      <c r="A462" s="62">
        <f t="shared" si="9"/>
        <v>46422</v>
      </c>
      <c r="B462" s="62"/>
      <c r="C462" s="110" t="e">
        <f ca="1">IF(TODAY()&gt;=$A462,SUMIFS(Tabla1[Avance_km],Tabla1[Fecha],"&lt;="&amp;EV!$A462,Tabla1[nombre_actividad],EV!C$1),NA())</f>
        <v>#N/A</v>
      </c>
      <c r="D462" s="110" t="e">
        <f ca="1">IF(TODAY()&gt;=$A462,SUMIFS(Tabla1[Avance_km],Tabla1[Fecha],"&lt;="&amp;EV!$A462,Tabla1[nombre_actividad],EV!D$1),NA())</f>
        <v>#N/A</v>
      </c>
      <c r="E462" s="110" t="e">
        <f ca="1">IF(TODAY()&gt;=$A462,SUMIFS(Tabla1[Avance_km],Tabla1[Fecha],"&lt;="&amp;EV!$A462,Tabla1[nombre_actividad],EV!E$1,Tabla1[Avance_km],"&gt;0"),NA())</f>
        <v>#N/A</v>
      </c>
      <c r="F462" s="67" t="e">
        <f ca="1">IF(TODAY()&gt;=$A462,SUMIFS(Tabla1[Avance_Med],Tabla1[Fecha],"&lt;="&amp;EV!$A462,Tabla1[nombre_actividad],EV!F$1),NA())</f>
        <v>#N/A</v>
      </c>
      <c r="G462" s="67"/>
      <c r="H462" s="110" t="e">
        <f ca="1">IF(TODAY()&gt;=$A462,SUMIFS(Tabla1[Avance_km],Tabla1[Fecha],"&lt;="&amp;EV!$A462-1,Tabla1[nombre_actividad],EV!H$1),NA())</f>
        <v>#N/A</v>
      </c>
      <c r="I462" s="228" t="e">
        <f ca="1">+C462*Catalogo!$F$19+EV!D462*Catalogo!$F$14+EV!E462*Catalogo!$F$16+EV!F462*Catalogo!$F$18</f>
        <v>#N/A</v>
      </c>
      <c r="J462" s="228" t="e">
        <f ca="1">IF(TODAY()&gt;=$A462,SUMIFS(Tabla1[EV],Tabla1[Fecha],"&lt;="&amp;A462,Tabla1[EV],"&gt;0"),NA())</f>
        <v>#N/A</v>
      </c>
      <c r="L462"/>
    </row>
    <row r="463" spans="1:12" x14ac:dyDescent="0.25">
      <c r="A463" s="62">
        <f t="shared" si="9"/>
        <v>46423</v>
      </c>
      <c r="B463" s="62"/>
      <c r="C463" s="110" t="e">
        <f ca="1">IF(TODAY()&gt;=$A463,SUMIFS(Tabla1[Avance_km],Tabla1[Fecha],"&lt;="&amp;EV!$A463,Tabla1[nombre_actividad],EV!C$1),NA())</f>
        <v>#N/A</v>
      </c>
      <c r="D463" s="110" t="e">
        <f ca="1">IF(TODAY()&gt;=$A463,SUMIFS(Tabla1[Avance_km],Tabla1[Fecha],"&lt;="&amp;EV!$A463,Tabla1[nombre_actividad],EV!D$1),NA())</f>
        <v>#N/A</v>
      </c>
      <c r="E463" s="110" t="e">
        <f ca="1">IF(TODAY()&gt;=$A463,SUMIFS(Tabla1[Avance_km],Tabla1[Fecha],"&lt;="&amp;EV!$A463,Tabla1[nombre_actividad],EV!E$1,Tabla1[Avance_km],"&gt;0"),NA())</f>
        <v>#N/A</v>
      </c>
      <c r="F463" s="67" t="e">
        <f ca="1">IF(TODAY()&gt;=$A463,SUMIFS(Tabla1[Avance_Med],Tabla1[Fecha],"&lt;="&amp;EV!$A463,Tabla1[nombre_actividad],EV!F$1),NA())</f>
        <v>#N/A</v>
      </c>
      <c r="G463" s="67"/>
      <c r="H463" s="110" t="e">
        <f ca="1">IF(TODAY()&gt;=$A463,SUMIFS(Tabla1[Avance_km],Tabla1[Fecha],"&lt;="&amp;EV!$A463-1,Tabla1[nombre_actividad],EV!H$1),NA())</f>
        <v>#N/A</v>
      </c>
      <c r="I463" s="228" t="e">
        <f ca="1">+C463*Catalogo!$F$19+EV!D463*Catalogo!$F$14+EV!E463*Catalogo!$F$16+EV!F463*Catalogo!$F$18</f>
        <v>#N/A</v>
      </c>
      <c r="J463" s="228" t="e">
        <f ca="1">IF(TODAY()&gt;=$A463,SUMIFS(Tabla1[EV],Tabla1[Fecha],"&lt;="&amp;A463,Tabla1[EV],"&gt;0"),NA())</f>
        <v>#N/A</v>
      </c>
      <c r="L463"/>
    </row>
    <row r="464" spans="1:12" x14ac:dyDescent="0.25">
      <c r="A464" s="62">
        <f t="shared" si="9"/>
        <v>46424</v>
      </c>
      <c r="B464" s="62"/>
      <c r="C464" s="110" t="e">
        <f ca="1">IF(TODAY()&gt;=$A464,SUMIFS(Tabla1[Avance_km],Tabla1[Fecha],"&lt;="&amp;EV!$A464,Tabla1[nombre_actividad],EV!C$1),NA())</f>
        <v>#N/A</v>
      </c>
      <c r="D464" s="110" t="e">
        <f ca="1">IF(TODAY()&gt;=$A464,SUMIFS(Tabla1[Avance_km],Tabla1[Fecha],"&lt;="&amp;EV!$A464,Tabla1[nombre_actividad],EV!D$1),NA())</f>
        <v>#N/A</v>
      </c>
      <c r="E464" s="110" t="e">
        <f ca="1">IF(TODAY()&gt;=$A464,SUMIFS(Tabla1[Avance_km],Tabla1[Fecha],"&lt;="&amp;EV!$A464,Tabla1[nombre_actividad],EV!E$1,Tabla1[Avance_km],"&gt;0"),NA())</f>
        <v>#N/A</v>
      </c>
      <c r="F464" s="67" t="e">
        <f ca="1">IF(TODAY()&gt;=$A464,SUMIFS(Tabla1[Avance_Med],Tabla1[Fecha],"&lt;="&amp;EV!$A464,Tabla1[nombre_actividad],EV!F$1),NA())</f>
        <v>#N/A</v>
      </c>
      <c r="G464" s="67"/>
      <c r="H464" s="110" t="e">
        <f ca="1">IF(TODAY()&gt;=$A464,SUMIFS(Tabla1[Avance_km],Tabla1[Fecha],"&lt;="&amp;EV!$A464-1,Tabla1[nombre_actividad],EV!H$1),NA())</f>
        <v>#N/A</v>
      </c>
      <c r="I464" s="228" t="e">
        <f ca="1">+C464*Catalogo!$F$19+EV!D464*Catalogo!$F$14+EV!E464*Catalogo!$F$16+EV!F464*Catalogo!$F$18</f>
        <v>#N/A</v>
      </c>
      <c r="J464" s="228" t="e">
        <f ca="1">IF(TODAY()&gt;=$A464,SUMIFS(Tabla1[EV],Tabla1[Fecha],"&lt;="&amp;A464,Tabla1[EV],"&gt;0"),NA())</f>
        <v>#N/A</v>
      </c>
      <c r="L464"/>
    </row>
    <row r="465" spans="1:12" x14ac:dyDescent="0.25">
      <c r="A465" s="62">
        <f t="shared" si="9"/>
        <v>46425</v>
      </c>
      <c r="B465" s="62"/>
      <c r="C465" s="110" t="e">
        <f ca="1">IF(TODAY()&gt;=$A465,SUMIFS(Tabla1[Avance_km],Tabla1[Fecha],"&lt;="&amp;EV!$A465,Tabla1[nombre_actividad],EV!C$1),NA())</f>
        <v>#N/A</v>
      </c>
      <c r="D465" s="110" t="e">
        <f ca="1">IF(TODAY()&gt;=$A465,SUMIFS(Tabla1[Avance_km],Tabla1[Fecha],"&lt;="&amp;EV!$A465,Tabla1[nombre_actividad],EV!D$1),NA())</f>
        <v>#N/A</v>
      </c>
      <c r="E465" s="110" t="e">
        <f ca="1">IF(TODAY()&gt;=$A465,SUMIFS(Tabla1[Avance_km],Tabla1[Fecha],"&lt;="&amp;EV!$A465,Tabla1[nombre_actividad],EV!E$1,Tabla1[Avance_km],"&gt;0"),NA())</f>
        <v>#N/A</v>
      </c>
      <c r="F465" s="67" t="e">
        <f ca="1">IF(TODAY()&gt;=$A465,SUMIFS(Tabla1[Avance_Med],Tabla1[Fecha],"&lt;="&amp;EV!$A465,Tabla1[nombre_actividad],EV!F$1),NA())</f>
        <v>#N/A</v>
      </c>
      <c r="G465" s="67"/>
      <c r="H465" s="110" t="e">
        <f ca="1">IF(TODAY()&gt;=$A465,SUMIFS(Tabla1[Avance_km],Tabla1[Fecha],"&lt;="&amp;EV!$A465-1,Tabla1[nombre_actividad],EV!H$1),NA())</f>
        <v>#N/A</v>
      </c>
      <c r="I465" s="228" t="e">
        <f ca="1">+C465*Catalogo!$F$19+EV!D465*Catalogo!$F$14+EV!E465*Catalogo!$F$16+EV!F465*Catalogo!$F$18</f>
        <v>#N/A</v>
      </c>
      <c r="J465" s="228" t="e">
        <f ca="1">IF(TODAY()&gt;=$A465,SUMIFS(Tabla1[EV],Tabla1[Fecha],"&lt;="&amp;A465,Tabla1[EV],"&gt;0"),NA())</f>
        <v>#N/A</v>
      </c>
      <c r="L465"/>
    </row>
    <row r="466" spans="1:12" x14ac:dyDescent="0.25">
      <c r="A466" s="62">
        <f t="shared" si="9"/>
        <v>46426</v>
      </c>
      <c r="B466" s="62"/>
      <c r="C466" s="110" t="e">
        <f ca="1">IF(TODAY()&gt;=$A466,SUMIFS(Tabla1[Avance_km],Tabla1[Fecha],"&lt;="&amp;EV!$A466,Tabla1[nombre_actividad],EV!C$1),NA())</f>
        <v>#N/A</v>
      </c>
      <c r="D466" s="110" t="e">
        <f ca="1">IF(TODAY()&gt;=$A466,SUMIFS(Tabla1[Avance_km],Tabla1[Fecha],"&lt;="&amp;EV!$A466,Tabla1[nombre_actividad],EV!D$1),NA())</f>
        <v>#N/A</v>
      </c>
      <c r="E466" s="110" t="e">
        <f ca="1">IF(TODAY()&gt;=$A466,SUMIFS(Tabla1[Avance_km],Tabla1[Fecha],"&lt;="&amp;EV!$A466,Tabla1[nombre_actividad],EV!E$1,Tabla1[Avance_km],"&gt;0"),NA())</f>
        <v>#N/A</v>
      </c>
      <c r="F466" s="67" t="e">
        <f ca="1">IF(TODAY()&gt;=$A466,SUMIFS(Tabla1[Avance_Med],Tabla1[Fecha],"&lt;="&amp;EV!$A466,Tabla1[nombre_actividad],EV!F$1),NA())</f>
        <v>#N/A</v>
      </c>
      <c r="G466" s="67"/>
      <c r="H466" s="110" t="e">
        <f ca="1">IF(TODAY()&gt;=$A466,SUMIFS(Tabla1[Avance_km],Tabla1[Fecha],"&lt;="&amp;EV!$A466-1,Tabla1[nombre_actividad],EV!H$1),NA())</f>
        <v>#N/A</v>
      </c>
      <c r="I466" s="228" t="e">
        <f ca="1">+C466*Catalogo!$F$19+EV!D466*Catalogo!$F$14+EV!E466*Catalogo!$F$16+EV!F466*Catalogo!$F$18</f>
        <v>#N/A</v>
      </c>
      <c r="J466" s="228" t="e">
        <f ca="1">IF(TODAY()&gt;=$A466,SUMIFS(Tabla1[EV],Tabla1[Fecha],"&lt;="&amp;A466,Tabla1[EV],"&gt;0"),NA())</f>
        <v>#N/A</v>
      </c>
      <c r="L466"/>
    </row>
    <row r="467" spans="1:12" x14ac:dyDescent="0.25">
      <c r="A467" s="62">
        <f t="shared" si="9"/>
        <v>46427</v>
      </c>
      <c r="B467" s="62"/>
      <c r="C467" s="110" t="e">
        <f ca="1">IF(TODAY()&gt;=$A467,SUMIFS(Tabla1[Avance_km],Tabla1[Fecha],"&lt;="&amp;EV!$A467,Tabla1[nombre_actividad],EV!C$1),NA())</f>
        <v>#N/A</v>
      </c>
      <c r="D467" s="110" t="e">
        <f ca="1">IF(TODAY()&gt;=$A467,SUMIFS(Tabla1[Avance_km],Tabla1[Fecha],"&lt;="&amp;EV!$A467,Tabla1[nombre_actividad],EV!D$1),NA())</f>
        <v>#N/A</v>
      </c>
      <c r="E467" s="110" t="e">
        <f ca="1">IF(TODAY()&gt;=$A467,SUMIFS(Tabla1[Avance_km],Tabla1[Fecha],"&lt;="&amp;EV!$A467,Tabla1[nombre_actividad],EV!E$1,Tabla1[Avance_km],"&gt;0"),NA())</f>
        <v>#N/A</v>
      </c>
      <c r="F467" s="67" t="e">
        <f ca="1">IF(TODAY()&gt;=$A467,SUMIFS(Tabla1[Avance_Med],Tabla1[Fecha],"&lt;="&amp;EV!$A467,Tabla1[nombre_actividad],EV!F$1),NA())</f>
        <v>#N/A</v>
      </c>
      <c r="G467" s="67"/>
      <c r="H467" s="110" t="e">
        <f ca="1">IF(TODAY()&gt;=$A467,SUMIFS(Tabla1[Avance_km],Tabla1[Fecha],"&lt;="&amp;EV!$A467-1,Tabla1[nombre_actividad],EV!H$1),NA())</f>
        <v>#N/A</v>
      </c>
      <c r="I467" s="228" t="e">
        <f ca="1">+C467*Catalogo!$F$19+EV!D467*Catalogo!$F$14+EV!E467*Catalogo!$F$16+EV!F467*Catalogo!$F$18</f>
        <v>#N/A</v>
      </c>
      <c r="J467" s="228" t="e">
        <f ca="1">IF(TODAY()&gt;=$A467,SUMIFS(Tabla1[EV],Tabla1[Fecha],"&lt;="&amp;A467,Tabla1[EV],"&gt;0"),NA())</f>
        <v>#N/A</v>
      </c>
      <c r="L467"/>
    </row>
    <row r="468" spans="1:12" x14ac:dyDescent="0.25">
      <c r="A468" s="62">
        <f t="shared" si="9"/>
        <v>46428</v>
      </c>
      <c r="B468" s="62"/>
      <c r="C468" s="110" t="e">
        <f ca="1">IF(TODAY()&gt;=$A468,SUMIFS(Tabla1[Avance_km],Tabla1[Fecha],"&lt;="&amp;EV!$A468,Tabla1[nombre_actividad],EV!C$1),NA())</f>
        <v>#N/A</v>
      </c>
      <c r="D468" s="110" t="e">
        <f ca="1">IF(TODAY()&gt;=$A468,SUMIFS(Tabla1[Avance_km],Tabla1[Fecha],"&lt;="&amp;EV!$A468,Tabla1[nombre_actividad],EV!D$1),NA())</f>
        <v>#N/A</v>
      </c>
      <c r="E468" s="110" t="e">
        <f ca="1">IF(TODAY()&gt;=$A468,SUMIFS(Tabla1[Avance_km],Tabla1[Fecha],"&lt;="&amp;EV!$A468,Tabla1[nombre_actividad],EV!E$1,Tabla1[Avance_km],"&gt;0"),NA())</f>
        <v>#N/A</v>
      </c>
      <c r="F468" s="67" t="e">
        <f ca="1">IF(TODAY()&gt;=$A468,SUMIFS(Tabla1[Avance_Med],Tabla1[Fecha],"&lt;="&amp;EV!$A468,Tabla1[nombre_actividad],EV!F$1),NA())</f>
        <v>#N/A</v>
      </c>
      <c r="G468" s="67"/>
      <c r="H468" s="110" t="e">
        <f ca="1">IF(TODAY()&gt;=$A468,SUMIFS(Tabla1[Avance_km],Tabla1[Fecha],"&lt;="&amp;EV!$A468-1,Tabla1[nombre_actividad],EV!H$1),NA())</f>
        <v>#N/A</v>
      </c>
      <c r="I468" s="228" t="e">
        <f ca="1">+C468*Catalogo!$F$19+EV!D468*Catalogo!$F$14+EV!E468*Catalogo!$F$16+EV!F468*Catalogo!$F$18</f>
        <v>#N/A</v>
      </c>
      <c r="J468" s="228" t="e">
        <f ca="1">IF(TODAY()&gt;=$A468,SUMIFS(Tabla1[EV],Tabla1[Fecha],"&lt;="&amp;A468,Tabla1[EV],"&gt;0"),NA())</f>
        <v>#N/A</v>
      </c>
      <c r="L468"/>
    </row>
    <row r="469" spans="1:12" x14ac:dyDescent="0.25">
      <c r="A469" s="62">
        <f t="shared" si="9"/>
        <v>46429</v>
      </c>
      <c r="B469" s="62"/>
      <c r="C469" s="110" t="e">
        <f ca="1">IF(TODAY()&gt;=$A469,SUMIFS(Tabla1[Avance_km],Tabla1[Fecha],"&lt;="&amp;EV!$A469,Tabla1[nombre_actividad],EV!C$1),NA())</f>
        <v>#N/A</v>
      </c>
      <c r="D469" s="110" t="e">
        <f ca="1">IF(TODAY()&gt;=$A469,SUMIFS(Tabla1[Avance_km],Tabla1[Fecha],"&lt;="&amp;EV!$A469,Tabla1[nombre_actividad],EV!D$1),NA())</f>
        <v>#N/A</v>
      </c>
      <c r="E469" s="110" t="e">
        <f ca="1">IF(TODAY()&gt;=$A469,SUMIFS(Tabla1[Avance_km],Tabla1[Fecha],"&lt;="&amp;EV!$A469,Tabla1[nombre_actividad],EV!E$1,Tabla1[Avance_km],"&gt;0"),NA())</f>
        <v>#N/A</v>
      </c>
      <c r="F469" s="67" t="e">
        <f ca="1">IF(TODAY()&gt;=$A469,SUMIFS(Tabla1[Avance_Med],Tabla1[Fecha],"&lt;="&amp;EV!$A469,Tabla1[nombre_actividad],EV!F$1),NA())</f>
        <v>#N/A</v>
      </c>
      <c r="G469" s="67"/>
      <c r="H469" s="110" t="e">
        <f ca="1">IF(TODAY()&gt;=$A469,SUMIFS(Tabla1[Avance_km],Tabla1[Fecha],"&lt;="&amp;EV!$A469-1,Tabla1[nombre_actividad],EV!H$1),NA())</f>
        <v>#N/A</v>
      </c>
      <c r="I469" s="228" t="e">
        <f ca="1">+C469*Catalogo!$F$19+EV!D469*Catalogo!$F$14+EV!E469*Catalogo!$F$16+EV!F469*Catalogo!$F$18</f>
        <v>#N/A</v>
      </c>
      <c r="J469" s="228" t="e">
        <f ca="1">IF(TODAY()&gt;=$A469,SUMIFS(Tabla1[EV],Tabla1[Fecha],"&lt;="&amp;A469,Tabla1[EV],"&gt;0"),NA())</f>
        <v>#N/A</v>
      </c>
      <c r="L469"/>
    </row>
    <row r="470" spans="1:12" x14ac:dyDescent="0.25">
      <c r="A470" s="62">
        <f t="shared" si="9"/>
        <v>46430</v>
      </c>
      <c r="B470" s="62"/>
      <c r="C470" s="110" t="e">
        <f ca="1">IF(TODAY()&gt;=$A470,SUMIFS(Tabla1[Avance_km],Tabla1[Fecha],"&lt;="&amp;EV!$A470,Tabla1[nombre_actividad],EV!C$1),NA())</f>
        <v>#N/A</v>
      </c>
      <c r="D470" s="110" t="e">
        <f ca="1">IF(TODAY()&gt;=$A470,SUMIFS(Tabla1[Avance_km],Tabla1[Fecha],"&lt;="&amp;EV!$A470,Tabla1[nombre_actividad],EV!D$1),NA())</f>
        <v>#N/A</v>
      </c>
      <c r="E470" s="110" t="e">
        <f ca="1">IF(TODAY()&gt;=$A470,SUMIFS(Tabla1[Avance_km],Tabla1[Fecha],"&lt;="&amp;EV!$A470,Tabla1[nombre_actividad],EV!E$1,Tabla1[Avance_km],"&gt;0"),NA())</f>
        <v>#N/A</v>
      </c>
      <c r="F470" s="67" t="e">
        <f ca="1">IF(TODAY()&gt;=$A470,SUMIFS(Tabla1[Avance_Med],Tabla1[Fecha],"&lt;="&amp;EV!$A470,Tabla1[nombre_actividad],EV!F$1),NA())</f>
        <v>#N/A</v>
      </c>
      <c r="G470" s="67"/>
      <c r="H470" s="110" t="e">
        <f ca="1">IF(TODAY()&gt;=$A470,SUMIFS(Tabla1[Avance_km],Tabla1[Fecha],"&lt;="&amp;EV!$A470-1,Tabla1[nombre_actividad],EV!H$1),NA())</f>
        <v>#N/A</v>
      </c>
      <c r="I470" s="228" t="e">
        <f ca="1">+C470*Catalogo!$F$19+EV!D470*Catalogo!$F$14+EV!E470*Catalogo!$F$16+EV!F470*Catalogo!$F$18</f>
        <v>#N/A</v>
      </c>
      <c r="J470" s="228" t="e">
        <f ca="1">IF(TODAY()&gt;=$A470,SUMIFS(Tabla1[EV],Tabla1[Fecha],"&lt;="&amp;A470,Tabla1[EV],"&gt;0"),NA())</f>
        <v>#N/A</v>
      </c>
      <c r="L470"/>
    </row>
    <row r="471" spans="1:12" x14ac:dyDescent="0.25">
      <c r="A471" s="62">
        <f t="shared" si="9"/>
        <v>46431</v>
      </c>
      <c r="B471" s="62"/>
      <c r="C471" s="110" t="e">
        <f ca="1">IF(TODAY()&gt;=$A471,SUMIFS(Tabla1[Avance_km],Tabla1[Fecha],"&lt;="&amp;EV!$A471,Tabla1[nombre_actividad],EV!C$1),NA())</f>
        <v>#N/A</v>
      </c>
      <c r="D471" s="110" t="e">
        <f ca="1">IF(TODAY()&gt;=$A471,SUMIFS(Tabla1[Avance_km],Tabla1[Fecha],"&lt;="&amp;EV!$A471,Tabla1[nombre_actividad],EV!D$1),NA())</f>
        <v>#N/A</v>
      </c>
      <c r="E471" s="110" t="e">
        <f ca="1">IF(TODAY()&gt;=$A471,SUMIFS(Tabla1[Avance_km],Tabla1[Fecha],"&lt;="&amp;EV!$A471,Tabla1[nombre_actividad],EV!E$1,Tabla1[Avance_km],"&gt;0"),NA())</f>
        <v>#N/A</v>
      </c>
      <c r="F471" s="67" t="e">
        <f ca="1">IF(TODAY()&gt;=$A471,SUMIFS(Tabla1[Avance_Med],Tabla1[Fecha],"&lt;="&amp;EV!$A471,Tabla1[nombre_actividad],EV!F$1),NA())</f>
        <v>#N/A</v>
      </c>
      <c r="G471" s="67"/>
      <c r="H471" s="110" t="e">
        <f ca="1">IF(TODAY()&gt;=$A471,SUMIFS(Tabla1[Avance_km],Tabla1[Fecha],"&lt;="&amp;EV!$A471-1,Tabla1[nombre_actividad],EV!H$1),NA())</f>
        <v>#N/A</v>
      </c>
      <c r="I471" s="228" t="e">
        <f ca="1">+C471*Catalogo!$F$19+EV!D471*Catalogo!$F$14+EV!E471*Catalogo!$F$16+EV!F471*Catalogo!$F$18</f>
        <v>#N/A</v>
      </c>
      <c r="J471" s="228" t="e">
        <f ca="1">IF(TODAY()&gt;=$A471,SUMIFS(Tabla1[EV],Tabla1[Fecha],"&lt;="&amp;A471,Tabla1[EV],"&gt;0"),NA())</f>
        <v>#N/A</v>
      </c>
      <c r="L471"/>
    </row>
    <row r="472" spans="1:12" x14ac:dyDescent="0.25">
      <c r="A472" s="62">
        <f t="shared" si="9"/>
        <v>46432</v>
      </c>
      <c r="B472" s="62"/>
      <c r="C472" s="110" t="e">
        <f ca="1">IF(TODAY()&gt;=$A472,SUMIFS(Tabla1[Avance_km],Tabla1[Fecha],"&lt;="&amp;EV!$A472,Tabla1[nombre_actividad],EV!C$1),NA())</f>
        <v>#N/A</v>
      </c>
      <c r="D472" s="110" t="e">
        <f ca="1">IF(TODAY()&gt;=$A472,SUMIFS(Tabla1[Avance_km],Tabla1[Fecha],"&lt;="&amp;EV!$A472,Tabla1[nombre_actividad],EV!D$1),NA())</f>
        <v>#N/A</v>
      </c>
      <c r="E472" s="110" t="e">
        <f ca="1">IF(TODAY()&gt;=$A472,SUMIFS(Tabla1[Avance_km],Tabla1[Fecha],"&lt;="&amp;EV!$A472,Tabla1[nombre_actividad],EV!E$1,Tabla1[Avance_km],"&gt;0"),NA())</f>
        <v>#N/A</v>
      </c>
      <c r="F472" s="67" t="e">
        <f ca="1">IF(TODAY()&gt;=$A472,SUMIFS(Tabla1[Avance_Med],Tabla1[Fecha],"&lt;="&amp;EV!$A472,Tabla1[nombre_actividad],EV!F$1),NA())</f>
        <v>#N/A</v>
      </c>
      <c r="G472" s="67"/>
      <c r="H472" s="110" t="e">
        <f ca="1">IF(TODAY()&gt;=$A472,SUMIFS(Tabla1[Avance_km],Tabla1[Fecha],"&lt;="&amp;EV!$A472-1,Tabla1[nombre_actividad],EV!H$1),NA())</f>
        <v>#N/A</v>
      </c>
      <c r="I472" s="228" t="e">
        <f ca="1">+C472*Catalogo!$F$19+EV!D472*Catalogo!$F$14+EV!E472*Catalogo!$F$16+EV!F472*Catalogo!$F$18</f>
        <v>#N/A</v>
      </c>
      <c r="J472" s="228" t="e">
        <f ca="1">IF(TODAY()&gt;=$A472,SUMIFS(Tabla1[EV],Tabla1[Fecha],"&lt;="&amp;A472,Tabla1[EV],"&gt;0"),NA())</f>
        <v>#N/A</v>
      </c>
      <c r="L472"/>
    </row>
    <row r="473" spans="1:12" x14ac:dyDescent="0.25">
      <c r="A473" s="62">
        <f t="shared" si="9"/>
        <v>46433</v>
      </c>
      <c r="B473" s="62"/>
      <c r="C473" s="110" t="e">
        <f ca="1">IF(TODAY()&gt;=$A473,SUMIFS(Tabla1[Avance_km],Tabla1[Fecha],"&lt;="&amp;EV!$A473,Tabla1[nombre_actividad],EV!C$1),NA())</f>
        <v>#N/A</v>
      </c>
      <c r="D473" s="110" t="e">
        <f ca="1">IF(TODAY()&gt;=$A473,SUMIFS(Tabla1[Avance_km],Tabla1[Fecha],"&lt;="&amp;EV!$A473,Tabla1[nombre_actividad],EV!D$1),NA())</f>
        <v>#N/A</v>
      </c>
      <c r="E473" s="110" t="e">
        <f ca="1">IF(TODAY()&gt;=$A473,SUMIFS(Tabla1[Avance_km],Tabla1[Fecha],"&lt;="&amp;EV!$A473,Tabla1[nombre_actividad],EV!E$1,Tabla1[Avance_km],"&gt;0"),NA())</f>
        <v>#N/A</v>
      </c>
      <c r="F473" s="67" t="e">
        <f ca="1">IF(TODAY()&gt;=$A473,SUMIFS(Tabla1[Avance_Med],Tabla1[Fecha],"&lt;="&amp;EV!$A473,Tabla1[nombre_actividad],EV!F$1),NA())</f>
        <v>#N/A</v>
      </c>
      <c r="G473" s="67"/>
      <c r="H473" s="110" t="e">
        <f ca="1">IF(TODAY()&gt;=$A473,SUMIFS(Tabla1[Avance_km],Tabla1[Fecha],"&lt;="&amp;EV!$A473-1,Tabla1[nombre_actividad],EV!H$1),NA())</f>
        <v>#N/A</v>
      </c>
      <c r="I473" s="228" t="e">
        <f ca="1">+C473*Catalogo!$F$19+EV!D473*Catalogo!$F$14+EV!E473*Catalogo!$F$16+EV!F473*Catalogo!$F$18</f>
        <v>#N/A</v>
      </c>
      <c r="J473" s="228" t="e">
        <f ca="1">IF(TODAY()&gt;=$A473,SUMIFS(Tabla1[EV],Tabla1[Fecha],"&lt;="&amp;A473,Tabla1[EV],"&gt;0"),NA())</f>
        <v>#N/A</v>
      </c>
      <c r="L473"/>
    </row>
    <row r="474" spans="1:12" x14ac:dyDescent="0.25">
      <c r="A474" s="62">
        <f t="shared" si="9"/>
        <v>46434</v>
      </c>
      <c r="B474" s="62"/>
      <c r="C474" s="110" t="e">
        <f ca="1">IF(TODAY()&gt;=$A474,SUMIFS(Tabla1[Avance_km],Tabla1[Fecha],"&lt;="&amp;EV!$A474,Tabla1[nombre_actividad],EV!C$1),NA())</f>
        <v>#N/A</v>
      </c>
      <c r="D474" s="110" t="e">
        <f ca="1">IF(TODAY()&gt;=$A474,SUMIFS(Tabla1[Avance_km],Tabla1[Fecha],"&lt;="&amp;EV!$A474,Tabla1[nombre_actividad],EV!D$1),NA())</f>
        <v>#N/A</v>
      </c>
      <c r="E474" s="110" t="e">
        <f ca="1">IF(TODAY()&gt;=$A474,SUMIFS(Tabla1[Avance_km],Tabla1[Fecha],"&lt;="&amp;EV!$A474,Tabla1[nombre_actividad],EV!E$1,Tabla1[Avance_km],"&gt;0"),NA())</f>
        <v>#N/A</v>
      </c>
      <c r="F474" s="67" t="e">
        <f ca="1">IF(TODAY()&gt;=$A474,SUMIFS(Tabla1[Avance_Med],Tabla1[Fecha],"&lt;="&amp;EV!$A474,Tabla1[nombre_actividad],EV!F$1),NA())</f>
        <v>#N/A</v>
      </c>
      <c r="G474" s="67"/>
      <c r="H474" s="110" t="e">
        <f ca="1">IF(TODAY()&gt;=$A474,SUMIFS(Tabla1[Avance_km],Tabla1[Fecha],"&lt;="&amp;EV!$A474-1,Tabla1[nombre_actividad],EV!H$1),NA())</f>
        <v>#N/A</v>
      </c>
      <c r="I474" s="228" t="e">
        <f ca="1">+C474*Catalogo!$F$19+EV!D474*Catalogo!$F$14+EV!E474*Catalogo!$F$16+EV!F474*Catalogo!$F$18</f>
        <v>#N/A</v>
      </c>
      <c r="J474" s="228" t="e">
        <f ca="1">IF(TODAY()&gt;=$A474,SUMIFS(Tabla1[EV],Tabla1[Fecha],"&lt;="&amp;A474,Tabla1[EV],"&gt;0"),NA())</f>
        <v>#N/A</v>
      </c>
      <c r="L474"/>
    </row>
    <row r="475" spans="1:12" x14ac:dyDescent="0.25">
      <c r="A475" s="62">
        <f t="shared" si="9"/>
        <v>46435</v>
      </c>
      <c r="B475" s="62"/>
      <c r="C475" s="110" t="e">
        <f ca="1">IF(TODAY()&gt;=$A475,SUMIFS(Tabla1[Avance_km],Tabla1[Fecha],"&lt;="&amp;EV!$A475,Tabla1[nombre_actividad],EV!C$1),NA())</f>
        <v>#N/A</v>
      </c>
      <c r="D475" s="110" t="e">
        <f ca="1">IF(TODAY()&gt;=$A475,SUMIFS(Tabla1[Avance_km],Tabla1[Fecha],"&lt;="&amp;EV!$A475,Tabla1[nombre_actividad],EV!D$1),NA())</f>
        <v>#N/A</v>
      </c>
      <c r="E475" s="110" t="e">
        <f ca="1">IF(TODAY()&gt;=$A475,SUMIFS(Tabla1[Avance_km],Tabla1[Fecha],"&lt;="&amp;EV!$A475,Tabla1[nombre_actividad],EV!E$1,Tabla1[Avance_km],"&gt;0"),NA())</f>
        <v>#N/A</v>
      </c>
      <c r="F475" s="67" t="e">
        <f ca="1">IF(TODAY()&gt;=$A475,SUMIFS(Tabla1[Avance_Med],Tabla1[Fecha],"&lt;="&amp;EV!$A475,Tabla1[nombre_actividad],EV!F$1),NA())</f>
        <v>#N/A</v>
      </c>
      <c r="G475" s="67"/>
      <c r="H475" s="110" t="e">
        <f ca="1">IF(TODAY()&gt;=$A475,SUMIFS(Tabla1[Avance_km],Tabla1[Fecha],"&lt;="&amp;EV!$A475-1,Tabla1[nombre_actividad],EV!H$1),NA())</f>
        <v>#N/A</v>
      </c>
      <c r="I475" s="228" t="e">
        <f ca="1">+C475*Catalogo!$F$19+EV!D475*Catalogo!$F$14+EV!E475*Catalogo!$F$16+EV!F475*Catalogo!$F$18</f>
        <v>#N/A</v>
      </c>
      <c r="J475" s="228" t="e">
        <f ca="1">IF(TODAY()&gt;=$A475,SUMIFS(Tabla1[EV],Tabla1[Fecha],"&lt;="&amp;A475,Tabla1[EV],"&gt;0"),NA())</f>
        <v>#N/A</v>
      </c>
      <c r="L475"/>
    </row>
    <row r="476" spans="1:12" x14ac:dyDescent="0.25">
      <c r="A476" s="62">
        <f t="shared" si="9"/>
        <v>46436</v>
      </c>
      <c r="B476" s="62"/>
      <c r="C476" s="110" t="e">
        <f ca="1">IF(TODAY()&gt;=$A476,SUMIFS(Tabla1[Avance_km],Tabla1[Fecha],"&lt;="&amp;EV!$A476,Tabla1[nombre_actividad],EV!C$1),NA())</f>
        <v>#N/A</v>
      </c>
      <c r="D476" s="110" t="e">
        <f ca="1">IF(TODAY()&gt;=$A476,SUMIFS(Tabla1[Avance_km],Tabla1[Fecha],"&lt;="&amp;EV!$A476,Tabla1[nombre_actividad],EV!D$1),NA())</f>
        <v>#N/A</v>
      </c>
      <c r="E476" s="110" t="e">
        <f ca="1">IF(TODAY()&gt;=$A476,SUMIFS(Tabla1[Avance_km],Tabla1[Fecha],"&lt;="&amp;EV!$A476,Tabla1[nombre_actividad],EV!E$1,Tabla1[Avance_km],"&gt;0"),NA())</f>
        <v>#N/A</v>
      </c>
      <c r="F476" s="67" t="e">
        <f ca="1">IF(TODAY()&gt;=$A476,SUMIFS(Tabla1[Avance_Med],Tabla1[Fecha],"&lt;="&amp;EV!$A476,Tabla1[nombre_actividad],EV!F$1),NA())</f>
        <v>#N/A</v>
      </c>
      <c r="G476" s="67"/>
      <c r="H476" s="110" t="e">
        <f ca="1">IF(TODAY()&gt;=$A476,SUMIFS(Tabla1[Avance_km],Tabla1[Fecha],"&lt;="&amp;EV!$A476-1,Tabla1[nombre_actividad],EV!H$1),NA())</f>
        <v>#N/A</v>
      </c>
      <c r="I476" s="228" t="e">
        <f ca="1">+C476*Catalogo!$F$19+EV!D476*Catalogo!$F$14+EV!E476*Catalogo!$F$16+EV!F476*Catalogo!$F$18</f>
        <v>#N/A</v>
      </c>
      <c r="J476" s="228" t="e">
        <f ca="1">IF(TODAY()&gt;=$A476,SUMIFS(Tabla1[EV],Tabla1[Fecha],"&lt;="&amp;A476,Tabla1[EV],"&gt;0"),NA())</f>
        <v>#N/A</v>
      </c>
      <c r="L476"/>
    </row>
    <row r="477" spans="1:12" x14ac:dyDescent="0.25">
      <c r="A477" s="62">
        <f t="shared" si="9"/>
        <v>46437</v>
      </c>
      <c r="B477" s="62"/>
      <c r="C477" s="110" t="e">
        <f ca="1">IF(TODAY()&gt;=$A477,SUMIFS(Tabla1[Avance_km],Tabla1[Fecha],"&lt;="&amp;EV!$A477,Tabla1[nombre_actividad],EV!C$1),NA())</f>
        <v>#N/A</v>
      </c>
      <c r="D477" s="110" t="e">
        <f ca="1">IF(TODAY()&gt;=$A477,SUMIFS(Tabla1[Avance_km],Tabla1[Fecha],"&lt;="&amp;EV!$A477,Tabla1[nombre_actividad],EV!D$1),NA())</f>
        <v>#N/A</v>
      </c>
      <c r="E477" s="110" t="e">
        <f ca="1">IF(TODAY()&gt;=$A477,SUMIFS(Tabla1[Avance_km],Tabla1[Fecha],"&lt;="&amp;EV!$A477,Tabla1[nombre_actividad],EV!E$1,Tabla1[Avance_km],"&gt;0"),NA())</f>
        <v>#N/A</v>
      </c>
      <c r="F477" s="67" t="e">
        <f ca="1">IF(TODAY()&gt;=$A477,SUMIFS(Tabla1[Avance_Med],Tabla1[Fecha],"&lt;="&amp;EV!$A477,Tabla1[nombre_actividad],EV!F$1),NA())</f>
        <v>#N/A</v>
      </c>
      <c r="G477" s="67"/>
      <c r="H477" s="110" t="e">
        <f ca="1">IF(TODAY()&gt;=$A477,SUMIFS(Tabla1[Avance_km],Tabla1[Fecha],"&lt;="&amp;EV!$A477-1,Tabla1[nombre_actividad],EV!H$1),NA())</f>
        <v>#N/A</v>
      </c>
      <c r="I477" s="228" t="e">
        <f ca="1">+C477*Catalogo!$F$19+EV!D477*Catalogo!$F$14+EV!E477*Catalogo!$F$16+EV!F477*Catalogo!$F$18</f>
        <v>#N/A</v>
      </c>
      <c r="J477" s="228" t="e">
        <f ca="1">IF(TODAY()&gt;=$A477,SUMIFS(Tabla1[EV],Tabla1[Fecha],"&lt;="&amp;A477,Tabla1[EV],"&gt;0"),NA())</f>
        <v>#N/A</v>
      </c>
      <c r="L477"/>
    </row>
    <row r="478" spans="1:12" x14ac:dyDescent="0.25">
      <c r="A478" s="62">
        <f t="shared" si="9"/>
        <v>46438</v>
      </c>
      <c r="B478" s="62"/>
      <c r="C478" s="110" t="e">
        <f ca="1">IF(TODAY()&gt;=$A478,SUMIFS(Tabla1[Avance_km],Tabla1[Fecha],"&lt;="&amp;EV!$A478,Tabla1[nombre_actividad],EV!C$1),NA())</f>
        <v>#N/A</v>
      </c>
      <c r="D478" s="110" t="e">
        <f ca="1">IF(TODAY()&gt;=$A478,SUMIFS(Tabla1[Avance_km],Tabla1[Fecha],"&lt;="&amp;EV!$A478,Tabla1[nombre_actividad],EV!D$1),NA())</f>
        <v>#N/A</v>
      </c>
      <c r="E478" s="110" t="e">
        <f ca="1">IF(TODAY()&gt;=$A478,SUMIFS(Tabla1[Avance_km],Tabla1[Fecha],"&lt;="&amp;EV!$A478,Tabla1[nombre_actividad],EV!E$1,Tabla1[Avance_km],"&gt;0"),NA())</f>
        <v>#N/A</v>
      </c>
      <c r="F478" s="67" t="e">
        <f ca="1">IF(TODAY()&gt;=$A478,SUMIFS(Tabla1[Avance_Med],Tabla1[Fecha],"&lt;="&amp;EV!$A478,Tabla1[nombre_actividad],EV!F$1),NA())</f>
        <v>#N/A</v>
      </c>
      <c r="G478" s="67"/>
      <c r="H478" s="110" t="e">
        <f ca="1">IF(TODAY()&gt;=$A478,SUMIFS(Tabla1[Avance_km],Tabla1[Fecha],"&lt;="&amp;EV!$A478-1,Tabla1[nombre_actividad],EV!H$1),NA())</f>
        <v>#N/A</v>
      </c>
      <c r="I478" s="228" t="e">
        <f ca="1">+C478*Catalogo!$F$19+EV!D478*Catalogo!$F$14+EV!E478*Catalogo!$F$16+EV!F478*Catalogo!$F$18</f>
        <v>#N/A</v>
      </c>
      <c r="J478" s="228" t="e">
        <f ca="1">IF(TODAY()&gt;=$A478,SUMIFS(Tabla1[EV],Tabla1[Fecha],"&lt;="&amp;A478,Tabla1[EV],"&gt;0"),NA())</f>
        <v>#N/A</v>
      </c>
      <c r="L478"/>
    </row>
    <row r="479" spans="1:12" x14ac:dyDescent="0.25">
      <c r="A479" s="62">
        <f t="shared" si="9"/>
        <v>46439</v>
      </c>
      <c r="B479" s="62"/>
      <c r="C479" s="110" t="e">
        <f ca="1">IF(TODAY()&gt;=$A479,SUMIFS(Tabla1[Avance_km],Tabla1[Fecha],"&lt;="&amp;EV!$A479,Tabla1[nombre_actividad],EV!C$1),NA())</f>
        <v>#N/A</v>
      </c>
      <c r="D479" s="110" t="e">
        <f ca="1">IF(TODAY()&gt;=$A479,SUMIFS(Tabla1[Avance_km],Tabla1[Fecha],"&lt;="&amp;EV!$A479,Tabla1[nombre_actividad],EV!D$1),NA())</f>
        <v>#N/A</v>
      </c>
      <c r="E479" s="110" t="e">
        <f ca="1">IF(TODAY()&gt;=$A479,SUMIFS(Tabla1[Avance_km],Tabla1[Fecha],"&lt;="&amp;EV!$A479,Tabla1[nombre_actividad],EV!E$1,Tabla1[Avance_km],"&gt;0"),NA())</f>
        <v>#N/A</v>
      </c>
      <c r="F479" s="67" t="e">
        <f ca="1">IF(TODAY()&gt;=$A479,SUMIFS(Tabla1[Avance_Med],Tabla1[Fecha],"&lt;="&amp;EV!$A479,Tabla1[nombre_actividad],EV!F$1),NA())</f>
        <v>#N/A</v>
      </c>
      <c r="G479" s="67"/>
      <c r="H479" s="110" t="e">
        <f ca="1">IF(TODAY()&gt;=$A479,SUMIFS(Tabla1[Avance_km],Tabla1[Fecha],"&lt;="&amp;EV!$A479-1,Tabla1[nombre_actividad],EV!H$1),NA())</f>
        <v>#N/A</v>
      </c>
      <c r="I479" s="228" t="e">
        <f ca="1">+C479*Catalogo!$F$19+EV!D479*Catalogo!$F$14+EV!E479*Catalogo!$F$16+EV!F479*Catalogo!$F$18</f>
        <v>#N/A</v>
      </c>
      <c r="J479" s="228" t="e">
        <f ca="1">IF(TODAY()&gt;=$A479,SUMIFS(Tabla1[EV],Tabla1[Fecha],"&lt;="&amp;A479,Tabla1[EV],"&gt;0"),NA())</f>
        <v>#N/A</v>
      </c>
      <c r="L479"/>
    </row>
    <row r="480" spans="1:12" x14ac:dyDescent="0.25">
      <c r="A480" s="62">
        <f t="shared" si="9"/>
        <v>46440</v>
      </c>
      <c r="B480" s="62"/>
      <c r="C480" s="110" t="e">
        <f ca="1">IF(TODAY()&gt;=$A480,SUMIFS(Tabla1[Avance_km],Tabla1[Fecha],"&lt;="&amp;EV!$A480,Tabla1[nombre_actividad],EV!C$1),NA())</f>
        <v>#N/A</v>
      </c>
      <c r="D480" s="110" t="e">
        <f ca="1">IF(TODAY()&gt;=$A480,SUMIFS(Tabla1[Avance_km],Tabla1[Fecha],"&lt;="&amp;EV!$A480,Tabla1[nombre_actividad],EV!D$1),NA())</f>
        <v>#N/A</v>
      </c>
      <c r="E480" s="110" t="e">
        <f ca="1">IF(TODAY()&gt;=$A480,SUMIFS(Tabla1[Avance_km],Tabla1[Fecha],"&lt;="&amp;EV!$A480,Tabla1[nombre_actividad],EV!E$1,Tabla1[Avance_km],"&gt;0"),NA())</f>
        <v>#N/A</v>
      </c>
      <c r="F480" s="67" t="e">
        <f ca="1">IF(TODAY()&gt;=$A480,SUMIFS(Tabla1[Avance_Med],Tabla1[Fecha],"&lt;="&amp;EV!$A480,Tabla1[nombre_actividad],EV!F$1),NA())</f>
        <v>#N/A</v>
      </c>
      <c r="G480" s="67"/>
      <c r="H480" s="110" t="e">
        <f ca="1">IF(TODAY()&gt;=$A480,SUMIFS(Tabla1[Avance_km],Tabla1[Fecha],"&lt;="&amp;EV!$A480-1,Tabla1[nombre_actividad],EV!H$1),NA())</f>
        <v>#N/A</v>
      </c>
      <c r="I480" s="228" t="e">
        <f ca="1">+C480*Catalogo!$F$19+EV!D480*Catalogo!$F$14+EV!E480*Catalogo!$F$16+EV!F480*Catalogo!$F$18</f>
        <v>#N/A</v>
      </c>
      <c r="J480" s="228" t="e">
        <f ca="1">IF(TODAY()&gt;=$A480,SUMIFS(Tabla1[EV],Tabla1[Fecha],"&lt;="&amp;A480,Tabla1[EV],"&gt;0"),NA())</f>
        <v>#N/A</v>
      </c>
      <c r="L480"/>
    </row>
    <row r="481" spans="1:12" x14ac:dyDescent="0.25">
      <c r="A481" s="62">
        <f t="shared" si="9"/>
        <v>46441</v>
      </c>
      <c r="B481" s="62"/>
      <c r="C481" s="110" t="e">
        <f ca="1">IF(TODAY()&gt;=$A481,SUMIFS(Tabla1[Avance_km],Tabla1[Fecha],"&lt;="&amp;EV!$A481,Tabla1[nombre_actividad],EV!C$1),NA())</f>
        <v>#N/A</v>
      </c>
      <c r="D481" s="110" t="e">
        <f ca="1">IF(TODAY()&gt;=$A481,SUMIFS(Tabla1[Avance_km],Tabla1[Fecha],"&lt;="&amp;EV!$A481,Tabla1[nombre_actividad],EV!D$1),NA())</f>
        <v>#N/A</v>
      </c>
      <c r="E481" s="110" t="e">
        <f ca="1">IF(TODAY()&gt;=$A481,SUMIFS(Tabla1[Avance_km],Tabla1[Fecha],"&lt;="&amp;EV!$A481,Tabla1[nombre_actividad],EV!E$1,Tabla1[Avance_km],"&gt;0"),NA())</f>
        <v>#N/A</v>
      </c>
      <c r="F481" s="67" t="e">
        <f ca="1">IF(TODAY()&gt;=$A481,SUMIFS(Tabla1[Avance_Med],Tabla1[Fecha],"&lt;="&amp;EV!$A481,Tabla1[nombre_actividad],EV!F$1),NA())</f>
        <v>#N/A</v>
      </c>
      <c r="G481" s="67"/>
      <c r="H481" s="110" t="e">
        <f ca="1">IF(TODAY()&gt;=$A481,SUMIFS(Tabla1[Avance_km],Tabla1[Fecha],"&lt;="&amp;EV!$A481-1,Tabla1[nombre_actividad],EV!H$1),NA())</f>
        <v>#N/A</v>
      </c>
      <c r="I481" s="228" t="e">
        <f ca="1">+C481*Catalogo!$F$19+EV!D481*Catalogo!$F$14+EV!E481*Catalogo!$F$16+EV!F481*Catalogo!$F$18</f>
        <v>#N/A</v>
      </c>
      <c r="J481" s="228" t="e">
        <f ca="1">IF(TODAY()&gt;=$A481,SUMIFS(Tabla1[EV],Tabla1[Fecha],"&lt;="&amp;A481,Tabla1[EV],"&gt;0"),NA())</f>
        <v>#N/A</v>
      </c>
      <c r="L481"/>
    </row>
    <row r="482" spans="1:12" x14ac:dyDescent="0.25">
      <c r="A482" s="62">
        <f t="shared" si="9"/>
        <v>46442</v>
      </c>
      <c r="B482" s="62"/>
      <c r="C482" s="110" t="e">
        <f ca="1">IF(TODAY()&gt;=$A482,SUMIFS(Tabla1[Avance_km],Tabla1[Fecha],"&lt;="&amp;EV!$A482,Tabla1[nombre_actividad],EV!C$1),NA())</f>
        <v>#N/A</v>
      </c>
      <c r="D482" s="110" t="e">
        <f ca="1">IF(TODAY()&gt;=$A482,SUMIFS(Tabla1[Avance_km],Tabla1[Fecha],"&lt;="&amp;EV!$A482,Tabla1[nombre_actividad],EV!D$1),NA())</f>
        <v>#N/A</v>
      </c>
      <c r="E482" s="110" t="e">
        <f ca="1">IF(TODAY()&gt;=$A482,SUMIFS(Tabla1[Avance_km],Tabla1[Fecha],"&lt;="&amp;EV!$A482,Tabla1[nombre_actividad],EV!E$1,Tabla1[Avance_km],"&gt;0"),NA())</f>
        <v>#N/A</v>
      </c>
      <c r="F482" s="67" t="e">
        <f ca="1">IF(TODAY()&gt;=$A482,SUMIFS(Tabla1[Avance_Med],Tabla1[Fecha],"&lt;="&amp;EV!$A482,Tabla1[nombre_actividad],EV!F$1),NA())</f>
        <v>#N/A</v>
      </c>
      <c r="G482" s="67"/>
      <c r="H482" s="110" t="e">
        <f ca="1">IF(TODAY()&gt;=$A482,SUMIFS(Tabla1[Avance_km],Tabla1[Fecha],"&lt;="&amp;EV!$A482-1,Tabla1[nombre_actividad],EV!H$1),NA())</f>
        <v>#N/A</v>
      </c>
      <c r="I482" s="228" t="e">
        <f ca="1">+C482*Catalogo!$F$19+EV!D482*Catalogo!$F$14+EV!E482*Catalogo!$F$16+EV!F482*Catalogo!$F$18</f>
        <v>#N/A</v>
      </c>
      <c r="J482" s="228" t="e">
        <f ca="1">IF(TODAY()&gt;=$A482,SUMIFS(Tabla1[EV],Tabla1[Fecha],"&lt;="&amp;A482,Tabla1[EV],"&gt;0"),NA())</f>
        <v>#N/A</v>
      </c>
      <c r="L482"/>
    </row>
    <row r="483" spans="1:12" x14ac:dyDescent="0.25">
      <c r="A483" s="62">
        <f t="shared" si="9"/>
        <v>46443</v>
      </c>
      <c r="B483" s="62"/>
      <c r="C483" s="110" t="e">
        <f ca="1">IF(TODAY()&gt;=$A483,SUMIFS(Tabla1[Avance_km],Tabla1[Fecha],"&lt;="&amp;EV!$A483,Tabla1[nombre_actividad],EV!C$1),NA())</f>
        <v>#N/A</v>
      </c>
      <c r="D483" s="110" t="e">
        <f ca="1">IF(TODAY()&gt;=$A483,SUMIFS(Tabla1[Avance_km],Tabla1[Fecha],"&lt;="&amp;EV!$A483,Tabla1[nombre_actividad],EV!D$1),NA())</f>
        <v>#N/A</v>
      </c>
      <c r="E483" s="110" t="e">
        <f ca="1">IF(TODAY()&gt;=$A483,SUMIFS(Tabla1[Avance_km],Tabla1[Fecha],"&lt;="&amp;EV!$A483,Tabla1[nombre_actividad],EV!E$1,Tabla1[Avance_km],"&gt;0"),NA())</f>
        <v>#N/A</v>
      </c>
      <c r="F483" s="67" t="e">
        <f ca="1">IF(TODAY()&gt;=$A483,SUMIFS(Tabla1[Avance_Med],Tabla1[Fecha],"&lt;="&amp;EV!$A483,Tabla1[nombre_actividad],EV!F$1),NA())</f>
        <v>#N/A</v>
      </c>
      <c r="G483" s="67"/>
      <c r="H483" s="110" t="e">
        <f ca="1">IF(TODAY()&gt;=$A483,SUMIFS(Tabla1[Avance_km],Tabla1[Fecha],"&lt;="&amp;EV!$A483-1,Tabla1[nombre_actividad],EV!H$1),NA())</f>
        <v>#N/A</v>
      </c>
      <c r="I483" s="228" t="e">
        <f ca="1">+C483*Catalogo!$F$19+EV!D483*Catalogo!$F$14+EV!E483*Catalogo!$F$16+EV!F483*Catalogo!$F$18</f>
        <v>#N/A</v>
      </c>
      <c r="J483" s="228" t="e">
        <f ca="1">IF(TODAY()&gt;=$A483,SUMIFS(Tabla1[EV],Tabla1[Fecha],"&lt;="&amp;A483,Tabla1[EV],"&gt;0"),NA())</f>
        <v>#N/A</v>
      </c>
      <c r="L483"/>
    </row>
    <row r="484" spans="1:12" x14ac:dyDescent="0.25">
      <c r="A484" s="62">
        <f t="shared" si="9"/>
        <v>46444</v>
      </c>
      <c r="B484" s="62"/>
      <c r="C484" s="110" t="e">
        <f ca="1">IF(TODAY()&gt;=$A484,SUMIFS(Tabla1[Avance_km],Tabla1[Fecha],"&lt;="&amp;EV!$A484,Tabla1[nombre_actividad],EV!C$1),NA())</f>
        <v>#N/A</v>
      </c>
      <c r="D484" s="110" t="e">
        <f ca="1">IF(TODAY()&gt;=$A484,SUMIFS(Tabla1[Avance_km],Tabla1[Fecha],"&lt;="&amp;EV!$A484,Tabla1[nombre_actividad],EV!D$1),NA())</f>
        <v>#N/A</v>
      </c>
      <c r="E484" s="110" t="e">
        <f ca="1">IF(TODAY()&gt;=$A484,SUMIFS(Tabla1[Avance_km],Tabla1[Fecha],"&lt;="&amp;EV!$A484,Tabla1[nombre_actividad],EV!E$1,Tabla1[Avance_km],"&gt;0"),NA())</f>
        <v>#N/A</v>
      </c>
      <c r="F484" s="67" t="e">
        <f ca="1">IF(TODAY()&gt;=$A484,SUMIFS(Tabla1[Avance_Med],Tabla1[Fecha],"&lt;="&amp;EV!$A484,Tabla1[nombre_actividad],EV!F$1),NA())</f>
        <v>#N/A</v>
      </c>
      <c r="G484" s="67"/>
      <c r="H484" s="110" t="e">
        <f ca="1">IF(TODAY()&gt;=$A484,SUMIFS(Tabla1[Avance_km],Tabla1[Fecha],"&lt;="&amp;EV!$A484-1,Tabla1[nombre_actividad],EV!H$1),NA())</f>
        <v>#N/A</v>
      </c>
      <c r="I484" s="228" t="e">
        <f ca="1">+C484*Catalogo!$F$19+EV!D484*Catalogo!$F$14+EV!E484*Catalogo!$F$16+EV!F484*Catalogo!$F$18</f>
        <v>#N/A</v>
      </c>
      <c r="J484" s="228" t="e">
        <f ca="1">IF(TODAY()&gt;=$A484,SUMIFS(Tabla1[EV],Tabla1[Fecha],"&lt;="&amp;A484,Tabla1[EV],"&gt;0"),NA())</f>
        <v>#N/A</v>
      </c>
      <c r="L484"/>
    </row>
    <row r="485" spans="1:12" x14ac:dyDescent="0.25">
      <c r="A485" s="62">
        <f t="shared" si="9"/>
        <v>46445</v>
      </c>
      <c r="B485" s="62"/>
      <c r="C485" s="110" t="e">
        <f ca="1">IF(TODAY()&gt;=$A485,SUMIFS(Tabla1[Avance_km],Tabla1[Fecha],"&lt;="&amp;EV!$A485,Tabla1[nombre_actividad],EV!C$1),NA())</f>
        <v>#N/A</v>
      </c>
      <c r="D485" s="110" t="e">
        <f ca="1">IF(TODAY()&gt;=$A485,SUMIFS(Tabla1[Avance_km],Tabla1[Fecha],"&lt;="&amp;EV!$A485,Tabla1[nombre_actividad],EV!D$1),NA())</f>
        <v>#N/A</v>
      </c>
      <c r="E485" s="110" t="e">
        <f ca="1">IF(TODAY()&gt;=$A485,SUMIFS(Tabla1[Avance_km],Tabla1[Fecha],"&lt;="&amp;EV!$A485,Tabla1[nombre_actividad],EV!E$1,Tabla1[Avance_km],"&gt;0"),NA())</f>
        <v>#N/A</v>
      </c>
      <c r="F485" s="67" t="e">
        <f ca="1">IF(TODAY()&gt;=$A485,SUMIFS(Tabla1[Avance_Med],Tabla1[Fecha],"&lt;="&amp;EV!$A485,Tabla1[nombre_actividad],EV!F$1),NA())</f>
        <v>#N/A</v>
      </c>
      <c r="G485" s="67"/>
      <c r="H485" s="110" t="e">
        <f ca="1">IF(TODAY()&gt;=$A485,SUMIFS(Tabla1[Avance_km],Tabla1[Fecha],"&lt;="&amp;EV!$A485-1,Tabla1[nombre_actividad],EV!H$1),NA())</f>
        <v>#N/A</v>
      </c>
      <c r="I485" s="228" t="e">
        <f ca="1">+C485*Catalogo!$F$19+EV!D485*Catalogo!$F$14+EV!E485*Catalogo!$F$16+EV!F485*Catalogo!$F$18</f>
        <v>#N/A</v>
      </c>
      <c r="J485" s="228" t="e">
        <f ca="1">IF(TODAY()&gt;=$A485,SUMIFS(Tabla1[EV],Tabla1[Fecha],"&lt;="&amp;A485,Tabla1[EV],"&gt;0"),NA())</f>
        <v>#N/A</v>
      </c>
      <c r="L485"/>
    </row>
    <row r="486" spans="1:12" x14ac:dyDescent="0.25">
      <c r="A486" s="62">
        <f t="shared" si="9"/>
        <v>46446</v>
      </c>
      <c r="B486" s="62"/>
      <c r="C486" s="110" t="e">
        <f ca="1">IF(TODAY()&gt;=$A486,SUMIFS(Tabla1[Avance_km],Tabla1[Fecha],"&lt;="&amp;EV!$A486,Tabla1[nombre_actividad],EV!C$1),NA())</f>
        <v>#N/A</v>
      </c>
      <c r="D486" s="110" t="e">
        <f ca="1">IF(TODAY()&gt;=$A486,SUMIFS(Tabla1[Avance_km],Tabla1[Fecha],"&lt;="&amp;EV!$A486,Tabla1[nombre_actividad],EV!D$1),NA())</f>
        <v>#N/A</v>
      </c>
      <c r="E486" s="110" t="e">
        <f ca="1">IF(TODAY()&gt;=$A486,SUMIFS(Tabla1[Avance_km],Tabla1[Fecha],"&lt;="&amp;EV!$A486,Tabla1[nombre_actividad],EV!E$1,Tabla1[Avance_km],"&gt;0"),NA())</f>
        <v>#N/A</v>
      </c>
      <c r="F486" s="67" t="e">
        <f ca="1">IF(TODAY()&gt;=$A486,SUMIFS(Tabla1[Avance_Med],Tabla1[Fecha],"&lt;="&amp;EV!$A486,Tabla1[nombre_actividad],EV!F$1),NA())</f>
        <v>#N/A</v>
      </c>
      <c r="G486" s="67"/>
      <c r="H486" s="110" t="e">
        <f ca="1">IF(TODAY()&gt;=$A486,SUMIFS(Tabla1[Avance_km],Tabla1[Fecha],"&lt;="&amp;EV!$A486-1,Tabla1[nombre_actividad],EV!H$1),NA())</f>
        <v>#N/A</v>
      </c>
      <c r="I486" s="228" t="e">
        <f ca="1">+C486*Catalogo!$F$19+EV!D486*Catalogo!$F$14+EV!E486*Catalogo!$F$16+EV!F486*Catalogo!$F$18</f>
        <v>#N/A</v>
      </c>
      <c r="J486" s="228" t="e">
        <f ca="1">IF(TODAY()&gt;=$A486,SUMIFS(Tabla1[EV],Tabla1[Fecha],"&lt;="&amp;A486,Tabla1[EV],"&gt;0"),NA())</f>
        <v>#N/A</v>
      </c>
      <c r="L486"/>
    </row>
    <row r="487" spans="1:12" x14ac:dyDescent="0.25">
      <c r="A487" s="62">
        <f t="shared" si="9"/>
        <v>46447</v>
      </c>
      <c r="B487" s="62"/>
      <c r="C487" s="110" t="e">
        <f ca="1">IF(TODAY()&gt;=$A487,SUMIFS(Tabla1[Avance_km],Tabla1[Fecha],"&lt;="&amp;EV!$A487,Tabla1[nombre_actividad],EV!C$1),NA())</f>
        <v>#N/A</v>
      </c>
      <c r="D487" s="110" t="e">
        <f ca="1">IF(TODAY()&gt;=$A487,SUMIFS(Tabla1[Avance_km],Tabla1[Fecha],"&lt;="&amp;EV!$A487,Tabla1[nombre_actividad],EV!D$1),NA())</f>
        <v>#N/A</v>
      </c>
      <c r="E487" s="110" t="e">
        <f ca="1">IF(TODAY()&gt;=$A487,SUMIFS(Tabla1[Avance_km],Tabla1[Fecha],"&lt;="&amp;EV!$A487,Tabla1[nombre_actividad],EV!E$1,Tabla1[Avance_km],"&gt;0"),NA())</f>
        <v>#N/A</v>
      </c>
      <c r="F487" s="67" t="e">
        <f ca="1">IF(TODAY()&gt;=$A487,SUMIFS(Tabla1[Avance_Med],Tabla1[Fecha],"&lt;="&amp;EV!$A487,Tabla1[nombre_actividad],EV!F$1),NA())</f>
        <v>#N/A</v>
      </c>
      <c r="G487" s="67"/>
      <c r="H487" s="110" t="e">
        <f ca="1">IF(TODAY()&gt;=$A487,SUMIFS(Tabla1[Avance_km],Tabla1[Fecha],"&lt;="&amp;EV!$A487-1,Tabla1[nombre_actividad],EV!H$1),NA())</f>
        <v>#N/A</v>
      </c>
      <c r="I487" s="228" t="e">
        <f ca="1">+C487*Catalogo!$F$19+EV!D487*Catalogo!$F$14+EV!E487*Catalogo!$F$16+EV!F487*Catalogo!$F$18</f>
        <v>#N/A</v>
      </c>
      <c r="J487" s="228" t="e">
        <f ca="1">IF(TODAY()&gt;=$A487,SUMIFS(Tabla1[EV],Tabla1[Fecha],"&lt;="&amp;A487,Tabla1[EV],"&gt;0"),NA())</f>
        <v>#N/A</v>
      </c>
      <c r="L487"/>
    </row>
    <row r="488" spans="1:12" x14ac:dyDescent="0.25">
      <c r="A488" s="62">
        <f t="shared" si="9"/>
        <v>46448</v>
      </c>
      <c r="B488" s="62"/>
      <c r="C488" s="110" t="e">
        <f ca="1">IF(TODAY()&gt;=$A488,SUMIFS(Tabla1[Avance_km],Tabla1[Fecha],"&lt;="&amp;EV!$A488,Tabla1[nombre_actividad],EV!C$1),NA())</f>
        <v>#N/A</v>
      </c>
      <c r="D488" s="110" t="e">
        <f ca="1">IF(TODAY()&gt;=$A488,SUMIFS(Tabla1[Avance_km],Tabla1[Fecha],"&lt;="&amp;EV!$A488,Tabla1[nombre_actividad],EV!D$1),NA())</f>
        <v>#N/A</v>
      </c>
      <c r="E488" s="110" t="e">
        <f ca="1">IF(TODAY()&gt;=$A488,SUMIFS(Tabla1[Avance_km],Tabla1[Fecha],"&lt;="&amp;EV!$A488,Tabla1[nombre_actividad],EV!E$1,Tabla1[Avance_km],"&gt;0"),NA())</f>
        <v>#N/A</v>
      </c>
      <c r="F488" s="67" t="e">
        <f ca="1">IF(TODAY()&gt;=$A488,SUMIFS(Tabla1[Avance_Med],Tabla1[Fecha],"&lt;="&amp;EV!$A488,Tabla1[nombre_actividad],EV!F$1),NA())</f>
        <v>#N/A</v>
      </c>
      <c r="G488" s="67"/>
      <c r="H488" s="110" t="e">
        <f ca="1">IF(TODAY()&gt;=$A488,SUMIFS(Tabla1[Avance_km],Tabla1[Fecha],"&lt;="&amp;EV!$A488-1,Tabla1[nombre_actividad],EV!H$1),NA())</f>
        <v>#N/A</v>
      </c>
      <c r="I488" s="228" t="e">
        <f ca="1">+C488*Catalogo!$F$19+EV!D488*Catalogo!$F$14+EV!E488*Catalogo!$F$16+EV!F488*Catalogo!$F$18</f>
        <v>#N/A</v>
      </c>
      <c r="J488" s="228" t="e">
        <f ca="1">IF(TODAY()&gt;=$A488,SUMIFS(Tabla1[EV],Tabla1[Fecha],"&lt;="&amp;A488,Tabla1[EV],"&gt;0"),NA())</f>
        <v>#N/A</v>
      </c>
      <c r="L488"/>
    </row>
    <row r="489" spans="1:12" x14ac:dyDescent="0.25">
      <c r="A489" s="62">
        <f t="shared" si="9"/>
        <v>46449</v>
      </c>
      <c r="B489" s="62"/>
      <c r="C489" s="110" t="e">
        <f ca="1">IF(TODAY()&gt;=$A489,SUMIFS(Tabla1[Avance_km],Tabla1[Fecha],"&lt;="&amp;EV!$A489,Tabla1[nombre_actividad],EV!C$1),NA())</f>
        <v>#N/A</v>
      </c>
      <c r="D489" s="110" t="e">
        <f ca="1">IF(TODAY()&gt;=$A489,SUMIFS(Tabla1[Avance_km],Tabla1[Fecha],"&lt;="&amp;EV!$A489,Tabla1[nombre_actividad],EV!D$1),NA())</f>
        <v>#N/A</v>
      </c>
      <c r="E489" s="110" t="e">
        <f ca="1">IF(TODAY()&gt;=$A489,SUMIFS(Tabla1[Avance_km],Tabla1[Fecha],"&lt;="&amp;EV!$A489,Tabla1[nombre_actividad],EV!E$1,Tabla1[Avance_km],"&gt;0"),NA())</f>
        <v>#N/A</v>
      </c>
      <c r="F489" s="67" t="e">
        <f ca="1">IF(TODAY()&gt;=$A489,SUMIFS(Tabla1[Avance_Med],Tabla1[Fecha],"&lt;="&amp;EV!$A489,Tabla1[nombre_actividad],EV!F$1),NA())</f>
        <v>#N/A</v>
      </c>
      <c r="G489" s="67"/>
      <c r="H489" s="110" t="e">
        <f ca="1">IF(TODAY()&gt;=$A489,SUMIFS(Tabla1[Avance_km],Tabla1[Fecha],"&lt;="&amp;EV!$A489-1,Tabla1[nombre_actividad],EV!H$1),NA())</f>
        <v>#N/A</v>
      </c>
      <c r="I489" s="228" t="e">
        <f ca="1">+C489*Catalogo!$F$19+EV!D489*Catalogo!$F$14+EV!E489*Catalogo!$F$16+EV!F489*Catalogo!$F$18</f>
        <v>#N/A</v>
      </c>
      <c r="J489" s="228" t="e">
        <f ca="1">IF(TODAY()&gt;=$A489,SUMIFS(Tabla1[EV],Tabla1[Fecha],"&lt;="&amp;A489,Tabla1[EV],"&gt;0"),NA())</f>
        <v>#N/A</v>
      </c>
      <c r="L489"/>
    </row>
    <row r="490" spans="1:12" x14ac:dyDescent="0.25">
      <c r="A490" s="62">
        <f t="shared" si="9"/>
        <v>46450</v>
      </c>
      <c r="B490" s="62"/>
      <c r="C490" s="110" t="e">
        <f ca="1">IF(TODAY()&gt;=$A490,SUMIFS(Tabla1[Avance_km],Tabla1[Fecha],"&lt;="&amp;EV!$A490,Tabla1[nombre_actividad],EV!C$1),NA())</f>
        <v>#N/A</v>
      </c>
      <c r="D490" s="110" t="e">
        <f ca="1">IF(TODAY()&gt;=$A490,SUMIFS(Tabla1[Avance_km],Tabla1[Fecha],"&lt;="&amp;EV!$A490,Tabla1[nombre_actividad],EV!D$1),NA())</f>
        <v>#N/A</v>
      </c>
      <c r="E490" s="110" t="e">
        <f ca="1">IF(TODAY()&gt;=$A490,SUMIFS(Tabla1[Avance_km],Tabla1[Fecha],"&lt;="&amp;EV!$A490,Tabla1[nombre_actividad],EV!E$1,Tabla1[Avance_km],"&gt;0"),NA())</f>
        <v>#N/A</v>
      </c>
      <c r="F490" s="67" t="e">
        <f ca="1">IF(TODAY()&gt;=$A490,SUMIFS(Tabla1[Avance_Med],Tabla1[Fecha],"&lt;="&amp;EV!$A490,Tabla1[nombre_actividad],EV!F$1),NA())</f>
        <v>#N/A</v>
      </c>
      <c r="G490" s="67"/>
      <c r="H490" s="110" t="e">
        <f ca="1">IF(TODAY()&gt;=$A490,SUMIFS(Tabla1[Avance_km],Tabla1[Fecha],"&lt;="&amp;EV!$A490-1,Tabla1[nombre_actividad],EV!H$1),NA())</f>
        <v>#N/A</v>
      </c>
      <c r="I490" s="228" t="e">
        <f ca="1">+C490*Catalogo!$F$19+EV!D490*Catalogo!$F$14+EV!E490*Catalogo!$F$16+EV!F490*Catalogo!$F$18</f>
        <v>#N/A</v>
      </c>
      <c r="J490" s="228" t="e">
        <f ca="1">IF(TODAY()&gt;=$A490,SUMIFS(Tabla1[EV],Tabla1[Fecha],"&lt;="&amp;A490,Tabla1[EV],"&gt;0"),NA())</f>
        <v>#N/A</v>
      </c>
      <c r="L490"/>
    </row>
    <row r="491" spans="1:12" x14ac:dyDescent="0.25">
      <c r="A491" s="62">
        <f t="shared" si="9"/>
        <v>46451</v>
      </c>
      <c r="B491" s="62"/>
      <c r="C491" s="110" t="e">
        <f ca="1">IF(TODAY()&gt;=$A491,SUMIFS(Tabla1[Avance_km],Tabla1[Fecha],"&lt;="&amp;EV!$A491,Tabla1[nombre_actividad],EV!C$1),NA())</f>
        <v>#N/A</v>
      </c>
      <c r="D491" s="110" t="e">
        <f ca="1">IF(TODAY()&gt;=$A491,SUMIFS(Tabla1[Avance_km],Tabla1[Fecha],"&lt;="&amp;EV!$A491,Tabla1[nombre_actividad],EV!D$1),NA())</f>
        <v>#N/A</v>
      </c>
      <c r="E491" s="110" t="e">
        <f ca="1">IF(TODAY()&gt;=$A491,SUMIFS(Tabla1[Avance_km],Tabla1[Fecha],"&lt;="&amp;EV!$A491,Tabla1[nombre_actividad],EV!E$1,Tabla1[Avance_km],"&gt;0"),NA())</f>
        <v>#N/A</v>
      </c>
      <c r="F491" s="67" t="e">
        <f ca="1">IF(TODAY()&gt;=$A491,SUMIFS(Tabla1[Avance_Med],Tabla1[Fecha],"&lt;="&amp;EV!$A491,Tabla1[nombre_actividad],EV!F$1),NA())</f>
        <v>#N/A</v>
      </c>
      <c r="G491" s="67"/>
      <c r="H491" s="110" t="e">
        <f ca="1">IF(TODAY()&gt;=$A491,SUMIFS(Tabla1[Avance_km],Tabla1[Fecha],"&lt;="&amp;EV!$A491-1,Tabla1[nombre_actividad],EV!H$1),NA())</f>
        <v>#N/A</v>
      </c>
      <c r="I491" s="228" t="e">
        <f ca="1">+C491*Catalogo!$F$19+EV!D491*Catalogo!$F$14+EV!E491*Catalogo!$F$16+EV!F491*Catalogo!$F$18</f>
        <v>#N/A</v>
      </c>
      <c r="J491" s="228" t="e">
        <f ca="1">IF(TODAY()&gt;=$A491,SUMIFS(Tabla1[EV],Tabla1[Fecha],"&lt;="&amp;A491,Tabla1[EV],"&gt;0"),NA())</f>
        <v>#N/A</v>
      </c>
      <c r="L491"/>
    </row>
    <row r="492" spans="1:12" x14ac:dyDescent="0.25">
      <c r="A492" s="62">
        <f t="shared" si="9"/>
        <v>46452</v>
      </c>
      <c r="B492" s="62"/>
      <c r="C492" s="110" t="e">
        <f ca="1">IF(TODAY()&gt;=$A492,SUMIFS(Tabla1[Avance_km],Tabla1[Fecha],"&lt;="&amp;EV!$A492,Tabla1[nombre_actividad],EV!C$1),NA())</f>
        <v>#N/A</v>
      </c>
      <c r="D492" s="110" t="e">
        <f ca="1">IF(TODAY()&gt;=$A492,SUMIFS(Tabla1[Avance_km],Tabla1[Fecha],"&lt;="&amp;EV!$A492,Tabla1[nombre_actividad],EV!D$1),NA())</f>
        <v>#N/A</v>
      </c>
      <c r="E492" s="110" t="e">
        <f ca="1">IF(TODAY()&gt;=$A492,SUMIFS(Tabla1[Avance_km],Tabla1[Fecha],"&lt;="&amp;EV!$A492,Tabla1[nombre_actividad],EV!E$1,Tabla1[Avance_km],"&gt;0"),NA())</f>
        <v>#N/A</v>
      </c>
      <c r="F492" s="67" t="e">
        <f ca="1">IF(TODAY()&gt;=$A492,SUMIFS(Tabla1[Avance_Med],Tabla1[Fecha],"&lt;="&amp;EV!$A492,Tabla1[nombre_actividad],EV!F$1),NA())</f>
        <v>#N/A</v>
      </c>
      <c r="G492" s="67"/>
      <c r="H492" s="110" t="e">
        <f ca="1">IF(TODAY()&gt;=$A492,SUMIFS(Tabla1[Avance_km],Tabla1[Fecha],"&lt;="&amp;EV!$A492-1,Tabla1[nombre_actividad],EV!H$1),NA())</f>
        <v>#N/A</v>
      </c>
      <c r="I492" s="228" t="e">
        <f ca="1">+C492*Catalogo!$F$19+EV!D492*Catalogo!$F$14+EV!E492*Catalogo!$F$16+EV!F492*Catalogo!$F$18</f>
        <v>#N/A</v>
      </c>
      <c r="J492" s="228" t="e">
        <f ca="1">IF(TODAY()&gt;=$A492,SUMIFS(Tabla1[EV],Tabla1[Fecha],"&lt;="&amp;A492,Tabla1[EV],"&gt;0"),NA())</f>
        <v>#N/A</v>
      </c>
      <c r="L492"/>
    </row>
    <row r="493" spans="1:12" x14ac:dyDescent="0.25">
      <c r="A493" s="62">
        <f t="shared" si="9"/>
        <v>46453</v>
      </c>
      <c r="B493" s="62"/>
      <c r="C493" s="110" t="e">
        <f ca="1">IF(TODAY()&gt;=$A493,SUMIFS(Tabla1[Avance_km],Tabla1[Fecha],"&lt;="&amp;EV!$A493,Tabla1[nombre_actividad],EV!C$1),NA())</f>
        <v>#N/A</v>
      </c>
      <c r="D493" s="110" t="e">
        <f ca="1">IF(TODAY()&gt;=$A493,SUMIFS(Tabla1[Avance_km],Tabla1[Fecha],"&lt;="&amp;EV!$A493,Tabla1[nombre_actividad],EV!D$1),NA())</f>
        <v>#N/A</v>
      </c>
      <c r="E493" s="110" t="e">
        <f ca="1">IF(TODAY()&gt;=$A493,SUMIFS(Tabla1[Avance_km],Tabla1[Fecha],"&lt;="&amp;EV!$A493,Tabla1[nombre_actividad],EV!E$1,Tabla1[Avance_km],"&gt;0"),NA())</f>
        <v>#N/A</v>
      </c>
      <c r="F493" s="67" t="e">
        <f ca="1">IF(TODAY()&gt;=$A493,SUMIFS(Tabla1[Avance_Med],Tabla1[Fecha],"&lt;="&amp;EV!$A493,Tabla1[nombre_actividad],EV!F$1),NA())</f>
        <v>#N/A</v>
      </c>
      <c r="G493" s="67"/>
      <c r="H493" s="110" t="e">
        <f ca="1">IF(TODAY()&gt;=$A493,SUMIFS(Tabla1[Avance_km],Tabla1[Fecha],"&lt;="&amp;EV!$A493-1,Tabla1[nombre_actividad],EV!H$1),NA())</f>
        <v>#N/A</v>
      </c>
      <c r="I493" s="228" t="e">
        <f ca="1">+C493*Catalogo!$F$19+EV!D493*Catalogo!$F$14+EV!E493*Catalogo!$F$16+EV!F493*Catalogo!$F$18</f>
        <v>#N/A</v>
      </c>
      <c r="J493" s="228" t="e">
        <f ca="1">IF(TODAY()&gt;=$A493,SUMIFS(Tabla1[EV],Tabla1[Fecha],"&lt;="&amp;A493,Tabla1[EV],"&gt;0"),NA())</f>
        <v>#N/A</v>
      </c>
      <c r="L493"/>
    </row>
    <row r="494" spans="1:12" x14ac:dyDescent="0.25">
      <c r="A494" s="62">
        <f t="shared" si="9"/>
        <v>46454</v>
      </c>
      <c r="B494" s="62"/>
      <c r="C494" s="110" t="e">
        <f ca="1">IF(TODAY()&gt;=$A494,SUMIFS(Tabla1[Avance_km],Tabla1[Fecha],"&lt;="&amp;EV!$A494,Tabla1[nombre_actividad],EV!C$1),NA())</f>
        <v>#N/A</v>
      </c>
      <c r="D494" s="110" t="e">
        <f ca="1">IF(TODAY()&gt;=$A494,SUMIFS(Tabla1[Avance_km],Tabla1[Fecha],"&lt;="&amp;EV!$A494,Tabla1[nombre_actividad],EV!D$1),NA())</f>
        <v>#N/A</v>
      </c>
      <c r="E494" s="110" t="e">
        <f ca="1">IF(TODAY()&gt;=$A494,SUMIFS(Tabla1[Avance_km],Tabla1[Fecha],"&lt;="&amp;EV!$A494,Tabla1[nombre_actividad],EV!E$1,Tabla1[Avance_km],"&gt;0"),NA())</f>
        <v>#N/A</v>
      </c>
      <c r="F494" s="67" t="e">
        <f ca="1">IF(TODAY()&gt;=$A494,SUMIFS(Tabla1[Avance_Med],Tabla1[Fecha],"&lt;="&amp;EV!$A494,Tabla1[nombre_actividad],EV!F$1),NA())</f>
        <v>#N/A</v>
      </c>
      <c r="G494" s="67"/>
      <c r="H494" s="110" t="e">
        <f ca="1">IF(TODAY()&gt;=$A494,SUMIFS(Tabla1[Avance_km],Tabla1[Fecha],"&lt;="&amp;EV!$A494-1,Tabla1[nombre_actividad],EV!H$1),NA())</f>
        <v>#N/A</v>
      </c>
      <c r="I494" s="228" t="e">
        <f ca="1">+C494*Catalogo!$F$19+EV!D494*Catalogo!$F$14+EV!E494*Catalogo!$F$16+EV!F494*Catalogo!$F$18</f>
        <v>#N/A</v>
      </c>
      <c r="J494" s="228" t="e">
        <f ca="1">IF(TODAY()&gt;=$A494,SUMIFS(Tabla1[EV],Tabla1[Fecha],"&lt;="&amp;A494,Tabla1[EV],"&gt;0"),NA())</f>
        <v>#N/A</v>
      </c>
      <c r="L494"/>
    </row>
    <row r="495" spans="1:12" x14ac:dyDescent="0.25">
      <c r="A495" s="62">
        <f t="shared" si="9"/>
        <v>46455</v>
      </c>
      <c r="B495" s="62"/>
      <c r="C495" s="110" t="e">
        <f ca="1">IF(TODAY()&gt;=$A495,SUMIFS(Tabla1[Avance_km],Tabla1[Fecha],"&lt;="&amp;EV!$A495,Tabla1[nombre_actividad],EV!C$1),NA())</f>
        <v>#N/A</v>
      </c>
      <c r="D495" s="110" t="e">
        <f ca="1">IF(TODAY()&gt;=$A495,SUMIFS(Tabla1[Avance_km],Tabla1[Fecha],"&lt;="&amp;EV!$A495,Tabla1[nombre_actividad],EV!D$1),NA())</f>
        <v>#N/A</v>
      </c>
      <c r="E495" s="110" t="e">
        <f ca="1">IF(TODAY()&gt;=$A495,SUMIFS(Tabla1[Avance_km],Tabla1[Fecha],"&lt;="&amp;EV!$A495,Tabla1[nombre_actividad],EV!E$1,Tabla1[Avance_km],"&gt;0"),NA())</f>
        <v>#N/A</v>
      </c>
      <c r="F495" s="67" t="e">
        <f ca="1">IF(TODAY()&gt;=$A495,SUMIFS(Tabla1[Avance_Med],Tabla1[Fecha],"&lt;="&amp;EV!$A495,Tabla1[nombre_actividad],EV!F$1),NA())</f>
        <v>#N/A</v>
      </c>
      <c r="G495" s="67"/>
      <c r="H495" s="110" t="e">
        <f ca="1">IF(TODAY()&gt;=$A495,SUMIFS(Tabla1[Avance_km],Tabla1[Fecha],"&lt;="&amp;EV!$A495-1,Tabla1[nombre_actividad],EV!H$1),NA())</f>
        <v>#N/A</v>
      </c>
      <c r="I495" s="228" t="e">
        <f ca="1">+C495*Catalogo!$F$19+EV!D495*Catalogo!$F$14+EV!E495*Catalogo!$F$16+EV!F495*Catalogo!$F$18</f>
        <v>#N/A</v>
      </c>
      <c r="J495" s="228" t="e">
        <f ca="1">IF(TODAY()&gt;=$A495,SUMIFS(Tabla1[EV],Tabla1[Fecha],"&lt;="&amp;A495,Tabla1[EV],"&gt;0"),NA())</f>
        <v>#N/A</v>
      </c>
      <c r="L495"/>
    </row>
    <row r="496" spans="1:12" x14ac:dyDescent="0.25">
      <c r="A496" s="62">
        <f t="shared" si="9"/>
        <v>46456</v>
      </c>
      <c r="B496" s="62"/>
      <c r="C496" s="110" t="e">
        <f ca="1">IF(TODAY()&gt;=$A496,SUMIFS(Tabla1[Avance_km],Tabla1[Fecha],"&lt;="&amp;EV!$A496,Tabla1[nombre_actividad],EV!C$1),NA())</f>
        <v>#N/A</v>
      </c>
      <c r="D496" s="110" t="e">
        <f ca="1">IF(TODAY()&gt;=$A496,SUMIFS(Tabla1[Avance_km],Tabla1[Fecha],"&lt;="&amp;EV!$A496,Tabla1[nombre_actividad],EV!D$1),NA())</f>
        <v>#N/A</v>
      </c>
      <c r="E496" s="110" t="e">
        <f ca="1">IF(TODAY()&gt;=$A496,SUMIFS(Tabla1[Avance_km],Tabla1[Fecha],"&lt;="&amp;EV!$A496,Tabla1[nombre_actividad],EV!E$1,Tabla1[Avance_km],"&gt;0"),NA())</f>
        <v>#N/A</v>
      </c>
      <c r="F496" s="67" t="e">
        <f ca="1">IF(TODAY()&gt;=$A496,SUMIFS(Tabla1[Avance_Med],Tabla1[Fecha],"&lt;="&amp;EV!$A496,Tabla1[nombre_actividad],EV!F$1),NA())</f>
        <v>#N/A</v>
      </c>
      <c r="G496" s="67"/>
      <c r="H496" s="110" t="e">
        <f ca="1">IF(TODAY()&gt;=$A496,SUMIFS(Tabla1[Avance_km],Tabla1[Fecha],"&lt;="&amp;EV!$A496-1,Tabla1[nombre_actividad],EV!H$1),NA())</f>
        <v>#N/A</v>
      </c>
      <c r="I496" s="228" t="e">
        <f ca="1">+C496*Catalogo!$F$19+EV!D496*Catalogo!$F$14+EV!E496*Catalogo!$F$16+EV!F496*Catalogo!$F$18</f>
        <v>#N/A</v>
      </c>
      <c r="J496" s="228" t="e">
        <f ca="1">IF(TODAY()&gt;=$A496,SUMIFS(Tabla1[EV],Tabla1[Fecha],"&lt;="&amp;A496,Tabla1[EV],"&gt;0"),NA())</f>
        <v>#N/A</v>
      </c>
      <c r="L496"/>
    </row>
    <row r="497" spans="1:12" x14ac:dyDescent="0.25">
      <c r="A497" s="62">
        <f t="shared" si="9"/>
        <v>46457</v>
      </c>
      <c r="B497" s="62"/>
      <c r="C497" s="110" t="e">
        <f ca="1">IF(TODAY()&gt;=$A497,SUMIFS(Tabla1[Avance_km],Tabla1[Fecha],"&lt;="&amp;EV!$A497,Tabla1[nombre_actividad],EV!C$1),NA())</f>
        <v>#N/A</v>
      </c>
      <c r="D497" s="110" t="e">
        <f ca="1">IF(TODAY()&gt;=$A497,SUMIFS(Tabla1[Avance_km],Tabla1[Fecha],"&lt;="&amp;EV!$A497,Tabla1[nombre_actividad],EV!D$1),NA())</f>
        <v>#N/A</v>
      </c>
      <c r="E497" s="110" t="e">
        <f ca="1">IF(TODAY()&gt;=$A497,SUMIFS(Tabla1[Avance_km],Tabla1[Fecha],"&lt;="&amp;EV!$A497,Tabla1[nombre_actividad],EV!E$1,Tabla1[Avance_km],"&gt;0"),NA())</f>
        <v>#N/A</v>
      </c>
      <c r="F497" s="67" t="e">
        <f ca="1">IF(TODAY()&gt;=$A497,SUMIFS(Tabla1[Avance_Med],Tabla1[Fecha],"&lt;="&amp;EV!$A497,Tabla1[nombre_actividad],EV!F$1),NA())</f>
        <v>#N/A</v>
      </c>
      <c r="G497" s="67"/>
      <c r="H497" s="110" t="e">
        <f ca="1">IF(TODAY()&gt;=$A497,SUMIFS(Tabla1[Avance_km],Tabla1[Fecha],"&lt;="&amp;EV!$A497-1,Tabla1[nombre_actividad],EV!H$1),NA())</f>
        <v>#N/A</v>
      </c>
      <c r="I497" s="228" t="e">
        <f ca="1">+C497*Catalogo!$F$19+EV!D497*Catalogo!$F$14+EV!E497*Catalogo!$F$16+EV!F497*Catalogo!$F$18</f>
        <v>#N/A</v>
      </c>
      <c r="J497" s="228" t="e">
        <f ca="1">IF(TODAY()&gt;=$A497,SUMIFS(Tabla1[EV],Tabla1[Fecha],"&lt;="&amp;A497,Tabla1[EV],"&gt;0"),NA())</f>
        <v>#N/A</v>
      </c>
      <c r="L497"/>
    </row>
    <row r="498" spans="1:12" x14ac:dyDescent="0.25">
      <c r="A498" s="62">
        <f t="shared" si="9"/>
        <v>46458</v>
      </c>
      <c r="B498" s="62"/>
      <c r="C498" s="110" t="e">
        <f ca="1">IF(TODAY()&gt;=$A498,SUMIFS(Tabla1[Avance_km],Tabla1[Fecha],"&lt;="&amp;EV!$A498,Tabla1[nombre_actividad],EV!C$1),NA())</f>
        <v>#N/A</v>
      </c>
      <c r="D498" s="110" t="e">
        <f ca="1">IF(TODAY()&gt;=$A498,SUMIFS(Tabla1[Avance_km],Tabla1[Fecha],"&lt;="&amp;EV!$A498,Tabla1[nombre_actividad],EV!D$1),NA())</f>
        <v>#N/A</v>
      </c>
      <c r="E498" s="110" t="e">
        <f ca="1">IF(TODAY()&gt;=$A498,SUMIFS(Tabla1[Avance_km],Tabla1[Fecha],"&lt;="&amp;EV!$A498,Tabla1[nombre_actividad],EV!E$1,Tabla1[Avance_km],"&gt;0"),NA())</f>
        <v>#N/A</v>
      </c>
      <c r="F498" s="67" t="e">
        <f ca="1">IF(TODAY()&gt;=$A498,SUMIFS(Tabla1[Avance_Med],Tabla1[Fecha],"&lt;="&amp;EV!$A498,Tabla1[nombre_actividad],EV!F$1),NA())</f>
        <v>#N/A</v>
      </c>
      <c r="G498" s="67"/>
      <c r="H498" s="110" t="e">
        <f ca="1">IF(TODAY()&gt;=$A498,SUMIFS(Tabla1[Avance_km],Tabla1[Fecha],"&lt;="&amp;EV!$A498-1,Tabla1[nombre_actividad],EV!H$1),NA())</f>
        <v>#N/A</v>
      </c>
      <c r="I498" s="228" t="e">
        <f ca="1">+C498*Catalogo!$F$19+EV!D498*Catalogo!$F$14+EV!E498*Catalogo!$F$16+EV!F498*Catalogo!$F$18</f>
        <v>#N/A</v>
      </c>
      <c r="J498" s="228" t="e">
        <f ca="1">IF(TODAY()&gt;=$A498,SUMIFS(Tabla1[EV],Tabla1[Fecha],"&lt;="&amp;A498,Tabla1[EV],"&gt;0"),NA())</f>
        <v>#N/A</v>
      </c>
      <c r="L498"/>
    </row>
    <row r="499" spans="1:12" x14ac:dyDescent="0.25">
      <c r="A499" s="62">
        <f t="shared" si="9"/>
        <v>46459</v>
      </c>
      <c r="B499" s="62"/>
      <c r="C499" s="110" t="e">
        <f ca="1">IF(TODAY()&gt;=$A499,SUMIFS(Tabla1[Avance_km],Tabla1[Fecha],"&lt;="&amp;EV!$A499,Tabla1[nombre_actividad],EV!C$1),NA())</f>
        <v>#N/A</v>
      </c>
      <c r="D499" s="110" t="e">
        <f ca="1">IF(TODAY()&gt;=$A499,SUMIFS(Tabla1[Avance_km],Tabla1[Fecha],"&lt;="&amp;EV!$A499,Tabla1[nombre_actividad],EV!D$1),NA())</f>
        <v>#N/A</v>
      </c>
      <c r="E499" s="110" t="e">
        <f ca="1">IF(TODAY()&gt;=$A499,SUMIFS(Tabla1[Avance_km],Tabla1[Fecha],"&lt;="&amp;EV!$A499,Tabla1[nombre_actividad],EV!E$1,Tabla1[Avance_km],"&gt;0"),NA())</f>
        <v>#N/A</v>
      </c>
      <c r="F499" s="67" t="e">
        <f ca="1">IF(TODAY()&gt;=$A499,SUMIFS(Tabla1[Avance_Med],Tabla1[Fecha],"&lt;="&amp;EV!$A499,Tabla1[nombre_actividad],EV!F$1),NA())</f>
        <v>#N/A</v>
      </c>
      <c r="G499" s="67"/>
      <c r="H499" s="110" t="e">
        <f ca="1">IF(TODAY()&gt;=$A499,SUMIFS(Tabla1[Avance_km],Tabla1[Fecha],"&lt;="&amp;EV!$A499-1,Tabla1[nombre_actividad],EV!H$1),NA())</f>
        <v>#N/A</v>
      </c>
      <c r="I499" s="228" t="e">
        <f ca="1">+C499*Catalogo!$F$19+EV!D499*Catalogo!$F$14+EV!E499*Catalogo!$F$16+EV!F499*Catalogo!$F$18</f>
        <v>#N/A</v>
      </c>
      <c r="J499" s="228" t="e">
        <f ca="1">IF(TODAY()&gt;=$A499,SUMIFS(Tabla1[EV],Tabla1[Fecha],"&lt;="&amp;A499,Tabla1[EV],"&gt;0"),NA())</f>
        <v>#N/A</v>
      </c>
      <c r="L499"/>
    </row>
    <row r="500" spans="1:12" x14ac:dyDescent="0.25">
      <c r="A500" s="62">
        <f t="shared" si="9"/>
        <v>46460</v>
      </c>
      <c r="B500" s="62"/>
      <c r="C500" s="110" t="e">
        <f ca="1">IF(TODAY()&gt;=$A500,SUMIFS(Tabla1[Avance_km],Tabla1[Fecha],"&lt;="&amp;EV!$A500,Tabla1[nombre_actividad],EV!C$1),NA())</f>
        <v>#N/A</v>
      </c>
      <c r="D500" s="110" t="e">
        <f ca="1">IF(TODAY()&gt;=$A500,SUMIFS(Tabla1[Avance_km],Tabla1[Fecha],"&lt;="&amp;EV!$A500,Tabla1[nombre_actividad],EV!D$1),NA())</f>
        <v>#N/A</v>
      </c>
      <c r="E500" s="110" t="e">
        <f ca="1">IF(TODAY()&gt;=$A500,SUMIFS(Tabla1[Avance_km],Tabla1[Fecha],"&lt;="&amp;EV!$A500,Tabla1[nombre_actividad],EV!E$1,Tabla1[Avance_km],"&gt;0"),NA())</f>
        <v>#N/A</v>
      </c>
      <c r="F500" s="67" t="e">
        <f ca="1">IF(TODAY()&gt;=$A500,SUMIFS(Tabla1[Avance_Med],Tabla1[Fecha],"&lt;="&amp;EV!$A500,Tabla1[nombre_actividad],EV!F$1),NA())</f>
        <v>#N/A</v>
      </c>
      <c r="G500" s="67"/>
      <c r="H500" s="110" t="e">
        <f ca="1">IF(TODAY()&gt;=$A500,SUMIFS(Tabla1[Avance_km],Tabla1[Fecha],"&lt;="&amp;EV!$A500-1,Tabla1[nombre_actividad],EV!H$1),NA())</f>
        <v>#N/A</v>
      </c>
      <c r="I500" s="228" t="e">
        <f ca="1">+C500*Catalogo!$F$19+EV!D500*Catalogo!$F$14+EV!E500*Catalogo!$F$16+EV!F500*Catalogo!$F$18</f>
        <v>#N/A</v>
      </c>
      <c r="J500" s="228" t="e">
        <f ca="1">IF(TODAY()&gt;=$A500,SUMIFS(Tabla1[EV],Tabla1[Fecha],"&lt;="&amp;A500,Tabla1[EV],"&gt;0"),NA())</f>
        <v>#N/A</v>
      </c>
      <c r="L500"/>
    </row>
    <row r="501" spans="1:12" x14ac:dyDescent="0.25">
      <c r="L501"/>
    </row>
    <row r="502" spans="1:12" x14ac:dyDescent="0.25">
      <c r="L502"/>
    </row>
    <row r="503" spans="1:12" x14ac:dyDescent="0.25">
      <c r="L503"/>
    </row>
    <row r="504" spans="1:12" x14ac:dyDescent="0.25">
      <c r="L504"/>
    </row>
    <row r="505" spans="1:12" x14ac:dyDescent="0.25">
      <c r="L505"/>
    </row>
    <row r="506" spans="1:12" x14ac:dyDescent="0.25">
      <c r="L506"/>
    </row>
    <row r="507" spans="1:12" x14ac:dyDescent="0.25">
      <c r="L507"/>
    </row>
    <row r="508" spans="1:12" x14ac:dyDescent="0.25">
      <c r="L508"/>
    </row>
    <row r="509" spans="1:12" x14ac:dyDescent="0.25">
      <c r="L509"/>
    </row>
    <row r="510" spans="1:12" x14ac:dyDescent="0.25">
      <c r="L510"/>
    </row>
    <row r="511" spans="1:12" x14ac:dyDescent="0.25">
      <c r="L511"/>
    </row>
    <row r="512" spans="1:12" x14ac:dyDescent="0.25">
      <c r="L512"/>
    </row>
    <row r="513" spans="12:12" x14ac:dyDescent="0.25">
      <c r="L513"/>
    </row>
    <row r="514" spans="12:12" x14ac:dyDescent="0.25">
      <c r="L514"/>
    </row>
    <row r="515" spans="12:12" x14ac:dyDescent="0.25">
      <c r="L515"/>
    </row>
    <row r="516" spans="12:12" x14ac:dyDescent="0.25">
      <c r="L516"/>
    </row>
    <row r="517" spans="12:12" x14ac:dyDescent="0.25">
      <c r="L517"/>
    </row>
    <row r="518" spans="12:12" x14ac:dyDescent="0.25">
      <c r="L518"/>
    </row>
    <row r="519" spans="12:12" x14ac:dyDescent="0.25">
      <c r="L519"/>
    </row>
    <row r="520" spans="12:12" x14ac:dyDescent="0.25">
      <c r="L520"/>
    </row>
    <row r="521" spans="12:12" x14ac:dyDescent="0.25">
      <c r="L521"/>
    </row>
    <row r="522" spans="12:12" x14ac:dyDescent="0.25">
      <c r="L522"/>
    </row>
    <row r="523" spans="12:12" x14ac:dyDescent="0.25">
      <c r="L523"/>
    </row>
    <row r="524" spans="12:12" x14ac:dyDescent="0.25">
      <c r="L524"/>
    </row>
    <row r="525" spans="12:12" x14ac:dyDescent="0.25">
      <c r="L525"/>
    </row>
    <row r="526" spans="12:12" x14ac:dyDescent="0.25">
      <c r="L526"/>
    </row>
    <row r="527" spans="12:12" x14ac:dyDescent="0.25">
      <c r="L527"/>
    </row>
    <row r="528" spans="12:12" x14ac:dyDescent="0.25">
      <c r="L528"/>
    </row>
    <row r="529" spans="12:12" x14ac:dyDescent="0.25">
      <c r="L529"/>
    </row>
    <row r="530" spans="12:12" x14ac:dyDescent="0.25">
      <c r="L530"/>
    </row>
    <row r="531" spans="12:12" x14ac:dyDescent="0.25">
      <c r="L531"/>
    </row>
    <row r="532" spans="12:12" x14ac:dyDescent="0.25">
      <c r="L532"/>
    </row>
    <row r="533" spans="12:12" x14ac:dyDescent="0.25">
      <c r="L533"/>
    </row>
    <row r="534" spans="12:12" x14ac:dyDescent="0.25">
      <c r="L534"/>
    </row>
    <row r="535" spans="12:12" x14ac:dyDescent="0.25">
      <c r="L535"/>
    </row>
    <row r="536" spans="12:12" x14ac:dyDescent="0.25">
      <c r="L536"/>
    </row>
    <row r="537" spans="12:12" x14ac:dyDescent="0.25">
      <c r="L537"/>
    </row>
    <row r="538" spans="12:12" x14ac:dyDescent="0.25">
      <c r="L538"/>
    </row>
    <row r="539" spans="12:12" x14ac:dyDescent="0.25">
      <c r="L539"/>
    </row>
    <row r="540" spans="12:12" x14ac:dyDescent="0.25">
      <c r="L540"/>
    </row>
    <row r="541" spans="12:12" x14ac:dyDescent="0.25">
      <c r="L541"/>
    </row>
    <row r="542" spans="12:12" x14ac:dyDescent="0.25">
      <c r="L542"/>
    </row>
    <row r="543" spans="12:12" x14ac:dyDescent="0.25">
      <c r="L543"/>
    </row>
    <row r="544" spans="12:12" x14ac:dyDescent="0.25">
      <c r="L544"/>
    </row>
    <row r="545" spans="12:12" x14ac:dyDescent="0.25">
      <c r="L545"/>
    </row>
    <row r="546" spans="12:12" x14ac:dyDescent="0.25">
      <c r="L546"/>
    </row>
  </sheetData>
  <conditionalFormatting sqref="C2:J500">
    <cfRule type="expression" dxfId="30" priority="1">
      <formula>C2=0</formula>
    </cfRule>
    <cfRule type="expression" dxfId="29" priority="2">
      <formula>IF(ISNUMBER(C2),FALSE,TRUE)</formula>
    </cfRule>
  </conditionalFormatting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A4A2C-6D25-4DA1-BA29-CD6F1B1CC727}">
  <sheetPr codeName="Hoja26"/>
  <dimension ref="A1:AZ115"/>
  <sheetViews>
    <sheetView showGridLines="0" topLeftCell="F1" zoomScale="85" zoomScaleNormal="85" workbookViewId="0">
      <selection activeCell="AN5" sqref="AN5"/>
    </sheetView>
  </sheetViews>
  <sheetFormatPr baseColWidth="10" defaultColWidth="11.42578125" defaultRowHeight="15" outlineLevelCol="1" x14ac:dyDescent="0.25"/>
  <cols>
    <col min="1" max="1" width="17.85546875" style="61" bestFit="1" customWidth="1"/>
    <col min="2" max="2" width="18.5703125" style="61" bestFit="1" customWidth="1"/>
    <col min="3" max="3" width="18.28515625" style="61" bestFit="1" customWidth="1"/>
    <col min="4" max="4" width="17.85546875" style="61" bestFit="1" customWidth="1"/>
    <col min="5" max="5" width="18.7109375" style="61" bestFit="1" customWidth="1"/>
    <col min="6" max="6" width="15.140625" style="61" bestFit="1" customWidth="1"/>
    <col min="7" max="7" width="16.5703125" style="61" bestFit="1" customWidth="1"/>
    <col min="8" max="8" width="18" style="61" bestFit="1" customWidth="1"/>
    <col min="9" max="9" width="12.5703125" style="61" customWidth="1"/>
    <col min="10" max="10" width="17.5703125" style="61" bestFit="1" customWidth="1"/>
    <col min="11" max="11" width="13.85546875" style="61" customWidth="1"/>
    <col min="12" max="12" width="18" style="61" bestFit="1" customWidth="1"/>
    <col min="13" max="13" width="17.140625" style="61" bestFit="1" customWidth="1"/>
    <col min="14" max="14" width="15.5703125" style="61" bestFit="1" customWidth="1"/>
    <col min="15" max="15" width="16.140625" style="61" bestFit="1" customWidth="1"/>
    <col min="16" max="16" width="15.28515625" style="61" bestFit="1" customWidth="1"/>
    <col min="17" max="17" width="13" style="61" bestFit="1" customWidth="1"/>
    <col min="18" max="18" width="12.140625" style="61" customWidth="1"/>
    <col min="19" max="21" width="13" style="61" bestFit="1" customWidth="1"/>
    <col min="22" max="26" width="11.42578125" style="61" hidden="1" customWidth="1" outlineLevel="1"/>
    <col min="27" max="27" width="10.85546875" style="61" hidden="1" customWidth="1" outlineLevel="1"/>
    <col min="28" max="29" width="11.28515625" style="61" hidden="1" customWidth="1" outlineLevel="1"/>
    <col min="30" max="30" width="11" style="61" hidden="1" customWidth="1" outlineLevel="1"/>
    <col min="31" max="31" width="11.42578125" style="61" hidden="1" customWidth="1" outlineLevel="1"/>
    <col min="32" max="32" width="11.28515625" style="61" hidden="1" customWidth="1" outlineLevel="1"/>
    <col min="33" max="33" width="11.42578125" style="61" hidden="1" customWidth="1" outlineLevel="1"/>
    <col min="34" max="35" width="11" style="61" hidden="1" customWidth="1" outlineLevel="1"/>
    <col min="36" max="36" width="14.7109375" style="61" customWidth="1" collapsed="1"/>
    <col min="37" max="37" width="14.7109375" style="61" customWidth="1"/>
    <col min="38" max="38" width="14.7109375" style="61" hidden="1" customWidth="1" outlineLevel="1"/>
    <col min="39" max="39" width="11.42578125" style="61" hidden="1" customWidth="1" outlineLevel="1"/>
    <col min="40" max="40" width="15.42578125" style="61" bestFit="1" customWidth="1" collapsed="1"/>
    <col min="41" max="41" width="15.7109375" style="61" bestFit="1" customWidth="1"/>
    <col min="42" max="42" width="2.85546875" style="61" customWidth="1"/>
    <col min="43" max="44" width="12.28515625" bestFit="1" customWidth="1"/>
    <col min="45" max="45" width="14" bestFit="1" customWidth="1"/>
    <col min="46" max="46" width="12.7109375" style="61" bestFit="1" customWidth="1"/>
    <col min="47" max="47" width="12.42578125" style="61" bestFit="1" customWidth="1"/>
    <col min="48" max="48" width="12.28515625" style="61" bestFit="1" customWidth="1"/>
    <col min="49" max="49" width="14.7109375" style="61" bestFit="1" customWidth="1"/>
    <col min="50" max="56" width="12.28515625" style="61" bestFit="1" customWidth="1"/>
    <col min="57" max="57" width="11.28515625" style="61" bestFit="1" customWidth="1"/>
    <col min="58" max="79" width="12.28515625" style="61" bestFit="1" customWidth="1"/>
    <col min="80" max="80" width="5.42578125" style="61" bestFit="1" customWidth="1"/>
    <col min="81" max="81" width="12.42578125" style="61" bestFit="1" customWidth="1"/>
    <col min="82" max="16384" width="11.42578125" style="61"/>
  </cols>
  <sheetData>
    <row r="1" spans="1:50" s="294" customFormat="1" ht="129.75" x14ac:dyDescent="0.25">
      <c r="B1" s="295" t="s">
        <v>276</v>
      </c>
      <c r="C1" s="295" t="s">
        <v>278</v>
      </c>
      <c r="D1" s="295" t="s">
        <v>280</v>
      </c>
      <c r="E1" s="295" t="s">
        <v>282</v>
      </c>
      <c r="F1" s="295" t="s">
        <v>284</v>
      </c>
      <c r="G1" s="295" t="s">
        <v>286</v>
      </c>
      <c r="H1" s="297" t="s">
        <v>79</v>
      </c>
      <c r="I1" s="297" t="s">
        <v>82</v>
      </c>
      <c r="J1" s="297" t="s">
        <v>80</v>
      </c>
      <c r="K1" s="297" t="s">
        <v>83</v>
      </c>
      <c r="L1" s="461" t="s">
        <v>81</v>
      </c>
      <c r="M1" s="297" t="s">
        <v>78</v>
      </c>
      <c r="N1" s="297" t="s">
        <v>294</v>
      </c>
      <c r="O1" s="297" t="s">
        <v>296</v>
      </c>
      <c r="P1" s="299" t="s">
        <v>298</v>
      </c>
      <c r="Q1" s="299" t="s">
        <v>415</v>
      </c>
      <c r="R1" s="299" t="s">
        <v>416</v>
      </c>
      <c r="S1" s="299" t="s">
        <v>423</v>
      </c>
      <c r="T1" s="299" t="s">
        <v>417</v>
      </c>
      <c r="U1" s="299" t="s">
        <v>424</v>
      </c>
      <c r="V1" s="299" t="s">
        <v>422</v>
      </c>
      <c r="W1" s="299" t="s">
        <v>418</v>
      </c>
      <c r="X1" s="299" t="s">
        <v>425</v>
      </c>
      <c r="Y1" s="299" t="s">
        <v>420</v>
      </c>
      <c r="Z1" s="299" t="s">
        <v>419</v>
      </c>
      <c r="AA1" s="299" t="s">
        <v>421</v>
      </c>
      <c r="AB1" s="301" t="s">
        <v>426</v>
      </c>
      <c r="AC1" s="301" t="s">
        <v>427</v>
      </c>
      <c r="AD1" s="301" t="s">
        <v>428</v>
      </c>
      <c r="AE1" s="301" t="s">
        <v>429</v>
      </c>
      <c r="AF1" s="301" t="s">
        <v>430</v>
      </c>
      <c r="AG1" s="301" t="s">
        <v>431</v>
      </c>
      <c r="AH1" s="301" t="s">
        <v>432</v>
      </c>
      <c r="AI1" s="301" t="s">
        <v>433</v>
      </c>
      <c r="AJ1" s="301" t="s">
        <v>434</v>
      </c>
      <c r="AK1" s="301" t="s">
        <v>435</v>
      </c>
      <c r="AL1" s="301" t="s">
        <v>436</v>
      </c>
      <c r="AM1" s="301" t="s">
        <v>437</v>
      </c>
      <c r="AN1" s="303" t="s">
        <v>440</v>
      </c>
      <c r="AQ1"/>
      <c r="AR1"/>
      <c r="AS1"/>
    </row>
    <row r="2" spans="1:50" s="76" customFormat="1" x14ac:dyDescent="0.25">
      <c r="B2" s="296" t="s">
        <v>97</v>
      </c>
      <c r="C2" s="296" t="s">
        <v>97</v>
      </c>
      <c r="D2" s="296" t="s">
        <v>97</v>
      </c>
      <c r="E2" s="296" t="s">
        <v>97</v>
      </c>
      <c r="F2" s="296" t="s">
        <v>97</v>
      </c>
      <c r="G2" s="296" t="s">
        <v>97</v>
      </c>
      <c r="H2" s="298" t="s">
        <v>108</v>
      </c>
      <c r="I2" s="298" t="s">
        <v>108</v>
      </c>
      <c r="J2" s="298" t="s">
        <v>108</v>
      </c>
      <c r="K2" s="298" t="s">
        <v>108</v>
      </c>
      <c r="L2" s="298" t="s">
        <v>113</v>
      </c>
      <c r="M2" s="298" t="s">
        <v>108</v>
      </c>
      <c r="N2" s="298" t="s">
        <v>97</v>
      </c>
      <c r="O2" s="298" t="s">
        <v>97</v>
      </c>
      <c r="P2" s="300" t="s">
        <v>118</v>
      </c>
      <c r="Q2" s="300" t="s">
        <v>439</v>
      </c>
      <c r="R2" s="300" t="s">
        <v>439</v>
      </c>
      <c r="S2" s="300" t="s">
        <v>126</v>
      </c>
      <c r="T2" s="300" t="s">
        <v>126</v>
      </c>
      <c r="U2" s="300" t="s">
        <v>126</v>
      </c>
      <c r="V2" s="300" t="s">
        <v>126</v>
      </c>
      <c r="W2" s="300" t="s">
        <v>126</v>
      </c>
      <c r="X2" s="300" t="s">
        <v>126</v>
      </c>
      <c r="Y2" s="300" t="s">
        <v>126</v>
      </c>
      <c r="Z2" s="300" t="s">
        <v>126</v>
      </c>
      <c r="AA2" s="300" t="s">
        <v>97</v>
      </c>
      <c r="AB2" s="302" t="s">
        <v>97</v>
      </c>
      <c r="AC2" s="302" t="s">
        <v>97</v>
      </c>
      <c r="AD2" s="302" t="s">
        <v>97</v>
      </c>
      <c r="AE2" s="302" t="s">
        <v>97</v>
      </c>
      <c r="AF2" s="302" t="s">
        <v>97</v>
      </c>
      <c r="AG2" s="302" t="s">
        <v>97</v>
      </c>
      <c r="AH2" s="302" t="s">
        <v>97</v>
      </c>
      <c r="AI2" s="302" t="s">
        <v>97</v>
      </c>
      <c r="AJ2" s="302" t="s">
        <v>438</v>
      </c>
      <c r="AK2" s="302" t="s">
        <v>438</v>
      </c>
      <c r="AL2" s="302" t="s">
        <v>438</v>
      </c>
      <c r="AM2" s="302" t="s">
        <v>97</v>
      </c>
      <c r="AQ2"/>
      <c r="AR2"/>
      <c r="AS2"/>
    </row>
    <row r="3" spans="1:50" x14ac:dyDescent="0.25">
      <c r="A3"/>
      <c r="B3" s="292">
        <v>2532.81</v>
      </c>
      <c r="C3" s="292">
        <v>3250.01</v>
      </c>
      <c r="D3" s="292">
        <v>985.32</v>
      </c>
      <c r="E3" s="292">
        <v>1062.92</v>
      </c>
      <c r="F3" s="292">
        <v>1337.25</v>
      </c>
      <c r="G3" s="292">
        <v>1581.21</v>
      </c>
      <c r="H3" s="438">
        <v>14521.41</v>
      </c>
      <c r="I3" s="322">
        <v>13555.63</v>
      </c>
      <c r="J3" s="440">
        <v>13555.63</v>
      </c>
      <c r="K3" s="261">
        <v>13696.28</v>
      </c>
      <c r="L3" s="261">
        <v>4658</v>
      </c>
      <c r="M3" s="440">
        <v>2257.42</v>
      </c>
      <c r="N3" s="261">
        <v>3540.12</v>
      </c>
      <c r="O3" s="261">
        <v>2646.28</v>
      </c>
      <c r="P3" s="261">
        <v>1970.65</v>
      </c>
      <c r="Q3" s="261">
        <v>7585.99</v>
      </c>
      <c r="R3" s="261">
        <v>1765.59</v>
      </c>
      <c r="S3" s="261">
        <v>1934.59</v>
      </c>
      <c r="T3" s="261">
        <v>1960.59</v>
      </c>
      <c r="U3" s="261">
        <v>2220.59</v>
      </c>
      <c r="V3" s="261">
        <v>2220.59</v>
      </c>
      <c r="W3" s="261">
        <v>2090.59</v>
      </c>
      <c r="X3" s="261">
        <v>2090.59</v>
      </c>
      <c r="Y3" s="261">
        <v>656</v>
      </c>
      <c r="Z3" s="261">
        <v>4676</v>
      </c>
      <c r="AA3" s="261">
        <v>4124.2700000000004</v>
      </c>
      <c r="AB3" s="261">
        <v>5020.99</v>
      </c>
      <c r="AC3" s="261">
        <v>3652.99</v>
      </c>
      <c r="AD3" s="261">
        <v>3201.98</v>
      </c>
      <c r="AE3" s="261">
        <v>6840</v>
      </c>
      <c r="AF3" s="261">
        <v>2052</v>
      </c>
      <c r="AG3" s="261">
        <v>3420</v>
      </c>
      <c r="AH3" s="261">
        <v>4212.3599999999997</v>
      </c>
      <c r="AI3" s="261">
        <v>1368</v>
      </c>
      <c r="AJ3" s="261">
        <v>7244.35</v>
      </c>
      <c r="AK3" s="261">
        <v>6977.93</v>
      </c>
      <c r="AL3" s="261">
        <v>8275.99</v>
      </c>
      <c r="AM3" s="261">
        <v>4409.2299999999996</v>
      </c>
      <c r="AN3"/>
    </row>
    <row r="4" spans="1:50" s="1" customFormat="1" x14ac:dyDescent="0.25">
      <c r="A4" s="76"/>
      <c r="B4" s="76">
        <v>1.1000000000000001</v>
      </c>
      <c r="C4" s="76">
        <v>1.2</v>
      </c>
      <c r="D4" s="76">
        <v>1.3</v>
      </c>
      <c r="E4" s="76">
        <v>1.4</v>
      </c>
      <c r="F4" s="76">
        <v>1.5</v>
      </c>
      <c r="G4" s="76">
        <v>1.6</v>
      </c>
      <c r="H4" s="439">
        <v>2.1</v>
      </c>
      <c r="I4" s="306">
        <v>2.2000000000000002</v>
      </c>
      <c r="J4" s="439">
        <v>2.2999999999999998</v>
      </c>
      <c r="K4" s="76">
        <v>2.4</v>
      </c>
      <c r="L4" s="76">
        <v>2.5</v>
      </c>
      <c r="M4" s="439">
        <v>2.6</v>
      </c>
      <c r="N4" s="1">
        <v>2.7</v>
      </c>
      <c r="O4" s="1">
        <v>2.8</v>
      </c>
      <c r="P4" s="1">
        <v>3.1</v>
      </c>
      <c r="Q4" s="76">
        <v>3.2</v>
      </c>
      <c r="R4" s="76" t="s">
        <v>122</v>
      </c>
      <c r="S4" s="76" t="s">
        <v>124</v>
      </c>
      <c r="T4" s="1" t="s">
        <v>127</v>
      </c>
      <c r="U4" s="1" t="s">
        <v>129</v>
      </c>
      <c r="V4" s="1" t="s">
        <v>131</v>
      </c>
      <c r="W4" s="1" t="s">
        <v>133</v>
      </c>
      <c r="X4" s="1" t="s">
        <v>135</v>
      </c>
      <c r="Y4" s="1" t="s">
        <v>137</v>
      </c>
      <c r="Z4" s="1" t="s">
        <v>139</v>
      </c>
      <c r="AA4" s="1">
        <v>3.3</v>
      </c>
      <c r="AB4" s="1">
        <v>4.0999999999999996</v>
      </c>
      <c r="AC4" s="1">
        <v>4.2</v>
      </c>
      <c r="AD4" s="1">
        <v>4.3</v>
      </c>
      <c r="AE4" s="1">
        <v>4.4000000000000004</v>
      </c>
      <c r="AF4" s="1">
        <v>4.5</v>
      </c>
      <c r="AG4" s="1">
        <v>4.5999999999999996</v>
      </c>
      <c r="AH4" s="1">
        <v>4.7</v>
      </c>
      <c r="AI4" s="1">
        <v>4.8</v>
      </c>
      <c r="AJ4" s="1">
        <v>4.9000000000000004</v>
      </c>
      <c r="AK4" s="436" t="s">
        <v>523</v>
      </c>
      <c r="AL4" s="1">
        <v>4.1100000000000003</v>
      </c>
      <c r="AM4" s="1">
        <v>4.12</v>
      </c>
      <c r="AN4" s="76"/>
      <c r="AQ4"/>
      <c r="AR4"/>
      <c r="AS4"/>
    </row>
    <row r="5" spans="1:50" s="1" customFormat="1" x14ac:dyDescent="0.25">
      <c r="A5" s="76" t="s">
        <v>441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Q5" s="76"/>
      <c r="R5" s="76"/>
      <c r="S5" s="76"/>
      <c r="AN5" s="308">
        <v>-11162921.84</v>
      </c>
      <c r="AO5" s="308">
        <f t="shared" ref="AO5:AO16" si="0">SUM(B5:AN5)</f>
        <v>-11162921.84</v>
      </c>
      <c r="AQ5"/>
      <c r="AR5"/>
      <c r="AS5"/>
      <c r="AT5"/>
      <c r="AU5"/>
      <c r="AV5"/>
      <c r="AW5"/>
      <c r="AX5"/>
    </row>
    <row r="6" spans="1:50" x14ac:dyDescent="0.25">
      <c r="A6" s="226">
        <v>45962</v>
      </c>
      <c r="B6" s="314">
        <f>+SUMIFS(Tabla1[Avance_Med],Tabla1[Fecha],"&gt;="&amp;$A6,Tabla1[Fecha],"&lt;="&amp;EOMONTH($A6,0),Tabla1[Codigo_actividad],B$4)*B$3</f>
        <v>0</v>
      </c>
      <c r="C6" s="314">
        <f>+SUMIFS(Tabla1[Avance_Med],Tabla1[Fecha],"&gt;="&amp;$A6,Tabla1[Fecha],"&lt;="&amp;EOMONTH($A6,0),Tabla1[Codigo_actividad],C$4)*C$3</f>
        <v>0</v>
      </c>
      <c r="D6" s="314">
        <f>+SUMIFS(Tabla1[Avance_Med],Tabla1[Fecha],"&gt;="&amp;$A6,Tabla1[Fecha],"&lt;="&amp;EOMONTH($A6,0),Tabla1[Codigo_actividad],D$4)*D$3</f>
        <v>0</v>
      </c>
      <c r="E6" s="314">
        <f>+SUMIFS(Tabla1[Avance_Med],Tabla1[Fecha],"&gt;="&amp;$A6,Tabla1[Fecha],"&lt;="&amp;EOMONTH($A6,0),Tabla1[Codigo_actividad],E$4)*E$3</f>
        <v>0</v>
      </c>
      <c r="F6" s="314">
        <f>+SUMIFS(Tabla1[Avance_Med],Tabla1[Fecha],"&gt;="&amp;$A6,Tabla1[Fecha],"&lt;="&amp;EOMONTH($A6,0),Tabla1[Codigo_actividad],F$4)*F$3</f>
        <v>0</v>
      </c>
      <c r="G6" s="314">
        <f>+SUMIFS(Tabla1[Avance_Med],Tabla1[Fecha],"&gt;="&amp;$A6,Tabla1[Fecha],"&lt;="&amp;EOMONTH($A6,0),Tabla1[Codigo_actividad],G$4)*G$3</f>
        <v>0</v>
      </c>
      <c r="H6" s="314">
        <f>+SUMIFS(Tabla1[Avance_km],Tabla1[Fecha],"&gt;="&amp;$A6,Tabla1[Fecha],"&lt;="&amp;EOMONTH($A6,0),Tabla1[Codigo_actividad],H$4)*H$3</f>
        <v>458135.96408999996</v>
      </c>
      <c r="I6" s="314"/>
      <c r="J6" s="314">
        <f>+SUMIFS(Tabla1[Avance_km],Tabla1[Fecha],"&gt;="&amp;$A6,Tabla1[Fecha],"&lt;="&amp;EOMONTH($A6,0),Tabla1[Codigo_actividad],J$4,Tabla1[Avance_km],"&gt;0")*J$3</f>
        <v>719112.61586999998</v>
      </c>
      <c r="K6" s="314">
        <f>SUMIFS(Tabla1[Avance_km],Tabla1[Fecha],"&gt;="&amp;$A6,Tabla1[Fecha],"&lt;="&amp;EOMONTH($A6,0),Tabla1[Codigo_actividad],K$4,Tabla1[Avance_km],"&gt;0")*K$3</f>
        <v>0</v>
      </c>
      <c r="L6" s="314">
        <f>+SUMIFS(Tabla1[Avance_Med],Tabla1[Fecha],"&gt;="&amp;$A6,Tabla1[Fecha],"&lt;="&amp;EOMONTH($A6,0),Tabla1[Codigo_actividad],L$4)*L$3</f>
        <v>456484</v>
      </c>
      <c r="M6" s="314">
        <f>+SUMIFS(Tabla1[Avance_km],Tabla1[Fecha],"&gt;="&amp;$A6,Tabla1[Fecha],"&lt;="&amp;EOMONTH($A6,0),Tabla1[Codigo_actividad],M$4)*M$3</f>
        <v>162583.90324000004</v>
      </c>
      <c r="N6" s="314">
        <f>+SUMIFS(Tabla1[Avance_Med],Tabla1[Fecha],"&gt;="&amp;$A6,Tabla1[Fecha],"&lt;="&amp;EOMONTH($A6,0),Tabla1[Codigo_actividad],N$4)*N$3</f>
        <v>0</v>
      </c>
      <c r="O6" s="314">
        <f>+SUMIFS(Tabla1[Avance_Med],Tabla1[Fecha],"&gt;="&amp;$A6,Tabla1[Fecha],"&lt;="&amp;EOMONTH($A6,0),Tabla1[Codigo_actividad],O$4)*O$3</f>
        <v>0</v>
      </c>
      <c r="P6" s="314">
        <f>+SUMIFS(Tabla1[Avance_Med],Tabla1[Fecha],"&gt;="&amp;$A6,Tabla1[Fecha],"&lt;="&amp;EOMONTH($A6,0),Tabla1[Codigo_actividad],P$4)*P$3</f>
        <v>0</v>
      </c>
      <c r="Q6" s="314">
        <f>+SUMIFS(Tabla1[Avance_Med],Tabla1[Fecha],"&gt;="&amp;$A6,Tabla1[Fecha],"&lt;="&amp;EOMONTH($A6,0),Tabla1[Codigo_actividad],Q$4)*Q$3</f>
        <v>0</v>
      </c>
      <c r="R6" s="314">
        <f>+SUMIFS(Tabla1[Avance_Med],Tabla1[Fecha],"&gt;="&amp;$A6,Tabla1[Fecha],"&lt;="&amp;EOMONTH($A6,0),Tabla1[Codigo_actividad],R$4)*R$3</f>
        <v>0</v>
      </c>
      <c r="S6" s="314">
        <f>+SUMIFS(Tabla1[Avance_Med],Tabla1[Fecha],"&gt;="&amp;$A6,Tabla1[Fecha],"&lt;="&amp;EOMONTH($A6,0),Tabla1[Codigo_actividad],S$4)*S$3</f>
        <v>0</v>
      </c>
      <c r="T6" s="314">
        <f>+SUMIFS(Tabla1[Avance_Med],Tabla1[Fecha],"&gt;="&amp;$A6,Tabla1[Fecha],"&lt;="&amp;EOMONTH($A6,0),Tabla1[Codigo_actividad],T$4)*T$3</f>
        <v>0</v>
      </c>
      <c r="U6" s="314">
        <f>+SUMIFS(Tabla1[Avance_Med],Tabla1[Fecha],"&gt;="&amp;$A6,Tabla1[Fecha],"&lt;="&amp;EOMONTH($A6,0),Tabla1[Codigo_actividad],U$4)*U$3</f>
        <v>0</v>
      </c>
      <c r="V6" s="314">
        <f>+SUMIFS(Tabla1[Avance_Med],Tabla1[Fecha],"&gt;="&amp;$A6,Tabla1[Fecha],"&lt;="&amp;EOMONTH($A6,0),Tabla1[Codigo_actividad],V$4)*V$3</f>
        <v>0</v>
      </c>
      <c r="W6" s="314">
        <f>+SUMIFS(Tabla1[Avance_Med],Tabla1[Fecha],"&gt;="&amp;$A6,Tabla1[Fecha],"&lt;="&amp;EOMONTH($A6,0),Tabla1[Codigo_actividad],W$4)*W$3</f>
        <v>0</v>
      </c>
      <c r="X6" s="314">
        <f>+SUMIFS(Tabla1[Avance_Med],Tabla1[Fecha],"&gt;="&amp;$A6,Tabla1[Fecha],"&lt;="&amp;EOMONTH($A6,0),Tabla1[Codigo_actividad],X$4)*X$3</f>
        <v>0</v>
      </c>
      <c r="Y6" s="314">
        <f>+SUMIFS(Tabla1[Avance_Med],Tabla1[Fecha],"&gt;="&amp;$A6,Tabla1[Fecha],"&lt;="&amp;EOMONTH($A6,0),Tabla1[Codigo_actividad],Y$4)*Y$3</f>
        <v>0</v>
      </c>
      <c r="Z6" s="314">
        <f>+SUMIFS(Tabla1[Avance_Med],Tabla1[Fecha],"&gt;="&amp;$A6,Tabla1[Fecha],"&lt;="&amp;EOMONTH($A6,0),Tabla1[Codigo_actividad],Z$4)*Z$3</f>
        <v>0</v>
      </c>
      <c r="AA6" s="314">
        <f>+SUMIFS(Tabla1[Avance_Med],Tabla1[Fecha],"&gt;="&amp;$A6,Tabla1[Fecha],"&lt;="&amp;EOMONTH($A6,0),Tabla1[Codigo_actividad],AA$4)*AA$3</f>
        <v>0</v>
      </c>
      <c r="AB6" s="314">
        <f>+SUMIFS(Tabla1[Avance_Med],Tabla1[Fecha],"&gt;="&amp;$A6,Tabla1[Fecha],"&lt;="&amp;EOMONTH($A6,0),Tabla1[Codigo_actividad],AB$4)*AB$3</f>
        <v>0</v>
      </c>
      <c r="AC6" s="314">
        <f>+SUMIFS(Tabla1[Avance_Med],Tabla1[Fecha],"&gt;="&amp;$A6,Tabla1[Fecha],"&lt;="&amp;EOMONTH($A6,0),Tabla1[Codigo_actividad],AC$4)*AC$3</f>
        <v>0</v>
      </c>
      <c r="AD6" s="314">
        <f>+SUMIFS(Tabla1[Avance_Med],Tabla1[Fecha],"&gt;="&amp;$A6,Tabla1[Fecha],"&lt;="&amp;EOMONTH($A6,0),Tabla1[Codigo_actividad],AD$4)*AD$3</f>
        <v>0</v>
      </c>
      <c r="AE6" s="314">
        <f>+SUMIFS(Tabla1[Avance_Med],Tabla1[Fecha],"&gt;="&amp;$A6,Tabla1[Fecha],"&lt;="&amp;EOMONTH($A6,0),Tabla1[Codigo_actividad],AE$4)*AE$3</f>
        <v>0</v>
      </c>
      <c r="AF6" s="314">
        <f>+SUMIFS(Tabla1[Avance_Med],Tabla1[Fecha],"&gt;="&amp;$A6,Tabla1[Fecha],"&lt;="&amp;EOMONTH($A6,0),Tabla1[Codigo_actividad],AF$4)*AF$3</f>
        <v>0</v>
      </c>
      <c r="AG6" s="314">
        <f>+SUMIFS(Tabla1[Avance_Med],Tabla1[Fecha],"&gt;="&amp;$A6,Tabla1[Fecha],"&lt;="&amp;EOMONTH($A6,0),Tabla1[Codigo_actividad],AG$4)*AG$3</f>
        <v>0</v>
      </c>
      <c r="AH6" s="314">
        <f>+SUMIFS(Tabla1[Avance_Med],Tabla1[Fecha],"&gt;="&amp;$A6,Tabla1[Fecha],"&lt;="&amp;EOMONTH($A6,0),Tabla1[Codigo_actividad],AH$4)*AH$3</f>
        <v>0</v>
      </c>
      <c r="AI6" s="314">
        <f>+SUMIFS(Tabla1[Avance_Med],Tabla1[Fecha],"&gt;="&amp;$A6,Tabla1[Fecha],"&lt;="&amp;EOMONTH($A6,0),Tabla1[Codigo_actividad],AI$4)*AI$3</f>
        <v>0</v>
      </c>
      <c r="AJ6" s="314">
        <f>+SUMIFS(Tabla1[Avance_Med],Tabla1[Fecha],"&gt;="&amp;$A6,Tabla1[Fecha],"&lt;="&amp;EOMONTH($A6,0),Tabla1[Codigo_actividad],AJ$4)*AJ$3</f>
        <v>0</v>
      </c>
      <c r="AK6" s="314">
        <f>+SUMIFS(Tabla1[Avance_Med],Tabla1[Fecha],"&gt;="&amp;$A6,Tabla1[Fecha],"&lt;="&amp;EOMONTH($A6,0),Tabla1[Codigo_actividad],AK$4)*AK$3</f>
        <v>0</v>
      </c>
      <c r="AL6" s="314">
        <f>+SUMIFS(Tabla1[Avance_km],Tabla1[Fecha],"&gt;="&amp;$A6,Tabla1[Fecha],"&lt;="&amp;EOMONTH($A6,0),Tabla1[Codigo_actividad],AL$4)*AL$3</f>
        <v>0</v>
      </c>
      <c r="AM6" s="314">
        <f>+SUMIFS(Tabla1[Avance_Med],Tabla1[Fecha],"&gt;="&amp;$A6,Tabla1[Fecha],"&lt;="&amp;EOMONTH($A6,0),Tabla1[Codigo_actividad],AM$4)*AM$3</f>
        <v>0</v>
      </c>
      <c r="AN6" s="313"/>
      <c r="AO6" s="308">
        <f t="shared" si="0"/>
        <v>1796316.4832000001</v>
      </c>
      <c r="AT6"/>
      <c r="AU6"/>
      <c r="AV6"/>
      <c r="AW6"/>
      <c r="AX6"/>
    </row>
    <row r="7" spans="1:50" x14ac:dyDescent="0.25">
      <c r="A7" s="226">
        <v>45992</v>
      </c>
      <c r="B7" s="314">
        <f>+SUMIFS(Tabla1[Avance_Med],Tabla1[Fecha],"&gt;="&amp;$A7,Tabla1[Fecha],"&lt;="&amp;EOMONTH($A7,0),Tabla1[Codigo_actividad],B$4)*B$3</f>
        <v>0</v>
      </c>
      <c r="C7" s="314">
        <f>+SUMIFS(Tabla1[Avance_Med],Tabla1[Fecha],"&gt;="&amp;$A7,Tabla1[Fecha],"&lt;="&amp;EOMONTH($A7,0),Tabla1[Codigo_actividad],C$4)*C$3</f>
        <v>0</v>
      </c>
      <c r="D7" s="314">
        <f>+SUMIFS(Tabla1[Avance_Med],Tabla1[Fecha],"&gt;="&amp;$A7,Tabla1[Fecha],"&lt;="&amp;EOMONTH($A7,0),Tabla1[Codigo_actividad],D$4)*D$3</f>
        <v>0</v>
      </c>
      <c r="E7" s="314">
        <f>+SUMIFS(Tabla1[Avance_Med],Tabla1[Fecha],"&gt;="&amp;$A7,Tabla1[Fecha],"&lt;="&amp;EOMONTH($A7,0),Tabla1[Codigo_actividad],E$4)*E$3</f>
        <v>0</v>
      </c>
      <c r="F7" s="314">
        <f>+SUMIFS(Tabla1[Avance_Med],Tabla1[Fecha],"&gt;="&amp;$A7,Tabla1[Fecha],"&lt;="&amp;EOMONTH($A7,0),Tabla1[Codigo_actividad],F$4)*F$3</f>
        <v>0</v>
      </c>
      <c r="G7" s="314">
        <f>+SUMIFS(Tabla1[Avance_Med],Tabla1[Fecha],"&gt;="&amp;$A7,Tabla1[Fecha],"&lt;="&amp;EOMONTH($A7,0),Tabla1[Codigo_actividad],G$4)*G$3</f>
        <v>0</v>
      </c>
      <c r="H7" s="314">
        <f>+SUMIFS(Tabla1[Avance_km],Tabla1[Fecha],"&gt;="&amp;$A7,Tabla1[Fecha],"&lt;="&amp;EOMONTH($A7,0),Tabla1[Codigo_actividad],H$4)*H$3</f>
        <v>457671.27897000004</v>
      </c>
      <c r="I7" s="314"/>
      <c r="J7" s="314">
        <f>+SUMIFS(Tabla1[Avance_km],Tabla1[Fecha],"&gt;="&amp;$A7,Tabla1[Fecha],"&lt;="&amp;EOMONTH($A7,0),Tabla1[Codigo_actividad],J$4,Tabla1[Avance_km],"&gt;0")*J$3</f>
        <v>427598.79271999991</v>
      </c>
      <c r="K7" s="314">
        <f>SUMIFS(Tabla1[Avance_km],Tabla1[Fecha],"&gt;="&amp;$A7,Tabla1[Fecha],"&lt;="&amp;EOMONTH($A7,0),Tabla1[Codigo_actividad],K$4,Tabla1[Avance_km],"&gt;0")*K$3</f>
        <v>0</v>
      </c>
      <c r="L7" s="314">
        <f>+SUMIFS(Tabla1[Avance_Med],Tabla1[Fecha],"&gt;="&amp;$A7,Tabla1[Fecha],"&lt;="&amp;EOMONTH($A7,0),Tabla1[Codigo_actividad],L$4)*L$3</f>
        <v>605540</v>
      </c>
      <c r="M7" s="314">
        <f>+SUMIFS(Tabla1[Avance_km],Tabla1[Fecha],"&gt;="&amp;$A7,Tabla1[Fecha],"&lt;="&amp;EOMONTH($A7,0),Tabla1[Codigo_actividad],M$4)*M$3</f>
        <v>47818.927860000003</v>
      </c>
      <c r="N7" s="314">
        <f>+SUMIFS(Tabla1[Avance_Med],Tabla1[Fecha],"&gt;="&amp;$A7,Tabla1[Fecha],"&lt;="&amp;EOMONTH($A7,0),Tabla1[Codigo_actividad],N$4)*N$3</f>
        <v>0</v>
      </c>
      <c r="O7" s="314">
        <f>+SUMIFS(Tabla1[Avance_Med],Tabla1[Fecha],"&gt;="&amp;$A7,Tabla1[Fecha],"&lt;="&amp;EOMONTH($A7,0),Tabla1[Codigo_actividad],O$4)*O$3</f>
        <v>0</v>
      </c>
      <c r="P7" s="314">
        <f>+SUMIFS(Tabla1[Avance_Med],Tabla1[Fecha],"&gt;="&amp;$A7,Tabla1[Fecha],"&lt;="&amp;EOMONTH($A7,0),Tabla1[Codigo_actividad],P$4)*P$3</f>
        <v>0</v>
      </c>
      <c r="Q7" s="314">
        <f>+SUMIFS(Tabla1[Avance_Med],Tabla1[Fecha],"&gt;="&amp;$A7,Tabla1[Fecha],"&lt;="&amp;EOMONTH($A7,0),Tabla1[Codigo_actividad],Q$4)*Q$3</f>
        <v>0</v>
      </c>
      <c r="R7" s="314">
        <f>+SUMIFS(Tabla1[Avance_Med],Tabla1[Fecha],"&gt;="&amp;$A7,Tabla1[Fecha],"&lt;="&amp;EOMONTH($A7,0),Tabla1[Codigo_actividad],R$4)*R$3</f>
        <v>0</v>
      </c>
      <c r="S7" s="314">
        <f>+SUMIFS(Tabla1[Avance_Med],Tabla1[Fecha],"&gt;="&amp;$A7,Tabla1[Fecha],"&lt;="&amp;EOMONTH($A7,0),Tabla1[Codigo_actividad],S$4)*S$3</f>
        <v>0</v>
      </c>
      <c r="T7" s="314">
        <f>+SUMIFS(Tabla1[Avance_Med],Tabla1[Fecha],"&gt;="&amp;$A7,Tabla1[Fecha],"&lt;="&amp;EOMONTH($A7,0),Tabla1[Codigo_actividad],T$4)*T$3</f>
        <v>0</v>
      </c>
      <c r="U7" s="314">
        <f>+SUMIFS(Tabla1[Avance_Med],Tabla1[Fecha],"&gt;="&amp;$A7,Tabla1[Fecha],"&lt;="&amp;EOMONTH($A7,0),Tabla1[Codigo_actividad],U$4)*U$3</f>
        <v>0</v>
      </c>
      <c r="V7" s="314">
        <f>+SUMIFS(Tabla1[Avance_Med],Tabla1[Fecha],"&gt;="&amp;$A7,Tabla1[Fecha],"&lt;="&amp;EOMONTH($A7,0),Tabla1[Codigo_actividad],V$4)*V$3</f>
        <v>0</v>
      </c>
      <c r="W7" s="314">
        <f>+SUMIFS(Tabla1[Avance_Med],Tabla1[Fecha],"&gt;="&amp;$A7,Tabla1[Fecha],"&lt;="&amp;EOMONTH($A7,0),Tabla1[Codigo_actividad],W$4)*W$3</f>
        <v>0</v>
      </c>
      <c r="X7" s="314">
        <f>+SUMIFS(Tabla1[Avance_Med],Tabla1[Fecha],"&gt;="&amp;$A7,Tabla1[Fecha],"&lt;="&amp;EOMONTH($A7,0),Tabla1[Codigo_actividad],X$4)*X$3</f>
        <v>0</v>
      </c>
      <c r="Y7" s="314">
        <f>+SUMIFS(Tabla1[Avance_Med],Tabla1[Fecha],"&gt;="&amp;$A7,Tabla1[Fecha],"&lt;="&amp;EOMONTH($A7,0),Tabla1[Codigo_actividad],Y$4)*Y$3</f>
        <v>0</v>
      </c>
      <c r="Z7" s="314">
        <f>+SUMIFS(Tabla1[Avance_Med],Tabla1[Fecha],"&gt;="&amp;$A7,Tabla1[Fecha],"&lt;="&amp;EOMONTH($A7,0),Tabla1[Codigo_actividad],Z$4)*Z$3</f>
        <v>0</v>
      </c>
      <c r="AA7" s="314">
        <f>+SUMIFS(Tabla1[Avance_Med],Tabla1[Fecha],"&gt;="&amp;$A7,Tabla1[Fecha],"&lt;="&amp;EOMONTH($A7,0),Tabla1[Codigo_actividad],AA$4)*AA$3</f>
        <v>0</v>
      </c>
      <c r="AB7" s="314">
        <f>+SUMIFS(Tabla1[Avance_Med],Tabla1[Fecha],"&gt;="&amp;$A7,Tabla1[Fecha],"&lt;="&amp;EOMONTH($A7,0),Tabla1[Codigo_actividad],AB$4)*AB$3</f>
        <v>0</v>
      </c>
      <c r="AC7" s="314">
        <f>+SUMIFS(Tabla1[Avance_Med],Tabla1[Fecha],"&gt;="&amp;$A7,Tabla1[Fecha],"&lt;="&amp;EOMONTH($A7,0),Tabla1[Codigo_actividad],AC$4)*AC$3</f>
        <v>0</v>
      </c>
      <c r="AD7" s="314">
        <f>+SUMIFS(Tabla1[Avance_Med],Tabla1[Fecha],"&gt;="&amp;$A7,Tabla1[Fecha],"&lt;="&amp;EOMONTH($A7,0),Tabla1[Codigo_actividad],AD$4)*AD$3</f>
        <v>0</v>
      </c>
      <c r="AE7" s="314">
        <f>+SUMIFS(Tabla1[Avance_Med],Tabla1[Fecha],"&gt;="&amp;$A7,Tabla1[Fecha],"&lt;="&amp;EOMONTH($A7,0),Tabla1[Codigo_actividad],AE$4)*AE$3</f>
        <v>0</v>
      </c>
      <c r="AF7" s="314">
        <f>+SUMIFS(Tabla1[Avance_Med],Tabla1[Fecha],"&gt;="&amp;$A7,Tabla1[Fecha],"&lt;="&amp;EOMONTH($A7,0),Tabla1[Codigo_actividad],AF$4)*AF$3</f>
        <v>0</v>
      </c>
      <c r="AG7" s="314">
        <f>+SUMIFS(Tabla1[Avance_Med],Tabla1[Fecha],"&gt;="&amp;$A7,Tabla1[Fecha],"&lt;="&amp;EOMONTH($A7,0),Tabla1[Codigo_actividad],AG$4)*AG$3</f>
        <v>0</v>
      </c>
      <c r="AH7" s="314">
        <f>+SUMIFS(Tabla1[Avance_Med],Tabla1[Fecha],"&gt;="&amp;$A7,Tabla1[Fecha],"&lt;="&amp;EOMONTH($A7,0),Tabla1[Codigo_actividad],AH$4)*AH$3</f>
        <v>0</v>
      </c>
      <c r="AI7" s="314">
        <f>+SUMIFS(Tabla1[Avance_Med],Tabla1[Fecha],"&gt;="&amp;$A7,Tabla1[Fecha],"&lt;="&amp;EOMONTH($A7,0),Tabla1[Codigo_actividad],AI$4)*AI$3</f>
        <v>0</v>
      </c>
      <c r="AJ7" s="314">
        <f>+SUMIFS(Tabla1[Avance_Med],Tabla1[Fecha],"&gt;="&amp;$A7,Tabla1[Fecha],"&lt;="&amp;EOMONTH($A7,0),Tabla1[Codigo_actividad],AJ$4)*AJ$3</f>
        <v>0</v>
      </c>
      <c r="AK7" s="314">
        <f>+SUMIFS(Tabla1[Avance_Med],Tabla1[Fecha],"&gt;="&amp;$A7,Tabla1[Fecha],"&lt;="&amp;EOMONTH($A7,0),Tabla1[Codigo_actividad],AK$4)*AK$3</f>
        <v>0</v>
      </c>
      <c r="AL7" s="314">
        <f>+SUMIFS(Tabla1[Avance_km],Tabla1[Fecha],"&gt;="&amp;$A7,Tabla1[Fecha],"&lt;="&amp;EOMONTH($A7,0),Tabla1[Codigo_actividad],AL$4)*AL$3</f>
        <v>0</v>
      </c>
      <c r="AM7" s="314">
        <f>+SUMIFS(Tabla1[Avance_Med],Tabla1[Fecha],"&gt;="&amp;$A7,Tabla1[Fecha],"&lt;="&amp;EOMONTH($A7,0),Tabla1[Codigo_actividad],AM$4)*AM$3</f>
        <v>0</v>
      </c>
      <c r="AN7" s="313"/>
      <c r="AO7" s="308">
        <f t="shared" si="0"/>
        <v>1538628.9995499998</v>
      </c>
      <c r="AT7"/>
      <c r="AU7"/>
      <c r="AV7"/>
      <c r="AW7"/>
      <c r="AX7"/>
    </row>
    <row r="8" spans="1:50" x14ac:dyDescent="0.25">
      <c r="A8" s="226">
        <v>46023</v>
      </c>
      <c r="B8" s="314">
        <f>+SUMIFS(Tabla1[Avance_Med],Tabla1[Fecha],"&gt;="&amp;$A8,Tabla1[Fecha],"&lt;="&amp;EOMONTH($A8,0),Tabla1[Codigo_actividad],B$4)*B$3</f>
        <v>0</v>
      </c>
      <c r="C8" s="314">
        <f>+SUMIFS(Tabla1[Avance_Med],Tabla1[Fecha],"&gt;="&amp;$A8,Tabla1[Fecha],"&lt;="&amp;EOMONTH($A8,0),Tabla1[Codigo_actividad],C$4)*C$3</f>
        <v>0</v>
      </c>
      <c r="D8" s="314">
        <f>+SUMIFS(Tabla1[Avance_Med],Tabla1[Fecha],"&gt;="&amp;$A8,Tabla1[Fecha],"&lt;="&amp;EOMONTH($A8,0),Tabla1[Codigo_actividad],D$4)*D$3</f>
        <v>0</v>
      </c>
      <c r="E8" s="314">
        <f>+SUMIFS(Tabla1[Avance_Med],Tabla1[Fecha],"&gt;="&amp;$A8,Tabla1[Fecha],"&lt;="&amp;EOMONTH($A8,0),Tabla1[Codigo_actividad],E$4)*E$3</f>
        <v>0</v>
      </c>
      <c r="F8" s="314">
        <f>+SUMIFS(Tabla1[Avance_Med],Tabla1[Fecha],"&gt;="&amp;$A8,Tabla1[Fecha],"&lt;="&amp;EOMONTH($A8,0),Tabla1[Codigo_actividad],F$4)*F$3</f>
        <v>0</v>
      </c>
      <c r="G8" s="314">
        <f>+SUMIFS(Tabla1[Avance_Med],Tabla1[Fecha],"&gt;="&amp;$A8,Tabla1[Fecha],"&lt;="&amp;EOMONTH($A8,0),Tabla1[Codigo_actividad],G$4)*G$3</f>
        <v>0</v>
      </c>
      <c r="H8" s="314">
        <f>+SUMIFS(Tabla1[Avance_km],Tabla1[Fecha],"&gt;="&amp;$A8,Tabla1[Fecha],"&lt;="&amp;EOMONTH($A8,0),Tabla1[Codigo_actividad],H$4)*H$3</f>
        <v>534968.7444000002</v>
      </c>
      <c r="I8" s="314"/>
      <c r="J8" s="314">
        <f>+SUMIFS(Tabla1[Avance_km],Tabla1[Fecha],"&gt;="&amp;$A8,Tabla1[Fecha],"&lt;="&amp;EOMONTH($A8,0),Tabla1[Codigo_actividad],J$4,Tabla1[Avance_km],"&gt;0")*J$3</f>
        <v>207577.36219000004</v>
      </c>
      <c r="K8" s="314">
        <f>SUMIFS(Tabla1[Avance_km],Tabla1[Fecha],"&gt;="&amp;$A8,Tabla1[Fecha],"&lt;="&amp;EOMONTH($A8,0),Tabla1[Codigo_actividad],K$4,Tabla1[Avance_km],"&gt;0")*K$3</f>
        <v>0</v>
      </c>
      <c r="L8" s="314">
        <f>+SUMIFS(Tabla1[Avance_Med],Tabla1[Fecha],"&gt;="&amp;$A8,Tabla1[Fecha],"&lt;="&amp;EOMONTH($A8,0),Tabla1[Codigo_actividad],L$4)*L$3</f>
        <v>605540</v>
      </c>
      <c r="M8" s="314">
        <f>+SUMIFS(Tabla1[Avance_km],Tabla1[Fecha],"&gt;="&amp;$A8,Tabla1[Fecha],"&lt;="&amp;EOMONTH($A8,0),Tabla1[Codigo_actividad],M$4)*M$3</f>
        <v>15126.97142</v>
      </c>
      <c r="N8" s="314">
        <f>+SUMIFS(Tabla1[Avance_Med],Tabla1[Fecha],"&gt;="&amp;$A8,Tabla1[Fecha],"&lt;="&amp;EOMONTH($A8,0),Tabla1[Codigo_actividad],N$4)*N$3</f>
        <v>0</v>
      </c>
      <c r="O8" s="314">
        <f>+SUMIFS(Tabla1[Avance_Med],Tabla1[Fecha],"&gt;="&amp;$A8,Tabla1[Fecha],"&lt;="&amp;EOMONTH($A8,0),Tabla1[Codigo_actividad],O$4)*O$3</f>
        <v>0</v>
      </c>
      <c r="P8" s="314">
        <f>+SUMIFS(Tabla1[Avance_Med],Tabla1[Fecha],"&gt;="&amp;$A8,Tabla1[Fecha],"&lt;="&amp;EOMONTH($A8,0),Tabla1[Codigo_actividad],P$4)*P$3</f>
        <v>0</v>
      </c>
      <c r="Q8" s="314">
        <f>+SUMIFS(Tabla1[Avance_Med],Tabla1[Fecha],"&gt;="&amp;$A8,Tabla1[Fecha],"&lt;="&amp;EOMONTH($A8,0),Tabla1[Codigo_actividad],Q$4)*Q$3</f>
        <v>0</v>
      </c>
      <c r="R8" s="314">
        <f>+SUMIFS(Tabla1[Avance_Med],Tabla1[Fecha],"&gt;="&amp;$A8,Tabla1[Fecha],"&lt;="&amp;EOMONTH($A8,0),Tabla1[Codigo_actividad],R$4)*R$3</f>
        <v>0</v>
      </c>
      <c r="S8" s="314">
        <f>+SUMIFS(Tabla1[Avance_Med],Tabla1[Fecha],"&gt;="&amp;$A8,Tabla1[Fecha],"&lt;="&amp;EOMONTH($A8,0),Tabla1[Codigo_actividad],S$4)*S$3</f>
        <v>0</v>
      </c>
      <c r="T8" s="314">
        <f>+SUMIFS(Tabla1[Avance_Med],Tabla1[Fecha],"&gt;="&amp;$A8,Tabla1[Fecha],"&lt;="&amp;EOMONTH($A8,0),Tabla1[Codigo_actividad],T$4)*T$3</f>
        <v>0</v>
      </c>
      <c r="U8" s="314">
        <f>+SUMIFS(Tabla1[Avance_Med],Tabla1[Fecha],"&gt;="&amp;$A8,Tabla1[Fecha],"&lt;="&amp;EOMONTH($A8,0),Tabla1[Codigo_actividad],U$4)*U$3</f>
        <v>0</v>
      </c>
      <c r="V8" s="314">
        <f>+SUMIFS(Tabla1[Avance_Med],Tabla1[Fecha],"&gt;="&amp;$A8,Tabla1[Fecha],"&lt;="&amp;EOMONTH($A8,0),Tabla1[Codigo_actividad],V$4)*V$3</f>
        <v>0</v>
      </c>
      <c r="W8" s="314">
        <f>+SUMIFS(Tabla1[Avance_Med],Tabla1[Fecha],"&gt;="&amp;$A8,Tabla1[Fecha],"&lt;="&amp;EOMONTH($A8,0),Tabla1[Codigo_actividad],W$4)*W$3</f>
        <v>0</v>
      </c>
      <c r="X8" s="314">
        <f>+SUMIFS(Tabla1[Avance_Med],Tabla1[Fecha],"&gt;="&amp;$A8,Tabla1[Fecha],"&lt;="&amp;EOMONTH($A8,0),Tabla1[Codigo_actividad],X$4)*X$3</f>
        <v>0</v>
      </c>
      <c r="Y8" s="314">
        <f>+SUMIFS(Tabla1[Avance_Med],Tabla1[Fecha],"&gt;="&amp;$A8,Tabla1[Fecha],"&lt;="&amp;EOMONTH($A8,0),Tabla1[Codigo_actividad],Y$4)*Y$3</f>
        <v>0</v>
      </c>
      <c r="Z8" s="314">
        <f>+SUMIFS(Tabla1[Avance_Med],Tabla1[Fecha],"&gt;="&amp;$A8,Tabla1[Fecha],"&lt;="&amp;EOMONTH($A8,0),Tabla1[Codigo_actividad],Z$4)*Z$3</f>
        <v>0</v>
      </c>
      <c r="AA8" s="314">
        <f>+SUMIFS(Tabla1[Avance_Med],Tabla1[Fecha],"&gt;="&amp;$A8,Tabla1[Fecha],"&lt;="&amp;EOMONTH($A8,0),Tabla1[Codigo_actividad],AA$4)*AA$3</f>
        <v>0</v>
      </c>
      <c r="AB8" s="314">
        <f>+SUMIFS(Tabla1[Avance_Med],Tabla1[Fecha],"&gt;="&amp;$A8,Tabla1[Fecha],"&lt;="&amp;EOMONTH($A8,0),Tabla1[Codigo_actividad],AB$4)*AB$3</f>
        <v>0</v>
      </c>
      <c r="AC8" s="314">
        <f>+SUMIFS(Tabla1[Avance_Med],Tabla1[Fecha],"&gt;="&amp;$A8,Tabla1[Fecha],"&lt;="&amp;EOMONTH($A8,0),Tabla1[Codigo_actividad],AC$4)*AC$3</f>
        <v>0</v>
      </c>
      <c r="AD8" s="314">
        <f>+SUMIFS(Tabla1[Avance_Med],Tabla1[Fecha],"&gt;="&amp;$A8,Tabla1[Fecha],"&lt;="&amp;EOMONTH($A8,0),Tabla1[Codigo_actividad],AD$4)*AD$3</f>
        <v>0</v>
      </c>
      <c r="AE8" s="314">
        <f>+SUMIFS(Tabla1[Avance_Med],Tabla1[Fecha],"&gt;="&amp;$A8,Tabla1[Fecha],"&lt;="&amp;EOMONTH($A8,0),Tabla1[Codigo_actividad],AE$4)*AE$3</f>
        <v>0</v>
      </c>
      <c r="AF8" s="314">
        <f>+SUMIFS(Tabla1[Avance_Med],Tabla1[Fecha],"&gt;="&amp;$A8,Tabla1[Fecha],"&lt;="&amp;EOMONTH($A8,0),Tabla1[Codigo_actividad],AF$4)*AF$3</f>
        <v>0</v>
      </c>
      <c r="AG8" s="314">
        <f>+SUMIFS(Tabla1[Avance_Med],Tabla1[Fecha],"&gt;="&amp;$A8,Tabla1[Fecha],"&lt;="&amp;EOMONTH($A8,0),Tabla1[Codigo_actividad],AG$4)*AG$3</f>
        <v>0</v>
      </c>
      <c r="AH8" s="314">
        <f>+SUMIFS(Tabla1[Avance_Med],Tabla1[Fecha],"&gt;="&amp;$A8,Tabla1[Fecha],"&lt;="&amp;EOMONTH($A8,0),Tabla1[Codigo_actividad],AH$4)*AH$3</f>
        <v>0</v>
      </c>
      <c r="AI8" s="314">
        <f>+SUMIFS(Tabla1[Avance_Med],Tabla1[Fecha],"&gt;="&amp;$A8,Tabla1[Fecha],"&lt;="&amp;EOMONTH($A8,0),Tabla1[Codigo_actividad],AI$4)*AI$3</f>
        <v>0</v>
      </c>
      <c r="AJ8" s="314">
        <f>+SUMIFS(Tabla1[Avance_Med],Tabla1[Fecha],"&gt;="&amp;$A8,Tabla1[Fecha],"&lt;="&amp;EOMONTH($A8,0),Tabla1[Codigo_actividad],AJ$4)*AJ$3</f>
        <v>0</v>
      </c>
      <c r="AK8" s="314">
        <f>+SUMIFS(Tabla1[Avance_Med],Tabla1[Fecha],"&gt;="&amp;$A8,Tabla1[Fecha],"&lt;="&amp;EOMONTH($A8,0),Tabla1[Codigo_actividad],AK$4)*AK$3</f>
        <v>0</v>
      </c>
      <c r="AL8" s="314">
        <f>+SUMIFS(Tabla1[Avance_km],Tabla1[Fecha],"&gt;="&amp;$A8,Tabla1[Fecha],"&lt;="&amp;EOMONTH($A8,0),Tabla1[Codigo_actividad],AL$4)*AL$3</f>
        <v>0</v>
      </c>
      <c r="AM8" s="314">
        <f>+SUMIFS(Tabla1[Avance_Med],Tabla1[Fecha],"&gt;="&amp;$A8,Tabla1[Fecha],"&lt;="&amp;EOMONTH($A8,0),Tabla1[Codigo_actividad],AM$4)*AM$3</f>
        <v>0</v>
      </c>
      <c r="AN8" s="313"/>
      <c r="AO8" s="308">
        <f t="shared" si="0"/>
        <v>1363213.0780100003</v>
      </c>
      <c r="AT8"/>
      <c r="AU8"/>
      <c r="AV8"/>
      <c r="AW8"/>
      <c r="AX8"/>
    </row>
    <row r="9" spans="1:50" x14ac:dyDescent="0.25">
      <c r="A9" s="226">
        <v>46054</v>
      </c>
      <c r="B9" s="314">
        <f>+SUMIFS(Tabla1[Avance_Med],Tabla1[Fecha],"&gt;="&amp;$A9,Tabla1[Fecha],"&lt;="&amp;EOMONTH($A9,0),Tabla1[Codigo_actividad],B$4)*B$3</f>
        <v>0</v>
      </c>
      <c r="C9" s="314">
        <f>+SUMIFS(Tabla1[Avance_Med],Tabla1[Fecha],"&gt;="&amp;$A9,Tabla1[Fecha],"&lt;="&amp;EOMONTH($A9,0),Tabla1[Codigo_actividad],C$4)*C$3</f>
        <v>0</v>
      </c>
      <c r="D9" s="314">
        <f>+SUMIFS(Tabla1[Avance_Med],Tabla1[Fecha],"&gt;="&amp;$A9,Tabla1[Fecha],"&lt;="&amp;EOMONTH($A9,0),Tabla1[Codigo_actividad],D$4)*D$3</f>
        <v>0</v>
      </c>
      <c r="E9" s="314">
        <f>+SUMIFS(Tabla1[Avance_Med],Tabla1[Fecha],"&gt;="&amp;$A9,Tabla1[Fecha],"&lt;="&amp;EOMONTH($A9,0),Tabla1[Codigo_actividad],E$4)*E$3</f>
        <v>0</v>
      </c>
      <c r="F9" s="314">
        <f>+SUMIFS(Tabla1[Avance_Med],Tabla1[Fecha],"&gt;="&amp;$A9,Tabla1[Fecha],"&lt;="&amp;EOMONTH($A9,0),Tabla1[Codigo_actividad],F$4)*F$3</f>
        <v>0</v>
      </c>
      <c r="G9" s="314">
        <f>+SUMIFS(Tabla1[Avance_Med],Tabla1[Fecha],"&gt;="&amp;$A9,Tabla1[Fecha],"&lt;="&amp;EOMONTH($A9,0),Tabla1[Codigo_actividad],G$4)*G$3</f>
        <v>0</v>
      </c>
      <c r="H9" s="314">
        <f>+SUMIFS(Tabla1[Avance_km],Tabla1[Fecha],"&gt;="&amp;$A9,Tabla1[Fecha],"&lt;="&amp;EOMONTH($A9,0),Tabla1[Codigo_actividad],H$4)*H$3</f>
        <v>0</v>
      </c>
      <c r="I9" s="314"/>
      <c r="J9" s="314">
        <f>+SUMIFS(Tabla1[Avance_km],Tabla1[Fecha],"&gt;="&amp;$A9,Tabla1[Fecha],"&lt;="&amp;EOMONTH($A9,0),Tabla1[Codigo_actividad],J$4,Tabla1[Avance_km],"&gt;0")*J$3</f>
        <v>0</v>
      </c>
      <c r="K9" s="314">
        <f>SUMIFS(Tabla1[Avance_km],Tabla1[Fecha],"&gt;="&amp;$A9,Tabla1[Fecha],"&lt;="&amp;EOMONTH($A9,0),Tabla1[Codigo_actividad],K$4,Tabla1[Avance_km],"&gt;0")*K$3</f>
        <v>0</v>
      </c>
      <c r="L9" s="314">
        <f>+SUMIFS(Tabla1[Avance_Med],Tabla1[Fecha],"&gt;="&amp;$A9,Tabla1[Fecha],"&lt;="&amp;EOMONTH($A9,0),Tabla1[Codigo_actividad],L$4)*L$3</f>
        <v>83844</v>
      </c>
      <c r="M9" s="314">
        <f>+SUMIFS(Tabla1[Avance_km],Tabla1[Fecha],"&gt;="&amp;$A9,Tabla1[Fecha],"&lt;="&amp;EOMONTH($A9,0),Tabla1[Codigo_actividad],M$4)*M$3</f>
        <v>0</v>
      </c>
      <c r="N9" s="314">
        <f>+SUMIFS(Tabla1[Avance_Med],Tabla1[Fecha],"&gt;="&amp;$A9,Tabla1[Fecha],"&lt;="&amp;EOMONTH($A9,0),Tabla1[Codigo_actividad],N$4)*N$3</f>
        <v>0</v>
      </c>
      <c r="O9" s="314">
        <f>+SUMIFS(Tabla1[Avance_Med],Tabla1[Fecha],"&gt;="&amp;$A9,Tabla1[Fecha],"&lt;="&amp;EOMONTH($A9,0),Tabla1[Codigo_actividad],O$4)*O$3</f>
        <v>0</v>
      </c>
      <c r="P9" s="314">
        <f>+SUMIFS(Tabla1[Avance_Med],Tabla1[Fecha],"&gt;="&amp;$A9,Tabla1[Fecha],"&lt;="&amp;EOMONTH($A9,0),Tabla1[Codigo_actividad],P$4)*P$3</f>
        <v>0</v>
      </c>
      <c r="Q9" s="314">
        <f>+SUMIFS(Tabla1[Avance_Med],Tabla1[Fecha],"&gt;="&amp;$A9,Tabla1[Fecha],"&lt;="&amp;EOMONTH($A9,0),Tabla1[Codigo_actividad],Q$4)*Q$3</f>
        <v>0</v>
      </c>
      <c r="R9" s="314">
        <f>+SUMIFS(Tabla1[Avance_Med],Tabla1[Fecha],"&gt;="&amp;$A9,Tabla1[Fecha],"&lt;="&amp;EOMONTH($A9,0),Tabla1[Codigo_actividad],R$4)*R$3</f>
        <v>0</v>
      </c>
      <c r="S9" s="314">
        <f>+SUMIFS(Tabla1[Avance_Med],Tabla1[Fecha],"&gt;="&amp;$A9,Tabla1[Fecha],"&lt;="&amp;EOMONTH($A9,0),Tabla1[Codigo_actividad],S$4)*S$3</f>
        <v>0</v>
      </c>
      <c r="T9" s="314">
        <f>+SUMIFS(Tabla1[Avance_Med],Tabla1[Fecha],"&gt;="&amp;$A9,Tabla1[Fecha],"&lt;="&amp;EOMONTH($A9,0),Tabla1[Codigo_actividad],T$4)*T$3</f>
        <v>0</v>
      </c>
      <c r="U9" s="314">
        <f>+SUMIFS(Tabla1[Avance_Med],Tabla1[Fecha],"&gt;="&amp;$A9,Tabla1[Fecha],"&lt;="&amp;EOMONTH($A9,0),Tabla1[Codigo_actividad],U$4)*U$3</f>
        <v>0</v>
      </c>
      <c r="V9" s="314">
        <f>+SUMIFS(Tabla1[Avance_Med],Tabla1[Fecha],"&gt;="&amp;$A9,Tabla1[Fecha],"&lt;="&amp;EOMONTH($A9,0),Tabla1[Codigo_actividad],V$4)*V$3</f>
        <v>0</v>
      </c>
      <c r="W9" s="314">
        <f>+SUMIFS(Tabla1[Avance_Med],Tabla1[Fecha],"&gt;="&amp;$A9,Tabla1[Fecha],"&lt;="&amp;EOMONTH($A9,0),Tabla1[Codigo_actividad],W$4)*W$3</f>
        <v>0</v>
      </c>
      <c r="X9" s="314">
        <f>+SUMIFS(Tabla1[Avance_Med],Tabla1[Fecha],"&gt;="&amp;$A9,Tabla1[Fecha],"&lt;="&amp;EOMONTH($A9,0),Tabla1[Codigo_actividad],X$4)*X$3</f>
        <v>0</v>
      </c>
      <c r="Y9" s="314">
        <f>+SUMIFS(Tabla1[Avance_Med],Tabla1[Fecha],"&gt;="&amp;$A9,Tabla1[Fecha],"&lt;="&amp;EOMONTH($A9,0),Tabla1[Codigo_actividad],Y$4)*Y$3</f>
        <v>0</v>
      </c>
      <c r="Z9" s="314">
        <f>+SUMIFS(Tabla1[Avance_Med],Tabla1[Fecha],"&gt;="&amp;$A9,Tabla1[Fecha],"&lt;="&amp;EOMONTH($A9,0),Tabla1[Codigo_actividad],Z$4)*Z$3</f>
        <v>0</v>
      </c>
      <c r="AA9" s="314">
        <f>+SUMIFS(Tabla1[Avance_Med],Tabla1[Fecha],"&gt;="&amp;$A9,Tabla1[Fecha],"&lt;="&amp;EOMONTH($A9,0),Tabla1[Codigo_actividad],AA$4)*AA$3</f>
        <v>0</v>
      </c>
      <c r="AB9" s="314">
        <f>+SUMIFS(Tabla1[Avance_Med],Tabla1[Fecha],"&gt;="&amp;$A9,Tabla1[Fecha],"&lt;="&amp;EOMONTH($A9,0),Tabla1[Codigo_actividad],AB$4)*AB$3</f>
        <v>0</v>
      </c>
      <c r="AC9" s="314">
        <f>+SUMIFS(Tabla1[Avance_Med],Tabla1[Fecha],"&gt;="&amp;$A9,Tabla1[Fecha],"&lt;="&amp;EOMONTH($A9,0),Tabla1[Codigo_actividad],AC$4)*AC$3</f>
        <v>0</v>
      </c>
      <c r="AD9" s="314">
        <f>+SUMIFS(Tabla1[Avance_Med],Tabla1[Fecha],"&gt;="&amp;$A9,Tabla1[Fecha],"&lt;="&amp;EOMONTH($A9,0),Tabla1[Codigo_actividad],AD$4)*AD$3</f>
        <v>0</v>
      </c>
      <c r="AE9" s="314">
        <f>+SUMIFS(Tabla1[Avance_Med],Tabla1[Fecha],"&gt;="&amp;$A9,Tabla1[Fecha],"&lt;="&amp;EOMONTH($A9,0),Tabla1[Codigo_actividad],AE$4)*AE$3</f>
        <v>0</v>
      </c>
      <c r="AF9" s="314">
        <f>+SUMIFS(Tabla1[Avance_Med],Tabla1[Fecha],"&gt;="&amp;$A9,Tabla1[Fecha],"&lt;="&amp;EOMONTH($A9,0),Tabla1[Codigo_actividad],AF$4)*AF$3</f>
        <v>0</v>
      </c>
      <c r="AG9" s="314">
        <f>+SUMIFS(Tabla1[Avance_Med],Tabla1[Fecha],"&gt;="&amp;$A9,Tabla1[Fecha],"&lt;="&amp;EOMONTH($A9,0),Tabla1[Codigo_actividad],AG$4)*AG$3</f>
        <v>0</v>
      </c>
      <c r="AH9" s="314">
        <f>+SUMIFS(Tabla1[Avance_Med],Tabla1[Fecha],"&gt;="&amp;$A9,Tabla1[Fecha],"&lt;="&amp;EOMONTH($A9,0),Tabla1[Codigo_actividad],AH$4)*AH$3</f>
        <v>0</v>
      </c>
      <c r="AI9" s="314">
        <f>+SUMIFS(Tabla1[Avance_Med],Tabla1[Fecha],"&gt;="&amp;$A9,Tabla1[Fecha],"&lt;="&amp;EOMONTH($A9,0),Tabla1[Codigo_actividad],AI$4)*AI$3</f>
        <v>0</v>
      </c>
      <c r="AJ9" s="314">
        <f>+SUMIFS(Tabla1[Avance_Med],Tabla1[Fecha],"&gt;="&amp;$A9,Tabla1[Fecha],"&lt;="&amp;EOMONTH($A9,0),Tabla1[Codigo_actividad],AJ$4)*AJ$3</f>
        <v>0</v>
      </c>
      <c r="AK9" s="314">
        <f>+SUMIFS(Tabla1[Avance_Med],Tabla1[Fecha],"&gt;="&amp;$A9,Tabla1[Fecha],"&lt;="&amp;EOMONTH($A9,0),Tabla1[Codigo_actividad],AK$4)*AK$3</f>
        <v>0</v>
      </c>
      <c r="AL9" s="314">
        <f>+SUMIFS(Tabla1[Avance_km],Tabla1[Fecha],"&gt;="&amp;$A9,Tabla1[Fecha],"&lt;="&amp;EOMONTH($A9,0),Tabla1[Codigo_actividad],AL$4)*AL$3</f>
        <v>0</v>
      </c>
      <c r="AM9" s="314">
        <f>+SUMIFS(Tabla1[Avance_Med],Tabla1[Fecha],"&gt;="&amp;$A9,Tabla1[Fecha],"&lt;="&amp;EOMONTH($A9,0),Tabla1[Codigo_actividad],AM$4)*AM$3</f>
        <v>0</v>
      </c>
      <c r="AN9" s="313"/>
      <c r="AO9" s="308">
        <f t="shared" si="0"/>
        <v>83844</v>
      </c>
      <c r="AT9"/>
      <c r="AU9"/>
      <c r="AV9"/>
      <c r="AW9"/>
      <c r="AX9"/>
    </row>
    <row r="10" spans="1:50" x14ac:dyDescent="0.25">
      <c r="A10" s="226">
        <v>46082</v>
      </c>
      <c r="B10" s="314">
        <f>+SUMIFS(Tabla1[Avance_Med],Tabla1[Fecha],"&gt;="&amp;$A10,Tabla1[Fecha],"&lt;="&amp;EOMONTH($A10,0),Tabla1[Codigo_actividad],B$4)*B$3</f>
        <v>250748.19</v>
      </c>
      <c r="C10" s="314">
        <f>+SUMIFS(Tabla1[Avance_Med],Tabla1[Fecha],"&gt;="&amp;$A10,Tabla1[Fecha],"&lt;="&amp;EOMONTH($A10,0),Tabla1[Codigo_actividad],C$4)*C$3</f>
        <v>321750.99000000005</v>
      </c>
      <c r="D10" s="314">
        <f>+SUMIFS(Tabla1[Avance_Med],Tabla1[Fecha],"&gt;="&amp;$A10,Tabla1[Fecha],"&lt;="&amp;EOMONTH($A10,0),Tabla1[Codigo_actividad],D$4)*D$3</f>
        <v>97546.680000000008</v>
      </c>
      <c r="E10" s="314">
        <f>+SUMIFS(Tabla1[Avance_Med],Tabla1[Fecha],"&gt;="&amp;$A10,Tabla1[Fecha],"&lt;="&amp;EOMONTH($A10,0),Tabla1[Codigo_actividad],E$4)*E$3</f>
        <v>105229.08</v>
      </c>
      <c r="F10" s="314">
        <f>+SUMIFS(Tabla1[Avance_Med],Tabla1[Fecha],"&gt;="&amp;$A10,Tabla1[Fecha],"&lt;="&amp;EOMONTH($A10,0),Tabla1[Codigo_actividad],F$4)*F$3</f>
        <v>132387.75</v>
      </c>
      <c r="G10" s="314">
        <f>+SUMIFS(Tabla1[Avance_Med],Tabla1[Fecha],"&gt;="&amp;$A10,Tabla1[Fecha],"&lt;="&amp;EOMONTH($A10,0),Tabla1[Codigo_actividad],G$4)*G$3</f>
        <v>156539.79</v>
      </c>
      <c r="H10" s="314">
        <f>+SUMIFS(Tabla1[Avance_km],Tabla1[Fecha],"&gt;="&amp;$A10,Tabla1[Fecha],"&lt;="&amp;EOMONTH($A10,0),Tabla1[Codigo_actividad],H$4)*H$3</f>
        <v>0</v>
      </c>
      <c r="I10" s="314"/>
      <c r="J10" s="314">
        <f>+SUMIFS(Tabla1[Avance_km],Tabla1[Fecha],"&gt;="&amp;$A10,Tabla1[Fecha],"&lt;="&amp;EOMONTH($A10,0),Tabla1[Codigo_actividad],J$4,Tabla1[Avance_km],"&gt;0")*J$3</f>
        <v>0</v>
      </c>
      <c r="K10" s="314">
        <f>SUMIFS(Tabla1[Avance_km],Tabla1[Fecha],"&gt;="&amp;$A10,Tabla1[Fecha],"&lt;="&amp;EOMONTH($A10,0),Tabla1[Codigo_actividad],K$4,Tabla1[Avance_km],"&gt;0")*K$3</f>
        <v>0</v>
      </c>
      <c r="L10" s="314">
        <f>+SUMIFS(Tabla1[Avance_Med],Tabla1[Fecha],"&gt;="&amp;$A10,Tabla1[Fecha],"&lt;="&amp;EOMONTH($A10,0),Tabla1[Codigo_actividad],L$4)*L$3</f>
        <v>0</v>
      </c>
      <c r="M10" s="314">
        <f>+SUMIFS(Tabla1[Avance_km],Tabla1[Fecha],"&gt;="&amp;$A10,Tabla1[Fecha],"&lt;="&amp;EOMONTH($A10,0),Tabla1[Codigo_actividad],M$4)*M$3</f>
        <v>8126.7120000000004</v>
      </c>
      <c r="N10" s="314">
        <f>+SUMIFS(Tabla1[Avance_Med],Tabla1[Fecha],"&gt;="&amp;$A10,Tabla1[Fecha],"&lt;="&amp;EOMONTH($A10,0),Tabla1[Codigo_actividad],N$4)*N$3</f>
        <v>191166.47999999998</v>
      </c>
      <c r="O10" s="314">
        <f>+SUMIFS(Tabla1[Avance_Med],Tabla1[Fecha],"&gt;="&amp;$A10,Tabla1[Fecha],"&lt;="&amp;EOMONTH($A10,0),Tabla1[Codigo_actividad],O$4)*O$3</f>
        <v>142899.12000000002</v>
      </c>
      <c r="P10" s="314">
        <f>+SUMIFS(Tabla1[Avance_Med],Tabla1[Fecha],"&gt;="&amp;$A10,Tabla1[Fecha],"&lt;="&amp;EOMONTH($A10,0),Tabla1[Codigo_actividad],P$4)*P$3</f>
        <v>106415.1</v>
      </c>
      <c r="Q10" s="314">
        <f>+SUMIFS(Tabla1[Avance_Med],Tabla1[Fecha],"&gt;="&amp;$A10,Tabla1[Fecha],"&lt;="&amp;EOMONTH($A10,0),Tabla1[Codigo_actividad],Q$4)*Q$3</f>
        <v>0</v>
      </c>
      <c r="R10" s="314">
        <f>+SUMIFS(Tabla1[Avance_Med],Tabla1[Fecha],"&gt;="&amp;$A10,Tabla1[Fecha],"&lt;="&amp;EOMONTH($A10,0),Tabla1[Codigo_actividad],R$4)*R$3</f>
        <v>0</v>
      </c>
      <c r="S10" s="314">
        <f>+SUMIFS(Tabla1[Avance_Med],Tabla1[Fecha],"&gt;="&amp;$A10,Tabla1[Fecha],"&lt;="&amp;EOMONTH($A10,0),Tabla1[Codigo_actividad],S$4)*S$3</f>
        <v>0</v>
      </c>
      <c r="T10" s="314">
        <f>+SUMIFS(Tabla1[Avance_Med],Tabla1[Fecha],"&gt;="&amp;$A10,Tabla1[Fecha],"&lt;="&amp;EOMONTH($A10,0),Tabla1[Codigo_actividad],T$4)*T$3</f>
        <v>0</v>
      </c>
      <c r="U10" s="314">
        <f>+SUMIFS(Tabla1[Avance_Med],Tabla1[Fecha],"&gt;="&amp;$A10,Tabla1[Fecha],"&lt;="&amp;EOMONTH($A10,0),Tabla1[Codigo_actividad],U$4)*U$3</f>
        <v>0</v>
      </c>
      <c r="V10" s="314">
        <f>+SUMIFS(Tabla1[Avance_Med],Tabla1[Fecha],"&gt;="&amp;$A10,Tabla1[Fecha],"&lt;="&amp;EOMONTH($A10,0),Tabla1[Codigo_actividad],V$4)*V$3</f>
        <v>0</v>
      </c>
      <c r="W10" s="314">
        <f>+SUMIFS(Tabla1[Avance_Med],Tabla1[Fecha],"&gt;="&amp;$A10,Tabla1[Fecha],"&lt;="&amp;EOMONTH($A10,0),Tabla1[Codigo_actividad],W$4)*W$3</f>
        <v>0</v>
      </c>
      <c r="X10" s="314">
        <f>+SUMIFS(Tabla1[Avance_Med],Tabla1[Fecha],"&gt;="&amp;$A10,Tabla1[Fecha],"&lt;="&amp;EOMONTH($A10,0),Tabla1[Codigo_actividad],X$4)*X$3</f>
        <v>0</v>
      </c>
      <c r="Y10" s="314">
        <f>+SUMIFS(Tabla1[Avance_Med],Tabla1[Fecha],"&gt;="&amp;$A10,Tabla1[Fecha],"&lt;="&amp;EOMONTH($A10,0),Tabla1[Codigo_actividad],Y$4)*Y$3</f>
        <v>0</v>
      </c>
      <c r="Z10" s="314">
        <f>+SUMIFS(Tabla1[Avance_Med],Tabla1[Fecha],"&gt;="&amp;$A10,Tabla1[Fecha],"&lt;="&amp;EOMONTH($A10,0),Tabla1[Codigo_actividad],Z$4)*Z$3</f>
        <v>0</v>
      </c>
      <c r="AA10" s="314">
        <f>+SUMIFS(Tabla1[Avance_Med],Tabla1[Fecha],"&gt;="&amp;$A10,Tabla1[Fecha],"&lt;="&amp;EOMONTH($A10,0),Tabla1[Codigo_actividad],AA$4)*AA$3</f>
        <v>0</v>
      </c>
      <c r="AB10" s="314">
        <f>+SUMIFS(Tabla1[Avance_Med],Tabla1[Fecha],"&gt;="&amp;$A10,Tabla1[Fecha],"&lt;="&amp;EOMONTH($A10,0),Tabla1[Codigo_actividad],AB$4)*AB$3</f>
        <v>0</v>
      </c>
      <c r="AC10" s="314">
        <f>+SUMIFS(Tabla1[Avance_Med],Tabla1[Fecha],"&gt;="&amp;$A10,Tabla1[Fecha],"&lt;="&amp;EOMONTH($A10,0),Tabla1[Codigo_actividad],AC$4)*AC$3</f>
        <v>0</v>
      </c>
      <c r="AD10" s="314">
        <f>+SUMIFS(Tabla1[Avance_Med],Tabla1[Fecha],"&gt;="&amp;$A10,Tabla1[Fecha],"&lt;="&amp;EOMONTH($A10,0),Tabla1[Codigo_actividad],AD$4)*AD$3</f>
        <v>0</v>
      </c>
      <c r="AE10" s="314">
        <f>+SUMIFS(Tabla1[Avance_Med],Tabla1[Fecha],"&gt;="&amp;$A10,Tabla1[Fecha],"&lt;="&amp;EOMONTH($A10,0),Tabla1[Codigo_actividad],AE$4)*AE$3</f>
        <v>0</v>
      </c>
      <c r="AF10" s="314">
        <f>+SUMIFS(Tabla1[Avance_Med],Tabla1[Fecha],"&gt;="&amp;$A10,Tabla1[Fecha],"&lt;="&amp;EOMONTH($A10,0),Tabla1[Codigo_actividad],AF$4)*AF$3</f>
        <v>0</v>
      </c>
      <c r="AG10" s="314">
        <f>+SUMIFS(Tabla1[Avance_Med],Tabla1[Fecha],"&gt;="&amp;$A10,Tabla1[Fecha],"&lt;="&amp;EOMONTH($A10,0),Tabla1[Codigo_actividad],AG$4)*AG$3</f>
        <v>0</v>
      </c>
      <c r="AH10" s="314">
        <f>+SUMIFS(Tabla1[Avance_Med],Tabla1[Fecha],"&gt;="&amp;$A10,Tabla1[Fecha],"&lt;="&amp;EOMONTH($A10,0),Tabla1[Codigo_actividad],AH$4)*AH$3</f>
        <v>0</v>
      </c>
      <c r="AI10" s="314">
        <f>+SUMIFS(Tabla1[Avance_Med],Tabla1[Fecha],"&gt;="&amp;$A10,Tabla1[Fecha],"&lt;="&amp;EOMONTH($A10,0),Tabla1[Codigo_actividad],AI$4)*AI$3</f>
        <v>0</v>
      </c>
      <c r="AJ10" s="314">
        <f>+SUMIFS(Tabla1[Avance_Med],Tabla1[Fecha],"&gt;="&amp;$A10,Tabla1[Fecha],"&lt;="&amp;EOMONTH($A10,0),Tabla1[Codigo_actividad],AJ$4)*AJ$3</f>
        <v>0</v>
      </c>
      <c r="AK10" s="314">
        <f>+SUMIFS(Tabla1[Avance_Med],Tabla1[Fecha],"&gt;="&amp;$A10,Tabla1[Fecha],"&lt;="&amp;EOMONTH($A10,0),Tabla1[Codigo_actividad],AK$4)*AK$3</f>
        <v>0</v>
      </c>
      <c r="AL10" s="314">
        <f>+SUMIFS(Tabla1[Avance_km],Tabla1[Fecha],"&gt;="&amp;$A10,Tabla1[Fecha],"&lt;="&amp;EOMONTH($A10,0),Tabla1[Codigo_actividad],AL$4)*AL$3</f>
        <v>0</v>
      </c>
      <c r="AM10" s="314">
        <f>+SUMIFS(Tabla1[Avance_Med],Tabla1[Fecha],"&gt;="&amp;$A10,Tabla1[Fecha],"&lt;="&amp;EOMONTH($A10,0),Tabla1[Codigo_actividad],AM$4)*AM$3</f>
        <v>0</v>
      </c>
      <c r="AN10" s="313"/>
      <c r="AO10" s="308">
        <f t="shared" si="0"/>
        <v>1512809.8920000002</v>
      </c>
      <c r="AT10"/>
      <c r="AU10"/>
      <c r="AV10"/>
      <c r="AW10"/>
      <c r="AX10"/>
    </row>
    <row r="11" spans="1:50" x14ac:dyDescent="0.25">
      <c r="A11" s="226">
        <v>46113</v>
      </c>
      <c r="B11" s="314">
        <f>+SUMIFS(Tabla1[Avance_Med],Tabla1[Fecha],"&gt;="&amp;$A11,Tabla1[Fecha],"&lt;="&amp;EOMONTH($A11,0),Tabla1[Codigo_actividad],B$4)*B$3</f>
        <v>43057.77</v>
      </c>
      <c r="C11" s="314">
        <f>+SUMIFS(Tabla1[Avance_Med],Tabla1[Fecha],"&gt;="&amp;$A11,Tabla1[Fecha],"&lt;="&amp;EOMONTH($A11,0),Tabla1[Codigo_actividad],C$4)*C$3</f>
        <v>55250.170000000006</v>
      </c>
      <c r="D11" s="314">
        <f>+SUMIFS(Tabla1[Avance_Med],Tabla1[Fecha],"&gt;="&amp;$A11,Tabla1[Fecha],"&lt;="&amp;EOMONTH($A11,0),Tabla1[Codigo_actividad],D$4)*D$3</f>
        <v>16750.440000000002</v>
      </c>
      <c r="E11" s="314">
        <f>+SUMIFS(Tabla1[Avance_Med],Tabla1[Fecha],"&gt;="&amp;$A11,Tabla1[Fecha],"&lt;="&amp;EOMONTH($A11,0),Tabla1[Codigo_actividad],E$4)*E$3</f>
        <v>18069.64</v>
      </c>
      <c r="F11" s="314">
        <f>+SUMIFS(Tabla1[Avance_Med],Tabla1[Fecha],"&gt;="&amp;$A11,Tabla1[Fecha],"&lt;="&amp;EOMONTH($A11,0),Tabla1[Codigo_actividad],F$4)*F$3</f>
        <v>22733.25</v>
      </c>
      <c r="G11" s="314">
        <f>+SUMIFS(Tabla1[Avance_Med],Tabla1[Fecha],"&gt;="&amp;$A11,Tabla1[Fecha],"&lt;="&amp;EOMONTH($A11,0),Tabla1[Codigo_actividad],G$4)*G$3</f>
        <v>26880.57</v>
      </c>
      <c r="H11" s="314">
        <f>+SUMIFS(Tabla1[Avance_km],Tabla1[Fecha],"&gt;="&amp;$A11,Tabla1[Fecha],"&lt;="&amp;EOMONTH($A11,0),Tabla1[Codigo_actividad],H$4)*H$3</f>
        <v>0</v>
      </c>
      <c r="I11" s="314"/>
      <c r="J11" s="314">
        <f>+SUMIFS(Tabla1[Avance_km],Tabla1[Fecha],"&gt;="&amp;$A11,Tabla1[Fecha],"&lt;="&amp;EOMONTH($A11,0),Tabla1[Codigo_actividad],J$4,Tabla1[Avance_km],"&gt;0")*J$3</f>
        <v>80723.77665</v>
      </c>
      <c r="K11" s="314">
        <f>SUMIFS(Tabla1[Avance_km],Tabla1[Fecha],"&gt;="&amp;$A11,Tabla1[Fecha],"&lt;="&amp;EOMONTH($A11,0),Tabla1[Codigo_actividad],K$4,Tabla1[Avance_km],"&gt;0")*K$3</f>
        <v>0</v>
      </c>
      <c r="L11" s="314">
        <f>+SUMIFS(Tabla1[Avance_Med],Tabla1[Fecha],"&gt;="&amp;$A11,Tabla1[Fecha],"&lt;="&amp;EOMONTH($A11,0),Tabla1[Codigo_actividad],L$4)*L$3</f>
        <v>0</v>
      </c>
      <c r="M11" s="314">
        <f>+SUMIFS(Tabla1[Avance_km],Tabla1[Fecha],"&gt;="&amp;$A11,Tabla1[Fecha],"&lt;="&amp;EOMONTH($A11,0),Tabla1[Codigo_actividad],M$4)*M$3</f>
        <v>48841.539120000001</v>
      </c>
      <c r="N11" s="314">
        <f>+SUMIFS(Tabla1[Avance_Med],Tabla1[Fecha],"&gt;="&amp;$A11,Tabla1[Fecha],"&lt;="&amp;EOMONTH($A11,0),Tabla1[Codigo_actividad],N$4)*N$3</f>
        <v>0</v>
      </c>
      <c r="O11" s="314">
        <f>+SUMIFS(Tabla1[Avance_Med],Tabla1[Fecha],"&gt;="&amp;$A11,Tabla1[Fecha],"&lt;="&amp;EOMONTH($A11,0),Tabla1[Codigo_actividad],O$4)*O$3</f>
        <v>0</v>
      </c>
      <c r="P11" s="314">
        <f>+SUMIFS(Tabla1[Avance_Med],Tabla1[Fecha],"&gt;="&amp;$A11,Tabla1[Fecha],"&lt;="&amp;EOMONTH($A11,0),Tabla1[Codigo_actividad],P$4)*P$3</f>
        <v>0</v>
      </c>
      <c r="Q11" s="314">
        <f>+SUMIFS(Tabla1[Avance_Med],Tabla1[Fecha],"&gt;="&amp;$A11,Tabla1[Fecha],"&lt;="&amp;EOMONTH($A11,0),Tabla1[Codigo_actividad],Q$4)*Q$3</f>
        <v>0</v>
      </c>
      <c r="R11" s="314">
        <f>+SUMIFS(Tabla1[Avance_Med],Tabla1[Fecha],"&gt;="&amp;$A11,Tabla1[Fecha],"&lt;="&amp;EOMONTH($A11,0),Tabla1[Codigo_actividad],R$4)*R$3</f>
        <v>0</v>
      </c>
      <c r="S11" s="314">
        <f>+SUMIFS(Tabla1[Avance_Med],Tabla1[Fecha],"&gt;="&amp;$A11,Tabla1[Fecha],"&lt;="&amp;EOMONTH($A11,0),Tabla1[Codigo_actividad],S$4)*S$3</f>
        <v>0</v>
      </c>
      <c r="T11" s="314">
        <f>+SUMIFS(Tabla1[Avance_Med],Tabla1[Fecha],"&gt;="&amp;$A11,Tabla1[Fecha],"&lt;="&amp;EOMONTH($A11,0),Tabla1[Codigo_actividad],T$4)*T$3</f>
        <v>0</v>
      </c>
      <c r="U11" s="314">
        <f>+SUMIFS(Tabla1[Avance_Med],Tabla1[Fecha],"&gt;="&amp;$A11,Tabla1[Fecha],"&lt;="&amp;EOMONTH($A11,0),Tabla1[Codigo_actividad],U$4)*U$3</f>
        <v>0</v>
      </c>
      <c r="V11" s="314">
        <f>+SUMIFS(Tabla1[Avance_Med],Tabla1[Fecha],"&gt;="&amp;$A11,Tabla1[Fecha],"&lt;="&amp;EOMONTH($A11,0),Tabla1[Codigo_actividad],V$4)*V$3</f>
        <v>0</v>
      </c>
      <c r="W11" s="314">
        <f>+SUMIFS(Tabla1[Avance_Med],Tabla1[Fecha],"&gt;="&amp;$A11,Tabla1[Fecha],"&lt;="&amp;EOMONTH($A11,0),Tabla1[Codigo_actividad],W$4)*W$3</f>
        <v>0</v>
      </c>
      <c r="X11" s="314">
        <f>+SUMIFS(Tabla1[Avance_Med],Tabla1[Fecha],"&gt;="&amp;$A11,Tabla1[Fecha],"&lt;="&amp;EOMONTH($A11,0),Tabla1[Codigo_actividad],X$4)*X$3</f>
        <v>0</v>
      </c>
      <c r="Y11" s="314">
        <f>+SUMIFS(Tabla1[Avance_Med],Tabla1[Fecha],"&gt;="&amp;$A11,Tabla1[Fecha],"&lt;="&amp;EOMONTH($A11,0),Tabla1[Codigo_actividad],Y$4)*Y$3</f>
        <v>0</v>
      </c>
      <c r="Z11" s="314">
        <f>+SUMIFS(Tabla1[Avance_Med],Tabla1[Fecha],"&gt;="&amp;$A11,Tabla1[Fecha],"&lt;="&amp;EOMONTH($A11,0),Tabla1[Codigo_actividad],Z$4)*Z$3</f>
        <v>0</v>
      </c>
      <c r="AA11" s="314">
        <f>+SUMIFS(Tabla1[Avance_Med],Tabla1[Fecha],"&gt;="&amp;$A11,Tabla1[Fecha],"&lt;="&amp;EOMONTH($A11,0),Tabla1[Codigo_actividad],AA$4)*AA$3</f>
        <v>0</v>
      </c>
      <c r="AB11" s="314">
        <f>+SUMIFS(Tabla1[Avance_Med],Tabla1[Fecha],"&gt;="&amp;$A11,Tabla1[Fecha],"&lt;="&amp;EOMONTH($A11,0),Tabla1[Codigo_actividad],AB$4)*AB$3</f>
        <v>0</v>
      </c>
      <c r="AC11" s="314">
        <f>+SUMIFS(Tabla1[Avance_Med],Tabla1[Fecha],"&gt;="&amp;$A11,Tabla1[Fecha],"&lt;="&amp;EOMONTH($A11,0),Tabla1[Codigo_actividad],AC$4)*AC$3</f>
        <v>0</v>
      </c>
      <c r="AD11" s="314">
        <f>+SUMIFS(Tabla1[Avance_Med],Tabla1[Fecha],"&gt;="&amp;$A11,Tabla1[Fecha],"&lt;="&amp;EOMONTH($A11,0),Tabla1[Codigo_actividad],AD$4)*AD$3</f>
        <v>0</v>
      </c>
      <c r="AE11" s="314">
        <f>+SUMIFS(Tabla1[Avance_Med],Tabla1[Fecha],"&gt;="&amp;$A11,Tabla1[Fecha],"&lt;="&amp;EOMONTH($A11,0),Tabla1[Codigo_actividad],AE$4)*AE$3</f>
        <v>0</v>
      </c>
      <c r="AF11" s="314">
        <f>+SUMIFS(Tabla1[Avance_Med],Tabla1[Fecha],"&gt;="&amp;$A11,Tabla1[Fecha],"&lt;="&amp;EOMONTH($A11,0),Tabla1[Codigo_actividad],AF$4)*AF$3</f>
        <v>0</v>
      </c>
      <c r="AG11" s="314">
        <f>+SUMIFS(Tabla1[Avance_Med],Tabla1[Fecha],"&gt;="&amp;$A11,Tabla1[Fecha],"&lt;="&amp;EOMONTH($A11,0),Tabla1[Codigo_actividad],AG$4)*AG$3</f>
        <v>0</v>
      </c>
      <c r="AH11" s="314">
        <f>+SUMIFS(Tabla1[Avance_Med],Tabla1[Fecha],"&gt;="&amp;$A11,Tabla1[Fecha],"&lt;="&amp;EOMONTH($A11,0),Tabla1[Codigo_actividad],AH$4)*AH$3</f>
        <v>0</v>
      </c>
      <c r="AI11" s="314">
        <f>+SUMIFS(Tabla1[Avance_Med],Tabla1[Fecha],"&gt;="&amp;$A11,Tabla1[Fecha],"&lt;="&amp;EOMONTH($A11,0),Tabla1[Codigo_actividad],AI$4)*AI$3</f>
        <v>0</v>
      </c>
      <c r="AJ11" s="314">
        <f>+SUMIFS(Tabla1[Avance_Med],Tabla1[Fecha],"&gt;="&amp;$A11,Tabla1[Fecha],"&lt;="&amp;EOMONTH($A11,0),Tabla1[Codigo_actividad],AJ$4)*AJ$3</f>
        <v>0</v>
      </c>
      <c r="AK11" s="314">
        <f>+SUMIFS(Tabla1[Avance_Med],Tabla1[Fecha],"&gt;="&amp;$A11,Tabla1[Fecha],"&lt;="&amp;EOMONTH($A11,0),Tabla1[Codigo_actividad],AK$4)*AK$3</f>
        <v>0</v>
      </c>
      <c r="AL11" s="314">
        <f>+SUMIFS(Tabla1[Avance_km],Tabla1[Fecha],"&gt;="&amp;$A11,Tabla1[Fecha],"&lt;="&amp;EOMONTH($A11,0),Tabla1[Codigo_actividad],AL$4)*AL$3</f>
        <v>0</v>
      </c>
      <c r="AM11" s="314">
        <f>+SUMIFS(Tabla1[Avance_Med],Tabla1[Fecha],"&gt;="&amp;$A11,Tabla1[Fecha],"&lt;="&amp;EOMONTH($A11,0),Tabla1[Codigo_actividad],AM$4)*AM$3</f>
        <v>0</v>
      </c>
      <c r="AN11" s="313"/>
      <c r="AO11" s="308">
        <f t="shared" si="0"/>
        <v>312307.15577000007</v>
      </c>
      <c r="AT11"/>
      <c r="AU11"/>
      <c r="AV11"/>
      <c r="AW11"/>
      <c r="AX11"/>
    </row>
    <row r="12" spans="1:50" x14ac:dyDescent="0.25">
      <c r="A12" s="226">
        <v>46143</v>
      </c>
      <c r="B12" s="314">
        <v>0</v>
      </c>
      <c r="C12" s="314">
        <f>+SUMIFS(Tabla1[Avance_Med],Tabla1[Fecha],"&gt;="&amp;$A12,Tabla1[Fecha],"&lt;="&amp;EOMONTH($A12,0),Tabla1[Codigo_actividad],C$4)*C$3</f>
        <v>0</v>
      </c>
      <c r="D12" s="314">
        <f>+SUMIFS(Tabla1[Avance_Med],Tabla1[Fecha],"&gt;="&amp;$A12,Tabla1[Fecha],"&lt;="&amp;EOMONTH($A12,0),Tabla1[Codigo_actividad],D$4)*D$3</f>
        <v>0</v>
      </c>
      <c r="E12" s="314">
        <f>+SUMIFS(Tabla1[Avance_Med],Tabla1[Fecha],"&gt;="&amp;$A12,Tabla1[Fecha],"&lt;="&amp;EOMONTH($A12,0),Tabla1[Codigo_actividad],E$4)*E$3</f>
        <v>0</v>
      </c>
      <c r="F12" s="314">
        <f>+SUMIFS(Tabla1[Avance_Med],Tabla1[Fecha],"&gt;="&amp;$A12,Tabla1[Fecha],"&lt;="&amp;EOMONTH($A12,0),Tabla1[Codigo_actividad],F$4)*F$3</f>
        <v>0</v>
      </c>
      <c r="G12" s="314">
        <f>+SUMIFS(Tabla1[Avance_Med],Tabla1[Fecha],"&gt;="&amp;$A12,Tabla1[Fecha],"&lt;="&amp;EOMONTH($A12,0),Tabla1[Codigo_actividad],G$4)*G$3</f>
        <v>0</v>
      </c>
      <c r="H12" s="314">
        <f>+SUMIFS(Tabla1[Avance_km],Tabla1[Fecha],"&gt;="&amp;$A12,Tabla1[Fecha],"&lt;="&amp;EOMONTH($A12,0),Tabla1[Codigo_actividad],H$4)*H$3</f>
        <v>163409.42673000001</v>
      </c>
      <c r="I12" s="314"/>
      <c r="J12" s="314">
        <f>+SUMIFS(Tabla1[Avance_km],Tabla1[Fecha],"&gt;="&amp;$A12,Tabla1[Fecha],"&lt;="&amp;EOMONTH($A12,0),Tabla1[Codigo_actividad],J$4,Tabla1[Avance_km],"&gt;0")*J$3</f>
        <v>269838.37078</v>
      </c>
      <c r="K12" s="314">
        <f>SUMIFS(Tabla1[Avance_km],Tabla1[Fecha],"&gt;="&amp;$A12,Tabla1[Fecha],"&lt;="&amp;EOMONTH($A12,0),Tabla1[Codigo_actividad],K$4,Tabla1[Avance_km],"&gt;0")*K$3</f>
        <v>0</v>
      </c>
      <c r="L12" s="314">
        <f>+SUMIFS(Tabla1[Avance_Med],Tabla1[Fecha],"&gt;="&amp;$A12,Tabla1[Fecha],"&lt;="&amp;EOMONTH($A12,0),Tabla1[Codigo_actividad],L$4)*L$3</f>
        <v>0</v>
      </c>
      <c r="M12" s="314">
        <f>+SUMIFS(Tabla1[Avance_km],Tabla1[Fecha],"&gt;="&amp;$A12,Tabla1[Fecha],"&lt;="&amp;EOMONTH($A12,0),Tabla1[Codigo_actividad],M$4)*M$3</f>
        <v>8187.6623399999999</v>
      </c>
      <c r="N12" s="314">
        <f>+SUMIFS(Tabla1[Avance_Med],Tabla1[Fecha],"&gt;="&amp;$A12,Tabla1[Fecha],"&lt;="&amp;EOMONTH($A12,0),Tabla1[Codigo_actividad],N$4)*N$3</f>
        <v>0</v>
      </c>
      <c r="O12" s="314">
        <f>+SUMIFS(Tabla1[Avance_Med],Tabla1[Fecha],"&gt;="&amp;$A12,Tabla1[Fecha],"&lt;="&amp;EOMONTH($A12,0),Tabla1[Codigo_actividad],O$4)*O$3</f>
        <v>0</v>
      </c>
      <c r="P12" s="314">
        <f>+SUMIFS(Tabla1[Avance_Med],Tabla1[Fecha],"&gt;="&amp;$A12,Tabla1[Fecha],"&lt;="&amp;EOMONTH($A12,0),Tabla1[Codigo_actividad],P$4)*P$3</f>
        <v>0</v>
      </c>
      <c r="Q12" s="314">
        <f>+SUMIFS(Tabla1[Avance_Med],Tabla1[Fecha],"&gt;="&amp;$A12,Tabla1[Fecha],"&lt;="&amp;EOMONTH($A12,0),Tabla1[Codigo_actividad],Q$4)*Q$3</f>
        <v>0</v>
      </c>
      <c r="R12" s="314">
        <f>+SUMIFS(Tabla1[Avance_Med],Tabla1[Fecha],"&gt;="&amp;$A12,Tabla1[Fecha],"&lt;="&amp;EOMONTH($A12,0),Tabla1[Codigo_actividad],R$4)*R$3</f>
        <v>0</v>
      </c>
      <c r="S12" s="314">
        <f>+SUMIFS(Tabla1[Avance_Med],Tabla1[Fecha],"&gt;="&amp;$A12,Tabla1[Fecha],"&lt;="&amp;EOMONTH($A12,0),Tabla1[Codigo_actividad],S$4)*S$3</f>
        <v>0</v>
      </c>
      <c r="T12" s="314">
        <f>+SUMIFS(Tabla1[Avance_Med],Tabla1[Fecha],"&gt;="&amp;$A12,Tabla1[Fecha],"&lt;="&amp;EOMONTH($A12,0),Tabla1[Codigo_actividad],T$4)*T$3</f>
        <v>0</v>
      </c>
      <c r="U12" s="314">
        <f>+SUMIFS(Tabla1[Avance_Med],Tabla1[Fecha],"&gt;="&amp;$A12,Tabla1[Fecha],"&lt;="&amp;EOMONTH($A12,0),Tabla1[Codigo_actividad],U$4)*U$3</f>
        <v>0</v>
      </c>
      <c r="V12" s="314">
        <f>+SUMIFS(Tabla1[Avance_Med],Tabla1[Fecha],"&gt;="&amp;$A12,Tabla1[Fecha],"&lt;="&amp;EOMONTH($A12,0),Tabla1[Codigo_actividad],V$4)*V$3</f>
        <v>0</v>
      </c>
      <c r="W12" s="314">
        <f>+SUMIFS(Tabla1[Avance_Med],Tabla1[Fecha],"&gt;="&amp;$A12,Tabla1[Fecha],"&lt;="&amp;EOMONTH($A12,0),Tabla1[Codigo_actividad],W$4)*W$3</f>
        <v>0</v>
      </c>
      <c r="X12" s="314">
        <f>+SUMIFS(Tabla1[Avance_Med],Tabla1[Fecha],"&gt;="&amp;$A12,Tabla1[Fecha],"&lt;="&amp;EOMONTH($A12,0),Tabla1[Codigo_actividad],X$4)*X$3</f>
        <v>0</v>
      </c>
      <c r="Y12" s="314">
        <f>+SUMIFS(Tabla1[Avance_Med],Tabla1[Fecha],"&gt;="&amp;$A12,Tabla1[Fecha],"&lt;="&amp;EOMONTH($A12,0),Tabla1[Codigo_actividad],Y$4)*Y$3</f>
        <v>0</v>
      </c>
      <c r="Z12" s="314">
        <f>+SUMIFS(Tabla1[Avance_Med],Tabla1[Fecha],"&gt;="&amp;$A12,Tabla1[Fecha],"&lt;="&amp;EOMONTH($A12,0),Tabla1[Codigo_actividad],Z$4)*Z$3</f>
        <v>0</v>
      </c>
      <c r="AA12" s="314">
        <f>+SUMIFS(Tabla1[Avance_Med],Tabla1[Fecha],"&gt;="&amp;$A12,Tabla1[Fecha],"&lt;="&amp;EOMONTH($A12,0),Tabla1[Codigo_actividad],AA$4)*AA$3</f>
        <v>0</v>
      </c>
      <c r="AB12" s="314">
        <f>+SUMIFS(Tabla1[Avance_Med],Tabla1[Fecha],"&gt;="&amp;$A12,Tabla1[Fecha],"&lt;="&amp;EOMONTH($A12,0),Tabla1[Codigo_actividad],AB$4)*AB$3</f>
        <v>0</v>
      </c>
      <c r="AC12" s="314">
        <f>+SUMIFS(Tabla1[Avance_Med],Tabla1[Fecha],"&gt;="&amp;$A12,Tabla1[Fecha],"&lt;="&amp;EOMONTH($A12,0),Tabla1[Codigo_actividad],AC$4)*AC$3</f>
        <v>0</v>
      </c>
      <c r="AD12" s="314">
        <f>+SUMIFS(Tabla1[Avance_Med],Tabla1[Fecha],"&gt;="&amp;$A12,Tabla1[Fecha],"&lt;="&amp;EOMONTH($A12,0),Tabla1[Codigo_actividad],AD$4)*AD$3</f>
        <v>0</v>
      </c>
      <c r="AE12" s="314">
        <f>+SUMIFS(Tabla1[Avance_Med],Tabla1[Fecha],"&gt;="&amp;$A12,Tabla1[Fecha],"&lt;="&amp;EOMONTH($A12,0),Tabla1[Codigo_actividad],AE$4)*AE$3</f>
        <v>0</v>
      </c>
      <c r="AF12" s="314">
        <f>+SUMIFS(Tabla1[Avance_Med],Tabla1[Fecha],"&gt;="&amp;$A12,Tabla1[Fecha],"&lt;="&amp;EOMONTH($A12,0),Tabla1[Codigo_actividad],AF$4)*AF$3</f>
        <v>0</v>
      </c>
      <c r="AG12" s="314">
        <f>+SUMIFS(Tabla1[Avance_Med],Tabla1[Fecha],"&gt;="&amp;$A12,Tabla1[Fecha],"&lt;="&amp;EOMONTH($A12,0),Tabla1[Codigo_actividad],AG$4)*AG$3</f>
        <v>0</v>
      </c>
      <c r="AH12" s="314">
        <f>+SUMIFS(Tabla1[Avance_Med],Tabla1[Fecha],"&gt;="&amp;$A12,Tabla1[Fecha],"&lt;="&amp;EOMONTH($A12,0),Tabla1[Codigo_actividad],AH$4)*AH$3</f>
        <v>0</v>
      </c>
      <c r="AI12" s="314">
        <f>+SUMIFS(Tabla1[Avance_Med],Tabla1[Fecha],"&gt;="&amp;$A12,Tabla1[Fecha],"&lt;="&amp;EOMONTH($A12,0),Tabla1[Codigo_actividad],AI$4)*AI$3</f>
        <v>0</v>
      </c>
      <c r="AJ12" s="314">
        <f>+SUMIFS(Tabla1[Avance_Med],Tabla1[Fecha],"&gt;="&amp;$A12,Tabla1[Fecha],"&lt;="&amp;EOMONTH($A12,0),Tabla1[Codigo_actividad],AJ$4)*AJ$3</f>
        <v>0</v>
      </c>
      <c r="AK12" s="314">
        <f>+SUMIFS(Tabla1[Avance_Med],Tabla1[Fecha],"&gt;="&amp;$A12,Tabla1[Fecha],"&lt;="&amp;EOMONTH($A12,0),Tabla1[Codigo_actividad],AK$4)*AK$3</f>
        <v>0</v>
      </c>
      <c r="AL12" s="314">
        <f>+SUMIFS(Tabla1[Avance_km],Tabla1[Fecha],"&gt;="&amp;$A12,Tabla1[Fecha],"&lt;="&amp;EOMONTH($A12,0),Tabla1[Codigo_actividad],AL$4)*AL$3</f>
        <v>0</v>
      </c>
      <c r="AM12" s="314">
        <f>+SUMIFS(Tabla1[Avance_Med],Tabla1[Fecha],"&gt;="&amp;$A12,Tabla1[Fecha],"&lt;="&amp;EOMONTH($A12,0),Tabla1[Codigo_actividad],AM$4)*AM$3</f>
        <v>0</v>
      </c>
      <c r="AN12" s="313"/>
      <c r="AO12" s="308">
        <f t="shared" si="0"/>
        <v>441435.45984999998</v>
      </c>
      <c r="AT12"/>
      <c r="AU12"/>
      <c r="AV12"/>
      <c r="AW12"/>
      <c r="AX12"/>
    </row>
    <row r="13" spans="1:50" x14ac:dyDescent="0.25">
      <c r="A13" s="226">
        <v>46174</v>
      </c>
      <c r="B13" s="314">
        <v>0</v>
      </c>
      <c r="C13" s="314">
        <f>+SUMIFS(Tabla1[Avance_Med],Tabla1[Fecha],"&gt;="&amp;$A13,Tabla1[Fecha],"&lt;="&amp;EOMONTH($A13,0),Tabla1[Codigo_actividad],C$4)*C$3</f>
        <v>0</v>
      </c>
      <c r="D13" s="314">
        <f>+SUMIFS(Tabla1[Avance_Med],Tabla1[Fecha],"&gt;="&amp;$A13,Tabla1[Fecha],"&lt;="&amp;EOMONTH($A13,0),Tabla1[Codigo_actividad],D$4)*D$3</f>
        <v>0</v>
      </c>
      <c r="E13" s="314">
        <f>+SUMIFS(Tabla1[Avance_Med],Tabla1[Fecha],"&gt;="&amp;$A13,Tabla1[Fecha],"&lt;="&amp;EOMONTH($A13,0),Tabla1[Codigo_actividad],E$4)*E$3</f>
        <v>0</v>
      </c>
      <c r="F13" s="314">
        <f>+SUMIFS(Tabla1[Avance_Med],Tabla1[Fecha],"&gt;="&amp;$A13,Tabla1[Fecha],"&lt;="&amp;EOMONTH($A13,0),Tabla1[Codigo_actividad],F$4)*F$3</f>
        <v>0</v>
      </c>
      <c r="G13" s="314">
        <f>+SUMIFS(Tabla1[Avance_Med],Tabla1[Fecha],"&gt;="&amp;$A13,Tabla1[Fecha],"&lt;="&amp;EOMONTH($A13,0),Tabla1[Codigo_actividad],G$4)*G$3</f>
        <v>0</v>
      </c>
      <c r="H13" s="314">
        <f>+SUMIFS(Tabla1[Avance_km],Tabla1[Fecha],"&gt;="&amp;$A13,Tabla1[Fecha],"&lt;="&amp;EOMONTH($A13,0),Tabla1[Codigo_actividad],H$4)*H$3</f>
        <v>295191.22248000005</v>
      </c>
      <c r="I13" s="314"/>
      <c r="J13" s="314">
        <f>+SUMIFS(Tabla1[Avance_km],Tabla1[Fecha],"&gt;="&amp;$A13,Tabla1[Fecha],"&lt;="&amp;EOMONTH($A13,0),Tabla1[Codigo_actividad],J$4,Tabla1[Avance_km],"&gt;0")*J$3</f>
        <v>0</v>
      </c>
      <c r="K13" s="314">
        <f>SUMIFS(Tabla1[Avance_km],Tabla1[Fecha],"&gt;="&amp;$A13,Tabla1[Fecha],"&lt;="&amp;EOMONTH($A13,0),Tabla1[Codigo_actividad],K$4,Tabla1[Avance_km],"&gt;0")*K$3</f>
        <v>0</v>
      </c>
      <c r="L13" s="314">
        <f>+SUMIFS(Tabla1[Avance_Med],Tabla1[Fecha],"&gt;="&amp;$A13,Tabla1[Fecha],"&lt;="&amp;EOMONTH($A13,0),Tabla1[Codigo_actividad],L$4)*L$3</f>
        <v>0</v>
      </c>
      <c r="M13" s="314">
        <f>+SUMIFS(Tabla1[Avance_km],Tabla1[Fecha],"&gt;="&amp;$A13,Tabla1[Fecha],"&lt;="&amp;EOMONTH($A13,0),Tabla1[Codigo_actividad],M$4)*M$3</f>
        <v>12228.44414</v>
      </c>
      <c r="N13" s="314">
        <f>+SUMIFS(Tabla1[Avance_Med],Tabla1[Fecha],"&gt;="&amp;$A13,Tabla1[Fecha],"&lt;="&amp;EOMONTH($A13,0),Tabla1[Codigo_actividad],N$4)*N$3</f>
        <v>0</v>
      </c>
      <c r="O13" s="314">
        <f>+SUMIFS(Tabla1[Avance_Med],Tabla1[Fecha],"&gt;="&amp;$A13,Tabla1[Fecha],"&lt;="&amp;EOMONTH($A13,0),Tabla1[Codigo_actividad],O$4)*O$3</f>
        <v>0</v>
      </c>
      <c r="P13" s="314">
        <f>+SUMIFS(Tabla1[Avance_Med],Tabla1[Fecha],"&gt;="&amp;$A13,Tabla1[Fecha],"&lt;="&amp;EOMONTH($A13,0),Tabla1[Codigo_actividad],P$4)*P$3</f>
        <v>0</v>
      </c>
      <c r="Q13" s="314">
        <f>+SUMIFS(Tabla1[Avance_Med],Tabla1[Fecha],"&gt;="&amp;$A13,Tabla1[Fecha],"&lt;="&amp;EOMONTH($A13,0),Tabla1[Codigo_actividad],Q$4)*Q$3</f>
        <v>0</v>
      </c>
      <c r="R13" s="314">
        <f>+SUMIFS(Tabla1[Avance_Med],Tabla1[Fecha],"&gt;="&amp;$A13,Tabla1[Fecha],"&lt;="&amp;EOMONTH($A13,0),Tabla1[Codigo_actividad],R$4)*R$3</f>
        <v>0</v>
      </c>
      <c r="S13" s="314">
        <f>+SUMIFS(Tabla1[Avance_Med],Tabla1[Fecha],"&gt;="&amp;$A13,Tabla1[Fecha],"&lt;="&amp;EOMONTH($A13,0),Tabla1[Codigo_actividad],S$4)*S$3</f>
        <v>0</v>
      </c>
      <c r="T13" s="314">
        <f>+SUMIFS(Tabla1[Avance_Med],Tabla1[Fecha],"&gt;="&amp;$A13,Tabla1[Fecha],"&lt;="&amp;EOMONTH($A13,0),Tabla1[Codigo_actividad],T$4)*T$3</f>
        <v>0</v>
      </c>
      <c r="U13" s="314">
        <f>+SUMIFS(Tabla1[Avance_Med],Tabla1[Fecha],"&gt;="&amp;$A13,Tabla1[Fecha],"&lt;="&amp;EOMONTH($A13,0),Tabla1[Codigo_actividad],U$4)*U$3</f>
        <v>0</v>
      </c>
      <c r="V13" s="314">
        <f>+SUMIFS(Tabla1[Avance_Med],Tabla1[Fecha],"&gt;="&amp;$A13,Tabla1[Fecha],"&lt;="&amp;EOMONTH($A13,0),Tabla1[Codigo_actividad],V$4)*V$3</f>
        <v>0</v>
      </c>
      <c r="W13" s="314">
        <f>+SUMIFS(Tabla1[Avance_Med],Tabla1[Fecha],"&gt;="&amp;$A13,Tabla1[Fecha],"&lt;="&amp;EOMONTH($A13,0),Tabla1[Codigo_actividad],W$4)*W$3</f>
        <v>0</v>
      </c>
      <c r="X13" s="314">
        <f>+SUMIFS(Tabla1[Avance_Med],Tabla1[Fecha],"&gt;="&amp;$A13,Tabla1[Fecha],"&lt;="&amp;EOMONTH($A13,0),Tabla1[Codigo_actividad],X$4)*X$3</f>
        <v>0</v>
      </c>
      <c r="Y13" s="314">
        <f>+SUMIFS(Tabla1[Avance_Med],Tabla1[Fecha],"&gt;="&amp;$A13,Tabla1[Fecha],"&lt;="&amp;EOMONTH($A13,0),Tabla1[Codigo_actividad],Y$4)*Y$3</f>
        <v>0</v>
      </c>
      <c r="Z13" s="314">
        <f>+SUMIFS(Tabla1[Avance_Med],Tabla1[Fecha],"&gt;="&amp;$A13,Tabla1[Fecha],"&lt;="&amp;EOMONTH($A13,0),Tabla1[Codigo_actividad],Z$4)*Z$3</f>
        <v>0</v>
      </c>
      <c r="AA13" s="314">
        <f>+SUMIFS(Tabla1[Avance_Med],Tabla1[Fecha],"&gt;="&amp;$A13,Tabla1[Fecha],"&lt;="&amp;EOMONTH($A13,0),Tabla1[Codigo_actividad],AA$4)*AA$3</f>
        <v>0</v>
      </c>
      <c r="AB13" s="314">
        <f>+SUMIFS(Tabla1[Avance_Med],Tabla1[Fecha],"&gt;="&amp;$A13,Tabla1[Fecha],"&lt;="&amp;EOMONTH($A13,0),Tabla1[Codigo_actividad],AB$4)*AB$3</f>
        <v>0</v>
      </c>
      <c r="AC13" s="314">
        <f>+SUMIFS(Tabla1[Avance_Med],Tabla1[Fecha],"&gt;="&amp;$A13,Tabla1[Fecha],"&lt;="&amp;EOMONTH($A13,0),Tabla1[Codigo_actividad],AC$4)*AC$3</f>
        <v>0</v>
      </c>
      <c r="AD13" s="314">
        <f>+SUMIFS(Tabla1[Avance_Med],Tabla1[Fecha],"&gt;="&amp;$A13,Tabla1[Fecha],"&lt;="&amp;EOMONTH($A13,0),Tabla1[Codigo_actividad],AD$4)*AD$3</f>
        <v>0</v>
      </c>
      <c r="AE13" s="314">
        <f>+SUMIFS(Tabla1[Avance_Med],Tabla1[Fecha],"&gt;="&amp;$A13,Tabla1[Fecha],"&lt;="&amp;EOMONTH($A13,0),Tabla1[Codigo_actividad],AE$4)*AE$3</f>
        <v>0</v>
      </c>
      <c r="AF13" s="314">
        <f>+SUMIFS(Tabla1[Avance_Med],Tabla1[Fecha],"&gt;="&amp;$A13,Tabla1[Fecha],"&lt;="&amp;EOMONTH($A13,0),Tabla1[Codigo_actividad],AF$4)*AF$3</f>
        <v>0</v>
      </c>
      <c r="AG13" s="314">
        <f>+SUMIFS(Tabla1[Avance_Med],Tabla1[Fecha],"&gt;="&amp;$A13,Tabla1[Fecha],"&lt;="&amp;EOMONTH($A13,0),Tabla1[Codigo_actividad],AG$4)*AG$3</f>
        <v>0</v>
      </c>
      <c r="AH13" s="314">
        <f>+SUMIFS(Tabla1[Avance_Med],Tabla1[Fecha],"&gt;="&amp;$A13,Tabla1[Fecha],"&lt;="&amp;EOMONTH($A13,0),Tabla1[Codigo_actividad],AH$4)*AH$3</f>
        <v>0</v>
      </c>
      <c r="AI13" s="314">
        <f>+SUMIFS(Tabla1[Avance_Med],Tabla1[Fecha],"&gt;="&amp;$A13,Tabla1[Fecha],"&lt;="&amp;EOMONTH($A13,0),Tabla1[Codigo_actividad],AI$4)*AI$3</f>
        <v>0</v>
      </c>
      <c r="AJ13" s="314">
        <f>+SUMIFS(Tabla1[Avance_Med],Tabla1[Fecha],"&gt;="&amp;$A13,Tabla1[Fecha],"&lt;="&amp;EOMONTH($A13,0),Tabla1[Codigo_actividad],AJ$4)*AJ$3</f>
        <v>0</v>
      </c>
      <c r="AK13" s="314">
        <f>+SUMIFS(Tabla1[Avance_Med],Tabla1[Fecha],"&gt;="&amp;$A13,Tabla1[Fecha],"&lt;="&amp;EOMONTH($A13,0),Tabla1[Codigo_actividad],AK$4)*AK$3</f>
        <v>0</v>
      </c>
      <c r="AL13" s="314">
        <f>+SUMIFS(Tabla1[Avance_km],Tabla1[Fecha],"&gt;="&amp;$A13,Tabla1[Fecha],"&lt;="&amp;EOMONTH($A13,0),Tabla1[Codigo_actividad],AL$4)*AL$3</f>
        <v>0</v>
      </c>
      <c r="AM13" s="314">
        <f>+SUMIFS(Tabla1[Avance_Med],Tabla1[Fecha],"&gt;="&amp;$A13,Tabla1[Fecha],"&lt;="&amp;EOMONTH($A13,0),Tabla1[Codigo_actividad],AM$4)*AM$3</f>
        <v>0</v>
      </c>
      <c r="AN13" s="313"/>
      <c r="AO13" s="308">
        <f t="shared" si="0"/>
        <v>307419.66662000003</v>
      </c>
      <c r="AT13"/>
      <c r="AU13"/>
      <c r="AV13"/>
      <c r="AW13"/>
      <c r="AX13"/>
    </row>
    <row r="14" spans="1:50" x14ac:dyDescent="0.25">
      <c r="A14" s="226">
        <v>46204</v>
      </c>
      <c r="B14" s="314">
        <v>0</v>
      </c>
      <c r="C14" s="314">
        <f>+SUMIFS(Tabla1[Avance_Med],Tabla1[Fecha],"&gt;="&amp;$A14,Tabla1[Fecha],"&lt;="&amp;EOMONTH($A14,0),Tabla1[Codigo_actividad],C$4)*C$3</f>
        <v>0</v>
      </c>
      <c r="D14" s="314">
        <f>+SUMIFS(Tabla1[Avance_Med],Tabla1[Fecha],"&gt;="&amp;$A14,Tabla1[Fecha],"&lt;="&amp;EOMONTH($A14,0),Tabla1[Codigo_actividad],D$4)*D$3</f>
        <v>0</v>
      </c>
      <c r="E14" s="314">
        <f>+SUMIFS(Tabla1[Avance_Med],Tabla1[Fecha],"&gt;="&amp;$A14,Tabla1[Fecha],"&lt;="&amp;EOMONTH($A14,0),Tabla1[Codigo_actividad],E$4)*E$3</f>
        <v>0</v>
      </c>
      <c r="F14" s="314">
        <f>+SUMIFS(Tabla1[Avance_Med],Tabla1[Fecha],"&gt;="&amp;$A14,Tabla1[Fecha],"&lt;="&amp;EOMONTH($A14,0),Tabla1[Codigo_actividad],F$4)*F$3</f>
        <v>0</v>
      </c>
      <c r="G14" s="314">
        <f>+SUMIFS(Tabla1[Avance_Med],Tabla1[Fecha],"&gt;="&amp;$A14,Tabla1[Fecha],"&lt;="&amp;EOMONTH($A14,0),Tabla1[Codigo_actividad],G$4)*G$3</f>
        <v>0</v>
      </c>
      <c r="H14" s="314">
        <f>+SUMIFS(Tabla1[Avance_km],Tabla1[Fecha],"&gt;="&amp;$A14,Tabla1[Fecha],"&lt;="&amp;EOMONTH($A14,0),Tabla1[Codigo_actividad],H$4)*H$3</f>
        <v>197026.49088</v>
      </c>
      <c r="I14" s="314"/>
      <c r="J14" s="314">
        <f>+SUMIFS(Tabla1[Avance_km],Tabla1[Fecha],"&gt;="&amp;$A14,Tabla1[Fecha],"&lt;="&amp;EOMONTH($A14,0),Tabla1[Codigo_actividad],J$4,Tabla1[Avance_km],"&gt;0")*J$3</f>
        <v>142849.22894</v>
      </c>
      <c r="K14" s="314">
        <f>SUMIFS(Tabla1[Avance_km],Tabla1[Fecha],"&gt;="&amp;$A14,Tabla1[Fecha],"&lt;="&amp;EOMONTH($A14,0),Tabla1[Codigo_actividad],K$4,Tabla1[Avance_km],"&gt;0")*K$3</f>
        <v>0</v>
      </c>
      <c r="L14" s="314">
        <f>+SUMIFS(Tabla1[Avance_Med],Tabla1[Fecha],"&gt;="&amp;$A14,Tabla1[Fecha],"&lt;="&amp;EOMONTH($A14,0),Tabla1[Codigo_actividad],L$4)*L$3</f>
        <v>0</v>
      </c>
      <c r="M14" s="314">
        <f>+SUMIFS(Tabla1[Avance_km],Tabla1[Fecha],"&gt;="&amp;$A14,Tabla1[Fecha],"&lt;="&amp;EOMONTH($A14,0),Tabla1[Codigo_actividad],M$4)*M$3</f>
        <v>31231.405700000003</v>
      </c>
      <c r="N14" s="314">
        <f>+SUMIFS(Tabla1[Avance_Med],Tabla1[Fecha],"&gt;="&amp;$A14,Tabla1[Fecha],"&lt;="&amp;EOMONTH($A14,0),Tabla1[Codigo_actividad],N$4)*N$3</f>
        <v>0</v>
      </c>
      <c r="O14" s="314">
        <f>+SUMIFS(Tabla1[Avance_Med],Tabla1[Fecha],"&gt;="&amp;$A14,Tabla1[Fecha],"&lt;="&amp;EOMONTH($A14,0),Tabla1[Codigo_actividad],O$4)*O$3</f>
        <v>0</v>
      </c>
      <c r="P14" s="314">
        <f>+SUMIFS(Tabla1[Avance_Med],Tabla1[Fecha],"&gt;="&amp;$A14,Tabla1[Fecha],"&lt;="&amp;EOMONTH($A14,0),Tabla1[Codigo_actividad],P$4)*P$3</f>
        <v>0</v>
      </c>
      <c r="Q14" s="314">
        <f>+SUMIFS(Tabla1[Avance_Med],Tabla1[Fecha],"&gt;="&amp;$A14,Tabla1[Fecha],"&lt;="&amp;EOMONTH($A14,0),Tabla1[Codigo_actividad],Q$4)*Q$3</f>
        <v>0</v>
      </c>
      <c r="R14" s="314">
        <f>+SUMIFS(Tabla1[Avance_Med],Tabla1[Fecha],"&gt;="&amp;$A14,Tabla1[Fecha],"&lt;="&amp;EOMONTH($A14,0),Tabla1[Codigo_actividad],R$4)*R$3</f>
        <v>0</v>
      </c>
      <c r="S14" s="314">
        <f>+SUMIFS(Tabla1[Avance_Med],Tabla1[Fecha],"&gt;="&amp;$A14,Tabla1[Fecha],"&lt;="&amp;EOMONTH($A14,0),Tabla1[Codigo_actividad],S$4)*S$3</f>
        <v>0</v>
      </c>
      <c r="T14" s="314">
        <f>+SUMIFS(Tabla1[Avance_Med],Tabla1[Fecha],"&gt;="&amp;$A14,Tabla1[Fecha],"&lt;="&amp;EOMONTH($A14,0),Tabla1[Codigo_actividad],T$4)*T$3</f>
        <v>0</v>
      </c>
      <c r="U14" s="314">
        <f>+SUMIFS(Tabla1[Avance_Med],Tabla1[Fecha],"&gt;="&amp;$A14,Tabla1[Fecha],"&lt;="&amp;EOMONTH($A14,0),Tabla1[Codigo_actividad],U$4)*U$3</f>
        <v>0</v>
      </c>
      <c r="V14" s="314">
        <f>+SUMIFS(Tabla1[Avance_Med],Tabla1[Fecha],"&gt;="&amp;$A14,Tabla1[Fecha],"&lt;="&amp;EOMONTH($A14,0),Tabla1[Codigo_actividad],V$4)*V$3</f>
        <v>0</v>
      </c>
      <c r="W14" s="314">
        <f>+SUMIFS(Tabla1[Avance_Med],Tabla1[Fecha],"&gt;="&amp;$A14,Tabla1[Fecha],"&lt;="&amp;EOMONTH($A14,0),Tabla1[Codigo_actividad],W$4)*W$3</f>
        <v>0</v>
      </c>
      <c r="X14" s="314">
        <f>+SUMIFS(Tabla1[Avance_Med],Tabla1[Fecha],"&gt;="&amp;$A14,Tabla1[Fecha],"&lt;="&amp;EOMONTH($A14,0),Tabla1[Codigo_actividad],X$4)*X$3</f>
        <v>0</v>
      </c>
      <c r="Y14" s="314">
        <f>+SUMIFS(Tabla1[Avance_Med],Tabla1[Fecha],"&gt;="&amp;$A14,Tabla1[Fecha],"&lt;="&amp;EOMONTH($A14,0),Tabla1[Codigo_actividad],Y$4)*Y$3</f>
        <v>0</v>
      </c>
      <c r="Z14" s="314">
        <f>+SUMIFS(Tabla1[Avance_Med],Tabla1[Fecha],"&gt;="&amp;$A14,Tabla1[Fecha],"&lt;="&amp;EOMONTH($A14,0),Tabla1[Codigo_actividad],Z$4)*Z$3</f>
        <v>0</v>
      </c>
      <c r="AA14" s="314">
        <f>+SUMIFS(Tabla1[Avance_Med],Tabla1[Fecha],"&gt;="&amp;$A14,Tabla1[Fecha],"&lt;="&amp;EOMONTH($A14,0),Tabla1[Codigo_actividad],AA$4)*AA$3</f>
        <v>0</v>
      </c>
      <c r="AB14" s="314">
        <f>+SUMIFS(Tabla1[Avance_Med],Tabla1[Fecha],"&gt;="&amp;$A14,Tabla1[Fecha],"&lt;="&amp;EOMONTH($A14,0),Tabla1[Codigo_actividad],AB$4)*AB$3</f>
        <v>0</v>
      </c>
      <c r="AC14" s="314">
        <f>+SUMIFS(Tabla1[Avance_Med],Tabla1[Fecha],"&gt;="&amp;$A14,Tabla1[Fecha],"&lt;="&amp;EOMONTH($A14,0),Tabla1[Codigo_actividad],AC$4)*AC$3</f>
        <v>0</v>
      </c>
      <c r="AD14" s="314">
        <f>+SUMIFS(Tabla1[Avance_Med],Tabla1[Fecha],"&gt;="&amp;$A14,Tabla1[Fecha],"&lt;="&amp;EOMONTH($A14,0),Tabla1[Codigo_actividad],AD$4)*AD$3</f>
        <v>0</v>
      </c>
      <c r="AE14" s="314">
        <f>+SUMIFS(Tabla1[Avance_Med],Tabla1[Fecha],"&gt;="&amp;$A14,Tabla1[Fecha],"&lt;="&amp;EOMONTH($A14,0),Tabla1[Codigo_actividad],AE$4)*AE$3</f>
        <v>0</v>
      </c>
      <c r="AF14" s="314">
        <f>+SUMIFS(Tabla1[Avance_Med],Tabla1[Fecha],"&gt;="&amp;$A14,Tabla1[Fecha],"&lt;="&amp;EOMONTH($A14,0),Tabla1[Codigo_actividad],AF$4)*AF$3</f>
        <v>0</v>
      </c>
      <c r="AG14" s="314">
        <f>+SUMIFS(Tabla1[Avance_Med],Tabla1[Fecha],"&gt;="&amp;$A14,Tabla1[Fecha],"&lt;="&amp;EOMONTH($A14,0),Tabla1[Codigo_actividad],AG$4)*AG$3</f>
        <v>0</v>
      </c>
      <c r="AH14" s="314">
        <f>+SUMIFS(Tabla1[Avance_Med],Tabla1[Fecha],"&gt;="&amp;$A14,Tabla1[Fecha],"&lt;="&amp;EOMONTH($A14,0),Tabla1[Codigo_actividad],AH$4)*AH$3</f>
        <v>0</v>
      </c>
      <c r="AI14" s="314">
        <f>+SUMIFS(Tabla1[Avance_Med],Tabla1[Fecha],"&gt;="&amp;$A14,Tabla1[Fecha],"&lt;="&amp;EOMONTH($A14,0),Tabla1[Codigo_actividad],AI$4)*AI$3</f>
        <v>0</v>
      </c>
      <c r="AJ14" s="314">
        <f>+SUMIFS(Tabla1[Avance_Med],Tabla1[Fecha],"&gt;="&amp;$A14,Tabla1[Fecha],"&lt;="&amp;EOMONTH($A14,0),Tabla1[Codigo_actividad],AJ$4)*AJ$3</f>
        <v>0</v>
      </c>
      <c r="AK14" s="314">
        <f>+SUMIFS(Tabla1[Avance_Med],Tabla1[Fecha],"&gt;="&amp;$A14,Tabla1[Fecha],"&lt;="&amp;EOMONTH($A14,0),Tabla1[Codigo_actividad],AK$4)*AK$3</f>
        <v>0</v>
      </c>
      <c r="AL14" s="314">
        <f>+SUMIFS(Tabla1[Avance_km],Tabla1[Fecha],"&gt;="&amp;$A14,Tabla1[Fecha],"&lt;="&amp;EOMONTH($A14,0),Tabla1[Codigo_actividad],AL$4)*AL$3</f>
        <v>0</v>
      </c>
      <c r="AM14" s="314">
        <f>+SUMIFS(Tabla1[Avance_Med],Tabla1[Fecha],"&gt;="&amp;$A14,Tabla1[Fecha],"&lt;="&amp;EOMONTH($A14,0),Tabla1[Codigo_actividad],AM$4)*AM$3</f>
        <v>0</v>
      </c>
      <c r="AN14" s="313"/>
      <c r="AO14" s="308">
        <f t="shared" si="0"/>
        <v>371107.12552</v>
      </c>
      <c r="AT14"/>
      <c r="AU14"/>
      <c r="AV14"/>
      <c r="AW14"/>
      <c r="AX14"/>
    </row>
    <row r="15" spans="1:50" x14ac:dyDescent="0.25">
      <c r="A15" s="226">
        <v>46235</v>
      </c>
      <c r="B15" s="314">
        <v>0</v>
      </c>
      <c r="C15" s="314">
        <f>+SUMIFS(Tabla1[Avance_Med],Tabla1[Fecha],"&gt;="&amp;$A15,Tabla1[Fecha],"&lt;="&amp;EOMONTH($A15,0),Tabla1[Codigo_actividad],C$4)*C$3</f>
        <v>0</v>
      </c>
      <c r="D15" s="314">
        <f>+SUMIFS(Tabla1[Avance_Med],Tabla1[Fecha],"&gt;="&amp;$A15,Tabla1[Fecha],"&lt;="&amp;EOMONTH($A15,0),Tabla1[Codigo_actividad],D$4)*D$3</f>
        <v>0</v>
      </c>
      <c r="E15" s="314">
        <f>+SUMIFS(Tabla1[Avance_Med],Tabla1[Fecha],"&gt;="&amp;$A15,Tabla1[Fecha],"&lt;="&amp;EOMONTH($A15,0),Tabla1[Codigo_actividad],E$4)*E$3</f>
        <v>0</v>
      </c>
      <c r="F15" s="314">
        <f>+SUMIFS(Tabla1[Avance_Med],Tabla1[Fecha],"&gt;="&amp;$A15,Tabla1[Fecha],"&lt;="&amp;EOMONTH($A15,0),Tabla1[Codigo_actividad],F$4)*F$3</f>
        <v>0</v>
      </c>
      <c r="G15" s="314">
        <f>+SUMIFS(Tabla1[Avance_Med],Tabla1[Fecha],"&gt;="&amp;$A15,Tabla1[Fecha],"&lt;="&amp;EOMONTH($A15,0),Tabla1[Codigo_actividad],G$4)*G$3</f>
        <v>0</v>
      </c>
      <c r="H15" s="314">
        <f>+SUMIFS(Tabla1[Avance_km],Tabla1[Fecha],"&gt;="&amp;$A15,Tabla1[Fecha],"&lt;="&amp;EOMONTH($A15,0),Tabla1[Codigo_actividad],H$4)*H$3</f>
        <v>145693.30653000003</v>
      </c>
      <c r="I15" s="314"/>
      <c r="J15" s="489">
        <f>+SUMIFS(Tabla1[Avance_km],Tabla1[Fecha],"&gt;="&amp;$A15,Tabla1[Fecha],"&lt;="&amp;EOMONTH($A15,0),Tabla1[Codigo_actividad],J$4,Tabla1[Avance_km],"&gt;0")*$J$3</f>
        <v>168022.03384999998</v>
      </c>
      <c r="K15" s="314">
        <f>SUMIFS(Tabla1[Avance_km],Tabla1[Fecha],"&gt;="&amp;$A15,Tabla1[Fecha],"&lt;="&amp;EOMONTH($A15,0),Tabla1[Codigo_actividad],K$4,Tabla1[Avance_km],"&gt;0")*K$3</f>
        <v>300342.56999999995</v>
      </c>
      <c r="L15" s="314">
        <f>+SUMIFS(Tabla1[Avance_Med],Tabla1[Fecha],"&gt;="&amp;$A15,Tabla1[Fecha],"&lt;="&amp;EOMONTH($A15,0),Tabla1[Codigo_actividad],L$4)*L$3</f>
        <v>0</v>
      </c>
      <c r="M15" s="314">
        <f>+SUMIFS(Tabla1[Avance_km],Tabla1[Fecha],"&gt;="&amp;$A15,Tabla1[Fecha],"&lt;="&amp;EOMONTH($A15,0),Tabla1[Codigo_actividad],M$4)*M$3</f>
        <v>27472.8014</v>
      </c>
      <c r="N15" s="314">
        <f>+SUMIFS(Tabla1[Avance_Med],Tabla1[Fecha],"&gt;="&amp;$A15,Tabla1[Fecha],"&lt;="&amp;EOMONTH($A15,0),Tabla1[Codigo_actividad],N$4)*N$3</f>
        <v>0</v>
      </c>
      <c r="O15" s="314">
        <f>+SUMIFS(Tabla1[Avance_Med],Tabla1[Fecha],"&gt;="&amp;$A15,Tabla1[Fecha],"&lt;="&amp;EOMONTH($A15,0),Tabla1[Codigo_actividad],O$4)*O$3</f>
        <v>0</v>
      </c>
      <c r="P15" s="314">
        <f>+SUMIFS(Tabla1[Avance_Med],Tabla1[Fecha],"&gt;="&amp;$A15,Tabla1[Fecha],"&lt;="&amp;EOMONTH($A15,0),Tabla1[Codigo_actividad],P$4)*P$3</f>
        <v>0</v>
      </c>
      <c r="Q15" s="314">
        <f>+SUMIFS(Tabla1[Avance_Med],Tabla1[Fecha],"&gt;="&amp;$A15,Tabla1[Fecha],"&lt;="&amp;EOMONTH($A15,0),Tabla1[Codigo_actividad],Q$4)*Q$3</f>
        <v>15171.98</v>
      </c>
      <c r="R15" s="314">
        <f>+SUMIFS(Tabla1[Avance_Med],Tabla1[Fecha],"&gt;="&amp;$A15,Tabla1[Fecha],"&lt;="&amp;EOMONTH($A15,0),Tabla1[Codigo_actividad],R$4)*R$3</f>
        <v>3531.18</v>
      </c>
      <c r="S15" s="314">
        <f>+SUMIFS(Tabla1[Avance_Med],Tabla1[Fecha],"&gt;="&amp;$A15,Tabla1[Fecha],"&lt;="&amp;EOMONTH($A15,0),Tabla1[Codigo_actividad],S$4)*S$3</f>
        <v>3869.18</v>
      </c>
      <c r="T15" s="314">
        <f>+SUMIFS(Tabla1[Avance_Med],Tabla1[Fecha],"&gt;="&amp;$A15,Tabla1[Fecha],"&lt;="&amp;EOMONTH($A15,0),Tabla1[Codigo_actividad],T$4)*T$3</f>
        <v>3921.18</v>
      </c>
      <c r="U15" s="314">
        <f>+SUMIFS(Tabla1[Avance_Med],Tabla1[Fecha],"&gt;="&amp;$A15,Tabla1[Fecha],"&lt;="&amp;EOMONTH($A15,0),Tabla1[Codigo_actividad],U$4)*U$3</f>
        <v>0</v>
      </c>
      <c r="V15" s="314">
        <f>+SUMIFS(Tabla1[Avance_Med],Tabla1[Fecha],"&gt;="&amp;$A15,Tabla1[Fecha],"&lt;="&amp;EOMONTH($A15,0),Tabla1[Codigo_actividad],V$4)*V$3</f>
        <v>4441.18</v>
      </c>
      <c r="W15" s="314">
        <f>+SUMIFS(Tabla1[Avance_Med],Tabla1[Fecha],"&gt;="&amp;$A15,Tabla1[Fecha],"&lt;="&amp;EOMONTH($A15,0),Tabla1[Codigo_actividad],W$4)*W$3</f>
        <v>0</v>
      </c>
      <c r="X15" s="314">
        <f>+SUMIFS(Tabla1[Avance_Med],Tabla1[Fecha],"&gt;="&amp;$A15,Tabla1[Fecha],"&lt;="&amp;EOMONTH($A15,0),Tabla1[Codigo_actividad],X$4)*X$3</f>
        <v>0</v>
      </c>
      <c r="Y15" s="314">
        <f>+SUMIFS(Tabla1[Avance_Med],Tabla1[Fecha],"&gt;="&amp;$A15,Tabla1[Fecha],"&lt;="&amp;EOMONTH($A15,0),Tabla1[Codigo_actividad],Y$4)*Y$3</f>
        <v>1312</v>
      </c>
      <c r="Z15" s="314">
        <f>+SUMIFS(Tabla1[Avance_Med],Tabla1[Fecha],"&gt;="&amp;$A15,Tabla1[Fecha],"&lt;="&amp;EOMONTH($A15,0),Tabla1[Codigo_actividad],Z$4)*Z$3</f>
        <v>9352</v>
      </c>
      <c r="AA15" s="314">
        <f>+SUMIFS(Tabla1[Avance_Med],Tabla1[Fecha],"&gt;="&amp;$A15,Tabla1[Fecha],"&lt;="&amp;EOMONTH($A15,0),Tabla1[Codigo_actividad],AA$4)*AA$3</f>
        <v>0</v>
      </c>
      <c r="AB15" s="314">
        <f>+SUMIFS(Tabla1[Avance_Med],Tabla1[Fecha],"&gt;="&amp;$A15,Tabla1[Fecha],"&lt;="&amp;EOMONTH($A15,0),Tabla1[Codigo_actividad],AB$4)*AB$3</f>
        <v>0</v>
      </c>
      <c r="AC15" s="314">
        <f>+SUMIFS(Tabla1[Avance_Med],Tabla1[Fecha],"&gt;="&amp;$A15,Tabla1[Fecha],"&lt;="&amp;EOMONTH($A15,0),Tabla1[Codigo_actividad],AC$4)*AC$3</f>
        <v>0</v>
      </c>
      <c r="AD15" s="314">
        <f>+SUMIFS(Tabla1[Avance_Med],Tabla1[Fecha],"&gt;="&amp;$A15,Tabla1[Fecha],"&lt;="&amp;EOMONTH($A15,0),Tabla1[Codigo_actividad],AD$4)*AD$3</f>
        <v>0</v>
      </c>
      <c r="AE15" s="314">
        <f>+SUMIFS(Tabla1[Avance_Med],Tabla1[Fecha],"&gt;="&amp;$A15,Tabla1[Fecha],"&lt;="&amp;EOMONTH($A15,0),Tabla1[Codigo_actividad],AE$4)*AE$3</f>
        <v>0</v>
      </c>
      <c r="AF15" s="314">
        <f>+SUMIFS(Tabla1[Avance_Med],Tabla1[Fecha],"&gt;="&amp;$A15,Tabla1[Fecha],"&lt;="&amp;EOMONTH($A15,0),Tabla1[Codigo_actividad],AF$4)*AF$3</f>
        <v>0</v>
      </c>
      <c r="AG15" s="314">
        <f>+SUMIFS(Tabla1[Avance_Med],Tabla1[Fecha],"&gt;="&amp;$A15,Tabla1[Fecha],"&lt;="&amp;EOMONTH($A15,0),Tabla1[Codigo_actividad],AG$4)*AG$3</f>
        <v>0</v>
      </c>
      <c r="AH15" s="314">
        <f>+SUMIFS(Tabla1[Avance_Med],Tabla1[Fecha],"&gt;="&amp;$A15,Tabla1[Fecha],"&lt;="&amp;EOMONTH($A15,0),Tabla1[Codigo_actividad],AH$4)*AH$3</f>
        <v>0</v>
      </c>
      <c r="AI15" s="314">
        <f>+SUMIFS(Tabla1[Avance_Med],Tabla1[Fecha],"&gt;="&amp;$A15,Tabla1[Fecha],"&lt;="&amp;EOMONTH($A15,0),Tabla1[Codigo_actividad],AI$4)*AI$3</f>
        <v>0</v>
      </c>
      <c r="AJ15" s="314">
        <f>+SUMIFS(Tabla1[Avance_Med],Tabla1[Fecha],"&gt;="&amp;$A15,Tabla1[Fecha],"&lt;="&amp;EOMONTH($A15,0),Tabla1[Codigo_actividad],AJ$4)*AJ$3</f>
        <v>173864.40000000002</v>
      </c>
      <c r="AK15" s="314">
        <f>+SUMIFS(Tabla1[Avance_Med],Tabla1[Fecha],"&gt;="&amp;$A15,Tabla1[Fecha],"&lt;="&amp;EOMONTH($A15,0),Tabla1[Codigo_actividad],AK$4)*AK$3</f>
        <v>167470.32</v>
      </c>
      <c r="AL15" s="314">
        <f>+SUMIFS(Tabla1[Avance_km],Tabla1[Fecha],"&gt;="&amp;$A15,Tabla1[Fecha],"&lt;="&amp;EOMONTH($A15,0),Tabla1[Codigo_actividad],AL$4)*AL$3</f>
        <v>0</v>
      </c>
      <c r="AM15" s="314">
        <f>+SUMIFS(Tabla1[Avance_Med],Tabla1[Fecha],"&gt;="&amp;$A15,Tabla1[Fecha],"&lt;="&amp;EOMONTH($A15,0),Tabla1[Codigo_actividad],AM$4)*AM$3</f>
        <v>0</v>
      </c>
      <c r="AN15" s="313"/>
      <c r="AO15" s="308">
        <f t="shared" si="0"/>
        <v>1024464.1317800002</v>
      </c>
      <c r="AT15"/>
      <c r="AU15"/>
      <c r="AV15"/>
      <c r="AW15"/>
      <c r="AX15"/>
    </row>
    <row r="16" spans="1:50" x14ac:dyDescent="0.25">
      <c r="A16" s="226">
        <v>46266</v>
      </c>
      <c r="B16" s="314">
        <v>0</v>
      </c>
      <c r="C16" s="314">
        <f>+SUMIFS(Tabla1[Avance_Med],Tabla1[Fecha],"&gt;="&amp;$A16,Tabla1[Fecha],"&lt;="&amp;EOMONTH($A16,0),Tabla1[Codigo_actividad],C$4)*C$3</f>
        <v>0</v>
      </c>
      <c r="D16" s="314">
        <f>+SUMIFS(Tabla1[Avance_Med],Tabla1[Fecha],"&gt;="&amp;$A16,Tabla1[Fecha],"&lt;="&amp;EOMONTH($A16,0),Tabla1[Codigo_actividad],D$4)*D$3</f>
        <v>0</v>
      </c>
      <c r="E16" s="314">
        <f>+SUMIFS(Tabla1[Avance_Med],Tabla1[Fecha],"&gt;="&amp;$A16,Tabla1[Fecha],"&lt;="&amp;EOMONTH($A16,0),Tabla1[Codigo_actividad],E$4)*E$3</f>
        <v>0</v>
      </c>
      <c r="F16" s="314">
        <f>+SUMIFS(Tabla1[Avance_Med],Tabla1[Fecha],"&gt;="&amp;$A16,Tabla1[Fecha],"&lt;="&amp;EOMONTH($A16,0),Tabla1[Codigo_actividad],F$4)*F$3</f>
        <v>0</v>
      </c>
      <c r="G16" s="314">
        <f>+SUMIFS(Tabla1[Avance_Med],Tabla1[Fecha],"&gt;="&amp;$A16,Tabla1[Fecha],"&lt;="&amp;EOMONTH($A16,0),Tabla1[Codigo_actividad],G$4)*G$3</f>
        <v>0</v>
      </c>
      <c r="H16" s="314">
        <f>+SUMIFS(Tabla1[Avance_km],Tabla1[Fecha],"&gt;="&amp;$A16,Tabla1[Fecha],"&lt;="&amp;EOMONTH($A16,0),Tabla1[Codigo_actividad],H$4)*H$3</f>
        <v>155669.51519999999</v>
      </c>
      <c r="I16" s="314"/>
      <c r="J16" s="314">
        <f>+SUMIFS(Tabla1[Avance_km],Tabla1[Fecha],"&gt;="&amp;$A16,Tabla1[Fecha],"&lt;="&amp;EOMONTH($A16,0),Tabla1[Codigo_actividad],J$4,Tabla1[Avance_km],"&gt;0")*J$3</f>
        <v>0</v>
      </c>
      <c r="K16" s="314">
        <f>SUMIFS(Tabla1[Avance_km],Tabla1[Fecha],"&gt;="&amp;$A16,Tabla1[Fecha],"&lt;="&amp;EOMONTH($A16,0),Tabla1[Codigo_actividad],K$4,Tabla1[Avance_km],"&gt;0")*K$3</f>
        <v>440241.56999999995</v>
      </c>
      <c r="L16" s="314">
        <f>+SUMIFS(Tabla1[Avance_Med],Tabla1[Fecha],"&gt;="&amp;$A16,Tabla1[Fecha],"&lt;="&amp;EOMONTH($A16,0),Tabla1[Codigo_actividad],L$4)*L$3</f>
        <v>93160</v>
      </c>
      <c r="M16" s="314">
        <f>+SUMIFS(Tabla1[Avance_km],Tabla1[Fecha],"&gt;="&amp;$A16,Tabla1[Fecha],"&lt;="&amp;EOMONTH($A16,0),Tabla1[Codigo_actividad],M$4)*M$3</f>
        <v>45306.419399999999</v>
      </c>
      <c r="N16" s="314">
        <f>+SUMIFS(Tabla1[Avance_Med],Tabla1[Fecha],"&gt;="&amp;$A16,Tabla1[Fecha],"&lt;="&amp;EOMONTH($A16,0),Tabla1[Codigo_actividad],N$4)*N$3</f>
        <v>120364.08</v>
      </c>
      <c r="O16" s="314">
        <f>+SUMIFS(Tabla1[Avance_Med],Tabla1[Fecha],"&gt;="&amp;$A16,Tabla1[Fecha],"&lt;="&amp;EOMONTH($A16,0),Tabla1[Codigo_actividad],O$4)*O$3</f>
        <v>89973.52</v>
      </c>
      <c r="P16" s="314">
        <f>+SUMIFS(Tabla1[Avance_Med],Tabla1[Fecha],"&gt;="&amp;$A16,Tabla1[Fecha],"&lt;="&amp;EOMONTH($A16,0),Tabla1[Codigo_actividad],P$4)*P$3</f>
        <v>67002.100000000006</v>
      </c>
      <c r="Q16" s="314">
        <f>+SUMIFS(Tabla1[Avance_Med],Tabla1[Fecha],"&gt;="&amp;$A16,Tabla1[Fecha],"&lt;="&amp;EOMONTH($A16,0),Tabla1[Codigo_actividad],Q$4)*Q$3</f>
        <v>60687.92</v>
      </c>
      <c r="R16" s="314">
        <f>+SUMIFS(Tabla1[Avance_Med],Tabla1[Fecha],"&gt;="&amp;$A16,Tabla1[Fecha],"&lt;="&amp;EOMONTH($A16,0),Tabla1[Codigo_actividad],R$4)*R$3</f>
        <v>14124.72</v>
      </c>
      <c r="S16" s="314">
        <f>+SUMIFS(Tabla1[Avance_Med],Tabla1[Fecha],"&gt;="&amp;$A16,Tabla1[Fecha],"&lt;="&amp;EOMONTH($A16,0),Tabla1[Codigo_actividad],S$4)*S$3</f>
        <v>15476.72</v>
      </c>
      <c r="T16" s="314">
        <f>+SUMIFS(Tabla1[Avance_Med],Tabla1[Fecha],"&gt;="&amp;$A16,Tabla1[Fecha],"&lt;="&amp;EOMONTH($A16,0),Tabla1[Codigo_actividad],T$4)*T$3</f>
        <v>15684.72</v>
      </c>
      <c r="U16" s="314">
        <f>+SUMIFS(Tabla1[Avance_Med],Tabla1[Fecha],"&gt;="&amp;$A16,Tabla1[Fecha],"&lt;="&amp;EOMONTH($A16,0),Tabla1[Codigo_actividad],U$4)*U$3</f>
        <v>4441.18</v>
      </c>
      <c r="V16" s="314">
        <f>+SUMIFS(Tabla1[Avance_Med],Tabla1[Fecha],"&gt;="&amp;$A16,Tabla1[Fecha],"&lt;="&amp;EOMONTH($A16,0),Tabla1[Codigo_actividad],V$4)*V$3</f>
        <v>17764.72</v>
      </c>
      <c r="W16" s="314">
        <f>+SUMIFS(Tabla1[Avance_Med],Tabla1[Fecha],"&gt;="&amp;$A16,Tabla1[Fecha],"&lt;="&amp;EOMONTH($A16,0),Tabla1[Codigo_actividad],W$4)*W$3</f>
        <v>4181.18</v>
      </c>
      <c r="X16" s="314">
        <f>+SUMIFS(Tabla1[Avance_Med],Tabla1[Fecha],"&gt;="&amp;$A16,Tabla1[Fecha],"&lt;="&amp;EOMONTH($A16,0),Tabla1[Codigo_actividad],X$4)*X$3</f>
        <v>6271.77</v>
      </c>
      <c r="Y16" s="314">
        <f>+SUMIFS(Tabla1[Avance_Med],Tabla1[Fecha],"&gt;="&amp;$A16,Tabla1[Fecha],"&lt;="&amp;EOMONTH($A16,0),Tabla1[Codigo_actividad],Y$4)*Y$3</f>
        <v>5248</v>
      </c>
      <c r="Z16" s="314">
        <f>+SUMIFS(Tabla1[Avance_Med],Tabla1[Fecha],"&gt;="&amp;$A16,Tabla1[Fecha],"&lt;="&amp;EOMONTH($A16,0),Tabla1[Codigo_actividad],Z$4)*Z$3</f>
        <v>37408</v>
      </c>
      <c r="AA16" s="314">
        <f>+SUMIFS(Tabla1[Avance_Med],Tabla1[Fecha],"&gt;="&amp;$A16,Tabla1[Fecha],"&lt;="&amp;EOMONTH($A16,0),Tabla1[Codigo_actividad],AA$4)*AA$3</f>
        <v>0</v>
      </c>
      <c r="AB16" s="314">
        <f>+SUMIFS(Tabla1[Avance_Med],Tabla1[Fecha],"&gt;="&amp;$A16,Tabla1[Fecha],"&lt;="&amp;EOMONTH($A16,0),Tabla1[Codigo_actividad],AB$4)*AB$3</f>
        <v>0</v>
      </c>
      <c r="AC16" s="314">
        <f>+SUMIFS(Tabla1[Avance_Med],Tabla1[Fecha],"&gt;="&amp;$A16,Tabla1[Fecha],"&lt;="&amp;EOMONTH($A16,0),Tabla1[Codigo_actividad],AC$4)*AC$3</f>
        <v>0</v>
      </c>
      <c r="AD16" s="314">
        <f>+SUMIFS(Tabla1[Avance_Med],Tabla1[Fecha],"&gt;="&amp;$A16,Tabla1[Fecha],"&lt;="&amp;EOMONTH($A16,0),Tabla1[Codigo_actividad],AD$4)*AD$3</f>
        <v>0</v>
      </c>
      <c r="AE16" s="314">
        <f>+SUMIFS(Tabla1[Avance_Med],Tabla1[Fecha],"&gt;="&amp;$A16,Tabla1[Fecha],"&lt;="&amp;EOMONTH($A16,0),Tabla1[Codigo_actividad],AE$4)*AE$3</f>
        <v>0</v>
      </c>
      <c r="AF16" s="314">
        <f>+SUMIFS(Tabla1[Avance_Med],Tabla1[Fecha],"&gt;="&amp;$A16,Tabla1[Fecha],"&lt;="&amp;EOMONTH($A16,0),Tabla1[Codigo_actividad],AF$4)*AF$3</f>
        <v>0</v>
      </c>
      <c r="AG16" s="314">
        <f>+SUMIFS(Tabla1[Avance_Med],Tabla1[Fecha],"&gt;="&amp;$A16,Tabla1[Fecha],"&lt;="&amp;EOMONTH($A16,0),Tabla1[Codigo_actividad],AG$4)*AG$3</f>
        <v>0</v>
      </c>
      <c r="AH16" s="314">
        <f>+SUMIFS(Tabla1[Avance_Med],Tabla1[Fecha],"&gt;="&amp;$A16,Tabla1[Fecha],"&lt;="&amp;EOMONTH($A16,0),Tabla1[Codigo_actividad],AH$4)*AH$3</f>
        <v>0</v>
      </c>
      <c r="AI16" s="314">
        <f>+SUMIFS(Tabla1[Avance_Med],Tabla1[Fecha],"&gt;="&amp;$A16,Tabla1[Fecha],"&lt;="&amp;EOMONTH($A16,0),Tabla1[Codigo_actividad],AI$4)*AI$3</f>
        <v>0</v>
      </c>
      <c r="AJ16" s="314">
        <f>+SUMIFS(Tabla1[Avance_Med],Tabla1[Fecha],"&gt;="&amp;$A16,Tabla1[Fecha],"&lt;="&amp;EOMONTH($A16,0),Tabla1[Codigo_actividad],AJ$4)*AJ$3</f>
        <v>0</v>
      </c>
      <c r="AK16" s="314">
        <f>+SUMIFS(Tabla1[Avance_Med],Tabla1[Fecha],"&gt;="&amp;$A16,Tabla1[Fecha],"&lt;="&amp;EOMONTH($A16,0),Tabla1[Codigo_actividad],AK$4)*AK$3</f>
        <v>0</v>
      </c>
      <c r="AL16" s="314">
        <f>+SUMIFS(Tabla1[Avance_km],Tabla1[Fecha],"&gt;="&amp;$A16,Tabla1[Fecha],"&lt;="&amp;EOMONTH($A16,0),Tabla1[Codigo_actividad],AL$4)*AL$3</f>
        <v>0</v>
      </c>
      <c r="AM16" s="314">
        <f>+SUMIFS(Tabla1[Avance_Med],Tabla1[Fecha],"&gt;="&amp;$A16,Tabla1[Fecha],"&lt;="&amp;EOMONTH($A16,0),Tabla1[Codigo_actividad],AM$4)*AM$3</f>
        <v>0</v>
      </c>
      <c r="AN16" s="313"/>
      <c r="AO16" s="308">
        <f t="shared" si="0"/>
        <v>1193006.1345999998</v>
      </c>
      <c r="AT16"/>
      <c r="AU16"/>
      <c r="AV16"/>
      <c r="AW16"/>
      <c r="AX16"/>
    </row>
    <row r="17" spans="1:52" x14ac:dyDescent="0.25">
      <c r="A17" s="226">
        <v>46296</v>
      </c>
      <c r="B17" s="314">
        <v>0</v>
      </c>
      <c r="C17" s="314">
        <f>+SUMIFS(Tabla1[Avance_Med],Tabla1[Fecha],"&gt;="&amp;$A17,Tabla1[Fecha],"&lt;="&amp;EOMONTH($A17,0),Tabla1[Codigo_actividad],C$4)*C$3</f>
        <v>0</v>
      </c>
      <c r="D17" s="314">
        <f>+SUMIFS(Tabla1[Avance_Med],Tabla1[Fecha],"&gt;="&amp;$A17,Tabla1[Fecha],"&lt;="&amp;EOMONTH($A17,0),Tabla1[Codigo_actividad],D$4)*D$3</f>
        <v>0</v>
      </c>
      <c r="E17" s="314">
        <f>+SUMIFS(Tabla1[Avance_Med],Tabla1[Fecha],"&gt;="&amp;$A17,Tabla1[Fecha],"&lt;="&amp;EOMONTH($A17,0),Tabla1[Codigo_actividad],E$4)*E$3</f>
        <v>0</v>
      </c>
      <c r="F17" s="314">
        <f>+SUMIFS(Tabla1[Avance_Med],Tabla1[Fecha],"&gt;="&amp;$A17,Tabla1[Fecha],"&lt;="&amp;EOMONTH($A17,0),Tabla1[Codigo_actividad],F$4)*F$3</f>
        <v>0</v>
      </c>
      <c r="G17" s="314">
        <f>+SUMIFS(Tabla1[Avance_Med],Tabla1[Fecha],"&gt;="&amp;$A17,Tabla1[Fecha],"&lt;="&amp;EOMONTH($A17,0),Tabla1[Codigo_actividad],G$4)*G$3</f>
        <v>0</v>
      </c>
      <c r="H17" s="314">
        <f>+SUMIFS(Tabla1[Avance_km],Tabla1[Fecha],"&gt;="&amp;$A17,Tabla1[Fecha],"&lt;="&amp;EOMONTH($A17,0),Tabla1[Codigo_actividad],H$4)*H$3</f>
        <v>234048.825675</v>
      </c>
      <c r="I17" s="314"/>
      <c r="J17" s="314">
        <f>+SUMIFS(Tabla1[Avance_km],Tabla1[Fecha],"&gt;="&amp;$A17,Tabla1[Fecha],"&lt;="&amp;EOMONTH($A17,0),Tabla1[Codigo_actividad],J$4,Tabla1[Avance_km],"&gt;0")*J$3</f>
        <v>22021.120934999992</v>
      </c>
      <c r="K17" s="314">
        <f>SUMIFS(Tabla1[Avance_km],Tabla1[Fecha],"&gt;="&amp;$A17,Tabla1[Fecha],"&lt;="&amp;EOMONTH($A17,0),Tabla1[Codigo_actividad],K$4,Tabla1[Avance_km],"&gt;0")*K$3</f>
        <v>886419.96</v>
      </c>
      <c r="L17" s="314">
        <f>+SUMIFS(Tabla1[Avance_Med],Tabla1[Fecha],"&gt;="&amp;$A17,Tabla1[Fecha],"&lt;="&amp;EOMONTH($A17,0),Tabla1[Codigo_actividad],L$4)*L$3</f>
        <v>0</v>
      </c>
      <c r="M17" s="314">
        <f>+SUMIFS(Tabla1[Avance_km],Tabla1[Fecha],"&gt;="&amp;$A17,Tabla1[Fecha],"&lt;="&amp;EOMONTH($A17,0),Tabla1[Codigo_actividad],M$4)*M$3</f>
        <v>3667.1787899999986</v>
      </c>
      <c r="N17" s="314">
        <f>+SUMIFS(Tabla1[Avance_Med],Tabla1[Fecha],"&gt;="&amp;$A17,Tabla1[Fecha],"&lt;="&amp;EOMONTH($A17,0),Tabla1[Codigo_actividad],N$4)*N$3</f>
        <v>14160.48</v>
      </c>
      <c r="O17" s="314">
        <f>+SUMIFS(Tabla1[Avance_Med],Tabla1[Fecha],"&gt;="&amp;$A17,Tabla1[Fecha],"&lt;="&amp;EOMONTH($A17,0),Tabla1[Codigo_actividad],O$4)*O$3</f>
        <v>10585.12</v>
      </c>
      <c r="P17" s="314">
        <f>+SUMIFS(Tabla1[Avance_Med],Tabla1[Fecha],"&gt;="&amp;$A17,Tabla1[Fecha],"&lt;="&amp;EOMONTH($A17,0),Tabla1[Codigo_actividad],P$4)*P$3</f>
        <v>7882.6</v>
      </c>
      <c r="Q17" s="314">
        <f>+SUMIFS(Tabla1[Avance_Med],Tabla1[Fecha],"&gt;="&amp;$A17,Tabla1[Fecha],"&lt;="&amp;EOMONTH($A17,0),Tabla1[Codigo_actividad],Q$4)*Q$3</f>
        <v>37929.949999999997</v>
      </c>
      <c r="R17" s="314">
        <f>+SUMIFS(Tabla1[Avance_Med],Tabla1[Fecha],"&gt;="&amp;$A17,Tabla1[Fecha],"&lt;="&amp;EOMONTH($A17,0),Tabla1[Codigo_actividad],R$4)*R$3</f>
        <v>10593.539999999999</v>
      </c>
      <c r="S17" s="314">
        <f>+SUMIFS(Tabla1[Avance_Med],Tabla1[Fecha],"&gt;="&amp;$A17,Tabla1[Fecha],"&lt;="&amp;EOMONTH($A17,0),Tabla1[Codigo_actividad],S$4)*S$3</f>
        <v>11607.539999999999</v>
      </c>
      <c r="T17" s="314">
        <f>+SUMIFS(Tabla1[Avance_Med],Tabla1[Fecha],"&gt;="&amp;$A17,Tabla1[Fecha],"&lt;="&amp;EOMONTH($A17,0),Tabla1[Codigo_actividad],T$4)*T$3</f>
        <v>11763.539999999999</v>
      </c>
      <c r="U17" s="314">
        <f>+SUMIFS(Tabla1[Avance_Med],Tabla1[Fecha],"&gt;="&amp;$A17,Tabla1[Fecha],"&lt;="&amp;EOMONTH($A17,0),Tabla1[Codigo_actividad],U$4)*U$3</f>
        <v>0</v>
      </c>
      <c r="V17" s="314">
        <f>+SUMIFS(Tabla1[Avance_Med],Tabla1[Fecha],"&gt;="&amp;$A17,Tabla1[Fecha],"&lt;="&amp;EOMONTH($A17,0),Tabla1[Codigo_actividad],V$4)*V$3</f>
        <v>13323.54</v>
      </c>
      <c r="W17" s="314">
        <f>+SUMIFS(Tabla1[Avance_Med],Tabla1[Fecha],"&gt;="&amp;$A17,Tabla1[Fecha],"&lt;="&amp;EOMONTH($A17,0),Tabla1[Codigo_actividad],W$4)*W$3</f>
        <v>2090.59</v>
      </c>
      <c r="X17" s="314">
        <f>+SUMIFS(Tabla1[Avance_Med],Tabla1[Fecha],"&gt;="&amp;$A17,Tabla1[Fecha],"&lt;="&amp;EOMONTH($A17,0),Tabla1[Codigo_actividad],X$4)*X$3</f>
        <v>2090.59</v>
      </c>
      <c r="Y17" s="314">
        <f>+SUMIFS(Tabla1[Avance_Med],Tabla1[Fecha],"&gt;="&amp;$A17,Tabla1[Fecha],"&lt;="&amp;EOMONTH($A17,0),Tabla1[Codigo_actividad],Y$4)*Y$3</f>
        <v>2624</v>
      </c>
      <c r="Z17" s="314">
        <f>+SUMIFS(Tabla1[Avance_Med],Tabla1[Fecha],"&gt;="&amp;$A17,Tabla1[Fecha],"&lt;="&amp;EOMONTH($A17,0),Tabla1[Codigo_actividad],Z$4)*Z$3</f>
        <v>18704</v>
      </c>
      <c r="AA17" s="314">
        <f>+SUMIFS(Tabla1[Avance_Med],Tabla1[Fecha],"&gt;="&amp;$A17,Tabla1[Fecha],"&lt;="&amp;EOMONTH($A17,0),Tabla1[Codigo_actividad],AA$4)*AA$3</f>
        <v>0</v>
      </c>
      <c r="AB17" s="314">
        <f>+SUMIFS(Tabla1[Avance_Med],Tabla1[Fecha],"&gt;="&amp;$A17,Tabla1[Fecha],"&lt;="&amp;EOMONTH($A17,0),Tabla1[Codigo_actividad],AB$4)*AB$3</f>
        <v>0</v>
      </c>
      <c r="AC17" s="314">
        <f>+SUMIFS(Tabla1[Avance_Med],Tabla1[Fecha],"&gt;="&amp;$A17,Tabla1[Fecha],"&lt;="&amp;EOMONTH($A17,0),Tabla1[Codigo_actividad],AC$4)*AC$3</f>
        <v>0</v>
      </c>
      <c r="AD17" s="314">
        <f>+SUMIFS(Tabla1[Avance_Med],Tabla1[Fecha],"&gt;="&amp;$A17,Tabla1[Fecha],"&lt;="&amp;EOMONTH($A17,0),Tabla1[Codigo_actividad],AD$4)*AD$3</f>
        <v>0</v>
      </c>
      <c r="AE17" s="314">
        <f>+SUMIFS(Tabla1[Avance_Med],Tabla1[Fecha],"&gt;="&amp;$A17,Tabla1[Fecha],"&lt;="&amp;EOMONTH($A17,0),Tabla1[Codigo_actividad],AE$4)*AE$3</f>
        <v>0</v>
      </c>
      <c r="AF17" s="314">
        <f>+SUMIFS(Tabla1[Avance_Med],Tabla1[Fecha],"&gt;="&amp;$A17,Tabla1[Fecha],"&lt;="&amp;EOMONTH($A17,0),Tabla1[Codigo_actividad],AF$4)*AF$3</f>
        <v>0</v>
      </c>
      <c r="AG17" s="314">
        <f>+SUMIFS(Tabla1[Avance_Med],Tabla1[Fecha],"&gt;="&amp;$A17,Tabla1[Fecha],"&lt;="&amp;EOMONTH($A17,0),Tabla1[Codigo_actividad],AG$4)*AG$3</f>
        <v>0</v>
      </c>
      <c r="AH17" s="314">
        <f>+SUMIFS(Tabla1[Avance_Med],Tabla1[Fecha],"&gt;="&amp;$A17,Tabla1[Fecha],"&lt;="&amp;EOMONTH($A17,0),Tabla1[Codigo_actividad],AH$4)*AH$3</f>
        <v>0</v>
      </c>
      <c r="AI17" s="314">
        <f>+SUMIFS(Tabla1[Avance_Med],Tabla1[Fecha],"&gt;="&amp;$A17,Tabla1[Fecha],"&lt;="&amp;EOMONTH($A17,0),Tabla1[Codigo_actividad],AI$4)*AI$3</f>
        <v>0</v>
      </c>
      <c r="AJ17" s="314">
        <f>+SUMIFS(Tabla1[Avance_Med],Tabla1[Fecha],"&gt;="&amp;$A17,Tabla1[Fecha],"&lt;="&amp;EOMONTH($A17,0),Tabla1[Codigo_actividad],AJ$4)*AJ$3</f>
        <v>0</v>
      </c>
      <c r="AK17" s="314">
        <f>+SUMIFS(Tabla1[Avance_Med],Tabla1[Fecha],"&gt;="&amp;$A17,Tabla1[Fecha],"&lt;="&amp;EOMONTH($A17,0),Tabla1[Codigo_actividad],AK$4)*AK$3</f>
        <v>0</v>
      </c>
      <c r="AL17" s="314">
        <f>+SUMIFS(Tabla1[Avance_km],Tabla1[Fecha],"&gt;="&amp;$A17,Tabla1[Fecha],"&lt;="&amp;EOMONTH($A17,0),Tabla1[Codigo_actividad],AL$4)*AL$3</f>
        <v>0</v>
      </c>
      <c r="AM17" s="314">
        <f>+SUMIFS(Tabla1[Avance_Med],Tabla1[Fecha],"&gt;="&amp;$A17,Tabla1[Fecha],"&lt;="&amp;EOMONTH($A17,0),Tabla1[Codigo_actividad],AM$4)*AM$3</f>
        <v>0</v>
      </c>
      <c r="AN17" s="313"/>
      <c r="AO17" s="308">
        <f t="shared" ref="AO17:AO19" si="1">SUM(B17:AN17)</f>
        <v>1289512.5754000004</v>
      </c>
      <c r="AT17"/>
      <c r="AU17"/>
      <c r="AV17"/>
      <c r="AW17"/>
      <c r="AX17"/>
    </row>
    <row r="18" spans="1:52" x14ac:dyDescent="0.25">
      <c r="A18" s="226">
        <v>46327</v>
      </c>
      <c r="B18" s="314">
        <v>0</v>
      </c>
      <c r="C18" s="314">
        <f>+SUMIFS(Tabla1[Avance_Med],Tabla1[Fecha],"&gt;="&amp;$A18,Tabla1[Fecha],"&lt;="&amp;EOMONTH($A18,0),Tabla1[Codigo_actividad],C$4)*C$3</f>
        <v>0</v>
      </c>
      <c r="D18" s="314">
        <f>+SUMIFS(Tabla1[Avance_Med],Tabla1[Fecha],"&gt;="&amp;$A18,Tabla1[Fecha],"&lt;="&amp;EOMONTH($A18,0),Tabla1[Codigo_actividad],D$4)*D$3</f>
        <v>0</v>
      </c>
      <c r="E18" s="314">
        <f>+SUMIFS(Tabla1[Avance_Med],Tabla1[Fecha],"&gt;="&amp;$A18,Tabla1[Fecha],"&lt;="&amp;EOMONTH($A18,0),Tabla1[Codigo_actividad],E$4)*E$3</f>
        <v>0</v>
      </c>
      <c r="F18" s="314">
        <f>+SUMIFS(Tabla1[Avance_Med],Tabla1[Fecha],"&gt;="&amp;$A18,Tabla1[Fecha],"&lt;="&amp;EOMONTH($A18,0),Tabla1[Codigo_actividad],F$4)*F$3</f>
        <v>0</v>
      </c>
      <c r="G18" s="314">
        <f>+SUMIFS(Tabla1[Avance_Med],Tabla1[Fecha],"&gt;="&amp;$A18,Tabla1[Fecha],"&lt;="&amp;EOMONTH($A18,0),Tabla1[Codigo_actividad],G$4)*G$3</f>
        <v>0</v>
      </c>
      <c r="H18" s="314">
        <f>+SUMIFS(Tabla1[Avance_km],Tabla1[Fecha],"&gt;="&amp;$A18,Tabla1[Fecha],"&lt;="&amp;EOMONTH($A18,0),Tabla1[Codigo_actividad],H$4)*H$3</f>
        <v>0</v>
      </c>
      <c r="I18" s="314"/>
      <c r="J18" s="314">
        <f>+SUMIFS(Tabla1[Avance_km],Tabla1[Fecha],"&gt;="&amp;$A18,Tabla1[Fecha],"&lt;="&amp;EOMONTH($A18,0),Tabla1[Codigo_actividad],J$4,Tabla1[Avance_km],"&gt;0")*J$3</f>
        <v>0</v>
      </c>
      <c r="K18" s="314">
        <f>SUMIFS(Tabla1[Avance_km],Tabla1[Fecha],"&gt;="&amp;$A18,Tabla1[Fecha],"&lt;="&amp;EOMONTH($A18,0),Tabla1[Codigo_actividad],K$4,Tabla1[Avance_km],"&gt;0")*K$3</f>
        <v>0</v>
      </c>
      <c r="L18" s="314">
        <f>+SUMIFS(Tabla1[Avance_Med],Tabla1[Fecha],"&gt;="&amp;$A18,Tabla1[Fecha],"&lt;="&amp;EOMONTH($A18,0),Tabla1[Codigo_actividad],L$4)*L$3</f>
        <v>0</v>
      </c>
      <c r="M18" s="314">
        <f>+SUMIFS(Tabla1[Avance_km],Tabla1[Fecha],"&gt;="&amp;$A18,Tabla1[Fecha],"&lt;="&amp;EOMONTH($A18,0),Tabla1[Codigo_actividad],M$4)*M$3</f>
        <v>0</v>
      </c>
      <c r="N18" s="314">
        <f>+SUMIFS(Tabla1[Avance_Med],Tabla1[Fecha],"&gt;="&amp;$A18,Tabla1[Fecha],"&lt;="&amp;EOMONTH($A18,0),Tabla1[Codigo_actividad],N$4)*N$3</f>
        <v>0</v>
      </c>
      <c r="O18" s="314">
        <f>+SUMIFS(Tabla1[Avance_Med],Tabla1[Fecha],"&gt;="&amp;$A18,Tabla1[Fecha],"&lt;="&amp;EOMONTH($A18,0),Tabla1[Codigo_actividad],O$4)*O$3</f>
        <v>0</v>
      </c>
      <c r="P18" s="314">
        <f>+SUMIFS(Tabla1[Avance_Med],Tabla1[Fecha],"&gt;="&amp;$A18,Tabla1[Fecha],"&lt;="&amp;EOMONTH($A18,0),Tabla1[Codigo_actividad],P$4)*P$3</f>
        <v>0</v>
      </c>
      <c r="Q18" s="314">
        <f>+SUMIFS(Tabla1[Avance_Med],Tabla1[Fecha],"&gt;="&amp;$A18,Tabla1[Fecha],"&lt;="&amp;EOMONTH($A18,0),Tabla1[Codigo_actividad],Q$4)*Q$3</f>
        <v>0</v>
      </c>
      <c r="R18" s="314">
        <f>+SUMIFS(Tabla1[Avance_Med],Tabla1[Fecha],"&gt;="&amp;$A18,Tabla1[Fecha],"&lt;="&amp;EOMONTH($A18,0),Tabla1[Codigo_actividad],R$4)*R$3</f>
        <v>0</v>
      </c>
      <c r="S18" s="314">
        <f>+SUMIFS(Tabla1[Avance_Med],Tabla1[Fecha],"&gt;="&amp;$A18,Tabla1[Fecha],"&lt;="&amp;EOMONTH($A18,0),Tabla1[Codigo_actividad],S$4)*S$3</f>
        <v>0</v>
      </c>
      <c r="T18" s="314">
        <f>+SUMIFS(Tabla1[Avance_Med],Tabla1[Fecha],"&gt;="&amp;$A18,Tabla1[Fecha],"&lt;="&amp;EOMONTH($A18,0),Tabla1[Codigo_actividad],T$4)*T$3</f>
        <v>0</v>
      </c>
      <c r="U18" s="314">
        <f>+SUMIFS(Tabla1[Avance_Med],Tabla1[Fecha],"&gt;="&amp;$A18,Tabla1[Fecha],"&lt;="&amp;EOMONTH($A18,0),Tabla1[Codigo_actividad],U$4)*U$3</f>
        <v>0</v>
      </c>
      <c r="V18" s="314">
        <f>+SUMIFS(Tabla1[Avance_Med],Tabla1[Fecha],"&gt;="&amp;$A18,Tabla1[Fecha],"&lt;="&amp;EOMONTH($A18,0),Tabla1[Codigo_actividad],V$4)*V$3</f>
        <v>0</v>
      </c>
      <c r="W18" s="314">
        <f>+SUMIFS(Tabla1[Avance_Med],Tabla1[Fecha],"&gt;="&amp;$A18,Tabla1[Fecha],"&lt;="&amp;EOMONTH($A18,0),Tabla1[Codigo_actividad],W$4)*W$3</f>
        <v>0</v>
      </c>
      <c r="X18" s="314">
        <f>+SUMIFS(Tabla1[Avance_Med],Tabla1[Fecha],"&gt;="&amp;$A18,Tabla1[Fecha],"&lt;="&amp;EOMONTH($A18,0),Tabla1[Codigo_actividad],X$4)*X$3</f>
        <v>0</v>
      </c>
      <c r="Y18" s="314">
        <f>+SUMIFS(Tabla1[Avance_Med],Tabla1[Fecha],"&gt;="&amp;$A18,Tabla1[Fecha],"&lt;="&amp;EOMONTH($A18,0),Tabla1[Codigo_actividad],Y$4)*Y$3</f>
        <v>0</v>
      </c>
      <c r="Z18" s="314">
        <f>+SUMIFS(Tabla1[Avance_Med],Tabla1[Fecha],"&gt;="&amp;$A18,Tabla1[Fecha],"&lt;="&amp;EOMONTH($A18,0),Tabla1[Codigo_actividad],Z$4)*Z$3</f>
        <v>0</v>
      </c>
      <c r="AA18" s="314">
        <f>+SUMIFS(Tabla1[Avance_Med],Tabla1[Fecha],"&gt;="&amp;$A18,Tabla1[Fecha],"&lt;="&amp;EOMONTH($A18,0),Tabla1[Codigo_actividad],AA$4)*AA$3</f>
        <v>0</v>
      </c>
      <c r="AB18" s="314">
        <f>+SUMIFS(Tabla1[Avance_Med],Tabla1[Fecha],"&gt;="&amp;$A18,Tabla1[Fecha],"&lt;="&amp;EOMONTH($A18,0),Tabla1[Codigo_actividad],AB$4)*AB$3</f>
        <v>0</v>
      </c>
      <c r="AC18" s="314">
        <f>+SUMIFS(Tabla1[Avance_Med],Tabla1[Fecha],"&gt;="&amp;$A18,Tabla1[Fecha],"&lt;="&amp;EOMONTH($A18,0),Tabla1[Codigo_actividad],AC$4)*AC$3</f>
        <v>0</v>
      </c>
      <c r="AD18" s="314">
        <f>+SUMIFS(Tabla1[Avance_Med],Tabla1[Fecha],"&gt;="&amp;$A18,Tabla1[Fecha],"&lt;="&amp;EOMONTH($A18,0),Tabla1[Codigo_actividad],AD$4)*AD$3</f>
        <v>0</v>
      </c>
      <c r="AE18" s="314">
        <f>+SUMIFS(Tabla1[Avance_Med],Tabla1[Fecha],"&gt;="&amp;$A18,Tabla1[Fecha],"&lt;="&amp;EOMONTH($A18,0),Tabla1[Codigo_actividad],AE$4)*AE$3</f>
        <v>0</v>
      </c>
      <c r="AF18" s="314">
        <f>+SUMIFS(Tabla1[Avance_Med],Tabla1[Fecha],"&gt;="&amp;$A18,Tabla1[Fecha],"&lt;="&amp;EOMONTH($A18,0),Tabla1[Codigo_actividad],AF$4)*AF$3</f>
        <v>0</v>
      </c>
      <c r="AG18" s="314">
        <f>+SUMIFS(Tabla1[Avance_Med],Tabla1[Fecha],"&gt;="&amp;$A18,Tabla1[Fecha],"&lt;="&amp;EOMONTH($A18,0),Tabla1[Codigo_actividad],AG$4)*AG$3</f>
        <v>0</v>
      </c>
      <c r="AH18" s="314">
        <f>+SUMIFS(Tabla1[Avance_Med],Tabla1[Fecha],"&gt;="&amp;$A18,Tabla1[Fecha],"&lt;="&amp;EOMONTH($A18,0),Tabla1[Codigo_actividad],AH$4)*AH$3</f>
        <v>0</v>
      </c>
      <c r="AI18" s="314">
        <f>+SUMIFS(Tabla1[Avance_Med],Tabla1[Fecha],"&gt;="&amp;$A18,Tabla1[Fecha],"&lt;="&amp;EOMONTH($A18,0),Tabla1[Codigo_actividad],AI$4)*AI$3</f>
        <v>0</v>
      </c>
      <c r="AJ18" s="314">
        <f>+SUMIFS(Tabla1[Avance_Med],Tabla1[Fecha],"&gt;="&amp;$A18,Tabla1[Fecha],"&lt;="&amp;EOMONTH($A18,0),Tabla1[Codigo_actividad],AJ$4)*AJ$3</f>
        <v>0</v>
      </c>
      <c r="AK18" s="314">
        <f>+SUMIFS(Tabla1[Avance_Med],Tabla1[Fecha],"&gt;="&amp;$A18,Tabla1[Fecha],"&lt;="&amp;EOMONTH($A18,0),Tabla1[Codigo_actividad],AK$4)*AK$3</f>
        <v>0</v>
      </c>
      <c r="AL18" s="314">
        <f>+SUMIFS(Tabla1[Avance_km],Tabla1[Fecha],"&gt;="&amp;$A18,Tabla1[Fecha],"&lt;="&amp;EOMONTH($A18,0),Tabla1[Codigo_actividad],AL$4)*AL$3</f>
        <v>0</v>
      </c>
      <c r="AM18" s="314">
        <f>+SUMIFS(Tabla1[Avance_Med],Tabla1[Fecha],"&gt;="&amp;$A18,Tabla1[Fecha],"&lt;="&amp;EOMONTH($A18,0),Tabla1[Codigo_actividad],AM$4)*AM$3</f>
        <v>0</v>
      </c>
      <c r="AN18" s="313"/>
      <c r="AO18" s="308">
        <f t="shared" si="1"/>
        <v>0</v>
      </c>
      <c r="AT18"/>
      <c r="AU18"/>
      <c r="AV18"/>
      <c r="AW18"/>
      <c r="AX18"/>
    </row>
    <row r="19" spans="1:52" x14ac:dyDescent="0.25">
      <c r="A19" s="226">
        <v>46357</v>
      </c>
      <c r="B19" s="314">
        <v>0</v>
      </c>
      <c r="C19" s="314">
        <f>+SUMIFS(Tabla1[Avance_Med],Tabla1[Fecha],"&gt;="&amp;$A19,Tabla1[Fecha],"&lt;="&amp;EOMONTH($A19,0),Tabla1[Codigo_actividad],C$4)*C$3</f>
        <v>0</v>
      </c>
      <c r="D19" s="314">
        <f>+SUMIFS(Tabla1[Avance_Med],Tabla1[Fecha],"&gt;="&amp;$A19,Tabla1[Fecha],"&lt;="&amp;EOMONTH($A19,0),Tabla1[Codigo_actividad],D$4)*D$3</f>
        <v>0</v>
      </c>
      <c r="E19" s="314">
        <f>+SUMIFS(Tabla1[Avance_Med],Tabla1[Fecha],"&gt;="&amp;$A19,Tabla1[Fecha],"&lt;="&amp;EOMONTH($A19,0),Tabla1[Codigo_actividad],E$4)*E$3</f>
        <v>0</v>
      </c>
      <c r="F19" s="314">
        <f>+SUMIFS(Tabla1[Avance_Med],Tabla1[Fecha],"&gt;="&amp;$A19,Tabla1[Fecha],"&lt;="&amp;EOMONTH($A19,0),Tabla1[Codigo_actividad],F$4)*F$3</f>
        <v>0</v>
      </c>
      <c r="G19" s="314">
        <f>+SUMIFS(Tabla1[Avance_Med],Tabla1[Fecha],"&gt;="&amp;$A19,Tabla1[Fecha],"&lt;="&amp;EOMONTH($A19,0),Tabla1[Codigo_actividad],G$4)*G$3</f>
        <v>0</v>
      </c>
      <c r="H19" s="314">
        <f>+SUMIFS(Tabla1[Avance_km],Tabla1[Fecha],"&gt;="&amp;$A19,Tabla1[Fecha],"&lt;="&amp;EOMONTH($A19,0),Tabla1[Codigo_actividad],H$4)*H$3</f>
        <v>0</v>
      </c>
      <c r="I19" s="314"/>
      <c r="J19" s="314">
        <f>+SUMIFS(Tabla1[Avance_km],Tabla1[Fecha],"&gt;="&amp;$A19,Tabla1[Fecha],"&lt;="&amp;EOMONTH($A19,0),Tabla1[Codigo_actividad],J$4,Tabla1[Avance_km],"&gt;0")*J$3</f>
        <v>0</v>
      </c>
      <c r="K19" s="314">
        <f>SUMIFS(Tabla1[Avance_km],Tabla1[Fecha],"&gt;="&amp;$A19,Tabla1[Fecha],"&lt;="&amp;EOMONTH($A19,0),Tabla1[Codigo_actividad],K$4,Tabla1[Avance_km],"&gt;0")*K$3</f>
        <v>0</v>
      </c>
      <c r="L19" s="314">
        <f>+SUMIFS(Tabla1[Avance_Med],Tabla1[Fecha],"&gt;="&amp;$A19,Tabla1[Fecha],"&lt;="&amp;EOMONTH($A19,0),Tabla1[Codigo_actividad],L$4)*L$3</f>
        <v>0</v>
      </c>
      <c r="M19" s="314">
        <f>+SUMIFS(Tabla1[Avance_km],Tabla1[Fecha],"&gt;="&amp;$A19,Tabla1[Fecha],"&lt;="&amp;EOMONTH($A19,0),Tabla1[Codigo_actividad],M$4)*M$3</f>
        <v>0</v>
      </c>
      <c r="N19" s="314">
        <f>+SUMIFS(Tabla1[Avance_Med],Tabla1[Fecha],"&gt;="&amp;$A19,Tabla1[Fecha],"&lt;="&amp;EOMONTH($A19,0),Tabla1[Codigo_actividad],N$4)*N$3</f>
        <v>0</v>
      </c>
      <c r="O19" s="314">
        <f>+SUMIFS(Tabla1[Avance_Med],Tabla1[Fecha],"&gt;="&amp;$A19,Tabla1[Fecha],"&lt;="&amp;EOMONTH($A19,0),Tabla1[Codigo_actividad],O$4)*O$3</f>
        <v>0</v>
      </c>
      <c r="P19" s="314">
        <f>+SUMIFS(Tabla1[Avance_Med],Tabla1[Fecha],"&gt;="&amp;$A19,Tabla1[Fecha],"&lt;="&amp;EOMONTH($A19,0),Tabla1[Codigo_actividad],P$4)*P$3</f>
        <v>0</v>
      </c>
      <c r="Q19" s="314">
        <f>+SUMIFS(Tabla1[Avance_Med],Tabla1[Fecha],"&gt;="&amp;$A19,Tabla1[Fecha],"&lt;="&amp;EOMONTH($A19,0),Tabla1[Codigo_actividad],Q$4)*Q$3</f>
        <v>0</v>
      </c>
      <c r="R19" s="314">
        <f>+SUMIFS(Tabla1[Avance_Med],Tabla1[Fecha],"&gt;="&amp;$A19,Tabla1[Fecha],"&lt;="&amp;EOMONTH($A19,0),Tabla1[Codigo_actividad],R$4)*R$3</f>
        <v>0</v>
      </c>
      <c r="S19" s="314">
        <f>+SUMIFS(Tabla1[Avance_Med],Tabla1[Fecha],"&gt;="&amp;$A19,Tabla1[Fecha],"&lt;="&amp;EOMONTH($A19,0),Tabla1[Codigo_actividad],S$4)*S$3</f>
        <v>0</v>
      </c>
      <c r="T19" s="314">
        <f>+SUMIFS(Tabla1[Avance_Med],Tabla1[Fecha],"&gt;="&amp;$A19,Tabla1[Fecha],"&lt;="&amp;EOMONTH($A19,0),Tabla1[Codigo_actividad],T$4)*T$3</f>
        <v>0</v>
      </c>
      <c r="U19" s="314">
        <f>+SUMIFS(Tabla1[Avance_Med],Tabla1[Fecha],"&gt;="&amp;$A19,Tabla1[Fecha],"&lt;="&amp;EOMONTH($A19,0),Tabla1[Codigo_actividad],U$4)*U$3</f>
        <v>0</v>
      </c>
      <c r="V19" s="314">
        <f>+SUMIFS(Tabla1[Avance_Med],Tabla1[Fecha],"&gt;="&amp;$A19,Tabla1[Fecha],"&lt;="&amp;EOMONTH($A19,0),Tabla1[Codigo_actividad],V$4)*V$3</f>
        <v>0</v>
      </c>
      <c r="W19" s="314">
        <f>+SUMIFS(Tabla1[Avance_Med],Tabla1[Fecha],"&gt;="&amp;$A19,Tabla1[Fecha],"&lt;="&amp;EOMONTH($A19,0),Tabla1[Codigo_actividad],W$4)*W$3</f>
        <v>0</v>
      </c>
      <c r="X19" s="314">
        <f>+SUMIFS(Tabla1[Avance_Med],Tabla1[Fecha],"&gt;="&amp;$A19,Tabla1[Fecha],"&lt;="&amp;EOMONTH($A19,0),Tabla1[Codigo_actividad],X$4)*X$3</f>
        <v>0</v>
      </c>
      <c r="Y19" s="314">
        <f>+SUMIFS(Tabla1[Avance_Med],Tabla1[Fecha],"&gt;="&amp;$A19,Tabla1[Fecha],"&lt;="&amp;EOMONTH($A19,0),Tabla1[Codigo_actividad],Y$4)*Y$3</f>
        <v>0</v>
      </c>
      <c r="Z19" s="314">
        <f>+SUMIFS(Tabla1[Avance_Med],Tabla1[Fecha],"&gt;="&amp;$A19,Tabla1[Fecha],"&lt;="&amp;EOMONTH($A19,0),Tabla1[Codigo_actividad],Z$4)*Z$3</f>
        <v>0</v>
      </c>
      <c r="AA19" s="314">
        <f>+SUMIFS(Tabla1[Avance_Med],Tabla1[Fecha],"&gt;="&amp;$A19,Tabla1[Fecha],"&lt;="&amp;EOMONTH($A19,0),Tabla1[Codigo_actividad],AA$4)*AA$3</f>
        <v>0</v>
      </c>
      <c r="AB19" s="314">
        <f>+SUMIFS(Tabla1[Avance_Med],Tabla1[Fecha],"&gt;="&amp;$A19,Tabla1[Fecha],"&lt;="&amp;EOMONTH($A19,0),Tabla1[Codigo_actividad],AB$4)*AB$3</f>
        <v>0</v>
      </c>
      <c r="AC19" s="314">
        <f>+SUMIFS(Tabla1[Avance_Med],Tabla1[Fecha],"&gt;="&amp;$A19,Tabla1[Fecha],"&lt;="&amp;EOMONTH($A19,0),Tabla1[Codigo_actividad],AC$4)*AC$3</f>
        <v>0</v>
      </c>
      <c r="AD19" s="314">
        <f>+SUMIFS(Tabla1[Avance_Med],Tabla1[Fecha],"&gt;="&amp;$A19,Tabla1[Fecha],"&lt;="&amp;EOMONTH($A19,0),Tabla1[Codigo_actividad],AD$4)*AD$3</f>
        <v>0</v>
      </c>
      <c r="AE19" s="314">
        <f>+SUMIFS(Tabla1[Avance_Med],Tabla1[Fecha],"&gt;="&amp;$A19,Tabla1[Fecha],"&lt;="&amp;EOMONTH($A19,0),Tabla1[Codigo_actividad],AE$4)*AE$3</f>
        <v>0</v>
      </c>
      <c r="AF19" s="314">
        <f>+SUMIFS(Tabla1[Avance_Med],Tabla1[Fecha],"&gt;="&amp;$A19,Tabla1[Fecha],"&lt;="&amp;EOMONTH($A19,0),Tabla1[Codigo_actividad],AF$4)*AF$3</f>
        <v>0</v>
      </c>
      <c r="AG19" s="314">
        <f>+SUMIFS(Tabla1[Avance_Med],Tabla1[Fecha],"&gt;="&amp;$A19,Tabla1[Fecha],"&lt;="&amp;EOMONTH($A19,0),Tabla1[Codigo_actividad],AG$4)*AG$3</f>
        <v>0</v>
      </c>
      <c r="AH19" s="314">
        <f>+SUMIFS(Tabla1[Avance_Med],Tabla1[Fecha],"&gt;="&amp;$A19,Tabla1[Fecha],"&lt;="&amp;EOMONTH($A19,0),Tabla1[Codigo_actividad],AH$4)*AH$3</f>
        <v>0</v>
      </c>
      <c r="AI19" s="314">
        <f>+SUMIFS(Tabla1[Avance_Med],Tabla1[Fecha],"&gt;="&amp;$A19,Tabla1[Fecha],"&lt;="&amp;EOMONTH($A19,0),Tabla1[Codigo_actividad],AI$4)*AI$3</f>
        <v>0</v>
      </c>
      <c r="AJ19" s="314">
        <f>+SUMIFS(Tabla1[Avance_Med],Tabla1[Fecha],"&gt;="&amp;$A19,Tabla1[Fecha],"&lt;="&amp;EOMONTH($A19,0),Tabla1[Codigo_actividad],AJ$4)*AJ$3</f>
        <v>0</v>
      </c>
      <c r="AK19" s="314">
        <f>+SUMIFS(Tabla1[Avance_Med],Tabla1[Fecha],"&gt;="&amp;$A19,Tabla1[Fecha],"&lt;="&amp;EOMONTH($A19,0),Tabla1[Codigo_actividad],AK$4)*AK$3</f>
        <v>0</v>
      </c>
      <c r="AL19" s="314">
        <f>+SUMIFS(Tabla1[Avance_km],Tabla1[Fecha],"&gt;="&amp;$A19,Tabla1[Fecha],"&lt;="&amp;EOMONTH($A19,0),Tabla1[Codigo_actividad],AL$4)*AL$3</f>
        <v>0</v>
      </c>
      <c r="AM19" s="314">
        <f>+SUMIFS(Tabla1[Avance_Med],Tabla1[Fecha],"&gt;="&amp;$A19,Tabla1[Fecha],"&lt;="&amp;EOMONTH($A19,0),Tabla1[Codigo_actividad],AM$4)*AM$3</f>
        <v>0</v>
      </c>
      <c r="AN19" s="313"/>
      <c r="AO19" s="308">
        <f t="shared" si="1"/>
        <v>0</v>
      </c>
      <c r="AT19"/>
      <c r="AU19"/>
      <c r="AV19"/>
      <c r="AW19"/>
      <c r="AX19"/>
    </row>
    <row r="20" spans="1:52" x14ac:dyDescent="0.25">
      <c r="A20" t="s">
        <v>442</v>
      </c>
      <c r="B20"/>
      <c r="C20"/>
      <c r="D20"/>
      <c r="E20"/>
      <c r="F20"/>
      <c r="G20"/>
      <c r="H20"/>
      <c r="I20"/>
      <c r="AO20" s="309">
        <f>SUM(AO5:AO19)+AO25</f>
        <v>71142.862300002249</v>
      </c>
      <c r="AQ20" s="416">
        <f>+AO20/AO5</f>
        <v>-6.373139874999093E-3</v>
      </c>
      <c r="AT20"/>
      <c r="AU20"/>
      <c r="AV20"/>
      <c r="AW20"/>
      <c r="AX20"/>
    </row>
    <row r="21" spans="1:52" x14ac:dyDescent="0.25">
      <c r="A21"/>
      <c r="B21" s="310">
        <f>SUM(B6:B19)</f>
        <v>293805.96000000002</v>
      </c>
      <c r="C21" s="310">
        <f t="shared" ref="C21:AM21" si="2">SUM(C6:C19)</f>
        <v>377001.16000000003</v>
      </c>
      <c r="D21" s="310">
        <f t="shared" si="2"/>
        <v>114297.12000000001</v>
      </c>
      <c r="E21" s="310">
        <f t="shared" si="2"/>
        <v>123298.72</v>
      </c>
      <c r="F21" s="310">
        <f t="shared" si="2"/>
        <v>155121</v>
      </c>
      <c r="G21" s="310">
        <f t="shared" si="2"/>
        <v>183420.36000000002</v>
      </c>
      <c r="H21" s="441">
        <f>SUM(H6:H19)</f>
        <v>2641814.7749550003</v>
      </c>
      <c r="I21" s="311">
        <f t="shared" si="2"/>
        <v>0</v>
      </c>
      <c r="J21" s="441">
        <f t="shared" si="2"/>
        <v>2037743.3019349999</v>
      </c>
      <c r="K21" s="310">
        <f t="shared" si="2"/>
        <v>1627004.0999999999</v>
      </c>
      <c r="L21" s="310">
        <f t="shared" si="2"/>
        <v>1844568</v>
      </c>
      <c r="M21" s="441">
        <f t="shared" si="2"/>
        <v>410591.96541</v>
      </c>
      <c r="N21" s="310">
        <f t="shared" si="2"/>
        <v>325691.03999999998</v>
      </c>
      <c r="O21" s="310">
        <f t="shared" si="2"/>
        <v>243457.76</v>
      </c>
      <c r="P21" s="310">
        <f t="shared" si="2"/>
        <v>181299.80000000002</v>
      </c>
      <c r="Q21" s="310">
        <f t="shared" si="2"/>
        <v>113789.84999999999</v>
      </c>
      <c r="R21" s="310">
        <f t="shared" si="2"/>
        <v>28249.439999999995</v>
      </c>
      <c r="S21" s="310">
        <f t="shared" si="2"/>
        <v>30953.439999999995</v>
      </c>
      <c r="T21" s="310">
        <f t="shared" si="2"/>
        <v>31369.439999999995</v>
      </c>
      <c r="U21" s="310">
        <f t="shared" si="2"/>
        <v>4441.18</v>
      </c>
      <c r="V21" s="310">
        <f t="shared" si="2"/>
        <v>35529.440000000002</v>
      </c>
      <c r="W21" s="310">
        <f t="shared" si="2"/>
        <v>6271.77</v>
      </c>
      <c r="X21" s="310">
        <f t="shared" si="2"/>
        <v>8362.36</v>
      </c>
      <c r="Y21" s="310">
        <f t="shared" si="2"/>
        <v>9184</v>
      </c>
      <c r="Z21" s="310">
        <f t="shared" si="2"/>
        <v>65464</v>
      </c>
      <c r="AA21" s="310">
        <f t="shared" si="2"/>
        <v>0</v>
      </c>
      <c r="AB21" s="310">
        <f t="shared" si="2"/>
        <v>0</v>
      </c>
      <c r="AC21" s="310">
        <f t="shared" si="2"/>
        <v>0</v>
      </c>
      <c r="AD21" s="310">
        <f t="shared" si="2"/>
        <v>0</v>
      </c>
      <c r="AE21" s="310">
        <f t="shared" si="2"/>
        <v>0</v>
      </c>
      <c r="AF21" s="310">
        <f t="shared" si="2"/>
        <v>0</v>
      </c>
      <c r="AG21" s="310">
        <f t="shared" si="2"/>
        <v>0</v>
      </c>
      <c r="AH21" s="310">
        <f t="shared" si="2"/>
        <v>0</v>
      </c>
      <c r="AI21" s="310">
        <f t="shared" si="2"/>
        <v>0</v>
      </c>
      <c r="AJ21" s="310">
        <f t="shared" si="2"/>
        <v>173864.40000000002</v>
      </c>
      <c r="AK21" s="310">
        <f t="shared" si="2"/>
        <v>167470.32</v>
      </c>
      <c r="AL21" s="310">
        <f t="shared" si="2"/>
        <v>0</v>
      </c>
      <c r="AM21" s="310">
        <f t="shared" si="2"/>
        <v>0</v>
      </c>
      <c r="AN21" s="227"/>
      <c r="AO21" s="415">
        <f>+IF(SUM(AO6:AO19)=SUM(B21:AM21),SUM(AO6:AO19))</f>
        <v>11234064.702300003</v>
      </c>
      <c r="AQ21" s="417">
        <f>-AO21/AO5</f>
        <v>1.0063731398749991</v>
      </c>
    </row>
    <row r="22" spans="1:52" x14ac:dyDescent="0.25">
      <c r="A22"/>
      <c r="B22">
        <v>293805.96000000002</v>
      </c>
      <c r="C22"/>
      <c r="H22"/>
      <c r="I22"/>
      <c r="J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 s="415"/>
      <c r="AP22"/>
      <c r="AT22"/>
      <c r="AU22"/>
      <c r="AV22"/>
      <c r="AW22"/>
      <c r="AX22"/>
      <c r="AY22"/>
      <c r="AZ22"/>
    </row>
    <row r="23" spans="1:52" x14ac:dyDescent="0.25">
      <c r="A23"/>
      <c r="B23">
        <v>293805.95999999996</v>
      </c>
      <c r="C23"/>
      <c r="D23"/>
      <c r="E23"/>
      <c r="F23" s="487"/>
      <c r="G23"/>
      <c r="H23"/>
      <c r="I23"/>
      <c r="J23"/>
      <c r="K23" s="108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 s="13"/>
      <c r="AP23"/>
      <c r="AT23"/>
      <c r="AU23"/>
      <c r="AV23"/>
      <c r="AW23"/>
      <c r="AX23"/>
      <c r="AY23"/>
      <c r="AZ23"/>
    </row>
    <row r="24" spans="1:52" x14ac:dyDescent="0.25">
      <c r="A24"/>
      <c r="B24" s="488">
        <f>+B22-B23</f>
        <v>0</v>
      </c>
      <c r="C24" s="488"/>
      <c r="D24" s="488"/>
      <c r="E24" s="488"/>
      <c r="F24" s="488"/>
      <c r="G24" s="488"/>
      <c r="H24"/>
      <c r="I24"/>
      <c r="J24"/>
      <c r="K24" s="488"/>
      <c r="L24" s="488"/>
      <c r="M24" s="488"/>
      <c r="N24" s="488"/>
      <c r="O24" s="488"/>
      <c r="P24" s="488"/>
      <c r="Q24" s="488"/>
      <c r="R24" s="488"/>
      <c r="S24" s="488"/>
      <c r="T24" s="488"/>
      <c r="U24" s="488"/>
      <c r="V24" s="488"/>
      <c r="W24" s="488"/>
      <c r="X24" s="488"/>
      <c r="Y24" s="488"/>
      <c r="Z24" s="488"/>
      <c r="AA24" s="488"/>
      <c r="AB24" s="488"/>
      <c r="AC24" s="488"/>
      <c r="AD24" s="488"/>
      <c r="AE24" s="488"/>
      <c r="AF24" s="488"/>
      <c r="AG24" s="488"/>
      <c r="AH24" s="488"/>
      <c r="AI24" s="488"/>
      <c r="AJ24" s="488"/>
      <c r="AK24" s="488"/>
      <c r="AL24"/>
      <c r="AM24"/>
      <c r="AN24"/>
      <c r="AO24" s="483"/>
      <c r="AP24"/>
      <c r="AT24"/>
      <c r="AU24"/>
      <c r="AV24"/>
      <c r="AW24"/>
      <c r="AX24"/>
      <c r="AY24"/>
      <c r="AZ24"/>
    </row>
    <row r="25" spans="1:52" x14ac:dyDescent="0.25">
      <c r="A25"/>
      <c r="B25" s="76" t="s">
        <v>343</v>
      </c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 s="483"/>
      <c r="AP25"/>
      <c r="AT25"/>
      <c r="AU25"/>
      <c r="AV25"/>
      <c r="AW25"/>
      <c r="AX25"/>
      <c r="AY25"/>
      <c r="AZ25"/>
    </row>
    <row r="26" spans="1:52" x14ac:dyDescent="0.25">
      <c r="A26" s="226">
        <v>45962</v>
      </c>
      <c r="B26" s="307">
        <f>+SUMIFS(Tabla1[EV],Tabla1[Fecha],"&gt;="&amp;$A26,Tabla1[Fecha],"&lt;="&amp;EOMONTH($A26,0),Tabla1[EV],"&gt;0")</f>
        <v>1796316.4831999999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P26"/>
      <c r="AT26"/>
      <c r="AU26"/>
      <c r="AV26"/>
      <c r="AW26"/>
      <c r="AX26"/>
      <c r="AY26"/>
      <c r="AZ26"/>
    </row>
    <row r="27" spans="1:52" x14ac:dyDescent="0.25">
      <c r="A27" s="226">
        <v>45992</v>
      </c>
      <c r="B27" s="307">
        <f>+SUMIFS(Tabla1[EV],Tabla1[Fecha],"&gt;="&amp;$A27,Tabla1[Fecha],"&lt;="&amp;EOMONTH($A27,0),Tabla1[EV],"&gt;0")</f>
        <v>1538628.9995499998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 s="309"/>
      <c r="AP27"/>
      <c r="AT27"/>
      <c r="AU27"/>
      <c r="AV27"/>
      <c r="AW27"/>
      <c r="AX27"/>
      <c r="AY27"/>
      <c r="AZ27"/>
    </row>
    <row r="28" spans="1:52" x14ac:dyDescent="0.25">
      <c r="A28" s="226">
        <v>46023</v>
      </c>
      <c r="B28" s="307">
        <f>+SUMIFS(Tabla1[EV],Tabla1[Fecha],"&gt;="&amp;$A28,Tabla1[Fecha],"&lt;="&amp;EOMONTH($A28,0),Tabla1[EV],"&gt;0")</f>
        <v>1363213.0780099996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W28"/>
      <c r="X28"/>
      <c r="Y28"/>
      <c r="Z28"/>
      <c r="AA28" s="321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 s="321"/>
      <c r="AP28"/>
      <c r="AT28"/>
      <c r="AU28"/>
      <c r="AV28"/>
      <c r="AW28"/>
      <c r="AX28"/>
      <c r="AY28"/>
      <c r="AZ28"/>
    </row>
    <row r="29" spans="1:52" x14ac:dyDescent="0.25">
      <c r="A29" s="226">
        <v>46054</v>
      </c>
      <c r="B29" s="307">
        <f>+SUMIFS(Tabla1[EV],Tabla1[Fecha],"&gt;="&amp;$A29,Tabla1[Fecha],"&lt;="&amp;EOMONTH($A29,0),Tabla1[EV],"&gt;0")</f>
        <v>83844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 s="321"/>
      <c r="AP29"/>
      <c r="AT29"/>
      <c r="AU29"/>
      <c r="AV29"/>
      <c r="AW29"/>
      <c r="AX29"/>
      <c r="AY29"/>
      <c r="AZ29"/>
    </row>
    <row r="30" spans="1:52" x14ac:dyDescent="0.25">
      <c r="A30" s="226">
        <v>46082</v>
      </c>
      <c r="B30" s="307">
        <f>+SUMIFS(Tabla1[EV],Tabla1[Fecha],"&gt;="&amp;$A30,Tabla1[Fecha],"&lt;="&amp;EOMONTH($A30,0),Tabla1[EV],"&gt;0")</f>
        <v>1512809.8920000005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T30"/>
      <c r="AU30"/>
      <c r="AV30"/>
      <c r="AW30"/>
      <c r="AX30"/>
      <c r="AY30"/>
      <c r="AZ30"/>
    </row>
    <row r="31" spans="1:52" x14ac:dyDescent="0.25">
      <c r="A31" s="226">
        <v>46113</v>
      </c>
      <c r="B31" s="307">
        <f>+SUMIFS(Tabla1[EV],Tabla1[Fecha],"&gt;="&amp;$A31,Tabla1[Fecha],"&lt;="&amp;EOMONTH($A31,0),Tabla1[EV],"&gt;0")</f>
        <v>312307.15576999995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 s="484"/>
      <c r="AP31"/>
      <c r="AT31"/>
      <c r="AU31"/>
      <c r="AV31"/>
      <c r="AW31"/>
      <c r="AX31"/>
      <c r="AY31"/>
      <c r="AZ31"/>
    </row>
    <row r="32" spans="1:52" x14ac:dyDescent="0.25">
      <c r="A32" s="226">
        <v>46143</v>
      </c>
      <c r="B32" s="307">
        <f>+SUMIFS(Tabla1[EV],Tabla1[Fecha],"&gt;="&amp;$A32,Tabla1[Fecha],"&lt;="&amp;EOMONTH($A32,0),Tabla1[EV],"&gt;0")</f>
        <v>441435.45984999998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T32"/>
      <c r="AU32"/>
      <c r="AV32"/>
      <c r="AW32"/>
      <c r="AX32"/>
      <c r="AY32"/>
      <c r="AZ32"/>
    </row>
    <row r="33" spans="1:52" x14ac:dyDescent="0.25">
      <c r="A33" s="226">
        <v>46174</v>
      </c>
      <c r="B33" s="307">
        <f>+SUMIFS(Tabla1[EV],Tabla1[Fecha],"&gt;="&amp;$A33,Tabla1[Fecha],"&lt;="&amp;EOMONTH($A33,0),Tabla1[EV],"&gt;0")</f>
        <v>307419.66662000003</v>
      </c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T33"/>
      <c r="AU33"/>
      <c r="AV33"/>
      <c r="AW33"/>
      <c r="AX33"/>
      <c r="AY33"/>
      <c r="AZ33"/>
    </row>
    <row r="34" spans="1:52" x14ac:dyDescent="0.25">
      <c r="A34" s="226">
        <v>46204</v>
      </c>
      <c r="B34" s="307">
        <f>+SUMIFS(Tabla1[EV],Tabla1[Fecha],"&gt;="&amp;$A34,Tabla1[Fecha],"&lt;="&amp;EOMONTH($A34,0),Tabla1[EV],"&gt;0")</f>
        <v>371107.12551999994</v>
      </c>
      <c r="C34"/>
      <c r="D34"/>
      <c r="E34"/>
      <c r="F34"/>
      <c r="G34"/>
      <c r="H34"/>
      <c r="I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T34"/>
      <c r="AU34"/>
      <c r="AV34"/>
      <c r="AW34"/>
      <c r="AX34"/>
      <c r="AY34"/>
      <c r="AZ34"/>
    </row>
    <row r="35" spans="1:52" x14ac:dyDescent="0.25">
      <c r="A35" s="226">
        <v>46235</v>
      </c>
      <c r="B35" s="307">
        <f>+SUMIFS(Tabla1[EV],Tabla1[Fecha],"&gt;="&amp;$A35,Tabla1[Fecha],"&lt;="&amp;EOMONTH($A35,0),Tabla1[EV],"&gt;0")</f>
        <v>1024464.1317800004</v>
      </c>
      <c r="C35"/>
      <c r="D35"/>
      <c r="E35"/>
      <c r="F35"/>
      <c r="G35"/>
      <c r="H35"/>
      <c r="I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T35"/>
      <c r="AU35"/>
      <c r="AV35"/>
      <c r="AW35"/>
      <c r="AX35"/>
      <c r="AY35"/>
      <c r="AZ35"/>
    </row>
    <row r="36" spans="1:52" x14ac:dyDescent="0.25">
      <c r="A36" s="226">
        <v>46266</v>
      </c>
      <c r="B36" s="307">
        <f>+SUMIFS(Tabla1[EV],Tabla1[Fecha],"&gt;="&amp;$A36,Tabla1[Fecha],"&lt;="&amp;EOMONTH($A36,0),Tabla1[EV],"&gt;0")</f>
        <v>1193006.1346000009</v>
      </c>
      <c r="C36"/>
      <c r="D36"/>
      <c r="E36"/>
      <c r="F36"/>
      <c r="G36"/>
      <c r="H36"/>
      <c r="I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T36"/>
      <c r="AU36"/>
      <c r="AV36"/>
      <c r="AW36"/>
      <c r="AX36"/>
      <c r="AY36"/>
      <c r="AZ36"/>
    </row>
    <row r="37" spans="1:52" x14ac:dyDescent="0.25">
      <c r="A37" s="226">
        <v>46296</v>
      </c>
      <c r="B37" s="307">
        <f>+SUMIFS(Tabla1[EV],Tabla1[Fecha],"&gt;="&amp;$A37,Tabla1[Fecha],"&lt;="&amp;EOMONTH($A37,0),Tabla1[EV],"&gt;0")</f>
        <v>1289512.5754000002</v>
      </c>
      <c r="C37"/>
      <c r="D37"/>
      <c r="E37"/>
      <c r="F37"/>
      <c r="G37"/>
      <c r="H37"/>
      <c r="I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T37"/>
      <c r="AU37"/>
      <c r="AV37"/>
      <c r="AW37"/>
      <c r="AX37"/>
      <c r="AY37"/>
      <c r="AZ37"/>
    </row>
    <row r="38" spans="1:52" x14ac:dyDescent="0.25">
      <c r="A38" t="s">
        <v>508</v>
      </c>
      <c r="B38" s="312">
        <f>SUM(B26:B37)</f>
        <v>11234064.702300001</v>
      </c>
      <c r="C38" s="293"/>
      <c r="D38"/>
      <c r="E38"/>
      <c r="F38"/>
      <c r="G38"/>
      <c r="H38"/>
      <c r="I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T38"/>
      <c r="AU38"/>
      <c r="AV38"/>
      <c r="AW38"/>
      <c r="AX38"/>
      <c r="AY38"/>
      <c r="AZ38"/>
    </row>
    <row r="39" spans="1:52" x14ac:dyDescent="0.25">
      <c r="A39"/>
      <c r="B39"/>
      <c r="C39"/>
      <c r="D39"/>
      <c r="E39"/>
      <c r="F39"/>
      <c r="G39"/>
      <c r="H39"/>
      <c r="I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T39"/>
      <c r="AU39"/>
      <c r="AV39"/>
      <c r="AW39"/>
      <c r="AX39"/>
      <c r="AY39"/>
      <c r="AZ39"/>
    </row>
    <row r="40" spans="1:52" x14ac:dyDescent="0.25">
      <c r="A40"/>
      <c r="B40" s="321"/>
      <c r="C40"/>
      <c r="D40"/>
      <c r="E40"/>
      <c r="F40"/>
      <c r="G40"/>
      <c r="H40"/>
      <c r="I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T40"/>
      <c r="AU40"/>
      <c r="AV40"/>
      <c r="AW40"/>
      <c r="AX40"/>
      <c r="AY40"/>
      <c r="AZ40"/>
    </row>
    <row r="41" spans="1:52" x14ac:dyDescent="0.25">
      <c r="A41"/>
      <c r="B41"/>
      <c r="C41"/>
      <c r="D41"/>
      <c r="E41"/>
      <c r="F41"/>
      <c r="G41"/>
      <c r="H41"/>
      <c r="I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T41"/>
      <c r="AU41"/>
      <c r="AV41"/>
      <c r="AW41"/>
      <c r="AX41"/>
      <c r="AY41"/>
      <c r="AZ41"/>
    </row>
    <row r="42" spans="1:52" x14ac:dyDescent="0.25">
      <c r="A42"/>
      <c r="B42"/>
      <c r="C42"/>
      <c r="D42"/>
      <c r="E42"/>
      <c r="F42"/>
      <c r="G42"/>
      <c r="H42"/>
      <c r="I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T42"/>
      <c r="AU42"/>
      <c r="AV42"/>
      <c r="AW42"/>
      <c r="AX42"/>
      <c r="AY42"/>
      <c r="AZ42"/>
    </row>
    <row r="43" spans="1:52" x14ac:dyDescent="0.25">
      <c r="A43"/>
      <c r="B43"/>
      <c r="C43"/>
      <c r="D43"/>
      <c r="E43"/>
      <c r="F43"/>
      <c r="G43"/>
      <c r="H43"/>
      <c r="I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T43"/>
      <c r="AU43"/>
      <c r="AV43"/>
      <c r="AW43"/>
      <c r="AX43"/>
      <c r="AY43"/>
      <c r="AZ43"/>
    </row>
    <row r="44" spans="1:52" x14ac:dyDescent="0.25">
      <c r="A44"/>
      <c r="B44"/>
      <c r="C44"/>
      <c r="D44"/>
      <c r="E44"/>
      <c r="F44"/>
      <c r="G44"/>
      <c r="H44"/>
      <c r="I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T44"/>
      <c r="AU44"/>
      <c r="AV44"/>
      <c r="AW44"/>
      <c r="AX44"/>
      <c r="AY44"/>
      <c r="AZ44"/>
    </row>
    <row r="45" spans="1:52" x14ac:dyDescent="0.25">
      <c r="A45"/>
      <c r="B45"/>
      <c r="C45"/>
      <c r="D45"/>
      <c r="E45"/>
      <c r="F45"/>
      <c r="G45"/>
      <c r="H45"/>
      <c r="I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T45"/>
      <c r="AU45"/>
      <c r="AV45"/>
      <c r="AW45"/>
      <c r="AX45"/>
      <c r="AY45"/>
      <c r="AZ45"/>
    </row>
    <row r="46" spans="1:52" x14ac:dyDescent="0.25">
      <c r="A46"/>
      <c r="B46"/>
      <c r="C46"/>
      <c r="D46"/>
      <c r="E46"/>
      <c r="F46"/>
      <c r="G46"/>
      <c r="H46"/>
      <c r="I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T46"/>
      <c r="AU46"/>
      <c r="AV46"/>
      <c r="AW46"/>
      <c r="AX46"/>
      <c r="AY46"/>
      <c r="AZ46"/>
    </row>
    <row r="47" spans="1:52" x14ac:dyDescent="0.25">
      <c r="A47"/>
      <c r="B47"/>
      <c r="C47"/>
      <c r="D47"/>
      <c r="E47"/>
      <c r="F47"/>
      <c r="G47"/>
      <c r="H47"/>
      <c r="I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T47"/>
      <c r="AU47"/>
      <c r="AV47"/>
      <c r="AW47"/>
      <c r="AX47"/>
      <c r="AY47"/>
      <c r="AZ47"/>
    </row>
    <row r="48" spans="1:52" x14ac:dyDescent="0.25">
      <c r="A48"/>
      <c r="B48"/>
      <c r="C48"/>
      <c r="D48"/>
      <c r="E48"/>
      <c r="F48"/>
      <c r="G48"/>
      <c r="H48"/>
      <c r="I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T48"/>
      <c r="AU48"/>
      <c r="AV48"/>
      <c r="AW48"/>
      <c r="AX48"/>
      <c r="AY48"/>
      <c r="AZ48"/>
    </row>
    <row r="49" spans="1:52" x14ac:dyDescent="0.25">
      <c r="A49"/>
      <c r="B49"/>
      <c r="C49"/>
      <c r="D49"/>
      <c r="E49"/>
      <c r="F49"/>
      <c r="G49"/>
      <c r="H49"/>
      <c r="I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T49"/>
      <c r="AU49"/>
      <c r="AV49"/>
      <c r="AW49"/>
      <c r="AX49"/>
      <c r="AY49"/>
      <c r="AZ49"/>
    </row>
    <row r="50" spans="1:52" x14ac:dyDescent="0.25">
      <c r="A50"/>
      <c r="B50"/>
      <c r="C50"/>
      <c r="D50"/>
      <c r="E50"/>
      <c r="F50"/>
      <c r="G50"/>
      <c r="H50"/>
      <c r="I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T50"/>
      <c r="AU50"/>
      <c r="AV50"/>
      <c r="AW50"/>
      <c r="AX50"/>
      <c r="AY50"/>
      <c r="AZ50"/>
    </row>
    <row r="51" spans="1:52" x14ac:dyDescent="0.25">
      <c r="A51"/>
      <c r="B51"/>
      <c r="C51"/>
      <c r="D51"/>
      <c r="E51"/>
      <c r="F51"/>
      <c r="G51"/>
      <c r="H51"/>
      <c r="I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T51"/>
      <c r="AU51"/>
      <c r="AV51"/>
      <c r="AW51"/>
      <c r="AX51"/>
      <c r="AY51"/>
      <c r="AZ51"/>
    </row>
    <row r="52" spans="1:52" x14ac:dyDescent="0.25">
      <c r="A52"/>
      <c r="B52"/>
      <c r="C52"/>
      <c r="D52"/>
      <c r="E52"/>
      <c r="F52"/>
      <c r="G52"/>
      <c r="H52"/>
      <c r="I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T52"/>
      <c r="AU52"/>
      <c r="AV52"/>
      <c r="AW52"/>
      <c r="AX52"/>
      <c r="AY52"/>
      <c r="AZ52"/>
    </row>
    <row r="53" spans="1:52" x14ac:dyDescent="0.25">
      <c r="A53"/>
      <c r="B53"/>
      <c r="C53"/>
      <c r="D53"/>
      <c r="E53"/>
      <c r="F53"/>
      <c r="G53"/>
      <c r="H53"/>
      <c r="I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T53"/>
      <c r="AU53"/>
      <c r="AV53"/>
      <c r="AW53"/>
      <c r="AX53"/>
      <c r="AY53"/>
      <c r="AZ53"/>
    </row>
    <row r="54" spans="1:52" x14ac:dyDescent="0.25">
      <c r="A54"/>
      <c r="B54"/>
      <c r="C54"/>
      <c r="D54"/>
      <c r="E54"/>
      <c r="F54"/>
      <c r="G54"/>
      <c r="H54"/>
      <c r="I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T54"/>
      <c r="AU54"/>
      <c r="AV54"/>
      <c r="AW54"/>
      <c r="AX54"/>
      <c r="AY54"/>
      <c r="AZ54"/>
    </row>
    <row r="55" spans="1:52" x14ac:dyDescent="0.25">
      <c r="A55"/>
      <c r="B55"/>
      <c r="C55"/>
      <c r="D55"/>
      <c r="E55"/>
      <c r="F55"/>
      <c r="G55"/>
      <c r="H55"/>
      <c r="I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T55"/>
      <c r="AU55"/>
      <c r="AV55"/>
      <c r="AW55"/>
      <c r="AX55"/>
      <c r="AY55"/>
      <c r="AZ55"/>
    </row>
    <row r="56" spans="1:52" x14ac:dyDescent="0.25">
      <c r="A56"/>
      <c r="B56"/>
      <c r="C56"/>
      <c r="D56"/>
      <c r="E56"/>
      <c r="F56"/>
      <c r="G56"/>
      <c r="H56"/>
      <c r="I56"/>
    </row>
    <row r="57" spans="1:52" x14ac:dyDescent="0.25">
      <c r="A57"/>
      <c r="B57"/>
      <c r="C57"/>
      <c r="D57"/>
      <c r="E57"/>
      <c r="F57"/>
      <c r="G57"/>
      <c r="H57"/>
      <c r="I57"/>
    </row>
    <row r="58" spans="1:52" x14ac:dyDescent="0.25">
      <c r="A58"/>
      <c r="B58"/>
      <c r="C58"/>
      <c r="D58"/>
      <c r="E58"/>
      <c r="F58"/>
      <c r="G58"/>
      <c r="H58"/>
      <c r="I58"/>
    </row>
    <row r="59" spans="1:52" x14ac:dyDescent="0.25">
      <c r="A59"/>
      <c r="B59"/>
      <c r="C59"/>
      <c r="D59"/>
      <c r="E59"/>
      <c r="F59"/>
      <c r="G59"/>
      <c r="H59"/>
      <c r="I59"/>
    </row>
    <row r="60" spans="1:52" x14ac:dyDescent="0.25">
      <c r="A60"/>
      <c r="B60"/>
      <c r="C60"/>
      <c r="D60"/>
      <c r="E60"/>
      <c r="F60"/>
      <c r="G60"/>
      <c r="H60"/>
      <c r="I60"/>
    </row>
    <row r="61" spans="1:52" x14ac:dyDescent="0.25">
      <c r="A61"/>
      <c r="B61"/>
      <c r="C61"/>
      <c r="D61"/>
      <c r="E61"/>
      <c r="F61"/>
      <c r="G61"/>
      <c r="H61"/>
      <c r="I61"/>
    </row>
    <row r="62" spans="1:52" x14ac:dyDescent="0.25">
      <c r="A62"/>
      <c r="B62"/>
      <c r="C62"/>
      <c r="D62"/>
      <c r="E62"/>
      <c r="F62"/>
      <c r="G62"/>
      <c r="H62"/>
      <c r="I62"/>
    </row>
    <row r="63" spans="1:52" x14ac:dyDescent="0.25">
      <c r="A63"/>
      <c r="B63"/>
      <c r="C63"/>
      <c r="D63"/>
      <c r="E63"/>
      <c r="F63"/>
      <c r="G63"/>
      <c r="H63"/>
      <c r="I63"/>
    </row>
    <row r="64" spans="1:52" x14ac:dyDescent="0.25">
      <c r="A64"/>
      <c r="B64"/>
      <c r="C64"/>
      <c r="D64"/>
      <c r="E64"/>
      <c r="F64"/>
      <c r="G64"/>
      <c r="H64"/>
      <c r="I64"/>
    </row>
    <row r="65" spans="1:9" x14ac:dyDescent="0.25">
      <c r="A65"/>
      <c r="B65"/>
      <c r="C65"/>
      <c r="D65"/>
      <c r="E65"/>
      <c r="F65"/>
      <c r="G65"/>
      <c r="H65"/>
      <c r="I65"/>
    </row>
    <row r="66" spans="1:9" x14ac:dyDescent="0.25">
      <c r="A66"/>
      <c r="B66"/>
      <c r="C66"/>
      <c r="D66"/>
      <c r="E66"/>
      <c r="F66"/>
      <c r="G66"/>
      <c r="H66"/>
      <c r="I66"/>
    </row>
    <row r="67" spans="1:9" x14ac:dyDescent="0.25">
      <c r="A67"/>
      <c r="B67"/>
      <c r="C67"/>
      <c r="D67"/>
      <c r="E67"/>
      <c r="F67"/>
      <c r="G67"/>
      <c r="H67"/>
      <c r="I67"/>
    </row>
    <row r="68" spans="1:9" x14ac:dyDescent="0.25">
      <c r="A68"/>
      <c r="B68"/>
      <c r="C68"/>
      <c r="D68"/>
      <c r="E68"/>
      <c r="F68"/>
      <c r="G68"/>
      <c r="H68"/>
      <c r="I68"/>
    </row>
    <row r="69" spans="1:9" x14ac:dyDescent="0.25">
      <c r="A69"/>
      <c r="B69"/>
      <c r="C69"/>
      <c r="D69"/>
      <c r="E69"/>
      <c r="F69"/>
      <c r="G69"/>
      <c r="H69"/>
      <c r="I69"/>
    </row>
    <row r="70" spans="1:9" x14ac:dyDescent="0.25">
      <c r="A70"/>
      <c r="B70"/>
      <c r="C70"/>
      <c r="D70"/>
      <c r="E70"/>
      <c r="F70"/>
      <c r="G70"/>
      <c r="H70"/>
      <c r="I70"/>
    </row>
    <row r="71" spans="1:9" x14ac:dyDescent="0.25">
      <c r="A71"/>
      <c r="B71"/>
      <c r="C71"/>
      <c r="D71"/>
      <c r="E71"/>
      <c r="F71"/>
      <c r="G71"/>
      <c r="H71"/>
      <c r="I71"/>
    </row>
    <row r="72" spans="1:9" x14ac:dyDescent="0.25">
      <c r="A72"/>
      <c r="B72"/>
      <c r="C72"/>
      <c r="D72"/>
      <c r="E72"/>
      <c r="F72"/>
      <c r="G72"/>
      <c r="H72"/>
      <c r="I72"/>
    </row>
    <row r="73" spans="1:9" x14ac:dyDescent="0.25">
      <c r="A73"/>
      <c r="B73"/>
      <c r="C73"/>
      <c r="D73"/>
      <c r="E73"/>
      <c r="F73"/>
      <c r="G73"/>
      <c r="H73"/>
      <c r="I73"/>
    </row>
    <row r="74" spans="1:9" x14ac:dyDescent="0.25">
      <c r="A74"/>
      <c r="B74"/>
      <c r="C74"/>
      <c r="D74"/>
      <c r="E74"/>
      <c r="F74"/>
      <c r="G74"/>
      <c r="H74"/>
      <c r="I74"/>
    </row>
    <row r="75" spans="1:9" x14ac:dyDescent="0.25">
      <c r="A75"/>
      <c r="B75"/>
      <c r="C75"/>
      <c r="D75"/>
      <c r="E75"/>
      <c r="F75"/>
      <c r="G75"/>
      <c r="H75"/>
      <c r="I75"/>
    </row>
    <row r="76" spans="1:9" x14ac:dyDescent="0.25">
      <c r="A76"/>
      <c r="B76"/>
      <c r="C76"/>
      <c r="D76"/>
      <c r="E76"/>
      <c r="F76"/>
      <c r="G76"/>
      <c r="H76"/>
      <c r="I76"/>
    </row>
    <row r="77" spans="1:9" x14ac:dyDescent="0.25">
      <c r="A77"/>
      <c r="B77"/>
      <c r="C77"/>
      <c r="D77"/>
      <c r="E77"/>
      <c r="F77"/>
      <c r="G77"/>
      <c r="H77"/>
      <c r="I77"/>
    </row>
    <row r="78" spans="1:9" x14ac:dyDescent="0.25">
      <c r="A78"/>
      <c r="B78"/>
      <c r="C78"/>
      <c r="D78"/>
      <c r="E78"/>
      <c r="F78"/>
      <c r="G78"/>
      <c r="H78"/>
      <c r="I78"/>
    </row>
    <row r="79" spans="1:9" x14ac:dyDescent="0.25">
      <c r="A79"/>
      <c r="B79"/>
      <c r="C79"/>
      <c r="D79"/>
      <c r="E79"/>
      <c r="F79"/>
      <c r="G79"/>
      <c r="H79"/>
      <c r="I79"/>
    </row>
    <row r="80" spans="1:9" x14ac:dyDescent="0.25">
      <c r="A80"/>
      <c r="B80"/>
      <c r="C80"/>
      <c r="D80"/>
      <c r="E80"/>
      <c r="F80"/>
      <c r="G80"/>
      <c r="H80"/>
      <c r="I80"/>
    </row>
    <row r="81" spans="1:9" x14ac:dyDescent="0.25">
      <c r="A81"/>
      <c r="B81"/>
      <c r="C81"/>
      <c r="D81"/>
      <c r="E81"/>
      <c r="F81"/>
      <c r="G81"/>
      <c r="H81"/>
      <c r="I81"/>
    </row>
    <row r="82" spans="1:9" x14ac:dyDescent="0.25">
      <c r="A82"/>
      <c r="B82"/>
      <c r="C82"/>
      <c r="D82"/>
      <c r="E82"/>
      <c r="F82"/>
      <c r="G82"/>
      <c r="H82"/>
      <c r="I82"/>
    </row>
    <row r="83" spans="1:9" x14ac:dyDescent="0.25">
      <c r="A83"/>
      <c r="B83"/>
      <c r="C83"/>
      <c r="D83"/>
      <c r="E83"/>
      <c r="F83"/>
      <c r="G83"/>
      <c r="H83"/>
      <c r="I83"/>
    </row>
    <row r="84" spans="1:9" x14ac:dyDescent="0.25">
      <c r="A84"/>
      <c r="B84"/>
      <c r="C84"/>
      <c r="D84"/>
      <c r="E84"/>
      <c r="F84"/>
      <c r="G84"/>
      <c r="H84"/>
      <c r="I84"/>
    </row>
    <row r="85" spans="1:9" x14ac:dyDescent="0.25">
      <c r="A85"/>
      <c r="B85"/>
      <c r="C85"/>
      <c r="D85"/>
      <c r="E85"/>
      <c r="F85"/>
      <c r="G85"/>
      <c r="H85"/>
      <c r="I85"/>
    </row>
    <row r="86" spans="1:9" x14ac:dyDescent="0.25">
      <c r="A86"/>
      <c r="B86"/>
      <c r="C86"/>
      <c r="D86"/>
      <c r="E86"/>
      <c r="F86"/>
      <c r="G86"/>
      <c r="H86"/>
      <c r="I86"/>
    </row>
    <row r="87" spans="1:9" x14ac:dyDescent="0.25">
      <c r="A87"/>
      <c r="B87"/>
      <c r="C87"/>
      <c r="D87"/>
      <c r="E87"/>
      <c r="F87"/>
      <c r="G87"/>
      <c r="H87"/>
      <c r="I87"/>
    </row>
    <row r="88" spans="1:9" x14ac:dyDescent="0.25">
      <c r="A88"/>
      <c r="B88"/>
      <c r="C88"/>
      <c r="D88"/>
      <c r="E88"/>
      <c r="F88"/>
      <c r="G88"/>
      <c r="H88"/>
      <c r="I88"/>
    </row>
    <row r="89" spans="1:9" x14ac:dyDescent="0.25">
      <c r="A89"/>
      <c r="B89"/>
      <c r="C89"/>
      <c r="D89"/>
      <c r="E89"/>
      <c r="F89"/>
      <c r="G89"/>
      <c r="H89"/>
      <c r="I89"/>
    </row>
    <row r="90" spans="1:9" x14ac:dyDescent="0.25">
      <c r="A90"/>
      <c r="B90"/>
      <c r="C90"/>
      <c r="D90"/>
      <c r="E90"/>
      <c r="F90"/>
      <c r="G90"/>
      <c r="H90"/>
      <c r="I90"/>
    </row>
    <row r="91" spans="1:9" x14ac:dyDescent="0.25">
      <c r="A91"/>
      <c r="B91"/>
      <c r="C91"/>
      <c r="D91"/>
      <c r="E91"/>
      <c r="F91"/>
      <c r="G91"/>
      <c r="H91"/>
      <c r="I91"/>
    </row>
    <row r="92" spans="1:9" x14ac:dyDescent="0.25">
      <c r="A92"/>
      <c r="B92"/>
      <c r="C92"/>
      <c r="D92"/>
      <c r="E92"/>
      <c r="F92"/>
      <c r="G92"/>
      <c r="H92"/>
      <c r="I92"/>
    </row>
    <row r="93" spans="1:9" x14ac:dyDescent="0.25">
      <c r="A93"/>
      <c r="B93"/>
      <c r="C93"/>
      <c r="D93"/>
      <c r="E93"/>
      <c r="F93"/>
      <c r="G93"/>
      <c r="H93"/>
      <c r="I93"/>
    </row>
    <row r="94" spans="1:9" x14ac:dyDescent="0.25">
      <c r="A94"/>
      <c r="B94"/>
      <c r="C94"/>
      <c r="D94"/>
      <c r="E94"/>
      <c r="F94"/>
      <c r="G94"/>
      <c r="H94"/>
      <c r="I94"/>
    </row>
    <row r="95" spans="1:9" x14ac:dyDescent="0.25">
      <c r="A95"/>
      <c r="B95"/>
      <c r="C95"/>
      <c r="D95"/>
      <c r="E95"/>
      <c r="F95"/>
      <c r="G95"/>
      <c r="H95"/>
      <c r="I95"/>
    </row>
    <row r="96" spans="1:9" x14ac:dyDescent="0.25">
      <c r="A96"/>
      <c r="B96"/>
      <c r="C96"/>
      <c r="D96"/>
      <c r="E96"/>
      <c r="F96"/>
      <c r="G96"/>
      <c r="H96"/>
      <c r="I96"/>
    </row>
    <row r="97" spans="1:9" x14ac:dyDescent="0.25">
      <c r="A97"/>
      <c r="B97"/>
      <c r="C97"/>
      <c r="D97"/>
      <c r="E97"/>
      <c r="F97"/>
      <c r="G97"/>
      <c r="H97"/>
      <c r="I97"/>
    </row>
    <row r="98" spans="1:9" x14ac:dyDescent="0.25">
      <c r="A98"/>
      <c r="B98"/>
      <c r="C98"/>
      <c r="D98"/>
      <c r="E98"/>
      <c r="F98"/>
      <c r="G98"/>
      <c r="H98"/>
      <c r="I98"/>
    </row>
    <row r="99" spans="1:9" x14ac:dyDescent="0.25">
      <c r="A99"/>
      <c r="B99"/>
      <c r="C99"/>
      <c r="D99"/>
      <c r="E99"/>
      <c r="F99"/>
      <c r="G99"/>
      <c r="H99"/>
      <c r="I99"/>
    </row>
    <row r="100" spans="1:9" x14ac:dyDescent="0.25">
      <c r="A100"/>
      <c r="B100"/>
      <c r="C100"/>
      <c r="D100"/>
      <c r="E100"/>
      <c r="F100"/>
      <c r="G100"/>
      <c r="H100"/>
      <c r="I100"/>
    </row>
    <row r="101" spans="1:9" x14ac:dyDescent="0.25">
      <c r="A101"/>
      <c r="B101"/>
      <c r="C101"/>
      <c r="D101"/>
      <c r="E101"/>
      <c r="F101"/>
      <c r="G101"/>
      <c r="H101"/>
      <c r="I101"/>
    </row>
    <row r="102" spans="1:9" x14ac:dyDescent="0.25">
      <c r="A102"/>
      <c r="B102"/>
      <c r="C102"/>
      <c r="D102"/>
      <c r="E102"/>
      <c r="F102"/>
      <c r="G102"/>
      <c r="H102"/>
      <c r="I102"/>
    </row>
    <row r="103" spans="1:9" x14ac:dyDescent="0.25">
      <c r="A103"/>
      <c r="B103"/>
      <c r="C103"/>
      <c r="D103"/>
      <c r="E103"/>
      <c r="F103"/>
      <c r="G103"/>
      <c r="H103"/>
      <c r="I103"/>
    </row>
    <row r="104" spans="1:9" x14ac:dyDescent="0.25">
      <c r="A104"/>
      <c r="B104"/>
      <c r="C104"/>
      <c r="D104"/>
      <c r="E104"/>
      <c r="F104"/>
      <c r="G104"/>
      <c r="H104"/>
      <c r="I104"/>
    </row>
    <row r="105" spans="1:9" x14ac:dyDescent="0.25">
      <c r="A105"/>
      <c r="B105"/>
      <c r="C105"/>
      <c r="D105"/>
      <c r="E105"/>
      <c r="F105"/>
      <c r="G105"/>
      <c r="H105"/>
      <c r="I105"/>
    </row>
    <row r="106" spans="1:9" x14ac:dyDescent="0.25">
      <c r="A106"/>
      <c r="B106"/>
      <c r="C106"/>
      <c r="D106"/>
      <c r="E106"/>
      <c r="F106"/>
      <c r="G106"/>
      <c r="H106"/>
      <c r="I106"/>
    </row>
    <row r="107" spans="1:9" x14ac:dyDescent="0.25">
      <c r="A107"/>
      <c r="B107"/>
      <c r="C107"/>
      <c r="D107"/>
      <c r="E107"/>
      <c r="F107"/>
      <c r="G107"/>
      <c r="H107"/>
      <c r="I107"/>
    </row>
    <row r="108" spans="1:9" x14ac:dyDescent="0.25">
      <c r="A108"/>
      <c r="B108"/>
      <c r="C108"/>
      <c r="D108"/>
      <c r="E108"/>
      <c r="F108"/>
      <c r="G108"/>
      <c r="H108"/>
      <c r="I108"/>
    </row>
    <row r="109" spans="1:9" x14ac:dyDescent="0.25">
      <c r="A109"/>
      <c r="B109"/>
      <c r="C109"/>
      <c r="D109"/>
      <c r="E109"/>
      <c r="F109"/>
      <c r="G109"/>
      <c r="H109"/>
      <c r="I109"/>
    </row>
    <row r="110" spans="1:9" x14ac:dyDescent="0.25">
      <c r="A110"/>
      <c r="B110"/>
      <c r="C110"/>
      <c r="D110"/>
      <c r="E110"/>
      <c r="F110"/>
      <c r="G110"/>
      <c r="H110"/>
      <c r="I110"/>
    </row>
    <row r="111" spans="1:9" x14ac:dyDescent="0.25">
      <c r="A111"/>
      <c r="B111"/>
      <c r="C111"/>
      <c r="D111"/>
      <c r="E111"/>
      <c r="F111"/>
      <c r="G111"/>
      <c r="H111"/>
      <c r="I111"/>
    </row>
    <row r="112" spans="1:9" x14ac:dyDescent="0.25">
      <c r="A112"/>
      <c r="B112"/>
      <c r="C112"/>
      <c r="D112"/>
      <c r="E112"/>
      <c r="F112"/>
      <c r="G112"/>
      <c r="H112"/>
      <c r="I112"/>
    </row>
    <row r="113" spans="1:9" x14ac:dyDescent="0.25">
      <c r="A113"/>
      <c r="B113"/>
      <c r="C113"/>
      <c r="D113"/>
      <c r="E113"/>
      <c r="F113"/>
      <c r="G113"/>
      <c r="H113"/>
      <c r="I113"/>
    </row>
    <row r="114" spans="1:9" x14ac:dyDescent="0.25">
      <c r="A114"/>
      <c r="B114"/>
      <c r="C114"/>
      <c r="D114"/>
      <c r="E114"/>
      <c r="F114"/>
      <c r="G114"/>
      <c r="H114"/>
      <c r="I114"/>
    </row>
    <row r="115" spans="1:9" x14ac:dyDescent="0.25">
      <c r="A115"/>
      <c r="B115"/>
      <c r="C115"/>
      <c r="D115"/>
      <c r="E115"/>
      <c r="F115"/>
      <c r="G115"/>
      <c r="H115"/>
      <c r="I115"/>
    </row>
  </sheetData>
  <phoneticPr fontId="25" type="noConversion"/>
  <conditionalFormatting sqref="B6:AM19">
    <cfRule type="expression" dxfId="28" priority="1" stopIfTrue="1">
      <formula>B6=0</formula>
    </cfRule>
    <cfRule type="expression" dxfId="27" priority="2">
      <formula>IF(MONTH($A6)=MONTH(TODAY()),"VERDADERO","FALSO")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E160-F309-419C-8449-65536D3C8960}">
  <sheetPr codeName="Hoja27"/>
  <dimension ref="A1:AW76"/>
  <sheetViews>
    <sheetView showGridLines="0" zoomScale="85" zoomScaleNormal="85" workbookViewId="0">
      <selection activeCell="M27" sqref="M27"/>
    </sheetView>
  </sheetViews>
  <sheetFormatPr baseColWidth="10" defaultColWidth="11.42578125" defaultRowHeight="15" x14ac:dyDescent="0.25"/>
  <cols>
    <col min="1" max="1" width="7.42578125" style="61" bestFit="1" customWidth="1"/>
    <col min="2" max="2" width="9.28515625" style="61" bestFit="1" customWidth="1"/>
    <col min="3" max="3" width="7.140625" style="61" bestFit="1" customWidth="1"/>
    <col min="4" max="4" width="8.85546875" style="61" bestFit="1" customWidth="1"/>
    <col min="5" max="5" width="20.140625" style="61" bestFit="1" customWidth="1"/>
    <col min="6" max="7" width="7.140625" style="61" bestFit="1" customWidth="1"/>
    <col min="8" max="8" width="7.42578125" style="61" customWidth="1"/>
    <col min="9" max="9" width="4" style="61" bestFit="1" customWidth="1"/>
    <col min="10" max="10" width="8.140625" style="61" customWidth="1"/>
    <col min="11" max="11" width="9.85546875" style="61" customWidth="1"/>
    <col min="12" max="12" width="10" style="61" bestFit="1" customWidth="1"/>
    <col min="13" max="13" width="8" style="61" bestFit="1" customWidth="1"/>
    <col min="14" max="15" width="7.140625" style="61" bestFit="1" customWidth="1"/>
    <col min="16" max="16" width="8.7109375" style="61" bestFit="1" customWidth="1"/>
    <col min="17" max="18" width="5.28515625" style="61" bestFit="1" customWidth="1"/>
    <col min="19" max="26" width="9" style="61" bestFit="1" customWidth="1"/>
    <col min="27" max="33" width="7.140625" style="61" bestFit="1" customWidth="1"/>
    <col min="34" max="34" width="7.140625" style="61" customWidth="1"/>
    <col min="35" max="35" width="7.140625" style="61" bestFit="1" customWidth="1"/>
    <col min="36" max="38" width="11" style="61" bestFit="1" customWidth="1"/>
    <col min="39" max="39" width="7.140625" style="61" bestFit="1" customWidth="1"/>
    <col min="40" max="53" width="12.28515625" style="61" bestFit="1" customWidth="1"/>
    <col min="54" max="54" width="11.28515625" style="61" bestFit="1" customWidth="1"/>
    <col min="55" max="76" width="12.28515625" style="61" bestFit="1" customWidth="1"/>
    <col min="77" max="77" width="5.42578125" style="61" bestFit="1" customWidth="1"/>
    <col min="78" max="78" width="12.42578125" style="61" bestFit="1" customWidth="1"/>
    <col min="79" max="16384" width="11.42578125" style="61"/>
  </cols>
  <sheetData>
    <row r="1" spans="1:39" s="294" customFormat="1" ht="129.75" x14ac:dyDescent="0.25">
      <c r="B1" s="295" t="s">
        <v>276</v>
      </c>
      <c r="C1" s="295" t="s">
        <v>278</v>
      </c>
      <c r="D1" s="295" t="s">
        <v>280</v>
      </c>
      <c r="E1" s="295" t="s">
        <v>282</v>
      </c>
      <c r="F1" s="295" t="s">
        <v>284</v>
      </c>
      <c r="G1" s="295" t="s">
        <v>286</v>
      </c>
      <c r="H1" s="297" t="s">
        <v>79</v>
      </c>
      <c r="I1" s="297" t="s">
        <v>82</v>
      </c>
      <c r="J1" s="297" t="s">
        <v>80</v>
      </c>
      <c r="K1" s="297" t="s">
        <v>83</v>
      </c>
      <c r="L1" s="297" t="s">
        <v>81</v>
      </c>
      <c r="M1" s="297" t="s">
        <v>78</v>
      </c>
      <c r="N1" s="297" t="s">
        <v>294</v>
      </c>
      <c r="O1" s="297" t="s">
        <v>296</v>
      </c>
      <c r="P1" s="299" t="s">
        <v>298</v>
      </c>
      <c r="Q1" s="299" t="s">
        <v>415</v>
      </c>
      <c r="R1" s="299" t="s">
        <v>416</v>
      </c>
      <c r="S1" s="299" t="s">
        <v>423</v>
      </c>
      <c r="T1" s="299" t="s">
        <v>417</v>
      </c>
      <c r="U1" s="299" t="s">
        <v>424</v>
      </c>
      <c r="V1" s="299" t="s">
        <v>422</v>
      </c>
      <c r="W1" s="299" t="s">
        <v>418</v>
      </c>
      <c r="X1" s="299" t="s">
        <v>425</v>
      </c>
      <c r="Y1" s="299" t="s">
        <v>420</v>
      </c>
      <c r="Z1" s="299" t="s">
        <v>419</v>
      </c>
      <c r="AA1" s="299" t="s">
        <v>421</v>
      </c>
      <c r="AB1" s="301" t="s">
        <v>426</v>
      </c>
      <c r="AC1" s="301" t="s">
        <v>427</v>
      </c>
      <c r="AD1" s="301" t="s">
        <v>428</v>
      </c>
      <c r="AE1" s="301" t="s">
        <v>429</v>
      </c>
      <c r="AF1" s="301" t="s">
        <v>430</v>
      </c>
      <c r="AG1" s="301" t="s">
        <v>431</v>
      </c>
      <c r="AH1" s="301" t="s">
        <v>432</v>
      </c>
      <c r="AI1" s="301" t="s">
        <v>433</v>
      </c>
      <c r="AJ1" s="301" t="s">
        <v>434</v>
      </c>
      <c r="AK1" s="301" t="s">
        <v>435</v>
      </c>
      <c r="AL1" s="301" t="s">
        <v>436</v>
      </c>
      <c r="AM1" s="301" t="s">
        <v>437</v>
      </c>
    </row>
    <row r="2" spans="1:39" s="76" customFormat="1" x14ac:dyDescent="0.25">
      <c r="B2" s="296" t="s">
        <v>97</v>
      </c>
      <c r="C2" s="296" t="s">
        <v>97</v>
      </c>
      <c r="D2" s="296" t="s">
        <v>97</v>
      </c>
      <c r="E2" s="296" t="s">
        <v>97</v>
      </c>
      <c r="F2" s="296" t="s">
        <v>97</v>
      </c>
      <c r="G2" s="296" t="s">
        <v>97</v>
      </c>
      <c r="H2" s="298" t="s">
        <v>108</v>
      </c>
      <c r="I2" s="298" t="s">
        <v>108</v>
      </c>
      <c r="J2" s="298" t="s">
        <v>108</v>
      </c>
      <c r="K2" s="298" t="s">
        <v>108</v>
      </c>
      <c r="L2" s="298" t="s">
        <v>113</v>
      </c>
      <c r="M2" s="298" t="s">
        <v>108</v>
      </c>
      <c r="N2" s="298" t="s">
        <v>97</v>
      </c>
      <c r="O2" s="298" t="s">
        <v>97</v>
      </c>
      <c r="P2" s="300" t="s">
        <v>118</v>
      </c>
      <c r="Q2" s="300" t="s">
        <v>439</v>
      </c>
      <c r="R2" s="300" t="s">
        <v>439</v>
      </c>
      <c r="S2" s="300" t="s">
        <v>126</v>
      </c>
      <c r="T2" s="300" t="s">
        <v>126</v>
      </c>
      <c r="U2" s="300" t="s">
        <v>126</v>
      </c>
      <c r="V2" s="300" t="s">
        <v>126</v>
      </c>
      <c r="W2" s="300" t="s">
        <v>126</v>
      </c>
      <c r="X2" s="300" t="s">
        <v>126</v>
      </c>
      <c r="Y2" s="300" t="s">
        <v>126</v>
      </c>
      <c r="Z2" s="300" t="s">
        <v>126</v>
      </c>
      <c r="AA2" s="300" t="s">
        <v>97</v>
      </c>
      <c r="AB2" s="302" t="s">
        <v>97</v>
      </c>
      <c r="AC2" s="302" t="s">
        <v>97</v>
      </c>
      <c r="AD2" s="302" t="s">
        <v>97</v>
      </c>
      <c r="AE2" s="302" t="s">
        <v>97</v>
      </c>
      <c r="AF2" s="302" t="s">
        <v>97</v>
      </c>
      <c r="AG2" s="302" t="s">
        <v>97</v>
      </c>
      <c r="AH2" s="302" t="s">
        <v>97</v>
      </c>
      <c r="AI2" s="302" t="s">
        <v>97</v>
      </c>
      <c r="AJ2" s="302" t="s">
        <v>438</v>
      </c>
      <c r="AK2" s="302" t="s">
        <v>438</v>
      </c>
      <c r="AL2" s="302" t="s">
        <v>438</v>
      </c>
      <c r="AM2" s="302" t="s">
        <v>97</v>
      </c>
    </row>
    <row r="3" spans="1:39" hidden="1" x14ac:dyDescent="0.25">
      <c r="A3"/>
      <c r="B3" s="76">
        <v>1</v>
      </c>
      <c r="C3" s="76">
        <v>1</v>
      </c>
      <c r="D3" s="76">
        <v>1</v>
      </c>
      <c r="E3" s="76">
        <v>1</v>
      </c>
      <c r="F3" s="76">
        <v>1</v>
      </c>
      <c r="G3" s="76">
        <v>1</v>
      </c>
      <c r="H3" s="76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1</v>
      </c>
      <c r="AE3" s="1">
        <v>1</v>
      </c>
      <c r="AF3" s="1">
        <v>1</v>
      </c>
      <c r="AG3" s="1">
        <v>1</v>
      </c>
      <c r="AH3" s="1">
        <v>1</v>
      </c>
      <c r="AI3" s="1">
        <v>1</v>
      </c>
      <c r="AJ3" s="1">
        <v>1</v>
      </c>
      <c r="AK3" s="1">
        <v>1</v>
      </c>
      <c r="AL3" s="1">
        <v>1</v>
      </c>
      <c r="AM3" s="1">
        <v>1</v>
      </c>
    </row>
    <row r="4" spans="1:39" s="1" customFormat="1" x14ac:dyDescent="0.25">
      <c r="A4" s="76"/>
      <c r="B4" s="76">
        <v>1.1000000000000001</v>
      </c>
      <c r="C4" s="76">
        <v>1.2</v>
      </c>
      <c r="D4" s="76">
        <v>1.3</v>
      </c>
      <c r="E4" s="76">
        <v>1.4</v>
      </c>
      <c r="F4" s="76">
        <v>1.5</v>
      </c>
      <c r="G4" s="76">
        <v>1.6</v>
      </c>
      <c r="H4" s="76">
        <v>2.1</v>
      </c>
      <c r="I4" s="76">
        <v>2.2000000000000002</v>
      </c>
      <c r="J4" s="76">
        <v>2.2999999999999998</v>
      </c>
      <c r="K4" s="76">
        <v>2.4</v>
      </c>
      <c r="L4" s="76">
        <v>2.5</v>
      </c>
      <c r="M4" s="76">
        <v>2.6</v>
      </c>
      <c r="N4" s="1">
        <v>2.7</v>
      </c>
      <c r="O4" s="1">
        <v>2.8</v>
      </c>
      <c r="P4" s="1">
        <v>3.1</v>
      </c>
      <c r="Q4" s="76">
        <v>3.2</v>
      </c>
      <c r="R4" s="76" t="s">
        <v>122</v>
      </c>
      <c r="S4" s="76" t="s">
        <v>124</v>
      </c>
      <c r="T4" s="1" t="s">
        <v>127</v>
      </c>
      <c r="U4" s="1" t="s">
        <v>129</v>
      </c>
      <c r="V4" s="1" t="s">
        <v>131</v>
      </c>
      <c r="W4" s="1" t="s">
        <v>133</v>
      </c>
      <c r="X4" s="1" t="s">
        <v>135</v>
      </c>
      <c r="Y4" s="1" t="s">
        <v>137</v>
      </c>
      <c r="Z4" s="1" t="s">
        <v>139</v>
      </c>
      <c r="AA4" s="1">
        <v>3.4</v>
      </c>
      <c r="AB4" s="1">
        <v>4.0999999999999996</v>
      </c>
      <c r="AC4" s="1">
        <v>4.2</v>
      </c>
      <c r="AD4" s="1">
        <v>4.3</v>
      </c>
      <c r="AE4" s="1">
        <v>4.4000000000000004</v>
      </c>
      <c r="AF4" s="1">
        <v>4.5</v>
      </c>
      <c r="AG4" s="1">
        <v>4.5999999999999996</v>
      </c>
      <c r="AH4" s="1">
        <v>4.7</v>
      </c>
      <c r="AI4" s="1">
        <v>4.8</v>
      </c>
      <c r="AJ4" s="1">
        <v>4.9000000000000004</v>
      </c>
      <c r="AK4" s="436" t="s">
        <v>523</v>
      </c>
      <c r="AL4" s="1">
        <v>4.1100000000000003</v>
      </c>
      <c r="AM4" s="1">
        <v>4.12</v>
      </c>
    </row>
    <row r="5" spans="1:39" x14ac:dyDescent="0.25">
      <c r="A5" s="226">
        <v>45962</v>
      </c>
      <c r="B5" s="231">
        <f>+SUMIFS(Tabla1[Avance_Med],Tabla1[Fecha],"&gt;="&amp;$A5,Tabla1[Fecha],"&lt;="&amp;EOMONTH($A5,0),Tabla1[Codigo_actividad],B$4)*B$3</f>
        <v>0</v>
      </c>
      <c r="C5" s="231">
        <f>+SUMIFS(Tabla1[Avance_Med],Tabla1[Fecha],"&gt;="&amp;$A5,Tabla1[Fecha],"&lt;="&amp;EOMONTH($A5,0),Tabla1[Codigo_actividad],C$4)*C$3</f>
        <v>0</v>
      </c>
      <c r="D5" s="231">
        <f>+SUMIFS(Tabla1[Avance_Med],Tabla1[Fecha],"&gt;="&amp;$A5,Tabla1[Fecha],"&lt;="&amp;EOMONTH($A5,0),Tabla1[Codigo_actividad],D$4)*D$3</f>
        <v>0</v>
      </c>
      <c r="E5" s="231">
        <f>+SUMIFS(Tabla1[Avance_Med],Tabla1[Fecha],"&gt;="&amp;$A5,Tabla1[Fecha],"&lt;="&amp;EOMONTH($A5,0),Tabla1[Codigo_actividad],E$4)*E$3</f>
        <v>0</v>
      </c>
      <c r="F5" s="231">
        <f>+SUMIFS(Tabla1[Avance_Med],Tabla1[Fecha],"&gt;="&amp;$A5,Tabla1[Fecha],"&lt;="&amp;EOMONTH($A5,0),Tabla1[Codigo_actividad],F$4)*F$3</f>
        <v>0</v>
      </c>
      <c r="G5" s="231">
        <f>+SUMIFS(Tabla1[Avance_Med],Tabla1[Fecha],"&gt;="&amp;$A5,Tabla1[Fecha],"&lt;="&amp;EOMONTH($A5,0),Tabla1[Codigo_actividad],G$4)*G$3</f>
        <v>0</v>
      </c>
      <c r="H5" s="343">
        <f>+SUMIFS(Tabla1[Avance_km],Tabla1[Fecha],"&gt;="&amp;$A5,Tabla1[Fecha],"&lt;="&amp;EOMONTH($A5,0),Tabla1[Codigo_actividad],H$4)*H$3</f>
        <v>31.548999999999999</v>
      </c>
      <c r="I5" s="231"/>
      <c r="J5" s="343">
        <f>+SUMIFS(Tabla1[Avance_km],Tabla1[Fecha],"&gt;="&amp;$A5,Tabla1[Fecha],"&lt;="&amp;EOMONTH($A5,0),Tabla1[Codigo_actividad],J$4, Tabla1[Avance_km],"&gt;0")*J$3</f>
        <v>53.048999999999999</v>
      </c>
      <c r="K5" s="481">
        <f>ROUND(SUMIFS(Tabla1[Avance_km],Tabla1[Fecha],"&gt;="&amp;$A5,Tabla1[Fecha],"&lt;="&amp;EOMONTH($A5,0),Tabla1[Codigo_actividad],K$4,Tabla1[Avance_km],"&gt;0"),3)*K$3</f>
        <v>0</v>
      </c>
      <c r="L5" s="231">
        <f>+SUMIFS(Tabla1[Avance_Med],Tabla1[Fecha],"&gt;="&amp;$A5,Tabla1[Fecha],"&lt;="&amp;EOMONTH($A5,0),Tabla1[Codigo_actividad],L$4)*L$3</f>
        <v>98</v>
      </c>
      <c r="M5" s="343">
        <f>+SUMIFS(Tabla1[Avance_km],Tabla1[Fecha],"&gt;="&amp;$A5,Tabla1[Fecha],"&lt;="&amp;EOMONTH($A5,0),Tabla1[Codigo_actividad],M$4)*M$3</f>
        <v>72.02200000000002</v>
      </c>
      <c r="N5" s="231">
        <f>+SUMIFS(Tabla1[Avance_Med],Tabla1[Fecha],"&gt;="&amp;$A5,Tabla1[Fecha],"&lt;="&amp;EOMONTH($A5,0),Tabla1[Codigo_actividad],N$4)*N$3</f>
        <v>0</v>
      </c>
      <c r="O5" s="231">
        <f>+SUMIFS(Tabla1[Avance_Med],Tabla1[Fecha],"&gt;="&amp;$A5,Tabla1[Fecha],"&lt;="&amp;EOMONTH($A5,0),Tabla1[Codigo_actividad],O$4)*O$3</f>
        <v>0</v>
      </c>
      <c r="P5" s="231">
        <f>+SUMIFS(Tabla1[Avance_Med],Tabla1[Fecha],"&gt;="&amp;$A5,Tabla1[Fecha],"&lt;="&amp;EOMONTH($A5,0),Tabla1[Codigo_actividad],P$4)*P$3</f>
        <v>0</v>
      </c>
      <c r="Q5" s="231">
        <f>+SUMIFS(Tabla1[Avance_Med],Tabla1[Fecha],"&gt;="&amp;$A5,Tabla1[Fecha],"&lt;="&amp;EOMONTH($A5,0),Tabla1[Codigo_actividad],Q$4)*Q$3</f>
        <v>0</v>
      </c>
      <c r="R5" s="231">
        <f>+SUMIFS(Tabla1[Avance_Med],Tabla1[Fecha],"&gt;="&amp;$A5,Tabla1[Fecha],"&lt;="&amp;EOMONTH($A5,0),Tabla1[Codigo_actividad],R$4)*R$3</f>
        <v>0</v>
      </c>
      <c r="S5" s="231">
        <f>+SUMIFS(Tabla1[Avance_Med],Tabla1[Fecha],"&gt;="&amp;$A5,Tabla1[Fecha],"&lt;="&amp;EOMONTH($A5,0),Tabla1[Codigo_actividad],S$4)*S$3</f>
        <v>0</v>
      </c>
      <c r="T5" s="231">
        <f>+SUMIFS(Tabla1[Avance_Med],Tabla1[Fecha],"&gt;="&amp;$A5,Tabla1[Fecha],"&lt;="&amp;EOMONTH($A5,0),Tabla1[Codigo_actividad],T$4)*T$3</f>
        <v>0</v>
      </c>
      <c r="U5" s="231">
        <f>+SUMIFS(Tabla1[Avance_Med],Tabla1[Fecha],"&gt;="&amp;$A5,Tabla1[Fecha],"&lt;="&amp;EOMONTH($A5,0),Tabla1[Codigo_actividad],U$4)*U$3</f>
        <v>0</v>
      </c>
      <c r="V5" s="231">
        <f>+SUMIFS(Tabla1[Avance_Med],Tabla1[Fecha],"&gt;="&amp;$A5,Tabla1[Fecha],"&lt;="&amp;EOMONTH($A5,0),Tabla1[Codigo_actividad],V$4)*V$3</f>
        <v>0</v>
      </c>
      <c r="W5" s="231">
        <f>+SUMIFS(Tabla1[Avance_Med],Tabla1[Fecha],"&gt;="&amp;$A5,Tabla1[Fecha],"&lt;="&amp;EOMONTH($A5,0),Tabla1[Codigo_actividad],W$4)*W$3</f>
        <v>0</v>
      </c>
      <c r="X5" s="231">
        <f>+SUMIFS(Tabla1[Avance_Med],Tabla1[Fecha],"&gt;="&amp;$A5,Tabla1[Fecha],"&lt;="&amp;EOMONTH($A5,0),Tabla1[Codigo_actividad],X$4)*X$3</f>
        <v>0</v>
      </c>
      <c r="Y5" s="231">
        <f>+SUMIFS(Tabla1[Avance_Med],Tabla1[Fecha],"&gt;="&amp;$A5,Tabla1[Fecha],"&lt;="&amp;EOMONTH($A5,0),Tabla1[Codigo_actividad],Y$4)*Y$3</f>
        <v>0</v>
      </c>
      <c r="Z5" s="231">
        <f>+SUMIFS(Tabla1[Avance_Med],Tabla1[Fecha],"&gt;="&amp;$A5,Tabla1[Fecha],"&lt;="&amp;EOMONTH($A5,0),Tabla1[Codigo_actividad],Z$4)*Z$3</f>
        <v>0</v>
      </c>
      <c r="AA5" s="231">
        <f>+SUMIFS(Tabla1[Avance_Med],Tabla1[Fecha],"&gt;="&amp;$A5,Tabla1[Fecha],"&lt;="&amp;EOMONTH($A5,0),Tabla1[Codigo_actividad],AA$4)*AA$3</f>
        <v>0</v>
      </c>
      <c r="AB5" s="231">
        <f>+SUMIFS(Tabla1[Avance_Med],Tabla1[Fecha],"&gt;="&amp;$A5,Tabla1[Fecha],"&lt;="&amp;EOMONTH($A5,0),Tabla1[Codigo_actividad],AB$4)*AB$3</f>
        <v>0</v>
      </c>
      <c r="AC5" s="231">
        <f>+SUMIFS(Tabla1[Avance_Med],Tabla1[Fecha],"&gt;="&amp;$A5,Tabla1[Fecha],"&lt;="&amp;EOMONTH($A5,0),Tabla1[Codigo_actividad],AC$4)*AC$3</f>
        <v>0</v>
      </c>
      <c r="AD5" s="231">
        <f>+SUMIFS(Tabla1[Avance_Med],Tabla1[Fecha],"&gt;="&amp;$A5,Tabla1[Fecha],"&lt;="&amp;EOMONTH($A5,0),Tabla1[Codigo_actividad],AD$4)*AD$3</f>
        <v>0</v>
      </c>
      <c r="AE5" s="231">
        <f>+SUMIFS(Tabla1[Avance_Med],Tabla1[Fecha],"&gt;="&amp;$A5,Tabla1[Fecha],"&lt;="&amp;EOMONTH($A5,0),Tabla1[Codigo_actividad],AE$4)*AE$3</f>
        <v>0</v>
      </c>
      <c r="AF5" s="231">
        <f>+SUMIFS(Tabla1[Avance_Med],Tabla1[Fecha],"&gt;="&amp;$A5,Tabla1[Fecha],"&lt;="&amp;EOMONTH($A5,0),Tabla1[Codigo_actividad],AF$4)*AF$3</f>
        <v>0</v>
      </c>
      <c r="AG5" s="231">
        <f>+SUMIFS(Tabla1[Avance_Med],Tabla1[Fecha],"&gt;="&amp;$A5,Tabla1[Fecha],"&lt;="&amp;EOMONTH($A5,0),Tabla1[Codigo_actividad],AG$4)*AG$3</f>
        <v>0</v>
      </c>
      <c r="AH5" s="231">
        <f>+SUMIFS(Tabla1[Avance_Med],Tabla1[Fecha],"&gt;="&amp;$A5,Tabla1[Fecha],"&lt;="&amp;EOMONTH($A5,0),Tabla1[Codigo_actividad],AH$4)*AH$3</f>
        <v>0</v>
      </c>
      <c r="AI5" s="231">
        <f>+SUMIFS(Tabla1[Avance_Med],Tabla1[Fecha],"&gt;="&amp;$A5,Tabla1[Fecha],"&lt;="&amp;EOMONTH($A5,0),Tabla1[Codigo_actividad],AI$4)*AI$3</f>
        <v>0</v>
      </c>
      <c r="AJ5" s="231">
        <f>+SUMIFS(Tabla1[Avance_Med],Tabla1[Fecha],"&gt;="&amp;$A5,Tabla1[Fecha],"&lt;="&amp;EOMONTH($A5,0),Tabla1[Codigo_actividad],AJ$4)*AJ$3</f>
        <v>0</v>
      </c>
      <c r="AK5" s="231">
        <f>+SUMIFS(Tabla1[Avance_Med],Tabla1[Fecha],"&gt;="&amp;$A5,Tabla1[Fecha],"&lt;="&amp;EOMONTH($A5,0),Tabla1[Codigo_actividad],AK$4)*AK$3</f>
        <v>0</v>
      </c>
      <c r="AL5" s="231">
        <f>+SUMIFS(Tabla1[Avance_km],Tabla1[Fecha],"&gt;="&amp;$A5,Tabla1[Fecha],"&lt;="&amp;EOMONTH($A5,0),Tabla1[Codigo_actividad],AL$4)*AL$3</f>
        <v>0</v>
      </c>
      <c r="AM5" s="231">
        <f>+SUMIFS(Tabla1[Avance_Med],Tabla1[Fecha],"&gt;="&amp;$A5,Tabla1[Fecha],"&lt;="&amp;EOMONTH($A5,0),Tabla1[Codigo_actividad],AM$4)*AM$3</f>
        <v>0</v>
      </c>
    </row>
    <row r="6" spans="1:39" x14ac:dyDescent="0.25">
      <c r="A6" s="226">
        <v>45992</v>
      </c>
      <c r="B6" s="231">
        <f>+SUMIFS(Tabla1[Avance_Med],Tabla1[Fecha],"&gt;="&amp;$A6,Tabla1[Fecha],"&lt;="&amp;EOMONTH($A6,0),Tabla1[Codigo_actividad],B$4)*B$3</f>
        <v>0</v>
      </c>
      <c r="C6" s="231">
        <f>+SUMIFS(Tabla1[Avance_Med],Tabla1[Fecha],"&gt;="&amp;$A6,Tabla1[Fecha],"&lt;="&amp;EOMONTH($A6,0),Tabla1[Codigo_actividad],C$4)*C$3</f>
        <v>0</v>
      </c>
      <c r="D6" s="231">
        <f>+SUMIFS(Tabla1[Avance_Med],Tabla1[Fecha],"&gt;="&amp;$A6,Tabla1[Fecha],"&lt;="&amp;EOMONTH($A6,0),Tabla1[Codigo_actividad],D$4)*D$3</f>
        <v>0</v>
      </c>
      <c r="E6" s="231">
        <f>+SUMIFS(Tabla1[Avance_Med],Tabla1[Fecha],"&gt;="&amp;$A6,Tabla1[Fecha],"&lt;="&amp;EOMONTH($A6,0),Tabla1[Codigo_actividad],E$4)*E$3</f>
        <v>0</v>
      </c>
      <c r="F6" s="231">
        <f>+SUMIFS(Tabla1[Avance_Med],Tabla1[Fecha],"&gt;="&amp;$A6,Tabla1[Fecha],"&lt;="&amp;EOMONTH($A6,0),Tabla1[Codigo_actividad],F$4)*F$3</f>
        <v>0</v>
      </c>
      <c r="G6" s="231">
        <f>+SUMIFS(Tabla1[Avance_Med],Tabla1[Fecha],"&gt;="&amp;$A6,Tabla1[Fecha],"&lt;="&amp;EOMONTH($A6,0),Tabla1[Codigo_actividad],G$4)*G$3</f>
        <v>0</v>
      </c>
      <c r="H6" s="343">
        <f>+SUMIFS(Tabla1[Avance_km],Tabla1[Fecha],"&gt;="&amp;$A6,Tabla1[Fecha],"&lt;="&amp;EOMONTH($A6,0),Tabla1[Codigo_actividad],H$4)*H$3</f>
        <v>31.517000000000003</v>
      </c>
      <c r="I6" s="231"/>
      <c r="J6" s="343">
        <f>+SUMIFS(Tabla1[Avance_km],Tabla1[Fecha],"&gt;="&amp;$A6,Tabla1[Fecha],"&lt;="&amp;EOMONTH($A6,0),Tabla1[Codigo_actividad],J$4, Tabla1[Avance_km],"&gt;0")*J$3</f>
        <v>31.543999999999993</v>
      </c>
      <c r="K6" s="481">
        <f>ROUND(SUMIFS(Tabla1[Avance_km],Tabla1[Fecha],"&gt;="&amp;$A6,Tabla1[Fecha],"&lt;="&amp;EOMONTH($A6,0),Tabla1[Codigo_actividad],K$4,Tabla1[Avance_km],"&gt;0"),3)*K$3</f>
        <v>0</v>
      </c>
      <c r="L6" s="231">
        <f>+SUMIFS(Tabla1[Avance_Med],Tabla1[Fecha],"&gt;="&amp;$A6,Tabla1[Fecha],"&lt;="&amp;EOMONTH($A6,0),Tabla1[Codigo_actividad],L$4)*L$3</f>
        <v>130</v>
      </c>
      <c r="M6" s="343">
        <f>+SUMIFS(Tabla1[Avance_km],Tabla1[Fecha],"&gt;="&amp;$A6,Tabla1[Fecha],"&lt;="&amp;EOMONTH($A6,0),Tabla1[Codigo_actividad],M$4)*M$3</f>
        <v>21.183</v>
      </c>
      <c r="N6" s="231">
        <f>+SUMIFS(Tabla1[Avance_Med],Tabla1[Fecha],"&gt;="&amp;$A6,Tabla1[Fecha],"&lt;="&amp;EOMONTH($A6,0),Tabla1[Codigo_actividad],N$4)*N$3</f>
        <v>0</v>
      </c>
      <c r="O6" s="231">
        <f>+SUMIFS(Tabla1[Avance_Med],Tabla1[Fecha],"&gt;="&amp;$A6,Tabla1[Fecha],"&lt;="&amp;EOMONTH($A6,0),Tabla1[Codigo_actividad],O$4)*O$3</f>
        <v>0</v>
      </c>
      <c r="P6" s="231">
        <f>+SUMIFS(Tabla1[Avance_Med],Tabla1[Fecha],"&gt;="&amp;$A6,Tabla1[Fecha],"&lt;="&amp;EOMONTH($A6,0),Tabla1[Codigo_actividad],P$4)*P$3</f>
        <v>0</v>
      </c>
      <c r="Q6" s="231">
        <f>+SUMIFS(Tabla1[Avance_Med],Tabla1[Fecha],"&gt;="&amp;$A6,Tabla1[Fecha],"&lt;="&amp;EOMONTH($A6,0),Tabla1[Codigo_actividad],Q$4)*Q$3</f>
        <v>0</v>
      </c>
      <c r="R6" s="231">
        <f>+SUMIFS(Tabla1[Avance_Med],Tabla1[Fecha],"&gt;="&amp;$A6,Tabla1[Fecha],"&lt;="&amp;EOMONTH($A6,0),Tabla1[Codigo_actividad],R$4)*R$3</f>
        <v>0</v>
      </c>
      <c r="S6" s="231">
        <f>+SUMIFS(Tabla1[Avance_Med],Tabla1[Fecha],"&gt;="&amp;$A6,Tabla1[Fecha],"&lt;="&amp;EOMONTH($A6,0),Tabla1[Codigo_actividad],S$4)*S$3</f>
        <v>0</v>
      </c>
      <c r="T6" s="231">
        <f>+SUMIFS(Tabla1[Avance_Med],Tabla1[Fecha],"&gt;="&amp;$A6,Tabla1[Fecha],"&lt;="&amp;EOMONTH($A6,0),Tabla1[Codigo_actividad],T$4)*T$3</f>
        <v>0</v>
      </c>
      <c r="U6" s="231">
        <f>+SUMIFS(Tabla1[Avance_Med],Tabla1[Fecha],"&gt;="&amp;$A6,Tabla1[Fecha],"&lt;="&amp;EOMONTH($A6,0),Tabla1[Codigo_actividad],U$4)*U$3</f>
        <v>0</v>
      </c>
      <c r="V6" s="231">
        <f>+SUMIFS(Tabla1[Avance_Med],Tabla1[Fecha],"&gt;="&amp;$A6,Tabla1[Fecha],"&lt;="&amp;EOMONTH($A6,0),Tabla1[Codigo_actividad],V$4)*V$3</f>
        <v>0</v>
      </c>
      <c r="W6" s="231">
        <f>+SUMIFS(Tabla1[Avance_Med],Tabla1[Fecha],"&gt;="&amp;$A6,Tabla1[Fecha],"&lt;="&amp;EOMONTH($A6,0),Tabla1[Codigo_actividad],W$4)*W$3</f>
        <v>0</v>
      </c>
      <c r="X6" s="231">
        <f>+SUMIFS(Tabla1[Avance_Med],Tabla1[Fecha],"&gt;="&amp;$A6,Tabla1[Fecha],"&lt;="&amp;EOMONTH($A6,0),Tabla1[Codigo_actividad],X$4)*X$3</f>
        <v>0</v>
      </c>
      <c r="Y6" s="231">
        <f>+SUMIFS(Tabla1[Avance_Med],Tabla1[Fecha],"&gt;="&amp;$A6,Tabla1[Fecha],"&lt;="&amp;EOMONTH($A6,0),Tabla1[Codigo_actividad],Y$4)*Y$3</f>
        <v>0</v>
      </c>
      <c r="Z6" s="231">
        <f>+SUMIFS(Tabla1[Avance_Med],Tabla1[Fecha],"&gt;="&amp;$A6,Tabla1[Fecha],"&lt;="&amp;EOMONTH($A6,0),Tabla1[Codigo_actividad],Z$4)*Z$3</f>
        <v>0</v>
      </c>
      <c r="AA6" s="231">
        <f>+SUMIFS(Tabla1[Avance_Med],Tabla1[Fecha],"&gt;="&amp;$A6,Tabla1[Fecha],"&lt;="&amp;EOMONTH($A6,0),Tabla1[Codigo_actividad],AA$4)*AA$3</f>
        <v>0</v>
      </c>
      <c r="AB6" s="231">
        <f>+SUMIFS(Tabla1[Avance_Med],Tabla1[Fecha],"&gt;="&amp;$A6,Tabla1[Fecha],"&lt;="&amp;EOMONTH($A6,0),Tabla1[Codigo_actividad],AB$4)*AB$3</f>
        <v>0</v>
      </c>
      <c r="AC6" s="231">
        <f>+SUMIFS(Tabla1[Avance_Med],Tabla1[Fecha],"&gt;="&amp;$A6,Tabla1[Fecha],"&lt;="&amp;EOMONTH($A6,0),Tabla1[Codigo_actividad],AC$4)*AC$3</f>
        <v>0</v>
      </c>
      <c r="AD6" s="231">
        <f>+SUMIFS(Tabla1[Avance_Med],Tabla1[Fecha],"&gt;="&amp;$A6,Tabla1[Fecha],"&lt;="&amp;EOMONTH($A6,0),Tabla1[Codigo_actividad],AD$4)*AD$3</f>
        <v>0</v>
      </c>
      <c r="AE6" s="231">
        <f>+SUMIFS(Tabla1[Avance_Med],Tabla1[Fecha],"&gt;="&amp;$A6,Tabla1[Fecha],"&lt;="&amp;EOMONTH($A6,0),Tabla1[Codigo_actividad],AE$4)*AE$3</f>
        <v>0</v>
      </c>
      <c r="AF6" s="231">
        <f>+SUMIFS(Tabla1[Avance_Med],Tabla1[Fecha],"&gt;="&amp;$A6,Tabla1[Fecha],"&lt;="&amp;EOMONTH($A6,0),Tabla1[Codigo_actividad],AF$4)*AF$3</f>
        <v>0</v>
      </c>
      <c r="AG6" s="231">
        <f>+SUMIFS(Tabla1[Avance_Med],Tabla1[Fecha],"&gt;="&amp;$A6,Tabla1[Fecha],"&lt;="&amp;EOMONTH($A6,0),Tabla1[Codigo_actividad],AG$4)*AG$3</f>
        <v>0</v>
      </c>
      <c r="AH6" s="231">
        <f>+SUMIFS(Tabla1[Avance_Med],Tabla1[Fecha],"&gt;="&amp;$A6,Tabla1[Fecha],"&lt;="&amp;EOMONTH($A6,0),Tabla1[Codigo_actividad],AH$4)*AH$3</f>
        <v>0</v>
      </c>
      <c r="AI6" s="231">
        <f>+SUMIFS(Tabla1[Avance_Med],Tabla1[Fecha],"&gt;="&amp;$A6,Tabla1[Fecha],"&lt;="&amp;EOMONTH($A6,0),Tabla1[Codigo_actividad],AI$4)*AI$3</f>
        <v>0</v>
      </c>
      <c r="AJ6" s="231">
        <f>+SUMIFS(Tabla1[Avance_Med],Tabla1[Fecha],"&gt;="&amp;$A6,Tabla1[Fecha],"&lt;="&amp;EOMONTH($A6,0),Tabla1[Codigo_actividad],AJ$4)*AJ$3</f>
        <v>0</v>
      </c>
      <c r="AK6" s="231">
        <f>+SUMIFS(Tabla1[Avance_Med],Tabla1[Fecha],"&gt;="&amp;$A6,Tabla1[Fecha],"&lt;="&amp;EOMONTH($A6,0),Tabla1[Codigo_actividad],AK$4)*AK$3</f>
        <v>0</v>
      </c>
      <c r="AL6" s="231">
        <f>+SUMIFS(Tabla1[Avance_km],Tabla1[Fecha],"&gt;="&amp;$A6,Tabla1[Fecha],"&lt;="&amp;EOMONTH($A6,0),Tabla1[Codigo_actividad],AL$4)*AL$3</f>
        <v>0</v>
      </c>
      <c r="AM6" s="231">
        <f>+SUMIFS(Tabla1[Avance_Med],Tabla1[Fecha],"&gt;="&amp;$A6,Tabla1[Fecha],"&lt;="&amp;EOMONTH($A6,0),Tabla1[Codigo_actividad],AM$4)*AM$3</f>
        <v>0</v>
      </c>
    </row>
    <row r="7" spans="1:39" x14ac:dyDescent="0.25">
      <c r="A7" s="226">
        <v>46023</v>
      </c>
      <c r="B7" s="231">
        <f>+SUMIFS(Tabla1[Avance_Med],Tabla1[Fecha],"&gt;="&amp;$A7,Tabla1[Fecha],"&lt;="&amp;EOMONTH($A7,0),Tabla1[Codigo_actividad],B$4)*B$3</f>
        <v>0</v>
      </c>
      <c r="C7" s="231">
        <f>+SUMIFS(Tabla1[Avance_Med],Tabla1[Fecha],"&gt;="&amp;$A7,Tabla1[Fecha],"&lt;="&amp;EOMONTH($A7,0),Tabla1[Codigo_actividad],C$4)*C$3</f>
        <v>0</v>
      </c>
      <c r="D7" s="231">
        <f>+SUMIFS(Tabla1[Avance_Med],Tabla1[Fecha],"&gt;="&amp;$A7,Tabla1[Fecha],"&lt;="&amp;EOMONTH($A7,0),Tabla1[Codigo_actividad],D$4)*D$3</f>
        <v>0</v>
      </c>
      <c r="E7" s="231">
        <f>+SUMIFS(Tabla1[Avance_Med],Tabla1[Fecha],"&gt;="&amp;$A7,Tabla1[Fecha],"&lt;="&amp;EOMONTH($A7,0),Tabla1[Codigo_actividad],E$4)*E$3</f>
        <v>0</v>
      </c>
      <c r="F7" s="231">
        <f>+SUMIFS(Tabla1[Avance_Med],Tabla1[Fecha],"&gt;="&amp;$A7,Tabla1[Fecha],"&lt;="&amp;EOMONTH($A7,0),Tabla1[Codigo_actividad],F$4)*F$3</f>
        <v>0</v>
      </c>
      <c r="G7" s="231">
        <f>+SUMIFS(Tabla1[Avance_Med],Tabla1[Fecha],"&gt;="&amp;$A7,Tabla1[Fecha],"&lt;="&amp;EOMONTH($A7,0),Tabla1[Codigo_actividad],G$4)*G$3</f>
        <v>0</v>
      </c>
      <c r="H7" s="343">
        <f>+SUMIFS(Tabla1[Avance_km],Tabla1[Fecha],"&gt;="&amp;$A7,Tabla1[Fecha],"&lt;="&amp;EOMONTH($A7,0),Tabla1[Codigo_actividad],H$4)*H$3</f>
        <v>36.840000000000011</v>
      </c>
      <c r="I7" s="231"/>
      <c r="J7" s="343">
        <f>+SUMIFS(Tabla1[Avance_km],Tabla1[Fecha],"&gt;="&amp;$A7,Tabla1[Fecha],"&lt;="&amp;EOMONTH($A7,0),Tabla1[Codigo_actividad],J$4, Tabla1[Avance_km],"&gt;0")*J$3</f>
        <v>15.313000000000004</v>
      </c>
      <c r="K7" s="481">
        <f>ROUND(SUMIFS(Tabla1[Avance_km],Tabla1[Fecha],"&gt;="&amp;$A7,Tabla1[Fecha],"&lt;="&amp;EOMONTH($A7,0),Tabla1[Codigo_actividad],K$4,Tabla1[Avance_km],"&gt;0"),3)*K$3</f>
        <v>0</v>
      </c>
      <c r="L7" s="231">
        <f>+SUMIFS(Tabla1[Avance_Med],Tabla1[Fecha],"&gt;="&amp;$A7,Tabla1[Fecha],"&lt;="&amp;EOMONTH($A7,0),Tabla1[Codigo_actividad],L$4)*L$3</f>
        <v>130</v>
      </c>
      <c r="M7" s="343">
        <f>+SUMIFS(Tabla1[Avance_km],Tabla1[Fecha],"&gt;="&amp;$A7,Tabla1[Fecha],"&lt;="&amp;EOMONTH($A7,0),Tabla1[Codigo_actividad],M$4)*M$3</f>
        <v>6.7009999999999996</v>
      </c>
      <c r="N7" s="231">
        <f>+SUMIFS(Tabla1[Avance_Med],Tabla1[Fecha],"&gt;="&amp;$A7,Tabla1[Fecha],"&lt;="&amp;EOMONTH($A7,0),Tabla1[Codigo_actividad],N$4)*N$3</f>
        <v>0</v>
      </c>
      <c r="O7" s="231">
        <f>+SUMIFS(Tabla1[Avance_Med],Tabla1[Fecha],"&gt;="&amp;$A7,Tabla1[Fecha],"&lt;="&amp;EOMONTH($A7,0),Tabla1[Codigo_actividad],O$4)*O$3</f>
        <v>0</v>
      </c>
      <c r="P7" s="231">
        <f>+SUMIFS(Tabla1[Avance_Med],Tabla1[Fecha],"&gt;="&amp;$A7,Tabla1[Fecha],"&lt;="&amp;EOMONTH($A7,0),Tabla1[Codigo_actividad],P$4)*P$3</f>
        <v>0</v>
      </c>
      <c r="Q7" s="231">
        <f>+SUMIFS(Tabla1[Avance_Med],Tabla1[Fecha],"&gt;="&amp;$A7,Tabla1[Fecha],"&lt;="&amp;EOMONTH($A7,0),Tabla1[Codigo_actividad],Q$4)*Q$3</f>
        <v>0</v>
      </c>
      <c r="R7" s="231">
        <f>+SUMIFS(Tabla1[Avance_Med],Tabla1[Fecha],"&gt;="&amp;$A7,Tabla1[Fecha],"&lt;="&amp;EOMONTH($A7,0),Tabla1[Codigo_actividad],R$4)*R$3</f>
        <v>0</v>
      </c>
      <c r="S7" s="231">
        <f>+SUMIFS(Tabla1[Avance_Med],Tabla1[Fecha],"&gt;="&amp;$A7,Tabla1[Fecha],"&lt;="&amp;EOMONTH($A7,0),Tabla1[Codigo_actividad],S$4)*S$3</f>
        <v>0</v>
      </c>
      <c r="T7" s="231">
        <f>+SUMIFS(Tabla1[Avance_Med],Tabla1[Fecha],"&gt;="&amp;$A7,Tabla1[Fecha],"&lt;="&amp;EOMONTH($A7,0),Tabla1[Codigo_actividad],T$4)*T$3</f>
        <v>0</v>
      </c>
      <c r="U7" s="231">
        <f>+SUMIFS(Tabla1[Avance_Med],Tabla1[Fecha],"&gt;="&amp;$A7,Tabla1[Fecha],"&lt;="&amp;EOMONTH($A7,0),Tabla1[Codigo_actividad],U$4)*U$3</f>
        <v>0</v>
      </c>
      <c r="V7" s="231">
        <f>+SUMIFS(Tabla1[Avance_Med],Tabla1[Fecha],"&gt;="&amp;$A7,Tabla1[Fecha],"&lt;="&amp;EOMONTH($A7,0),Tabla1[Codigo_actividad],V$4)*V$3</f>
        <v>0</v>
      </c>
      <c r="W7" s="231">
        <f>+SUMIFS(Tabla1[Avance_Med],Tabla1[Fecha],"&gt;="&amp;$A7,Tabla1[Fecha],"&lt;="&amp;EOMONTH($A7,0),Tabla1[Codigo_actividad],W$4)*W$3</f>
        <v>0</v>
      </c>
      <c r="X7" s="231">
        <f>+SUMIFS(Tabla1[Avance_Med],Tabla1[Fecha],"&gt;="&amp;$A7,Tabla1[Fecha],"&lt;="&amp;EOMONTH($A7,0),Tabla1[Codigo_actividad],X$4)*X$3</f>
        <v>0</v>
      </c>
      <c r="Y7" s="231">
        <f>+SUMIFS(Tabla1[Avance_Med],Tabla1[Fecha],"&gt;="&amp;$A7,Tabla1[Fecha],"&lt;="&amp;EOMONTH($A7,0),Tabla1[Codigo_actividad],Y$4)*Y$3</f>
        <v>0</v>
      </c>
      <c r="Z7" s="231">
        <f>+SUMIFS(Tabla1[Avance_Med],Tabla1[Fecha],"&gt;="&amp;$A7,Tabla1[Fecha],"&lt;="&amp;EOMONTH($A7,0),Tabla1[Codigo_actividad],Z$4)*Z$3</f>
        <v>0</v>
      </c>
      <c r="AA7" s="231">
        <f>+SUMIFS(Tabla1[Avance_Med],Tabla1[Fecha],"&gt;="&amp;$A7,Tabla1[Fecha],"&lt;="&amp;EOMONTH($A7,0),Tabla1[Codigo_actividad],AA$4)*AA$3</f>
        <v>0</v>
      </c>
      <c r="AB7" s="231">
        <f>+SUMIFS(Tabla1[Avance_Med],Tabla1[Fecha],"&gt;="&amp;$A7,Tabla1[Fecha],"&lt;="&amp;EOMONTH($A7,0),Tabla1[Codigo_actividad],AB$4)*AB$3</f>
        <v>0</v>
      </c>
      <c r="AC7" s="231">
        <f>+SUMIFS(Tabla1[Avance_Med],Tabla1[Fecha],"&gt;="&amp;$A7,Tabla1[Fecha],"&lt;="&amp;EOMONTH($A7,0),Tabla1[Codigo_actividad],AC$4)*AC$3</f>
        <v>0</v>
      </c>
      <c r="AD7" s="231">
        <f>+SUMIFS(Tabla1[Avance_Med],Tabla1[Fecha],"&gt;="&amp;$A7,Tabla1[Fecha],"&lt;="&amp;EOMONTH($A7,0),Tabla1[Codigo_actividad],AD$4)*AD$3</f>
        <v>0</v>
      </c>
      <c r="AE7" s="231">
        <f>+SUMIFS(Tabla1[Avance_Med],Tabla1[Fecha],"&gt;="&amp;$A7,Tabla1[Fecha],"&lt;="&amp;EOMONTH($A7,0),Tabla1[Codigo_actividad],AE$4)*AE$3</f>
        <v>0</v>
      </c>
      <c r="AF7" s="231">
        <f>+SUMIFS(Tabla1[Avance_Med],Tabla1[Fecha],"&gt;="&amp;$A7,Tabla1[Fecha],"&lt;="&amp;EOMONTH($A7,0),Tabla1[Codigo_actividad],AF$4)*AF$3</f>
        <v>0</v>
      </c>
      <c r="AG7" s="231">
        <f>+SUMIFS(Tabla1[Avance_Med],Tabla1[Fecha],"&gt;="&amp;$A7,Tabla1[Fecha],"&lt;="&amp;EOMONTH($A7,0),Tabla1[Codigo_actividad],AG$4)*AG$3</f>
        <v>0</v>
      </c>
      <c r="AH7" s="231">
        <f>+SUMIFS(Tabla1[Avance_Med],Tabla1[Fecha],"&gt;="&amp;$A7,Tabla1[Fecha],"&lt;="&amp;EOMONTH($A7,0),Tabla1[Codigo_actividad],AH$4)*AH$3</f>
        <v>0</v>
      </c>
      <c r="AI7" s="231">
        <f>+SUMIFS(Tabla1[Avance_Med],Tabla1[Fecha],"&gt;="&amp;$A7,Tabla1[Fecha],"&lt;="&amp;EOMONTH($A7,0),Tabla1[Codigo_actividad],AI$4)*AI$3</f>
        <v>0</v>
      </c>
      <c r="AJ7" s="231">
        <f>+SUMIFS(Tabla1[Avance_Med],Tabla1[Fecha],"&gt;="&amp;$A7,Tabla1[Fecha],"&lt;="&amp;EOMONTH($A7,0),Tabla1[Codigo_actividad],AJ$4)*AJ$3</f>
        <v>0</v>
      </c>
      <c r="AK7" s="231">
        <f>+SUMIFS(Tabla1[Avance_Med],Tabla1[Fecha],"&gt;="&amp;$A7,Tabla1[Fecha],"&lt;="&amp;EOMONTH($A7,0),Tabla1[Codigo_actividad],AK$4)*AK$3</f>
        <v>0</v>
      </c>
      <c r="AL7" s="231">
        <f>+SUMIFS(Tabla1[Avance_km],Tabla1[Fecha],"&gt;="&amp;$A7,Tabla1[Fecha],"&lt;="&amp;EOMONTH($A7,0),Tabla1[Codigo_actividad],AL$4)*AL$3</f>
        <v>0</v>
      </c>
      <c r="AM7" s="231">
        <f>+SUMIFS(Tabla1[Avance_Med],Tabla1[Fecha],"&gt;="&amp;$A7,Tabla1[Fecha],"&lt;="&amp;EOMONTH($A7,0),Tabla1[Codigo_actividad],AM$4)*AM$3</f>
        <v>0</v>
      </c>
    </row>
    <row r="8" spans="1:39" x14ac:dyDescent="0.25">
      <c r="A8" s="226">
        <v>46054</v>
      </c>
      <c r="B8" s="231">
        <f>+SUMIFS(Tabla1[Avance_Med],Tabla1[Fecha],"&gt;="&amp;$A8,Tabla1[Fecha],"&lt;="&amp;EOMONTH($A8,0),Tabla1[Codigo_actividad],B$4)*B$3</f>
        <v>0</v>
      </c>
      <c r="C8" s="231">
        <f>+SUMIFS(Tabla1[Avance_Med],Tabla1[Fecha],"&gt;="&amp;$A8,Tabla1[Fecha],"&lt;="&amp;EOMONTH($A8,0),Tabla1[Codigo_actividad],C$4)*C$3</f>
        <v>0</v>
      </c>
      <c r="D8" s="231">
        <f>+SUMIFS(Tabla1[Avance_Med],Tabla1[Fecha],"&gt;="&amp;$A8,Tabla1[Fecha],"&lt;="&amp;EOMONTH($A8,0),Tabla1[Codigo_actividad],D$4)*D$3</f>
        <v>0</v>
      </c>
      <c r="E8" s="231">
        <f>+SUMIFS(Tabla1[Avance_Med],Tabla1[Fecha],"&gt;="&amp;$A8,Tabla1[Fecha],"&lt;="&amp;EOMONTH($A8,0),Tabla1[Codigo_actividad],E$4)*E$3</f>
        <v>0</v>
      </c>
      <c r="F8" s="231">
        <f>+SUMIFS(Tabla1[Avance_Med],Tabla1[Fecha],"&gt;="&amp;$A8,Tabla1[Fecha],"&lt;="&amp;EOMONTH($A8,0),Tabla1[Codigo_actividad],F$4)*F$3</f>
        <v>0</v>
      </c>
      <c r="G8" s="231">
        <f>+SUMIFS(Tabla1[Avance_Med],Tabla1[Fecha],"&gt;="&amp;$A8,Tabla1[Fecha],"&lt;="&amp;EOMONTH($A8,0),Tabla1[Codigo_actividad],G$4)*G$3</f>
        <v>0</v>
      </c>
      <c r="H8" s="343">
        <f>+SUMIFS(Tabla1[Avance_km],Tabla1[Fecha],"&gt;="&amp;$A8,Tabla1[Fecha],"&lt;="&amp;EOMONTH($A8,0),Tabla1[Codigo_actividad],H$4)*H$3</f>
        <v>0</v>
      </c>
      <c r="I8" s="231"/>
      <c r="J8" s="343">
        <f>+SUMIFS(Tabla1[Avance_km],Tabla1[Fecha],"&gt;="&amp;$A8,Tabla1[Fecha],"&lt;="&amp;EOMONTH($A8,0),Tabla1[Codigo_actividad],J$4, Tabla1[Avance_km],"&gt;0")*J$3</f>
        <v>0</v>
      </c>
      <c r="K8" s="481">
        <f>ROUND(SUMIFS(Tabla1[Avance_km],Tabla1[Fecha],"&gt;="&amp;$A8,Tabla1[Fecha],"&lt;="&amp;EOMONTH($A8,0),Tabla1[Codigo_actividad],K$4,Tabla1[Avance_km],"&gt;0"),3)*K$3</f>
        <v>0</v>
      </c>
      <c r="L8" s="231">
        <f>+SUMIFS(Tabla1[Avance_Med],Tabla1[Fecha],"&gt;="&amp;$A8,Tabla1[Fecha],"&lt;="&amp;EOMONTH($A8,0),Tabla1[Codigo_actividad],L$4)*L$3</f>
        <v>18</v>
      </c>
      <c r="M8" s="343">
        <f>+SUMIFS(Tabla1[Avance_km],Tabla1[Fecha],"&gt;="&amp;$A8,Tabla1[Fecha],"&lt;="&amp;EOMONTH($A8,0),Tabla1[Codigo_actividad],M$4)*M$3</f>
        <v>0</v>
      </c>
      <c r="N8" s="231">
        <f>+SUMIFS(Tabla1[Avance_Med],Tabla1[Fecha],"&gt;="&amp;$A8,Tabla1[Fecha],"&lt;="&amp;EOMONTH($A8,0),Tabla1[Codigo_actividad],N$4)*N$3</f>
        <v>0</v>
      </c>
      <c r="O8" s="231">
        <f>+SUMIFS(Tabla1[Avance_Med],Tabla1[Fecha],"&gt;="&amp;$A8,Tabla1[Fecha],"&lt;="&amp;EOMONTH($A8,0),Tabla1[Codigo_actividad],O$4)*O$3</f>
        <v>0</v>
      </c>
      <c r="P8" s="231">
        <f>+SUMIFS(Tabla1[Avance_Med],Tabla1[Fecha],"&gt;="&amp;$A8,Tabla1[Fecha],"&lt;="&amp;EOMONTH($A8,0),Tabla1[Codigo_actividad],P$4)*P$3</f>
        <v>0</v>
      </c>
      <c r="Q8" s="231">
        <f>+SUMIFS(Tabla1[Avance_Med],Tabla1[Fecha],"&gt;="&amp;$A8,Tabla1[Fecha],"&lt;="&amp;EOMONTH($A8,0),Tabla1[Codigo_actividad],Q$4)*Q$3</f>
        <v>0</v>
      </c>
      <c r="R8" s="231">
        <f>+SUMIFS(Tabla1[Avance_Med],Tabla1[Fecha],"&gt;="&amp;$A8,Tabla1[Fecha],"&lt;="&amp;EOMONTH($A8,0),Tabla1[Codigo_actividad],R$4)*R$3</f>
        <v>0</v>
      </c>
      <c r="S8" s="231">
        <f>+SUMIFS(Tabla1[Avance_Med],Tabla1[Fecha],"&gt;="&amp;$A8,Tabla1[Fecha],"&lt;="&amp;EOMONTH($A8,0),Tabla1[Codigo_actividad],S$4)*S$3</f>
        <v>0</v>
      </c>
      <c r="T8" s="231">
        <f>+SUMIFS(Tabla1[Avance_Med],Tabla1[Fecha],"&gt;="&amp;$A8,Tabla1[Fecha],"&lt;="&amp;EOMONTH($A8,0),Tabla1[Codigo_actividad],T$4)*T$3</f>
        <v>0</v>
      </c>
      <c r="U8" s="231">
        <f>+SUMIFS(Tabla1[Avance_Med],Tabla1[Fecha],"&gt;="&amp;$A8,Tabla1[Fecha],"&lt;="&amp;EOMONTH($A8,0),Tabla1[Codigo_actividad],U$4)*U$3</f>
        <v>0</v>
      </c>
      <c r="V8" s="231">
        <f>+SUMIFS(Tabla1[Avance_Med],Tabla1[Fecha],"&gt;="&amp;$A8,Tabla1[Fecha],"&lt;="&amp;EOMONTH($A8,0),Tabla1[Codigo_actividad],V$4)*V$3</f>
        <v>0</v>
      </c>
      <c r="W8" s="231">
        <f>+SUMIFS(Tabla1[Avance_Med],Tabla1[Fecha],"&gt;="&amp;$A8,Tabla1[Fecha],"&lt;="&amp;EOMONTH($A8,0),Tabla1[Codigo_actividad],W$4)*W$3</f>
        <v>0</v>
      </c>
      <c r="X8" s="231">
        <f>+SUMIFS(Tabla1[Avance_Med],Tabla1[Fecha],"&gt;="&amp;$A8,Tabla1[Fecha],"&lt;="&amp;EOMONTH($A8,0),Tabla1[Codigo_actividad],X$4)*X$3</f>
        <v>0</v>
      </c>
      <c r="Y8" s="231">
        <f>+SUMIFS(Tabla1[Avance_Med],Tabla1[Fecha],"&gt;="&amp;$A8,Tabla1[Fecha],"&lt;="&amp;EOMONTH($A8,0),Tabla1[Codigo_actividad],Y$4)*Y$3</f>
        <v>0</v>
      </c>
      <c r="Z8" s="231">
        <f>+SUMIFS(Tabla1[Avance_Med],Tabla1[Fecha],"&gt;="&amp;$A8,Tabla1[Fecha],"&lt;="&amp;EOMONTH($A8,0),Tabla1[Codigo_actividad],Z$4)*Z$3</f>
        <v>0</v>
      </c>
      <c r="AA8" s="231">
        <f>+SUMIFS(Tabla1[Avance_Med],Tabla1[Fecha],"&gt;="&amp;$A8,Tabla1[Fecha],"&lt;="&amp;EOMONTH($A8,0),Tabla1[Codigo_actividad],AA$4)*AA$3</f>
        <v>0</v>
      </c>
      <c r="AB8" s="231">
        <f>+SUMIFS(Tabla1[Avance_Med],Tabla1[Fecha],"&gt;="&amp;$A8,Tabla1[Fecha],"&lt;="&amp;EOMONTH($A8,0),Tabla1[Codigo_actividad],AB$4)*AB$3</f>
        <v>0</v>
      </c>
      <c r="AC8" s="231">
        <f>+SUMIFS(Tabla1[Avance_Med],Tabla1[Fecha],"&gt;="&amp;$A8,Tabla1[Fecha],"&lt;="&amp;EOMONTH($A8,0),Tabla1[Codigo_actividad],AC$4)*AC$3</f>
        <v>0</v>
      </c>
      <c r="AD8" s="231">
        <f>+SUMIFS(Tabla1[Avance_Med],Tabla1[Fecha],"&gt;="&amp;$A8,Tabla1[Fecha],"&lt;="&amp;EOMONTH($A8,0),Tabla1[Codigo_actividad],AD$4)*AD$3</f>
        <v>0</v>
      </c>
      <c r="AE8" s="231">
        <f>+SUMIFS(Tabla1[Avance_Med],Tabla1[Fecha],"&gt;="&amp;$A8,Tabla1[Fecha],"&lt;="&amp;EOMONTH($A8,0),Tabla1[Codigo_actividad],AE$4)*AE$3</f>
        <v>0</v>
      </c>
      <c r="AF8" s="231">
        <f>+SUMIFS(Tabla1[Avance_Med],Tabla1[Fecha],"&gt;="&amp;$A8,Tabla1[Fecha],"&lt;="&amp;EOMONTH($A8,0),Tabla1[Codigo_actividad],AF$4)*AF$3</f>
        <v>0</v>
      </c>
      <c r="AG8" s="231">
        <f>+SUMIFS(Tabla1[Avance_Med],Tabla1[Fecha],"&gt;="&amp;$A8,Tabla1[Fecha],"&lt;="&amp;EOMONTH($A8,0),Tabla1[Codigo_actividad],AG$4)*AG$3</f>
        <v>0</v>
      </c>
      <c r="AH8" s="231">
        <f>+SUMIFS(Tabla1[Avance_Med],Tabla1[Fecha],"&gt;="&amp;$A8,Tabla1[Fecha],"&lt;="&amp;EOMONTH($A8,0),Tabla1[Codigo_actividad],AH$4)*AH$3</f>
        <v>0</v>
      </c>
      <c r="AI8" s="231">
        <f>+SUMIFS(Tabla1[Avance_Med],Tabla1[Fecha],"&gt;="&amp;$A8,Tabla1[Fecha],"&lt;="&amp;EOMONTH($A8,0),Tabla1[Codigo_actividad],AI$4)*AI$3</f>
        <v>0</v>
      </c>
      <c r="AJ8" s="231">
        <f>+SUMIFS(Tabla1[Avance_Med],Tabla1[Fecha],"&gt;="&amp;$A8,Tabla1[Fecha],"&lt;="&amp;EOMONTH($A8,0),Tabla1[Codigo_actividad],AJ$4)*AJ$3</f>
        <v>0</v>
      </c>
      <c r="AK8" s="231">
        <f>+SUMIFS(Tabla1[Avance_Med],Tabla1[Fecha],"&gt;="&amp;$A8,Tabla1[Fecha],"&lt;="&amp;EOMONTH($A8,0),Tabla1[Codigo_actividad],AK$4)*AK$3</f>
        <v>0</v>
      </c>
      <c r="AL8" s="231">
        <f>+SUMIFS(Tabla1[Avance_km],Tabla1[Fecha],"&gt;="&amp;$A8,Tabla1[Fecha],"&lt;="&amp;EOMONTH($A8,0),Tabla1[Codigo_actividad],AL$4)*AL$3</f>
        <v>0</v>
      </c>
      <c r="AM8" s="231">
        <f>+SUMIFS(Tabla1[Avance_Med],Tabla1[Fecha],"&gt;="&amp;$A8,Tabla1[Fecha],"&lt;="&amp;EOMONTH($A8,0),Tabla1[Codigo_actividad],AM$4)*AM$3</f>
        <v>0</v>
      </c>
    </row>
    <row r="9" spans="1:39" x14ac:dyDescent="0.25">
      <c r="A9" s="226">
        <v>46082</v>
      </c>
      <c r="B9" s="231">
        <f>+SUMIFS(Tabla1[Avance_Med],Tabla1[Fecha],"&gt;="&amp;$A9,Tabla1[Fecha],"&lt;="&amp;EOMONTH($A9,0),Tabla1[Codigo_actividad],B$4)*B$3</f>
        <v>99</v>
      </c>
      <c r="C9" s="231">
        <f>+SUMIFS(Tabla1[Avance_Med],Tabla1[Fecha],"&gt;="&amp;$A9,Tabla1[Fecha],"&lt;="&amp;EOMONTH($A9,0),Tabla1[Codigo_actividad],C$4)*C$3</f>
        <v>99</v>
      </c>
      <c r="D9" s="231">
        <f>+SUMIFS(Tabla1[Avance_Med],Tabla1[Fecha],"&gt;="&amp;$A9,Tabla1[Fecha],"&lt;="&amp;EOMONTH($A9,0),Tabla1[Codigo_actividad],D$4)*D$3</f>
        <v>99</v>
      </c>
      <c r="E9" s="231">
        <f>+SUMIFS(Tabla1[Avance_Med],Tabla1[Fecha],"&gt;="&amp;$A9,Tabla1[Fecha],"&lt;="&amp;EOMONTH($A9,0),Tabla1[Codigo_actividad],E$4)*E$3</f>
        <v>99</v>
      </c>
      <c r="F9" s="231">
        <f>+SUMIFS(Tabla1[Avance_Med],Tabla1[Fecha],"&gt;="&amp;$A9,Tabla1[Fecha],"&lt;="&amp;EOMONTH($A9,0),Tabla1[Codigo_actividad],F$4)*F$3</f>
        <v>99</v>
      </c>
      <c r="G9" s="231">
        <f>+SUMIFS(Tabla1[Avance_Med],Tabla1[Fecha],"&gt;="&amp;$A9,Tabla1[Fecha],"&lt;="&amp;EOMONTH($A9,0),Tabla1[Codigo_actividad],G$4)*G$3</f>
        <v>99</v>
      </c>
      <c r="H9" s="343">
        <f>+SUMIFS(Tabla1[Avance_km],Tabla1[Fecha],"&gt;="&amp;$A9,Tabla1[Fecha],"&lt;="&amp;EOMONTH($A9,0),Tabla1[Codigo_actividad],H$4)*H$3</f>
        <v>0</v>
      </c>
      <c r="I9" s="231"/>
      <c r="J9" s="343">
        <f>+SUMIFS(Tabla1[Avance_km],Tabla1[Fecha],"&gt;="&amp;$A9,Tabla1[Fecha],"&lt;="&amp;EOMONTH($A9,0),Tabla1[Codigo_actividad],J$4, Tabla1[Avance_km],"&gt;0")*J$3</f>
        <v>0</v>
      </c>
      <c r="K9" s="481">
        <f>ROUND(SUMIFS(Tabla1[Avance_km],Tabla1[Fecha],"&gt;="&amp;$A9,Tabla1[Fecha],"&lt;="&amp;EOMONTH($A9,0),Tabla1[Codigo_actividad],K$4,Tabla1[Avance_km],"&gt;0"),3)*K$3</f>
        <v>0</v>
      </c>
      <c r="L9" s="231">
        <f>+SUMIFS(Tabla1[Avance_Med],Tabla1[Fecha],"&gt;="&amp;$A9,Tabla1[Fecha],"&lt;="&amp;EOMONTH($A9,0),Tabla1[Codigo_actividad],L$4)*L$3</f>
        <v>0</v>
      </c>
      <c r="M9" s="343">
        <f>+SUMIFS(Tabla1[Avance_km],Tabla1[Fecha],"&gt;="&amp;$A9,Tabla1[Fecha],"&lt;="&amp;EOMONTH($A9,0),Tabla1[Codigo_actividad],M$4)*M$3</f>
        <v>3.6</v>
      </c>
      <c r="N9" s="231">
        <f>+SUMIFS(Tabla1[Avance_Med],Tabla1[Fecha],"&gt;="&amp;$A9,Tabla1[Fecha],"&lt;="&amp;EOMONTH($A9,0),Tabla1[Codigo_actividad],N$4)*N$3</f>
        <v>54</v>
      </c>
      <c r="O9" s="231">
        <f>+SUMIFS(Tabla1[Avance_Med],Tabla1[Fecha],"&gt;="&amp;$A9,Tabla1[Fecha],"&lt;="&amp;EOMONTH($A9,0),Tabla1[Codigo_actividad],O$4)*O$3</f>
        <v>54</v>
      </c>
      <c r="P9" s="231">
        <f>+SUMIFS(Tabla1[Avance_Med],Tabla1[Fecha],"&gt;="&amp;$A9,Tabla1[Fecha],"&lt;="&amp;EOMONTH($A9,0),Tabla1[Codigo_actividad],P$4)*P$3</f>
        <v>54</v>
      </c>
      <c r="Q9" s="231">
        <f>+SUMIFS(Tabla1[Avance_Med],Tabla1[Fecha],"&gt;="&amp;$A9,Tabla1[Fecha],"&lt;="&amp;EOMONTH($A9,0),Tabla1[Codigo_actividad],Q$4)*Q$3</f>
        <v>0</v>
      </c>
      <c r="R9" s="231">
        <f>+SUMIFS(Tabla1[Avance_Med],Tabla1[Fecha],"&gt;="&amp;$A9,Tabla1[Fecha],"&lt;="&amp;EOMONTH($A9,0),Tabla1[Codigo_actividad],R$4)*R$3</f>
        <v>0</v>
      </c>
      <c r="S9" s="231">
        <f>+SUMIFS(Tabla1[Avance_Med],Tabla1[Fecha],"&gt;="&amp;$A9,Tabla1[Fecha],"&lt;="&amp;EOMONTH($A9,0),Tabla1[Codigo_actividad],S$4)*S$3</f>
        <v>0</v>
      </c>
      <c r="T9" s="231">
        <f>+SUMIFS(Tabla1[Avance_Med],Tabla1[Fecha],"&gt;="&amp;$A9,Tabla1[Fecha],"&lt;="&amp;EOMONTH($A9,0),Tabla1[Codigo_actividad],T$4)*T$3</f>
        <v>0</v>
      </c>
      <c r="U9" s="231">
        <f>+SUMIFS(Tabla1[Avance_Med],Tabla1[Fecha],"&gt;="&amp;$A9,Tabla1[Fecha],"&lt;="&amp;EOMONTH($A9,0),Tabla1[Codigo_actividad],U$4)*U$3</f>
        <v>0</v>
      </c>
      <c r="V9" s="231">
        <f>+SUMIFS(Tabla1[Avance_Med],Tabla1[Fecha],"&gt;="&amp;$A9,Tabla1[Fecha],"&lt;="&amp;EOMONTH($A9,0),Tabla1[Codigo_actividad],V$4)*V$3</f>
        <v>0</v>
      </c>
      <c r="W9" s="231">
        <f>+SUMIFS(Tabla1[Avance_Med],Tabla1[Fecha],"&gt;="&amp;$A9,Tabla1[Fecha],"&lt;="&amp;EOMONTH($A9,0),Tabla1[Codigo_actividad],W$4)*W$3</f>
        <v>0</v>
      </c>
      <c r="X9" s="231">
        <f>+SUMIFS(Tabla1[Avance_Med],Tabla1[Fecha],"&gt;="&amp;$A9,Tabla1[Fecha],"&lt;="&amp;EOMONTH($A9,0),Tabla1[Codigo_actividad],X$4)*X$3</f>
        <v>0</v>
      </c>
      <c r="Y9" s="231">
        <f>+SUMIFS(Tabla1[Avance_Med],Tabla1[Fecha],"&gt;="&amp;$A9,Tabla1[Fecha],"&lt;="&amp;EOMONTH($A9,0),Tabla1[Codigo_actividad],Y$4)*Y$3</f>
        <v>0</v>
      </c>
      <c r="Z9" s="231">
        <f>+SUMIFS(Tabla1[Avance_Med],Tabla1[Fecha],"&gt;="&amp;$A9,Tabla1[Fecha],"&lt;="&amp;EOMONTH($A9,0),Tabla1[Codigo_actividad],Z$4)*Z$3</f>
        <v>0</v>
      </c>
      <c r="AA9" s="231">
        <f>+SUMIFS(Tabla1[Avance_Med],Tabla1[Fecha],"&gt;="&amp;$A9,Tabla1[Fecha],"&lt;="&amp;EOMONTH($A9,0),Tabla1[Codigo_actividad],AA$4)*AA$3</f>
        <v>0</v>
      </c>
      <c r="AB9" s="231">
        <f>+SUMIFS(Tabla1[Avance_Med],Tabla1[Fecha],"&gt;="&amp;$A9,Tabla1[Fecha],"&lt;="&amp;EOMONTH($A9,0),Tabla1[Codigo_actividad],AB$4)*AB$3</f>
        <v>0</v>
      </c>
      <c r="AC9" s="231">
        <f>+SUMIFS(Tabla1[Avance_Med],Tabla1[Fecha],"&gt;="&amp;$A9,Tabla1[Fecha],"&lt;="&amp;EOMONTH($A9,0),Tabla1[Codigo_actividad],AC$4)*AC$3</f>
        <v>0</v>
      </c>
      <c r="AD9" s="231">
        <f>+SUMIFS(Tabla1[Avance_Med],Tabla1[Fecha],"&gt;="&amp;$A9,Tabla1[Fecha],"&lt;="&amp;EOMONTH($A9,0),Tabla1[Codigo_actividad],AD$4)*AD$3</f>
        <v>0</v>
      </c>
      <c r="AE9" s="231">
        <f>+SUMIFS(Tabla1[Avance_Med],Tabla1[Fecha],"&gt;="&amp;$A9,Tabla1[Fecha],"&lt;="&amp;EOMONTH($A9,0),Tabla1[Codigo_actividad],AE$4)*AE$3</f>
        <v>0</v>
      </c>
      <c r="AF9" s="231">
        <f>+SUMIFS(Tabla1[Avance_Med],Tabla1[Fecha],"&gt;="&amp;$A9,Tabla1[Fecha],"&lt;="&amp;EOMONTH($A9,0),Tabla1[Codigo_actividad],AF$4)*AF$3</f>
        <v>0</v>
      </c>
      <c r="AG9" s="231">
        <f>+SUMIFS(Tabla1[Avance_Med],Tabla1[Fecha],"&gt;="&amp;$A9,Tabla1[Fecha],"&lt;="&amp;EOMONTH($A9,0),Tabla1[Codigo_actividad],AG$4)*AG$3</f>
        <v>0</v>
      </c>
      <c r="AH9" s="231">
        <f>+SUMIFS(Tabla1[Avance_Med],Tabla1[Fecha],"&gt;="&amp;$A9,Tabla1[Fecha],"&lt;="&amp;EOMONTH($A9,0),Tabla1[Codigo_actividad],AH$4)*AH$3</f>
        <v>0</v>
      </c>
      <c r="AI9" s="231">
        <f>+SUMIFS(Tabla1[Avance_Med],Tabla1[Fecha],"&gt;="&amp;$A9,Tabla1[Fecha],"&lt;="&amp;EOMONTH($A9,0),Tabla1[Codigo_actividad],AI$4)*AI$3</f>
        <v>0</v>
      </c>
      <c r="AJ9" s="231">
        <f>+SUMIFS(Tabla1[Avance_Med],Tabla1[Fecha],"&gt;="&amp;$A9,Tabla1[Fecha],"&lt;="&amp;EOMONTH($A9,0),Tabla1[Codigo_actividad],AJ$4)*AJ$3</f>
        <v>0</v>
      </c>
      <c r="AK9" s="231">
        <f>+SUMIFS(Tabla1[Avance_Med],Tabla1[Fecha],"&gt;="&amp;$A9,Tabla1[Fecha],"&lt;="&amp;EOMONTH($A9,0),Tabla1[Codigo_actividad],AK$4)*AK$3</f>
        <v>0</v>
      </c>
      <c r="AL9" s="231">
        <f>+SUMIFS(Tabla1[Avance_km],Tabla1[Fecha],"&gt;="&amp;$A9,Tabla1[Fecha],"&lt;="&amp;EOMONTH($A9,0),Tabla1[Codigo_actividad],AL$4)*AL$3</f>
        <v>0</v>
      </c>
      <c r="AM9" s="231">
        <f>+SUMIFS(Tabla1[Avance_Med],Tabla1[Fecha],"&gt;="&amp;$A9,Tabla1[Fecha],"&lt;="&amp;EOMONTH($A9,0),Tabla1[Codigo_actividad],AM$4)*AM$3</f>
        <v>0</v>
      </c>
    </row>
    <row r="10" spans="1:39" x14ac:dyDescent="0.25">
      <c r="A10" s="226">
        <v>46113</v>
      </c>
      <c r="B10" s="231">
        <f>+SUMIFS(Tabla1[Avance_Med],Tabla1[Fecha],"&gt;="&amp;$A10,Tabla1[Fecha],"&lt;="&amp;EOMONTH($A10,0),Tabla1[Codigo_actividad],B$4)*B$3</f>
        <v>17</v>
      </c>
      <c r="C10" s="231">
        <f>+SUMIFS(Tabla1[Avance_Med],Tabla1[Fecha],"&gt;="&amp;$A10,Tabla1[Fecha],"&lt;="&amp;EOMONTH($A10,0),Tabla1[Codigo_actividad],C$4)*C$3</f>
        <v>17</v>
      </c>
      <c r="D10" s="231">
        <f>+SUMIFS(Tabla1[Avance_Med],Tabla1[Fecha],"&gt;="&amp;$A10,Tabla1[Fecha],"&lt;="&amp;EOMONTH($A10,0),Tabla1[Codigo_actividad],D$4)*D$3</f>
        <v>17</v>
      </c>
      <c r="E10" s="231">
        <f>+SUMIFS(Tabla1[Avance_Med],Tabla1[Fecha],"&gt;="&amp;$A10,Tabla1[Fecha],"&lt;="&amp;EOMONTH($A10,0),Tabla1[Codigo_actividad],E$4)*E$3</f>
        <v>17</v>
      </c>
      <c r="F10" s="231">
        <f>+SUMIFS(Tabla1[Avance_Med],Tabla1[Fecha],"&gt;="&amp;$A10,Tabla1[Fecha],"&lt;="&amp;EOMONTH($A10,0),Tabla1[Codigo_actividad],F$4)*F$3</f>
        <v>17</v>
      </c>
      <c r="G10" s="231">
        <f>+SUMIFS(Tabla1[Avance_Med],Tabla1[Fecha],"&gt;="&amp;$A10,Tabla1[Fecha],"&lt;="&amp;EOMONTH($A10,0),Tabla1[Codigo_actividad],G$4)*G$3</f>
        <v>17</v>
      </c>
      <c r="H10" s="343">
        <f>+SUMIFS(Tabla1[Avance_km],Tabla1[Fecha],"&gt;="&amp;$A10,Tabla1[Fecha],"&lt;="&amp;EOMONTH($A10,0),Tabla1[Codigo_actividad],H$4)*H$3</f>
        <v>0</v>
      </c>
      <c r="I10" s="231"/>
      <c r="J10" s="343">
        <f>+SUMIFS(Tabla1[Avance_km],Tabla1[Fecha],"&gt;="&amp;$A10,Tabla1[Fecha],"&lt;="&amp;EOMONTH($A10,0),Tabla1[Codigo_actividad],J$4, Tabla1[Avance_km],"&gt;0")*J$3</f>
        <v>5.9550000000000001</v>
      </c>
      <c r="K10" s="481">
        <f>ROUND(SUMIFS(Tabla1[Avance_km],Tabla1[Fecha],"&gt;="&amp;$A10,Tabla1[Fecha],"&lt;="&amp;EOMONTH($A10,0),Tabla1[Codigo_actividad],K$4,Tabla1[Avance_km],"&gt;0"),3)*K$3</f>
        <v>0</v>
      </c>
      <c r="L10" s="231">
        <f>+SUMIFS(Tabla1[Avance_Med],Tabla1[Fecha],"&gt;="&amp;$A10,Tabla1[Fecha],"&lt;="&amp;EOMONTH($A10,0),Tabla1[Codigo_actividad],L$4)*L$3</f>
        <v>0</v>
      </c>
      <c r="M10" s="343">
        <f>+SUMIFS(Tabla1[Avance_km],Tabla1[Fecha],"&gt;="&amp;$A10,Tabla1[Fecha],"&lt;="&amp;EOMONTH($A10,0),Tabla1[Codigo_actividad],M$4)*M$3</f>
        <v>21.635999999999999</v>
      </c>
      <c r="N10" s="231">
        <f>+SUMIFS(Tabla1[Avance_Med],Tabla1[Fecha],"&gt;="&amp;$A10,Tabla1[Fecha],"&lt;="&amp;EOMONTH($A10,0),Tabla1[Codigo_actividad],N$4)*N$3</f>
        <v>0</v>
      </c>
      <c r="O10" s="231">
        <f>+SUMIFS(Tabla1[Avance_Med],Tabla1[Fecha],"&gt;="&amp;$A10,Tabla1[Fecha],"&lt;="&amp;EOMONTH($A10,0),Tabla1[Codigo_actividad],O$4)*O$3</f>
        <v>0</v>
      </c>
      <c r="P10" s="231">
        <f>+SUMIFS(Tabla1[Avance_Med],Tabla1[Fecha],"&gt;="&amp;$A10,Tabla1[Fecha],"&lt;="&amp;EOMONTH($A10,0),Tabla1[Codigo_actividad],P$4)*P$3</f>
        <v>0</v>
      </c>
      <c r="Q10" s="231">
        <f>+SUMIFS(Tabla1[Avance_Med],Tabla1[Fecha],"&gt;="&amp;$A10,Tabla1[Fecha],"&lt;="&amp;EOMONTH($A10,0),Tabla1[Codigo_actividad],Q$4)*Q$3</f>
        <v>0</v>
      </c>
      <c r="R10" s="231">
        <f>+SUMIFS(Tabla1[Avance_Med],Tabla1[Fecha],"&gt;="&amp;$A10,Tabla1[Fecha],"&lt;="&amp;EOMONTH($A10,0),Tabla1[Codigo_actividad],R$4)*R$3</f>
        <v>0</v>
      </c>
      <c r="S10" s="231">
        <f>+SUMIFS(Tabla1[Avance_Med],Tabla1[Fecha],"&gt;="&amp;$A10,Tabla1[Fecha],"&lt;="&amp;EOMONTH($A10,0),Tabla1[Codigo_actividad],S$4)*S$3</f>
        <v>0</v>
      </c>
      <c r="T10" s="231">
        <f>+SUMIFS(Tabla1[Avance_Med],Tabla1[Fecha],"&gt;="&amp;$A10,Tabla1[Fecha],"&lt;="&amp;EOMONTH($A10,0),Tabla1[Codigo_actividad],T$4)*T$3</f>
        <v>0</v>
      </c>
      <c r="U10" s="231">
        <f>+SUMIFS(Tabla1[Avance_Med],Tabla1[Fecha],"&gt;="&amp;$A10,Tabla1[Fecha],"&lt;="&amp;EOMONTH($A10,0),Tabla1[Codigo_actividad],U$4)*U$3</f>
        <v>0</v>
      </c>
      <c r="V10" s="231">
        <f>+SUMIFS(Tabla1[Avance_Med],Tabla1[Fecha],"&gt;="&amp;$A10,Tabla1[Fecha],"&lt;="&amp;EOMONTH($A10,0),Tabla1[Codigo_actividad],V$4)*V$3</f>
        <v>0</v>
      </c>
      <c r="W10" s="231">
        <f>+SUMIFS(Tabla1[Avance_Med],Tabla1[Fecha],"&gt;="&amp;$A10,Tabla1[Fecha],"&lt;="&amp;EOMONTH($A10,0),Tabla1[Codigo_actividad],W$4)*W$3</f>
        <v>0</v>
      </c>
      <c r="X10" s="231">
        <f>+SUMIFS(Tabla1[Avance_Med],Tabla1[Fecha],"&gt;="&amp;$A10,Tabla1[Fecha],"&lt;="&amp;EOMONTH($A10,0),Tabla1[Codigo_actividad],X$4)*X$3</f>
        <v>0</v>
      </c>
      <c r="Y10" s="231">
        <f>+SUMIFS(Tabla1[Avance_Med],Tabla1[Fecha],"&gt;="&amp;$A10,Tabla1[Fecha],"&lt;="&amp;EOMONTH($A10,0),Tabla1[Codigo_actividad],Y$4)*Y$3</f>
        <v>0</v>
      </c>
      <c r="Z10" s="231">
        <f>+SUMIFS(Tabla1[Avance_Med],Tabla1[Fecha],"&gt;="&amp;$A10,Tabla1[Fecha],"&lt;="&amp;EOMONTH($A10,0),Tabla1[Codigo_actividad],Z$4)*Z$3</f>
        <v>0</v>
      </c>
      <c r="AA10" s="231">
        <f>+SUMIFS(Tabla1[Avance_Med],Tabla1[Fecha],"&gt;="&amp;$A10,Tabla1[Fecha],"&lt;="&amp;EOMONTH($A10,0),Tabla1[Codigo_actividad],AA$4)*AA$3</f>
        <v>0</v>
      </c>
      <c r="AB10" s="231">
        <f>+SUMIFS(Tabla1[Avance_Med],Tabla1[Fecha],"&gt;="&amp;$A10,Tabla1[Fecha],"&lt;="&amp;EOMONTH($A10,0),Tabla1[Codigo_actividad],AB$4)*AB$3</f>
        <v>0</v>
      </c>
      <c r="AC10" s="231">
        <f>+SUMIFS(Tabla1[Avance_Med],Tabla1[Fecha],"&gt;="&amp;$A10,Tabla1[Fecha],"&lt;="&amp;EOMONTH($A10,0),Tabla1[Codigo_actividad],AC$4)*AC$3</f>
        <v>0</v>
      </c>
      <c r="AD10" s="231">
        <f>+SUMIFS(Tabla1[Avance_Med],Tabla1[Fecha],"&gt;="&amp;$A10,Tabla1[Fecha],"&lt;="&amp;EOMONTH($A10,0),Tabla1[Codigo_actividad],AD$4)*AD$3</f>
        <v>0</v>
      </c>
      <c r="AE10" s="231">
        <f>+SUMIFS(Tabla1[Avance_Med],Tabla1[Fecha],"&gt;="&amp;$A10,Tabla1[Fecha],"&lt;="&amp;EOMONTH($A10,0),Tabla1[Codigo_actividad],AE$4)*AE$3</f>
        <v>0</v>
      </c>
      <c r="AF10" s="231">
        <f>+SUMIFS(Tabla1[Avance_Med],Tabla1[Fecha],"&gt;="&amp;$A10,Tabla1[Fecha],"&lt;="&amp;EOMONTH($A10,0),Tabla1[Codigo_actividad],AF$4)*AF$3</f>
        <v>0</v>
      </c>
      <c r="AG10" s="231">
        <f>+SUMIFS(Tabla1[Avance_Med],Tabla1[Fecha],"&gt;="&amp;$A10,Tabla1[Fecha],"&lt;="&amp;EOMONTH($A10,0),Tabla1[Codigo_actividad],AG$4)*AG$3</f>
        <v>0</v>
      </c>
      <c r="AH10" s="231">
        <f>+SUMIFS(Tabla1[Avance_Med],Tabla1[Fecha],"&gt;="&amp;$A10,Tabla1[Fecha],"&lt;="&amp;EOMONTH($A10,0),Tabla1[Codigo_actividad],AH$4)*AH$3</f>
        <v>0</v>
      </c>
      <c r="AI10" s="231">
        <f>+SUMIFS(Tabla1[Avance_Med],Tabla1[Fecha],"&gt;="&amp;$A10,Tabla1[Fecha],"&lt;="&amp;EOMONTH($A10,0),Tabla1[Codigo_actividad],AI$4)*AI$3</f>
        <v>0</v>
      </c>
      <c r="AJ10" s="231">
        <f>+SUMIFS(Tabla1[Avance_Med],Tabla1[Fecha],"&gt;="&amp;$A10,Tabla1[Fecha],"&lt;="&amp;EOMONTH($A10,0),Tabla1[Codigo_actividad],AJ$4)*AJ$3</f>
        <v>0</v>
      </c>
      <c r="AK10" s="231">
        <f>+SUMIFS(Tabla1[Avance_Med],Tabla1[Fecha],"&gt;="&amp;$A10,Tabla1[Fecha],"&lt;="&amp;EOMONTH($A10,0),Tabla1[Codigo_actividad],AK$4)*AK$3</f>
        <v>0</v>
      </c>
      <c r="AL10" s="231">
        <f>+SUMIFS(Tabla1[Avance_km],Tabla1[Fecha],"&gt;="&amp;$A10,Tabla1[Fecha],"&lt;="&amp;EOMONTH($A10,0),Tabla1[Codigo_actividad],AL$4)*AL$3</f>
        <v>0</v>
      </c>
      <c r="AM10" s="231">
        <f>+SUMIFS(Tabla1[Avance_Med],Tabla1[Fecha],"&gt;="&amp;$A10,Tabla1[Fecha],"&lt;="&amp;EOMONTH($A10,0),Tabla1[Codigo_actividad],AM$4)*AM$3</f>
        <v>0</v>
      </c>
    </row>
    <row r="11" spans="1:39" x14ac:dyDescent="0.25">
      <c r="A11" s="226">
        <v>46143</v>
      </c>
      <c r="B11" s="231">
        <v>0</v>
      </c>
      <c r="C11" s="231">
        <f>+SUMIFS(Tabla1[Avance_Med],Tabla1[Fecha],"&gt;="&amp;$A11,Tabla1[Fecha],"&lt;="&amp;EOMONTH($A11,0),Tabla1[Codigo_actividad],C$4)*C$3</f>
        <v>0</v>
      </c>
      <c r="D11" s="231">
        <f>+SUMIFS(Tabla1[Avance_Med],Tabla1[Fecha],"&gt;="&amp;$A11,Tabla1[Fecha],"&lt;="&amp;EOMONTH($A11,0),Tabla1[Codigo_actividad],D$4)*D$3</f>
        <v>0</v>
      </c>
      <c r="E11" s="231">
        <f>+SUMIFS(Tabla1[Avance_Med],Tabla1[Fecha],"&gt;="&amp;$A11,Tabla1[Fecha],"&lt;="&amp;EOMONTH($A11,0),Tabla1[Codigo_actividad],E$4)*E$3</f>
        <v>0</v>
      </c>
      <c r="F11" s="231">
        <f>+SUMIFS(Tabla1[Avance_Med],Tabla1[Fecha],"&gt;="&amp;$A11,Tabla1[Fecha],"&lt;="&amp;EOMONTH($A11,0),Tabla1[Codigo_actividad],F$4)*F$3</f>
        <v>0</v>
      </c>
      <c r="G11" s="231">
        <f>+SUMIFS(Tabla1[Avance_Med],Tabla1[Fecha],"&gt;="&amp;$A11,Tabla1[Fecha],"&lt;="&amp;EOMONTH($A11,0),Tabla1[Codigo_actividad],G$4)*G$3</f>
        <v>0</v>
      </c>
      <c r="H11" s="343">
        <f>+SUMIFS(Tabla1[Avance_km],Tabla1[Fecha],"&gt;="&amp;$A11,Tabla1[Fecha],"&lt;="&amp;EOMONTH($A11,0),Tabla1[Codigo_actividad],H$4)*H$3</f>
        <v>11.253</v>
      </c>
      <c r="I11" s="231"/>
      <c r="J11" s="343">
        <f>+SUMIFS(Tabla1[Avance_km],Tabla1[Fecha],"&gt;="&amp;$A11,Tabla1[Fecha],"&lt;="&amp;EOMONTH($A11,0),Tabla1[Codigo_actividad],J$4, Tabla1[Avance_km],"&gt;0")*J$3</f>
        <v>19.906000000000002</v>
      </c>
      <c r="K11" s="481">
        <f>ROUND(SUMIFS(Tabla1[Avance_km],Tabla1[Fecha],"&gt;="&amp;$A11,Tabla1[Fecha],"&lt;="&amp;EOMONTH($A11,0),Tabla1[Codigo_actividad],K$4,Tabla1[Avance_km],"&gt;0"),3)*K$3</f>
        <v>0</v>
      </c>
      <c r="L11" s="231">
        <f>+SUMIFS(Tabla1[Avance_Med],Tabla1[Fecha],"&gt;="&amp;$A11,Tabla1[Fecha],"&lt;="&amp;EOMONTH($A11,0),Tabla1[Codigo_actividad],L$4)*L$3</f>
        <v>0</v>
      </c>
      <c r="M11" s="343">
        <f>+SUMIFS(Tabla1[Avance_km],Tabla1[Fecha],"&gt;="&amp;$A11,Tabla1[Fecha],"&lt;="&amp;EOMONTH($A11,0),Tabla1[Codigo_actividad],M$4)*M$3</f>
        <v>3.6269999999999998</v>
      </c>
      <c r="N11" s="231">
        <f>+SUMIFS(Tabla1[Avance_Med],Tabla1[Fecha],"&gt;="&amp;$A11,Tabla1[Fecha],"&lt;="&amp;EOMONTH($A11,0),Tabla1[Codigo_actividad],N$4)*N$3</f>
        <v>0</v>
      </c>
      <c r="O11" s="231">
        <f>+SUMIFS(Tabla1[Avance_Med],Tabla1[Fecha],"&gt;="&amp;$A11,Tabla1[Fecha],"&lt;="&amp;EOMONTH($A11,0),Tabla1[Codigo_actividad],O$4)*O$3</f>
        <v>0</v>
      </c>
      <c r="P11" s="231">
        <f>+SUMIFS(Tabla1[Avance_Med],Tabla1[Fecha],"&gt;="&amp;$A11,Tabla1[Fecha],"&lt;="&amp;EOMONTH($A11,0),Tabla1[Codigo_actividad],P$4)*P$3</f>
        <v>0</v>
      </c>
      <c r="Q11" s="231">
        <f>+SUMIFS(Tabla1[Avance_Med],Tabla1[Fecha],"&gt;="&amp;$A11,Tabla1[Fecha],"&lt;="&amp;EOMONTH($A11,0),Tabla1[Codigo_actividad],Q$4)*Q$3</f>
        <v>0</v>
      </c>
      <c r="R11" s="231">
        <f>+SUMIFS(Tabla1[Avance_Med],Tabla1[Fecha],"&gt;="&amp;$A11,Tabla1[Fecha],"&lt;="&amp;EOMONTH($A11,0),Tabla1[Codigo_actividad],R$4)*R$3</f>
        <v>0</v>
      </c>
      <c r="S11" s="231">
        <f>+SUMIFS(Tabla1[Avance_Med],Tabla1[Fecha],"&gt;="&amp;$A11,Tabla1[Fecha],"&lt;="&amp;EOMONTH($A11,0),Tabla1[Codigo_actividad],S$4)*S$3</f>
        <v>0</v>
      </c>
      <c r="T11" s="231">
        <f>+SUMIFS(Tabla1[Avance_Med],Tabla1[Fecha],"&gt;="&amp;$A11,Tabla1[Fecha],"&lt;="&amp;EOMONTH($A11,0),Tabla1[Codigo_actividad],T$4)*T$3</f>
        <v>0</v>
      </c>
      <c r="U11" s="231">
        <f>+SUMIFS(Tabla1[Avance_Med],Tabla1[Fecha],"&gt;="&amp;$A11,Tabla1[Fecha],"&lt;="&amp;EOMONTH($A11,0),Tabla1[Codigo_actividad],U$4)*U$3</f>
        <v>0</v>
      </c>
      <c r="V11" s="231">
        <f>+SUMIFS(Tabla1[Avance_Med],Tabla1[Fecha],"&gt;="&amp;$A11,Tabla1[Fecha],"&lt;="&amp;EOMONTH($A11,0),Tabla1[Codigo_actividad],V$4)*V$3</f>
        <v>0</v>
      </c>
      <c r="W11" s="231">
        <f>+SUMIFS(Tabla1[Avance_Med],Tabla1[Fecha],"&gt;="&amp;$A11,Tabla1[Fecha],"&lt;="&amp;EOMONTH($A11,0),Tabla1[Codigo_actividad],W$4)*W$3</f>
        <v>0</v>
      </c>
      <c r="X11" s="231">
        <f>+SUMIFS(Tabla1[Avance_Med],Tabla1[Fecha],"&gt;="&amp;$A11,Tabla1[Fecha],"&lt;="&amp;EOMONTH($A11,0),Tabla1[Codigo_actividad],X$4)*X$3</f>
        <v>0</v>
      </c>
      <c r="Y11" s="231">
        <f>+SUMIFS(Tabla1[Avance_Med],Tabla1[Fecha],"&gt;="&amp;$A11,Tabla1[Fecha],"&lt;="&amp;EOMONTH($A11,0),Tabla1[Codigo_actividad],Y$4)*Y$3</f>
        <v>0</v>
      </c>
      <c r="Z11" s="231">
        <f>+SUMIFS(Tabla1[Avance_Med],Tabla1[Fecha],"&gt;="&amp;$A11,Tabla1[Fecha],"&lt;="&amp;EOMONTH($A11,0),Tabla1[Codigo_actividad],Z$4)*Z$3</f>
        <v>0</v>
      </c>
      <c r="AA11" s="231">
        <f>+SUMIFS(Tabla1[Avance_Med],Tabla1[Fecha],"&gt;="&amp;$A11,Tabla1[Fecha],"&lt;="&amp;EOMONTH($A11,0),Tabla1[Codigo_actividad],AA$4)*AA$3</f>
        <v>0</v>
      </c>
      <c r="AB11" s="231">
        <f>+SUMIFS(Tabla1[Avance_Med],Tabla1[Fecha],"&gt;="&amp;$A11,Tabla1[Fecha],"&lt;="&amp;EOMONTH($A11,0),Tabla1[Codigo_actividad],AB$4)*AB$3</f>
        <v>0</v>
      </c>
      <c r="AC11" s="231">
        <f>+SUMIFS(Tabla1[Avance_Med],Tabla1[Fecha],"&gt;="&amp;$A11,Tabla1[Fecha],"&lt;="&amp;EOMONTH($A11,0),Tabla1[Codigo_actividad],AC$4)*AC$3</f>
        <v>0</v>
      </c>
      <c r="AD11" s="231">
        <f>+SUMIFS(Tabla1[Avance_Med],Tabla1[Fecha],"&gt;="&amp;$A11,Tabla1[Fecha],"&lt;="&amp;EOMONTH($A11,0),Tabla1[Codigo_actividad],AD$4)*AD$3</f>
        <v>0</v>
      </c>
      <c r="AE11" s="231">
        <f>+SUMIFS(Tabla1[Avance_Med],Tabla1[Fecha],"&gt;="&amp;$A11,Tabla1[Fecha],"&lt;="&amp;EOMONTH($A11,0),Tabla1[Codigo_actividad],AE$4)*AE$3</f>
        <v>0</v>
      </c>
      <c r="AF11" s="231">
        <f>+SUMIFS(Tabla1[Avance_Med],Tabla1[Fecha],"&gt;="&amp;$A11,Tabla1[Fecha],"&lt;="&amp;EOMONTH($A11,0),Tabla1[Codigo_actividad],AF$4)*AF$3</f>
        <v>0</v>
      </c>
      <c r="AG11" s="231">
        <f>+SUMIFS(Tabla1[Avance_Med],Tabla1[Fecha],"&gt;="&amp;$A11,Tabla1[Fecha],"&lt;="&amp;EOMONTH($A11,0),Tabla1[Codigo_actividad],AG$4)*AG$3</f>
        <v>0</v>
      </c>
      <c r="AH11" s="231">
        <f>+SUMIFS(Tabla1[Avance_Med],Tabla1[Fecha],"&gt;="&amp;$A11,Tabla1[Fecha],"&lt;="&amp;EOMONTH($A11,0),Tabla1[Codigo_actividad],AH$4)*AH$3</f>
        <v>0</v>
      </c>
      <c r="AI11" s="231">
        <f>+SUMIFS(Tabla1[Avance_Med],Tabla1[Fecha],"&gt;="&amp;$A11,Tabla1[Fecha],"&lt;="&amp;EOMONTH($A11,0),Tabla1[Codigo_actividad],AI$4)*AI$3</f>
        <v>0</v>
      </c>
      <c r="AJ11" s="231">
        <f>+SUMIFS(Tabla1[Avance_Med],Tabla1[Fecha],"&gt;="&amp;$A11,Tabla1[Fecha],"&lt;="&amp;EOMONTH($A11,0),Tabla1[Codigo_actividad],AJ$4)*AJ$3</f>
        <v>0</v>
      </c>
      <c r="AK11" s="231">
        <f>+SUMIFS(Tabla1[Avance_Med],Tabla1[Fecha],"&gt;="&amp;$A11,Tabla1[Fecha],"&lt;="&amp;EOMONTH($A11,0),Tabla1[Codigo_actividad],AK$4)*AK$3</f>
        <v>0</v>
      </c>
      <c r="AL11" s="231">
        <f>+SUMIFS(Tabla1[Avance_km],Tabla1[Fecha],"&gt;="&amp;$A11,Tabla1[Fecha],"&lt;="&amp;EOMONTH($A11,0),Tabla1[Codigo_actividad],AL$4)*AL$3</f>
        <v>0</v>
      </c>
      <c r="AM11" s="231">
        <f>+SUMIFS(Tabla1[Avance_Med],Tabla1[Fecha],"&gt;="&amp;$A11,Tabla1[Fecha],"&lt;="&amp;EOMONTH($A11,0),Tabla1[Codigo_actividad],AM$4)*AM$3</f>
        <v>0</v>
      </c>
    </row>
    <row r="12" spans="1:39" x14ac:dyDescent="0.25">
      <c r="A12" s="226">
        <v>46174</v>
      </c>
      <c r="B12" s="231">
        <v>0</v>
      </c>
      <c r="C12" s="231">
        <f>+SUMIFS(Tabla1[Avance_Med],Tabla1[Fecha],"&gt;="&amp;$A12,Tabla1[Fecha],"&lt;="&amp;EOMONTH($A12,0),Tabla1[Codigo_actividad],C$4)*C$3</f>
        <v>0</v>
      </c>
      <c r="D12" s="231">
        <f>+SUMIFS(Tabla1[Avance_Med],Tabla1[Fecha],"&gt;="&amp;$A12,Tabla1[Fecha],"&lt;="&amp;EOMONTH($A12,0),Tabla1[Codigo_actividad],D$4)*D$3</f>
        <v>0</v>
      </c>
      <c r="E12" s="231">
        <f>+SUMIFS(Tabla1[Avance_Med],Tabla1[Fecha],"&gt;="&amp;$A12,Tabla1[Fecha],"&lt;="&amp;EOMONTH($A12,0),Tabla1[Codigo_actividad],E$4)*E$3</f>
        <v>0</v>
      </c>
      <c r="F12" s="231">
        <f>+SUMIFS(Tabla1[Avance_Med],Tabla1[Fecha],"&gt;="&amp;$A12,Tabla1[Fecha],"&lt;="&amp;EOMONTH($A12,0),Tabla1[Codigo_actividad],F$4)*F$3</f>
        <v>0</v>
      </c>
      <c r="G12" s="231">
        <f>+SUMIFS(Tabla1[Avance_Med],Tabla1[Fecha],"&gt;="&amp;$A12,Tabla1[Fecha],"&lt;="&amp;EOMONTH($A12,0),Tabla1[Codigo_actividad],G$4)*G$3</f>
        <v>0</v>
      </c>
      <c r="H12" s="343">
        <f>+SUMIFS(Tabla1[Avance_km],Tabla1[Fecha],"&gt;="&amp;$A12,Tabla1[Fecha],"&lt;="&amp;EOMONTH($A12,0),Tabla1[Codigo_actividad],H$4)*H$3</f>
        <v>20.328000000000003</v>
      </c>
      <c r="I12" s="231"/>
      <c r="J12" s="343">
        <f>+SUMIFS(Tabla1[Avance_km],Tabla1[Fecha],"&gt;="&amp;$A12,Tabla1[Fecha],"&lt;="&amp;EOMONTH($A12,0),Tabla1[Codigo_actividad],J$4, Tabla1[Avance_km],"&gt;0")*J$3</f>
        <v>0</v>
      </c>
      <c r="K12" s="481">
        <f>ROUND(SUMIFS(Tabla1[Avance_km],Tabla1[Fecha],"&gt;="&amp;$A12,Tabla1[Fecha],"&lt;="&amp;EOMONTH($A12,0),Tabla1[Codigo_actividad],K$4,Tabla1[Avance_km],"&gt;0"),3)*K$3</f>
        <v>0</v>
      </c>
      <c r="L12" s="231">
        <f>+SUMIFS(Tabla1[Avance_Med],Tabla1[Fecha],"&gt;="&amp;$A12,Tabla1[Fecha],"&lt;="&amp;EOMONTH($A12,0),Tabla1[Codigo_actividad],L$4)*L$3</f>
        <v>0</v>
      </c>
      <c r="M12" s="343">
        <f>+SUMIFS(Tabla1[Avance_km],Tabla1[Fecha],"&gt;="&amp;$A12,Tabla1[Fecha],"&lt;="&amp;EOMONTH($A12,0),Tabla1[Codigo_actividad],M$4)*M$3</f>
        <v>5.4169999999999998</v>
      </c>
      <c r="N12" s="231">
        <f>+SUMIFS(Tabla1[Avance_Med],Tabla1[Fecha],"&gt;="&amp;$A12,Tabla1[Fecha],"&lt;="&amp;EOMONTH($A12,0),Tabla1[Codigo_actividad],N$4)*N$3</f>
        <v>0</v>
      </c>
      <c r="O12" s="231">
        <f>+SUMIFS(Tabla1[Avance_Med],Tabla1[Fecha],"&gt;="&amp;$A12,Tabla1[Fecha],"&lt;="&amp;EOMONTH($A12,0),Tabla1[Codigo_actividad],O$4)*O$3</f>
        <v>0</v>
      </c>
      <c r="P12" s="231">
        <f>+SUMIFS(Tabla1[Avance_Med],Tabla1[Fecha],"&gt;="&amp;$A12,Tabla1[Fecha],"&lt;="&amp;EOMONTH($A12,0),Tabla1[Codigo_actividad],P$4)*P$3</f>
        <v>0</v>
      </c>
      <c r="Q12" s="231">
        <f>+SUMIFS(Tabla1[Avance_Med],Tabla1[Fecha],"&gt;="&amp;$A12,Tabla1[Fecha],"&lt;="&amp;EOMONTH($A12,0),Tabla1[Codigo_actividad],Q$4)*Q$3</f>
        <v>0</v>
      </c>
      <c r="R12" s="231">
        <f>+SUMIFS(Tabla1[Avance_Med],Tabla1[Fecha],"&gt;="&amp;$A12,Tabla1[Fecha],"&lt;="&amp;EOMONTH($A12,0),Tabla1[Codigo_actividad],R$4)*R$3</f>
        <v>0</v>
      </c>
      <c r="S12" s="231">
        <f>+SUMIFS(Tabla1[Avance_Med],Tabla1[Fecha],"&gt;="&amp;$A12,Tabla1[Fecha],"&lt;="&amp;EOMONTH($A12,0),Tabla1[Codigo_actividad],S$4)*S$3</f>
        <v>0</v>
      </c>
      <c r="T12" s="231">
        <f>+SUMIFS(Tabla1[Avance_Med],Tabla1[Fecha],"&gt;="&amp;$A12,Tabla1[Fecha],"&lt;="&amp;EOMONTH($A12,0),Tabla1[Codigo_actividad],T$4)*T$3</f>
        <v>0</v>
      </c>
      <c r="U12" s="231">
        <f>+SUMIFS(Tabla1[Avance_Med],Tabla1[Fecha],"&gt;="&amp;$A12,Tabla1[Fecha],"&lt;="&amp;EOMONTH($A12,0),Tabla1[Codigo_actividad],U$4)*U$3</f>
        <v>0</v>
      </c>
      <c r="V12" s="231">
        <f>+SUMIFS(Tabla1[Avance_Med],Tabla1[Fecha],"&gt;="&amp;$A12,Tabla1[Fecha],"&lt;="&amp;EOMONTH($A12,0),Tabla1[Codigo_actividad],V$4)*V$3</f>
        <v>0</v>
      </c>
      <c r="W12" s="231">
        <f>+SUMIFS(Tabla1[Avance_Med],Tabla1[Fecha],"&gt;="&amp;$A12,Tabla1[Fecha],"&lt;="&amp;EOMONTH($A12,0),Tabla1[Codigo_actividad],W$4)*W$3</f>
        <v>0</v>
      </c>
      <c r="X12" s="231">
        <f>+SUMIFS(Tabla1[Avance_Med],Tabla1[Fecha],"&gt;="&amp;$A12,Tabla1[Fecha],"&lt;="&amp;EOMONTH($A12,0),Tabla1[Codigo_actividad],X$4)*X$3</f>
        <v>0</v>
      </c>
      <c r="Y12" s="231">
        <f>+SUMIFS(Tabla1[Avance_Med],Tabla1[Fecha],"&gt;="&amp;$A12,Tabla1[Fecha],"&lt;="&amp;EOMONTH($A12,0),Tabla1[Codigo_actividad],Y$4)*Y$3</f>
        <v>0</v>
      </c>
      <c r="Z12" s="231">
        <f>+SUMIFS(Tabla1[Avance_Med],Tabla1[Fecha],"&gt;="&amp;$A12,Tabla1[Fecha],"&lt;="&amp;EOMONTH($A12,0),Tabla1[Codigo_actividad],Z$4)*Z$3</f>
        <v>0</v>
      </c>
      <c r="AA12" s="231">
        <f>+SUMIFS(Tabla1[Avance_Med],Tabla1[Fecha],"&gt;="&amp;$A12,Tabla1[Fecha],"&lt;="&amp;EOMONTH($A12,0),Tabla1[Codigo_actividad],AA$4)*AA$3</f>
        <v>0</v>
      </c>
      <c r="AB12" s="231">
        <f>+SUMIFS(Tabla1[Avance_Med],Tabla1[Fecha],"&gt;="&amp;$A12,Tabla1[Fecha],"&lt;="&amp;EOMONTH($A12,0),Tabla1[Codigo_actividad],AB$4)*AB$3</f>
        <v>0</v>
      </c>
      <c r="AC12" s="231">
        <f>+SUMIFS(Tabla1[Avance_Med],Tabla1[Fecha],"&gt;="&amp;$A12,Tabla1[Fecha],"&lt;="&amp;EOMONTH($A12,0),Tabla1[Codigo_actividad],AC$4)*AC$3</f>
        <v>0</v>
      </c>
      <c r="AD12" s="231">
        <f>+SUMIFS(Tabla1[Avance_Med],Tabla1[Fecha],"&gt;="&amp;$A12,Tabla1[Fecha],"&lt;="&amp;EOMONTH($A12,0),Tabla1[Codigo_actividad],AD$4)*AD$3</f>
        <v>0</v>
      </c>
      <c r="AE12" s="231">
        <f>+SUMIFS(Tabla1[Avance_Med],Tabla1[Fecha],"&gt;="&amp;$A12,Tabla1[Fecha],"&lt;="&amp;EOMONTH($A12,0),Tabla1[Codigo_actividad],AE$4)*AE$3</f>
        <v>0</v>
      </c>
      <c r="AF12" s="231">
        <f>+SUMIFS(Tabla1[Avance_Med],Tabla1[Fecha],"&gt;="&amp;$A12,Tabla1[Fecha],"&lt;="&amp;EOMONTH($A12,0),Tabla1[Codigo_actividad],AF$4)*AF$3</f>
        <v>0</v>
      </c>
      <c r="AG12" s="231">
        <f>+SUMIFS(Tabla1[Avance_Med],Tabla1[Fecha],"&gt;="&amp;$A12,Tabla1[Fecha],"&lt;="&amp;EOMONTH($A12,0),Tabla1[Codigo_actividad],AG$4)*AG$3</f>
        <v>0</v>
      </c>
      <c r="AH12" s="231">
        <f>+SUMIFS(Tabla1[Avance_Med],Tabla1[Fecha],"&gt;="&amp;$A12,Tabla1[Fecha],"&lt;="&amp;EOMONTH($A12,0),Tabla1[Codigo_actividad],AH$4)*AH$3</f>
        <v>0</v>
      </c>
      <c r="AI12" s="231">
        <f>+SUMIFS(Tabla1[Avance_Med],Tabla1[Fecha],"&gt;="&amp;$A12,Tabla1[Fecha],"&lt;="&amp;EOMONTH($A12,0),Tabla1[Codigo_actividad],AI$4)*AI$3</f>
        <v>0</v>
      </c>
      <c r="AJ12" s="231">
        <f>+SUMIFS(Tabla1[Avance_Med],Tabla1[Fecha],"&gt;="&amp;$A12,Tabla1[Fecha],"&lt;="&amp;EOMONTH($A12,0),Tabla1[Codigo_actividad],AJ$4)*AJ$3</f>
        <v>0</v>
      </c>
      <c r="AK12" s="231">
        <f>+SUMIFS(Tabla1[Avance_Med],Tabla1[Fecha],"&gt;="&amp;$A12,Tabla1[Fecha],"&lt;="&amp;EOMONTH($A12,0),Tabla1[Codigo_actividad],AK$4)*AK$3</f>
        <v>0</v>
      </c>
      <c r="AL12" s="231">
        <f>+SUMIFS(Tabla1[Avance_km],Tabla1[Fecha],"&gt;="&amp;$A12,Tabla1[Fecha],"&lt;="&amp;EOMONTH($A12,0),Tabla1[Codigo_actividad],AL$4)*AL$3</f>
        <v>0</v>
      </c>
      <c r="AM12" s="231">
        <f>+SUMIFS(Tabla1[Avance_Med],Tabla1[Fecha],"&gt;="&amp;$A12,Tabla1[Fecha],"&lt;="&amp;EOMONTH($A12,0),Tabla1[Codigo_actividad],AM$4)*AM$3</f>
        <v>0</v>
      </c>
    </row>
    <row r="13" spans="1:39" x14ac:dyDescent="0.25">
      <c r="A13" s="226">
        <v>46204</v>
      </c>
      <c r="B13" s="231">
        <v>0</v>
      </c>
      <c r="C13" s="231">
        <f>+SUMIFS(Tabla1[Avance_Med],Tabla1[Fecha],"&gt;="&amp;$A13,Tabla1[Fecha],"&lt;="&amp;EOMONTH($A13,0),Tabla1[Codigo_actividad],C$4)*C$3</f>
        <v>0</v>
      </c>
      <c r="D13" s="231">
        <f>+SUMIFS(Tabla1[Avance_Med],Tabla1[Fecha],"&gt;="&amp;$A13,Tabla1[Fecha],"&lt;="&amp;EOMONTH($A13,0),Tabla1[Codigo_actividad],D$4)*D$3</f>
        <v>0</v>
      </c>
      <c r="E13" s="231">
        <f>+SUMIFS(Tabla1[Avance_Med],Tabla1[Fecha],"&gt;="&amp;$A13,Tabla1[Fecha],"&lt;="&amp;EOMONTH($A13,0),Tabla1[Codigo_actividad],E$4)*E$3</f>
        <v>0</v>
      </c>
      <c r="F13" s="231">
        <f>+SUMIFS(Tabla1[Avance_Med],Tabla1[Fecha],"&gt;="&amp;$A13,Tabla1[Fecha],"&lt;="&amp;EOMONTH($A13,0),Tabla1[Codigo_actividad],F$4)*F$3</f>
        <v>0</v>
      </c>
      <c r="G13" s="231">
        <f>+SUMIFS(Tabla1[Avance_Med],Tabla1[Fecha],"&gt;="&amp;$A13,Tabla1[Fecha],"&lt;="&amp;EOMONTH($A13,0),Tabla1[Codigo_actividad],G$4)*G$3</f>
        <v>0</v>
      </c>
      <c r="H13" s="343">
        <f>+SUMIFS(Tabla1[Avance_km],Tabla1[Fecha],"&gt;="&amp;$A13,Tabla1[Fecha],"&lt;="&amp;EOMONTH($A13,0),Tabla1[Codigo_actividad],H$4)*H$3</f>
        <v>13.568</v>
      </c>
      <c r="I13" s="231"/>
      <c r="J13" s="343">
        <f>+SUMIFS(Tabla1[Avance_km],Tabla1[Fecha],"&gt;="&amp;$A13,Tabla1[Fecha],"&lt;="&amp;EOMONTH($A13,0),Tabla1[Codigo_actividad],J$4, Tabla1[Avance_km],"&gt;0")*J$3</f>
        <v>10.538</v>
      </c>
      <c r="K13" s="481">
        <f>ROUND(SUMIFS(Tabla1[Avance_km],Tabla1[Fecha],"&gt;="&amp;$A13,Tabla1[Fecha],"&lt;="&amp;EOMONTH($A13,0),Tabla1[Codigo_actividad],K$4,Tabla1[Avance_km],"&gt;0"),3)*K$3</f>
        <v>0</v>
      </c>
      <c r="L13" s="231">
        <f>+SUMIFS(Tabla1[Avance_Med],Tabla1[Fecha],"&gt;="&amp;$A13,Tabla1[Fecha],"&lt;="&amp;EOMONTH($A13,0),Tabla1[Codigo_actividad],L$4)*L$3</f>
        <v>0</v>
      </c>
      <c r="M13" s="343">
        <f>+SUMIFS(Tabla1[Avance_km],Tabla1[Fecha],"&gt;="&amp;$A13,Tabla1[Fecha],"&lt;="&amp;EOMONTH($A13,0),Tabla1[Codigo_actividad],M$4)*M$3</f>
        <v>13.835000000000001</v>
      </c>
      <c r="N13" s="231">
        <f>+SUMIFS(Tabla1[Avance_Med],Tabla1[Fecha],"&gt;="&amp;$A13,Tabla1[Fecha],"&lt;="&amp;EOMONTH($A13,0),Tabla1[Codigo_actividad],N$4)*N$3</f>
        <v>0</v>
      </c>
      <c r="O13" s="231">
        <f>+SUMIFS(Tabla1[Avance_Med],Tabla1[Fecha],"&gt;="&amp;$A13,Tabla1[Fecha],"&lt;="&amp;EOMONTH($A13,0),Tabla1[Codigo_actividad],O$4)*O$3</f>
        <v>0</v>
      </c>
      <c r="P13" s="231">
        <f>+SUMIFS(Tabla1[Avance_Med],Tabla1[Fecha],"&gt;="&amp;$A13,Tabla1[Fecha],"&lt;="&amp;EOMONTH($A13,0),Tabla1[Codigo_actividad],P$4)*P$3</f>
        <v>0</v>
      </c>
      <c r="Q13" s="231">
        <f>+SUMIFS(Tabla1[Avance_Med],Tabla1[Fecha],"&gt;="&amp;$A13,Tabla1[Fecha],"&lt;="&amp;EOMONTH($A13,0),Tabla1[Codigo_actividad],Q$4)*Q$3</f>
        <v>0</v>
      </c>
      <c r="R13" s="231">
        <f>+SUMIFS(Tabla1[Avance_Med],Tabla1[Fecha],"&gt;="&amp;$A13,Tabla1[Fecha],"&lt;="&amp;EOMONTH($A13,0),Tabla1[Codigo_actividad],R$4)*R$3</f>
        <v>0</v>
      </c>
      <c r="S13" s="231">
        <f>+SUMIFS(Tabla1[Avance_Med],Tabla1[Fecha],"&gt;="&amp;$A13,Tabla1[Fecha],"&lt;="&amp;EOMONTH($A13,0),Tabla1[Codigo_actividad],S$4)*S$3</f>
        <v>0</v>
      </c>
      <c r="T13" s="231">
        <f>+SUMIFS(Tabla1[Avance_Med],Tabla1[Fecha],"&gt;="&amp;$A13,Tabla1[Fecha],"&lt;="&amp;EOMONTH($A13,0),Tabla1[Codigo_actividad],T$4)*T$3</f>
        <v>0</v>
      </c>
      <c r="U13" s="231">
        <f>+SUMIFS(Tabla1[Avance_Med],Tabla1[Fecha],"&gt;="&amp;$A13,Tabla1[Fecha],"&lt;="&amp;EOMONTH($A13,0),Tabla1[Codigo_actividad],U$4)*U$3</f>
        <v>0</v>
      </c>
      <c r="V13" s="231">
        <f>+SUMIFS(Tabla1[Avance_Med],Tabla1[Fecha],"&gt;="&amp;$A13,Tabla1[Fecha],"&lt;="&amp;EOMONTH($A13,0),Tabla1[Codigo_actividad],V$4)*V$3</f>
        <v>0</v>
      </c>
      <c r="W13" s="231">
        <f>+SUMIFS(Tabla1[Avance_Med],Tabla1[Fecha],"&gt;="&amp;$A13,Tabla1[Fecha],"&lt;="&amp;EOMONTH($A13,0),Tabla1[Codigo_actividad],W$4)*W$3</f>
        <v>0</v>
      </c>
      <c r="X13" s="231">
        <f>+SUMIFS(Tabla1[Avance_Med],Tabla1[Fecha],"&gt;="&amp;$A13,Tabla1[Fecha],"&lt;="&amp;EOMONTH($A13,0),Tabla1[Codigo_actividad],X$4)*X$3</f>
        <v>0</v>
      </c>
      <c r="Y13" s="231">
        <f>+SUMIFS(Tabla1[Avance_Med],Tabla1[Fecha],"&gt;="&amp;$A13,Tabla1[Fecha],"&lt;="&amp;EOMONTH($A13,0),Tabla1[Codigo_actividad],Y$4)*Y$3</f>
        <v>0</v>
      </c>
      <c r="Z13" s="231">
        <f>+SUMIFS(Tabla1[Avance_Med],Tabla1[Fecha],"&gt;="&amp;$A13,Tabla1[Fecha],"&lt;="&amp;EOMONTH($A13,0),Tabla1[Codigo_actividad],Z$4)*Z$3</f>
        <v>0</v>
      </c>
      <c r="AA13" s="231">
        <f>+SUMIFS(Tabla1[Avance_Med],Tabla1[Fecha],"&gt;="&amp;$A13,Tabla1[Fecha],"&lt;="&amp;EOMONTH($A13,0),Tabla1[Codigo_actividad],AA$4)*AA$3</f>
        <v>0</v>
      </c>
      <c r="AB13" s="231">
        <f>+SUMIFS(Tabla1[Avance_Med],Tabla1[Fecha],"&gt;="&amp;$A13,Tabla1[Fecha],"&lt;="&amp;EOMONTH($A13,0),Tabla1[Codigo_actividad],AB$4)*AB$3</f>
        <v>0</v>
      </c>
      <c r="AC13" s="231">
        <f>+SUMIFS(Tabla1[Avance_Med],Tabla1[Fecha],"&gt;="&amp;$A13,Tabla1[Fecha],"&lt;="&amp;EOMONTH($A13,0),Tabla1[Codigo_actividad],AC$4)*AC$3</f>
        <v>0</v>
      </c>
      <c r="AD13" s="231">
        <f>+SUMIFS(Tabla1[Avance_Med],Tabla1[Fecha],"&gt;="&amp;$A13,Tabla1[Fecha],"&lt;="&amp;EOMONTH($A13,0),Tabla1[Codigo_actividad],AD$4)*AD$3</f>
        <v>0</v>
      </c>
      <c r="AE13" s="231">
        <f>+SUMIFS(Tabla1[Avance_Med],Tabla1[Fecha],"&gt;="&amp;$A13,Tabla1[Fecha],"&lt;="&amp;EOMONTH($A13,0),Tabla1[Codigo_actividad],AE$4)*AE$3</f>
        <v>0</v>
      </c>
      <c r="AF13" s="231">
        <f>+SUMIFS(Tabla1[Avance_Med],Tabla1[Fecha],"&gt;="&amp;$A13,Tabla1[Fecha],"&lt;="&amp;EOMONTH($A13,0),Tabla1[Codigo_actividad],AF$4)*AF$3</f>
        <v>0</v>
      </c>
      <c r="AG13" s="231">
        <f>+SUMIFS(Tabla1[Avance_Med],Tabla1[Fecha],"&gt;="&amp;$A13,Tabla1[Fecha],"&lt;="&amp;EOMONTH($A13,0),Tabla1[Codigo_actividad],AG$4)*AG$3</f>
        <v>0</v>
      </c>
      <c r="AH13" s="231">
        <f>+SUMIFS(Tabla1[Avance_Med],Tabla1[Fecha],"&gt;="&amp;$A13,Tabla1[Fecha],"&lt;="&amp;EOMONTH($A13,0),Tabla1[Codigo_actividad],AH$4)*AH$3</f>
        <v>0</v>
      </c>
      <c r="AI13" s="231">
        <f>+SUMIFS(Tabla1[Avance_Med],Tabla1[Fecha],"&gt;="&amp;$A13,Tabla1[Fecha],"&lt;="&amp;EOMONTH($A13,0),Tabla1[Codigo_actividad],AI$4)*AI$3</f>
        <v>0</v>
      </c>
      <c r="AJ13" s="231">
        <f>+SUMIFS(Tabla1[Avance_Med],Tabla1[Fecha],"&gt;="&amp;$A13,Tabla1[Fecha],"&lt;="&amp;EOMONTH($A13,0),Tabla1[Codigo_actividad],AJ$4)*AJ$3</f>
        <v>0</v>
      </c>
      <c r="AK13" s="231">
        <f>+SUMIFS(Tabla1[Avance_Med],Tabla1[Fecha],"&gt;="&amp;$A13,Tabla1[Fecha],"&lt;="&amp;EOMONTH($A13,0),Tabla1[Codigo_actividad],AK$4)*AK$3</f>
        <v>0</v>
      </c>
      <c r="AL13" s="231">
        <f>+SUMIFS(Tabla1[Avance_km],Tabla1[Fecha],"&gt;="&amp;$A13,Tabla1[Fecha],"&lt;="&amp;EOMONTH($A13,0),Tabla1[Codigo_actividad],AL$4)*AL$3</f>
        <v>0</v>
      </c>
      <c r="AM13" s="231">
        <f>+SUMIFS(Tabla1[Avance_Med],Tabla1[Fecha],"&gt;="&amp;$A13,Tabla1[Fecha],"&lt;="&amp;EOMONTH($A13,0),Tabla1[Codigo_actividad],AM$4)*AM$3</f>
        <v>0</v>
      </c>
    </row>
    <row r="14" spans="1:39" x14ac:dyDescent="0.25">
      <c r="A14" s="226">
        <v>46235</v>
      </c>
      <c r="B14" s="231">
        <v>0</v>
      </c>
      <c r="C14" s="231">
        <f>+SUMIFS(Tabla1[Avance_Med],Tabla1[Fecha],"&gt;="&amp;$A14,Tabla1[Fecha],"&lt;="&amp;EOMONTH($A14,0),Tabla1[Codigo_actividad],C$4)*C$3</f>
        <v>0</v>
      </c>
      <c r="D14" s="231">
        <f>+SUMIFS(Tabla1[Avance_Med],Tabla1[Fecha],"&gt;="&amp;$A14,Tabla1[Fecha],"&lt;="&amp;EOMONTH($A14,0),Tabla1[Codigo_actividad],D$4)*D$3</f>
        <v>0</v>
      </c>
      <c r="E14" s="231">
        <f>+SUMIFS(Tabla1[Avance_Med],Tabla1[Fecha],"&gt;="&amp;$A14,Tabla1[Fecha],"&lt;="&amp;EOMONTH($A14,0),Tabla1[Codigo_actividad],E$4)*E$3</f>
        <v>0</v>
      </c>
      <c r="F14" s="231">
        <f>+SUMIFS(Tabla1[Avance_Med],Tabla1[Fecha],"&gt;="&amp;$A14,Tabla1[Fecha],"&lt;="&amp;EOMONTH($A14,0),Tabla1[Codigo_actividad],F$4)*F$3</f>
        <v>0</v>
      </c>
      <c r="G14" s="231">
        <f>+SUMIFS(Tabla1[Avance_Med],Tabla1[Fecha],"&gt;="&amp;$A14,Tabla1[Fecha],"&lt;="&amp;EOMONTH($A14,0),Tabla1[Codigo_actividad],G$4)*G$3</f>
        <v>0</v>
      </c>
      <c r="H14" s="343">
        <f>+SUMIFS(Tabla1[Avance_km],Tabla1[Fecha],"&gt;="&amp;$A14,Tabla1[Fecha],"&lt;="&amp;EOMONTH($A14,0),Tabla1[Codigo_actividad],H$4)*H$3</f>
        <v>10.033000000000001</v>
      </c>
      <c r="I14" s="231"/>
      <c r="J14" s="343">
        <f>+SUMIFS(Tabla1[Avance_km],Tabla1[Fecha],"&gt;="&amp;$A14,Tabla1[Fecha],"&lt;="&amp;EOMONTH($A14,0),Tabla1[Codigo_actividad],J$4, Tabla1[Avance_km],"&gt;0")*J$3</f>
        <v>12.395</v>
      </c>
      <c r="K14" s="481">
        <f>ROUND(SUMIFS(Tabla1[Avance_km],Tabla1[Fecha],"&gt;="&amp;$A14,Tabla1[Fecha],"&lt;="&amp;EOMONTH($A14,0),Tabla1[Codigo_actividad],K$4,Tabla1[Avance_km],"&gt;0"),3)*K$3</f>
        <v>21.928999999999998</v>
      </c>
      <c r="L14" s="231">
        <f>+SUMIFS(Tabla1[Avance_Med],Tabla1[Fecha],"&gt;="&amp;$A14,Tabla1[Fecha],"&lt;="&amp;EOMONTH($A14,0),Tabla1[Codigo_actividad],L$4)*L$3</f>
        <v>0</v>
      </c>
      <c r="M14" s="343">
        <f>+SUMIFS(Tabla1[Avance_km],Tabla1[Fecha],"&gt;="&amp;$A14,Tabla1[Fecha],"&lt;="&amp;EOMONTH($A14,0),Tabla1[Codigo_actividad],M$4)*M$3</f>
        <v>12.17</v>
      </c>
      <c r="N14" s="231">
        <f>+SUMIFS(Tabla1[Avance_Med],Tabla1[Fecha],"&gt;="&amp;$A14,Tabla1[Fecha],"&lt;="&amp;EOMONTH($A14,0),Tabla1[Codigo_actividad],N$4)*N$3</f>
        <v>0</v>
      </c>
      <c r="O14" s="231">
        <f>+SUMIFS(Tabla1[Avance_Med],Tabla1[Fecha],"&gt;="&amp;$A14,Tabla1[Fecha],"&lt;="&amp;EOMONTH($A14,0),Tabla1[Codigo_actividad],O$4)*O$3</f>
        <v>0</v>
      </c>
      <c r="P14" s="231">
        <f>+SUMIFS(Tabla1[Avance_Med],Tabla1[Fecha],"&gt;="&amp;$A14,Tabla1[Fecha],"&lt;="&amp;EOMONTH($A14,0),Tabla1[Codigo_actividad],P$4)*P$3</f>
        <v>0</v>
      </c>
      <c r="Q14" s="231">
        <f>+SUMIFS(Tabla1[Avance_Med],Tabla1[Fecha],"&gt;="&amp;$A14,Tabla1[Fecha],"&lt;="&amp;EOMONTH($A14,0),Tabla1[Codigo_actividad],Q$4)*Q$3</f>
        <v>2</v>
      </c>
      <c r="R14" s="231">
        <f>+SUMIFS(Tabla1[Avance_Med],Tabla1[Fecha],"&gt;="&amp;$A14,Tabla1[Fecha],"&lt;="&amp;EOMONTH($A14,0),Tabla1[Codigo_actividad],R$4)*R$3</f>
        <v>2</v>
      </c>
      <c r="S14" s="231">
        <f>+SUMIFS(Tabla1[Avance_Med],Tabla1[Fecha],"&gt;="&amp;$A14,Tabla1[Fecha],"&lt;="&amp;EOMONTH($A14,0),Tabla1[Codigo_actividad],S$4)*S$3</f>
        <v>2</v>
      </c>
      <c r="T14" s="231">
        <f>+SUMIFS(Tabla1[Avance_Med],Tabla1[Fecha],"&gt;="&amp;$A14,Tabla1[Fecha],"&lt;="&amp;EOMONTH($A14,0),Tabla1[Codigo_actividad],T$4)*T$3</f>
        <v>2</v>
      </c>
      <c r="U14" s="231">
        <f>+SUMIFS(Tabla1[Avance_Med],Tabla1[Fecha],"&gt;="&amp;$A14,Tabla1[Fecha],"&lt;="&amp;EOMONTH($A14,0),Tabla1[Codigo_actividad],U$4)*U$3</f>
        <v>0</v>
      </c>
      <c r="V14" s="231">
        <f>+SUMIFS(Tabla1[Avance_Med],Tabla1[Fecha],"&gt;="&amp;$A14,Tabla1[Fecha],"&lt;="&amp;EOMONTH($A14,0),Tabla1[Codigo_actividad],V$4)*V$3</f>
        <v>2</v>
      </c>
      <c r="W14" s="231">
        <f>+SUMIFS(Tabla1[Avance_Med],Tabla1[Fecha],"&gt;="&amp;$A14,Tabla1[Fecha],"&lt;="&amp;EOMONTH($A14,0),Tabla1[Codigo_actividad],W$4)*W$3</f>
        <v>0</v>
      </c>
      <c r="X14" s="231">
        <f>+SUMIFS(Tabla1[Avance_Med],Tabla1[Fecha],"&gt;="&amp;$A14,Tabla1[Fecha],"&lt;="&amp;EOMONTH($A14,0),Tabla1[Codigo_actividad],X$4)*X$3</f>
        <v>0</v>
      </c>
      <c r="Y14" s="231">
        <f>+SUMIFS(Tabla1[Avance_Med],Tabla1[Fecha],"&gt;="&amp;$A14,Tabla1[Fecha],"&lt;="&amp;EOMONTH($A14,0),Tabla1[Codigo_actividad],Y$4)*Y$3</f>
        <v>2</v>
      </c>
      <c r="Z14" s="231">
        <f>+SUMIFS(Tabla1[Avance_Med],Tabla1[Fecha],"&gt;="&amp;$A14,Tabla1[Fecha],"&lt;="&amp;EOMONTH($A14,0),Tabla1[Codigo_actividad],Z$4)*Z$3</f>
        <v>2</v>
      </c>
      <c r="AA14" s="231">
        <f>+SUMIFS(Tabla1[Avance_Med],Tabla1[Fecha],"&gt;="&amp;$A14,Tabla1[Fecha],"&lt;="&amp;EOMONTH($A14,0),Tabla1[Codigo_actividad],AA$4)*AA$3</f>
        <v>0</v>
      </c>
      <c r="AB14" s="231">
        <f>+SUMIFS(Tabla1[Avance_Med],Tabla1[Fecha],"&gt;="&amp;$A14,Tabla1[Fecha],"&lt;="&amp;EOMONTH($A14,0),Tabla1[Codigo_actividad],AB$4)*AB$3</f>
        <v>0</v>
      </c>
      <c r="AC14" s="231">
        <f>+SUMIFS(Tabla1[Avance_Med],Tabla1[Fecha],"&gt;="&amp;$A14,Tabla1[Fecha],"&lt;="&amp;EOMONTH($A14,0),Tabla1[Codigo_actividad],AC$4)*AC$3</f>
        <v>0</v>
      </c>
      <c r="AD14" s="231">
        <f>+SUMIFS(Tabla1[Avance_Med],Tabla1[Fecha],"&gt;="&amp;$A14,Tabla1[Fecha],"&lt;="&amp;EOMONTH($A14,0),Tabla1[Codigo_actividad],AD$4)*AD$3</f>
        <v>0</v>
      </c>
      <c r="AE14" s="231">
        <f>+SUMIFS(Tabla1[Avance_Med],Tabla1[Fecha],"&gt;="&amp;$A14,Tabla1[Fecha],"&lt;="&amp;EOMONTH($A14,0),Tabla1[Codigo_actividad],AE$4)*AE$3</f>
        <v>0</v>
      </c>
      <c r="AF14" s="231">
        <f>+SUMIFS(Tabla1[Avance_Med],Tabla1[Fecha],"&gt;="&amp;$A14,Tabla1[Fecha],"&lt;="&amp;EOMONTH($A14,0),Tabla1[Codigo_actividad],AF$4)*AF$3</f>
        <v>0</v>
      </c>
      <c r="AG14" s="231">
        <f>+SUMIFS(Tabla1[Avance_Med],Tabla1[Fecha],"&gt;="&amp;$A14,Tabla1[Fecha],"&lt;="&amp;EOMONTH($A14,0),Tabla1[Codigo_actividad],AG$4)*AG$3</f>
        <v>0</v>
      </c>
      <c r="AH14" s="231">
        <f>+SUMIFS(Tabla1[Avance_Med],Tabla1[Fecha],"&gt;="&amp;$A14,Tabla1[Fecha],"&lt;="&amp;EOMONTH($A14,0),Tabla1[Codigo_actividad],AH$4)*AH$3</f>
        <v>0</v>
      </c>
      <c r="AI14" s="231">
        <f>+SUMIFS(Tabla1[Avance_Med],Tabla1[Fecha],"&gt;="&amp;$A14,Tabla1[Fecha],"&lt;="&amp;EOMONTH($A14,0),Tabla1[Codigo_actividad],AI$4)*AI$3</f>
        <v>0</v>
      </c>
      <c r="AJ14" s="231">
        <f>+SUMIFS(Tabla1[Avance_Med],Tabla1[Fecha],"&gt;="&amp;$A14,Tabla1[Fecha],"&lt;="&amp;EOMONTH($A14,0),Tabla1[Codigo_actividad],AJ$4)*AJ$3</f>
        <v>24</v>
      </c>
      <c r="AK14" s="231">
        <f>+SUMIFS(Tabla1[Avance_Med],Tabla1[Fecha],"&gt;="&amp;$A14,Tabla1[Fecha],"&lt;="&amp;EOMONTH($A14,0),Tabla1[Codigo_actividad],AK$4)*AK$3</f>
        <v>24</v>
      </c>
      <c r="AL14" s="231">
        <f>+SUMIFS(Tabla1[Avance_km],Tabla1[Fecha],"&gt;="&amp;$A14,Tabla1[Fecha],"&lt;="&amp;EOMONTH($A14,0),Tabla1[Codigo_actividad],AL$4)*AL$3</f>
        <v>0</v>
      </c>
      <c r="AM14" s="231">
        <f>+SUMIFS(Tabla1[Avance_Med],Tabla1[Fecha],"&gt;="&amp;$A14,Tabla1[Fecha],"&lt;="&amp;EOMONTH($A14,0),Tabla1[Codigo_actividad],AM$4)*AM$3</f>
        <v>0</v>
      </c>
    </row>
    <row r="15" spans="1:39" x14ac:dyDescent="0.25">
      <c r="A15" s="226">
        <v>46266</v>
      </c>
      <c r="B15" s="231">
        <v>0</v>
      </c>
      <c r="C15" s="231">
        <f>+SUMIFS(Tabla1[Avance_Med],Tabla1[Fecha],"&gt;="&amp;$A15,Tabla1[Fecha],"&lt;="&amp;EOMONTH($A15,0),Tabla1[Codigo_actividad],C$4)*C$3</f>
        <v>0</v>
      </c>
      <c r="D15" s="231">
        <f>+SUMIFS(Tabla1[Avance_Med],Tabla1[Fecha],"&gt;="&amp;$A15,Tabla1[Fecha],"&lt;="&amp;EOMONTH($A15,0),Tabla1[Codigo_actividad],D$4)*D$3</f>
        <v>0</v>
      </c>
      <c r="E15" s="231">
        <f>+SUMIFS(Tabla1[Avance_Med],Tabla1[Fecha],"&gt;="&amp;$A15,Tabla1[Fecha],"&lt;="&amp;EOMONTH($A15,0),Tabla1[Codigo_actividad],E$4)*E$3</f>
        <v>0</v>
      </c>
      <c r="F15" s="231">
        <f>+SUMIFS(Tabla1[Avance_Med],Tabla1[Fecha],"&gt;="&amp;$A15,Tabla1[Fecha],"&lt;="&amp;EOMONTH($A15,0),Tabla1[Codigo_actividad],F$4)*F$3</f>
        <v>0</v>
      </c>
      <c r="G15" s="231">
        <f>+SUMIFS(Tabla1[Avance_Med],Tabla1[Fecha],"&gt;="&amp;$A15,Tabla1[Fecha],"&lt;="&amp;EOMONTH($A15,0),Tabla1[Codigo_actividad],G$4)*G$3</f>
        <v>0</v>
      </c>
      <c r="H15" s="343">
        <f>+SUMIFS(Tabla1[Avance_km],Tabla1[Fecha],"&gt;="&amp;$A15,Tabla1[Fecha],"&lt;="&amp;EOMONTH($A15,0),Tabla1[Codigo_actividad],H$4)*H$3</f>
        <v>10.719999999999999</v>
      </c>
      <c r="I15" s="231"/>
      <c r="J15" s="343">
        <f>+SUMIFS(Tabla1[Avance_km],Tabla1[Fecha],"&gt;="&amp;$A15,Tabla1[Fecha],"&lt;="&amp;EOMONTH($A15,0),Tabla1[Codigo_actividad],J$4, Tabla1[Avance_km],"&gt;0")*J$3</f>
        <v>0</v>
      </c>
      <c r="K15" s="481">
        <f>ROUND(SUMIFS(Tabla1[Avance_km],Tabla1[Fecha],"&gt;="&amp;$A15,Tabla1[Fecha],"&lt;="&amp;EOMONTH($A15,0),Tabla1[Codigo_actividad],K$4,Tabla1[Avance_km],"&gt;0"),3)*K$3</f>
        <v>32.143000000000001</v>
      </c>
      <c r="L15" s="231">
        <f>+SUMIFS(Tabla1[Avance_Med],Tabla1[Fecha],"&gt;="&amp;$A15,Tabla1[Fecha],"&lt;="&amp;EOMONTH($A15,0),Tabla1[Codigo_actividad],L$4)*L$3</f>
        <v>20</v>
      </c>
      <c r="M15" s="343">
        <f>+SUMIFS(Tabla1[Avance_km],Tabla1[Fecha],"&gt;="&amp;$A15,Tabla1[Fecha],"&lt;="&amp;EOMONTH($A15,0),Tabla1[Codigo_actividad],M$4)*M$3</f>
        <v>20.07</v>
      </c>
      <c r="N15" s="231">
        <f>+SUMIFS(Tabla1[Avance_Med],Tabla1[Fecha],"&gt;="&amp;$A15,Tabla1[Fecha],"&lt;="&amp;EOMONTH($A15,0),Tabla1[Codigo_actividad],N$4)*N$3</f>
        <v>34</v>
      </c>
      <c r="O15" s="231">
        <f>+SUMIFS(Tabla1[Avance_Med],Tabla1[Fecha],"&gt;="&amp;$A15,Tabla1[Fecha],"&lt;="&amp;EOMONTH($A15,0),Tabla1[Codigo_actividad],O$4)*O$3</f>
        <v>34</v>
      </c>
      <c r="P15" s="231">
        <f>+SUMIFS(Tabla1[Avance_Med],Tabla1[Fecha],"&gt;="&amp;$A15,Tabla1[Fecha],"&lt;="&amp;EOMONTH($A15,0),Tabla1[Codigo_actividad],P$4)*P$3</f>
        <v>34</v>
      </c>
      <c r="Q15" s="231">
        <f>+SUMIFS(Tabla1[Avance_Med],Tabla1[Fecha],"&gt;="&amp;$A15,Tabla1[Fecha],"&lt;="&amp;EOMONTH($A15,0),Tabla1[Codigo_actividad],Q$4)*Q$3</f>
        <v>8</v>
      </c>
      <c r="R15" s="231">
        <f>+SUMIFS(Tabla1[Avance_Med],Tabla1[Fecha],"&gt;="&amp;$A15,Tabla1[Fecha],"&lt;="&amp;EOMONTH($A15,0),Tabla1[Codigo_actividad],R$4)*R$3</f>
        <v>8</v>
      </c>
      <c r="S15" s="231">
        <f>+SUMIFS(Tabla1[Avance_Med],Tabla1[Fecha],"&gt;="&amp;$A15,Tabla1[Fecha],"&lt;="&amp;EOMONTH($A15,0),Tabla1[Codigo_actividad],S$4)*S$3</f>
        <v>8</v>
      </c>
      <c r="T15" s="231">
        <f>+SUMIFS(Tabla1[Avance_Med],Tabla1[Fecha],"&gt;="&amp;$A15,Tabla1[Fecha],"&lt;="&amp;EOMONTH($A15,0),Tabla1[Codigo_actividad],T$4)*T$3</f>
        <v>8</v>
      </c>
      <c r="U15" s="231">
        <f>+SUMIFS(Tabla1[Avance_Med],Tabla1[Fecha],"&gt;="&amp;$A15,Tabla1[Fecha],"&lt;="&amp;EOMONTH($A15,0),Tabla1[Codigo_actividad],U$4)*U$3</f>
        <v>2</v>
      </c>
      <c r="V15" s="231">
        <f>+SUMIFS(Tabla1[Avance_Med],Tabla1[Fecha],"&gt;="&amp;$A15,Tabla1[Fecha],"&lt;="&amp;EOMONTH($A15,0),Tabla1[Codigo_actividad],V$4)*V$3</f>
        <v>8</v>
      </c>
      <c r="W15" s="231">
        <f>+SUMIFS(Tabla1[Avance_Med],Tabla1[Fecha],"&gt;="&amp;$A15,Tabla1[Fecha],"&lt;="&amp;EOMONTH($A15,0),Tabla1[Codigo_actividad],W$4)*W$3</f>
        <v>2</v>
      </c>
      <c r="X15" s="231">
        <f>+SUMIFS(Tabla1[Avance_Med],Tabla1[Fecha],"&gt;="&amp;$A15,Tabla1[Fecha],"&lt;="&amp;EOMONTH($A15,0),Tabla1[Codigo_actividad],X$4)*X$3</f>
        <v>3</v>
      </c>
      <c r="Y15" s="231">
        <f>+SUMIFS(Tabla1[Avance_Med],Tabla1[Fecha],"&gt;="&amp;$A15,Tabla1[Fecha],"&lt;="&amp;EOMONTH($A15,0),Tabla1[Codigo_actividad],Y$4)*Y$3</f>
        <v>8</v>
      </c>
      <c r="Z15" s="231">
        <f>+SUMIFS(Tabla1[Avance_Med],Tabla1[Fecha],"&gt;="&amp;$A15,Tabla1[Fecha],"&lt;="&amp;EOMONTH($A15,0),Tabla1[Codigo_actividad],Z$4)*Z$3</f>
        <v>8</v>
      </c>
      <c r="AA15" s="231">
        <f>+SUMIFS(Tabla1[Avance_Med],Tabla1[Fecha],"&gt;="&amp;$A15,Tabla1[Fecha],"&lt;="&amp;EOMONTH($A15,0),Tabla1[Codigo_actividad],AA$4)*AA$3</f>
        <v>0</v>
      </c>
      <c r="AB15" s="231">
        <f>+SUMIFS(Tabla1[Avance_Med],Tabla1[Fecha],"&gt;="&amp;$A15,Tabla1[Fecha],"&lt;="&amp;EOMONTH($A15,0),Tabla1[Codigo_actividad],AB$4)*AB$3</f>
        <v>0</v>
      </c>
      <c r="AC15" s="231">
        <f>+SUMIFS(Tabla1[Avance_Med],Tabla1[Fecha],"&gt;="&amp;$A15,Tabla1[Fecha],"&lt;="&amp;EOMONTH($A15,0),Tabla1[Codigo_actividad],AC$4)*AC$3</f>
        <v>0</v>
      </c>
      <c r="AD15" s="231">
        <f>+SUMIFS(Tabla1[Avance_Med],Tabla1[Fecha],"&gt;="&amp;$A15,Tabla1[Fecha],"&lt;="&amp;EOMONTH($A15,0),Tabla1[Codigo_actividad],AD$4)*AD$3</f>
        <v>0</v>
      </c>
      <c r="AE15" s="231">
        <f>+SUMIFS(Tabla1[Avance_Med],Tabla1[Fecha],"&gt;="&amp;$A15,Tabla1[Fecha],"&lt;="&amp;EOMONTH($A15,0),Tabla1[Codigo_actividad],AE$4)*AE$3</f>
        <v>0</v>
      </c>
      <c r="AF15" s="231">
        <f>+SUMIFS(Tabla1[Avance_Med],Tabla1[Fecha],"&gt;="&amp;$A15,Tabla1[Fecha],"&lt;="&amp;EOMONTH($A15,0),Tabla1[Codigo_actividad],AF$4)*AF$3</f>
        <v>0</v>
      </c>
      <c r="AG15" s="231">
        <f>+SUMIFS(Tabla1[Avance_Med],Tabla1[Fecha],"&gt;="&amp;$A15,Tabla1[Fecha],"&lt;="&amp;EOMONTH($A15,0),Tabla1[Codigo_actividad],AG$4)*AG$3</f>
        <v>0</v>
      </c>
      <c r="AH15" s="231">
        <f>+SUMIFS(Tabla1[Avance_Med],Tabla1[Fecha],"&gt;="&amp;$A15,Tabla1[Fecha],"&lt;="&amp;EOMONTH($A15,0),Tabla1[Codigo_actividad],AH$4)*AH$3</f>
        <v>0</v>
      </c>
      <c r="AI15" s="231">
        <f>+SUMIFS(Tabla1[Avance_Med],Tabla1[Fecha],"&gt;="&amp;$A15,Tabla1[Fecha],"&lt;="&amp;EOMONTH($A15,0),Tabla1[Codigo_actividad],AI$4)*AI$3</f>
        <v>0</v>
      </c>
      <c r="AJ15" s="231">
        <f>+SUMIFS(Tabla1[Avance_Med],Tabla1[Fecha],"&gt;="&amp;$A15,Tabla1[Fecha],"&lt;="&amp;EOMONTH($A15,0),Tabla1[Codigo_actividad],AJ$4)*AJ$3</f>
        <v>0</v>
      </c>
      <c r="AK15" s="231">
        <f>+SUMIFS(Tabla1[Avance_Med],Tabla1[Fecha],"&gt;="&amp;$A15,Tabla1[Fecha],"&lt;="&amp;EOMONTH($A15,0),Tabla1[Codigo_actividad],AK$4)*AK$3</f>
        <v>0</v>
      </c>
      <c r="AL15" s="231">
        <f>+SUMIFS(Tabla1[Avance_km],Tabla1[Fecha],"&gt;="&amp;$A15,Tabla1[Fecha],"&lt;="&amp;EOMONTH($A15,0),Tabla1[Codigo_actividad],AL$4)*AL$3</f>
        <v>0</v>
      </c>
      <c r="AM15" s="231">
        <f>+SUMIFS(Tabla1[Avance_Med],Tabla1[Fecha],"&gt;="&amp;$A15,Tabla1[Fecha],"&lt;="&amp;EOMONTH($A15,0),Tabla1[Codigo_actividad],AM$4)*AM$3</f>
        <v>0</v>
      </c>
    </row>
    <row r="16" spans="1:39" x14ac:dyDescent="0.25">
      <c r="A16" s="226">
        <v>46296</v>
      </c>
      <c r="B16" s="231">
        <v>0</v>
      </c>
      <c r="C16" s="231">
        <f>+SUMIFS(Tabla1[Avance_Med],Tabla1[Fecha],"&gt;="&amp;$A16,Tabla1[Fecha],"&lt;="&amp;EOMONTH($A16,0),Tabla1[Codigo_actividad],C$4)*C$3</f>
        <v>0</v>
      </c>
      <c r="D16" s="231">
        <f>+SUMIFS(Tabla1[Avance_Med],Tabla1[Fecha],"&gt;="&amp;$A16,Tabla1[Fecha],"&lt;="&amp;EOMONTH($A16,0),Tabla1[Codigo_actividad],D$4)*D$3</f>
        <v>0</v>
      </c>
      <c r="E16" s="231">
        <f>+SUMIFS(Tabla1[Avance_Med],Tabla1[Fecha],"&gt;="&amp;$A16,Tabla1[Fecha],"&lt;="&amp;EOMONTH($A16,0),Tabla1[Codigo_actividad],E$4)*E$3</f>
        <v>0</v>
      </c>
      <c r="F16" s="231">
        <f>+SUMIFS(Tabla1[Avance_Med],Tabla1[Fecha],"&gt;="&amp;$A16,Tabla1[Fecha],"&lt;="&amp;EOMONTH($A16,0),Tabla1[Codigo_actividad],F$4)*F$3</f>
        <v>0</v>
      </c>
      <c r="G16" s="231">
        <f>+SUMIFS(Tabla1[Avance_Med],Tabla1[Fecha],"&gt;="&amp;$A16,Tabla1[Fecha],"&lt;="&amp;EOMONTH($A16,0),Tabla1[Codigo_actividad],G$4)*G$3</f>
        <v>0</v>
      </c>
      <c r="H16" s="343">
        <f>+SUMIFS(Tabla1[Avance_km],Tabla1[Fecha],"&gt;="&amp;$A16,Tabla1[Fecha],"&lt;="&amp;EOMONTH($A16,0),Tabla1[Codigo_actividad],H$4)*H$3</f>
        <v>16.1175</v>
      </c>
      <c r="I16" s="231"/>
      <c r="J16" s="343">
        <f>+SUMIFS(Tabla1[Avance_km],Tabla1[Fecha],"&gt;="&amp;$A16,Tabla1[Fecha],"&lt;="&amp;EOMONTH($A16,0),Tabla1[Codigo_actividad],J$4, Tabla1[Avance_km],"&gt;0")*J$3</f>
        <v>1.6244999999999994</v>
      </c>
      <c r="K16" s="481">
        <f>ROUND(SUMIFS(Tabla1[Avance_km],Tabla1[Fecha],"&gt;="&amp;$A16,Tabla1[Fecha],"&lt;="&amp;EOMONTH($A16,0),Tabla1[Codigo_actividad],K$4,Tabla1[Avance_km],"&gt;0"),3)*K$3</f>
        <v>64.72</v>
      </c>
      <c r="L16" s="231">
        <f>+SUMIFS(Tabla1[Avance_Med],Tabla1[Fecha],"&gt;="&amp;$A16,Tabla1[Fecha],"&lt;="&amp;EOMONTH($A16,0),Tabla1[Codigo_actividad],L$4)*L$3</f>
        <v>0</v>
      </c>
      <c r="M16" s="343">
        <f>+SUMIFS(Tabla1[Avance_km],Tabla1[Fecha],"&gt;="&amp;$A16,Tabla1[Fecha],"&lt;="&amp;EOMONTH($A16,0),Tabla1[Codigo_actividad],M$4)*M$3</f>
        <v>1.6244999999999994</v>
      </c>
      <c r="N16" s="231">
        <f>+SUMIFS(Tabla1[Avance_Med],Tabla1[Fecha],"&gt;="&amp;$A16,Tabla1[Fecha],"&lt;="&amp;EOMONTH($A16,0),Tabla1[Codigo_actividad],N$4)*N$3</f>
        <v>4</v>
      </c>
      <c r="O16" s="231">
        <f>+SUMIFS(Tabla1[Avance_Med],Tabla1[Fecha],"&gt;="&amp;$A16,Tabla1[Fecha],"&lt;="&amp;EOMONTH($A16,0),Tabla1[Codigo_actividad],O$4)*O$3</f>
        <v>4</v>
      </c>
      <c r="P16" s="231">
        <f>+SUMIFS(Tabla1[Avance_Med],Tabla1[Fecha],"&gt;="&amp;$A16,Tabla1[Fecha],"&lt;="&amp;EOMONTH($A16,0),Tabla1[Codigo_actividad],P$4)*P$3</f>
        <v>4</v>
      </c>
      <c r="Q16" s="231">
        <f>+SUMIFS(Tabla1[Avance_Med],Tabla1[Fecha],"&gt;="&amp;$A16,Tabla1[Fecha],"&lt;="&amp;EOMONTH($A16,0),Tabla1[Codigo_actividad],Q$4)*Q$3</f>
        <v>5</v>
      </c>
      <c r="R16" s="231">
        <f>+SUMIFS(Tabla1[Avance_Med],Tabla1[Fecha],"&gt;="&amp;$A16,Tabla1[Fecha],"&lt;="&amp;EOMONTH($A16,0),Tabla1[Codigo_actividad],R$4)*R$3</f>
        <v>6</v>
      </c>
      <c r="S16" s="231">
        <f>+SUMIFS(Tabla1[Avance_Med],Tabla1[Fecha],"&gt;="&amp;$A16,Tabla1[Fecha],"&lt;="&amp;EOMONTH($A16,0),Tabla1[Codigo_actividad],S$4)*S$3</f>
        <v>6</v>
      </c>
      <c r="T16" s="231">
        <f>+SUMIFS(Tabla1[Avance_Med],Tabla1[Fecha],"&gt;="&amp;$A16,Tabla1[Fecha],"&lt;="&amp;EOMONTH($A16,0),Tabla1[Codigo_actividad],T$4)*T$3</f>
        <v>6</v>
      </c>
      <c r="U16" s="231">
        <f>+SUMIFS(Tabla1[Avance_Med],Tabla1[Fecha],"&gt;="&amp;$A16,Tabla1[Fecha],"&lt;="&amp;EOMONTH($A16,0),Tabla1[Codigo_actividad],U$4)*U$3</f>
        <v>0</v>
      </c>
      <c r="V16" s="231">
        <f>+SUMIFS(Tabla1[Avance_Med],Tabla1[Fecha],"&gt;="&amp;$A16,Tabla1[Fecha],"&lt;="&amp;EOMONTH($A16,0),Tabla1[Codigo_actividad],V$4)*V$3</f>
        <v>6</v>
      </c>
      <c r="W16" s="231">
        <f>+SUMIFS(Tabla1[Avance_Med],Tabla1[Fecha],"&gt;="&amp;$A16,Tabla1[Fecha],"&lt;="&amp;EOMONTH($A16,0),Tabla1[Codigo_actividad],W$4)*W$3</f>
        <v>1</v>
      </c>
      <c r="X16" s="231">
        <f>+SUMIFS(Tabla1[Avance_Med],Tabla1[Fecha],"&gt;="&amp;$A16,Tabla1[Fecha],"&lt;="&amp;EOMONTH($A16,0),Tabla1[Codigo_actividad],X$4)*X$3</f>
        <v>1</v>
      </c>
      <c r="Y16" s="231">
        <f>+SUMIFS(Tabla1[Avance_Med],Tabla1[Fecha],"&gt;="&amp;$A16,Tabla1[Fecha],"&lt;="&amp;EOMONTH($A16,0),Tabla1[Codigo_actividad],Y$4)*Y$3</f>
        <v>4</v>
      </c>
      <c r="Z16" s="231">
        <f>+SUMIFS(Tabla1[Avance_Med],Tabla1[Fecha],"&gt;="&amp;$A16,Tabla1[Fecha],"&lt;="&amp;EOMONTH($A16,0),Tabla1[Codigo_actividad],Z$4)*Z$3</f>
        <v>4</v>
      </c>
      <c r="AA16" s="231">
        <f>+SUMIFS(Tabla1[Avance_Med],Tabla1[Fecha],"&gt;="&amp;$A16,Tabla1[Fecha],"&lt;="&amp;EOMONTH($A16,0),Tabla1[Codigo_actividad],AA$4)*AA$3</f>
        <v>0</v>
      </c>
      <c r="AB16" s="231">
        <f>+SUMIFS(Tabla1[Avance_Med],Tabla1[Fecha],"&gt;="&amp;$A16,Tabla1[Fecha],"&lt;="&amp;EOMONTH($A16,0),Tabla1[Codigo_actividad],AB$4)*AB$3</f>
        <v>0</v>
      </c>
      <c r="AC16" s="231">
        <f>+SUMIFS(Tabla1[Avance_Med],Tabla1[Fecha],"&gt;="&amp;$A16,Tabla1[Fecha],"&lt;="&amp;EOMONTH($A16,0),Tabla1[Codigo_actividad],AC$4)*AC$3</f>
        <v>0</v>
      </c>
      <c r="AD16" s="231">
        <f>+SUMIFS(Tabla1[Avance_Med],Tabla1[Fecha],"&gt;="&amp;$A16,Tabla1[Fecha],"&lt;="&amp;EOMONTH($A16,0),Tabla1[Codigo_actividad],AD$4)*AD$3</f>
        <v>0</v>
      </c>
      <c r="AE16" s="231">
        <f>+SUMIFS(Tabla1[Avance_Med],Tabla1[Fecha],"&gt;="&amp;$A16,Tabla1[Fecha],"&lt;="&amp;EOMONTH($A16,0),Tabla1[Codigo_actividad],AE$4)*AE$3</f>
        <v>0</v>
      </c>
      <c r="AF16" s="231">
        <f>+SUMIFS(Tabla1[Avance_Med],Tabla1[Fecha],"&gt;="&amp;$A16,Tabla1[Fecha],"&lt;="&amp;EOMONTH($A16,0),Tabla1[Codigo_actividad],AF$4)*AF$3</f>
        <v>0</v>
      </c>
      <c r="AG16" s="231">
        <f>+SUMIFS(Tabla1[Avance_Med],Tabla1[Fecha],"&gt;="&amp;$A16,Tabla1[Fecha],"&lt;="&amp;EOMONTH($A16,0),Tabla1[Codigo_actividad],AG$4)*AG$3</f>
        <v>0</v>
      </c>
      <c r="AH16" s="231">
        <f>+SUMIFS(Tabla1[Avance_Med],Tabla1[Fecha],"&gt;="&amp;$A16,Tabla1[Fecha],"&lt;="&amp;EOMONTH($A16,0),Tabla1[Codigo_actividad],AH$4)*AH$3</f>
        <v>0</v>
      </c>
      <c r="AI16" s="231">
        <f>+SUMIFS(Tabla1[Avance_Med],Tabla1[Fecha],"&gt;="&amp;$A16,Tabla1[Fecha],"&lt;="&amp;EOMONTH($A16,0),Tabla1[Codigo_actividad],AI$4)*AI$3</f>
        <v>0</v>
      </c>
      <c r="AJ16" s="231">
        <f>+SUMIFS(Tabla1[Avance_Med],Tabla1[Fecha],"&gt;="&amp;$A16,Tabla1[Fecha],"&lt;="&amp;EOMONTH($A16,0),Tabla1[Codigo_actividad],AJ$4)*AJ$3</f>
        <v>0</v>
      </c>
      <c r="AK16" s="231">
        <f>+SUMIFS(Tabla1[Avance_Med],Tabla1[Fecha],"&gt;="&amp;$A16,Tabla1[Fecha],"&lt;="&amp;EOMONTH($A16,0),Tabla1[Codigo_actividad],AK$4)*AK$3</f>
        <v>0</v>
      </c>
      <c r="AL16" s="231">
        <f>+SUMIFS(Tabla1[Avance_km],Tabla1[Fecha],"&gt;="&amp;$A16,Tabla1[Fecha],"&lt;="&amp;EOMONTH($A16,0),Tabla1[Codigo_actividad],AL$4)*AL$3</f>
        <v>0</v>
      </c>
      <c r="AM16" s="231">
        <f>+SUMIFS(Tabla1[Avance_Med],Tabla1[Fecha],"&gt;="&amp;$A16,Tabla1[Fecha],"&lt;="&amp;EOMONTH($A16,0),Tabla1[Codigo_actividad],AM$4)*AM$3</f>
        <v>0</v>
      </c>
    </row>
    <row r="17" spans="1:49" x14ac:dyDescent="0.25">
      <c r="A17" s="226">
        <v>46327</v>
      </c>
      <c r="B17" s="231">
        <v>0</v>
      </c>
      <c r="C17" s="231">
        <f>+SUMIFS(Tabla1[Avance_Med],Tabla1[Fecha],"&gt;="&amp;$A17,Tabla1[Fecha],"&lt;="&amp;EOMONTH($A17,0),Tabla1[Codigo_actividad],C$4)*C$3</f>
        <v>0</v>
      </c>
      <c r="D17" s="231">
        <f>+SUMIFS(Tabla1[Avance_Med],Tabla1[Fecha],"&gt;="&amp;$A17,Tabla1[Fecha],"&lt;="&amp;EOMONTH($A17,0),Tabla1[Codigo_actividad],D$4)*D$3</f>
        <v>0</v>
      </c>
      <c r="E17" s="231">
        <f>+SUMIFS(Tabla1[Avance_Med],Tabla1[Fecha],"&gt;="&amp;$A17,Tabla1[Fecha],"&lt;="&amp;EOMONTH($A17,0),Tabla1[Codigo_actividad],E$4)*E$3</f>
        <v>0</v>
      </c>
      <c r="F17" s="231">
        <f>+SUMIFS(Tabla1[Avance_Med],Tabla1[Fecha],"&gt;="&amp;$A17,Tabla1[Fecha],"&lt;="&amp;EOMONTH($A17,0),Tabla1[Codigo_actividad],F$4)*F$3</f>
        <v>0</v>
      </c>
      <c r="G17" s="231">
        <f>+SUMIFS(Tabla1[Avance_Med],Tabla1[Fecha],"&gt;="&amp;$A17,Tabla1[Fecha],"&lt;="&amp;EOMONTH($A17,0),Tabla1[Codigo_actividad],G$4)*G$3</f>
        <v>0</v>
      </c>
      <c r="H17" s="343">
        <f>+SUMIFS(Tabla1[Avance_km],Tabla1[Fecha],"&gt;="&amp;$A17,Tabla1[Fecha],"&lt;="&amp;EOMONTH($A17,0),Tabla1[Codigo_actividad],H$4)*H$3</f>
        <v>0</v>
      </c>
      <c r="I17" s="231"/>
      <c r="J17" s="343">
        <f>+SUMIFS(Tabla1[Avance_km],Tabla1[Fecha],"&gt;="&amp;$A17,Tabla1[Fecha],"&lt;="&amp;EOMONTH($A17,0),Tabla1[Codigo_actividad],J$4, Tabla1[Avance_km],"&gt;0")*J$3</f>
        <v>0</v>
      </c>
      <c r="K17" s="481">
        <f>ROUND(SUMIFS(Tabla1[Avance_km],Tabla1[Fecha],"&gt;="&amp;$A17,Tabla1[Fecha],"&lt;="&amp;EOMONTH($A17,0),Tabla1[Codigo_actividad],K$4,Tabla1[Avance_km],"&gt;0"),3)*K$3</f>
        <v>0</v>
      </c>
      <c r="L17" s="231">
        <f>+SUMIFS(Tabla1[Avance_Med],Tabla1[Fecha],"&gt;="&amp;$A17,Tabla1[Fecha],"&lt;="&amp;EOMONTH($A17,0),Tabla1[Codigo_actividad],L$4)*L$3</f>
        <v>0</v>
      </c>
      <c r="M17" s="343">
        <f>+SUMIFS(Tabla1[Avance_km],Tabla1[Fecha],"&gt;="&amp;$A17,Tabla1[Fecha],"&lt;="&amp;EOMONTH($A17,0),Tabla1[Codigo_actividad],M$4)*M$3</f>
        <v>0</v>
      </c>
      <c r="N17" s="231">
        <f>+SUMIFS(Tabla1[Avance_Med],Tabla1[Fecha],"&gt;="&amp;$A17,Tabla1[Fecha],"&lt;="&amp;EOMONTH($A17,0),Tabla1[Codigo_actividad],N$4)*N$3</f>
        <v>0</v>
      </c>
      <c r="O17" s="231">
        <f>+SUMIFS(Tabla1[Avance_Med],Tabla1[Fecha],"&gt;="&amp;$A17,Tabla1[Fecha],"&lt;="&amp;EOMONTH($A17,0),Tabla1[Codigo_actividad],O$4)*O$3</f>
        <v>0</v>
      </c>
      <c r="P17" s="231">
        <f>+SUMIFS(Tabla1[Avance_Med],Tabla1[Fecha],"&gt;="&amp;$A17,Tabla1[Fecha],"&lt;="&amp;EOMONTH($A17,0),Tabla1[Codigo_actividad],P$4)*P$3</f>
        <v>0</v>
      </c>
      <c r="Q17" s="231">
        <f>+SUMIFS(Tabla1[Avance_Med],Tabla1[Fecha],"&gt;="&amp;$A17,Tabla1[Fecha],"&lt;="&amp;EOMONTH($A17,0),Tabla1[Codigo_actividad],Q$4)*Q$3</f>
        <v>0</v>
      </c>
      <c r="R17" s="231">
        <f>+SUMIFS(Tabla1[Avance_Med],Tabla1[Fecha],"&gt;="&amp;$A17,Tabla1[Fecha],"&lt;="&amp;EOMONTH($A17,0),Tabla1[Codigo_actividad],R$4)*R$3</f>
        <v>0</v>
      </c>
      <c r="S17" s="231">
        <f>+SUMIFS(Tabla1[Avance_Med],Tabla1[Fecha],"&gt;="&amp;$A17,Tabla1[Fecha],"&lt;="&amp;EOMONTH($A17,0),Tabla1[Codigo_actividad],S$4)*S$3</f>
        <v>0</v>
      </c>
      <c r="T17" s="231">
        <f>+SUMIFS(Tabla1[Avance_Med],Tabla1[Fecha],"&gt;="&amp;$A17,Tabla1[Fecha],"&lt;="&amp;EOMONTH($A17,0),Tabla1[Codigo_actividad],T$4)*T$3</f>
        <v>0</v>
      </c>
      <c r="U17" s="231">
        <f>+SUMIFS(Tabla1[Avance_Med],Tabla1[Fecha],"&gt;="&amp;$A17,Tabla1[Fecha],"&lt;="&amp;EOMONTH($A17,0),Tabla1[Codigo_actividad],U$4)*U$3</f>
        <v>0</v>
      </c>
      <c r="V17" s="231">
        <f>+SUMIFS(Tabla1[Avance_Med],Tabla1[Fecha],"&gt;="&amp;$A17,Tabla1[Fecha],"&lt;="&amp;EOMONTH($A17,0),Tabla1[Codigo_actividad],V$4)*V$3</f>
        <v>0</v>
      </c>
      <c r="W17" s="231">
        <f>+SUMIFS(Tabla1[Avance_Med],Tabla1[Fecha],"&gt;="&amp;$A17,Tabla1[Fecha],"&lt;="&amp;EOMONTH($A17,0),Tabla1[Codigo_actividad],W$4)*W$3</f>
        <v>0</v>
      </c>
      <c r="X17" s="231">
        <f>+SUMIFS(Tabla1[Avance_Med],Tabla1[Fecha],"&gt;="&amp;$A17,Tabla1[Fecha],"&lt;="&amp;EOMONTH($A17,0),Tabla1[Codigo_actividad],X$4)*X$3</f>
        <v>0</v>
      </c>
      <c r="Y17" s="231">
        <f>+SUMIFS(Tabla1[Avance_Med],Tabla1[Fecha],"&gt;="&amp;$A17,Tabla1[Fecha],"&lt;="&amp;EOMONTH($A17,0),Tabla1[Codigo_actividad],Y$4)*Y$3</f>
        <v>0</v>
      </c>
      <c r="Z17" s="231">
        <f>+SUMIFS(Tabla1[Avance_Med],Tabla1[Fecha],"&gt;="&amp;$A17,Tabla1[Fecha],"&lt;="&amp;EOMONTH($A17,0),Tabla1[Codigo_actividad],Z$4)*Z$3</f>
        <v>0</v>
      </c>
      <c r="AA17" s="231">
        <f>+SUMIFS(Tabla1[Avance_Med],Tabla1[Fecha],"&gt;="&amp;$A17,Tabla1[Fecha],"&lt;="&amp;EOMONTH($A17,0),Tabla1[Codigo_actividad],AA$4)*AA$3</f>
        <v>0</v>
      </c>
      <c r="AB17" s="231">
        <f>+SUMIFS(Tabla1[Avance_Med],Tabla1[Fecha],"&gt;="&amp;$A17,Tabla1[Fecha],"&lt;="&amp;EOMONTH($A17,0),Tabla1[Codigo_actividad],AB$4)*AB$3</f>
        <v>0</v>
      </c>
      <c r="AC17" s="231">
        <f>+SUMIFS(Tabla1[Avance_Med],Tabla1[Fecha],"&gt;="&amp;$A17,Tabla1[Fecha],"&lt;="&amp;EOMONTH($A17,0),Tabla1[Codigo_actividad],AC$4)*AC$3</f>
        <v>0</v>
      </c>
      <c r="AD17" s="231">
        <f>+SUMIFS(Tabla1[Avance_Med],Tabla1[Fecha],"&gt;="&amp;$A17,Tabla1[Fecha],"&lt;="&amp;EOMONTH($A17,0),Tabla1[Codigo_actividad],AD$4)*AD$3</f>
        <v>0</v>
      </c>
      <c r="AE17" s="231">
        <f>+SUMIFS(Tabla1[Avance_Med],Tabla1[Fecha],"&gt;="&amp;$A17,Tabla1[Fecha],"&lt;="&amp;EOMONTH($A17,0),Tabla1[Codigo_actividad],AE$4)*AE$3</f>
        <v>0</v>
      </c>
      <c r="AF17" s="231">
        <f>+SUMIFS(Tabla1[Avance_Med],Tabla1[Fecha],"&gt;="&amp;$A17,Tabla1[Fecha],"&lt;="&amp;EOMONTH($A17,0),Tabla1[Codigo_actividad],AF$4)*AF$3</f>
        <v>0</v>
      </c>
      <c r="AG17" s="231">
        <f>+SUMIFS(Tabla1[Avance_Med],Tabla1[Fecha],"&gt;="&amp;$A17,Tabla1[Fecha],"&lt;="&amp;EOMONTH($A17,0),Tabla1[Codigo_actividad],AG$4)*AG$3</f>
        <v>0</v>
      </c>
      <c r="AH17" s="231">
        <f>+SUMIFS(Tabla1[Avance_Med],Tabla1[Fecha],"&gt;="&amp;$A17,Tabla1[Fecha],"&lt;="&amp;EOMONTH($A17,0),Tabla1[Codigo_actividad],AH$4)*AH$3</f>
        <v>0</v>
      </c>
      <c r="AI17" s="231">
        <f>+SUMIFS(Tabla1[Avance_Med],Tabla1[Fecha],"&gt;="&amp;$A17,Tabla1[Fecha],"&lt;="&amp;EOMONTH($A17,0),Tabla1[Codigo_actividad],AI$4)*AI$3</f>
        <v>0</v>
      </c>
      <c r="AJ17" s="231">
        <f>+SUMIFS(Tabla1[Avance_Med],Tabla1[Fecha],"&gt;="&amp;$A17,Tabla1[Fecha],"&lt;="&amp;EOMONTH($A17,0),Tabla1[Codigo_actividad],AJ$4)*AJ$3</f>
        <v>0</v>
      </c>
      <c r="AK17" s="231">
        <f>+SUMIFS(Tabla1[Avance_Med],Tabla1[Fecha],"&gt;="&amp;$A17,Tabla1[Fecha],"&lt;="&amp;EOMONTH($A17,0),Tabla1[Codigo_actividad],AK$4)*AK$3</f>
        <v>0</v>
      </c>
      <c r="AL17" s="231">
        <f>+SUMIFS(Tabla1[Avance_km],Tabla1[Fecha],"&gt;="&amp;$A17,Tabla1[Fecha],"&lt;="&amp;EOMONTH($A17,0),Tabla1[Codigo_actividad],AL$4)*AL$3</f>
        <v>0</v>
      </c>
      <c r="AM17" s="231">
        <f>+SUMIFS(Tabla1[Avance_Med],Tabla1[Fecha],"&gt;="&amp;$A17,Tabla1[Fecha],"&lt;="&amp;EOMONTH($A17,0),Tabla1[Codigo_actividad],AM$4)*AM$3</f>
        <v>0</v>
      </c>
    </row>
    <row r="18" spans="1:49" x14ac:dyDescent="0.25">
      <c r="A18" s="226">
        <v>46357</v>
      </c>
      <c r="B18" s="231">
        <v>0</v>
      </c>
      <c r="C18" s="231">
        <f>+SUMIFS(Tabla1[Avance_Med],Tabla1[Fecha],"&gt;="&amp;$A18,Tabla1[Fecha],"&lt;="&amp;EOMONTH($A18,0),Tabla1[Codigo_actividad],C$4)*C$3</f>
        <v>0</v>
      </c>
      <c r="D18" s="231">
        <f>+SUMIFS(Tabla1[Avance_Med],Tabla1[Fecha],"&gt;="&amp;$A18,Tabla1[Fecha],"&lt;="&amp;EOMONTH($A18,0),Tabla1[Codigo_actividad],D$4)*D$3</f>
        <v>0</v>
      </c>
      <c r="E18" s="231">
        <f>+SUMIFS(Tabla1[Avance_Med],Tabla1[Fecha],"&gt;="&amp;$A18,Tabla1[Fecha],"&lt;="&amp;EOMONTH($A18,0),Tabla1[Codigo_actividad],E$4)*E$3</f>
        <v>0</v>
      </c>
      <c r="F18" s="231">
        <f>+SUMIFS(Tabla1[Avance_Med],Tabla1[Fecha],"&gt;="&amp;$A18,Tabla1[Fecha],"&lt;="&amp;EOMONTH($A18,0),Tabla1[Codigo_actividad],F$4)*F$3</f>
        <v>0</v>
      </c>
      <c r="G18" s="231">
        <f>+SUMIFS(Tabla1[Avance_Med],Tabla1[Fecha],"&gt;="&amp;$A18,Tabla1[Fecha],"&lt;="&amp;EOMONTH($A18,0),Tabla1[Codigo_actividad],G$4)*G$3</f>
        <v>0</v>
      </c>
      <c r="H18" s="343">
        <f>+SUMIFS(Tabla1[Avance_km],Tabla1[Fecha],"&gt;="&amp;$A18,Tabla1[Fecha],"&lt;="&amp;EOMONTH($A18,0),Tabla1[Codigo_actividad],H$4)*H$3</f>
        <v>0</v>
      </c>
      <c r="I18" s="231"/>
      <c r="J18" s="343">
        <f>+SUMIFS(Tabla1[Avance_km],Tabla1[Fecha],"&gt;="&amp;$A18,Tabla1[Fecha],"&lt;="&amp;EOMONTH($A18,0),Tabla1[Codigo_actividad],J$4, Tabla1[Avance_km],"&gt;0")*J$3</f>
        <v>0</v>
      </c>
      <c r="K18" s="481">
        <f>ROUND(SUMIFS(Tabla1[Avance_km],Tabla1[Fecha],"&gt;="&amp;$A18,Tabla1[Fecha],"&lt;="&amp;EOMONTH($A18,0),Tabla1[Codigo_actividad],K$4,Tabla1[Avance_km],"&gt;0"),3)*K$3</f>
        <v>0</v>
      </c>
      <c r="L18" s="231">
        <f>+SUMIFS(Tabla1[Avance_Med],Tabla1[Fecha],"&gt;="&amp;$A18,Tabla1[Fecha],"&lt;="&amp;EOMONTH($A18,0),Tabla1[Codigo_actividad],L$4)*L$3</f>
        <v>0</v>
      </c>
      <c r="M18" s="343">
        <f>+SUMIFS(Tabla1[Avance_km],Tabla1[Fecha],"&gt;="&amp;$A18,Tabla1[Fecha],"&lt;="&amp;EOMONTH($A18,0),Tabla1[Codigo_actividad],M$4)*M$3</f>
        <v>0</v>
      </c>
      <c r="N18" s="231">
        <f>+SUMIFS(Tabla1[Avance_Med],Tabla1[Fecha],"&gt;="&amp;$A18,Tabla1[Fecha],"&lt;="&amp;EOMONTH($A18,0),Tabla1[Codigo_actividad],N$4)*N$3</f>
        <v>0</v>
      </c>
      <c r="O18" s="231">
        <f>+SUMIFS(Tabla1[Avance_Med],Tabla1[Fecha],"&gt;="&amp;$A18,Tabla1[Fecha],"&lt;="&amp;EOMONTH($A18,0),Tabla1[Codigo_actividad],O$4)*O$3</f>
        <v>0</v>
      </c>
      <c r="P18" s="231">
        <f>+SUMIFS(Tabla1[Avance_Med],Tabla1[Fecha],"&gt;="&amp;$A18,Tabla1[Fecha],"&lt;="&amp;EOMONTH($A18,0),Tabla1[Codigo_actividad],P$4)*P$3</f>
        <v>0</v>
      </c>
      <c r="Q18" s="231">
        <f>+SUMIFS(Tabla1[Avance_Med],Tabla1[Fecha],"&gt;="&amp;$A18,Tabla1[Fecha],"&lt;="&amp;EOMONTH($A18,0),Tabla1[Codigo_actividad],Q$4)*Q$3</f>
        <v>0</v>
      </c>
      <c r="R18" s="231">
        <f>+SUMIFS(Tabla1[Avance_Med],Tabla1[Fecha],"&gt;="&amp;$A18,Tabla1[Fecha],"&lt;="&amp;EOMONTH($A18,0),Tabla1[Codigo_actividad],R$4)*R$3</f>
        <v>0</v>
      </c>
      <c r="S18" s="231">
        <f>+SUMIFS(Tabla1[Avance_Med],Tabla1[Fecha],"&gt;="&amp;$A18,Tabla1[Fecha],"&lt;="&amp;EOMONTH($A18,0),Tabla1[Codigo_actividad],S$4)*S$3</f>
        <v>0</v>
      </c>
      <c r="T18" s="231">
        <f>+SUMIFS(Tabla1[Avance_Med],Tabla1[Fecha],"&gt;="&amp;$A18,Tabla1[Fecha],"&lt;="&amp;EOMONTH($A18,0),Tabla1[Codigo_actividad],T$4)*T$3</f>
        <v>0</v>
      </c>
      <c r="U18" s="231">
        <f>+SUMIFS(Tabla1[Avance_Med],Tabla1[Fecha],"&gt;="&amp;$A18,Tabla1[Fecha],"&lt;="&amp;EOMONTH($A18,0),Tabla1[Codigo_actividad],U$4)*U$3</f>
        <v>0</v>
      </c>
      <c r="V18" s="231">
        <f>+SUMIFS(Tabla1[Avance_Med],Tabla1[Fecha],"&gt;="&amp;$A18,Tabla1[Fecha],"&lt;="&amp;EOMONTH($A18,0),Tabla1[Codigo_actividad],V$4)*V$3</f>
        <v>0</v>
      </c>
      <c r="W18" s="231">
        <f>+SUMIFS(Tabla1[Avance_Med],Tabla1[Fecha],"&gt;="&amp;$A18,Tabla1[Fecha],"&lt;="&amp;EOMONTH($A18,0),Tabla1[Codigo_actividad],W$4)*W$3</f>
        <v>0</v>
      </c>
      <c r="X18" s="231">
        <f>+SUMIFS(Tabla1[Avance_Med],Tabla1[Fecha],"&gt;="&amp;$A18,Tabla1[Fecha],"&lt;="&amp;EOMONTH($A18,0),Tabla1[Codigo_actividad],X$4)*X$3</f>
        <v>0</v>
      </c>
      <c r="Y18" s="231">
        <f>+SUMIFS(Tabla1[Avance_Med],Tabla1[Fecha],"&gt;="&amp;$A18,Tabla1[Fecha],"&lt;="&amp;EOMONTH($A18,0),Tabla1[Codigo_actividad],Y$4)*Y$3</f>
        <v>0</v>
      </c>
      <c r="Z18" s="231">
        <f>+SUMIFS(Tabla1[Avance_Med],Tabla1[Fecha],"&gt;="&amp;$A18,Tabla1[Fecha],"&lt;="&amp;EOMONTH($A18,0),Tabla1[Codigo_actividad],Z$4)*Z$3</f>
        <v>0</v>
      </c>
      <c r="AA18" s="231">
        <f>+SUMIFS(Tabla1[Avance_Med],Tabla1[Fecha],"&gt;="&amp;$A18,Tabla1[Fecha],"&lt;="&amp;EOMONTH($A18,0),Tabla1[Codigo_actividad],AA$4)*AA$3</f>
        <v>0</v>
      </c>
      <c r="AB18" s="231">
        <f>+SUMIFS(Tabla1[Avance_Med],Tabla1[Fecha],"&gt;="&amp;$A18,Tabla1[Fecha],"&lt;="&amp;EOMONTH($A18,0),Tabla1[Codigo_actividad],AB$4)*AB$3</f>
        <v>0</v>
      </c>
      <c r="AC18" s="231">
        <f>+SUMIFS(Tabla1[Avance_Med],Tabla1[Fecha],"&gt;="&amp;$A18,Tabla1[Fecha],"&lt;="&amp;EOMONTH($A18,0),Tabla1[Codigo_actividad],AC$4)*AC$3</f>
        <v>0</v>
      </c>
      <c r="AD18" s="231">
        <f>+SUMIFS(Tabla1[Avance_Med],Tabla1[Fecha],"&gt;="&amp;$A18,Tabla1[Fecha],"&lt;="&amp;EOMONTH($A18,0),Tabla1[Codigo_actividad],AD$4)*AD$3</f>
        <v>0</v>
      </c>
      <c r="AE18" s="231">
        <f>+SUMIFS(Tabla1[Avance_Med],Tabla1[Fecha],"&gt;="&amp;$A18,Tabla1[Fecha],"&lt;="&amp;EOMONTH($A18,0),Tabla1[Codigo_actividad],AE$4)*AE$3</f>
        <v>0</v>
      </c>
      <c r="AF18" s="231">
        <f>+SUMIFS(Tabla1[Avance_Med],Tabla1[Fecha],"&gt;="&amp;$A18,Tabla1[Fecha],"&lt;="&amp;EOMONTH($A18,0),Tabla1[Codigo_actividad],AF$4)*AF$3</f>
        <v>0</v>
      </c>
      <c r="AG18" s="231">
        <f>+SUMIFS(Tabla1[Avance_Med],Tabla1[Fecha],"&gt;="&amp;$A18,Tabla1[Fecha],"&lt;="&amp;EOMONTH($A18,0),Tabla1[Codigo_actividad],AG$4)*AG$3</f>
        <v>0</v>
      </c>
      <c r="AH18" s="231">
        <f>+SUMIFS(Tabla1[Avance_Med],Tabla1[Fecha],"&gt;="&amp;$A18,Tabla1[Fecha],"&lt;="&amp;EOMONTH($A18,0),Tabla1[Codigo_actividad],AH$4)*AH$3</f>
        <v>0</v>
      </c>
      <c r="AI18" s="231">
        <f>+SUMIFS(Tabla1[Avance_Med],Tabla1[Fecha],"&gt;="&amp;$A18,Tabla1[Fecha],"&lt;="&amp;EOMONTH($A18,0),Tabla1[Codigo_actividad],AI$4)*AI$3</f>
        <v>0</v>
      </c>
      <c r="AJ18" s="231">
        <f>+SUMIFS(Tabla1[Avance_Med],Tabla1[Fecha],"&gt;="&amp;$A18,Tabla1[Fecha],"&lt;="&amp;EOMONTH($A18,0),Tabla1[Codigo_actividad],AJ$4)*AJ$3</f>
        <v>0</v>
      </c>
      <c r="AK18" s="231">
        <f>+SUMIFS(Tabla1[Avance_Med],Tabla1[Fecha],"&gt;="&amp;$A18,Tabla1[Fecha],"&lt;="&amp;EOMONTH($A18,0),Tabla1[Codigo_actividad],AK$4)*AK$3</f>
        <v>0</v>
      </c>
      <c r="AL18" s="231">
        <f>+SUMIFS(Tabla1[Avance_km],Tabla1[Fecha],"&gt;="&amp;$A18,Tabla1[Fecha],"&lt;="&amp;EOMONTH($A18,0),Tabla1[Codigo_actividad],AL$4)*AL$3</f>
        <v>0</v>
      </c>
      <c r="AM18" s="231">
        <f>+SUMIFS(Tabla1[Avance_Med],Tabla1[Fecha],"&gt;="&amp;$A18,Tabla1[Fecha],"&lt;="&amp;EOMONTH($A18,0),Tabla1[Codigo_actividad],AM$4)*AM$3</f>
        <v>0</v>
      </c>
    </row>
    <row r="19" spans="1:49" x14ac:dyDescent="0.25">
      <c r="A19" t="s">
        <v>446</v>
      </c>
      <c r="B19" s="304">
        <f>SUM(B5:B18)</f>
        <v>116</v>
      </c>
      <c r="C19" s="304">
        <f t="shared" ref="C19:AM19" si="0">SUM(C5:C18)</f>
        <v>116</v>
      </c>
      <c r="D19" s="304">
        <f t="shared" si="0"/>
        <v>116</v>
      </c>
      <c r="E19" s="304">
        <f t="shared" si="0"/>
        <v>116</v>
      </c>
      <c r="F19" s="304">
        <f t="shared" si="0"/>
        <v>116</v>
      </c>
      <c r="G19" s="304">
        <f t="shared" si="0"/>
        <v>116</v>
      </c>
      <c r="H19" s="304">
        <f t="shared" si="0"/>
        <v>181.92550000000003</v>
      </c>
      <c r="I19" s="304">
        <f t="shared" si="0"/>
        <v>0</v>
      </c>
      <c r="J19" s="475">
        <f t="shared" si="0"/>
        <v>150.32450000000003</v>
      </c>
      <c r="K19" s="482">
        <f t="shared" si="0"/>
        <v>118.792</v>
      </c>
      <c r="L19" s="304">
        <f t="shared" si="0"/>
        <v>396</v>
      </c>
      <c r="M19" s="304">
        <f t="shared" si="0"/>
        <v>181.88550000000001</v>
      </c>
      <c r="N19" s="304">
        <f t="shared" si="0"/>
        <v>92</v>
      </c>
      <c r="O19" s="304">
        <f t="shared" si="0"/>
        <v>92</v>
      </c>
      <c r="P19" s="304">
        <f t="shared" si="0"/>
        <v>92</v>
      </c>
      <c r="Q19" s="304">
        <f t="shared" si="0"/>
        <v>15</v>
      </c>
      <c r="R19" s="304">
        <f t="shared" si="0"/>
        <v>16</v>
      </c>
      <c r="S19" s="304">
        <f t="shared" si="0"/>
        <v>16</v>
      </c>
      <c r="T19" s="304">
        <f t="shared" si="0"/>
        <v>16</v>
      </c>
      <c r="U19" s="304">
        <f t="shared" si="0"/>
        <v>2</v>
      </c>
      <c r="V19" s="304">
        <f t="shared" si="0"/>
        <v>16</v>
      </c>
      <c r="W19" s="304">
        <f t="shared" si="0"/>
        <v>3</v>
      </c>
      <c r="X19" s="304">
        <f t="shared" si="0"/>
        <v>4</v>
      </c>
      <c r="Y19" s="304">
        <f t="shared" si="0"/>
        <v>14</v>
      </c>
      <c r="Z19" s="304">
        <f t="shared" si="0"/>
        <v>14</v>
      </c>
      <c r="AA19" s="304">
        <f t="shared" si="0"/>
        <v>0</v>
      </c>
      <c r="AB19" s="304">
        <f t="shared" si="0"/>
        <v>0</v>
      </c>
      <c r="AC19" s="304">
        <f t="shared" si="0"/>
        <v>0</v>
      </c>
      <c r="AD19" s="304">
        <f t="shared" si="0"/>
        <v>0</v>
      </c>
      <c r="AE19" s="304">
        <f t="shared" si="0"/>
        <v>0</v>
      </c>
      <c r="AF19" s="304">
        <f t="shared" si="0"/>
        <v>0</v>
      </c>
      <c r="AG19" s="304">
        <f t="shared" si="0"/>
        <v>0</v>
      </c>
      <c r="AH19" s="304">
        <f t="shared" si="0"/>
        <v>0</v>
      </c>
      <c r="AI19" s="304">
        <f t="shared" si="0"/>
        <v>0</v>
      </c>
      <c r="AJ19" s="304">
        <f t="shared" si="0"/>
        <v>24</v>
      </c>
      <c r="AK19" s="304">
        <f t="shared" si="0"/>
        <v>24</v>
      </c>
      <c r="AL19" s="304">
        <f t="shared" si="0"/>
        <v>0</v>
      </c>
      <c r="AM19" s="304">
        <f t="shared" si="0"/>
        <v>0</v>
      </c>
    </row>
    <row r="20" spans="1:49" x14ac:dyDescent="0.25">
      <c r="A20"/>
      <c r="B20"/>
      <c r="C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</row>
    <row r="21" spans="1:49" x14ac:dyDescent="0.25">
      <c r="A21" s="331" t="s">
        <v>450</v>
      </c>
      <c r="B21" s="304">
        <f>+_xlfn.XLOOKUP(B4,Catalogo!$B:$B,Catalogo!$D:$D)</f>
        <v>105</v>
      </c>
      <c r="C21" s="304">
        <f>+_xlfn.XLOOKUP(C4,Catalogo!$B:$B,Catalogo!$D:$D)</f>
        <v>105</v>
      </c>
      <c r="D21" s="304">
        <f>+_xlfn.XLOOKUP(D4,Catalogo!$B:$B,Catalogo!$D:$D)</f>
        <v>105</v>
      </c>
      <c r="E21" s="304">
        <f>+_xlfn.XLOOKUP(E4,Catalogo!$B:$B,Catalogo!$D:$D)</f>
        <v>105</v>
      </c>
      <c r="F21" s="304">
        <f>+_xlfn.XLOOKUP(F4,Catalogo!$B:$B,Catalogo!$D:$D)</f>
        <v>105</v>
      </c>
      <c r="G21" s="304">
        <f>+_xlfn.XLOOKUP(G4,Catalogo!$B:$B,Catalogo!$D:$D)</f>
        <v>105</v>
      </c>
      <c r="H21" s="304">
        <v>200</v>
      </c>
      <c r="I21" s="304">
        <f>+_xlfn.XLOOKUP(I4,Catalogo!$B:$B,Catalogo!$D:$D)</f>
        <v>200</v>
      </c>
      <c r="J21" s="304">
        <v>200</v>
      </c>
      <c r="K21" s="304">
        <f>+_xlfn.XLOOKUP(K4,Catalogo!$B:$B,Catalogo!$D:$D)</f>
        <v>200</v>
      </c>
      <c r="L21" s="304">
        <f>+_xlfn.XLOOKUP(L4,Catalogo!$B:$B,Catalogo!$D:$D)</f>
        <v>500</v>
      </c>
      <c r="M21" s="304">
        <v>200</v>
      </c>
      <c r="N21" s="304">
        <f>+_xlfn.XLOOKUP(N4,Catalogo!$B:$B,Catalogo!$D:$D)</f>
        <v>105</v>
      </c>
      <c r="O21" s="304">
        <f>+_xlfn.XLOOKUP(O4,Catalogo!$B:$B,Catalogo!$D:$D)</f>
        <v>105</v>
      </c>
      <c r="P21" s="304">
        <f>+_xlfn.XLOOKUP(P4,Catalogo!$B:$B,Catalogo!$D:$D)</f>
        <v>105</v>
      </c>
      <c r="Q21" s="304">
        <f>+_xlfn.XLOOKUP(Q4,Catalogo!$B:$B,Catalogo!$D:$D)</f>
        <v>55</v>
      </c>
      <c r="R21" s="304">
        <f>+_xlfn.XLOOKUP(R4,Catalogo!$B:$B,Catalogo!$D:$D)</f>
        <v>55</v>
      </c>
      <c r="S21" s="304">
        <f>+_xlfn.XLOOKUP(S4,Catalogo!$B:$B,Catalogo!$D:$D)</f>
        <v>100</v>
      </c>
      <c r="T21" s="304">
        <f>+_xlfn.XLOOKUP(T4,Catalogo!$B:$B,Catalogo!$D:$D)</f>
        <v>100</v>
      </c>
      <c r="U21" s="304">
        <f>+_xlfn.XLOOKUP(U4,Catalogo!$B:$B,Catalogo!$D:$D)</f>
        <v>170</v>
      </c>
      <c r="V21" s="304">
        <f>+_xlfn.XLOOKUP(V4,Catalogo!$B:$B,Catalogo!$D:$D)</f>
        <v>170</v>
      </c>
      <c r="W21" s="304">
        <f>+_xlfn.XLOOKUP(W4,Catalogo!$B:$B,Catalogo!$D:$D)</f>
        <v>100</v>
      </c>
      <c r="X21" s="304">
        <f>+_xlfn.XLOOKUP(X4,Catalogo!$B:$B,Catalogo!$D:$D)</f>
        <v>100</v>
      </c>
      <c r="Y21" s="304">
        <f>+_xlfn.XLOOKUP(Y4,Catalogo!$B:$B,Catalogo!$D:$D)</f>
        <v>55</v>
      </c>
      <c r="Z21" s="304">
        <f>+_xlfn.XLOOKUP(Z4,Catalogo!$B:$B,Catalogo!$D:$D)</f>
        <v>55</v>
      </c>
      <c r="AA21" s="304">
        <f>+_xlfn.XLOOKUP(AA4,Catalogo!$B:$B,Catalogo!$D:$D)</f>
        <v>105</v>
      </c>
      <c r="AB21" s="304">
        <f>+_xlfn.XLOOKUP(AB4,Catalogo!$B:$B,Catalogo!$D:$D)</f>
        <v>105</v>
      </c>
      <c r="AC21" s="304">
        <f>+_xlfn.XLOOKUP(AC4,Catalogo!$B:$B,Catalogo!$D:$D)</f>
        <v>105</v>
      </c>
      <c r="AD21" s="304">
        <f>+_xlfn.XLOOKUP(AD4,Catalogo!$B:$B,Catalogo!$D:$D)</f>
        <v>105</v>
      </c>
      <c r="AE21" s="304">
        <f>+_xlfn.XLOOKUP(AE4,Catalogo!$B:$B,Catalogo!$D:$D)</f>
        <v>105</v>
      </c>
      <c r="AF21" s="304">
        <f>+_xlfn.XLOOKUP(AF4,Catalogo!$B:$B,Catalogo!$D:$D)</f>
        <v>105</v>
      </c>
      <c r="AG21" s="304">
        <f>+_xlfn.XLOOKUP(AG4,Catalogo!$B:$B,Catalogo!$D:$D)</f>
        <v>105</v>
      </c>
      <c r="AH21" s="304">
        <f>+_xlfn.XLOOKUP(AH4,Catalogo!$B:$B,Catalogo!$D:$D)</f>
        <v>105</v>
      </c>
      <c r="AI21" s="304">
        <f>+_xlfn.XLOOKUP(AI4,Catalogo!$B:$B,Catalogo!$D:$D)</f>
        <v>105</v>
      </c>
      <c r="AJ21" s="304">
        <f>+_xlfn.XLOOKUP(AJ4,Catalogo!$B:$B,Catalogo!$D:$D)</f>
        <v>100</v>
      </c>
      <c r="AK21" s="304">
        <f>+_xlfn.XLOOKUP(AK4,Catalogo!$B:$B,Catalogo!$D:$D)</f>
        <v>500</v>
      </c>
      <c r="AL21" s="304">
        <f>+_xlfn.XLOOKUP(AL4,Catalogo!$B:$B,Catalogo!$D:$D)</f>
        <v>800</v>
      </c>
      <c r="AM21" s="304">
        <f>+_xlfn.XLOOKUP(AM4,Catalogo!$B:$B,Catalogo!$D:$D)</f>
        <v>105</v>
      </c>
    </row>
    <row r="22" spans="1:49" s="1" customFormat="1" x14ac:dyDescent="0.25">
      <c r="A22" s="331" t="s">
        <v>451</v>
      </c>
      <c r="B22" s="328">
        <f>+B19/B21</f>
        <v>1.1047619047619048</v>
      </c>
      <c r="C22" s="328">
        <f t="shared" ref="C22:P22" si="1">+C19/C21</f>
        <v>1.1047619047619048</v>
      </c>
      <c r="D22" s="328">
        <f t="shared" si="1"/>
        <v>1.1047619047619048</v>
      </c>
      <c r="E22" s="328">
        <f t="shared" si="1"/>
        <v>1.1047619047619048</v>
      </c>
      <c r="F22" s="328">
        <f t="shared" si="1"/>
        <v>1.1047619047619048</v>
      </c>
      <c r="G22" s="328">
        <f t="shared" si="1"/>
        <v>1.1047619047619048</v>
      </c>
      <c r="H22" s="338">
        <f t="shared" si="1"/>
        <v>0.90962750000000014</v>
      </c>
      <c r="I22" s="340"/>
      <c r="J22" s="338">
        <f t="shared" si="1"/>
        <v>0.75162250000000019</v>
      </c>
      <c r="K22" s="338">
        <f t="shared" si="1"/>
        <v>0.59396000000000004</v>
      </c>
      <c r="L22" s="338">
        <f t="shared" si="1"/>
        <v>0.79200000000000004</v>
      </c>
      <c r="M22" s="338">
        <f t="shared" si="1"/>
        <v>0.90942750000000006</v>
      </c>
      <c r="N22" s="338">
        <f t="shared" si="1"/>
        <v>0.87619047619047619</v>
      </c>
      <c r="O22" s="338">
        <f t="shared" si="1"/>
        <v>0.87619047619047619</v>
      </c>
      <c r="P22" s="339">
        <f t="shared" si="1"/>
        <v>0.87619047619047619</v>
      </c>
      <c r="Q22" s="329">
        <f t="shared" ref="Q22" si="2">+Q19/Q21</f>
        <v>0.27272727272727271</v>
      </c>
      <c r="R22" s="329">
        <f t="shared" ref="R22" si="3">+R19/R21</f>
        <v>0.29090909090909089</v>
      </c>
      <c r="S22" s="329">
        <f t="shared" ref="S22" si="4">+S19/S21</f>
        <v>0.16</v>
      </c>
      <c r="T22" s="329">
        <f t="shared" ref="T22" si="5">+T19/T21</f>
        <v>0.16</v>
      </c>
      <c r="U22" s="329">
        <f t="shared" ref="U22" si="6">+U19/U21</f>
        <v>1.1764705882352941E-2</v>
      </c>
      <c r="V22" s="329">
        <f t="shared" ref="V22" si="7">+V19/V21</f>
        <v>9.4117647058823528E-2</v>
      </c>
      <c r="W22" s="329">
        <f t="shared" ref="W22" si="8">+W19/W21</f>
        <v>0.03</v>
      </c>
      <c r="X22" s="329">
        <f t="shared" ref="X22" si="9">+X19/X21</f>
        <v>0.04</v>
      </c>
      <c r="Y22" s="329">
        <f t="shared" ref="Y22" si="10">+Y19/Y21</f>
        <v>0.25454545454545452</v>
      </c>
      <c r="Z22" s="329">
        <f t="shared" ref="Z22" si="11">+Z19/Z21</f>
        <v>0.25454545454545452</v>
      </c>
      <c r="AA22" s="329">
        <f t="shared" ref="AA22" si="12">+AA19/AA21</f>
        <v>0</v>
      </c>
      <c r="AB22" s="330">
        <f t="shared" ref="AB22" si="13">+AB19/AB21</f>
        <v>0</v>
      </c>
      <c r="AC22" s="330">
        <f t="shared" ref="AC22" si="14">+AC19/AC21</f>
        <v>0</v>
      </c>
      <c r="AD22" s="330">
        <f t="shared" ref="AD22" si="15">+AD19/AD21</f>
        <v>0</v>
      </c>
      <c r="AE22" s="330">
        <f t="shared" ref="AE22" si="16">+AE19/AE21</f>
        <v>0</v>
      </c>
      <c r="AF22" s="330">
        <f t="shared" ref="AF22" si="17">+AF19/AF21</f>
        <v>0</v>
      </c>
      <c r="AG22" s="330">
        <f t="shared" ref="AG22" si="18">+AG19/AG21</f>
        <v>0</v>
      </c>
      <c r="AH22" s="330">
        <f t="shared" ref="AH22" si="19">+AH19/AH21</f>
        <v>0</v>
      </c>
      <c r="AI22" s="330">
        <f t="shared" ref="AI22" si="20">+AI19/AI21</f>
        <v>0</v>
      </c>
      <c r="AJ22" s="330">
        <f t="shared" ref="AJ22" si="21">+AJ19/AJ21</f>
        <v>0.24</v>
      </c>
      <c r="AK22" s="330">
        <f t="shared" ref="AK22" si="22">+AK19/AK21</f>
        <v>4.8000000000000001E-2</v>
      </c>
      <c r="AL22" s="330">
        <f t="shared" ref="AL22" si="23">+AL19/AL21</f>
        <v>0</v>
      </c>
      <c r="AM22" s="330">
        <f t="shared" ref="AM22" si="24">+AM19/AM21</f>
        <v>0</v>
      </c>
      <c r="AN22" s="76"/>
      <c r="AO22" s="76"/>
      <c r="AP22" s="76"/>
      <c r="AQ22" s="76"/>
      <c r="AR22" s="76"/>
      <c r="AS22" s="76"/>
      <c r="AT22" s="76"/>
      <c r="AU22" s="76"/>
      <c r="AV22" s="76"/>
      <c r="AW22" s="76"/>
    </row>
    <row r="23" spans="1:49" x14ac:dyDescent="0.25">
      <c r="A23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</row>
    <row r="24" spans="1:49" x14ac:dyDescent="0.25">
      <c r="A24"/>
      <c r="B24"/>
      <c r="C24"/>
      <c r="D24"/>
      <c r="E24"/>
      <c r="F24"/>
      <c r="G24"/>
      <c r="H24" s="120"/>
      <c r="I24"/>
      <c r="P24"/>
      <c r="Q24"/>
      <c r="R24"/>
      <c r="S24"/>
      <c r="T24"/>
      <c r="U24"/>
      <c r="V24"/>
      <c r="W24"/>
      <c r="X24"/>
      <c r="Y24"/>
      <c r="Z24"/>
      <c r="AA24"/>
    </row>
    <row r="25" spans="1:49" ht="26.25" x14ac:dyDescent="0.35">
      <c r="A25"/>
      <c r="B25" s="596" t="s">
        <v>398</v>
      </c>
      <c r="C25" s="596"/>
      <c r="D25" s="349">
        <v>100</v>
      </c>
      <c r="E25" s="333" t="str">
        <f>REPT("█",ROUND(D25/5,0))&amp;REPT("░",20-ROUND(D25/5,0))&amp;" "&amp;ROUND(D25,0)&amp;"%"</f>
        <v>████████████████████ 100%</v>
      </c>
      <c r="M25" s="351">
        <v>11</v>
      </c>
      <c r="N25" s="1" t="s">
        <v>118</v>
      </c>
      <c r="P25" s="508">
        <v>1.1000000000000001</v>
      </c>
      <c r="Q25"/>
      <c r="R25"/>
      <c r="S25"/>
      <c r="T25"/>
      <c r="U25"/>
      <c r="V25"/>
      <c r="W25"/>
      <c r="X25"/>
      <c r="Y25"/>
      <c r="Z25"/>
      <c r="AA25"/>
    </row>
    <row r="26" spans="1:49" ht="26.25" x14ac:dyDescent="0.35">
      <c r="A26"/>
      <c r="B26" s="596" t="s">
        <v>447</v>
      </c>
      <c r="C26" s="596"/>
      <c r="D26" s="349">
        <f>+AVERAGE(H22:O22)*100</f>
        <v>81.557406462585035</v>
      </c>
      <c r="E26" s="334" t="str">
        <f>REPT("█",ROUND(D26/5,0))&amp;REPT("░",20-ROUND(D26/5,0))&amp;" "&amp;ROUND(D26,0)&amp;"%"</f>
        <v>████████████████░░░░ 82%</v>
      </c>
      <c r="F26"/>
      <c r="G26"/>
      <c r="H26"/>
      <c r="I26"/>
      <c r="J26"/>
      <c r="K26"/>
      <c r="L26"/>
      <c r="P26"/>
      <c r="Q26"/>
      <c r="R26"/>
      <c r="S26"/>
      <c r="T26"/>
      <c r="U26"/>
      <c r="V26"/>
      <c r="W26"/>
      <c r="X26"/>
      <c r="Y26"/>
      <c r="Z26"/>
      <c r="AA26"/>
    </row>
    <row r="27" spans="1:49" ht="26.25" x14ac:dyDescent="0.35">
      <c r="A27"/>
      <c r="B27" s="596" t="s">
        <v>448</v>
      </c>
      <c r="C27" s="596"/>
      <c r="D27" s="349">
        <f>+AVERAGE(P22:AA22)*100</f>
        <v>20.373334182157709</v>
      </c>
      <c r="E27" s="348" t="str">
        <f>REPT("█",ROUND(D27/5,0))&amp;REPT("░",20-ROUND(D27/5,0))&amp;" "&amp;ROUND(D27,0)&amp;"%"</f>
        <v>████░░░░░░░░░░░░░░░░ 20%</v>
      </c>
      <c r="F27"/>
      <c r="G27"/>
      <c r="H27"/>
      <c r="I27"/>
      <c r="J27"/>
      <c r="K27"/>
      <c r="L27"/>
      <c r="P27"/>
      <c r="Q27"/>
      <c r="R27"/>
      <c r="S27"/>
      <c r="T27"/>
      <c r="U27"/>
      <c r="V27"/>
      <c r="W27"/>
      <c r="X27"/>
      <c r="Y27"/>
      <c r="Z27"/>
      <c r="AA27"/>
    </row>
    <row r="28" spans="1:49" ht="26.25" x14ac:dyDescent="0.35">
      <c r="A28"/>
      <c r="B28" s="596" t="s">
        <v>449</v>
      </c>
      <c r="C28" s="596"/>
      <c r="D28" s="349">
        <f>+AVERAGE(AB22:AM22)*100</f>
        <v>2.4</v>
      </c>
      <c r="E28" s="347" t="str">
        <f>REPT("█",ROUND(D28/5,0))&amp;REPT("░",20-ROUND(D28/5,0))&amp;" "&amp;ROUND(D28,0)&amp;"%"</f>
        <v>░░░░░░░░░░░░░░░░░░░░ 2%</v>
      </c>
      <c r="F28"/>
      <c r="G28"/>
      <c r="H28"/>
      <c r="I28"/>
      <c r="J28"/>
      <c r="K28"/>
      <c r="L28"/>
    </row>
    <row r="29" spans="1:49" x14ac:dyDescent="0.25">
      <c r="A29"/>
      <c r="B29"/>
      <c r="C29"/>
      <c r="D29"/>
      <c r="E29"/>
      <c r="F29"/>
      <c r="G29"/>
      <c r="H29"/>
      <c r="I29"/>
    </row>
    <row r="30" spans="1:49" ht="26.25" x14ac:dyDescent="0.35">
      <c r="A30"/>
      <c r="B30"/>
      <c r="C30"/>
      <c r="D30" s="334"/>
      <c r="E30" s="350" t="s">
        <v>454</v>
      </c>
      <c r="F30"/>
      <c r="G30"/>
      <c r="H30"/>
      <c r="I30"/>
    </row>
    <row r="31" spans="1:49" ht="16.5" x14ac:dyDescent="0.25">
      <c r="A31"/>
      <c r="B31"/>
      <c r="C31"/>
      <c r="D31"/>
      <c r="E31" s="350" t="s">
        <v>613</v>
      </c>
      <c r="F31"/>
      <c r="G31"/>
      <c r="H31"/>
      <c r="I31"/>
    </row>
    <row r="32" spans="1:49" x14ac:dyDescent="0.25">
      <c r="A32"/>
      <c r="B32"/>
      <c r="C32"/>
      <c r="D32"/>
      <c r="E32"/>
      <c r="F32"/>
      <c r="G32"/>
      <c r="H32"/>
      <c r="I32"/>
    </row>
    <row r="33" spans="1:9" x14ac:dyDescent="0.25">
      <c r="A33"/>
      <c r="B33"/>
      <c r="C33"/>
      <c r="D33"/>
      <c r="E33"/>
      <c r="F33"/>
      <c r="G33"/>
      <c r="H33"/>
      <c r="I33"/>
    </row>
    <row r="34" spans="1:9" x14ac:dyDescent="0.25">
      <c r="A34"/>
      <c r="B34"/>
      <c r="C34"/>
      <c r="D34"/>
      <c r="E34"/>
      <c r="F34"/>
      <c r="G34"/>
      <c r="H34"/>
      <c r="I34"/>
    </row>
    <row r="35" spans="1:9" x14ac:dyDescent="0.25">
      <c r="A35"/>
      <c r="B35"/>
      <c r="C35"/>
      <c r="D35"/>
      <c r="E35"/>
      <c r="F35"/>
      <c r="G35"/>
      <c r="H35"/>
      <c r="I35"/>
    </row>
    <row r="36" spans="1:9" x14ac:dyDescent="0.25">
      <c r="A36"/>
      <c r="B36"/>
      <c r="C36"/>
      <c r="D36"/>
      <c r="E36"/>
      <c r="F36"/>
      <c r="G36"/>
      <c r="H36"/>
      <c r="I36"/>
    </row>
    <row r="37" spans="1:9" x14ac:dyDescent="0.25">
      <c r="A37"/>
      <c r="B37"/>
      <c r="C37"/>
      <c r="D37"/>
      <c r="E37"/>
      <c r="F37"/>
      <c r="G37"/>
      <c r="H37"/>
      <c r="I37"/>
    </row>
    <row r="38" spans="1:9" x14ac:dyDescent="0.25">
      <c r="A38"/>
      <c r="B38"/>
      <c r="C38"/>
      <c r="D38"/>
      <c r="E38"/>
      <c r="F38"/>
      <c r="G38"/>
      <c r="H38"/>
      <c r="I38"/>
    </row>
    <row r="39" spans="1:9" x14ac:dyDescent="0.25">
      <c r="A39"/>
      <c r="B39"/>
      <c r="C39"/>
      <c r="D39"/>
      <c r="E39"/>
      <c r="F39"/>
      <c r="G39"/>
      <c r="H39"/>
      <c r="I39"/>
    </row>
    <row r="40" spans="1:9" x14ac:dyDescent="0.25">
      <c r="A40"/>
      <c r="B40"/>
      <c r="C40"/>
      <c r="D40"/>
      <c r="E40"/>
      <c r="F40"/>
      <c r="G40"/>
      <c r="H40"/>
      <c r="I40"/>
    </row>
    <row r="41" spans="1:9" x14ac:dyDescent="0.25">
      <c r="A41"/>
      <c r="B41"/>
      <c r="C41"/>
      <c r="D41"/>
      <c r="E41"/>
      <c r="F41"/>
      <c r="G41"/>
      <c r="H41"/>
      <c r="I41"/>
    </row>
    <row r="42" spans="1:9" x14ac:dyDescent="0.25">
      <c r="A42"/>
      <c r="B42"/>
      <c r="C42"/>
      <c r="D42"/>
      <c r="E42"/>
      <c r="F42"/>
      <c r="G42"/>
      <c r="H42"/>
      <c r="I42"/>
    </row>
    <row r="43" spans="1:9" x14ac:dyDescent="0.25">
      <c r="A43"/>
      <c r="B43"/>
      <c r="C43"/>
      <c r="D43"/>
      <c r="E43"/>
      <c r="F43"/>
      <c r="G43"/>
      <c r="H43"/>
      <c r="I43"/>
    </row>
    <row r="44" spans="1:9" x14ac:dyDescent="0.25">
      <c r="A44"/>
      <c r="B44"/>
      <c r="C44"/>
      <c r="D44"/>
      <c r="E44"/>
      <c r="F44"/>
      <c r="G44"/>
      <c r="H44"/>
      <c r="I44"/>
    </row>
    <row r="45" spans="1:9" x14ac:dyDescent="0.25">
      <c r="A45"/>
      <c r="B45"/>
      <c r="C45"/>
      <c r="D45"/>
      <c r="E45"/>
      <c r="F45"/>
      <c r="G45"/>
      <c r="H45"/>
      <c r="I45"/>
    </row>
    <row r="46" spans="1:9" x14ac:dyDescent="0.25">
      <c r="A46"/>
      <c r="B46"/>
      <c r="C46"/>
      <c r="D46"/>
      <c r="E46"/>
      <c r="F46"/>
      <c r="G46"/>
      <c r="H46"/>
      <c r="I46"/>
    </row>
    <row r="47" spans="1:9" x14ac:dyDescent="0.25">
      <c r="A47"/>
      <c r="B47"/>
      <c r="C47"/>
      <c r="D47"/>
      <c r="E47"/>
      <c r="F47"/>
      <c r="G47"/>
      <c r="H47"/>
      <c r="I47"/>
    </row>
    <row r="48" spans="1:9" x14ac:dyDescent="0.25">
      <c r="A48"/>
      <c r="B48"/>
      <c r="C48"/>
      <c r="D48"/>
      <c r="E48"/>
      <c r="F48"/>
      <c r="G48"/>
      <c r="H48"/>
      <c r="I48"/>
    </row>
    <row r="49" spans="1:9" x14ac:dyDescent="0.25">
      <c r="A49"/>
      <c r="B49"/>
      <c r="C49"/>
      <c r="D49"/>
      <c r="E49"/>
      <c r="F49"/>
      <c r="G49"/>
      <c r="H49"/>
      <c r="I49"/>
    </row>
    <row r="50" spans="1:9" x14ac:dyDescent="0.25">
      <c r="A50"/>
      <c r="B50"/>
      <c r="C50"/>
      <c r="D50"/>
      <c r="E50"/>
      <c r="F50"/>
      <c r="G50"/>
      <c r="H50"/>
      <c r="I50"/>
    </row>
    <row r="51" spans="1:9" x14ac:dyDescent="0.25">
      <c r="A51"/>
      <c r="B51"/>
      <c r="C51"/>
      <c r="D51"/>
      <c r="E51"/>
      <c r="F51"/>
      <c r="G51"/>
      <c r="H51"/>
      <c r="I51"/>
    </row>
    <row r="52" spans="1:9" x14ac:dyDescent="0.25">
      <c r="A52"/>
      <c r="B52"/>
      <c r="C52"/>
      <c r="D52"/>
      <c r="E52"/>
      <c r="F52"/>
      <c r="G52"/>
      <c r="H52"/>
      <c r="I52"/>
    </row>
    <row r="53" spans="1:9" x14ac:dyDescent="0.25">
      <c r="A53"/>
      <c r="B53"/>
      <c r="C53"/>
      <c r="D53"/>
      <c r="E53"/>
      <c r="F53"/>
      <c r="G53"/>
      <c r="H53"/>
      <c r="I53"/>
    </row>
    <row r="54" spans="1:9" x14ac:dyDescent="0.25">
      <c r="A54"/>
      <c r="B54"/>
      <c r="C54"/>
      <c r="D54"/>
      <c r="E54"/>
      <c r="F54"/>
      <c r="G54"/>
      <c r="H54"/>
      <c r="I54"/>
    </row>
    <row r="55" spans="1:9" x14ac:dyDescent="0.25">
      <c r="A55"/>
      <c r="B55"/>
      <c r="C55"/>
      <c r="D55"/>
      <c r="E55"/>
      <c r="F55"/>
      <c r="G55"/>
      <c r="H55"/>
      <c r="I55"/>
    </row>
    <row r="56" spans="1:9" x14ac:dyDescent="0.25">
      <c r="A56"/>
      <c r="B56"/>
      <c r="C56"/>
      <c r="D56"/>
      <c r="E56"/>
      <c r="F56"/>
      <c r="G56"/>
      <c r="H56"/>
      <c r="I56"/>
    </row>
    <row r="57" spans="1:9" x14ac:dyDescent="0.25">
      <c r="A57"/>
      <c r="B57"/>
      <c r="C57"/>
      <c r="D57"/>
      <c r="E57"/>
      <c r="F57"/>
      <c r="G57"/>
      <c r="H57"/>
      <c r="I57"/>
    </row>
    <row r="58" spans="1:9" x14ac:dyDescent="0.25">
      <c r="A58"/>
      <c r="B58"/>
      <c r="C58"/>
      <c r="D58"/>
      <c r="E58"/>
      <c r="F58"/>
      <c r="G58"/>
      <c r="H58"/>
      <c r="I58"/>
    </row>
    <row r="59" spans="1:9" x14ac:dyDescent="0.25">
      <c r="A59"/>
      <c r="B59"/>
      <c r="C59"/>
      <c r="D59"/>
      <c r="E59"/>
      <c r="F59"/>
      <c r="G59"/>
      <c r="H59"/>
      <c r="I59"/>
    </row>
    <row r="60" spans="1:9" x14ac:dyDescent="0.25">
      <c r="A60"/>
      <c r="B60"/>
      <c r="C60"/>
      <c r="D60"/>
      <c r="E60"/>
      <c r="F60"/>
      <c r="G60"/>
      <c r="H60"/>
      <c r="I60"/>
    </row>
    <row r="61" spans="1:9" x14ac:dyDescent="0.25">
      <c r="A61"/>
      <c r="B61"/>
      <c r="C61"/>
      <c r="D61"/>
      <c r="E61"/>
      <c r="F61"/>
      <c r="G61"/>
      <c r="H61"/>
      <c r="I61"/>
    </row>
    <row r="62" spans="1:9" x14ac:dyDescent="0.25">
      <c r="A62"/>
      <c r="B62"/>
      <c r="C62"/>
      <c r="D62"/>
      <c r="E62"/>
      <c r="F62"/>
      <c r="G62"/>
      <c r="H62"/>
      <c r="I62"/>
    </row>
    <row r="63" spans="1:9" x14ac:dyDescent="0.25">
      <c r="A63"/>
      <c r="B63"/>
      <c r="C63"/>
      <c r="D63"/>
      <c r="E63"/>
      <c r="F63"/>
      <c r="G63"/>
      <c r="H63"/>
      <c r="I63"/>
    </row>
    <row r="64" spans="1:9" x14ac:dyDescent="0.25">
      <c r="A64"/>
      <c r="B64"/>
      <c r="C64"/>
      <c r="D64"/>
      <c r="E64"/>
      <c r="F64"/>
      <c r="G64"/>
      <c r="H64"/>
      <c r="I64"/>
    </row>
    <row r="65" spans="1:9" x14ac:dyDescent="0.25">
      <c r="A65"/>
      <c r="B65"/>
      <c r="C65"/>
      <c r="D65"/>
      <c r="E65"/>
      <c r="F65"/>
      <c r="G65"/>
      <c r="H65"/>
      <c r="I65"/>
    </row>
    <row r="66" spans="1:9" x14ac:dyDescent="0.25">
      <c r="A66"/>
      <c r="B66"/>
      <c r="C66"/>
      <c r="D66"/>
      <c r="E66"/>
      <c r="F66"/>
      <c r="G66"/>
      <c r="H66"/>
      <c r="I66"/>
    </row>
    <row r="67" spans="1:9" x14ac:dyDescent="0.25">
      <c r="A67"/>
      <c r="B67"/>
      <c r="C67"/>
      <c r="D67"/>
      <c r="E67"/>
      <c r="F67"/>
      <c r="G67"/>
      <c r="H67"/>
      <c r="I67"/>
    </row>
    <row r="68" spans="1:9" x14ac:dyDescent="0.25">
      <c r="A68"/>
      <c r="B68"/>
      <c r="C68"/>
      <c r="D68"/>
      <c r="E68"/>
      <c r="F68"/>
      <c r="G68"/>
      <c r="H68"/>
      <c r="I68"/>
    </row>
    <row r="69" spans="1:9" x14ac:dyDescent="0.25">
      <c r="A69"/>
      <c r="B69"/>
      <c r="C69"/>
      <c r="D69"/>
      <c r="E69"/>
      <c r="F69"/>
      <c r="G69"/>
      <c r="H69"/>
      <c r="I69"/>
    </row>
    <row r="70" spans="1:9" x14ac:dyDescent="0.25">
      <c r="A70"/>
      <c r="B70"/>
      <c r="C70"/>
      <c r="D70"/>
      <c r="E70"/>
      <c r="F70"/>
      <c r="G70"/>
      <c r="H70"/>
      <c r="I70"/>
    </row>
    <row r="71" spans="1:9" x14ac:dyDescent="0.25">
      <c r="A71"/>
      <c r="B71"/>
      <c r="C71"/>
      <c r="D71"/>
      <c r="E71"/>
      <c r="F71"/>
      <c r="G71"/>
      <c r="H71"/>
      <c r="I71"/>
    </row>
    <row r="72" spans="1:9" x14ac:dyDescent="0.25">
      <c r="A72"/>
      <c r="B72"/>
      <c r="C72"/>
      <c r="D72"/>
      <c r="E72"/>
      <c r="F72"/>
      <c r="G72"/>
      <c r="H72"/>
      <c r="I72"/>
    </row>
    <row r="73" spans="1:9" x14ac:dyDescent="0.25">
      <c r="A73"/>
      <c r="B73"/>
      <c r="C73"/>
      <c r="D73"/>
      <c r="E73"/>
      <c r="F73"/>
      <c r="G73"/>
      <c r="H73"/>
      <c r="I73"/>
    </row>
    <row r="74" spans="1:9" x14ac:dyDescent="0.25">
      <c r="A74"/>
      <c r="B74"/>
      <c r="C74"/>
      <c r="D74"/>
      <c r="E74"/>
      <c r="F74"/>
      <c r="G74"/>
      <c r="H74"/>
      <c r="I74"/>
    </row>
    <row r="75" spans="1:9" x14ac:dyDescent="0.25">
      <c r="A75"/>
      <c r="B75"/>
      <c r="C75"/>
      <c r="D75"/>
      <c r="E75"/>
      <c r="F75"/>
      <c r="G75"/>
      <c r="H75"/>
      <c r="I75"/>
    </row>
    <row r="76" spans="1:9" x14ac:dyDescent="0.25">
      <c r="A76"/>
      <c r="B76"/>
      <c r="C76"/>
      <c r="D76"/>
      <c r="E76"/>
      <c r="F76"/>
      <c r="G76"/>
      <c r="H76"/>
      <c r="I76"/>
    </row>
  </sheetData>
  <mergeCells count="4">
    <mergeCell ref="B25:C25"/>
    <mergeCell ref="B26:C26"/>
    <mergeCell ref="B27:C27"/>
    <mergeCell ref="B28:C28"/>
  </mergeCells>
  <conditionalFormatting sqref="B5:AM18">
    <cfRule type="expression" dxfId="26" priority="2" stopIfTrue="1">
      <formula>B5=0</formula>
    </cfRule>
    <cfRule type="expression" dxfId="25" priority="3">
      <formula>IF(MONTH($A5)=MONTH(TODAY()),"VERDADERO","FALSO")</formula>
    </cfRule>
    <cfRule type="expression" dxfId="24" priority="4">
      <formula>AND(B5=0,IF(MONTH($A5)=MONTH(TODAY()),"VERDADERO","FALSO"))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322D-F929-43AF-844D-B7CF73B29A61}">
  <sheetPr codeName="Hoja28"/>
  <dimension ref="B3:D9"/>
  <sheetViews>
    <sheetView workbookViewId="0"/>
  </sheetViews>
  <sheetFormatPr baseColWidth="10" defaultRowHeight="15" outlineLevelCol="1" x14ac:dyDescent="0.25"/>
  <cols>
    <col min="2" max="2" width="15.85546875" bestFit="1" customWidth="1"/>
    <col min="3" max="3" width="5.7109375" customWidth="1" outlineLevel="1"/>
    <col min="4" max="4" width="67.85546875" bestFit="1" customWidth="1"/>
  </cols>
  <sheetData>
    <row r="3" spans="2:4" ht="26.25" x14ac:dyDescent="0.35">
      <c r="B3" s="332" t="s">
        <v>398</v>
      </c>
      <c r="C3" s="345">
        <v>100</v>
      </c>
      <c r="D3" s="333" t="str">
        <f>REPT("█",ROUND(C3/5,0))&amp;REPT("░",20-ROUND(C3/5,0))&amp;" "&amp;ROUND(C3,0)&amp;"%"</f>
        <v>████████████████████ 100%</v>
      </c>
    </row>
    <row r="4" spans="2:4" ht="26.25" x14ac:dyDescent="0.35">
      <c r="B4" s="332" t="s">
        <v>447</v>
      </c>
      <c r="C4" s="346">
        <f>+AVERAGE('EV (3)'!H22:O22)*100</f>
        <v>81.557406462585035</v>
      </c>
      <c r="D4" s="334" t="str">
        <f>REPT("█",ROUND(C4/5,0))&amp;REPT("░",20-ROUND(C4/5,0))&amp;" "&amp;ROUND(C4,0)&amp;"%"</f>
        <v>████████████████░░░░ 82%</v>
      </c>
    </row>
    <row r="5" spans="2:4" ht="26.25" x14ac:dyDescent="0.35">
      <c r="B5" s="332" t="s">
        <v>448</v>
      </c>
      <c r="C5" s="346">
        <f>+AVERAGE('EV (3)'!P22:AA22)*100</f>
        <v>20.373334182157709</v>
      </c>
      <c r="D5" s="335" t="str">
        <f t="shared" ref="D5:D6" si="0">REPT("█",ROUND(C5/5,0))&amp;REPT("░",20-ROUND(C5/5,0))&amp;" "&amp;ROUND(C5,0)&amp;"%"</f>
        <v>████░░░░░░░░░░░░░░░░ 20%</v>
      </c>
    </row>
    <row r="6" spans="2:4" ht="26.25" x14ac:dyDescent="0.35">
      <c r="B6" s="332" t="s">
        <v>449</v>
      </c>
      <c r="C6" s="346">
        <f>IFERROR(AVERAGE('EV (3)'!AB22:AM22)*100,0)</f>
        <v>2.4</v>
      </c>
      <c r="D6" s="336" t="str">
        <f t="shared" si="0"/>
        <v>░░░░░░░░░░░░░░░░░░░░ 2%</v>
      </c>
    </row>
    <row r="7" spans="2:4" ht="16.5" x14ac:dyDescent="0.3">
      <c r="B7" s="102"/>
      <c r="C7" s="102"/>
      <c r="D7" s="102"/>
    </row>
    <row r="8" spans="2:4" ht="16.5" x14ac:dyDescent="0.3">
      <c r="B8" s="102"/>
      <c r="C8" s="102"/>
      <c r="D8" s="337" t="s">
        <v>454</v>
      </c>
    </row>
    <row r="9" spans="2:4" ht="16.5" x14ac:dyDescent="0.3">
      <c r="B9" s="102"/>
      <c r="C9" s="102"/>
      <c r="D9" s="337" t="s">
        <v>452</v>
      </c>
    </row>
  </sheetData>
  <phoneticPr fontId="25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A3AC2-E004-4FB6-8580-F4F3630E4323}">
  <sheetPr codeName="Hoja34">
    <outlinePr summaryBelow="0" summaryRight="0"/>
  </sheetPr>
  <dimension ref="A1:R45"/>
  <sheetViews>
    <sheetView showGridLines="0" topLeftCell="A7" zoomScale="80" zoomScaleNormal="80" workbookViewId="0">
      <selection activeCell="P42" sqref="P42"/>
    </sheetView>
  </sheetViews>
  <sheetFormatPr baseColWidth="10" defaultColWidth="11.42578125" defaultRowHeight="15" outlineLevelCol="1" x14ac:dyDescent="0.25"/>
  <cols>
    <col min="1" max="1" width="5.28515625" style="61" bestFit="1" customWidth="1"/>
    <col min="2" max="2" width="29.28515625" style="61" bestFit="1" customWidth="1"/>
    <col min="3" max="3" width="5.42578125" style="61" customWidth="1"/>
    <col min="4" max="4" width="8.7109375" style="61" customWidth="1" outlineLevel="1"/>
    <col min="5" max="5" width="16.28515625" style="61" bestFit="1" customWidth="1"/>
    <col min="6" max="13" width="8.7109375" style="61" customWidth="1"/>
    <col min="14" max="14" width="11.7109375" style="61" bestFit="1" customWidth="1"/>
    <col min="15" max="15" width="20.85546875" style="61" customWidth="1" outlineLevel="1"/>
    <col min="16" max="16" width="13.85546875" style="61" customWidth="1" outlineLevel="1"/>
    <col min="17" max="17" width="12.85546875" style="61" customWidth="1" outlineLevel="1"/>
    <col min="18" max="18" width="10.7109375" style="61" customWidth="1" outlineLevel="1"/>
    <col min="19" max="19" width="5.28515625" style="61" bestFit="1" customWidth="1"/>
    <col min="20" max="27" width="9" style="61" bestFit="1" customWidth="1"/>
    <col min="28" max="34" width="7.140625" style="61" bestFit="1" customWidth="1"/>
    <col min="35" max="35" width="7.140625" style="61" customWidth="1"/>
    <col min="36" max="36" width="7.140625" style="61" bestFit="1" customWidth="1"/>
    <col min="37" max="39" width="11" style="61" bestFit="1" customWidth="1"/>
    <col min="40" max="40" width="7.140625" style="61" bestFit="1" customWidth="1"/>
    <col min="41" max="54" width="12.28515625" style="61" bestFit="1" customWidth="1"/>
    <col min="55" max="55" width="11.28515625" style="61" bestFit="1" customWidth="1"/>
    <col min="56" max="77" width="12.28515625" style="61" bestFit="1" customWidth="1"/>
    <col min="78" max="78" width="5.42578125" style="61" bestFit="1" customWidth="1"/>
    <col min="79" max="79" width="12.42578125" style="61" bestFit="1" customWidth="1"/>
    <col min="80" max="16384" width="11.42578125" style="61"/>
  </cols>
  <sheetData>
    <row r="1" spans="1:18" s="527" customFormat="1" ht="14.25" customHeight="1" x14ac:dyDescent="0.25">
      <c r="A1" s="526"/>
      <c r="B1" s="526"/>
      <c r="C1" s="526"/>
      <c r="D1" s="526"/>
      <c r="E1" s="526"/>
      <c r="F1" s="526" t="s">
        <v>13</v>
      </c>
      <c r="G1" s="526" t="s">
        <v>22</v>
      </c>
      <c r="H1" s="526" t="s">
        <v>329</v>
      </c>
      <c r="I1" s="526" t="s">
        <v>411</v>
      </c>
      <c r="J1" s="526" t="s">
        <v>536</v>
      </c>
      <c r="K1" s="526" t="s">
        <v>561</v>
      </c>
      <c r="L1" s="526" t="s">
        <v>265</v>
      </c>
      <c r="M1" s="527" t="s">
        <v>335</v>
      </c>
    </row>
    <row r="2" spans="1:18" x14ac:dyDescent="0.25">
      <c r="A2"/>
      <c r="B2"/>
      <c r="C2"/>
      <c r="D2"/>
      <c r="E2"/>
      <c r="F2" s="1" t="s">
        <v>180</v>
      </c>
      <c r="G2" s="1" t="s">
        <v>181</v>
      </c>
      <c r="H2" s="1" t="s">
        <v>211</v>
      </c>
      <c r="I2" s="1" t="s">
        <v>352</v>
      </c>
      <c r="J2" s="1" t="s">
        <v>645</v>
      </c>
      <c r="K2" s="1" t="s">
        <v>380</v>
      </c>
      <c r="L2" s="1" t="s">
        <v>272</v>
      </c>
      <c r="M2" s="1" t="s">
        <v>273</v>
      </c>
    </row>
    <row r="3" spans="1:18" x14ac:dyDescent="0.25">
      <c r="A3" s="544">
        <v>1.1000000000000001</v>
      </c>
      <c r="B3" s="532" t="s">
        <v>276</v>
      </c>
      <c r="C3" s="542">
        <f>+_xlfn.XLOOKUP(A3,Catalogo!$B:$B,Catalogo!D:D)</f>
        <v>105</v>
      </c>
      <c r="D3" s="560">
        <f>_xlfn.XLOOKUP(A3,Catalogo!B6:B69,Catalogo!F6:F69)</f>
        <v>2532.81</v>
      </c>
      <c r="E3" s="542" t="s">
        <v>97</v>
      </c>
      <c r="F3" s="116">
        <f>+SUMIFS(Tabla1[Avance_Med],Tabla1[nombre_actividad],'EV (4)'!$B3,Tabla1[Sistema],'EV (4)'!F$1)</f>
        <v>37</v>
      </c>
      <c r="G3" s="33">
        <f>+SUMIFS(Tabla1[Avance_Med],Tabla1[nombre_actividad],'EV (4)'!$B3,Tabla1[Sistema],'EV (4)'!G$1)</f>
        <v>17</v>
      </c>
      <c r="H3" s="33">
        <f>+SUMIFS(Tabla1[Avance_Med],Tabla1[nombre_actividad],'EV (4)'!$B3,Tabla1[Sistema],'EV (4)'!H$1)</f>
        <v>40</v>
      </c>
      <c r="I3" s="33">
        <f>+SUMIFS(Tabla1[Avance_Med],Tabla1[nombre_actividad],'EV (4)'!$B3,Tabla1[Sistema],'EV (4)'!I$1)</f>
        <v>4</v>
      </c>
      <c r="J3" s="33">
        <f>+SUMIFS(Tabla1[Avance_Med],Tabla1[nombre_actividad],'EV (4)'!$B3,Tabla1[Sistema],'EV (4)'!J$1)</f>
        <v>0</v>
      </c>
      <c r="K3" s="33">
        <f>+SUMIFS(Tabla1[Avance_Med],Tabla1[nombre_actividad],'EV (4)'!$B3,Tabla1[Sistema],'EV (4)'!K$1)</f>
        <v>13</v>
      </c>
      <c r="L3" s="33">
        <f>+SUMIFS(Tabla1[Avance_Med],Tabla1[nombre_actividad],'EV (4)'!$B3,Tabla1[Sistema],'EV (4)'!L$1)</f>
        <v>3</v>
      </c>
      <c r="M3" s="33">
        <f>+SUMIFS(Tabla1[Avance_Med],Tabla1[nombre_actividad],'EV (4)'!$B3,Tabla1[Sistema],'EV (4)'!M$1)</f>
        <v>2</v>
      </c>
      <c r="N3" s="538">
        <f>IF(SUM(F3:M3)=0,"",SUM(F3:M3))</f>
        <v>116</v>
      </c>
      <c r="O3" s="536">
        <f>IF(N3&lt;&gt;"",_xlfn.XLOOKUP(A3,Catalogo!B6:B69,Catalogo!F6:F69)*N3,"")</f>
        <v>293805.96000000002</v>
      </c>
      <c r="P3" s="553">
        <f>IFERROR($N3/$C3,"")</f>
        <v>1.1047619047619048</v>
      </c>
      <c r="Q3" s="554">
        <f>IFERROR(1-P3,"")</f>
        <v>-0.10476190476190483</v>
      </c>
      <c r="R3" s="555"/>
    </row>
    <row r="4" spans="1:18" x14ac:dyDescent="0.25">
      <c r="A4" s="544">
        <v>1.2</v>
      </c>
      <c r="B4" s="532" t="s">
        <v>278</v>
      </c>
      <c r="C4" s="542">
        <f>+_xlfn.XLOOKUP(A4,Catalogo!$B:$B,Catalogo!D:D)</f>
        <v>105</v>
      </c>
      <c r="D4" s="560">
        <f>_xlfn.XLOOKUP(A4,Catalogo!B7:B70,Catalogo!F7:F70)</f>
        <v>3250.01</v>
      </c>
      <c r="E4" s="542" t="s">
        <v>97</v>
      </c>
      <c r="F4" s="116">
        <f>+SUMIFS(Tabla1[Avance_Med],Tabla1[nombre_actividad],'EV (4)'!$B4,Tabla1[Sistema],'EV (4)'!F$1)</f>
        <v>37</v>
      </c>
      <c r="G4" s="33">
        <f>+SUMIFS(Tabla1[Avance_Med],Tabla1[nombre_actividad],'EV (4)'!$B4,Tabla1[Sistema],'EV (4)'!G$1)</f>
        <v>17</v>
      </c>
      <c r="H4" s="33">
        <f>+SUMIFS(Tabla1[Avance_Med],Tabla1[nombre_actividad],'EV (4)'!$B4,Tabla1[Sistema],'EV (4)'!H$1)</f>
        <v>40</v>
      </c>
      <c r="I4" s="33">
        <f>+SUMIFS(Tabla1[Avance_Med],Tabla1[nombre_actividad],'EV (4)'!$B4,Tabla1[Sistema],'EV (4)'!I$1)</f>
        <v>4</v>
      </c>
      <c r="J4" s="33">
        <f>+SUMIFS(Tabla1[Avance_Med],Tabla1[nombre_actividad],'EV (4)'!$B4,Tabla1[Sistema],'EV (4)'!J$1)</f>
        <v>0</v>
      </c>
      <c r="K4" s="33">
        <f>+SUMIFS(Tabla1[Avance_Med],Tabla1[nombre_actividad],'EV (4)'!$B4,Tabla1[Sistema],'EV (4)'!K$1)</f>
        <v>13</v>
      </c>
      <c r="L4" s="33">
        <f>+SUMIFS(Tabla1[Avance_Med],Tabla1[nombre_actividad],'EV (4)'!$B4,Tabla1[Sistema],'EV (4)'!L$1)</f>
        <v>3</v>
      </c>
      <c r="M4" s="33">
        <f>+SUMIFS(Tabla1[Avance_Med],Tabla1[nombre_actividad],'EV (4)'!$B4,Tabla1[Sistema],'EV (4)'!M$1)</f>
        <v>2</v>
      </c>
      <c r="N4" s="538">
        <f t="shared" ref="N4:N40" si="0">IF(SUM(F4:M4)=0,"",SUM(F4:M4))</f>
        <v>116</v>
      </c>
      <c r="O4" s="536">
        <f>IF(N4&lt;&gt;"",_xlfn.XLOOKUP(A4,Catalogo!B7:B70,Catalogo!F7:F70)*N4,"")</f>
        <v>377001.16000000003</v>
      </c>
      <c r="P4" s="553">
        <f t="shared" ref="P4:P40" si="1">IFERROR($N4/$C4,"")</f>
        <v>1.1047619047619048</v>
      </c>
      <c r="Q4" s="554">
        <f t="shared" ref="Q4:Q40" si="2">IFERROR(1-P4,"")</f>
        <v>-0.10476190476190483</v>
      </c>
      <c r="R4" s="555"/>
    </row>
    <row r="5" spans="1:18" x14ac:dyDescent="0.25">
      <c r="A5" s="544">
        <v>1.3</v>
      </c>
      <c r="B5" s="532" t="s">
        <v>280</v>
      </c>
      <c r="C5" s="542">
        <f>+_xlfn.XLOOKUP(A5,Catalogo!$B:$B,Catalogo!D:D)</f>
        <v>105</v>
      </c>
      <c r="D5" s="560">
        <f>_xlfn.XLOOKUP(A5,Catalogo!B8:B71,Catalogo!F8:F71)</f>
        <v>985.32</v>
      </c>
      <c r="E5" s="542" t="s">
        <v>97</v>
      </c>
      <c r="F5" s="116">
        <f>+SUMIFS(Tabla1[Avance_Med],Tabla1[nombre_actividad],'EV (4)'!$B5,Tabla1[Sistema],'EV (4)'!F$1)</f>
        <v>37</v>
      </c>
      <c r="G5" s="33">
        <f>+SUMIFS(Tabla1[Avance_Med],Tabla1[nombre_actividad],'EV (4)'!$B5,Tabla1[Sistema],'EV (4)'!G$1)</f>
        <v>17</v>
      </c>
      <c r="H5" s="33">
        <f>+SUMIFS(Tabla1[Avance_Med],Tabla1[nombre_actividad],'EV (4)'!$B5,Tabla1[Sistema],'EV (4)'!H$1)</f>
        <v>40</v>
      </c>
      <c r="I5" s="33">
        <f>+SUMIFS(Tabla1[Avance_Med],Tabla1[nombre_actividad],'EV (4)'!$B5,Tabla1[Sistema],'EV (4)'!I$1)</f>
        <v>4</v>
      </c>
      <c r="J5" s="33">
        <f>+SUMIFS(Tabla1[Avance_Med],Tabla1[nombre_actividad],'EV (4)'!$B5,Tabla1[Sistema],'EV (4)'!J$1)</f>
        <v>0</v>
      </c>
      <c r="K5" s="33">
        <f>+SUMIFS(Tabla1[Avance_Med],Tabla1[nombre_actividad],'EV (4)'!$B5,Tabla1[Sistema],'EV (4)'!K$1)</f>
        <v>13</v>
      </c>
      <c r="L5" s="33">
        <f>+SUMIFS(Tabla1[Avance_Med],Tabla1[nombre_actividad],'EV (4)'!$B5,Tabla1[Sistema],'EV (4)'!L$1)</f>
        <v>3</v>
      </c>
      <c r="M5" s="33">
        <f>+SUMIFS(Tabla1[Avance_Med],Tabla1[nombre_actividad],'EV (4)'!$B5,Tabla1[Sistema],'EV (4)'!M$1)</f>
        <v>2</v>
      </c>
      <c r="N5" s="538">
        <f t="shared" si="0"/>
        <v>116</v>
      </c>
      <c r="O5" s="536">
        <f>IF(N5&lt;&gt;"",_xlfn.XLOOKUP(A5,Catalogo!B8:B71,Catalogo!F8:F71)*N5,"")</f>
        <v>114297.12000000001</v>
      </c>
      <c r="P5" s="553">
        <f t="shared" si="1"/>
        <v>1.1047619047619048</v>
      </c>
      <c r="Q5" s="554">
        <f t="shared" si="2"/>
        <v>-0.10476190476190483</v>
      </c>
      <c r="R5" s="555"/>
    </row>
    <row r="6" spans="1:18" x14ac:dyDescent="0.25">
      <c r="A6" s="544">
        <v>1.4</v>
      </c>
      <c r="B6" s="532" t="s">
        <v>282</v>
      </c>
      <c r="C6" s="542">
        <f>+_xlfn.XLOOKUP(A6,Catalogo!$B:$B,Catalogo!D:D)</f>
        <v>105</v>
      </c>
      <c r="D6" s="560">
        <f>_xlfn.XLOOKUP(A6,Catalogo!B9:B72,Catalogo!F9:F72)</f>
        <v>1062.92</v>
      </c>
      <c r="E6" s="542" t="s">
        <v>97</v>
      </c>
      <c r="F6" s="116">
        <f>+SUMIFS(Tabla1[Avance_Med],Tabla1[nombre_actividad],'EV (4)'!$B6,Tabla1[Sistema],'EV (4)'!F$1)</f>
        <v>37</v>
      </c>
      <c r="G6" s="33">
        <f>+SUMIFS(Tabla1[Avance_Med],Tabla1[nombre_actividad],'EV (4)'!$B6,Tabla1[Sistema],'EV (4)'!G$1)</f>
        <v>17</v>
      </c>
      <c r="H6" s="33">
        <f>+SUMIFS(Tabla1[Avance_Med],Tabla1[nombre_actividad],'EV (4)'!$B6,Tabla1[Sistema],'EV (4)'!H$1)</f>
        <v>40</v>
      </c>
      <c r="I6" s="33">
        <f>+SUMIFS(Tabla1[Avance_Med],Tabla1[nombre_actividad],'EV (4)'!$B6,Tabla1[Sistema],'EV (4)'!I$1)</f>
        <v>4</v>
      </c>
      <c r="J6" s="33">
        <f>+SUMIFS(Tabla1[Avance_Med],Tabla1[nombre_actividad],'EV (4)'!$B6,Tabla1[Sistema],'EV (4)'!J$1)</f>
        <v>0</v>
      </c>
      <c r="K6" s="33">
        <f>+SUMIFS(Tabla1[Avance_Med],Tabla1[nombre_actividad],'EV (4)'!$B6,Tabla1[Sistema],'EV (4)'!K$1)</f>
        <v>13</v>
      </c>
      <c r="L6" s="33">
        <f>+SUMIFS(Tabla1[Avance_Med],Tabla1[nombre_actividad],'EV (4)'!$B6,Tabla1[Sistema],'EV (4)'!L$1)</f>
        <v>3</v>
      </c>
      <c r="M6" s="33">
        <f>+SUMIFS(Tabla1[Avance_Med],Tabla1[nombre_actividad],'EV (4)'!$B6,Tabla1[Sistema],'EV (4)'!M$1)</f>
        <v>2</v>
      </c>
      <c r="N6" s="538">
        <f t="shared" si="0"/>
        <v>116</v>
      </c>
      <c r="O6" s="536">
        <f>IF(N6&lt;&gt;"",_xlfn.XLOOKUP(A6,Catalogo!B9:B72,Catalogo!F9:F72)*N6,"")</f>
        <v>123298.72</v>
      </c>
      <c r="P6" s="553">
        <f t="shared" si="1"/>
        <v>1.1047619047619048</v>
      </c>
      <c r="Q6" s="554">
        <f t="shared" si="2"/>
        <v>-0.10476190476190483</v>
      </c>
      <c r="R6" s="555"/>
    </row>
    <row r="7" spans="1:18" x14ac:dyDescent="0.25">
      <c r="A7" s="544">
        <v>1.5</v>
      </c>
      <c r="B7" s="532" t="s">
        <v>284</v>
      </c>
      <c r="C7" s="542">
        <f>+_xlfn.XLOOKUP(A7,Catalogo!$B:$B,Catalogo!D:D)</f>
        <v>105</v>
      </c>
      <c r="D7" s="560">
        <f>_xlfn.XLOOKUP(A7,Catalogo!B10:B73,Catalogo!F10:F73)</f>
        <v>1337.25</v>
      </c>
      <c r="E7" s="542" t="s">
        <v>97</v>
      </c>
      <c r="F7" s="116">
        <f>+SUMIFS(Tabla1[Avance_Med],Tabla1[nombre_actividad],'EV (4)'!$B7,Tabla1[Sistema],'EV (4)'!F$1)</f>
        <v>37</v>
      </c>
      <c r="G7" s="33">
        <f>+SUMIFS(Tabla1[Avance_Med],Tabla1[nombre_actividad],'EV (4)'!$B7,Tabla1[Sistema],'EV (4)'!G$1)</f>
        <v>17</v>
      </c>
      <c r="H7" s="33">
        <f>+SUMIFS(Tabla1[Avance_Med],Tabla1[nombre_actividad],'EV (4)'!$B7,Tabla1[Sistema],'EV (4)'!H$1)</f>
        <v>40</v>
      </c>
      <c r="I7" s="33">
        <f>+SUMIFS(Tabla1[Avance_Med],Tabla1[nombre_actividad],'EV (4)'!$B7,Tabla1[Sistema],'EV (4)'!I$1)</f>
        <v>4</v>
      </c>
      <c r="J7" s="33">
        <f>+SUMIFS(Tabla1[Avance_Med],Tabla1[nombre_actividad],'EV (4)'!$B7,Tabla1[Sistema],'EV (4)'!J$1)</f>
        <v>0</v>
      </c>
      <c r="K7" s="33">
        <f>+SUMIFS(Tabla1[Avance_Med],Tabla1[nombre_actividad],'EV (4)'!$B7,Tabla1[Sistema],'EV (4)'!K$1)</f>
        <v>13</v>
      </c>
      <c r="L7" s="33">
        <f>+SUMIFS(Tabla1[Avance_Med],Tabla1[nombre_actividad],'EV (4)'!$B7,Tabla1[Sistema],'EV (4)'!L$1)</f>
        <v>3</v>
      </c>
      <c r="M7" s="33">
        <f>+SUMIFS(Tabla1[Avance_Med],Tabla1[nombre_actividad],'EV (4)'!$B7,Tabla1[Sistema],'EV (4)'!M$1)</f>
        <v>2</v>
      </c>
      <c r="N7" s="538">
        <f t="shared" si="0"/>
        <v>116</v>
      </c>
      <c r="O7" s="536">
        <f>IF(N7&lt;&gt;"",_xlfn.XLOOKUP(A7,Catalogo!B10:B73,Catalogo!F10:F73)*N7,"")</f>
        <v>155121</v>
      </c>
      <c r="P7" s="553">
        <f t="shared" si="1"/>
        <v>1.1047619047619048</v>
      </c>
      <c r="Q7" s="554">
        <f t="shared" si="2"/>
        <v>-0.10476190476190483</v>
      </c>
      <c r="R7" s="555"/>
    </row>
    <row r="8" spans="1:18" x14ac:dyDescent="0.25">
      <c r="A8" s="544">
        <v>1.6</v>
      </c>
      <c r="B8" s="532" t="s">
        <v>286</v>
      </c>
      <c r="C8" s="542">
        <f>+_xlfn.XLOOKUP(A8,Catalogo!$B:$B,Catalogo!D:D)</f>
        <v>105</v>
      </c>
      <c r="D8" s="560">
        <f>_xlfn.XLOOKUP(A8,Catalogo!B11:B74,Catalogo!F11:F74)</f>
        <v>1581.21</v>
      </c>
      <c r="E8" s="542" t="s">
        <v>97</v>
      </c>
      <c r="F8" s="116">
        <f>+SUMIFS(Tabla1[Avance_Med],Tabla1[nombre_actividad],'EV (4)'!$B8,Tabla1[Sistema],'EV (4)'!F$1)</f>
        <v>37</v>
      </c>
      <c r="G8" s="33">
        <f>+SUMIFS(Tabla1[Avance_Med],Tabla1[nombre_actividad],'EV (4)'!$B8,Tabla1[Sistema],'EV (4)'!G$1)</f>
        <v>17</v>
      </c>
      <c r="H8" s="33">
        <f>+SUMIFS(Tabla1[Avance_Med],Tabla1[nombre_actividad],'EV (4)'!$B8,Tabla1[Sistema],'EV (4)'!H$1)</f>
        <v>40</v>
      </c>
      <c r="I8" s="33">
        <f>+SUMIFS(Tabla1[Avance_Med],Tabla1[nombre_actividad],'EV (4)'!$B8,Tabla1[Sistema],'EV (4)'!I$1)</f>
        <v>4</v>
      </c>
      <c r="J8" s="33">
        <f>+SUMIFS(Tabla1[Avance_Med],Tabla1[nombre_actividad],'EV (4)'!$B8,Tabla1[Sistema],'EV (4)'!J$1)</f>
        <v>0</v>
      </c>
      <c r="K8" s="33">
        <f>+SUMIFS(Tabla1[Avance_Med],Tabla1[nombre_actividad],'EV (4)'!$B8,Tabla1[Sistema],'EV (4)'!K$1)</f>
        <v>13</v>
      </c>
      <c r="L8" s="33">
        <f>+SUMIFS(Tabla1[Avance_Med],Tabla1[nombre_actividad],'EV (4)'!$B8,Tabla1[Sistema],'EV (4)'!L$1)</f>
        <v>3</v>
      </c>
      <c r="M8" s="33">
        <f>+SUMIFS(Tabla1[Avance_Med],Tabla1[nombre_actividad],'EV (4)'!$B8,Tabla1[Sistema],'EV (4)'!M$1)</f>
        <v>2</v>
      </c>
      <c r="N8" s="538">
        <f t="shared" si="0"/>
        <v>116</v>
      </c>
      <c r="O8" s="536">
        <f>IF(N8&lt;&gt;"",_xlfn.XLOOKUP(A8,Catalogo!B11:B74,Catalogo!F11:F74)*N8,"")</f>
        <v>183420.36000000002</v>
      </c>
      <c r="P8" s="553">
        <f t="shared" si="1"/>
        <v>1.1047619047619048</v>
      </c>
      <c r="Q8" s="554">
        <f t="shared" si="2"/>
        <v>-0.10476190476190483</v>
      </c>
      <c r="R8" s="555"/>
    </row>
    <row r="9" spans="1:18" x14ac:dyDescent="0.25">
      <c r="A9" s="545">
        <v>2.1</v>
      </c>
      <c r="B9" s="533" t="s">
        <v>79</v>
      </c>
      <c r="C9" s="542">
        <f>+_xlfn.XLOOKUP(A9,Catalogo!$B:$B,Catalogo!D:D)</f>
        <v>200</v>
      </c>
      <c r="D9" s="560">
        <f>_xlfn.XLOOKUP(A9,Catalogo!B12:B75,Catalogo!F12:F75)</f>
        <v>14521.41</v>
      </c>
      <c r="E9" s="542" t="s">
        <v>108</v>
      </c>
      <c r="F9" s="116">
        <f>+SUMIFS(Tabla1[Avance_km],Tabla1[nombre_actividad],'EV (4)'!$B9,Tabla1[Sistema],'EV (4)'!F$1)</f>
        <v>66.918000000000006</v>
      </c>
      <c r="G9" s="33">
        <f>+SUMIFS(Tabla1[Avance_km],Tabla1[nombre_actividad],'EV (4)'!$B9,Tabla1[Sistema],'EV (4)'!G$1)</f>
        <v>32.987999999999992</v>
      </c>
      <c r="H9" s="110">
        <f>+SUMIFS(Tabla1[Avance_km],Tabla1[nombre_actividad],'EV (4)'!$B9,Tabla1[Sistema],'EV (4)'!H$1)</f>
        <v>44.520000000000017</v>
      </c>
      <c r="I9" s="33">
        <f>+SUMIFS(Tabla1[Avance_km],Tabla1[nombre_actividad],'EV (4)'!$B9,Tabla1[Sistema],'EV (4)'!I$1)</f>
        <v>35.875</v>
      </c>
      <c r="J9" s="33">
        <f>+SUMIFS(Tabla1[Avance_km],Tabla1[nombre_actividad],'EV (4)'!$B9,Tabla1[Sistema],'EV (4)'!J$1)</f>
        <v>0</v>
      </c>
      <c r="K9" s="33">
        <f>+SUMIFS(Tabla1[Avance_km],Tabla1[nombre_actividad],'EV (4)'!$B9,Tabla1[Sistema],'EV (4)'!K$1)</f>
        <v>1.6244999999999998</v>
      </c>
      <c r="L9" s="33">
        <f>+SUMIFS(Tabla1[Avance_km],Tabla1[nombre_actividad],'EV (4)'!$B9,Tabla1[Sistema],'EV (4)'!L$1)</f>
        <v>0</v>
      </c>
      <c r="M9" s="33">
        <f>+SUMIFS(Tabla1[Avance_km],Tabla1[nombre_actividad],'EV (4)'!$B9,Tabla1[Sistema],'EV (4)'!M$1)</f>
        <v>0</v>
      </c>
      <c r="N9" s="539">
        <f t="shared" si="0"/>
        <v>181.92550000000003</v>
      </c>
      <c r="O9" s="536">
        <f>IF(N9&lt;&gt;"",_xlfn.XLOOKUP(A9,Catalogo!B12:B75,Catalogo!F12:F75)*N9,"")</f>
        <v>2641814.7749550003</v>
      </c>
      <c r="P9" s="553">
        <f t="shared" si="1"/>
        <v>0.90962750000000014</v>
      </c>
      <c r="Q9" s="554">
        <f t="shared" si="2"/>
        <v>9.0372499999999856E-2</v>
      </c>
      <c r="R9" s="563">
        <f>+Q9*C9</f>
        <v>18.074499999999972</v>
      </c>
    </row>
    <row r="10" spans="1:18" x14ac:dyDescent="0.25">
      <c r="A10" s="545">
        <v>2.2000000000000002</v>
      </c>
      <c r="B10" s="533" t="s">
        <v>82</v>
      </c>
      <c r="C10" s="542">
        <f>+_xlfn.XLOOKUP(A10,Catalogo!$B:$B,Catalogo!D:D)</f>
        <v>200</v>
      </c>
      <c r="D10" s="560">
        <f>_xlfn.XLOOKUP(A10,Catalogo!B13:B76,Catalogo!F13:F76)</f>
        <v>13555.63</v>
      </c>
      <c r="E10" s="542" t="s">
        <v>108</v>
      </c>
      <c r="F10" s="140">
        <f>+SUMIFS(Tabla1[Avance_km],Tabla1[nombre_actividad],'EV (4)'!$B10,Tabla1[Sistema],'EV (4)'!F$1)</f>
        <v>0</v>
      </c>
      <c r="G10" s="531">
        <f>+SUMIFS(Tabla1[Avance_km],Tabla1[nombre_actividad],'EV (4)'!$B10,Tabla1[Sistema],'EV (4)'!G$1)</f>
        <v>0</v>
      </c>
      <c r="H10" s="531">
        <f>+SUMIFS(Tabla1[Avance_km],Tabla1[nombre_actividad],'EV (4)'!$B10,Tabla1[Sistema],'EV (4)'!H$1)</f>
        <v>0</v>
      </c>
      <c r="I10" s="531">
        <f>+SUMIFS(Tabla1[Avance_km],Tabla1[nombre_actividad],'EV (4)'!$B10,Tabla1[Sistema],'EV (4)'!I$1)</f>
        <v>0</v>
      </c>
      <c r="J10" s="531">
        <f>+SUMIFS(Tabla1[Avance_km],Tabla1[nombre_actividad],'EV (4)'!$B10,Tabla1[Sistema],'EV (4)'!J$1)</f>
        <v>0</v>
      </c>
      <c r="K10" s="531">
        <f>+SUMIFS(Tabla1[Avance_km],Tabla1[nombre_actividad],'EV (4)'!$B10,Tabla1[Sistema],'EV (4)'!K$1)</f>
        <v>0</v>
      </c>
      <c r="L10" s="531">
        <f>+SUMIFS(Tabla1[Avance_km],Tabla1[nombre_actividad],'EV (4)'!$B10,Tabla1[Sistema],'EV (4)'!L$1)</f>
        <v>0</v>
      </c>
      <c r="M10" s="531">
        <f>+SUMIFS(Tabla1[Avance_km],Tabla1[nombre_actividad],'EV (4)'!$B10,Tabla1[Sistema],'EV (4)'!M$1)</f>
        <v>0</v>
      </c>
      <c r="N10" s="538" t="str">
        <f t="shared" si="0"/>
        <v/>
      </c>
      <c r="O10" s="536" t="str">
        <f>IF(N10&lt;&gt;"",_xlfn.XLOOKUP(A10,Catalogo!B13:B76,Catalogo!F13:F76)*N10,"")</f>
        <v/>
      </c>
      <c r="P10" s="553" t="str">
        <f t="shared" si="1"/>
        <v/>
      </c>
      <c r="Q10" s="554" t="str">
        <f t="shared" si="2"/>
        <v/>
      </c>
      <c r="R10" s="555"/>
    </row>
    <row r="11" spans="1:18" x14ac:dyDescent="0.25">
      <c r="A11" s="545">
        <v>2.2999999999999998</v>
      </c>
      <c r="B11" s="533" t="s">
        <v>80</v>
      </c>
      <c r="C11" s="542">
        <f>+_xlfn.XLOOKUP(A11,Catalogo!$B:$B,Catalogo!D:D)</f>
        <v>200</v>
      </c>
      <c r="D11" s="560">
        <f>_xlfn.XLOOKUP(A11,Catalogo!B14:B77,Catalogo!F14:F77)</f>
        <v>13555.63</v>
      </c>
      <c r="E11" s="542" t="s">
        <v>108</v>
      </c>
      <c r="F11" s="116">
        <f>+SUMIFS(Tabla1[Avance_km],Tabla1[nombre_actividad],'EV (4)'!$B11,Tabla1[Sistema],'EV (4)'!F$1)</f>
        <v>66.918000000000021</v>
      </c>
      <c r="G11" s="33">
        <f>+SUMIFS(Tabla1[Avance_km],Tabla1[nombre_actividad],'EV (4)'!$B11,Tabla1[Sistema],'EV (4)'!G$1)</f>
        <v>32.988</v>
      </c>
      <c r="H11" s="33">
        <f>+SUMIFS(Tabla1[Avance_km],Tabla1[nombre_actividad],'EV (4)'!$B11,Tabla1[Sistema],'EV (4)'!H$1, Tabla1[Avance_km],"&gt;0")</f>
        <v>45.672000000000004</v>
      </c>
      <c r="I11" s="33">
        <f>+SUMIFS(Tabla1[Avance_km],Tabla1[nombre_actividad],'EV (4)'!$B11,Tabla1[Sistema],'EV (4)'!I$1)</f>
        <v>3.1219999999999999</v>
      </c>
      <c r="J11" s="33">
        <f>+SUMIFS(Tabla1[Avance_km],Tabla1[nombre_actividad],'EV (4)'!$B11,Tabla1[Sistema],'EV (4)'!J$1)</f>
        <v>0</v>
      </c>
      <c r="K11" s="33">
        <f>+SUMIFS(Tabla1[Avance_km],Tabla1[nombre_actividad],'EV (4)'!$B11,Tabla1[Sistema],'EV (4)'!K$1)</f>
        <v>1.6244999999999994</v>
      </c>
      <c r="L11" s="33">
        <f>+SUMIFS(Tabla1[Avance_km],Tabla1[nombre_actividad],'EV (4)'!$B11,Tabla1[Sistema],'EV (4)'!L$1)</f>
        <v>0</v>
      </c>
      <c r="M11" s="33">
        <f>+SUMIFS(Tabla1[Avance_km],Tabla1[nombre_actividad],'EV (4)'!$B11,Tabla1[Sistema],'EV (4)'!M$1)</f>
        <v>0</v>
      </c>
      <c r="N11" s="539">
        <f t="shared" si="0"/>
        <v>150.32450000000006</v>
      </c>
      <c r="O11" s="536">
        <f>IF(N11&lt;&gt;"",_xlfn.XLOOKUP(A11,Catalogo!B14:B77,Catalogo!F14:F77)*N11,"")</f>
        <v>2037743.3019350006</v>
      </c>
      <c r="P11" s="553">
        <f t="shared" si="1"/>
        <v>0.7516225000000003</v>
      </c>
      <c r="Q11" s="554">
        <f t="shared" si="2"/>
        <v>0.2483774999999997</v>
      </c>
      <c r="R11" s="563">
        <f>+Q11*C11</f>
        <v>49.675499999999943</v>
      </c>
    </row>
    <row r="12" spans="1:18" x14ac:dyDescent="0.25">
      <c r="A12" s="545">
        <v>2.4</v>
      </c>
      <c r="B12" s="533" t="s">
        <v>83</v>
      </c>
      <c r="C12" s="542">
        <f>+_xlfn.XLOOKUP(A12,Catalogo!$B:$B,Catalogo!D:D)</f>
        <v>200</v>
      </c>
      <c r="D12" s="560">
        <f>_xlfn.XLOOKUP(A12,Catalogo!B15:B78,Catalogo!F15:F78)</f>
        <v>13696.28</v>
      </c>
      <c r="E12" s="542" t="s">
        <v>108</v>
      </c>
      <c r="F12" s="529">
        <f>+SUMIFS(Tabla1[Avance_km],Tabla1[nombre_actividad],'EV (4)'!$B12,Tabla1[Sistema],'EV (4)'!F$1)</f>
        <v>29.102218996691072</v>
      </c>
      <c r="G12" s="530">
        <f>+SUMIFS(Tabla1[Avance_km],Tabla1[nombre_actividad],'EV (4)'!$B12,Tabla1[Sistema],'EV (4)'!G$1)</f>
        <v>37.310192256583534</v>
      </c>
      <c r="H12" s="530">
        <f>+SUMIFS(Tabla1[Avance_km],Tabla1[nombre_actividad],'EV (4)'!$B12,Tabla1[Sistema],'EV (4)'!H$1)</f>
        <v>14.957218310373324</v>
      </c>
      <c r="I12" s="530">
        <f>+SUMIFS(Tabla1[Avance_km],Tabla1[nombre_actividad],'EV (4)'!$B12,Tabla1[Sistema],'EV (4)'!I$1)</f>
        <v>9.5038776952573976</v>
      </c>
      <c r="J12" s="530">
        <f>+SUMIFS(Tabla1[Avance_km],Tabla1[nombre_actividad],'EV (4)'!$B12,Tabla1[Sistema],'EV (4)'!J$1)</f>
        <v>26.242087632554234</v>
      </c>
      <c r="K12" s="530">
        <f>+SUMIFS(Tabla1[Avance_km],Tabla1[nombre_actividad],'EV (4)'!$B12,Tabla1[Sistema],'EV (4)'!K$1)</f>
        <v>1.676084309024056</v>
      </c>
      <c r="L12" s="531">
        <f>+SUMIFS(Tabla1[Avance_km],Tabla1[nombre_actividad],'EV (4)'!$B12,Tabla1[Sistema],'EV (4)'!L$1)</f>
        <v>0</v>
      </c>
      <c r="M12" s="531">
        <f>+SUMIFS(Tabla1[Avance_km],Tabla1[nombre_actividad],'EV (4)'!$B12,Tabla1[Sistema],'EV (4)'!M$1)</f>
        <v>0</v>
      </c>
      <c r="N12" s="539">
        <f t="shared" si="0"/>
        <v>118.79167920048361</v>
      </c>
      <c r="O12" s="536">
        <f>IF(N12&lt;&gt;"",_xlfn.XLOOKUP(A12,Catalogo!B15:B78,Catalogo!F15:F78)*N12,"")</f>
        <v>1627004.0999999999</v>
      </c>
      <c r="P12" s="553">
        <f t="shared" si="1"/>
        <v>0.59395839600241807</v>
      </c>
      <c r="Q12" s="554">
        <f t="shared" si="2"/>
        <v>0.40604160399758193</v>
      </c>
      <c r="R12" s="563"/>
    </row>
    <row r="13" spans="1:18" x14ac:dyDescent="0.25">
      <c r="A13" s="546">
        <v>2.5</v>
      </c>
      <c r="B13" s="533" t="s">
        <v>81</v>
      </c>
      <c r="C13" s="542">
        <f>+_xlfn.XLOOKUP(A13,Catalogo!$B:$B,Catalogo!D:D)</f>
        <v>500</v>
      </c>
      <c r="D13" s="560">
        <f>_xlfn.XLOOKUP(A13,Catalogo!B16:B79,Catalogo!F16:F79)</f>
        <v>4658</v>
      </c>
      <c r="E13" s="542" t="s">
        <v>113</v>
      </c>
      <c r="F13" s="116">
        <f>+SUMIFS(Tabla1[Avance_Med],Tabla1[nombre_actividad],'EV (4)'!$B13,Tabla1[Sistema],'EV (4)'!F$1)</f>
        <v>156</v>
      </c>
      <c r="G13" s="116">
        <f>+SUMIFS(Tabla1[Avance_Med],Tabla1[nombre_actividad],'EV (4)'!$B13,Tabla1[Sistema],'EV (4)'!G$1)</f>
        <v>73</v>
      </c>
      <c r="H13" s="116">
        <f>+SUMIFS(Tabla1[Avance_Med],Tabla1[nombre_actividad],'EV (4)'!$B13,Tabla1[Sistema],'EV (4)'!H$1)</f>
        <v>129</v>
      </c>
      <c r="I13" s="116">
        <f>+SUMIFS(Tabla1[Avance_Med],Tabla1[nombre_actividad],'EV (4)'!$B13,Tabla1[Sistema],'EV (4)'!I$1)</f>
        <v>10</v>
      </c>
      <c r="J13" s="116">
        <f>+SUMIFS(Tabla1[Avance_Med],Tabla1[nombre_actividad],'EV (4)'!$B13,Tabla1[Sistema],'EV (4)'!J$1)</f>
        <v>0</v>
      </c>
      <c r="K13" s="116">
        <f>+SUMIFS(Tabla1[Avance_Med],Tabla1[nombre_actividad],'EV (4)'!$B13,Tabla1[Sistema],'EV (4)'!K$1)</f>
        <v>14</v>
      </c>
      <c r="L13" s="116">
        <f>+SUMIFS(Tabla1[Avance_Med],Tabla1[nombre_actividad],'EV (4)'!$B13,Tabla1[Sistema],'EV (4)'!L$1)</f>
        <v>5</v>
      </c>
      <c r="M13" s="116">
        <f>+SUMIFS(Tabla1[Avance_Med],Tabla1[nombre_actividad],'EV (4)'!$B13,Tabla1[Sistema],'EV (4)'!M$1)</f>
        <v>9</v>
      </c>
      <c r="N13" s="538">
        <f t="shared" si="0"/>
        <v>396</v>
      </c>
      <c r="O13" s="536">
        <f>IF(N13&lt;&gt;"",_xlfn.XLOOKUP(A13,Catalogo!B16:B79,Catalogo!F16:F79)*N13,"")</f>
        <v>1844568</v>
      </c>
      <c r="P13" s="553">
        <f t="shared" si="1"/>
        <v>0.79200000000000004</v>
      </c>
      <c r="Q13" s="554">
        <f t="shared" si="2"/>
        <v>0.20799999999999996</v>
      </c>
      <c r="R13" s="555"/>
    </row>
    <row r="14" spans="1:18" x14ac:dyDescent="0.25">
      <c r="A14" s="545">
        <v>2.6</v>
      </c>
      <c r="B14" s="533" t="s">
        <v>78</v>
      </c>
      <c r="C14" s="542">
        <f>+_xlfn.XLOOKUP(A14,Catalogo!$B:$B,Catalogo!D:D)</f>
        <v>200</v>
      </c>
      <c r="D14" s="560">
        <f>_xlfn.XLOOKUP(A14,Catalogo!B17:B80,Catalogo!F17:F80)</f>
        <v>2257.42</v>
      </c>
      <c r="E14" s="542" t="s">
        <v>108</v>
      </c>
      <c r="F14" s="116">
        <f>+SUMIFS(Tabla1[Avance_km],Tabla1[nombre_actividad],'EV (4)'!$B14,Tabla1[Sistema],'EV (4)'!F$1)</f>
        <v>66.918000000000006</v>
      </c>
      <c r="G14" s="33">
        <f>+SUMIFS(Tabla1[Avance_km],Tabla1[nombre_actividad],'EV (4)'!$B14,Tabla1[Sistema],'EV (4)'!G$1)</f>
        <v>32.988000000000007</v>
      </c>
      <c r="H14" s="33">
        <f>+SUMIFS(Tabla1[Avance_km],Tabla1[nombre_actividad],'EV (4)'!$B14,Tabla1[Sistema],'EV (4)'!H$1)</f>
        <v>45.014000000000003</v>
      </c>
      <c r="I14" s="33">
        <f>+SUMIFS(Tabla1[Avance_km],Tabla1[nombre_actividad],'EV (4)'!$B14,Tabla1[Sistema],'EV (4)'!I$1)</f>
        <v>35.341000000000001</v>
      </c>
      <c r="J14" s="33">
        <f>+SUMIFS(Tabla1[Avance_km],Tabla1[nombre_actividad],'EV (4)'!$B14,Tabla1[Sistema],'EV (4)'!J$1)</f>
        <v>0</v>
      </c>
      <c r="K14" s="33">
        <f>+SUMIFS(Tabla1[Avance_km],Tabla1[nombre_actividad],'EV (4)'!$B14,Tabla1[Sistema],'EV (4)'!K$1)</f>
        <v>1.6244999999999994</v>
      </c>
      <c r="L14" s="33">
        <f>+SUMIFS(Tabla1[Avance_km],Tabla1[nombre_actividad],'EV (4)'!$B14,Tabla1[Sistema],'EV (4)'!L$1)</f>
        <v>0</v>
      </c>
      <c r="M14" s="33">
        <f>+SUMIFS(Tabla1[Avance_km],Tabla1[nombre_actividad],'EV (4)'!$B14,Tabla1[Sistema],'EV (4)'!M$1)</f>
        <v>0</v>
      </c>
      <c r="N14" s="539">
        <f t="shared" si="0"/>
        <v>181.88550000000004</v>
      </c>
      <c r="O14" s="536">
        <f>IF(N14&lt;&gt;"",_xlfn.XLOOKUP(A14,Catalogo!B17:B80,Catalogo!F17:F80)*N14,"")</f>
        <v>410591.96541000012</v>
      </c>
      <c r="P14" s="553">
        <f t="shared" si="1"/>
        <v>0.90942750000000017</v>
      </c>
      <c r="Q14" s="554">
        <f t="shared" si="2"/>
        <v>9.0572499999999834E-2</v>
      </c>
      <c r="R14" s="563">
        <f>+Q14*C14</f>
        <v>18.114499999999968</v>
      </c>
    </row>
    <row r="15" spans="1:18" x14ac:dyDescent="0.25">
      <c r="A15" s="545">
        <v>2.7</v>
      </c>
      <c r="B15" s="533" t="s">
        <v>294</v>
      </c>
      <c r="C15" s="542">
        <f>+_xlfn.XLOOKUP(A15,Catalogo!$B:$B,Catalogo!D:D)</f>
        <v>105</v>
      </c>
      <c r="D15" s="560">
        <f>_xlfn.XLOOKUP(A15,Catalogo!B18:B81,Catalogo!F18:F81)</f>
        <v>3540.12</v>
      </c>
      <c r="E15" s="542" t="s">
        <v>97</v>
      </c>
      <c r="F15" s="116">
        <f>+SUMIFS(Tabla1[Avance_Med],Tabla1[nombre_actividad],'EV (4)'!$B15,Tabla1[Sistema],'EV (4)'!F$1)</f>
        <v>37</v>
      </c>
      <c r="G15" s="33">
        <f>+SUMIFS(Tabla1[Avance_Med],Tabla1[nombre_actividad],'EV (4)'!$B15,Tabla1[Sistema],'EV (4)'!G$1)</f>
        <v>17</v>
      </c>
      <c r="H15" s="33">
        <f>+SUMIFS(Tabla1[Avance_Med],Tabla1[nombre_actividad],'EV (4)'!$B15,Tabla1[Sistema],'EV (4)'!H$1)</f>
        <v>34</v>
      </c>
      <c r="I15" s="33">
        <f>+SUMIFS(Tabla1[Avance_Med],Tabla1[nombre_actividad],'EV (4)'!$B15,Tabla1[Sistema],'EV (4)'!I$1)</f>
        <v>4</v>
      </c>
      <c r="J15" s="33">
        <f>+SUMIFS(Tabla1[Avance_Med],Tabla1[nombre_actividad],'EV (4)'!$B15,Tabla1[Sistema],'EV (4)'!J$1)</f>
        <v>0</v>
      </c>
      <c r="K15" s="33">
        <f>+SUMIFS(Tabla1[Avance_Med],Tabla1[nombre_actividad],'EV (4)'!$B15,Tabla1[Sistema],'EV (4)'!K$1)</f>
        <v>0</v>
      </c>
      <c r="L15" s="528">
        <f>+SUMIFS(Tabla1[Avance_Med],Tabla1[nombre_actividad],'EV (4)'!$B15,Tabla1[Sistema],'EV (4)'!L$1)</f>
        <v>0</v>
      </c>
      <c r="M15" s="528">
        <f>+SUMIFS(Tabla1[Avance_Med],Tabla1[nombre_actividad],'EV (4)'!$B15,Tabla1[Sistema],'EV (4)'!M$1)</f>
        <v>0</v>
      </c>
      <c r="N15" s="538">
        <f t="shared" si="0"/>
        <v>92</v>
      </c>
      <c r="O15" s="536">
        <f>IF(N15&lt;&gt;"",_xlfn.XLOOKUP(A15,Catalogo!B18:B81,Catalogo!F18:F81)*N15,"")</f>
        <v>325691.03999999998</v>
      </c>
      <c r="P15" s="553">
        <f t="shared" si="1"/>
        <v>0.87619047619047619</v>
      </c>
      <c r="Q15" s="554">
        <f t="shared" si="2"/>
        <v>0.12380952380952381</v>
      </c>
      <c r="R15" s="555"/>
    </row>
    <row r="16" spans="1:18" x14ac:dyDescent="0.25">
      <c r="A16" s="545">
        <v>2.8</v>
      </c>
      <c r="B16" s="533" t="s">
        <v>296</v>
      </c>
      <c r="C16" s="542">
        <f>+_xlfn.XLOOKUP(A16,Catalogo!$B:$B,Catalogo!D:D)</f>
        <v>105</v>
      </c>
      <c r="D16" s="560">
        <f>_xlfn.XLOOKUP(A16,Catalogo!B19:B82,Catalogo!F19:F82)</f>
        <v>2646.28</v>
      </c>
      <c r="E16" s="542" t="s">
        <v>97</v>
      </c>
      <c r="F16" s="116">
        <f>+SUMIFS(Tabla1[Avance_Med],Tabla1[nombre_actividad],'EV (4)'!$B16,Tabla1[Sistema],'EV (4)'!F$1)</f>
        <v>37</v>
      </c>
      <c r="G16" s="33">
        <f>+SUMIFS(Tabla1[Avance_Med],Tabla1[nombre_actividad],'EV (4)'!$B16,Tabla1[Sistema],'EV (4)'!G$1)</f>
        <v>17</v>
      </c>
      <c r="H16" s="33">
        <f>+SUMIFS(Tabla1[Avance_Med],Tabla1[nombre_actividad],'EV (4)'!$B16,Tabla1[Sistema],'EV (4)'!H$1)</f>
        <v>34</v>
      </c>
      <c r="I16" s="33">
        <f>+SUMIFS(Tabla1[Avance_Med],Tabla1[nombre_actividad],'EV (4)'!$B16,Tabla1[Sistema],'EV (4)'!I$1)</f>
        <v>4</v>
      </c>
      <c r="J16" s="33">
        <f>+SUMIFS(Tabla1[Avance_Med],Tabla1[nombre_actividad],'EV (4)'!$B16,Tabla1[Sistema],'EV (4)'!J$1)</f>
        <v>0</v>
      </c>
      <c r="K16" s="33">
        <f>+SUMIFS(Tabla1[Avance_Med],Tabla1[nombre_actividad],'EV (4)'!$B16,Tabla1[Sistema],'EV (4)'!K$1)</f>
        <v>0</v>
      </c>
      <c r="L16" s="528">
        <f>+SUMIFS(Tabla1[Avance_Med],Tabla1[nombre_actividad],'EV (4)'!$B16,Tabla1[Sistema],'EV (4)'!L$1)</f>
        <v>0</v>
      </c>
      <c r="M16" s="528">
        <f>+SUMIFS(Tabla1[Avance_Med],Tabla1[nombre_actividad],'EV (4)'!$B16,Tabla1[Sistema],'EV (4)'!M$1)</f>
        <v>0</v>
      </c>
      <c r="N16" s="538">
        <f t="shared" si="0"/>
        <v>92</v>
      </c>
      <c r="O16" s="536">
        <f>IF(N16&lt;&gt;"",_xlfn.XLOOKUP(A16,Catalogo!B19:B82,Catalogo!F19:F82)*N16,"")</f>
        <v>243457.76</v>
      </c>
      <c r="P16" s="553">
        <f t="shared" si="1"/>
        <v>0.87619047619047619</v>
      </c>
      <c r="Q16" s="554">
        <f t="shared" si="2"/>
        <v>0.12380952380952381</v>
      </c>
      <c r="R16" s="555"/>
    </row>
    <row r="17" spans="1:18" x14ac:dyDescent="0.25">
      <c r="A17" s="547">
        <v>3.1</v>
      </c>
      <c r="B17" s="534" t="s">
        <v>298</v>
      </c>
      <c r="C17" s="542">
        <f>+_xlfn.XLOOKUP(A17,Catalogo!$B:$B,Catalogo!D:D)</f>
        <v>105</v>
      </c>
      <c r="D17" s="560">
        <f>_xlfn.XLOOKUP(A17,Catalogo!B20:B83,Catalogo!F20:F83)</f>
        <v>1970.65</v>
      </c>
      <c r="E17" s="542" t="s">
        <v>118</v>
      </c>
      <c r="F17" s="116">
        <f>+SUMIFS(Tabla1[Avance_Med],Tabla1[nombre_actividad],'EV (4)'!$B17,Tabla1[Sistema],'EV (4)'!F$1)</f>
        <v>37</v>
      </c>
      <c r="G17" s="33">
        <f>+SUMIFS(Tabla1[Avance_Med],Tabla1[nombre_actividad],'EV (4)'!$B17,Tabla1[Sistema],'EV (4)'!G$1)</f>
        <v>17</v>
      </c>
      <c r="H17" s="33">
        <f>+SUMIFS(Tabla1[Avance_Med],Tabla1[nombre_actividad],'EV (4)'!$B17,Tabla1[Sistema],'EV (4)'!H$1)</f>
        <v>34</v>
      </c>
      <c r="I17" s="33">
        <f>+SUMIFS(Tabla1[Avance_Med],Tabla1[nombre_actividad],'EV (4)'!$B17,Tabla1[Sistema],'EV (4)'!I$1)</f>
        <v>4</v>
      </c>
      <c r="J17" s="33">
        <f>+SUMIFS(Tabla1[Avance_Med],Tabla1[nombre_actividad],'EV (4)'!$B17,Tabla1[Sistema],'EV (4)'!J$1)</f>
        <v>0</v>
      </c>
      <c r="K17" s="33">
        <f>+SUMIFS(Tabla1[Avance_Med],Tabla1[nombre_actividad],'EV (4)'!$B17,Tabla1[Sistema],'EV (4)'!K$1)</f>
        <v>0</v>
      </c>
      <c r="L17" s="528">
        <f>+SUMIFS(Tabla1[Avance_Med],Tabla1[nombre_actividad],'EV (4)'!$B17,Tabla1[Sistema],'EV (4)'!L$1)</f>
        <v>0</v>
      </c>
      <c r="M17" s="528">
        <f>+SUMIFS(Tabla1[Avance_Med],Tabla1[nombre_actividad],'EV (4)'!$B17,Tabla1[Sistema],'EV (4)'!M$1)</f>
        <v>0</v>
      </c>
      <c r="N17" s="538">
        <f t="shared" si="0"/>
        <v>92</v>
      </c>
      <c r="O17" s="536">
        <f>IF(N17&lt;&gt;"",_xlfn.XLOOKUP(A17,Catalogo!B20:B83,Catalogo!F20:F83)*N17,"")</f>
        <v>181299.80000000002</v>
      </c>
      <c r="P17" s="553">
        <f t="shared" si="1"/>
        <v>0.87619047619047619</v>
      </c>
      <c r="Q17" s="554">
        <f t="shared" si="2"/>
        <v>0.12380952380952381</v>
      </c>
      <c r="R17" s="555"/>
    </row>
    <row r="18" spans="1:18" x14ac:dyDescent="0.25">
      <c r="A18" s="547">
        <v>3.2</v>
      </c>
      <c r="B18" s="534" t="s">
        <v>415</v>
      </c>
      <c r="C18" s="542">
        <f>+_xlfn.XLOOKUP(A18,Catalogo!$B:$B,Catalogo!D:D)</f>
        <v>55</v>
      </c>
      <c r="D18" s="560">
        <f>_xlfn.XLOOKUP(A18,Catalogo!B21:B84,Catalogo!F21:F84)</f>
        <v>7585.99</v>
      </c>
      <c r="E18" s="542" t="s">
        <v>120</v>
      </c>
      <c r="F18" s="116">
        <f>+SUMIFS(Tabla1[Avance_Med],Tabla1[nombre_actividad],'EV (4)'!$B18,Tabla1[Sistema],'EV (4)'!F$1)</f>
        <v>11</v>
      </c>
      <c r="G18" s="33">
        <f>+SUMIFS(Tabla1[Avance_Med],Tabla1[nombre_actividad],'EV (4)'!$B18,Tabla1[Sistema],'EV (4)'!G$1)</f>
        <v>3</v>
      </c>
      <c r="H18" s="33">
        <f>+SUMIFS(Tabla1[Avance_Med],Tabla1[nombre_actividad],'EV (4)'!$B18,Tabla1[Sistema],'EV (4)'!H$1)</f>
        <v>0</v>
      </c>
      <c r="I18" s="33">
        <f>+SUMIFS(Tabla1[Avance_Med],Tabla1[nombre_actividad],'EV (4)'!$B18,Tabla1[Sistema],'EV (4)'!I$1)</f>
        <v>0</v>
      </c>
      <c r="J18" s="33">
        <f>+SUMIFS(Tabla1[Avance_Med],Tabla1[nombre_actividad],'EV (4)'!$B18,Tabla1[Sistema],'EV (4)'!J$1)</f>
        <v>1</v>
      </c>
      <c r="K18" s="33">
        <f>+SUMIFS(Tabla1[Avance_Med],Tabla1[nombre_actividad],'EV (4)'!$B18,Tabla1[Sistema],'EV (4)'!K$1)</f>
        <v>0</v>
      </c>
      <c r="L18" s="33">
        <f>+SUMIFS(Tabla1[Avance_Med],Tabla1[nombre_actividad],'EV (4)'!$B18,Tabla1[Sistema],'EV (4)'!L$1)</f>
        <v>0</v>
      </c>
      <c r="M18" s="33">
        <f>+SUMIFS(Tabla1[Avance_Med],Tabla1[nombre_actividad],'EV (4)'!$B18,Tabla1[Sistema],'EV (4)'!M$1)</f>
        <v>0</v>
      </c>
      <c r="N18" s="538">
        <f t="shared" si="0"/>
        <v>15</v>
      </c>
      <c r="O18" s="536">
        <f>IF(N18&lt;&gt;"",_xlfn.XLOOKUP(A18,Catalogo!B21:B84,Catalogo!F21:F84)*N18,"")</f>
        <v>113789.84999999999</v>
      </c>
      <c r="P18" s="553">
        <f t="shared" si="1"/>
        <v>0.27272727272727271</v>
      </c>
      <c r="Q18" s="554">
        <f t="shared" si="2"/>
        <v>0.72727272727272729</v>
      </c>
      <c r="R18" s="555"/>
    </row>
    <row r="19" spans="1:18" x14ac:dyDescent="0.25">
      <c r="A19" s="547" t="s">
        <v>122</v>
      </c>
      <c r="B19" s="534" t="s">
        <v>416</v>
      </c>
      <c r="C19" s="542">
        <f>+_xlfn.XLOOKUP(A19,Catalogo!$B:$B,Catalogo!D:D)</f>
        <v>55</v>
      </c>
      <c r="D19" s="560">
        <f>_xlfn.XLOOKUP(A19,Catalogo!B22:B85,Catalogo!F22:F85)</f>
        <v>1765.59</v>
      </c>
      <c r="E19" s="542" t="s">
        <v>120</v>
      </c>
      <c r="F19" s="116">
        <f>+SUMIFS(Tabla1[Avance_Med],Tabla1[nombre_actividad],'EV (4)'!$B19,Tabla1[Sistema],'EV (4)'!F$1)</f>
        <v>11</v>
      </c>
      <c r="G19" s="33">
        <f>+SUMIFS(Tabla1[Avance_Med],Tabla1[nombre_actividad],'EV (4)'!$B19,Tabla1[Sistema],'EV (4)'!G$1)</f>
        <v>3</v>
      </c>
      <c r="H19" s="33">
        <f>+SUMIFS(Tabla1[Avance_Med],Tabla1[nombre_actividad],'EV (4)'!$B19,Tabla1[Sistema],'EV (4)'!H$1)</f>
        <v>0</v>
      </c>
      <c r="I19" s="33">
        <f>+SUMIFS(Tabla1[Avance_Med],Tabla1[nombre_actividad],'EV (4)'!$B19,Tabla1[Sistema],'EV (4)'!I$1)</f>
        <v>1</v>
      </c>
      <c r="J19" s="33">
        <f>+SUMIFS(Tabla1[Avance_Med],Tabla1[nombre_actividad],'EV (4)'!$B19,Tabla1[Sistema],'EV (4)'!J$1)</f>
        <v>1</v>
      </c>
      <c r="K19" s="33">
        <f>+SUMIFS(Tabla1[Avance_Med],Tabla1[nombre_actividad],'EV (4)'!$B19,Tabla1[Sistema],'EV (4)'!K$1)</f>
        <v>0</v>
      </c>
      <c r="L19" s="33">
        <f>+SUMIFS(Tabla1[Avance_Med],Tabla1[nombre_actividad],'EV (4)'!$B19,Tabla1[Sistema],'EV (4)'!L$1)</f>
        <v>0</v>
      </c>
      <c r="M19" s="33">
        <f>+SUMIFS(Tabla1[Avance_Med],Tabla1[nombre_actividad],'EV (4)'!$B19,Tabla1[Sistema],'EV (4)'!M$1)</f>
        <v>0</v>
      </c>
      <c r="N19" s="538">
        <f t="shared" si="0"/>
        <v>16</v>
      </c>
      <c r="O19" s="536">
        <f>IF(N19&lt;&gt;"",_xlfn.XLOOKUP(A19,Catalogo!B22:B85,Catalogo!F22:F85)*N19,"")</f>
        <v>28249.439999999999</v>
      </c>
      <c r="P19" s="553">
        <f t="shared" si="1"/>
        <v>0.29090909090909089</v>
      </c>
      <c r="Q19" s="554">
        <f t="shared" si="2"/>
        <v>0.70909090909090911</v>
      </c>
      <c r="R19" s="555"/>
    </row>
    <row r="20" spans="1:18" x14ac:dyDescent="0.25">
      <c r="A20" s="547" t="s">
        <v>124</v>
      </c>
      <c r="B20" s="534" t="s">
        <v>423</v>
      </c>
      <c r="C20" s="543">
        <f>+_xlfn.XLOOKUP(A20,Catalogo!$B:$B,Catalogo!D:D)</f>
        <v>100</v>
      </c>
      <c r="D20" s="561">
        <f>_xlfn.XLOOKUP(A20,Catalogo!B23:B86,Catalogo!F23:F86)</f>
        <v>1934.59</v>
      </c>
      <c r="E20" s="543" t="s">
        <v>126</v>
      </c>
      <c r="F20" s="116">
        <f>+SUMIFS(Tabla1[Avance_Med],Tabla1[nombre_actividad],'EV (4)'!$B20,Tabla1[Sistema],'EV (4)'!F$1)</f>
        <v>11</v>
      </c>
      <c r="G20" s="33">
        <f>+SUMIFS(Tabla1[Avance_Med],Tabla1[nombre_actividad],'EV (4)'!$B20,Tabla1[Sistema],'EV (4)'!G$1)</f>
        <v>3</v>
      </c>
      <c r="H20" s="33">
        <f>+SUMIFS(Tabla1[Avance_Med],Tabla1[nombre_actividad],'EV (4)'!$B20,Tabla1[Sistema],'EV (4)'!H$1)</f>
        <v>0</v>
      </c>
      <c r="I20" s="33">
        <f>+SUMIFS(Tabla1[Avance_Med],Tabla1[nombre_actividad],'EV (4)'!$B20,Tabla1[Sistema],'EV (4)'!I$1)</f>
        <v>1</v>
      </c>
      <c r="J20" s="33">
        <f>+SUMIFS(Tabla1[Avance_Med],Tabla1[nombre_actividad],'EV (4)'!$B20,Tabla1[Sistema],'EV (4)'!J$1)</f>
        <v>1</v>
      </c>
      <c r="K20" s="33">
        <f>+SUMIFS(Tabla1[Avance_Med],Tabla1[nombre_actividad],'EV (4)'!$B20,Tabla1[Sistema],'EV (4)'!K$1)</f>
        <v>0</v>
      </c>
      <c r="L20" s="33">
        <f>+SUMIFS(Tabla1[Avance_Med],Tabla1[nombre_actividad],'EV (4)'!$B20,Tabla1[Sistema],'EV (4)'!L$1)</f>
        <v>0</v>
      </c>
      <c r="M20" s="33">
        <f>+SUMIFS(Tabla1[Avance_Med],Tabla1[nombre_actividad],'EV (4)'!$B20,Tabla1[Sistema],'EV (4)'!M$1)</f>
        <v>0</v>
      </c>
      <c r="N20" s="538">
        <f t="shared" si="0"/>
        <v>16</v>
      </c>
      <c r="O20" s="536">
        <f>IF(N20&lt;&gt;"",_xlfn.XLOOKUP(A20,Catalogo!B23:B86,Catalogo!F23:F86)*N20,"")</f>
        <v>30953.439999999999</v>
      </c>
      <c r="P20" s="553">
        <f t="shared" si="1"/>
        <v>0.16</v>
      </c>
      <c r="Q20" s="554">
        <f t="shared" si="2"/>
        <v>0.84</v>
      </c>
      <c r="R20" s="555"/>
    </row>
    <row r="21" spans="1:18" x14ac:dyDescent="0.25">
      <c r="A21" s="547" t="s">
        <v>127</v>
      </c>
      <c r="B21" s="534" t="s">
        <v>417</v>
      </c>
      <c r="C21" s="543">
        <f>+_xlfn.XLOOKUP(A21,Catalogo!$B:$B,Catalogo!D:D)</f>
        <v>100</v>
      </c>
      <c r="D21" s="561">
        <f>_xlfn.XLOOKUP(A21,Catalogo!B24:B87,Catalogo!F24:F87)</f>
        <v>1960.59</v>
      </c>
      <c r="E21" s="543" t="s">
        <v>126</v>
      </c>
      <c r="F21" s="116">
        <f>+SUMIFS(Tabla1[Avance_Med],Tabla1[nombre_actividad],'EV (4)'!$B21,Tabla1[Sistema],'EV (4)'!F$1)</f>
        <v>11</v>
      </c>
      <c r="G21" s="33">
        <f>+SUMIFS(Tabla1[Avance_Med],Tabla1[nombre_actividad],'EV (4)'!$B21,Tabla1[Sistema],'EV (4)'!G$1)</f>
        <v>3</v>
      </c>
      <c r="H21" s="33">
        <f>+SUMIFS(Tabla1[Avance_Med],Tabla1[nombre_actividad],'EV (4)'!$B21,Tabla1[Sistema],'EV (4)'!H$1)</f>
        <v>0</v>
      </c>
      <c r="I21" s="33">
        <f>+SUMIFS(Tabla1[Avance_Med],Tabla1[nombre_actividad],'EV (4)'!$B21,Tabla1[Sistema],'EV (4)'!I$1)</f>
        <v>1</v>
      </c>
      <c r="J21" s="33">
        <f>+SUMIFS(Tabla1[Avance_Med],Tabla1[nombre_actividad],'EV (4)'!$B21,Tabla1[Sistema],'EV (4)'!J$1)</f>
        <v>1</v>
      </c>
      <c r="K21" s="33">
        <f>+SUMIFS(Tabla1[Avance_Med],Tabla1[nombre_actividad],'EV (4)'!$B21,Tabla1[Sistema],'EV (4)'!K$1)</f>
        <v>0</v>
      </c>
      <c r="L21" s="33">
        <f>+SUMIFS(Tabla1[Avance_Med],Tabla1[nombre_actividad],'EV (4)'!$B21,Tabla1[Sistema],'EV (4)'!L$1)</f>
        <v>0</v>
      </c>
      <c r="M21" s="33">
        <f>+SUMIFS(Tabla1[Avance_Med],Tabla1[nombre_actividad],'EV (4)'!$B21,Tabla1[Sistema],'EV (4)'!M$1)</f>
        <v>0</v>
      </c>
      <c r="N21" s="538">
        <f t="shared" si="0"/>
        <v>16</v>
      </c>
      <c r="O21" s="536">
        <f>IF(N21&lt;&gt;"",_xlfn.XLOOKUP(A21,Catalogo!B24:B87,Catalogo!F24:F87)*N21,"")</f>
        <v>31369.439999999999</v>
      </c>
      <c r="P21" s="553">
        <f t="shared" si="1"/>
        <v>0.16</v>
      </c>
      <c r="Q21" s="554">
        <f t="shared" si="2"/>
        <v>0.84</v>
      </c>
      <c r="R21" s="555"/>
    </row>
    <row r="22" spans="1:18" x14ac:dyDescent="0.25">
      <c r="A22" s="547" t="s">
        <v>129</v>
      </c>
      <c r="B22" s="534" t="s">
        <v>424</v>
      </c>
      <c r="C22" s="543">
        <f>+_xlfn.XLOOKUP(A22,Catalogo!$B:$B,Catalogo!D:D)</f>
        <v>170</v>
      </c>
      <c r="D22" s="561">
        <f>_xlfn.XLOOKUP(A22,Catalogo!B25:B88,Catalogo!F25:F88)</f>
        <v>2220.59</v>
      </c>
      <c r="E22" s="543" t="s">
        <v>126</v>
      </c>
      <c r="F22" s="116">
        <f>+SUMIFS(Tabla1[Avance_Med],Tabla1[nombre_actividad],'EV (4)'!$B22,Tabla1[Sistema],'EV (4)'!F$1)</f>
        <v>0</v>
      </c>
      <c r="G22" s="33">
        <f>+SUMIFS(Tabla1[Avance_Med],Tabla1[nombre_actividad],'EV (4)'!$B22,Tabla1[Sistema],'EV (4)'!G$1)</f>
        <v>2</v>
      </c>
      <c r="H22" s="33">
        <f>+SUMIFS(Tabla1[Avance_Med],Tabla1[nombre_actividad],'EV (4)'!$B22,Tabla1[Sistema],'EV (4)'!H$1)</f>
        <v>0</v>
      </c>
      <c r="I22" s="33">
        <f>+SUMIFS(Tabla1[Avance_Med],Tabla1[nombre_actividad],'EV (4)'!$B22,Tabla1[Sistema],'EV (4)'!I$1)</f>
        <v>0</v>
      </c>
      <c r="J22" s="33">
        <f>+SUMIFS(Tabla1[Avance_Med],Tabla1[nombre_actividad],'EV (4)'!$B22,Tabla1[Sistema],'EV (4)'!J$1)</f>
        <v>0</v>
      </c>
      <c r="K22" s="33">
        <f>+SUMIFS(Tabla1[Avance_Med],Tabla1[nombre_actividad],'EV (4)'!$B22,Tabla1[Sistema],'EV (4)'!K$1)</f>
        <v>0</v>
      </c>
      <c r="L22" s="33">
        <f>+SUMIFS(Tabla1[Avance_Med],Tabla1[nombre_actividad],'EV (4)'!$B22,Tabla1[Sistema],'EV (4)'!L$1)</f>
        <v>0</v>
      </c>
      <c r="M22" s="33">
        <f>+SUMIFS(Tabla1[Avance_Med],Tabla1[nombre_actividad],'EV (4)'!$B22,Tabla1[Sistema],'EV (4)'!M$1)</f>
        <v>0</v>
      </c>
      <c r="N22" s="538">
        <f t="shared" si="0"/>
        <v>2</v>
      </c>
      <c r="O22" s="536">
        <f>IF(N22&lt;&gt;"",_xlfn.XLOOKUP(A22,Catalogo!B25:B88,Catalogo!F25:F88)*N22,"")</f>
        <v>4441.18</v>
      </c>
      <c r="P22" s="553">
        <f t="shared" si="1"/>
        <v>1.1764705882352941E-2</v>
      </c>
      <c r="Q22" s="554">
        <f t="shared" si="2"/>
        <v>0.9882352941176471</v>
      </c>
      <c r="R22" s="555"/>
    </row>
    <row r="23" spans="1:18" x14ac:dyDescent="0.25">
      <c r="A23" s="547" t="s">
        <v>131</v>
      </c>
      <c r="B23" s="534" t="s">
        <v>422</v>
      </c>
      <c r="C23" s="543">
        <f>+_xlfn.XLOOKUP(A23,Catalogo!$B:$B,Catalogo!D:D)</f>
        <v>170</v>
      </c>
      <c r="D23" s="561">
        <f>_xlfn.XLOOKUP(A23,Catalogo!B26:B89,Catalogo!F26:F89)</f>
        <v>2220.59</v>
      </c>
      <c r="E23" s="543" t="s">
        <v>126</v>
      </c>
      <c r="F23" s="116">
        <f>+SUMIFS(Tabla1[Avance_Med],Tabla1[nombre_actividad],'EV (4)'!$B23,Tabla1[Sistema],'EV (4)'!F$1)</f>
        <v>11</v>
      </c>
      <c r="G23" s="33">
        <f>+SUMIFS(Tabla1[Avance_Med],Tabla1[nombre_actividad],'EV (4)'!$B23,Tabla1[Sistema],'EV (4)'!G$1)</f>
        <v>3</v>
      </c>
      <c r="H23" s="33">
        <f>+SUMIFS(Tabla1[Avance_Med],Tabla1[nombre_actividad],'EV (4)'!$B23,Tabla1[Sistema],'EV (4)'!H$1)</f>
        <v>0</v>
      </c>
      <c r="I23" s="33">
        <f>+SUMIFS(Tabla1[Avance_Med],Tabla1[nombre_actividad],'EV (4)'!$B23,Tabla1[Sistema],'EV (4)'!I$1)</f>
        <v>1</v>
      </c>
      <c r="J23" s="33">
        <f>+SUMIFS(Tabla1[Avance_Med],Tabla1[nombre_actividad],'EV (4)'!$B23,Tabla1[Sistema],'EV (4)'!J$1)</f>
        <v>1</v>
      </c>
      <c r="K23" s="33">
        <f>+SUMIFS(Tabla1[Avance_Med],Tabla1[nombre_actividad],'EV (4)'!$B23,Tabla1[Sistema],'EV (4)'!K$1)</f>
        <v>0</v>
      </c>
      <c r="L23" s="33">
        <f>+SUMIFS(Tabla1[Avance_Med],Tabla1[nombre_actividad],'EV (4)'!$B23,Tabla1[Sistema],'EV (4)'!L$1)</f>
        <v>0</v>
      </c>
      <c r="M23" s="33">
        <f>+SUMIFS(Tabla1[Avance_Med],Tabla1[nombre_actividad],'EV (4)'!$B23,Tabla1[Sistema],'EV (4)'!M$1)</f>
        <v>0</v>
      </c>
      <c r="N23" s="538">
        <f t="shared" si="0"/>
        <v>16</v>
      </c>
      <c r="O23" s="536">
        <f>IF(N23&lt;&gt;"",_xlfn.XLOOKUP(A23,Catalogo!B26:B89,Catalogo!F26:F89)*N23,"")</f>
        <v>35529.440000000002</v>
      </c>
      <c r="P23" s="553">
        <f t="shared" si="1"/>
        <v>9.4117647058823528E-2</v>
      </c>
      <c r="Q23" s="554">
        <f t="shared" si="2"/>
        <v>0.90588235294117647</v>
      </c>
      <c r="R23" s="555"/>
    </row>
    <row r="24" spans="1:18" x14ac:dyDescent="0.25">
      <c r="A24" s="547" t="s">
        <v>133</v>
      </c>
      <c r="B24" s="534" t="s">
        <v>418</v>
      </c>
      <c r="C24" s="543">
        <f>+_xlfn.XLOOKUP(A24,Catalogo!$B:$B,Catalogo!D:D)</f>
        <v>100</v>
      </c>
      <c r="D24" s="561">
        <f>_xlfn.XLOOKUP(A24,Catalogo!B27:B90,Catalogo!F27:F90)</f>
        <v>2090.59</v>
      </c>
      <c r="E24" s="543" t="s">
        <v>126</v>
      </c>
      <c r="F24" s="116">
        <f>+SUMIFS(Tabla1[Avance_Med],Tabla1[nombre_actividad],'EV (4)'!$B24,Tabla1[Sistema],'EV (4)'!F$1)</f>
        <v>0</v>
      </c>
      <c r="G24" s="33">
        <f>+SUMIFS(Tabla1[Avance_Med],Tabla1[nombre_actividad],'EV (4)'!$B24,Tabla1[Sistema],'EV (4)'!G$1)</f>
        <v>2</v>
      </c>
      <c r="H24" s="33">
        <f>+SUMIFS(Tabla1[Avance_Med],Tabla1[nombre_actividad],'EV (4)'!$B24,Tabla1[Sistema],'EV (4)'!H$1)</f>
        <v>0</v>
      </c>
      <c r="I24" s="33">
        <f>+SUMIFS(Tabla1[Avance_Med],Tabla1[nombre_actividad],'EV (4)'!$B24,Tabla1[Sistema],'EV (4)'!I$1)</f>
        <v>0</v>
      </c>
      <c r="J24" s="33">
        <f>+SUMIFS(Tabla1[Avance_Med],Tabla1[nombre_actividad],'EV (4)'!$B24,Tabla1[Sistema],'EV (4)'!J$1)</f>
        <v>1</v>
      </c>
      <c r="K24" s="33">
        <f>+SUMIFS(Tabla1[Avance_Med],Tabla1[nombre_actividad],'EV (4)'!$B24,Tabla1[Sistema],'EV (4)'!K$1)</f>
        <v>0</v>
      </c>
      <c r="L24" s="33">
        <f>+SUMIFS(Tabla1[Avance_Med],Tabla1[nombre_actividad],'EV (4)'!$B24,Tabla1[Sistema],'EV (4)'!L$1)</f>
        <v>0</v>
      </c>
      <c r="M24" s="33">
        <f>+SUMIFS(Tabla1[Avance_Med],Tabla1[nombre_actividad],'EV (4)'!$B24,Tabla1[Sistema],'EV (4)'!M$1)</f>
        <v>0</v>
      </c>
      <c r="N24" s="538">
        <f t="shared" si="0"/>
        <v>3</v>
      </c>
      <c r="O24" s="536">
        <f>IF(N24&lt;&gt;"",_xlfn.XLOOKUP(A24,Catalogo!B27:B90,Catalogo!F27:F90)*N24,"")</f>
        <v>6271.77</v>
      </c>
      <c r="P24" s="553">
        <f t="shared" si="1"/>
        <v>0.03</v>
      </c>
      <c r="Q24" s="554">
        <f t="shared" si="2"/>
        <v>0.97</v>
      </c>
      <c r="R24" s="555"/>
    </row>
    <row r="25" spans="1:18" x14ac:dyDescent="0.25">
      <c r="A25" s="547" t="s">
        <v>135</v>
      </c>
      <c r="B25" s="534" t="s">
        <v>425</v>
      </c>
      <c r="C25" s="543">
        <f>+_xlfn.XLOOKUP(A25,Catalogo!$B:$B,Catalogo!D:D)</f>
        <v>100</v>
      </c>
      <c r="D25" s="561">
        <f>_xlfn.XLOOKUP(A25,Catalogo!B28:B91,Catalogo!F28:F91)</f>
        <v>2090.59</v>
      </c>
      <c r="E25" s="543" t="s">
        <v>126</v>
      </c>
      <c r="F25" s="116">
        <f>+SUMIFS(Tabla1[Avance_Med],Tabla1[nombre_actividad],'EV (4)'!$B25,Tabla1[Sistema],'EV (4)'!F$1)</f>
        <v>1</v>
      </c>
      <c r="G25" s="33">
        <f>+SUMIFS(Tabla1[Avance_Med],Tabla1[nombre_actividad],'EV (4)'!$B25,Tabla1[Sistema],'EV (4)'!G$1)</f>
        <v>2</v>
      </c>
      <c r="H25" s="33">
        <f>+SUMIFS(Tabla1[Avance_Med],Tabla1[nombre_actividad],'EV (4)'!$B25,Tabla1[Sistema],'EV (4)'!H$1)</f>
        <v>0</v>
      </c>
      <c r="I25" s="33">
        <f>+SUMIFS(Tabla1[Avance_Med],Tabla1[nombre_actividad],'EV (4)'!$B25,Tabla1[Sistema],'EV (4)'!I$1)</f>
        <v>0</v>
      </c>
      <c r="J25" s="33">
        <f>+SUMIFS(Tabla1[Avance_Med],Tabla1[nombre_actividad],'EV (4)'!$B25,Tabla1[Sistema],'EV (4)'!J$1)</f>
        <v>1</v>
      </c>
      <c r="K25" s="33">
        <f>+SUMIFS(Tabla1[Avance_Med],Tabla1[nombre_actividad],'EV (4)'!$B25,Tabla1[Sistema],'EV (4)'!K$1)</f>
        <v>0</v>
      </c>
      <c r="L25" s="33">
        <f>+SUMIFS(Tabla1[Avance_Med],Tabla1[nombre_actividad],'EV (4)'!$B25,Tabla1[Sistema],'EV (4)'!L$1)</f>
        <v>0</v>
      </c>
      <c r="M25" s="33">
        <f>+SUMIFS(Tabla1[Avance_Med],Tabla1[nombre_actividad],'EV (4)'!$B25,Tabla1[Sistema],'EV (4)'!M$1)</f>
        <v>0</v>
      </c>
      <c r="N25" s="538">
        <f t="shared" si="0"/>
        <v>4</v>
      </c>
      <c r="O25" s="536">
        <f>IF(N25&lt;&gt;"",_xlfn.XLOOKUP(A25,Catalogo!B28:B91,Catalogo!F28:F91)*N25,"")</f>
        <v>8362.36</v>
      </c>
      <c r="P25" s="553">
        <f t="shared" si="1"/>
        <v>0.04</v>
      </c>
      <c r="Q25" s="554">
        <f t="shared" si="2"/>
        <v>0.96</v>
      </c>
      <c r="R25" s="555"/>
    </row>
    <row r="26" spans="1:18" x14ac:dyDescent="0.25">
      <c r="A26" s="547" t="s">
        <v>137</v>
      </c>
      <c r="B26" s="534" t="s">
        <v>420</v>
      </c>
      <c r="C26" s="543">
        <f>+_xlfn.XLOOKUP(A26,Catalogo!$B:$B,Catalogo!D:D)</f>
        <v>55</v>
      </c>
      <c r="D26" s="561">
        <f>_xlfn.XLOOKUP(A26,Catalogo!B29:B92,Catalogo!F29:F92)</f>
        <v>656</v>
      </c>
      <c r="E26" s="543" t="s">
        <v>126</v>
      </c>
      <c r="F26" s="116">
        <f>+SUMIFS(Tabla1[Avance_Med],Tabla1[nombre_actividad],'EV (4)'!$B26,Tabla1[Sistema],'EV (4)'!F$1)</f>
        <v>11</v>
      </c>
      <c r="G26" s="33">
        <f>+SUMIFS(Tabla1[Avance_Med],Tabla1[nombre_actividad],'EV (4)'!$B26,Tabla1[Sistema],'EV (4)'!G$1)</f>
        <v>3</v>
      </c>
      <c r="H26" s="33">
        <f>+SUMIFS(Tabla1[Avance_Med],Tabla1[nombre_actividad],'EV (4)'!$B26,Tabla1[Sistema],'EV (4)'!H$1)</f>
        <v>0</v>
      </c>
      <c r="I26" s="33">
        <f>+SUMIFS(Tabla1[Avance_Med],Tabla1[nombre_actividad],'EV (4)'!$B26,Tabla1[Sistema],'EV (4)'!I$1)</f>
        <v>0</v>
      </c>
      <c r="J26" s="33">
        <f>+SUMIFS(Tabla1[Avance_Med],Tabla1[nombre_actividad],'EV (4)'!$B26,Tabla1[Sistema],'EV (4)'!J$1)</f>
        <v>0</v>
      </c>
      <c r="K26" s="33">
        <f>+SUMIFS(Tabla1[Avance_Med],Tabla1[nombre_actividad],'EV (4)'!$B26,Tabla1[Sistema],'EV (4)'!K$1)</f>
        <v>0</v>
      </c>
      <c r="L26" s="33">
        <f>+SUMIFS(Tabla1[Avance_Med],Tabla1[nombre_actividad],'EV (4)'!$B26,Tabla1[Sistema],'EV (4)'!L$1)</f>
        <v>0</v>
      </c>
      <c r="M26" s="33">
        <f>+SUMIFS(Tabla1[Avance_Med],Tabla1[nombre_actividad],'EV (4)'!$B26,Tabla1[Sistema],'EV (4)'!M$1)</f>
        <v>0</v>
      </c>
      <c r="N26" s="538">
        <f t="shared" si="0"/>
        <v>14</v>
      </c>
      <c r="O26" s="536">
        <f>IF(N26&lt;&gt;"",_xlfn.XLOOKUP(A26,Catalogo!B29:B92,Catalogo!F29:F92)*N26,"")</f>
        <v>9184</v>
      </c>
      <c r="P26" s="553">
        <f t="shared" si="1"/>
        <v>0.25454545454545452</v>
      </c>
      <c r="Q26" s="554">
        <f t="shared" si="2"/>
        <v>0.74545454545454548</v>
      </c>
      <c r="R26" s="555"/>
    </row>
    <row r="27" spans="1:18" x14ac:dyDescent="0.25">
      <c r="A27" s="547" t="s">
        <v>139</v>
      </c>
      <c r="B27" s="534" t="s">
        <v>419</v>
      </c>
      <c r="C27" s="543">
        <f>+_xlfn.XLOOKUP(A27,Catalogo!$B:$B,Catalogo!D:D)</f>
        <v>55</v>
      </c>
      <c r="D27" s="561">
        <f>_xlfn.XLOOKUP(A27,Catalogo!B30:B93,Catalogo!F30:F93)</f>
        <v>4676</v>
      </c>
      <c r="E27" s="543" t="s">
        <v>126</v>
      </c>
      <c r="F27" s="116">
        <f>+SUMIFS(Tabla1[Avance_Med],Tabla1[nombre_actividad],'EV (4)'!$B27,Tabla1[Sistema],'EV (4)'!F$1)</f>
        <v>11</v>
      </c>
      <c r="G27" s="33">
        <f>+SUMIFS(Tabla1[Avance_Med],Tabla1[nombre_actividad],'EV (4)'!$B27,Tabla1[Sistema],'EV (4)'!G$1)</f>
        <v>3</v>
      </c>
      <c r="H27" s="33">
        <f>+SUMIFS(Tabla1[Avance_Med],Tabla1[nombre_actividad],'EV (4)'!$B27,Tabla1[Sistema],'EV (4)'!H$1)</f>
        <v>0</v>
      </c>
      <c r="I27" s="33">
        <f>+SUMIFS(Tabla1[Avance_Med],Tabla1[nombre_actividad],'EV (4)'!$B27,Tabla1[Sistema],'EV (4)'!I$1)</f>
        <v>0</v>
      </c>
      <c r="J27" s="33">
        <f>+SUMIFS(Tabla1[Avance_Med],Tabla1[nombre_actividad],'EV (4)'!$B27,Tabla1[Sistema],'EV (4)'!J$1)</f>
        <v>0</v>
      </c>
      <c r="K27" s="33">
        <f>+SUMIFS(Tabla1[Avance_Med],Tabla1[nombre_actividad],'EV (4)'!$B27,Tabla1[Sistema],'EV (4)'!K$1)</f>
        <v>0</v>
      </c>
      <c r="L27" s="33">
        <f>+SUMIFS(Tabla1[Avance_Med],Tabla1[nombre_actividad],'EV (4)'!$B27,Tabla1[Sistema],'EV (4)'!L$1)</f>
        <v>0</v>
      </c>
      <c r="M27" s="33">
        <f>+SUMIFS(Tabla1[Avance_Med],Tabla1[nombre_actividad],'EV (4)'!$B27,Tabla1[Sistema],'EV (4)'!M$1)</f>
        <v>0</v>
      </c>
      <c r="N27" s="538">
        <f t="shared" si="0"/>
        <v>14</v>
      </c>
      <c r="O27" s="536">
        <f>IF(N27&lt;&gt;"",_xlfn.XLOOKUP(A27,Catalogo!B30:B93,Catalogo!F30:F93)*N27,"")</f>
        <v>65464</v>
      </c>
      <c r="P27" s="553">
        <f t="shared" si="1"/>
        <v>0.25454545454545452</v>
      </c>
      <c r="Q27" s="554">
        <f t="shared" si="2"/>
        <v>0.74545454545454548</v>
      </c>
      <c r="R27" s="555"/>
    </row>
    <row r="28" spans="1:18" x14ac:dyDescent="0.25">
      <c r="A28" s="547">
        <v>3.4</v>
      </c>
      <c r="B28" s="534" t="s">
        <v>421</v>
      </c>
      <c r="C28" s="543">
        <f>+_xlfn.XLOOKUP(A28,Catalogo!$B:$B,Catalogo!D:D)</f>
        <v>105</v>
      </c>
      <c r="D28" s="561">
        <f>_xlfn.XLOOKUP(A28,Catalogo!B31:B94,Catalogo!F31:F94)</f>
        <v>4124.2700000000004</v>
      </c>
      <c r="E28" s="543" t="s">
        <v>97</v>
      </c>
      <c r="F28" s="116">
        <f>+SUMIFS(Tabla1[Avance_Med],Tabla1[nombre_actividad],'EV (4)'!$B28,Tabla1[Sistema],'EV (4)'!F$1)</f>
        <v>0</v>
      </c>
      <c r="G28" s="33">
        <f>+SUMIFS(Tabla1[Avance_Med],Tabla1[nombre_actividad],'EV (4)'!$B28,Tabla1[Sistema],'EV (4)'!G$1)</f>
        <v>0</v>
      </c>
      <c r="H28" s="33">
        <f>+SUMIFS(Tabla1[Avance_Med],Tabla1[nombre_actividad],'EV (4)'!$B28,Tabla1[Sistema],'EV (4)'!H$1)</f>
        <v>0</v>
      </c>
      <c r="I28" s="33">
        <f>+SUMIFS(Tabla1[Avance_Med],Tabla1[nombre_actividad],'EV (4)'!$B28,Tabla1[Sistema],'EV (4)'!I$1)</f>
        <v>0</v>
      </c>
      <c r="J28" s="33">
        <f>+SUMIFS(Tabla1[Avance_Med],Tabla1[nombre_actividad],'EV (4)'!$B28,Tabla1[Sistema],'EV (4)'!J$1)</f>
        <v>0</v>
      </c>
      <c r="K28" s="33">
        <f>+SUMIFS(Tabla1[Avance_Med],Tabla1[nombre_actividad],'EV (4)'!$B28,Tabla1[Sistema],'EV (4)'!K$1)</f>
        <v>0</v>
      </c>
      <c r="L28" s="33">
        <f>+SUMIFS(Tabla1[Avance_Med],Tabla1[nombre_actividad],'EV (4)'!$B28,Tabla1[Sistema],'EV (4)'!L$1)</f>
        <v>0</v>
      </c>
      <c r="M28" s="33">
        <f>+SUMIFS(Tabla1[Avance_Med],Tabla1[nombre_actividad],'EV (4)'!$B28,Tabla1[Sistema],'EV (4)'!M$1)</f>
        <v>0</v>
      </c>
      <c r="N28" s="538" t="str">
        <f t="shared" si="0"/>
        <v/>
      </c>
      <c r="O28" s="536" t="str">
        <f>IF(N28&lt;&gt;"",_xlfn.XLOOKUP(A28,Catalogo!B31:B94,Catalogo!F31:F94)*N28,"")</f>
        <v/>
      </c>
      <c r="P28" s="553" t="str">
        <f t="shared" si="1"/>
        <v/>
      </c>
      <c r="Q28" s="554" t="str">
        <f t="shared" si="2"/>
        <v/>
      </c>
      <c r="R28" s="555"/>
    </row>
    <row r="29" spans="1:18" x14ac:dyDescent="0.25">
      <c r="A29" s="548">
        <v>4.0999999999999996</v>
      </c>
      <c r="B29" s="535" t="s">
        <v>426</v>
      </c>
      <c r="C29" s="543">
        <f>+_xlfn.XLOOKUP(A29,Catalogo!$B:$B,Catalogo!D:D)</f>
        <v>105</v>
      </c>
      <c r="D29" s="561">
        <f>_xlfn.XLOOKUP(A29,Catalogo!B32:B95,Catalogo!F32:F95)</f>
        <v>5020.99</v>
      </c>
      <c r="E29" s="543" t="s">
        <v>97</v>
      </c>
      <c r="F29" s="116">
        <f>+SUMIFS(Tabla1[Avance_Med],Tabla1[nombre_actividad],'EV (4)'!$B29,Tabla1[Sistema],'EV (4)'!F$1)</f>
        <v>0</v>
      </c>
      <c r="G29" s="33">
        <f>+SUMIFS(Tabla1[Avance_Med],Tabla1[nombre_actividad],'EV (4)'!$B29,Tabla1[Sistema],'EV (4)'!G$1)</f>
        <v>0</v>
      </c>
      <c r="H29" s="33">
        <f>+SUMIFS(Tabla1[Avance_Med],Tabla1[nombre_actividad],'EV (4)'!$B29,Tabla1[Sistema],'EV (4)'!H$1)</f>
        <v>0</v>
      </c>
      <c r="I29" s="33">
        <f>+SUMIFS(Tabla1[Avance_Med],Tabla1[nombre_actividad],'EV (4)'!$B29,Tabla1[Sistema],'EV (4)'!I$1)</f>
        <v>0</v>
      </c>
      <c r="J29" s="33">
        <f>+SUMIFS(Tabla1[Avance_Med],Tabla1[nombre_actividad],'EV (4)'!$B29,Tabla1[Sistema],'EV (4)'!J$1)</f>
        <v>0</v>
      </c>
      <c r="K29" s="33">
        <f>+SUMIFS(Tabla1[Avance_Med],Tabla1[nombre_actividad],'EV (4)'!$B29,Tabla1[Sistema],'EV (4)'!K$1)</f>
        <v>0</v>
      </c>
      <c r="L29" s="33">
        <f>+SUMIFS(Tabla1[Avance_Med],Tabla1[nombre_actividad],'EV (4)'!$B29,Tabla1[Sistema],'EV (4)'!L$1)</f>
        <v>0</v>
      </c>
      <c r="M29" s="33">
        <f>+SUMIFS(Tabla1[Avance_Med],Tabla1[nombre_actividad],'EV (4)'!$B29,Tabla1[Sistema],'EV (4)'!M$1)</f>
        <v>0</v>
      </c>
      <c r="N29" s="538" t="str">
        <f t="shared" si="0"/>
        <v/>
      </c>
      <c r="O29" s="536" t="str">
        <f>IF(N29&lt;&gt;"",_xlfn.XLOOKUP(A29,Catalogo!B32:B95,Catalogo!F32:F95)*N29,"")</f>
        <v/>
      </c>
      <c r="P29" s="553" t="str">
        <f t="shared" si="1"/>
        <v/>
      </c>
      <c r="Q29" s="554" t="str">
        <f t="shared" si="2"/>
        <v/>
      </c>
      <c r="R29" s="555"/>
    </row>
    <row r="30" spans="1:18" x14ac:dyDescent="0.25">
      <c r="A30" s="548">
        <v>4.2</v>
      </c>
      <c r="B30" s="535" t="s">
        <v>427</v>
      </c>
      <c r="C30" s="543">
        <f>+_xlfn.XLOOKUP(A30,Catalogo!$B:$B,Catalogo!D:D)</f>
        <v>105</v>
      </c>
      <c r="D30" s="561">
        <f>_xlfn.XLOOKUP(A30,Catalogo!B33:B96,Catalogo!F33:F96)</f>
        <v>3652.99</v>
      </c>
      <c r="E30" s="543" t="s">
        <v>97</v>
      </c>
      <c r="F30" s="116">
        <f>+SUMIFS(Tabla1[Avance_Med],Tabla1[nombre_actividad],'EV (4)'!$B30,Tabla1[Sistema],'EV (4)'!F$1)</f>
        <v>0</v>
      </c>
      <c r="G30" s="33">
        <f>+SUMIFS(Tabla1[Avance_Med],Tabla1[nombre_actividad],'EV (4)'!$B30,Tabla1[Sistema],'EV (4)'!G$1)</f>
        <v>0</v>
      </c>
      <c r="H30" s="33">
        <f>+SUMIFS(Tabla1[Avance_Med],Tabla1[nombre_actividad],'EV (4)'!$B30,Tabla1[Sistema],'EV (4)'!H$1)</f>
        <v>0</v>
      </c>
      <c r="I30" s="33">
        <f>+SUMIFS(Tabla1[Avance_Med],Tabla1[nombre_actividad],'EV (4)'!$B30,Tabla1[Sistema],'EV (4)'!I$1)</f>
        <v>0</v>
      </c>
      <c r="J30" s="33">
        <f>+SUMIFS(Tabla1[Avance_Med],Tabla1[nombre_actividad],'EV (4)'!$B30,Tabla1[Sistema],'EV (4)'!J$1)</f>
        <v>0</v>
      </c>
      <c r="K30" s="33">
        <f>+SUMIFS(Tabla1[Avance_Med],Tabla1[nombre_actividad],'EV (4)'!$B30,Tabla1[Sistema],'EV (4)'!K$1)</f>
        <v>0</v>
      </c>
      <c r="L30" s="33">
        <f>+SUMIFS(Tabla1[Avance_Med],Tabla1[nombre_actividad],'EV (4)'!$B30,Tabla1[Sistema],'EV (4)'!L$1)</f>
        <v>0</v>
      </c>
      <c r="M30" s="33">
        <f>+SUMIFS(Tabla1[Avance_Med],Tabla1[nombre_actividad],'EV (4)'!$B30,Tabla1[Sistema],'EV (4)'!M$1)</f>
        <v>0</v>
      </c>
      <c r="N30" s="538" t="str">
        <f t="shared" si="0"/>
        <v/>
      </c>
      <c r="O30" s="536" t="str">
        <f>IF(N30&lt;&gt;"",_xlfn.XLOOKUP(A30,Catalogo!B33:B96,Catalogo!F33:F96)*N30,"")</f>
        <v/>
      </c>
      <c r="P30" s="553" t="str">
        <f t="shared" si="1"/>
        <v/>
      </c>
      <c r="Q30" s="554" t="str">
        <f t="shared" si="2"/>
        <v/>
      </c>
      <c r="R30" s="555"/>
    </row>
    <row r="31" spans="1:18" x14ac:dyDescent="0.25">
      <c r="A31" s="548">
        <v>4.3</v>
      </c>
      <c r="B31" s="535" t="s">
        <v>428</v>
      </c>
      <c r="C31" s="543">
        <f>+_xlfn.XLOOKUP(A31,Catalogo!$B:$B,Catalogo!D:D)</f>
        <v>105</v>
      </c>
      <c r="D31" s="561">
        <f>_xlfn.XLOOKUP(A31,Catalogo!B34:B97,Catalogo!F34:F97)</f>
        <v>3201.98</v>
      </c>
      <c r="E31" s="543" t="s">
        <v>97</v>
      </c>
      <c r="F31" s="116">
        <f>+SUMIFS(Tabla1[Avance_Med],Tabla1[nombre_actividad],'EV (4)'!$B31,Tabla1[Sistema],'EV (4)'!F$1)</f>
        <v>0</v>
      </c>
      <c r="G31" s="33">
        <f>+SUMIFS(Tabla1[Avance_Med],Tabla1[nombre_actividad],'EV (4)'!$B31,Tabla1[Sistema],'EV (4)'!G$1)</f>
        <v>0</v>
      </c>
      <c r="H31" s="33">
        <f>+SUMIFS(Tabla1[Avance_Med],Tabla1[nombre_actividad],'EV (4)'!$B31,Tabla1[Sistema],'EV (4)'!H$1)</f>
        <v>0</v>
      </c>
      <c r="I31" s="33">
        <f>+SUMIFS(Tabla1[Avance_Med],Tabla1[nombre_actividad],'EV (4)'!$B31,Tabla1[Sistema],'EV (4)'!I$1)</f>
        <v>0</v>
      </c>
      <c r="J31" s="33">
        <f>+SUMIFS(Tabla1[Avance_Med],Tabla1[nombre_actividad],'EV (4)'!$B31,Tabla1[Sistema],'EV (4)'!J$1)</f>
        <v>0</v>
      </c>
      <c r="K31" s="33">
        <f>+SUMIFS(Tabla1[Avance_Med],Tabla1[nombre_actividad],'EV (4)'!$B31,Tabla1[Sistema],'EV (4)'!K$1)</f>
        <v>0</v>
      </c>
      <c r="L31" s="33">
        <f>+SUMIFS(Tabla1[Avance_Med],Tabla1[nombre_actividad],'EV (4)'!$B31,Tabla1[Sistema],'EV (4)'!L$1)</f>
        <v>0</v>
      </c>
      <c r="M31" s="33">
        <f>+SUMIFS(Tabla1[Avance_Med],Tabla1[nombre_actividad],'EV (4)'!$B31,Tabla1[Sistema],'EV (4)'!M$1)</f>
        <v>0</v>
      </c>
      <c r="N31" s="538" t="str">
        <f t="shared" si="0"/>
        <v/>
      </c>
      <c r="O31" s="536" t="str">
        <f>IF(N31&lt;&gt;"",_xlfn.XLOOKUP(A31,Catalogo!B34:B97,Catalogo!F34:F97)*N31,"")</f>
        <v/>
      </c>
      <c r="P31" s="553" t="str">
        <f t="shared" si="1"/>
        <v/>
      </c>
      <c r="Q31" s="554" t="str">
        <f t="shared" si="2"/>
        <v/>
      </c>
      <c r="R31" s="555"/>
    </row>
    <row r="32" spans="1:18" x14ac:dyDescent="0.25">
      <c r="A32" s="548">
        <v>4.4000000000000004</v>
      </c>
      <c r="B32" s="535" t="s">
        <v>429</v>
      </c>
      <c r="C32" s="543">
        <f>+_xlfn.XLOOKUP(A32,Catalogo!$B:$B,Catalogo!D:D)</f>
        <v>105</v>
      </c>
      <c r="D32" s="561">
        <f>_xlfn.XLOOKUP(A32,Catalogo!B35:B98,Catalogo!F35:F98)</f>
        <v>6840</v>
      </c>
      <c r="E32" s="543" t="s">
        <v>97</v>
      </c>
      <c r="F32" s="116">
        <f>+SUMIFS(Tabla1[Avance_Med],Tabla1[nombre_actividad],'EV (4)'!$B32,Tabla1[Sistema],'EV (4)'!F$1)</f>
        <v>0</v>
      </c>
      <c r="G32" s="33">
        <f>+SUMIFS(Tabla1[Avance_Med],Tabla1[nombre_actividad],'EV (4)'!$B32,Tabla1[Sistema],'EV (4)'!G$1)</f>
        <v>0</v>
      </c>
      <c r="H32" s="33">
        <f>+SUMIFS(Tabla1[Avance_Med],Tabla1[nombre_actividad],'EV (4)'!$B32,Tabla1[Sistema],'EV (4)'!H$1)</f>
        <v>0</v>
      </c>
      <c r="I32" s="33">
        <f>+SUMIFS(Tabla1[Avance_Med],Tabla1[nombre_actividad],'EV (4)'!$B32,Tabla1[Sistema],'EV (4)'!I$1)</f>
        <v>0</v>
      </c>
      <c r="J32" s="33">
        <f>+SUMIFS(Tabla1[Avance_Med],Tabla1[nombre_actividad],'EV (4)'!$B32,Tabla1[Sistema],'EV (4)'!J$1)</f>
        <v>0</v>
      </c>
      <c r="K32" s="33">
        <f>+SUMIFS(Tabla1[Avance_Med],Tabla1[nombre_actividad],'EV (4)'!$B32,Tabla1[Sistema],'EV (4)'!K$1)</f>
        <v>0</v>
      </c>
      <c r="L32" s="33">
        <f>+SUMIFS(Tabla1[Avance_Med],Tabla1[nombre_actividad],'EV (4)'!$B32,Tabla1[Sistema],'EV (4)'!L$1)</f>
        <v>0</v>
      </c>
      <c r="M32" s="33">
        <f>+SUMIFS(Tabla1[Avance_Med],Tabla1[nombre_actividad],'EV (4)'!$B32,Tabla1[Sistema],'EV (4)'!M$1)</f>
        <v>0</v>
      </c>
      <c r="N32" s="538" t="str">
        <f t="shared" si="0"/>
        <v/>
      </c>
      <c r="O32" s="536" t="str">
        <f>IF(N32&lt;&gt;"",_xlfn.XLOOKUP(A32,Catalogo!B35:B98,Catalogo!F35:F98)*N32,"")</f>
        <v/>
      </c>
      <c r="P32" s="553" t="str">
        <f t="shared" si="1"/>
        <v/>
      </c>
      <c r="Q32" s="554" t="str">
        <f t="shared" si="2"/>
        <v/>
      </c>
      <c r="R32" s="555"/>
    </row>
    <row r="33" spans="1:18" x14ac:dyDescent="0.25">
      <c r="A33" s="548">
        <v>4.5</v>
      </c>
      <c r="B33" s="535" t="s">
        <v>430</v>
      </c>
      <c r="C33" s="543">
        <f>+_xlfn.XLOOKUP(A33,Catalogo!$B:$B,Catalogo!D:D)</f>
        <v>105</v>
      </c>
      <c r="D33" s="561">
        <f>_xlfn.XLOOKUP(A33,Catalogo!B36:B99,Catalogo!F36:F99)</f>
        <v>2052</v>
      </c>
      <c r="E33" s="543" t="s">
        <v>97</v>
      </c>
      <c r="F33" s="116">
        <f>+SUMIFS(Tabla1[Avance_Med],Tabla1[nombre_actividad],'EV (4)'!$B33,Tabla1[Sistema],'EV (4)'!F$1)</f>
        <v>0</v>
      </c>
      <c r="G33" s="33">
        <f>+SUMIFS(Tabla1[Avance_Med],Tabla1[nombre_actividad],'EV (4)'!$B33,Tabla1[Sistema],'EV (4)'!G$1)</f>
        <v>0</v>
      </c>
      <c r="H33" s="33">
        <f>+SUMIFS(Tabla1[Avance_Med],Tabla1[nombre_actividad],'EV (4)'!$B33,Tabla1[Sistema],'EV (4)'!H$1)</f>
        <v>0</v>
      </c>
      <c r="I33" s="33">
        <f>+SUMIFS(Tabla1[Avance_Med],Tabla1[nombre_actividad],'EV (4)'!$B33,Tabla1[Sistema],'EV (4)'!I$1)</f>
        <v>0</v>
      </c>
      <c r="J33" s="33">
        <f>+SUMIFS(Tabla1[Avance_Med],Tabla1[nombre_actividad],'EV (4)'!$B33,Tabla1[Sistema],'EV (4)'!J$1)</f>
        <v>0</v>
      </c>
      <c r="K33" s="33">
        <f>+SUMIFS(Tabla1[Avance_Med],Tabla1[nombre_actividad],'EV (4)'!$B33,Tabla1[Sistema],'EV (4)'!K$1)</f>
        <v>0</v>
      </c>
      <c r="L33" s="33">
        <f>+SUMIFS(Tabla1[Avance_Med],Tabla1[nombre_actividad],'EV (4)'!$B33,Tabla1[Sistema],'EV (4)'!L$1)</f>
        <v>0</v>
      </c>
      <c r="M33" s="33">
        <f>+SUMIFS(Tabla1[Avance_Med],Tabla1[nombre_actividad],'EV (4)'!$B33,Tabla1[Sistema],'EV (4)'!M$1)</f>
        <v>0</v>
      </c>
      <c r="N33" s="538" t="str">
        <f t="shared" si="0"/>
        <v/>
      </c>
      <c r="O33" s="536" t="str">
        <f>IF(N33&lt;&gt;"",_xlfn.XLOOKUP(A33,Catalogo!B36:B99,Catalogo!F36:F99)*N33,"")</f>
        <v/>
      </c>
      <c r="P33" s="553" t="str">
        <f t="shared" si="1"/>
        <v/>
      </c>
      <c r="Q33" s="554" t="str">
        <f t="shared" si="2"/>
        <v/>
      </c>
      <c r="R33" s="555"/>
    </row>
    <row r="34" spans="1:18" x14ac:dyDescent="0.25">
      <c r="A34" s="548">
        <v>4.5999999999999996</v>
      </c>
      <c r="B34" s="535" t="s">
        <v>431</v>
      </c>
      <c r="C34" s="543">
        <f>+_xlfn.XLOOKUP(A34,Catalogo!$B:$B,Catalogo!D:D)</f>
        <v>105</v>
      </c>
      <c r="D34" s="561">
        <f>_xlfn.XLOOKUP(A34,Catalogo!B37:B100,Catalogo!F37:F100)</f>
        <v>3420</v>
      </c>
      <c r="E34" s="543" t="s">
        <v>97</v>
      </c>
      <c r="F34" s="116">
        <f>+SUMIFS(Tabla1[Avance_Med],Tabla1[nombre_actividad],'EV (4)'!$B34,Tabla1[Sistema],'EV (4)'!F$1)</f>
        <v>0</v>
      </c>
      <c r="G34" s="33">
        <f>+SUMIFS(Tabla1[Avance_Med],Tabla1[nombre_actividad],'EV (4)'!$B34,Tabla1[Sistema],'EV (4)'!G$1)</f>
        <v>0</v>
      </c>
      <c r="H34" s="33">
        <f>+SUMIFS(Tabla1[Avance_Med],Tabla1[nombre_actividad],'EV (4)'!$B34,Tabla1[Sistema],'EV (4)'!H$1)</f>
        <v>0</v>
      </c>
      <c r="I34" s="33">
        <f>+SUMIFS(Tabla1[Avance_Med],Tabla1[nombre_actividad],'EV (4)'!$B34,Tabla1[Sistema],'EV (4)'!I$1)</f>
        <v>0</v>
      </c>
      <c r="J34" s="33">
        <f>+SUMIFS(Tabla1[Avance_Med],Tabla1[nombre_actividad],'EV (4)'!$B34,Tabla1[Sistema],'EV (4)'!J$1)</f>
        <v>0</v>
      </c>
      <c r="K34" s="33">
        <f>+SUMIFS(Tabla1[Avance_Med],Tabla1[nombre_actividad],'EV (4)'!$B34,Tabla1[Sistema],'EV (4)'!K$1)</f>
        <v>0</v>
      </c>
      <c r="L34" s="33">
        <f>+SUMIFS(Tabla1[Avance_Med],Tabla1[nombre_actividad],'EV (4)'!$B34,Tabla1[Sistema],'EV (4)'!L$1)</f>
        <v>0</v>
      </c>
      <c r="M34" s="33">
        <f>+SUMIFS(Tabla1[Avance_Med],Tabla1[nombre_actividad],'EV (4)'!$B34,Tabla1[Sistema],'EV (4)'!M$1)</f>
        <v>0</v>
      </c>
      <c r="N34" s="538" t="str">
        <f t="shared" si="0"/>
        <v/>
      </c>
      <c r="O34" s="536" t="str">
        <f>IF(N34&lt;&gt;"",_xlfn.XLOOKUP(A34,Catalogo!B37:B100,Catalogo!F37:F100)*N34,"")</f>
        <v/>
      </c>
      <c r="P34" s="553" t="str">
        <f t="shared" si="1"/>
        <v/>
      </c>
      <c r="Q34" s="554" t="str">
        <f t="shared" si="2"/>
        <v/>
      </c>
      <c r="R34" s="555"/>
    </row>
    <row r="35" spans="1:18" x14ac:dyDescent="0.25">
      <c r="A35" s="548">
        <v>4.7</v>
      </c>
      <c r="B35" s="535" t="s">
        <v>432</v>
      </c>
      <c r="C35" s="543">
        <f>+_xlfn.XLOOKUP(A35,Catalogo!$B:$B,Catalogo!D:D)</f>
        <v>105</v>
      </c>
      <c r="D35" s="561">
        <f>_xlfn.XLOOKUP(A35,Catalogo!B38:B101,Catalogo!F38:F101)</f>
        <v>4212.3599999999997</v>
      </c>
      <c r="E35" s="543" t="s">
        <v>97</v>
      </c>
      <c r="F35" s="116">
        <f>+SUMIFS(Tabla1[Avance_Med],Tabla1[nombre_actividad],'EV (4)'!$B35,Tabla1[Sistema],'EV (4)'!F$1)</f>
        <v>0</v>
      </c>
      <c r="G35" s="33">
        <f>+SUMIFS(Tabla1[Avance_Med],Tabla1[nombre_actividad],'EV (4)'!$B35,Tabla1[Sistema],'EV (4)'!G$1)</f>
        <v>0</v>
      </c>
      <c r="H35" s="33">
        <f>+SUMIFS(Tabla1[Avance_Med],Tabla1[nombre_actividad],'EV (4)'!$B35,Tabla1[Sistema],'EV (4)'!H$1)</f>
        <v>0</v>
      </c>
      <c r="I35" s="33">
        <f>+SUMIFS(Tabla1[Avance_Med],Tabla1[nombre_actividad],'EV (4)'!$B35,Tabla1[Sistema],'EV (4)'!I$1)</f>
        <v>0</v>
      </c>
      <c r="J35" s="33">
        <f>+SUMIFS(Tabla1[Avance_Med],Tabla1[nombre_actividad],'EV (4)'!$B35,Tabla1[Sistema],'EV (4)'!J$1)</f>
        <v>0</v>
      </c>
      <c r="K35" s="33">
        <f>+SUMIFS(Tabla1[Avance_Med],Tabla1[nombre_actividad],'EV (4)'!$B35,Tabla1[Sistema],'EV (4)'!K$1)</f>
        <v>0</v>
      </c>
      <c r="L35" s="33">
        <f>+SUMIFS(Tabla1[Avance_Med],Tabla1[nombre_actividad],'EV (4)'!$B35,Tabla1[Sistema],'EV (4)'!L$1)</f>
        <v>0</v>
      </c>
      <c r="M35" s="33">
        <f>+SUMIFS(Tabla1[Avance_Med],Tabla1[nombre_actividad],'EV (4)'!$B35,Tabla1[Sistema],'EV (4)'!M$1)</f>
        <v>0</v>
      </c>
      <c r="N35" s="538" t="str">
        <f t="shared" si="0"/>
        <v/>
      </c>
      <c r="O35" s="536" t="str">
        <f>IF(N35&lt;&gt;"",_xlfn.XLOOKUP(A35,Catalogo!B38:B101,Catalogo!F38:F101)*N35,"")</f>
        <v/>
      </c>
      <c r="P35" s="553" t="str">
        <f t="shared" si="1"/>
        <v/>
      </c>
      <c r="Q35" s="554" t="str">
        <f t="shared" si="2"/>
        <v/>
      </c>
      <c r="R35" s="555"/>
    </row>
    <row r="36" spans="1:18" x14ac:dyDescent="0.25">
      <c r="A36" s="548">
        <v>4.8</v>
      </c>
      <c r="B36" s="535" t="s">
        <v>433</v>
      </c>
      <c r="C36" s="543">
        <f>+_xlfn.XLOOKUP(A36,Catalogo!$B:$B,Catalogo!D:D)</f>
        <v>105</v>
      </c>
      <c r="D36" s="561">
        <f>_xlfn.XLOOKUP(A36,Catalogo!B39:B102,Catalogo!F39:F102)</f>
        <v>1368</v>
      </c>
      <c r="E36" s="543" t="s">
        <v>97</v>
      </c>
      <c r="F36" s="116">
        <f>+SUMIFS(Tabla1[Avance_Med],Tabla1[nombre_actividad],'EV (4)'!$B36,Tabla1[Sistema],'EV (4)'!F$1)</f>
        <v>0</v>
      </c>
      <c r="G36" s="33">
        <f>+SUMIFS(Tabla1[Avance_Med],Tabla1[nombre_actividad],'EV (4)'!$B36,Tabla1[Sistema],'EV (4)'!G$1)</f>
        <v>0</v>
      </c>
      <c r="H36" s="33">
        <f>+SUMIFS(Tabla1[Avance_Med],Tabla1[nombre_actividad],'EV (4)'!$B36,Tabla1[Sistema],'EV (4)'!H$1)</f>
        <v>0</v>
      </c>
      <c r="I36" s="33">
        <f>+SUMIFS(Tabla1[Avance_Med],Tabla1[nombre_actividad],'EV (4)'!$B36,Tabla1[Sistema],'EV (4)'!I$1)</f>
        <v>0</v>
      </c>
      <c r="J36" s="33">
        <f>+SUMIFS(Tabla1[Avance_Med],Tabla1[nombre_actividad],'EV (4)'!$B36,Tabla1[Sistema],'EV (4)'!J$1)</f>
        <v>0</v>
      </c>
      <c r="K36" s="33">
        <f>+SUMIFS(Tabla1[Avance_Med],Tabla1[nombre_actividad],'EV (4)'!$B36,Tabla1[Sistema],'EV (4)'!K$1)</f>
        <v>0</v>
      </c>
      <c r="L36" s="33">
        <f>+SUMIFS(Tabla1[Avance_Med],Tabla1[nombre_actividad],'EV (4)'!$B36,Tabla1[Sistema],'EV (4)'!L$1)</f>
        <v>0</v>
      </c>
      <c r="M36" s="33">
        <f>+SUMIFS(Tabla1[Avance_Med],Tabla1[nombre_actividad],'EV (4)'!$B36,Tabla1[Sistema],'EV (4)'!M$1)</f>
        <v>0</v>
      </c>
      <c r="N36" s="538" t="str">
        <f t="shared" si="0"/>
        <v/>
      </c>
      <c r="O36" s="536" t="str">
        <f>IF(N36&lt;&gt;"",_xlfn.XLOOKUP(A36,Catalogo!B39:B102,Catalogo!F39:F102)*N36,"")</f>
        <v/>
      </c>
      <c r="P36" s="553" t="str">
        <f t="shared" si="1"/>
        <v/>
      </c>
      <c r="Q36" s="554" t="str">
        <f t="shared" si="2"/>
        <v/>
      </c>
      <c r="R36" s="555"/>
    </row>
    <row r="37" spans="1:18" x14ac:dyDescent="0.25">
      <c r="A37" s="548">
        <v>4.9000000000000004</v>
      </c>
      <c r="B37" s="535" t="s">
        <v>434</v>
      </c>
      <c r="C37" s="542">
        <f>+_xlfn.XLOOKUP(A37,Catalogo!$B:$B,Catalogo!D:D)</f>
        <v>100</v>
      </c>
      <c r="D37" s="560">
        <f>_xlfn.XLOOKUP(A37,Catalogo!B40:B103,Catalogo!F40:F103)</f>
        <v>7244.35</v>
      </c>
      <c r="E37" s="542" t="s">
        <v>646</v>
      </c>
      <c r="F37" s="116">
        <f>+SUMIFS(Tabla1[Avance_Med],Tabla1[nombre_actividad],'EV (4)'!$B37,Tabla1[Sistema],'EV (4)'!F$1)</f>
        <v>24</v>
      </c>
      <c r="G37" s="33">
        <f>+SUMIFS(Tabla1[Avance_Med],Tabla1[nombre_actividad],'EV (4)'!$B37,Tabla1[Sistema],'EV (4)'!G$1)</f>
        <v>0</v>
      </c>
      <c r="H37" s="33">
        <f>+SUMIFS(Tabla1[Avance_Med],Tabla1[nombre_actividad],'EV (4)'!$B37,Tabla1[Sistema],'EV (4)'!H$1)</f>
        <v>0</v>
      </c>
      <c r="I37" s="33">
        <f>+SUMIFS(Tabla1[Avance_Med],Tabla1[nombre_actividad],'EV (4)'!$B37,Tabla1[Sistema],'EV (4)'!I$1)</f>
        <v>0</v>
      </c>
      <c r="J37" s="33">
        <f>+SUMIFS(Tabla1[Avance_Med],Tabla1[nombre_actividad],'EV (4)'!$B37,Tabla1[Sistema],'EV (4)'!J$1)</f>
        <v>0</v>
      </c>
      <c r="K37" s="33">
        <f>+SUMIFS(Tabla1[Avance_Med],Tabla1[nombre_actividad],'EV (4)'!$B37,Tabla1[Sistema],'EV (4)'!K$1)</f>
        <v>0</v>
      </c>
      <c r="L37" s="33">
        <f>+SUMIFS(Tabla1[Avance_Med],Tabla1[nombre_actividad],'EV (4)'!$B37,Tabla1[Sistema],'EV (4)'!L$1)</f>
        <v>0</v>
      </c>
      <c r="M37" s="33">
        <f>+SUMIFS(Tabla1[Avance_Med],Tabla1[nombre_actividad],'EV (4)'!$B37,Tabla1[Sistema],'EV (4)'!M$1)</f>
        <v>0</v>
      </c>
      <c r="N37" s="538">
        <f t="shared" si="0"/>
        <v>24</v>
      </c>
      <c r="O37" s="536">
        <f>IF(N37&lt;&gt;"",_xlfn.XLOOKUP(A37,Catalogo!B40:B103,Catalogo!F40:F103)*N37,"")</f>
        <v>173864.40000000002</v>
      </c>
      <c r="P37" s="553">
        <f t="shared" si="1"/>
        <v>0.24</v>
      </c>
      <c r="Q37" s="554">
        <f t="shared" si="2"/>
        <v>0.76</v>
      </c>
      <c r="R37" s="555"/>
    </row>
    <row r="38" spans="1:18" x14ac:dyDescent="0.25">
      <c r="A38" s="549" t="s">
        <v>523</v>
      </c>
      <c r="B38" s="535" t="s">
        <v>435</v>
      </c>
      <c r="C38" s="542">
        <f>+_xlfn.XLOOKUP(A38,Catalogo!$B:$B,Catalogo!D:D)</f>
        <v>500</v>
      </c>
      <c r="D38" s="560">
        <f>_xlfn.XLOOKUP(A38,Catalogo!B41:B104,Catalogo!F41:F104)</f>
        <v>6977.93</v>
      </c>
      <c r="E38" s="542" t="s">
        <v>646</v>
      </c>
      <c r="F38" s="116">
        <f>+SUMIFS(Tabla1[Avance_Med],Tabla1[nombre_actividad],'EV (4)'!$B38,Tabla1[Sistema],'EV (4)'!F$1)</f>
        <v>0</v>
      </c>
      <c r="G38" s="33">
        <f>+SUMIFS(Tabla1[Avance_Med],Tabla1[nombre_actividad],'EV (4)'!$B38,Tabla1[Sistema],'EV (4)'!G$1)</f>
        <v>24</v>
      </c>
      <c r="H38" s="33">
        <f>+SUMIFS(Tabla1[Avance_Med],Tabla1[nombre_actividad],'EV (4)'!$B38,Tabla1[Sistema],'EV (4)'!H$1)</f>
        <v>0</v>
      </c>
      <c r="I38" s="33">
        <f>+SUMIFS(Tabla1[Avance_Med],Tabla1[nombre_actividad],'EV (4)'!$B38,Tabla1[Sistema],'EV (4)'!I$1)</f>
        <v>0</v>
      </c>
      <c r="J38" s="33">
        <f>+SUMIFS(Tabla1[Avance_Med],Tabla1[nombre_actividad],'EV (4)'!$B38,Tabla1[Sistema],'EV (4)'!J$1)</f>
        <v>0</v>
      </c>
      <c r="K38" s="33">
        <f>+SUMIFS(Tabla1[Avance_Med],Tabla1[nombre_actividad],'EV (4)'!$B38,Tabla1[Sistema],'EV (4)'!K$1)</f>
        <v>0</v>
      </c>
      <c r="L38" s="33">
        <f>+SUMIFS(Tabla1[Avance_Med],Tabla1[nombre_actividad],'EV (4)'!$B38,Tabla1[Sistema],'EV (4)'!L$1)</f>
        <v>0</v>
      </c>
      <c r="M38" s="33">
        <f>+SUMIFS(Tabla1[Avance_Med],Tabla1[nombre_actividad],'EV (4)'!$B38,Tabla1[Sistema],'EV (4)'!M$1)</f>
        <v>0</v>
      </c>
      <c r="N38" s="538">
        <f t="shared" si="0"/>
        <v>24</v>
      </c>
      <c r="O38" s="536">
        <f>IF(N38&lt;&gt;"",_xlfn.XLOOKUP(A38,Catalogo!B41:B104,Catalogo!F41:F104)*N38,"")</f>
        <v>167470.32</v>
      </c>
      <c r="P38" s="553">
        <f t="shared" si="1"/>
        <v>4.8000000000000001E-2</v>
      </c>
      <c r="Q38" s="554">
        <f t="shared" si="2"/>
        <v>0.95199999999999996</v>
      </c>
      <c r="R38" s="555"/>
    </row>
    <row r="39" spans="1:18" x14ac:dyDescent="0.25">
      <c r="A39" s="550">
        <v>4.1100000000000003</v>
      </c>
      <c r="B39" s="535" t="s">
        <v>436</v>
      </c>
      <c r="C39" s="542">
        <f>+_xlfn.XLOOKUP(A39,Catalogo!$B:$B,Catalogo!D:D)</f>
        <v>800</v>
      </c>
      <c r="D39" s="560">
        <f>_xlfn.XLOOKUP(A39,Catalogo!B42:B105,Catalogo!F42:F105)</f>
        <v>8275.99</v>
      </c>
      <c r="E39" s="542" t="s">
        <v>646</v>
      </c>
      <c r="F39" s="116">
        <f>+SUMIFS(Tabla1[Avance_Med],Tabla1[nombre_actividad],'EV (4)'!$B39,Tabla1[Sistema],'EV (4)'!F$1)</f>
        <v>0</v>
      </c>
      <c r="G39" s="33">
        <f>+SUMIFS(Tabla1[Avance_Med],Tabla1[nombre_actividad],'EV (4)'!$B39,Tabla1[Sistema],'EV (4)'!G$1)</f>
        <v>0</v>
      </c>
      <c r="H39" s="33">
        <f>+SUMIFS(Tabla1[Avance_Med],Tabla1[nombre_actividad],'EV (4)'!$B39,Tabla1[Sistema],'EV (4)'!H$1)</f>
        <v>0</v>
      </c>
      <c r="I39" s="33">
        <f>+SUMIFS(Tabla1[Avance_Med],Tabla1[nombre_actividad],'EV (4)'!$B39,Tabla1[Sistema],'EV (4)'!I$1)</f>
        <v>0</v>
      </c>
      <c r="J39" s="33">
        <f>+SUMIFS(Tabla1[Avance_Med],Tabla1[nombre_actividad],'EV (4)'!$B39,Tabla1[Sistema],'EV (4)'!J$1)</f>
        <v>0</v>
      </c>
      <c r="K39" s="33">
        <f>+SUMIFS(Tabla1[Avance_Med],Tabla1[nombre_actividad],'EV (4)'!$B39,Tabla1[Sistema],'EV (4)'!K$1)</f>
        <v>0</v>
      </c>
      <c r="L39" s="33">
        <f>+SUMIFS(Tabla1[Avance_Med],Tabla1[nombre_actividad],'EV (4)'!$B39,Tabla1[Sistema],'EV (4)'!L$1)</f>
        <v>0</v>
      </c>
      <c r="M39" s="33">
        <f>+SUMIFS(Tabla1[Avance_Med],Tabla1[nombre_actividad],'EV (4)'!$B39,Tabla1[Sistema],'EV (4)'!M$1)</f>
        <v>0</v>
      </c>
      <c r="N39" s="538" t="str">
        <f t="shared" si="0"/>
        <v/>
      </c>
      <c r="O39" s="536" t="str">
        <f>IF(N39&lt;&gt;"",_xlfn.XLOOKUP(A39,Catalogo!B42:B105,Catalogo!F42:F105)*N39,"")</f>
        <v/>
      </c>
      <c r="P39" s="553" t="str">
        <f t="shared" si="1"/>
        <v/>
      </c>
      <c r="Q39" s="554" t="str">
        <f t="shared" si="2"/>
        <v/>
      </c>
      <c r="R39" s="555"/>
    </row>
    <row r="40" spans="1:18" x14ac:dyDescent="0.25">
      <c r="A40" s="550">
        <v>4.12</v>
      </c>
      <c r="B40" s="535" t="s">
        <v>437</v>
      </c>
      <c r="C40" s="542">
        <f>+_xlfn.XLOOKUP(A40,Catalogo!$B:$B,Catalogo!D:D)</f>
        <v>105</v>
      </c>
      <c r="D40" s="560">
        <f>_xlfn.XLOOKUP(A40,Catalogo!B43:B106,Catalogo!F43:F106)</f>
        <v>4409.2299999999996</v>
      </c>
      <c r="E40" s="542" t="s">
        <v>97</v>
      </c>
      <c r="F40" s="116">
        <f>+SUMIFS(Tabla1[Avance_Med],Tabla1[nombre_actividad],'EV (4)'!$B40,Tabla1[Sistema],'EV (4)'!F$1)</f>
        <v>0</v>
      </c>
      <c r="G40" s="33">
        <f>+SUMIFS(Tabla1[Avance_Med],Tabla1[nombre_actividad],'EV (4)'!$B40,Tabla1[Sistema],'EV (4)'!G$1)</f>
        <v>0</v>
      </c>
      <c r="H40" s="33">
        <f>+SUMIFS(Tabla1[Avance_Med],Tabla1[nombre_actividad],'EV (4)'!$B40,Tabla1[Sistema],'EV (4)'!H$1)</f>
        <v>0</v>
      </c>
      <c r="I40" s="33">
        <f>+SUMIFS(Tabla1[Avance_Med],Tabla1[nombre_actividad],'EV (4)'!$B40,Tabla1[Sistema],'EV (4)'!I$1)</f>
        <v>0</v>
      </c>
      <c r="J40" s="33">
        <f>+SUMIFS(Tabla1[Avance_Med],Tabla1[nombre_actividad],'EV (4)'!$B40,Tabla1[Sistema],'EV (4)'!J$1)</f>
        <v>0</v>
      </c>
      <c r="K40" s="33">
        <f>+SUMIFS(Tabla1[Avance_Med],Tabla1[nombre_actividad],'EV (4)'!$B40,Tabla1[Sistema],'EV (4)'!K$1)</f>
        <v>0</v>
      </c>
      <c r="L40" s="33">
        <f>+SUMIFS(Tabla1[Avance_Med],Tabla1[nombre_actividad],'EV (4)'!$B40,Tabla1[Sistema],'EV (4)'!L$1)</f>
        <v>0</v>
      </c>
      <c r="M40" s="33">
        <f>+SUMIFS(Tabla1[Avance_Med],Tabla1[nombre_actividad],'EV (4)'!$B40,Tabla1[Sistema],'EV (4)'!M$1)</f>
        <v>0</v>
      </c>
      <c r="N40" s="538" t="str">
        <f t="shared" si="0"/>
        <v/>
      </c>
      <c r="O40" s="536" t="str">
        <f>IF(N40&lt;&gt;"",_xlfn.XLOOKUP(A40,Catalogo!B43:B106,Catalogo!F43:F106)*N40,"")</f>
        <v/>
      </c>
      <c r="P40" s="553" t="str">
        <f t="shared" si="1"/>
        <v/>
      </c>
      <c r="Q40" s="554" t="str">
        <f t="shared" si="2"/>
        <v/>
      </c>
    </row>
    <row r="41" spans="1:18" x14ac:dyDescent="0.25">
      <c r="C41"/>
      <c r="D41"/>
      <c r="E41"/>
      <c r="F41"/>
      <c r="O41" s="537"/>
    </row>
    <row r="42" spans="1:18" ht="18" x14ac:dyDescent="0.25">
      <c r="C42"/>
      <c r="D42"/>
      <c r="E42"/>
      <c r="F42"/>
      <c r="O42" s="540">
        <f>SUM(O3:O41)</f>
        <v>11234064.702299997</v>
      </c>
      <c r="P42" s="291">
        <f>+'EV (2)'!AN5+'EV (4)'!O42</f>
        <v>71142.86229999736</v>
      </c>
      <c r="Q42" s="541">
        <f>-O42/'EV (2)'!AO5</f>
        <v>1.0063731398749987</v>
      </c>
      <c r="R42" s="552">
        <f>1-Q42</f>
        <v>-6.3731398749986568E-3</v>
      </c>
    </row>
    <row r="43" spans="1:18" x14ac:dyDescent="0.25">
      <c r="C43"/>
      <c r="D43"/>
      <c r="E43"/>
      <c r="F43"/>
      <c r="O43" s="551" t="str">
        <f ca="1">+IF(O42=EV!AC35,"CHECKED","NO CUADRA")</f>
        <v>CHECKED</v>
      </c>
    </row>
    <row r="44" spans="1:18" x14ac:dyDescent="0.25">
      <c r="C44"/>
      <c r="D44"/>
      <c r="E44"/>
      <c r="F44"/>
      <c r="O44" s="229"/>
    </row>
    <row r="45" spans="1:18" x14ac:dyDescent="0.25">
      <c r="C45"/>
      <c r="D45"/>
      <c r="E45"/>
      <c r="F45"/>
    </row>
  </sheetData>
  <phoneticPr fontId="25" type="noConversion"/>
  <conditionalFormatting sqref="F3:M40">
    <cfRule type="cellIs" dxfId="23" priority="8" operator="equal">
      <formula>0</formula>
    </cfRule>
  </conditionalFormatting>
  <conditionalFormatting sqref="O43">
    <cfRule type="beginsWith" dxfId="22" priority="7" operator="beginsWith" text="NO">
      <formula>LEFT(O43,LEN("NO"))="NO"</formula>
    </cfRule>
  </conditionalFormatting>
  <conditionalFormatting sqref="P3:P40">
    <cfRule type="dataBar" priority="3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{205D0839-F12B-4FE9-9E30-D1F0A0D37887}</x14:id>
        </ext>
      </extLst>
    </cfRule>
  </conditionalFormatting>
  <conditionalFormatting sqref="Q3:Q40">
    <cfRule type="dataBar" priority="1">
      <dataBar>
        <cfvo type="percent" val="0"/>
        <cfvo type="num" val="1"/>
        <color rgb="FFFF555A"/>
      </dataBar>
      <extLst>
        <ext xmlns:x14="http://schemas.microsoft.com/office/spreadsheetml/2009/9/main" uri="{B025F937-C7B1-47D3-B67F-A62EFF666E3E}">
          <x14:id>{E2550CA0-104A-4B93-9DD1-147E2D329489}</x14:id>
        </ext>
      </extLst>
    </cfRule>
    <cfRule type="dataBar" priority="2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{F42F256D-00A0-4E43-BA2F-CD6977C58DE2}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5D0839-F12B-4FE9-9E30-D1F0A0D37887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P3:P40</xm:sqref>
        </x14:conditionalFormatting>
        <x14:conditionalFormatting xmlns:xm="http://schemas.microsoft.com/office/excel/2006/main">
          <x14:cfRule type="dataBar" id="{E2550CA0-104A-4B93-9DD1-147E2D329489}">
            <x14:dataBar minLength="0" maxLength="100" gradient="0" direction="rightToLeft" axisPosition="middle">
              <x14:cfvo type="percent">
                <xm:f>0</xm:f>
              </x14:cfvo>
              <x14:cfvo type="num">
                <xm:f>1</xm:f>
              </x14:cfvo>
              <x14:negativeFillColor theme="1"/>
              <x14:axisColor rgb="FF000000"/>
            </x14:dataBar>
          </x14:cfRule>
          <x14:cfRule type="dataBar" id="{F42F256D-00A0-4E43-BA2F-CD6977C58DE2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Q3:Q40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58B4E-0B18-40AE-AF9D-F7592B4F77B9}">
  <dimension ref="A1:D14"/>
  <sheetViews>
    <sheetView showGridLines="0" tabSelected="1" zoomScale="160" zoomScaleNormal="160" workbookViewId="0">
      <selection activeCell="D14" sqref="A1:D14"/>
    </sheetView>
  </sheetViews>
  <sheetFormatPr baseColWidth="10" defaultRowHeight="15" x14ac:dyDescent="0.25"/>
  <cols>
    <col min="1" max="1" width="14.42578125" customWidth="1"/>
    <col min="2" max="2" width="13.28515625" customWidth="1"/>
    <col min="3" max="3" width="14" bestFit="1" customWidth="1"/>
    <col min="4" max="4" width="11.42578125" style="76"/>
    <col min="5" max="5" width="11.7109375" bestFit="1" customWidth="1"/>
  </cols>
  <sheetData>
    <row r="1" spans="1:4" s="76" customFormat="1" x14ac:dyDescent="0.25">
      <c r="A1" s="76" t="s">
        <v>174</v>
      </c>
      <c r="B1" s="76" t="s">
        <v>659</v>
      </c>
      <c r="C1" s="76" t="s">
        <v>343</v>
      </c>
      <c r="D1" s="76" t="s">
        <v>656</v>
      </c>
    </row>
    <row r="2" spans="1:4" x14ac:dyDescent="0.25">
      <c r="A2" s="576">
        <v>45962</v>
      </c>
      <c r="B2" s="577" t="str">
        <f>TEXT(A2,"mmm")&amp;" "&amp;YEAR(A2)</f>
        <v>nov 2025</v>
      </c>
      <c r="C2" s="307">
        <f>+SUMIFS(Tabla1[EV],Tabla1[Fecha],"&gt;="&amp;$A2,Tabla1[Fecha],"&lt;="&amp;EOMONTH($A2,0),Tabla1[EV],"&gt;0")</f>
        <v>1796316.4831999999</v>
      </c>
      <c r="D2" s="116" t="s">
        <v>657</v>
      </c>
    </row>
    <row r="3" spans="1:4" x14ac:dyDescent="0.25">
      <c r="A3" s="576">
        <v>45992</v>
      </c>
      <c r="B3" s="577" t="str">
        <f t="shared" ref="B3:B13" si="0">TEXT(A3,"mmm")&amp;" "&amp;YEAR(A3)</f>
        <v>dic 2025</v>
      </c>
      <c r="C3" s="307">
        <f>+SUMIFS(Tabla1[EV],Tabla1[Fecha],"&gt;="&amp;$A3,Tabla1[Fecha],"&lt;="&amp;EOMONTH($A3,0),Tabla1[EV],"&gt;0")</f>
        <v>1538628.9995499998</v>
      </c>
      <c r="D3" s="116" t="s">
        <v>657</v>
      </c>
    </row>
    <row r="4" spans="1:4" x14ac:dyDescent="0.25">
      <c r="A4" s="576">
        <v>46023</v>
      </c>
      <c r="B4" s="577" t="str">
        <f t="shared" si="0"/>
        <v>ene 2026</v>
      </c>
      <c r="C4" s="307">
        <f>+SUMIFS(Tabla1[EV],Tabla1[Fecha],"&gt;="&amp;$A4,Tabla1[Fecha],"&lt;="&amp;EOMONTH($A4,0),Tabla1[EV],"&gt;0")</f>
        <v>1363213.0780099996</v>
      </c>
      <c r="D4" s="116" t="s">
        <v>657</v>
      </c>
    </row>
    <row r="5" spans="1:4" x14ac:dyDescent="0.25">
      <c r="A5" s="576">
        <v>46054</v>
      </c>
      <c r="B5" s="577" t="str">
        <f t="shared" si="0"/>
        <v>feb 2026</v>
      </c>
      <c r="C5" s="307">
        <f>+SUMIFS(Tabla1[EV],Tabla1[Fecha],"&gt;="&amp;$A5,Tabla1[Fecha],"&lt;="&amp;EOMONTH($A5,0),Tabla1[EV],"&gt;0")</f>
        <v>83844</v>
      </c>
      <c r="D5" s="116" t="s">
        <v>657</v>
      </c>
    </row>
    <row r="6" spans="1:4" x14ac:dyDescent="0.25">
      <c r="A6" s="576">
        <v>46082</v>
      </c>
      <c r="B6" s="577" t="str">
        <f t="shared" si="0"/>
        <v>mar 2026</v>
      </c>
      <c r="C6" s="307">
        <f>+SUMIFS(Tabla1[EV],Tabla1[Fecha],"&gt;="&amp;$A6,Tabla1[Fecha],"&lt;="&amp;EOMONTH($A6,0),Tabla1[EV],"&gt;0")</f>
        <v>1512809.8920000005</v>
      </c>
      <c r="D6" s="116" t="s">
        <v>657</v>
      </c>
    </row>
    <row r="7" spans="1:4" x14ac:dyDescent="0.25">
      <c r="A7" s="576">
        <v>46113</v>
      </c>
      <c r="B7" s="577" t="str">
        <f t="shared" si="0"/>
        <v>abr 2026</v>
      </c>
      <c r="C7" s="307">
        <f>+SUMIFS(Tabla1[EV],Tabla1[Fecha],"&gt;="&amp;$A7,Tabla1[Fecha],"&lt;="&amp;EOMONTH($A7,0),Tabla1[EV],"&gt;0")</f>
        <v>312307.15576999995</v>
      </c>
      <c r="D7" s="116" t="s">
        <v>657</v>
      </c>
    </row>
    <row r="8" spans="1:4" x14ac:dyDescent="0.25">
      <c r="A8" s="576">
        <v>46143</v>
      </c>
      <c r="B8" s="577" t="str">
        <f t="shared" si="0"/>
        <v>may 2026</v>
      </c>
      <c r="C8" s="307">
        <f>+SUMIFS(Tabla1[EV],Tabla1[Fecha],"&gt;="&amp;$A8,Tabla1[Fecha],"&lt;="&amp;EOMONTH($A8,0),Tabla1[EV],"&gt;0")</f>
        <v>441435.45984999998</v>
      </c>
      <c r="D8" s="116" t="s">
        <v>657</v>
      </c>
    </row>
    <row r="9" spans="1:4" x14ac:dyDescent="0.25">
      <c r="A9" s="576">
        <v>46174</v>
      </c>
      <c r="B9" s="577" t="str">
        <f t="shared" si="0"/>
        <v>jun 2026</v>
      </c>
      <c r="C9" s="307">
        <f>+SUMIFS(Tabla1[EV],Tabla1[Fecha],"&gt;="&amp;$A9,Tabla1[Fecha],"&lt;="&amp;EOMONTH($A9,0),Tabla1[EV],"&gt;0")</f>
        <v>307419.66662000003</v>
      </c>
      <c r="D9" s="116" t="s">
        <v>657</v>
      </c>
    </row>
    <row r="10" spans="1:4" x14ac:dyDescent="0.25">
      <c r="A10" s="576">
        <v>46204</v>
      </c>
      <c r="B10" s="577" t="str">
        <f t="shared" si="0"/>
        <v>jul 2026</v>
      </c>
      <c r="C10" s="307">
        <f>+SUMIFS(Tabla1[EV],Tabla1[Fecha],"&gt;="&amp;$A10,Tabla1[Fecha],"&lt;="&amp;EOMONTH($A10,0),Tabla1[EV],"&gt;0")</f>
        <v>371107.12551999994</v>
      </c>
      <c r="D10" s="116" t="s">
        <v>657</v>
      </c>
    </row>
    <row r="11" spans="1:4" x14ac:dyDescent="0.25">
      <c r="A11" s="576">
        <v>46235</v>
      </c>
      <c r="B11" s="577" t="str">
        <f t="shared" si="0"/>
        <v>ago 2026</v>
      </c>
      <c r="C11" s="307">
        <f>+SUMIFS(Tabla1[EV],Tabla1[Fecha],"&gt;="&amp;$A11,Tabla1[Fecha],"&lt;="&amp;EOMONTH($A11,0),Tabla1[EV],"&gt;0")</f>
        <v>1024464.1317800004</v>
      </c>
      <c r="D11" s="116" t="s">
        <v>657</v>
      </c>
    </row>
    <row r="12" spans="1:4" x14ac:dyDescent="0.25">
      <c r="A12" s="576">
        <v>46266</v>
      </c>
      <c r="B12" s="577" t="str">
        <f t="shared" si="0"/>
        <v>sep 2026</v>
      </c>
      <c r="C12" s="307">
        <f>+SUMIFS(Tabla1[EV],Tabla1[Fecha],"&gt;="&amp;$A12,Tabla1[Fecha],"&lt;="&amp;EOMONTH($A12,0),Tabla1[EV],"&gt;0")</f>
        <v>1193006.1346000009</v>
      </c>
      <c r="D12" s="116" t="s">
        <v>657</v>
      </c>
    </row>
    <row r="13" spans="1:4" x14ac:dyDescent="0.25">
      <c r="A13" s="576">
        <v>46296</v>
      </c>
      <c r="B13" s="577" t="str">
        <f t="shared" si="0"/>
        <v>oct 2026</v>
      </c>
      <c r="C13" s="307">
        <f>+SUMIFS(Tabla1[EV],Tabla1[Fecha],"&gt;="&amp;$A13,Tabla1[Fecha],"&lt;="&amp;EOMONTH($A13,0),Tabla1[EV],"&gt;0")</f>
        <v>1289512.5754000002</v>
      </c>
      <c r="D13" s="116" t="s">
        <v>657</v>
      </c>
    </row>
    <row r="14" spans="1:4" x14ac:dyDescent="0.25">
      <c r="A14" s="576">
        <v>46321</v>
      </c>
      <c r="B14" s="235" t="s">
        <v>508</v>
      </c>
      <c r="C14" s="578">
        <f>SUM(C2:C13)</f>
        <v>11234064.702300001</v>
      </c>
      <c r="D14" s="116" t="s">
        <v>658</v>
      </c>
    </row>
  </sheetData>
  <phoneticPr fontId="25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2EEF-56FE-47FB-AB86-BD987ED21648}">
  <sheetPr codeName="Hoja30"/>
  <dimension ref="A1:BM115"/>
  <sheetViews>
    <sheetView showGridLines="0" topLeftCell="A3" zoomScale="90" zoomScaleNormal="90" workbookViewId="0">
      <selection activeCell="B38" sqref="B38"/>
    </sheetView>
  </sheetViews>
  <sheetFormatPr baseColWidth="10" defaultColWidth="11.42578125" defaultRowHeight="15" x14ac:dyDescent="0.25"/>
  <cols>
    <col min="1" max="1" width="17.85546875" style="61" bestFit="1" customWidth="1"/>
    <col min="2" max="2" width="12.85546875" style="61" bestFit="1" customWidth="1"/>
    <col min="3" max="7" width="12.28515625" style="61" customWidth="1"/>
    <col min="8" max="8" width="13.42578125" style="61" bestFit="1" customWidth="1"/>
    <col min="9" max="9" width="15" style="61" bestFit="1" customWidth="1"/>
    <col min="10" max="10" width="16.42578125" style="61" bestFit="1" customWidth="1"/>
    <col min="11" max="11" width="17.85546875" style="61" bestFit="1" customWidth="1"/>
    <col min="12" max="12" width="12.7109375" style="61" bestFit="1" customWidth="1"/>
    <col min="13" max="14" width="11.5703125" style="61" bestFit="1" customWidth="1"/>
    <col min="15" max="15" width="11" style="61" customWidth="1"/>
    <col min="16" max="16" width="9.85546875" style="61" bestFit="1" customWidth="1"/>
    <col min="17" max="17" width="8.28515625" style="61" bestFit="1" customWidth="1"/>
    <col min="18" max="18" width="4.28515625" style="61" bestFit="1" customWidth="1"/>
    <col min="19" max="19" width="7.42578125" style="61" bestFit="1" customWidth="1"/>
    <col min="20" max="20" width="8.7109375" style="61" customWidth="1"/>
    <col min="21" max="21" width="10.28515625" style="61" customWidth="1"/>
    <col min="22" max="22" width="10.85546875" style="61" customWidth="1"/>
    <col min="23" max="27" width="8.7109375" style="61" customWidth="1"/>
    <col min="28" max="28" width="16" style="61" bestFit="1" customWidth="1"/>
    <col min="29" max="29" width="15.140625" style="61" bestFit="1" customWidth="1"/>
    <col min="30" max="30" width="10.85546875" style="61" bestFit="1" customWidth="1"/>
    <col min="31" max="31" width="10.28515625" style="61" bestFit="1" customWidth="1"/>
    <col min="32" max="39" width="11.42578125" style="61" bestFit="1" customWidth="1"/>
    <col min="40" max="40" width="10.85546875" style="61" bestFit="1" customWidth="1"/>
    <col min="41" max="42" width="11.28515625" style="61" bestFit="1" customWidth="1"/>
    <col min="43" max="43" width="11" style="61" bestFit="1" customWidth="1"/>
    <col min="44" max="44" width="11.42578125" style="61" bestFit="1" customWidth="1"/>
    <col min="45" max="45" width="11.28515625" style="61" bestFit="1" customWidth="1"/>
    <col min="46" max="46" width="11.42578125" style="61" bestFit="1" customWidth="1"/>
    <col min="47" max="48" width="11" style="61" bestFit="1" customWidth="1"/>
    <col min="49" max="51" width="14.7109375" style="61" bestFit="1" customWidth="1"/>
    <col min="52" max="52" width="11.42578125" style="61" bestFit="1" customWidth="1"/>
    <col min="53" max="54" width="15.42578125" style="61" bestFit="1" customWidth="1"/>
    <col min="55" max="69" width="12.28515625" style="61" bestFit="1" customWidth="1"/>
    <col min="70" max="70" width="11.28515625" style="61" bestFit="1" customWidth="1"/>
    <col min="71" max="92" width="12.28515625" style="61" bestFit="1" customWidth="1"/>
    <col min="93" max="93" width="5.42578125" style="61" bestFit="1" customWidth="1"/>
    <col min="94" max="94" width="12.42578125" style="61" bestFit="1" customWidth="1"/>
    <col min="95" max="16384" width="11.42578125" style="61"/>
  </cols>
  <sheetData>
    <row r="1" spans="1:57" s="294" customFormat="1" ht="81.75" customHeight="1" x14ac:dyDescent="0.25">
      <c r="B1" s="297" t="s">
        <v>79</v>
      </c>
      <c r="C1" s="297" t="s">
        <v>80</v>
      </c>
      <c r="D1" s="297" t="s">
        <v>78</v>
      </c>
      <c r="E1" s="461" t="s">
        <v>555</v>
      </c>
      <c r="F1" s="297" t="s">
        <v>556</v>
      </c>
      <c r="G1" s="297" t="s">
        <v>557</v>
      </c>
      <c r="H1" s="303" t="s">
        <v>440</v>
      </c>
      <c r="J1" s="411"/>
      <c r="L1" s="297" t="s">
        <v>79</v>
      </c>
      <c r="M1" s="297" t="s">
        <v>80</v>
      </c>
      <c r="N1" s="297" t="s">
        <v>78</v>
      </c>
      <c r="O1" s="461" t="s">
        <v>555</v>
      </c>
      <c r="P1" s="461" t="s">
        <v>556</v>
      </c>
      <c r="Q1" s="297" t="s">
        <v>557</v>
      </c>
      <c r="R1" s="303" t="s">
        <v>440</v>
      </c>
      <c r="U1" s="461" t="s">
        <v>555</v>
      </c>
      <c r="V1" s="461" t="s">
        <v>556</v>
      </c>
      <c r="W1" s="297" t="s">
        <v>557</v>
      </c>
    </row>
    <row r="2" spans="1:57" s="76" customFormat="1" x14ac:dyDescent="0.25">
      <c r="B2" s="298" t="s">
        <v>108</v>
      </c>
      <c r="C2" s="298" t="s">
        <v>108</v>
      </c>
      <c r="D2" s="298" t="s">
        <v>108</v>
      </c>
      <c r="E2" s="298" t="s">
        <v>558</v>
      </c>
      <c r="F2" s="298" t="s">
        <v>558</v>
      </c>
      <c r="G2" s="298" t="s">
        <v>558</v>
      </c>
      <c r="L2" s="298" t="s">
        <v>108</v>
      </c>
      <c r="M2" s="298" t="s">
        <v>108</v>
      </c>
      <c r="N2" s="298" t="s">
        <v>108</v>
      </c>
      <c r="O2" s="298" t="s">
        <v>558</v>
      </c>
      <c r="P2" s="298" t="s">
        <v>558</v>
      </c>
      <c r="Q2" s="298" t="s">
        <v>558</v>
      </c>
      <c r="U2" s="298" t="s">
        <v>558</v>
      </c>
      <c r="V2" s="298" t="s">
        <v>558</v>
      </c>
      <c r="W2" s="298" t="s">
        <v>558</v>
      </c>
    </row>
    <row r="3" spans="1:57" x14ac:dyDescent="0.25">
      <c r="A3"/>
      <c r="B3" s="292">
        <v>7800</v>
      </c>
      <c r="C3" s="261">
        <v>8200</v>
      </c>
      <c r="D3" s="261">
        <v>1600</v>
      </c>
      <c r="E3" s="261">
        <v>355</v>
      </c>
      <c r="F3" s="261">
        <v>1500</v>
      </c>
      <c r="G3" s="261">
        <v>295</v>
      </c>
      <c r="H3"/>
      <c r="K3"/>
      <c r="L3" s="292">
        <v>7800</v>
      </c>
      <c r="M3" s="261">
        <v>8200</v>
      </c>
      <c r="N3" s="261">
        <v>1600</v>
      </c>
      <c r="O3" s="261">
        <v>355</v>
      </c>
      <c r="P3" s="261">
        <v>1500</v>
      </c>
      <c r="Q3" s="261">
        <v>295</v>
      </c>
      <c r="R3"/>
      <c r="U3" s="261">
        <v>355</v>
      </c>
      <c r="V3" s="261">
        <v>1500</v>
      </c>
      <c r="W3" s="261">
        <v>295</v>
      </c>
    </row>
    <row r="4" spans="1:57" s="1" customFormat="1" x14ac:dyDescent="0.25">
      <c r="A4" s="76"/>
      <c r="B4" s="76">
        <v>2.1</v>
      </c>
      <c r="C4" s="76">
        <v>2.2999999999999998</v>
      </c>
      <c r="D4" s="76">
        <v>2.6</v>
      </c>
      <c r="E4" s="76">
        <v>2.4</v>
      </c>
      <c r="F4" s="76">
        <v>2.4</v>
      </c>
      <c r="G4" s="76">
        <v>2.4</v>
      </c>
      <c r="H4" s="76"/>
      <c r="K4" s="76"/>
      <c r="L4" s="76">
        <v>2.1</v>
      </c>
      <c r="M4" s="76">
        <v>2.2999999999999998</v>
      </c>
      <c r="N4" s="76">
        <v>2.6</v>
      </c>
      <c r="O4" s="76">
        <v>2.4</v>
      </c>
      <c r="P4" s="76">
        <v>2.4</v>
      </c>
      <c r="Q4" s="76">
        <v>2.4</v>
      </c>
      <c r="R4" s="76"/>
      <c r="U4" s="76">
        <v>2.4</v>
      </c>
      <c r="V4" s="76">
        <v>2.4</v>
      </c>
      <c r="W4" s="76">
        <v>2.4</v>
      </c>
    </row>
    <row r="5" spans="1:57" s="1" customFormat="1" x14ac:dyDescent="0.25">
      <c r="A5" s="76" t="s">
        <v>441</v>
      </c>
      <c r="B5" s="76"/>
      <c r="C5" s="76"/>
      <c r="D5" s="76"/>
      <c r="E5" s="76"/>
      <c r="F5" s="76"/>
      <c r="G5" s="76"/>
      <c r="H5" s="308">
        <v>-1500000</v>
      </c>
      <c r="I5" s="308">
        <f t="shared" ref="I5" si="0">SUM(B5:H5)</f>
        <v>-1500000</v>
      </c>
      <c r="K5" s="76"/>
      <c r="L5" s="76"/>
      <c r="M5" s="76"/>
      <c r="N5" s="76"/>
      <c r="O5" s="76"/>
      <c r="P5" s="76"/>
      <c r="Q5" s="76"/>
      <c r="R5" s="308"/>
      <c r="S5" s="308"/>
      <c r="U5" s="76"/>
      <c r="V5" s="76"/>
      <c r="W5" s="76"/>
    </row>
    <row r="6" spans="1:57" x14ac:dyDescent="0.25">
      <c r="A6" s="226">
        <v>45962</v>
      </c>
      <c r="B6" s="314">
        <f>+SUMIFS(Tabla1[Avance_km],Tabla1[Fecha],"&gt;="&amp;$A6,Tabla1[Fecha],"&lt;="&amp;EOMONTH($A6,0),Tabla1[Codigo_actividad],B$4)*B$3</f>
        <v>246082.19999999998</v>
      </c>
      <c r="C6" s="314">
        <f>+SUMIFS(Tabla1[Avance_km],Tabla1[Fecha],"&gt;="&amp;$A6,Tabla1[Fecha],"&lt;="&amp;EOMONTH($A6,0),Tabla1[Codigo_actividad],C$4)*C$3</f>
        <v>435001.8</v>
      </c>
      <c r="D6" s="314">
        <f>+SUMIFS(Tabla1[Avance_km],Tabla1[Fecha],"&gt;="&amp;$A6,Tabla1[Fecha],"&lt;="&amp;EOMONTH($A6,0),Tabla1[Codigo_actividad],D$4)*D$3</f>
        <v>115235.20000000003</v>
      </c>
      <c r="E6" s="314">
        <f>+O6*$E$3</f>
        <v>0</v>
      </c>
      <c r="F6" s="314">
        <f>+P6*$F$3</f>
        <v>0</v>
      </c>
      <c r="G6" s="314">
        <f>+Q6*$G$3</f>
        <v>0</v>
      </c>
      <c r="H6" s="313"/>
      <c r="I6" s="308">
        <f>SUM(B6:H6)</f>
        <v>796319.20000000007</v>
      </c>
      <c r="J6" s="229"/>
      <c r="K6" s="226">
        <v>45962</v>
      </c>
      <c r="L6" s="314">
        <f>+SUMIFS(Tabla1[Avance_km],Tabla1[Fecha],"&gt;="&amp;$A6,Tabla1[Fecha],"&lt;="&amp;EOMONTH($A6,0),Tabla1[Codigo_actividad],L$4)</f>
        <v>31.548999999999999</v>
      </c>
      <c r="M6" s="314">
        <f>+SUMIFS(Tabla1[Avance_km],Tabla1[Fecha],"&gt;="&amp;$A6,Tabla1[Fecha],"&lt;="&amp;EOMONTH($A6,0),Tabla1[Codigo_actividad],M$4)</f>
        <v>53.048999999999999</v>
      </c>
      <c r="N6" s="314">
        <f>+SUMIFS(Tabla1[Avance_km],Tabla1[Fecha],"&gt;="&amp;$A6,Tabla1[Fecha],"&lt;="&amp;EOMONTH($A6,0),Tabla1[Codigo_actividad],N$4)</f>
        <v>72.02200000000002</v>
      </c>
      <c r="O6" s="314">
        <f>+SUMIFS(Tabla1[Observaciones],Tabla1[Fecha],"&gt;="&amp;$A6,Tabla1[Fecha],"&lt;="&amp;EOMONTH($A6,0),Tabla1[Codigo_actividad],O$4,Tabla1[Actividades],"&lt;&gt;"&amp;"METALOGRAFIAS",Tabla1[Length],O$1)</f>
        <v>0</v>
      </c>
      <c r="P6" s="314">
        <f>+SUMIFS(Tabla1[Observaciones],Tabla1[Fecha],"&gt;="&amp;$A6,Tabla1[Fecha],"&lt;="&amp;EOMONTH($A6,0),Tabla1[Codigo_actividad],P$4,Tabla1[Actividades],"&lt;&gt;"&amp;"METALOGRAFIAS",Tabla1[Length],P$1)</f>
        <v>0</v>
      </c>
      <c r="Q6" s="314">
        <f>+SUMIFS(Tabla1[Observaciones],Tabla1[Fecha],"&gt;="&amp;$A6,Tabla1[Fecha],"&lt;="&amp;EOMONTH($A6,0),Tabla1[Codigo_actividad],Q$4,Tabla1[Actividades],"&lt;&gt;"&amp;"METALOGRAFIAS",Tabla1[Length],Q$1)</f>
        <v>0</v>
      </c>
      <c r="R6" s="313"/>
      <c r="S6" s="308">
        <f>SUM(L6:N6)</f>
        <v>156.62</v>
      </c>
      <c r="T6" s="463">
        <f>SUM(O6:Q6)</f>
        <v>0</v>
      </c>
      <c r="U6" s="314">
        <f>+SUMIFS(Tabla1[Observaciones],Tabla1[Fecha],"&gt;="&amp;$A6,Tabla1[Fecha],"&lt;="&amp;EOMONTH($A6,0),Tabla1[Codigo_actividad],U$4,Tabla1[Actividades],"&lt;&gt;"&amp;"METALOGRAFIAS",Tabla1[Length],U$1)</f>
        <v>0</v>
      </c>
      <c r="V6" s="314">
        <f>+SUMIFS(Tabla1[Observaciones],Tabla1[Fecha],"&gt;="&amp;$A6,Tabla1[Fecha],"&lt;="&amp;EOMONTH($A6,0),Tabla1[Codigo_actividad],V$4,Tabla1[Actividades],"&lt;&gt;"&amp;"METALOGRAFIAS",Tabla1[Length],V$1)</f>
        <v>0</v>
      </c>
      <c r="W6" s="314">
        <f>+SUMIFS(Tabla1[Observaciones],Tabla1[Fecha],"&gt;="&amp;$A6,Tabla1[Fecha],"&lt;="&amp;EOMONTH($A6,0),Tabla1[Codigo_actividad],W$4,Tabla1[Actividades],"&lt;&gt;"&amp;"METALOGRAFIAS",Tabla1[Length],W$1)</f>
        <v>0</v>
      </c>
      <c r="X6" s="463"/>
      <c r="Y6" s="463"/>
      <c r="Z6" s="463"/>
      <c r="AA6" s="463"/>
    </row>
    <row r="7" spans="1:57" x14ac:dyDescent="0.25">
      <c r="A7" s="226">
        <v>45992</v>
      </c>
      <c r="B7" s="314">
        <f>+SUMIFS(Tabla1[Avance_km],Tabla1[Fecha],"&gt;="&amp;$A7,Tabla1[Fecha],"&lt;="&amp;EOMONTH($A7,0),Tabla1[Codigo_actividad],B$4)*B$3</f>
        <v>245832.60000000003</v>
      </c>
      <c r="C7" s="314">
        <f>+SUMIFS(Tabla1[Avance_km],Tabla1[Fecha],"&gt;="&amp;$A7,Tabla1[Fecha],"&lt;="&amp;EOMONTH($A7,0),Tabla1[Codigo_actividad],C$4)*C$3</f>
        <v>258660.79999999996</v>
      </c>
      <c r="D7" s="314">
        <f>+SUMIFS(Tabla1[Avance_km],Tabla1[Fecha],"&gt;="&amp;$A7,Tabla1[Fecha],"&lt;="&amp;EOMONTH($A7,0),Tabla1[Codigo_actividad],D$4)*D$3</f>
        <v>33892.800000000003</v>
      </c>
      <c r="E7" s="314">
        <f t="shared" ref="E7:E19" si="1">+O7*$E$3</f>
        <v>0</v>
      </c>
      <c r="F7" s="314">
        <f t="shared" ref="F7:F19" si="2">+P7*$F$3</f>
        <v>0</v>
      </c>
      <c r="G7" s="314">
        <f t="shared" ref="G7:G19" si="3">+Q7*$G$3</f>
        <v>0</v>
      </c>
      <c r="H7" s="313"/>
      <c r="I7" s="308">
        <f t="shared" ref="I7:I19" si="4">SUM(B7:H7)</f>
        <v>538386.20000000007</v>
      </c>
      <c r="K7" s="226">
        <v>45992</v>
      </c>
      <c r="L7" s="314">
        <f>+SUMIFS(Tabla1[Avance_km],Tabla1[Fecha],"&gt;="&amp;$A7,Tabla1[Fecha],"&lt;="&amp;EOMONTH($A7,0),Tabla1[Codigo_actividad],L$4)</f>
        <v>31.517000000000003</v>
      </c>
      <c r="M7" s="314">
        <f>+SUMIFS(Tabla1[Avance_km],Tabla1[Fecha],"&gt;="&amp;$A7,Tabla1[Fecha],"&lt;="&amp;EOMONTH($A7,0),Tabla1[Codigo_actividad],M$4)</f>
        <v>31.543999999999993</v>
      </c>
      <c r="N7" s="314">
        <f>+SUMIFS(Tabla1[Avance_km],Tabla1[Fecha],"&gt;="&amp;$A7,Tabla1[Fecha],"&lt;="&amp;EOMONTH($A7,0),Tabla1[Codigo_actividad],N$4)</f>
        <v>21.183</v>
      </c>
      <c r="O7" s="314">
        <f>+SUMIFS(Tabla1[Observaciones],Tabla1[Fecha],"&gt;="&amp;$A7,Tabla1[Fecha],"&lt;="&amp;EOMONTH($A7,0),Tabla1[Codigo_actividad],O$4,Tabla1[Actividades],"&lt;&gt;"&amp;"METALOGRAFIAS",Tabla1[Length],O$1)</f>
        <v>0</v>
      </c>
      <c r="P7" s="314">
        <f>+SUMIFS(Tabla1[Observaciones],Tabla1[Fecha],"&gt;="&amp;$A7,Tabla1[Fecha],"&lt;="&amp;EOMONTH($A7,0),Tabla1[Codigo_actividad],P$4,Tabla1[Actividades],"&lt;&gt;"&amp;"METALOGRAFIAS",Tabla1[Length],P$1)</f>
        <v>0</v>
      </c>
      <c r="Q7" s="314">
        <f>+SUMIFS(Tabla1[Observaciones],Tabla1[Fecha],"&gt;="&amp;$A7,Tabla1[Fecha],"&lt;="&amp;EOMONTH($A7,0),Tabla1[Codigo_actividad],Q$4,Tabla1[Actividades],"&lt;&gt;"&amp;"METALOGRAFIAS",Tabla1[Length],Q$1)</f>
        <v>0</v>
      </c>
      <c r="R7" s="313"/>
      <c r="S7" s="308">
        <f t="shared" ref="S7:S19" si="5">SUM(L7:N7)</f>
        <v>84.244</v>
      </c>
      <c r="T7" s="463">
        <f t="shared" ref="T7:T19" si="6">SUM(O7:Q7)</f>
        <v>0</v>
      </c>
      <c r="U7" s="314">
        <f>+SUMIFS(Tabla1[Observaciones],Tabla1[Fecha],"&gt;="&amp;$A7,Tabla1[Fecha],"&lt;="&amp;EOMONTH($A7,0),Tabla1[Codigo_actividad],U$4,Tabla1[Actividades],"&lt;&gt;"&amp;"METALOGRAFIAS",Tabla1[Length],U$1)</f>
        <v>0</v>
      </c>
      <c r="V7" s="314">
        <f>+SUMIFS(Tabla1[Observaciones],Tabla1[Fecha],"&gt;="&amp;$A7,Tabla1[Fecha],"&lt;="&amp;EOMONTH($A7,0),Tabla1[Codigo_actividad],V$4,Tabla1[Actividades],"&lt;&gt;"&amp;"METALOGRAFIAS",Tabla1[Length],V$1)</f>
        <v>0</v>
      </c>
      <c r="W7" s="314">
        <f>+SUMIFS(Tabla1[Observaciones],Tabla1[Fecha],"&gt;="&amp;$A7,Tabla1[Fecha],"&lt;="&amp;EOMONTH($A7,0),Tabla1[Codigo_actividad],W$4,Tabla1[Actividades],"&lt;&gt;"&amp;"METALOGRAFIAS",Tabla1[Length],W$1)</f>
        <v>0</v>
      </c>
      <c r="X7" s="463"/>
      <c r="Y7" s="463"/>
      <c r="Z7" s="463"/>
      <c r="AA7" s="463"/>
    </row>
    <row r="8" spans="1:57" x14ac:dyDescent="0.25">
      <c r="A8" s="226">
        <v>46023</v>
      </c>
      <c r="B8" s="314">
        <f>+SUMIFS(Tabla1[Avance_km],Tabla1[Fecha],"&gt;="&amp;$A8,Tabla1[Fecha],"&lt;="&amp;EOMONTH($A8,0),Tabla1[Codigo_actividad],B$4)*B$3</f>
        <v>287352.00000000006</v>
      </c>
      <c r="C8" s="314">
        <f>+SUMIFS(Tabla1[Avance_km],Tabla1[Fecha],"&gt;="&amp;$A8,Tabla1[Fecha],"&lt;="&amp;EOMONTH($A8,0),Tabla1[Codigo_actividad],C$4)*C$3</f>
        <v>125566.60000000003</v>
      </c>
      <c r="D8" s="314">
        <f>+SUMIFS(Tabla1[Avance_km],Tabla1[Fecha],"&gt;="&amp;$A8,Tabla1[Fecha],"&lt;="&amp;EOMONTH($A8,0),Tabla1[Codigo_actividad],D$4)*D$3</f>
        <v>10721.599999999999</v>
      </c>
      <c r="E8" s="314">
        <f t="shared" si="1"/>
        <v>0</v>
      </c>
      <c r="F8" s="314">
        <f t="shared" si="2"/>
        <v>0</v>
      </c>
      <c r="G8" s="314">
        <f t="shared" si="3"/>
        <v>0</v>
      </c>
      <c r="H8" s="313"/>
      <c r="I8" s="308">
        <f t="shared" si="4"/>
        <v>423640.20000000007</v>
      </c>
      <c r="K8" s="226">
        <v>46023</v>
      </c>
      <c r="L8" s="314">
        <f>+SUMIFS(Tabla1[Avance_km],Tabla1[Fecha],"&gt;="&amp;$A8,Tabla1[Fecha],"&lt;="&amp;EOMONTH($A8,0),Tabla1[Codigo_actividad],L$4)</f>
        <v>36.840000000000011</v>
      </c>
      <c r="M8" s="314">
        <f>+SUMIFS(Tabla1[Avance_km],Tabla1[Fecha],"&gt;="&amp;$A8,Tabla1[Fecha],"&lt;="&amp;EOMONTH($A8,0),Tabla1[Codigo_actividad],M$4)</f>
        <v>15.313000000000004</v>
      </c>
      <c r="N8" s="314">
        <f>+SUMIFS(Tabla1[Avance_km],Tabla1[Fecha],"&gt;="&amp;$A8,Tabla1[Fecha],"&lt;="&amp;EOMONTH($A8,0),Tabla1[Codigo_actividad],N$4)</f>
        <v>6.7009999999999996</v>
      </c>
      <c r="O8" s="314">
        <f>+SUMIFS(Tabla1[Observaciones],Tabla1[Fecha],"&gt;="&amp;$A8,Tabla1[Fecha],"&lt;="&amp;EOMONTH($A8,0),Tabla1[Codigo_actividad],O$4,Tabla1[Actividades],"&lt;&gt;"&amp;"METALOGRAFIAS",Tabla1[Length],O$1)</f>
        <v>0</v>
      </c>
      <c r="P8" s="314">
        <f>+SUMIFS(Tabla1[Observaciones],Tabla1[Fecha],"&gt;="&amp;$A8,Tabla1[Fecha],"&lt;="&amp;EOMONTH($A8,0),Tabla1[Codigo_actividad],P$4,Tabla1[Actividades],"&lt;&gt;"&amp;"METALOGRAFIAS",Tabla1[Length],P$1)</f>
        <v>0</v>
      </c>
      <c r="Q8" s="314">
        <f>+SUMIFS(Tabla1[Observaciones],Tabla1[Fecha],"&gt;="&amp;$A8,Tabla1[Fecha],"&lt;="&amp;EOMONTH($A8,0),Tabla1[Codigo_actividad],Q$4,Tabla1[Actividades],"&lt;&gt;"&amp;"METALOGRAFIAS",Tabla1[Length],Q$1)</f>
        <v>0</v>
      </c>
      <c r="R8" s="313"/>
      <c r="S8" s="308">
        <f t="shared" si="5"/>
        <v>58.854000000000013</v>
      </c>
      <c r="T8" s="463">
        <f t="shared" si="6"/>
        <v>0</v>
      </c>
      <c r="U8" s="314">
        <f>+SUMIFS(Tabla1[Observaciones],Tabla1[Fecha],"&gt;="&amp;$A8,Tabla1[Fecha],"&lt;="&amp;EOMONTH($A8,0),Tabla1[Codigo_actividad],U$4,Tabla1[Actividades],"&lt;&gt;"&amp;"METALOGRAFIAS",Tabla1[Length],U$1)</f>
        <v>0</v>
      </c>
      <c r="V8" s="314">
        <f>+SUMIFS(Tabla1[Observaciones],Tabla1[Fecha],"&gt;="&amp;$A8,Tabla1[Fecha],"&lt;="&amp;EOMONTH($A8,0),Tabla1[Codigo_actividad],V$4,Tabla1[Actividades],"&lt;&gt;"&amp;"METALOGRAFIAS",Tabla1[Length],V$1)</f>
        <v>0</v>
      </c>
      <c r="W8" s="314">
        <f>+SUMIFS(Tabla1[Observaciones],Tabla1[Fecha],"&gt;="&amp;$A8,Tabla1[Fecha],"&lt;="&amp;EOMONTH($A8,0),Tabla1[Codigo_actividad],W$4,Tabla1[Actividades],"&lt;&gt;"&amp;"METALOGRAFIAS",Tabla1[Length],W$1)</f>
        <v>0</v>
      </c>
      <c r="X8" s="463"/>
      <c r="Y8" s="463"/>
      <c r="Z8" s="463"/>
      <c r="AA8" s="463"/>
    </row>
    <row r="9" spans="1:57" x14ac:dyDescent="0.25">
      <c r="A9" s="226">
        <v>46054</v>
      </c>
      <c r="B9" s="314">
        <f>+SUMIFS(Tabla1[Avance_km],Tabla1[Fecha],"&gt;="&amp;$A9,Tabla1[Fecha],"&lt;="&amp;EOMONTH($A9,0),Tabla1[Codigo_actividad],B$4)*B$3</f>
        <v>0</v>
      </c>
      <c r="C9" s="314">
        <f>+SUMIFS(Tabla1[Avance_km],Tabla1[Fecha],"&gt;="&amp;$A9,Tabla1[Fecha],"&lt;="&amp;EOMONTH($A9,0),Tabla1[Codigo_actividad],C$4)*C$3</f>
        <v>0</v>
      </c>
      <c r="D9" s="314">
        <f>+SUMIFS(Tabla1[Avance_km],Tabla1[Fecha],"&gt;="&amp;$A9,Tabla1[Fecha],"&lt;="&amp;EOMONTH($A9,0),Tabla1[Codigo_actividad],D$4)*D$3</f>
        <v>0</v>
      </c>
      <c r="E9" s="314">
        <f t="shared" si="1"/>
        <v>0</v>
      </c>
      <c r="F9" s="314">
        <f t="shared" si="2"/>
        <v>0</v>
      </c>
      <c r="G9" s="314">
        <f t="shared" si="3"/>
        <v>0</v>
      </c>
      <c r="H9" s="313"/>
      <c r="I9" s="308">
        <f t="shared" si="4"/>
        <v>0</v>
      </c>
      <c r="K9" s="226">
        <v>46054</v>
      </c>
      <c r="L9" s="314">
        <f>+SUMIFS(Tabla1[Avance_km],Tabla1[Fecha],"&gt;="&amp;$A9,Tabla1[Fecha],"&lt;="&amp;EOMONTH($A9,0),Tabla1[Codigo_actividad],L$4)</f>
        <v>0</v>
      </c>
      <c r="M9" s="314">
        <f>+SUMIFS(Tabla1[Avance_km],Tabla1[Fecha],"&gt;="&amp;$A9,Tabla1[Fecha],"&lt;="&amp;EOMONTH($A9,0),Tabla1[Codigo_actividad],M$4)</f>
        <v>0</v>
      </c>
      <c r="N9" s="314">
        <f>+SUMIFS(Tabla1[Avance_km],Tabla1[Fecha],"&gt;="&amp;$A9,Tabla1[Fecha],"&lt;="&amp;EOMONTH($A9,0),Tabla1[Codigo_actividad],N$4)</f>
        <v>0</v>
      </c>
      <c r="O9" s="314">
        <f>+SUMIFS(Tabla1[Observaciones],Tabla1[Fecha],"&gt;="&amp;$A9,Tabla1[Fecha],"&lt;="&amp;EOMONTH($A9,0),Tabla1[Codigo_actividad],O$4,Tabla1[Actividades],"&lt;&gt;"&amp;"METALOGRAFIAS",Tabla1[Length],O$1)</f>
        <v>0</v>
      </c>
      <c r="P9" s="314">
        <f>+SUMIFS(Tabla1[Observaciones],Tabla1[Fecha],"&gt;="&amp;$A9,Tabla1[Fecha],"&lt;="&amp;EOMONTH($A9,0),Tabla1[Codigo_actividad],P$4,Tabla1[Actividades],"&lt;&gt;"&amp;"METALOGRAFIAS",Tabla1[Length],P$1)</f>
        <v>0</v>
      </c>
      <c r="Q9" s="314">
        <f>+SUMIFS(Tabla1[Observaciones],Tabla1[Fecha],"&gt;="&amp;$A9,Tabla1[Fecha],"&lt;="&amp;EOMONTH($A9,0),Tabla1[Codigo_actividad],Q$4,Tabla1[Actividades],"&lt;&gt;"&amp;"METALOGRAFIAS",Tabla1[Length],Q$1)</f>
        <v>0</v>
      </c>
      <c r="R9" s="313"/>
      <c r="S9" s="308">
        <f t="shared" si="5"/>
        <v>0</v>
      </c>
      <c r="T9" s="463">
        <f t="shared" si="6"/>
        <v>0</v>
      </c>
      <c r="U9" s="314">
        <f>+SUMIFS(Tabla1[Observaciones],Tabla1[Fecha],"&gt;="&amp;$A9,Tabla1[Fecha],"&lt;="&amp;EOMONTH($A9,0),Tabla1[Codigo_actividad],U$4,Tabla1[Actividades],"&lt;&gt;"&amp;"METALOGRAFIAS",Tabla1[Length],U$1)</f>
        <v>0</v>
      </c>
      <c r="V9" s="314">
        <f>+SUMIFS(Tabla1[Observaciones],Tabla1[Fecha],"&gt;="&amp;$A9,Tabla1[Fecha],"&lt;="&amp;EOMONTH($A9,0),Tabla1[Codigo_actividad],V$4,Tabla1[Actividades],"&lt;&gt;"&amp;"METALOGRAFIAS",Tabla1[Length],V$1)</f>
        <v>0</v>
      </c>
      <c r="W9" s="314">
        <f>+SUMIFS(Tabla1[Observaciones],Tabla1[Fecha],"&gt;="&amp;$A9,Tabla1[Fecha],"&lt;="&amp;EOMONTH($A9,0),Tabla1[Codigo_actividad],W$4,Tabla1[Actividades],"&lt;&gt;"&amp;"METALOGRAFIAS",Tabla1[Length],W$1)</f>
        <v>0</v>
      </c>
      <c r="X9" s="463"/>
      <c r="Y9" s="463"/>
      <c r="Z9" s="463"/>
      <c r="AA9" s="463"/>
    </row>
    <row r="10" spans="1:57" x14ac:dyDescent="0.25">
      <c r="A10" s="226">
        <v>46082</v>
      </c>
      <c r="B10" s="314">
        <f>+SUMIFS(Tabla1[Avance_km],Tabla1[Fecha],"&gt;="&amp;$A10,Tabla1[Fecha],"&lt;="&amp;EOMONTH($A10,0),Tabla1[Codigo_actividad],B$4)*B$3</f>
        <v>0</v>
      </c>
      <c r="C10" s="314">
        <f>+SUMIFS(Tabla1[Avance_km],Tabla1[Fecha],"&gt;="&amp;$A10,Tabla1[Fecha],"&lt;="&amp;EOMONTH($A10,0),Tabla1[Codigo_actividad],C$4)*C$3</f>
        <v>0</v>
      </c>
      <c r="D10" s="314">
        <f>+SUMIFS(Tabla1[Avance_km],Tabla1[Fecha],"&gt;="&amp;$A10,Tabla1[Fecha],"&lt;="&amp;EOMONTH($A10,0),Tabla1[Codigo_actividad],D$4)*D$3</f>
        <v>5760</v>
      </c>
      <c r="E10" s="314">
        <f t="shared" si="1"/>
        <v>0</v>
      </c>
      <c r="F10" s="314">
        <f t="shared" si="2"/>
        <v>0</v>
      </c>
      <c r="G10" s="314">
        <f t="shared" si="3"/>
        <v>0</v>
      </c>
      <c r="H10" s="313"/>
      <c r="I10" s="308">
        <f t="shared" si="4"/>
        <v>5760</v>
      </c>
      <c r="K10" s="226">
        <v>46082</v>
      </c>
      <c r="L10" s="314">
        <f>+SUMIFS(Tabla1[Avance_km],Tabla1[Fecha],"&gt;="&amp;$A10,Tabla1[Fecha],"&lt;="&amp;EOMONTH($A10,0),Tabla1[Codigo_actividad],L$4)</f>
        <v>0</v>
      </c>
      <c r="M10" s="314">
        <f>+SUMIFS(Tabla1[Avance_km],Tabla1[Fecha],"&gt;="&amp;$A10,Tabla1[Fecha],"&lt;="&amp;EOMONTH($A10,0),Tabla1[Codigo_actividad],M$4)</f>
        <v>0</v>
      </c>
      <c r="N10" s="314">
        <f>+SUMIFS(Tabla1[Avance_km],Tabla1[Fecha],"&gt;="&amp;$A10,Tabla1[Fecha],"&lt;="&amp;EOMONTH($A10,0),Tabla1[Codigo_actividad],N$4)</f>
        <v>3.6</v>
      </c>
      <c r="O10" s="314">
        <f>+SUMIFS(Tabla1[Observaciones],Tabla1[Fecha],"&gt;="&amp;$A10,Tabla1[Fecha],"&lt;="&amp;EOMONTH($A10,0),Tabla1[Codigo_actividad],O$4,Tabla1[Actividades],"&lt;&gt;"&amp;"METALOGRAFIAS",Tabla1[Length],O$1)</f>
        <v>0</v>
      </c>
      <c r="P10" s="314">
        <f>+SUMIFS(Tabla1[Observaciones],Tabla1[Fecha],"&gt;="&amp;$A10,Tabla1[Fecha],"&lt;="&amp;EOMONTH($A10,0),Tabla1[Codigo_actividad],P$4,Tabla1[Actividades],"&lt;&gt;"&amp;"METALOGRAFIAS",Tabla1[Length],P$1)</f>
        <v>0</v>
      </c>
      <c r="Q10" s="314">
        <f>+SUMIFS(Tabla1[Observaciones],Tabla1[Fecha],"&gt;="&amp;$A10,Tabla1[Fecha],"&lt;="&amp;EOMONTH($A10,0),Tabla1[Codigo_actividad],Q$4,Tabla1[Actividades],"&lt;&gt;"&amp;"METALOGRAFIAS",Tabla1[Length],Q$1)</f>
        <v>0</v>
      </c>
      <c r="R10" s="313"/>
      <c r="S10" s="308">
        <f t="shared" si="5"/>
        <v>3.6</v>
      </c>
      <c r="T10" s="463">
        <f t="shared" si="6"/>
        <v>0</v>
      </c>
      <c r="U10" s="314">
        <f>+SUMIFS(Tabla1[Observaciones],Tabla1[Fecha],"&gt;="&amp;$A10,Tabla1[Fecha],"&lt;="&amp;EOMONTH($A10,0),Tabla1[Codigo_actividad],U$4,Tabla1[Actividades],"&lt;&gt;"&amp;"METALOGRAFIAS",Tabla1[Length],U$1)</f>
        <v>0</v>
      </c>
      <c r="V10" s="314">
        <f>+SUMIFS(Tabla1[Observaciones],Tabla1[Fecha],"&gt;="&amp;$A10,Tabla1[Fecha],"&lt;="&amp;EOMONTH($A10,0),Tabla1[Codigo_actividad],V$4,Tabla1[Actividades],"&lt;&gt;"&amp;"METALOGRAFIAS",Tabla1[Length],V$1)</f>
        <v>0</v>
      </c>
      <c r="W10" s="314">
        <f>+SUMIFS(Tabla1[Observaciones],Tabla1[Fecha],"&gt;="&amp;$A10,Tabla1[Fecha],"&lt;="&amp;EOMONTH($A10,0),Tabla1[Codigo_actividad],W$4,Tabla1[Actividades],"&lt;&gt;"&amp;"METALOGRAFIAS",Tabla1[Length],W$1)</f>
        <v>0</v>
      </c>
      <c r="X10" s="463"/>
      <c r="Y10" s="463"/>
      <c r="Z10" s="463"/>
      <c r="AA10" s="463"/>
    </row>
    <row r="11" spans="1:57" x14ac:dyDescent="0.25">
      <c r="A11" s="226">
        <v>46113</v>
      </c>
      <c r="B11" s="314">
        <f>+SUMIFS(Tabla1[Avance_km],Tabla1[Fecha],"&gt;="&amp;$A11,Tabla1[Fecha],"&lt;="&amp;EOMONTH($A11,0),Tabla1[Codigo_actividad],B$4)*B$3</f>
        <v>0</v>
      </c>
      <c r="C11" s="314">
        <f>+SUMIFS(Tabla1[Avance_km],Tabla1[Fecha],"&gt;="&amp;$A11,Tabla1[Fecha],"&lt;="&amp;EOMONTH($A11,0),Tabla1[Codigo_actividad],C$4)*C$3</f>
        <v>46174.200000000004</v>
      </c>
      <c r="D11" s="314">
        <f>+SUMIFS(Tabla1[Avance_km],Tabla1[Fecha],"&gt;="&amp;$A11,Tabla1[Fecha],"&lt;="&amp;EOMONTH($A11,0),Tabla1[Codigo_actividad],D$4)*D$3</f>
        <v>34617.599999999999</v>
      </c>
      <c r="E11" s="314">
        <f t="shared" si="1"/>
        <v>0</v>
      </c>
      <c r="F11" s="314">
        <f t="shared" si="2"/>
        <v>0</v>
      </c>
      <c r="G11" s="314">
        <f t="shared" si="3"/>
        <v>0</v>
      </c>
      <c r="H11" s="313"/>
      <c r="I11" s="308">
        <f t="shared" si="4"/>
        <v>80791.8</v>
      </c>
      <c r="K11" s="226">
        <v>46113</v>
      </c>
      <c r="L11" s="314">
        <f>+SUMIFS(Tabla1[Avance_km],Tabla1[Fecha],"&gt;="&amp;$A11,Tabla1[Fecha],"&lt;="&amp;EOMONTH($A11,0),Tabla1[Codigo_actividad],L$4)</f>
        <v>0</v>
      </c>
      <c r="M11" s="314">
        <f>+SUMIFS(Tabla1[Avance_km],Tabla1[Fecha],"&gt;="&amp;$A11,Tabla1[Fecha],"&lt;="&amp;EOMONTH($A11,0),Tabla1[Codigo_actividad],M$4)</f>
        <v>5.6310000000000002</v>
      </c>
      <c r="N11" s="314">
        <f>+SUMIFS(Tabla1[Avance_km],Tabla1[Fecha],"&gt;="&amp;$A11,Tabla1[Fecha],"&lt;="&amp;EOMONTH($A11,0),Tabla1[Codigo_actividad],N$4)</f>
        <v>21.635999999999999</v>
      </c>
      <c r="O11" s="314">
        <f>+SUMIFS(Tabla1[Observaciones],Tabla1[Fecha],"&gt;="&amp;$A11,Tabla1[Fecha],"&lt;="&amp;EOMONTH($A11,0),Tabla1[Codigo_actividad],O$4,Tabla1[Actividades],"&lt;&gt;"&amp;"METALOGRAFIAS",Tabla1[Length],O$1)</f>
        <v>0</v>
      </c>
      <c r="P11" s="314">
        <f>+SUMIFS(Tabla1[Observaciones],Tabla1[Fecha],"&gt;="&amp;$A11,Tabla1[Fecha],"&lt;="&amp;EOMONTH($A11,0),Tabla1[Codigo_actividad],P$4,Tabla1[Actividades],"&lt;&gt;"&amp;"METALOGRAFIAS",Tabla1[Length],P$1)</f>
        <v>0</v>
      </c>
      <c r="Q11" s="314">
        <f>+SUMIFS(Tabla1[Observaciones],Tabla1[Fecha],"&gt;="&amp;$A11,Tabla1[Fecha],"&lt;="&amp;EOMONTH($A11,0),Tabla1[Codigo_actividad],Q$4,Tabla1[Actividades],"&lt;&gt;"&amp;"METALOGRAFIAS",Tabla1[Length],Q$1)</f>
        <v>0</v>
      </c>
      <c r="R11" s="313"/>
      <c r="S11" s="308">
        <f t="shared" si="5"/>
        <v>27.266999999999999</v>
      </c>
      <c r="T11" s="463">
        <f t="shared" si="6"/>
        <v>0</v>
      </c>
      <c r="U11" s="314">
        <f>+SUMIFS(Tabla1[Observaciones],Tabla1[Fecha],"&gt;="&amp;$A11,Tabla1[Fecha],"&lt;="&amp;EOMONTH($A11,0),Tabla1[Codigo_actividad],U$4,Tabla1[Actividades],"&lt;&gt;"&amp;"METALOGRAFIAS",Tabla1[Length],U$1)</f>
        <v>0</v>
      </c>
      <c r="V11" s="314">
        <f>+SUMIFS(Tabla1[Observaciones],Tabla1[Fecha],"&gt;="&amp;$A11,Tabla1[Fecha],"&lt;="&amp;EOMONTH($A11,0),Tabla1[Codigo_actividad],V$4,Tabla1[Actividades],"&lt;&gt;"&amp;"METALOGRAFIAS",Tabla1[Length],V$1)</f>
        <v>0</v>
      </c>
      <c r="W11" s="314">
        <f>+SUMIFS(Tabla1[Observaciones],Tabla1[Fecha],"&gt;="&amp;$A11,Tabla1[Fecha],"&lt;="&amp;EOMONTH($A11,0),Tabla1[Codigo_actividad],W$4,Tabla1[Actividades],"&lt;&gt;"&amp;"METALOGRAFIAS",Tabla1[Length],W$1)</f>
        <v>0</v>
      </c>
      <c r="X11" s="463"/>
      <c r="Y11" s="463"/>
      <c r="Z11" s="463"/>
      <c r="AA11" s="463"/>
    </row>
    <row r="12" spans="1:57" x14ac:dyDescent="0.25">
      <c r="A12" s="226">
        <v>46143</v>
      </c>
      <c r="B12" s="314">
        <f>+SUMIFS(Tabla1[Avance_km],Tabla1[Fecha],"&gt;="&amp;$A12,Tabla1[Fecha],"&lt;="&amp;EOMONTH($A12,0),Tabla1[Codigo_actividad],B$4)*B$3</f>
        <v>87773.4</v>
      </c>
      <c r="C12" s="314">
        <f>+SUMIFS(Tabla1[Avance_km],Tabla1[Fecha],"&gt;="&amp;$A12,Tabla1[Fecha],"&lt;="&amp;EOMONTH($A12,0),Tabla1[Codigo_actividad],C$4)*C$3</f>
        <v>154406</v>
      </c>
      <c r="D12" s="314">
        <f>+SUMIFS(Tabla1[Avance_km],Tabla1[Fecha],"&gt;="&amp;$A12,Tabla1[Fecha],"&lt;="&amp;EOMONTH($A12,0),Tabla1[Codigo_actividad],D$4)*D$3</f>
        <v>5803.2</v>
      </c>
      <c r="E12" s="314">
        <f t="shared" si="1"/>
        <v>0</v>
      </c>
      <c r="F12" s="314">
        <f t="shared" si="2"/>
        <v>0</v>
      </c>
      <c r="G12" s="314">
        <f t="shared" si="3"/>
        <v>0</v>
      </c>
      <c r="H12" s="313"/>
      <c r="I12" s="308">
        <f t="shared" si="4"/>
        <v>247982.6</v>
      </c>
      <c r="K12" s="226">
        <v>46143</v>
      </c>
      <c r="L12" s="314">
        <f>+SUMIFS(Tabla1[Avance_km],Tabla1[Fecha],"&gt;="&amp;$A12,Tabla1[Fecha],"&lt;="&amp;EOMONTH($A12,0),Tabla1[Codigo_actividad],L$4)</f>
        <v>11.253</v>
      </c>
      <c r="M12" s="314">
        <f>+SUMIFS(Tabla1[Avance_km],Tabla1[Fecha],"&gt;="&amp;$A12,Tabla1[Fecha],"&lt;="&amp;EOMONTH($A12,0),Tabla1[Codigo_actividad],M$4)</f>
        <v>18.829999999999998</v>
      </c>
      <c r="N12" s="314">
        <f>+SUMIFS(Tabla1[Avance_km],Tabla1[Fecha],"&gt;="&amp;$A12,Tabla1[Fecha],"&lt;="&amp;EOMONTH($A12,0),Tabla1[Codigo_actividad],N$4)</f>
        <v>3.6269999999999998</v>
      </c>
      <c r="O12" s="314">
        <f>+SUMIFS(Tabla1[Observaciones],Tabla1[Fecha],"&gt;="&amp;$A12,Tabla1[Fecha],"&lt;="&amp;EOMONTH($A12,0),Tabla1[Codigo_actividad],O$4,Tabla1[Actividades],"&lt;&gt;"&amp;"METALOGRAFIAS",Tabla1[Length],O$1)</f>
        <v>0</v>
      </c>
      <c r="P12" s="314">
        <f>+SUMIFS(Tabla1[Observaciones],Tabla1[Fecha],"&gt;="&amp;$A12,Tabla1[Fecha],"&lt;="&amp;EOMONTH($A12,0),Tabla1[Codigo_actividad],P$4,Tabla1[Actividades],"&lt;&gt;"&amp;"METALOGRAFIAS",Tabla1[Length],P$1)</f>
        <v>0</v>
      </c>
      <c r="Q12" s="314">
        <f>+SUMIFS(Tabla1[Observaciones],Tabla1[Fecha],"&gt;="&amp;$A12,Tabla1[Fecha],"&lt;="&amp;EOMONTH($A12,0),Tabla1[Codigo_actividad],Q$4,Tabla1[Actividades],"&lt;&gt;"&amp;"METALOGRAFIAS",Tabla1[Length],Q$1)</f>
        <v>0</v>
      </c>
      <c r="R12" s="313"/>
      <c r="S12" s="308">
        <f t="shared" si="5"/>
        <v>33.71</v>
      </c>
      <c r="T12" s="463">
        <f t="shared" si="6"/>
        <v>0</v>
      </c>
      <c r="U12" s="314">
        <f>+SUMIFS(Tabla1[Observaciones],Tabla1[Fecha],"&gt;="&amp;$A12,Tabla1[Fecha],"&lt;="&amp;EOMONTH($A12,0),Tabla1[Codigo_actividad],U$4,Tabla1[Actividades],"&lt;&gt;"&amp;"METALOGRAFIAS",Tabla1[Length],U$1)</f>
        <v>0</v>
      </c>
      <c r="V12" s="314">
        <f>+SUMIFS(Tabla1[Observaciones],Tabla1[Fecha],"&gt;="&amp;$A12,Tabla1[Fecha],"&lt;="&amp;EOMONTH($A12,0),Tabla1[Codigo_actividad],V$4,Tabla1[Actividades],"&lt;&gt;"&amp;"METALOGRAFIAS",Tabla1[Length],V$1)</f>
        <v>0</v>
      </c>
      <c r="W12" s="314">
        <f>+SUMIFS(Tabla1[Observaciones],Tabla1[Fecha],"&gt;="&amp;$A12,Tabla1[Fecha],"&lt;="&amp;EOMONTH($A12,0),Tabla1[Codigo_actividad],W$4,Tabla1[Actividades],"&lt;&gt;"&amp;"METALOGRAFIAS",Tabla1[Length],W$1)</f>
        <v>0</v>
      </c>
      <c r="X12" s="463"/>
      <c r="Y12" s="463"/>
      <c r="Z12" s="463"/>
      <c r="AA12" s="463"/>
    </row>
    <row r="13" spans="1:57" x14ac:dyDescent="0.25">
      <c r="A13" s="226">
        <v>46174</v>
      </c>
      <c r="B13" s="314">
        <f>+SUMIFS(Tabla1[Avance_km],Tabla1[Fecha],"&gt;="&amp;$A13,Tabla1[Fecha],"&lt;="&amp;EOMONTH($A13,0),Tabla1[Codigo_actividad],B$4)*B$3</f>
        <v>158558.40000000002</v>
      </c>
      <c r="C13" s="314">
        <f>+SUMIFS(Tabla1[Avance_km],Tabla1[Fecha],"&gt;="&amp;$A13,Tabla1[Fecha],"&lt;="&amp;EOMONTH($A13,0),Tabla1[Codigo_actividad],C$4)*C$3</f>
        <v>0</v>
      </c>
      <c r="D13" s="314">
        <f>+SUMIFS(Tabla1[Avance_km],Tabla1[Fecha],"&gt;="&amp;$A13,Tabla1[Fecha],"&lt;="&amp;EOMONTH($A13,0),Tabla1[Codigo_actividad],D$4)*D$3</f>
        <v>8667.1999999999989</v>
      </c>
      <c r="E13" s="314">
        <f t="shared" si="1"/>
        <v>0</v>
      </c>
      <c r="F13" s="314">
        <f t="shared" si="2"/>
        <v>0</v>
      </c>
      <c r="G13" s="314">
        <f t="shared" si="3"/>
        <v>0</v>
      </c>
      <c r="H13" s="313"/>
      <c r="I13" s="308">
        <f t="shared" si="4"/>
        <v>167225.60000000003</v>
      </c>
      <c r="K13" s="226">
        <v>46174</v>
      </c>
      <c r="L13" s="314">
        <f>+SUMIFS(Tabla1[Avance_km],Tabla1[Fecha],"&gt;="&amp;$A13,Tabla1[Fecha],"&lt;="&amp;EOMONTH($A13,0),Tabla1[Codigo_actividad],L$4)</f>
        <v>20.328000000000003</v>
      </c>
      <c r="M13" s="314">
        <f>+SUMIFS(Tabla1[Avance_km],Tabla1[Fecha],"&gt;="&amp;$A13,Tabla1[Fecha],"&lt;="&amp;EOMONTH($A13,0),Tabla1[Codigo_actividad],M$4)</f>
        <v>0</v>
      </c>
      <c r="N13" s="314">
        <f>+SUMIFS(Tabla1[Avance_km],Tabla1[Fecha],"&gt;="&amp;$A13,Tabla1[Fecha],"&lt;="&amp;EOMONTH($A13,0),Tabla1[Codigo_actividad],N$4)</f>
        <v>5.4169999999999998</v>
      </c>
      <c r="O13" s="314">
        <f>+SUMIFS(Tabla1[Observaciones],Tabla1[Fecha],"&gt;="&amp;$A13,Tabla1[Fecha],"&lt;="&amp;EOMONTH($A13,0),Tabla1[Codigo_actividad],O$4,Tabla1[Actividades],"&lt;&gt;"&amp;"METALOGRAFIAS",Tabla1[Length],O$1)</f>
        <v>0</v>
      </c>
      <c r="P13" s="314">
        <f>+SUMIFS(Tabla1[Observaciones],Tabla1[Fecha],"&gt;="&amp;$A13,Tabla1[Fecha],"&lt;="&amp;EOMONTH($A13,0),Tabla1[Codigo_actividad],P$4,Tabla1[Actividades],"&lt;&gt;"&amp;"METALOGRAFIAS",Tabla1[Length],P$1)</f>
        <v>0</v>
      </c>
      <c r="Q13" s="314">
        <f>+SUMIFS(Tabla1[Observaciones],Tabla1[Fecha],"&gt;="&amp;$A13,Tabla1[Fecha],"&lt;="&amp;EOMONTH($A13,0),Tabla1[Codigo_actividad],Q$4,Tabla1[Actividades],"&lt;&gt;"&amp;"METALOGRAFIAS",Tabla1[Length],Q$1)</f>
        <v>0</v>
      </c>
      <c r="R13" s="313"/>
      <c r="S13" s="308">
        <f t="shared" si="5"/>
        <v>25.745000000000005</v>
      </c>
      <c r="T13" s="463">
        <f t="shared" si="6"/>
        <v>0</v>
      </c>
      <c r="U13" s="314">
        <f>+SUMIFS(Tabla1[Observaciones],Tabla1[Fecha],"&gt;="&amp;$A13,Tabla1[Fecha],"&lt;="&amp;EOMONTH($A13,0),Tabla1[Codigo_actividad],U$4,Tabla1[Actividades],"&lt;&gt;"&amp;"METALOGRAFIAS",Tabla1[Length],U$1)</f>
        <v>0</v>
      </c>
      <c r="V13" s="314">
        <f>+SUMIFS(Tabla1[Observaciones],Tabla1[Fecha],"&gt;="&amp;$A13,Tabla1[Fecha],"&lt;="&amp;EOMONTH($A13,0),Tabla1[Codigo_actividad],V$4,Tabla1[Actividades],"&lt;&gt;"&amp;"METALOGRAFIAS",Tabla1[Length],V$1)</f>
        <v>0</v>
      </c>
      <c r="W13" s="314">
        <f>+SUMIFS(Tabla1[Observaciones],Tabla1[Fecha],"&gt;="&amp;$A13,Tabla1[Fecha],"&lt;="&amp;EOMONTH($A13,0),Tabla1[Codigo_actividad],W$4,Tabla1[Actividades],"&lt;&gt;"&amp;"METALOGRAFIAS",Tabla1[Length],W$1)</f>
        <v>0</v>
      </c>
      <c r="X13" s="463"/>
      <c r="Y13" s="463"/>
      <c r="Z13" s="463"/>
      <c r="AA13" s="463"/>
    </row>
    <row r="14" spans="1:57" x14ac:dyDescent="0.25">
      <c r="A14" s="226">
        <v>46204</v>
      </c>
      <c r="B14" s="314">
        <f>+SUMIFS(Tabla1[Avance_km],Tabla1[Fecha],"&gt;="&amp;$A14,Tabla1[Fecha],"&lt;="&amp;EOMONTH($A14,0),Tabla1[Codigo_actividad],B$4)*B$3</f>
        <v>105830.39999999999</v>
      </c>
      <c r="C14" s="314">
        <f>+SUMIFS(Tabla1[Avance_km],Tabla1[Fecha],"&gt;="&amp;$A14,Tabla1[Fecha],"&lt;="&amp;EOMONTH($A14,0),Tabla1[Codigo_actividad],C$4)*C$3</f>
        <v>86411.6</v>
      </c>
      <c r="D14" s="314">
        <f>+SUMIFS(Tabla1[Avance_km],Tabla1[Fecha],"&gt;="&amp;$A14,Tabla1[Fecha],"&lt;="&amp;EOMONTH($A14,0),Tabla1[Codigo_actividad],D$4)*D$3</f>
        <v>22136</v>
      </c>
      <c r="E14" s="314">
        <f t="shared" si="1"/>
        <v>0</v>
      </c>
      <c r="F14" s="314">
        <f t="shared" si="2"/>
        <v>0</v>
      </c>
      <c r="G14" s="314">
        <f t="shared" si="3"/>
        <v>0</v>
      </c>
      <c r="H14" s="313"/>
      <c r="I14" s="308">
        <f t="shared" si="4"/>
        <v>214378</v>
      </c>
      <c r="K14" s="226">
        <v>46204</v>
      </c>
      <c r="L14" s="314">
        <f>+SUMIFS(Tabla1[Avance_km],Tabla1[Fecha],"&gt;="&amp;$A14,Tabla1[Fecha],"&lt;="&amp;EOMONTH($A14,0),Tabla1[Codigo_actividad],L$4)</f>
        <v>13.568</v>
      </c>
      <c r="M14" s="314">
        <f>+SUMIFS(Tabla1[Avance_km],Tabla1[Fecha],"&gt;="&amp;$A14,Tabla1[Fecha],"&lt;="&amp;EOMONTH($A14,0),Tabla1[Codigo_actividad],M$4)</f>
        <v>10.538</v>
      </c>
      <c r="N14" s="314">
        <f>+SUMIFS(Tabla1[Avance_km],Tabla1[Fecha],"&gt;="&amp;$A14,Tabla1[Fecha],"&lt;="&amp;EOMONTH($A14,0),Tabla1[Codigo_actividad],N$4)</f>
        <v>13.835000000000001</v>
      </c>
      <c r="O14" s="314">
        <f>+SUMIFS(Tabla1[Observaciones],Tabla1[Fecha],"&gt;="&amp;$A14,Tabla1[Fecha],"&lt;="&amp;EOMONTH($A14,0),Tabla1[Codigo_actividad],O$4,Tabla1[Actividades],"&lt;&gt;"&amp;"METALOGRAFIAS",Tabla1[Length],O$1)</f>
        <v>0</v>
      </c>
      <c r="P14" s="314">
        <f>+SUMIFS(Tabla1[Observaciones],Tabla1[Fecha],"&gt;="&amp;$A14,Tabla1[Fecha],"&lt;="&amp;EOMONTH($A14,0),Tabla1[Codigo_actividad],P$4,Tabla1[Actividades],"&lt;&gt;"&amp;"METALOGRAFIAS",Tabla1[Length],P$1)</f>
        <v>0</v>
      </c>
      <c r="Q14" s="314">
        <f>+SUMIFS(Tabla1[Observaciones],Tabla1[Fecha],"&gt;="&amp;$A14,Tabla1[Fecha],"&lt;="&amp;EOMONTH($A14,0),Tabla1[Codigo_actividad],Q$4,Tabla1[Actividades],"&lt;&gt;"&amp;"METALOGRAFIAS",Tabla1[Length],Q$1)</f>
        <v>0</v>
      </c>
      <c r="R14" s="313"/>
      <c r="S14" s="308">
        <f t="shared" si="5"/>
        <v>37.941000000000003</v>
      </c>
      <c r="T14" s="463">
        <f t="shared" si="6"/>
        <v>0</v>
      </c>
      <c r="U14" s="314">
        <f>+SUMIFS(Tabla1[Observaciones],Tabla1[Fecha],"&gt;="&amp;$A14,Tabla1[Fecha],"&lt;="&amp;EOMONTH($A14,0),Tabla1[Codigo_actividad],U$4,Tabla1[Actividades],"&lt;&gt;"&amp;"METALOGRAFIAS",Tabla1[Length],U$1)</f>
        <v>0</v>
      </c>
      <c r="V14" s="314">
        <f>+SUMIFS(Tabla1[Observaciones],Tabla1[Fecha],"&gt;="&amp;$A14,Tabla1[Fecha],"&lt;="&amp;EOMONTH($A14,0),Tabla1[Codigo_actividad],V$4,Tabla1[Actividades],"&lt;&gt;"&amp;"METALOGRAFIAS",Tabla1[Length],V$1)</f>
        <v>0</v>
      </c>
      <c r="W14" s="314">
        <f>+SUMIFS(Tabla1[Observaciones],Tabla1[Fecha],"&gt;="&amp;$A14,Tabla1[Fecha],"&lt;="&amp;EOMONTH($A14,0),Tabla1[Codigo_actividad],W$4,Tabla1[Actividades],"&lt;&gt;"&amp;"METALOGRAFIAS",Tabla1[Length],W$1)</f>
        <v>0</v>
      </c>
      <c r="X14" s="463"/>
      <c r="Y14" s="463"/>
      <c r="Z14" s="463"/>
      <c r="AA14" s="463"/>
    </row>
    <row r="15" spans="1:57" x14ac:dyDescent="0.25">
      <c r="A15" s="226">
        <v>46235</v>
      </c>
      <c r="B15" s="314">
        <f>+SUMIFS(Tabla1[Avance_km],Tabla1[Fecha],"&gt;="&amp;$A15,Tabla1[Fecha],"&lt;="&amp;EOMONTH($A15,0),Tabla1[Codigo_actividad],B$4)*B$3</f>
        <v>78257.400000000009</v>
      </c>
      <c r="C15" s="314">
        <f>+SUMIFS(Tabla1[Avance_km],Tabla1[Fecha],"&gt;="&amp;$A15,Tabla1[Fecha],"&lt;="&amp;EOMONTH($A15,0),Tabla1[Codigo_actividad],C$4)*C$3</f>
        <v>101639</v>
      </c>
      <c r="D15" s="314">
        <f>+SUMIFS(Tabla1[Avance_km],Tabla1[Fecha],"&gt;="&amp;$A15,Tabla1[Fecha],"&lt;="&amp;EOMONTH($A15,0),Tabla1[Codigo_actividad],D$4)*D$3</f>
        <v>19472</v>
      </c>
      <c r="E15" s="314">
        <f t="shared" si="1"/>
        <v>55735</v>
      </c>
      <c r="F15" s="314">
        <f t="shared" si="2"/>
        <v>0</v>
      </c>
      <c r="G15" s="314">
        <f t="shared" si="3"/>
        <v>0</v>
      </c>
      <c r="H15" s="313"/>
      <c r="I15" s="308">
        <f t="shared" si="4"/>
        <v>255103.40000000002</v>
      </c>
      <c r="K15" s="226">
        <v>46235</v>
      </c>
      <c r="L15" s="314">
        <f>+SUMIFS(Tabla1[Avance_km],Tabla1[Fecha],"&gt;="&amp;$A15,Tabla1[Fecha],"&lt;="&amp;EOMONTH($A15,0),Tabla1[Codigo_actividad],L$4)</f>
        <v>10.033000000000001</v>
      </c>
      <c r="M15" s="314">
        <f>+SUMIFS(Tabla1[Avance_km],Tabla1[Fecha],"&gt;="&amp;$A15,Tabla1[Fecha],"&lt;="&amp;EOMONTH($A15,0),Tabla1[Codigo_actividad],M$4)</f>
        <v>12.395</v>
      </c>
      <c r="N15" s="314">
        <f>+SUMIFS(Tabla1[Avance_km],Tabla1[Fecha],"&gt;="&amp;$A15,Tabla1[Fecha],"&lt;="&amp;EOMONTH($A15,0),Tabla1[Codigo_actividad],N$4)</f>
        <v>12.17</v>
      </c>
      <c r="O15" s="314">
        <f>+SUMIFS(Tabla1[Observaciones],Tabla1[Fecha],"&gt;="&amp;$A15,Tabla1[Fecha],"&lt;="&amp;EOMONTH($A15,0),Tabla1[Codigo_actividad],O$4,Tabla1[Actividades],"&lt;&gt;"&amp;"METALOGRAFIAS",Tabla1[Length],O$1)</f>
        <v>157</v>
      </c>
      <c r="P15" s="314">
        <f>+SUMIFS(Tabla1[Observaciones],Tabla1[Fecha],"&gt;="&amp;$A15,Tabla1[Fecha],"&lt;="&amp;EOMONTH($A15,0),Tabla1[Codigo_actividad],P$4,Tabla1[Actividades],"&lt;&gt;"&amp;"METALOGRAFIAS",Tabla1[Length],P$1)</f>
        <v>0</v>
      </c>
      <c r="Q15" s="314">
        <f>+SUMIFS(Tabla1[Observaciones],Tabla1[Fecha],"&gt;="&amp;$A15,Tabla1[Fecha],"&lt;="&amp;EOMONTH($A15,0),Tabla1[Codigo_actividad],Q$4,Tabla1[Actividades],"&lt;&gt;"&amp;"METALOGRAFIAS",Tabla1[Length],Q$1)</f>
        <v>0</v>
      </c>
      <c r="R15" s="391"/>
      <c r="S15" s="308">
        <f t="shared" si="5"/>
        <v>34.597999999999999</v>
      </c>
      <c r="T15" s="463">
        <f t="shared" si="6"/>
        <v>157</v>
      </c>
      <c r="U15" s="314">
        <f>+SUMIFS(Tabla1[Observaciones],Tabla1[Fecha],"&gt;="&amp;$A15,Tabla1[Fecha],"&lt;="&amp;EOMONTH($A15,0),Tabla1[Codigo_actividad],U$4,Tabla1[Actividades],"&lt;&gt;"&amp;"METALOGRAFIAS",Tabla1[Length],U$1)</f>
        <v>157</v>
      </c>
      <c r="V15" s="314">
        <f>+SUMIFS(Tabla1[Observaciones],Tabla1[Fecha],"&gt;="&amp;$A15,Tabla1[Fecha],"&lt;="&amp;EOMONTH($A15,0),Tabla1[Codigo_actividad],V$4,Tabla1[Actividades],"&lt;&gt;"&amp;"METALOGRAFIAS",Tabla1[Length],V$1)</f>
        <v>0</v>
      </c>
      <c r="W15" s="314">
        <f>+SUMIFS(Tabla1[Observaciones],Tabla1[Fecha],"&gt;="&amp;$A15,Tabla1[Fecha],"&lt;="&amp;EOMONTH($A15,0),Tabla1[Codigo_actividad],W$4,Tabla1[Actividades],"&lt;&gt;"&amp;"METALOGRAFIAS",Tabla1[Length],W$1)</f>
        <v>0</v>
      </c>
      <c r="X15" s="463"/>
      <c r="Y15" s="463"/>
      <c r="Z15" s="463"/>
      <c r="AA15" s="463"/>
    </row>
    <row r="16" spans="1:57" x14ac:dyDescent="0.25">
      <c r="A16" s="226">
        <v>46266</v>
      </c>
      <c r="B16" s="314">
        <f>+SUMIFS(Tabla1[Avance_km],Tabla1[Fecha],"&gt;="&amp;$A16,Tabla1[Fecha],"&lt;="&amp;EOMONTH($A16,0),Tabla1[Codigo_actividad],B$4)*B$3</f>
        <v>83615.999999999985</v>
      </c>
      <c r="C16" s="314">
        <f>+SUMIFS(Tabla1[Avance_km],Tabla1[Fecha],"&gt;="&amp;$A16,Tabla1[Fecha],"&lt;="&amp;EOMONTH($A16,0),Tabla1[Codigo_actividad],C$4)*C$3</f>
        <v>0</v>
      </c>
      <c r="D16" s="314">
        <f>+SUMIFS(Tabla1[Avance_km],Tabla1[Fecha],"&gt;="&amp;$A16,Tabla1[Fecha],"&lt;="&amp;EOMONTH($A16,0),Tabla1[Codigo_actividad],D$4)*D$3</f>
        <v>32112</v>
      </c>
      <c r="E16" s="314">
        <f t="shared" si="1"/>
        <v>71000</v>
      </c>
      <c r="F16" s="314">
        <f t="shared" si="2"/>
        <v>0</v>
      </c>
      <c r="G16" s="314">
        <f t="shared" si="3"/>
        <v>0</v>
      </c>
      <c r="H16" s="313"/>
      <c r="I16" s="308">
        <f t="shared" si="4"/>
        <v>186728</v>
      </c>
      <c r="K16" s="226">
        <v>46266</v>
      </c>
      <c r="L16" s="314">
        <f>+SUMIFS(Tabla1[Avance_km],Tabla1[Fecha],"&gt;="&amp;$A16,Tabla1[Fecha],"&lt;="&amp;EOMONTH($A16,0),Tabla1[Codigo_actividad],L$4)</f>
        <v>10.719999999999999</v>
      </c>
      <c r="M16" s="314">
        <f>+SUMIFS(Tabla1[Avance_km],Tabla1[Fecha],"&gt;="&amp;$A16,Tabla1[Fecha],"&lt;="&amp;EOMONTH($A16,0),Tabla1[Codigo_actividad],M$4)</f>
        <v>0</v>
      </c>
      <c r="N16" s="314">
        <f>+SUMIFS(Tabla1[Avance_km],Tabla1[Fecha],"&gt;="&amp;$A16,Tabla1[Fecha],"&lt;="&amp;EOMONTH($A16,0),Tabla1[Codigo_actividad],N$4)</f>
        <v>20.07</v>
      </c>
      <c r="O16" s="314">
        <f>+SUMIFS(Tabla1[Observaciones],Tabla1[Fecha],"&gt;="&amp;$A16,Tabla1[Fecha],"&lt;="&amp;EOMONTH($A16,0),Tabla1[Codigo_actividad],O$4,Tabla1[Actividades],"&lt;&gt;"&amp;"METALOGRAFIAS",Tabla1[Length],O$1)</f>
        <v>200</v>
      </c>
      <c r="P16" s="314">
        <f>+SUMIFS(Tabla1[Observaciones],Tabla1[Fecha],"&gt;="&amp;$A16,Tabla1[Fecha],"&lt;="&amp;EOMONTH($A16,0),Tabla1[Codigo_actividad],P$4,Tabla1[Actividades],"&lt;&gt;"&amp;"METALOGRAFIAS",Tabla1[Length],P$1)</f>
        <v>0</v>
      </c>
      <c r="Q16" s="314">
        <f>+SUMIFS(Tabla1[Observaciones],Tabla1[Fecha],"&gt;="&amp;$A16,Tabla1[Fecha],"&lt;="&amp;EOMONTH($A16,0),Tabla1[Codigo_actividad],Q$4,Tabla1[Actividades],"&lt;&gt;"&amp;"METALOGRAFIAS",Tabla1[Length],Q$1)</f>
        <v>0</v>
      </c>
      <c r="R16" s="391"/>
      <c r="S16" s="308">
        <f t="shared" si="5"/>
        <v>30.79</v>
      </c>
      <c r="T16" s="463">
        <f t="shared" si="6"/>
        <v>200</v>
      </c>
      <c r="U16" s="314">
        <f>+SUMIFS(Tabla1[Observaciones],Tabla1[Fecha],"&gt;="&amp;$A16,Tabla1[Fecha],"&lt;="&amp;EOMONTH($A16,0),Tabla1[Codigo_actividad],U$4,Tabla1[Actividades],"&lt;&gt;"&amp;"METALOGRAFIAS",Tabla1[Length],U$1)</f>
        <v>200</v>
      </c>
      <c r="V16" s="314">
        <f>+SUMIFS(Tabla1[Observaciones],Tabla1[Fecha],"&gt;="&amp;$A16,Tabla1[Fecha],"&lt;="&amp;EOMONTH($A16,0),Tabla1[Codigo_actividad],V$4,Tabla1[Actividades],"&lt;&gt;"&amp;"METALOGRAFIAS",Tabla1[Length],V$1)</f>
        <v>0</v>
      </c>
      <c r="W16" s="314">
        <f>+SUMIFS(Tabla1[Observaciones],Tabla1[Fecha],"&gt;="&amp;$A16,Tabla1[Fecha],"&lt;="&amp;EOMONTH($A16,0),Tabla1[Codigo_actividad],W$4,Tabla1[Actividades],"&lt;&gt;"&amp;"METALOGRAFIAS",Tabla1[Length],W$1)</f>
        <v>0</v>
      </c>
      <c r="X16" s="463"/>
      <c r="Y16" s="463"/>
      <c r="Z16" s="463"/>
      <c r="AA16" s="463"/>
      <c r="BE16"/>
    </row>
    <row r="17" spans="1:65" x14ac:dyDescent="0.25">
      <c r="A17" s="226">
        <v>46296</v>
      </c>
      <c r="B17" s="314">
        <f>+SUMIFS(Tabla1[Avance_km],Tabla1[Fecha],"&gt;="&amp;$A17,Tabla1[Fecha],"&lt;="&amp;EOMONTH($A17,0),Tabla1[Codigo_actividad],B$4)*B$3</f>
        <v>125716.5</v>
      </c>
      <c r="C17" s="314">
        <f>+SUMIFS(Tabla1[Avance_km],Tabla1[Fecha],"&gt;="&amp;$A17,Tabla1[Fecha],"&lt;="&amp;EOMONTH($A17,0),Tabla1[Codigo_actividad],C$4)*C$3</f>
        <v>13320.899999999994</v>
      </c>
      <c r="D17" s="314">
        <f>+SUMIFS(Tabla1[Avance_km],Tabla1[Fecha],"&gt;="&amp;$A17,Tabla1[Fecha],"&lt;="&amp;EOMONTH($A17,0),Tabla1[Codigo_actividad],D$4)*D$3</f>
        <v>2599.1999999999989</v>
      </c>
      <c r="E17" s="314">
        <f>+O17*$E$3</f>
        <v>0</v>
      </c>
      <c r="F17" s="314">
        <f t="shared" si="2"/>
        <v>220500</v>
      </c>
      <c r="G17" s="314">
        <f t="shared" si="3"/>
        <v>59000</v>
      </c>
      <c r="H17" s="313"/>
      <c r="I17" s="308">
        <f t="shared" si="4"/>
        <v>421136.6</v>
      </c>
      <c r="K17" s="226">
        <v>46296</v>
      </c>
      <c r="L17" s="314">
        <f>+SUMIFS(Tabla1[Avance_km],Tabla1[Fecha],"&gt;="&amp;$A17,Tabla1[Fecha],"&lt;="&amp;EOMONTH($A17,0),Tabla1[Codigo_actividad],L$4)</f>
        <v>16.1175</v>
      </c>
      <c r="M17" s="314">
        <f>+SUMIFS(Tabla1[Avance_km],Tabla1[Fecha],"&gt;="&amp;$A17,Tabla1[Fecha],"&lt;="&amp;EOMONTH($A17,0),Tabla1[Codigo_actividad],M$4)</f>
        <v>1.6244999999999994</v>
      </c>
      <c r="N17" s="314">
        <f>+SUMIFS(Tabla1[Avance_km],Tabla1[Fecha],"&gt;="&amp;$A17,Tabla1[Fecha],"&lt;="&amp;EOMONTH($A17,0),Tabla1[Codigo_actividad],N$4)</f>
        <v>1.6244999999999994</v>
      </c>
      <c r="O17" s="314">
        <f>+SUMIFS(Tabla1[Observaciones],Tabla1[Fecha],"&gt;="&amp;$A17,Tabla1[Fecha],"&lt;="&amp;EOMONTH($A17,0),Tabla1[Codigo_actividad],O$4,Tabla1[Actividades],"&lt;&gt;"&amp;"METALOGRAFIAS",Tabla1[Length],O$1)</f>
        <v>0</v>
      </c>
      <c r="P17" s="314">
        <f>+SUMIFS(Tabla1[Observaciones],Tabla1[Fecha],"&gt;="&amp;$A17,Tabla1[Fecha],"&lt;="&amp;EOMONTH($A17,0),Tabla1[Codigo_actividad],P$4,Tabla1[Actividades],"&lt;&gt;"&amp;"METALOGRAFIAS",Tabla1[Length],P$1)</f>
        <v>147</v>
      </c>
      <c r="Q17" s="314">
        <f>+SUMIFS(Tabla1[Observaciones],Tabla1[Fecha],"&gt;="&amp;$A17,Tabla1[Fecha],"&lt;="&amp;EOMONTH($A17,0),Tabla1[Codigo_actividad],Q$4,Tabla1[Actividades],"&lt;&gt;"&amp;"METALOGRAFIAS",Tabla1[Length],Q$1)</f>
        <v>200</v>
      </c>
      <c r="R17" s="391"/>
      <c r="S17" s="308">
        <f>SUM(L17:N17)</f>
        <v>19.366499999999995</v>
      </c>
      <c r="T17" s="463">
        <f t="shared" si="6"/>
        <v>347</v>
      </c>
      <c r="U17" s="314">
        <f>+SUMIFS(Tabla1[Observaciones],Tabla1[Fecha],"&gt;="&amp;$A17,Tabla1[Fecha],"&lt;="&amp;EOMONTH($A17,0),Tabla1[Codigo_actividad],U$4,Tabla1[Actividades],"&lt;&gt;"&amp;"METALOGRAFIAS",Tabla1[Length],U$1)</f>
        <v>0</v>
      </c>
      <c r="V17" s="314">
        <f>+SUMIFS(Tabla1[Observaciones],Tabla1[Fecha],"&gt;="&amp;$A17,Tabla1[Fecha],"&lt;="&amp;EOMONTH($A17,0),Tabla1[Codigo_actividad],V$4,Tabla1[Actividades],"&lt;&gt;"&amp;"METALOGRAFIAS",Tabla1[Length],V$1)</f>
        <v>147</v>
      </c>
      <c r="W17" s="314">
        <f>+SUMIFS(Tabla1[Observaciones],Tabla1[Fecha],"&gt;="&amp;$A17,Tabla1[Fecha],"&lt;="&amp;EOMONTH($A17,0),Tabla1[Codigo_actividad],W$4,Tabla1[Actividades],"&lt;&gt;"&amp;"METALOGRAFIAS",Tabla1[Length],W$1)</f>
        <v>200</v>
      </c>
      <c r="X17" s="463"/>
      <c r="Y17" s="463"/>
      <c r="Z17" s="463"/>
      <c r="AA17" s="463"/>
      <c r="BE17"/>
    </row>
    <row r="18" spans="1:65" x14ac:dyDescent="0.25">
      <c r="A18" s="226">
        <v>46327</v>
      </c>
      <c r="B18" s="314">
        <f>+SUMIFS(Tabla1[Avance_km],Tabla1[Fecha],"&gt;="&amp;$A18,Tabla1[Fecha],"&lt;="&amp;EOMONTH($A18,0),Tabla1[Codigo_actividad],B$4)*B$3</f>
        <v>0</v>
      </c>
      <c r="C18" s="314">
        <f>+SUMIFS(Tabla1[Avance_km],Tabla1[Fecha],"&gt;="&amp;$A18,Tabla1[Fecha],"&lt;="&amp;EOMONTH($A18,0),Tabla1[Codigo_actividad],C$4)*C$3</f>
        <v>0</v>
      </c>
      <c r="D18" s="314">
        <f>+SUMIFS(Tabla1[Avance_km],Tabla1[Fecha],"&gt;="&amp;$A18,Tabla1[Fecha],"&lt;="&amp;EOMONTH($A18,0),Tabla1[Codigo_actividad],D$4)*D$3</f>
        <v>0</v>
      </c>
      <c r="E18" s="314">
        <f t="shared" si="1"/>
        <v>0</v>
      </c>
      <c r="F18" s="314">
        <f t="shared" si="2"/>
        <v>0</v>
      </c>
      <c r="G18" s="314">
        <f t="shared" si="3"/>
        <v>0</v>
      </c>
      <c r="H18" s="313"/>
      <c r="I18" s="308">
        <f t="shared" si="4"/>
        <v>0</v>
      </c>
      <c r="K18" s="226">
        <v>46327</v>
      </c>
      <c r="L18" s="314">
        <f>+SUMIFS(Tabla1[Avance_km],Tabla1[Fecha],"&gt;="&amp;$A18,Tabla1[Fecha],"&lt;="&amp;EOMONTH($A18,0),Tabla1[Codigo_actividad],L$4)</f>
        <v>0</v>
      </c>
      <c r="M18" s="314">
        <f>+SUMIFS(Tabla1[Avance_km],Tabla1[Fecha],"&gt;="&amp;$A18,Tabla1[Fecha],"&lt;="&amp;EOMONTH($A18,0),Tabla1[Codigo_actividad],M$4)</f>
        <v>0</v>
      </c>
      <c r="N18" s="314">
        <f>+SUMIFS(Tabla1[Avance_km],Tabla1[Fecha],"&gt;="&amp;$A18,Tabla1[Fecha],"&lt;="&amp;EOMONTH($A18,0),Tabla1[Codigo_actividad],N$4)</f>
        <v>0</v>
      </c>
      <c r="O18" s="314">
        <f>+SUMIFS(Tabla1[Observaciones],Tabla1[Fecha],"&gt;="&amp;$A18,Tabla1[Fecha],"&lt;="&amp;EOMONTH($A18,0),Tabla1[Codigo_actividad],O$4,Tabla1[Actividades],"&lt;&gt;"&amp;"METALOGRAFIAS",Tabla1[Length],O$1)</f>
        <v>0</v>
      </c>
      <c r="P18" s="314">
        <f>+SUMIFS(Tabla1[Observaciones],Tabla1[Fecha],"&gt;="&amp;$A18,Tabla1[Fecha],"&lt;="&amp;EOMONTH($A18,0),Tabla1[Codigo_actividad],P$4,Tabla1[Actividades],"&lt;&gt;"&amp;"METALOGRAFIAS",Tabla1[Length],P$1)</f>
        <v>0</v>
      </c>
      <c r="Q18" s="314">
        <f>+SUMIFS(Tabla1[Observaciones],Tabla1[Fecha],"&gt;="&amp;$A18,Tabla1[Fecha],"&lt;="&amp;EOMONTH($A18,0),Tabla1[Codigo_actividad],Q$4,Tabla1[Actividades],"&lt;&gt;"&amp;"METALOGRAFIAS",Tabla1[Length],Q$1)</f>
        <v>0</v>
      </c>
      <c r="R18" s="313"/>
      <c r="S18" s="308">
        <f t="shared" si="5"/>
        <v>0</v>
      </c>
      <c r="T18" s="463">
        <f t="shared" si="6"/>
        <v>0</v>
      </c>
      <c r="U18" s="314">
        <f>+SUMIFS(Tabla1[Observaciones],Tabla1[Fecha],"&gt;="&amp;$A18,Tabla1[Fecha],"&lt;="&amp;EOMONTH($A18,0),Tabla1[Codigo_actividad],U$4,Tabla1[Actividades],"&lt;&gt;"&amp;"METALOGRAFIAS",Tabla1[Length],U$1)</f>
        <v>0</v>
      </c>
      <c r="V18" s="314">
        <f>+SUMIFS(Tabla1[Observaciones],Tabla1[Fecha],"&gt;="&amp;$A18,Tabla1[Fecha],"&lt;="&amp;EOMONTH($A18,0),Tabla1[Codigo_actividad],V$4,Tabla1[Actividades],"&lt;&gt;"&amp;"METALOGRAFIAS",Tabla1[Length],V$1)</f>
        <v>0</v>
      </c>
      <c r="W18" s="314">
        <f>+SUMIFS(Tabla1[Observaciones],Tabla1[Fecha],"&gt;="&amp;$A18,Tabla1[Fecha],"&lt;="&amp;EOMONTH($A18,0),Tabla1[Codigo_actividad],W$4,Tabla1[Actividades],"&lt;&gt;"&amp;"METALOGRAFIAS",Tabla1[Length],W$1)</f>
        <v>0</v>
      </c>
      <c r="X18" s="463"/>
      <c r="Y18" s="463"/>
      <c r="Z18" s="463"/>
      <c r="AA18" s="463"/>
      <c r="BE18"/>
    </row>
    <row r="19" spans="1:65" x14ac:dyDescent="0.25">
      <c r="A19" s="226">
        <v>46357</v>
      </c>
      <c r="B19" s="314">
        <f>+SUMIFS(Tabla1[Avance_km],Tabla1[Fecha],"&gt;="&amp;$A19,Tabla1[Fecha],"&lt;="&amp;EOMONTH($A19,0),Tabla1[Codigo_actividad],B$4)*B$3</f>
        <v>0</v>
      </c>
      <c r="C19" s="314">
        <f>+SUMIFS(Tabla1[Avance_km],Tabla1[Fecha],"&gt;="&amp;$A19,Tabla1[Fecha],"&lt;="&amp;EOMONTH($A19,0),Tabla1[Codigo_actividad],C$4)*C$3</f>
        <v>0</v>
      </c>
      <c r="D19" s="314">
        <f>+SUMIFS(Tabla1[Avance_km],Tabla1[Fecha],"&gt;="&amp;$A19,Tabla1[Fecha],"&lt;="&amp;EOMONTH($A19,0),Tabla1[Codigo_actividad],D$4)*D$3</f>
        <v>0</v>
      </c>
      <c r="E19" s="314">
        <f t="shared" si="1"/>
        <v>0</v>
      </c>
      <c r="F19" s="314">
        <f t="shared" si="2"/>
        <v>0</v>
      </c>
      <c r="G19" s="314">
        <f t="shared" si="3"/>
        <v>0</v>
      </c>
      <c r="H19" s="313"/>
      <c r="I19" s="308">
        <f t="shared" si="4"/>
        <v>0</v>
      </c>
      <c r="K19" s="226">
        <v>46357</v>
      </c>
      <c r="L19" s="314">
        <f>+SUMIFS(Tabla1[Avance_km],Tabla1[Fecha],"&gt;="&amp;$A19,Tabla1[Fecha],"&lt;="&amp;EOMONTH($A19,0),Tabla1[Codigo_actividad],L$4)</f>
        <v>0</v>
      </c>
      <c r="M19" s="314">
        <f>+SUMIFS(Tabla1[Avance_km],Tabla1[Fecha],"&gt;="&amp;$A19,Tabla1[Fecha],"&lt;="&amp;EOMONTH($A19,0),Tabla1[Codigo_actividad],M$4)</f>
        <v>0</v>
      </c>
      <c r="N19" s="314">
        <f>+SUMIFS(Tabla1[Avance_km],Tabla1[Fecha],"&gt;="&amp;$A19,Tabla1[Fecha],"&lt;="&amp;EOMONTH($A19,0),Tabla1[Codigo_actividad],N$4)</f>
        <v>0</v>
      </c>
      <c r="O19" s="314">
        <f>+SUMIFS(Tabla1[Observaciones],Tabla1[Fecha],"&gt;="&amp;$A19,Tabla1[Fecha],"&lt;="&amp;EOMONTH($A19,0),Tabla1[Codigo_actividad],O$4,Tabla1[Actividades],"&lt;&gt;"&amp;"METALOGRAFIAS",Tabla1[Length],O$1)</f>
        <v>0</v>
      </c>
      <c r="P19" s="314">
        <f>+SUMIFS(Tabla1[Observaciones],Tabla1[Fecha],"&gt;="&amp;$A19,Tabla1[Fecha],"&lt;="&amp;EOMONTH($A19,0),Tabla1[Codigo_actividad],P$4,Tabla1[Actividades],"&lt;&gt;"&amp;"METALOGRAFIAS",Tabla1[Length],P$1)</f>
        <v>0</v>
      </c>
      <c r="Q19" s="314">
        <f>+SUMIFS(Tabla1[Observaciones],Tabla1[Fecha],"&gt;="&amp;$A19,Tabla1[Fecha],"&lt;="&amp;EOMONTH($A19,0),Tabla1[Codigo_actividad],Q$4,Tabla1[Actividades],"&lt;&gt;"&amp;"METALOGRAFIAS",Tabla1[Length],Q$1)</f>
        <v>0</v>
      </c>
      <c r="R19" s="313"/>
      <c r="S19" s="308">
        <f t="shared" si="5"/>
        <v>0</v>
      </c>
      <c r="T19" s="463">
        <f t="shared" si="6"/>
        <v>0</v>
      </c>
      <c r="U19" s="314">
        <f>+SUMIFS(Tabla1[Observaciones],Tabla1[Fecha],"&gt;="&amp;$A19,Tabla1[Fecha],"&lt;="&amp;EOMONTH($A19,0),Tabla1[Codigo_actividad],U$4,Tabla1[Actividades],"&lt;&gt;"&amp;"METALOGRAFIAS",Tabla1[Length],U$1)</f>
        <v>0</v>
      </c>
      <c r="V19" s="314">
        <f>+SUMIFS(Tabla1[Observaciones],Tabla1[Fecha],"&gt;="&amp;$A19,Tabla1[Fecha],"&lt;="&amp;EOMONTH($A19,0),Tabla1[Codigo_actividad],V$4,Tabla1[Actividades],"&lt;&gt;"&amp;"METALOGRAFIAS",Tabla1[Length],V$1)</f>
        <v>0</v>
      </c>
      <c r="W19" s="314">
        <f>+SUMIFS(Tabla1[Observaciones],Tabla1[Fecha],"&gt;="&amp;$A19,Tabla1[Fecha],"&lt;="&amp;EOMONTH($A19,0),Tabla1[Codigo_actividad],W$4,Tabla1[Actividades],"&lt;&gt;"&amp;"METALOGRAFIAS",Tabla1[Length],W$1)</f>
        <v>0</v>
      </c>
      <c r="X19" s="463"/>
      <c r="Y19" s="463"/>
      <c r="Z19" s="463"/>
      <c r="AA19" s="463"/>
    </row>
    <row r="20" spans="1:65" ht="30" x14ac:dyDescent="0.25">
      <c r="A20" s="402" t="s">
        <v>507</v>
      </c>
      <c r="I20" s="309">
        <f>SUM(I5:I19)</f>
        <v>1837451.6000000006</v>
      </c>
      <c r="K20" s="61" t="s">
        <v>453</v>
      </c>
      <c r="L20" s="403">
        <f>SUM(L6:L19)</f>
        <v>181.92550000000003</v>
      </c>
      <c r="M20" s="403">
        <f>SUM(M6:M19)</f>
        <v>148.92450000000002</v>
      </c>
      <c r="N20" s="403">
        <f>SUM(N6:N19)</f>
        <v>181.88550000000001</v>
      </c>
      <c r="O20" s="474">
        <f>SUM(O6:O19)</f>
        <v>357</v>
      </c>
      <c r="P20" s="462">
        <f t="shared" ref="P20:Q20" si="7">SUM(P6:P19)</f>
        <v>147</v>
      </c>
      <c r="Q20" s="462">
        <f t="shared" si="7"/>
        <v>200</v>
      </c>
      <c r="S20" s="309">
        <f>SUM(S6:S19)</f>
        <v>512.7355</v>
      </c>
      <c r="T20" s="464">
        <f>SUM(T6:T19)</f>
        <v>704</v>
      </c>
      <c r="U20" s="474">
        <f>SUM(U6:U19)</f>
        <v>357</v>
      </c>
      <c r="V20" s="462">
        <f t="shared" ref="V20:W20" si="8">SUM(V6:V19)</f>
        <v>147</v>
      </c>
      <c r="W20" s="462">
        <f t="shared" si="8"/>
        <v>200</v>
      </c>
      <c r="X20" s="464"/>
      <c r="Y20" s="464"/>
      <c r="Z20" s="464"/>
      <c r="AA20" s="464"/>
    </row>
    <row r="21" spans="1:65" x14ac:dyDescent="0.25">
      <c r="A21"/>
      <c r="B21" s="310">
        <f t="shared" ref="B21:G21" si="9">SUM(B6:B19)</f>
        <v>1419018.9</v>
      </c>
      <c r="C21" s="310">
        <f t="shared" si="9"/>
        <v>1221180.8999999999</v>
      </c>
      <c r="D21" s="310">
        <f t="shared" si="9"/>
        <v>291016.8000000001</v>
      </c>
      <c r="E21" s="310">
        <f t="shared" si="9"/>
        <v>126735</v>
      </c>
      <c r="F21" s="310">
        <f t="shared" si="9"/>
        <v>220500</v>
      </c>
      <c r="G21" s="310">
        <f t="shared" si="9"/>
        <v>59000</v>
      </c>
      <c r="H21" s="227"/>
      <c r="I21" s="308">
        <f>+IF(SUM(I6:I19)=SUM(B21:G21),SUM(I6:I19),"Diferencia en los montos")</f>
        <v>3337451.6</v>
      </c>
      <c r="K21"/>
      <c r="R21" s="227"/>
      <c r="S21" s="308">
        <f>+IF(SUM(S6:S19)=SUM(L20:N20),SUM(S6:S19))</f>
        <v>512.7355</v>
      </c>
    </row>
    <row r="22" spans="1:65" x14ac:dyDescent="0.25">
      <c r="A22"/>
      <c r="B22"/>
      <c r="C22"/>
      <c r="L22" s="399"/>
      <c r="M22" s="399"/>
      <c r="N22" s="399"/>
      <c r="O22" s="399"/>
      <c r="P22" s="399"/>
      <c r="Q22" s="399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</row>
    <row r="23" spans="1:65" x14ac:dyDescent="0.25">
      <c r="A23"/>
      <c r="B23"/>
      <c r="C23" s="227"/>
      <c r="D23"/>
      <c r="E23"/>
      <c r="F23"/>
      <c r="G23"/>
      <c r="H23"/>
      <c r="I23"/>
      <c r="J23"/>
      <c r="K23" s="327"/>
      <c r="L23" s="227"/>
      <c r="M23" s="227"/>
      <c r="N23" s="227"/>
      <c r="O23" s="227"/>
      <c r="P23" s="227"/>
      <c r="Q23" s="227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 s="13"/>
      <c r="BC23"/>
      <c r="BD23"/>
      <c r="BE23"/>
      <c r="BF23"/>
      <c r="BG23"/>
      <c r="BH23"/>
      <c r="BI23"/>
      <c r="BJ23"/>
      <c r="BK23"/>
      <c r="BL23"/>
      <c r="BM23"/>
    </row>
    <row r="24" spans="1:65" x14ac:dyDescent="0.25">
      <c r="A24"/>
      <c r="B24" s="292"/>
      <c r="C24" s="292"/>
      <c r="D24" s="292"/>
      <c r="E24" s="292"/>
      <c r="F24" s="292"/>
      <c r="G24" s="292"/>
      <c r="H24" s="292"/>
      <c r="I24" s="292"/>
      <c r="J24" s="292"/>
      <c r="K24" s="292"/>
      <c r="L24" s="597"/>
      <c r="M24" s="597"/>
      <c r="N24" s="597"/>
      <c r="O24" s="261"/>
      <c r="P24" s="261"/>
      <c r="Q24" s="261"/>
      <c r="R24" s="261"/>
      <c r="S24" s="292"/>
      <c r="T24" s="261"/>
      <c r="U24" s="261"/>
      <c r="V24" s="261"/>
      <c r="W24" s="261"/>
      <c r="X24" s="261"/>
      <c r="Y24" s="261"/>
      <c r="Z24" s="261"/>
      <c r="AA24" s="261"/>
      <c r="AB24" s="261"/>
      <c r="AC24" s="261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</row>
    <row r="25" spans="1:65" x14ac:dyDescent="0.25">
      <c r="A25"/>
      <c r="B25" s="76" t="s">
        <v>343</v>
      </c>
      <c r="C25"/>
      <c r="D25"/>
      <c r="E25"/>
      <c r="F25"/>
      <c r="G25"/>
      <c r="H25"/>
      <c r="I25"/>
      <c r="J25"/>
      <c r="K25"/>
      <c r="L25" s="227"/>
      <c r="M25" s="227"/>
      <c r="N25" s="227"/>
      <c r="O25" s="227"/>
      <c r="P25" s="227"/>
      <c r="Q25" s="227"/>
      <c r="R25"/>
      <c r="S25"/>
      <c r="T25"/>
      <c r="U25"/>
      <c r="V25"/>
      <c r="W25"/>
      <c r="X25"/>
      <c r="Y25"/>
      <c r="Z25"/>
      <c r="AA25"/>
      <c r="AB25"/>
      <c r="AC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</row>
    <row r="26" spans="1:65" x14ac:dyDescent="0.25">
      <c r="A26" s="226">
        <v>45962</v>
      </c>
      <c r="B26" s="307">
        <f>+I6</f>
        <v>796319.20000000007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</row>
    <row r="27" spans="1:65" x14ac:dyDescent="0.25">
      <c r="A27" s="226">
        <v>45992</v>
      </c>
      <c r="B27" s="307">
        <f t="shared" ref="B27:B37" si="10">+I7</f>
        <v>538386.20000000007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</row>
    <row r="28" spans="1:65" x14ac:dyDescent="0.25">
      <c r="A28" s="226">
        <v>46023</v>
      </c>
      <c r="B28" s="307">
        <f t="shared" si="10"/>
        <v>423640.20000000007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J28"/>
      <c r="AK28"/>
      <c r="AL28"/>
      <c r="AM28"/>
      <c r="AN28" s="321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</row>
    <row r="29" spans="1:65" x14ac:dyDescent="0.25">
      <c r="A29" s="226">
        <v>46054</v>
      </c>
      <c r="B29" s="307">
        <f t="shared" si="10"/>
        <v>0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</row>
    <row r="30" spans="1:65" x14ac:dyDescent="0.25">
      <c r="A30" s="226">
        <v>46082</v>
      </c>
      <c r="B30" s="307">
        <f t="shared" si="10"/>
        <v>5760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</row>
    <row r="31" spans="1:65" x14ac:dyDescent="0.25">
      <c r="A31" s="226">
        <v>46113</v>
      </c>
      <c r="B31" s="307">
        <f t="shared" si="10"/>
        <v>80791.8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</row>
    <row r="32" spans="1:65" x14ac:dyDescent="0.25">
      <c r="A32" s="226">
        <v>46143</v>
      </c>
      <c r="B32" s="307">
        <f t="shared" si="10"/>
        <v>247982.6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</row>
    <row r="33" spans="1:65" x14ac:dyDescent="0.25">
      <c r="A33" s="226">
        <v>46174</v>
      </c>
      <c r="B33" s="307">
        <f t="shared" si="10"/>
        <v>167225.60000000003</v>
      </c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</row>
    <row r="34" spans="1:65" x14ac:dyDescent="0.25">
      <c r="A34" s="226">
        <v>46204</v>
      </c>
      <c r="B34" s="307">
        <f t="shared" si="10"/>
        <v>214378</v>
      </c>
      <c r="C34"/>
      <c r="D34"/>
      <c r="E34"/>
      <c r="F34"/>
      <c r="G34"/>
      <c r="H34"/>
      <c r="I34"/>
      <c r="J34"/>
      <c r="K34"/>
      <c r="L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</row>
    <row r="35" spans="1:65" x14ac:dyDescent="0.25">
      <c r="A35" s="226">
        <v>46235</v>
      </c>
      <c r="B35" s="307">
        <f t="shared" si="10"/>
        <v>255103.40000000002</v>
      </c>
      <c r="C35"/>
      <c r="D35"/>
      <c r="E35"/>
      <c r="F35"/>
      <c r="G35"/>
      <c r="H35"/>
      <c r="I35"/>
      <c r="J35"/>
      <c r="K35"/>
      <c r="L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</row>
    <row r="36" spans="1:65" x14ac:dyDescent="0.25">
      <c r="A36" s="226">
        <v>46266</v>
      </c>
      <c r="B36" s="307">
        <f t="shared" si="10"/>
        <v>186728</v>
      </c>
      <c r="C36"/>
      <c r="D36"/>
      <c r="E36"/>
      <c r="F36"/>
      <c r="G36"/>
      <c r="H36"/>
      <c r="I36"/>
      <c r="J36"/>
      <c r="K36"/>
      <c r="L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</row>
    <row r="37" spans="1:65" x14ac:dyDescent="0.25">
      <c r="A37" s="226">
        <v>46296</v>
      </c>
      <c r="B37" s="307">
        <f t="shared" si="10"/>
        <v>421136.6</v>
      </c>
      <c r="C37"/>
      <c r="D37"/>
      <c r="E37"/>
      <c r="F37"/>
      <c r="G37"/>
      <c r="H37"/>
      <c r="I37"/>
      <c r="J37"/>
      <c r="K37"/>
      <c r="L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</row>
    <row r="38" spans="1:65" x14ac:dyDescent="0.25">
      <c r="A38"/>
      <c r="B38" s="312">
        <f>SUM(B26:B37)</f>
        <v>3337451.6</v>
      </c>
      <c r="C38" s="293"/>
      <c r="D38"/>
      <c r="E38"/>
      <c r="F38"/>
      <c r="G38"/>
      <c r="H38"/>
      <c r="I38"/>
      <c r="J38"/>
      <c r="K38"/>
      <c r="L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</row>
    <row r="39" spans="1:65" x14ac:dyDescent="0.25">
      <c r="A39"/>
      <c r="B39"/>
      <c r="C39"/>
      <c r="D39"/>
      <c r="E39"/>
      <c r="F39"/>
      <c r="G39"/>
      <c r="H39"/>
      <c r="I39"/>
      <c r="J39"/>
      <c r="K39"/>
      <c r="L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</row>
    <row r="40" spans="1:65" x14ac:dyDescent="0.25">
      <c r="A40"/>
      <c r="B40" s="321"/>
      <c r="C40"/>
      <c r="D40"/>
      <c r="E40"/>
      <c r="F40"/>
      <c r="G40"/>
      <c r="H40"/>
      <c r="I40"/>
      <c r="J40"/>
      <c r="K40"/>
      <c r="L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</row>
    <row r="41" spans="1:65" x14ac:dyDescent="0.25">
      <c r="A41"/>
      <c r="B41"/>
      <c r="C41"/>
      <c r="D41"/>
      <c r="E41"/>
      <c r="F41"/>
      <c r="G41"/>
      <c r="H41"/>
      <c r="I41"/>
      <c r="J41"/>
      <c r="K41"/>
      <c r="L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</row>
    <row r="42" spans="1:65" x14ac:dyDescent="0.25">
      <c r="A42"/>
      <c r="B42"/>
      <c r="C42"/>
      <c r="D42"/>
      <c r="E42"/>
      <c r="F42"/>
      <c r="G42"/>
      <c r="H42"/>
      <c r="I42"/>
      <c r="J42"/>
      <c r="K42"/>
      <c r="L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</row>
    <row r="43" spans="1:65" x14ac:dyDescent="0.25">
      <c r="A43"/>
      <c r="B43"/>
      <c r="C43"/>
      <c r="D43"/>
      <c r="E43"/>
      <c r="F43"/>
      <c r="G43"/>
      <c r="H43"/>
      <c r="I43"/>
      <c r="J43"/>
      <c r="K43"/>
      <c r="L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</row>
    <row r="44" spans="1:65" x14ac:dyDescent="0.25">
      <c r="A44"/>
      <c r="B44"/>
      <c r="C44"/>
      <c r="D44"/>
      <c r="E44"/>
      <c r="F44"/>
      <c r="G44"/>
      <c r="H44"/>
      <c r="I44"/>
      <c r="J44"/>
      <c r="K44"/>
      <c r="L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</row>
    <row r="45" spans="1:65" x14ac:dyDescent="0.25">
      <c r="A45"/>
      <c r="B45"/>
      <c r="C45"/>
      <c r="D45"/>
      <c r="E45"/>
      <c r="F45"/>
      <c r="G45"/>
      <c r="H45"/>
      <c r="I45"/>
      <c r="J45"/>
      <c r="K45"/>
      <c r="L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</row>
    <row r="46" spans="1:65" x14ac:dyDescent="0.25">
      <c r="A46"/>
      <c r="B46"/>
      <c r="C46"/>
      <c r="D46"/>
      <c r="E46"/>
      <c r="F46"/>
      <c r="G46"/>
      <c r="H46"/>
      <c r="I46"/>
      <c r="J46"/>
      <c r="K46"/>
      <c r="L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</row>
    <row r="47" spans="1:65" x14ac:dyDescent="0.25">
      <c r="A47"/>
      <c r="B47"/>
      <c r="C47"/>
      <c r="D47"/>
      <c r="E47"/>
      <c r="F47"/>
      <c r="G47"/>
      <c r="H47"/>
      <c r="I47"/>
      <c r="J47"/>
      <c r="K47"/>
      <c r="L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</row>
    <row r="48" spans="1:65" x14ac:dyDescent="0.25">
      <c r="A48"/>
      <c r="B48"/>
      <c r="C48"/>
      <c r="D48"/>
      <c r="E48"/>
      <c r="F48"/>
      <c r="G48"/>
      <c r="H48"/>
      <c r="I48"/>
      <c r="J48"/>
      <c r="K48"/>
      <c r="L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</row>
    <row r="49" spans="1:65" x14ac:dyDescent="0.25">
      <c r="A49"/>
      <c r="B49"/>
      <c r="C49"/>
      <c r="D49"/>
      <c r="E49"/>
      <c r="F49"/>
      <c r="G49"/>
      <c r="H49"/>
      <c r="I49"/>
      <c r="J49"/>
      <c r="K49"/>
      <c r="L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</row>
    <row r="50" spans="1:65" x14ac:dyDescent="0.25">
      <c r="A50"/>
      <c r="B50"/>
      <c r="C50"/>
      <c r="D50"/>
      <c r="E50"/>
      <c r="F50"/>
      <c r="G50"/>
      <c r="H50"/>
      <c r="I50"/>
      <c r="J50"/>
      <c r="K50"/>
      <c r="L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</row>
    <row r="51" spans="1:65" x14ac:dyDescent="0.25">
      <c r="A51"/>
      <c r="B51"/>
      <c r="C51"/>
      <c r="D51"/>
      <c r="E51"/>
      <c r="F51"/>
      <c r="G51"/>
      <c r="H51"/>
      <c r="I51"/>
      <c r="J51"/>
      <c r="K51"/>
      <c r="L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</row>
    <row r="52" spans="1:65" x14ac:dyDescent="0.25">
      <c r="A52"/>
      <c r="B52"/>
      <c r="C52"/>
      <c r="D52"/>
      <c r="E52"/>
      <c r="F52"/>
      <c r="G52"/>
      <c r="H52"/>
      <c r="I52"/>
      <c r="J52"/>
      <c r="K52"/>
      <c r="L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</row>
    <row r="53" spans="1:65" x14ac:dyDescent="0.25">
      <c r="A53"/>
      <c r="B53"/>
      <c r="C53"/>
      <c r="D53"/>
      <c r="E53"/>
      <c r="F53"/>
      <c r="G53"/>
      <c r="H53"/>
      <c r="I53"/>
      <c r="J53"/>
      <c r="K53"/>
      <c r="L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</row>
    <row r="54" spans="1:65" x14ac:dyDescent="0.25">
      <c r="A54"/>
      <c r="B54"/>
      <c r="C54"/>
      <c r="D54"/>
      <c r="E54"/>
      <c r="F54"/>
      <c r="G54"/>
      <c r="H54"/>
      <c r="I54"/>
      <c r="J54"/>
      <c r="K54"/>
      <c r="L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</row>
    <row r="55" spans="1:65" x14ac:dyDescent="0.25">
      <c r="A55"/>
      <c r="B55"/>
      <c r="C55"/>
      <c r="D55"/>
      <c r="E55"/>
      <c r="F55"/>
      <c r="G55"/>
      <c r="H55"/>
      <c r="I55"/>
      <c r="J55"/>
      <c r="K55"/>
      <c r="L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</row>
    <row r="56" spans="1:65" x14ac:dyDescent="0.25">
      <c r="A56"/>
      <c r="B56"/>
      <c r="C56"/>
      <c r="D56"/>
      <c r="E56"/>
      <c r="F56"/>
      <c r="G56"/>
      <c r="H56"/>
      <c r="I56"/>
      <c r="J56"/>
      <c r="K56"/>
      <c r="L56"/>
    </row>
    <row r="57" spans="1:65" x14ac:dyDescent="0.25">
      <c r="A57"/>
      <c r="B57"/>
      <c r="C57"/>
      <c r="D57"/>
      <c r="E57"/>
      <c r="F57"/>
      <c r="G57"/>
      <c r="H57"/>
      <c r="I57"/>
      <c r="J57"/>
      <c r="K57"/>
      <c r="L57"/>
    </row>
    <row r="58" spans="1:65" x14ac:dyDescent="0.25">
      <c r="A58"/>
      <c r="B58"/>
      <c r="C58"/>
      <c r="D58"/>
      <c r="E58"/>
      <c r="F58"/>
      <c r="G58"/>
      <c r="H58"/>
      <c r="I58"/>
      <c r="J58"/>
      <c r="K58"/>
      <c r="L58"/>
    </row>
    <row r="59" spans="1:65" x14ac:dyDescent="0.25">
      <c r="A59"/>
      <c r="B59"/>
      <c r="C59"/>
      <c r="D59"/>
      <c r="E59"/>
      <c r="F59"/>
      <c r="G59"/>
      <c r="H59"/>
      <c r="I59"/>
      <c r="J59"/>
      <c r="K59"/>
      <c r="L59"/>
    </row>
    <row r="60" spans="1:65" x14ac:dyDescent="0.25">
      <c r="A60"/>
      <c r="B60"/>
      <c r="C60"/>
      <c r="D60"/>
      <c r="E60"/>
      <c r="F60"/>
      <c r="G60"/>
      <c r="H60"/>
      <c r="I60"/>
      <c r="J60"/>
      <c r="K60"/>
      <c r="L60"/>
    </row>
    <row r="61" spans="1:65" x14ac:dyDescent="0.25">
      <c r="A61"/>
      <c r="B61"/>
      <c r="C61"/>
      <c r="D61"/>
      <c r="E61"/>
      <c r="F61"/>
      <c r="G61"/>
      <c r="H61"/>
      <c r="I61"/>
      <c r="J61"/>
      <c r="K61"/>
      <c r="L61"/>
    </row>
    <row r="62" spans="1:65" x14ac:dyDescent="0.25">
      <c r="A62"/>
      <c r="B62"/>
      <c r="C62"/>
      <c r="D62"/>
      <c r="E62"/>
      <c r="F62"/>
      <c r="G62"/>
      <c r="H62"/>
      <c r="I62"/>
      <c r="J62"/>
      <c r="K62"/>
      <c r="L62"/>
    </row>
    <row r="63" spans="1:65" x14ac:dyDescent="0.25">
      <c r="A63"/>
      <c r="B63"/>
      <c r="C63"/>
      <c r="D63"/>
      <c r="E63"/>
      <c r="F63"/>
      <c r="G63"/>
      <c r="H63"/>
      <c r="I63"/>
      <c r="J63"/>
      <c r="K63"/>
      <c r="L63"/>
    </row>
    <row r="64" spans="1:65" x14ac:dyDescent="0.25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25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25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25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25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25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25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25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25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25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2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2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25">
      <c r="A76"/>
      <c r="B76"/>
      <c r="C76"/>
      <c r="D76" s="410">
        <v>1500000</v>
      </c>
      <c r="E76" s="410"/>
      <c r="F76" s="410"/>
      <c r="G76" s="410"/>
      <c r="H76"/>
      <c r="I76"/>
      <c r="J76"/>
      <c r="K76"/>
      <c r="L76"/>
    </row>
    <row r="77" spans="1:12" x14ac:dyDescent="0.25">
      <c r="A77"/>
      <c r="B77"/>
      <c r="C77"/>
      <c r="D77" s="410">
        <f>+D76/1.16</f>
        <v>1293103.4482758623</v>
      </c>
      <c r="E77" s="410"/>
      <c r="F77" s="410"/>
      <c r="G77" s="410"/>
      <c r="H77" t="s">
        <v>515</v>
      </c>
      <c r="I77"/>
      <c r="J77"/>
      <c r="K77"/>
      <c r="L77"/>
    </row>
    <row r="78" spans="1:12" x14ac:dyDescent="0.25">
      <c r="A78"/>
      <c r="B78"/>
      <c r="C78"/>
      <c r="D78" s="410">
        <f>+D77*0.16</f>
        <v>206896.55172413797</v>
      </c>
      <c r="E78" s="410"/>
      <c r="F78" s="410"/>
      <c r="G78" s="410"/>
      <c r="H78" t="s">
        <v>514</v>
      </c>
      <c r="I78"/>
      <c r="J78"/>
      <c r="K78"/>
      <c r="L78"/>
    </row>
    <row r="79" spans="1:12" x14ac:dyDescent="0.25">
      <c r="A79"/>
      <c r="B79"/>
      <c r="C79"/>
      <c r="D79" s="410">
        <f>+D77+D78</f>
        <v>1500000.0000000002</v>
      </c>
      <c r="E79" s="410"/>
      <c r="F79" s="410"/>
      <c r="G79" s="410"/>
      <c r="H79" t="s">
        <v>516</v>
      </c>
      <c r="I79"/>
      <c r="J79"/>
      <c r="K79"/>
      <c r="L79"/>
    </row>
    <row r="80" spans="1:12" x14ac:dyDescent="0.25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25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25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25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25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25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25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25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25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25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25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25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25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25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25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25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25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25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25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25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25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25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25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25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25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25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25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25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25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25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25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25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25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25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25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25">
      <c r="A115"/>
      <c r="B115"/>
      <c r="C115"/>
      <c r="D115"/>
      <c r="E115"/>
      <c r="F115"/>
      <c r="G115"/>
      <c r="H115"/>
      <c r="I115"/>
      <c r="J115"/>
      <c r="K115"/>
      <c r="L115"/>
    </row>
  </sheetData>
  <mergeCells count="1">
    <mergeCell ref="L24:N24"/>
  </mergeCells>
  <conditionalFormatting sqref="B6:G19">
    <cfRule type="expression" dxfId="21" priority="5" stopIfTrue="1">
      <formula>B6=0</formula>
    </cfRule>
    <cfRule type="expression" dxfId="20" priority="6">
      <formula>IF(MONTH($A6)=MONTH(TODAY()),"VERDADERO","FALSO")</formula>
    </cfRule>
  </conditionalFormatting>
  <conditionalFormatting sqref="L6:Q19">
    <cfRule type="expression" dxfId="19" priority="7" stopIfTrue="1">
      <formula>L6=0</formula>
    </cfRule>
    <cfRule type="expression" dxfId="18" priority="8">
      <formula>IF(MONTH($A6)=MONTH(TODAY()),"VERDADERO","FALSO")</formula>
    </cfRule>
  </conditionalFormatting>
  <conditionalFormatting sqref="U6:W19">
    <cfRule type="expression" dxfId="17" priority="1" stopIfTrue="1">
      <formula>U6=0</formula>
    </cfRule>
    <cfRule type="expression" dxfId="16" priority="2">
      <formula>IF(MONTH($A6)=MONTH(TODAY()),"VERDADERO","FALSO")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3ACB5-AE8B-4D6C-ACAC-A056E80E363D}">
  <sheetPr codeName="Hoja31">
    <pageSetUpPr fitToPage="1"/>
  </sheetPr>
  <dimension ref="A1:BW91"/>
  <sheetViews>
    <sheetView showGridLines="0" view="pageBreakPreview" zoomScale="85" zoomScaleNormal="85" zoomScaleSheetLayoutView="85" workbookViewId="0">
      <selection activeCell="BF16" sqref="BF16"/>
    </sheetView>
  </sheetViews>
  <sheetFormatPr baseColWidth="10" defaultRowHeight="15" x14ac:dyDescent="0.25"/>
  <cols>
    <col min="1" max="54" width="4.42578125" customWidth="1"/>
    <col min="55" max="55" width="3.28515625" customWidth="1"/>
  </cols>
  <sheetData>
    <row r="1" spans="1:75" x14ac:dyDescent="0.25">
      <c r="A1" s="136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136"/>
      <c r="BN1" s="136"/>
      <c r="BO1" s="136"/>
      <c r="BP1" s="136"/>
      <c r="BQ1" s="136"/>
      <c r="BR1" s="136"/>
      <c r="BS1" s="136"/>
      <c r="BT1" s="136"/>
      <c r="BU1" s="136"/>
      <c r="BV1" s="136"/>
      <c r="BW1" s="136"/>
    </row>
    <row r="2" spans="1:75" x14ac:dyDescent="0.25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6"/>
      <c r="BP2" s="136"/>
      <c r="BQ2" s="136"/>
      <c r="BR2" s="136"/>
      <c r="BS2" s="136"/>
      <c r="BT2" s="136"/>
      <c r="BU2" s="136"/>
      <c r="BV2" s="136"/>
      <c r="BW2" s="136"/>
    </row>
    <row r="3" spans="1:75" x14ac:dyDescent="0.25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</row>
    <row r="4" spans="1:75" x14ac:dyDescent="0.25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6"/>
      <c r="BP4" s="136"/>
      <c r="BQ4" s="136"/>
      <c r="BR4" s="136"/>
      <c r="BS4" s="136"/>
      <c r="BT4" s="136"/>
      <c r="BU4" s="136"/>
      <c r="BV4" s="136"/>
      <c r="BW4" s="136"/>
    </row>
    <row r="5" spans="1:75" x14ac:dyDescent="0.25">
      <c r="A5" s="136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6"/>
      <c r="BF5" s="136"/>
      <c r="BG5" s="136"/>
      <c r="BH5" s="136"/>
      <c r="BI5" s="136"/>
      <c r="BJ5" s="136"/>
      <c r="BK5" s="136"/>
      <c r="BL5" s="136"/>
      <c r="BM5" s="136"/>
      <c r="BN5" s="136"/>
      <c r="BO5" s="136"/>
      <c r="BP5" s="136"/>
      <c r="BQ5" s="136"/>
      <c r="BR5" s="136"/>
      <c r="BS5" s="136"/>
      <c r="BT5" s="136"/>
      <c r="BU5" s="136"/>
      <c r="BV5" s="136"/>
      <c r="BW5" s="136"/>
    </row>
    <row r="6" spans="1:75" x14ac:dyDescent="0.25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6"/>
      <c r="BD6" s="136"/>
      <c r="BE6" s="136"/>
      <c r="BF6" s="136"/>
      <c r="BG6" s="136"/>
      <c r="BH6" s="136"/>
      <c r="BI6" s="136"/>
      <c r="BJ6" s="136"/>
      <c r="BK6" s="136"/>
      <c r="BL6" s="136"/>
      <c r="BM6" s="136"/>
      <c r="BN6" s="136"/>
      <c r="BO6" s="136"/>
      <c r="BP6" s="136"/>
      <c r="BQ6" s="136"/>
      <c r="BR6" s="136"/>
      <c r="BS6" s="136"/>
      <c r="BT6" s="136"/>
      <c r="BU6" s="136"/>
      <c r="BV6" s="136"/>
      <c r="BW6" s="136"/>
    </row>
    <row r="7" spans="1:75" x14ac:dyDescent="0.25">
      <c r="A7" s="136"/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6"/>
      <c r="AY7" s="136"/>
      <c r="AZ7" s="136"/>
      <c r="BA7" s="136"/>
      <c r="BB7" s="136"/>
      <c r="BC7" s="136"/>
      <c r="BD7" s="136"/>
      <c r="BE7" s="136"/>
      <c r="BF7" s="136"/>
      <c r="BG7" s="136"/>
      <c r="BH7" s="136"/>
      <c r="BI7" s="136"/>
      <c r="BJ7" s="136"/>
      <c r="BK7" s="136"/>
      <c r="BL7" s="136"/>
      <c r="BM7" s="136"/>
      <c r="BN7" s="136"/>
      <c r="BO7" s="136"/>
      <c r="BP7" s="136"/>
      <c r="BQ7" s="136"/>
      <c r="BR7" s="136"/>
      <c r="BS7" s="136"/>
      <c r="BT7" s="136"/>
      <c r="BU7" s="136"/>
      <c r="BV7" s="136"/>
      <c r="BW7" s="136"/>
    </row>
    <row r="8" spans="1:75" x14ac:dyDescent="0.25">
      <c r="A8" s="136"/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36"/>
      <c r="AP8" s="136"/>
      <c r="AQ8" s="136"/>
      <c r="AR8" s="136"/>
      <c r="AS8" s="136"/>
      <c r="AT8" s="136"/>
      <c r="AU8" s="136"/>
      <c r="AV8" s="136"/>
      <c r="AW8" s="136"/>
      <c r="AX8" s="136"/>
      <c r="AY8" s="136"/>
      <c r="AZ8" s="136"/>
      <c r="BA8" s="136"/>
      <c r="BB8" s="136"/>
      <c r="BC8" s="136"/>
      <c r="BD8" s="136"/>
      <c r="BE8" s="136"/>
      <c r="BF8" s="136"/>
      <c r="BG8" s="136"/>
      <c r="BH8" s="136"/>
      <c r="BI8" s="136"/>
      <c r="BJ8" s="136"/>
      <c r="BK8" s="136"/>
      <c r="BL8" s="136"/>
      <c r="BM8" s="136"/>
      <c r="BN8" s="136"/>
      <c r="BO8" s="136"/>
      <c r="BP8" s="136"/>
      <c r="BQ8" s="136"/>
      <c r="BR8" s="136"/>
      <c r="BS8" s="136"/>
      <c r="BT8" s="136"/>
      <c r="BU8" s="136"/>
      <c r="BV8" s="136"/>
      <c r="BW8" s="136"/>
    </row>
    <row r="9" spans="1:75" x14ac:dyDescent="0.25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  <c r="BO9" s="136"/>
      <c r="BP9" s="136"/>
      <c r="BQ9" s="136"/>
      <c r="BR9" s="136"/>
      <c r="BS9" s="136"/>
      <c r="BT9" s="136"/>
      <c r="BU9" s="136"/>
      <c r="BV9" s="136"/>
      <c r="BW9" s="136"/>
    </row>
    <row r="10" spans="1:75" x14ac:dyDescent="0.25">
      <c r="A10" s="136"/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/>
      <c r="AY10" s="136"/>
      <c r="AZ10" s="136"/>
      <c r="BA10" s="136"/>
      <c r="BB10" s="136"/>
      <c r="BC10" s="136"/>
      <c r="BD10" s="136"/>
      <c r="BE10" s="136"/>
      <c r="BF10" s="136"/>
      <c r="BG10" s="136"/>
      <c r="BH10" s="136"/>
      <c r="BI10" s="136"/>
      <c r="BJ10" s="136"/>
      <c r="BK10" s="136"/>
      <c r="BL10" s="136"/>
      <c r="BM10" s="136"/>
      <c r="BN10" s="136"/>
      <c r="BO10" s="136"/>
      <c r="BP10" s="136"/>
      <c r="BQ10" s="136"/>
      <c r="BR10" s="136"/>
      <c r="BS10" s="136"/>
      <c r="BT10" s="136"/>
      <c r="BU10" s="136"/>
      <c r="BV10" s="136"/>
      <c r="BW10" s="136"/>
    </row>
    <row r="11" spans="1:75" x14ac:dyDescent="0.25">
      <c r="A11" s="136"/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136"/>
      <c r="BD11" s="136"/>
      <c r="BE11" s="136"/>
      <c r="BF11" s="136"/>
      <c r="BG11" s="136"/>
      <c r="BH11" s="136"/>
      <c r="BI11" s="136"/>
      <c r="BJ11" s="136"/>
      <c r="BK11" s="136"/>
      <c r="BL11" s="136"/>
      <c r="BM11" s="136"/>
      <c r="BN11" s="136"/>
      <c r="BO11" s="136"/>
      <c r="BP11" s="136"/>
      <c r="BQ11" s="136"/>
      <c r="BR11" s="136"/>
      <c r="BS11" s="136"/>
      <c r="BT11" s="136"/>
      <c r="BU11" s="136"/>
      <c r="BV11" s="136"/>
      <c r="BW11" s="136"/>
    </row>
    <row r="12" spans="1:75" x14ac:dyDescent="0.25">
      <c r="A12" s="136"/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  <c r="AS12" s="136"/>
      <c r="AT12" s="136"/>
      <c r="AU12" s="136"/>
      <c r="AV12" s="136"/>
      <c r="AW12" s="136"/>
      <c r="AX12" s="136"/>
      <c r="AY12" s="136"/>
      <c r="AZ12" s="136"/>
      <c r="BA12" s="136"/>
      <c r="BB12" s="136"/>
      <c r="BC12" s="136"/>
      <c r="BD12" s="136"/>
      <c r="BE12" s="136"/>
      <c r="BF12" s="136"/>
      <c r="BG12" s="136"/>
      <c r="BH12" s="136"/>
      <c r="BI12" s="136"/>
      <c r="BJ12" s="136"/>
      <c r="BK12" s="136"/>
      <c r="BL12" s="136"/>
      <c r="BM12" s="136"/>
      <c r="BN12" s="136"/>
      <c r="BO12" s="136"/>
      <c r="BP12" s="136"/>
      <c r="BQ12" s="136"/>
      <c r="BR12" s="136"/>
      <c r="BS12" s="136"/>
      <c r="BT12" s="136"/>
      <c r="BU12" s="136"/>
      <c r="BV12" s="136"/>
      <c r="BW12" s="136"/>
    </row>
    <row r="13" spans="1:75" x14ac:dyDescent="0.25">
      <c r="A13" s="136"/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136"/>
      <c r="BD13" s="136"/>
      <c r="BE13" s="136"/>
      <c r="BF13" s="136"/>
      <c r="BG13" s="136"/>
      <c r="BH13" s="136"/>
      <c r="BI13" s="136"/>
      <c r="BJ13" s="136"/>
      <c r="BK13" s="136"/>
      <c r="BL13" s="136"/>
      <c r="BM13" s="136"/>
      <c r="BN13" s="136"/>
      <c r="BO13" s="136"/>
      <c r="BP13" s="136"/>
      <c r="BQ13" s="136"/>
      <c r="BR13" s="136"/>
      <c r="BS13" s="136"/>
      <c r="BT13" s="136"/>
      <c r="BU13" s="136"/>
      <c r="BV13" s="136"/>
      <c r="BW13" s="136"/>
    </row>
    <row r="14" spans="1:75" x14ac:dyDescent="0.25">
      <c r="A14" s="136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136"/>
      <c r="BC14" s="136"/>
      <c r="BD14" s="136"/>
      <c r="BE14" s="136"/>
      <c r="BF14" s="136"/>
      <c r="BG14" s="136"/>
      <c r="BH14" s="136"/>
      <c r="BI14" s="136"/>
      <c r="BJ14" s="136"/>
      <c r="BK14" s="136"/>
      <c r="BL14" s="136"/>
      <c r="BM14" s="136"/>
      <c r="BN14" s="136"/>
      <c r="BO14" s="136"/>
      <c r="BP14" s="136"/>
      <c r="BQ14" s="136"/>
      <c r="BR14" s="136"/>
      <c r="BS14" s="136"/>
      <c r="BT14" s="136"/>
      <c r="BU14" s="136"/>
      <c r="BV14" s="136"/>
      <c r="BW14" s="136"/>
    </row>
    <row r="15" spans="1:75" x14ac:dyDescent="0.25">
      <c r="A15" s="136"/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136"/>
      <c r="BC15" s="136"/>
      <c r="BD15" s="136"/>
      <c r="BE15" s="136"/>
      <c r="BF15" s="136"/>
      <c r="BG15" s="136"/>
      <c r="BH15" s="136"/>
      <c r="BI15" s="136"/>
      <c r="BJ15" s="136"/>
      <c r="BK15" s="136"/>
      <c r="BL15" s="136"/>
      <c r="BM15" s="136"/>
      <c r="BN15" s="136"/>
      <c r="BO15" s="136"/>
      <c r="BP15" s="136"/>
      <c r="BQ15" s="136"/>
      <c r="BR15" s="136"/>
      <c r="BS15" s="136"/>
      <c r="BT15" s="136"/>
      <c r="BU15" s="136"/>
      <c r="BV15" s="136"/>
      <c r="BW15" s="136"/>
    </row>
    <row r="16" spans="1:75" x14ac:dyDescent="0.25">
      <c r="A16" s="136"/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H16" s="136"/>
      <c r="BI16" s="136"/>
      <c r="BJ16" s="136"/>
      <c r="BK16" s="136"/>
      <c r="BL16" s="136"/>
      <c r="BM16" s="136"/>
      <c r="BN16" s="136"/>
      <c r="BO16" s="136"/>
      <c r="BP16" s="136"/>
      <c r="BQ16" s="136"/>
      <c r="BR16" s="136"/>
      <c r="BS16" s="136"/>
      <c r="BT16" s="136"/>
      <c r="BU16" s="136"/>
      <c r="BV16" s="136"/>
      <c r="BW16" s="136"/>
    </row>
    <row r="17" spans="1:75" x14ac:dyDescent="0.25">
      <c r="A17" s="136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  <c r="BC17" s="136"/>
      <c r="BD17" s="136"/>
      <c r="BE17" s="136"/>
      <c r="BF17" s="136"/>
      <c r="BG17" s="136"/>
      <c r="BH17" s="136"/>
      <c r="BI17" s="136"/>
      <c r="BJ17" s="136"/>
      <c r="BK17" s="136"/>
      <c r="BL17" s="136"/>
      <c r="BM17" s="136"/>
      <c r="BN17" s="136"/>
      <c r="BO17" s="136"/>
      <c r="BP17" s="136"/>
      <c r="BQ17" s="136"/>
      <c r="BR17" s="136"/>
      <c r="BS17" s="136"/>
      <c r="BT17" s="136"/>
      <c r="BU17" s="136"/>
      <c r="BV17" s="136"/>
      <c r="BW17" s="136"/>
    </row>
    <row r="18" spans="1:75" x14ac:dyDescent="0.25">
      <c r="A18" s="136"/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  <c r="AY18" s="136"/>
      <c r="AZ18" s="136"/>
      <c r="BA18" s="136"/>
      <c r="BB18" s="136"/>
      <c r="BC18" s="136"/>
      <c r="BD18" s="136"/>
      <c r="BE18" s="136"/>
      <c r="BF18" s="136"/>
      <c r="BG18" s="136"/>
      <c r="BH18" s="136"/>
      <c r="BI18" s="136"/>
      <c r="BJ18" s="136"/>
      <c r="BK18" s="136"/>
      <c r="BL18" s="136"/>
      <c r="BM18" s="136"/>
      <c r="BN18" s="136"/>
      <c r="BO18" s="136"/>
      <c r="BP18" s="136"/>
      <c r="BQ18" s="136"/>
      <c r="BR18" s="136"/>
      <c r="BS18" s="136"/>
      <c r="BT18" s="136"/>
      <c r="BU18" s="136"/>
      <c r="BV18" s="136"/>
      <c r="BW18" s="136"/>
    </row>
    <row r="19" spans="1:75" x14ac:dyDescent="0.25">
      <c r="A19" s="136"/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136"/>
      <c r="AW19" s="136"/>
      <c r="AX19" s="136"/>
      <c r="AY19" s="136"/>
      <c r="AZ19" s="136"/>
      <c r="BA19" s="136"/>
      <c r="BB19" s="136"/>
      <c r="BC19" s="136"/>
      <c r="BD19" s="136"/>
      <c r="BE19" s="136"/>
      <c r="BF19" s="136"/>
      <c r="BG19" s="136"/>
      <c r="BH19" s="136"/>
      <c r="BI19" s="136"/>
      <c r="BJ19" s="136"/>
      <c r="BK19" s="136"/>
      <c r="BL19" s="136"/>
      <c r="BM19" s="136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</row>
    <row r="20" spans="1:75" x14ac:dyDescent="0.25">
      <c r="A20" s="136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6"/>
      <c r="AV20" s="136"/>
      <c r="AW20" s="136"/>
      <c r="AX20" s="136"/>
      <c r="AY20" s="136"/>
      <c r="AZ20" s="136"/>
      <c r="BA20" s="136"/>
      <c r="BB20" s="136"/>
      <c r="BC20" s="136"/>
      <c r="BD20" s="136"/>
      <c r="BE20" s="136"/>
      <c r="BF20" s="136"/>
      <c r="BG20" s="136"/>
      <c r="BH20" s="136"/>
      <c r="BI20" s="136"/>
      <c r="BJ20" s="136"/>
      <c r="BK20" s="136"/>
      <c r="BL20" s="136"/>
      <c r="BM20" s="136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</row>
    <row r="21" spans="1:75" x14ac:dyDescent="0.25">
      <c r="A21" s="136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136"/>
      <c r="BD21" s="136"/>
      <c r="BE21" s="136"/>
      <c r="BF21" s="136"/>
      <c r="BG21" s="136"/>
      <c r="BH21" s="136"/>
      <c r="BI21" s="136"/>
      <c r="BJ21" s="136"/>
      <c r="BK21" s="136"/>
      <c r="BL21" s="136"/>
      <c r="BM21" s="136"/>
      <c r="BN21" s="136"/>
      <c r="BO21" s="136"/>
      <c r="BP21" s="136"/>
      <c r="BQ21" s="136"/>
      <c r="BR21" s="136"/>
      <c r="BS21" s="136"/>
      <c r="BT21" s="136"/>
      <c r="BU21" s="136"/>
      <c r="BV21" s="136"/>
      <c r="BW21" s="136"/>
    </row>
    <row r="22" spans="1:75" x14ac:dyDescent="0.25">
      <c r="A22" s="136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36"/>
      <c r="BL22" s="136"/>
      <c r="BM22" s="136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</row>
    <row r="23" spans="1:75" x14ac:dyDescent="0.25">
      <c r="A23" s="136"/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136"/>
      <c r="AQ23" s="136"/>
      <c r="AR23" s="136"/>
      <c r="AS23" s="136"/>
      <c r="AT23" s="136"/>
      <c r="AU23" s="136"/>
      <c r="AV23" s="136"/>
      <c r="AW23" s="136"/>
      <c r="AX23" s="136"/>
      <c r="AY23" s="136"/>
      <c r="AZ23" s="136"/>
      <c r="BA23" s="136"/>
      <c r="BB23" s="136"/>
      <c r="BC23" s="136"/>
      <c r="BD23" s="136"/>
      <c r="BE23" s="136"/>
      <c r="BF23" s="136"/>
      <c r="BG23" s="136"/>
      <c r="BH23" s="136"/>
      <c r="BI23" s="136"/>
      <c r="BJ23" s="136"/>
      <c r="BK23" s="136"/>
      <c r="BL23" s="136"/>
      <c r="BM23" s="136"/>
      <c r="BN23" s="136"/>
      <c r="BO23" s="136"/>
      <c r="BP23" s="136"/>
      <c r="BQ23" s="136"/>
      <c r="BR23" s="136"/>
      <c r="BS23" s="136"/>
      <c r="BT23" s="136"/>
      <c r="BU23" s="136"/>
      <c r="BV23" s="136"/>
      <c r="BW23" s="136"/>
    </row>
    <row r="24" spans="1:75" x14ac:dyDescent="0.25">
      <c r="A24" s="136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136"/>
      <c r="BC24" s="136"/>
      <c r="BD24" s="136"/>
      <c r="BE24" s="136"/>
      <c r="BF24" s="136"/>
      <c r="BG24" s="136"/>
      <c r="BH24" s="136"/>
      <c r="BI24" s="136"/>
      <c r="BJ24" s="136"/>
      <c r="BK24" s="136"/>
      <c r="BL24" s="136"/>
      <c r="BM24" s="136"/>
      <c r="BN24" s="136"/>
      <c r="BO24" s="136"/>
      <c r="BP24" s="136"/>
      <c r="BQ24" s="136"/>
      <c r="BR24" s="136"/>
      <c r="BS24" s="136"/>
      <c r="BT24" s="136"/>
      <c r="BU24" s="136"/>
      <c r="BV24" s="136"/>
      <c r="BW24" s="136"/>
    </row>
    <row r="25" spans="1:75" x14ac:dyDescent="0.25">
      <c r="A25" s="136"/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  <c r="BC25" s="136"/>
      <c r="BD25" s="136"/>
      <c r="BE25" s="136"/>
      <c r="BF25" s="136"/>
      <c r="BG25" s="136"/>
      <c r="BH25" s="136"/>
      <c r="BI25" s="136"/>
      <c r="BJ25" s="136"/>
      <c r="BK25" s="136"/>
      <c r="BL25" s="136"/>
      <c r="BM25" s="136"/>
      <c r="BN25" s="136"/>
      <c r="BO25" s="136"/>
      <c r="BP25" s="136"/>
      <c r="BQ25" s="136"/>
      <c r="BR25" s="136"/>
      <c r="BS25" s="136"/>
      <c r="BT25" s="136"/>
      <c r="BU25" s="136"/>
      <c r="BV25" s="136"/>
      <c r="BW25" s="136"/>
    </row>
    <row r="26" spans="1:75" x14ac:dyDescent="0.25">
      <c r="A26" s="136"/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136"/>
      <c r="AV26" s="136"/>
      <c r="AW26" s="136"/>
      <c r="AX26" s="136"/>
      <c r="AY26" s="136"/>
      <c r="AZ26" s="136"/>
      <c r="BA26" s="136"/>
      <c r="BB26" s="136"/>
      <c r="BC26" s="136"/>
      <c r="BD26" s="136"/>
      <c r="BE26" s="136"/>
      <c r="BF26" s="136"/>
      <c r="BG26" s="136"/>
      <c r="BH26" s="136"/>
      <c r="BI26" s="136"/>
      <c r="BJ26" s="136"/>
      <c r="BK26" s="136"/>
      <c r="BL26" s="136"/>
      <c r="BM26" s="136"/>
      <c r="BN26" s="136"/>
      <c r="BO26" s="136"/>
      <c r="BP26" s="136"/>
      <c r="BQ26" s="136"/>
      <c r="BR26" s="136"/>
      <c r="BS26" s="136"/>
      <c r="BT26" s="136"/>
      <c r="BU26" s="136"/>
      <c r="BV26" s="136"/>
      <c r="BW26" s="136"/>
    </row>
    <row r="27" spans="1:75" x14ac:dyDescent="0.25">
      <c r="A27" s="136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  <c r="BC27" s="136"/>
      <c r="BD27" s="136"/>
      <c r="BE27" s="136"/>
      <c r="BF27" s="136"/>
      <c r="BG27" s="136"/>
      <c r="BH27" s="136"/>
      <c r="BI27" s="136"/>
      <c r="BJ27" s="136"/>
      <c r="BK27" s="136"/>
      <c r="BL27" s="136"/>
      <c r="BM27" s="136"/>
      <c r="BN27" s="136"/>
      <c r="BO27" s="136"/>
      <c r="BP27" s="136"/>
      <c r="BQ27" s="136"/>
      <c r="BR27" s="136"/>
      <c r="BS27" s="136"/>
      <c r="BT27" s="136"/>
      <c r="BU27" s="136"/>
      <c r="BV27" s="136"/>
      <c r="BW27" s="136"/>
    </row>
    <row r="28" spans="1:75" x14ac:dyDescent="0.25">
      <c r="A28" s="136"/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6"/>
      <c r="AX28" s="136"/>
      <c r="AY28" s="136"/>
      <c r="AZ28" s="136"/>
      <c r="BA28" s="136"/>
      <c r="BB28" s="136"/>
      <c r="BC28" s="136"/>
      <c r="BD28" s="136"/>
      <c r="BE28" s="136"/>
      <c r="BF28" s="136"/>
      <c r="BG28" s="136"/>
      <c r="BH28" s="136"/>
      <c r="BI28" s="136"/>
      <c r="BJ28" s="136"/>
      <c r="BK28" s="136"/>
      <c r="BL28" s="136"/>
      <c r="BM28" s="136"/>
      <c r="BN28" s="136"/>
      <c r="BO28" s="136"/>
      <c r="BP28" s="136"/>
      <c r="BQ28" s="136"/>
      <c r="BR28" s="136"/>
      <c r="BS28" s="136"/>
      <c r="BT28" s="136"/>
      <c r="BU28" s="136"/>
      <c r="BV28" s="136"/>
      <c r="BW28" s="136"/>
    </row>
    <row r="29" spans="1:75" x14ac:dyDescent="0.25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  <c r="BB29" s="136"/>
      <c r="BC29" s="136"/>
      <c r="BD29" s="136"/>
      <c r="BE29" s="136"/>
      <c r="BF29" s="136"/>
      <c r="BG29" s="136"/>
      <c r="BH29" s="136"/>
      <c r="BI29" s="136"/>
      <c r="BJ29" s="136"/>
      <c r="BK29" s="136"/>
      <c r="BL29" s="136"/>
      <c r="BM29" s="136"/>
      <c r="BN29" s="136"/>
      <c r="BO29" s="136"/>
      <c r="BP29" s="136"/>
      <c r="BQ29" s="136"/>
      <c r="BR29" s="136"/>
      <c r="BS29" s="136"/>
      <c r="BT29" s="136"/>
      <c r="BU29" s="136"/>
      <c r="BV29" s="136"/>
      <c r="BW29" s="136"/>
    </row>
    <row r="30" spans="1:75" x14ac:dyDescent="0.25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6"/>
      <c r="AX30" s="136"/>
      <c r="AY30" s="136"/>
      <c r="AZ30" s="136"/>
      <c r="BA30" s="136"/>
      <c r="BB30" s="136"/>
      <c r="BC30" s="136"/>
      <c r="BD30" s="136"/>
      <c r="BE30" s="136"/>
      <c r="BF30" s="136"/>
      <c r="BG30" s="136"/>
      <c r="BH30" s="136"/>
      <c r="BI30" s="136"/>
      <c r="BJ30" s="136"/>
      <c r="BK30" s="136"/>
      <c r="BL30" s="136"/>
      <c r="BM30" s="136"/>
      <c r="BN30" s="136"/>
      <c r="BO30" s="136"/>
      <c r="BP30" s="136"/>
      <c r="BQ30" s="136"/>
      <c r="BR30" s="136"/>
      <c r="BS30" s="136"/>
      <c r="BT30" s="136"/>
      <c r="BU30" s="136"/>
      <c r="BV30" s="136"/>
      <c r="BW30" s="136"/>
    </row>
    <row r="31" spans="1:75" x14ac:dyDescent="0.25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  <c r="BJ31" s="136"/>
      <c r="BK31" s="136"/>
      <c r="BL31" s="136"/>
      <c r="BM31" s="136"/>
      <c r="BN31" s="136"/>
      <c r="BO31" s="136"/>
      <c r="BP31" s="136"/>
      <c r="BQ31" s="136"/>
      <c r="BR31" s="136"/>
      <c r="BS31" s="136"/>
      <c r="BT31" s="136"/>
      <c r="BU31" s="136"/>
      <c r="BV31" s="136"/>
      <c r="BW31" s="136"/>
    </row>
    <row r="32" spans="1:75" x14ac:dyDescent="0.25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136"/>
      <c r="AT32" s="136"/>
      <c r="AU32" s="136"/>
      <c r="AV32" s="136"/>
      <c r="AW32" s="136"/>
      <c r="AX32" s="136"/>
      <c r="AY32" s="136"/>
      <c r="AZ32" s="136"/>
      <c r="BA32" s="136"/>
      <c r="BB32" s="136"/>
      <c r="BC32" s="136"/>
      <c r="BD32" s="136"/>
      <c r="BE32" s="136"/>
      <c r="BF32" s="136"/>
      <c r="BG32" s="136"/>
      <c r="BH32" s="136"/>
      <c r="BI32" s="136"/>
      <c r="BJ32" s="136"/>
      <c r="BK32" s="136"/>
      <c r="BL32" s="136"/>
      <c r="BM32" s="136"/>
      <c r="BN32" s="136"/>
      <c r="BO32" s="136"/>
      <c r="BP32" s="136"/>
      <c r="BQ32" s="136"/>
      <c r="BR32" s="136"/>
      <c r="BS32" s="136"/>
      <c r="BT32" s="136"/>
      <c r="BU32" s="136"/>
      <c r="BV32" s="136"/>
      <c r="BW32" s="136"/>
    </row>
    <row r="33" spans="1:75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6"/>
      <c r="AX33" s="136"/>
      <c r="AY33" s="136"/>
      <c r="AZ33" s="136"/>
      <c r="BA33" s="136"/>
      <c r="BB33" s="136"/>
      <c r="BC33" s="136"/>
      <c r="BD33" s="136"/>
      <c r="BE33" s="136"/>
      <c r="BF33" s="136"/>
      <c r="BG33" s="136"/>
      <c r="BH33" s="136"/>
      <c r="BI33" s="136"/>
      <c r="BJ33" s="136"/>
      <c r="BK33" s="136"/>
      <c r="BL33" s="136"/>
      <c r="BM33" s="136"/>
      <c r="BN33" s="136"/>
      <c r="BO33" s="136"/>
      <c r="BP33" s="136"/>
      <c r="BQ33" s="136"/>
      <c r="BR33" s="136"/>
      <c r="BS33" s="136"/>
      <c r="BT33" s="136"/>
      <c r="BU33" s="136"/>
      <c r="BV33" s="136"/>
      <c r="BW33" s="136"/>
    </row>
    <row r="34" spans="1:75" x14ac:dyDescent="0.2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C34" s="136"/>
      <c r="BD34" s="136"/>
      <c r="BE34" s="136"/>
      <c r="BF34" s="136"/>
      <c r="BG34" s="136"/>
      <c r="BH34" s="136"/>
      <c r="BI34" s="136"/>
      <c r="BJ34" s="136"/>
      <c r="BK34" s="136"/>
      <c r="BL34" s="136"/>
      <c r="BM34" s="136"/>
      <c r="BN34" s="136"/>
      <c r="BO34" s="136"/>
      <c r="BP34" s="136"/>
      <c r="BQ34" s="136"/>
      <c r="BR34" s="136"/>
      <c r="BS34" s="136"/>
      <c r="BT34" s="136"/>
      <c r="BU34" s="136"/>
      <c r="BV34" s="136"/>
      <c r="BW34" s="136"/>
    </row>
    <row r="35" spans="1:75" x14ac:dyDescent="0.25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6"/>
      <c r="BF35" s="136"/>
      <c r="BG35" s="136"/>
      <c r="BH35" s="136"/>
      <c r="BI35" s="136"/>
      <c r="BJ35" s="136"/>
      <c r="BK35" s="136"/>
      <c r="BL35" s="136"/>
      <c r="BM35" s="136"/>
      <c r="BN35" s="136"/>
      <c r="BO35" s="136"/>
      <c r="BP35" s="136"/>
      <c r="BQ35" s="136"/>
      <c r="BR35" s="136"/>
      <c r="BS35" s="136"/>
      <c r="BT35" s="136"/>
      <c r="BU35" s="136"/>
      <c r="BV35" s="136"/>
      <c r="BW35" s="136"/>
    </row>
    <row r="36" spans="1:75" x14ac:dyDescent="0.25">
      <c r="A36" s="136"/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6"/>
      <c r="BC36" s="136"/>
      <c r="BD36" s="136"/>
      <c r="BE36" s="136"/>
      <c r="BF36" s="136"/>
      <c r="BG36" s="136"/>
      <c r="BH36" s="136"/>
      <c r="BI36" s="136"/>
      <c r="BJ36" s="136"/>
      <c r="BK36" s="136"/>
      <c r="BL36" s="136"/>
      <c r="BM36" s="136"/>
      <c r="BN36" s="136"/>
      <c r="BO36" s="136"/>
      <c r="BP36" s="136"/>
      <c r="BQ36" s="136"/>
      <c r="BR36" s="136"/>
      <c r="BS36" s="136"/>
      <c r="BT36" s="136"/>
      <c r="BU36" s="136"/>
      <c r="BV36" s="136"/>
      <c r="BW36" s="136"/>
    </row>
    <row r="37" spans="1:75" x14ac:dyDescent="0.25">
      <c r="A37" s="136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6"/>
      <c r="BC37" s="136"/>
      <c r="BD37" s="136"/>
      <c r="BE37" s="136"/>
      <c r="BF37" s="136"/>
      <c r="BG37" s="136"/>
      <c r="BH37" s="136"/>
      <c r="BI37" s="136"/>
      <c r="BJ37" s="136"/>
      <c r="BK37" s="136"/>
      <c r="BL37" s="136"/>
      <c r="BM37" s="136"/>
      <c r="BN37" s="136"/>
      <c r="BO37" s="136"/>
      <c r="BP37" s="136"/>
      <c r="BQ37" s="136"/>
      <c r="BR37" s="136"/>
      <c r="BS37" s="136"/>
      <c r="BT37" s="136"/>
      <c r="BU37" s="136"/>
      <c r="BV37" s="136"/>
      <c r="BW37" s="136"/>
    </row>
    <row r="38" spans="1:75" x14ac:dyDescent="0.25">
      <c r="A38" s="136"/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6"/>
      <c r="BC38" s="136"/>
      <c r="BD38" s="136"/>
      <c r="BE38" s="136"/>
      <c r="BF38" s="136"/>
      <c r="BG38" s="136"/>
      <c r="BH38" s="136"/>
      <c r="BI38" s="136"/>
      <c r="BJ38" s="136"/>
      <c r="BK38" s="136"/>
      <c r="BL38" s="136"/>
      <c r="BM38" s="136"/>
      <c r="BN38" s="136"/>
      <c r="BO38" s="136"/>
      <c r="BP38" s="136"/>
      <c r="BQ38" s="136"/>
      <c r="BR38" s="136"/>
      <c r="BS38" s="136"/>
      <c r="BT38" s="136"/>
      <c r="BU38" s="136"/>
      <c r="BV38" s="136"/>
      <c r="BW38" s="136"/>
    </row>
    <row r="39" spans="1:75" x14ac:dyDescent="0.25">
      <c r="A39" s="136"/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F39" s="136"/>
      <c r="BG39" s="136"/>
      <c r="BH39" s="136"/>
      <c r="BI39" s="136"/>
      <c r="BJ39" s="136"/>
      <c r="BK39" s="136"/>
      <c r="BL39" s="136"/>
      <c r="BM39" s="136"/>
      <c r="BN39" s="136"/>
      <c r="BO39" s="136"/>
      <c r="BP39" s="136"/>
      <c r="BQ39" s="136"/>
      <c r="BR39" s="136"/>
      <c r="BS39" s="136"/>
      <c r="BT39" s="136"/>
      <c r="BU39" s="136"/>
      <c r="BV39" s="136"/>
      <c r="BW39" s="136"/>
    </row>
    <row r="40" spans="1:75" x14ac:dyDescent="0.25">
      <c r="A40" s="136"/>
      <c r="B40" s="136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6"/>
      <c r="AX40" s="136"/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  <c r="BI40" s="136"/>
      <c r="BJ40" s="136"/>
      <c r="BK40" s="136"/>
      <c r="BL40" s="136"/>
      <c r="BM40" s="136"/>
      <c r="BN40" s="136"/>
      <c r="BO40" s="136"/>
      <c r="BP40" s="136"/>
      <c r="BQ40" s="136"/>
      <c r="BR40" s="136"/>
      <c r="BS40" s="136"/>
      <c r="BT40" s="136"/>
      <c r="BU40" s="136"/>
      <c r="BV40" s="136"/>
      <c r="BW40" s="136"/>
    </row>
    <row r="41" spans="1:75" x14ac:dyDescent="0.25">
      <c r="A41" s="136"/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6"/>
      <c r="BB41" s="136"/>
      <c r="BC41" s="136"/>
      <c r="BD41" s="136"/>
      <c r="BE41" s="136"/>
      <c r="BF41" s="136"/>
      <c r="BG41" s="136"/>
      <c r="BH41" s="136"/>
      <c r="BI41" s="136"/>
      <c r="BJ41" s="136"/>
      <c r="BK41" s="136"/>
      <c r="BL41" s="136"/>
      <c r="BM41" s="136"/>
      <c r="BN41" s="136"/>
      <c r="BO41" s="136"/>
      <c r="BP41" s="136"/>
      <c r="BQ41" s="136"/>
      <c r="BR41" s="136"/>
      <c r="BS41" s="136"/>
      <c r="BT41" s="136"/>
      <c r="BU41" s="136"/>
      <c r="BV41" s="136"/>
      <c r="BW41" s="136"/>
    </row>
    <row r="42" spans="1:75" x14ac:dyDescent="0.25">
      <c r="A42" s="136"/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  <c r="AW42" s="136"/>
      <c r="AX42" s="136"/>
      <c r="AY42" s="136"/>
      <c r="AZ42" s="136"/>
      <c r="BA42" s="136"/>
      <c r="BB42" s="136"/>
      <c r="BC42" s="136"/>
      <c r="BD42" s="136"/>
      <c r="BE42" s="136"/>
      <c r="BF42" s="136"/>
      <c r="BG42" s="136"/>
      <c r="BH42" s="136"/>
      <c r="BI42" s="136"/>
      <c r="BJ42" s="136"/>
      <c r="BK42" s="136"/>
      <c r="BL42" s="136"/>
      <c r="BM42" s="136"/>
      <c r="BN42" s="136"/>
      <c r="BO42" s="136"/>
      <c r="BP42" s="136"/>
      <c r="BQ42" s="136"/>
      <c r="BR42" s="136"/>
      <c r="BS42" s="136"/>
      <c r="BT42" s="136"/>
      <c r="BU42" s="136"/>
      <c r="BV42" s="136"/>
      <c r="BW42" s="136"/>
    </row>
    <row r="43" spans="1:75" x14ac:dyDescent="0.25">
      <c r="A43" s="136"/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  <c r="BG43" s="136"/>
      <c r="BH43" s="136"/>
      <c r="BI43" s="136"/>
      <c r="BJ43" s="136"/>
      <c r="BK43" s="136"/>
      <c r="BL43" s="136"/>
      <c r="BM43" s="136"/>
      <c r="BN43" s="136"/>
      <c r="BO43" s="136"/>
      <c r="BP43" s="136"/>
      <c r="BQ43" s="136"/>
      <c r="BR43" s="136"/>
      <c r="BS43" s="136"/>
      <c r="BT43" s="136"/>
      <c r="BU43" s="136"/>
      <c r="BV43" s="136"/>
      <c r="BW43" s="136"/>
    </row>
    <row r="44" spans="1:75" x14ac:dyDescent="0.25">
      <c r="A44" s="136"/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6"/>
      <c r="BC44" s="136"/>
      <c r="BD44" s="136"/>
      <c r="BE44" s="136"/>
      <c r="BF44" s="136"/>
      <c r="BG44" s="136"/>
      <c r="BH44" s="136"/>
      <c r="BI44" s="136"/>
      <c r="BJ44" s="136"/>
      <c r="BK44" s="136"/>
      <c r="BL44" s="136"/>
      <c r="BM44" s="136"/>
      <c r="BN44" s="136"/>
      <c r="BO44" s="136"/>
      <c r="BP44" s="136"/>
      <c r="BQ44" s="136"/>
      <c r="BR44" s="136"/>
      <c r="BS44" s="136"/>
      <c r="BT44" s="136"/>
      <c r="BU44" s="136"/>
      <c r="BV44" s="136"/>
      <c r="BW44" s="136"/>
    </row>
    <row r="45" spans="1:75" x14ac:dyDescent="0.25">
      <c r="A45" s="136"/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136"/>
      <c r="BD45" s="136"/>
      <c r="BE45" s="136"/>
      <c r="BF45" s="136"/>
      <c r="BG45" s="136"/>
      <c r="BH45" s="136"/>
      <c r="BI45" s="136"/>
      <c r="BJ45" s="136"/>
      <c r="BK45" s="136"/>
      <c r="BL45" s="136"/>
      <c r="BM45" s="136"/>
      <c r="BN45" s="136"/>
      <c r="BO45" s="136"/>
      <c r="BP45" s="136"/>
      <c r="BQ45" s="136"/>
      <c r="BR45" s="136"/>
      <c r="BS45" s="136"/>
      <c r="BT45" s="136"/>
      <c r="BU45" s="136"/>
      <c r="BV45" s="136"/>
      <c r="BW45" s="136"/>
    </row>
    <row r="46" spans="1:75" x14ac:dyDescent="0.25">
      <c r="A46" s="136"/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6"/>
      <c r="BC46" s="136"/>
      <c r="BD46" s="136"/>
      <c r="BE46" s="136"/>
      <c r="BF46" s="136"/>
      <c r="BG46" s="136"/>
      <c r="BH46" s="136"/>
      <c r="BI46" s="136"/>
      <c r="BJ46" s="136"/>
      <c r="BK46" s="136"/>
      <c r="BL46" s="136"/>
      <c r="BM46" s="136"/>
      <c r="BN46" s="136"/>
      <c r="BO46" s="136"/>
      <c r="BP46" s="136"/>
      <c r="BQ46" s="136"/>
      <c r="BR46" s="136"/>
      <c r="BS46" s="136"/>
      <c r="BT46" s="136"/>
      <c r="BU46" s="136"/>
      <c r="BV46" s="136"/>
      <c r="BW46" s="136"/>
    </row>
    <row r="47" spans="1:75" x14ac:dyDescent="0.25">
      <c r="A47" s="136"/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136"/>
      <c r="BD47" s="136"/>
      <c r="BE47" s="136"/>
      <c r="BF47" s="136"/>
      <c r="BG47" s="136"/>
      <c r="BH47" s="136"/>
      <c r="BI47" s="136"/>
      <c r="BJ47" s="136"/>
      <c r="BK47" s="136"/>
      <c r="BL47" s="136"/>
      <c r="BM47" s="136"/>
      <c r="BN47" s="136"/>
      <c r="BO47" s="136"/>
      <c r="BP47" s="136"/>
      <c r="BQ47" s="136"/>
      <c r="BR47" s="136"/>
      <c r="BS47" s="136"/>
      <c r="BT47" s="136"/>
      <c r="BU47" s="136"/>
      <c r="BV47" s="136"/>
      <c r="BW47" s="136"/>
    </row>
    <row r="48" spans="1:75" x14ac:dyDescent="0.25">
      <c r="A48" s="136"/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6"/>
      <c r="BC48" s="136"/>
      <c r="BD48" s="136"/>
      <c r="BE48" s="136"/>
      <c r="BF48" s="136"/>
      <c r="BG48" s="136"/>
      <c r="BH48" s="136"/>
      <c r="BI48" s="136"/>
      <c r="BJ48" s="136"/>
      <c r="BK48" s="136"/>
      <c r="BL48" s="136"/>
      <c r="BM48" s="136"/>
      <c r="BN48" s="136"/>
      <c r="BO48" s="136"/>
      <c r="BP48" s="136"/>
      <c r="BQ48" s="136"/>
      <c r="BR48" s="136"/>
      <c r="BS48" s="136"/>
      <c r="BT48" s="136"/>
      <c r="BU48" s="136"/>
      <c r="BV48" s="136"/>
      <c r="BW48" s="136"/>
    </row>
    <row r="49" spans="1:75" x14ac:dyDescent="0.25">
      <c r="A49" s="136"/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  <c r="BG49" s="136"/>
      <c r="BH49" s="136"/>
      <c r="BI49" s="136"/>
      <c r="BJ49" s="136"/>
      <c r="BK49" s="136"/>
      <c r="BL49" s="136"/>
      <c r="BM49" s="136"/>
      <c r="BN49" s="136"/>
      <c r="BO49" s="136"/>
      <c r="BP49" s="136"/>
      <c r="BQ49" s="136"/>
      <c r="BR49" s="136"/>
      <c r="BS49" s="136"/>
      <c r="BT49" s="136"/>
      <c r="BU49" s="136"/>
      <c r="BV49" s="136"/>
      <c r="BW49" s="136"/>
    </row>
    <row r="50" spans="1:75" x14ac:dyDescent="0.25">
      <c r="A50" s="136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6"/>
      <c r="BC50" s="136"/>
      <c r="BD50" s="136"/>
      <c r="BE50" s="136"/>
      <c r="BF50" s="136"/>
      <c r="BG50" s="136"/>
      <c r="BH50" s="136"/>
      <c r="BI50" s="136"/>
      <c r="BJ50" s="136"/>
      <c r="BK50" s="136"/>
      <c r="BL50" s="136"/>
      <c r="BM50" s="136"/>
      <c r="BN50" s="136"/>
      <c r="BO50" s="136"/>
      <c r="BP50" s="136"/>
      <c r="BQ50" s="136"/>
      <c r="BR50" s="136"/>
      <c r="BS50" s="136"/>
      <c r="BT50" s="136"/>
      <c r="BU50" s="136"/>
      <c r="BV50" s="136"/>
      <c r="BW50" s="136"/>
    </row>
    <row r="51" spans="1:75" x14ac:dyDescent="0.25">
      <c r="A51" s="136"/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6"/>
      <c r="BC51" s="136"/>
      <c r="BD51" s="136"/>
      <c r="BE51" s="136"/>
      <c r="BF51" s="136"/>
      <c r="BG51" s="136"/>
      <c r="BH51" s="136"/>
      <c r="BI51" s="136"/>
      <c r="BJ51" s="136"/>
      <c r="BK51" s="136"/>
      <c r="BL51" s="136"/>
      <c r="BM51" s="136"/>
      <c r="BN51" s="136"/>
      <c r="BO51" s="136"/>
      <c r="BP51" s="136"/>
      <c r="BQ51" s="136"/>
      <c r="BR51" s="136"/>
      <c r="BS51" s="136"/>
      <c r="BT51" s="136"/>
      <c r="BU51" s="136"/>
      <c r="BV51" s="136"/>
      <c r="BW51" s="136"/>
    </row>
    <row r="52" spans="1:75" x14ac:dyDescent="0.25">
      <c r="A52" s="136"/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6"/>
      <c r="BC52" s="136"/>
      <c r="BD52" s="136"/>
      <c r="BE52" s="136"/>
      <c r="BF52" s="136"/>
      <c r="BG52" s="136"/>
      <c r="BH52" s="136"/>
      <c r="BI52" s="136"/>
      <c r="BJ52" s="136"/>
      <c r="BK52" s="136"/>
      <c r="BL52" s="136"/>
      <c r="BM52" s="136"/>
      <c r="BN52" s="136"/>
      <c r="BO52" s="136"/>
      <c r="BP52" s="136"/>
      <c r="BQ52" s="136"/>
      <c r="BR52" s="136"/>
      <c r="BS52" s="136"/>
      <c r="BT52" s="136"/>
      <c r="BU52" s="136"/>
      <c r="BV52" s="136"/>
      <c r="BW52" s="136"/>
    </row>
    <row r="53" spans="1:75" x14ac:dyDescent="0.25">
      <c r="A53" s="136"/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6"/>
      <c r="BC53" s="136"/>
      <c r="BD53" s="136"/>
      <c r="BE53" s="136"/>
      <c r="BF53" s="136"/>
      <c r="BG53" s="136"/>
      <c r="BH53" s="136"/>
      <c r="BI53" s="136"/>
      <c r="BJ53" s="136"/>
      <c r="BK53" s="136"/>
      <c r="BL53" s="136"/>
      <c r="BM53" s="136"/>
      <c r="BN53" s="136"/>
      <c r="BO53" s="136"/>
      <c r="BP53" s="136"/>
      <c r="BQ53" s="136"/>
      <c r="BR53" s="136"/>
      <c r="BS53" s="136"/>
      <c r="BT53" s="136"/>
      <c r="BU53" s="136"/>
      <c r="BV53" s="136"/>
      <c r="BW53" s="136"/>
    </row>
    <row r="54" spans="1:75" x14ac:dyDescent="0.25">
      <c r="A54" s="136"/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6"/>
      <c r="BC54" s="136"/>
      <c r="BD54" s="136"/>
      <c r="BE54" s="136"/>
      <c r="BF54" s="136"/>
      <c r="BG54" s="136"/>
      <c r="BH54" s="136"/>
      <c r="BI54" s="136"/>
      <c r="BJ54" s="136"/>
      <c r="BK54" s="136"/>
      <c r="BL54" s="136"/>
      <c r="BM54" s="136"/>
      <c r="BN54" s="136"/>
      <c r="BO54" s="136"/>
      <c r="BP54" s="136"/>
      <c r="BQ54" s="136"/>
      <c r="BR54" s="136"/>
      <c r="BS54" s="136"/>
      <c r="BT54" s="136"/>
      <c r="BU54" s="136"/>
      <c r="BV54" s="136"/>
      <c r="BW54" s="136"/>
    </row>
    <row r="55" spans="1:75" x14ac:dyDescent="0.25">
      <c r="A55" s="136"/>
      <c r="B55" s="136"/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6"/>
      <c r="BC55" s="136"/>
      <c r="BD55" s="136"/>
      <c r="BE55" s="136"/>
      <c r="BF55" s="136"/>
      <c r="BG55" s="136"/>
      <c r="BH55" s="136"/>
      <c r="BI55" s="136"/>
      <c r="BJ55" s="136"/>
      <c r="BK55" s="136"/>
      <c r="BL55" s="136"/>
      <c r="BM55" s="136"/>
      <c r="BN55" s="136"/>
      <c r="BO55" s="136"/>
      <c r="BP55" s="136"/>
      <c r="BQ55" s="136"/>
      <c r="BR55" s="136"/>
      <c r="BS55" s="136"/>
      <c r="BT55" s="136"/>
      <c r="BU55" s="136"/>
      <c r="BV55" s="136"/>
      <c r="BW55" s="136"/>
    </row>
    <row r="56" spans="1:75" x14ac:dyDescent="0.25">
      <c r="A56" s="136"/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6"/>
      <c r="BC56" s="136"/>
      <c r="BD56" s="136"/>
      <c r="BE56" s="136"/>
      <c r="BF56" s="136"/>
      <c r="BG56" s="136"/>
      <c r="BH56" s="136"/>
      <c r="BI56" s="136"/>
      <c r="BJ56" s="136"/>
      <c r="BK56" s="136"/>
      <c r="BL56" s="136"/>
      <c r="BM56" s="136"/>
      <c r="BN56" s="136"/>
      <c r="BO56" s="136"/>
      <c r="BP56" s="136"/>
      <c r="BQ56" s="136"/>
      <c r="BR56" s="136"/>
      <c r="BS56" s="136"/>
      <c r="BT56" s="136"/>
      <c r="BU56" s="136"/>
      <c r="BV56" s="136"/>
      <c r="BW56" s="136"/>
    </row>
    <row r="57" spans="1:75" x14ac:dyDescent="0.25">
      <c r="A57" s="136"/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6"/>
      <c r="BC57" s="136"/>
      <c r="BD57" s="136"/>
      <c r="BE57" s="136"/>
      <c r="BF57" s="136"/>
      <c r="BG57" s="136"/>
      <c r="BH57" s="136"/>
      <c r="BI57" s="136"/>
      <c r="BJ57" s="136"/>
      <c r="BK57" s="136"/>
      <c r="BL57" s="136"/>
      <c r="BM57" s="136"/>
      <c r="BN57" s="136"/>
      <c r="BO57" s="136"/>
      <c r="BP57" s="136"/>
      <c r="BQ57" s="136"/>
      <c r="BR57" s="136"/>
      <c r="BS57" s="136"/>
      <c r="BT57" s="136"/>
      <c r="BU57" s="136"/>
      <c r="BV57" s="136"/>
      <c r="BW57" s="136"/>
    </row>
    <row r="58" spans="1:75" x14ac:dyDescent="0.25">
      <c r="A58" s="136"/>
      <c r="B58" s="136"/>
      <c r="C58" s="136"/>
      <c r="D58" s="136"/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136"/>
      <c r="AM58" s="136"/>
      <c r="AN58" s="13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36"/>
      <c r="BC58" s="136"/>
      <c r="BD58" s="136"/>
      <c r="BE58" s="136"/>
      <c r="BF58" s="136"/>
      <c r="BG58" s="136"/>
      <c r="BH58" s="136"/>
      <c r="BI58" s="136"/>
      <c r="BJ58" s="136"/>
      <c r="BK58" s="136"/>
      <c r="BL58" s="136"/>
      <c r="BM58" s="136"/>
      <c r="BN58" s="136"/>
      <c r="BO58" s="136"/>
      <c r="BP58" s="136"/>
      <c r="BQ58" s="136"/>
      <c r="BR58" s="136"/>
      <c r="BS58" s="136"/>
      <c r="BT58" s="136"/>
      <c r="BU58" s="136"/>
      <c r="BV58" s="136"/>
      <c r="BW58" s="136"/>
    </row>
    <row r="59" spans="1:75" x14ac:dyDescent="0.25">
      <c r="A59" s="136"/>
      <c r="B59" s="136"/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136"/>
      <c r="AN59" s="136"/>
      <c r="AO59" s="136"/>
      <c r="AP59" s="136"/>
      <c r="AQ59" s="136"/>
      <c r="AR59" s="136"/>
      <c r="AS59" s="136"/>
      <c r="AT59" s="136"/>
      <c r="AU59" s="136"/>
      <c r="AV59" s="136"/>
      <c r="AW59" s="136"/>
      <c r="AX59" s="136"/>
      <c r="AY59" s="136"/>
      <c r="AZ59" s="136"/>
      <c r="BA59" s="136"/>
      <c r="BB59" s="136"/>
      <c r="BC59" s="136"/>
      <c r="BD59" s="136"/>
      <c r="BE59" s="136"/>
      <c r="BF59" s="136"/>
      <c r="BG59" s="136"/>
      <c r="BH59" s="136"/>
      <c r="BI59" s="136"/>
      <c r="BJ59" s="136"/>
      <c r="BK59" s="136"/>
      <c r="BL59" s="136"/>
      <c r="BM59" s="136"/>
      <c r="BN59" s="136"/>
      <c r="BO59" s="136"/>
      <c r="BP59" s="136"/>
      <c r="BQ59" s="136"/>
      <c r="BR59" s="136"/>
      <c r="BS59" s="136"/>
      <c r="BT59" s="136"/>
      <c r="BU59" s="136"/>
      <c r="BV59" s="136"/>
      <c r="BW59" s="136"/>
    </row>
    <row r="60" spans="1:75" x14ac:dyDescent="0.25">
      <c r="A60" s="136"/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  <c r="AL60" s="136"/>
      <c r="AM60" s="136"/>
      <c r="AN60" s="136"/>
      <c r="AO60" s="136"/>
      <c r="AP60" s="136"/>
      <c r="AQ60" s="136"/>
      <c r="AR60" s="136"/>
      <c r="AS60" s="136"/>
      <c r="AT60" s="136"/>
      <c r="AU60" s="136"/>
      <c r="AV60" s="136"/>
      <c r="AW60" s="136"/>
      <c r="AX60" s="136"/>
      <c r="AY60" s="136"/>
      <c r="AZ60" s="136"/>
      <c r="BA60" s="136"/>
      <c r="BB60" s="136"/>
      <c r="BC60" s="136"/>
      <c r="BD60" s="136"/>
      <c r="BE60" s="136"/>
      <c r="BF60" s="136"/>
      <c r="BG60" s="136"/>
      <c r="BH60" s="136"/>
      <c r="BI60" s="136"/>
      <c r="BJ60" s="136"/>
      <c r="BK60" s="136"/>
      <c r="BL60" s="136"/>
      <c r="BM60" s="136"/>
      <c r="BN60" s="136"/>
      <c r="BO60" s="136"/>
      <c r="BP60" s="136"/>
      <c r="BQ60" s="136"/>
      <c r="BR60" s="136"/>
      <c r="BS60" s="136"/>
      <c r="BT60" s="136"/>
      <c r="BU60" s="136"/>
      <c r="BV60" s="136"/>
      <c r="BW60" s="136"/>
    </row>
    <row r="61" spans="1:75" x14ac:dyDescent="0.25">
      <c r="A61" s="136"/>
      <c r="B61" s="136"/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36"/>
      <c r="AK61" s="136"/>
      <c r="AL61" s="136"/>
      <c r="AM61" s="136"/>
      <c r="AN61" s="136"/>
      <c r="AO61" s="136"/>
      <c r="AP61" s="136"/>
      <c r="AQ61" s="136"/>
      <c r="AR61" s="136"/>
      <c r="AS61" s="136"/>
      <c r="AT61" s="136"/>
      <c r="AU61" s="136"/>
      <c r="AV61" s="136"/>
      <c r="AW61" s="136"/>
      <c r="AX61" s="136"/>
      <c r="AY61" s="136"/>
      <c r="AZ61" s="136"/>
      <c r="BA61" s="136"/>
      <c r="BB61" s="136"/>
      <c r="BC61" s="136"/>
      <c r="BD61" s="136"/>
      <c r="BE61" s="136"/>
      <c r="BF61" s="136"/>
      <c r="BG61" s="136"/>
      <c r="BH61" s="136"/>
      <c r="BI61" s="136"/>
      <c r="BJ61" s="136"/>
      <c r="BK61" s="136"/>
      <c r="BL61" s="136"/>
      <c r="BM61" s="136"/>
      <c r="BN61" s="136"/>
      <c r="BO61" s="136"/>
      <c r="BP61" s="136"/>
      <c r="BQ61" s="136"/>
      <c r="BR61" s="136"/>
      <c r="BS61" s="136"/>
      <c r="BT61" s="136"/>
      <c r="BU61" s="136"/>
      <c r="BV61" s="136"/>
      <c r="BW61" s="136"/>
    </row>
    <row r="62" spans="1:75" x14ac:dyDescent="0.25">
      <c r="A62" s="136"/>
      <c r="B62" s="136"/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36"/>
      <c r="AK62" s="136"/>
      <c r="AL62" s="136"/>
      <c r="AM62" s="136"/>
      <c r="AN62" s="136"/>
      <c r="AO62" s="136"/>
      <c r="AP62" s="136"/>
      <c r="AQ62" s="136"/>
      <c r="AR62" s="136"/>
      <c r="AS62" s="136"/>
      <c r="AT62" s="136"/>
      <c r="AU62" s="136"/>
      <c r="AV62" s="136"/>
      <c r="AW62" s="136"/>
      <c r="AX62" s="136"/>
      <c r="AY62" s="136"/>
      <c r="AZ62" s="136"/>
      <c r="BA62" s="136"/>
      <c r="BB62" s="136"/>
      <c r="BC62" s="136"/>
      <c r="BD62" s="136"/>
      <c r="BE62" s="136"/>
      <c r="BF62" s="136"/>
      <c r="BG62" s="136"/>
      <c r="BH62" s="136"/>
      <c r="BI62" s="136"/>
      <c r="BJ62" s="136"/>
      <c r="BK62" s="136"/>
      <c r="BL62" s="136"/>
      <c r="BM62" s="136"/>
      <c r="BN62" s="136"/>
      <c r="BO62" s="136"/>
      <c r="BP62" s="136"/>
      <c r="BQ62" s="136"/>
      <c r="BR62" s="136"/>
      <c r="BS62" s="136"/>
      <c r="BT62" s="136"/>
      <c r="BU62" s="136"/>
      <c r="BV62" s="136"/>
      <c r="BW62" s="136"/>
    </row>
    <row r="63" spans="1:75" x14ac:dyDescent="0.25">
      <c r="A63" s="136"/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  <c r="AS63" s="136"/>
      <c r="AT63" s="136"/>
      <c r="AU63" s="136"/>
      <c r="AV63" s="136"/>
      <c r="AW63" s="136"/>
      <c r="AX63" s="136"/>
      <c r="AY63" s="136"/>
      <c r="AZ63" s="136"/>
      <c r="BA63" s="136"/>
      <c r="BB63" s="136"/>
      <c r="BC63" s="136"/>
      <c r="BD63" s="136"/>
      <c r="BE63" s="136"/>
      <c r="BF63" s="136"/>
      <c r="BG63" s="136"/>
      <c r="BH63" s="136"/>
      <c r="BI63" s="136"/>
      <c r="BJ63" s="136"/>
      <c r="BK63" s="136"/>
      <c r="BL63" s="136"/>
      <c r="BM63" s="136"/>
      <c r="BN63" s="136"/>
      <c r="BO63" s="136"/>
      <c r="BP63" s="136"/>
      <c r="BQ63" s="136"/>
      <c r="BR63" s="136"/>
      <c r="BS63" s="136"/>
      <c r="BT63" s="136"/>
      <c r="BU63" s="136"/>
      <c r="BV63" s="136"/>
      <c r="BW63" s="136"/>
    </row>
    <row r="64" spans="1:75" x14ac:dyDescent="0.25">
      <c r="A64" s="136"/>
      <c r="B64" s="136"/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36"/>
      <c r="AN64" s="136"/>
      <c r="AO64" s="136"/>
      <c r="AP64" s="136"/>
      <c r="AQ64" s="136"/>
      <c r="AR64" s="136"/>
      <c r="AS64" s="136"/>
      <c r="AT64" s="136"/>
      <c r="AU64" s="136"/>
      <c r="AV64" s="136"/>
      <c r="AW64" s="136"/>
      <c r="AX64" s="136"/>
      <c r="AY64" s="136"/>
      <c r="AZ64" s="136"/>
      <c r="BA64" s="136"/>
      <c r="BB64" s="136"/>
      <c r="BC64" s="136"/>
      <c r="BD64" s="136"/>
      <c r="BE64" s="136"/>
      <c r="BF64" s="136"/>
      <c r="BG64" s="136"/>
      <c r="BH64" s="136"/>
      <c r="BI64" s="136"/>
      <c r="BJ64" s="136"/>
      <c r="BK64" s="136"/>
      <c r="BL64" s="136"/>
      <c r="BM64" s="136"/>
      <c r="BN64" s="136"/>
      <c r="BO64" s="136"/>
      <c r="BP64" s="136"/>
      <c r="BQ64" s="136"/>
      <c r="BR64" s="136"/>
      <c r="BS64" s="136"/>
      <c r="BT64" s="136"/>
      <c r="BU64" s="136"/>
      <c r="BV64" s="136"/>
      <c r="BW64" s="136"/>
    </row>
    <row r="65" spans="1:75" x14ac:dyDescent="0.25">
      <c r="A65" s="136"/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  <c r="AS65" s="136"/>
      <c r="AT65" s="136"/>
      <c r="AU65" s="136"/>
      <c r="AV65" s="136"/>
      <c r="AW65" s="136"/>
      <c r="AX65" s="136"/>
      <c r="AY65" s="136"/>
      <c r="AZ65" s="136"/>
      <c r="BA65" s="136"/>
      <c r="BB65" s="136"/>
      <c r="BC65" s="136"/>
      <c r="BD65" s="136"/>
      <c r="BE65" s="136"/>
      <c r="BF65" s="136"/>
      <c r="BG65" s="136"/>
      <c r="BH65" s="136"/>
      <c r="BI65" s="136"/>
      <c r="BJ65" s="136"/>
      <c r="BK65" s="136"/>
      <c r="BL65" s="136"/>
      <c r="BM65" s="136"/>
      <c r="BN65" s="136"/>
      <c r="BO65" s="136"/>
      <c r="BP65" s="136"/>
      <c r="BQ65" s="136"/>
      <c r="BR65" s="136"/>
      <c r="BS65" s="136"/>
      <c r="BT65" s="136"/>
      <c r="BU65" s="136"/>
      <c r="BV65" s="136"/>
      <c r="BW65" s="136"/>
    </row>
    <row r="66" spans="1:75" x14ac:dyDescent="0.25">
      <c r="A66" s="136"/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6"/>
      <c r="AT66" s="136"/>
      <c r="AU66" s="136"/>
      <c r="AV66" s="136"/>
      <c r="AW66" s="136"/>
      <c r="AX66" s="136"/>
      <c r="AY66" s="136"/>
      <c r="AZ66" s="136"/>
      <c r="BA66" s="136"/>
      <c r="BB66" s="136"/>
      <c r="BC66" s="136"/>
      <c r="BD66" s="136"/>
      <c r="BE66" s="136"/>
      <c r="BF66" s="136"/>
      <c r="BG66" s="136"/>
      <c r="BH66" s="136"/>
      <c r="BI66" s="136"/>
      <c r="BJ66" s="136"/>
      <c r="BK66" s="136"/>
      <c r="BL66" s="136"/>
      <c r="BM66" s="136"/>
      <c r="BN66" s="136"/>
      <c r="BO66" s="136"/>
      <c r="BP66" s="136"/>
      <c r="BQ66" s="136"/>
      <c r="BR66" s="136"/>
      <c r="BS66" s="136"/>
      <c r="BT66" s="136"/>
      <c r="BU66" s="136"/>
      <c r="BV66" s="136"/>
      <c r="BW66" s="136"/>
    </row>
    <row r="67" spans="1:75" x14ac:dyDescent="0.25">
      <c r="A67" s="136"/>
      <c r="B67" s="136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36"/>
      <c r="AK67" s="136"/>
      <c r="AL67" s="136"/>
      <c r="AM67" s="136"/>
      <c r="AN67" s="136"/>
      <c r="AO67" s="136"/>
      <c r="AP67" s="136"/>
      <c r="AQ67" s="136"/>
      <c r="AR67" s="136"/>
      <c r="AS67" s="136"/>
      <c r="AT67" s="136"/>
      <c r="AU67" s="136"/>
      <c r="AV67" s="136"/>
      <c r="AW67" s="136"/>
      <c r="AX67" s="136"/>
      <c r="AY67" s="136"/>
      <c r="AZ67" s="136"/>
      <c r="BA67" s="136"/>
      <c r="BB67" s="136"/>
      <c r="BC67" s="136"/>
      <c r="BD67" s="136"/>
      <c r="BE67" s="136"/>
      <c r="BF67" s="136"/>
      <c r="BG67" s="136"/>
      <c r="BH67" s="136"/>
      <c r="BI67" s="136"/>
      <c r="BJ67" s="136"/>
      <c r="BK67" s="136"/>
      <c r="BL67" s="136"/>
      <c r="BM67" s="136"/>
      <c r="BN67" s="136"/>
      <c r="BO67" s="136"/>
      <c r="BP67" s="136"/>
      <c r="BQ67" s="136"/>
      <c r="BR67" s="136"/>
      <c r="BS67" s="136"/>
      <c r="BT67" s="136"/>
      <c r="BU67" s="136"/>
      <c r="BV67" s="136"/>
      <c r="BW67" s="136"/>
    </row>
    <row r="68" spans="1:75" x14ac:dyDescent="0.25">
      <c r="A68" s="136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  <c r="AS68" s="136"/>
      <c r="AT68" s="136"/>
      <c r="AU68" s="136"/>
      <c r="AV68" s="136"/>
      <c r="AW68" s="136"/>
      <c r="AX68" s="136"/>
      <c r="AY68" s="136"/>
      <c r="AZ68" s="136"/>
      <c r="BA68" s="136"/>
      <c r="BB68" s="136"/>
      <c r="BC68" s="136"/>
      <c r="BD68" s="136"/>
      <c r="BE68" s="136"/>
      <c r="BF68" s="136"/>
      <c r="BG68" s="136"/>
      <c r="BH68" s="136"/>
      <c r="BI68" s="136"/>
      <c r="BJ68" s="136"/>
      <c r="BK68" s="136"/>
      <c r="BL68" s="136"/>
      <c r="BM68" s="136"/>
      <c r="BN68" s="136"/>
      <c r="BO68" s="136"/>
      <c r="BP68" s="136"/>
      <c r="BQ68" s="136"/>
      <c r="BR68" s="136"/>
      <c r="BS68" s="136"/>
      <c r="BT68" s="136"/>
      <c r="BU68" s="136"/>
      <c r="BV68" s="136"/>
      <c r="BW68" s="136"/>
    </row>
    <row r="69" spans="1:75" x14ac:dyDescent="0.25">
      <c r="A69" s="136"/>
      <c r="B69" s="136"/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  <c r="AK69" s="136"/>
      <c r="AL69" s="136"/>
      <c r="AM69" s="136"/>
      <c r="AN69" s="136"/>
      <c r="AO69" s="136"/>
      <c r="AP69" s="136"/>
      <c r="AQ69" s="136"/>
      <c r="AR69" s="136"/>
      <c r="AS69" s="136"/>
      <c r="AT69" s="136"/>
      <c r="AU69" s="136"/>
      <c r="AV69" s="136"/>
      <c r="AW69" s="136"/>
      <c r="AX69" s="136"/>
      <c r="AY69" s="136"/>
      <c r="AZ69" s="136"/>
      <c r="BA69" s="136"/>
      <c r="BB69" s="136"/>
      <c r="BC69" s="136"/>
      <c r="BD69" s="136"/>
      <c r="BE69" s="136"/>
      <c r="BF69" s="136"/>
      <c r="BG69" s="136"/>
      <c r="BH69" s="136"/>
      <c r="BI69" s="136"/>
      <c r="BJ69" s="136"/>
      <c r="BK69" s="136"/>
      <c r="BL69" s="136"/>
      <c r="BM69" s="136"/>
      <c r="BN69" s="136"/>
      <c r="BO69" s="136"/>
      <c r="BP69" s="136"/>
      <c r="BQ69" s="136"/>
      <c r="BR69" s="136"/>
      <c r="BS69" s="136"/>
      <c r="BT69" s="136"/>
      <c r="BU69" s="136"/>
      <c r="BV69" s="136"/>
      <c r="BW69" s="136"/>
    </row>
    <row r="70" spans="1:75" x14ac:dyDescent="0.25">
      <c r="A70" s="136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  <c r="AK70" s="136"/>
      <c r="AL70" s="136"/>
      <c r="AM70" s="136"/>
      <c r="AN70" s="136"/>
      <c r="AO70" s="136"/>
      <c r="AP70" s="136"/>
      <c r="AQ70" s="136"/>
      <c r="AR70" s="136"/>
      <c r="AS70" s="136"/>
      <c r="AT70" s="136"/>
      <c r="AU70" s="136"/>
      <c r="AV70" s="136"/>
      <c r="AW70" s="136"/>
      <c r="AX70" s="136"/>
      <c r="AY70" s="136"/>
      <c r="AZ70" s="136"/>
      <c r="BA70" s="136"/>
      <c r="BB70" s="136"/>
      <c r="BC70" s="136"/>
      <c r="BD70" s="136"/>
      <c r="BE70" s="136"/>
      <c r="BF70" s="136"/>
      <c r="BG70" s="136"/>
      <c r="BH70" s="136"/>
      <c r="BI70" s="136"/>
      <c r="BJ70" s="136"/>
      <c r="BK70" s="136"/>
      <c r="BL70" s="136"/>
      <c r="BM70" s="136"/>
      <c r="BN70" s="136"/>
      <c r="BO70" s="136"/>
      <c r="BP70" s="136"/>
      <c r="BQ70" s="136"/>
      <c r="BR70" s="136"/>
      <c r="BS70" s="136"/>
      <c r="BT70" s="136"/>
      <c r="BU70" s="136"/>
      <c r="BV70" s="136"/>
      <c r="BW70" s="136"/>
    </row>
    <row r="71" spans="1:75" x14ac:dyDescent="0.25">
      <c r="A71" s="136"/>
      <c r="B71" s="136"/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  <c r="AF71" s="136"/>
      <c r="AG71" s="136"/>
      <c r="AH71" s="136"/>
      <c r="AI71" s="136"/>
      <c r="AJ71" s="136"/>
      <c r="AK71" s="136"/>
      <c r="AL71" s="136"/>
      <c r="AM71" s="136"/>
      <c r="AN71" s="136"/>
      <c r="AO71" s="136"/>
      <c r="AP71" s="136"/>
      <c r="AQ71" s="136"/>
      <c r="AR71" s="136"/>
      <c r="AS71" s="136"/>
      <c r="AT71" s="136"/>
      <c r="AU71" s="136"/>
      <c r="AV71" s="136"/>
      <c r="AW71" s="136"/>
      <c r="AX71" s="136"/>
      <c r="AY71" s="136"/>
      <c r="AZ71" s="136"/>
      <c r="BA71" s="136"/>
      <c r="BB71" s="136"/>
      <c r="BC71" s="136"/>
      <c r="BD71" s="136"/>
      <c r="BE71" s="136"/>
      <c r="BF71" s="136"/>
      <c r="BG71" s="136"/>
      <c r="BH71" s="136"/>
      <c r="BI71" s="136"/>
      <c r="BJ71" s="136"/>
      <c r="BK71" s="136"/>
      <c r="BL71" s="136"/>
      <c r="BM71" s="136"/>
      <c r="BN71" s="136"/>
      <c r="BO71" s="136"/>
      <c r="BP71" s="136"/>
      <c r="BQ71" s="136"/>
      <c r="BR71" s="136"/>
      <c r="BS71" s="136"/>
      <c r="BT71" s="136"/>
      <c r="BU71" s="136"/>
      <c r="BV71" s="136"/>
      <c r="BW71" s="136"/>
    </row>
    <row r="72" spans="1:75" x14ac:dyDescent="0.25">
      <c r="A72" s="136"/>
      <c r="B72" s="136"/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  <c r="AS72" s="136"/>
      <c r="AT72" s="136"/>
      <c r="AU72" s="136"/>
      <c r="AV72" s="136"/>
      <c r="AW72" s="136"/>
      <c r="AX72" s="136"/>
      <c r="AY72" s="136"/>
      <c r="AZ72" s="136"/>
      <c r="BA72" s="136"/>
      <c r="BB72" s="136"/>
      <c r="BC72" s="136"/>
      <c r="BD72" s="136"/>
      <c r="BE72" s="136"/>
      <c r="BF72" s="136"/>
      <c r="BG72" s="136"/>
      <c r="BH72" s="136"/>
      <c r="BI72" s="136"/>
      <c r="BJ72" s="136"/>
      <c r="BK72" s="136"/>
      <c r="BL72" s="136"/>
      <c r="BM72" s="136"/>
      <c r="BN72" s="136"/>
      <c r="BO72" s="136"/>
      <c r="BP72" s="136"/>
      <c r="BQ72" s="136"/>
      <c r="BR72" s="136"/>
      <c r="BS72" s="136"/>
      <c r="BT72" s="136"/>
      <c r="BU72" s="136"/>
      <c r="BV72" s="136"/>
      <c r="BW72" s="136"/>
    </row>
    <row r="73" spans="1:75" x14ac:dyDescent="0.25">
      <c r="A73" s="136"/>
      <c r="B73" s="136"/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  <c r="AK73" s="136"/>
      <c r="AL73" s="136"/>
      <c r="AM73" s="136"/>
      <c r="AN73" s="136"/>
      <c r="AO73" s="136"/>
      <c r="AP73" s="136"/>
      <c r="AQ73" s="136"/>
      <c r="AR73" s="136"/>
      <c r="AS73" s="136"/>
      <c r="AT73" s="136"/>
      <c r="AU73" s="136"/>
      <c r="AV73" s="136"/>
      <c r="AW73" s="136"/>
      <c r="AX73" s="136"/>
      <c r="AY73" s="136"/>
      <c r="AZ73" s="136"/>
      <c r="BA73" s="136"/>
      <c r="BB73" s="136"/>
      <c r="BC73" s="136"/>
      <c r="BD73" s="136"/>
      <c r="BE73" s="136"/>
      <c r="BF73" s="136"/>
      <c r="BG73" s="136"/>
      <c r="BH73" s="136"/>
      <c r="BI73" s="136"/>
      <c r="BJ73" s="136"/>
      <c r="BK73" s="136"/>
      <c r="BL73" s="136"/>
      <c r="BM73" s="136"/>
      <c r="BN73" s="136"/>
      <c r="BO73" s="136"/>
      <c r="BP73" s="136"/>
      <c r="BQ73" s="136"/>
      <c r="BR73" s="136"/>
      <c r="BS73" s="136"/>
      <c r="BT73" s="136"/>
      <c r="BU73" s="136"/>
      <c r="BV73" s="136"/>
      <c r="BW73" s="136"/>
    </row>
    <row r="74" spans="1:75" x14ac:dyDescent="0.25">
      <c r="A74" s="136"/>
      <c r="B74" s="136"/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  <c r="AK74" s="136"/>
      <c r="AL74" s="136"/>
      <c r="AM74" s="136"/>
      <c r="AN74" s="136"/>
      <c r="AO74" s="136"/>
      <c r="AP74" s="136"/>
      <c r="AQ74" s="136"/>
      <c r="AR74" s="136"/>
      <c r="AS74" s="136"/>
      <c r="AT74" s="136"/>
      <c r="AU74" s="136"/>
      <c r="AV74" s="136"/>
      <c r="AW74" s="136"/>
      <c r="AX74" s="136"/>
      <c r="AY74" s="136"/>
      <c r="AZ74" s="136"/>
      <c r="BA74" s="136"/>
      <c r="BB74" s="136"/>
      <c r="BC74" s="136"/>
      <c r="BD74" s="136"/>
      <c r="BE74" s="136"/>
      <c r="BF74" s="136"/>
      <c r="BG74" s="136"/>
      <c r="BH74" s="136"/>
      <c r="BI74" s="136"/>
      <c r="BJ74" s="136"/>
      <c r="BK74" s="136"/>
      <c r="BL74" s="136"/>
      <c r="BM74" s="136"/>
      <c r="BN74" s="136"/>
      <c r="BO74" s="136"/>
      <c r="BP74" s="136"/>
      <c r="BQ74" s="136"/>
      <c r="BR74" s="136"/>
      <c r="BS74" s="136"/>
      <c r="BT74" s="136"/>
      <c r="BU74" s="136"/>
      <c r="BV74" s="136"/>
      <c r="BW74" s="136"/>
    </row>
    <row r="75" spans="1:75" x14ac:dyDescent="0.25">
      <c r="A75" s="136"/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  <c r="AL75" s="136"/>
      <c r="AM75" s="136"/>
      <c r="AN75" s="136"/>
      <c r="AO75" s="136"/>
      <c r="AP75" s="136"/>
      <c r="AQ75" s="136"/>
      <c r="AR75" s="136"/>
      <c r="AS75" s="136"/>
      <c r="AT75" s="136"/>
      <c r="AU75" s="136"/>
      <c r="AV75" s="136"/>
      <c r="AW75" s="136"/>
      <c r="AX75" s="136"/>
      <c r="AY75" s="136"/>
      <c r="AZ75" s="136"/>
      <c r="BA75" s="136"/>
      <c r="BB75" s="136"/>
      <c r="BC75" s="136"/>
      <c r="BD75" s="136"/>
      <c r="BE75" s="136"/>
      <c r="BF75" s="136"/>
      <c r="BG75" s="136"/>
      <c r="BH75" s="136"/>
      <c r="BI75" s="136"/>
      <c r="BJ75" s="136"/>
      <c r="BK75" s="136"/>
      <c r="BL75" s="136"/>
      <c r="BM75" s="136"/>
      <c r="BN75" s="136"/>
      <c r="BO75" s="136"/>
      <c r="BP75" s="136"/>
      <c r="BQ75" s="136"/>
      <c r="BR75" s="136"/>
      <c r="BS75" s="136"/>
      <c r="BT75" s="136"/>
      <c r="BU75" s="136"/>
      <c r="BV75" s="136"/>
      <c r="BW75" s="136"/>
    </row>
    <row r="76" spans="1:75" x14ac:dyDescent="0.25">
      <c r="A76" s="136"/>
      <c r="B76" s="136"/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  <c r="AS76" s="136"/>
      <c r="AT76" s="136"/>
      <c r="AU76" s="136"/>
      <c r="AV76" s="136"/>
      <c r="AW76" s="136"/>
      <c r="AX76" s="136"/>
      <c r="AY76" s="136"/>
      <c r="AZ76" s="136"/>
      <c r="BA76" s="136"/>
      <c r="BB76" s="136"/>
      <c r="BC76" s="136"/>
      <c r="BD76" s="136"/>
      <c r="BE76" s="136"/>
      <c r="BF76" s="136"/>
      <c r="BG76" s="136"/>
      <c r="BH76" s="136"/>
      <c r="BI76" s="136"/>
      <c r="BJ76" s="136"/>
      <c r="BK76" s="136"/>
      <c r="BL76" s="136"/>
      <c r="BM76" s="136"/>
      <c r="BN76" s="136"/>
      <c r="BO76" s="136"/>
      <c r="BP76" s="136"/>
      <c r="BQ76" s="136"/>
      <c r="BR76" s="136"/>
      <c r="BS76" s="136"/>
      <c r="BT76" s="136"/>
      <c r="BU76" s="136"/>
      <c r="BV76" s="136"/>
      <c r="BW76" s="136"/>
    </row>
    <row r="77" spans="1:75" x14ac:dyDescent="0.25">
      <c r="A77" s="136"/>
      <c r="B77" s="136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  <c r="AK77" s="136"/>
      <c r="AL77" s="136"/>
      <c r="AM77" s="136"/>
      <c r="AN77" s="136"/>
      <c r="AO77" s="136"/>
      <c r="AP77" s="136"/>
      <c r="AQ77" s="136"/>
      <c r="AR77" s="136"/>
      <c r="AS77" s="136"/>
      <c r="AT77" s="136"/>
      <c r="AU77" s="136"/>
      <c r="AV77" s="136"/>
      <c r="AW77" s="136"/>
      <c r="AX77" s="136"/>
      <c r="AY77" s="136"/>
      <c r="AZ77" s="136"/>
      <c r="BA77" s="136"/>
      <c r="BB77" s="136"/>
      <c r="BC77" s="136"/>
      <c r="BD77" s="136"/>
      <c r="BE77" s="136"/>
      <c r="BF77" s="136"/>
      <c r="BG77" s="136"/>
      <c r="BH77" s="136"/>
      <c r="BI77" s="136"/>
      <c r="BJ77" s="136"/>
      <c r="BK77" s="136"/>
      <c r="BL77" s="136"/>
      <c r="BM77" s="136"/>
      <c r="BN77" s="136"/>
      <c r="BO77" s="136"/>
      <c r="BP77" s="136"/>
      <c r="BQ77" s="136"/>
      <c r="BR77" s="136"/>
      <c r="BS77" s="136"/>
      <c r="BT77" s="136"/>
      <c r="BU77" s="136"/>
      <c r="BV77" s="136"/>
      <c r="BW77" s="136"/>
    </row>
    <row r="78" spans="1:75" x14ac:dyDescent="0.25">
      <c r="A78" s="136"/>
      <c r="B78" s="136"/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  <c r="AL78" s="136"/>
      <c r="AM78" s="136"/>
      <c r="AN78" s="136"/>
      <c r="AO78" s="136"/>
      <c r="AP78" s="136"/>
      <c r="AQ78" s="136"/>
      <c r="AR78" s="136"/>
      <c r="AS78" s="136"/>
      <c r="AT78" s="136"/>
      <c r="AU78" s="136"/>
      <c r="AV78" s="136"/>
      <c r="AW78" s="136"/>
      <c r="AX78" s="136"/>
      <c r="AY78" s="136"/>
      <c r="AZ78" s="136"/>
      <c r="BA78" s="136"/>
      <c r="BB78" s="136"/>
      <c r="BC78" s="136"/>
      <c r="BD78" s="136"/>
      <c r="BE78" s="136"/>
      <c r="BF78" s="136"/>
      <c r="BG78" s="136"/>
      <c r="BH78" s="136"/>
      <c r="BI78" s="136"/>
      <c r="BJ78" s="136"/>
      <c r="BK78" s="136"/>
      <c r="BL78" s="136"/>
      <c r="BM78" s="136"/>
      <c r="BN78" s="136"/>
      <c r="BO78" s="136"/>
      <c r="BP78" s="136"/>
      <c r="BQ78" s="136"/>
      <c r="BR78" s="136"/>
      <c r="BS78" s="136"/>
      <c r="BT78" s="136"/>
      <c r="BU78" s="136"/>
      <c r="BV78" s="136"/>
      <c r="BW78" s="136"/>
    </row>
    <row r="79" spans="1:75" x14ac:dyDescent="0.25">
      <c r="A79" s="136"/>
      <c r="B79" s="136"/>
      <c r="C79" s="136"/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  <c r="AC79" s="136"/>
      <c r="AD79" s="136"/>
      <c r="AE79" s="136"/>
      <c r="AF79" s="136"/>
      <c r="AG79" s="136"/>
      <c r="AH79" s="136"/>
      <c r="AI79" s="136"/>
      <c r="AJ79" s="136"/>
      <c r="AK79" s="136"/>
      <c r="AL79" s="136"/>
      <c r="AM79" s="136"/>
      <c r="AN79" s="136"/>
      <c r="AO79" s="136"/>
      <c r="AP79" s="136"/>
      <c r="AQ79" s="136"/>
      <c r="AR79" s="136"/>
      <c r="AS79" s="136"/>
      <c r="AT79" s="136"/>
      <c r="AU79" s="136"/>
      <c r="AV79" s="136"/>
      <c r="AW79" s="136"/>
      <c r="AX79" s="136"/>
      <c r="AY79" s="136"/>
      <c r="AZ79" s="136"/>
      <c r="BA79" s="136"/>
      <c r="BB79" s="136"/>
      <c r="BC79" s="136"/>
      <c r="BD79" s="136"/>
      <c r="BE79" s="136"/>
      <c r="BF79" s="136"/>
      <c r="BG79" s="136"/>
      <c r="BH79" s="136"/>
      <c r="BI79" s="136"/>
      <c r="BJ79" s="136"/>
      <c r="BK79" s="136"/>
      <c r="BL79" s="136"/>
      <c r="BM79" s="136"/>
      <c r="BN79" s="136"/>
      <c r="BO79" s="136"/>
      <c r="BP79" s="136"/>
      <c r="BQ79" s="136"/>
      <c r="BR79" s="136"/>
      <c r="BS79" s="136"/>
      <c r="BT79" s="136"/>
      <c r="BU79" s="136"/>
      <c r="BV79" s="136"/>
      <c r="BW79" s="136"/>
    </row>
    <row r="80" spans="1:75" x14ac:dyDescent="0.25">
      <c r="A80" s="136"/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  <c r="AA80" s="136"/>
      <c r="AB80" s="136"/>
      <c r="AC80" s="136"/>
      <c r="AD80" s="136"/>
      <c r="AE80" s="136"/>
      <c r="AF80" s="136"/>
      <c r="AG80" s="136"/>
      <c r="AH80" s="136"/>
      <c r="AI80" s="136"/>
      <c r="AJ80" s="136"/>
      <c r="AK80" s="136"/>
      <c r="AL80" s="136"/>
      <c r="AM80" s="136"/>
      <c r="AN80" s="136"/>
      <c r="AO80" s="136"/>
      <c r="AP80" s="136"/>
      <c r="AQ80" s="136"/>
      <c r="AR80" s="136"/>
      <c r="AS80" s="136"/>
      <c r="AT80" s="136"/>
      <c r="AU80" s="136"/>
      <c r="AV80" s="136"/>
      <c r="AW80" s="136"/>
      <c r="AX80" s="136"/>
      <c r="AY80" s="136"/>
      <c r="AZ80" s="136"/>
      <c r="BA80" s="136"/>
      <c r="BB80" s="136"/>
      <c r="BC80" s="136"/>
      <c r="BD80" s="136"/>
      <c r="BE80" s="136"/>
      <c r="BF80" s="136"/>
      <c r="BG80" s="136"/>
      <c r="BH80" s="136"/>
      <c r="BI80" s="136"/>
      <c r="BJ80" s="136"/>
      <c r="BK80" s="136"/>
      <c r="BL80" s="136"/>
      <c r="BM80" s="136"/>
      <c r="BN80" s="136"/>
      <c r="BO80" s="136"/>
      <c r="BP80" s="136"/>
      <c r="BQ80" s="136"/>
      <c r="BR80" s="136"/>
      <c r="BS80" s="136"/>
      <c r="BT80" s="136"/>
      <c r="BU80" s="136"/>
      <c r="BV80" s="136"/>
      <c r="BW80" s="136"/>
    </row>
    <row r="81" spans="1:75" x14ac:dyDescent="0.25">
      <c r="A81" s="136"/>
      <c r="B81" s="136"/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136"/>
      <c r="AI81" s="136"/>
      <c r="AJ81" s="136"/>
      <c r="AK81" s="136"/>
      <c r="AL81" s="136"/>
      <c r="AM81" s="136"/>
      <c r="AN81" s="136"/>
      <c r="AO81" s="136"/>
      <c r="AP81" s="136"/>
      <c r="AQ81" s="136"/>
      <c r="AR81" s="136"/>
      <c r="AS81" s="136"/>
      <c r="AT81" s="136"/>
      <c r="AU81" s="136"/>
      <c r="AV81" s="136"/>
      <c r="AW81" s="136"/>
      <c r="AX81" s="136"/>
      <c r="AY81" s="136"/>
      <c r="AZ81" s="136"/>
      <c r="BA81" s="136"/>
      <c r="BB81" s="136"/>
      <c r="BC81" s="136"/>
      <c r="BD81" s="136"/>
      <c r="BE81" s="136"/>
      <c r="BF81" s="136"/>
      <c r="BG81" s="136"/>
      <c r="BH81" s="136"/>
      <c r="BI81" s="136"/>
      <c r="BJ81" s="136"/>
      <c r="BK81" s="136"/>
      <c r="BL81" s="136"/>
      <c r="BM81" s="136"/>
      <c r="BN81" s="136"/>
      <c r="BO81" s="136"/>
      <c r="BP81" s="136"/>
      <c r="BQ81" s="136"/>
      <c r="BR81" s="136"/>
      <c r="BS81" s="136"/>
      <c r="BT81" s="136"/>
      <c r="BU81" s="136"/>
      <c r="BV81" s="136"/>
      <c r="BW81" s="136"/>
    </row>
    <row r="82" spans="1:75" x14ac:dyDescent="0.25">
      <c r="A82" s="136"/>
      <c r="B82" s="136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  <c r="AK82" s="136"/>
      <c r="AL82" s="136"/>
      <c r="AM82" s="136"/>
      <c r="AN82" s="136"/>
      <c r="AO82" s="136"/>
      <c r="AP82" s="136"/>
      <c r="AQ82" s="136"/>
      <c r="AR82" s="136"/>
      <c r="AS82" s="136"/>
      <c r="AT82" s="136"/>
      <c r="AU82" s="136"/>
      <c r="AV82" s="136"/>
      <c r="AW82" s="136"/>
      <c r="AX82" s="136"/>
      <c r="AY82" s="136"/>
      <c r="AZ82" s="136"/>
      <c r="BA82" s="136"/>
      <c r="BB82" s="136"/>
      <c r="BC82" s="136"/>
      <c r="BD82" s="136"/>
      <c r="BE82" s="136"/>
      <c r="BF82" s="136"/>
      <c r="BG82" s="136"/>
      <c r="BH82" s="136"/>
      <c r="BI82" s="136"/>
      <c r="BJ82" s="136"/>
      <c r="BK82" s="136"/>
      <c r="BL82" s="136"/>
      <c r="BM82" s="136"/>
      <c r="BN82" s="136"/>
      <c r="BO82" s="136"/>
      <c r="BP82" s="136"/>
      <c r="BQ82" s="136"/>
      <c r="BR82" s="136"/>
      <c r="BS82" s="136"/>
      <c r="BT82" s="136"/>
      <c r="BU82" s="136"/>
      <c r="BV82" s="136"/>
      <c r="BW82" s="136"/>
    </row>
    <row r="83" spans="1:75" x14ac:dyDescent="0.25">
      <c r="A83" s="136"/>
      <c r="B83" s="136"/>
      <c r="C83" s="136"/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  <c r="AK83" s="136"/>
      <c r="AL83" s="136"/>
      <c r="AM83" s="136"/>
      <c r="AN83" s="136"/>
      <c r="AO83" s="136"/>
      <c r="AP83" s="136"/>
      <c r="AQ83" s="136"/>
      <c r="AR83" s="136"/>
      <c r="AS83" s="136"/>
      <c r="AT83" s="136"/>
      <c r="AU83" s="136"/>
      <c r="AV83" s="136"/>
      <c r="AW83" s="136"/>
      <c r="AX83" s="136"/>
      <c r="AY83" s="136"/>
      <c r="AZ83" s="136"/>
      <c r="BA83" s="136"/>
      <c r="BB83" s="136"/>
      <c r="BC83" s="136"/>
      <c r="BD83" s="136"/>
      <c r="BE83" s="136"/>
      <c r="BF83" s="136"/>
      <c r="BG83" s="136"/>
      <c r="BH83" s="136"/>
      <c r="BI83" s="136"/>
      <c r="BJ83" s="136"/>
      <c r="BK83" s="136"/>
      <c r="BL83" s="136"/>
      <c r="BM83" s="136"/>
      <c r="BN83" s="136"/>
      <c r="BO83" s="136"/>
      <c r="BP83" s="136"/>
      <c r="BQ83" s="136"/>
      <c r="BR83" s="136"/>
      <c r="BS83" s="136"/>
      <c r="BT83" s="136"/>
      <c r="BU83" s="136"/>
      <c r="BV83" s="136"/>
      <c r="BW83" s="136"/>
    </row>
    <row r="84" spans="1:75" x14ac:dyDescent="0.25">
      <c r="A84" s="136"/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36"/>
      <c r="AN84" s="136"/>
      <c r="AO84" s="136"/>
      <c r="AP84" s="136"/>
      <c r="AQ84" s="136"/>
      <c r="AR84" s="136"/>
      <c r="AS84" s="136"/>
      <c r="AT84" s="136"/>
      <c r="AU84" s="136"/>
      <c r="AV84" s="136"/>
      <c r="AW84" s="136"/>
      <c r="AX84" s="136"/>
      <c r="AY84" s="136"/>
      <c r="AZ84" s="136"/>
      <c r="BA84" s="136"/>
      <c r="BB84" s="136"/>
      <c r="BC84" s="136"/>
      <c r="BD84" s="136"/>
      <c r="BE84" s="136"/>
      <c r="BF84" s="136"/>
      <c r="BG84" s="136"/>
      <c r="BH84" s="136"/>
      <c r="BI84" s="136"/>
      <c r="BJ84" s="136"/>
      <c r="BK84" s="136"/>
      <c r="BL84" s="136"/>
      <c r="BM84" s="136"/>
      <c r="BN84" s="136"/>
      <c r="BO84" s="136"/>
      <c r="BP84" s="136"/>
      <c r="BQ84" s="136"/>
      <c r="BR84" s="136"/>
      <c r="BS84" s="136"/>
      <c r="BT84" s="136"/>
      <c r="BU84" s="136"/>
      <c r="BV84" s="136"/>
      <c r="BW84" s="136"/>
    </row>
    <row r="85" spans="1:75" x14ac:dyDescent="0.25">
      <c r="A85" s="136"/>
      <c r="B85" s="136"/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  <c r="AS85" s="136"/>
      <c r="AT85" s="136"/>
      <c r="AU85" s="136"/>
      <c r="AV85" s="136"/>
      <c r="AW85" s="136"/>
      <c r="AX85" s="136"/>
      <c r="AY85" s="136"/>
      <c r="AZ85" s="136"/>
      <c r="BA85" s="136"/>
      <c r="BB85" s="136"/>
      <c r="BC85" s="136"/>
      <c r="BD85" s="136"/>
      <c r="BE85" s="136"/>
      <c r="BF85" s="136"/>
      <c r="BG85" s="136"/>
      <c r="BH85" s="136"/>
      <c r="BI85" s="136"/>
      <c r="BJ85" s="136"/>
      <c r="BK85" s="136"/>
      <c r="BL85" s="136"/>
      <c r="BM85" s="136"/>
      <c r="BN85" s="136"/>
      <c r="BO85" s="136"/>
      <c r="BP85" s="136"/>
      <c r="BQ85" s="136"/>
      <c r="BR85" s="136"/>
      <c r="BS85" s="136"/>
      <c r="BT85" s="136"/>
      <c r="BU85" s="136"/>
      <c r="BV85" s="136"/>
      <c r="BW85" s="136"/>
    </row>
    <row r="86" spans="1:75" x14ac:dyDescent="0.25">
      <c r="A86" s="136"/>
      <c r="B86" s="136"/>
      <c r="C86" s="136"/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  <c r="AS86" s="136"/>
      <c r="AT86" s="136"/>
      <c r="AU86" s="136"/>
      <c r="AV86" s="136"/>
      <c r="AW86" s="136"/>
      <c r="AX86" s="136"/>
      <c r="AY86" s="136"/>
      <c r="AZ86" s="136"/>
      <c r="BA86" s="136"/>
      <c r="BB86" s="136"/>
      <c r="BC86" s="136"/>
      <c r="BD86" s="136"/>
      <c r="BE86" s="136"/>
      <c r="BF86" s="136"/>
      <c r="BG86" s="136"/>
      <c r="BH86" s="136"/>
      <c r="BI86" s="136"/>
      <c r="BJ86" s="136"/>
      <c r="BK86" s="136"/>
      <c r="BL86" s="136"/>
      <c r="BM86" s="136"/>
      <c r="BN86" s="136"/>
      <c r="BO86" s="136"/>
      <c r="BP86" s="136"/>
      <c r="BQ86" s="136"/>
      <c r="BR86" s="136"/>
      <c r="BS86" s="136"/>
      <c r="BT86" s="136"/>
      <c r="BU86" s="136"/>
      <c r="BV86" s="136"/>
      <c r="BW86" s="136"/>
    </row>
    <row r="87" spans="1:75" x14ac:dyDescent="0.25">
      <c r="A87" s="136"/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  <c r="AO87" s="136"/>
      <c r="AP87" s="136"/>
      <c r="AQ87" s="136"/>
      <c r="AR87" s="136"/>
      <c r="AS87" s="136"/>
      <c r="AT87" s="136"/>
      <c r="AU87" s="136"/>
      <c r="AV87" s="136"/>
      <c r="AW87" s="136"/>
      <c r="AX87" s="136"/>
      <c r="AY87" s="136"/>
      <c r="AZ87" s="136"/>
      <c r="BA87" s="136"/>
      <c r="BB87" s="136"/>
      <c r="BC87" s="136"/>
      <c r="BD87" s="136"/>
      <c r="BE87" s="136"/>
      <c r="BF87" s="136"/>
      <c r="BG87" s="136"/>
      <c r="BH87" s="136"/>
      <c r="BI87" s="136"/>
      <c r="BJ87" s="136"/>
      <c r="BK87" s="136"/>
      <c r="BL87" s="136"/>
      <c r="BM87" s="136"/>
      <c r="BN87" s="136"/>
      <c r="BO87" s="136"/>
      <c r="BP87" s="136"/>
      <c r="BQ87" s="136"/>
      <c r="BR87" s="136"/>
      <c r="BS87" s="136"/>
      <c r="BT87" s="136"/>
      <c r="BU87" s="136"/>
      <c r="BV87" s="136"/>
      <c r="BW87" s="136"/>
    </row>
    <row r="88" spans="1:75" x14ac:dyDescent="0.25">
      <c r="A88" s="136"/>
      <c r="B88" s="136"/>
      <c r="C88" s="136"/>
      <c r="D88" s="136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/>
      <c r="AN88" s="136"/>
      <c r="AO88" s="136"/>
      <c r="AP88" s="136"/>
      <c r="AQ88" s="136"/>
      <c r="AR88" s="136"/>
      <c r="AS88" s="136"/>
      <c r="AT88" s="136"/>
      <c r="AU88" s="136"/>
      <c r="AV88" s="136"/>
      <c r="AW88" s="136"/>
      <c r="AX88" s="136"/>
      <c r="AY88" s="136"/>
      <c r="AZ88" s="136"/>
      <c r="BA88" s="136"/>
      <c r="BB88" s="136"/>
      <c r="BC88" s="136"/>
      <c r="BD88" s="136"/>
      <c r="BE88" s="136"/>
      <c r="BF88" s="136"/>
      <c r="BG88" s="136"/>
      <c r="BH88" s="136"/>
      <c r="BI88" s="136"/>
      <c r="BJ88" s="136"/>
      <c r="BK88" s="136"/>
      <c r="BL88" s="136"/>
      <c r="BM88" s="136"/>
      <c r="BN88" s="136"/>
      <c r="BO88" s="136"/>
      <c r="BP88" s="136"/>
      <c r="BQ88" s="136"/>
      <c r="BR88" s="136"/>
      <c r="BS88" s="136"/>
      <c r="BT88" s="136"/>
      <c r="BU88" s="136"/>
      <c r="BV88" s="136"/>
      <c r="BW88" s="136"/>
    </row>
    <row r="89" spans="1:75" x14ac:dyDescent="0.25">
      <c r="A89" s="136"/>
      <c r="B89" s="136"/>
      <c r="C89" s="136"/>
      <c r="D89" s="136"/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  <c r="AS89" s="136"/>
      <c r="AT89" s="136"/>
      <c r="AU89" s="136"/>
      <c r="AV89" s="136"/>
      <c r="AW89" s="136"/>
      <c r="AX89" s="136"/>
      <c r="AY89" s="136"/>
      <c r="AZ89" s="136"/>
      <c r="BA89" s="136"/>
      <c r="BB89" s="136"/>
      <c r="BC89" s="136"/>
      <c r="BD89" s="136"/>
      <c r="BE89" s="136"/>
      <c r="BF89" s="136"/>
      <c r="BG89" s="136"/>
      <c r="BH89" s="136"/>
      <c r="BI89" s="136"/>
      <c r="BJ89" s="136"/>
      <c r="BK89" s="136"/>
      <c r="BL89" s="136"/>
      <c r="BM89" s="136"/>
      <c r="BN89" s="136"/>
      <c r="BO89" s="136"/>
      <c r="BP89" s="136"/>
      <c r="BQ89" s="136"/>
      <c r="BR89" s="136"/>
      <c r="BS89" s="136"/>
      <c r="BT89" s="136"/>
      <c r="BU89" s="136"/>
      <c r="BV89" s="136"/>
      <c r="BW89" s="136"/>
    </row>
    <row r="90" spans="1:75" x14ac:dyDescent="0.25">
      <c r="A90" s="136"/>
      <c r="B90" s="136"/>
      <c r="C90" s="136"/>
      <c r="D90" s="136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  <c r="AS90" s="136"/>
      <c r="AT90" s="136"/>
      <c r="AU90" s="136"/>
      <c r="AV90" s="136"/>
      <c r="AW90" s="136"/>
      <c r="AX90" s="136"/>
      <c r="AY90" s="136"/>
      <c r="AZ90" s="136"/>
      <c r="BA90" s="136"/>
      <c r="BB90" s="136"/>
      <c r="BC90" s="136"/>
      <c r="BD90" s="136"/>
      <c r="BE90" s="136"/>
      <c r="BF90" s="136"/>
      <c r="BG90" s="136"/>
      <c r="BH90" s="136"/>
      <c r="BI90" s="136"/>
      <c r="BJ90" s="136"/>
      <c r="BK90" s="136"/>
      <c r="BL90" s="136"/>
      <c r="BM90" s="136"/>
      <c r="BN90" s="136"/>
      <c r="BO90" s="136"/>
      <c r="BP90" s="136"/>
      <c r="BQ90" s="136"/>
      <c r="BR90" s="136"/>
      <c r="BS90" s="136"/>
      <c r="BT90" s="136"/>
      <c r="BU90" s="136"/>
      <c r="BV90" s="136"/>
      <c r="BW90" s="136"/>
    </row>
    <row r="91" spans="1:75" x14ac:dyDescent="0.25">
      <c r="A91" s="136"/>
      <c r="B91" s="136"/>
      <c r="C91" s="136"/>
      <c r="D91" s="136"/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/>
      <c r="AN91" s="136"/>
      <c r="AO91" s="136"/>
      <c r="AP91" s="136"/>
      <c r="AQ91" s="136"/>
      <c r="AR91" s="136"/>
      <c r="AS91" s="136"/>
      <c r="AT91" s="136"/>
      <c r="AU91" s="136"/>
      <c r="AV91" s="136"/>
      <c r="AW91" s="136"/>
      <c r="AX91" s="136"/>
      <c r="AY91" s="136"/>
      <c r="AZ91" s="136"/>
      <c r="BA91" s="136"/>
      <c r="BB91" s="136"/>
      <c r="BC91" s="136"/>
      <c r="BD91" s="136"/>
      <c r="BE91" s="136"/>
      <c r="BF91" s="136"/>
      <c r="BG91" s="136"/>
      <c r="BH91" s="136"/>
      <c r="BI91" s="136"/>
      <c r="BJ91" s="136"/>
      <c r="BK91" s="136"/>
      <c r="BL91" s="136"/>
      <c r="BM91" s="136"/>
      <c r="BN91" s="136"/>
      <c r="BO91" s="136"/>
      <c r="BP91" s="136"/>
      <c r="BQ91" s="136"/>
      <c r="BR91" s="136"/>
      <c r="BS91" s="136"/>
      <c r="BT91" s="136"/>
      <c r="BU91" s="136"/>
      <c r="BV91" s="136"/>
      <c r="BW91" s="136"/>
    </row>
  </sheetData>
  <printOptions horizontalCentered="1"/>
  <pageMargins left="0.23622047244094491" right="0.19685039370078741" top="0.74803149606299213" bottom="0.74803149606299213" header="0.31496062992125984" footer="0.31496062992125984"/>
  <pageSetup paperSize="119" scale="52" orientation="landscape" horizontalDpi="1200" verticalDpi="12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5BB3-8864-47F8-94E5-88A6B07DC02A}">
  <sheetPr codeName="Hoja10">
    <tabColor rgb="FF00B050"/>
  </sheetPr>
  <dimension ref="A1:L44"/>
  <sheetViews>
    <sheetView showGridLines="0" workbookViewId="0">
      <selection activeCell="A12" sqref="A12"/>
    </sheetView>
  </sheetViews>
  <sheetFormatPr baseColWidth="10" defaultColWidth="11.42578125" defaultRowHeight="16.5" outlineLevelCol="1" x14ac:dyDescent="0.3"/>
  <cols>
    <col min="1" max="1" width="45.42578125" style="102" bestFit="1" customWidth="1"/>
    <col min="2" max="2" width="15.5703125" style="76" customWidth="1"/>
    <col min="3" max="3" width="8" style="76" customWidth="1"/>
    <col min="4" max="4" width="8.140625" style="76" customWidth="1"/>
    <col min="5" max="5" width="16.42578125" style="76" customWidth="1"/>
    <col min="6" max="6" width="11.42578125" customWidth="1" outlineLevel="1"/>
    <col min="7" max="7" width="21.42578125" customWidth="1" outlineLevel="1"/>
    <col min="8" max="8" width="13.42578125" customWidth="1"/>
    <col min="11" max="11" width="14.140625" style="76" customWidth="1"/>
  </cols>
  <sheetData>
    <row r="1" spans="1:12" ht="36" customHeight="1" x14ac:dyDescent="0.25">
      <c r="A1" s="97" t="s">
        <v>256</v>
      </c>
      <c r="B1" s="65" t="s">
        <v>78</v>
      </c>
      <c r="C1" s="65" t="s">
        <v>79</v>
      </c>
      <c r="D1" s="65" t="s">
        <v>80</v>
      </c>
      <c r="E1" s="65" t="s">
        <v>81</v>
      </c>
      <c r="G1" s="106" t="s">
        <v>257</v>
      </c>
      <c r="H1" s="65" t="s">
        <v>78</v>
      </c>
      <c r="I1" s="65" t="s">
        <v>79</v>
      </c>
      <c r="J1" s="65" t="s">
        <v>80</v>
      </c>
      <c r="K1" s="65" t="s">
        <v>81</v>
      </c>
      <c r="L1" s="1">
        <f>+COUNTA(A2:A41)-3</f>
        <v>37</v>
      </c>
    </row>
    <row r="2" spans="1:12" ht="15" x14ac:dyDescent="0.25">
      <c r="A2" s="98" t="s">
        <v>14</v>
      </c>
      <c r="B2" s="103">
        <f>+_xlfn.XLOOKUP($A2,'R (s01)'!B:B,'R (s01)'!D:D,"Falta")</f>
        <v>1</v>
      </c>
      <c r="C2" s="104">
        <f>+_xlfn.XLOOKUP($A2,'R (s01)'!B:B,'R (s01)'!E:E,"Falta")</f>
        <v>1</v>
      </c>
      <c r="D2" s="104">
        <f>+_xlfn.XLOOKUP($A2,'R (s01)'!B:B,'R (s01)'!F:F,"Falta")</f>
        <v>1</v>
      </c>
      <c r="E2" s="104">
        <f>+_xlfn.XLOOKUP($A2,'R (s01)'!B:B,'R (s01)'!G:G,"Falta")</f>
        <v>1</v>
      </c>
      <c r="F2" s="105">
        <f>IFERROR(_xlfn.XLOOKUP(A2,diario!D:D,diario!L:L,"")*1000,"")</f>
        <v>31540</v>
      </c>
      <c r="G2" s="107">
        <v>31476.842000000004</v>
      </c>
      <c r="H2" s="115">
        <f>IF(SUMIFS(Tabla1[Avance_km],Tabla1[Ducto],$A2,Tabla1[nombre_actividad],H$1)=0,"",SUMIFS(Tabla1[Avance_km],Tabla1[Ducto],$A2,Tabla1[nombre_actividad],H$1))</f>
        <v>31.54</v>
      </c>
      <c r="I2" s="115">
        <f>IF(SUMIFS(Tabla1[Avance_km],Tabla1[Ducto],$A2,Tabla1[nombre_actividad],I$1)=0,"",SUMIFS(Tabla1[Avance_km],Tabla1[Ducto],$A2,Tabla1[nombre_actividad],I$1))</f>
        <v>31.54</v>
      </c>
      <c r="J2" s="115">
        <f>IF(SUMIFS(Tabla1[Avance_km],Tabla1[Ducto],$A2,Tabla1[nombre_actividad],J$1)=0,"",SUMIFS(Tabla1[Avance_km],Tabla1[Ducto],$A2,Tabla1[nombre_actividad],J$1))</f>
        <v>31.54</v>
      </c>
      <c r="K2" s="116">
        <f>IF(SUMIFS(Tabla1[Avance_Med],Tabla1[Ducto],$A2,Tabla1[nombre_actividad],K$1)=0,"",SUMIFS(Tabla1[Avance_Med],Tabla1[Ducto],$A2,Tabla1[nombre_actividad],K$1))</f>
        <v>64</v>
      </c>
    </row>
    <row r="3" spans="1:12" x14ac:dyDescent="0.3">
      <c r="A3" s="99" t="s">
        <v>40</v>
      </c>
      <c r="B3" s="103">
        <f>+_xlfn.XLOOKUP($A3,'R (s01)'!B:B,'R (s01)'!D:D,"Falta")</f>
        <v>1</v>
      </c>
      <c r="C3" s="104">
        <f>+_xlfn.XLOOKUP($A3,'R (s01)'!B:B,'R (s01)'!E:E,"Falta")</f>
        <v>1</v>
      </c>
      <c r="D3" s="104">
        <f>+_xlfn.XLOOKUP($A3,'R (s01)'!B:B,'R (s01)'!F:F,"Falta")</f>
        <v>1</v>
      </c>
      <c r="E3" s="104">
        <f>+_xlfn.XLOOKUP($A3,'R (s01)'!B:B,'R (s01)'!G:G,"Falta")</f>
        <v>1</v>
      </c>
      <c r="F3" s="105">
        <f>IFERROR(_xlfn.XLOOKUP(A3,diario!D:D,diario!L:L,"")*1000,"")</f>
        <v>20</v>
      </c>
      <c r="G3" s="107">
        <v>3.47</v>
      </c>
      <c r="H3" s="115">
        <f>IF(SUMIFS(Tabla1[Avance_km],Tabla1[Ducto],$A3,Tabla1[nombre_actividad],H$1)=0,"",SUMIFS(Tabla1[Avance_km],Tabla1[Ducto],$A3,Tabla1[nombre_actividad],H$1))</f>
        <v>0.02</v>
      </c>
      <c r="I3" s="115">
        <f>IF(SUMIFS(Tabla1[Avance_km],Tabla1[Ducto],$A3,Tabla1[nombre_actividad],I$1)=0,"",SUMIFS(Tabla1[Avance_km],Tabla1[Ducto],$A3,Tabla1[nombre_actividad],I$1))</f>
        <v>0.02</v>
      </c>
      <c r="J3" s="115">
        <f>IF(SUMIFS(Tabla1[Avance_km],Tabla1[Ducto],$A3,Tabla1[nombre_actividad],J$1)=0,"",SUMIFS(Tabla1[Avance_km],Tabla1[Ducto],$A3,Tabla1[nombre_actividad],J$1))</f>
        <v>0.02</v>
      </c>
      <c r="K3" s="116">
        <f>IF(SUMIFS(Tabla1[Avance_Med],Tabla1[Ducto],$A3,Tabla1[nombre_actividad],K$1)=0,"",SUMIFS(Tabla1[Avance_Med],Tabla1[Ducto],$A3,Tabla1[nombre_actividad],K$1))</f>
        <v>1</v>
      </c>
    </row>
    <row r="4" spans="1:12" x14ac:dyDescent="0.3">
      <c r="A4" s="99" t="s">
        <v>41</v>
      </c>
      <c r="B4" s="103">
        <f>+_xlfn.XLOOKUP($A4,'R (s01)'!B:B,'R (s01)'!D:D,"Falta")</f>
        <v>1</v>
      </c>
      <c r="C4" s="104">
        <f>+_xlfn.XLOOKUP($A4,'R (s01)'!B:B,'R (s01)'!E:E,"Falta")</f>
        <v>1</v>
      </c>
      <c r="D4" s="104">
        <f>+_xlfn.XLOOKUP($A4,'R (s01)'!B:B,'R (s01)'!F:F,"Falta")</f>
        <v>1</v>
      </c>
      <c r="E4" s="188" t="s">
        <v>342</v>
      </c>
      <c r="F4" s="105">
        <f>IFERROR(_xlfn.XLOOKUP(A4,diario!D:D,diario!L:L,"")*1000,"")</f>
        <v>70</v>
      </c>
      <c r="G4" s="107">
        <v>39.53</v>
      </c>
      <c r="H4" s="115">
        <f>IF(SUMIFS(Tabla1[Avance_km],Tabla1[Ducto],$A4,Tabla1[nombre_actividad],H$1)=0,"",SUMIFS(Tabla1[Avance_km],Tabla1[Ducto],$A4,Tabla1[nombre_actividad],H$1))</f>
        <v>7.0000000000000007E-2</v>
      </c>
      <c r="I4" s="115">
        <f>IF(SUMIFS(Tabla1[Avance_km],Tabla1[Ducto],$A4,Tabla1[nombre_actividad],I$1)=0,"",SUMIFS(Tabla1[Avance_km],Tabla1[Ducto],$A4,Tabla1[nombre_actividad],I$1))</f>
        <v>7.0000000000000007E-2</v>
      </c>
      <c r="J4" s="115">
        <f>IF(SUMIFS(Tabla1[Avance_km],Tabla1[Ducto],$A4,Tabla1[nombre_actividad],J$1)=0,"",SUMIFS(Tabla1[Avance_km],Tabla1[Ducto],$A4,Tabla1[nombre_actividad],J$1))</f>
        <v>7.0000000000000007E-2</v>
      </c>
      <c r="K4" s="140" t="str">
        <f>IF(SUMIFS(Tabla1[Avance_Med],Tabla1[Ducto],$A4,Tabla1[nombre_actividad],K$1)=0,"",SUMIFS(Tabla1[Avance_Med],Tabla1[Ducto],$A4,Tabla1[nombre_actividad],K$1))</f>
        <v/>
      </c>
    </row>
    <row r="5" spans="1:12" x14ac:dyDescent="0.3">
      <c r="A5" s="99" t="s">
        <v>42</v>
      </c>
      <c r="B5" s="103">
        <f>+_xlfn.XLOOKUP($A5,'R (s01)'!B:B,'R (s01)'!D:D,"Falta")</f>
        <v>1</v>
      </c>
      <c r="C5" s="104">
        <f>+_xlfn.XLOOKUP($A5,'R (s01)'!B:B,'R (s01)'!E:E,"Falta")</f>
        <v>1</v>
      </c>
      <c r="D5" s="104">
        <f>+_xlfn.XLOOKUP($A5,'R (s01)'!B:B,'R (s01)'!F:F,"Falta")</f>
        <v>1</v>
      </c>
      <c r="E5" s="104">
        <f>+_xlfn.XLOOKUP($A5,'R (s01)'!B:B,'R (s01)'!G:G,"Falta")</f>
        <v>1</v>
      </c>
      <c r="F5" s="105">
        <f>IFERROR(_xlfn.XLOOKUP(A5,diario!D:D,diario!L:L,"")*1000,"")</f>
        <v>70</v>
      </c>
      <c r="G5" s="107">
        <v>36.159999999999997</v>
      </c>
      <c r="H5" s="115">
        <f>IF(SUMIFS(Tabla1[Avance_km],Tabla1[Ducto],$A5,Tabla1[nombre_actividad],H$1)=0,"",SUMIFS(Tabla1[Avance_km],Tabla1[Ducto],$A5,Tabla1[nombre_actividad],H$1))</f>
        <v>7.0000000000000007E-2</v>
      </c>
      <c r="I5" s="115">
        <f>IF(SUMIFS(Tabla1[Avance_km],Tabla1[Ducto],$A5,Tabla1[nombre_actividad],I$1)=0,"",SUMIFS(Tabla1[Avance_km],Tabla1[Ducto],$A5,Tabla1[nombre_actividad],I$1))</f>
        <v>7.0000000000000007E-2</v>
      </c>
      <c r="J5" s="115">
        <f>IF(SUMIFS(Tabla1[Avance_km],Tabla1[Ducto],$A5,Tabla1[nombre_actividad],J$1)=0,"",SUMIFS(Tabla1[Avance_km],Tabla1[Ducto],$A5,Tabla1[nombre_actividad],J$1))</f>
        <v>7.0000000000000007E-2</v>
      </c>
      <c r="K5" s="116">
        <f>IF(SUMIFS(Tabla1[Avance_Med],Tabla1[Ducto],$A5,Tabla1[nombre_actividad],K$1)=0,"",SUMIFS(Tabla1[Avance_Med],Tabla1[Ducto],$A5,Tabla1[nombre_actividad],K$1))</f>
        <v>1</v>
      </c>
    </row>
    <row r="6" spans="1:12" x14ac:dyDescent="0.3">
      <c r="A6" s="99" t="s">
        <v>43</v>
      </c>
      <c r="B6" s="103">
        <f>+_xlfn.XLOOKUP($A6,'R (s01)'!B:B,'R (s01)'!D:D,"Falta")</f>
        <v>1</v>
      </c>
      <c r="C6" s="104">
        <f>+_xlfn.XLOOKUP($A6,'R (s01)'!B:B,'R (s01)'!E:E,"Falta")</f>
        <v>1</v>
      </c>
      <c r="D6" s="104">
        <f>+_xlfn.XLOOKUP($A6,'R (s01)'!B:B,'R (s01)'!F:F,"Falta")</f>
        <v>1</v>
      </c>
      <c r="E6" s="104">
        <f>+_xlfn.XLOOKUP($A6,'R (s01)'!B:B,'R (s01)'!G:G,"Falta")</f>
        <v>1</v>
      </c>
      <c r="F6" s="105">
        <f>IFERROR(_xlfn.XLOOKUP(A6,diario!D:D,diario!L:L,"")*1000,"")</f>
        <v>15</v>
      </c>
      <c r="G6" s="107">
        <v>7.24</v>
      </c>
      <c r="H6" s="115">
        <f>IF(SUMIFS(Tabla1[Avance_km],Tabla1[Ducto],$A6,Tabla1[nombre_actividad],H$1)=0,"",SUMIFS(Tabla1[Avance_km],Tabla1[Ducto],$A6,Tabla1[nombre_actividad],H$1))</f>
        <v>1.4999999999999999E-2</v>
      </c>
      <c r="I6" s="115">
        <f>IF(SUMIFS(Tabla1[Avance_km],Tabla1[Ducto],$A6,Tabla1[nombre_actividad],I$1)=0,"",SUMIFS(Tabla1[Avance_km],Tabla1[Ducto],$A6,Tabla1[nombre_actividad],I$1))</f>
        <v>1.4999999999999999E-2</v>
      </c>
      <c r="J6" s="115">
        <f>IF(SUMIFS(Tabla1[Avance_km],Tabla1[Ducto],$A6,Tabla1[nombre_actividad],J$1)=0,"",SUMIFS(Tabla1[Avance_km],Tabla1[Ducto],$A6,Tabla1[nombre_actividad],J$1))</f>
        <v>1.4999999999999999E-2</v>
      </c>
      <c r="K6" s="116">
        <f>IF(SUMIFS(Tabla1[Avance_Med],Tabla1[Ducto],$A6,Tabla1[nombre_actividad],K$1)=0,"",SUMIFS(Tabla1[Avance_Med],Tabla1[Ducto],$A6,Tabla1[nombre_actividad],K$1))</f>
        <v>1</v>
      </c>
    </row>
    <row r="7" spans="1:12" x14ac:dyDescent="0.3">
      <c r="A7" s="99" t="s">
        <v>45</v>
      </c>
      <c r="B7" s="103">
        <f>+_xlfn.XLOOKUP($A7,'R (s01)'!B:B,'R (s01)'!D:D,"Falta")</f>
        <v>1</v>
      </c>
      <c r="C7" s="104">
        <f>+_xlfn.XLOOKUP($A7,'R (s01)'!B:B,'R (s01)'!E:E,"Falta")</f>
        <v>1</v>
      </c>
      <c r="D7" s="104">
        <f>+_xlfn.XLOOKUP($A7,'R (s01)'!B:B,'R (s01)'!F:F,"Falta")</f>
        <v>1</v>
      </c>
      <c r="E7" s="104">
        <f>+_xlfn.XLOOKUP($A7,'R (s01)'!B:B,'R (s01)'!G:G,"Falta")</f>
        <v>1</v>
      </c>
      <c r="F7" s="105">
        <f>IFERROR(_xlfn.XLOOKUP(A7,diario!D:D,diario!L:L,"")*1000,"")</f>
        <v>10</v>
      </c>
      <c r="G7" s="107">
        <v>9.81</v>
      </c>
      <c r="H7" s="115">
        <f>IF(SUMIFS(Tabla1[Avance_km],Tabla1[Ducto],$A7,Tabla1[nombre_actividad],H$1)=0,"",SUMIFS(Tabla1[Avance_km],Tabla1[Ducto],$A7,Tabla1[nombre_actividad],H$1))</f>
        <v>0.01</v>
      </c>
      <c r="I7" s="115">
        <f>IF(SUMIFS(Tabla1[Avance_km],Tabla1[Ducto],$A7,Tabla1[nombre_actividad],I$1)=0,"",SUMIFS(Tabla1[Avance_km],Tabla1[Ducto],$A7,Tabla1[nombre_actividad],I$1))</f>
        <v>0.01</v>
      </c>
      <c r="J7" s="115">
        <f>IF(SUMIFS(Tabla1[Avance_km],Tabla1[Ducto],$A7,Tabla1[nombre_actividad],J$1)=0,"",SUMIFS(Tabla1[Avance_km],Tabla1[Ducto],$A7,Tabla1[nombre_actividad],J$1))</f>
        <v>0.01</v>
      </c>
      <c r="K7" s="116">
        <f>IF(SUMIFS(Tabla1[Avance_Med],Tabla1[Ducto],$A7,Tabla1[nombre_actividad],K$1)=0,"",SUMIFS(Tabla1[Avance_Med],Tabla1[Ducto],$A7,Tabla1[nombre_actividad],K$1))</f>
        <v>1</v>
      </c>
    </row>
    <row r="8" spans="1:12" x14ac:dyDescent="0.3">
      <c r="A8" s="99" t="s">
        <v>17</v>
      </c>
      <c r="B8" s="103">
        <f>+_xlfn.XLOOKUP($A8,'R (s01)'!B:B,'R (s01)'!D:D,"Falta")</f>
        <v>1</v>
      </c>
      <c r="C8" s="104">
        <f>+_xlfn.XLOOKUP($A8,'R (s01)'!B:B,'R (s01)'!E:E,"Falta")</f>
        <v>1</v>
      </c>
      <c r="D8" s="104">
        <f>+_xlfn.XLOOKUP($A8,'R (s01)'!B:B,'R (s01)'!F:F,"Falta")</f>
        <v>1</v>
      </c>
      <c r="E8" s="104">
        <f>+_xlfn.XLOOKUP($A8,'R (s01)'!B:B,'R (s01)'!G:G,"Falta")</f>
        <v>1</v>
      </c>
      <c r="F8" s="105">
        <f>IFERROR(_xlfn.XLOOKUP(A8,diario!D:D,diario!L:L,"")*1000,"")</f>
        <v>1982</v>
      </c>
      <c r="G8" s="107">
        <v>1982.79</v>
      </c>
      <c r="H8" s="115">
        <f>IF(SUMIFS(Tabla1[Avance_km],Tabla1[Ducto],$A8,Tabla1[nombre_actividad],H$1)=0,"",SUMIFS(Tabla1[Avance_km],Tabla1[Ducto],$A8,Tabla1[nombre_actividad],H$1))</f>
        <v>1.982</v>
      </c>
      <c r="I8" s="115">
        <f>IF(SUMIFS(Tabla1[Avance_km],Tabla1[Ducto],$A8,Tabla1[nombre_actividad],I$1)=0,"",SUMIFS(Tabla1[Avance_km],Tabla1[Ducto],$A8,Tabla1[nombre_actividad],I$1))</f>
        <v>1.982</v>
      </c>
      <c r="J8" s="115">
        <f>IF(SUMIFS(Tabla1[Avance_km],Tabla1[Ducto],$A8,Tabla1[nombre_actividad],J$1)=0,"",SUMIFS(Tabla1[Avance_km],Tabla1[Ducto],$A8,Tabla1[nombre_actividad],J$1))</f>
        <v>1.982</v>
      </c>
      <c r="K8" s="116">
        <f>IF(SUMIFS(Tabla1[Avance_Med],Tabla1[Ducto],$A8,Tabla1[nombre_actividad],K$1)=0,"",SUMIFS(Tabla1[Avance_Med],Tabla1[Ducto],$A8,Tabla1[nombre_actividad],K$1))</f>
        <v>4</v>
      </c>
    </row>
    <row r="9" spans="1:12" x14ac:dyDescent="0.3">
      <c r="A9" s="100" t="s">
        <v>18</v>
      </c>
      <c r="B9" s="103">
        <f>+_xlfn.XLOOKUP($A9,'R (s01)'!B:B,'R (s01)'!D:D,"Falta")</f>
        <v>1</v>
      </c>
      <c r="C9" s="104">
        <f>+_xlfn.XLOOKUP($A9,'R (s01)'!B:B,'R (s01)'!E:E,"Falta")</f>
        <v>1</v>
      </c>
      <c r="D9" s="104">
        <f>+_xlfn.XLOOKUP($A9,'R (s01)'!B:B,'R (s01)'!F:F,"Falta")</f>
        <v>1</v>
      </c>
      <c r="E9" s="104">
        <f>+_xlfn.XLOOKUP($A9,'R (s01)'!B:B,'R (s01)'!G:G,"Falta")</f>
        <v>1</v>
      </c>
      <c r="F9" s="105">
        <f>IFERROR(_xlfn.XLOOKUP(A9,diario!D:D,diario!L:L,"")*1000,"")</f>
        <v>175</v>
      </c>
      <c r="G9" s="107">
        <v>175.21</v>
      </c>
      <c r="H9" s="115">
        <f>IF(SUMIFS(Tabla1[Avance_km],Tabla1[Ducto],$A9,Tabla1[nombre_actividad],H$1)=0,"",SUMIFS(Tabla1[Avance_km],Tabla1[Ducto],$A9,Tabla1[nombre_actividad],H$1))</f>
        <v>0.17499999999999999</v>
      </c>
      <c r="I9" s="115">
        <f>IF(SUMIFS(Tabla1[Avance_km],Tabla1[Ducto],$A9,Tabla1[nombre_actividad],I$1)=0,"",SUMIFS(Tabla1[Avance_km],Tabla1[Ducto],$A9,Tabla1[nombre_actividad],I$1))</f>
        <v>0.17499999999999999</v>
      </c>
      <c r="J9" s="115">
        <f>IF(SUMIFS(Tabla1[Avance_km],Tabla1[Ducto],$A9,Tabla1[nombre_actividad],J$1)=0,"",SUMIFS(Tabla1[Avance_km],Tabla1[Ducto],$A9,Tabla1[nombre_actividad],J$1))</f>
        <v>0.17499999999999999</v>
      </c>
      <c r="K9" s="116">
        <f>IF(SUMIFS(Tabla1[Avance_Med],Tabla1[Ducto],$A9,Tabla1[nombre_actividad],K$1)=0,"",SUMIFS(Tabla1[Avance_Med],Tabla1[Ducto],$A9,Tabla1[nombre_actividad],K$1))</f>
        <v>2</v>
      </c>
    </row>
    <row r="10" spans="1:12" x14ac:dyDescent="0.3">
      <c r="A10" s="101" t="s">
        <v>19</v>
      </c>
      <c r="B10" s="103">
        <f>+_xlfn.XLOOKUP($A10,'R (s01)'!B:B,'R (s01)'!D:D,"Falta")</f>
        <v>1</v>
      </c>
      <c r="C10" s="104">
        <f>+_xlfn.XLOOKUP($A10,'R (s01)'!B:B,'R (s01)'!E:E,"Falta")</f>
        <v>1</v>
      </c>
      <c r="D10" s="104">
        <f>+_xlfn.XLOOKUP($A10,'R (s01)'!B:B,'R (s01)'!F:F,"Falta")</f>
        <v>1</v>
      </c>
      <c r="E10" s="188" t="s">
        <v>342</v>
      </c>
      <c r="F10" s="105">
        <f>IFERROR(_xlfn.XLOOKUP(A10,diario!D:D,diario!L:L,"")*1000,"")</f>
        <v>15</v>
      </c>
      <c r="G10" s="107">
        <v>13.33</v>
      </c>
      <c r="H10" s="115">
        <f>IF(SUMIFS(Tabla1[Avance_km],Tabla1[Ducto],$A10,Tabla1[nombre_actividad],H$1)=0,"",SUMIFS(Tabla1[Avance_km],Tabla1[Ducto],$A10,Tabla1[nombre_actividad],H$1))</f>
        <v>1.4999999999999999E-2</v>
      </c>
      <c r="I10" s="115">
        <f>IF(SUMIFS(Tabla1[Avance_km],Tabla1[Ducto],$A10,Tabla1[nombre_actividad],I$1)=0,"",SUMIFS(Tabla1[Avance_km],Tabla1[Ducto],$A10,Tabla1[nombre_actividad],I$1))</f>
        <v>1.4999999999999999E-2</v>
      </c>
      <c r="J10" s="115">
        <f>IF(SUMIFS(Tabla1[Avance_km],Tabla1[Ducto],$A10,Tabla1[nombre_actividad],J$1)=0,"",SUMIFS(Tabla1[Avance_km],Tabla1[Ducto],$A10,Tabla1[nombre_actividad],J$1))</f>
        <v>1.4999999999999999E-2</v>
      </c>
      <c r="K10" s="140" t="str">
        <f>IF(SUMIFS(Tabla1[Avance_Med],Tabla1[Ducto],$A10,Tabla1[nombre_actividad],K$1)=0,"",SUMIFS(Tabla1[Avance_Med],Tabla1[Ducto],$A10,Tabla1[nombre_actividad],K$1))</f>
        <v/>
      </c>
    </row>
    <row r="11" spans="1:12" x14ac:dyDescent="0.3">
      <c r="A11" s="99" t="s">
        <v>52</v>
      </c>
      <c r="B11" s="103">
        <f>+_xlfn.XLOOKUP($A11,'R (s01)'!B:B,'R (s01)'!D:D,"Falta")</f>
        <v>1</v>
      </c>
      <c r="C11" s="104">
        <f>+_xlfn.XLOOKUP($A11,'R (s01)'!B:B,'R (s01)'!E:E,"Falta")</f>
        <v>1</v>
      </c>
      <c r="D11" s="104">
        <f>+_xlfn.XLOOKUP($A11,'R (s01)'!B:B,'R (s01)'!F:F,"Falta")</f>
        <v>1</v>
      </c>
      <c r="E11" s="104">
        <f>+_xlfn.XLOOKUP($A11,'R (s01)'!B:B,'R (s01)'!G:G,"Falta")</f>
        <v>1</v>
      </c>
      <c r="F11" s="105">
        <f>IFERROR(_xlfn.XLOOKUP(A11,diario!D:D,diario!L:L,"")*1000,"")</f>
        <v>10</v>
      </c>
      <c r="G11" s="107">
        <v>7.05</v>
      </c>
      <c r="H11" s="115">
        <f>IF(SUMIFS(Tabla1[Avance_km],Tabla1[Ducto],$A11,Tabla1[nombre_actividad],H$1)=0,"",SUMIFS(Tabla1[Avance_km],Tabla1[Ducto],$A11,Tabla1[nombre_actividad],H$1))</f>
        <v>0.01</v>
      </c>
      <c r="I11" s="115">
        <f>IF(SUMIFS(Tabla1[Avance_km],Tabla1[Ducto],$A11,Tabla1[nombre_actividad],I$1)=0,"",SUMIFS(Tabla1[Avance_km],Tabla1[Ducto],$A11,Tabla1[nombre_actividad],I$1))</f>
        <v>0.01</v>
      </c>
      <c r="J11" s="115">
        <f>IF(SUMIFS(Tabla1[Avance_km],Tabla1[Ducto],$A11,Tabla1[nombre_actividad],J$1)=0,"",SUMIFS(Tabla1[Avance_km],Tabla1[Ducto],$A11,Tabla1[nombre_actividad],J$1))</f>
        <v>0.01</v>
      </c>
      <c r="K11" s="116">
        <f>IF(SUMIFS(Tabla1[Avance_Med],Tabla1[Ducto],$A11,Tabla1[nombre_actividad],K$1)=0,"",SUMIFS(Tabla1[Avance_Med],Tabla1[Ducto],$A11,Tabla1[nombre_actividad],K$1))</f>
        <v>1</v>
      </c>
    </row>
    <row r="12" spans="1:12" x14ac:dyDescent="0.3">
      <c r="A12" s="99" t="s">
        <v>53</v>
      </c>
      <c r="B12" s="103">
        <f>+_xlfn.XLOOKUP($A12,'R (s01)'!B:B,'R (s01)'!D:D,"Falta")</f>
        <v>1</v>
      </c>
      <c r="C12" s="104">
        <f>+_xlfn.XLOOKUP($A12,'R (s01)'!B:B,'R (s01)'!E:E,"Falta")</f>
        <v>1</v>
      </c>
      <c r="D12" s="104">
        <f>+_xlfn.XLOOKUP($A12,'R (s01)'!B:B,'R (s01)'!F:F,"Falta")</f>
        <v>1</v>
      </c>
      <c r="E12" s="188" t="s">
        <v>342</v>
      </c>
      <c r="F12" s="105">
        <f>IFERROR(_xlfn.XLOOKUP(A12,diario!D:D,diario!L:L,"")*1000,"")</f>
        <v>15</v>
      </c>
      <c r="G12" s="107">
        <v>11.65</v>
      </c>
      <c r="H12" s="115">
        <f>IF(SUMIFS(Tabla1[Avance_km],Tabla1[Ducto],$A12,Tabla1[nombre_actividad],H$1)=0,"",SUMIFS(Tabla1[Avance_km],Tabla1[Ducto],$A12,Tabla1[nombre_actividad],H$1))</f>
        <v>1.4999999999999999E-2</v>
      </c>
      <c r="I12" s="115">
        <f>IF(SUMIFS(Tabla1[Avance_km],Tabla1[Ducto],$A12,Tabla1[nombre_actividad],I$1)=0,"",SUMIFS(Tabla1[Avance_km],Tabla1[Ducto],$A12,Tabla1[nombre_actividad],I$1))</f>
        <v>1.4999999999999999E-2</v>
      </c>
      <c r="J12" s="115">
        <f>IF(SUMIFS(Tabla1[Avance_km],Tabla1[Ducto],$A12,Tabla1[nombre_actividad],J$1)=0,"",SUMIFS(Tabla1[Avance_km],Tabla1[Ducto],$A12,Tabla1[nombre_actividad],J$1))</f>
        <v>1.4999999999999999E-2</v>
      </c>
      <c r="K12" s="140" t="str">
        <f>IF(SUMIFS(Tabla1[Avance_Med],Tabla1[Ducto],$A12,Tabla1[nombre_actividad],K$1)=0,"",SUMIFS(Tabla1[Avance_Med],Tabla1[Ducto],$A12,Tabla1[nombre_actividad],K$1))</f>
        <v/>
      </c>
    </row>
    <row r="13" spans="1:12" x14ac:dyDescent="0.3">
      <c r="A13" s="99" t="s">
        <v>44</v>
      </c>
      <c r="B13" s="103">
        <f>+_xlfn.XLOOKUP($A13,'R (s01)'!B:B,'R (s01)'!D:D,"Falta")</f>
        <v>1</v>
      </c>
      <c r="C13" s="104">
        <f>+_xlfn.XLOOKUP($A13,'R (s01)'!B:B,'R (s01)'!E:E,"Falta")</f>
        <v>1</v>
      </c>
      <c r="D13" s="104">
        <f>+_xlfn.XLOOKUP($A13,'R (s01)'!B:B,'R (s01)'!F:F,"Falta")</f>
        <v>1</v>
      </c>
      <c r="E13" s="104">
        <f>+_xlfn.XLOOKUP($A13,'R (s01)'!B:B,'R (s01)'!G:G,"Falta")</f>
        <v>1</v>
      </c>
      <c r="F13" s="105">
        <f>IFERROR(_xlfn.XLOOKUP(A13,diario!D:D,diario!L:L,"")*1000,"")</f>
        <v>19</v>
      </c>
      <c r="G13" s="107">
        <v>19.309999999999999</v>
      </c>
      <c r="H13" s="115">
        <f>IF(SUMIFS(Tabla1[Avance_km],Tabla1[Ducto],$A13,Tabla1[nombre_actividad],H$1)=0,"",SUMIFS(Tabla1[Avance_km],Tabla1[Ducto],$A13,Tabla1[nombre_actividad],H$1))</f>
        <v>1.9E-2</v>
      </c>
      <c r="I13" s="115">
        <f>IF(SUMIFS(Tabla1[Avance_km],Tabla1[Ducto],$A13,Tabla1[nombre_actividad],I$1)=0,"",SUMIFS(Tabla1[Avance_km],Tabla1[Ducto],$A13,Tabla1[nombre_actividad],I$1))</f>
        <v>1.9E-2</v>
      </c>
      <c r="J13" s="115">
        <f>IF(SUMIFS(Tabla1[Avance_km],Tabla1[Ducto],$A13,Tabla1[nombre_actividad],J$1)=0,"",SUMIFS(Tabla1[Avance_km],Tabla1[Ducto],$A13,Tabla1[nombre_actividad],J$1))</f>
        <v>1.9E-2</v>
      </c>
      <c r="K13" s="116">
        <f>IF(SUMIFS(Tabla1[Avance_Med],Tabla1[Ducto],$A13,Tabla1[nombre_actividad],K$1)=0,"",SUMIFS(Tabla1[Avance_Med],Tabla1[Ducto],$A13,Tabla1[nombre_actividad],K$1))</f>
        <v>1</v>
      </c>
    </row>
    <row r="14" spans="1:12" x14ac:dyDescent="0.3">
      <c r="A14" s="99" t="s">
        <v>67</v>
      </c>
      <c r="B14" s="103">
        <f>+_xlfn.XLOOKUP($A14,'R (s01)'!B:B,'R (s01)'!D:D,"Falta")</f>
        <v>1</v>
      </c>
      <c r="C14" s="104">
        <f>+_xlfn.XLOOKUP($A14,'R (s01)'!B:B,'R (s01)'!E:E,"Falta")</f>
        <v>1</v>
      </c>
      <c r="D14" s="104">
        <f>+_xlfn.XLOOKUP($A14,'R (s01)'!B:B,'R (s01)'!F:F,"Falta")</f>
        <v>1</v>
      </c>
      <c r="E14" s="104">
        <f>+_xlfn.XLOOKUP($A14,'R (s01)'!B:B,'R (s01)'!G:G,"Falta")</f>
        <v>1</v>
      </c>
      <c r="F14" s="105">
        <f>IFERROR(_xlfn.XLOOKUP(A14,diario!D:D,diario!L:L,"")*1000,"")</f>
        <v>8</v>
      </c>
      <c r="G14" s="107">
        <v>3.05</v>
      </c>
      <c r="H14" s="115">
        <f>IF(SUMIFS(Tabla1[Avance_km],Tabla1[Ducto],$A14,Tabla1[nombre_actividad],H$1)=0,"",SUMIFS(Tabla1[Avance_km],Tabla1[Ducto],$A14,Tabla1[nombre_actividad],H$1))</f>
        <v>8.0000000000000002E-3</v>
      </c>
      <c r="I14" s="115">
        <f>IF(SUMIFS(Tabla1[Avance_km],Tabla1[Ducto],$A14,Tabla1[nombre_actividad],I$1)=0,"",SUMIFS(Tabla1[Avance_km],Tabla1[Ducto],$A14,Tabla1[nombre_actividad],I$1))</f>
        <v>8.0000000000000002E-3</v>
      </c>
      <c r="J14" s="115">
        <f>IF(SUMIFS(Tabla1[Avance_km],Tabla1[Ducto],$A14,Tabla1[nombre_actividad],J$1)=0,"",SUMIFS(Tabla1[Avance_km],Tabla1[Ducto],$A14,Tabla1[nombre_actividad],J$1))</f>
        <v>8.0000000000000002E-3</v>
      </c>
      <c r="K14" s="116">
        <f>IF(SUMIFS(Tabla1[Avance_Med],Tabla1[Ducto],$A14,Tabla1[nombre_actividad],K$1)=0,"",SUMIFS(Tabla1[Avance_Med],Tabla1[Ducto],$A14,Tabla1[nombre_actividad],K$1))</f>
        <v>1</v>
      </c>
    </row>
    <row r="15" spans="1:12" x14ac:dyDescent="0.3">
      <c r="A15" s="99" t="s">
        <v>51</v>
      </c>
      <c r="B15" s="103">
        <f>+_xlfn.XLOOKUP($A15,'R (s01)'!B:B,'R (s01)'!D:D,"Falta")</f>
        <v>1</v>
      </c>
      <c r="C15" s="104">
        <f>+_xlfn.XLOOKUP($A15,'R (s01)'!B:B,'R (s01)'!E:E,"Falta")</f>
        <v>1</v>
      </c>
      <c r="D15" s="104">
        <f>+_xlfn.XLOOKUP($A15,'R (s01)'!B:B,'R (s01)'!F:F,"Falta")</f>
        <v>1</v>
      </c>
      <c r="E15" s="104">
        <f>+_xlfn.XLOOKUP($A15,'R (s01)'!B:B,'R (s01)'!G:G,"Falta")</f>
        <v>1</v>
      </c>
      <c r="F15" s="105">
        <f>IFERROR(_xlfn.XLOOKUP(A15,diario!D:D,diario!L:L,"")*1000,"")</f>
        <v>1054</v>
      </c>
      <c r="G15" s="107">
        <v>1055.32</v>
      </c>
      <c r="H15" s="115">
        <f>IF(SUMIFS(Tabla1[Avance_km],Tabla1[Ducto],$A15,Tabla1[nombre_actividad],H$1)=0,"",SUMIFS(Tabla1[Avance_km],Tabla1[Ducto],$A15,Tabla1[nombre_actividad],H$1))</f>
        <v>1.054</v>
      </c>
      <c r="I15" s="115">
        <f>IF(SUMIFS(Tabla1[Avance_km],Tabla1[Ducto],$A15,Tabla1[nombre_actividad],I$1)=0,"",SUMIFS(Tabla1[Avance_km],Tabla1[Ducto],$A15,Tabla1[nombre_actividad],I$1))</f>
        <v>1.054</v>
      </c>
      <c r="J15" s="115">
        <f>IF(SUMIFS(Tabla1[Avance_km],Tabla1[Ducto],$A15,Tabla1[nombre_actividad],J$1)=0,"",SUMIFS(Tabla1[Avance_km],Tabla1[Ducto],$A15,Tabla1[nombre_actividad],J$1))</f>
        <v>1.054</v>
      </c>
      <c r="K15" s="116">
        <f>IF(SUMIFS(Tabla1[Avance_Med],Tabla1[Ducto],$A15,Tabla1[nombre_actividad],K$1)=0,"",SUMIFS(Tabla1[Avance_Med],Tabla1[Ducto],$A15,Tabla1[nombre_actividad],K$1))</f>
        <v>2</v>
      </c>
    </row>
    <row r="16" spans="1:12" s="196" customFormat="1" hidden="1" x14ac:dyDescent="0.3">
      <c r="A16" s="189" t="s">
        <v>170</v>
      </c>
      <c r="B16" s="190" t="s">
        <v>171</v>
      </c>
      <c r="C16" s="191" t="s">
        <v>171</v>
      </c>
      <c r="D16" s="191" t="s">
        <v>171</v>
      </c>
      <c r="E16" s="191" t="s">
        <v>171</v>
      </c>
      <c r="F16" s="192" t="str">
        <f>IFERROR(_xlfn.XLOOKUP(A16,diario!D:D,diario!L:L,"")*1000,"")</f>
        <v/>
      </c>
      <c r="G16" s="193">
        <v>1.23</v>
      </c>
      <c r="H16" s="194" t="str">
        <f>IF(SUMIFS(Tabla1[Avance_km],Tabla1[Ducto],$A16,Tabla1[nombre_actividad],H$1)=0,"",SUMIFS(Tabla1[Avance_km],Tabla1[Ducto],$A16,Tabla1[nombre_actividad],H$1))</f>
        <v/>
      </c>
      <c r="I16" s="194" t="str">
        <f>IF(SUMIFS(Tabla1[Avance_km],Tabla1[Ducto],$A16,Tabla1[nombre_actividad],I$1)=0,"",SUMIFS(Tabla1[Avance_km],Tabla1[Ducto],$A16,Tabla1[nombre_actividad],I$1))</f>
        <v/>
      </c>
      <c r="J16" s="194" t="str">
        <f>IF(SUMIFS(Tabla1[Avance_km],Tabla1[Ducto],$A16,Tabla1[nombre_actividad],J$1)=0,"",SUMIFS(Tabla1[Avance_km],Tabla1[Ducto],$A16,Tabla1[nombre_actividad],J$1))</f>
        <v/>
      </c>
      <c r="K16" s="195" t="str">
        <f>IF(SUMIFS(Tabla1[Avance_Med],Tabla1[Ducto],$A16,Tabla1[nombre_actividad],K$1)=0,"",SUMIFS(Tabla1[Avance_Med],Tabla1[Ducto],$A16,Tabla1[nombre_actividad],K$1))</f>
        <v/>
      </c>
    </row>
    <row r="17" spans="1:11" x14ac:dyDescent="0.3">
      <c r="A17" s="99" t="s">
        <v>57</v>
      </c>
      <c r="B17" s="103">
        <f>+_xlfn.XLOOKUP($A17,'R (s01)'!B:B,'R (s01)'!D:D,"Falta")</f>
        <v>1</v>
      </c>
      <c r="C17" s="104">
        <f>+_xlfn.XLOOKUP($A17,'R (s01)'!B:B,'R (s01)'!E:E,"Falta")</f>
        <v>1</v>
      </c>
      <c r="D17" s="104">
        <f>+_xlfn.XLOOKUP($A17,'R (s01)'!B:B,'R (s01)'!F:F,"Falta")</f>
        <v>1</v>
      </c>
      <c r="E17" s="104">
        <f>+_xlfn.XLOOKUP($A17,'R (s01)'!B:B,'R (s01)'!G:G,"Falta")</f>
        <v>1</v>
      </c>
      <c r="F17" s="105">
        <f>IFERROR(_xlfn.XLOOKUP(A17,diario!D:D,diario!L:L,"")*1000,"")</f>
        <v>88</v>
      </c>
      <c r="G17" s="107">
        <v>88.29</v>
      </c>
      <c r="H17" s="115">
        <f>IF(SUMIFS(Tabla1[Avance_km],Tabla1[Ducto],$A17,Tabla1[nombre_actividad],H$1)=0,"",SUMIFS(Tabla1[Avance_km],Tabla1[Ducto],$A17,Tabla1[nombre_actividad],H$1))</f>
        <v>8.7999999999999995E-2</v>
      </c>
      <c r="I17" s="115">
        <f>IF(SUMIFS(Tabla1[Avance_km],Tabla1[Ducto],$A17,Tabla1[nombre_actividad],I$1)=0,"",SUMIFS(Tabla1[Avance_km],Tabla1[Ducto],$A17,Tabla1[nombre_actividad],I$1))</f>
        <v>8.7999999999999995E-2</v>
      </c>
      <c r="J17" s="115">
        <f>IF(SUMIFS(Tabla1[Avance_km],Tabla1[Ducto],$A17,Tabla1[nombre_actividad],J$1)=0,"",SUMIFS(Tabla1[Avance_km],Tabla1[Ducto],$A17,Tabla1[nombre_actividad],J$1))</f>
        <v>8.7999999999999995E-2</v>
      </c>
      <c r="K17" s="116">
        <f>IF(SUMIFS(Tabla1[Avance_Med],Tabla1[Ducto],$A17,Tabla1[nombre_actividad],K$1)=0,"",SUMIFS(Tabla1[Avance_Med],Tabla1[Ducto],$A17,Tabla1[nombre_actividad],K$1))</f>
        <v>1</v>
      </c>
    </row>
    <row r="18" spans="1:11" x14ac:dyDescent="0.3">
      <c r="A18" s="99" t="s">
        <v>58</v>
      </c>
      <c r="B18" s="103">
        <f>+_xlfn.XLOOKUP($A18,'R (s01)'!B:B,'R (s01)'!D:D,"Falta")</f>
        <v>1</v>
      </c>
      <c r="C18" s="104">
        <f>+_xlfn.XLOOKUP($A18,'R (s01)'!B:B,'R (s01)'!E:E,"Falta")</f>
        <v>1</v>
      </c>
      <c r="D18" s="104">
        <f>+_xlfn.XLOOKUP($A18,'R (s01)'!B:B,'R (s01)'!F:F,"Falta")</f>
        <v>1</v>
      </c>
      <c r="E18" s="188" t="s">
        <v>342</v>
      </c>
      <c r="F18" s="105">
        <f>IFERROR(_xlfn.XLOOKUP(A18,diario!D:D,diario!L:L,"")*1000,"")</f>
        <v>188</v>
      </c>
      <c r="G18" s="107">
        <v>184.44</v>
      </c>
      <c r="H18" s="115">
        <f>IF(SUMIFS(Tabla1[Avance_km],Tabla1[Ducto],$A18,Tabla1[nombre_actividad],H$1)=0,"",SUMIFS(Tabla1[Avance_km],Tabla1[Ducto],$A18,Tabla1[nombre_actividad],H$1))</f>
        <v>0.188</v>
      </c>
      <c r="I18" s="115">
        <f>IF(SUMIFS(Tabla1[Avance_km],Tabla1[Ducto],$A18,Tabla1[nombre_actividad],I$1)=0,"",SUMIFS(Tabla1[Avance_km],Tabla1[Ducto],$A18,Tabla1[nombre_actividad],I$1))</f>
        <v>0.188</v>
      </c>
      <c r="J18" s="115">
        <f>IF(SUMIFS(Tabla1[Avance_km],Tabla1[Ducto],$A18,Tabla1[nombre_actividad],J$1)=0,"",SUMIFS(Tabla1[Avance_km],Tabla1[Ducto],$A18,Tabla1[nombre_actividad],J$1))</f>
        <v>0.188</v>
      </c>
      <c r="K18" s="140" t="str">
        <f>IF(SUMIFS(Tabla1[Avance_Med],Tabla1[Ducto],$A18,Tabla1[nombre_actividad],K$1)=0,"",SUMIFS(Tabla1[Avance_Med],Tabla1[Ducto],$A18,Tabla1[nombre_actividad],K$1))</f>
        <v/>
      </c>
    </row>
    <row r="19" spans="1:11" x14ac:dyDescent="0.3">
      <c r="A19" s="99" t="s">
        <v>20</v>
      </c>
      <c r="B19" s="103">
        <f>+_xlfn.XLOOKUP($A19,'R (s01)'!B:B,'R (s01)'!D:D,"Falta")</f>
        <v>1</v>
      </c>
      <c r="C19" s="104">
        <f>+_xlfn.XLOOKUP($A19,'R (s01)'!B:B,'R (s01)'!E:E,"Falta")</f>
        <v>1</v>
      </c>
      <c r="D19" s="104">
        <f>+_xlfn.XLOOKUP($A19,'R (s01)'!B:B,'R (s01)'!F:F,"Falta")</f>
        <v>1</v>
      </c>
      <c r="E19" s="104">
        <f>+_xlfn.XLOOKUP($A19,'R (s01)'!B:B,'R (s01)'!G:G,"Falta")</f>
        <v>1</v>
      </c>
      <c r="F19" s="105">
        <f>IFERROR(_xlfn.XLOOKUP(A19,diario!D:D,diario!L:L,"")*1000,"")</f>
        <v>1020</v>
      </c>
      <c r="G19" s="107">
        <v>1020.74</v>
      </c>
      <c r="H19" s="115">
        <f>IF(SUMIFS(Tabla1[Avance_km],Tabla1[Ducto],$A19,Tabla1[nombre_actividad],H$1)=0,"",SUMIFS(Tabla1[Avance_km],Tabla1[Ducto],$A19,Tabla1[nombre_actividad],H$1))</f>
        <v>1.02</v>
      </c>
      <c r="I19" s="115">
        <f>IF(SUMIFS(Tabla1[Avance_km],Tabla1[Ducto],$A19,Tabla1[nombre_actividad],I$1)=0,"",SUMIFS(Tabla1[Avance_km],Tabla1[Ducto],$A19,Tabla1[nombre_actividad],I$1))</f>
        <v>1.02</v>
      </c>
      <c r="J19" s="115">
        <f>IF(SUMIFS(Tabla1[Avance_km],Tabla1[Ducto],$A19,Tabla1[nombre_actividad],J$1)=0,"",SUMIFS(Tabla1[Avance_km],Tabla1[Ducto],$A19,Tabla1[nombre_actividad],J$1))</f>
        <v>1.02</v>
      </c>
      <c r="K19" s="116">
        <f>IF(SUMIFS(Tabla1[Avance_Med],Tabla1[Ducto],$A19,Tabla1[nombre_actividad],K$1)=0,"",SUMIFS(Tabla1[Avance_Med],Tabla1[Ducto],$A19,Tabla1[nombre_actividad],K$1))</f>
        <v>3</v>
      </c>
    </row>
    <row r="20" spans="1:11" x14ac:dyDescent="0.3">
      <c r="A20" s="100" t="s">
        <v>47</v>
      </c>
      <c r="B20" s="103">
        <f>+_xlfn.XLOOKUP($A20,'R (s01)'!B:B,'R (s01)'!D:D,"Falta")</f>
        <v>1</v>
      </c>
      <c r="C20" s="104">
        <f>+_xlfn.XLOOKUP($A20,'R (s01)'!B:B,'R (s01)'!E:E,"Falta")</f>
        <v>1</v>
      </c>
      <c r="D20" s="104">
        <f>+_xlfn.XLOOKUP($A20,'R (s01)'!B:B,'R (s01)'!F:F,"Falta")</f>
        <v>1</v>
      </c>
      <c r="E20" s="104">
        <f>+_xlfn.XLOOKUP($A20,'R (s01)'!B:B,'R (s01)'!G:G,"Falta")</f>
        <v>1</v>
      </c>
      <c r="F20" s="105">
        <f>IFERROR(_xlfn.XLOOKUP(A20,diario!D:D,diario!L:L,"")*1000,"")</f>
        <v>10</v>
      </c>
      <c r="G20" s="107">
        <v>6.34</v>
      </c>
      <c r="H20" s="115">
        <f>IF(SUMIFS(Tabla1[Avance_km],Tabla1[Ducto],$A20,Tabla1[nombre_actividad],H$1)=0,"",SUMIFS(Tabla1[Avance_km],Tabla1[Ducto],$A20,Tabla1[nombre_actividad],H$1))</f>
        <v>0.01</v>
      </c>
      <c r="I20" s="115">
        <f>IF(SUMIFS(Tabla1[Avance_km],Tabla1[Ducto],$A20,Tabla1[nombre_actividad],I$1)=0,"",SUMIFS(Tabla1[Avance_km],Tabla1[Ducto],$A20,Tabla1[nombre_actividad],I$1))</f>
        <v>0.01</v>
      </c>
      <c r="J20" s="115">
        <f>IF(SUMIFS(Tabla1[Avance_km],Tabla1[Ducto],$A20,Tabla1[nombre_actividad],J$1)=0,"",SUMIFS(Tabla1[Avance_km],Tabla1[Ducto],$A20,Tabla1[nombre_actividad],J$1))</f>
        <v>0.01</v>
      </c>
      <c r="K20" s="116">
        <f>IF(SUMIFS(Tabla1[Avance_Med],Tabla1[Ducto],$A20,Tabla1[nombre_actividad],K$1)=0,"",SUMIFS(Tabla1[Avance_Med],Tabla1[Ducto],$A20,Tabla1[nombre_actividad],K$1))</f>
        <v>1</v>
      </c>
    </row>
    <row r="21" spans="1:11" x14ac:dyDescent="0.3">
      <c r="A21" s="100" t="s">
        <v>48</v>
      </c>
      <c r="B21" s="103">
        <f>+_xlfn.XLOOKUP($A21,'R (s01)'!B:B,'R (s01)'!D:D,"Falta")</f>
        <v>1</v>
      </c>
      <c r="C21" s="104">
        <f>+_xlfn.XLOOKUP($A21,'R (s01)'!B:B,'R (s01)'!E:E,"Falta")</f>
        <v>1</v>
      </c>
      <c r="D21" s="104">
        <f>+_xlfn.XLOOKUP($A21,'R (s01)'!B:B,'R (s01)'!F:F,"Falta")</f>
        <v>1</v>
      </c>
      <c r="E21" s="188" t="s">
        <v>342</v>
      </c>
      <c r="F21" s="105">
        <f>IFERROR(_xlfn.XLOOKUP(A21,diario!D:D,diario!L:L,"")*1000,"")</f>
        <v>12</v>
      </c>
      <c r="G21" s="107">
        <v>8.25</v>
      </c>
      <c r="H21" s="115">
        <f>IF(SUMIFS(Tabla1[Avance_km],Tabla1[Ducto],$A21,Tabla1[nombre_actividad],H$1)=0,"",SUMIFS(Tabla1[Avance_km],Tabla1[Ducto],$A21,Tabla1[nombre_actividad],H$1))</f>
        <v>1.2E-2</v>
      </c>
      <c r="I21" s="115">
        <f>IF(SUMIFS(Tabla1[Avance_km],Tabla1[Ducto],$A21,Tabla1[nombre_actividad],I$1)=0,"",SUMIFS(Tabla1[Avance_km],Tabla1[Ducto],$A21,Tabla1[nombre_actividad],I$1))</f>
        <v>1.2E-2</v>
      </c>
      <c r="J21" s="115">
        <f>IF(SUMIFS(Tabla1[Avance_km],Tabla1[Ducto],$A21,Tabla1[nombre_actividad],J$1)=0,"",SUMIFS(Tabla1[Avance_km],Tabla1[Ducto],$A21,Tabla1[nombre_actividad],J$1))</f>
        <v>1.2E-2</v>
      </c>
      <c r="K21" s="140" t="str">
        <f>IF(SUMIFS(Tabla1[Avance_Med],Tabla1[Ducto],$A21,Tabla1[nombre_actividad],K$1)=0,"",SUMIFS(Tabla1[Avance_Med],Tabla1[Ducto],$A21,Tabla1[nombre_actividad],K$1))</f>
        <v/>
      </c>
    </row>
    <row r="22" spans="1:11" x14ac:dyDescent="0.3">
      <c r="A22" s="100" t="s">
        <v>49</v>
      </c>
      <c r="B22" s="103">
        <f>+_xlfn.XLOOKUP($A22,'R (s01)'!B:B,'R (s01)'!D:D,"Falta")</f>
        <v>1</v>
      </c>
      <c r="C22" s="104">
        <f>+_xlfn.XLOOKUP($A22,'R (s01)'!B:B,'R (s01)'!E:E,"Falta")</f>
        <v>1</v>
      </c>
      <c r="D22" s="104">
        <f>+_xlfn.XLOOKUP($A22,'R (s01)'!B:B,'R (s01)'!F:F,"Falta")</f>
        <v>1</v>
      </c>
      <c r="E22" s="104">
        <f>+_xlfn.XLOOKUP($A22,'R (s01)'!B:B,'R (s01)'!G:G,"Falta")</f>
        <v>1</v>
      </c>
      <c r="F22" s="105">
        <f>IFERROR(_xlfn.XLOOKUP(A22,diario!D:D,diario!L:L,"")*1000,"")</f>
        <v>12</v>
      </c>
      <c r="G22" s="107">
        <v>17.149999999999999</v>
      </c>
      <c r="H22" s="115">
        <f>IF(SUMIFS(Tabla1[Avance_km],Tabla1[Ducto],$A22,Tabla1[nombre_actividad],H$1)=0,"",SUMIFS(Tabla1[Avance_km],Tabla1[Ducto],$A22,Tabla1[nombre_actividad],H$1))</f>
        <v>1.2E-2</v>
      </c>
      <c r="I22" s="115">
        <f>IF(SUMIFS(Tabla1[Avance_km],Tabla1[Ducto],$A22,Tabla1[nombre_actividad],I$1)=0,"",SUMIFS(Tabla1[Avance_km],Tabla1[Ducto],$A22,Tabla1[nombre_actividad],I$1))</f>
        <v>1.2E-2</v>
      </c>
      <c r="J22" s="115">
        <f>IF(SUMIFS(Tabla1[Avance_km],Tabla1[Ducto],$A22,Tabla1[nombre_actividad],J$1)=0,"",SUMIFS(Tabla1[Avance_km],Tabla1[Ducto],$A22,Tabla1[nombre_actividad],J$1))</f>
        <v>1.2E-2</v>
      </c>
      <c r="K22" s="116">
        <f>IF(SUMIFS(Tabla1[Avance_Med],Tabla1[Ducto],$A22,Tabla1[nombre_actividad],K$1)=0,"",SUMIFS(Tabla1[Avance_Med],Tabla1[Ducto],$A22,Tabla1[nombre_actividad],K$1))</f>
        <v>1</v>
      </c>
    </row>
    <row r="23" spans="1:11" s="196" customFormat="1" x14ac:dyDescent="0.3">
      <c r="A23" s="100" t="s">
        <v>172</v>
      </c>
      <c r="B23" s="103">
        <f>+_xlfn.XLOOKUP($A23,'R (s01)'!B:B,'R (s01)'!D:D,"Falta")</f>
        <v>1</v>
      </c>
      <c r="C23" s="104">
        <f>+_xlfn.XLOOKUP($A23,'R (s01)'!B:B,'R (s01)'!E:E,"Falta")</f>
        <v>1</v>
      </c>
      <c r="D23" s="104">
        <f>+_xlfn.XLOOKUP($A23,'R (s01)'!B:B,'R (s01)'!F:F,"Falta")</f>
        <v>1</v>
      </c>
      <c r="E23" s="188" t="s">
        <v>342</v>
      </c>
      <c r="F23" s="105">
        <f>IFERROR(_xlfn.XLOOKUP(A23,diario!D:D,diario!L:L,"")*1000,"")</f>
        <v>12</v>
      </c>
      <c r="G23" s="193"/>
      <c r="H23" s="115">
        <f>IF(SUMIFS(Tabla1[Avance_km],Tabla1[Ducto],$A23,Tabla1[nombre_actividad],H$1)=0,"",SUMIFS(Tabla1[Avance_km],Tabla1[Ducto],$A23,Tabla1[nombre_actividad],H$1))</f>
        <v>1.2E-2</v>
      </c>
      <c r="I23" s="115">
        <f>IF(SUMIFS(Tabla1[Avance_km],Tabla1[Ducto],$A23,Tabla1[nombre_actividad],I$1)=0,"",SUMIFS(Tabla1[Avance_km],Tabla1[Ducto],$A23,Tabla1[nombre_actividad],I$1))</f>
        <v>1.2E-2</v>
      </c>
      <c r="J23" s="115">
        <f>IF(SUMIFS(Tabla1[Avance_km],Tabla1[Ducto],$A23,Tabla1[nombre_actividad],J$1)=0,"",SUMIFS(Tabla1[Avance_km],Tabla1[Ducto],$A23,Tabla1[nombre_actividad],J$1))</f>
        <v>1.2E-2</v>
      </c>
      <c r="K23" s="140" t="str">
        <f>IF(SUMIFS(Tabla1[Avance_Med],Tabla1[Ducto],$A23,Tabla1[nombre_actividad],K$1)=0,"",SUMIFS(Tabla1[Avance_Med],Tabla1[Ducto],$A23,Tabla1[nombre_actividad],K$1))</f>
        <v/>
      </c>
    </row>
    <row r="24" spans="1:11" x14ac:dyDescent="0.3">
      <c r="A24" s="99" t="s">
        <v>65</v>
      </c>
      <c r="B24" s="103">
        <f>+_xlfn.XLOOKUP($A24,'R (s01)'!B:B,'R (s01)'!D:D,"Falta")</f>
        <v>0.99997893571755492</v>
      </c>
      <c r="C24" s="104">
        <f>+_xlfn.XLOOKUP($A24,'R (s01)'!B:B,'R (s01)'!E:E,"Falta")</f>
        <v>0.99997893571755492</v>
      </c>
      <c r="D24" s="104">
        <f>+_xlfn.XLOOKUP($A24,'R (s01)'!B:B,'R (s01)'!F:F,"Falta")</f>
        <v>0.9999789357175547</v>
      </c>
      <c r="E24" s="104">
        <f>+_xlfn.XLOOKUP($A24,'R (s01)'!B:B,'R (s01)'!G:G,"Falta")</f>
        <v>1</v>
      </c>
      <c r="F24" s="105">
        <f>IFERROR(_xlfn.XLOOKUP(A24,diario!D:D,diario!L:L,"")*1000,"")</f>
        <v>10444.219999999999</v>
      </c>
      <c r="G24" s="107">
        <v>10444.219999999999</v>
      </c>
      <c r="H24" s="115">
        <f>IF(SUMIFS(Tabla1[Avance_km],Tabla1[Ducto],$A24,Tabla1[nombre_actividad],H$1)=0,"",SUMIFS(Tabla1[Avance_km],Tabla1[Ducto],$A24,Tabla1[nombre_actividad],H$1))</f>
        <v>10.444000000000001</v>
      </c>
      <c r="I24" s="115">
        <f>IF(SUMIFS(Tabla1[Avance_km],Tabla1[Ducto],$A24,Tabla1[nombre_actividad],I$1)=0,"",SUMIFS(Tabla1[Avance_km],Tabla1[Ducto],$A24,Tabla1[nombre_actividad],I$1))</f>
        <v>10.444000000000001</v>
      </c>
      <c r="J24" s="115">
        <f>IF(SUMIFS(Tabla1[Avance_km],Tabla1[Ducto],$A24,Tabla1[nombre_actividad],J$1)=0,"",SUMIFS(Tabla1[Avance_km],Tabla1[Ducto],$A24,Tabla1[nombre_actividad],J$1))</f>
        <v>10.443999999999999</v>
      </c>
      <c r="K24" s="116">
        <f>IF(SUMIFS(Tabla1[Avance_Med],Tabla1[Ducto],$A24,Tabla1[nombre_actividad],K$1)=0,"",SUMIFS(Tabla1[Avance_Med],Tabla1[Ducto],$A24,Tabla1[nombre_actividad],K$1))</f>
        <v>22</v>
      </c>
    </row>
    <row r="25" spans="1:11" x14ac:dyDescent="0.3">
      <c r="A25" s="100" t="s">
        <v>61</v>
      </c>
      <c r="B25" s="103">
        <f>+_xlfn.XLOOKUP($A25,'R (s01)'!B:B,'R (s01)'!D:D,"Falta")</f>
        <v>1</v>
      </c>
      <c r="C25" s="104">
        <f>+_xlfn.XLOOKUP($A25,'R (s01)'!B:B,'R (s01)'!E:E,"Falta")</f>
        <v>1</v>
      </c>
      <c r="D25" s="104">
        <f>+_xlfn.XLOOKUP($A25,'R (s01)'!B:B,'R (s01)'!F:F,"Falta")</f>
        <v>1</v>
      </c>
      <c r="E25" s="104">
        <f>+_xlfn.XLOOKUP($A25,'R (s01)'!B:B,'R (s01)'!G:G,"Falta")</f>
        <v>1</v>
      </c>
      <c r="F25" s="105">
        <f>IFERROR(_xlfn.XLOOKUP(A25,diario!D:D,diario!L:L,"")*1000,"")</f>
        <v>55</v>
      </c>
      <c r="G25" s="107">
        <v>58.58</v>
      </c>
      <c r="H25" s="115">
        <f>IF(SUMIFS(Tabla1[Avance_km],Tabla1[Ducto],$A25,Tabla1[nombre_actividad],H$1)=0,"",SUMIFS(Tabla1[Avance_km],Tabla1[Ducto],$A25,Tabla1[nombre_actividad],H$1))</f>
        <v>5.5E-2</v>
      </c>
      <c r="I25" s="115">
        <f>IF(SUMIFS(Tabla1[Avance_km],Tabla1[Ducto],$A25,Tabla1[nombre_actividad],I$1)=0,"",SUMIFS(Tabla1[Avance_km],Tabla1[Ducto],$A25,Tabla1[nombre_actividad],I$1))</f>
        <v>5.5E-2</v>
      </c>
      <c r="J25" s="115">
        <f>IF(SUMIFS(Tabla1[Avance_km],Tabla1[Ducto],$A25,Tabla1[nombre_actividad],J$1)=0,"",SUMIFS(Tabla1[Avance_km],Tabla1[Ducto],$A25,Tabla1[nombre_actividad],J$1))</f>
        <v>5.5E-2</v>
      </c>
      <c r="K25" s="116">
        <f>IF(SUMIFS(Tabla1[Avance_Med],Tabla1[Ducto],$A25,Tabla1[nombre_actividad],K$1)=0,"",SUMIFS(Tabla1[Avance_Med],Tabla1[Ducto],$A25,Tabla1[nombre_actividad],K$1))</f>
        <v>1</v>
      </c>
    </row>
    <row r="26" spans="1:11" x14ac:dyDescent="0.3">
      <c r="A26" s="100" t="s">
        <v>62</v>
      </c>
      <c r="B26" s="103">
        <f>+_xlfn.XLOOKUP($A26,'R (s01)'!B:B,'R (s01)'!D:D,"Falta")</f>
        <v>1</v>
      </c>
      <c r="C26" s="104">
        <f>+_xlfn.XLOOKUP($A26,'R (s01)'!B:B,'R (s01)'!E:E,"Falta")</f>
        <v>1</v>
      </c>
      <c r="D26" s="104">
        <f>+_xlfn.XLOOKUP($A26,'R (s01)'!B:B,'R (s01)'!F:F,"Falta")</f>
        <v>1</v>
      </c>
      <c r="E26" s="104">
        <f>+_xlfn.XLOOKUP($A26,'R (s01)'!B:B,'R (s01)'!G:G,"Falta")</f>
        <v>1</v>
      </c>
      <c r="F26" s="105">
        <f>IFERROR(_xlfn.XLOOKUP(A26,diario!D:D,diario!L:L,"")*1000,"")</f>
        <v>63</v>
      </c>
      <c r="G26" s="107">
        <v>63.59</v>
      </c>
      <c r="H26" s="115">
        <f>IF(SUMIFS(Tabla1[Avance_km],Tabla1[Ducto],$A26,Tabla1[nombre_actividad],H$1)=0,"",SUMIFS(Tabla1[Avance_km],Tabla1[Ducto],$A26,Tabla1[nombre_actividad],H$1))</f>
        <v>6.3E-2</v>
      </c>
      <c r="I26" s="115">
        <f>IF(SUMIFS(Tabla1[Avance_km],Tabla1[Ducto],$A26,Tabla1[nombre_actividad],I$1)=0,"",SUMIFS(Tabla1[Avance_km],Tabla1[Ducto],$A26,Tabla1[nombre_actividad],I$1))</f>
        <v>6.3E-2</v>
      </c>
      <c r="J26" s="115">
        <f>IF(SUMIFS(Tabla1[Avance_km],Tabla1[Ducto],$A26,Tabla1[nombre_actividad],J$1)=0,"",SUMIFS(Tabla1[Avance_km],Tabla1[Ducto],$A26,Tabla1[nombre_actividad],J$1))</f>
        <v>6.3E-2</v>
      </c>
      <c r="K26" s="116">
        <f>IF(SUMIFS(Tabla1[Avance_Med],Tabla1[Ducto],$A26,Tabla1[nombre_actividad],K$1)=0,"",SUMIFS(Tabla1[Avance_Med],Tabla1[Ducto],$A26,Tabla1[nombre_actividad],K$1))</f>
        <v>1</v>
      </c>
    </row>
    <row r="27" spans="1:11" x14ac:dyDescent="0.3">
      <c r="A27" s="100" t="s">
        <v>63</v>
      </c>
      <c r="B27" s="103">
        <f>+_xlfn.XLOOKUP($A27,'R (s01)'!B:B,'R (s01)'!D:D,"Falta")</f>
        <v>1</v>
      </c>
      <c r="C27" s="104">
        <f>+_xlfn.XLOOKUP($A27,'R (s01)'!B:B,'R (s01)'!E:E,"Falta")</f>
        <v>1</v>
      </c>
      <c r="D27" s="104">
        <f>+_xlfn.XLOOKUP($A27,'R (s01)'!B:B,'R (s01)'!F:F,"Falta")</f>
        <v>1</v>
      </c>
      <c r="E27" s="188" t="s">
        <v>342</v>
      </c>
      <c r="F27" s="105">
        <f>IFERROR(_xlfn.XLOOKUP(A27,diario!D:D,diario!L:L,"")*1000,"")</f>
        <v>55</v>
      </c>
      <c r="G27" s="107">
        <v>55</v>
      </c>
      <c r="H27" s="115">
        <f>IF(SUMIFS(Tabla1[Avance_km],Tabla1[Ducto],$A27,Tabla1[nombre_actividad],H$1)=0,"",SUMIFS(Tabla1[Avance_km],Tabla1[Ducto],$A27,Tabla1[nombre_actividad],H$1))</f>
        <v>5.5E-2</v>
      </c>
      <c r="I27" s="115">
        <f>IF(SUMIFS(Tabla1[Avance_km],Tabla1[Ducto],$A27,Tabla1[nombre_actividad],I$1)=0,"",SUMIFS(Tabla1[Avance_km],Tabla1[Ducto],$A27,Tabla1[nombre_actividad],I$1))</f>
        <v>5.5E-2</v>
      </c>
      <c r="J27" s="115">
        <f>IF(SUMIFS(Tabla1[Avance_km],Tabla1[Ducto],$A27,Tabla1[nombre_actividad],J$1)=0,"",SUMIFS(Tabla1[Avance_km],Tabla1[Ducto],$A27,Tabla1[nombre_actividad],J$1))</f>
        <v>5.5E-2</v>
      </c>
      <c r="K27" s="140" t="str">
        <f>IF(SUMIFS(Tabla1[Avance_Med],Tabla1[Ducto],$A27,Tabla1[nombre_actividad],K$1)=0,"",SUMIFS(Tabla1[Avance_Med],Tabla1[Ducto],$A27,Tabla1[nombre_actividad],K$1))</f>
        <v/>
      </c>
    </row>
    <row r="28" spans="1:11" x14ac:dyDescent="0.3">
      <c r="A28" s="100" t="s">
        <v>70</v>
      </c>
      <c r="B28" s="103">
        <f>+_xlfn.XLOOKUP($A28,'R (s01)'!B:B,'R (s01)'!D:D,"Falta")</f>
        <v>1</v>
      </c>
      <c r="C28" s="104">
        <f>+_xlfn.XLOOKUP($A28,'R (s01)'!B:B,'R (s01)'!E:E,"Falta")</f>
        <v>1</v>
      </c>
      <c r="D28" s="104">
        <f>+_xlfn.XLOOKUP($A28,'R (s01)'!B:B,'R (s01)'!F:F,"Falta")</f>
        <v>1</v>
      </c>
      <c r="E28" s="104">
        <f>+_xlfn.XLOOKUP($A28,'R (s01)'!B:B,'R (s01)'!G:G,"Falta")</f>
        <v>1</v>
      </c>
      <c r="F28" s="105">
        <f>IFERROR(_xlfn.XLOOKUP(A28,diario!D:D,diario!L:L,"")*1000,"")</f>
        <v>287</v>
      </c>
      <c r="G28" s="107">
        <v>287.58</v>
      </c>
      <c r="H28" s="115">
        <f>IF(SUMIFS(Tabla1[Avance_km],Tabla1[Ducto],$A28,Tabla1[nombre_actividad],H$1)=0,"",SUMIFS(Tabla1[Avance_km],Tabla1[Ducto],$A28,Tabla1[nombre_actividad],H$1))</f>
        <v>0.28699999999999998</v>
      </c>
      <c r="I28" s="115">
        <f>IF(SUMIFS(Tabla1[Avance_km],Tabla1[Ducto],$A28,Tabla1[nombre_actividad],I$1)=0,"",SUMIFS(Tabla1[Avance_km],Tabla1[Ducto],$A28,Tabla1[nombre_actividad],I$1))</f>
        <v>0.28699999999999998</v>
      </c>
      <c r="J28" s="115">
        <f>IF(SUMIFS(Tabla1[Avance_km],Tabla1[Ducto],$A28,Tabla1[nombre_actividad],J$1)=0,"",SUMIFS(Tabla1[Avance_km],Tabla1[Ducto],$A28,Tabla1[nombre_actividad],J$1))</f>
        <v>0.28699999999999998</v>
      </c>
      <c r="K28" s="116">
        <f>IF(SUMIFS(Tabla1[Avance_Med],Tabla1[Ducto],$A28,Tabla1[nombre_actividad],K$1)=0,"",SUMIFS(Tabla1[Avance_Med],Tabla1[Ducto],$A28,Tabla1[nombre_actividad],K$1))</f>
        <v>1</v>
      </c>
    </row>
    <row r="29" spans="1:11" x14ac:dyDescent="0.3">
      <c r="A29" s="100" t="s">
        <v>50</v>
      </c>
      <c r="B29" s="103">
        <f>+_xlfn.XLOOKUP($A29,'R (s01)'!B:B,'R (s01)'!D:D,"Falta")</f>
        <v>1</v>
      </c>
      <c r="C29" s="104">
        <f>+_xlfn.XLOOKUP($A29,'R (s01)'!B:B,'R (s01)'!E:E,"Falta")</f>
        <v>0.99999999999999989</v>
      </c>
      <c r="D29" s="104">
        <f>+_xlfn.XLOOKUP($A29,'R (s01)'!B:B,'R (s01)'!F:F,"Falta")</f>
        <v>1</v>
      </c>
      <c r="E29" s="104">
        <f>+_xlfn.XLOOKUP($A29,'R (s01)'!B:B,'R (s01)'!G:G,"Falta")</f>
        <v>1</v>
      </c>
      <c r="F29" s="105">
        <f>IFERROR(_xlfn.XLOOKUP(A29,diario!D:D,diario!L:L,"")*1000,"")</f>
        <v>12657</v>
      </c>
      <c r="G29" s="107">
        <v>12657.11</v>
      </c>
      <c r="H29" s="115">
        <f>IF(SUMIFS(Tabla1[Avance_km],Tabla1[Ducto],$A29,Tabla1[nombre_actividad],H$1)=0,"",SUMIFS(Tabla1[Avance_km],Tabla1[Ducto],$A29,Tabla1[nombre_actividad],H$1))</f>
        <v>12.657</v>
      </c>
      <c r="I29" s="115">
        <f>IF(SUMIFS(Tabla1[Avance_km],Tabla1[Ducto],$A29,Tabla1[nombre_actividad],I$1)=0,"",SUMIFS(Tabla1[Avance_km],Tabla1[Ducto],$A29,Tabla1[nombre_actividad],I$1))</f>
        <v>12.656999999999998</v>
      </c>
      <c r="J29" s="115">
        <f>IF(SUMIFS(Tabla1[Avance_km],Tabla1[Ducto],$A29,Tabla1[nombre_actividad],J$1)=0,"",SUMIFS(Tabla1[Avance_km],Tabla1[Ducto],$A29,Tabla1[nombre_actividad],J$1))</f>
        <v>12.657</v>
      </c>
      <c r="K29" s="116">
        <f>IF(SUMIFS(Tabla1[Avance_Med],Tabla1[Ducto],$A29,Tabla1[nombre_actividad],K$1)=0,"",SUMIFS(Tabla1[Avance_Med],Tabla1[Ducto],$A29,Tabla1[nombre_actividad],K$1))</f>
        <v>27</v>
      </c>
    </row>
    <row r="30" spans="1:11" x14ac:dyDescent="0.3">
      <c r="A30" s="101" t="s">
        <v>66</v>
      </c>
      <c r="B30" s="103">
        <f>+_xlfn.XLOOKUP($A30,'R (s01)'!B:B,'R (s01)'!D:D,"Falta")</f>
        <v>1</v>
      </c>
      <c r="C30" s="104">
        <f>+_xlfn.XLOOKUP($A30,'R (s01)'!B:B,'R (s01)'!E:E,"Falta")</f>
        <v>1</v>
      </c>
      <c r="D30" s="104">
        <f>+_xlfn.XLOOKUP($A30,'R (s01)'!B:B,'R (s01)'!F:F,"Falta")</f>
        <v>1</v>
      </c>
      <c r="E30" s="104">
        <f>+_xlfn.XLOOKUP($A30,'R (s01)'!B:B,'R (s01)'!G:G,"Falta")</f>
        <v>1</v>
      </c>
      <c r="F30" s="105">
        <f>IFERROR(_xlfn.XLOOKUP(A30,diario!D:D,diario!L:L,"")*1000,"")</f>
        <v>2277</v>
      </c>
      <c r="G30" s="107">
        <v>2277.0300000000002</v>
      </c>
      <c r="H30" s="115">
        <f>IF(SUMIFS(Tabla1[Avance_km],Tabla1[Ducto],$A30,Tabla1[nombre_actividad],H$1)=0,"",SUMIFS(Tabla1[Avance_km],Tabla1[Ducto],$A30,Tabla1[nombre_actividad],H$1))</f>
        <v>2.2770000000000001</v>
      </c>
      <c r="I30" s="115">
        <f>IF(SUMIFS(Tabla1[Avance_km],Tabla1[Ducto],$A30,Tabla1[nombre_actividad],I$1)=0,"",SUMIFS(Tabla1[Avance_km],Tabla1[Ducto],$A30,Tabla1[nombre_actividad],I$1))</f>
        <v>2.2770000000000001</v>
      </c>
      <c r="J30" s="115">
        <f>IF(SUMIFS(Tabla1[Avance_km],Tabla1[Ducto],$A30,Tabla1[nombre_actividad],J$1)=0,"",SUMIFS(Tabla1[Avance_km],Tabla1[Ducto],$A30,Tabla1[nombre_actividad],J$1))</f>
        <v>2.2770000000000001</v>
      </c>
      <c r="K30" s="116">
        <f>IF(SUMIFS(Tabla1[Avance_Med],Tabla1[Ducto],$A30,Tabla1[nombre_actividad],K$1)=0,"",SUMIFS(Tabla1[Avance_Med],Tabla1[Ducto],$A30,Tabla1[nombre_actividad],K$1))</f>
        <v>6</v>
      </c>
    </row>
    <row r="31" spans="1:11" x14ac:dyDescent="0.3">
      <c r="A31" s="101" t="s">
        <v>344</v>
      </c>
      <c r="B31" s="103">
        <f>+_xlfn.XLOOKUP($A31,'R (s01)'!B:B,'R (s01)'!D:D,"Falta")</f>
        <v>1</v>
      </c>
      <c r="C31" s="104">
        <f>+_xlfn.XLOOKUP($A31,'R (s01)'!B:B,'R (s01)'!E:E,"Falta")</f>
        <v>1</v>
      </c>
      <c r="D31" s="104">
        <f>+_xlfn.XLOOKUP($A31,'R (s01)'!B:B,'R (s01)'!F:F,"Falta")</f>
        <v>1</v>
      </c>
      <c r="E31" s="188" t="s">
        <v>342</v>
      </c>
      <c r="F31" s="187">
        <f>IFERROR(_xlfn.XLOOKUP(A31,diario!D:D,diario!L:L,"")*1000,"")</f>
        <v>37</v>
      </c>
      <c r="G31" s="107">
        <v>1.73</v>
      </c>
      <c r="H31" s="115">
        <f>IF(SUMIFS(Tabla1[Avance_km],Tabla1[Ducto],$A31,Tabla1[nombre_actividad],H$1)=0,"",SUMIFS(Tabla1[Avance_km],Tabla1[Ducto],$A31,Tabla1[nombre_actividad],H$1))</f>
        <v>3.6999999999999998E-2</v>
      </c>
      <c r="I31" s="115">
        <f>IF(SUMIFS(Tabla1[Avance_km],Tabla1[Ducto],$A31,Tabla1[nombre_actividad],I$1)=0,"",SUMIFS(Tabla1[Avance_km],Tabla1[Ducto],$A31,Tabla1[nombre_actividad],I$1))</f>
        <v>3.6999999999999998E-2</v>
      </c>
      <c r="J31" s="115">
        <f>IF(SUMIFS(Tabla1[Avance_km],Tabla1[Ducto],$A31,Tabla1[nombre_actividad],J$1)=0,"",SUMIFS(Tabla1[Avance_km],Tabla1[Ducto],$A31,Tabla1[nombre_actividad],J$1))</f>
        <v>3.6999999999999998E-2</v>
      </c>
      <c r="K31" s="140" t="str">
        <f>IF(SUMIFS(Tabla1[Avance_Med],Tabla1[Ducto],$A31,Tabla1[nombre_actividad],K$1)=0,"",SUMIFS(Tabla1[Avance_Med],Tabla1[Ducto],$A31,Tabla1[nombre_actividad],K$1))</f>
        <v/>
      </c>
    </row>
    <row r="32" spans="1:11" hidden="1" x14ac:dyDescent="0.3">
      <c r="A32" s="101" t="s">
        <v>68</v>
      </c>
      <c r="B32" s="103">
        <f>+_xlfn.XLOOKUP($A32,'R (s01)'!B:B,'R (s01)'!D:D,"Falta")</f>
        <v>0</v>
      </c>
      <c r="C32" s="104">
        <f>+_xlfn.XLOOKUP($A32,'R (s01)'!B:B,'R (s01)'!E:E,"Falta")</f>
        <v>0</v>
      </c>
      <c r="D32" s="104">
        <f>+_xlfn.XLOOKUP($A32,'R (s01)'!B:B,'R (s01)'!F:F,"Falta")</f>
        <v>0</v>
      </c>
      <c r="E32" s="188" t="s">
        <v>342</v>
      </c>
      <c r="F32" s="105" t="str">
        <f>IFERROR(_xlfn.XLOOKUP(A32,diario!D:D,diario!L:L,"")*1000,"")</f>
        <v/>
      </c>
      <c r="G32" s="107">
        <v>4.67</v>
      </c>
      <c r="H32" s="115" t="str">
        <f>IF(SUMIFS(Tabla1[Avance_km],Tabla1[Ducto],$A32,Tabla1[nombre_actividad],H$1)=0,"",SUMIFS(Tabla1[Avance_km],Tabla1[Ducto],$A32,Tabla1[nombre_actividad],H$1))</f>
        <v/>
      </c>
      <c r="I32" s="115" t="str">
        <f>IF(SUMIFS(Tabla1[Avance_km],Tabla1[Ducto],$A32,Tabla1[nombre_actividad],I$1)=0,"",SUMIFS(Tabla1[Avance_km],Tabla1[Ducto],$A32,Tabla1[nombre_actividad],I$1))</f>
        <v/>
      </c>
      <c r="J32" s="115" t="str">
        <f>IF(SUMIFS(Tabla1[Avance_km],Tabla1[Ducto],$A32,Tabla1[nombre_actividad],J$1)=0,"",SUMIFS(Tabla1[Avance_km],Tabla1[Ducto],$A32,Tabla1[nombre_actividad],J$1))</f>
        <v/>
      </c>
      <c r="K32" s="140" t="str">
        <f>IF(SUMIFS(Tabla1[Avance_Med],Tabla1[Ducto],$A32,Tabla1[nombre_actividad],K$1)=0,"",SUMIFS(Tabla1[Avance_Med],Tabla1[Ducto],$A32,Tabla1[nombre_actividad],K$1))</f>
        <v/>
      </c>
    </row>
    <row r="33" spans="1:11" hidden="1" x14ac:dyDescent="0.3">
      <c r="A33" s="101" t="s">
        <v>69</v>
      </c>
      <c r="B33" s="103">
        <f>+_xlfn.XLOOKUP($A33,'R (s01)'!B:B,'R (s01)'!D:D,"Falta")</f>
        <v>0</v>
      </c>
      <c r="C33" s="104">
        <f>+_xlfn.XLOOKUP($A33,'R (s01)'!B:B,'R (s01)'!E:E,"Falta")</f>
        <v>0</v>
      </c>
      <c r="D33" s="104">
        <f>+_xlfn.XLOOKUP($A33,'R (s01)'!B:B,'R (s01)'!F:F,"Falta")</f>
        <v>0</v>
      </c>
      <c r="E33" s="188" t="s">
        <v>342</v>
      </c>
      <c r="F33" s="105" t="str">
        <f>IFERROR(_xlfn.XLOOKUP(A33,diario!D:D,diario!L:L,"")*1000,"")</f>
        <v/>
      </c>
      <c r="G33" s="107">
        <v>4.4450000000000003</v>
      </c>
      <c r="H33" s="115" t="str">
        <f>IF(SUMIFS(Tabla1[Avance_km],Tabla1[Ducto],$A33,Tabla1[nombre_actividad],H$1)=0,"",SUMIFS(Tabla1[Avance_km],Tabla1[Ducto],$A33,Tabla1[nombre_actividad],H$1))</f>
        <v/>
      </c>
      <c r="I33" s="115" t="str">
        <f>IF(SUMIFS(Tabla1[Avance_km],Tabla1[Ducto],$A33,Tabla1[nombre_actividad],I$1)=0,"",SUMIFS(Tabla1[Avance_km],Tabla1[Ducto],$A33,Tabla1[nombre_actividad],I$1))</f>
        <v/>
      </c>
      <c r="J33" s="115" t="str">
        <f>IF(SUMIFS(Tabla1[Avance_km],Tabla1[Ducto],$A33,Tabla1[nombre_actividad],J$1)=0,"",SUMIFS(Tabla1[Avance_km],Tabla1[Ducto],$A33,Tabla1[nombre_actividad],J$1))</f>
        <v/>
      </c>
      <c r="K33" s="140" t="str">
        <f>IF(SUMIFS(Tabla1[Avance_Med],Tabla1[Ducto],$A33,Tabla1[nombre_actividad],K$1)=0,"",SUMIFS(Tabla1[Avance_Med],Tabla1[Ducto],$A33,Tabla1[nombre_actividad],K$1))</f>
        <v/>
      </c>
    </row>
    <row r="34" spans="1:11" x14ac:dyDescent="0.3">
      <c r="A34" s="99" t="s">
        <v>59</v>
      </c>
      <c r="B34" s="103">
        <f>+_xlfn.XLOOKUP($A34,'R (s01)'!B:B,'R (s01)'!D:D,"Falta")</f>
        <v>1</v>
      </c>
      <c r="C34" s="104">
        <f>+_xlfn.XLOOKUP($A34,'R (s01)'!B:B,'R (s01)'!E:E,"Falta")</f>
        <v>1</v>
      </c>
      <c r="D34" s="104">
        <f>+_xlfn.XLOOKUP($A34,'R (s01)'!B:B,'R (s01)'!F:F,"Falta")</f>
        <v>1</v>
      </c>
      <c r="E34" s="188" t="s">
        <v>342</v>
      </c>
      <c r="F34" s="105">
        <f>IFERROR(_xlfn.XLOOKUP(A34,diario!D:D,diario!L:L,"")*1000,"")</f>
        <v>7</v>
      </c>
      <c r="G34" s="107">
        <v>6.33</v>
      </c>
      <c r="H34" s="115">
        <f>IF(SUMIFS(Tabla1[Avance_km],Tabla1[Ducto],$A34,Tabla1[nombre_actividad],H$1)=0,"",SUMIFS(Tabla1[Avance_km],Tabla1[Ducto],$A34,Tabla1[nombre_actividad],H$1))</f>
        <v>7.0000000000000001E-3</v>
      </c>
      <c r="I34" s="115">
        <f>IF(SUMIFS(Tabla1[Avance_km],Tabla1[Ducto],$A34,Tabla1[nombre_actividad],I$1)=0,"",SUMIFS(Tabla1[Avance_km],Tabla1[Ducto],$A34,Tabla1[nombre_actividad],I$1))</f>
        <v>7.0000000000000001E-3</v>
      </c>
      <c r="J34" s="115">
        <f>IF(SUMIFS(Tabla1[Avance_km],Tabla1[Ducto],$A34,Tabla1[nombre_actividad],J$1)=0,"",SUMIFS(Tabla1[Avance_km],Tabla1[Ducto],$A34,Tabla1[nombre_actividad],J$1))</f>
        <v>7.0000000000000001E-3</v>
      </c>
      <c r="K34" s="140" t="str">
        <f>IF(SUMIFS(Tabla1[Avance_Med],Tabla1[Ducto],$A34,Tabla1[nombre_actividad],K$1)=0,"",SUMIFS(Tabla1[Avance_Med],Tabla1[Ducto],$A34,Tabla1[nombre_actividad],K$1))</f>
        <v/>
      </c>
    </row>
    <row r="35" spans="1:11" x14ac:dyDescent="0.3">
      <c r="A35" s="99" t="s">
        <v>60</v>
      </c>
      <c r="B35" s="103">
        <f>+_xlfn.XLOOKUP($A35,'R (s01)'!B:B,'R (s01)'!D:D,"Falta")</f>
        <v>1</v>
      </c>
      <c r="C35" s="104">
        <f>+_xlfn.XLOOKUP($A35,'R (s01)'!B:B,'R (s01)'!E:E,"Falta")</f>
        <v>1</v>
      </c>
      <c r="D35" s="104">
        <f>+_xlfn.XLOOKUP($A35,'R (s01)'!B:B,'R (s01)'!F:F,"Falta")</f>
        <v>1</v>
      </c>
      <c r="E35" s="188" t="s">
        <v>342</v>
      </c>
      <c r="F35" s="105">
        <f>IFERROR(_xlfn.XLOOKUP(A35,diario!D:D,diario!L:L,"")*1000,"")</f>
        <v>19</v>
      </c>
      <c r="G35" s="107">
        <v>19.690000000000001</v>
      </c>
      <c r="H35" s="115">
        <f>IF(SUMIFS(Tabla1[Avance_km],Tabla1[Ducto],$A35,Tabla1[nombre_actividad],H$1)=0,"",SUMIFS(Tabla1[Avance_km],Tabla1[Ducto],$A35,Tabla1[nombre_actividad],H$1))</f>
        <v>1.9E-2</v>
      </c>
      <c r="I35" s="115">
        <f>IF(SUMIFS(Tabla1[Avance_km],Tabla1[Ducto],$A35,Tabla1[nombre_actividad],I$1)=0,"",SUMIFS(Tabla1[Avance_km],Tabla1[Ducto],$A35,Tabla1[nombre_actividad],I$1))</f>
        <v>1.9E-2</v>
      </c>
      <c r="J35" s="115">
        <f>IF(SUMIFS(Tabla1[Avance_km],Tabla1[Ducto],$A35,Tabla1[nombre_actividad],J$1)=0,"",SUMIFS(Tabla1[Avance_km],Tabla1[Ducto],$A35,Tabla1[nombre_actividad],J$1))</f>
        <v>1.9E-2</v>
      </c>
      <c r="K35" s="140" t="str">
        <f>IF(SUMIFS(Tabla1[Avance_Med],Tabla1[Ducto],$A35,Tabla1[nombre_actividad],K$1)=0,"",SUMIFS(Tabla1[Avance_Med],Tabla1[Ducto],$A35,Tabla1[nombre_actividad],K$1))</f>
        <v/>
      </c>
    </row>
    <row r="36" spans="1:11" x14ac:dyDescent="0.3">
      <c r="A36" s="99" t="s">
        <v>21</v>
      </c>
      <c r="B36" s="103">
        <f>+_xlfn.XLOOKUP($A36,'R (s01)'!B:B,'R (s01)'!D:D,"Falta")</f>
        <v>1</v>
      </c>
      <c r="C36" s="104">
        <f>+_xlfn.XLOOKUP($A36,'R (s01)'!B:B,'R (s01)'!E:E,"Falta")</f>
        <v>1</v>
      </c>
      <c r="D36" s="104">
        <f>+_xlfn.XLOOKUP($A36,'R (s01)'!B:B,'R (s01)'!F:F,"Falta")</f>
        <v>1</v>
      </c>
      <c r="E36" s="104">
        <f>+_xlfn.XLOOKUP($A36,'R (s01)'!B:B,'R (s01)'!G:G,"Falta")</f>
        <v>1</v>
      </c>
      <c r="F36" s="105">
        <f>IFERROR(_xlfn.XLOOKUP(A36,diario!D:D,diario!L:L,"")*1000,"")</f>
        <v>1055</v>
      </c>
      <c r="G36" s="107">
        <v>1055.1300000000001</v>
      </c>
      <c r="H36" s="115">
        <f>IF(SUMIFS(Tabla1[Avance_km],Tabla1[Ducto],$A36,Tabla1[nombre_actividad],H$1)=0,"",SUMIFS(Tabla1[Avance_km],Tabla1[Ducto],$A36,Tabla1[nombre_actividad],H$1))</f>
        <v>1.0549999999999999</v>
      </c>
      <c r="I36" s="115">
        <f>IF(SUMIFS(Tabla1[Avance_km],Tabla1[Ducto],$A36,Tabla1[nombre_actividad],I$1)=0,"",SUMIFS(Tabla1[Avance_km],Tabla1[Ducto],$A36,Tabla1[nombre_actividad],I$1))</f>
        <v>1.0549999999999999</v>
      </c>
      <c r="J36" s="115">
        <f>IF(SUMIFS(Tabla1[Avance_km],Tabla1[Ducto],$A36,Tabla1[nombre_actividad],J$1)=0,"",SUMIFS(Tabla1[Avance_km],Tabla1[Ducto],$A36,Tabla1[nombre_actividad],J$1))</f>
        <v>1.0549999999999999</v>
      </c>
      <c r="K36" s="116">
        <f>IF(SUMIFS(Tabla1[Avance_Med],Tabla1[Ducto],$A36,Tabla1[nombre_actividad],K$1)=0,"",SUMIFS(Tabla1[Avance_Med],Tabla1[Ducto],$A36,Tabla1[nombre_actividad],K$1))</f>
        <v>3</v>
      </c>
    </row>
    <row r="37" spans="1:11" x14ac:dyDescent="0.3">
      <c r="A37" s="99" t="s">
        <v>37</v>
      </c>
      <c r="B37" s="103">
        <f>+_xlfn.XLOOKUP($A37,'R (s01)'!B:B,'R (s01)'!D:D,"Falta")</f>
        <v>1</v>
      </c>
      <c r="C37" s="104">
        <f>+_xlfn.XLOOKUP($A37,'R (s01)'!B:B,'R (s01)'!E:E,"Falta")</f>
        <v>1</v>
      </c>
      <c r="D37" s="104">
        <f>+_xlfn.XLOOKUP($A37,'R (s01)'!B:B,'R (s01)'!F:F,"Falta")</f>
        <v>1</v>
      </c>
      <c r="E37" s="104">
        <f>+_xlfn.XLOOKUP($A37,'R (s01)'!B:B,'R (s01)'!G:G,"Falta")</f>
        <v>1</v>
      </c>
      <c r="F37" s="105">
        <f>IFERROR(_xlfn.XLOOKUP(A37,diario!D:D,diario!L:L,"")*1000,"")</f>
        <v>1488</v>
      </c>
      <c r="G37" s="107">
        <v>1487.17</v>
      </c>
      <c r="H37" s="115">
        <f>IF(SUMIFS(Tabla1[Avance_km],Tabla1[Ducto],$A37,Tabla1[nombre_actividad],H$1)=0,"",SUMIFS(Tabla1[Avance_km],Tabla1[Ducto],$A37,Tabla1[nombre_actividad],H$1))</f>
        <v>1.488</v>
      </c>
      <c r="I37" s="115">
        <f>IF(SUMIFS(Tabla1[Avance_km],Tabla1[Ducto],$A37,Tabla1[nombre_actividad],I$1)=0,"",SUMIFS(Tabla1[Avance_km],Tabla1[Ducto],$A37,Tabla1[nombre_actividad],I$1))</f>
        <v>1.488</v>
      </c>
      <c r="J37" s="115">
        <f>IF(SUMIFS(Tabla1[Avance_km],Tabla1[Ducto],$A37,Tabla1[nombre_actividad],J$1)=0,"",SUMIFS(Tabla1[Avance_km],Tabla1[Ducto],$A37,Tabla1[nombre_actividad],J$1))</f>
        <v>1.488</v>
      </c>
      <c r="K37" s="116">
        <f>IF(SUMIFS(Tabla1[Avance_Med],Tabla1[Ducto],$A37,Tabla1[nombre_actividad],K$1)=0,"",SUMIFS(Tabla1[Avance_Med],Tabla1[Ducto],$A37,Tabla1[nombre_actividad],K$1))</f>
        <v>4</v>
      </c>
    </row>
    <row r="38" spans="1:11" x14ac:dyDescent="0.3">
      <c r="A38" s="100" t="s">
        <v>71</v>
      </c>
      <c r="B38" s="103">
        <f>+_xlfn.XLOOKUP($A38,'R (s01)'!B:B,'R (s01)'!D:D,"Falta")</f>
        <v>1</v>
      </c>
      <c r="C38" s="104">
        <f>+_xlfn.XLOOKUP($A38,'R (s01)'!B:B,'R (s01)'!E:E,"Falta")</f>
        <v>1</v>
      </c>
      <c r="D38" s="104">
        <f>+_xlfn.XLOOKUP($A38,'R (s01)'!B:B,'R (s01)'!F:F,"Falta")</f>
        <v>1</v>
      </c>
      <c r="E38" s="188" t="s">
        <v>342</v>
      </c>
      <c r="F38" s="105">
        <f>IFERROR(_xlfn.XLOOKUP(A38,diario!D:D,diario!L:L,"")*1000,"")</f>
        <v>7</v>
      </c>
      <c r="G38" s="107">
        <v>0.9</v>
      </c>
      <c r="H38" s="115">
        <f>IF(SUMIFS(Tabla1[Avance_km],Tabla1[Ducto],$A38,Tabla1[nombre_actividad],H$1)=0,"",SUMIFS(Tabla1[Avance_km],Tabla1[Ducto],$A38,Tabla1[nombre_actividad],H$1))</f>
        <v>7.0000000000000001E-3</v>
      </c>
      <c r="I38" s="115">
        <f>IF(SUMIFS(Tabla1[Avance_km],Tabla1[Ducto],$A38,Tabla1[nombre_actividad],I$1)=0,"",SUMIFS(Tabla1[Avance_km],Tabla1[Ducto],$A38,Tabla1[nombre_actividad],I$1))</f>
        <v>7.0000000000000001E-3</v>
      </c>
      <c r="J38" s="115">
        <f>IF(SUMIFS(Tabla1[Avance_km],Tabla1[Ducto],$A38,Tabla1[nombre_actividad],J$1)=0,"",SUMIFS(Tabla1[Avance_km],Tabla1[Ducto],$A38,Tabla1[nombre_actividad],J$1))</f>
        <v>7.0000000000000001E-3</v>
      </c>
      <c r="K38" s="140" t="str">
        <f>IF(SUMIFS(Tabla1[Avance_Med],Tabla1[Ducto],$A38,Tabla1[nombre_actividad],K$1)=0,"",SUMIFS(Tabla1[Avance_Med],Tabla1[Ducto],$A38,Tabla1[nombre_actividad],K$1))</f>
        <v/>
      </c>
    </row>
    <row r="39" spans="1:11" hidden="1" x14ac:dyDescent="0.3">
      <c r="A39" s="100" t="s">
        <v>72</v>
      </c>
      <c r="B39" s="103" t="str">
        <f>+_xlfn.XLOOKUP($A39,'R (s01)'!B:B,'R (s01)'!D:D,"Falta")</f>
        <v>Falta</v>
      </c>
      <c r="C39" s="104" t="str">
        <f>+_xlfn.XLOOKUP($A39,'R (s01)'!B:B,'R (s01)'!E:E,"Falta")</f>
        <v>Falta</v>
      </c>
      <c r="D39" s="104" t="str">
        <f>+_xlfn.XLOOKUP($A39,'R (s01)'!B:B,'R (s01)'!F:F,"Falta")</f>
        <v>Falta</v>
      </c>
      <c r="E39" s="188" t="s">
        <v>342</v>
      </c>
      <c r="F39" s="105" t="str">
        <f>IFERROR(_xlfn.XLOOKUP(A39,diario!D:D,diario!L:L,"")*1000,"")</f>
        <v/>
      </c>
      <c r="G39" s="107">
        <v>0.98</v>
      </c>
      <c r="H39" s="115" t="str">
        <f>IF(SUMIFS(Tabla1[Avance_km],Tabla1[Ducto],$A39,Tabla1[nombre_actividad],H$1)=0,"",SUMIFS(Tabla1[Avance_km],Tabla1[Ducto],$A39,Tabla1[nombre_actividad],H$1))</f>
        <v/>
      </c>
      <c r="I39" s="115" t="str">
        <f>IF(SUMIFS(Tabla1[Avance_km],Tabla1[Ducto],$A39,Tabla1[nombre_actividad],I$1)=0,"",SUMIFS(Tabla1[Avance_km],Tabla1[Ducto],$A39,Tabla1[nombre_actividad],I$1))</f>
        <v/>
      </c>
      <c r="J39" s="115" t="str">
        <f>IF(SUMIFS(Tabla1[Avance_km],Tabla1[Ducto],$A39,Tabla1[nombre_actividad],J$1)=0,"",SUMIFS(Tabla1[Avance_km],Tabla1[Ducto],$A39,Tabla1[nombre_actividad],J$1))</f>
        <v/>
      </c>
      <c r="K39" s="140" t="str">
        <f>IF(SUMIFS(Tabla1[Avance_Med],Tabla1[Ducto],$A39,Tabla1[nombre_actividad],K$1)=0,"",SUMIFS(Tabla1[Avance_Med],Tabla1[Ducto],$A39,Tabla1[nombre_actividad],K$1))</f>
        <v/>
      </c>
    </row>
    <row r="40" spans="1:11" x14ac:dyDescent="0.3">
      <c r="A40" s="99" t="s">
        <v>38</v>
      </c>
      <c r="B40" s="103">
        <f>+_xlfn.XLOOKUP($A40,'R (s01)'!B:B,'R (s01)'!D:D,"Falta")</f>
        <v>1</v>
      </c>
      <c r="C40" s="104">
        <f>+_xlfn.XLOOKUP($A40,'R (s01)'!B:B,'R (s01)'!E:E,"Falta")</f>
        <v>1</v>
      </c>
      <c r="D40" s="104">
        <f>+_xlfn.XLOOKUP($A40,'R (s01)'!B:B,'R (s01)'!F:F,"Falta")</f>
        <v>1</v>
      </c>
      <c r="E40" s="104">
        <f>+_xlfn.XLOOKUP($A40,'R (s01)'!B:B,'R (s01)'!G:G,"Falta")</f>
        <v>1</v>
      </c>
      <c r="F40" s="105">
        <f>IFERROR(_xlfn.XLOOKUP(A40,diario!D:D,diario!L:L,"")*1000,"")</f>
        <v>1855</v>
      </c>
      <c r="G40" s="107">
        <v>1855.12</v>
      </c>
      <c r="H40" s="115">
        <f>IF(SUMIFS(Tabla1[Avance_km],Tabla1[Ducto],$A40,Tabla1[nombre_actividad],H$1)=0,"",SUMIFS(Tabla1[Avance_km],Tabla1[Ducto],$A40,Tabla1[nombre_actividad],H$1))</f>
        <v>1.855</v>
      </c>
      <c r="I40" s="115">
        <f>IF(SUMIFS(Tabla1[Avance_km],Tabla1[Ducto],$A40,Tabla1[nombre_actividad],I$1)=0,"",SUMIFS(Tabla1[Avance_km],Tabla1[Ducto],$A40,Tabla1[nombre_actividad],I$1))</f>
        <v>1.855</v>
      </c>
      <c r="J40" s="115">
        <f>IF(SUMIFS(Tabla1[Avance_km],Tabla1[Ducto],$A40,Tabla1[nombre_actividad],J$1)=0,"",SUMIFS(Tabla1[Avance_km],Tabla1[Ducto],$A40,Tabla1[nombre_actividad],J$1))</f>
        <v>1.855</v>
      </c>
      <c r="K40" s="116">
        <f>IF(SUMIFS(Tabla1[Avance_Med],Tabla1[Ducto],$A40,Tabla1[nombre_actividad],K$1)=0,"",SUMIFS(Tabla1[Avance_Med],Tabla1[Ducto],$A40,Tabla1[nombre_actividad],K$1))</f>
        <v>4</v>
      </c>
    </row>
    <row r="41" spans="1:11" x14ac:dyDescent="0.3">
      <c r="A41" s="100" t="s">
        <v>46</v>
      </c>
      <c r="B41" s="103">
        <f>+_xlfn.XLOOKUP($A41,'R (s01)'!B:B,'R (s01)'!D:D,"Falta")</f>
        <v>1</v>
      </c>
      <c r="C41" s="104">
        <f>+_xlfn.XLOOKUP($A41,'R (s01)'!B:B,'R (s01)'!E:E,"Falta")</f>
        <v>1</v>
      </c>
      <c r="D41" s="104">
        <f>+_xlfn.XLOOKUP($A41,'R (s01)'!B:B,'R (s01)'!F:F,"Falta")</f>
        <v>1</v>
      </c>
      <c r="E41" s="104">
        <f>+_xlfn.XLOOKUP($A41,'R (s01)'!B:B,'R (s01)'!G:G,"Falta")</f>
        <v>1</v>
      </c>
      <c r="F41" s="105">
        <f>IFERROR(_xlfn.XLOOKUP(A41,diario!D:D,diario!L:L,"")*1000,"")</f>
        <v>267</v>
      </c>
      <c r="G41" s="107">
        <v>266.83999999999997</v>
      </c>
      <c r="H41" s="115">
        <f>IF(SUMIFS(Tabla1[Avance_km],Tabla1[Ducto],$A41,Tabla1[nombre_actividad],H$1)=0,"",SUMIFS(Tabla1[Avance_km],Tabla1[Ducto],$A41,Tabla1[nombre_actividad],H$1))</f>
        <v>0.26700000000000002</v>
      </c>
      <c r="I41" s="115">
        <f>IF(SUMIFS(Tabla1[Avance_km],Tabla1[Ducto],$A41,Tabla1[nombre_actividad],I$1)=0,"",SUMIFS(Tabla1[Avance_km],Tabla1[Ducto],$A41,Tabla1[nombre_actividad],I$1))</f>
        <v>0.26700000000000002</v>
      </c>
      <c r="J41" s="115">
        <f>IF(SUMIFS(Tabla1[Avance_km],Tabla1[Ducto],$A41,Tabla1[nombre_actividad],J$1)=0,"",SUMIFS(Tabla1[Avance_km],Tabla1[Ducto],$A41,Tabla1[nombre_actividad],J$1))</f>
        <v>0.26700000000000002</v>
      </c>
      <c r="K41" s="116">
        <f>IF(SUMIFS(Tabla1[Avance_Med],Tabla1[Ducto],$A41,Tabla1[nombre_actividad],K$1)=0,"",SUMIFS(Tabla1[Avance_Med],Tabla1[Ducto],$A41,Tabla1[nombre_actividad],K$1))</f>
        <v>2</v>
      </c>
    </row>
    <row r="43" spans="1:11" x14ac:dyDescent="0.3">
      <c r="F43" s="107">
        <f>SUM(F2:F41)</f>
        <v>66918.22</v>
      </c>
      <c r="G43" s="107">
        <f>SUM(G2:G41)</f>
        <v>66713.31700000001</v>
      </c>
      <c r="H43" s="129">
        <f>SUM(H2:H41)</f>
        <v>66.918000000000006</v>
      </c>
      <c r="I43" s="129">
        <f t="shared" ref="I43:J43" si="0">SUM(I2:I41)</f>
        <v>66.918000000000006</v>
      </c>
      <c r="J43" s="129">
        <f t="shared" si="0"/>
        <v>66.918000000000006</v>
      </c>
      <c r="K43" s="130">
        <f>SUM(K2:K41)</f>
        <v>156</v>
      </c>
    </row>
    <row r="44" spans="1:11" ht="30" x14ac:dyDescent="0.3">
      <c r="H44" s="65" t="s">
        <v>78</v>
      </c>
      <c r="I44" s="65" t="s">
        <v>79</v>
      </c>
      <c r="J44" s="65" t="s">
        <v>80</v>
      </c>
      <c r="K44" s="65" t="s">
        <v>81</v>
      </c>
    </row>
  </sheetData>
  <autoFilter ref="A1:G41" xr:uid="{60D85BB3-8864-47F8-94E5-88A6B07DC02A}"/>
  <conditionalFormatting sqref="A36:A41 A2:A34">
    <cfRule type="duplicateValues" dxfId="15" priority="4"/>
  </conditionalFormatting>
  <conditionalFormatting sqref="B2:E41">
    <cfRule type="expression" dxfId="14" priority="3">
      <formula>IF(OR(B2="Falta",B2=0)=TRUE,TRUE,FALSE)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BE0F4-CEA4-4EE8-9420-FC297A482ACE}">
  <sheetPr codeName="Hoja11">
    <tabColor rgb="FF00B050"/>
  </sheetPr>
  <dimension ref="A1:L21"/>
  <sheetViews>
    <sheetView showGridLines="0" workbookViewId="0"/>
  </sheetViews>
  <sheetFormatPr baseColWidth="10" defaultColWidth="11.42578125" defaultRowHeight="16.5" outlineLevelCol="1" x14ac:dyDescent="0.3"/>
  <cols>
    <col min="1" max="1" width="45.42578125" style="102" bestFit="1" customWidth="1"/>
    <col min="2" max="2" width="12.140625" style="76" bestFit="1" customWidth="1"/>
    <col min="3" max="3" width="8.28515625" style="76" customWidth="1"/>
    <col min="4" max="4" width="8.7109375" style="76" customWidth="1"/>
    <col min="5" max="5" width="13.42578125" style="76" customWidth="1"/>
    <col min="6" max="6" width="11.42578125" customWidth="1" outlineLevel="1"/>
    <col min="7" max="7" width="18.140625" customWidth="1" outlineLevel="1"/>
    <col min="8" max="8" width="11.85546875" customWidth="1"/>
    <col min="11" max="11" width="14.140625" customWidth="1"/>
  </cols>
  <sheetData>
    <row r="1" spans="1:12" ht="36" customHeight="1" x14ac:dyDescent="0.25">
      <c r="A1" s="97" t="s">
        <v>256</v>
      </c>
      <c r="B1" s="65" t="s">
        <v>78</v>
      </c>
      <c r="C1" s="65" t="s">
        <v>79</v>
      </c>
      <c r="D1" s="65" t="s">
        <v>80</v>
      </c>
      <c r="E1" s="65" t="s">
        <v>81</v>
      </c>
      <c r="G1" s="106" t="s">
        <v>257</v>
      </c>
      <c r="H1" s="65" t="s">
        <v>78</v>
      </c>
      <c r="I1" s="65" t="s">
        <v>79</v>
      </c>
      <c r="J1" s="65" t="s">
        <v>80</v>
      </c>
      <c r="K1" s="65" t="s">
        <v>81</v>
      </c>
      <c r="L1" s="1">
        <f>+COUNTA(A2:A18)</f>
        <v>17</v>
      </c>
    </row>
    <row r="2" spans="1:12" ht="15" x14ac:dyDescent="0.25">
      <c r="A2" s="98" t="s">
        <v>27</v>
      </c>
      <c r="B2" s="103">
        <f>+_xlfn.XLOOKUP($A2,'R (s02)'!B:B,'R (s02)'!D:D,"Falta")</f>
        <v>1</v>
      </c>
      <c r="C2" s="104">
        <f>+_xlfn.XLOOKUP($A2,'R (s02)'!$B:$B,'R (s02)'!E:E,"Falta")</f>
        <v>1</v>
      </c>
      <c r="D2" s="104">
        <f>+_xlfn.XLOOKUP($A2,'R (s02)'!$B:$B,'R (s02)'!F:F,"Falta")</f>
        <v>1</v>
      </c>
      <c r="E2" s="104">
        <f>+_xlfn.XLOOKUP($A2,'R (s02)'!$B:$B,'R (s02)'!G:G,"Falta")</f>
        <v>1</v>
      </c>
      <c r="F2" s="105">
        <f>IFERROR(_xlfn.XLOOKUP(A2,diario!D:D,diario!L:L,"")*1000,"")</f>
        <v>25400</v>
      </c>
      <c r="G2" s="107">
        <v>25136.06</v>
      </c>
      <c r="H2" s="115">
        <f>IF(SUMIFS(Tabla1[Avance_km],Tabla1[Ducto],$A2,Tabla1[nombre_actividad],H$1)=0,"",SUMIFS(Tabla1[Avance_km],Tabla1[Ducto],$A2,Tabla1[nombre_actividad],H$1))</f>
        <v>25.4</v>
      </c>
      <c r="I2" s="115">
        <f>IF(SUMIFS(Tabla1[Avance_km],Tabla1[Ducto],$A2,Tabla1[nombre_actividad],I$1)=0,"",SUMIFS(Tabla1[Avance_km],Tabla1[Ducto],$A2,Tabla1[nombre_actividad],I$1))</f>
        <v>25.4</v>
      </c>
      <c r="J2" s="115">
        <f>IF(SUMIFS(Tabla1[Avance_km],Tabla1[Ducto],$A2,Tabla1[nombre_actividad],J$1)=0,"",SUMIFS(Tabla1[Avance_km],Tabla1[Ducto],$A2,Tabla1[nombre_actividad],J$1))</f>
        <v>25.4</v>
      </c>
      <c r="K2" s="116">
        <f>IF(SUMIFS(Tabla1[Avance_Med],Tabla1[Ducto],$A2,Tabla1[nombre_actividad],K$1)=0,"",SUMIFS(Tabla1[Avance_Med],Tabla1[Ducto],$A2,Tabla1[nombre_actividad],K$1))</f>
        <v>52</v>
      </c>
    </row>
    <row r="3" spans="1:12" x14ac:dyDescent="0.3">
      <c r="A3" s="99" t="s">
        <v>73</v>
      </c>
      <c r="B3" s="103">
        <f>+_xlfn.XLOOKUP($A3,'R (s02)'!B:B,'R (s02)'!D:D,"Falta")</f>
        <v>1</v>
      </c>
      <c r="C3" s="104">
        <f>+_xlfn.XLOOKUP($A3,'R (s02)'!$B:$B,'R (s02)'!E:E,"Falta")</f>
        <v>1</v>
      </c>
      <c r="D3" s="104">
        <f>+_xlfn.XLOOKUP($A3,'R (s02)'!$B:$B,'R (s02)'!F:F,"Falta")</f>
        <v>1</v>
      </c>
      <c r="E3" s="188" t="s">
        <v>342</v>
      </c>
      <c r="F3" s="105">
        <f>IFERROR(_xlfn.XLOOKUP(A3,diario!D:D,diario!L:L,"")*1000,"")</f>
        <v>5</v>
      </c>
      <c r="G3" s="107">
        <v>8.5</v>
      </c>
      <c r="H3" s="115">
        <f>IF(SUMIFS(Tabla1[Avance_km],Tabla1[Ducto],$A3,Tabla1[nombre_actividad],H$1)=0,"",SUMIFS(Tabla1[Avance_km],Tabla1[Ducto],$A3,Tabla1[nombre_actividad],H$1))</f>
        <v>5.0000000000000001E-3</v>
      </c>
      <c r="I3" s="115">
        <f>IF(SUMIFS(Tabla1[Avance_km],Tabla1[Ducto],$A3,Tabla1[nombre_actividad],I$1)=0,"",SUMIFS(Tabla1[Avance_km],Tabla1[Ducto],$A3,Tabla1[nombre_actividad],I$1))</f>
        <v>5.0000000000000001E-3</v>
      </c>
      <c r="J3" s="115">
        <f>IF(SUMIFS(Tabla1[Avance_km],Tabla1[Ducto],$A3,Tabla1[nombre_actividad],J$1)=0,"",SUMIFS(Tabla1[Avance_km],Tabla1[Ducto],$A3,Tabla1[nombre_actividad],J$1))</f>
        <v>5.0000000000000001E-3</v>
      </c>
      <c r="K3" s="140" t="str">
        <f>IF(SUMIFS(Tabla1[Avance_Med],Tabla1[Ducto],$A3,Tabla1[nombre_actividad],K$1)=0,"",SUMIFS(Tabla1[Avance_Med],Tabla1[Ducto],$A3,Tabla1[nombre_actividad],K$1))</f>
        <v/>
      </c>
    </row>
    <row r="4" spans="1:12" x14ac:dyDescent="0.3">
      <c r="A4" s="99" t="s">
        <v>64</v>
      </c>
      <c r="B4" s="103">
        <f>+_xlfn.XLOOKUP($A4,'R (s02)'!B:B,'R (s02)'!D:D,"Falta")</f>
        <v>1</v>
      </c>
      <c r="C4" s="104">
        <f>+_xlfn.XLOOKUP($A4,'R (s02)'!$B:$B,'R (s02)'!E:E,"Falta")</f>
        <v>1</v>
      </c>
      <c r="D4" s="104">
        <f>+_xlfn.XLOOKUP($A4,'R (s02)'!$B:$B,'R (s02)'!F:F,"Falta")</f>
        <v>1</v>
      </c>
      <c r="E4" s="188" t="s">
        <v>342</v>
      </c>
      <c r="F4" s="105">
        <f>IFERROR(_xlfn.XLOOKUP(A4,diario!D:D,diario!L:L,"")*1000,"")</f>
        <v>17</v>
      </c>
      <c r="G4" s="107">
        <v>17.03</v>
      </c>
      <c r="H4" s="115">
        <f>IF(SUMIFS(Tabla1[Avance_km],Tabla1[Ducto],$A4,Tabla1[nombre_actividad],H$1)=0,"",SUMIFS(Tabla1[Avance_km],Tabla1[Ducto],$A4,Tabla1[nombre_actividad],H$1))</f>
        <v>1.7000000000000001E-2</v>
      </c>
      <c r="I4" s="115">
        <f>IF(SUMIFS(Tabla1[Avance_km],Tabla1[Ducto],$A4,Tabla1[nombre_actividad],I$1)=0,"",SUMIFS(Tabla1[Avance_km],Tabla1[Ducto],$A4,Tabla1[nombre_actividad],I$1))</f>
        <v>1.7000000000000001E-2</v>
      </c>
      <c r="J4" s="115">
        <f>IF(SUMIFS(Tabla1[Avance_km],Tabla1[Ducto],$A4,Tabla1[nombre_actividad],J$1)=0,"",SUMIFS(Tabla1[Avance_km],Tabla1[Ducto],$A4,Tabla1[nombre_actividad],J$1))</f>
        <v>1.7000000000000001E-2</v>
      </c>
      <c r="K4" s="140" t="str">
        <f>IF(SUMIFS(Tabla1[Avance_Med],Tabla1[Ducto],$A4,Tabla1[nombre_actividad],K$1)=0,"",SUMIFS(Tabla1[Avance_Med],Tabla1[Ducto],$A4,Tabla1[nombre_actividad],K$1))</f>
        <v/>
      </c>
    </row>
    <row r="5" spans="1:12" x14ac:dyDescent="0.3">
      <c r="A5" s="99" t="s">
        <v>55</v>
      </c>
      <c r="B5" s="103">
        <f>+_xlfn.XLOOKUP($A5,'R (s02)'!B:B,'R (s02)'!D:D,"Falta")</f>
        <v>1</v>
      </c>
      <c r="C5" s="104">
        <f>+_xlfn.XLOOKUP($A5,'R (s02)'!$B:$B,'R (s02)'!E:E,"Falta")</f>
        <v>1</v>
      </c>
      <c r="D5" s="104">
        <f>+_xlfn.XLOOKUP($A5,'R (s02)'!$B:$B,'R (s02)'!F:F,"Falta")</f>
        <v>1</v>
      </c>
      <c r="E5" s="188" t="s">
        <v>342</v>
      </c>
      <c r="F5" s="105">
        <f>IFERROR(_xlfn.XLOOKUP(A5,diario!D:D,diario!L:L,"")*1000,"")</f>
        <v>11</v>
      </c>
      <c r="G5" s="107">
        <v>11.67</v>
      </c>
      <c r="H5" s="115">
        <f>IF(SUMIFS(Tabla1[Avance_km],Tabla1[Ducto],$A5,Tabla1[nombre_actividad],H$1)=0,"",SUMIFS(Tabla1[Avance_km],Tabla1[Ducto],$A5,Tabla1[nombre_actividad],H$1))</f>
        <v>1.0999999999999999E-2</v>
      </c>
      <c r="I5" s="115">
        <f>IF(SUMIFS(Tabla1[Avance_km],Tabla1[Ducto],$A5,Tabla1[nombre_actividad],I$1)=0,"",SUMIFS(Tabla1[Avance_km],Tabla1[Ducto],$A5,Tabla1[nombre_actividad],I$1))</f>
        <v>1.0999999999999999E-2</v>
      </c>
      <c r="J5" s="115">
        <f>IF(SUMIFS(Tabla1[Avance_km],Tabla1[Ducto],$A5,Tabla1[nombre_actividad],J$1)=0,"",SUMIFS(Tabla1[Avance_km],Tabla1[Ducto],$A5,Tabla1[nombre_actividad],J$1))</f>
        <v>1.0999999999999999E-2</v>
      </c>
      <c r="K5" s="140" t="str">
        <f>IF(SUMIFS(Tabla1[Avance_Med],Tabla1[Ducto],$A5,Tabla1[nombre_actividad],K$1)=0,"",SUMIFS(Tabla1[Avance_Med],Tabla1[Ducto],$A5,Tabla1[nombre_actividad],K$1))</f>
        <v/>
      </c>
    </row>
    <row r="6" spans="1:12" x14ac:dyDescent="0.3">
      <c r="A6" s="99" t="s">
        <v>54</v>
      </c>
      <c r="B6" s="103">
        <f>+_xlfn.XLOOKUP($A6,'R (s02)'!B:B,'R (s02)'!D:D,"Falta")</f>
        <v>1</v>
      </c>
      <c r="C6" s="104">
        <f>+_xlfn.XLOOKUP($A6,'R (s02)'!$B:$B,'R (s02)'!E:E,"Falta")</f>
        <v>1</v>
      </c>
      <c r="D6" s="104">
        <f>+_xlfn.XLOOKUP($A6,'R (s02)'!$B:$B,'R (s02)'!F:F,"Falta")</f>
        <v>1</v>
      </c>
      <c r="E6" s="188" t="s">
        <v>342</v>
      </c>
      <c r="F6" s="105">
        <f>IFERROR(_xlfn.XLOOKUP(A6,diario!D:D,diario!L:L,"")*1000,"")</f>
        <v>13</v>
      </c>
      <c r="G6" s="107">
        <v>15.436949</v>
      </c>
      <c r="H6" s="115">
        <f>IF(SUMIFS(Tabla1[Avance_km],Tabla1[Ducto],$A6,Tabla1[nombre_actividad],H$1)=0,"",SUMIFS(Tabla1[Avance_km],Tabla1[Ducto],$A6,Tabla1[nombre_actividad],H$1))</f>
        <v>1.2999999999999999E-2</v>
      </c>
      <c r="I6" s="115">
        <f>IF(SUMIFS(Tabla1[Avance_km],Tabla1[Ducto],$A6,Tabla1[nombre_actividad],I$1)=0,"",SUMIFS(Tabla1[Avance_km],Tabla1[Ducto],$A6,Tabla1[nombre_actividad],I$1))</f>
        <v>1.2999999999999999E-2</v>
      </c>
      <c r="J6" s="115">
        <f>IF(SUMIFS(Tabla1[Avance_km],Tabla1[Ducto],$A6,Tabla1[nombre_actividad],J$1)=0,"",SUMIFS(Tabla1[Avance_km],Tabla1[Ducto],$A6,Tabla1[nombre_actividad],J$1))</f>
        <v>1.2999999999999999E-2</v>
      </c>
      <c r="K6" s="140" t="str">
        <f>IF(SUMIFS(Tabla1[Avance_Med],Tabla1[Ducto],$A6,Tabla1[nombre_actividad],K$1)=0,"",SUMIFS(Tabla1[Avance_Med],Tabla1[Ducto],$A6,Tabla1[nombre_actividad],K$1))</f>
        <v/>
      </c>
    </row>
    <row r="7" spans="1:12" x14ac:dyDescent="0.3">
      <c r="A7" s="99" t="s">
        <v>35</v>
      </c>
      <c r="B7" s="103">
        <f>+_xlfn.XLOOKUP($A7,'R (s02)'!B:B,'R (s02)'!D:D,"Falta")</f>
        <v>1</v>
      </c>
      <c r="C7" s="104">
        <f>+_xlfn.XLOOKUP($A7,'R (s02)'!$B:$B,'R (s02)'!E:E,"Falta")</f>
        <v>1</v>
      </c>
      <c r="D7" s="104">
        <f>+_xlfn.XLOOKUP($A7,'R (s02)'!$B:$B,'R (s02)'!F:F,"Falta")</f>
        <v>1</v>
      </c>
      <c r="E7" s="104">
        <f>+_xlfn.XLOOKUP($A7,'R (s02)'!$B:$B,'R (s02)'!G:G,"Falta")</f>
        <v>1</v>
      </c>
      <c r="F7" s="105">
        <f>IFERROR(_xlfn.XLOOKUP(A7,diario!D:D,diario!L:L,"")*1000,"")</f>
        <v>1195</v>
      </c>
      <c r="G7" s="107">
        <v>1189.9871559999999</v>
      </c>
      <c r="H7" s="115">
        <f>IF(SUMIFS(Tabla1[Avance_km],Tabla1[Ducto],$A7,Tabla1[nombre_actividad],H$1)=0,"",SUMIFS(Tabla1[Avance_km],Tabla1[Ducto],$A7,Tabla1[nombre_actividad],H$1))</f>
        <v>1.1950000000000001</v>
      </c>
      <c r="I7" s="115">
        <f>IF(SUMIFS(Tabla1[Avance_km],Tabla1[Ducto],$A7,Tabla1[nombre_actividad],I$1)=0,"",SUMIFS(Tabla1[Avance_km],Tabla1[Ducto],$A7,Tabla1[nombre_actividad],I$1))</f>
        <v>1.1950000000000001</v>
      </c>
      <c r="J7" s="115">
        <f>IF(SUMIFS(Tabla1[Avance_km],Tabla1[Ducto],$A7,Tabla1[nombre_actividad],J$1)=0,"",SUMIFS(Tabla1[Avance_km],Tabla1[Ducto],$A7,Tabla1[nombre_actividad],J$1))</f>
        <v>1.1950000000000001</v>
      </c>
      <c r="K7" s="116">
        <f>IF(SUMIFS(Tabla1[Avance_Med],Tabla1[Ducto],$A7,Tabla1[nombre_actividad],K$1)=0,"",SUMIFS(Tabla1[Avance_Med],Tabla1[Ducto],$A7,Tabla1[nombre_actividad],K$1))</f>
        <v>3</v>
      </c>
    </row>
    <row r="8" spans="1:12" x14ac:dyDescent="0.3">
      <c r="A8" s="100" t="s">
        <v>74</v>
      </c>
      <c r="B8" s="103">
        <f>+_xlfn.XLOOKUP($A8,'R (s02)'!B:B,'R (s02)'!D:D,"Falta")</f>
        <v>1</v>
      </c>
      <c r="C8" s="104">
        <f>+_xlfn.XLOOKUP($A8,'R (s02)'!$B:$B,'R (s02)'!E:E,"Falta")</f>
        <v>1</v>
      </c>
      <c r="D8" s="104">
        <f>+_xlfn.XLOOKUP($A8,'R (s02)'!$B:$B,'R (s02)'!F:F,"Falta")</f>
        <v>1</v>
      </c>
      <c r="E8" s="104">
        <f>+_xlfn.XLOOKUP($A8,'R (s02)'!$B:$B,'R (s02)'!G:G,"Falta")</f>
        <v>1</v>
      </c>
      <c r="F8" s="187">
        <f>IFERROR(_xlfn.XLOOKUP(A8,diario!D:D,diario!L:L,"")*1000,"")</f>
        <v>31</v>
      </c>
      <c r="G8" s="107">
        <v>31</v>
      </c>
      <c r="H8" s="115">
        <f>IF(SUMIFS(Tabla1[Avance_km],Tabla1[Ducto],$A8,Tabla1[nombre_actividad],H$1)=0,"",SUMIFS(Tabla1[Avance_km],Tabla1[Ducto],$A8,Tabla1[nombre_actividad],H$1))</f>
        <v>3.1E-2</v>
      </c>
      <c r="I8" s="115">
        <f>IF(SUMIFS(Tabla1[Avance_km],Tabla1[Ducto],$A8,Tabla1[nombre_actividad],I$1)=0,"",SUMIFS(Tabla1[Avance_km],Tabla1[Ducto],$A8,Tabla1[nombre_actividad],I$1))</f>
        <v>3.1E-2</v>
      </c>
      <c r="J8" s="115">
        <f>IF(SUMIFS(Tabla1[Avance_km],Tabla1[Ducto],$A8,Tabla1[nombre_actividad],J$1)=0,"",SUMIFS(Tabla1[Avance_km],Tabla1[Ducto],$A8,Tabla1[nombre_actividad],J$1))</f>
        <v>3.1E-2</v>
      </c>
      <c r="K8" s="116">
        <f>IF(SUMIFS(Tabla1[Avance_Med],Tabla1[Ducto],$A8,Tabla1[nombre_actividad],K$1)=0,"",SUMIFS(Tabla1[Avance_Med],Tabla1[Ducto],$A8,Tabla1[nombre_actividad],K$1))</f>
        <v>1</v>
      </c>
    </row>
    <row r="9" spans="1:12" x14ac:dyDescent="0.3">
      <c r="A9" s="99" t="s">
        <v>34</v>
      </c>
      <c r="B9" s="103">
        <f>+_xlfn.XLOOKUP($A9,'R (s02)'!B:B,'R (s02)'!D:D,"Falta")</f>
        <v>1</v>
      </c>
      <c r="C9" s="104">
        <f>+_xlfn.XLOOKUP($A9,'R (s02)'!$B:$B,'R (s02)'!E:E,"Falta")</f>
        <v>1</v>
      </c>
      <c r="D9" s="104">
        <f>+_xlfn.XLOOKUP($A9,'R (s02)'!$B:$B,'R (s02)'!F:F,"Falta")</f>
        <v>1</v>
      </c>
      <c r="E9" s="104">
        <f>+_xlfn.XLOOKUP($A9,'R (s02)'!$B:$B,'R (s02)'!G:G,"Falta")</f>
        <v>1</v>
      </c>
      <c r="F9" s="105">
        <f>IFERROR(_xlfn.XLOOKUP(A9,diario!D:D,diario!L:L,"")*1000,"")</f>
        <v>120</v>
      </c>
      <c r="G9" s="107">
        <v>92.52</v>
      </c>
      <c r="H9" s="115">
        <f>IF(SUMIFS(Tabla1[Avance_km],Tabla1[Ducto],$A9,Tabla1[nombre_actividad],H$1)=0,"",SUMIFS(Tabla1[Avance_km],Tabla1[Ducto],$A9,Tabla1[nombre_actividad],H$1))</f>
        <v>0.12</v>
      </c>
      <c r="I9" s="115">
        <f>IF(SUMIFS(Tabla1[Avance_km],Tabla1[Ducto],$A9,Tabla1[nombre_actividad],I$1)=0,"",SUMIFS(Tabla1[Avance_km],Tabla1[Ducto],$A9,Tabla1[nombre_actividad],I$1))</f>
        <v>0.12</v>
      </c>
      <c r="J9" s="115">
        <f>IF(SUMIFS(Tabla1[Avance_km],Tabla1[Ducto],$A9,Tabla1[nombre_actividad],J$1)=0,"",SUMIFS(Tabla1[Avance_km],Tabla1[Ducto],$A9,Tabla1[nombre_actividad],J$1))</f>
        <v>0.12</v>
      </c>
      <c r="K9" s="116">
        <f>IF(SUMIFS(Tabla1[Avance_Med],Tabla1[Ducto],$A9,Tabla1[nombre_actividad],K$1)=0,"",SUMIFS(Tabla1[Avance_Med],Tabla1[Ducto],$A9,Tabla1[nombre_actividad],K$1))</f>
        <v>1</v>
      </c>
    </row>
    <row r="10" spans="1:12" x14ac:dyDescent="0.3">
      <c r="A10" s="99" t="s">
        <v>56</v>
      </c>
      <c r="B10" s="103">
        <f>+_xlfn.XLOOKUP($A10,'R (s02)'!B:B,'R (s02)'!D:D,"Falta")</f>
        <v>1</v>
      </c>
      <c r="C10" s="104">
        <f>+_xlfn.XLOOKUP($A10,'R (s02)'!$B:$B,'R (s02)'!E:E,"Falta")</f>
        <v>1</v>
      </c>
      <c r="D10" s="104">
        <f>+_xlfn.XLOOKUP($A10,'R (s02)'!$B:$B,'R (s02)'!F:F,"Falta")</f>
        <v>1</v>
      </c>
      <c r="E10" s="188" t="s">
        <v>342</v>
      </c>
      <c r="F10" s="105">
        <f>IFERROR(_xlfn.XLOOKUP(A10,diario!D:D,diario!L:L,"")*1000,"")</f>
        <v>6</v>
      </c>
      <c r="G10" s="107">
        <v>6.54</v>
      </c>
      <c r="H10" s="115">
        <f>IF(SUMIFS(Tabla1[Avance_km],Tabla1[Ducto],$A10,Tabla1[nombre_actividad],H$1)=0,"",SUMIFS(Tabla1[Avance_km],Tabla1[Ducto],$A10,Tabla1[nombre_actividad],H$1))</f>
        <v>6.0000000000000001E-3</v>
      </c>
      <c r="I10" s="115">
        <f>IF(SUMIFS(Tabla1[Avance_km],Tabla1[Ducto],$A10,Tabla1[nombre_actividad],I$1)=0,"",SUMIFS(Tabla1[Avance_km],Tabla1[Ducto],$A10,Tabla1[nombre_actividad],I$1))</f>
        <v>6.0000000000000001E-3</v>
      </c>
      <c r="J10" s="115">
        <f>IF(SUMIFS(Tabla1[Avance_km],Tabla1[Ducto],$A10,Tabla1[nombre_actividad],J$1)=0,"",SUMIFS(Tabla1[Avance_km],Tabla1[Ducto],$A10,Tabla1[nombre_actividad],J$1))</f>
        <v>6.0000000000000001E-3</v>
      </c>
      <c r="K10" s="140" t="str">
        <f>IF(SUMIFS(Tabla1[Avance_Med],Tabla1[Ducto],$A10,Tabla1[nombre_actividad],K$1)=0,"",SUMIFS(Tabla1[Avance_Med],Tabla1[Ducto],$A10,Tabla1[nombre_actividad],K$1))</f>
        <v/>
      </c>
    </row>
    <row r="11" spans="1:12" x14ac:dyDescent="0.3">
      <c r="A11" s="99" t="s">
        <v>32</v>
      </c>
      <c r="B11" s="103">
        <f>+_xlfn.XLOOKUP($A11,'R (s02)'!B:B,'R (s02)'!D:D,"Falta")</f>
        <v>1</v>
      </c>
      <c r="C11" s="104">
        <f>+_xlfn.XLOOKUP($A11,'R (s02)'!$B:$B,'R (s02)'!E:E,"Falta")</f>
        <v>1</v>
      </c>
      <c r="D11" s="104">
        <f>+_xlfn.XLOOKUP($A11,'R (s02)'!$B:$B,'R (s02)'!F:F,"Falta")</f>
        <v>1</v>
      </c>
      <c r="E11" s="104">
        <f>+_xlfn.XLOOKUP($A11,'R (s02)'!$B:$B,'R (s02)'!G:G,"Falta")</f>
        <v>1</v>
      </c>
      <c r="F11" s="105">
        <f>IFERROR(_xlfn.XLOOKUP(A11,diario!D:D,diario!L:L,"")*1000,"")</f>
        <v>479</v>
      </c>
      <c r="G11" s="107">
        <v>479.75</v>
      </c>
      <c r="H11" s="115">
        <f>IF(SUMIFS(Tabla1[Avance_km],Tabla1[Ducto],$A11,Tabla1[nombre_actividad],H$1)=0,"",SUMIFS(Tabla1[Avance_km],Tabla1[Ducto],$A11,Tabla1[nombre_actividad],H$1))</f>
        <v>0.47899999999999998</v>
      </c>
      <c r="I11" s="115">
        <f>IF(SUMIFS(Tabla1[Avance_km],Tabla1[Ducto],$A11,Tabla1[nombre_actividad],I$1)=0,"",SUMIFS(Tabla1[Avance_km],Tabla1[Ducto],$A11,Tabla1[nombre_actividad],I$1))</f>
        <v>0.47899999999999998</v>
      </c>
      <c r="J11" s="115">
        <f>IF(SUMIFS(Tabla1[Avance_km],Tabla1[Ducto],$A11,Tabla1[nombre_actividad],J$1)=0,"",SUMIFS(Tabla1[Avance_km],Tabla1[Ducto],$A11,Tabla1[nombre_actividad],J$1))</f>
        <v>0.47899999999999998</v>
      </c>
      <c r="K11" s="116">
        <f>IF(SUMIFS(Tabla1[Avance_Med],Tabla1[Ducto],$A11,Tabla1[nombre_actividad],K$1)=0,"",SUMIFS(Tabla1[Avance_Med],Tabla1[Ducto],$A11,Tabla1[nombre_actividad],K$1))</f>
        <v>1</v>
      </c>
    </row>
    <row r="12" spans="1:12" x14ac:dyDescent="0.3">
      <c r="A12" s="99" t="s">
        <v>33</v>
      </c>
      <c r="B12" s="103">
        <f>+_xlfn.XLOOKUP($A12,'R (s02)'!B:B,'R (s02)'!D:D,"Falta")</f>
        <v>1</v>
      </c>
      <c r="C12" s="104">
        <f>+_xlfn.XLOOKUP($A12,'R (s02)'!$B:$B,'R (s02)'!E:E,"Falta")</f>
        <v>1</v>
      </c>
      <c r="D12" s="104">
        <f>+_xlfn.XLOOKUP($A12,'R (s02)'!$B:$B,'R (s02)'!F:F,"Falta")</f>
        <v>1</v>
      </c>
      <c r="E12" s="188" t="s">
        <v>342</v>
      </c>
      <c r="F12" s="105">
        <f>IFERROR(_xlfn.XLOOKUP(A12,diario!D:D,diario!L:L,"")*1000,"")</f>
        <v>40</v>
      </c>
      <c r="G12" s="107">
        <v>45.15</v>
      </c>
      <c r="H12" s="115">
        <f>IF(SUMIFS(Tabla1[Avance_km],Tabla1[Ducto],$A12,Tabla1[nombre_actividad],H$1)=0,"",SUMIFS(Tabla1[Avance_km],Tabla1[Ducto],$A12,Tabla1[nombre_actividad],H$1))</f>
        <v>0.04</v>
      </c>
      <c r="I12" s="115">
        <f>IF(SUMIFS(Tabla1[Avance_km],Tabla1[Ducto],$A12,Tabla1[nombre_actividad],I$1)=0,"",SUMIFS(Tabla1[Avance_km],Tabla1[Ducto],$A12,Tabla1[nombre_actividad],I$1))</f>
        <v>0.04</v>
      </c>
      <c r="J12" s="115">
        <f>IF(SUMIFS(Tabla1[Avance_km],Tabla1[Ducto],$A12,Tabla1[nombre_actividad],J$1)=0,"",SUMIFS(Tabla1[Avance_km],Tabla1[Ducto],$A12,Tabla1[nombre_actividad],J$1))</f>
        <v>0.04</v>
      </c>
      <c r="K12" s="140" t="str">
        <f>IF(SUMIFS(Tabla1[Avance_Med],Tabla1[Ducto],$A12,Tabla1[nombre_actividad],K$1)=0,"",SUMIFS(Tabla1[Avance_Med],Tabla1[Ducto],$A12,Tabla1[nombre_actividad],K$1))</f>
        <v/>
      </c>
    </row>
    <row r="13" spans="1:12" x14ac:dyDescent="0.3">
      <c r="A13" s="99" t="s">
        <v>26</v>
      </c>
      <c r="B13" s="103">
        <f>+_xlfn.XLOOKUP($A13,'R (s02)'!B:B,'R (s02)'!D:D,"Falta")</f>
        <v>1</v>
      </c>
      <c r="C13" s="104">
        <f>+_xlfn.XLOOKUP($A13,'R (s02)'!$B:$B,'R (s02)'!E:E,"Falta")</f>
        <v>1</v>
      </c>
      <c r="D13" s="104">
        <f>+_xlfn.XLOOKUP($A13,'R (s02)'!$B:$B,'R (s02)'!F:F,"Falta")</f>
        <v>1</v>
      </c>
      <c r="E13" s="188" t="s">
        <v>342</v>
      </c>
      <c r="F13" s="105">
        <f>IFERROR(_xlfn.XLOOKUP(A13,diario!D:D,diario!L:L,"")*1000,"")</f>
        <v>9</v>
      </c>
      <c r="G13" s="107">
        <v>9</v>
      </c>
      <c r="H13" s="115">
        <f>IF(SUMIFS(Tabla1[Avance_km],Tabla1[Ducto],$A13,Tabla1[nombre_actividad],H$1)=0,"",SUMIFS(Tabla1[Avance_km],Tabla1[Ducto],$A13,Tabla1[nombre_actividad],H$1))</f>
        <v>8.9999999999999993E-3</v>
      </c>
      <c r="I13" s="115">
        <f>IF(SUMIFS(Tabla1[Avance_km],Tabla1[Ducto],$A13,Tabla1[nombre_actividad],I$1)=0,"",SUMIFS(Tabla1[Avance_km],Tabla1[Ducto],$A13,Tabla1[nombre_actividad],I$1))</f>
        <v>8.9999999999999993E-3</v>
      </c>
      <c r="J13" s="115">
        <f>IF(SUMIFS(Tabla1[Avance_km],Tabla1[Ducto],$A13,Tabla1[nombre_actividad],J$1)=0,"",SUMIFS(Tabla1[Avance_km],Tabla1[Ducto],$A13,Tabla1[nombre_actividad],J$1))</f>
        <v>8.9999999999999993E-3</v>
      </c>
      <c r="K13" s="140" t="str">
        <f>IF(SUMIFS(Tabla1[Avance_Med],Tabla1[Ducto],$A13,Tabla1[nombre_actividad],K$1)=0,"",SUMIFS(Tabla1[Avance_Med],Tabla1[Ducto],$A13,Tabla1[nombre_actividad],K$1))</f>
        <v/>
      </c>
    </row>
    <row r="14" spans="1:12" x14ac:dyDescent="0.3">
      <c r="A14" s="99" t="s">
        <v>357</v>
      </c>
      <c r="B14" s="103">
        <f>+_xlfn.XLOOKUP($A14,'R (s02)'!B:B,'R (s02)'!D:D,"Falta")</f>
        <v>1</v>
      </c>
      <c r="C14" s="104">
        <f>+_xlfn.XLOOKUP($A14,'R (s02)'!$B:$B,'R (s02)'!E:E,"Falta")</f>
        <v>1</v>
      </c>
      <c r="D14" s="104">
        <f>+_xlfn.XLOOKUP($A14,'R (s02)'!$B:$B,'R (s02)'!F:F,"Falta")</f>
        <v>1</v>
      </c>
      <c r="E14" s="104">
        <f>+_xlfn.XLOOKUP($A14,'R (s02)'!$B:$B,'R (s02)'!G:G,"Falta")</f>
        <v>1</v>
      </c>
      <c r="F14" s="105">
        <f>IFERROR(_xlfn.XLOOKUP(A14,diario!D:D,diario!L:L,"")*1000,"")</f>
        <v>741</v>
      </c>
      <c r="G14" s="107">
        <v>741.611088</v>
      </c>
      <c r="H14" s="115">
        <f>IF(SUMIFS(Tabla1[Avance_km],Tabla1[Ducto],$A14,Tabla1[nombre_actividad],H$1)=0,"",SUMIFS(Tabla1[Avance_km],Tabla1[Ducto],$A14,Tabla1[nombre_actividad],H$1))</f>
        <v>0.74099999999999999</v>
      </c>
      <c r="I14" s="115">
        <f>IF(SUMIFS(Tabla1[Avance_km],Tabla1[Ducto],$A14,Tabla1[nombre_actividad],I$1)=0,"",SUMIFS(Tabla1[Avance_km],Tabla1[Ducto],$A14,Tabla1[nombre_actividad],I$1))</f>
        <v>0.74099999999999999</v>
      </c>
      <c r="J14" s="115">
        <f>IF(SUMIFS(Tabla1[Avance_km],Tabla1[Ducto],$A14,Tabla1[nombre_actividad],J$1)=0,"",SUMIFS(Tabla1[Avance_km],Tabla1[Ducto],$A14,Tabla1[nombre_actividad],J$1))</f>
        <v>0.74099999999999999</v>
      </c>
      <c r="K14" s="116">
        <f>IF(SUMIFS(Tabla1[Avance_Med],Tabla1[Ducto],$A14,Tabla1[nombre_actividad],K$1)=0,"",SUMIFS(Tabla1[Avance_Med],Tabla1[Ducto],$A14,Tabla1[nombre_actividad],K$1))</f>
        <v>2</v>
      </c>
    </row>
    <row r="15" spans="1:12" x14ac:dyDescent="0.3">
      <c r="A15" s="99" t="s">
        <v>23</v>
      </c>
      <c r="B15" s="103">
        <f>+_xlfn.XLOOKUP($A15,'R (s02)'!B:B,'R (s02)'!D:D,"Falta")</f>
        <v>1</v>
      </c>
      <c r="C15" s="104">
        <f>+_xlfn.XLOOKUP($A15,'R (s02)'!$B:$B,'R (s02)'!E:E,"Falta")</f>
        <v>1</v>
      </c>
      <c r="D15" s="104">
        <f>+_xlfn.XLOOKUP($A15,'R (s02)'!$B:$B,'R (s02)'!F:F,"Falta")</f>
        <v>1</v>
      </c>
      <c r="E15" s="104">
        <f>+_xlfn.XLOOKUP($A15,'R (s02)'!$B:$B,'R (s02)'!G:G,"Falta")</f>
        <v>1</v>
      </c>
      <c r="F15" s="105">
        <f>IFERROR(_xlfn.XLOOKUP(A15,diario!D:D,diario!L:L,"")*1000,"")</f>
        <v>2200</v>
      </c>
      <c r="G15" s="107">
        <v>2168.1663199999998</v>
      </c>
      <c r="H15" s="115">
        <f>IF(SUMIFS(Tabla1[Avance_km],Tabla1[Ducto],$A15,Tabla1[nombre_actividad],H$1)=0,"",SUMIFS(Tabla1[Avance_km],Tabla1[Ducto],$A15,Tabla1[nombre_actividad],H$1))</f>
        <v>2.2000000000000002</v>
      </c>
      <c r="I15" s="115">
        <f>IF(SUMIFS(Tabla1[Avance_km],Tabla1[Ducto],$A15,Tabla1[nombre_actividad],I$1)=0,"",SUMIFS(Tabla1[Avance_km],Tabla1[Ducto],$A15,Tabla1[nombre_actividad],I$1))</f>
        <v>2.2000000000000002</v>
      </c>
      <c r="J15" s="115">
        <f>IF(SUMIFS(Tabla1[Avance_km],Tabla1[Ducto],$A15,Tabla1[nombre_actividad],J$1)=0,"",SUMIFS(Tabla1[Avance_km],Tabla1[Ducto],$A15,Tabla1[nombre_actividad],J$1))</f>
        <v>2.2000000000000002</v>
      </c>
      <c r="K15" s="116">
        <f>IF(SUMIFS(Tabla1[Avance_Med],Tabla1[Ducto],$A15,Tabla1[nombre_actividad],K$1)=0,"",SUMIFS(Tabla1[Avance_Med],Tabla1[Ducto],$A15,Tabla1[nombre_actividad],K$1))</f>
        <v>6</v>
      </c>
    </row>
    <row r="16" spans="1:12" x14ac:dyDescent="0.3">
      <c r="A16" s="100" t="s">
        <v>39</v>
      </c>
      <c r="B16" s="103">
        <f>+_xlfn.XLOOKUP($A16,'R (s02)'!B:B,'R (s02)'!D:D,"Falta")</f>
        <v>1</v>
      </c>
      <c r="C16" s="104">
        <f>+_xlfn.XLOOKUP($A16,'R (s02)'!$B:$B,'R (s02)'!E:E,"Falta")</f>
        <v>1</v>
      </c>
      <c r="D16" s="104">
        <f>+_xlfn.XLOOKUP($A16,'R (s02)'!$B:$B,'R (s02)'!F:F,"Falta")</f>
        <v>1</v>
      </c>
      <c r="E16" s="104">
        <f>+_xlfn.XLOOKUP($A16,'R (s02)'!$B:$B,'R (s02)'!G:G,"Falta")</f>
        <v>1</v>
      </c>
      <c r="F16" s="105">
        <f>IFERROR(_xlfn.XLOOKUP(A16,diario!D:D,diario!L:L,"")*1000,"")</f>
        <v>20</v>
      </c>
      <c r="G16" s="107">
        <v>17.320043999999999</v>
      </c>
      <c r="H16" s="115">
        <f>IF(SUMIFS(Tabla1[Avance_km],Tabla1[Ducto],$A16,Tabla1[nombre_actividad],H$1)=0,"",SUMIFS(Tabla1[Avance_km],Tabla1[Ducto],$A16,Tabla1[nombre_actividad],H$1))</f>
        <v>0.02</v>
      </c>
      <c r="I16" s="115">
        <f>IF(SUMIFS(Tabla1[Avance_km],Tabla1[Ducto],$A16,Tabla1[nombre_actividad],I$1)=0,"",SUMIFS(Tabla1[Avance_km],Tabla1[Ducto],$A16,Tabla1[nombre_actividad],I$1))</f>
        <v>0.02</v>
      </c>
      <c r="J16" s="115">
        <f>IF(SUMIFS(Tabla1[Avance_km],Tabla1[Ducto],$A16,Tabla1[nombre_actividad],J$1)=0,"",SUMIFS(Tabla1[Avance_km],Tabla1[Ducto],$A16,Tabla1[nombre_actividad],J$1))</f>
        <v>0.02</v>
      </c>
      <c r="K16" s="116">
        <f>IF(SUMIFS(Tabla1[Avance_Med],Tabla1[Ducto],$A16,Tabla1[nombre_actividad],K$1)=0,"",SUMIFS(Tabla1[Avance_Med],Tabla1[Ducto],$A16,Tabla1[nombre_actividad],K$1))</f>
        <v>1</v>
      </c>
    </row>
    <row r="17" spans="1:11" x14ac:dyDescent="0.3">
      <c r="A17" s="100" t="s">
        <v>24</v>
      </c>
      <c r="B17" s="103">
        <f>+_xlfn.XLOOKUP($A17,'R (s02)'!B:B,'R (s02)'!D:D,"Falta")</f>
        <v>1</v>
      </c>
      <c r="C17" s="104">
        <f>+_xlfn.XLOOKUP($A17,'R (s02)'!$B:$B,'R (s02)'!E:E,"Falta")</f>
        <v>1</v>
      </c>
      <c r="D17" s="104">
        <f>+_xlfn.XLOOKUP($A17,'R (s02)'!$B:$B,'R (s02)'!F:F,"Falta")</f>
        <v>1</v>
      </c>
      <c r="E17" s="104">
        <f>+_xlfn.XLOOKUP($A17,'R (s02)'!$B:$B,'R (s02)'!G:G,"Falta")</f>
        <v>1</v>
      </c>
      <c r="F17" s="105">
        <f>IFERROR(_xlfn.XLOOKUP(A17,diario!D:D,diario!L:L,"")*1000,"")</f>
        <v>2576</v>
      </c>
      <c r="G17" s="107">
        <v>2598.3872190000002</v>
      </c>
      <c r="H17" s="115">
        <f>IF(SUMIFS(Tabla1[Avance_km],Tabla1[Ducto],$A17,Tabla1[nombre_actividad],H$1)=0,"",SUMIFS(Tabla1[Avance_km],Tabla1[Ducto],$A17,Tabla1[nombre_actividad],H$1))</f>
        <v>2.5760000000000001</v>
      </c>
      <c r="I17" s="115">
        <f>IF(SUMIFS(Tabla1[Avance_km],Tabla1[Ducto],$A17,Tabla1[nombre_actividad],I$1)=0,"",SUMIFS(Tabla1[Avance_km],Tabla1[Ducto],$A17,Tabla1[nombre_actividad],I$1))</f>
        <v>2.5760000000000001</v>
      </c>
      <c r="J17" s="115">
        <f>IF(SUMIFS(Tabla1[Avance_km],Tabla1[Ducto],$A17,Tabla1[nombre_actividad],J$1)=0,"",SUMIFS(Tabla1[Avance_km],Tabla1[Ducto],$A17,Tabla1[nombre_actividad],J$1))</f>
        <v>2.5760000000000001</v>
      </c>
      <c r="K17" s="116">
        <f>IF(SUMIFS(Tabla1[Avance_Med],Tabla1[Ducto],$A17,Tabla1[nombre_actividad],K$1)=0,"",SUMIFS(Tabla1[Avance_Med],Tabla1[Ducto],$A17,Tabla1[nombre_actividad],K$1))</f>
        <v>6</v>
      </c>
    </row>
    <row r="18" spans="1:11" x14ac:dyDescent="0.3">
      <c r="A18" s="101" t="s">
        <v>25</v>
      </c>
      <c r="B18" s="103">
        <f>+_xlfn.XLOOKUP($A18,'R (s02)'!B:B,'R (s02)'!D:D,"Falta")</f>
        <v>1</v>
      </c>
      <c r="C18" s="104">
        <f>+_xlfn.XLOOKUP($A18,'R (s02)'!$B:$B,'R (s02)'!E:E,"Falta")</f>
        <v>1</v>
      </c>
      <c r="D18" s="104">
        <f>+_xlfn.XLOOKUP($A18,'R (s02)'!$B:$B,'R (s02)'!F:F,"Falta")</f>
        <v>1</v>
      </c>
      <c r="E18" s="188" t="s">
        <v>342</v>
      </c>
      <c r="F18" s="105">
        <f>IFERROR(_xlfn.XLOOKUP(A18,diario!D:D,diario!L:L,"")*1000,"")</f>
        <v>125</v>
      </c>
      <c r="G18" s="107">
        <v>124.30148</v>
      </c>
      <c r="H18" s="115">
        <f>IF(SUMIFS(Tabla1[Avance_km],Tabla1[Ducto],$A18,Tabla1[nombre_actividad],H$1)=0,"",SUMIFS(Tabla1[Avance_km],Tabla1[Ducto],$A18,Tabla1[nombre_actividad],H$1))</f>
        <v>0.125</v>
      </c>
      <c r="I18" s="115">
        <f>IF(SUMIFS(Tabla1[Avance_km],Tabla1[Ducto],$A18,Tabla1[nombre_actividad],I$1)=0,"",SUMIFS(Tabla1[Avance_km],Tabla1[Ducto],$A18,Tabla1[nombre_actividad],I$1))</f>
        <v>0.125</v>
      </c>
      <c r="J18" s="115">
        <f>IF(SUMIFS(Tabla1[Avance_km],Tabla1[Ducto],$A18,Tabla1[nombre_actividad],J$1)=0,"",SUMIFS(Tabla1[Avance_km],Tabla1[Ducto],$A18,Tabla1[nombre_actividad],J$1))</f>
        <v>0.125</v>
      </c>
      <c r="K18" s="140" t="str">
        <f>IF(SUMIFS(Tabla1[Avance_Med],Tabla1[Ducto],$A18,Tabla1[nombre_actividad],K$1)=0,"",SUMIFS(Tabla1[Avance_Med],Tabla1[Ducto],$A18,Tabla1[nombre_actividad],K$1))</f>
        <v/>
      </c>
    </row>
    <row r="20" spans="1:11" x14ac:dyDescent="0.3">
      <c r="G20" s="107">
        <f>SUM(G2:G18)</f>
        <v>32692.430256</v>
      </c>
      <c r="H20" s="129">
        <f>SUM(H2:H18)</f>
        <v>32.987999999999992</v>
      </c>
      <c r="I20" s="129">
        <f t="shared" ref="I20:K20" si="0">SUM(I2:I18)</f>
        <v>32.987999999999992</v>
      </c>
      <c r="J20" s="129">
        <f t="shared" si="0"/>
        <v>32.987999999999992</v>
      </c>
      <c r="K20" s="130">
        <f t="shared" si="0"/>
        <v>73</v>
      </c>
    </row>
    <row r="21" spans="1:11" ht="30" x14ac:dyDescent="0.3">
      <c r="H21" s="65" t="s">
        <v>78</v>
      </c>
      <c r="I21" s="65" t="s">
        <v>79</v>
      </c>
      <c r="J21" s="65" t="s">
        <v>80</v>
      </c>
      <c r="K21" s="65" t="s">
        <v>81</v>
      </c>
    </row>
  </sheetData>
  <conditionalFormatting sqref="B2:E18">
    <cfRule type="expression" dxfId="13" priority="1">
      <formula>IF(OR(B2="Falta",B2=0)=TRUE,TRUE,FALSE)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09CA-93D0-455F-AE26-F49BF26B6BDB}">
  <sheetPr codeName="Hoja17">
    <tabColor rgb="FF00B050"/>
  </sheetPr>
  <dimension ref="A1:M49"/>
  <sheetViews>
    <sheetView showGridLines="0" topLeftCell="A32" workbookViewId="0">
      <selection activeCell="K59" sqref="K59"/>
    </sheetView>
  </sheetViews>
  <sheetFormatPr baseColWidth="10" defaultColWidth="11.42578125" defaultRowHeight="16.5" outlineLevelCol="1" x14ac:dyDescent="0.3"/>
  <cols>
    <col min="1" max="1" width="45.42578125" style="102" bestFit="1" customWidth="1"/>
    <col min="2" max="2" width="13.85546875" style="76" customWidth="1" outlineLevel="1"/>
    <col min="3" max="3" width="8" style="76" customWidth="1" outlineLevel="1"/>
    <col min="4" max="4" width="8.140625" style="76" customWidth="1" outlineLevel="1"/>
    <col min="5" max="5" width="16.42578125" style="76" customWidth="1" outlineLevel="1"/>
    <col min="6" max="6" width="11.42578125" customWidth="1" outlineLevel="1"/>
    <col min="7" max="8" width="13.42578125" customWidth="1"/>
    <col min="11" max="11" width="16.42578125" style="76" customWidth="1"/>
  </cols>
  <sheetData>
    <row r="1" spans="1:13" ht="36" customHeight="1" x14ac:dyDescent="0.25">
      <c r="A1" s="97" t="s">
        <v>256</v>
      </c>
      <c r="B1" s="65" t="s">
        <v>78</v>
      </c>
      <c r="C1" s="65" t="s">
        <v>79</v>
      </c>
      <c r="D1" s="65" t="s">
        <v>80</v>
      </c>
      <c r="E1" s="65" t="s">
        <v>81</v>
      </c>
      <c r="G1" s="180" t="s">
        <v>257</v>
      </c>
      <c r="H1" s="65" t="s">
        <v>78</v>
      </c>
      <c r="I1" s="65" t="s">
        <v>79</v>
      </c>
      <c r="J1" s="65" t="s">
        <v>80</v>
      </c>
      <c r="K1" s="65" t="s">
        <v>81</v>
      </c>
      <c r="L1" s="1">
        <f>+COUNTA(A2:A45)</f>
        <v>44</v>
      </c>
    </row>
    <row r="2" spans="1:13" x14ac:dyDescent="0.3">
      <c r="A2" s="178" t="s">
        <v>212</v>
      </c>
      <c r="B2" s="103">
        <f>+_xlfn.XLOOKUP($A2,'R (s03)'!B:B,'R (s03)'!D:D,"Falta")</f>
        <v>1</v>
      </c>
      <c r="C2" s="104">
        <f>+_xlfn.XLOOKUP($A2,'R (s03)'!$B:$B,'R (s03)'!E:E,"Falta")</f>
        <v>1.0198702684949503</v>
      </c>
      <c r="D2" s="104">
        <f>+_xlfn.XLOOKUP($A2,'R (s03)'!$B:$B,'R (s03)'!F:F,"Falta")</f>
        <v>0.9630511536250923</v>
      </c>
      <c r="E2" s="104">
        <f>+_xlfn.XLOOKUP($A2,'R (s03)'!$B:$B,'R (s03)'!G:G,"Falta")</f>
        <v>1</v>
      </c>
      <c r="F2" s="105">
        <v>24000</v>
      </c>
      <c r="G2" s="107">
        <v>23864</v>
      </c>
      <c r="H2" s="115">
        <f>IF(SUMIFS(Tabla1[Avance_km],Tabla1[Ducto],$A2,Tabla1[nombre_actividad],H$1)=0,"",SUMIFS(Tabla1[Avance_km],Tabla1[Ducto],$A2,Tabla1[nombre_actividad],H$1))</f>
        <v>24.358000000000001</v>
      </c>
      <c r="I2" s="115">
        <f>IF(SUMIFS(Tabla1[Avance_km],Tabla1[Ducto],$A2,Tabla1[nombre_actividad],I$1)=0,"",SUMIFS(Tabla1[Avance_km],Tabla1[Ducto],$A2,Tabla1[nombre_actividad],I$1))</f>
        <v>24.842000000000002</v>
      </c>
      <c r="J2" s="115">
        <f>IF(SUMIFS(Tabla1[Avance_km],Tabla1[Ducto],$A2,Tabla1[nombre_actividad],J$1,Tabla1[Avance_km],"&gt;0")=0,"",SUMIFS(Tabla1[Avance_km],Tabla1[Ducto],$A2,Tabla1[nombre_actividad],J$1,Tabla1[Avance_km],"&gt;0"))</f>
        <v>24.858000000000001</v>
      </c>
      <c r="K2" s="116">
        <f>IF(SUMIFS(Tabla1[Avance_Med],Tabla1[Ducto],$A2,Tabla1[nombre_actividad],K$1)=0,"",SUMIFS(Tabla1[Avance_Med],Tabla1[Ducto],$A2,Tabla1[nombre_actividad],K$1))</f>
        <v>49</v>
      </c>
      <c r="L2" t="s">
        <v>212</v>
      </c>
    </row>
    <row r="3" spans="1:13" x14ac:dyDescent="0.3">
      <c r="A3" s="99" t="s">
        <v>213</v>
      </c>
      <c r="B3" s="103">
        <f>+_xlfn.XLOOKUP($A3,'R (s03)'!$B:$B,'R (s03)'!D:D,"Falta")</f>
        <v>1</v>
      </c>
      <c r="C3" s="104">
        <f>+_xlfn.XLOOKUP($A3,'R (s03)'!$B:$B,'R (s03)'!E:E,"Falta")</f>
        <v>1</v>
      </c>
      <c r="D3" s="104">
        <f>+_xlfn.XLOOKUP($A3,'R (s03)'!$B:$B,'R (s03)'!F:F,"Falta")</f>
        <v>1</v>
      </c>
      <c r="E3" s="104">
        <f>+_xlfn.XLOOKUP($A3,'R (s03)'!$B:$B,'R (s03)'!G:G,"Falta")</f>
        <v>1</v>
      </c>
      <c r="F3" s="105">
        <v>26</v>
      </c>
      <c r="G3" s="107">
        <v>25</v>
      </c>
      <c r="H3" s="115">
        <f>IF(SUMIFS(Tabla1[Avance_km],Tabla1[Ducto],$A3,Tabla1[nombre_actividad],H$1)=0,"",SUMIFS(Tabla1[Avance_km],Tabla1[Ducto],$A3,Tabla1[nombre_actividad],H$1))</f>
        <v>2.5999999999999999E-2</v>
      </c>
      <c r="I3" s="115">
        <f>IF(SUMIFS(Tabla1[Avance_km],Tabla1[Ducto],$A3,Tabla1[nombre_actividad],I$1)=0,"",SUMIFS(Tabla1[Avance_km],Tabla1[Ducto],$A3,Tabla1[nombre_actividad],I$1))</f>
        <v>2.5000000000000001E-2</v>
      </c>
      <c r="J3" s="115">
        <f>IF(SUMIFS(Tabla1[Avance_km],Tabla1[Ducto],$A3,Tabla1[nombre_actividad],J$1,Tabla1[Avance_km],"&gt;0")=0,"",SUMIFS(Tabla1[Avance_km],Tabla1[Ducto],$A3,Tabla1[nombre_actividad],J$1,Tabla1[Avance_km],"&gt;0"))</f>
        <v>2.5999999999999999E-2</v>
      </c>
      <c r="K3" s="116">
        <f>IF(SUMIFS(Tabla1[Avance_Med],Tabla1[Ducto],$A3,Tabla1[nombre_actividad],K$1)=0,"",SUMIFS(Tabla1[Avance_Med],Tabla1[Ducto],$A3,Tabla1[nombre_actividad],K$1))</f>
        <v>1</v>
      </c>
      <c r="L3" t="s">
        <v>213</v>
      </c>
      <c r="M3" s="26"/>
    </row>
    <row r="4" spans="1:13" x14ac:dyDescent="0.3">
      <c r="A4" s="99" t="s">
        <v>214</v>
      </c>
      <c r="B4" s="103">
        <f>+_xlfn.XLOOKUP($A4,'R (s03)'!$B:$B,'R (s03)'!D:D,"Falta")</f>
        <v>1</v>
      </c>
      <c r="C4" s="104">
        <f>+_xlfn.XLOOKUP($A4,'R (s03)'!$B:$B,'R (s03)'!E:E,"Falta")</f>
        <v>1</v>
      </c>
      <c r="D4" s="104">
        <f>+_xlfn.XLOOKUP($A4,'R (s03)'!$B:$B,'R (s03)'!F:F,"Falta")</f>
        <v>1</v>
      </c>
      <c r="E4" s="104">
        <f>+_xlfn.XLOOKUP($A4,'R (s03)'!$B:$B,'R (s03)'!G:G,"Falta")</f>
        <v>1</v>
      </c>
      <c r="F4" s="105">
        <v>9</v>
      </c>
      <c r="G4" s="107">
        <v>9</v>
      </c>
      <c r="H4" s="115">
        <f>IF(SUMIFS(Tabla1[Avance_km],Tabla1[Ducto],$A4,Tabla1[nombre_actividad],H$1)=0,"",SUMIFS(Tabla1[Avance_km],Tabla1[Ducto],$A4,Tabla1[nombre_actividad],H$1))</f>
        <v>1.2999999999999999E-2</v>
      </c>
      <c r="I4" s="115">
        <f>IF(SUMIFS(Tabla1[Avance_km],Tabla1[Ducto],$A4,Tabla1[nombre_actividad],I$1)=0,"",SUMIFS(Tabla1[Avance_km],Tabla1[Ducto],$A4,Tabla1[nombre_actividad],I$1))</f>
        <v>1.2999999999999999E-2</v>
      </c>
      <c r="J4" s="115">
        <f>IF(SUMIFS(Tabla1[Avance_km],Tabla1[Ducto],$A4,Tabla1[nombre_actividad],J$1,Tabla1[Avance_km],"&gt;0")=0,"",SUMIFS(Tabla1[Avance_km],Tabla1[Ducto],$A4,Tabla1[nombre_actividad],J$1,Tabla1[Avance_km],"&gt;0"))</f>
        <v>1.2999999999999999E-2</v>
      </c>
      <c r="K4" s="116">
        <f>IF(SUMIFS(Tabla1[Avance_Med],Tabla1[Ducto],$A4,Tabla1[nombre_actividad],K$1)=0,"",SUMIFS(Tabla1[Avance_Med],Tabla1[Ducto],$A4,Tabla1[nombre_actividad],K$1))</f>
        <v>1</v>
      </c>
      <c r="L4" t="s">
        <v>214</v>
      </c>
    </row>
    <row r="5" spans="1:13" x14ac:dyDescent="0.3">
      <c r="A5" s="99" t="s">
        <v>215</v>
      </c>
      <c r="B5" s="103">
        <f>+_xlfn.XLOOKUP($A5,'R (s03)'!$B:$B,'R (s03)'!D:D,"Falta")</f>
        <v>1</v>
      </c>
      <c r="C5" s="104">
        <f>+_xlfn.XLOOKUP($A5,'R (s03)'!$B:$B,'R (s03)'!E:E,"Falta")</f>
        <v>0.97916666666666663</v>
      </c>
      <c r="D5" s="104">
        <f>+_xlfn.XLOOKUP($A5,'R (s03)'!$B:$B,'R (s03)'!F:F,"Falta")</f>
        <v>1</v>
      </c>
      <c r="E5" s="104">
        <f>+_xlfn.XLOOKUP($A5,'R (s03)'!$B:$B,'R (s03)'!G:G,"Falta")</f>
        <v>1</v>
      </c>
      <c r="F5" s="105">
        <v>1880</v>
      </c>
      <c r="G5" s="107">
        <v>1872</v>
      </c>
      <c r="H5" s="115">
        <f>IF(SUMIFS(Tabla1[Avance_km],Tabla1[Ducto],$A5,Tabla1[nombre_actividad],H$1)=0,"",SUMIFS(Tabla1[Avance_km],Tabla1[Ducto],$A5,Tabla1[nombre_actividad],H$1))</f>
        <v>1.92</v>
      </c>
      <c r="I5" s="115">
        <f>IF(SUMIFS(Tabla1[Avance_km],Tabla1[Ducto],$A5,Tabla1[nombre_actividad],I$1)=0,"",SUMIFS(Tabla1[Avance_km],Tabla1[Ducto],$A5,Tabla1[nombre_actividad],I$1))</f>
        <v>1.88</v>
      </c>
      <c r="J5" s="115">
        <f>IF(SUMIFS(Tabla1[Avance_km],Tabla1[Ducto],$A5,Tabla1[nombre_actividad],J$1,Tabla1[Avance_km],"&gt;0")=0,"",SUMIFS(Tabla1[Avance_km],Tabla1[Ducto],$A5,Tabla1[nombre_actividad],J$1,Tabla1[Avance_km],"&gt;0"))</f>
        <v>1.92</v>
      </c>
      <c r="K5" s="116">
        <f>IF(SUMIFS(Tabla1[Avance_Med],Tabla1[Ducto],$A5,Tabla1[nombre_actividad],K$1)=0,"",SUMIFS(Tabla1[Avance_Med],Tabla1[Ducto],$A5,Tabla1[nombre_actividad],K$1))</f>
        <v>5</v>
      </c>
      <c r="L5" t="s">
        <v>215</v>
      </c>
    </row>
    <row r="6" spans="1:13" x14ac:dyDescent="0.3">
      <c r="A6" s="99" t="s">
        <v>216</v>
      </c>
      <c r="B6" s="103">
        <f>+_xlfn.XLOOKUP($A6,'R (s03)'!$B:$B,'R (s03)'!D:D,"Falta")</f>
        <v>1</v>
      </c>
      <c r="C6" s="104">
        <f>+_xlfn.XLOOKUP($A6,'R (s03)'!$B:$B,'R (s03)'!E:E,"Falta")</f>
        <v>1</v>
      </c>
      <c r="D6" s="104">
        <f>+_xlfn.XLOOKUP($A6,'R (s03)'!$B:$B,'R (s03)'!F:F,"Falta")</f>
        <v>1</v>
      </c>
      <c r="E6" s="104">
        <f>+_xlfn.XLOOKUP($A6,'R (s03)'!$B:$B,'R (s03)'!G:G,"Falta")</f>
        <v>1</v>
      </c>
      <c r="F6" s="105">
        <v>119.5</v>
      </c>
      <c r="G6" s="107">
        <v>114</v>
      </c>
      <c r="H6" s="115">
        <f>IF(SUMIFS(Tabla1[Avance_km],Tabla1[Ducto],$A6,Tabla1[nombre_actividad],H$1)=0,"",SUMIFS(Tabla1[Avance_km],Tabla1[Ducto],$A6,Tabla1[nombre_actividad],H$1))</f>
        <v>0.12</v>
      </c>
      <c r="I6" s="115">
        <f>IF(SUMIFS(Tabla1[Avance_km],Tabla1[Ducto],$A6,Tabla1[nombre_actividad],I$1)=0,"",SUMIFS(Tabla1[Avance_km],Tabla1[Ducto],$A6,Tabla1[nombre_actividad],I$1))</f>
        <v>0.12</v>
      </c>
      <c r="J6" s="115">
        <f>IF(SUMIFS(Tabla1[Avance_km],Tabla1[Ducto],$A6,Tabla1[nombre_actividad],J$1,Tabla1[Avance_km],"&gt;0")=0,"",SUMIFS(Tabla1[Avance_km],Tabla1[Ducto],$A6,Tabla1[nombre_actividad],J$1,Tabla1[Avance_km],"&gt;0"))</f>
        <v>0.12</v>
      </c>
      <c r="K6" s="116">
        <f>IF(SUMIFS(Tabla1[Avance_Med],Tabla1[Ducto],$A6,Tabla1[nombre_actividad],K$1)=0,"",SUMIFS(Tabla1[Avance_Med],Tabla1[Ducto],$A6,Tabla1[nombre_actividad],K$1))</f>
        <v>1</v>
      </c>
      <c r="L6" t="s">
        <v>216</v>
      </c>
    </row>
    <row r="7" spans="1:13" x14ac:dyDescent="0.3">
      <c r="A7" s="253" t="s">
        <v>339</v>
      </c>
      <c r="B7" s="254">
        <f>+_xlfn.XLOOKUP($A7,'R (s03)'!$B:$B,'R (s03)'!D:D,"Falta")</f>
        <v>0</v>
      </c>
      <c r="C7" s="255">
        <f>+_xlfn.XLOOKUP($A7,'R (s03)'!$B:$B,'R (s03)'!E:E,"Falta")</f>
        <v>0</v>
      </c>
      <c r="D7" s="255">
        <f>+_xlfn.XLOOKUP($A7,'R (s03)'!$B:$B,'R (s03)'!F:F,"Falta")</f>
        <v>0</v>
      </c>
      <c r="E7" s="255">
        <f>+_xlfn.XLOOKUP($A7,'R (s03)'!$B:$B,'R (s03)'!G:G,"Falta")</f>
        <v>1</v>
      </c>
      <c r="F7" s="256"/>
      <c r="G7" s="257">
        <v>2</v>
      </c>
      <c r="H7" s="258" t="str">
        <f>IF(SUMIFS(Tabla1[Avance_km],Tabla1[Ducto],$A7,Tabla1[nombre_actividad],H$1)=0,"",SUMIFS(Tabla1[Avance_km],Tabla1[Ducto],$A7,Tabla1[nombre_actividad],H$1))</f>
        <v/>
      </c>
      <c r="I7" s="258" t="str">
        <f>IF(SUMIFS(Tabla1[Avance_km],Tabla1[Ducto],$A7,Tabla1[nombre_actividad],I$1)=0,"",SUMIFS(Tabla1[Avance_km],Tabla1[Ducto],$A7,Tabla1[nombre_actividad],I$1))</f>
        <v/>
      </c>
      <c r="J7" s="258" t="str">
        <f>IF(SUMIFS(Tabla1[Avance_km],Tabla1[Ducto],$A7,Tabla1[nombre_actividad],J$1,Tabla1[Avance_km],"&gt;0")=0,"",SUMIFS(Tabla1[Avance_km],Tabla1[Ducto],$A7,Tabla1[nombre_actividad],J$1,Tabla1[Avance_km],"&gt;0"))</f>
        <v/>
      </c>
      <c r="K7" s="259">
        <f>IF(SUMIFS(Tabla1[Avance_Med],Tabla1[Ducto],$A7,Tabla1[nombre_actividad],K$1)=0,"",SUMIFS(Tabla1[Avance_Med],Tabla1[Ducto],$A7,Tabla1[nombre_actividad],K$1))</f>
        <v>1</v>
      </c>
      <c r="L7" t="s">
        <v>339</v>
      </c>
    </row>
    <row r="8" spans="1:13" x14ac:dyDescent="0.3">
      <c r="A8" s="99" t="s">
        <v>217</v>
      </c>
      <c r="B8" s="103">
        <f>+_xlfn.XLOOKUP($A8,'R (s03)'!$B:$B,'R (s03)'!D:D,"Falta")</f>
        <v>1</v>
      </c>
      <c r="C8" s="104">
        <f>+_xlfn.XLOOKUP($A8,'R (s03)'!$B:$B,'R (s03)'!E:E,"Falta")</f>
        <v>0.82970027247956402</v>
      </c>
      <c r="D8" s="104">
        <f>+_xlfn.XLOOKUP($A8,'R (s03)'!$B:$B,'R (s03)'!F:F,"Falta")</f>
        <v>1</v>
      </c>
      <c r="E8" s="104">
        <f>+_xlfn.XLOOKUP($A8,'R (s03)'!$B:$B,'R (s03)'!G:G,"Falta")</f>
        <v>1</v>
      </c>
      <c r="F8" s="105">
        <v>5872</v>
      </c>
      <c r="G8" s="107">
        <v>5848</v>
      </c>
      <c r="H8" s="115">
        <f>IF(SUMIFS(Tabla1[Avance_km],Tabla1[Ducto],$A8,Tabla1[nombre_actividad],H$1)=0,"",SUMIFS(Tabla1[Avance_km],Tabla1[Ducto],$A8,Tabla1[nombre_actividad],H$1))</f>
        <v>5.8719999999999999</v>
      </c>
      <c r="I8" s="115">
        <f>IF(SUMIFS(Tabla1[Avance_km],Tabla1[Ducto],$A8,Tabla1[nombre_actividad],I$1)=0,"",SUMIFS(Tabla1[Avance_km],Tabla1[Ducto],$A8,Tabla1[nombre_actividad],I$1))</f>
        <v>4.8719999999999999</v>
      </c>
      <c r="J8" s="115">
        <f>IF(SUMIFS(Tabla1[Avance_km],Tabla1[Ducto],$A8,Tabla1[nombre_actividad],J$1,Tabla1[Avance_km],"&gt;0")=0,"",SUMIFS(Tabla1[Avance_km],Tabla1[Ducto],$A8,Tabla1[nombre_actividad],J$1,Tabla1[Avance_km],"&gt;0"))</f>
        <v>5.8719999999999999</v>
      </c>
      <c r="K8" s="116">
        <f>IF(SUMIFS(Tabla1[Avance_Med],Tabla1[Ducto],$A8,Tabla1[nombre_actividad],K$1)=0,"",SUMIFS(Tabla1[Avance_Med],Tabla1[Ducto],$A8,Tabla1[nombre_actividad],K$1))</f>
        <v>14</v>
      </c>
      <c r="L8" t="s">
        <v>217</v>
      </c>
    </row>
    <row r="9" spans="1:13" x14ac:dyDescent="0.3">
      <c r="A9" s="253" t="s">
        <v>340</v>
      </c>
      <c r="B9" s="254">
        <f>+_xlfn.XLOOKUP($A9,'R (s03)'!$B:$B,'R (s03)'!D:D,"Falta")</f>
        <v>0</v>
      </c>
      <c r="C9" s="255">
        <f>+_xlfn.XLOOKUP($A9,'R (s03)'!$B:$B,'R (s03)'!E:E,"Falta")</f>
        <v>0</v>
      </c>
      <c r="D9" s="255">
        <f>+_xlfn.XLOOKUP($A9,'R (s03)'!$B:$B,'R (s03)'!F:F,"Falta")</f>
        <v>0</v>
      </c>
      <c r="E9" s="255">
        <f>+_xlfn.XLOOKUP($A9,'R (s03)'!$B:$B,'R (s03)'!G:G,"Falta")</f>
        <v>1</v>
      </c>
      <c r="F9" s="256"/>
      <c r="G9" s="257">
        <v>22</v>
      </c>
      <c r="H9" s="258" t="str">
        <f>IF(SUMIFS(Tabla1[Avance_km],Tabla1[Ducto],$A9,Tabla1[nombre_actividad],H$1)=0,"",SUMIFS(Tabla1[Avance_km],Tabla1[Ducto],$A9,Tabla1[nombre_actividad],H$1))</f>
        <v/>
      </c>
      <c r="I9" s="258" t="str">
        <f>IF(SUMIFS(Tabla1[Avance_km],Tabla1[Ducto],$A9,Tabla1[nombre_actividad],I$1)=0,"",SUMIFS(Tabla1[Avance_km],Tabla1[Ducto],$A9,Tabla1[nombre_actividad],I$1))</f>
        <v/>
      </c>
      <c r="J9" s="258" t="str">
        <f>IF(SUMIFS(Tabla1[Avance_km],Tabla1[Ducto],$A9,Tabla1[nombre_actividad],J$1,Tabla1[Avance_km],"&gt;0")=0,"",SUMIFS(Tabla1[Avance_km],Tabla1[Ducto],$A9,Tabla1[nombre_actividad],J$1,Tabla1[Avance_km],"&gt;0"))</f>
        <v/>
      </c>
      <c r="K9" s="259">
        <f>IF(SUMIFS(Tabla1[Avance_Med],Tabla1[Ducto],$A9,Tabla1[nombre_actividad],K$1)=0,"",SUMIFS(Tabla1[Avance_Med],Tabla1[Ducto],$A9,Tabla1[nombre_actividad],K$1))</f>
        <v>1</v>
      </c>
      <c r="L9" t="s">
        <v>340</v>
      </c>
    </row>
    <row r="10" spans="1:13" x14ac:dyDescent="0.3">
      <c r="A10" s="99" t="s">
        <v>218</v>
      </c>
      <c r="B10" s="103">
        <f>+_xlfn.XLOOKUP($A10,'R (s03)'!$B:$B,'R (s03)'!D:D,"Falta")</f>
        <v>1</v>
      </c>
      <c r="C10" s="104">
        <f>+_xlfn.XLOOKUP($A10,'R (s03)'!$B:$B,'R (s03)'!E:E,"Falta")</f>
        <v>1</v>
      </c>
      <c r="D10" s="104">
        <f>+_xlfn.XLOOKUP($A10,'R (s03)'!$B:$B,'R (s03)'!F:F,"Falta")</f>
        <v>1</v>
      </c>
      <c r="E10" s="104">
        <f>+_xlfn.XLOOKUP($A10,'R (s03)'!$B:$B,'R (s03)'!G:G,"Falta")</f>
        <v>1</v>
      </c>
      <c r="F10" s="105">
        <v>1436</v>
      </c>
      <c r="G10" s="107">
        <v>1427</v>
      </c>
      <c r="H10" s="115">
        <f>IF(SUMIFS(Tabla1[Avance_km],Tabla1[Ducto],$A10,Tabla1[nombre_actividad],H$1)=0,"",SUMIFS(Tabla1[Avance_km],Tabla1[Ducto],$A10,Tabla1[nombre_actividad],H$1))</f>
        <v>1.4359999999999999</v>
      </c>
      <c r="I10" s="115">
        <f>IF(SUMIFS(Tabla1[Avance_km],Tabla1[Ducto],$A10,Tabla1[nombre_actividad],I$1)=0,"",SUMIFS(Tabla1[Avance_km],Tabla1[Ducto],$A10,Tabla1[nombre_actividad],I$1))</f>
        <v>1.4359999999999999</v>
      </c>
      <c r="J10" s="115">
        <f>IF(SUMIFS(Tabla1[Avance_km],Tabla1[Ducto],$A10,Tabla1[nombre_actividad],J$1,Tabla1[Avance_km],"&gt;0")=0,"",SUMIFS(Tabla1[Avance_km],Tabla1[Ducto],$A10,Tabla1[nombre_actividad],J$1,Tabla1[Avance_km],"&gt;0"))</f>
        <v>1.4359999999999999</v>
      </c>
      <c r="K10" s="116">
        <f>IF(SUMIFS(Tabla1[Avance_Med],Tabla1[Ducto],$A10,Tabla1[nombre_actividad],K$1)=0,"",SUMIFS(Tabla1[Avance_Med],Tabla1[Ducto],$A10,Tabla1[nombre_actividad],K$1))</f>
        <v>4</v>
      </c>
      <c r="L10" t="s">
        <v>218</v>
      </c>
    </row>
    <row r="11" spans="1:13" x14ac:dyDescent="0.3">
      <c r="A11" s="253" t="s">
        <v>341</v>
      </c>
      <c r="B11" s="254">
        <f>+_xlfn.XLOOKUP($A11,'R (s03)'!$B:$B,'R (s03)'!D:D,"Falta")</f>
        <v>0</v>
      </c>
      <c r="C11" s="255">
        <f>+_xlfn.XLOOKUP($A11,'R (s03)'!$B:$B,'R (s03)'!E:E,"Falta")</f>
        <v>0</v>
      </c>
      <c r="D11" s="255">
        <f>+_xlfn.XLOOKUP($A11,'R (s03)'!$B:$B,'R (s03)'!F:F,"Falta")</f>
        <v>0</v>
      </c>
      <c r="E11" s="255">
        <f>+_xlfn.XLOOKUP($A11,'R (s03)'!$B:$B,'R (s03)'!G:G,"Falta")</f>
        <v>1</v>
      </c>
      <c r="F11" s="256"/>
      <c r="G11" s="257">
        <v>7</v>
      </c>
      <c r="H11" s="258" t="str">
        <f>IF(SUMIFS(Tabla1[Avance_km],Tabla1[Ducto],$A11,Tabla1[nombre_actividad],H$1)=0,"",SUMIFS(Tabla1[Avance_km],Tabla1[Ducto],$A11,Tabla1[nombre_actividad],H$1))</f>
        <v/>
      </c>
      <c r="I11" s="258" t="str">
        <f>IF(SUMIFS(Tabla1[Avance_km],Tabla1[Ducto],$A11,Tabla1[nombre_actividad],I$1)=0,"",SUMIFS(Tabla1[Avance_km],Tabla1[Ducto],$A11,Tabla1[nombre_actividad],I$1))</f>
        <v/>
      </c>
      <c r="J11" s="258" t="str">
        <f>IF(SUMIFS(Tabla1[Avance_km],Tabla1[Ducto],$A11,Tabla1[nombre_actividad],J$1,Tabla1[Avance_km],"&gt;0")=0,"",SUMIFS(Tabla1[Avance_km],Tabla1[Ducto],$A11,Tabla1[nombre_actividad],J$1,Tabla1[Avance_km],"&gt;0"))</f>
        <v/>
      </c>
      <c r="K11" s="259">
        <f>IF(SUMIFS(Tabla1[Avance_Med],Tabla1[Ducto],$A11,Tabla1[nombre_actividad],K$1)=0,"",SUMIFS(Tabla1[Avance_Med],Tabla1[Ducto],$A11,Tabla1[nombre_actividad],K$1))</f>
        <v>1</v>
      </c>
      <c r="L11" t="s">
        <v>341</v>
      </c>
    </row>
    <row r="12" spans="1:13" x14ac:dyDescent="0.3">
      <c r="A12" s="99" t="s">
        <v>219</v>
      </c>
      <c r="B12" s="103">
        <f>+_xlfn.XLOOKUP($A12,'R (s03)'!$B:$B,'R (s03)'!D:D,"Falta")</f>
        <v>1</v>
      </c>
      <c r="C12" s="104">
        <f>+_xlfn.XLOOKUP($A12,'R (s03)'!$B:$B,'R (s03)'!E:E,"Falta")</f>
        <v>1</v>
      </c>
      <c r="D12" s="104">
        <f>+_xlfn.XLOOKUP($A12,'R (s03)'!$B:$B,'R (s03)'!F:F,"Falta")</f>
        <v>1</v>
      </c>
      <c r="E12" s="104">
        <f>+_xlfn.XLOOKUP($A12,'R (s03)'!$B:$B,'R (s03)'!G:G,"Falta")</f>
        <v>1</v>
      </c>
      <c r="F12" s="105">
        <v>373</v>
      </c>
      <c r="G12" s="107">
        <v>372</v>
      </c>
      <c r="H12" s="115">
        <f>IF(SUMIFS(Tabla1[Avance_km],Tabla1[Ducto],$A12,Tabla1[nombre_actividad],H$1)=0,"",SUMIFS(Tabla1[Avance_km],Tabla1[Ducto],$A12,Tabla1[nombre_actividad],H$1))</f>
        <v>0.373</v>
      </c>
      <c r="I12" s="115">
        <f>IF(SUMIFS(Tabla1[Avance_km],Tabla1[Ducto],$A12,Tabla1[nombre_actividad],I$1)=0,"",SUMIFS(Tabla1[Avance_km],Tabla1[Ducto],$A12,Tabla1[nombre_actividad],I$1))</f>
        <v>0.373</v>
      </c>
      <c r="J12" s="115">
        <f>IF(SUMIFS(Tabla1[Avance_km],Tabla1[Ducto],$A12,Tabla1[nombre_actividad],J$1,Tabla1[Avance_km],"&gt;0")=0,"",SUMIFS(Tabla1[Avance_km],Tabla1[Ducto],$A12,Tabla1[nombre_actividad],J$1,Tabla1[Avance_km],"&gt;0"))</f>
        <v>0.373</v>
      </c>
      <c r="K12" s="116">
        <f>IF(SUMIFS(Tabla1[Avance_Med],Tabla1[Ducto],$A12,Tabla1[nombre_actividad],K$1)=0,"",SUMIFS(Tabla1[Avance_Med],Tabla1[Ducto],$A12,Tabla1[nombre_actividad],K$1))</f>
        <v>2</v>
      </c>
      <c r="L12" t="s">
        <v>219</v>
      </c>
    </row>
    <row r="13" spans="1:13" x14ac:dyDescent="0.3">
      <c r="A13" s="396" t="s">
        <v>220</v>
      </c>
      <c r="B13" s="254">
        <f>+_xlfn.XLOOKUP($A13,'R (s03)'!$B:$B,'R (s03)'!D:D,"Falta")</f>
        <v>0</v>
      </c>
      <c r="C13" s="255">
        <f>+_xlfn.XLOOKUP($A13,'R (s03)'!$B:$B,'R (s03)'!E:E,"Falta")</f>
        <v>0</v>
      </c>
      <c r="D13" s="255">
        <f>+_xlfn.XLOOKUP($A13,'R (s03)'!$B:$B,'R (s03)'!F:F,"Falta")</f>
        <v>0</v>
      </c>
      <c r="E13" s="255" t="str">
        <f>+_xlfn.XLOOKUP($A13,'R (s03)'!$B:$B,'R (s03)'!G:G,"Falta")</f>
        <v>ref 0+372 Kellog's</v>
      </c>
      <c r="F13" s="256">
        <v>345</v>
      </c>
      <c r="G13" s="257">
        <v>345</v>
      </c>
      <c r="H13" s="258" t="str">
        <f>IF(SUMIFS(Tabla1[Avance_km],Tabla1[Ducto],$A13,Tabla1[nombre_actividad],H$1)=0,"",SUMIFS(Tabla1[Avance_km],Tabla1[Ducto],$A13,Tabla1[nombre_actividad],H$1))</f>
        <v/>
      </c>
      <c r="I13" s="258" t="str">
        <f>IF(SUMIFS(Tabla1[Avance_km],Tabla1[Ducto],$A13,Tabla1[nombre_actividad],I$1)=0,"",SUMIFS(Tabla1[Avance_km],Tabla1[Ducto],$A13,Tabla1[nombre_actividad],I$1))</f>
        <v/>
      </c>
      <c r="J13" s="258" t="str">
        <f>IF(SUMIFS(Tabla1[Avance_km],Tabla1[Ducto],$A13,Tabla1[nombre_actividad],J$1,Tabla1[Avance_km],"&gt;0")=0,"",SUMIFS(Tabla1[Avance_km],Tabla1[Ducto],$A13,Tabla1[nombre_actividad],J$1,Tabla1[Avance_km],"&gt;0"))</f>
        <v/>
      </c>
      <c r="K13" s="259" t="s">
        <v>345</v>
      </c>
      <c r="L13" t="s">
        <v>220</v>
      </c>
    </row>
    <row r="14" spans="1:13" x14ac:dyDescent="0.3">
      <c r="A14" s="99" t="s">
        <v>221</v>
      </c>
      <c r="B14" s="103">
        <f>+_xlfn.XLOOKUP($A14,'R (s03)'!$B:$B,'R (s03)'!D:D,"Falta")</f>
        <v>1</v>
      </c>
      <c r="C14" s="104">
        <f>+_xlfn.XLOOKUP($A14,'R (s03)'!$B:$B,'R (s03)'!E:E,"Falta")</f>
        <v>1</v>
      </c>
      <c r="D14" s="104">
        <f>+_xlfn.XLOOKUP($A14,'R (s03)'!$B:$B,'R (s03)'!F:F,"Falta")</f>
        <v>1</v>
      </c>
      <c r="E14" s="104">
        <f>+_xlfn.XLOOKUP($A14,'R (s03)'!$B:$B,'R (s03)'!G:G,"Falta")</f>
        <v>1</v>
      </c>
      <c r="F14" s="105">
        <v>11</v>
      </c>
      <c r="G14" s="107">
        <v>10</v>
      </c>
      <c r="H14" s="115">
        <f>IF(SUMIFS(Tabla1[Avance_km],Tabla1[Ducto],$A14,Tabla1[nombre_actividad],H$1)=0,"",SUMIFS(Tabla1[Avance_km],Tabla1[Ducto],$A14,Tabla1[nombre_actividad],H$1))</f>
        <v>1.4E-2</v>
      </c>
      <c r="I14" s="115">
        <f>IF(SUMIFS(Tabla1[Avance_km],Tabla1[Ducto],$A14,Tabla1[nombre_actividad],I$1)=0,"",SUMIFS(Tabla1[Avance_km],Tabla1[Ducto],$A14,Tabla1[nombre_actividad],I$1))</f>
        <v>1.4E-2</v>
      </c>
      <c r="J14" s="115">
        <f>IF(SUMIFS(Tabla1[Avance_km],Tabla1[Ducto],$A14,Tabla1[nombre_actividad],J$1,Tabla1[Avance_km],"&gt;0")=0,"",SUMIFS(Tabla1[Avance_km],Tabla1[Ducto],$A14,Tabla1[nombre_actividad],J$1,Tabla1[Avance_km],"&gt;0"))</f>
        <v>1.4E-2</v>
      </c>
      <c r="K14" s="116">
        <f>IF(SUMIFS(Tabla1[Avance_Med],Tabla1[Ducto],$A14,Tabla1[nombre_actividad],K$1)=0,"",SUMIFS(Tabla1[Avance_Med],Tabla1[Ducto],$A14,Tabla1[nombre_actividad],K$1))</f>
        <v>1</v>
      </c>
      <c r="L14" t="s">
        <v>221</v>
      </c>
    </row>
    <row r="15" spans="1:13" x14ac:dyDescent="0.3">
      <c r="A15" s="99" t="s">
        <v>222</v>
      </c>
      <c r="B15" s="103">
        <f>+_xlfn.XLOOKUP($A15,'R (s03)'!$B:$B,'R (s03)'!D:D,"Falta")</f>
        <v>1</v>
      </c>
      <c r="C15" s="104">
        <f>+_xlfn.XLOOKUP($A15,'R (s03)'!$B:$B,'R (s03)'!E:E,"Falta")</f>
        <v>1</v>
      </c>
      <c r="D15" s="104">
        <f>+_xlfn.XLOOKUP($A15,'R (s03)'!$B:$B,'R (s03)'!F:F,"Falta")</f>
        <v>1</v>
      </c>
      <c r="E15" s="104">
        <f>+_xlfn.XLOOKUP($A15,'R (s03)'!$B:$B,'R (s03)'!G:G,"Falta")</f>
        <v>1</v>
      </c>
      <c r="F15" s="105">
        <v>14</v>
      </c>
      <c r="G15" s="107">
        <v>12</v>
      </c>
      <c r="H15" s="115">
        <f>IF(SUMIFS(Tabla1[Avance_km],Tabla1[Ducto],$A15,Tabla1[nombre_actividad],H$1)=0,"",SUMIFS(Tabla1[Avance_km],Tabla1[Ducto],$A15,Tabla1[nombre_actividad],H$1))</f>
        <v>2.1999999999999999E-2</v>
      </c>
      <c r="I15" s="115">
        <f>IF(SUMIFS(Tabla1[Avance_km],Tabla1[Ducto],$A15,Tabla1[nombre_actividad],I$1)=0,"",SUMIFS(Tabla1[Avance_km],Tabla1[Ducto],$A15,Tabla1[nombre_actividad],I$1))</f>
        <v>2.1999999999999999E-2</v>
      </c>
      <c r="J15" s="115">
        <f>IF(SUMIFS(Tabla1[Avance_km],Tabla1[Ducto],$A15,Tabla1[nombre_actividad],J$1,Tabla1[Avance_km],"&gt;0")=0,"",SUMIFS(Tabla1[Avance_km],Tabla1[Ducto],$A15,Tabla1[nombre_actividad],J$1,Tabla1[Avance_km],"&gt;0"))</f>
        <v>2.1999999999999999E-2</v>
      </c>
      <c r="K15" s="116">
        <f>IF(SUMIFS(Tabla1[Avance_Med],Tabla1[Ducto],$A15,Tabla1[nombre_actividad],K$1)=0,"",SUMIFS(Tabla1[Avance_Med],Tabla1[Ducto],$A15,Tabla1[nombre_actividad],K$1))</f>
        <v>1</v>
      </c>
      <c r="L15" t="s">
        <v>222</v>
      </c>
    </row>
    <row r="16" spans="1:13" x14ac:dyDescent="0.3">
      <c r="A16" s="99" t="s">
        <v>223</v>
      </c>
      <c r="B16" s="103">
        <f>+_xlfn.XLOOKUP($A16,'R (s03)'!$B:$B,'R (s03)'!D:D,"Falta")</f>
        <v>1</v>
      </c>
      <c r="C16" s="104">
        <f>+_xlfn.XLOOKUP($A16,'R (s03)'!$B:$B,'R (s03)'!E:E,"Falta")</f>
        <v>1</v>
      </c>
      <c r="D16" s="104">
        <f>+_xlfn.XLOOKUP($A16,'R (s03)'!$B:$B,'R (s03)'!F:F,"Falta")</f>
        <v>1</v>
      </c>
      <c r="E16" s="104">
        <f>+_xlfn.XLOOKUP($A16,'R (s03)'!$B:$B,'R (s03)'!G:G,"Falta")</f>
        <v>1</v>
      </c>
      <c r="F16" s="105">
        <v>20</v>
      </c>
      <c r="G16" s="107">
        <v>12</v>
      </c>
      <c r="H16" s="115">
        <f>IF(SUMIFS(Tabla1[Avance_km],Tabla1[Ducto],$A16,Tabla1[nombre_actividad],H$1)=0,"",SUMIFS(Tabla1[Avance_km],Tabla1[Ducto],$A16,Tabla1[nombre_actividad],H$1))</f>
        <v>1.0999999999999999E-2</v>
      </c>
      <c r="I16" s="115">
        <f>IF(SUMIFS(Tabla1[Avance_km],Tabla1[Ducto],$A16,Tabla1[nombre_actividad],I$1)=0,"",SUMIFS(Tabla1[Avance_km],Tabla1[Ducto],$A16,Tabla1[nombre_actividad],I$1))</f>
        <v>1.0999999999999999E-2</v>
      </c>
      <c r="J16" s="115">
        <f>IF(SUMIFS(Tabla1[Avance_km],Tabla1[Ducto],$A16,Tabla1[nombre_actividad],J$1,Tabla1[Avance_km],"&gt;0")=0,"",SUMIFS(Tabla1[Avance_km],Tabla1[Ducto],$A16,Tabla1[nombre_actividad],J$1,Tabla1[Avance_km],"&gt;0"))</f>
        <v>1.0999999999999999E-2</v>
      </c>
      <c r="K16" s="116">
        <f>IF(SUMIFS(Tabla1[Avance_Med],Tabla1[Ducto],$A16,Tabla1[nombre_actividad],K$1)=0,"",SUMIFS(Tabla1[Avance_Med],Tabla1[Ducto],$A16,Tabla1[nombre_actividad],K$1))</f>
        <v>1</v>
      </c>
      <c r="L16" t="s">
        <v>223</v>
      </c>
    </row>
    <row r="17" spans="1:12" x14ac:dyDescent="0.3">
      <c r="A17" s="99" t="s">
        <v>224</v>
      </c>
      <c r="B17" s="103">
        <f>+_xlfn.XLOOKUP($A17,'R (s03)'!$B:$B,'R (s03)'!D:D,"Falta")</f>
        <v>1</v>
      </c>
      <c r="C17" s="104">
        <f>+_xlfn.XLOOKUP($A17,'R (s03)'!$B:$B,'R (s03)'!E:E,"Falta")</f>
        <v>1</v>
      </c>
      <c r="D17" s="104">
        <f>+_xlfn.XLOOKUP($A17,'R (s03)'!$B:$B,'R (s03)'!F:F,"Falta")</f>
        <v>1</v>
      </c>
      <c r="E17" s="104">
        <f>+_xlfn.XLOOKUP($A17,'R (s03)'!$B:$B,'R (s03)'!G:G,"Falta")</f>
        <v>1</v>
      </c>
      <c r="F17" s="105">
        <v>6</v>
      </c>
      <c r="G17" s="107">
        <v>5</v>
      </c>
      <c r="H17" s="115">
        <f>IF(SUMIFS(Tabla1[Avance_km],Tabla1[Ducto],$A17,Tabla1[nombre_actividad],H$1)=0,"",SUMIFS(Tabla1[Avance_km],Tabla1[Ducto],$A17,Tabla1[nombre_actividad],H$1))</f>
        <v>6.0000000000000001E-3</v>
      </c>
      <c r="I17" s="115">
        <f>IF(SUMIFS(Tabla1[Avance_km],Tabla1[Ducto],$A17,Tabla1[nombre_actividad],I$1)=0,"",SUMIFS(Tabla1[Avance_km],Tabla1[Ducto],$A17,Tabla1[nombre_actividad],I$1))</f>
        <v>6.0000000000000001E-3</v>
      </c>
      <c r="J17" s="115">
        <f>IF(SUMIFS(Tabla1[Avance_km],Tabla1[Ducto],$A17,Tabla1[nombre_actividad],J$1,Tabla1[Avance_km],"&gt;0")=0,"",SUMIFS(Tabla1[Avance_km],Tabla1[Ducto],$A17,Tabla1[nombre_actividad],J$1,Tabla1[Avance_km],"&gt;0"))</f>
        <v>6.0000000000000001E-3</v>
      </c>
      <c r="K17" s="116">
        <f>IF(SUMIFS(Tabla1[Avance_Med],Tabla1[Ducto],$A17,Tabla1[nombre_actividad],K$1)=0,"",SUMIFS(Tabla1[Avance_Med],Tabla1[Ducto],$A17,Tabla1[nombre_actividad],K$1))</f>
        <v>1</v>
      </c>
      <c r="L17" t="s">
        <v>224</v>
      </c>
    </row>
    <row r="18" spans="1:12" x14ac:dyDescent="0.3">
      <c r="A18" s="99" t="s">
        <v>225</v>
      </c>
      <c r="B18" s="103">
        <f>+_xlfn.XLOOKUP($A18,'R (s03)'!$B:$B,'R (s03)'!D:D,"Falta")</f>
        <v>1</v>
      </c>
      <c r="C18" s="104">
        <f>+_xlfn.XLOOKUP($A18,'R (s03)'!$B:$B,'R (s03)'!E:E,"Falta")</f>
        <v>1</v>
      </c>
      <c r="D18" s="104">
        <f>+_xlfn.XLOOKUP($A18,'R (s03)'!$B:$B,'R (s03)'!F:F,"Falta")</f>
        <v>1.0331658291457286</v>
      </c>
      <c r="E18" s="104">
        <f>+_xlfn.XLOOKUP($A18,'R (s03)'!$B:$B,'R (s03)'!G:G,"Falta")</f>
        <v>1</v>
      </c>
      <c r="F18" s="105">
        <v>5788</v>
      </c>
      <c r="G18" s="107">
        <v>5788</v>
      </c>
      <c r="H18" s="115">
        <f>IF(SUMIFS(Tabla1[Avance_km],Tabla1[Ducto],$A18,Tabla1[nombre_actividad],H$1)=0,"",SUMIFS(Tabla1[Avance_km],Tabla1[Ducto],$A18,Tabla1[nombre_actividad],H$1))</f>
        <v>5.97</v>
      </c>
      <c r="I18" s="115">
        <f>IF(SUMIFS(Tabla1[Avance_km],Tabla1[Ducto],$A18,Tabla1[nombre_actividad],I$1)=0,"",SUMIFS(Tabla1[Avance_km],Tabla1[Ducto],$A18,Tabla1[nombre_actividad],I$1))</f>
        <v>5.97</v>
      </c>
      <c r="J18" s="115">
        <f>IF(SUMIFS(Tabla1[Avance_km],Tabla1[Ducto],$A18,Tabla1[nombre_actividad],J$1,Tabla1[Avance_km],"&gt;0")=0,"",SUMIFS(Tabla1[Avance_km],Tabla1[Ducto],$A18,Tabla1[nombre_actividad],J$1,Tabla1[Avance_km],"&gt;0"))</f>
        <v>6.1680000000000001</v>
      </c>
      <c r="K18" s="116">
        <f>IF(SUMIFS(Tabla1[Avance_Med],Tabla1[Ducto],$A18,Tabla1[nombre_actividad],K$1)=0,"",SUMIFS(Tabla1[Avance_Med],Tabla1[Ducto],$A18,Tabla1[nombre_actividad],K$1))</f>
        <v>14</v>
      </c>
      <c r="L18" t="s">
        <v>225</v>
      </c>
    </row>
    <row r="19" spans="1:12" x14ac:dyDescent="0.3">
      <c r="A19" s="100" t="s">
        <v>227</v>
      </c>
      <c r="B19" s="103">
        <f>+_xlfn.XLOOKUP($A19,'R (s03)'!$B:$B,'R (s03)'!D:D,"Falta")</f>
        <v>1</v>
      </c>
      <c r="C19" s="104">
        <f>+_xlfn.XLOOKUP($A19,'R (s03)'!$B:$B,'R (s03)'!E:E,"Falta")</f>
        <v>1</v>
      </c>
      <c r="D19" s="104">
        <f>+_xlfn.XLOOKUP($A19,'R (s03)'!$B:$B,'R (s03)'!F:F,"Falta")</f>
        <v>1</v>
      </c>
      <c r="E19" s="104">
        <f>+_xlfn.XLOOKUP($A19,'R (s03)'!$B:$B,'R (s03)'!G:G,"Falta")</f>
        <v>1</v>
      </c>
      <c r="F19" s="105">
        <v>18</v>
      </c>
      <c r="G19" s="107">
        <v>18</v>
      </c>
      <c r="H19" s="115">
        <f>IF(SUMIFS(Tabla1[Avance_km],Tabla1[Ducto],$A19,Tabla1[nombre_actividad],H$1)=0,"",SUMIFS(Tabla1[Avance_km],Tabla1[Ducto],$A19,Tabla1[nombre_actividad],H$1))</f>
        <v>0.04</v>
      </c>
      <c r="I19" s="115">
        <f>IF(SUMIFS(Tabla1[Avance_km],Tabla1[Ducto],$A19,Tabla1[nombre_actividad],I$1)=0,"",SUMIFS(Tabla1[Avance_km],Tabla1[Ducto],$A19,Tabla1[nombre_actividad],I$1))</f>
        <v>0.04</v>
      </c>
      <c r="J19" s="115">
        <f>IF(SUMIFS(Tabla1[Avance_km],Tabla1[Ducto],$A19,Tabla1[nombre_actividad],J$1,Tabla1[Avance_km],"&gt;0")=0,"",SUMIFS(Tabla1[Avance_km],Tabla1[Ducto],$A19,Tabla1[nombre_actividad],J$1,Tabla1[Avance_km],"&gt;0"))</f>
        <v>0.04</v>
      </c>
      <c r="K19" s="116">
        <f>IF(SUMIFS(Tabla1[Avance_Med],Tabla1[Ducto],$A19,Tabla1[nombre_actividad],K$1)=0,"",SUMIFS(Tabla1[Avance_Med],Tabla1[Ducto],$A19,Tabla1[nombre_actividad],K$1))</f>
        <v>1</v>
      </c>
      <c r="L19" t="s">
        <v>227</v>
      </c>
    </row>
    <row r="20" spans="1:12" x14ac:dyDescent="0.3">
      <c r="A20" s="253" t="s">
        <v>229</v>
      </c>
      <c r="B20" s="254">
        <f>+_xlfn.XLOOKUP($A20,'R (s03)'!$B:$B,'R (s03)'!D:D,"Falta")</f>
        <v>0</v>
      </c>
      <c r="C20" s="255">
        <f>+_xlfn.XLOOKUP($A20,'R (s03)'!$B:$B,'R (s03)'!E:E,"Falta")</f>
        <v>0</v>
      </c>
      <c r="D20" s="255">
        <f>+_xlfn.XLOOKUP($A20,'R (s03)'!$B:$B,'R (s03)'!F:F,"Falta")</f>
        <v>0</v>
      </c>
      <c r="E20" s="255">
        <f>+_xlfn.XLOOKUP($A20,'R (s03)'!$B:$B,'R (s03)'!G:G,"Falta")</f>
        <v>0</v>
      </c>
      <c r="F20" s="256">
        <v>3</v>
      </c>
      <c r="G20" s="257">
        <v>2</v>
      </c>
      <c r="H20" s="258" t="str">
        <f>IF(SUMIFS(Tabla1[Avance_km],Tabla1[Ducto],$A20,Tabla1[nombre_actividad],H$1)=0,"",SUMIFS(Tabla1[Avance_km],Tabla1[Ducto],$A20,Tabla1[nombre_actividad],H$1))</f>
        <v/>
      </c>
      <c r="I20" s="258" t="str">
        <f>IF(SUMIFS(Tabla1[Avance_km],Tabla1[Ducto],$A20,Tabla1[nombre_actividad],I$1)=0,"",SUMIFS(Tabla1[Avance_km],Tabla1[Ducto],$A20,Tabla1[nombre_actividad],I$1))</f>
        <v/>
      </c>
      <c r="J20" s="258" t="str">
        <f>IF(SUMIFS(Tabla1[Avance_km],Tabla1[Ducto],$A20,Tabla1[nombre_actividad],J$1,Tabla1[Avance_km],"&gt;0")=0,"",SUMIFS(Tabla1[Avance_km],Tabla1[Ducto],$A20,Tabla1[nombre_actividad],J$1,Tabla1[Avance_km],"&gt;0"))</f>
        <v/>
      </c>
      <c r="K20" s="259" t="str">
        <f>IF(SUMIFS(Tabla1[Avance_Med],Tabla1[Ducto],$A20,Tabla1[nombre_actividad],K$1)=0,"",SUMIFS(Tabla1[Avance_Med],Tabla1[Ducto],$A20,Tabla1[nombre_actividad],K$1))</f>
        <v/>
      </c>
      <c r="L20" t="s">
        <v>229</v>
      </c>
    </row>
    <row r="21" spans="1:12" x14ac:dyDescent="0.3">
      <c r="A21" s="100" t="s">
        <v>231</v>
      </c>
      <c r="B21" s="103">
        <f>+_xlfn.XLOOKUP($A21,'R (s03)'!$B:$B,'R (s03)'!D:D,"Falta")</f>
        <v>1</v>
      </c>
      <c r="C21" s="104">
        <f>+_xlfn.XLOOKUP($A21,'R (s03)'!$B:$B,'R (s03)'!E:E,"Falta")</f>
        <v>1</v>
      </c>
      <c r="D21" s="104">
        <f>+_xlfn.XLOOKUP($A21,'R (s03)'!$B:$B,'R (s03)'!F:F,"Falta")</f>
        <v>1</v>
      </c>
      <c r="E21" s="104">
        <f>+_xlfn.XLOOKUP($A21,'R (s03)'!$B:$B,'R (s03)'!G:G,"Falta")</f>
        <v>1</v>
      </c>
      <c r="F21" s="105">
        <v>7</v>
      </c>
      <c r="G21" s="107">
        <v>7</v>
      </c>
      <c r="H21" s="115">
        <f>IF(SUMIFS(Tabla1[Avance_km],Tabla1[Ducto],$A21,Tabla1[nombre_actividad],H$1)=0,"",SUMIFS(Tabla1[Avance_km],Tabla1[Ducto],$A21,Tabla1[nombre_actividad],H$1))</f>
        <v>2.1000000000000001E-2</v>
      </c>
      <c r="I21" s="115">
        <f>IF(SUMIFS(Tabla1[Avance_km],Tabla1[Ducto],$A21,Tabla1[nombre_actividad],I$1)=0,"",SUMIFS(Tabla1[Avance_km],Tabla1[Ducto],$A21,Tabla1[nombre_actividad],I$1))</f>
        <v>2.1000000000000001E-2</v>
      </c>
      <c r="J21" s="115">
        <f>IF(SUMIFS(Tabla1[Avance_km],Tabla1[Ducto],$A21,Tabla1[nombre_actividad],J$1,Tabla1[Avance_km],"&gt;0")=0,"",SUMIFS(Tabla1[Avance_km],Tabla1[Ducto],$A21,Tabla1[nombre_actividad],J$1,Tabla1[Avance_km],"&gt;0"))</f>
        <v>2.1000000000000001E-2</v>
      </c>
      <c r="K21" s="116">
        <f>IF(SUMIFS(Tabla1[Avance_Med],Tabla1[Ducto],$A21,Tabla1[nombre_actividad],K$1)=0,"",SUMIFS(Tabla1[Avance_Med],Tabla1[Ducto],$A21,Tabla1[nombre_actividad],K$1))</f>
        <v>1</v>
      </c>
      <c r="L21" t="s">
        <v>231</v>
      </c>
    </row>
    <row r="22" spans="1:12" x14ac:dyDescent="0.3">
      <c r="A22" s="100" t="s">
        <v>233</v>
      </c>
      <c r="B22" s="103">
        <f>+_xlfn.XLOOKUP($A22,'R (s03)'!$B:$B,'R (s03)'!D:D,"Falta")</f>
        <v>1</v>
      </c>
      <c r="C22" s="104">
        <f>+_xlfn.XLOOKUP($A22,'R (s03)'!$B:$B,'R (s03)'!E:E,"Falta")</f>
        <v>1</v>
      </c>
      <c r="D22" s="104">
        <f>+_xlfn.XLOOKUP($A22,'R (s03)'!$B:$B,'R (s03)'!F:F,"Falta")</f>
        <v>1</v>
      </c>
      <c r="E22" s="104">
        <f>+_xlfn.XLOOKUP($A22,'R (s03)'!$B:$B,'R (s03)'!G:G,"Falta")</f>
        <v>1</v>
      </c>
      <c r="F22" s="105">
        <v>2</v>
      </c>
      <c r="G22" s="107">
        <v>2</v>
      </c>
      <c r="H22" s="115">
        <f>IF(SUMIFS(Tabla1[Avance_km],Tabla1[Ducto],$A22,Tabla1[nombre_actividad],H$1)=0,"",SUMIFS(Tabla1[Avance_km],Tabla1[Ducto],$A22,Tabla1[nombre_actividad],H$1))</f>
        <v>3.0000000000000001E-3</v>
      </c>
      <c r="I22" s="115">
        <f>IF(SUMIFS(Tabla1[Avance_km],Tabla1[Ducto],$A22,Tabla1[nombre_actividad],I$1)=0,"",SUMIFS(Tabla1[Avance_km],Tabla1[Ducto],$A22,Tabla1[nombre_actividad],I$1))</f>
        <v>3.0000000000000001E-3</v>
      </c>
      <c r="J22" s="115">
        <f>IF(SUMIFS(Tabla1[Avance_km],Tabla1[Ducto],$A22,Tabla1[nombre_actividad],J$1,Tabla1[Avance_km],"&gt;0")=0,"",SUMIFS(Tabla1[Avance_km],Tabla1[Ducto],$A22,Tabla1[nombre_actividad],J$1,Tabla1[Avance_km],"&gt;0"))</f>
        <v>3.0000000000000001E-3</v>
      </c>
      <c r="K22" s="116">
        <f>IF(SUMIFS(Tabla1[Avance_Med],Tabla1[Ducto],$A22,Tabla1[nombre_actividad],K$1)=0,"",SUMIFS(Tabla1[Avance_Med],Tabla1[Ducto],$A22,Tabla1[nombre_actividad],K$1))</f>
        <v>1</v>
      </c>
      <c r="L22" t="s">
        <v>233</v>
      </c>
    </row>
    <row r="23" spans="1:12" x14ac:dyDescent="0.3">
      <c r="A23" s="503" t="s">
        <v>235</v>
      </c>
      <c r="B23" s="254">
        <f>+_xlfn.XLOOKUP($A23,'R (s03)'!$B:$B,'R (s03)'!D:D,"Falta")</f>
        <v>0</v>
      </c>
      <c r="C23" s="255">
        <f>+_xlfn.XLOOKUP($A23,'R (s03)'!$B:$B,'R (s03)'!E:E,"Falta")</f>
        <v>0</v>
      </c>
      <c r="D23" s="255">
        <f>+_xlfn.XLOOKUP($A23,'R (s03)'!$B:$B,'R (s03)'!F:F,"Falta")</f>
        <v>0</v>
      </c>
      <c r="E23" s="255">
        <f>+_xlfn.XLOOKUP($A23,'R (s03)'!$B:$B,'R (s03)'!G:G,"Falta")</f>
        <v>1</v>
      </c>
      <c r="F23" s="256">
        <v>2</v>
      </c>
      <c r="G23" s="257">
        <v>2</v>
      </c>
      <c r="H23" s="258" t="str">
        <f>IF(SUMIFS(Tabla1[Avance_km],Tabla1[Ducto],$A23,Tabla1[nombre_actividad],H$1)=0,"",SUMIFS(Tabla1[Avance_km],Tabla1[Ducto],$A23,Tabla1[nombre_actividad],H$1))</f>
        <v/>
      </c>
      <c r="I23" s="258" t="str">
        <f>IF(SUMIFS(Tabla1[Avance_km],Tabla1[Ducto],$A23,Tabla1[nombre_actividad],I$1)=0,"",SUMIFS(Tabla1[Avance_km],Tabla1[Ducto],$A23,Tabla1[nombre_actividad],I$1))</f>
        <v/>
      </c>
      <c r="J23" s="258" t="str">
        <f>IF(SUMIFS(Tabla1[Avance_km],Tabla1[Ducto],$A23,Tabla1[nombre_actividad],J$1,Tabla1[Avance_km],"&gt;0")=0,"",SUMIFS(Tabla1[Avance_km],Tabla1[Ducto],$A23,Tabla1[nombre_actividad],J$1,Tabla1[Avance_km],"&gt;0"))</f>
        <v/>
      </c>
      <c r="K23" s="259">
        <f>IF(SUMIFS(Tabla1[Avance_Med],Tabla1[Ducto],$A23,Tabla1[nombre_actividad],K$1)=0,"",SUMIFS(Tabla1[Avance_Med],Tabla1[Ducto],$A23,Tabla1[nombre_actividad],K$1))</f>
        <v>1</v>
      </c>
      <c r="L23" t="s">
        <v>235</v>
      </c>
    </row>
    <row r="24" spans="1:12" x14ac:dyDescent="0.3">
      <c r="A24" s="100" t="s">
        <v>237</v>
      </c>
      <c r="B24" s="103">
        <f>+_xlfn.XLOOKUP($A24,'R (s03)'!$B:$B,'R (s03)'!D:D,"Falta")</f>
        <v>1</v>
      </c>
      <c r="C24" s="104">
        <f>+_xlfn.XLOOKUP($A24,'R (s03)'!$B:$B,'R (s03)'!E:E,"Falta")</f>
        <v>1</v>
      </c>
      <c r="D24" s="104">
        <f>+_xlfn.XLOOKUP($A24,'R (s03)'!$B:$B,'R (s03)'!F:F,"Falta")</f>
        <v>1</v>
      </c>
      <c r="E24" s="504">
        <f>+_xlfn.XLOOKUP($A24,'R (s03)'!$B:$B,'R (s03)'!G:G,"Falta")</f>
        <v>0</v>
      </c>
      <c r="F24" s="105">
        <v>127</v>
      </c>
      <c r="G24" s="107">
        <v>126</v>
      </c>
      <c r="H24" s="115">
        <f>IF(SUMIFS(Tabla1[Avance_km],Tabla1[Ducto],$A24,Tabla1[nombre_actividad],H$1)=0,"",SUMIFS(Tabla1[Avance_km],Tabla1[Ducto],$A24,Tabla1[nombre_actividad],H$1))</f>
        <v>5.1999999999999998E-2</v>
      </c>
      <c r="I24" s="115">
        <f>IF(SUMIFS(Tabla1[Avance_km],Tabla1[Ducto],$A24,Tabla1[nombre_actividad],I$1)=0,"",SUMIFS(Tabla1[Avance_km],Tabla1[Ducto],$A24,Tabla1[nombre_actividad],I$1))</f>
        <v>5.1999999999999998E-2</v>
      </c>
      <c r="J24" s="115">
        <f>IF(SUMIFS(Tabla1[Avance_km],Tabla1[Ducto],$A24,Tabla1[nombre_actividad],J$1,Tabla1[Avance_km],"&gt;0")=0,"",SUMIFS(Tabla1[Avance_km],Tabla1[Ducto],$A24,Tabla1[nombre_actividad],J$1,Tabla1[Avance_km],"&gt;0"))</f>
        <v>5.1999999999999998E-2</v>
      </c>
      <c r="K24" s="140" t="s">
        <v>402</v>
      </c>
      <c r="L24" t="s">
        <v>237</v>
      </c>
    </row>
    <row r="25" spans="1:12" x14ac:dyDescent="0.3">
      <c r="A25" s="100" t="s">
        <v>239</v>
      </c>
      <c r="B25" s="103">
        <f>+_xlfn.XLOOKUP($A25,'R (s03)'!$B:$B,'R (s03)'!D:D,"Falta")</f>
        <v>1</v>
      </c>
      <c r="C25" s="104">
        <f>+_xlfn.XLOOKUP($A25,'R (s03)'!$B:$B,'R (s03)'!E:E,"Falta")</f>
        <v>1</v>
      </c>
      <c r="D25" s="104">
        <f>+_xlfn.XLOOKUP($A25,'R (s03)'!$B:$B,'R (s03)'!F:F,"Falta")</f>
        <v>1</v>
      </c>
      <c r="E25" s="104">
        <f>+_xlfn.XLOOKUP($A25,'R (s03)'!$B:$B,'R (s03)'!G:G,"Falta")</f>
        <v>1</v>
      </c>
      <c r="F25" s="105">
        <v>487</v>
      </c>
      <c r="G25" s="107">
        <v>479</v>
      </c>
      <c r="H25" s="115">
        <f>IF(SUMIFS(Tabla1[Avance_km],Tabla1[Ducto],$A25,Tabla1[nombre_actividad],H$1)=0,"",SUMIFS(Tabla1[Avance_km],Tabla1[Ducto],$A25,Tabla1[nombre_actividad],H$1))</f>
        <v>0.27800000000000002</v>
      </c>
      <c r="I25" s="115">
        <f>IF(SUMIFS(Tabla1[Avance_km],Tabla1[Ducto],$A25,Tabla1[nombre_actividad],I$1)=0,"",SUMIFS(Tabla1[Avance_km],Tabla1[Ducto],$A25,Tabla1[nombre_actividad],I$1))</f>
        <v>0.27800000000000002</v>
      </c>
      <c r="J25" s="115">
        <f>IF(SUMIFS(Tabla1[Avance_km],Tabla1[Ducto],$A25,Tabla1[nombre_actividad],J$1,Tabla1[Avance_km],"&gt;0")=0,"",SUMIFS(Tabla1[Avance_km],Tabla1[Ducto],$A25,Tabla1[nombre_actividad],J$1,Tabla1[Avance_km],"&gt;0"))</f>
        <v>0.27800000000000002</v>
      </c>
      <c r="K25" s="116">
        <f>IF(SUMIFS(Tabla1[Avance_Med],Tabla1[Ducto],$A25,Tabla1[nombre_actividad],K$1)=0,"",SUMIFS(Tabla1[Avance_Med],Tabla1[Ducto],$A25,Tabla1[nombre_actividad],K$1))</f>
        <v>1</v>
      </c>
      <c r="L25" t="s">
        <v>239</v>
      </c>
    </row>
    <row r="26" spans="1:12" x14ac:dyDescent="0.3">
      <c r="A26" s="396" t="s">
        <v>240</v>
      </c>
      <c r="B26" s="254">
        <f>+_xlfn.XLOOKUP($A26,'R (s03)'!$B:$B,'R (s03)'!D:D,"Falta")</f>
        <v>0</v>
      </c>
      <c r="C26" s="255">
        <f>+_xlfn.XLOOKUP($A26,'R (s03)'!$B:$B,'R (s03)'!E:E,"Falta")</f>
        <v>0</v>
      </c>
      <c r="D26" s="255">
        <f>+_xlfn.XLOOKUP($A26,'R (s03)'!$B:$B,'R (s03)'!F:F,"Falta")</f>
        <v>0</v>
      </c>
      <c r="E26" s="255">
        <f>+_xlfn.XLOOKUP($A26,'R (s03)'!$B:$B,'R (s03)'!G:G,"Falta")</f>
        <v>1</v>
      </c>
      <c r="F26" s="256"/>
      <c r="G26" s="257"/>
      <c r="H26" s="258" t="str">
        <f>IF(SUMIFS(Tabla1[Avance_km],Tabla1[Ducto],$A26,Tabla1[nombre_actividad],H$1)=0,"",SUMIFS(Tabla1[Avance_km],Tabla1[Ducto],$A26,Tabla1[nombre_actividad],H$1))</f>
        <v/>
      </c>
      <c r="I26" s="258" t="str">
        <f>IF(SUMIFS(Tabla1[Avance_km],Tabla1[Ducto],$A26,Tabla1[nombre_actividad],I$1)=0,"",SUMIFS(Tabla1[Avance_km],Tabla1[Ducto],$A26,Tabla1[nombre_actividad],I$1))</f>
        <v/>
      </c>
      <c r="J26" s="258" t="str">
        <f>IF(SUMIFS(Tabla1[Avance_km],Tabla1[Ducto],$A26,Tabla1[nombre_actividad],J$1,Tabla1[Avance_km],"&gt;0")=0,"",SUMIFS(Tabla1[Avance_km],Tabla1[Ducto],$A26,Tabla1[nombre_actividad],J$1,Tabla1[Avance_km],"&gt;0"))</f>
        <v/>
      </c>
      <c r="K26" s="259">
        <f>IF(SUMIFS(Tabla1[Avance_Med],Tabla1[Ducto],$A26,Tabla1[nombre_actividad],K$1)=0,"",SUMIFS(Tabla1[Avance_Med],Tabla1[Ducto],$A26,Tabla1[nombre_actividad],K$1))</f>
        <v>2</v>
      </c>
      <c r="L26" t="s">
        <v>240</v>
      </c>
    </row>
    <row r="27" spans="1:12" x14ac:dyDescent="0.3">
      <c r="A27" s="99" t="s">
        <v>241</v>
      </c>
      <c r="B27" s="103">
        <f>+_xlfn.XLOOKUP($A27,'R (s03)'!$B:$B,'R (s03)'!D:D,"Falta")</f>
        <v>1</v>
      </c>
      <c r="C27" s="104">
        <f>+_xlfn.XLOOKUP($A27,'R (s03)'!$B:$B,'R (s03)'!E:E,"Falta")</f>
        <v>1</v>
      </c>
      <c r="D27" s="104">
        <f>+_xlfn.XLOOKUP($A27,'R (s03)'!$B:$B,'R (s03)'!F:F,"Falta")</f>
        <v>1</v>
      </c>
      <c r="E27" s="104">
        <f>+_xlfn.XLOOKUP($A27,'R (s03)'!$B:$B,'R (s03)'!G:G,"Falta")</f>
        <v>1</v>
      </c>
      <c r="F27" s="105">
        <v>45</v>
      </c>
      <c r="G27" s="107">
        <v>44</v>
      </c>
      <c r="H27" s="115">
        <f>IF(SUMIFS(Tabla1[Avance_km],Tabla1[Ducto],$A27,Tabla1[nombre_actividad],H$1)=0,"",SUMIFS(Tabla1[Avance_km],Tabla1[Ducto],$A27,Tabla1[nombre_actividad],H$1))</f>
        <v>4.4999999999999998E-2</v>
      </c>
      <c r="I27" s="115">
        <f>IF(SUMIFS(Tabla1[Avance_km],Tabla1[Ducto],$A27,Tabla1[nombre_actividad],I$1)=0,"",SUMIFS(Tabla1[Avance_km],Tabla1[Ducto],$A27,Tabla1[nombre_actividad],I$1))</f>
        <v>4.4999999999999998E-2</v>
      </c>
      <c r="J27" s="115">
        <f>IF(SUMIFS(Tabla1[Avance_km],Tabla1[Ducto],$A27,Tabla1[nombre_actividad],J$1,Tabla1[Avance_km],"&gt;0")=0,"",SUMIFS(Tabla1[Avance_km],Tabla1[Ducto],$A27,Tabla1[nombre_actividad],J$1,Tabla1[Avance_km],"&gt;0"))</f>
        <v>4.4999999999999998E-2</v>
      </c>
      <c r="K27" s="116">
        <f>IF(SUMIFS(Tabla1[Avance_Med],Tabla1[Ducto],$A27,Tabla1[nombre_actividad],K$1)=0,"",SUMIFS(Tabla1[Avance_Med],Tabla1[Ducto],$A27,Tabla1[nombre_actividad],K$1))</f>
        <v>1</v>
      </c>
      <c r="L27" t="s">
        <v>241</v>
      </c>
    </row>
    <row r="28" spans="1:12" x14ac:dyDescent="0.3">
      <c r="A28" s="99" t="s">
        <v>242</v>
      </c>
      <c r="B28" s="103">
        <f>+_xlfn.XLOOKUP($A28,'R (s03)'!$B:$B,'R (s03)'!D:D,"Falta")</f>
        <v>1</v>
      </c>
      <c r="C28" s="104">
        <f>+_xlfn.XLOOKUP($A28,'R (s03)'!$B:$B,'R (s03)'!E:E,"Falta")</f>
        <v>1</v>
      </c>
      <c r="D28" s="104">
        <f>+_xlfn.XLOOKUP($A28,'R (s03)'!$B:$B,'R (s03)'!F:F,"Falta")</f>
        <v>0</v>
      </c>
      <c r="E28" s="104">
        <f>+_xlfn.XLOOKUP($A28,'R (s03)'!$B:$B,'R (s03)'!G:G,"Falta")</f>
        <v>1</v>
      </c>
      <c r="F28" s="105">
        <v>62</v>
      </c>
      <c r="G28" s="107">
        <v>44</v>
      </c>
      <c r="H28" s="115">
        <f>IF(SUMIFS(Tabla1[Avance_km],Tabla1[Ducto],$A28,Tabla1[nombre_actividad],H$1)=0,"",SUMIFS(Tabla1[Avance_km],Tabla1[Ducto],$A28,Tabla1[nombre_actividad],H$1))</f>
        <v>6.2E-2</v>
      </c>
      <c r="I28" s="115">
        <f>IF(SUMIFS(Tabla1[Avance_km],Tabla1[Ducto],$A28,Tabla1[nombre_actividad],I$1)=0,"",SUMIFS(Tabla1[Avance_km],Tabla1[Ducto],$A28,Tabla1[nombre_actividad],I$1))</f>
        <v>6.2E-2</v>
      </c>
      <c r="J28" s="115" t="str">
        <f>IF(SUMIFS(Tabla1[Avance_km],Tabla1[Ducto],$A28,Tabla1[nombre_actividad],J$1,Tabla1[Avance_km],"&gt;0")=0,"",SUMIFS(Tabla1[Avance_km],Tabla1[Ducto],$A28,Tabla1[nombre_actividad],J$1,Tabla1[Avance_km],"&gt;0"))</f>
        <v/>
      </c>
      <c r="K28" s="116">
        <f>IF(SUMIFS(Tabla1[Avance_Med],Tabla1[Ducto],$A28,Tabla1[nombre_actividad],K$1)=0,"",SUMIFS(Tabla1[Avance_Med],Tabla1[Ducto],$A28,Tabla1[nombre_actividad],K$1))</f>
        <v>1</v>
      </c>
      <c r="L28" t="s">
        <v>242</v>
      </c>
    </row>
    <row r="29" spans="1:12" x14ac:dyDescent="0.3">
      <c r="A29" s="99" t="s">
        <v>243</v>
      </c>
      <c r="B29" s="103">
        <f>+_xlfn.XLOOKUP($A29,'R (s03)'!$B:$B,'R (s03)'!D:D,"Falta")</f>
        <v>1</v>
      </c>
      <c r="C29" s="104">
        <f>+_xlfn.XLOOKUP($A29,'R (s03)'!$B:$B,'R (s03)'!E:E,"Falta")</f>
        <v>1</v>
      </c>
      <c r="D29" s="104">
        <f>+_xlfn.XLOOKUP($A29,'R (s03)'!$B:$B,'R (s03)'!F:F,"Falta")</f>
        <v>1</v>
      </c>
      <c r="E29" s="188" t="str">
        <f>+_xlfn.XLOOKUP($A29,'R (s03)'!$B:$B,'R (s03)'!G:G,"Falta")</f>
        <v>ref GERRESHEIMER</v>
      </c>
      <c r="F29" s="105">
        <v>7</v>
      </c>
      <c r="G29" s="107">
        <v>7</v>
      </c>
      <c r="H29" s="115">
        <f>IF(SUMIFS(Tabla1[Avance_km],Tabla1[Ducto],$A29,Tabla1[nombre_actividad],H$1)=0,"",SUMIFS(Tabla1[Avance_km],Tabla1[Ducto],$A29,Tabla1[nombre_actividad],H$1))</f>
        <v>4.1000000000000002E-2</v>
      </c>
      <c r="I29" s="115">
        <f>IF(SUMIFS(Tabla1[Avance_km],Tabla1[Ducto],$A29,Tabla1[nombre_actividad],I$1)=0,"",SUMIFS(Tabla1[Avance_km],Tabla1[Ducto],$A29,Tabla1[nombre_actividad],I$1))</f>
        <v>4.1000000000000002E-2</v>
      </c>
      <c r="J29" s="115">
        <f>IF(SUMIFS(Tabla1[Avance_km],Tabla1[Ducto],$A29,Tabla1[nombre_actividad],J$1,Tabla1[Avance_km],"&gt;0")=0,"",SUMIFS(Tabla1[Avance_km],Tabla1[Ducto],$A29,Tabla1[nombre_actividad],J$1,Tabla1[Avance_km],"&gt;0"))</f>
        <v>4.1000000000000002E-2</v>
      </c>
      <c r="K29" s="140" t="s">
        <v>348</v>
      </c>
      <c r="L29" t="s">
        <v>243</v>
      </c>
    </row>
    <row r="30" spans="1:12" x14ac:dyDescent="0.3">
      <c r="A30" s="99" t="s">
        <v>244</v>
      </c>
      <c r="B30" s="103">
        <f>+_xlfn.XLOOKUP($A30,'R (s03)'!$B:$B,'R (s03)'!D:D,"Falta")</f>
        <v>1</v>
      </c>
      <c r="C30" s="104">
        <f>+_xlfn.XLOOKUP($A30,'R (s03)'!$B:$B,'R (s03)'!E:E,"Falta")</f>
        <v>1</v>
      </c>
      <c r="D30" s="104">
        <f>+_xlfn.XLOOKUP($A30,'R (s03)'!$B:$B,'R (s03)'!F:F,"Falta")</f>
        <v>1</v>
      </c>
      <c r="E30" s="104">
        <f>+_xlfn.XLOOKUP($A30,'R (s03)'!$B:$B,'R (s03)'!G:G,"Falta")</f>
        <v>1</v>
      </c>
      <c r="F30" s="105">
        <v>469</v>
      </c>
      <c r="G30" s="107">
        <v>440</v>
      </c>
      <c r="H30" s="115">
        <f>IF(SUMIFS(Tabla1[Avance_km],Tabla1[Ducto],$A30,Tabla1[nombre_actividad],H$1)=0,"",SUMIFS(Tabla1[Avance_km],Tabla1[Ducto],$A30,Tabla1[nombre_actividad],H$1))</f>
        <v>0.46300000000000002</v>
      </c>
      <c r="I30" s="115">
        <f>IF(SUMIFS(Tabla1[Avance_km],Tabla1[Ducto],$A30,Tabla1[nombre_actividad],I$1)=0,"",SUMIFS(Tabla1[Avance_km],Tabla1[Ducto],$A30,Tabla1[nombre_actividad],I$1))</f>
        <v>0.46899999999999997</v>
      </c>
      <c r="J30" s="115">
        <f>IF(SUMIFS(Tabla1[Avance_km],Tabla1[Ducto],$A30,Tabla1[nombre_actividad],J$1,Tabla1[Avance_km],"&gt;0")=0,"",SUMIFS(Tabla1[Avance_km],Tabla1[Ducto],$A30,Tabla1[nombre_actividad],J$1,Tabla1[Avance_km],"&gt;0"))</f>
        <v>0.46300000000000002</v>
      </c>
      <c r="K30" s="116">
        <f>IF(SUMIFS(Tabla1[Avance_Med],Tabla1[Ducto],$A30,Tabla1[nombre_actividad],K$1)=0,"",SUMIFS(Tabla1[Avance_Med],Tabla1[Ducto],$A30,Tabla1[nombre_actividad],K$1))</f>
        <v>2</v>
      </c>
      <c r="L30" t="s">
        <v>244</v>
      </c>
    </row>
    <row r="31" spans="1:12" x14ac:dyDescent="0.3">
      <c r="A31" s="99" t="s">
        <v>245</v>
      </c>
      <c r="B31" s="103">
        <f>+_xlfn.XLOOKUP($A31,'R (s03)'!$B:$B,'R (s03)'!D:D,"Falta")</f>
        <v>1</v>
      </c>
      <c r="C31" s="104">
        <f>+_xlfn.XLOOKUP($A31,'R (s03)'!$B:$B,'R (s03)'!E:E,"Falta")</f>
        <v>1</v>
      </c>
      <c r="D31" s="104">
        <f>+_xlfn.XLOOKUP($A31,'R (s03)'!$B:$B,'R (s03)'!F:F,"Falta")</f>
        <v>1</v>
      </c>
      <c r="E31" s="104">
        <f>+_xlfn.XLOOKUP($A31,'R (s03)'!$B:$B,'R (s03)'!G:G,"Falta")</f>
        <v>1</v>
      </c>
      <c r="F31" s="105">
        <v>93</v>
      </c>
      <c r="G31" s="107">
        <v>36</v>
      </c>
      <c r="H31" s="115">
        <f>IF(SUMIFS(Tabla1[Avance_km],Tabla1[Ducto],$A31,Tabla1[nombre_actividad],H$1)=0,"",SUMIFS(Tabla1[Avance_km],Tabla1[Ducto],$A31,Tabla1[nombre_actividad],H$1))</f>
        <v>9.9000000000000005E-2</v>
      </c>
      <c r="I31" s="115">
        <f>IF(SUMIFS(Tabla1[Avance_km],Tabla1[Ducto],$A31,Tabla1[nombre_actividad],I$1)=0,"",SUMIFS(Tabla1[Avance_km],Tabla1[Ducto],$A31,Tabla1[nombre_actividad],I$1))</f>
        <v>9.9000000000000005E-2</v>
      </c>
      <c r="J31" s="115">
        <f>IF(SUMIFS(Tabla1[Avance_km],Tabla1[Ducto],$A31,Tabla1[nombre_actividad],J$1,Tabla1[Avance_km],"&gt;0")=0,"",SUMIFS(Tabla1[Avance_km],Tabla1[Ducto],$A31,Tabla1[nombre_actividad],J$1,Tabla1[Avance_km],"&gt;0"))</f>
        <v>9.9000000000000005E-2</v>
      </c>
      <c r="K31" s="116">
        <f>IF(SUMIFS(Tabla1[Avance_Med],Tabla1[Ducto],$A31,Tabla1[nombre_actividad],K$1)=0,"",SUMIFS(Tabla1[Avance_Med],Tabla1[Ducto],$A31,Tabla1[nombre_actividad],K$1))</f>
        <v>1</v>
      </c>
      <c r="L31" t="s">
        <v>245</v>
      </c>
    </row>
    <row r="32" spans="1:12" x14ac:dyDescent="0.3">
      <c r="A32" s="396" t="s">
        <v>246</v>
      </c>
      <c r="B32" s="254">
        <f>+_xlfn.XLOOKUP($A32,'R (s03)'!$B:$B,'R (s03)'!D:D,"Falta")</f>
        <v>0</v>
      </c>
      <c r="C32" s="255">
        <f>+_xlfn.XLOOKUP($A32,'R (s03)'!$B:$B,'R (s03)'!E:E,"Falta")</f>
        <v>0</v>
      </c>
      <c r="D32" s="255">
        <f>+_xlfn.XLOOKUP($A32,'R (s03)'!$B:$B,'R (s03)'!F:F,"Falta")</f>
        <v>0</v>
      </c>
      <c r="E32" s="255">
        <f>+_xlfn.XLOOKUP($A32,'R (s03)'!$B:$B,'R (s03)'!G:G,"Falta")</f>
        <v>1</v>
      </c>
      <c r="F32" s="256">
        <v>6</v>
      </c>
      <c r="G32" s="257">
        <v>6</v>
      </c>
      <c r="H32" s="258" t="str">
        <f>IF(SUMIFS(Tabla1[Avance_km],Tabla1[Ducto],$A32,Tabla1[nombre_actividad],H$1)=0,"",SUMIFS(Tabla1[Avance_km],Tabla1[Ducto],$A32,Tabla1[nombre_actividad],H$1))</f>
        <v/>
      </c>
      <c r="I32" s="258" t="str">
        <f>IF(SUMIFS(Tabla1[Avance_km],Tabla1[Ducto],$A32,Tabla1[nombre_actividad],I$1)=0,"",SUMIFS(Tabla1[Avance_km],Tabla1[Ducto],$A32,Tabla1[nombre_actividad],I$1))</f>
        <v/>
      </c>
      <c r="J32" s="258" t="str">
        <f>IF(SUMIFS(Tabla1[Avance_km],Tabla1[Ducto],$A32,Tabla1[nombre_actividad],J$1,Tabla1[Avance_km],"&gt;0")=0,"",SUMIFS(Tabla1[Avance_km],Tabla1[Ducto],$A32,Tabla1[nombre_actividad],J$1,Tabla1[Avance_km],"&gt;0"))</f>
        <v/>
      </c>
      <c r="K32" s="259">
        <f>IF(SUMIFS(Tabla1[Avance_Med],Tabla1[Ducto],$A32,Tabla1[nombre_actividad],K$1)=0,"",SUMIFS(Tabla1[Avance_Med],Tabla1[Ducto],$A32,Tabla1[nombre_actividad],K$1))</f>
        <v>1</v>
      </c>
      <c r="L32" t="s">
        <v>246</v>
      </c>
    </row>
    <row r="33" spans="1:12" x14ac:dyDescent="0.3">
      <c r="A33" s="99" t="s">
        <v>247</v>
      </c>
      <c r="B33" s="103">
        <f>+_xlfn.XLOOKUP($A33,'R (s03)'!$B:$B,'R (s03)'!D:D,"Falta")</f>
        <v>1</v>
      </c>
      <c r="C33" s="104">
        <f>+_xlfn.XLOOKUP($A33,'R (s03)'!$B:$B,'R (s03)'!E:E,"Falta")</f>
        <v>1</v>
      </c>
      <c r="D33" s="104">
        <f>+_xlfn.XLOOKUP($A33,'R (s03)'!$B:$B,'R (s03)'!F:F,"Falta")</f>
        <v>1</v>
      </c>
      <c r="E33" s="188" t="str">
        <f>+_xlfn.XLOOKUP($A33,'R (s03)'!$B:$B,'R (s03)'!G:G,"Falta")</f>
        <v>ref TREMEC</v>
      </c>
      <c r="F33" s="105">
        <v>7</v>
      </c>
      <c r="G33" s="107">
        <v>5</v>
      </c>
      <c r="H33" s="115">
        <f>IF(SUMIFS(Tabla1[Avance_km],Tabla1[Ducto],$A33,Tabla1[nombre_actividad],H$1)=0,"",SUMIFS(Tabla1[Avance_km],Tabla1[Ducto],$A33,Tabla1[nombre_actividad],H$1))</f>
        <v>8.0000000000000002E-3</v>
      </c>
      <c r="I33" s="115">
        <f>IF(SUMIFS(Tabla1[Avance_km],Tabla1[Ducto],$A33,Tabla1[nombre_actividad],I$1)=0,"",SUMIFS(Tabla1[Avance_km],Tabla1[Ducto],$A33,Tabla1[nombre_actividad],I$1))</f>
        <v>8.0000000000000002E-3</v>
      </c>
      <c r="J33" s="115">
        <f>IF(SUMIFS(Tabla1[Avance_km],Tabla1[Ducto],$A33,Tabla1[nombre_actividad],J$1,Tabla1[Avance_km],"&gt;0")=0,"",SUMIFS(Tabla1[Avance_km],Tabla1[Ducto],$A33,Tabla1[nombre_actividad],J$1,Tabla1[Avance_km],"&gt;0"))</f>
        <v>8.0000000000000002E-3</v>
      </c>
      <c r="K33" s="140" t="s">
        <v>349</v>
      </c>
      <c r="L33" t="s">
        <v>247</v>
      </c>
    </row>
    <row r="34" spans="1:12" x14ac:dyDescent="0.3">
      <c r="A34" s="99" t="s">
        <v>248</v>
      </c>
      <c r="B34" s="103">
        <f>+_xlfn.XLOOKUP($A34,'R (s03)'!$B:$B,'R (s03)'!D:D,"Falta")</f>
        <v>1</v>
      </c>
      <c r="C34" s="104">
        <f>+_xlfn.XLOOKUP($A34,'R (s03)'!$B:$B,'R (s03)'!E:E,"Falta")</f>
        <v>1</v>
      </c>
      <c r="D34" s="104">
        <f>+_xlfn.XLOOKUP($A34,'R (s03)'!$B:$B,'R (s03)'!F:F,"Falta")</f>
        <v>1</v>
      </c>
      <c r="E34" s="104">
        <f>+_xlfn.XLOOKUP($A34,'R (s03)'!$B:$B,'R (s03)'!G:G,"Falta")</f>
        <v>1</v>
      </c>
      <c r="F34" s="105">
        <v>8</v>
      </c>
      <c r="G34" s="107">
        <v>6</v>
      </c>
      <c r="H34" s="115">
        <f>IF(SUMIFS(Tabla1[Avance_km],Tabla1[Ducto],$A34,Tabla1[nombre_actividad],H$1)=0,"",SUMIFS(Tabla1[Avance_km],Tabla1[Ducto],$A34,Tabla1[nombre_actividad],H$1))</f>
        <v>6.0000000000000001E-3</v>
      </c>
      <c r="I34" s="115">
        <f>IF(SUMIFS(Tabla1[Avance_km],Tabla1[Ducto],$A34,Tabla1[nombre_actividad],I$1)=0,"",SUMIFS(Tabla1[Avance_km],Tabla1[Ducto],$A34,Tabla1[nombre_actividad],I$1))</f>
        <v>6.0000000000000001E-3</v>
      </c>
      <c r="J34" s="115">
        <f>IF(SUMIFS(Tabla1[Avance_km],Tabla1[Ducto],$A34,Tabla1[nombre_actividad],J$1,Tabla1[Avance_km],"&gt;0")=0,"",SUMIFS(Tabla1[Avance_km],Tabla1[Ducto],$A34,Tabla1[nombre_actividad],J$1,Tabla1[Avance_km],"&gt;0"))</f>
        <v>6.0000000000000001E-3</v>
      </c>
      <c r="K34" s="116">
        <f>IF(SUMIFS(Tabla1[Avance_Med],Tabla1[Ducto],$A34,Tabla1[nombre_actividad],K$1)=0,"",SUMIFS(Tabla1[Avance_Med],Tabla1[Ducto],$A34,Tabla1[nombre_actividad],K$1))</f>
        <v>1</v>
      </c>
      <c r="L34" t="s">
        <v>248</v>
      </c>
    </row>
    <row r="35" spans="1:12" x14ac:dyDescent="0.3">
      <c r="A35" s="99" t="s">
        <v>249</v>
      </c>
      <c r="B35" s="103">
        <f>+_xlfn.XLOOKUP($A35,'R (s03)'!$B:$B,'R (s03)'!D:D,"Falta")</f>
        <v>1</v>
      </c>
      <c r="C35" s="104">
        <f>+_xlfn.XLOOKUP($A35,'R (s03)'!$B:$B,'R (s03)'!E:E,"Falta")</f>
        <v>1</v>
      </c>
      <c r="D35" s="104">
        <f>+_xlfn.XLOOKUP($A35,'R (s03)'!$B:$B,'R (s03)'!F:F,"Falta")</f>
        <v>1</v>
      </c>
      <c r="E35" s="104">
        <f>+_xlfn.XLOOKUP($A35,'R (s03)'!$B:$B,'R (s03)'!G:G,"Falta")</f>
        <v>1</v>
      </c>
      <c r="F35" s="105">
        <v>12</v>
      </c>
      <c r="G35" s="107">
        <v>12</v>
      </c>
      <c r="H35" s="115">
        <f>IF(SUMIFS(Tabla1[Avance_km],Tabla1[Ducto],$A35,Tabla1[nombre_actividad],H$1)=0,"",SUMIFS(Tabla1[Avance_km],Tabla1[Ducto],$A35,Tabla1[nombre_actividad],H$1))</f>
        <v>1.4999999999999999E-2</v>
      </c>
      <c r="I35" s="115">
        <f>IF(SUMIFS(Tabla1[Avance_km],Tabla1[Ducto],$A35,Tabla1[nombre_actividad],I$1)=0,"",SUMIFS(Tabla1[Avance_km],Tabla1[Ducto],$A35,Tabla1[nombre_actividad],I$1))</f>
        <v>1.2E-2</v>
      </c>
      <c r="J35" s="115">
        <f>IF(SUMIFS(Tabla1[Avance_km],Tabla1[Ducto],$A35,Tabla1[nombre_actividad],J$1,Tabla1[Avance_km],"&gt;0")=0,"",SUMIFS(Tabla1[Avance_km],Tabla1[Ducto],$A35,Tabla1[nombre_actividad],J$1,Tabla1[Avance_km],"&gt;0"))</f>
        <v>1.2E-2</v>
      </c>
      <c r="K35" s="116">
        <f>IF(SUMIFS(Tabla1[Avance_Med],Tabla1[Ducto],$A35,Tabla1[nombre_actividad],K$1)=0,"",SUMIFS(Tabla1[Avance_Med],Tabla1[Ducto],$A35,Tabla1[nombre_actividad],K$1))</f>
        <v>1</v>
      </c>
      <c r="L35" t="s">
        <v>249</v>
      </c>
    </row>
    <row r="36" spans="1:12" x14ac:dyDescent="0.3">
      <c r="A36" s="99" t="s">
        <v>250</v>
      </c>
      <c r="B36" s="103">
        <f>+_xlfn.XLOOKUP($A36,'R (s03)'!$B:$B,'R (s03)'!D:D,"Falta")</f>
        <v>1</v>
      </c>
      <c r="C36" s="104">
        <f>+_xlfn.XLOOKUP($A36,'R (s03)'!$B:$B,'R (s03)'!E:E,"Falta")</f>
        <v>1</v>
      </c>
      <c r="D36" s="104">
        <f>+_xlfn.XLOOKUP($A36,'R (s03)'!$B:$B,'R (s03)'!F:F,"Falta")</f>
        <v>1.0294117647058825</v>
      </c>
      <c r="E36" s="104">
        <f>+_xlfn.XLOOKUP($A36,'R (s03)'!$B:$B,'R (s03)'!G:G,"Falta")</f>
        <v>1</v>
      </c>
      <c r="F36" s="105">
        <v>850</v>
      </c>
      <c r="G36" s="107">
        <v>850</v>
      </c>
      <c r="H36" s="115">
        <f>IF(SUMIFS(Tabla1[Avance_km],Tabla1[Ducto],$A36,Tabla1[nombre_actividad],H$1)=0,"",SUMIFS(Tabla1[Avance_km],Tabla1[Ducto],$A36,Tabla1[nombre_actividad],H$1))</f>
        <v>0.85</v>
      </c>
      <c r="I36" s="115">
        <f>IF(SUMIFS(Tabla1[Avance_km],Tabla1[Ducto],$A36,Tabla1[nombre_actividad],I$1)=0,"",SUMIFS(Tabla1[Avance_km],Tabla1[Ducto],$A36,Tabla1[nombre_actividad],I$1))</f>
        <v>0.85</v>
      </c>
      <c r="J36" s="115">
        <f>IF(SUMIFS(Tabla1[Avance_km],Tabla1[Ducto],$A36,Tabla1[nombre_actividad],J$1,Tabla1[Avance_km],"&gt;0")=0,"",SUMIFS(Tabla1[Avance_km],Tabla1[Ducto],$A36,Tabla1[nombre_actividad],J$1,Tabla1[Avance_km],"&gt;0"))</f>
        <v>0.875</v>
      </c>
      <c r="K36" s="116">
        <f>IF(SUMIFS(Tabla1[Avance_Med],Tabla1[Ducto],$A36,Tabla1[nombre_actividad],K$1)=0,"",SUMIFS(Tabla1[Avance_Med],Tabla1[Ducto],$A36,Tabla1[nombre_actividad],K$1))</f>
        <v>3</v>
      </c>
      <c r="L36" t="s">
        <v>250</v>
      </c>
    </row>
    <row r="37" spans="1:12" x14ac:dyDescent="0.3">
      <c r="A37" s="99" t="s">
        <v>251</v>
      </c>
      <c r="B37" s="103">
        <f>+_xlfn.XLOOKUP($A37,'R (s03)'!$B:$B,'R (s03)'!D:D,"Falta")</f>
        <v>1</v>
      </c>
      <c r="C37" s="104">
        <f>+_xlfn.XLOOKUP($A37,'R (s03)'!$B:$B,'R (s03)'!E:E,"Falta")</f>
        <v>1</v>
      </c>
      <c r="D37" s="104">
        <f>+_xlfn.XLOOKUP($A37,'R (s03)'!$B:$B,'R (s03)'!F:F,"Falta")</f>
        <v>1</v>
      </c>
      <c r="E37" s="104">
        <f>+_xlfn.XLOOKUP($A37,'R (s03)'!$B:$B,'R (s03)'!G:G,"Falta")</f>
        <v>1</v>
      </c>
      <c r="F37" s="105">
        <v>86</v>
      </c>
      <c r="G37" s="107">
        <v>310</v>
      </c>
      <c r="H37" s="115">
        <f>IF(SUMIFS(Tabla1[Avance_km],Tabla1[Ducto],$A37,Tabla1[nombre_actividad],H$1)=0,"",SUMIFS(Tabla1[Avance_km],Tabla1[Ducto],$A37,Tabla1[nombre_actividad],H$1))</f>
        <v>0.314</v>
      </c>
      <c r="I37" s="115">
        <f>IF(SUMIFS(Tabla1[Avance_km],Tabla1[Ducto],$A37,Tabla1[nombre_actividad],I$1)=0,"",SUMIFS(Tabla1[Avance_km],Tabla1[Ducto],$A37,Tabla1[nombre_actividad],I$1))</f>
        <v>0.38500000000000001</v>
      </c>
      <c r="J37" s="115">
        <f>IF(SUMIFS(Tabla1[Avance_km],Tabla1[Ducto],$A37,Tabla1[nombre_actividad],J$1,Tabla1[Avance_km],"&gt;0")=0,"",SUMIFS(Tabla1[Avance_km],Tabla1[Ducto],$A37,Tabla1[nombre_actividad],J$1,Tabla1[Avance_km],"&gt;0"))</f>
        <v>0.314</v>
      </c>
      <c r="K37" s="116">
        <f>IF(SUMIFS(Tabla1[Avance_Med],Tabla1[Ducto],$A37,Tabla1[nombre_actividad],K$1)=0,"",SUMIFS(Tabla1[Avance_Med],Tabla1[Ducto],$A37,Tabla1[nombre_actividad],K$1))</f>
        <v>2</v>
      </c>
      <c r="L37" t="s">
        <v>251</v>
      </c>
    </row>
    <row r="38" spans="1:12" x14ac:dyDescent="0.3">
      <c r="A38" s="99" t="s">
        <v>252</v>
      </c>
      <c r="B38" s="103">
        <f>+_xlfn.XLOOKUP($A38,'R (s03)'!$B:$B,'R (s03)'!D:D,"Falta")</f>
        <v>1</v>
      </c>
      <c r="C38" s="104">
        <f>+_xlfn.XLOOKUP($A38,'R (s03)'!$B:$B,'R (s03)'!E:E,"Falta")</f>
        <v>1</v>
      </c>
      <c r="D38" s="104">
        <f>+_xlfn.XLOOKUP($A38,'R (s03)'!$B:$B,'R (s03)'!F:F,"Falta")</f>
        <v>1</v>
      </c>
      <c r="E38" s="104">
        <f>+_xlfn.XLOOKUP($A38,'R (s03)'!$B:$B,'R (s03)'!G:G,"Falta")</f>
        <v>1</v>
      </c>
      <c r="F38" s="105">
        <v>12.5</v>
      </c>
      <c r="G38" s="107">
        <v>12.5</v>
      </c>
      <c r="H38" s="115">
        <f>IF(SUMIFS(Tabla1[Avance_km],Tabla1[Ducto],$A38,Tabla1[nombre_actividad],H$1)=0,"",SUMIFS(Tabla1[Avance_km],Tabla1[Ducto],$A38,Tabla1[nombre_actividad],H$1))</f>
        <v>1.2999999999999999E-2</v>
      </c>
      <c r="I38" s="115">
        <f>IF(SUMIFS(Tabla1[Avance_km],Tabla1[Ducto],$A38,Tabla1[nombre_actividad],I$1)=0,"",SUMIFS(Tabla1[Avance_km],Tabla1[Ducto],$A38,Tabla1[nombre_actividad],I$1))</f>
        <v>1.2999999999999999E-2</v>
      </c>
      <c r="J38" s="115">
        <f>IF(SUMIFS(Tabla1[Avance_km],Tabla1[Ducto],$A38,Tabla1[nombre_actividad],J$1,Tabla1[Avance_km],"&gt;0")=0,"",SUMIFS(Tabla1[Avance_km],Tabla1[Ducto],$A38,Tabla1[nombre_actividad],J$1,Tabla1[Avance_km],"&gt;0"))</f>
        <v>1.2999999999999999E-2</v>
      </c>
      <c r="K38" s="116">
        <f>IF(SUMIFS(Tabla1[Avance_Med],Tabla1[Ducto],$A38,Tabla1[nombre_actividad],K$1)=0,"",SUMIFS(Tabla1[Avance_Med],Tabla1[Ducto],$A38,Tabla1[nombre_actividad],K$1))</f>
        <v>1</v>
      </c>
      <c r="L38" t="s">
        <v>252</v>
      </c>
    </row>
    <row r="39" spans="1:12" x14ac:dyDescent="0.3">
      <c r="A39" s="99" t="s">
        <v>253</v>
      </c>
      <c r="B39" s="103">
        <f>+_xlfn.XLOOKUP($A39,'R (s03)'!$B:$B,'R (s03)'!D:D,"Falta")</f>
        <v>1</v>
      </c>
      <c r="C39" s="104">
        <f>+_xlfn.XLOOKUP($A39,'R (s03)'!$B:$B,'R (s03)'!E:E,"Falta")</f>
        <v>1</v>
      </c>
      <c r="D39" s="104">
        <f>+_xlfn.XLOOKUP($A39,'R (s03)'!$B:$B,'R (s03)'!F:F,"Falta")</f>
        <v>1</v>
      </c>
      <c r="E39" s="104">
        <f>+_xlfn.XLOOKUP($A39,'R (s03)'!$B:$B,'R (s03)'!G:G,"Falta")</f>
        <v>1</v>
      </c>
      <c r="F39" s="105">
        <v>1324</v>
      </c>
      <c r="G39" s="107">
        <v>1324</v>
      </c>
      <c r="H39" s="115">
        <f>IF(SUMIFS(Tabla1[Avance_km],Tabla1[Ducto],$A39,Tabla1[nombre_actividad],H$1)=0,"",SUMIFS(Tabla1[Avance_km],Tabla1[Ducto],$A39,Tabla1[nombre_actividad],H$1))</f>
        <v>1.3240000000000001</v>
      </c>
      <c r="I39" s="115">
        <f>IF(SUMIFS(Tabla1[Avance_km],Tabla1[Ducto],$A39,Tabla1[nombre_actividad],I$1)=0,"",SUMIFS(Tabla1[Avance_km],Tabla1[Ducto],$A39,Tabla1[nombre_actividad],I$1))</f>
        <v>1.3240000000000001</v>
      </c>
      <c r="J39" s="115">
        <f>IF(SUMIFS(Tabla1[Avance_km],Tabla1[Ducto],$A39,Tabla1[nombre_actividad],J$1,Tabla1[Avance_km],"&gt;0")=0,"",SUMIFS(Tabla1[Avance_km],Tabla1[Ducto],$A39,Tabla1[nombre_actividad],J$1,Tabla1[Avance_km],"&gt;0"))</f>
        <v>1.3240000000000001</v>
      </c>
      <c r="K39" s="116">
        <f>IF(SUMIFS(Tabla1[Avance_Med],Tabla1[Ducto],$A39,Tabla1[nombre_actividad],K$1)=0,"",SUMIFS(Tabla1[Avance_Med],Tabla1[Ducto],$A39,Tabla1[nombre_actividad],K$1))</f>
        <v>4</v>
      </c>
      <c r="L39" t="s">
        <v>253</v>
      </c>
    </row>
    <row r="40" spans="1:12" x14ac:dyDescent="0.3">
      <c r="A40" s="396" t="s">
        <v>254</v>
      </c>
      <c r="B40" s="254">
        <f>+_xlfn.XLOOKUP($A40,'R (s03)'!$B:$B,'R (s03)'!D:D,"Falta")</f>
        <v>0</v>
      </c>
      <c r="C40" s="255">
        <f>+_xlfn.XLOOKUP($A40,'R (s03)'!$B:$B,'R (s03)'!E:E,"Falta")</f>
        <v>0</v>
      </c>
      <c r="D40" s="255">
        <f>+_xlfn.XLOOKUP($A40,'R (s03)'!$B:$B,'R (s03)'!F:F,"Falta")</f>
        <v>0</v>
      </c>
      <c r="E40" s="255">
        <f>+_xlfn.XLOOKUP($A40,'R (s03)'!$B:$B,'R (s03)'!G:G,"Falta")</f>
        <v>1</v>
      </c>
      <c r="F40" s="256">
        <v>12</v>
      </c>
      <c r="G40" s="257">
        <v>12</v>
      </c>
      <c r="H40" s="258" t="str">
        <f>IF(SUMIFS(Tabla1[Avance_km],Tabla1[Ducto],$A40,Tabla1[nombre_actividad],H$1)=0,"",SUMIFS(Tabla1[Avance_km],Tabla1[Ducto],$A40,Tabla1[nombre_actividad],H$1))</f>
        <v/>
      </c>
      <c r="I40" s="258" t="str">
        <f>IF(SUMIFS(Tabla1[Avance_km],Tabla1[Ducto],$A40,Tabla1[nombre_actividad],I$1)=0,"",SUMIFS(Tabla1[Avance_km],Tabla1[Ducto],$A40,Tabla1[nombre_actividad],I$1))</f>
        <v/>
      </c>
      <c r="J40" s="258" t="str">
        <f>IF(SUMIFS(Tabla1[Avance_km],Tabla1[Ducto],$A40,Tabla1[nombre_actividad],J$1,Tabla1[Avance_km],"&gt;0")=0,"",SUMIFS(Tabla1[Avance_km],Tabla1[Ducto],$A40,Tabla1[nombre_actividad],J$1,Tabla1[Avance_km],"&gt;0"))</f>
        <v/>
      </c>
      <c r="K40" s="259">
        <f>IF(SUMIFS(Tabla1[Avance_Med],Tabla1[Ducto],$A40,Tabla1[nombre_actividad],K$1)=0,"",SUMIFS(Tabla1[Avance_Med],Tabla1[Ducto],$A40,Tabla1[nombre_actividad],K$1))</f>
        <v>1</v>
      </c>
      <c r="L40" t="s">
        <v>254</v>
      </c>
    </row>
    <row r="41" spans="1:12" x14ac:dyDescent="0.3">
      <c r="A41" s="99" t="s">
        <v>255</v>
      </c>
      <c r="B41" s="103">
        <f>+_xlfn.XLOOKUP($A41,'R (s03)'!$B:$B,'R (s03)'!D:D,"Falta")</f>
        <v>1</v>
      </c>
      <c r="C41" s="104">
        <f>+_xlfn.XLOOKUP($A41,'R (s03)'!$B:$B,'R (s03)'!E:E,"Falta")</f>
        <v>1</v>
      </c>
      <c r="D41" s="104">
        <f>+_xlfn.XLOOKUP($A41,'R (s03)'!$B:$B,'R (s03)'!F:F,"Falta")</f>
        <v>1</v>
      </c>
      <c r="E41" s="104">
        <f>+_xlfn.XLOOKUP($A41,'R (s03)'!$B:$B,'R (s03)'!G:G,"Falta")</f>
        <v>1</v>
      </c>
      <c r="F41" s="105">
        <v>275</v>
      </c>
      <c r="G41" s="107">
        <v>257</v>
      </c>
      <c r="H41" s="115">
        <f>IF(SUMIFS(Tabla1[Avance_km],Tabla1[Ducto],$A41,Tabla1[nombre_actividad],H$1)=0,"",SUMIFS(Tabla1[Avance_km],Tabla1[Ducto],$A41,Tabla1[nombre_actividad],H$1))</f>
        <v>0.27500000000000002</v>
      </c>
      <c r="I41" s="115">
        <f>IF(SUMIFS(Tabla1[Avance_km],Tabla1[Ducto],$A41,Tabla1[nombre_actividad],I$1)=0,"",SUMIFS(Tabla1[Avance_km],Tabla1[Ducto],$A41,Tabla1[nombre_actividad],I$1))</f>
        <v>0.27500000000000002</v>
      </c>
      <c r="J41" s="115">
        <f>IF(SUMIFS(Tabla1[Avance_km],Tabla1[Ducto],$A41,Tabla1[nombre_actividad],J$1,Tabla1[Avance_km],"&gt;0")=0,"",SUMIFS(Tabla1[Avance_km],Tabla1[Ducto],$A41,Tabla1[nombre_actividad],J$1,Tabla1[Avance_km],"&gt;0"))</f>
        <v>0.27500000000000002</v>
      </c>
      <c r="K41" s="116">
        <f>IF(SUMIFS(Tabla1[Avance_Med],Tabla1[Ducto],$A41,Tabla1[nombre_actividad],K$1)=0,"",SUMIFS(Tabla1[Avance_Med],Tabla1[Ducto],$A41,Tabla1[nombre_actividad],K$1))</f>
        <v>1</v>
      </c>
      <c r="L41" t="s">
        <v>255</v>
      </c>
    </row>
    <row r="42" spans="1:12" x14ac:dyDescent="0.3">
      <c r="A42" s="99" t="s">
        <v>346</v>
      </c>
      <c r="B42" s="103">
        <f>+_xlfn.XLOOKUP($A42,'R (s03)'!$B:$B,'R (s03)'!D:D,"Falta")</f>
        <v>1</v>
      </c>
      <c r="C42" s="104">
        <f>+_xlfn.XLOOKUP($A42,'R (s03)'!$B:$B,'R (s03)'!E:E,"Falta")</f>
        <v>1</v>
      </c>
      <c r="D42" s="104">
        <f>+_xlfn.XLOOKUP($A42,'R (s03)'!$B:$B,'R (s03)'!F:F,"Falta")</f>
        <v>1</v>
      </c>
      <c r="E42" s="104">
        <f>+_xlfn.XLOOKUP($A42,'R (s03)'!$B:$B,'R (s03)'!G:G,"Falta")</f>
        <v>1</v>
      </c>
      <c r="F42" s="105">
        <v>703</v>
      </c>
      <c r="G42" s="107">
        <v>694</v>
      </c>
      <c r="H42" s="115">
        <f>IF(SUMIFS(Tabla1[Avance_km],Tabla1[Ducto],$A42,Tabla1[nombre_actividad],H$1)=0,"",SUMIFS(Tabla1[Avance_km],Tabla1[Ducto],$A42,Tabla1[nombre_actividad],H$1))</f>
        <v>0.70299999999999996</v>
      </c>
      <c r="I42" s="115">
        <f>IF(SUMIFS(Tabla1[Avance_km],Tabla1[Ducto],$A42,Tabla1[nombre_actividad],I$1)=0,"",SUMIFS(Tabla1[Avance_km],Tabla1[Ducto],$A42,Tabla1[nombre_actividad],I$1))</f>
        <v>0.69199999999999995</v>
      </c>
      <c r="J42" s="115">
        <f>IF(SUMIFS(Tabla1[Avance_km],Tabla1[Ducto],$A42,Tabla1[nombre_actividad],J$1,Tabla1[Avance_km],"&gt;0")=0,"",SUMIFS(Tabla1[Avance_km],Tabla1[Ducto],$A42,Tabla1[nombre_actividad],J$1,Tabla1[Avance_km],"&gt;0"))</f>
        <v>0.70299999999999996</v>
      </c>
      <c r="K42" s="116">
        <f>IF(SUMIFS(Tabla1[Avance_Med],Tabla1[Ducto],$A42,Tabla1[nombre_actividad],K$1)=0,"",SUMIFS(Tabla1[Avance_Med],Tabla1[Ducto],$A42,Tabla1[nombre_actividad],K$1))</f>
        <v>2</v>
      </c>
      <c r="L42" t="s">
        <v>346</v>
      </c>
    </row>
    <row r="43" spans="1:12" x14ac:dyDescent="0.3">
      <c r="A43" s="396" t="s">
        <v>502</v>
      </c>
      <c r="B43" s="254">
        <f>+_xlfn.XLOOKUP($A43,'R (s03)'!$B:$B,'R (s03)'!D:D,"Falta")</f>
        <v>0</v>
      </c>
      <c r="C43" s="255">
        <f>+_xlfn.XLOOKUP($A43,'R (s03)'!$B:$B,'R (s03)'!E:E,"Falta")</f>
        <v>0</v>
      </c>
      <c r="D43" s="255">
        <f>+_xlfn.XLOOKUP($A43,'R (s03)'!$B:$B,'R (s03)'!F:F,"Falta")</f>
        <v>0</v>
      </c>
      <c r="E43" s="255" t="str">
        <f>+_xlfn.XLOOKUP($A43,'R (s03)'!$B:$B,'R (s03)'!G:G,"Falta")</f>
        <v>---</v>
      </c>
      <c r="F43" s="256"/>
      <c r="G43" s="257"/>
      <c r="H43" s="258" t="str">
        <f>IF(SUMIFS(Tabla1[Avance_km],Tabla1[Ducto],$A43,Tabla1[nombre_actividad],H$1)=0,"",SUMIFS(Tabla1[Avance_km],Tabla1[Ducto],$A43,Tabla1[nombre_actividad],H$1))</f>
        <v/>
      </c>
      <c r="I43" s="258" t="str">
        <f>IF(SUMIFS(Tabla1[Avance_km],Tabla1[Ducto],$A43,Tabla1[nombre_actividad],I$1)=0,"",SUMIFS(Tabla1[Avance_km],Tabla1[Ducto],$A43,Tabla1[nombre_actividad],I$1))</f>
        <v/>
      </c>
      <c r="J43" s="258" t="str">
        <f>IF(SUMIFS(Tabla1[Avance_km],Tabla1[Ducto],$A43,Tabla1[nombre_actividad],J$1,Tabla1[Avance_km],"&gt;0")=0,"",SUMIFS(Tabla1[Avance_km],Tabla1[Ducto],$A43,Tabla1[nombre_actividad],J$1,Tabla1[Avance_km],"&gt;0"))</f>
        <v/>
      </c>
      <c r="K43" s="259" t="str">
        <f>IF(SUMIFS(Tabla1[Avance_Med],Tabla1[Ducto],$A43,Tabla1[nombre_actividad],K$1)=0,"",SUMIFS(Tabla1[Avance_Med],Tabla1[Ducto],$A43,Tabla1[nombre_actividad],K$1))</f>
        <v/>
      </c>
      <c r="L43" t="s">
        <v>502</v>
      </c>
    </row>
    <row r="44" spans="1:12" x14ac:dyDescent="0.3">
      <c r="A44" s="99" t="s">
        <v>504</v>
      </c>
      <c r="B44" s="103">
        <f>+_xlfn.XLOOKUP($A44,'R (s03)'!$B:$B,'R (s03)'!D:D,"Falta")</f>
        <v>1</v>
      </c>
      <c r="C44" s="104">
        <f>+_xlfn.XLOOKUP($A44,'R (s03)'!$B:$B,'R (s03)'!E:E,"Falta")</f>
        <v>1</v>
      </c>
      <c r="D44" s="104">
        <f>+_xlfn.XLOOKUP($A44,'R (s03)'!$B:$B,'R (s03)'!F:F,"Falta")</f>
        <v>1</v>
      </c>
      <c r="E44" s="104">
        <f>+_xlfn.XLOOKUP($A44,'R (s03)'!$B:$B,'R (s03)'!G:G,"Falta")</f>
        <v>0</v>
      </c>
      <c r="F44" s="105"/>
      <c r="G44" s="107"/>
      <c r="H44" s="115">
        <f>IF(SUMIFS(Tabla1[Avance_km],Tabla1[Ducto],$A44,Tabla1[nombre_actividad],H$1)=0,"",SUMIFS(Tabla1[Avance_km],Tabla1[Ducto],$A44,Tabla1[nombre_actividad],H$1))</f>
        <v>0.24299999999999999</v>
      </c>
      <c r="I44" s="115">
        <f>IF(SUMIFS(Tabla1[Avance_km],Tabla1[Ducto],$A44,Tabla1[nombre_actividad],I$1)=0,"",SUMIFS(Tabla1[Avance_km],Tabla1[Ducto],$A44,Tabla1[nombre_actividad],I$1))</f>
        <v>0.24299999999999999</v>
      </c>
      <c r="J44" s="115">
        <f>IF(SUMIFS(Tabla1[Avance_km],Tabla1[Ducto],$A44,Tabla1[nombre_actividad],J$1,Tabla1[Avance_km],"&gt;0")=0,"",SUMIFS(Tabla1[Avance_km],Tabla1[Ducto],$A44,Tabla1[nombre_actividad],J$1,Tabla1[Avance_km],"&gt;0"))</f>
        <v>0.24299999999999999</v>
      </c>
      <c r="K44" s="116">
        <f>IF(SUMIFS(Tabla1[Avance_Med],Tabla1[Ducto],$A44,Tabla1[nombre_actividad],K$1)=0,"",SUMIFS(Tabla1[Avance_Med],Tabla1[Ducto],$A44,Tabla1[nombre_actividad],K$1))</f>
        <v>1</v>
      </c>
      <c r="L44" t="s">
        <v>504</v>
      </c>
    </row>
    <row r="45" spans="1:12" x14ac:dyDescent="0.3">
      <c r="A45" s="99" t="s">
        <v>353</v>
      </c>
      <c r="B45" s="558"/>
      <c r="C45" s="104"/>
      <c r="D45" s="104"/>
      <c r="E45" s="104">
        <f>+_xlfn.XLOOKUP($A45,'R (s03)'!$B:$B,'R (s03)'!G:G,"Falta")</f>
        <v>1</v>
      </c>
      <c r="F45" s="187"/>
      <c r="G45" s="107"/>
      <c r="H45" s="115">
        <f>IF(SUMIFS(Tabla1[Avance_km],Tabla1[Ducto],$A45,Tabla1[nombre_actividad],H$1)=0,"",SUMIFS(Tabla1[Avance_km],Tabla1[Ducto],$A45,Tabla1[nombre_actividad],H$1))</f>
        <v>1.7999999999999999E-2</v>
      </c>
      <c r="I45" s="115">
        <f>IF(SUMIFS(Tabla1[Avance_km],Tabla1[Ducto],$A45,Tabla1[nombre_actividad],I$1)=0,"",SUMIFS(Tabla1[Avance_km],Tabla1[Ducto],$A45,Tabla1[nombre_actividad],I$1))</f>
        <v>1.7999999999999999E-2</v>
      </c>
      <c r="J45" s="115">
        <f>IF(SUMIFS(Tabla1[Avance_km],Tabla1[Ducto],$A45,Tabla1[nombre_actividad],J$1,Tabla1[Avance_km],"&gt;0")=0,"",SUMIFS(Tabla1[Avance_km],Tabla1[Ducto],$A45,Tabla1[nombre_actividad],J$1,Tabla1[Avance_km],"&gt;0"))</f>
        <v>1.7999999999999999E-2</v>
      </c>
      <c r="K45" s="116">
        <f>IF(SUMIFS(Tabla1[Avance_Med],Tabla1[Ducto],$A45,Tabla1[nombre_actividad],K$1)=0,"",SUMIFS(Tabla1[Avance_Med],Tabla1[Ducto],$A45,Tabla1[nombre_actividad],K$1))</f>
        <v>1</v>
      </c>
      <c r="L45" t="s">
        <v>353</v>
      </c>
    </row>
    <row r="47" spans="1:12" x14ac:dyDescent="0.3">
      <c r="A47" s="179"/>
    </row>
    <row r="48" spans="1:12" x14ac:dyDescent="0.3">
      <c r="F48" s="107">
        <f t="shared" ref="F48:K48" si="0">SUM(F2:F45)</f>
        <v>44517</v>
      </c>
      <c r="G48" s="107">
        <f t="shared" si="0"/>
        <v>44429.5</v>
      </c>
      <c r="H48" s="129">
        <f t="shared" si="0"/>
        <v>45.013999999999996</v>
      </c>
      <c r="I48" s="129">
        <f t="shared" si="0"/>
        <v>44.519999999999996</v>
      </c>
      <c r="J48" s="129">
        <f t="shared" si="0"/>
        <v>45.671999999999997</v>
      </c>
      <c r="K48" s="130">
        <f t="shared" si="0"/>
        <v>129</v>
      </c>
    </row>
    <row r="49" spans="8:11" ht="30" x14ac:dyDescent="0.3">
      <c r="H49" s="65" t="s">
        <v>78</v>
      </c>
      <c r="I49" s="65" t="s">
        <v>79</v>
      </c>
      <c r="J49" s="65" t="s">
        <v>80</v>
      </c>
      <c r="K49" s="65" t="s">
        <v>81</v>
      </c>
    </row>
  </sheetData>
  <autoFilter ref="A1:G41" xr:uid="{60D85BB3-8864-47F8-94E5-88A6B07DC02A}"/>
  <conditionalFormatting sqref="B2:E45">
    <cfRule type="expression" dxfId="12" priority="1">
      <formula>IF(OR(B2="Falta",B2=0)=TRUE,TRUE,FALSE)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F943-4970-4B75-B1F8-66139740707C}">
  <sheetPr codeName="Hoja22">
    <tabColor rgb="FF00B050"/>
  </sheetPr>
  <dimension ref="A1:L19"/>
  <sheetViews>
    <sheetView showGridLines="0" workbookViewId="0">
      <selection activeCell="J26" sqref="J26"/>
    </sheetView>
  </sheetViews>
  <sheetFormatPr baseColWidth="10" defaultColWidth="11.42578125" defaultRowHeight="16.5" outlineLevelCol="1" x14ac:dyDescent="0.3"/>
  <cols>
    <col min="1" max="1" width="45.42578125" style="102" bestFit="1" customWidth="1"/>
    <col min="2" max="2" width="13.85546875" style="76" customWidth="1" outlineLevel="1"/>
    <col min="3" max="3" width="8" style="76" customWidth="1" outlineLevel="1"/>
    <col min="4" max="4" width="8.140625" style="76" customWidth="1" outlineLevel="1"/>
    <col min="5" max="5" width="16.42578125" style="76" customWidth="1" outlineLevel="1"/>
    <col min="6" max="6" width="11.42578125" customWidth="1" outlineLevel="1"/>
    <col min="7" max="8" width="13.42578125" customWidth="1"/>
    <col min="11" max="11" width="14.140625" style="76" customWidth="1"/>
  </cols>
  <sheetData>
    <row r="1" spans="1:12" ht="36" customHeight="1" x14ac:dyDescent="0.25">
      <c r="A1" s="97" t="s">
        <v>256</v>
      </c>
      <c r="B1" s="65" t="s">
        <v>78</v>
      </c>
      <c r="C1" s="65" t="s">
        <v>79</v>
      </c>
      <c r="D1" s="65" t="s">
        <v>80</v>
      </c>
      <c r="E1" s="65" t="s">
        <v>81</v>
      </c>
      <c r="G1" s="180" t="s">
        <v>257</v>
      </c>
      <c r="H1" s="65" t="s">
        <v>78</v>
      </c>
      <c r="I1" s="65" t="s">
        <v>79</v>
      </c>
      <c r="J1" s="65" t="s">
        <v>80</v>
      </c>
      <c r="K1" s="65" t="s">
        <v>81</v>
      </c>
      <c r="L1" s="1">
        <f>+COUNTA(A2:A2)</f>
        <v>1</v>
      </c>
    </row>
    <row r="2" spans="1:12" x14ac:dyDescent="0.3">
      <c r="A2" s="178" t="s">
        <v>351</v>
      </c>
      <c r="B2" s="103">
        <f>+_xlfn.XLOOKUP($A2,'R (s04)'!B:B,'R (s04)'!D:D,"Falta")</f>
        <v>0.67691952139337985</v>
      </c>
      <c r="C2" s="104">
        <f>+_xlfn.XLOOKUP($A2,'R (s04)'!$B:$B,'R (s04)'!E:E,"Falta")</f>
        <v>0.68813883373777485</v>
      </c>
      <c r="D2" s="104" t="str">
        <f>+_xlfn.XLOOKUP($A2,'R (s04)'!$B:$B,'R (s04)'!F:F,"Falta")</f>
        <v>---</v>
      </c>
      <c r="E2" s="104" t="str">
        <f>+_xlfn.XLOOKUP($A2,'R (s04)'!$B:$B,'R (s04)'!G:G,"Falta")</f>
        <v>---</v>
      </c>
      <c r="F2" s="105">
        <v>874</v>
      </c>
      <c r="G2" s="107">
        <v>874</v>
      </c>
      <c r="H2" s="115">
        <f>IF(SUMIFS(Tabla1[Avance_km],Tabla1[Ducto],$A2,Tabla1[nombre_actividad],H$1)=0,"",SUMIFS(Tabla1[Avance_km],Tabla1[Ducto],$A2,Tabla1[nombre_actividad],H$1))</f>
        <v>32.219000000000001</v>
      </c>
      <c r="I2" s="115">
        <f>IF(SUMIFS(Tabla1[Avance_km],Tabla1[Ducto],$A2,Tabla1[nombre_actividad],I$1)=0,"",SUMIFS(Tabla1[Avance_km],Tabla1[Ducto],$A2,Tabla1[nombre_actividad],I$1))</f>
        <v>32.753</v>
      </c>
      <c r="J2" s="115" t="str">
        <f>IF(SUMIFS(Tabla1[Avance_km],Tabla1[Ducto],$A2,Tabla1[nombre_actividad],J$1,Tabla1[Avance_km],"&gt;0")=0,"",SUMIFS(Tabla1[Avance_km],Tabla1[Ducto],$A2,Tabla1[nombre_actividad],J$1,Tabla1[Avance_km],"&gt;0"))</f>
        <v/>
      </c>
      <c r="K2" s="116" t="str">
        <f>IF(SUMIFS(Tabla1[Avance_Med],Tabla1[Ducto],$A2,Tabla1[nombre_actividad],K$1)=0,"",SUMIFS(Tabla1[Avance_Med],Tabla1[Ducto],$A2,Tabla1[nombre_actividad],K$1))</f>
        <v/>
      </c>
    </row>
    <row r="3" spans="1:12" x14ac:dyDescent="0.3">
      <c r="A3" s="178" t="s">
        <v>359</v>
      </c>
      <c r="B3" s="103">
        <f>+_xlfn.XLOOKUP($A3,'R (s04)'!B:B,'R (s04)'!D:D,"Falta")</f>
        <v>1</v>
      </c>
      <c r="C3" s="104">
        <f>+_xlfn.XLOOKUP($A3,'R (s04)'!$B:$B,'R (s04)'!E:E,"Falta")</f>
        <v>1</v>
      </c>
      <c r="D3" s="104">
        <f>+_xlfn.XLOOKUP($A3,'R (s04)'!$B:$B,'R (s04)'!F:F,"Falta")</f>
        <v>1</v>
      </c>
      <c r="E3" s="104">
        <f>+_xlfn.XLOOKUP($A3,'R (s04)'!$B:$B,'R (s04)'!G:G,"Falta")</f>
        <v>1</v>
      </c>
      <c r="F3" s="105">
        <v>874</v>
      </c>
      <c r="G3" s="107">
        <v>874</v>
      </c>
      <c r="H3" s="115">
        <f>IF(SUMIFS(Tabla1[Avance_km],Tabla1[Ducto],$A3,Tabla1[nombre_actividad],H$1)=0,"",SUMIFS(Tabla1[Avance_km],Tabla1[Ducto],$A3,Tabla1[nombre_actividad],H$1))</f>
        <v>0.878</v>
      </c>
      <c r="I3" s="115">
        <f>IF(SUMIFS(Tabla1[Avance_km],Tabla1[Ducto],$A3,Tabla1[nombre_actividad],I$1)=0,"",SUMIFS(Tabla1[Avance_km],Tabla1[Ducto],$A3,Tabla1[nombre_actividad],I$1))</f>
        <v>0.878</v>
      </c>
      <c r="J3" s="115">
        <f>IF(SUMIFS(Tabla1[Avance_km],Tabla1[Ducto],$A3,Tabla1[nombre_actividad],J$1,Tabla1[Avance_km],"&gt;0")=0,"",SUMIFS(Tabla1[Avance_km],Tabla1[Ducto],$A3,Tabla1[nombre_actividad],J$1,Tabla1[Avance_km],"&gt;0"))</f>
        <v>0.878</v>
      </c>
      <c r="K3" s="116">
        <f>IF(SUMIFS(Tabla1[Avance_Med],Tabla1[Ducto],$A3,Tabla1[nombre_actividad],K$1)=0,"",SUMIFS(Tabla1[Avance_Med],Tabla1[Ducto],$A3,Tabla1[nombre_actividad],K$1))</f>
        <v>3</v>
      </c>
    </row>
    <row r="4" spans="1:12" x14ac:dyDescent="0.3">
      <c r="A4" s="178" t="s">
        <v>264</v>
      </c>
      <c r="B4" s="103">
        <f>+_xlfn.XLOOKUP($A4,'R (s04)'!B:B,'R (s04)'!D:D,"Falta")</f>
        <v>1</v>
      </c>
      <c r="C4" s="104">
        <f>+_xlfn.XLOOKUP($A4,'R (s04)'!$B:$B,'R (s04)'!E:E,"Falta")</f>
        <v>1</v>
      </c>
      <c r="D4" s="104">
        <f>+_xlfn.XLOOKUP($A4,'R (s04)'!$B:$B,'R (s04)'!F:F,"Falta")</f>
        <v>1</v>
      </c>
      <c r="E4" s="104">
        <f>+_xlfn.XLOOKUP($A4,'R (s04)'!$B:$B,'R (s04)'!G:G,"Falta")</f>
        <v>1</v>
      </c>
      <c r="F4" s="105">
        <v>2077</v>
      </c>
      <c r="G4" s="107">
        <v>2077</v>
      </c>
      <c r="H4" s="115">
        <f>IF(SUMIFS(Tabla1[Avance_km],Tabla1[Ducto],$A4,Tabla1[nombre_actividad],H$1)=0,"",SUMIFS(Tabla1[Avance_km],Tabla1[Ducto],$A4,Tabla1[nombre_actividad],H$1))</f>
        <v>2.077</v>
      </c>
      <c r="I4" s="115">
        <f>IF(SUMIFS(Tabla1[Avance_km],Tabla1[Ducto],$A4,Tabla1[nombre_actividad],I$1)=0,"",SUMIFS(Tabla1[Avance_km],Tabla1[Ducto],$A4,Tabla1[nombre_actividad],I$1))</f>
        <v>2.077</v>
      </c>
      <c r="J4" s="115">
        <f>IF(SUMIFS(Tabla1[Avance_km],Tabla1[Ducto],$A4,Tabla1[nombre_actividad],J$1,Tabla1[Avance_km],"&gt;0")=0,"",SUMIFS(Tabla1[Avance_km],Tabla1[Ducto],$A4,Tabla1[nombre_actividad],J$1,Tabla1[Avance_km],"&gt;0"))</f>
        <v>2.077</v>
      </c>
      <c r="K4" s="116">
        <f>IF(SUMIFS(Tabla1[Avance_Med],Tabla1[Ducto],$A4,Tabla1[nombre_actividad],K$1)=0,"",SUMIFS(Tabla1[Avance_Med],Tabla1[Ducto],$A4,Tabla1[nombre_actividad],K$1))</f>
        <v>5</v>
      </c>
    </row>
    <row r="5" spans="1:12" x14ac:dyDescent="0.3">
      <c r="A5" s="178" t="s">
        <v>360</v>
      </c>
      <c r="B5" s="103">
        <f>+_xlfn.XLOOKUP($A5,'R (s04)'!B:B,'R (s04)'!D:D,"Falta")</f>
        <v>1</v>
      </c>
      <c r="C5" s="104">
        <f>+_xlfn.XLOOKUP($A5,'R (s04)'!$B:$B,'R (s04)'!E:E,"Falta")</f>
        <v>1</v>
      </c>
      <c r="D5" s="104">
        <f>+_xlfn.XLOOKUP($A5,'R (s04)'!$B:$B,'R (s04)'!F:F,"Falta")</f>
        <v>1</v>
      </c>
      <c r="E5" s="104">
        <f>+_xlfn.XLOOKUP($A5,'R (s04)'!$B:$B,'R (s04)'!G:G,"Falta")</f>
        <v>1</v>
      </c>
      <c r="F5" s="105">
        <v>158</v>
      </c>
      <c r="G5" s="107">
        <v>158</v>
      </c>
      <c r="H5" s="115">
        <f>IF(SUMIFS(Tabla1[Avance_km],Tabla1[Ducto],$A5,Tabla1[nombre_actividad],H$1)=0,"",SUMIFS(Tabla1[Avance_km],Tabla1[Ducto],$A5,Tabla1[nombre_actividad],H$1))</f>
        <v>0.16</v>
      </c>
      <c r="I5" s="115">
        <f>IF(SUMIFS(Tabla1[Avance_km],Tabla1[Ducto],$A5,Tabla1[nombre_actividad],I$1)=0,"",SUMIFS(Tabla1[Avance_km],Tabla1[Ducto],$A5,Tabla1[nombre_actividad],I$1))</f>
        <v>0.16</v>
      </c>
      <c r="J5" s="115">
        <f>IF(SUMIFS(Tabla1[Avance_km],Tabla1[Ducto],$A5,Tabla1[nombre_actividad],J$1,Tabla1[Avance_km],"&gt;0")=0,"",SUMIFS(Tabla1[Avance_km],Tabla1[Ducto],$A5,Tabla1[nombre_actividad],J$1,Tabla1[Avance_km],"&gt;0"))</f>
        <v>0.16</v>
      </c>
      <c r="K5" s="116">
        <f>IF(SUMIFS(Tabla1[Avance_Med],Tabla1[Ducto],$A5,Tabla1[nombre_actividad],K$1)=0,"",SUMIFS(Tabla1[Avance_Med],Tabla1[Ducto],$A5,Tabla1[nombre_actividad],K$1))</f>
        <v>1</v>
      </c>
    </row>
    <row r="6" spans="1:12" x14ac:dyDescent="0.3">
      <c r="A6" s="178" t="s">
        <v>361</v>
      </c>
      <c r="B6" s="103">
        <f>+_xlfn.XLOOKUP($A6,'R (s04)'!B:B,'R (s04)'!D:D,"Falta")</f>
        <v>1</v>
      </c>
      <c r="C6" s="104">
        <f>+_xlfn.XLOOKUP($A6,'R (s04)'!$B:$B,'R (s04)'!E:E,"Falta")</f>
        <v>1</v>
      </c>
      <c r="D6" s="104">
        <f>+_xlfn.XLOOKUP($A6,'R (s04)'!$B:$B,'R (s04)'!F:F,"Falta")</f>
        <v>1</v>
      </c>
      <c r="E6" s="104">
        <f>+_xlfn.XLOOKUP($A6,'R (s04)'!$B:$B,'R (s04)'!G:G,"Falta")</f>
        <v>1</v>
      </c>
      <c r="F6" s="105">
        <v>7</v>
      </c>
      <c r="G6" s="107">
        <v>7</v>
      </c>
      <c r="H6" s="115">
        <f>IF(SUMIFS(Tabla1[Avance_km],Tabla1[Ducto],$A6,Tabla1[nombre_actividad],H$1)=0,"",SUMIFS(Tabla1[Avance_km],Tabla1[Ducto],$A6,Tabla1[nombre_actividad],H$1))</f>
        <v>7.0000000000000001E-3</v>
      </c>
      <c r="I6" s="115">
        <f>IF(SUMIFS(Tabla1[Avance_km],Tabla1[Ducto],$A6,Tabla1[nombre_actividad],I$1)=0,"",SUMIFS(Tabla1[Avance_km],Tabla1[Ducto],$A6,Tabla1[nombre_actividad],I$1))</f>
        <v>7.0000000000000001E-3</v>
      </c>
      <c r="J6" s="115">
        <f>IF(SUMIFS(Tabla1[Avance_km],Tabla1[Ducto],$A6,Tabla1[nombre_actividad],J$1,Tabla1[Avance_km],"&gt;0")=0,"",SUMIFS(Tabla1[Avance_km],Tabla1[Ducto],$A6,Tabla1[nombre_actividad],J$1,Tabla1[Avance_km],"&gt;0"))</f>
        <v>7.0000000000000001E-3</v>
      </c>
      <c r="K6" s="116">
        <f>IF(SUMIFS(Tabla1[Avance_Med],Tabla1[Ducto],$A6,Tabla1[nombre_actividad],K$1)=0,"",SUMIFS(Tabla1[Avance_Med],Tabla1[Ducto],$A6,Tabla1[nombre_actividad],K$1))</f>
        <v>1</v>
      </c>
    </row>
    <row r="7" spans="1:12" x14ac:dyDescent="0.3">
      <c r="A7" s="179"/>
    </row>
    <row r="8" spans="1:12" x14ac:dyDescent="0.3">
      <c r="F8" s="107">
        <f>SUM(F2:F6)</f>
        <v>3990</v>
      </c>
      <c r="G8" s="107">
        <f>SUM(G2:G6)</f>
        <v>3990</v>
      </c>
      <c r="H8" s="129">
        <f t="shared" ref="H8:K8" si="0">SUM(H2:H2)</f>
        <v>32.219000000000001</v>
      </c>
      <c r="I8" s="129">
        <f t="shared" si="0"/>
        <v>32.753</v>
      </c>
      <c r="J8" s="129">
        <f t="shared" si="0"/>
        <v>0</v>
      </c>
      <c r="K8" s="130">
        <f t="shared" si="0"/>
        <v>0</v>
      </c>
    </row>
    <row r="9" spans="1:12" ht="30" x14ac:dyDescent="0.3">
      <c r="H9" s="65" t="s">
        <v>78</v>
      </c>
      <c r="I9" s="65" t="s">
        <v>79</v>
      </c>
      <c r="J9" s="65" t="s">
        <v>80</v>
      </c>
      <c r="K9" s="65" t="s">
        <v>81</v>
      </c>
    </row>
    <row r="13" spans="1:12" ht="15" x14ac:dyDescent="0.25">
      <c r="A13"/>
      <c r="B13"/>
      <c r="C13"/>
      <c r="D13"/>
      <c r="E13"/>
    </row>
    <row r="14" spans="1:12" ht="15" x14ac:dyDescent="0.25">
      <c r="A14"/>
      <c r="B14"/>
      <c r="C14"/>
      <c r="D14"/>
      <c r="E14"/>
    </row>
    <row r="15" spans="1:12" ht="15" x14ac:dyDescent="0.25">
      <c r="A15"/>
      <c r="B15"/>
      <c r="C15"/>
      <c r="D15"/>
      <c r="E15"/>
    </row>
    <row r="16" spans="1:12" ht="15" x14ac:dyDescent="0.25">
      <c r="A16"/>
      <c r="B16"/>
      <c r="C16"/>
      <c r="D16"/>
      <c r="E16"/>
    </row>
    <row r="17" spans="1:5" ht="15" x14ac:dyDescent="0.25">
      <c r="A17"/>
      <c r="B17"/>
      <c r="C17"/>
      <c r="D17"/>
      <c r="E17"/>
    </row>
    <row r="18" spans="1:5" ht="15" x14ac:dyDescent="0.25">
      <c r="A18"/>
      <c r="B18"/>
      <c r="C18"/>
      <c r="D18"/>
      <c r="E18"/>
    </row>
    <row r="19" spans="1:5" ht="15" x14ac:dyDescent="0.25">
      <c r="A19"/>
      <c r="B19"/>
      <c r="C19"/>
      <c r="D19"/>
      <c r="E19"/>
    </row>
  </sheetData>
  <autoFilter ref="A1:G2" xr:uid="{60D85BB3-8864-47F8-94E5-88A6B07DC02A}"/>
  <conditionalFormatting sqref="B2:E6">
    <cfRule type="expression" dxfId="11" priority="1">
      <formula>IF(OR(B2="Falta",B2=0)=TRUE,TRUE,FALSE)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17C2-FBAB-4C8C-8BFD-8953D2E31112}">
  <sheetPr codeName="Hoja29">
    <tabColor rgb="FF00B050"/>
  </sheetPr>
  <dimension ref="A1:L26"/>
  <sheetViews>
    <sheetView showGridLines="0" workbookViewId="0">
      <selection activeCell="F20" sqref="F20"/>
    </sheetView>
  </sheetViews>
  <sheetFormatPr baseColWidth="10" defaultColWidth="11.42578125" defaultRowHeight="16.5" outlineLevelCol="1" x14ac:dyDescent="0.3"/>
  <cols>
    <col min="1" max="1" width="45.42578125" style="102" bestFit="1" customWidth="1"/>
    <col min="2" max="2" width="13.85546875" style="76" customWidth="1" outlineLevel="1"/>
    <col min="3" max="3" width="8" style="76" customWidth="1" outlineLevel="1"/>
    <col min="4" max="4" width="8.140625" style="76" customWidth="1" outlineLevel="1"/>
    <col min="5" max="5" width="16.42578125" style="76" customWidth="1" outlineLevel="1"/>
    <col min="6" max="6" width="11.42578125" customWidth="1" outlineLevel="1"/>
    <col min="7" max="8" width="13.42578125" customWidth="1"/>
    <col min="11" max="11" width="14.140625" style="76" customWidth="1"/>
  </cols>
  <sheetData>
    <row r="1" spans="1:12" ht="36" customHeight="1" x14ac:dyDescent="0.25">
      <c r="A1" s="97" t="s">
        <v>256</v>
      </c>
      <c r="B1" s="65" t="s">
        <v>78</v>
      </c>
      <c r="C1" s="65" t="s">
        <v>79</v>
      </c>
      <c r="D1" s="65" t="s">
        <v>80</v>
      </c>
      <c r="E1" s="65" t="s">
        <v>81</v>
      </c>
      <c r="G1" s="180" t="s">
        <v>257</v>
      </c>
      <c r="H1" s="65" t="s">
        <v>78</v>
      </c>
      <c r="I1" s="65" t="s">
        <v>79</v>
      </c>
      <c r="J1" s="65" t="s">
        <v>80</v>
      </c>
      <c r="K1" s="65" t="s">
        <v>81</v>
      </c>
      <c r="L1" s="1">
        <f>+COUNTA(A2:A2)</f>
        <v>1</v>
      </c>
    </row>
    <row r="2" spans="1:12" x14ac:dyDescent="0.3">
      <c r="A2" s="178" t="s">
        <v>367</v>
      </c>
      <c r="B2" s="103">
        <f>+_xlfn.XLOOKUP($A2,'R (s06)'!$B:$B,'R (s06)'!D:D,"Falta")</f>
        <v>1</v>
      </c>
      <c r="C2" s="104">
        <f>+_xlfn.XLOOKUP($A2,'R (s06)'!$B:$B,'R (s06)'!E:E,"Falta")</f>
        <v>1</v>
      </c>
      <c r="D2" s="104">
        <f>+_xlfn.XLOOKUP($A2,'R (s06)'!$B:$B,'R (s06)'!F:F,"Falta")</f>
        <v>1</v>
      </c>
      <c r="E2" s="104">
        <f>+_xlfn.XLOOKUP($A2,'R (s06)'!$B:$B,'R (s06)'!G:G,"Falta")</f>
        <v>1</v>
      </c>
      <c r="F2" s="105">
        <v>3</v>
      </c>
      <c r="G2" s="107">
        <v>3</v>
      </c>
      <c r="H2" s="115">
        <f>IF(SUMIFS(Tabla1[Avance_km],Tabla1[Ducto],$A2,Tabla1[nombre_actividad],H$1)=0,"",SUMIFS(Tabla1[Avance_km],Tabla1[Ducto],$A2,Tabla1[nombre_actividad],H$1))</f>
        <v>3.0000000000000001E-3</v>
      </c>
      <c r="I2" s="115">
        <f>IF(SUMIFS(Tabla1[Avance_km],Tabla1[Ducto],$A2,Tabla1[nombre_actividad],I$1)=0,"",SUMIFS(Tabla1[Avance_km],Tabla1[Ducto],$A2,Tabla1[nombre_actividad],I$1))</f>
        <v>3.0000000000000001E-3</v>
      </c>
      <c r="J2" s="115">
        <f>IF(SUMIFS(Tabla1[Avance_km],Tabla1[Ducto],$A2,Tabla1[nombre_actividad],J$1)=0,"",SUMIFS(Tabla1[Avance_km],Tabla1[Ducto],$A2,Tabla1[nombre_actividad],J$1))</f>
        <v>3.0000000000000001E-3</v>
      </c>
      <c r="K2" s="116">
        <f>IF(SUMIFS(Tabla1[Avance_Med],Tabla1[Ducto],$A2,Tabla1[nombre_actividad],K$1)=0,"",SUMIFS(Tabla1[Avance_Med],Tabla1[Ducto],$A2,Tabla1[nombre_actividad],K$1))</f>
        <v>1</v>
      </c>
    </row>
    <row r="3" spans="1:12" x14ac:dyDescent="0.3">
      <c r="A3" s="178" t="s">
        <v>368</v>
      </c>
      <c r="B3" s="103">
        <f>+_xlfn.XLOOKUP($A3,'R (s06)'!$B:$B,'R (s06)'!D:D,"Falta")</f>
        <v>1</v>
      </c>
      <c r="C3" s="104">
        <f>+_xlfn.XLOOKUP($A3,'R (s06)'!$B:$B,'R (s06)'!E:E,"Falta")</f>
        <v>1</v>
      </c>
      <c r="D3" s="104">
        <f>+_xlfn.XLOOKUP($A3,'R (s06)'!$B:$B,'R (s06)'!F:F,"Falta")</f>
        <v>1</v>
      </c>
      <c r="E3" s="104">
        <f>+_xlfn.XLOOKUP($A3,'R (s06)'!$B:$B,'R (s06)'!G:G,"Falta")</f>
        <v>1</v>
      </c>
      <c r="F3" s="105">
        <v>97</v>
      </c>
      <c r="G3" s="107">
        <v>97</v>
      </c>
      <c r="H3" s="115">
        <f>IF(SUMIFS(Tabla1[Avance_km],Tabla1[Ducto],$A3,Tabla1[nombre_actividad],H$1)=0,"",SUMIFS(Tabla1[Avance_km],Tabla1[Ducto],$A3,Tabla1[nombre_actividad],H$1))</f>
        <v>9.7000000000000003E-2</v>
      </c>
      <c r="I3" s="115">
        <f>IF(SUMIFS(Tabla1[Avance_km],Tabla1[Ducto],$A3,Tabla1[nombre_actividad],I$1)=0,"",SUMIFS(Tabla1[Avance_km],Tabla1[Ducto],$A3,Tabla1[nombre_actividad],I$1))</f>
        <v>9.7000000000000003E-2</v>
      </c>
      <c r="J3" s="115">
        <f>IF(SUMIFS(Tabla1[Avance_km],Tabla1[Ducto],$A3,Tabla1[nombre_actividad],J$1)=0,"",SUMIFS(Tabla1[Avance_km],Tabla1[Ducto],$A3,Tabla1[nombre_actividad],J$1))</f>
        <v>9.7000000000000003E-2</v>
      </c>
      <c r="K3" s="116">
        <f>IF(SUMIFS(Tabla1[Avance_Med],Tabla1[Ducto],$A3,Tabla1[nombre_actividad],K$1)=0,"",SUMIFS(Tabla1[Avance_Med],Tabla1[Ducto],$A3,Tabla1[nombre_actividad],K$1))</f>
        <v>1</v>
      </c>
    </row>
    <row r="4" spans="1:12" x14ac:dyDescent="0.3">
      <c r="A4" s="178" t="s">
        <v>369</v>
      </c>
      <c r="B4" s="103">
        <f>+_xlfn.XLOOKUP($A4,'R (s06)'!$B:$B,'R (s06)'!D:D,"Falta")</f>
        <v>1</v>
      </c>
      <c r="C4" s="104">
        <f>+_xlfn.XLOOKUP($A4,'R (s06)'!$B:$B,'R (s06)'!E:E,"Falta")</f>
        <v>1</v>
      </c>
      <c r="D4" s="104">
        <f>+_xlfn.XLOOKUP($A4,'R (s06)'!$B:$B,'R (s06)'!F:F,"Falta")</f>
        <v>1</v>
      </c>
      <c r="E4" s="104">
        <f>+_xlfn.XLOOKUP($A4,'R (s06)'!$B:$B,'R (s06)'!G:G,"Falta")</f>
        <v>1</v>
      </c>
      <c r="F4" s="105">
        <v>7</v>
      </c>
      <c r="G4" s="107">
        <v>7</v>
      </c>
      <c r="H4" s="115">
        <f>IF(SUMIFS(Tabla1[Avance_km],Tabla1[Ducto],$A4,Tabla1[nombre_actividad],H$1)=0,"",SUMIFS(Tabla1[Avance_km],Tabla1[Ducto],$A4,Tabla1[nombre_actividad],H$1))</f>
        <v>7.0000000000000001E-3</v>
      </c>
      <c r="I4" s="115">
        <f>IF(SUMIFS(Tabla1[Avance_km],Tabla1[Ducto],$A4,Tabla1[nombre_actividad],I$1)=0,"",SUMIFS(Tabla1[Avance_km],Tabla1[Ducto],$A4,Tabla1[nombre_actividad],I$1))</f>
        <v>7.0000000000000001E-3</v>
      </c>
      <c r="J4" s="115">
        <f>IF(SUMIFS(Tabla1[Avance_km],Tabla1[Ducto],$A4,Tabla1[nombre_actividad],J$1)=0,"",SUMIFS(Tabla1[Avance_km],Tabla1[Ducto],$A4,Tabla1[nombre_actividad],J$1))</f>
        <v>7.0000000000000001E-3</v>
      </c>
      <c r="K4" s="116">
        <f>IF(SUMIFS(Tabla1[Avance_Med],Tabla1[Ducto],$A4,Tabla1[nombre_actividad],K$1)=0,"",SUMIFS(Tabla1[Avance_Med],Tabla1[Ducto],$A4,Tabla1[nombre_actividad],K$1))</f>
        <v>1</v>
      </c>
    </row>
    <row r="5" spans="1:12" x14ac:dyDescent="0.3">
      <c r="A5" s="178" t="s">
        <v>370</v>
      </c>
      <c r="B5" s="103">
        <f>+_xlfn.XLOOKUP($A5,'R (s06)'!$B:$B,'R (s06)'!D:D,"Falta")</f>
        <v>1</v>
      </c>
      <c r="C5" s="104">
        <f>+_xlfn.XLOOKUP($A5,'R (s06)'!$B:$B,'R (s06)'!E:E,"Falta")</f>
        <v>1</v>
      </c>
      <c r="D5" s="104">
        <f>+_xlfn.XLOOKUP($A5,'R (s06)'!$B:$B,'R (s06)'!F:F,"Falta")</f>
        <v>1</v>
      </c>
      <c r="E5" s="104">
        <f>+_xlfn.XLOOKUP($A5,'R (s06)'!$B:$B,'R (s06)'!G:G,"Falta")</f>
        <v>1</v>
      </c>
      <c r="F5" s="105">
        <v>15.5</v>
      </c>
      <c r="G5" s="107">
        <v>15.5</v>
      </c>
      <c r="H5" s="115">
        <f>IF(SUMIFS(Tabla1[Avance_km],Tabla1[Ducto],$A5,Tabla1[nombre_actividad],H$1)=0,"",SUMIFS(Tabla1[Avance_km],Tabla1[Ducto],$A5,Tabla1[nombre_actividad],H$1))</f>
        <v>1.6E-2</v>
      </c>
      <c r="I5" s="115">
        <f>IF(SUMIFS(Tabla1[Avance_km],Tabla1[Ducto],$A5,Tabla1[nombre_actividad],I$1)=0,"",SUMIFS(Tabla1[Avance_km],Tabla1[Ducto],$A5,Tabla1[nombre_actividad],I$1))</f>
        <v>1.6E-2</v>
      </c>
      <c r="J5" s="115">
        <f>IF(SUMIFS(Tabla1[Avance_km],Tabla1[Ducto],$A5,Tabla1[nombre_actividad],J$1)=0,"",SUMIFS(Tabla1[Avance_km],Tabla1[Ducto],$A5,Tabla1[nombre_actividad],J$1))</f>
        <v>1.6E-2</v>
      </c>
      <c r="K5" s="116">
        <f>IF(SUMIFS(Tabla1[Avance_Med],Tabla1[Ducto],$A5,Tabla1[nombre_actividad],K$1)=0,"",SUMIFS(Tabla1[Avance_Med],Tabla1[Ducto],$A5,Tabla1[nombre_actividad],K$1))</f>
        <v>1</v>
      </c>
    </row>
    <row r="6" spans="1:12" x14ac:dyDescent="0.3">
      <c r="A6" s="178" t="s">
        <v>371</v>
      </c>
      <c r="B6" s="103">
        <f>+_xlfn.XLOOKUP($A6,'R (s06)'!$B:$B,'R (s06)'!D:D,"Falta")</f>
        <v>1</v>
      </c>
      <c r="C6" s="104">
        <f>+_xlfn.XLOOKUP($A6,'R (s06)'!$B:$B,'R (s06)'!E:E,"Falta")</f>
        <v>1</v>
      </c>
      <c r="D6" s="104">
        <f>+_xlfn.XLOOKUP($A6,'R (s06)'!$B:$B,'R (s06)'!F:F,"Falta")</f>
        <v>1</v>
      </c>
      <c r="E6" s="104">
        <f>+_xlfn.XLOOKUP($A6,'R (s06)'!$B:$B,'R (s06)'!G:G,"Falta")</f>
        <v>1</v>
      </c>
      <c r="F6" s="105">
        <v>17</v>
      </c>
      <c r="G6" s="107">
        <v>17</v>
      </c>
      <c r="H6" s="115">
        <f>IF(SUMIFS(Tabla1[Avance_km],Tabla1[Ducto],$A6,Tabla1[nombre_actividad],H$1)=0,"",SUMIFS(Tabla1[Avance_km],Tabla1[Ducto],$A6,Tabla1[nombre_actividad],H$1))</f>
        <v>1.7000000000000001E-2</v>
      </c>
      <c r="I6" s="115">
        <f>IF(SUMIFS(Tabla1[Avance_km],Tabla1[Ducto],$A6,Tabla1[nombre_actividad],I$1)=0,"",SUMIFS(Tabla1[Avance_km],Tabla1[Ducto],$A6,Tabla1[nombre_actividad],I$1))</f>
        <v>1.7000000000000001E-2</v>
      </c>
      <c r="J6" s="115">
        <f>IF(SUMIFS(Tabla1[Avance_km],Tabla1[Ducto],$A6,Tabla1[nombre_actividad],J$1)=0,"",SUMIFS(Tabla1[Avance_km],Tabla1[Ducto],$A6,Tabla1[nombre_actividad],J$1))</f>
        <v>1.7000000000000001E-2</v>
      </c>
      <c r="K6" s="116">
        <f>IF(SUMIFS(Tabla1[Avance_Med],Tabla1[Ducto],$A6,Tabla1[nombre_actividad],K$1)=0,"",SUMIFS(Tabla1[Avance_Med],Tabla1[Ducto],$A6,Tabla1[nombre_actividad],K$1))</f>
        <v>1</v>
      </c>
    </row>
    <row r="7" spans="1:12" x14ac:dyDescent="0.3">
      <c r="A7" s="178" t="s">
        <v>372</v>
      </c>
      <c r="B7" s="103">
        <f>+_xlfn.XLOOKUP($A7,'R (s06)'!$B:$B,'R (s06)'!D:D,"Falta")</f>
        <v>1</v>
      </c>
      <c r="C7" s="104">
        <f>+_xlfn.XLOOKUP($A7,'R (s06)'!$B:$B,'R (s06)'!E:E,"Falta")</f>
        <v>1</v>
      </c>
      <c r="D7" s="104">
        <f>+_xlfn.XLOOKUP($A7,'R (s06)'!$B:$B,'R (s06)'!F:F,"Falta")</f>
        <v>1</v>
      </c>
      <c r="E7" s="104">
        <f>+_xlfn.XLOOKUP($A7,'R (s06)'!$B:$B,'R (s06)'!G:G,"Falta")</f>
        <v>1</v>
      </c>
      <c r="F7" s="105">
        <v>8</v>
      </c>
      <c r="G7" s="107">
        <v>8</v>
      </c>
      <c r="H7" s="115">
        <f>IF(SUMIFS(Tabla1[Avance_km],Tabla1[Ducto],$A7,Tabla1[nombre_actividad],H$1)=0,"",SUMIFS(Tabla1[Avance_km],Tabla1[Ducto],$A7,Tabla1[nombre_actividad],H$1))</f>
        <v>8.0000000000000002E-3</v>
      </c>
      <c r="I7" s="115">
        <f>IF(SUMIFS(Tabla1[Avance_km],Tabla1[Ducto],$A7,Tabla1[nombre_actividad],I$1)=0,"",SUMIFS(Tabla1[Avance_km],Tabla1[Ducto],$A7,Tabla1[nombre_actividad],I$1))</f>
        <v>8.0000000000000002E-3</v>
      </c>
      <c r="J7" s="115">
        <f>IF(SUMIFS(Tabla1[Avance_km],Tabla1[Ducto],$A7,Tabla1[nombre_actividad],J$1)=0,"",SUMIFS(Tabla1[Avance_km],Tabla1[Ducto],$A7,Tabla1[nombre_actividad],J$1))</f>
        <v>8.0000000000000002E-3</v>
      </c>
      <c r="K7" s="116">
        <f>IF(SUMIFS(Tabla1[Avance_Med],Tabla1[Ducto],$A7,Tabla1[nombre_actividad],K$1)=0,"",SUMIFS(Tabla1[Avance_Med],Tabla1[Ducto],$A7,Tabla1[nombre_actividad],K$1))</f>
        <v>1</v>
      </c>
    </row>
    <row r="8" spans="1:12" x14ac:dyDescent="0.3">
      <c r="A8" s="178" t="s">
        <v>373</v>
      </c>
      <c r="B8" s="103">
        <f>+_xlfn.XLOOKUP($A8,'R (s06)'!$B:$B,'R (s06)'!D:D,"Falta")</f>
        <v>1</v>
      </c>
      <c r="C8" s="104">
        <f>+_xlfn.XLOOKUP($A8,'R (s06)'!$B:$B,'R (s06)'!E:E,"Falta")</f>
        <v>1</v>
      </c>
      <c r="D8" s="104">
        <f>+_xlfn.XLOOKUP($A8,'R (s06)'!$B:$B,'R (s06)'!F:F,"Falta")</f>
        <v>1</v>
      </c>
      <c r="E8" s="104">
        <f>+_xlfn.XLOOKUP($A8,'R (s06)'!$B:$B,'R (s06)'!G:G,"Falta")</f>
        <v>1</v>
      </c>
      <c r="F8" s="105">
        <v>53</v>
      </c>
      <c r="G8" s="107">
        <v>53</v>
      </c>
      <c r="H8" s="115">
        <f>IF(SUMIFS(Tabla1[Avance_km],Tabla1[Ducto],$A8,Tabla1[nombre_actividad],H$1)=0,"",SUMIFS(Tabla1[Avance_km],Tabla1[Ducto],$A8,Tabla1[nombre_actividad],H$1))</f>
        <v>5.2999999999999999E-2</v>
      </c>
      <c r="I8" s="115">
        <f>IF(SUMIFS(Tabla1[Avance_km],Tabla1[Ducto],$A8,Tabla1[nombre_actividad],I$1)=0,"",SUMIFS(Tabla1[Avance_km],Tabla1[Ducto],$A8,Tabla1[nombre_actividad],I$1))</f>
        <v>5.2999999999999999E-2</v>
      </c>
      <c r="J8" s="115">
        <f>IF(SUMIFS(Tabla1[Avance_km],Tabla1[Ducto],$A8,Tabla1[nombre_actividad],J$1)=0,"",SUMIFS(Tabla1[Avance_km],Tabla1[Ducto],$A8,Tabla1[nombre_actividad],J$1))</f>
        <v>5.2999999999999999E-2</v>
      </c>
      <c r="K8" s="116">
        <f>IF(SUMIFS(Tabla1[Avance_Med],Tabla1[Ducto],$A8,Tabla1[nombre_actividad],K$1)=0,"",SUMIFS(Tabla1[Avance_Med],Tabla1[Ducto],$A8,Tabla1[nombre_actividad],K$1))</f>
        <v>1</v>
      </c>
    </row>
    <row r="9" spans="1:12" x14ac:dyDescent="0.3">
      <c r="A9" s="178" t="s">
        <v>374</v>
      </c>
      <c r="B9" s="103">
        <f>+_xlfn.XLOOKUP($A9,'R (s06)'!$B:$B,'R (s06)'!D:D,"Falta")</f>
        <v>1</v>
      </c>
      <c r="C9" s="104">
        <f>+_xlfn.XLOOKUP($A9,'R (s06)'!$B:$B,'R (s06)'!E:E,"Falta")</f>
        <v>1</v>
      </c>
      <c r="D9" s="104">
        <f>+_xlfn.XLOOKUP($A9,'R (s06)'!$B:$B,'R (s06)'!F:F,"Falta")</f>
        <v>1</v>
      </c>
      <c r="E9" s="104">
        <f>+_xlfn.XLOOKUP($A9,'R (s06)'!$B:$B,'R (s06)'!G:G,"Falta")</f>
        <v>1</v>
      </c>
      <c r="F9" s="105">
        <v>608</v>
      </c>
      <c r="G9" s="107">
        <v>608</v>
      </c>
      <c r="H9" s="115">
        <f>IF(SUMIFS(Tabla1[Avance_km],Tabla1[Ducto],$A9,Tabla1[nombre_actividad],H$1)=0,"",SUMIFS(Tabla1[Avance_km],Tabla1[Ducto],$A9,Tabla1[nombre_actividad],H$1))</f>
        <v>0.60799999999999998</v>
      </c>
      <c r="I9" s="115">
        <f>IF(SUMIFS(Tabla1[Avance_km],Tabla1[Ducto],$A9,Tabla1[nombre_actividad],I$1)=0,"",SUMIFS(Tabla1[Avance_km],Tabla1[Ducto],$A9,Tabla1[nombre_actividad],I$1))</f>
        <v>0.60799999999999998</v>
      </c>
      <c r="J9" s="115">
        <f>IF(SUMIFS(Tabla1[Avance_km],Tabla1[Ducto],$A9,Tabla1[nombre_actividad],J$1)=0,"",SUMIFS(Tabla1[Avance_km],Tabla1[Ducto],$A9,Tabla1[nombre_actividad],J$1))</f>
        <v>0.60799999999999998</v>
      </c>
      <c r="K9" s="116">
        <f>IF(SUMIFS(Tabla1[Avance_Med],Tabla1[Ducto],$A9,Tabla1[nombre_actividad],K$1)=0,"",SUMIFS(Tabla1[Avance_Med],Tabla1[Ducto],$A9,Tabla1[nombre_actividad],K$1))</f>
        <v>2</v>
      </c>
    </row>
    <row r="10" spans="1:12" x14ac:dyDescent="0.3">
      <c r="A10" s="178" t="s">
        <v>375</v>
      </c>
      <c r="B10" s="103">
        <f>+_xlfn.XLOOKUP($A10,'R (s06)'!$B:$B,'R (s06)'!D:D,"Falta")</f>
        <v>1</v>
      </c>
      <c r="C10" s="104">
        <f>+_xlfn.XLOOKUP($A10,'R (s06)'!$B:$B,'R (s06)'!E:E,"Falta")</f>
        <v>1</v>
      </c>
      <c r="D10" s="104">
        <f>+_xlfn.XLOOKUP($A10,'R (s06)'!$B:$B,'R (s06)'!F:F,"Falta")</f>
        <v>1</v>
      </c>
      <c r="E10" s="104">
        <f>+_xlfn.XLOOKUP($A10,'R (s06)'!$B:$B,'R (s06)'!G:G,"Falta")</f>
        <v>1</v>
      </c>
      <c r="F10" s="105">
        <v>170</v>
      </c>
      <c r="G10" s="107">
        <v>170</v>
      </c>
      <c r="H10" s="115">
        <f>IF(SUMIFS(Tabla1[Avance_km],Tabla1[Ducto],$A10,Tabla1[nombre_actividad],H$1)=0,"",SUMIFS(Tabla1[Avance_km],Tabla1[Ducto],$A10,Tabla1[nombre_actividad],H$1))</f>
        <v>0.17</v>
      </c>
      <c r="I10" s="115">
        <f>IF(SUMIFS(Tabla1[Avance_km],Tabla1[Ducto],$A10,Tabla1[nombre_actividad],I$1)=0,"",SUMIFS(Tabla1[Avance_km],Tabla1[Ducto],$A10,Tabla1[nombre_actividad],I$1))</f>
        <v>0.17</v>
      </c>
      <c r="J10" s="115">
        <f>IF(SUMIFS(Tabla1[Avance_km],Tabla1[Ducto],$A10,Tabla1[nombre_actividad],J$1)=0,"",SUMIFS(Tabla1[Avance_km],Tabla1[Ducto],$A10,Tabla1[nombre_actividad],J$1))</f>
        <v>0.17</v>
      </c>
      <c r="K10" s="116">
        <f>IF(SUMIFS(Tabla1[Avance_Med],Tabla1[Ducto],$A10,Tabla1[nombre_actividad],K$1)=0,"",SUMIFS(Tabla1[Avance_Med],Tabla1[Ducto],$A10,Tabla1[nombre_actividad],K$1))</f>
        <v>1</v>
      </c>
    </row>
    <row r="11" spans="1:12" x14ac:dyDescent="0.3">
      <c r="A11" s="178" t="s">
        <v>376</v>
      </c>
      <c r="B11" s="103">
        <f>+_xlfn.XLOOKUP($A11,'R (s06)'!$B:$B,'R (s06)'!D:D,"Falta")</f>
        <v>1</v>
      </c>
      <c r="C11" s="104">
        <f>+_xlfn.XLOOKUP($A11,'R (s06)'!$B:$B,'R (s06)'!E:E,"Falta")</f>
        <v>1</v>
      </c>
      <c r="D11" s="104">
        <f>+_xlfn.XLOOKUP($A11,'R (s06)'!$B:$B,'R (s06)'!F:F,"Falta")</f>
        <v>1</v>
      </c>
      <c r="E11" s="104">
        <f>+_xlfn.XLOOKUP($A11,'R (s06)'!$B:$B,'R (s06)'!G:G,"Falta")</f>
        <v>1</v>
      </c>
      <c r="F11" s="105">
        <v>13</v>
      </c>
      <c r="G11" s="107">
        <v>13</v>
      </c>
      <c r="H11" s="115">
        <f>IF(SUMIFS(Tabla1[Avance_km],Tabla1[Ducto],$A11,Tabla1[nombre_actividad],H$1)=0,"",SUMIFS(Tabla1[Avance_km],Tabla1[Ducto],$A11,Tabla1[nombre_actividad],H$1))</f>
        <v>1.2999999999999999E-2</v>
      </c>
      <c r="I11" s="115">
        <f>IF(SUMIFS(Tabla1[Avance_km],Tabla1[Ducto],$A11,Tabla1[nombre_actividad],I$1)=0,"",SUMIFS(Tabla1[Avance_km],Tabla1[Ducto],$A11,Tabla1[nombre_actividad],I$1))</f>
        <v>1.2999999999999999E-2</v>
      </c>
      <c r="J11" s="115">
        <f>IF(SUMIFS(Tabla1[Avance_km],Tabla1[Ducto],$A11,Tabla1[nombre_actividad],J$1)=0,"",SUMIFS(Tabla1[Avance_km],Tabla1[Ducto],$A11,Tabla1[nombre_actividad],J$1))</f>
        <v>1.2999999999999999E-2</v>
      </c>
      <c r="K11" s="116">
        <f>IF(SUMIFS(Tabla1[Avance_Med],Tabla1[Ducto],$A11,Tabla1[nombre_actividad],K$1)=0,"",SUMIFS(Tabla1[Avance_Med],Tabla1[Ducto],$A11,Tabla1[nombre_actividad],K$1))</f>
        <v>1</v>
      </c>
    </row>
    <row r="12" spans="1:12" x14ac:dyDescent="0.3">
      <c r="A12" s="178" t="s">
        <v>377</v>
      </c>
      <c r="B12" s="103">
        <f>+_xlfn.XLOOKUP($A12,'R (s06)'!$B:$B,'R (s06)'!D:D,"Falta")</f>
        <v>1.0001602820964899</v>
      </c>
      <c r="C12" s="104">
        <f>+_xlfn.XLOOKUP($A12,'R (s06)'!$B:$B,'R (s06)'!E:E,"Falta")</f>
        <v>1.0001602820964899</v>
      </c>
      <c r="D12" s="104">
        <f>+_xlfn.XLOOKUP($A12,'R (s06)'!$B:$B,'R (s06)'!F:F,"Falta")</f>
        <v>1.0001602820964899</v>
      </c>
      <c r="E12" s="104">
        <f>+_xlfn.XLOOKUP($A12,'R (s06)'!$B:$B,'R (s06)'!G:G,"Falta")</f>
        <v>1</v>
      </c>
      <c r="F12" s="105">
        <v>623.9</v>
      </c>
      <c r="G12" s="107">
        <v>623.9</v>
      </c>
      <c r="H12" s="115">
        <f>IF(SUMIFS(Tabla1[Avance_km],Tabla1[Ducto],$A12,Tabla1[nombre_actividad],H$1)=0,"",SUMIFS(Tabla1[Avance_km],Tabla1[Ducto],$A12,Tabla1[nombre_actividad],H$1))</f>
        <v>0.624</v>
      </c>
      <c r="I12" s="115">
        <f>IF(SUMIFS(Tabla1[Avance_km],Tabla1[Ducto],$A12,Tabla1[nombre_actividad],I$1)=0,"",SUMIFS(Tabla1[Avance_km],Tabla1[Ducto],$A12,Tabla1[nombre_actividad],I$1))</f>
        <v>0.624</v>
      </c>
      <c r="J12" s="115">
        <f>IF(SUMIFS(Tabla1[Avance_km],Tabla1[Ducto],$A12,Tabla1[nombre_actividad],J$1)=0,"",SUMIFS(Tabla1[Avance_km],Tabla1[Ducto],$A12,Tabla1[nombre_actividad],J$1))</f>
        <v>0.624</v>
      </c>
      <c r="K12" s="116">
        <f>IF(SUMIFS(Tabla1[Avance_Med],Tabla1[Ducto],$A12,Tabla1[nombre_actividad],K$1)=0,"",SUMIFS(Tabla1[Avance_Med],Tabla1[Ducto],$A12,Tabla1[nombre_actividad],K$1))</f>
        <v>2</v>
      </c>
    </row>
    <row r="13" spans="1:12" x14ac:dyDescent="0.3">
      <c r="A13" s="178" t="s">
        <v>378</v>
      </c>
      <c r="B13" s="103">
        <f>+_xlfn.XLOOKUP($A13,'R (s06)'!$B:$B,'R (s06)'!D:D,"Falta")</f>
        <v>1</v>
      </c>
      <c r="C13" s="104">
        <f>+_xlfn.XLOOKUP($A13,'R (s06)'!$B:$B,'R (s06)'!E:E,"Falta")</f>
        <v>1</v>
      </c>
      <c r="D13" s="104">
        <f>+_xlfn.XLOOKUP($A13,'R (s06)'!$B:$B,'R (s06)'!F:F,"Falta")</f>
        <v>1</v>
      </c>
      <c r="E13" s="104">
        <f>+_xlfn.XLOOKUP($A13,'R (s06)'!$B:$B,'R (s06)'!G:G,"Falta")</f>
        <v>1</v>
      </c>
      <c r="F13" s="105">
        <v>8.5</v>
      </c>
      <c r="G13" s="107">
        <v>8.5</v>
      </c>
      <c r="H13" s="115">
        <f>IF(SUMIFS(Tabla1[Avance_km],Tabla1[Ducto],$A13,Tabla1[nombre_actividad],H$1)=0,"",SUMIFS(Tabla1[Avance_km],Tabla1[Ducto],$A13,Tabla1[nombre_actividad],H$1))</f>
        <v>8.5000000000000006E-3</v>
      </c>
      <c r="I13" s="115">
        <f>IF(SUMIFS(Tabla1[Avance_km],Tabla1[Ducto],$A13,Tabla1[nombre_actividad],I$1)=0,"",SUMIFS(Tabla1[Avance_km],Tabla1[Ducto],$A13,Tabla1[nombre_actividad],I$1))</f>
        <v>8.5000000000000006E-3</v>
      </c>
      <c r="J13" s="115">
        <f>IF(SUMIFS(Tabla1[Avance_km],Tabla1[Ducto],$A13,Tabla1[nombre_actividad],J$1)=0,"",SUMIFS(Tabla1[Avance_km],Tabla1[Ducto],$A13,Tabla1[nombre_actividad],J$1))</f>
        <v>8.5000000000000006E-3</v>
      </c>
      <c r="K13" s="116">
        <f>IF(SUMIFS(Tabla1[Avance_Med],Tabla1[Ducto],$A13,Tabla1[nombre_actividad],K$1)=0,"",SUMIFS(Tabla1[Avance_Med],Tabla1[Ducto],$A13,Tabla1[nombre_actividad],K$1))</f>
        <v>1</v>
      </c>
    </row>
    <row r="14" spans="1:12" x14ac:dyDescent="0.3">
      <c r="A14" s="179"/>
    </row>
    <row r="15" spans="1:12" x14ac:dyDescent="0.3">
      <c r="F15" s="107">
        <f t="shared" ref="F15:K15" si="0">SUM(F2:F13)</f>
        <v>1623.9</v>
      </c>
      <c r="G15" s="107">
        <f t="shared" si="0"/>
        <v>1623.9</v>
      </c>
      <c r="H15" s="129">
        <f t="shared" si="0"/>
        <v>1.6245000000000001</v>
      </c>
      <c r="I15" s="129">
        <f t="shared" si="0"/>
        <v>1.6245000000000001</v>
      </c>
      <c r="J15" s="129">
        <f t="shared" si="0"/>
        <v>1.6245000000000001</v>
      </c>
      <c r="K15" s="130">
        <f t="shared" si="0"/>
        <v>14</v>
      </c>
    </row>
    <row r="16" spans="1:12" ht="30" x14ac:dyDescent="0.3">
      <c r="H16" s="65" t="s">
        <v>78</v>
      </c>
      <c r="I16" s="65" t="s">
        <v>79</v>
      </c>
      <c r="J16" s="65" t="s">
        <v>80</v>
      </c>
      <c r="K16" s="65" t="s">
        <v>81</v>
      </c>
    </row>
    <row r="20" spans="1:5" ht="15" x14ac:dyDescent="0.25">
      <c r="A20"/>
      <c r="B20"/>
      <c r="C20"/>
      <c r="D20"/>
      <c r="E20"/>
    </row>
    <row r="21" spans="1:5" ht="15" x14ac:dyDescent="0.25">
      <c r="A21"/>
      <c r="B21"/>
      <c r="C21"/>
      <c r="D21"/>
      <c r="E21"/>
    </row>
    <row r="22" spans="1:5" ht="15" x14ac:dyDescent="0.25">
      <c r="A22"/>
      <c r="B22"/>
      <c r="C22"/>
      <c r="D22"/>
      <c r="E22"/>
    </row>
    <row r="23" spans="1:5" ht="15" x14ac:dyDescent="0.25">
      <c r="A23"/>
      <c r="B23"/>
      <c r="C23"/>
      <c r="D23"/>
      <c r="E23"/>
    </row>
    <row r="24" spans="1:5" ht="15" x14ac:dyDescent="0.25">
      <c r="A24"/>
      <c r="B24"/>
      <c r="C24"/>
      <c r="D24"/>
      <c r="E24"/>
    </row>
    <row r="25" spans="1:5" ht="15" x14ac:dyDescent="0.25">
      <c r="A25"/>
      <c r="B25"/>
      <c r="C25"/>
      <c r="D25"/>
      <c r="E25"/>
    </row>
    <row r="26" spans="1:5" ht="15" x14ac:dyDescent="0.25">
      <c r="A26"/>
      <c r="B26"/>
      <c r="C26"/>
      <c r="D26"/>
      <c r="E26"/>
    </row>
  </sheetData>
  <autoFilter ref="A1:G2" xr:uid="{60D85BB3-8864-47F8-94E5-88A6B07DC02A}"/>
  <conditionalFormatting sqref="B2:E13">
    <cfRule type="expression" dxfId="10" priority="1">
      <formula>IF(OR(B2="Falta",B2=0)=TRUE,TRUE,FALSE)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FC0D-1554-4AE6-9397-213993ACCE61}">
  <sheetPr codeName="Hoja18"/>
  <dimension ref="A1:L7"/>
  <sheetViews>
    <sheetView showGridLines="0" workbookViewId="0"/>
  </sheetViews>
  <sheetFormatPr baseColWidth="10" defaultColWidth="11.42578125" defaultRowHeight="16.5" outlineLevelCol="1" x14ac:dyDescent="0.3"/>
  <cols>
    <col min="1" max="1" width="45.42578125" style="102" bestFit="1" customWidth="1"/>
    <col min="2" max="2" width="12.140625" style="76" bestFit="1" customWidth="1"/>
    <col min="3" max="3" width="8.28515625" style="76" customWidth="1"/>
    <col min="4" max="4" width="8.7109375" style="76" customWidth="1"/>
    <col min="5" max="5" width="13.42578125" style="76" customWidth="1"/>
    <col min="6" max="6" width="11.42578125" customWidth="1" outlineLevel="1"/>
    <col min="7" max="7" width="18.140625" customWidth="1" outlineLevel="1"/>
    <col min="8" max="8" width="11.85546875" customWidth="1"/>
    <col min="11" max="11" width="14.140625" customWidth="1"/>
  </cols>
  <sheetData>
    <row r="1" spans="1:12" ht="36" customHeight="1" x14ac:dyDescent="0.25">
      <c r="A1" s="97" t="s">
        <v>256</v>
      </c>
      <c r="B1" s="65" t="s">
        <v>78</v>
      </c>
      <c r="C1" s="65" t="s">
        <v>79</v>
      </c>
      <c r="D1" s="65" t="s">
        <v>80</v>
      </c>
      <c r="E1" s="65" t="s">
        <v>81</v>
      </c>
      <c r="G1" s="106" t="s">
        <v>257</v>
      </c>
      <c r="H1" s="65" t="s">
        <v>78</v>
      </c>
      <c r="I1" s="65" t="s">
        <v>79</v>
      </c>
      <c r="J1" s="65" t="s">
        <v>80</v>
      </c>
      <c r="K1" s="65" t="s">
        <v>81</v>
      </c>
      <c r="L1" s="1">
        <f>+COUNTA(A2:A4)-1</f>
        <v>2</v>
      </c>
    </row>
    <row r="2" spans="1:12" ht="15" x14ac:dyDescent="0.25">
      <c r="A2" s="98" t="s">
        <v>265</v>
      </c>
      <c r="B2" s="103">
        <f>+_xlfn.XLOOKUP($A2,'R (s07)'!$B:$B,'R (s07)'!D:D,"Falta")</f>
        <v>0</v>
      </c>
      <c r="C2" s="104">
        <f>+_xlfn.XLOOKUP($A2,'R (s07)'!$B:$B,'R (s07)'!E:E,"Falta")</f>
        <v>0</v>
      </c>
      <c r="D2" s="104">
        <f>+_xlfn.XLOOKUP($A2,'R (s07)'!$B:$B,'R (s07)'!F:F,"Falta")</f>
        <v>0</v>
      </c>
      <c r="E2" s="104">
        <f>+_xlfn.XLOOKUP($A2,'R (s07)'!$B:$B,'R (s07)'!G:G,"Falta")</f>
        <v>1</v>
      </c>
      <c r="F2" s="105">
        <f>IFERROR(_xlfn.XLOOKUP(A2,diario!D:D,diario!L:L,"")*1000,"")</f>
        <v>8</v>
      </c>
      <c r="G2" s="107">
        <v>8</v>
      </c>
      <c r="H2" s="115" t="str">
        <f>IF(SUMIFS(Tabla1[Avance_km],Tabla1[Ducto],$A2,Tabla1[nombre_actividad],H$1)=0,"",SUMIFS(Tabla1[Avance_km],Tabla1[Ducto],$A2,Tabla1[nombre_actividad],H$1))</f>
        <v/>
      </c>
      <c r="I2" s="115" t="str">
        <f>IF(SUMIFS(Tabla1[Avance_km],Tabla1[Ducto],$A2,Tabla1[nombre_actividad],I$1)=0,"",SUMIFS(Tabla1[Avance_km],Tabla1[Ducto],$A2,Tabla1[nombre_actividad],I$1))</f>
        <v/>
      </c>
      <c r="J2" s="115" t="str">
        <f>IF(SUMIFS(Tabla1[Avance_km],Tabla1[Ducto],$A2,Tabla1[nombre_actividad],J$1)=0,"",SUMIFS(Tabla1[Avance_km],Tabla1[Ducto],$A2,Tabla1[nombre_actividad],J$1))</f>
        <v/>
      </c>
      <c r="K2" s="116">
        <f>IF(SUMIFS(Tabla1[Avance_Med],Tabla1[Ducto],$A2,Tabla1[nombre_actividad],K$1)=0,"",SUMIFS(Tabla1[Avance_Med],Tabla1[Ducto],$A2,Tabla1[nombre_actividad],K$1))</f>
        <v>1</v>
      </c>
    </row>
    <row r="3" spans="1:12" x14ac:dyDescent="0.3">
      <c r="A3" s="99" t="s">
        <v>333</v>
      </c>
      <c r="B3" s="103">
        <f>+_xlfn.XLOOKUP($A3,'R (s07)'!$B:$B,'R (s07)'!D:D,"Falta")</f>
        <v>0</v>
      </c>
      <c r="C3" s="104">
        <f>+_xlfn.XLOOKUP($A3,'R (s07)'!$B:$B,'R (s07)'!E:E,"Falta")</f>
        <v>0</v>
      </c>
      <c r="D3" s="104">
        <f>+_xlfn.XLOOKUP($A3,'R (s07)'!$B:$B,'R (s07)'!F:F,"Falta")</f>
        <v>0</v>
      </c>
      <c r="E3" s="104">
        <f>+E2</f>
        <v>1</v>
      </c>
      <c r="F3" s="105">
        <f>IFERROR(_xlfn.XLOOKUP(A3,diario!D:D,diario!L:L,"")*1000,"")</f>
        <v>366</v>
      </c>
      <c r="G3" s="107">
        <v>366</v>
      </c>
      <c r="H3" s="115" t="str">
        <f>IF(SUMIFS(Tabla1[Avance_km],Tabla1[Ducto],$A3,Tabla1[nombre_actividad],H$1)=0,"",SUMIFS(Tabla1[Avance_km],Tabla1[Ducto],$A3,Tabla1[nombre_actividad],H$1))</f>
        <v/>
      </c>
      <c r="I3" s="115" t="str">
        <f>IF(SUMIFS(Tabla1[Avance_km],Tabla1[Ducto],$A3,Tabla1[nombre_actividad],I$1)=0,"",SUMIFS(Tabla1[Avance_km],Tabla1[Ducto],$A3,Tabla1[nombre_actividad],I$1))</f>
        <v/>
      </c>
      <c r="J3" s="115" t="str">
        <f>IF(SUMIFS(Tabla1[Avance_km],Tabla1[Ducto],$A3,Tabla1[nombre_actividad],J$1)=0,"",SUMIFS(Tabla1[Avance_km],Tabla1[Ducto],$A3,Tabla1[nombre_actividad],J$1))</f>
        <v/>
      </c>
      <c r="K3" s="116">
        <f>IF(SUMIFS(Tabla1[Avance_Med],Tabla1[Ducto],$A3,Tabla1[nombre_actividad],K$1)=0,"",SUMIFS(Tabla1[Avance_Med],Tabla1[Ducto],$A3,Tabla1[nombre_actividad],K$1))</f>
        <v>1</v>
      </c>
    </row>
    <row r="4" spans="1:12" x14ac:dyDescent="0.3">
      <c r="A4" s="99" t="s">
        <v>334</v>
      </c>
      <c r="B4" s="103">
        <f>+_xlfn.XLOOKUP($A4,'R (s07)'!$B:$B,'R (s07)'!D:D,"Falta")</f>
        <v>0</v>
      </c>
      <c r="C4" s="104">
        <f>+_xlfn.XLOOKUP($A4,'R (s07)'!$B:$B,'R (s07)'!E:E,"Falta")</f>
        <v>0</v>
      </c>
      <c r="D4" s="104">
        <f>+_xlfn.XLOOKUP($A4,'R (s07)'!$B:$B,'R (s07)'!F:F,"Falta")</f>
        <v>0</v>
      </c>
      <c r="E4" s="104">
        <f>+E2</f>
        <v>1</v>
      </c>
      <c r="F4" s="105">
        <f>IFERROR(_xlfn.XLOOKUP(A4,diario!D:D,diario!L:L,"")*1000,"")</f>
        <v>1175</v>
      </c>
      <c r="G4" s="107">
        <v>1175</v>
      </c>
      <c r="H4" s="115" t="str">
        <f>IF(SUMIFS(Tabla1[Avance_km],Tabla1[Ducto],$A4,Tabla1[nombre_actividad],H$1)=0,"",SUMIFS(Tabla1[Avance_km],Tabla1[Ducto],$A4,Tabla1[nombre_actividad],H$1))</f>
        <v/>
      </c>
      <c r="I4" s="115" t="str">
        <f>IF(SUMIFS(Tabla1[Avance_km],Tabla1[Ducto],$A4,Tabla1[nombre_actividad],I$1)=0,"",SUMIFS(Tabla1[Avance_km],Tabla1[Ducto],$A4,Tabla1[nombre_actividad],I$1))</f>
        <v/>
      </c>
      <c r="J4" s="115" t="str">
        <f>IF(SUMIFS(Tabla1[Avance_km],Tabla1[Ducto],$A4,Tabla1[nombre_actividad],J$1)=0,"",SUMIFS(Tabla1[Avance_km],Tabla1[Ducto],$A4,Tabla1[nombre_actividad],J$1))</f>
        <v/>
      </c>
      <c r="K4" s="116">
        <f>IF(SUMIFS(Tabla1[Avance_Med],Tabla1[Ducto],$A4,Tabla1[nombre_actividad],K$1)=0,"",SUMIFS(Tabla1[Avance_Med],Tabla1[Ducto],$A4,Tabla1[nombre_actividad],K$1))</f>
        <v>3</v>
      </c>
    </row>
    <row r="6" spans="1:12" x14ac:dyDescent="0.3">
      <c r="F6" s="107">
        <f t="shared" ref="F6:K6" si="0">SUM(F2:F4)</f>
        <v>1549</v>
      </c>
      <c r="G6" s="107">
        <f t="shared" si="0"/>
        <v>1549</v>
      </c>
      <c r="H6" s="129">
        <f t="shared" si="0"/>
        <v>0</v>
      </c>
      <c r="I6" s="129">
        <f t="shared" si="0"/>
        <v>0</v>
      </c>
      <c r="J6" s="129">
        <f t="shared" si="0"/>
        <v>0</v>
      </c>
      <c r="K6" s="130">
        <f t="shared" si="0"/>
        <v>5</v>
      </c>
    </row>
    <row r="7" spans="1:12" ht="30" x14ac:dyDescent="0.3">
      <c r="H7" s="65" t="s">
        <v>78</v>
      </c>
      <c r="I7" s="65" t="s">
        <v>79</v>
      </c>
      <c r="J7" s="65" t="s">
        <v>80</v>
      </c>
      <c r="K7" s="65" t="s">
        <v>81</v>
      </c>
    </row>
  </sheetData>
  <conditionalFormatting sqref="B2:E4">
    <cfRule type="expression" dxfId="9" priority="1">
      <formula>IF(OR(B2="Falta",B2=0)=TRUE,TRUE,FALSE)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E94AC-A5C8-415F-818D-537D2B84AF2B}">
  <sheetPr codeName="Hoja19"/>
  <dimension ref="A1:L6"/>
  <sheetViews>
    <sheetView showGridLines="0" workbookViewId="0"/>
  </sheetViews>
  <sheetFormatPr baseColWidth="10" defaultColWidth="11.42578125" defaultRowHeight="16.5" outlineLevelCol="1" x14ac:dyDescent="0.3"/>
  <cols>
    <col min="1" max="1" width="45.42578125" style="102" bestFit="1" customWidth="1"/>
    <col min="2" max="2" width="12.140625" style="76" bestFit="1" customWidth="1"/>
    <col min="3" max="3" width="8.28515625" style="76" customWidth="1"/>
    <col min="4" max="4" width="8.7109375" style="76" customWidth="1"/>
    <col min="5" max="5" width="13.42578125" style="76" customWidth="1"/>
    <col min="6" max="6" width="11.42578125" customWidth="1" outlineLevel="1"/>
    <col min="7" max="7" width="18.140625" customWidth="1" outlineLevel="1"/>
    <col min="8" max="8" width="11.85546875" customWidth="1"/>
    <col min="11" max="11" width="14.140625" customWidth="1"/>
  </cols>
  <sheetData>
    <row r="1" spans="1:12" ht="36" customHeight="1" x14ac:dyDescent="0.25">
      <c r="A1" s="97" t="s">
        <v>256</v>
      </c>
      <c r="B1" s="65" t="s">
        <v>78</v>
      </c>
      <c r="C1" s="65" t="s">
        <v>79</v>
      </c>
      <c r="D1" s="65" t="s">
        <v>80</v>
      </c>
      <c r="E1" s="65" t="s">
        <v>81</v>
      </c>
      <c r="G1" s="106" t="s">
        <v>257</v>
      </c>
      <c r="H1" s="65" t="s">
        <v>78</v>
      </c>
      <c r="I1" s="65" t="s">
        <v>79</v>
      </c>
      <c r="J1" s="65" t="s">
        <v>80</v>
      </c>
      <c r="K1" s="65" t="s">
        <v>81</v>
      </c>
      <c r="L1" s="1">
        <f>+COUNTA(A2:A3)</f>
        <v>2</v>
      </c>
    </row>
    <row r="2" spans="1:12" ht="15" x14ac:dyDescent="0.25">
      <c r="A2" s="98" t="s">
        <v>266</v>
      </c>
      <c r="B2" s="103">
        <f>+_xlfn.XLOOKUP($A2,'R (s08)'!$B:$B,'R (s08)'!D:D,"Falta")</f>
        <v>0</v>
      </c>
      <c r="C2" s="104">
        <f>+_xlfn.XLOOKUP($A2,'R (s08)'!$B:$B,'R (s08)'!E:E,"Falta")</f>
        <v>0</v>
      </c>
      <c r="D2" s="104">
        <f>+_xlfn.XLOOKUP($A2,'R (s08)'!$B:$B,'R (s08)'!F:F,"Falta")</f>
        <v>0</v>
      </c>
      <c r="E2" s="104">
        <f>+_xlfn.XLOOKUP($A2,'R (s08)'!$B:$B,'R (s08)'!G:G,"Falta")</f>
        <v>1</v>
      </c>
      <c r="F2" s="105">
        <f>IFERROR(_xlfn.XLOOKUP(A2,diario!D:D,diario!L:L,"")*1000,"")</f>
        <v>3500</v>
      </c>
      <c r="G2" s="107">
        <v>3500</v>
      </c>
      <c r="H2" s="115" t="str">
        <f>IF(SUMIFS(Tabla1[Avance_km],Tabla1[Ducto],$A2,Tabla1[nombre_actividad],H$1)=0,"",SUMIFS(Tabla1[Avance_km],Tabla1[Ducto],$A2,Tabla1[nombre_actividad],H$1))</f>
        <v/>
      </c>
      <c r="I2" s="115" t="str">
        <f>IF(SUMIFS(Tabla1[Avance_km],Tabla1[Ducto],$A2,Tabla1[nombre_actividad],I$1)=0,"",SUMIFS(Tabla1[Avance_km],Tabla1[Ducto],$A2,Tabla1[nombre_actividad],I$1))</f>
        <v/>
      </c>
      <c r="J2" s="115" t="str">
        <f>IF(SUMIFS(Tabla1[Avance_km],Tabla1[Ducto],$A2,Tabla1[nombre_actividad],J$1)=0,"",SUMIFS(Tabla1[Avance_km],Tabla1[Ducto],$A2,Tabla1[nombre_actividad],J$1))</f>
        <v/>
      </c>
      <c r="K2" s="116">
        <f>IF(SUMIFS(Tabla1[Avance_Med],Tabla1[Ducto],$A2,Tabla1[nombre_actividad],K$1)=0,"",SUMIFS(Tabla1[Avance_Med],Tabla1[Ducto],$A2,Tabla1[nombre_actividad],K$1))</f>
        <v>8</v>
      </c>
    </row>
    <row r="3" spans="1:12" x14ac:dyDescent="0.3">
      <c r="A3" s="99" t="s">
        <v>336</v>
      </c>
      <c r="B3" s="103">
        <f>+_xlfn.XLOOKUP($A3,'R (s08)'!$B:$B,'R (s08)'!D:D,"Falta")</f>
        <v>0</v>
      </c>
      <c r="C3" s="104">
        <f>+_xlfn.XLOOKUP($A3,'R (s08)'!$B:$B,'R (s08)'!E:E,"Falta")</f>
        <v>0</v>
      </c>
      <c r="D3" s="104">
        <f>+_xlfn.XLOOKUP($A3,'R (s08)'!$B:$B,'R (s08)'!F:F,"Falta")</f>
        <v>0</v>
      </c>
      <c r="E3" s="104">
        <f>+_xlfn.XLOOKUP($A3,'R (s08)'!$B:$B,'R (s08)'!G:G,"Falta")</f>
        <v>1</v>
      </c>
      <c r="F3" s="105">
        <f>IFERROR(_xlfn.XLOOKUP(A3,diario!D:D,diario!L:L,"")*1000,"")</f>
        <v>24</v>
      </c>
      <c r="G3" s="107">
        <v>24</v>
      </c>
      <c r="H3" s="115" t="str">
        <f>IF(SUMIFS(Tabla1[Avance_km],Tabla1[Ducto],$A3,Tabla1[nombre_actividad],H$1)=0,"",SUMIFS(Tabla1[Avance_km],Tabla1[Ducto],$A3,Tabla1[nombre_actividad],H$1))</f>
        <v/>
      </c>
      <c r="I3" s="115" t="str">
        <f>IF(SUMIFS(Tabla1[Avance_km],Tabla1[Ducto],$A3,Tabla1[nombre_actividad],I$1)=0,"",SUMIFS(Tabla1[Avance_km],Tabla1[Ducto],$A3,Tabla1[nombre_actividad],I$1))</f>
        <v/>
      </c>
      <c r="J3" s="115" t="str">
        <f>IF(SUMIFS(Tabla1[Avance_km],Tabla1[Ducto],$A3,Tabla1[nombre_actividad],J$1)=0,"",SUMIFS(Tabla1[Avance_km],Tabla1[Ducto],$A3,Tabla1[nombre_actividad],J$1))</f>
        <v/>
      </c>
      <c r="K3" s="116">
        <f>IF(SUMIFS(Tabla1[Avance_Med],Tabla1[Ducto],$A3,Tabla1[nombre_actividad],K$1)=0,"",SUMIFS(Tabla1[Avance_Med],Tabla1[Ducto],$A3,Tabla1[nombre_actividad],K$1))</f>
        <v>1</v>
      </c>
    </row>
    <row r="5" spans="1:12" x14ac:dyDescent="0.3">
      <c r="F5" s="107">
        <f t="shared" ref="F5:K5" si="0">SUM(F2:F3)</f>
        <v>3524</v>
      </c>
      <c r="G5" s="107">
        <f t="shared" si="0"/>
        <v>3524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30">
        <f t="shared" si="0"/>
        <v>9</v>
      </c>
    </row>
    <row r="6" spans="1:12" ht="30" x14ac:dyDescent="0.3">
      <c r="H6" s="65" t="s">
        <v>78</v>
      </c>
      <c r="I6" s="65" t="s">
        <v>79</v>
      </c>
      <c r="J6" s="65" t="s">
        <v>80</v>
      </c>
      <c r="K6" s="65" t="s">
        <v>81</v>
      </c>
    </row>
  </sheetData>
  <conditionalFormatting sqref="B2:E3">
    <cfRule type="expression" dxfId="8" priority="1">
      <formula>IF(OR(B2="Falta",B2=0)=TRUE,TRUE,FALSE)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8A03-AC08-4D08-82DB-6CE6FFCA1884}">
  <sheetPr codeName="Hoja4">
    <outlinePr summaryBelow="0" summaryRight="0"/>
  </sheetPr>
  <dimension ref="A1:G30"/>
  <sheetViews>
    <sheetView showGridLines="0" workbookViewId="0">
      <selection activeCell="E11" sqref="E11"/>
    </sheetView>
  </sheetViews>
  <sheetFormatPr baseColWidth="10" defaultColWidth="11.42578125" defaultRowHeight="16.5" x14ac:dyDescent="0.3"/>
  <cols>
    <col min="1" max="1" width="12.7109375" style="48" bestFit="1" customWidth="1"/>
    <col min="2" max="2" width="29.28515625" style="48" bestFit="1" customWidth="1"/>
    <col min="3" max="3" width="12.42578125" style="48" bestFit="1" customWidth="1"/>
    <col min="4" max="4" width="18.140625" style="51" bestFit="1" customWidth="1"/>
    <col min="5" max="5" width="52.85546875" style="48" bestFit="1" customWidth="1"/>
    <col min="6" max="6" width="11.28515625" style="48" bestFit="1" customWidth="1"/>
    <col min="7" max="7" width="10.42578125" style="48" bestFit="1" customWidth="1"/>
    <col min="8" max="8" width="8.42578125" style="48" bestFit="1" customWidth="1"/>
    <col min="9" max="9" width="14.140625" style="48" bestFit="1" customWidth="1"/>
    <col min="10" max="10" width="15.85546875" style="48" bestFit="1" customWidth="1"/>
    <col min="11" max="11" width="4.42578125" style="48" bestFit="1" customWidth="1"/>
    <col min="12" max="13" width="14.140625" style="48" bestFit="1" customWidth="1"/>
    <col min="14" max="16384" width="11.42578125" style="48"/>
  </cols>
  <sheetData>
    <row r="1" spans="1:7" s="44" customFormat="1" x14ac:dyDescent="0.25">
      <c r="A1" s="42" t="s">
        <v>258</v>
      </c>
      <c r="B1" s="42" t="s">
        <v>259</v>
      </c>
      <c r="C1" s="42" t="s">
        <v>260</v>
      </c>
      <c r="D1" s="43" t="s">
        <v>257</v>
      </c>
    </row>
    <row r="2" spans="1:7" x14ac:dyDescent="0.3">
      <c r="A2" s="45">
        <v>1</v>
      </c>
      <c r="B2" s="150" t="s">
        <v>261</v>
      </c>
      <c r="C2" s="46">
        <v>24000</v>
      </c>
      <c r="D2" s="47"/>
      <c r="E2" s="49"/>
      <c r="F2" s="341" t="s">
        <v>180</v>
      </c>
      <c r="G2" s="342">
        <f>+'Summary S01'!H43</f>
        <v>66.918000000000006</v>
      </c>
    </row>
    <row r="3" spans="1:7" x14ac:dyDescent="0.3">
      <c r="A3" s="45">
        <v>2</v>
      </c>
      <c r="B3" s="150" t="s">
        <v>217</v>
      </c>
      <c r="C3" s="46">
        <v>5872</v>
      </c>
      <c r="D3" s="47"/>
      <c r="F3" s="341" t="s">
        <v>181</v>
      </c>
      <c r="G3" s="342">
        <f>+'Summary S02'!H20</f>
        <v>32.987999999999992</v>
      </c>
    </row>
    <row r="4" spans="1:7" x14ac:dyDescent="0.3">
      <c r="A4" s="45">
        <v>3</v>
      </c>
      <c r="B4" s="150" t="s">
        <v>262</v>
      </c>
      <c r="C4" s="46">
        <v>5788</v>
      </c>
      <c r="D4" s="47"/>
      <c r="F4" s="341" t="s">
        <v>211</v>
      </c>
      <c r="G4" s="342">
        <f>+'Summary S03'!F48/1000</f>
        <v>44.517000000000003</v>
      </c>
    </row>
    <row r="5" spans="1:7" x14ac:dyDescent="0.3">
      <c r="A5" s="45">
        <v>4</v>
      </c>
      <c r="B5" s="150" t="s">
        <v>215</v>
      </c>
      <c r="C5" s="46">
        <v>1880</v>
      </c>
      <c r="D5" s="47"/>
      <c r="F5" s="341" t="s">
        <v>352</v>
      </c>
      <c r="G5" s="342">
        <f>+'Summary S04'!F8/1000</f>
        <v>3.99</v>
      </c>
    </row>
    <row r="6" spans="1:7" x14ac:dyDescent="0.3">
      <c r="A6" s="45">
        <v>5</v>
      </c>
      <c r="B6" s="150" t="s">
        <v>253</v>
      </c>
      <c r="C6" s="46">
        <v>1324</v>
      </c>
      <c r="D6" s="47"/>
      <c r="F6" s="341" t="s">
        <v>380</v>
      </c>
      <c r="G6" s="342">
        <f>+'Summary S06'!F15/1000</f>
        <v>1.6239000000000001</v>
      </c>
    </row>
    <row r="7" spans="1:7" x14ac:dyDescent="0.3">
      <c r="A7" s="45">
        <v>6</v>
      </c>
      <c r="B7" s="150" t="s">
        <v>263</v>
      </c>
      <c r="C7" s="46">
        <v>1100</v>
      </c>
      <c r="D7" s="47"/>
      <c r="F7" s="341" t="s">
        <v>272</v>
      </c>
      <c r="G7" s="342">
        <f>+'Summary S07'!F6/1000</f>
        <v>1.5489999999999999</v>
      </c>
    </row>
    <row r="8" spans="1:7" x14ac:dyDescent="0.3">
      <c r="A8" s="45">
        <v>7</v>
      </c>
      <c r="B8" s="150" t="s">
        <v>264</v>
      </c>
      <c r="C8" s="46">
        <v>2077</v>
      </c>
      <c r="D8" s="47"/>
      <c r="F8" s="341" t="s">
        <v>273</v>
      </c>
      <c r="G8" s="342">
        <f>+'Summary S08'!F5/1000</f>
        <v>3.524</v>
      </c>
    </row>
    <row r="9" spans="1:7" x14ac:dyDescent="0.3">
      <c r="A9" s="45">
        <v>8</v>
      </c>
      <c r="B9" s="165" t="s">
        <v>265</v>
      </c>
      <c r="C9" s="181">
        <v>1726</v>
      </c>
      <c r="D9" s="47"/>
      <c r="G9" s="401">
        <f>SUM(G2:G8)</f>
        <v>155.10990000000001</v>
      </c>
    </row>
    <row r="10" spans="1:7" x14ac:dyDescent="0.3">
      <c r="A10" s="45">
        <v>9</v>
      </c>
      <c r="B10" s="167" t="s">
        <v>266</v>
      </c>
      <c r="C10" s="181">
        <v>4300</v>
      </c>
      <c r="D10" s="47"/>
    </row>
    <row r="11" spans="1:7" x14ac:dyDescent="0.3">
      <c r="A11" s="45">
        <v>10</v>
      </c>
      <c r="B11" s="58" t="s">
        <v>267</v>
      </c>
      <c r="C11" s="181">
        <v>31540</v>
      </c>
      <c r="D11" s="47">
        <v>34675</v>
      </c>
      <c r="E11" s="48" t="s">
        <v>268</v>
      </c>
      <c r="F11" s="49"/>
      <c r="G11" s="48">
        <f ca="1">+Grafico!L36</f>
        <v>181.92549999999989</v>
      </c>
    </row>
    <row r="12" spans="1:7" x14ac:dyDescent="0.3">
      <c r="A12" s="45">
        <v>11</v>
      </c>
      <c r="B12" s="58" t="s">
        <v>17</v>
      </c>
      <c r="C12" s="181">
        <v>4216</v>
      </c>
      <c r="D12" s="47">
        <v>2171.3361420000001</v>
      </c>
      <c r="G12" s="48">
        <f>+'R (s04)'!K6/1000</f>
        <v>32.753</v>
      </c>
    </row>
    <row r="13" spans="1:7" x14ac:dyDescent="0.3">
      <c r="A13" s="45">
        <v>12</v>
      </c>
      <c r="B13" s="58" t="s">
        <v>51</v>
      </c>
      <c r="C13" s="181">
        <v>1114</v>
      </c>
      <c r="D13" s="47">
        <v>1056.55</v>
      </c>
      <c r="G13" s="48">
        <f ca="1">+G11-G12</f>
        <v>149.1724999999999</v>
      </c>
    </row>
    <row r="14" spans="1:7" x14ac:dyDescent="0.3">
      <c r="A14" s="45">
        <v>13</v>
      </c>
      <c r="B14" s="58" t="s">
        <v>65</v>
      </c>
      <c r="C14" s="181">
        <v>10442</v>
      </c>
      <c r="D14" s="47">
        <v>10909</v>
      </c>
    </row>
    <row r="15" spans="1:7" x14ac:dyDescent="0.3">
      <c r="A15" s="45">
        <v>14</v>
      </c>
      <c r="B15" s="58" t="s">
        <v>50</v>
      </c>
      <c r="C15" s="181">
        <v>13035</v>
      </c>
      <c r="D15" s="47">
        <v>14945</v>
      </c>
      <c r="G15" s="452">
        <f ca="1">+G13/G9</f>
        <v>0.96172133435712281</v>
      </c>
    </row>
    <row r="16" spans="1:7" x14ac:dyDescent="0.3">
      <c r="A16" s="45">
        <v>15</v>
      </c>
      <c r="B16" s="58" t="s">
        <v>21</v>
      </c>
      <c r="C16" s="181">
        <v>1061</v>
      </c>
      <c r="D16" s="47">
        <v>1055.1300000000001</v>
      </c>
    </row>
    <row r="17" spans="1:7" x14ac:dyDescent="0.3">
      <c r="A17" s="45">
        <v>16</v>
      </c>
      <c r="B17" s="58" t="s">
        <v>37</v>
      </c>
      <c r="C17" s="181">
        <v>1324</v>
      </c>
      <c r="D17" s="47">
        <v>1489</v>
      </c>
    </row>
    <row r="18" spans="1:7" x14ac:dyDescent="0.3">
      <c r="A18" s="45">
        <v>17</v>
      </c>
      <c r="B18" s="58" t="s">
        <v>269</v>
      </c>
      <c r="C18" s="181">
        <v>1830</v>
      </c>
      <c r="D18" s="47">
        <v>1222</v>
      </c>
    </row>
    <row r="19" spans="1:7" x14ac:dyDescent="0.3">
      <c r="A19" s="45">
        <v>18</v>
      </c>
      <c r="B19" s="166" t="s">
        <v>270</v>
      </c>
      <c r="C19" s="181">
        <v>27648</v>
      </c>
      <c r="D19" s="47">
        <v>27648</v>
      </c>
    </row>
    <row r="20" spans="1:7" x14ac:dyDescent="0.3">
      <c r="A20" s="45">
        <v>19</v>
      </c>
      <c r="B20" s="166" t="s">
        <v>271</v>
      </c>
      <c r="C20" s="181">
        <v>1197</v>
      </c>
      <c r="D20" s="47">
        <v>1190</v>
      </c>
    </row>
    <row r="21" spans="1:7" x14ac:dyDescent="0.3">
      <c r="A21" s="45">
        <v>20</v>
      </c>
      <c r="B21" s="166" t="s">
        <v>23</v>
      </c>
      <c r="C21" s="181">
        <v>2144</v>
      </c>
      <c r="D21" s="47">
        <v>2185</v>
      </c>
    </row>
    <row r="22" spans="1:7" x14ac:dyDescent="0.3">
      <c r="A22" s="45">
        <v>21</v>
      </c>
      <c r="B22" s="166" t="s">
        <v>24</v>
      </c>
      <c r="C22" s="181">
        <v>1900</v>
      </c>
      <c r="D22" s="47">
        <v>2722</v>
      </c>
    </row>
    <row r="23" spans="1:7" x14ac:dyDescent="0.3">
      <c r="C23" s="50">
        <f>+SUM(C2:C22)</f>
        <v>145518</v>
      </c>
      <c r="D23" s="78">
        <f>+SUM(D2:D22)</f>
        <v>101268.01614200001</v>
      </c>
      <c r="F23" s="59"/>
      <c r="G23" s="59"/>
    </row>
    <row r="26" spans="1:7" x14ac:dyDescent="0.3">
      <c r="C26" s="50">
        <f>+SUM(C11:C22)</f>
        <v>97451</v>
      </c>
      <c r="D26" s="78">
        <f>+SUM(D11:D22)</f>
        <v>101268.01614200001</v>
      </c>
    </row>
    <row r="30" spans="1:7" x14ac:dyDescent="0.3">
      <c r="C30" s="48">
        <f>+C23*0.61</f>
        <v>88765.98</v>
      </c>
    </row>
  </sheetData>
  <phoneticPr fontId="25" type="noConversion"/>
  <pageMargins left="0.7" right="0.7" top="0.75" bottom="0.75" header="0.3" footer="0.3"/>
  <pageSetup paperSize="11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4940-C234-40E9-8244-CA022D4CEEDB}">
  <sheetPr codeName="Hoja32">
    <tabColor rgb="FF00B0F0"/>
  </sheetPr>
  <dimension ref="B3:I10"/>
  <sheetViews>
    <sheetView showGridLines="0" workbookViewId="0">
      <selection activeCell="F13" sqref="F13"/>
    </sheetView>
  </sheetViews>
  <sheetFormatPr baseColWidth="10" defaultRowHeight="15" x14ac:dyDescent="0.25"/>
  <cols>
    <col min="3" max="3" width="39.85546875" customWidth="1"/>
    <col min="4" max="4" width="20.85546875" customWidth="1"/>
    <col min="5" max="5" width="21.85546875" customWidth="1"/>
    <col min="6" max="6" width="64.85546875" customWidth="1"/>
    <col min="9" max="9" width="11.42578125" style="451"/>
  </cols>
  <sheetData>
    <row r="3" spans="2:6" ht="31.5" customHeight="1" x14ac:dyDescent="0.25">
      <c r="C3" s="496" t="s">
        <v>592</v>
      </c>
      <c r="D3" s="496" t="s">
        <v>593</v>
      </c>
      <c r="E3" s="496" t="s">
        <v>594</v>
      </c>
      <c r="F3" s="496" t="s">
        <v>595</v>
      </c>
    </row>
    <row r="4" spans="2:6" ht="34.5" customHeight="1" x14ac:dyDescent="0.25">
      <c r="B4" s="500">
        <v>46294</v>
      </c>
      <c r="C4" s="497" t="s">
        <v>596</v>
      </c>
      <c r="D4" s="498" t="s">
        <v>597</v>
      </c>
      <c r="E4" s="499" t="s">
        <v>598</v>
      </c>
      <c r="F4" s="559" t="s">
        <v>649</v>
      </c>
    </row>
    <row r="5" spans="2:6" ht="34.5" customHeight="1" x14ac:dyDescent="0.25">
      <c r="B5" s="500">
        <v>46294</v>
      </c>
      <c r="C5" s="497" t="s">
        <v>599</v>
      </c>
      <c r="D5" s="498" t="s">
        <v>600</v>
      </c>
      <c r="E5" s="499" t="s">
        <v>598</v>
      </c>
      <c r="F5" s="559" t="s">
        <v>649</v>
      </c>
    </row>
    <row r="6" spans="2:6" ht="34.5" customHeight="1" x14ac:dyDescent="0.25">
      <c r="B6" s="500">
        <v>46297</v>
      </c>
      <c r="C6" s="497" t="s">
        <v>601</v>
      </c>
      <c r="D6" s="498" t="s">
        <v>602</v>
      </c>
      <c r="E6" s="499" t="s">
        <v>603</v>
      </c>
      <c r="F6" s="559" t="s">
        <v>649</v>
      </c>
    </row>
    <row r="7" spans="2:6" ht="34.5" customHeight="1" x14ac:dyDescent="0.25">
      <c r="B7" s="500">
        <v>46296</v>
      </c>
      <c r="C7" s="497" t="s">
        <v>604</v>
      </c>
      <c r="D7" s="498" t="s">
        <v>605</v>
      </c>
      <c r="E7" s="499" t="s">
        <v>603</v>
      </c>
      <c r="F7" s="559" t="s">
        <v>649</v>
      </c>
    </row>
    <row r="8" spans="2:6" ht="34.5" customHeight="1" x14ac:dyDescent="0.25">
      <c r="B8" s="500">
        <v>46294</v>
      </c>
      <c r="C8" s="497" t="s">
        <v>606</v>
      </c>
      <c r="D8" s="498" t="s">
        <v>607</v>
      </c>
      <c r="E8" s="499" t="s">
        <v>603</v>
      </c>
      <c r="F8" s="559" t="s">
        <v>649</v>
      </c>
    </row>
    <row r="9" spans="2:6" ht="34.5" customHeight="1" x14ac:dyDescent="0.25">
      <c r="B9" s="500">
        <v>46296</v>
      </c>
      <c r="C9" s="497" t="s">
        <v>608</v>
      </c>
      <c r="D9" s="498" t="s">
        <v>609</v>
      </c>
      <c r="E9" s="499" t="s">
        <v>610</v>
      </c>
      <c r="F9" s="559" t="s">
        <v>649</v>
      </c>
    </row>
    <row r="10" spans="2:6" ht="34.5" customHeight="1" x14ac:dyDescent="0.25">
      <c r="B10" s="500">
        <v>46297</v>
      </c>
      <c r="C10" s="497" t="s">
        <v>611</v>
      </c>
      <c r="D10" s="498" t="s">
        <v>612</v>
      </c>
      <c r="E10" s="499" t="s">
        <v>610</v>
      </c>
      <c r="F10" s="559" t="s">
        <v>649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B0D8F-B030-426E-A8AB-DA9B7AA9EFA5}">
  <sheetPr codeName="Hoja23">
    <outlinePr summaryBelow="0" summaryRight="0"/>
  </sheetPr>
  <dimension ref="A1:AU53"/>
  <sheetViews>
    <sheetView showGridLines="0" zoomScale="70" zoomScaleNormal="70" workbookViewId="0">
      <selection activeCell="AN36" sqref="AN36"/>
    </sheetView>
  </sheetViews>
  <sheetFormatPr baseColWidth="10" defaultRowHeight="15" outlineLevelCol="1" x14ac:dyDescent="0.25"/>
  <cols>
    <col min="1" max="1" width="11.140625" bestFit="1" customWidth="1"/>
    <col min="2" max="2" width="13.42578125" bestFit="1" customWidth="1"/>
    <col min="3" max="4" width="13.140625" bestFit="1" customWidth="1"/>
    <col min="5" max="5" width="12.85546875" bestFit="1" customWidth="1"/>
    <col min="6" max="7" width="13.140625" bestFit="1" customWidth="1"/>
    <col min="8" max="8" width="15" bestFit="1" customWidth="1"/>
    <col min="9" max="9" width="6.85546875" bestFit="1" customWidth="1"/>
    <col min="10" max="10" width="15" bestFit="1" customWidth="1"/>
    <col min="11" max="11" width="16.140625" customWidth="1"/>
    <col min="12" max="12" width="16.85546875" customWidth="1"/>
    <col min="13" max="13" width="13.42578125" bestFit="1" customWidth="1"/>
    <col min="14" max="14" width="13.140625" bestFit="1" customWidth="1"/>
    <col min="15" max="15" width="15" bestFit="1" customWidth="1"/>
    <col min="16" max="16" width="11.140625" bestFit="1" customWidth="1" collapsed="1"/>
    <col min="17" max="35" width="11.140625" hidden="1" customWidth="1" outlineLevel="1"/>
    <col min="36" max="36" width="11.140625" customWidth="1"/>
    <col min="37" max="37" width="11.140625" customWidth="1" collapsed="1"/>
    <col min="38" max="39" width="11.140625" hidden="1" customWidth="1" outlineLevel="1"/>
    <col min="40" max="40" width="16.42578125" bestFit="1" customWidth="1"/>
    <col min="41" max="41" width="15" bestFit="1" customWidth="1"/>
    <col min="42" max="42" width="16.42578125" bestFit="1" customWidth="1"/>
    <col min="43" max="43" width="16" bestFit="1" customWidth="1"/>
  </cols>
  <sheetData>
    <row r="1" spans="1:42" s="232" customFormat="1" ht="77.25" customHeight="1" x14ac:dyDescent="0.25">
      <c r="B1" s="324">
        <v>2532.81</v>
      </c>
      <c r="C1" s="324">
        <v>3250.01</v>
      </c>
      <c r="D1" s="324">
        <v>985.32</v>
      </c>
      <c r="E1" s="324">
        <v>1062.92</v>
      </c>
      <c r="F1" s="324">
        <v>1337.25</v>
      </c>
      <c r="G1" s="324">
        <v>1581.21</v>
      </c>
      <c r="H1" s="324">
        <v>14521.41</v>
      </c>
      <c r="I1" s="325">
        <v>13555.63</v>
      </c>
      <c r="J1" s="324">
        <v>13555.63</v>
      </c>
      <c r="K1" s="325">
        <v>13696.28</v>
      </c>
      <c r="L1" s="324">
        <v>4658</v>
      </c>
      <c r="M1" s="324">
        <v>2257.42</v>
      </c>
      <c r="N1" s="324">
        <v>3540.12</v>
      </c>
      <c r="O1" s="324">
        <v>2646.28</v>
      </c>
      <c r="P1" s="324">
        <v>1970.65</v>
      </c>
      <c r="Q1" s="324">
        <v>7585.99</v>
      </c>
      <c r="R1" s="324">
        <v>1765.59</v>
      </c>
      <c r="S1" s="324">
        <v>1934.59</v>
      </c>
      <c r="T1" s="324">
        <v>1960.59</v>
      </c>
      <c r="U1" s="324">
        <v>2220.59</v>
      </c>
      <c r="V1" s="324">
        <v>2220.59</v>
      </c>
      <c r="W1" s="324">
        <v>2090.59</v>
      </c>
      <c r="X1" s="324">
        <v>2090.59</v>
      </c>
      <c r="Y1" s="324">
        <v>656</v>
      </c>
      <c r="Z1" s="324">
        <v>4676</v>
      </c>
      <c r="AA1" s="324">
        <v>4124.2700000000004</v>
      </c>
      <c r="AB1" s="324">
        <v>5020.99</v>
      </c>
      <c r="AC1" s="324">
        <v>3652.99</v>
      </c>
      <c r="AD1" s="324">
        <v>3201.98</v>
      </c>
      <c r="AE1" s="324">
        <v>6840</v>
      </c>
      <c r="AF1" s="324">
        <v>2052</v>
      </c>
      <c r="AG1" s="324">
        <v>3420</v>
      </c>
      <c r="AH1" s="324">
        <v>4212.3599999999997</v>
      </c>
      <c r="AI1" s="324">
        <v>1368</v>
      </c>
      <c r="AJ1" s="324">
        <v>7244.35</v>
      </c>
      <c r="AK1" s="324">
        <v>6977.93</v>
      </c>
      <c r="AL1" s="324">
        <v>8275.99</v>
      </c>
      <c r="AM1" s="324">
        <v>4409.2299999999996</v>
      </c>
    </row>
    <row r="2" spans="1:42" s="76" customFormat="1" x14ac:dyDescent="0.25">
      <c r="B2" s="76">
        <v>1.1000000000000001</v>
      </c>
      <c r="C2" s="76">
        <v>1.2</v>
      </c>
      <c r="D2" s="76">
        <v>1.3</v>
      </c>
      <c r="E2" s="76">
        <v>1.4</v>
      </c>
      <c r="F2" s="76">
        <v>1.5</v>
      </c>
      <c r="G2" s="76">
        <v>1.6</v>
      </c>
      <c r="H2" s="1">
        <v>2.1</v>
      </c>
      <c r="I2" s="76">
        <v>2.2000000000000002</v>
      </c>
      <c r="J2" s="76">
        <v>2.2999999999999998</v>
      </c>
      <c r="K2" s="76">
        <v>2.4</v>
      </c>
      <c r="L2" s="76">
        <v>2.5</v>
      </c>
      <c r="M2" s="1">
        <v>2.6</v>
      </c>
      <c r="N2" s="76">
        <v>2.7</v>
      </c>
      <c r="O2" s="76">
        <v>2.8</v>
      </c>
      <c r="P2" s="392">
        <v>3.1</v>
      </c>
      <c r="Q2" s="392">
        <v>3.2</v>
      </c>
      <c r="R2" s="392" t="s">
        <v>122</v>
      </c>
      <c r="S2" s="392" t="s">
        <v>124</v>
      </c>
      <c r="T2" s="392" t="s">
        <v>127</v>
      </c>
      <c r="U2" s="392" t="s">
        <v>129</v>
      </c>
      <c r="V2" s="392" t="s">
        <v>131</v>
      </c>
      <c r="W2" s="392" t="s">
        <v>133</v>
      </c>
      <c r="X2" s="392" t="s">
        <v>135</v>
      </c>
      <c r="Y2" s="392" t="s">
        <v>137</v>
      </c>
      <c r="Z2" s="392" t="s">
        <v>139</v>
      </c>
      <c r="AA2" s="392">
        <v>3.4</v>
      </c>
      <c r="AB2" s="5">
        <v>4.0999999999999996</v>
      </c>
      <c r="AC2" s="5">
        <v>4.2</v>
      </c>
      <c r="AD2" s="5">
        <v>4.3</v>
      </c>
      <c r="AE2" s="5">
        <v>4.4000000000000004</v>
      </c>
      <c r="AF2" s="5">
        <v>4.5</v>
      </c>
      <c r="AG2" s="5">
        <v>4.5999999999999996</v>
      </c>
      <c r="AH2" s="5">
        <v>4.7</v>
      </c>
      <c r="AI2" s="5">
        <v>4.8</v>
      </c>
      <c r="AJ2" s="5">
        <v>4.9000000000000004</v>
      </c>
      <c r="AK2" s="17" t="s">
        <v>523</v>
      </c>
      <c r="AL2" s="17">
        <v>4.1100000000000003</v>
      </c>
      <c r="AM2" s="17">
        <v>4.12</v>
      </c>
      <c r="AP2" s="1" t="s">
        <v>343</v>
      </c>
    </row>
    <row r="3" spans="1:42" x14ac:dyDescent="0.25">
      <c r="A3" s="242">
        <v>45901</v>
      </c>
      <c r="B3" s="231">
        <f>+SUMIFS(Tabla1[Avance_Med],Tabla1[Fecha],"&gt;="&amp;$A3,Tabla1[Fecha],"&lt;="&amp;EOMONTH($A3,0),Tabla1[Codigo_actividad],B$2)</f>
        <v>0</v>
      </c>
      <c r="C3" s="231">
        <f>+SUMIFS(Tabla1[Avance_Med],Tabla1[Fecha],"&gt;="&amp;$A3,Tabla1[Fecha],"&lt;="&amp;EOMONTH($A3,0),Tabla1[Codigo_actividad],C$2)</f>
        <v>0</v>
      </c>
      <c r="D3" s="231">
        <f>+SUMIFS(Tabla1[Avance_Med],Tabla1[Fecha],"&gt;="&amp;$A3,Tabla1[Fecha],"&lt;="&amp;EOMONTH($A3,0),Tabla1[Codigo_actividad],D$2)</f>
        <v>0</v>
      </c>
      <c r="E3" s="231">
        <f>+SUMIFS(Tabla1[Avance_Med],Tabla1[Fecha],"&gt;="&amp;$A3,Tabla1[Fecha],"&lt;="&amp;EOMONTH($A3,0),Tabla1[Codigo_actividad],E$2)</f>
        <v>0</v>
      </c>
      <c r="F3" s="231">
        <f>+SUMIFS(Tabla1[Avance_Med],Tabla1[Fecha],"&gt;="&amp;$A3,Tabla1[Fecha],"&lt;="&amp;EOMONTH($A3,0),Tabla1[Codigo_actividad],F$2)</f>
        <v>0</v>
      </c>
      <c r="G3" s="231">
        <f>+SUMIFS(Tabla1[Avance_Med],Tabla1[Fecha],"&gt;="&amp;$A3,Tabla1[Fecha],"&lt;="&amp;EOMONTH($A3,0),Tabla1[Codigo_actividad],G$2)</f>
        <v>0</v>
      </c>
      <c r="H3" s="231">
        <f>+SUMIFS(Tabla1[Avance_km],Tabla1[Fecha],"&gt;="&amp;$A3,Tabla1[Fecha],"&lt;="&amp;EOMONTH($A3,0),Tabla1[Codigo_actividad],H$2)</f>
        <v>0</v>
      </c>
      <c r="I3" s="231">
        <f>+SUMIFS(Tabla1[Avance_km],Tabla1[Fecha],"&gt;="&amp;$A3,Tabla1[Fecha],"&lt;="&amp;EOMONTH($A3,0),Tabla1[Codigo_actividad],I$2)</f>
        <v>0</v>
      </c>
      <c r="J3" s="231">
        <f>+SUMIFS(Tabla1[Avance_km],Tabla1[Fecha],"&gt;="&amp;$A3,Tabla1[Fecha],"&lt;="&amp;EOMONTH($A3,0),Tabla1[Codigo_actividad],J$2,Tabla1[Avance_km],"&gt;0")</f>
        <v>0</v>
      </c>
      <c r="K3" s="343">
        <f>+SUMIFS(Tabla1[Avance_km],Tabla1[Fecha],"&gt;="&amp;$A3,Tabla1[Fecha],"&lt;="&amp;EOMONTH($A3,0),Tabla1[Codigo_actividad],K$2)</f>
        <v>0</v>
      </c>
      <c r="L3" s="231">
        <f>+SUMIFS(Tabla1[Avance_Med],Tabla1[Fecha],"&gt;="&amp;$A3,Tabla1[Fecha],"&lt;="&amp;EOMONTH($A3,0),Tabla1[Codigo_actividad],L$2)</f>
        <v>0</v>
      </c>
      <c r="M3" s="231">
        <f>+SUMIFS(Tabla1[Avance_km],Tabla1[Fecha],"&gt;="&amp;$A3,Tabla1[Fecha],"&lt;="&amp;EOMONTH($A3,0),Tabla1[Codigo_actividad],M$2)</f>
        <v>0</v>
      </c>
      <c r="N3" s="231">
        <f>+SUMIFS(Tabla1[Avance_Med],Tabla1[Fecha],"&gt;="&amp;$A3,Tabla1[Fecha],"&lt;="&amp;EOMONTH($A3,0),Tabla1[Codigo_actividad],N$2)</f>
        <v>0</v>
      </c>
      <c r="O3" s="231">
        <f>+SUMIFS(Tabla1[Avance_Med],Tabla1[Fecha],"&gt;="&amp;$A3,Tabla1[Fecha],"&lt;="&amp;EOMONTH($A3,0),Tabla1[Codigo_actividad],O$2)</f>
        <v>0</v>
      </c>
      <c r="P3" s="231">
        <f>+SUMIFS(Tabla1[Avance_Med],Tabla1[Fecha],"&gt;="&amp;$A3,Tabla1[Fecha],"&lt;="&amp;EOMONTH($A3,0),Tabla1[Codigo_actividad],P$2)</f>
        <v>0</v>
      </c>
      <c r="Q3" s="231">
        <f>+SUMIFS(Tabla1[Avance_Med],Tabla1[Fecha],"&gt;="&amp;$A3,Tabla1[Fecha],"&lt;="&amp;EOMONTH($A3,0),Tabla1[Codigo_actividad],Q$2)</f>
        <v>0</v>
      </c>
      <c r="R3" s="231">
        <f>+SUMIFS(Tabla1[Avance_Med],Tabla1[Fecha],"&gt;="&amp;$A3,Tabla1[Fecha],"&lt;="&amp;EOMONTH($A3,0),Tabla1[Codigo_actividad],R$2)</f>
        <v>0</v>
      </c>
      <c r="S3" s="231">
        <f>+SUMIFS(Tabla1[Avance_Med],Tabla1[Fecha],"&gt;="&amp;$A3,Tabla1[Fecha],"&lt;="&amp;EOMONTH($A3,0),Tabla1[Codigo_actividad],S$2)</f>
        <v>0</v>
      </c>
      <c r="T3" s="231">
        <f>+SUMIFS(Tabla1[Avance_Med],Tabla1[Fecha],"&gt;="&amp;$A3,Tabla1[Fecha],"&lt;="&amp;EOMONTH($A3,0),Tabla1[Codigo_actividad],T$2)</f>
        <v>0</v>
      </c>
      <c r="U3" s="231">
        <f>+SUMIFS(Tabla1[Avance_Med],Tabla1[Fecha],"&gt;="&amp;$A3,Tabla1[Fecha],"&lt;="&amp;EOMONTH($A3,0),Tabla1[Codigo_actividad],U$2)</f>
        <v>0</v>
      </c>
      <c r="V3" s="231">
        <f>+SUMIFS(Tabla1[Avance_Med],Tabla1[Fecha],"&gt;="&amp;$A3,Tabla1[Fecha],"&lt;="&amp;EOMONTH($A3,0),Tabla1[Codigo_actividad],V$2)</f>
        <v>0</v>
      </c>
      <c r="W3" s="231">
        <f>+SUMIFS(Tabla1[Avance_Med],Tabla1[Fecha],"&gt;="&amp;$A3,Tabla1[Fecha],"&lt;="&amp;EOMONTH($A3,0),Tabla1[Codigo_actividad],W$2)</f>
        <v>0</v>
      </c>
      <c r="X3" s="231">
        <f>+SUMIFS(Tabla1[Avance_Med],Tabla1[Fecha],"&gt;="&amp;$A3,Tabla1[Fecha],"&lt;="&amp;EOMONTH($A3,0),Tabla1[Codigo_actividad],X$2)</f>
        <v>0</v>
      </c>
      <c r="Y3" s="231">
        <f>+SUMIFS(Tabla1[Avance_Med],Tabla1[Fecha],"&gt;="&amp;$A3,Tabla1[Fecha],"&lt;="&amp;EOMONTH($A3,0),Tabla1[Codigo_actividad],Y$2)</f>
        <v>0</v>
      </c>
      <c r="Z3" s="231">
        <f>+SUMIFS(Tabla1[Avance_Med],Tabla1[Fecha],"&gt;="&amp;$A3,Tabla1[Fecha],"&lt;="&amp;EOMONTH($A3,0),Tabla1[Codigo_actividad],Z$2)</f>
        <v>0</v>
      </c>
      <c r="AA3" s="231">
        <f>+SUMIFS(Tabla1[Avance_Med],Tabla1[Fecha],"&gt;="&amp;$A3,Tabla1[Fecha],"&lt;="&amp;EOMONTH($A3,0),Tabla1[Codigo_actividad],AA$2)</f>
        <v>0</v>
      </c>
      <c r="AB3" s="231">
        <f>+SUMIFS(Tabla1[Avance_Med],Tabla1[Fecha],"&gt;="&amp;$A3,Tabla1[Fecha],"&lt;="&amp;EOMONTH($A3,0),Tabla1[Codigo_actividad],AB$2)</f>
        <v>0</v>
      </c>
      <c r="AC3" s="231">
        <f>+SUMIFS(Tabla1[Avance_Med],Tabla1[Fecha],"&gt;="&amp;$A3,Tabla1[Fecha],"&lt;="&amp;EOMONTH($A3,0),Tabla1[Codigo_actividad],AC$2)</f>
        <v>0</v>
      </c>
      <c r="AD3" s="231">
        <f>+SUMIFS(Tabla1[Avance_Med],Tabla1[Fecha],"&gt;="&amp;$A3,Tabla1[Fecha],"&lt;="&amp;EOMONTH($A3,0),Tabla1[Codigo_actividad],AD$2)</f>
        <v>0</v>
      </c>
      <c r="AE3" s="231">
        <f>+SUMIFS(Tabla1[Avance_Med],Tabla1[Fecha],"&gt;="&amp;$A3,Tabla1[Fecha],"&lt;="&amp;EOMONTH($A3,0),Tabla1[Codigo_actividad],AE$2)</f>
        <v>0</v>
      </c>
      <c r="AF3" s="231">
        <f>+SUMIFS(Tabla1[Avance_Med],Tabla1[Fecha],"&gt;="&amp;$A3,Tabla1[Fecha],"&lt;="&amp;EOMONTH($A3,0),Tabla1[Codigo_actividad],AF$2)</f>
        <v>0</v>
      </c>
      <c r="AG3" s="231">
        <f>+SUMIFS(Tabla1[Avance_Med],Tabla1[Fecha],"&gt;="&amp;$A3,Tabla1[Fecha],"&lt;="&amp;EOMONTH($A3,0),Tabla1[Codigo_actividad],AG$2)</f>
        <v>0</v>
      </c>
      <c r="AH3" s="231">
        <f>+SUMIFS(Tabla1[Avance_Med],Tabla1[Fecha],"&gt;="&amp;$A3,Tabla1[Fecha],"&lt;="&amp;EOMONTH($A3,0),Tabla1[Codigo_actividad],AH$2)</f>
        <v>0</v>
      </c>
      <c r="AI3" s="231">
        <f>+SUMIFS(Tabla1[Avance_Med],Tabla1[Fecha],"&gt;="&amp;$A3,Tabla1[Fecha],"&lt;="&amp;EOMONTH($A3,0),Tabla1[Codigo_actividad],AI$2)</f>
        <v>0</v>
      </c>
      <c r="AJ3" s="231">
        <f>+SUMIFS(Tabla1[Avance_Med],Tabla1[Fecha],"&gt;="&amp;$A3,Tabla1[Fecha],"&lt;="&amp;EOMONTH($A3,0),Tabla1[Codigo_actividad],AJ$2)</f>
        <v>0</v>
      </c>
      <c r="AK3" s="231">
        <f>+SUMIFS(Tabla1[Avance_Med],Tabla1[Fecha],"&gt;="&amp;$A3,Tabla1[Fecha],"&lt;="&amp;EOMONTH($A3,0),Tabla1[Codigo_actividad],AK$2)</f>
        <v>0</v>
      </c>
      <c r="AL3" s="231">
        <f>+SUMIFS(Tabla1[Avance_Med],Tabla1[Fecha],"&gt;="&amp;$A3,Tabla1[Fecha],"&lt;="&amp;EOMONTH($A3,0),Tabla1[Codigo_actividad],AL$2)</f>
        <v>0</v>
      </c>
      <c r="AM3" s="231">
        <f>+SUMIFS(Tabla1[Avance_Med],Tabla1[Fecha],"&gt;="&amp;$A3,Tabla1[Fecha],"&lt;="&amp;EOMONTH($A3,0),Tabla1[Codigo_actividad],AM$2)</f>
        <v>0</v>
      </c>
      <c r="AN3" s="442">
        <f>-[1]Dashboard!D61</f>
        <v>-91574.907240000015</v>
      </c>
      <c r="AP3" s="13">
        <f t="shared" ref="AP3:AP18" si="0">+SUMPRODUCT(B3:O3,$B$1:$O$1)</f>
        <v>0</v>
      </c>
    </row>
    <row r="4" spans="1:42" x14ac:dyDescent="0.25">
      <c r="A4" s="242">
        <v>45931</v>
      </c>
      <c r="B4" s="231">
        <f>+SUMIFS(Tabla1[Avance_Med],Tabla1[Fecha],"&gt;="&amp;$A4,Tabla1[Fecha],"&lt;="&amp;EOMONTH($A4,0),Tabla1[Codigo_actividad],B$2)</f>
        <v>0</v>
      </c>
      <c r="C4" s="231">
        <f>+SUMIFS(Tabla1[Avance_Med],Tabla1[Fecha],"&gt;="&amp;$A4,Tabla1[Fecha],"&lt;="&amp;EOMONTH($A4,0),Tabla1[Codigo_actividad],C$2)</f>
        <v>0</v>
      </c>
      <c r="D4" s="231">
        <f>+SUMIFS(Tabla1[Avance_Med],Tabla1[Fecha],"&gt;="&amp;$A4,Tabla1[Fecha],"&lt;="&amp;EOMONTH($A4,0),Tabla1[Codigo_actividad],D$2)</f>
        <v>0</v>
      </c>
      <c r="E4" s="231">
        <f>+SUMIFS(Tabla1[Avance_Med],Tabla1[Fecha],"&gt;="&amp;$A4,Tabla1[Fecha],"&lt;="&amp;EOMONTH($A4,0),Tabla1[Codigo_actividad],E$2)</f>
        <v>0</v>
      </c>
      <c r="F4" s="231">
        <f>+SUMIFS(Tabla1[Avance_Med],Tabla1[Fecha],"&gt;="&amp;$A4,Tabla1[Fecha],"&lt;="&amp;EOMONTH($A4,0),Tabla1[Codigo_actividad],F$2)</f>
        <v>0</v>
      </c>
      <c r="G4" s="231">
        <f>+SUMIFS(Tabla1[Avance_Med],Tabla1[Fecha],"&gt;="&amp;$A4,Tabla1[Fecha],"&lt;="&amp;EOMONTH($A4,0),Tabla1[Codigo_actividad],G$2)</f>
        <v>0</v>
      </c>
      <c r="H4" s="231">
        <f>+SUMIFS(Tabla1[Avance_km],Tabla1[Fecha],"&gt;="&amp;$A4,Tabla1[Fecha],"&lt;="&amp;EOMONTH($A4,0),Tabla1[Codigo_actividad],H$2)</f>
        <v>0</v>
      </c>
      <c r="I4" s="231">
        <f>+SUMIFS(Tabla1[Avance_km],Tabla1[Fecha],"&gt;="&amp;$A4,Tabla1[Fecha],"&lt;="&amp;EOMONTH($A4,0),Tabla1[Codigo_actividad],I$2)</f>
        <v>0</v>
      </c>
      <c r="J4" s="231">
        <f>+SUMIFS(Tabla1[Avance_km],Tabla1[Fecha],"&gt;="&amp;$A4,Tabla1[Fecha],"&lt;="&amp;EOMONTH($A4,0),Tabla1[Codigo_actividad],J$2,Tabla1[Avance_km],"&gt;0")</f>
        <v>0</v>
      </c>
      <c r="K4" s="343">
        <f>+SUMIFS(Tabla1[Avance_km],Tabla1[Fecha],"&gt;="&amp;$A4,Tabla1[Fecha],"&lt;="&amp;EOMONTH($A4,0),Tabla1[Codigo_actividad],K$2)</f>
        <v>0</v>
      </c>
      <c r="L4" s="231">
        <f>+SUMIFS(Tabla1[Avance_Med],Tabla1[Fecha],"&gt;="&amp;$A4,Tabla1[Fecha],"&lt;="&amp;EOMONTH($A4,0),Tabla1[Codigo_actividad],L$2)</f>
        <v>0</v>
      </c>
      <c r="M4" s="231">
        <f>+SUMIFS(Tabla1[Avance_km],Tabla1[Fecha],"&gt;="&amp;$A4,Tabla1[Fecha],"&lt;="&amp;EOMONTH($A4,0),Tabla1[Codigo_actividad],M$2)</f>
        <v>0</v>
      </c>
      <c r="N4" s="231">
        <f>+SUMIFS(Tabla1[Avance_Med],Tabla1[Fecha],"&gt;="&amp;$A4,Tabla1[Fecha],"&lt;="&amp;EOMONTH($A4,0),Tabla1[Codigo_actividad],N$2)</f>
        <v>0</v>
      </c>
      <c r="O4" s="231">
        <f>+SUMIFS(Tabla1[Avance_Med],Tabla1[Fecha],"&gt;="&amp;$A4,Tabla1[Fecha],"&lt;="&amp;EOMONTH($A4,0),Tabla1[Codigo_actividad],O$2)</f>
        <v>0</v>
      </c>
      <c r="P4" s="231">
        <f>+SUMIFS(Tabla1[Avance_Med],Tabla1[Fecha],"&gt;="&amp;$A4,Tabla1[Fecha],"&lt;="&amp;EOMONTH($A4,0),Tabla1[Codigo_actividad],P$2)</f>
        <v>0</v>
      </c>
      <c r="Q4" s="231">
        <f>+SUMIFS(Tabla1[Avance_Med],Tabla1[Fecha],"&gt;="&amp;$A4,Tabla1[Fecha],"&lt;="&amp;EOMONTH($A4,0),Tabla1[Codigo_actividad],Q$2)</f>
        <v>0</v>
      </c>
      <c r="R4" s="231">
        <f>+SUMIFS(Tabla1[Avance_Med],Tabla1[Fecha],"&gt;="&amp;$A4,Tabla1[Fecha],"&lt;="&amp;EOMONTH($A4,0),Tabla1[Codigo_actividad],R$2)</f>
        <v>0</v>
      </c>
      <c r="S4" s="231">
        <f>+SUMIFS(Tabla1[Avance_Med],Tabla1[Fecha],"&gt;="&amp;$A4,Tabla1[Fecha],"&lt;="&amp;EOMONTH($A4,0),Tabla1[Codigo_actividad],S$2)</f>
        <v>0</v>
      </c>
      <c r="T4" s="231">
        <f>+SUMIFS(Tabla1[Avance_Med],Tabla1[Fecha],"&gt;="&amp;$A4,Tabla1[Fecha],"&lt;="&amp;EOMONTH($A4,0),Tabla1[Codigo_actividad],T$2)</f>
        <v>0</v>
      </c>
      <c r="U4" s="231">
        <f>+SUMIFS(Tabla1[Avance_Med],Tabla1[Fecha],"&gt;="&amp;$A4,Tabla1[Fecha],"&lt;="&amp;EOMONTH($A4,0),Tabla1[Codigo_actividad],U$2)</f>
        <v>0</v>
      </c>
      <c r="V4" s="231">
        <f>+SUMIFS(Tabla1[Avance_Med],Tabla1[Fecha],"&gt;="&amp;$A4,Tabla1[Fecha],"&lt;="&amp;EOMONTH($A4,0),Tabla1[Codigo_actividad],V$2)</f>
        <v>0</v>
      </c>
      <c r="W4" s="231">
        <f>+SUMIFS(Tabla1[Avance_Med],Tabla1[Fecha],"&gt;="&amp;$A4,Tabla1[Fecha],"&lt;="&amp;EOMONTH($A4,0),Tabla1[Codigo_actividad],W$2)</f>
        <v>0</v>
      </c>
      <c r="X4" s="231">
        <f>+SUMIFS(Tabla1[Avance_Med],Tabla1[Fecha],"&gt;="&amp;$A4,Tabla1[Fecha],"&lt;="&amp;EOMONTH($A4,0),Tabla1[Codigo_actividad],X$2)</f>
        <v>0</v>
      </c>
      <c r="Y4" s="231">
        <f>+SUMIFS(Tabla1[Avance_Med],Tabla1[Fecha],"&gt;="&amp;$A4,Tabla1[Fecha],"&lt;="&amp;EOMONTH($A4,0),Tabla1[Codigo_actividad],Y$2)</f>
        <v>0</v>
      </c>
      <c r="Z4" s="231">
        <f>+SUMIFS(Tabla1[Avance_Med],Tabla1[Fecha],"&gt;="&amp;$A4,Tabla1[Fecha],"&lt;="&amp;EOMONTH($A4,0),Tabla1[Codigo_actividad],Z$2)</f>
        <v>0</v>
      </c>
      <c r="AA4" s="231">
        <f>+SUMIFS(Tabla1[Avance_Med],Tabla1[Fecha],"&gt;="&amp;$A4,Tabla1[Fecha],"&lt;="&amp;EOMONTH($A4,0),Tabla1[Codigo_actividad],AA$2)</f>
        <v>0</v>
      </c>
      <c r="AB4" s="231">
        <f>+SUMIFS(Tabla1[Avance_Med],Tabla1[Fecha],"&gt;="&amp;$A4,Tabla1[Fecha],"&lt;="&amp;EOMONTH($A4,0),Tabla1[Codigo_actividad],AB$2)</f>
        <v>0</v>
      </c>
      <c r="AC4" s="231">
        <f>+SUMIFS(Tabla1[Avance_Med],Tabla1[Fecha],"&gt;="&amp;$A4,Tabla1[Fecha],"&lt;="&amp;EOMONTH($A4,0),Tabla1[Codigo_actividad],AC$2)</f>
        <v>0</v>
      </c>
      <c r="AD4" s="231">
        <f>+SUMIFS(Tabla1[Avance_Med],Tabla1[Fecha],"&gt;="&amp;$A4,Tabla1[Fecha],"&lt;="&amp;EOMONTH($A4,0),Tabla1[Codigo_actividad],AD$2)</f>
        <v>0</v>
      </c>
      <c r="AE4" s="231">
        <f>+SUMIFS(Tabla1[Avance_Med],Tabla1[Fecha],"&gt;="&amp;$A4,Tabla1[Fecha],"&lt;="&amp;EOMONTH($A4,0),Tabla1[Codigo_actividad],AE$2)</f>
        <v>0</v>
      </c>
      <c r="AF4" s="231">
        <f>+SUMIFS(Tabla1[Avance_Med],Tabla1[Fecha],"&gt;="&amp;$A4,Tabla1[Fecha],"&lt;="&amp;EOMONTH($A4,0),Tabla1[Codigo_actividad],AF$2)</f>
        <v>0</v>
      </c>
      <c r="AG4" s="231">
        <f>+SUMIFS(Tabla1[Avance_Med],Tabla1[Fecha],"&gt;="&amp;$A4,Tabla1[Fecha],"&lt;="&amp;EOMONTH($A4,0),Tabla1[Codigo_actividad],AG$2)</f>
        <v>0</v>
      </c>
      <c r="AH4" s="231">
        <f>+SUMIFS(Tabla1[Avance_Med],Tabla1[Fecha],"&gt;="&amp;$A4,Tabla1[Fecha],"&lt;="&amp;EOMONTH($A4,0),Tabla1[Codigo_actividad],AH$2)</f>
        <v>0</v>
      </c>
      <c r="AI4" s="231">
        <f>+SUMIFS(Tabla1[Avance_Med],Tabla1[Fecha],"&gt;="&amp;$A4,Tabla1[Fecha],"&lt;="&amp;EOMONTH($A4,0),Tabla1[Codigo_actividad],AI$2)</f>
        <v>0</v>
      </c>
      <c r="AJ4" s="231">
        <f>+SUMIFS(Tabla1[Avance_Med],Tabla1[Fecha],"&gt;="&amp;$A4,Tabla1[Fecha],"&lt;="&amp;EOMONTH($A4,0),Tabla1[Codigo_actividad],AJ$2)</f>
        <v>0</v>
      </c>
      <c r="AK4" s="231">
        <f>+SUMIFS(Tabla1[Avance_Med],Tabla1[Fecha],"&gt;="&amp;$A4,Tabla1[Fecha],"&lt;="&amp;EOMONTH($A4,0),Tabla1[Codigo_actividad],AK$2)</f>
        <v>0</v>
      </c>
      <c r="AL4" s="231">
        <f>+SUMIFS(Tabla1[Avance_Med],Tabla1[Fecha],"&gt;="&amp;$A4,Tabla1[Fecha],"&lt;="&amp;EOMONTH($A4,0),Tabla1[Codigo_actividad],AL$2)</f>
        <v>0</v>
      </c>
      <c r="AM4" s="231">
        <f>+SUMIFS(Tabla1[Avance_Med],Tabla1[Fecha],"&gt;="&amp;$A4,Tabla1[Fecha],"&lt;="&amp;EOMONTH($A4,0),Tabla1[Codigo_actividad],AM$2)</f>
        <v>0</v>
      </c>
      <c r="AN4" s="442">
        <f>-[1]Dashboard!D62</f>
        <v>-131427.58128000001</v>
      </c>
      <c r="AP4" s="13">
        <f t="shared" si="0"/>
        <v>0</v>
      </c>
    </row>
    <row r="5" spans="1:42" x14ac:dyDescent="0.25">
      <c r="A5" s="242">
        <v>45962</v>
      </c>
      <c r="B5" s="231">
        <f>+SUMIFS(Tabla1[Avance_Med],Tabla1[Fecha],"&gt;="&amp;$A5,Tabla1[Fecha],"&lt;="&amp;EOMONTH($A5,0),Tabla1[Codigo_actividad],B$2)</f>
        <v>0</v>
      </c>
      <c r="C5" s="231">
        <f>+SUMIFS(Tabla1[Avance_Med],Tabla1[Fecha],"&gt;="&amp;$A5,Tabla1[Fecha],"&lt;="&amp;EOMONTH($A5,0),Tabla1[Codigo_actividad],C$2)</f>
        <v>0</v>
      </c>
      <c r="D5" s="231">
        <f>+SUMIFS(Tabla1[Avance_Med],Tabla1[Fecha],"&gt;="&amp;$A5,Tabla1[Fecha],"&lt;="&amp;EOMONTH($A5,0),Tabla1[Codigo_actividad],D$2)</f>
        <v>0</v>
      </c>
      <c r="E5" s="231">
        <f>+SUMIFS(Tabla1[Avance_Med],Tabla1[Fecha],"&gt;="&amp;$A5,Tabla1[Fecha],"&lt;="&amp;EOMONTH($A5,0),Tabla1[Codigo_actividad],E$2)</f>
        <v>0</v>
      </c>
      <c r="F5" s="231">
        <f>+SUMIFS(Tabla1[Avance_Med],Tabla1[Fecha],"&gt;="&amp;$A5,Tabla1[Fecha],"&lt;="&amp;EOMONTH($A5,0),Tabla1[Codigo_actividad],F$2)</f>
        <v>0</v>
      </c>
      <c r="G5" s="231">
        <f>+SUMIFS(Tabla1[Avance_Med],Tabla1[Fecha],"&gt;="&amp;$A5,Tabla1[Fecha],"&lt;="&amp;EOMONTH($A5,0),Tabla1[Codigo_actividad],G$2)</f>
        <v>0</v>
      </c>
      <c r="H5" s="231">
        <f>+SUMIFS(Tabla1[Avance_km],Tabla1[Fecha],"&gt;="&amp;$A5,Tabla1[Fecha],"&lt;="&amp;EOMONTH($A5,0),Tabla1[Codigo_actividad],H$2)</f>
        <v>31.548999999999999</v>
      </c>
      <c r="I5" s="231">
        <f>+SUMIFS(Tabla1[Avance_km],Tabla1[Fecha],"&gt;="&amp;$A5,Tabla1[Fecha],"&lt;="&amp;EOMONTH($A5,0),Tabla1[Codigo_actividad],I$2)</f>
        <v>0</v>
      </c>
      <c r="J5" s="231">
        <f>+SUMIFS(Tabla1[Avance_km],Tabla1[Fecha],"&gt;="&amp;$A5,Tabla1[Fecha],"&lt;="&amp;EOMONTH($A5,0),Tabla1[Codigo_actividad],J$2,Tabla1[Avance_km],"&gt;0")</f>
        <v>53.048999999999999</v>
      </c>
      <c r="K5" s="343">
        <f>+SUMIFS(Tabla1[Avance_km],Tabla1[Fecha],"&gt;="&amp;$A5,Tabla1[Fecha],"&lt;="&amp;EOMONTH($A5,0),Tabla1[Codigo_actividad],K$2)</f>
        <v>0</v>
      </c>
      <c r="L5" s="231">
        <f>+SUMIFS(Tabla1[Avance_Med],Tabla1[Fecha],"&gt;="&amp;$A5,Tabla1[Fecha],"&lt;="&amp;EOMONTH($A5,0),Tabla1[Codigo_actividad],L$2)</f>
        <v>98</v>
      </c>
      <c r="M5" s="231">
        <f>+SUMIFS(Tabla1[Avance_km],Tabla1[Fecha],"&gt;="&amp;$A5,Tabla1[Fecha],"&lt;="&amp;EOMONTH($A5,0),Tabla1[Codigo_actividad],M$2)</f>
        <v>72.02200000000002</v>
      </c>
      <c r="N5" s="231">
        <f>+SUMIFS(Tabla1[Avance_Med],Tabla1[Fecha],"&gt;="&amp;$A5,Tabla1[Fecha],"&lt;="&amp;EOMONTH($A5,0),Tabla1[Codigo_actividad],N$2)</f>
        <v>0</v>
      </c>
      <c r="O5" s="231">
        <f>+SUMIFS(Tabla1[Avance_Med],Tabla1[Fecha],"&gt;="&amp;$A5,Tabla1[Fecha],"&lt;="&amp;EOMONTH($A5,0),Tabla1[Codigo_actividad],O$2)</f>
        <v>0</v>
      </c>
      <c r="P5" s="231">
        <f>+SUMIFS(Tabla1[Avance_Med],Tabla1[Fecha],"&gt;="&amp;$A5,Tabla1[Fecha],"&lt;="&amp;EOMONTH($A5,0),Tabla1[Codigo_actividad],P$2)</f>
        <v>0</v>
      </c>
      <c r="Q5" s="231">
        <f>+SUMIFS(Tabla1[Avance_Med],Tabla1[Fecha],"&gt;="&amp;$A5,Tabla1[Fecha],"&lt;="&amp;EOMONTH($A5,0),Tabla1[Codigo_actividad],Q$2)</f>
        <v>0</v>
      </c>
      <c r="R5" s="231">
        <f>+SUMIFS(Tabla1[Avance_Med],Tabla1[Fecha],"&gt;="&amp;$A5,Tabla1[Fecha],"&lt;="&amp;EOMONTH($A5,0),Tabla1[Codigo_actividad],R$2)</f>
        <v>0</v>
      </c>
      <c r="S5" s="231">
        <f>+SUMIFS(Tabla1[Avance_Med],Tabla1[Fecha],"&gt;="&amp;$A5,Tabla1[Fecha],"&lt;="&amp;EOMONTH($A5,0),Tabla1[Codigo_actividad],S$2)</f>
        <v>0</v>
      </c>
      <c r="T5" s="231">
        <f>+SUMIFS(Tabla1[Avance_Med],Tabla1[Fecha],"&gt;="&amp;$A5,Tabla1[Fecha],"&lt;="&amp;EOMONTH($A5,0),Tabla1[Codigo_actividad],T$2)</f>
        <v>0</v>
      </c>
      <c r="U5" s="231">
        <f>+SUMIFS(Tabla1[Avance_Med],Tabla1[Fecha],"&gt;="&amp;$A5,Tabla1[Fecha],"&lt;="&amp;EOMONTH($A5,0),Tabla1[Codigo_actividad],U$2)</f>
        <v>0</v>
      </c>
      <c r="V5" s="231">
        <f>+SUMIFS(Tabla1[Avance_Med],Tabla1[Fecha],"&gt;="&amp;$A5,Tabla1[Fecha],"&lt;="&amp;EOMONTH($A5,0),Tabla1[Codigo_actividad],V$2)</f>
        <v>0</v>
      </c>
      <c r="W5" s="231">
        <f>+SUMIFS(Tabla1[Avance_Med],Tabla1[Fecha],"&gt;="&amp;$A5,Tabla1[Fecha],"&lt;="&amp;EOMONTH($A5,0),Tabla1[Codigo_actividad],W$2)</f>
        <v>0</v>
      </c>
      <c r="X5" s="231">
        <f>+SUMIFS(Tabla1[Avance_Med],Tabla1[Fecha],"&gt;="&amp;$A5,Tabla1[Fecha],"&lt;="&amp;EOMONTH($A5,0),Tabla1[Codigo_actividad],X$2)</f>
        <v>0</v>
      </c>
      <c r="Y5" s="231">
        <f>+SUMIFS(Tabla1[Avance_Med],Tabla1[Fecha],"&gt;="&amp;$A5,Tabla1[Fecha],"&lt;="&amp;EOMONTH($A5,0),Tabla1[Codigo_actividad],Y$2)</f>
        <v>0</v>
      </c>
      <c r="Z5" s="231">
        <f>+SUMIFS(Tabla1[Avance_Med],Tabla1[Fecha],"&gt;="&amp;$A5,Tabla1[Fecha],"&lt;="&amp;EOMONTH($A5,0),Tabla1[Codigo_actividad],Z$2)</f>
        <v>0</v>
      </c>
      <c r="AA5" s="231">
        <f>+SUMIFS(Tabla1[Avance_Med],Tabla1[Fecha],"&gt;="&amp;$A5,Tabla1[Fecha],"&lt;="&amp;EOMONTH($A5,0),Tabla1[Codigo_actividad],AA$2)</f>
        <v>0</v>
      </c>
      <c r="AB5" s="231">
        <f>+SUMIFS(Tabla1[Avance_Med],Tabla1[Fecha],"&gt;="&amp;$A5,Tabla1[Fecha],"&lt;="&amp;EOMONTH($A5,0),Tabla1[Codigo_actividad],AB$2)</f>
        <v>0</v>
      </c>
      <c r="AC5" s="231">
        <f>+SUMIFS(Tabla1[Avance_Med],Tabla1[Fecha],"&gt;="&amp;$A5,Tabla1[Fecha],"&lt;="&amp;EOMONTH($A5,0),Tabla1[Codigo_actividad],AC$2)</f>
        <v>0</v>
      </c>
      <c r="AD5" s="231">
        <f>+SUMIFS(Tabla1[Avance_Med],Tabla1[Fecha],"&gt;="&amp;$A5,Tabla1[Fecha],"&lt;="&amp;EOMONTH($A5,0),Tabla1[Codigo_actividad],AD$2)</f>
        <v>0</v>
      </c>
      <c r="AE5" s="231">
        <f>+SUMIFS(Tabla1[Avance_Med],Tabla1[Fecha],"&gt;="&amp;$A5,Tabla1[Fecha],"&lt;="&amp;EOMONTH($A5,0),Tabla1[Codigo_actividad],AE$2)</f>
        <v>0</v>
      </c>
      <c r="AF5" s="231">
        <f>+SUMIFS(Tabla1[Avance_Med],Tabla1[Fecha],"&gt;="&amp;$A5,Tabla1[Fecha],"&lt;="&amp;EOMONTH($A5,0),Tabla1[Codigo_actividad],AF$2)</f>
        <v>0</v>
      </c>
      <c r="AG5" s="231">
        <f>+SUMIFS(Tabla1[Avance_Med],Tabla1[Fecha],"&gt;="&amp;$A5,Tabla1[Fecha],"&lt;="&amp;EOMONTH($A5,0),Tabla1[Codigo_actividad],AG$2)</f>
        <v>0</v>
      </c>
      <c r="AH5" s="231">
        <f>+SUMIFS(Tabla1[Avance_Med],Tabla1[Fecha],"&gt;="&amp;$A5,Tabla1[Fecha],"&lt;="&amp;EOMONTH($A5,0),Tabla1[Codigo_actividad],AH$2)</f>
        <v>0</v>
      </c>
      <c r="AI5" s="231">
        <f>+SUMIFS(Tabla1[Avance_Med],Tabla1[Fecha],"&gt;="&amp;$A5,Tabla1[Fecha],"&lt;="&amp;EOMONTH($A5,0),Tabla1[Codigo_actividad],AI$2)</f>
        <v>0</v>
      </c>
      <c r="AJ5" s="231">
        <f>+SUMIFS(Tabla1[Avance_Med],Tabla1[Fecha],"&gt;="&amp;$A5,Tabla1[Fecha],"&lt;="&amp;EOMONTH($A5,0),Tabla1[Codigo_actividad],AJ$2)</f>
        <v>0</v>
      </c>
      <c r="AK5" s="231">
        <f>+SUMIFS(Tabla1[Avance_Med],Tabla1[Fecha],"&gt;="&amp;$A5,Tabla1[Fecha],"&lt;="&amp;EOMONTH($A5,0),Tabla1[Codigo_actividad],AK$2)</f>
        <v>0</v>
      </c>
      <c r="AL5" s="231">
        <f>+SUMIFS(Tabla1[Avance_Med],Tabla1[Fecha],"&gt;="&amp;$A5,Tabla1[Fecha],"&lt;="&amp;EOMONTH($A5,0),Tabla1[Codigo_actividad],AL$2)</f>
        <v>0</v>
      </c>
      <c r="AM5" s="231">
        <f>+SUMIFS(Tabla1[Avance_Med],Tabla1[Fecha],"&gt;="&amp;$A5,Tabla1[Fecha],"&lt;="&amp;EOMONTH($A5,0),Tabla1[Codigo_actividad],AM$2)</f>
        <v>0</v>
      </c>
      <c r="AN5" s="442">
        <f>-[1]Dashboard!D63</f>
        <v>-162389.24028</v>
      </c>
      <c r="AP5" s="13">
        <f t="shared" si="0"/>
        <v>1796316.4832000001</v>
      </c>
    </row>
    <row r="6" spans="1:42" x14ac:dyDescent="0.25">
      <c r="A6" s="242">
        <v>45992</v>
      </c>
      <c r="B6" s="231">
        <f>+SUMIFS(Tabla1[Avance_Med],Tabla1[Fecha],"&gt;="&amp;$A6,Tabla1[Fecha],"&lt;="&amp;EOMONTH($A6,0),Tabla1[Codigo_actividad],B$2)</f>
        <v>0</v>
      </c>
      <c r="C6" s="231">
        <f>+SUMIFS(Tabla1[Avance_Med],Tabla1[Fecha],"&gt;="&amp;$A6,Tabla1[Fecha],"&lt;="&amp;EOMONTH($A6,0),Tabla1[Codigo_actividad],C$2)</f>
        <v>0</v>
      </c>
      <c r="D6" s="231">
        <f>+SUMIFS(Tabla1[Avance_Med],Tabla1[Fecha],"&gt;="&amp;$A6,Tabla1[Fecha],"&lt;="&amp;EOMONTH($A6,0),Tabla1[Codigo_actividad],D$2)</f>
        <v>0</v>
      </c>
      <c r="E6" s="231">
        <f>+SUMIFS(Tabla1[Avance_Med],Tabla1[Fecha],"&gt;="&amp;$A6,Tabla1[Fecha],"&lt;="&amp;EOMONTH($A6,0),Tabla1[Codigo_actividad],E$2)</f>
        <v>0</v>
      </c>
      <c r="F6" s="231">
        <f>+SUMIFS(Tabla1[Avance_Med],Tabla1[Fecha],"&gt;="&amp;$A6,Tabla1[Fecha],"&lt;="&amp;EOMONTH($A6,0),Tabla1[Codigo_actividad],F$2)</f>
        <v>0</v>
      </c>
      <c r="G6" s="231">
        <f>+SUMIFS(Tabla1[Avance_Med],Tabla1[Fecha],"&gt;="&amp;$A6,Tabla1[Fecha],"&lt;="&amp;EOMONTH($A6,0),Tabla1[Codigo_actividad],G$2)</f>
        <v>0</v>
      </c>
      <c r="H6" s="231">
        <f>+SUMIFS(Tabla1[Avance_km],Tabla1[Fecha],"&gt;="&amp;$A6,Tabla1[Fecha],"&lt;="&amp;EOMONTH($A6,0),Tabla1[Codigo_actividad],H$2)</f>
        <v>31.517000000000003</v>
      </c>
      <c r="I6" s="231">
        <f>+SUMIFS(Tabla1[Avance_km],Tabla1[Fecha],"&gt;="&amp;$A6,Tabla1[Fecha],"&lt;="&amp;EOMONTH($A6,0),Tabla1[Codigo_actividad],I$2)</f>
        <v>0</v>
      </c>
      <c r="J6" s="231">
        <f>+SUMIFS(Tabla1[Avance_km],Tabla1[Fecha],"&gt;="&amp;$A6,Tabla1[Fecha],"&lt;="&amp;EOMONTH($A6,0),Tabla1[Codigo_actividad],J$2,Tabla1[Avance_km],"&gt;0")</f>
        <v>31.543999999999993</v>
      </c>
      <c r="K6" s="343">
        <f>+SUMIFS(Tabla1[Avance_km],Tabla1[Fecha],"&gt;="&amp;$A6,Tabla1[Fecha],"&lt;="&amp;EOMONTH($A6,0),Tabla1[Codigo_actividad],K$2)</f>
        <v>0</v>
      </c>
      <c r="L6" s="231">
        <f>+SUMIFS(Tabla1[Avance_Med],Tabla1[Fecha],"&gt;="&amp;$A6,Tabla1[Fecha],"&lt;="&amp;EOMONTH($A6,0),Tabla1[Codigo_actividad],L$2)</f>
        <v>130</v>
      </c>
      <c r="M6" s="231">
        <f>+SUMIFS(Tabla1[Avance_km],Tabla1[Fecha],"&gt;="&amp;$A6,Tabla1[Fecha],"&lt;="&amp;EOMONTH($A6,0),Tabla1[Codigo_actividad],M$2)</f>
        <v>21.183</v>
      </c>
      <c r="N6" s="231">
        <f>+SUMIFS(Tabla1[Avance_Med],Tabla1[Fecha],"&gt;="&amp;$A6,Tabla1[Fecha],"&lt;="&amp;EOMONTH($A6,0),Tabla1[Codigo_actividad],N$2)</f>
        <v>0</v>
      </c>
      <c r="O6" s="231">
        <f>+SUMIFS(Tabla1[Avance_Med],Tabla1[Fecha],"&gt;="&amp;$A6,Tabla1[Fecha],"&lt;="&amp;EOMONTH($A6,0),Tabla1[Codigo_actividad],O$2)</f>
        <v>0</v>
      </c>
      <c r="P6" s="231">
        <f>+SUMIFS(Tabla1[Avance_Med],Tabla1[Fecha],"&gt;="&amp;$A6,Tabla1[Fecha],"&lt;="&amp;EOMONTH($A6,0),Tabla1[Codigo_actividad],P$2)</f>
        <v>0</v>
      </c>
      <c r="Q6" s="231">
        <f>+SUMIFS(Tabla1[Avance_Med],Tabla1[Fecha],"&gt;="&amp;$A6,Tabla1[Fecha],"&lt;="&amp;EOMONTH($A6,0),Tabla1[Codigo_actividad],Q$2)</f>
        <v>0</v>
      </c>
      <c r="R6" s="231">
        <f>+SUMIFS(Tabla1[Avance_Med],Tabla1[Fecha],"&gt;="&amp;$A6,Tabla1[Fecha],"&lt;="&amp;EOMONTH($A6,0),Tabla1[Codigo_actividad],R$2)</f>
        <v>0</v>
      </c>
      <c r="S6" s="231">
        <f>+SUMIFS(Tabla1[Avance_Med],Tabla1[Fecha],"&gt;="&amp;$A6,Tabla1[Fecha],"&lt;="&amp;EOMONTH($A6,0),Tabla1[Codigo_actividad],S$2)</f>
        <v>0</v>
      </c>
      <c r="T6" s="231">
        <f>+SUMIFS(Tabla1[Avance_Med],Tabla1[Fecha],"&gt;="&amp;$A6,Tabla1[Fecha],"&lt;="&amp;EOMONTH($A6,0),Tabla1[Codigo_actividad],T$2)</f>
        <v>0</v>
      </c>
      <c r="U6" s="231">
        <f>+SUMIFS(Tabla1[Avance_Med],Tabla1[Fecha],"&gt;="&amp;$A6,Tabla1[Fecha],"&lt;="&amp;EOMONTH($A6,0),Tabla1[Codigo_actividad],U$2)</f>
        <v>0</v>
      </c>
      <c r="V6" s="231">
        <f>+SUMIFS(Tabla1[Avance_Med],Tabla1[Fecha],"&gt;="&amp;$A6,Tabla1[Fecha],"&lt;="&amp;EOMONTH($A6,0),Tabla1[Codigo_actividad],V$2)</f>
        <v>0</v>
      </c>
      <c r="W6" s="231">
        <f>+SUMIFS(Tabla1[Avance_Med],Tabla1[Fecha],"&gt;="&amp;$A6,Tabla1[Fecha],"&lt;="&amp;EOMONTH($A6,0),Tabla1[Codigo_actividad],W$2)</f>
        <v>0</v>
      </c>
      <c r="X6" s="231">
        <f>+SUMIFS(Tabla1[Avance_Med],Tabla1[Fecha],"&gt;="&amp;$A6,Tabla1[Fecha],"&lt;="&amp;EOMONTH($A6,0),Tabla1[Codigo_actividad],X$2)</f>
        <v>0</v>
      </c>
      <c r="Y6" s="231">
        <f>+SUMIFS(Tabla1[Avance_Med],Tabla1[Fecha],"&gt;="&amp;$A6,Tabla1[Fecha],"&lt;="&amp;EOMONTH($A6,0),Tabla1[Codigo_actividad],Y$2)</f>
        <v>0</v>
      </c>
      <c r="Z6" s="231">
        <f>+SUMIFS(Tabla1[Avance_Med],Tabla1[Fecha],"&gt;="&amp;$A6,Tabla1[Fecha],"&lt;="&amp;EOMONTH($A6,0),Tabla1[Codigo_actividad],Z$2)</f>
        <v>0</v>
      </c>
      <c r="AA6" s="231">
        <f>+SUMIFS(Tabla1[Avance_Med],Tabla1[Fecha],"&gt;="&amp;$A6,Tabla1[Fecha],"&lt;="&amp;EOMONTH($A6,0),Tabla1[Codigo_actividad],AA$2)</f>
        <v>0</v>
      </c>
      <c r="AB6" s="231">
        <f>+SUMIFS(Tabla1[Avance_Med],Tabla1[Fecha],"&gt;="&amp;$A6,Tabla1[Fecha],"&lt;="&amp;EOMONTH($A6,0),Tabla1[Codigo_actividad],AB$2)</f>
        <v>0</v>
      </c>
      <c r="AC6" s="231">
        <f>+SUMIFS(Tabla1[Avance_Med],Tabla1[Fecha],"&gt;="&amp;$A6,Tabla1[Fecha],"&lt;="&amp;EOMONTH($A6,0),Tabla1[Codigo_actividad],AC$2)</f>
        <v>0</v>
      </c>
      <c r="AD6" s="231">
        <f>+SUMIFS(Tabla1[Avance_Med],Tabla1[Fecha],"&gt;="&amp;$A6,Tabla1[Fecha],"&lt;="&amp;EOMONTH($A6,0),Tabla1[Codigo_actividad],AD$2)</f>
        <v>0</v>
      </c>
      <c r="AE6" s="231">
        <f>+SUMIFS(Tabla1[Avance_Med],Tabla1[Fecha],"&gt;="&amp;$A6,Tabla1[Fecha],"&lt;="&amp;EOMONTH($A6,0),Tabla1[Codigo_actividad],AE$2)</f>
        <v>0</v>
      </c>
      <c r="AF6" s="231">
        <f>+SUMIFS(Tabla1[Avance_Med],Tabla1[Fecha],"&gt;="&amp;$A6,Tabla1[Fecha],"&lt;="&amp;EOMONTH($A6,0),Tabla1[Codigo_actividad],AF$2)</f>
        <v>0</v>
      </c>
      <c r="AG6" s="231">
        <f>+SUMIFS(Tabla1[Avance_Med],Tabla1[Fecha],"&gt;="&amp;$A6,Tabla1[Fecha],"&lt;="&amp;EOMONTH($A6,0),Tabla1[Codigo_actividad],AG$2)</f>
        <v>0</v>
      </c>
      <c r="AH6" s="231">
        <f>+SUMIFS(Tabla1[Avance_Med],Tabla1[Fecha],"&gt;="&amp;$A6,Tabla1[Fecha],"&lt;="&amp;EOMONTH($A6,0),Tabla1[Codigo_actividad],AH$2)</f>
        <v>0</v>
      </c>
      <c r="AI6" s="231">
        <f>+SUMIFS(Tabla1[Avance_Med],Tabla1[Fecha],"&gt;="&amp;$A6,Tabla1[Fecha],"&lt;="&amp;EOMONTH($A6,0),Tabla1[Codigo_actividad],AI$2)</f>
        <v>0</v>
      </c>
      <c r="AJ6" s="231">
        <f>+SUMIFS(Tabla1[Avance_Med],Tabla1[Fecha],"&gt;="&amp;$A6,Tabla1[Fecha],"&lt;="&amp;EOMONTH($A6,0),Tabla1[Codigo_actividad],AJ$2)</f>
        <v>0</v>
      </c>
      <c r="AK6" s="231">
        <f>+SUMIFS(Tabla1[Avance_Med],Tabla1[Fecha],"&gt;="&amp;$A6,Tabla1[Fecha],"&lt;="&amp;EOMONTH($A6,0),Tabla1[Codigo_actividad],AK$2)</f>
        <v>0</v>
      </c>
      <c r="AL6" s="231">
        <f>+SUMIFS(Tabla1[Avance_Med],Tabla1[Fecha],"&gt;="&amp;$A6,Tabla1[Fecha],"&lt;="&amp;EOMONTH($A6,0),Tabla1[Codigo_actividad],AL$2)</f>
        <v>0</v>
      </c>
      <c r="AM6" s="231">
        <f>+SUMIFS(Tabla1[Avance_Med],Tabla1[Fecha],"&gt;="&amp;$A6,Tabla1[Fecha],"&lt;="&amp;EOMONTH($A6,0),Tabla1[Codigo_actividad],AM$2)</f>
        <v>0</v>
      </c>
      <c r="AN6" s="442">
        <f>-[1]Dashboard!D64</f>
        <v>-2103203.6595120002</v>
      </c>
      <c r="AP6" s="13">
        <f t="shared" si="0"/>
        <v>1538628.9995499998</v>
      </c>
    </row>
    <row r="7" spans="1:42" x14ac:dyDescent="0.25">
      <c r="A7" s="242">
        <v>46023</v>
      </c>
      <c r="B7" s="231">
        <f>+SUMIFS(Tabla1[Avance_Med],Tabla1[Fecha],"&gt;="&amp;$A7,Tabla1[Fecha],"&lt;="&amp;EOMONTH($A7,0),Tabla1[Codigo_actividad],B$2)</f>
        <v>0</v>
      </c>
      <c r="C7" s="231">
        <f>+SUMIFS(Tabla1[Avance_Med],Tabla1[Fecha],"&gt;="&amp;$A7,Tabla1[Fecha],"&lt;="&amp;EOMONTH($A7,0),Tabla1[Codigo_actividad],C$2)</f>
        <v>0</v>
      </c>
      <c r="D7" s="231">
        <f>+SUMIFS(Tabla1[Avance_Med],Tabla1[Fecha],"&gt;="&amp;$A7,Tabla1[Fecha],"&lt;="&amp;EOMONTH($A7,0),Tabla1[Codigo_actividad],D$2)</f>
        <v>0</v>
      </c>
      <c r="E7" s="231">
        <f>+SUMIFS(Tabla1[Avance_Med],Tabla1[Fecha],"&gt;="&amp;$A7,Tabla1[Fecha],"&lt;="&amp;EOMONTH($A7,0),Tabla1[Codigo_actividad],E$2)</f>
        <v>0</v>
      </c>
      <c r="F7" s="231">
        <f>+SUMIFS(Tabla1[Avance_Med],Tabla1[Fecha],"&gt;="&amp;$A7,Tabla1[Fecha],"&lt;="&amp;EOMONTH($A7,0),Tabla1[Codigo_actividad],F$2)</f>
        <v>0</v>
      </c>
      <c r="G7" s="231">
        <f>+SUMIFS(Tabla1[Avance_Med],Tabla1[Fecha],"&gt;="&amp;$A7,Tabla1[Fecha],"&lt;="&amp;EOMONTH($A7,0),Tabla1[Codigo_actividad],G$2)</f>
        <v>0</v>
      </c>
      <c r="H7" s="231">
        <f>+SUMIFS(Tabla1[Avance_km],Tabla1[Fecha],"&gt;="&amp;$A7,Tabla1[Fecha],"&lt;="&amp;EOMONTH($A7,0),Tabla1[Codigo_actividad],H$2)</f>
        <v>36.840000000000011</v>
      </c>
      <c r="I7" s="231">
        <f>+SUMIFS(Tabla1[Avance_km],Tabla1[Fecha],"&gt;="&amp;$A7,Tabla1[Fecha],"&lt;="&amp;EOMONTH($A7,0),Tabla1[Codigo_actividad],I$2)</f>
        <v>0</v>
      </c>
      <c r="J7" s="231">
        <f>+SUMIFS(Tabla1[Avance_km],Tabla1[Fecha],"&gt;="&amp;$A7,Tabla1[Fecha],"&lt;="&amp;EOMONTH($A7,0),Tabla1[Codigo_actividad],J$2,Tabla1[Avance_km],"&gt;0")</f>
        <v>15.313000000000004</v>
      </c>
      <c r="K7" s="343">
        <f>+SUMIFS(Tabla1[Avance_km],Tabla1[Fecha],"&gt;="&amp;$A7,Tabla1[Fecha],"&lt;="&amp;EOMONTH($A7,0),Tabla1[Codigo_actividad],K$2)</f>
        <v>0</v>
      </c>
      <c r="L7" s="231">
        <f>+SUMIFS(Tabla1[Avance_Med],Tabla1[Fecha],"&gt;="&amp;$A7,Tabla1[Fecha],"&lt;="&amp;EOMONTH($A7,0),Tabla1[Codigo_actividad],L$2)</f>
        <v>130</v>
      </c>
      <c r="M7" s="231">
        <f>+SUMIFS(Tabla1[Avance_km],Tabla1[Fecha],"&gt;="&amp;$A7,Tabla1[Fecha],"&lt;="&amp;EOMONTH($A7,0),Tabla1[Codigo_actividad],M$2)</f>
        <v>6.7009999999999996</v>
      </c>
      <c r="N7" s="231">
        <f>+SUMIFS(Tabla1[Avance_Med],Tabla1[Fecha],"&gt;="&amp;$A7,Tabla1[Fecha],"&lt;="&amp;EOMONTH($A7,0),Tabla1[Codigo_actividad],N$2)</f>
        <v>0</v>
      </c>
      <c r="O7" s="231">
        <f>+SUMIFS(Tabla1[Avance_Med],Tabla1[Fecha],"&gt;="&amp;$A7,Tabla1[Fecha],"&lt;="&amp;EOMONTH($A7,0),Tabla1[Codigo_actividad],O$2)</f>
        <v>0</v>
      </c>
      <c r="P7" s="231">
        <f>+SUMIFS(Tabla1[Avance_Med],Tabla1[Fecha],"&gt;="&amp;$A7,Tabla1[Fecha],"&lt;="&amp;EOMONTH($A7,0),Tabla1[Codigo_actividad],P$2)</f>
        <v>0</v>
      </c>
      <c r="Q7" s="231">
        <f>+SUMIFS(Tabla1[Avance_Med],Tabla1[Fecha],"&gt;="&amp;$A7,Tabla1[Fecha],"&lt;="&amp;EOMONTH($A7,0),Tabla1[Codigo_actividad],Q$2)</f>
        <v>0</v>
      </c>
      <c r="R7" s="231">
        <f>+SUMIFS(Tabla1[Avance_Med],Tabla1[Fecha],"&gt;="&amp;$A7,Tabla1[Fecha],"&lt;="&amp;EOMONTH($A7,0),Tabla1[Codigo_actividad],R$2)</f>
        <v>0</v>
      </c>
      <c r="S7" s="231">
        <f>+SUMIFS(Tabla1[Avance_Med],Tabla1[Fecha],"&gt;="&amp;$A7,Tabla1[Fecha],"&lt;="&amp;EOMONTH($A7,0),Tabla1[Codigo_actividad],S$2)</f>
        <v>0</v>
      </c>
      <c r="T7" s="231">
        <f>+SUMIFS(Tabla1[Avance_Med],Tabla1[Fecha],"&gt;="&amp;$A7,Tabla1[Fecha],"&lt;="&amp;EOMONTH($A7,0),Tabla1[Codigo_actividad],T$2)</f>
        <v>0</v>
      </c>
      <c r="U7" s="231">
        <f>+SUMIFS(Tabla1[Avance_Med],Tabla1[Fecha],"&gt;="&amp;$A7,Tabla1[Fecha],"&lt;="&amp;EOMONTH($A7,0),Tabla1[Codigo_actividad],U$2)</f>
        <v>0</v>
      </c>
      <c r="V7" s="231">
        <f>+SUMIFS(Tabla1[Avance_Med],Tabla1[Fecha],"&gt;="&amp;$A7,Tabla1[Fecha],"&lt;="&amp;EOMONTH($A7,0),Tabla1[Codigo_actividad],V$2)</f>
        <v>0</v>
      </c>
      <c r="W7" s="231">
        <f>+SUMIFS(Tabla1[Avance_Med],Tabla1[Fecha],"&gt;="&amp;$A7,Tabla1[Fecha],"&lt;="&amp;EOMONTH($A7,0),Tabla1[Codigo_actividad],W$2)</f>
        <v>0</v>
      </c>
      <c r="X7" s="231">
        <f>+SUMIFS(Tabla1[Avance_Med],Tabla1[Fecha],"&gt;="&amp;$A7,Tabla1[Fecha],"&lt;="&amp;EOMONTH($A7,0),Tabla1[Codigo_actividad],X$2)</f>
        <v>0</v>
      </c>
      <c r="Y7" s="231">
        <f>+SUMIFS(Tabla1[Avance_Med],Tabla1[Fecha],"&gt;="&amp;$A7,Tabla1[Fecha],"&lt;="&amp;EOMONTH($A7,0),Tabla1[Codigo_actividad],Y$2)</f>
        <v>0</v>
      </c>
      <c r="Z7" s="231">
        <f>+SUMIFS(Tabla1[Avance_Med],Tabla1[Fecha],"&gt;="&amp;$A7,Tabla1[Fecha],"&lt;="&amp;EOMONTH($A7,0),Tabla1[Codigo_actividad],Z$2)</f>
        <v>0</v>
      </c>
      <c r="AA7" s="231">
        <f>+SUMIFS(Tabla1[Avance_Med],Tabla1[Fecha],"&gt;="&amp;$A7,Tabla1[Fecha],"&lt;="&amp;EOMONTH($A7,0),Tabla1[Codigo_actividad],AA$2)</f>
        <v>0</v>
      </c>
      <c r="AB7" s="231">
        <f>+SUMIFS(Tabla1[Avance_Med],Tabla1[Fecha],"&gt;="&amp;$A7,Tabla1[Fecha],"&lt;="&amp;EOMONTH($A7,0),Tabla1[Codigo_actividad],AB$2)</f>
        <v>0</v>
      </c>
      <c r="AC7" s="231">
        <f>+SUMIFS(Tabla1[Avance_Med],Tabla1[Fecha],"&gt;="&amp;$A7,Tabla1[Fecha],"&lt;="&amp;EOMONTH($A7,0),Tabla1[Codigo_actividad],AC$2)</f>
        <v>0</v>
      </c>
      <c r="AD7" s="231">
        <f>+SUMIFS(Tabla1[Avance_Med],Tabla1[Fecha],"&gt;="&amp;$A7,Tabla1[Fecha],"&lt;="&amp;EOMONTH($A7,0),Tabla1[Codigo_actividad],AD$2)</f>
        <v>0</v>
      </c>
      <c r="AE7" s="231">
        <f>+SUMIFS(Tabla1[Avance_Med],Tabla1[Fecha],"&gt;="&amp;$A7,Tabla1[Fecha],"&lt;="&amp;EOMONTH($A7,0),Tabla1[Codigo_actividad],AE$2)</f>
        <v>0</v>
      </c>
      <c r="AF7" s="231">
        <f>+SUMIFS(Tabla1[Avance_Med],Tabla1[Fecha],"&gt;="&amp;$A7,Tabla1[Fecha],"&lt;="&amp;EOMONTH($A7,0),Tabla1[Codigo_actividad],AF$2)</f>
        <v>0</v>
      </c>
      <c r="AG7" s="231">
        <f>+SUMIFS(Tabla1[Avance_Med],Tabla1[Fecha],"&gt;="&amp;$A7,Tabla1[Fecha],"&lt;="&amp;EOMONTH($A7,0),Tabla1[Codigo_actividad],AG$2)</f>
        <v>0</v>
      </c>
      <c r="AH7" s="231">
        <f>+SUMIFS(Tabla1[Avance_Med],Tabla1[Fecha],"&gt;="&amp;$A7,Tabla1[Fecha],"&lt;="&amp;EOMONTH($A7,0),Tabla1[Codigo_actividad],AH$2)</f>
        <v>0</v>
      </c>
      <c r="AI7" s="231">
        <f>+SUMIFS(Tabla1[Avance_Med],Tabla1[Fecha],"&gt;="&amp;$A7,Tabla1[Fecha],"&lt;="&amp;EOMONTH($A7,0),Tabla1[Codigo_actividad],AI$2)</f>
        <v>0</v>
      </c>
      <c r="AJ7" s="231">
        <f>+SUMIFS(Tabla1[Avance_Med],Tabla1[Fecha],"&gt;="&amp;$A7,Tabla1[Fecha],"&lt;="&amp;EOMONTH($A7,0),Tabla1[Codigo_actividad],AJ$2)</f>
        <v>0</v>
      </c>
      <c r="AK7" s="231">
        <f>+SUMIFS(Tabla1[Avance_Med],Tabla1[Fecha],"&gt;="&amp;$A7,Tabla1[Fecha],"&lt;="&amp;EOMONTH($A7,0),Tabla1[Codigo_actividad],AK$2)</f>
        <v>0</v>
      </c>
      <c r="AL7" s="231">
        <f>+SUMIFS(Tabla1[Avance_Med],Tabla1[Fecha],"&gt;="&amp;$A7,Tabla1[Fecha],"&lt;="&amp;EOMONTH($A7,0),Tabla1[Codigo_actividad],AL$2)</f>
        <v>0</v>
      </c>
      <c r="AM7" s="231">
        <f>+SUMIFS(Tabla1[Avance_Med],Tabla1[Fecha],"&gt;="&amp;$A7,Tabla1[Fecha],"&lt;="&amp;EOMONTH($A7,0),Tabla1[Codigo_actividad],AM$2)</f>
        <v>0</v>
      </c>
      <c r="AN7" s="442">
        <f>-[1]Dashboard!D65</f>
        <v>-284577.85708800005</v>
      </c>
      <c r="AP7" s="13">
        <f t="shared" si="0"/>
        <v>1363213.0780100003</v>
      </c>
    </row>
    <row r="8" spans="1:42" x14ac:dyDescent="0.25">
      <c r="A8" s="242">
        <v>46054</v>
      </c>
      <c r="B8" s="231">
        <f>+SUMIFS(Tabla1[Avance_Med],Tabla1[Fecha],"&gt;="&amp;$A8,Tabla1[Fecha],"&lt;="&amp;EOMONTH($A8,0),Tabla1[Codigo_actividad],B$2)</f>
        <v>0</v>
      </c>
      <c r="C8" s="231">
        <f>+SUMIFS(Tabla1[Avance_Med],Tabla1[Fecha],"&gt;="&amp;$A8,Tabla1[Fecha],"&lt;="&amp;EOMONTH($A8,0),Tabla1[Codigo_actividad],C$2)</f>
        <v>0</v>
      </c>
      <c r="D8" s="231">
        <f>+SUMIFS(Tabla1[Avance_Med],Tabla1[Fecha],"&gt;="&amp;$A8,Tabla1[Fecha],"&lt;="&amp;EOMONTH($A8,0),Tabla1[Codigo_actividad],D$2)</f>
        <v>0</v>
      </c>
      <c r="E8" s="231">
        <f>+SUMIFS(Tabla1[Avance_Med],Tabla1[Fecha],"&gt;="&amp;$A8,Tabla1[Fecha],"&lt;="&amp;EOMONTH($A8,0),Tabla1[Codigo_actividad],E$2)</f>
        <v>0</v>
      </c>
      <c r="F8" s="231">
        <f>+SUMIFS(Tabla1[Avance_Med],Tabla1[Fecha],"&gt;="&amp;$A8,Tabla1[Fecha],"&lt;="&amp;EOMONTH($A8,0),Tabla1[Codigo_actividad],F$2)</f>
        <v>0</v>
      </c>
      <c r="G8" s="231">
        <f>+SUMIFS(Tabla1[Avance_Med],Tabla1[Fecha],"&gt;="&amp;$A8,Tabla1[Fecha],"&lt;="&amp;EOMONTH($A8,0),Tabla1[Codigo_actividad],G$2)</f>
        <v>0</v>
      </c>
      <c r="H8" s="231">
        <f>+SUMIFS(Tabla1[Avance_km],Tabla1[Fecha],"&gt;="&amp;$A8,Tabla1[Fecha],"&lt;="&amp;EOMONTH($A8,0),Tabla1[Codigo_actividad],H$2)</f>
        <v>0</v>
      </c>
      <c r="I8" s="231">
        <f>+SUMIFS(Tabla1[Avance_km],Tabla1[Fecha],"&gt;="&amp;$A8,Tabla1[Fecha],"&lt;="&amp;EOMONTH($A8,0),Tabla1[Codigo_actividad],I$2)</f>
        <v>0</v>
      </c>
      <c r="J8" s="231">
        <f>+SUMIFS(Tabla1[Avance_km],Tabla1[Fecha],"&gt;="&amp;$A8,Tabla1[Fecha],"&lt;="&amp;EOMONTH($A8,0),Tabla1[Codigo_actividad],J$2,Tabla1[Avance_km],"&gt;0")</f>
        <v>0</v>
      </c>
      <c r="K8" s="343">
        <f>+SUMIFS(Tabla1[Avance_km],Tabla1[Fecha],"&gt;="&amp;$A8,Tabla1[Fecha],"&lt;="&amp;EOMONTH($A8,0),Tabla1[Codigo_actividad],K$2)</f>
        <v>0</v>
      </c>
      <c r="L8" s="231">
        <f>+SUMIFS(Tabla1[Avance_Med],Tabla1[Fecha],"&gt;="&amp;$A8,Tabla1[Fecha],"&lt;="&amp;EOMONTH($A8,0),Tabla1[Codigo_actividad],L$2)</f>
        <v>18</v>
      </c>
      <c r="M8" s="231">
        <f>+SUMIFS(Tabla1[Avance_km],Tabla1[Fecha],"&gt;="&amp;$A8,Tabla1[Fecha],"&lt;="&amp;EOMONTH($A8,0),Tabla1[Codigo_actividad],M$2)</f>
        <v>0</v>
      </c>
      <c r="N8" s="231">
        <f>+SUMIFS(Tabla1[Avance_Med],Tabla1[Fecha],"&gt;="&amp;$A8,Tabla1[Fecha],"&lt;="&amp;EOMONTH($A8,0),Tabla1[Codigo_actividad],N$2)</f>
        <v>0</v>
      </c>
      <c r="O8" s="231">
        <f>+SUMIFS(Tabla1[Avance_Med],Tabla1[Fecha],"&gt;="&amp;$A8,Tabla1[Fecha],"&lt;="&amp;EOMONTH($A8,0),Tabla1[Codigo_actividad],O$2)</f>
        <v>0</v>
      </c>
      <c r="P8" s="231">
        <f>+SUMIFS(Tabla1[Avance_Med],Tabla1[Fecha],"&gt;="&amp;$A8,Tabla1[Fecha],"&lt;="&amp;EOMONTH($A8,0),Tabla1[Codigo_actividad],P$2)</f>
        <v>0</v>
      </c>
      <c r="Q8" s="231">
        <f>+SUMIFS(Tabla1[Avance_Med],Tabla1[Fecha],"&gt;="&amp;$A8,Tabla1[Fecha],"&lt;="&amp;EOMONTH($A8,0),Tabla1[Codigo_actividad],Q$2)</f>
        <v>0</v>
      </c>
      <c r="R8" s="231">
        <f>+SUMIFS(Tabla1[Avance_Med],Tabla1[Fecha],"&gt;="&amp;$A8,Tabla1[Fecha],"&lt;="&amp;EOMONTH($A8,0),Tabla1[Codigo_actividad],R$2)</f>
        <v>0</v>
      </c>
      <c r="S8" s="231">
        <f>+SUMIFS(Tabla1[Avance_Med],Tabla1[Fecha],"&gt;="&amp;$A8,Tabla1[Fecha],"&lt;="&amp;EOMONTH($A8,0),Tabla1[Codigo_actividad],S$2)</f>
        <v>0</v>
      </c>
      <c r="T8" s="231">
        <f>+SUMIFS(Tabla1[Avance_Med],Tabla1[Fecha],"&gt;="&amp;$A8,Tabla1[Fecha],"&lt;="&amp;EOMONTH($A8,0),Tabla1[Codigo_actividad],T$2)</f>
        <v>0</v>
      </c>
      <c r="U8" s="231">
        <f>+SUMIFS(Tabla1[Avance_Med],Tabla1[Fecha],"&gt;="&amp;$A8,Tabla1[Fecha],"&lt;="&amp;EOMONTH($A8,0),Tabla1[Codigo_actividad],U$2)</f>
        <v>0</v>
      </c>
      <c r="V8" s="231">
        <f>+SUMIFS(Tabla1[Avance_Med],Tabla1[Fecha],"&gt;="&amp;$A8,Tabla1[Fecha],"&lt;="&amp;EOMONTH($A8,0),Tabla1[Codigo_actividad],V$2)</f>
        <v>0</v>
      </c>
      <c r="W8" s="231">
        <f>+SUMIFS(Tabla1[Avance_Med],Tabla1[Fecha],"&gt;="&amp;$A8,Tabla1[Fecha],"&lt;="&amp;EOMONTH($A8,0),Tabla1[Codigo_actividad],W$2)</f>
        <v>0</v>
      </c>
      <c r="X8" s="231">
        <f>+SUMIFS(Tabla1[Avance_Med],Tabla1[Fecha],"&gt;="&amp;$A8,Tabla1[Fecha],"&lt;="&amp;EOMONTH($A8,0),Tabla1[Codigo_actividad],X$2)</f>
        <v>0</v>
      </c>
      <c r="Y8" s="231">
        <f>+SUMIFS(Tabla1[Avance_Med],Tabla1[Fecha],"&gt;="&amp;$A8,Tabla1[Fecha],"&lt;="&amp;EOMONTH($A8,0),Tabla1[Codigo_actividad],Y$2)</f>
        <v>0</v>
      </c>
      <c r="Z8" s="231">
        <f>+SUMIFS(Tabla1[Avance_Med],Tabla1[Fecha],"&gt;="&amp;$A8,Tabla1[Fecha],"&lt;="&amp;EOMONTH($A8,0),Tabla1[Codigo_actividad],Z$2)</f>
        <v>0</v>
      </c>
      <c r="AA8" s="231">
        <f>+SUMIFS(Tabla1[Avance_Med],Tabla1[Fecha],"&gt;="&amp;$A8,Tabla1[Fecha],"&lt;="&amp;EOMONTH($A8,0),Tabla1[Codigo_actividad],AA$2)</f>
        <v>0</v>
      </c>
      <c r="AB8" s="231">
        <f>+SUMIFS(Tabla1[Avance_Med],Tabla1[Fecha],"&gt;="&amp;$A8,Tabla1[Fecha],"&lt;="&amp;EOMONTH($A8,0),Tabla1[Codigo_actividad],AB$2)</f>
        <v>0</v>
      </c>
      <c r="AC8" s="231">
        <f>+SUMIFS(Tabla1[Avance_Med],Tabla1[Fecha],"&gt;="&amp;$A8,Tabla1[Fecha],"&lt;="&amp;EOMONTH($A8,0),Tabla1[Codigo_actividad],AC$2)</f>
        <v>0</v>
      </c>
      <c r="AD8" s="231">
        <f>+SUMIFS(Tabla1[Avance_Med],Tabla1[Fecha],"&gt;="&amp;$A8,Tabla1[Fecha],"&lt;="&amp;EOMONTH($A8,0),Tabla1[Codigo_actividad],AD$2)</f>
        <v>0</v>
      </c>
      <c r="AE8" s="231">
        <f>+SUMIFS(Tabla1[Avance_Med],Tabla1[Fecha],"&gt;="&amp;$A8,Tabla1[Fecha],"&lt;="&amp;EOMONTH($A8,0),Tabla1[Codigo_actividad],AE$2)</f>
        <v>0</v>
      </c>
      <c r="AF8" s="231">
        <f>+SUMIFS(Tabla1[Avance_Med],Tabla1[Fecha],"&gt;="&amp;$A8,Tabla1[Fecha],"&lt;="&amp;EOMONTH($A8,0),Tabla1[Codigo_actividad],AF$2)</f>
        <v>0</v>
      </c>
      <c r="AG8" s="231">
        <f>+SUMIFS(Tabla1[Avance_Med],Tabla1[Fecha],"&gt;="&amp;$A8,Tabla1[Fecha],"&lt;="&amp;EOMONTH($A8,0),Tabla1[Codigo_actividad],AG$2)</f>
        <v>0</v>
      </c>
      <c r="AH8" s="231">
        <f>+SUMIFS(Tabla1[Avance_Med],Tabla1[Fecha],"&gt;="&amp;$A8,Tabla1[Fecha],"&lt;="&amp;EOMONTH($A8,0),Tabla1[Codigo_actividad],AH$2)</f>
        <v>0</v>
      </c>
      <c r="AI8" s="231">
        <f>+SUMIFS(Tabla1[Avance_Med],Tabla1[Fecha],"&gt;="&amp;$A8,Tabla1[Fecha],"&lt;="&amp;EOMONTH($A8,0),Tabla1[Codigo_actividad],AI$2)</f>
        <v>0</v>
      </c>
      <c r="AJ8" s="231">
        <f>+SUMIFS(Tabla1[Avance_Med],Tabla1[Fecha],"&gt;="&amp;$A8,Tabla1[Fecha],"&lt;="&amp;EOMONTH($A8,0),Tabla1[Codigo_actividad],AJ$2)</f>
        <v>0</v>
      </c>
      <c r="AK8" s="231">
        <f>+SUMIFS(Tabla1[Avance_Med],Tabla1[Fecha],"&gt;="&amp;$A8,Tabla1[Fecha],"&lt;="&amp;EOMONTH($A8,0),Tabla1[Codigo_actividad],AK$2)</f>
        <v>0</v>
      </c>
      <c r="AL8" s="231">
        <f>+SUMIFS(Tabla1[Avance_Med],Tabla1[Fecha],"&gt;="&amp;$A8,Tabla1[Fecha],"&lt;="&amp;EOMONTH($A8,0),Tabla1[Codigo_actividad],AL$2)</f>
        <v>0</v>
      </c>
      <c r="AM8" s="231">
        <f>+SUMIFS(Tabla1[Avance_Med],Tabla1[Fecha],"&gt;="&amp;$A8,Tabla1[Fecha],"&lt;="&amp;EOMONTH($A8,0),Tabla1[Codigo_actividad],AM$2)</f>
        <v>0</v>
      </c>
      <c r="AN8" s="442">
        <f>-[1]Dashboard!D66</f>
        <v>-4104758.7796800006</v>
      </c>
      <c r="AP8" s="13">
        <f t="shared" si="0"/>
        <v>83844</v>
      </c>
    </row>
    <row r="9" spans="1:42" x14ac:dyDescent="0.25">
      <c r="A9" s="242">
        <v>46082</v>
      </c>
      <c r="B9" s="231">
        <f>+SUMIFS(Tabla1[Avance_Med],Tabla1[Fecha],"&gt;="&amp;$A9,Tabla1[Fecha],"&lt;="&amp;EOMONTH($A9,0),Tabla1[Codigo_actividad],B$2)</f>
        <v>99</v>
      </c>
      <c r="C9" s="231">
        <f>+SUMIFS(Tabla1[Avance_Med],Tabla1[Fecha],"&gt;="&amp;$A9,Tabla1[Fecha],"&lt;="&amp;EOMONTH($A9,0),Tabla1[Codigo_actividad],C$2)</f>
        <v>99</v>
      </c>
      <c r="D9" s="231">
        <f>+SUMIFS(Tabla1[Avance_Med],Tabla1[Fecha],"&gt;="&amp;$A9,Tabla1[Fecha],"&lt;="&amp;EOMONTH($A9,0),Tabla1[Codigo_actividad],D$2)</f>
        <v>99</v>
      </c>
      <c r="E9" s="231">
        <f>+SUMIFS(Tabla1[Avance_Med],Tabla1[Fecha],"&gt;="&amp;$A9,Tabla1[Fecha],"&lt;="&amp;EOMONTH($A9,0),Tabla1[Codigo_actividad],E$2)</f>
        <v>99</v>
      </c>
      <c r="F9" s="231">
        <f>+SUMIFS(Tabla1[Avance_Med],Tabla1[Fecha],"&gt;="&amp;$A9,Tabla1[Fecha],"&lt;="&amp;EOMONTH($A9,0),Tabla1[Codigo_actividad],F$2)</f>
        <v>99</v>
      </c>
      <c r="G9" s="231">
        <f>+SUMIFS(Tabla1[Avance_Med],Tabla1[Fecha],"&gt;="&amp;$A9,Tabla1[Fecha],"&lt;="&amp;EOMONTH($A9,0),Tabla1[Codigo_actividad],G$2)</f>
        <v>99</v>
      </c>
      <c r="H9" s="231">
        <f>+SUMIFS(Tabla1[Avance_km],Tabla1[Fecha],"&gt;="&amp;$A9,Tabla1[Fecha],"&lt;="&amp;EOMONTH($A9,0),Tabla1[Codigo_actividad],H$2)</f>
        <v>0</v>
      </c>
      <c r="I9" s="231">
        <f>+SUMIFS(Tabla1[Avance_km],Tabla1[Fecha],"&gt;="&amp;$A9,Tabla1[Fecha],"&lt;="&amp;EOMONTH($A9,0),Tabla1[Codigo_actividad],I$2)</f>
        <v>0</v>
      </c>
      <c r="J9" s="231">
        <f>+SUMIFS(Tabla1[Avance_km],Tabla1[Fecha],"&gt;="&amp;$A9,Tabla1[Fecha],"&lt;="&amp;EOMONTH($A9,0),Tabla1[Codigo_actividad],J$2,Tabla1[Avance_km],"&gt;0")</f>
        <v>0</v>
      </c>
      <c r="K9" s="343">
        <f>+SUMIFS(Tabla1[Avance_km],Tabla1[Fecha],"&gt;="&amp;$A9,Tabla1[Fecha],"&lt;="&amp;EOMONTH($A9,0),Tabla1[Codigo_actividad],K$2)</f>
        <v>0</v>
      </c>
      <c r="L9" s="231">
        <f>+SUMIFS(Tabla1[Avance_Med],Tabla1[Fecha],"&gt;="&amp;$A9,Tabla1[Fecha],"&lt;="&amp;EOMONTH($A9,0),Tabla1[Codigo_actividad],L$2)</f>
        <v>0</v>
      </c>
      <c r="M9" s="231">
        <f>+SUMIFS(Tabla1[Avance_km],Tabla1[Fecha],"&gt;="&amp;$A9,Tabla1[Fecha],"&lt;="&amp;EOMONTH($A9,0),Tabla1[Codigo_actividad],M$2)</f>
        <v>3.6</v>
      </c>
      <c r="N9" s="231">
        <f>+SUMIFS(Tabla1[Avance_Med],Tabla1[Fecha],"&gt;="&amp;$A9,Tabla1[Fecha],"&lt;="&amp;EOMONTH($A9,0),Tabla1[Codigo_actividad],N$2)</f>
        <v>54</v>
      </c>
      <c r="O9" s="231">
        <f>+SUMIFS(Tabla1[Avance_Med],Tabla1[Fecha],"&gt;="&amp;$A9,Tabla1[Fecha],"&lt;="&amp;EOMONTH($A9,0),Tabla1[Codigo_actividad],O$2)</f>
        <v>54</v>
      </c>
      <c r="P9" s="231">
        <f>+SUMIFS(Tabla1[Avance_Med],Tabla1[Fecha],"&gt;="&amp;$A9,Tabla1[Fecha],"&lt;="&amp;EOMONTH($A9,0),Tabla1[Codigo_actividad],P$2)</f>
        <v>54</v>
      </c>
      <c r="Q9" s="231">
        <f>+SUMIFS(Tabla1[Avance_Med],Tabla1[Fecha],"&gt;="&amp;$A9,Tabla1[Fecha],"&lt;="&amp;EOMONTH($A9,0),Tabla1[Codigo_actividad],Q$2)</f>
        <v>0</v>
      </c>
      <c r="R9" s="231">
        <f>+SUMIFS(Tabla1[Avance_Med],Tabla1[Fecha],"&gt;="&amp;$A9,Tabla1[Fecha],"&lt;="&amp;EOMONTH($A9,0),Tabla1[Codigo_actividad],R$2)</f>
        <v>0</v>
      </c>
      <c r="S9" s="231">
        <f>+SUMIFS(Tabla1[Avance_Med],Tabla1[Fecha],"&gt;="&amp;$A9,Tabla1[Fecha],"&lt;="&amp;EOMONTH($A9,0),Tabla1[Codigo_actividad],S$2)</f>
        <v>0</v>
      </c>
      <c r="T9" s="231">
        <f>+SUMIFS(Tabla1[Avance_Med],Tabla1[Fecha],"&gt;="&amp;$A9,Tabla1[Fecha],"&lt;="&amp;EOMONTH($A9,0),Tabla1[Codigo_actividad],T$2)</f>
        <v>0</v>
      </c>
      <c r="U9" s="231">
        <f>+SUMIFS(Tabla1[Avance_Med],Tabla1[Fecha],"&gt;="&amp;$A9,Tabla1[Fecha],"&lt;="&amp;EOMONTH($A9,0),Tabla1[Codigo_actividad],U$2)</f>
        <v>0</v>
      </c>
      <c r="V9" s="231">
        <f>+SUMIFS(Tabla1[Avance_Med],Tabla1[Fecha],"&gt;="&amp;$A9,Tabla1[Fecha],"&lt;="&amp;EOMONTH($A9,0),Tabla1[Codigo_actividad],V$2)</f>
        <v>0</v>
      </c>
      <c r="W9" s="231">
        <f>+SUMIFS(Tabla1[Avance_Med],Tabla1[Fecha],"&gt;="&amp;$A9,Tabla1[Fecha],"&lt;="&amp;EOMONTH($A9,0),Tabla1[Codigo_actividad],W$2)</f>
        <v>0</v>
      </c>
      <c r="X9" s="231">
        <f>+SUMIFS(Tabla1[Avance_Med],Tabla1[Fecha],"&gt;="&amp;$A9,Tabla1[Fecha],"&lt;="&amp;EOMONTH($A9,0),Tabla1[Codigo_actividad],X$2)</f>
        <v>0</v>
      </c>
      <c r="Y9" s="231">
        <f>+SUMIFS(Tabla1[Avance_Med],Tabla1[Fecha],"&gt;="&amp;$A9,Tabla1[Fecha],"&lt;="&amp;EOMONTH($A9,0),Tabla1[Codigo_actividad],Y$2)</f>
        <v>0</v>
      </c>
      <c r="Z9" s="231">
        <f>+SUMIFS(Tabla1[Avance_Med],Tabla1[Fecha],"&gt;="&amp;$A9,Tabla1[Fecha],"&lt;="&amp;EOMONTH($A9,0),Tabla1[Codigo_actividad],Z$2)</f>
        <v>0</v>
      </c>
      <c r="AA9" s="231">
        <f>+SUMIFS(Tabla1[Avance_Med],Tabla1[Fecha],"&gt;="&amp;$A9,Tabla1[Fecha],"&lt;="&amp;EOMONTH($A9,0),Tabla1[Codigo_actividad],AA$2)</f>
        <v>0</v>
      </c>
      <c r="AB9" s="231">
        <f>+SUMIFS(Tabla1[Avance_Med],Tabla1[Fecha],"&gt;="&amp;$A9,Tabla1[Fecha],"&lt;="&amp;EOMONTH($A9,0),Tabla1[Codigo_actividad],AB$2)</f>
        <v>0</v>
      </c>
      <c r="AC9" s="231">
        <f>+SUMIFS(Tabla1[Avance_Med],Tabla1[Fecha],"&gt;="&amp;$A9,Tabla1[Fecha],"&lt;="&amp;EOMONTH($A9,0),Tabla1[Codigo_actividad],AC$2)</f>
        <v>0</v>
      </c>
      <c r="AD9" s="231">
        <f>+SUMIFS(Tabla1[Avance_Med],Tabla1[Fecha],"&gt;="&amp;$A9,Tabla1[Fecha],"&lt;="&amp;EOMONTH($A9,0),Tabla1[Codigo_actividad],AD$2)</f>
        <v>0</v>
      </c>
      <c r="AE9" s="231">
        <f>+SUMIFS(Tabla1[Avance_Med],Tabla1[Fecha],"&gt;="&amp;$A9,Tabla1[Fecha],"&lt;="&amp;EOMONTH($A9,0),Tabla1[Codigo_actividad],AE$2)</f>
        <v>0</v>
      </c>
      <c r="AF9" s="231">
        <f>+SUMIFS(Tabla1[Avance_Med],Tabla1[Fecha],"&gt;="&amp;$A9,Tabla1[Fecha],"&lt;="&amp;EOMONTH($A9,0),Tabla1[Codigo_actividad],AF$2)</f>
        <v>0</v>
      </c>
      <c r="AG9" s="231">
        <f>+SUMIFS(Tabla1[Avance_Med],Tabla1[Fecha],"&gt;="&amp;$A9,Tabla1[Fecha],"&lt;="&amp;EOMONTH($A9,0),Tabla1[Codigo_actividad],AG$2)</f>
        <v>0</v>
      </c>
      <c r="AH9" s="231">
        <f>+SUMIFS(Tabla1[Avance_Med],Tabla1[Fecha],"&gt;="&amp;$A9,Tabla1[Fecha],"&lt;="&amp;EOMONTH($A9,0),Tabla1[Codigo_actividad],AH$2)</f>
        <v>0</v>
      </c>
      <c r="AI9" s="231">
        <f>+SUMIFS(Tabla1[Avance_Med],Tabla1[Fecha],"&gt;="&amp;$A9,Tabla1[Fecha],"&lt;="&amp;EOMONTH($A9,0),Tabla1[Codigo_actividad],AI$2)</f>
        <v>0</v>
      </c>
      <c r="AJ9" s="231">
        <f>+SUMIFS(Tabla1[Avance_Med],Tabla1[Fecha],"&gt;="&amp;$A9,Tabla1[Fecha],"&lt;="&amp;EOMONTH($A9,0),Tabla1[Codigo_actividad],AJ$2)</f>
        <v>0</v>
      </c>
      <c r="AK9" s="231">
        <f>+SUMIFS(Tabla1[Avance_Med],Tabla1[Fecha],"&gt;="&amp;$A9,Tabla1[Fecha],"&lt;="&amp;EOMONTH($A9,0),Tabla1[Codigo_actividad],AK$2)</f>
        <v>0</v>
      </c>
      <c r="AL9" s="231">
        <f>+SUMIFS(Tabla1[Avance_Med],Tabla1[Fecha],"&gt;="&amp;$A9,Tabla1[Fecha],"&lt;="&amp;EOMONTH($A9,0),Tabla1[Codigo_actividad],AL$2)</f>
        <v>0</v>
      </c>
      <c r="AM9" s="231">
        <f>+SUMIFS(Tabla1[Avance_Med],Tabla1[Fecha],"&gt;="&amp;$A9,Tabla1[Fecha],"&lt;="&amp;EOMONTH($A9,0),Tabla1[Codigo_actividad],AM$2)</f>
        <v>0</v>
      </c>
      <c r="AN9" s="442">
        <f>-[1]Dashboard!D67</f>
        <v>-85730.795280000006</v>
      </c>
      <c r="AP9" s="13">
        <f t="shared" si="0"/>
        <v>1406394.7920000001</v>
      </c>
    </row>
    <row r="10" spans="1:42" x14ac:dyDescent="0.25">
      <c r="A10" s="242">
        <v>46113</v>
      </c>
      <c r="B10" s="231">
        <f>+SUMIFS(Tabla1[Avance_Med],Tabla1[Fecha],"&gt;="&amp;$A10,Tabla1[Fecha],"&lt;="&amp;EOMONTH($A10,0),Tabla1[Codigo_actividad],B$2)</f>
        <v>17</v>
      </c>
      <c r="C10" s="231">
        <f>+SUMIFS(Tabla1[Avance_Med],Tabla1[Fecha],"&gt;="&amp;$A10,Tabla1[Fecha],"&lt;="&amp;EOMONTH($A10,0),Tabla1[Codigo_actividad],C$2)</f>
        <v>17</v>
      </c>
      <c r="D10" s="231">
        <f>+SUMIFS(Tabla1[Avance_Med],Tabla1[Fecha],"&gt;="&amp;$A10,Tabla1[Fecha],"&lt;="&amp;EOMONTH($A10,0),Tabla1[Codigo_actividad],D$2)</f>
        <v>17</v>
      </c>
      <c r="E10" s="231">
        <f>+SUMIFS(Tabla1[Avance_Med],Tabla1[Fecha],"&gt;="&amp;$A10,Tabla1[Fecha],"&lt;="&amp;EOMONTH($A10,0),Tabla1[Codigo_actividad],E$2)</f>
        <v>17</v>
      </c>
      <c r="F10" s="231">
        <f>+SUMIFS(Tabla1[Avance_Med],Tabla1[Fecha],"&gt;="&amp;$A10,Tabla1[Fecha],"&lt;="&amp;EOMONTH($A10,0),Tabla1[Codigo_actividad],F$2)</f>
        <v>17</v>
      </c>
      <c r="G10" s="231">
        <f>+SUMIFS(Tabla1[Avance_Med],Tabla1[Fecha],"&gt;="&amp;$A10,Tabla1[Fecha],"&lt;="&amp;EOMONTH($A10,0),Tabla1[Codigo_actividad],G$2)</f>
        <v>17</v>
      </c>
      <c r="H10" s="231">
        <f>+SUMIFS(Tabla1[Avance_km],Tabla1[Fecha],"&gt;="&amp;$A10,Tabla1[Fecha],"&lt;="&amp;EOMONTH($A10,0),Tabla1[Codigo_actividad],H$2)</f>
        <v>0</v>
      </c>
      <c r="I10" s="231">
        <f>+SUMIFS(Tabla1[Avance_km],Tabla1[Fecha],"&gt;="&amp;$A10,Tabla1[Fecha],"&lt;="&amp;EOMONTH($A10,0),Tabla1[Codigo_actividad],I$2)</f>
        <v>0</v>
      </c>
      <c r="J10" s="231">
        <f>+SUMIFS(Tabla1[Avance_km],Tabla1[Fecha],"&gt;="&amp;$A10,Tabla1[Fecha],"&lt;="&amp;EOMONTH($A10,0),Tabla1[Codigo_actividad],J$2,Tabla1[Avance_km],"&gt;0")</f>
        <v>5.9550000000000001</v>
      </c>
      <c r="K10" s="343">
        <f>+SUMIFS(Tabla1[Avance_km],Tabla1[Fecha],"&gt;="&amp;$A10,Tabla1[Fecha],"&lt;="&amp;EOMONTH($A10,0),Tabla1[Codigo_actividad],K$2)</f>
        <v>0</v>
      </c>
      <c r="L10" s="231">
        <f>+SUMIFS(Tabla1[Avance_Med],Tabla1[Fecha],"&gt;="&amp;$A10,Tabla1[Fecha],"&lt;="&amp;EOMONTH($A10,0),Tabla1[Codigo_actividad],L$2)</f>
        <v>0</v>
      </c>
      <c r="M10" s="231">
        <f>+SUMIFS(Tabla1[Avance_km],Tabla1[Fecha],"&gt;="&amp;$A10,Tabla1[Fecha],"&lt;="&amp;EOMONTH($A10,0),Tabla1[Codigo_actividad],M$2)</f>
        <v>21.635999999999999</v>
      </c>
      <c r="N10" s="231">
        <f>+SUMIFS(Tabla1[Avance_Med],Tabla1[Fecha],"&gt;="&amp;$A10,Tabla1[Fecha],"&lt;="&amp;EOMONTH($A10,0),Tabla1[Codigo_actividad],N$2)</f>
        <v>0</v>
      </c>
      <c r="O10" s="231">
        <f>+SUMIFS(Tabla1[Avance_Med],Tabla1[Fecha],"&gt;="&amp;$A10,Tabla1[Fecha],"&lt;="&amp;EOMONTH($A10,0),Tabla1[Codigo_actividad],O$2)</f>
        <v>0</v>
      </c>
      <c r="P10" s="231">
        <f>+SUMIFS(Tabla1[Avance_Med],Tabla1[Fecha],"&gt;="&amp;$A10,Tabla1[Fecha],"&lt;="&amp;EOMONTH($A10,0),Tabla1[Codigo_actividad],P$2)</f>
        <v>0</v>
      </c>
      <c r="Q10" s="231">
        <f>+SUMIFS(Tabla1[Avance_Med],Tabla1[Fecha],"&gt;="&amp;$A10,Tabla1[Fecha],"&lt;="&amp;EOMONTH($A10,0),Tabla1[Codigo_actividad],Q$2)</f>
        <v>0</v>
      </c>
      <c r="R10" s="231">
        <f>+SUMIFS(Tabla1[Avance_Med],Tabla1[Fecha],"&gt;="&amp;$A10,Tabla1[Fecha],"&lt;="&amp;EOMONTH($A10,0),Tabla1[Codigo_actividad],R$2)</f>
        <v>0</v>
      </c>
      <c r="S10" s="231">
        <f>+SUMIFS(Tabla1[Avance_Med],Tabla1[Fecha],"&gt;="&amp;$A10,Tabla1[Fecha],"&lt;="&amp;EOMONTH($A10,0),Tabla1[Codigo_actividad],S$2)</f>
        <v>0</v>
      </c>
      <c r="T10" s="231">
        <f>+SUMIFS(Tabla1[Avance_Med],Tabla1[Fecha],"&gt;="&amp;$A10,Tabla1[Fecha],"&lt;="&amp;EOMONTH($A10,0),Tabla1[Codigo_actividad],T$2)</f>
        <v>0</v>
      </c>
      <c r="U10" s="231">
        <f>+SUMIFS(Tabla1[Avance_Med],Tabla1[Fecha],"&gt;="&amp;$A10,Tabla1[Fecha],"&lt;="&amp;EOMONTH($A10,0),Tabla1[Codigo_actividad],U$2)</f>
        <v>0</v>
      </c>
      <c r="V10" s="231">
        <f>+SUMIFS(Tabla1[Avance_Med],Tabla1[Fecha],"&gt;="&amp;$A10,Tabla1[Fecha],"&lt;="&amp;EOMONTH($A10,0),Tabla1[Codigo_actividad],V$2)</f>
        <v>0</v>
      </c>
      <c r="W10" s="231">
        <f>+SUMIFS(Tabla1[Avance_Med],Tabla1[Fecha],"&gt;="&amp;$A10,Tabla1[Fecha],"&lt;="&amp;EOMONTH($A10,0),Tabla1[Codigo_actividad],W$2)</f>
        <v>0</v>
      </c>
      <c r="X10" s="231">
        <f>+SUMIFS(Tabla1[Avance_Med],Tabla1[Fecha],"&gt;="&amp;$A10,Tabla1[Fecha],"&lt;="&amp;EOMONTH($A10,0),Tabla1[Codigo_actividad],X$2)</f>
        <v>0</v>
      </c>
      <c r="Y10" s="231">
        <f>+SUMIFS(Tabla1[Avance_Med],Tabla1[Fecha],"&gt;="&amp;$A10,Tabla1[Fecha],"&lt;="&amp;EOMONTH($A10,0),Tabla1[Codigo_actividad],Y$2)</f>
        <v>0</v>
      </c>
      <c r="Z10" s="231">
        <f>+SUMIFS(Tabla1[Avance_Med],Tabla1[Fecha],"&gt;="&amp;$A10,Tabla1[Fecha],"&lt;="&amp;EOMONTH($A10,0),Tabla1[Codigo_actividad],Z$2)</f>
        <v>0</v>
      </c>
      <c r="AA10" s="231">
        <f>+SUMIFS(Tabla1[Avance_Med],Tabla1[Fecha],"&gt;="&amp;$A10,Tabla1[Fecha],"&lt;="&amp;EOMONTH($A10,0),Tabla1[Codigo_actividad],AA$2)</f>
        <v>0</v>
      </c>
      <c r="AB10" s="231">
        <f>+SUMIFS(Tabla1[Avance_Med],Tabla1[Fecha],"&gt;="&amp;$A10,Tabla1[Fecha],"&lt;="&amp;EOMONTH($A10,0),Tabla1[Codigo_actividad],AB$2)</f>
        <v>0</v>
      </c>
      <c r="AC10" s="231">
        <f>+SUMIFS(Tabla1[Avance_Med],Tabla1[Fecha],"&gt;="&amp;$A10,Tabla1[Fecha],"&lt;="&amp;EOMONTH($A10,0),Tabla1[Codigo_actividad],AC$2)</f>
        <v>0</v>
      </c>
      <c r="AD10" s="231">
        <f>+SUMIFS(Tabla1[Avance_Med],Tabla1[Fecha],"&gt;="&amp;$A10,Tabla1[Fecha],"&lt;="&amp;EOMONTH($A10,0),Tabla1[Codigo_actividad],AD$2)</f>
        <v>0</v>
      </c>
      <c r="AE10" s="231">
        <f>+SUMIFS(Tabla1[Avance_Med],Tabla1[Fecha],"&gt;="&amp;$A10,Tabla1[Fecha],"&lt;="&amp;EOMONTH($A10,0),Tabla1[Codigo_actividad],AE$2)</f>
        <v>0</v>
      </c>
      <c r="AF10" s="231">
        <f>+SUMIFS(Tabla1[Avance_Med],Tabla1[Fecha],"&gt;="&amp;$A10,Tabla1[Fecha],"&lt;="&amp;EOMONTH($A10,0),Tabla1[Codigo_actividad],AF$2)</f>
        <v>0</v>
      </c>
      <c r="AG10" s="231">
        <f>+SUMIFS(Tabla1[Avance_Med],Tabla1[Fecha],"&gt;="&amp;$A10,Tabla1[Fecha],"&lt;="&amp;EOMONTH($A10,0),Tabla1[Codigo_actividad],AG$2)</f>
        <v>0</v>
      </c>
      <c r="AH10" s="231">
        <f>+SUMIFS(Tabla1[Avance_Med],Tabla1[Fecha],"&gt;="&amp;$A10,Tabla1[Fecha],"&lt;="&amp;EOMONTH($A10,0),Tabla1[Codigo_actividad],AH$2)</f>
        <v>0</v>
      </c>
      <c r="AI10" s="231">
        <f>+SUMIFS(Tabla1[Avance_Med],Tabla1[Fecha],"&gt;="&amp;$A10,Tabla1[Fecha],"&lt;="&amp;EOMONTH($A10,0),Tabla1[Codigo_actividad],AI$2)</f>
        <v>0</v>
      </c>
      <c r="AJ10" s="231">
        <f>+SUMIFS(Tabla1[Avance_Med],Tabla1[Fecha],"&gt;="&amp;$A10,Tabla1[Fecha],"&lt;="&amp;EOMONTH($A10,0),Tabla1[Codigo_actividad],AJ$2)</f>
        <v>0</v>
      </c>
      <c r="AK10" s="231">
        <f>+SUMIFS(Tabla1[Avance_Med],Tabla1[Fecha],"&gt;="&amp;$A10,Tabla1[Fecha],"&lt;="&amp;EOMONTH($A10,0),Tabla1[Codigo_actividad],AK$2)</f>
        <v>0</v>
      </c>
      <c r="AL10" s="231">
        <f>+SUMIFS(Tabla1[Avance_Med],Tabla1[Fecha],"&gt;="&amp;$A10,Tabla1[Fecha],"&lt;="&amp;EOMONTH($A10,0),Tabla1[Codigo_actividad],AL$2)</f>
        <v>0</v>
      </c>
      <c r="AM10" s="231">
        <f>+SUMIFS(Tabla1[Avance_Med],Tabla1[Fecha],"&gt;="&amp;$A10,Tabla1[Fecha],"&lt;="&amp;EOMONTH($A10,0),Tabla1[Codigo_actividad],AM$2)</f>
        <v>0</v>
      </c>
      <c r="AN10" s="442">
        <f>-[1]Dashboard!D68</f>
        <v>-85734.352079999997</v>
      </c>
      <c r="AP10" s="13">
        <f t="shared" si="0"/>
        <v>312307.15577000007</v>
      </c>
    </row>
    <row r="11" spans="1:42" x14ac:dyDescent="0.25">
      <c r="A11" s="242">
        <v>46143</v>
      </c>
      <c r="B11" s="231">
        <f>+SUMIFS(Tabla1[Avance_Med],Tabla1[Fecha],"&gt;="&amp;$A11,Tabla1[Fecha],"&lt;="&amp;EOMONTH($A11,0),Tabla1[Codigo_actividad],B$2)</f>
        <v>0</v>
      </c>
      <c r="C11" s="231">
        <f>+SUMIFS(Tabla1[Avance_Med],Tabla1[Fecha],"&gt;="&amp;$A11,Tabla1[Fecha],"&lt;="&amp;EOMONTH($A11,0),Tabla1[Codigo_actividad],C$2)</f>
        <v>0</v>
      </c>
      <c r="D11" s="231">
        <f>+SUMIFS(Tabla1[Avance_Med],Tabla1[Fecha],"&gt;="&amp;$A11,Tabla1[Fecha],"&lt;="&amp;EOMONTH($A11,0),Tabla1[Codigo_actividad],D$2)</f>
        <v>0</v>
      </c>
      <c r="E11" s="231">
        <f>+SUMIFS(Tabla1[Avance_Med],Tabla1[Fecha],"&gt;="&amp;$A11,Tabla1[Fecha],"&lt;="&amp;EOMONTH($A11,0),Tabla1[Codigo_actividad],E$2)</f>
        <v>0</v>
      </c>
      <c r="F11" s="231">
        <f>+SUMIFS(Tabla1[Avance_Med],Tabla1[Fecha],"&gt;="&amp;$A11,Tabla1[Fecha],"&lt;="&amp;EOMONTH($A11,0),Tabla1[Codigo_actividad],F$2)</f>
        <v>0</v>
      </c>
      <c r="G11" s="231">
        <f>+SUMIFS(Tabla1[Avance_Med],Tabla1[Fecha],"&gt;="&amp;$A11,Tabla1[Fecha],"&lt;="&amp;EOMONTH($A11,0),Tabla1[Codigo_actividad],G$2)</f>
        <v>0</v>
      </c>
      <c r="H11" s="231">
        <f>+SUMIFS(Tabla1[Avance_km],Tabla1[Fecha],"&gt;="&amp;$A11,Tabla1[Fecha],"&lt;="&amp;EOMONTH($A11,0),Tabla1[Codigo_actividad],H$2)</f>
        <v>11.253</v>
      </c>
      <c r="I11" s="231">
        <f>+SUMIFS(Tabla1[Avance_km],Tabla1[Fecha],"&gt;="&amp;$A11,Tabla1[Fecha],"&lt;="&amp;EOMONTH($A11,0),Tabla1[Codigo_actividad],I$2)</f>
        <v>0</v>
      </c>
      <c r="J11" s="231">
        <f>+SUMIFS(Tabla1[Avance_km],Tabla1[Fecha],"&gt;="&amp;$A11,Tabla1[Fecha],"&lt;="&amp;EOMONTH($A11,0),Tabla1[Codigo_actividad],J$2,Tabla1[Avance_km],"&gt;0")</f>
        <v>19.906000000000002</v>
      </c>
      <c r="K11" s="343">
        <f>+SUMIFS(Tabla1[Avance_km],Tabla1[Fecha],"&gt;="&amp;$A11,Tabla1[Fecha],"&lt;="&amp;EOMONTH($A11,0),Tabla1[Codigo_actividad],K$2)</f>
        <v>0</v>
      </c>
      <c r="L11" s="231">
        <f>+SUMIFS(Tabla1[Avance_Med],Tabla1[Fecha],"&gt;="&amp;$A11,Tabla1[Fecha],"&lt;="&amp;EOMONTH($A11,0),Tabla1[Codigo_actividad],L$2)</f>
        <v>0</v>
      </c>
      <c r="M11" s="231">
        <f>+SUMIFS(Tabla1[Avance_km],Tabla1[Fecha],"&gt;="&amp;$A11,Tabla1[Fecha],"&lt;="&amp;EOMONTH($A11,0),Tabla1[Codigo_actividad],M$2)</f>
        <v>3.6269999999999998</v>
      </c>
      <c r="N11" s="231">
        <f>+SUMIFS(Tabla1[Avance_Med],Tabla1[Fecha],"&gt;="&amp;$A11,Tabla1[Fecha],"&lt;="&amp;EOMONTH($A11,0),Tabla1[Codigo_actividad],N$2)</f>
        <v>0</v>
      </c>
      <c r="O11" s="231">
        <f>+SUMIFS(Tabla1[Avance_Med],Tabla1[Fecha],"&gt;="&amp;$A11,Tabla1[Fecha],"&lt;="&amp;EOMONTH($A11,0),Tabla1[Codigo_actividad],O$2)</f>
        <v>0</v>
      </c>
      <c r="P11" s="231">
        <f>+SUMIFS(Tabla1[Avance_Med],Tabla1[Fecha],"&gt;="&amp;$A11,Tabla1[Fecha],"&lt;="&amp;EOMONTH($A11,0),Tabla1[Codigo_actividad],P$2)</f>
        <v>0</v>
      </c>
      <c r="Q11" s="231">
        <f>+SUMIFS(Tabla1[Avance_Med],Tabla1[Fecha],"&gt;="&amp;$A11,Tabla1[Fecha],"&lt;="&amp;EOMONTH($A11,0),Tabla1[Codigo_actividad],Q$2)</f>
        <v>0</v>
      </c>
      <c r="R11" s="231">
        <f>+SUMIFS(Tabla1[Avance_Med],Tabla1[Fecha],"&gt;="&amp;$A11,Tabla1[Fecha],"&lt;="&amp;EOMONTH($A11,0),Tabla1[Codigo_actividad],R$2)</f>
        <v>0</v>
      </c>
      <c r="S11" s="231">
        <f>+SUMIFS(Tabla1[Avance_Med],Tabla1[Fecha],"&gt;="&amp;$A11,Tabla1[Fecha],"&lt;="&amp;EOMONTH($A11,0),Tabla1[Codigo_actividad],S$2)</f>
        <v>0</v>
      </c>
      <c r="T11" s="231">
        <f>+SUMIFS(Tabla1[Avance_Med],Tabla1[Fecha],"&gt;="&amp;$A11,Tabla1[Fecha],"&lt;="&amp;EOMONTH($A11,0),Tabla1[Codigo_actividad],T$2)</f>
        <v>0</v>
      </c>
      <c r="U11" s="231">
        <f>+SUMIFS(Tabla1[Avance_Med],Tabla1[Fecha],"&gt;="&amp;$A11,Tabla1[Fecha],"&lt;="&amp;EOMONTH($A11,0),Tabla1[Codigo_actividad],U$2)</f>
        <v>0</v>
      </c>
      <c r="V11" s="231">
        <f>+SUMIFS(Tabla1[Avance_Med],Tabla1[Fecha],"&gt;="&amp;$A11,Tabla1[Fecha],"&lt;="&amp;EOMONTH($A11,0),Tabla1[Codigo_actividad],V$2)</f>
        <v>0</v>
      </c>
      <c r="W11" s="231">
        <f>+SUMIFS(Tabla1[Avance_Med],Tabla1[Fecha],"&gt;="&amp;$A11,Tabla1[Fecha],"&lt;="&amp;EOMONTH($A11,0),Tabla1[Codigo_actividad],W$2)</f>
        <v>0</v>
      </c>
      <c r="X11" s="231">
        <f>+SUMIFS(Tabla1[Avance_Med],Tabla1[Fecha],"&gt;="&amp;$A11,Tabla1[Fecha],"&lt;="&amp;EOMONTH($A11,0),Tabla1[Codigo_actividad],X$2)</f>
        <v>0</v>
      </c>
      <c r="Y11" s="231">
        <f>+SUMIFS(Tabla1[Avance_Med],Tabla1[Fecha],"&gt;="&amp;$A11,Tabla1[Fecha],"&lt;="&amp;EOMONTH($A11,0),Tabla1[Codigo_actividad],Y$2)</f>
        <v>0</v>
      </c>
      <c r="Z11" s="231">
        <f>+SUMIFS(Tabla1[Avance_Med],Tabla1[Fecha],"&gt;="&amp;$A11,Tabla1[Fecha],"&lt;="&amp;EOMONTH($A11,0),Tabla1[Codigo_actividad],Z$2)</f>
        <v>0</v>
      </c>
      <c r="AA11" s="231">
        <f>+SUMIFS(Tabla1[Avance_Med],Tabla1[Fecha],"&gt;="&amp;$A11,Tabla1[Fecha],"&lt;="&amp;EOMONTH($A11,0),Tabla1[Codigo_actividad],AA$2)</f>
        <v>0</v>
      </c>
      <c r="AB11" s="231">
        <f>+SUMIFS(Tabla1[Avance_Med],Tabla1[Fecha],"&gt;="&amp;$A11,Tabla1[Fecha],"&lt;="&amp;EOMONTH($A11,0),Tabla1[Codigo_actividad],AB$2)</f>
        <v>0</v>
      </c>
      <c r="AC11" s="231">
        <f>+SUMIFS(Tabla1[Avance_Med],Tabla1[Fecha],"&gt;="&amp;$A11,Tabla1[Fecha],"&lt;="&amp;EOMONTH($A11,0),Tabla1[Codigo_actividad],AC$2)</f>
        <v>0</v>
      </c>
      <c r="AD11" s="231">
        <f>+SUMIFS(Tabla1[Avance_Med],Tabla1[Fecha],"&gt;="&amp;$A11,Tabla1[Fecha],"&lt;="&amp;EOMONTH($A11,0),Tabla1[Codigo_actividad],AD$2)</f>
        <v>0</v>
      </c>
      <c r="AE11" s="231">
        <f>+SUMIFS(Tabla1[Avance_Med],Tabla1[Fecha],"&gt;="&amp;$A11,Tabla1[Fecha],"&lt;="&amp;EOMONTH($A11,0),Tabla1[Codigo_actividad],AE$2)</f>
        <v>0</v>
      </c>
      <c r="AF11" s="231">
        <f>+SUMIFS(Tabla1[Avance_Med],Tabla1[Fecha],"&gt;="&amp;$A11,Tabla1[Fecha],"&lt;="&amp;EOMONTH($A11,0),Tabla1[Codigo_actividad],AF$2)</f>
        <v>0</v>
      </c>
      <c r="AG11" s="231">
        <f>+SUMIFS(Tabla1[Avance_Med],Tabla1[Fecha],"&gt;="&amp;$A11,Tabla1[Fecha],"&lt;="&amp;EOMONTH($A11,0),Tabla1[Codigo_actividad],AG$2)</f>
        <v>0</v>
      </c>
      <c r="AH11" s="231">
        <f>+SUMIFS(Tabla1[Avance_Med],Tabla1[Fecha],"&gt;="&amp;$A11,Tabla1[Fecha],"&lt;="&amp;EOMONTH($A11,0),Tabla1[Codigo_actividad],AH$2)</f>
        <v>0</v>
      </c>
      <c r="AI11" s="231">
        <f>+SUMIFS(Tabla1[Avance_Med],Tabla1[Fecha],"&gt;="&amp;$A11,Tabla1[Fecha],"&lt;="&amp;EOMONTH($A11,0),Tabla1[Codigo_actividad],AI$2)</f>
        <v>0</v>
      </c>
      <c r="AJ11" s="231">
        <f>+SUMIFS(Tabla1[Avance_Med],Tabla1[Fecha],"&gt;="&amp;$A11,Tabla1[Fecha],"&lt;="&amp;EOMONTH($A11,0),Tabla1[Codigo_actividad],AJ$2)</f>
        <v>0</v>
      </c>
      <c r="AK11" s="231">
        <f>+SUMIFS(Tabla1[Avance_Med],Tabla1[Fecha],"&gt;="&amp;$A11,Tabla1[Fecha],"&lt;="&amp;EOMONTH($A11,0),Tabla1[Codigo_actividad],AK$2)</f>
        <v>0</v>
      </c>
      <c r="AL11" s="231">
        <f>+SUMIFS(Tabla1[Avance_Med],Tabla1[Fecha],"&gt;="&amp;$A11,Tabla1[Fecha],"&lt;="&amp;EOMONTH($A11,0),Tabla1[Codigo_actividad],AL$2)</f>
        <v>0</v>
      </c>
      <c r="AM11" s="231">
        <f>+SUMIFS(Tabla1[Avance_Med],Tabla1[Fecha],"&gt;="&amp;$A11,Tabla1[Fecha],"&lt;="&amp;EOMONTH($A11,0),Tabla1[Codigo_actividad],AM$2)</f>
        <v>0</v>
      </c>
      <c r="AN11" s="442">
        <f>-[1]Dashboard!D69</f>
        <v>-85734.352079999997</v>
      </c>
      <c r="AP11" s="13">
        <f t="shared" si="0"/>
        <v>441435.45984999998</v>
      </c>
    </row>
    <row r="12" spans="1:42" x14ac:dyDescent="0.25">
      <c r="A12" s="242">
        <v>46174</v>
      </c>
      <c r="B12" s="231">
        <f>+SUMIFS(Tabla1[Avance_Med],Tabla1[Fecha],"&gt;="&amp;$A12,Tabla1[Fecha],"&lt;="&amp;EOMONTH($A12,0),Tabla1[Codigo_actividad],B$2)</f>
        <v>0</v>
      </c>
      <c r="C12" s="231">
        <f>+SUMIFS(Tabla1[Avance_Med],Tabla1[Fecha],"&gt;="&amp;$A12,Tabla1[Fecha],"&lt;="&amp;EOMONTH($A12,0),Tabla1[Codigo_actividad],C$2)</f>
        <v>0</v>
      </c>
      <c r="D12" s="231">
        <f>+SUMIFS(Tabla1[Avance_Med],Tabla1[Fecha],"&gt;="&amp;$A12,Tabla1[Fecha],"&lt;="&amp;EOMONTH($A12,0),Tabla1[Codigo_actividad],D$2)</f>
        <v>0</v>
      </c>
      <c r="E12" s="231">
        <f>+SUMIFS(Tabla1[Avance_Med],Tabla1[Fecha],"&gt;="&amp;$A12,Tabla1[Fecha],"&lt;="&amp;EOMONTH($A12,0),Tabla1[Codigo_actividad],E$2)</f>
        <v>0</v>
      </c>
      <c r="F12" s="231">
        <f>+SUMIFS(Tabla1[Avance_Med],Tabla1[Fecha],"&gt;="&amp;$A12,Tabla1[Fecha],"&lt;="&amp;EOMONTH($A12,0),Tabla1[Codigo_actividad],F$2)</f>
        <v>0</v>
      </c>
      <c r="G12" s="231">
        <f>+SUMIFS(Tabla1[Avance_Med],Tabla1[Fecha],"&gt;="&amp;$A12,Tabla1[Fecha],"&lt;="&amp;EOMONTH($A12,0),Tabla1[Codigo_actividad],G$2)</f>
        <v>0</v>
      </c>
      <c r="H12" s="231">
        <f>+SUMIFS(Tabla1[Avance_km],Tabla1[Fecha],"&gt;="&amp;$A12,Tabla1[Fecha],"&lt;="&amp;EOMONTH($A12,0),Tabla1[Codigo_actividad],H$2)</f>
        <v>20.328000000000003</v>
      </c>
      <c r="I12" s="231">
        <f>+SUMIFS(Tabla1[Avance_km],Tabla1[Fecha],"&gt;="&amp;$A12,Tabla1[Fecha],"&lt;="&amp;EOMONTH($A12,0),Tabla1[Codigo_actividad],I$2)</f>
        <v>0</v>
      </c>
      <c r="J12" s="231">
        <f>+SUMIFS(Tabla1[Avance_km],Tabla1[Fecha],"&gt;="&amp;$A12,Tabla1[Fecha],"&lt;="&amp;EOMONTH($A12,0),Tabla1[Codigo_actividad],J$2,Tabla1[Avance_km],"&gt;0")</f>
        <v>0</v>
      </c>
      <c r="K12" s="343">
        <f>+SUMIFS(Tabla1[Avance_km],Tabla1[Fecha],"&gt;="&amp;$A12,Tabla1[Fecha],"&lt;="&amp;EOMONTH($A12,0),Tabla1[Codigo_actividad],K$2)</f>
        <v>0</v>
      </c>
      <c r="L12" s="231">
        <f>+SUMIFS(Tabla1[Avance_Med],Tabla1[Fecha],"&gt;="&amp;$A12,Tabla1[Fecha],"&lt;="&amp;EOMONTH($A12,0),Tabla1[Codigo_actividad],L$2)</f>
        <v>0</v>
      </c>
      <c r="M12" s="231">
        <f>+SUMIFS(Tabla1[Avance_km],Tabla1[Fecha],"&gt;="&amp;$A12,Tabla1[Fecha],"&lt;="&amp;EOMONTH($A12,0),Tabla1[Codigo_actividad],M$2)</f>
        <v>5.4169999999999998</v>
      </c>
      <c r="N12" s="231">
        <f>+SUMIFS(Tabla1[Avance_Med],Tabla1[Fecha],"&gt;="&amp;$A12,Tabla1[Fecha],"&lt;="&amp;EOMONTH($A12,0),Tabla1[Codigo_actividad],N$2)</f>
        <v>0</v>
      </c>
      <c r="O12" s="231">
        <f>+SUMIFS(Tabla1[Avance_Med],Tabla1[Fecha],"&gt;="&amp;$A12,Tabla1[Fecha],"&lt;="&amp;EOMONTH($A12,0),Tabla1[Codigo_actividad],O$2)</f>
        <v>0</v>
      </c>
      <c r="P12" s="231">
        <f>+SUMIFS(Tabla1[Avance_Med],Tabla1[Fecha],"&gt;="&amp;$A12,Tabla1[Fecha],"&lt;="&amp;EOMONTH($A12,0),Tabla1[Codigo_actividad],P$2)</f>
        <v>0</v>
      </c>
      <c r="Q12" s="231">
        <f>+SUMIFS(Tabla1[Avance_Med],Tabla1[Fecha],"&gt;="&amp;$A12,Tabla1[Fecha],"&lt;="&amp;EOMONTH($A12,0),Tabla1[Codigo_actividad],Q$2)</f>
        <v>0</v>
      </c>
      <c r="R12" s="231">
        <f>+SUMIFS(Tabla1[Avance_Med],Tabla1[Fecha],"&gt;="&amp;$A12,Tabla1[Fecha],"&lt;="&amp;EOMONTH($A12,0),Tabla1[Codigo_actividad],R$2)</f>
        <v>0</v>
      </c>
      <c r="S12" s="231">
        <f>+SUMIFS(Tabla1[Avance_Med],Tabla1[Fecha],"&gt;="&amp;$A12,Tabla1[Fecha],"&lt;="&amp;EOMONTH($A12,0),Tabla1[Codigo_actividad],S$2)</f>
        <v>0</v>
      </c>
      <c r="T12" s="231">
        <f>+SUMIFS(Tabla1[Avance_Med],Tabla1[Fecha],"&gt;="&amp;$A12,Tabla1[Fecha],"&lt;="&amp;EOMONTH($A12,0),Tabla1[Codigo_actividad],T$2)</f>
        <v>0</v>
      </c>
      <c r="U12" s="231">
        <f>+SUMIFS(Tabla1[Avance_Med],Tabla1[Fecha],"&gt;="&amp;$A12,Tabla1[Fecha],"&lt;="&amp;EOMONTH($A12,0),Tabla1[Codigo_actividad],U$2)</f>
        <v>0</v>
      </c>
      <c r="V12" s="231">
        <f>+SUMIFS(Tabla1[Avance_Med],Tabla1[Fecha],"&gt;="&amp;$A12,Tabla1[Fecha],"&lt;="&amp;EOMONTH($A12,0),Tabla1[Codigo_actividad],V$2)</f>
        <v>0</v>
      </c>
      <c r="W12" s="231">
        <f>+SUMIFS(Tabla1[Avance_Med],Tabla1[Fecha],"&gt;="&amp;$A12,Tabla1[Fecha],"&lt;="&amp;EOMONTH($A12,0),Tabla1[Codigo_actividad],W$2)</f>
        <v>0</v>
      </c>
      <c r="X12" s="231">
        <f>+SUMIFS(Tabla1[Avance_Med],Tabla1[Fecha],"&gt;="&amp;$A12,Tabla1[Fecha],"&lt;="&amp;EOMONTH($A12,0),Tabla1[Codigo_actividad],X$2)</f>
        <v>0</v>
      </c>
      <c r="Y12" s="231">
        <f>+SUMIFS(Tabla1[Avance_Med],Tabla1[Fecha],"&gt;="&amp;$A12,Tabla1[Fecha],"&lt;="&amp;EOMONTH($A12,0),Tabla1[Codigo_actividad],Y$2)</f>
        <v>0</v>
      </c>
      <c r="Z12" s="231">
        <f>+SUMIFS(Tabla1[Avance_Med],Tabla1[Fecha],"&gt;="&amp;$A12,Tabla1[Fecha],"&lt;="&amp;EOMONTH($A12,0),Tabla1[Codigo_actividad],Z$2)</f>
        <v>0</v>
      </c>
      <c r="AA12" s="231">
        <f>+SUMIFS(Tabla1[Avance_Med],Tabla1[Fecha],"&gt;="&amp;$A12,Tabla1[Fecha],"&lt;="&amp;EOMONTH($A12,0),Tabla1[Codigo_actividad],AA$2)</f>
        <v>0</v>
      </c>
      <c r="AB12" s="231">
        <f>+SUMIFS(Tabla1[Avance_Med],Tabla1[Fecha],"&gt;="&amp;$A12,Tabla1[Fecha],"&lt;="&amp;EOMONTH($A12,0),Tabla1[Codigo_actividad],AB$2)</f>
        <v>0</v>
      </c>
      <c r="AC12" s="231">
        <f>+SUMIFS(Tabla1[Avance_Med],Tabla1[Fecha],"&gt;="&amp;$A12,Tabla1[Fecha],"&lt;="&amp;EOMONTH($A12,0),Tabla1[Codigo_actividad],AC$2)</f>
        <v>0</v>
      </c>
      <c r="AD12" s="231">
        <f>+SUMIFS(Tabla1[Avance_Med],Tabla1[Fecha],"&gt;="&amp;$A12,Tabla1[Fecha],"&lt;="&amp;EOMONTH($A12,0),Tabla1[Codigo_actividad],AD$2)</f>
        <v>0</v>
      </c>
      <c r="AE12" s="231">
        <f>+SUMIFS(Tabla1[Avance_Med],Tabla1[Fecha],"&gt;="&amp;$A12,Tabla1[Fecha],"&lt;="&amp;EOMONTH($A12,0),Tabla1[Codigo_actividad],AE$2)</f>
        <v>0</v>
      </c>
      <c r="AF12" s="231">
        <f>+SUMIFS(Tabla1[Avance_Med],Tabla1[Fecha],"&gt;="&amp;$A12,Tabla1[Fecha],"&lt;="&amp;EOMONTH($A12,0),Tabla1[Codigo_actividad],AF$2)</f>
        <v>0</v>
      </c>
      <c r="AG12" s="231">
        <f>+SUMIFS(Tabla1[Avance_Med],Tabla1[Fecha],"&gt;="&amp;$A12,Tabla1[Fecha],"&lt;="&amp;EOMONTH($A12,0),Tabla1[Codigo_actividad],AG$2)</f>
        <v>0</v>
      </c>
      <c r="AH12" s="231">
        <f>+SUMIFS(Tabla1[Avance_Med],Tabla1[Fecha],"&gt;="&amp;$A12,Tabla1[Fecha],"&lt;="&amp;EOMONTH($A12,0),Tabla1[Codigo_actividad],AH$2)</f>
        <v>0</v>
      </c>
      <c r="AI12" s="231">
        <f>+SUMIFS(Tabla1[Avance_Med],Tabla1[Fecha],"&gt;="&amp;$A12,Tabla1[Fecha],"&lt;="&amp;EOMONTH($A12,0),Tabla1[Codigo_actividad],AI$2)</f>
        <v>0</v>
      </c>
      <c r="AJ12" s="231">
        <f>+SUMIFS(Tabla1[Avance_Med],Tabla1[Fecha],"&gt;="&amp;$A12,Tabla1[Fecha],"&lt;="&amp;EOMONTH($A12,0),Tabla1[Codigo_actividad],AJ$2)</f>
        <v>0</v>
      </c>
      <c r="AK12" s="231">
        <f>+SUMIFS(Tabla1[Avance_Med],Tabla1[Fecha],"&gt;="&amp;$A12,Tabla1[Fecha],"&lt;="&amp;EOMONTH($A12,0),Tabla1[Codigo_actividad],AK$2)</f>
        <v>0</v>
      </c>
      <c r="AL12" s="231">
        <f>+SUMIFS(Tabla1[Avance_Med],Tabla1[Fecha],"&gt;="&amp;$A12,Tabla1[Fecha],"&lt;="&amp;EOMONTH($A12,0),Tabla1[Codigo_actividad],AL$2)</f>
        <v>0</v>
      </c>
      <c r="AM12" s="231">
        <f>+SUMIFS(Tabla1[Avance_Med],Tabla1[Fecha],"&gt;="&amp;$A12,Tabla1[Fecha],"&lt;="&amp;EOMONTH($A12,0),Tabla1[Codigo_actividad],AM$2)</f>
        <v>0</v>
      </c>
      <c r="AN12" s="442">
        <f>-[1]Dashboard!D70</f>
        <v>-102830.79528000001</v>
      </c>
      <c r="AP12" s="13">
        <f t="shared" si="0"/>
        <v>307419.66662000003</v>
      </c>
    </row>
    <row r="13" spans="1:42" x14ac:dyDescent="0.25">
      <c r="A13" s="242">
        <v>46204</v>
      </c>
      <c r="B13" s="231">
        <f>+SUMIFS(Tabla1[Avance_Med],Tabla1[Fecha],"&gt;="&amp;$A13,Tabla1[Fecha],"&lt;="&amp;EOMONTH($A13,0),Tabla1[Codigo_actividad],B$2)</f>
        <v>0</v>
      </c>
      <c r="C13" s="231">
        <f>+SUMIFS(Tabla1[Avance_Med],Tabla1[Fecha],"&gt;="&amp;$A13,Tabla1[Fecha],"&lt;="&amp;EOMONTH($A13,0),Tabla1[Codigo_actividad],C$2)</f>
        <v>0</v>
      </c>
      <c r="D13" s="231">
        <f>+SUMIFS(Tabla1[Avance_Med],Tabla1[Fecha],"&gt;="&amp;$A13,Tabla1[Fecha],"&lt;="&amp;EOMONTH($A13,0),Tabla1[Codigo_actividad],D$2)</f>
        <v>0</v>
      </c>
      <c r="E13" s="231">
        <f>+SUMIFS(Tabla1[Avance_Med],Tabla1[Fecha],"&gt;="&amp;$A13,Tabla1[Fecha],"&lt;="&amp;EOMONTH($A13,0),Tabla1[Codigo_actividad],E$2)</f>
        <v>0</v>
      </c>
      <c r="F13" s="231">
        <f>+SUMIFS(Tabla1[Avance_Med],Tabla1[Fecha],"&gt;="&amp;$A13,Tabla1[Fecha],"&lt;="&amp;EOMONTH($A13,0),Tabla1[Codigo_actividad],F$2)</f>
        <v>0</v>
      </c>
      <c r="G13" s="231">
        <f>+SUMIFS(Tabla1[Avance_Med],Tabla1[Fecha],"&gt;="&amp;$A13,Tabla1[Fecha],"&lt;="&amp;EOMONTH($A13,0),Tabla1[Codigo_actividad],G$2)</f>
        <v>0</v>
      </c>
      <c r="H13" s="231">
        <f>+SUMIFS(Tabla1[Avance_km],Tabla1[Fecha],"&gt;="&amp;$A13,Tabla1[Fecha],"&lt;="&amp;EOMONTH($A13,0),Tabla1[Codigo_actividad],H$2)</f>
        <v>13.568</v>
      </c>
      <c r="I13" s="231">
        <f>+SUMIFS(Tabla1[Avance_km],Tabla1[Fecha],"&gt;="&amp;$A13,Tabla1[Fecha],"&lt;="&amp;EOMONTH($A13,0),Tabla1[Codigo_actividad],I$2)</f>
        <v>0</v>
      </c>
      <c r="J13" s="231">
        <f>+SUMIFS(Tabla1[Avance_km],Tabla1[Fecha],"&gt;="&amp;$A13,Tabla1[Fecha],"&lt;="&amp;EOMONTH($A13,0),Tabla1[Codigo_actividad],J$2,Tabla1[Avance_km],"&gt;0")</f>
        <v>10.538</v>
      </c>
      <c r="K13" s="343">
        <f>+SUMIFS(Tabla1[Avance_km],Tabla1[Fecha],"&gt;="&amp;$A13,Tabla1[Fecha],"&lt;="&amp;EOMONTH($A13,0),Tabla1[Codigo_actividad],K$2)</f>
        <v>0</v>
      </c>
      <c r="L13" s="231">
        <f>+SUMIFS(Tabla1[Avance_Med],Tabla1[Fecha],"&gt;="&amp;$A13,Tabla1[Fecha],"&lt;="&amp;EOMONTH($A13,0),Tabla1[Codigo_actividad],L$2)</f>
        <v>0</v>
      </c>
      <c r="M13" s="231">
        <f>+SUMIFS(Tabla1[Avance_km],Tabla1[Fecha],"&gt;="&amp;$A13,Tabla1[Fecha],"&lt;="&amp;EOMONTH($A13,0),Tabla1[Codigo_actividad],M$2)</f>
        <v>13.835000000000001</v>
      </c>
      <c r="N13" s="231">
        <f>+SUMIFS(Tabla1[Avance_Med],Tabla1[Fecha],"&gt;="&amp;$A13,Tabla1[Fecha],"&lt;="&amp;EOMONTH($A13,0),Tabla1[Codigo_actividad],N$2)</f>
        <v>0</v>
      </c>
      <c r="O13" s="231">
        <f>+SUMIFS(Tabla1[Avance_Med],Tabla1[Fecha],"&gt;="&amp;$A13,Tabla1[Fecha],"&lt;="&amp;EOMONTH($A13,0),Tabla1[Codigo_actividad],O$2)</f>
        <v>0</v>
      </c>
      <c r="P13" s="231">
        <f>+SUMIFS(Tabla1[Avance_Med],Tabla1[Fecha],"&gt;="&amp;$A13,Tabla1[Fecha],"&lt;="&amp;EOMONTH($A13,0),Tabla1[Codigo_actividad],P$2)</f>
        <v>0</v>
      </c>
      <c r="Q13" s="231">
        <f>+SUMIFS(Tabla1[Avance_Med],Tabla1[Fecha],"&gt;="&amp;$A13,Tabla1[Fecha],"&lt;="&amp;EOMONTH($A13,0),Tabla1[Codigo_actividad],Q$2)</f>
        <v>0</v>
      </c>
      <c r="R13" s="231">
        <f>+SUMIFS(Tabla1[Avance_Med],Tabla1[Fecha],"&gt;="&amp;$A13,Tabla1[Fecha],"&lt;="&amp;EOMONTH($A13,0),Tabla1[Codigo_actividad],R$2)</f>
        <v>0</v>
      </c>
      <c r="S13" s="231">
        <f>+SUMIFS(Tabla1[Avance_Med],Tabla1[Fecha],"&gt;="&amp;$A13,Tabla1[Fecha],"&lt;="&amp;EOMONTH($A13,0),Tabla1[Codigo_actividad],S$2)</f>
        <v>0</v>
      </c>
      <c r="T13" s="231">
        <f>+SUMIFS(Tabla1[Avance_Med],Tabla1[Fecha],"&gt;="&amp;$A13,Tabla1[Fecha],"&lt;="&amp;EOMONTH($A13,0),Tabla1[Codigo_actividad],T$2)</f>
        <v>0</v>
      </c>
      <c r="U13" s="231">
        <f>+SUMIFS(Tabla1[Avance_Med],Tabla1[Fecha],"&gt;="&amp;$A13,Tabla1[Fecha],"&lt;="&amp;EOMONTH($A13,0),Tabla1[Codigo_actividad],U$2)</f>
        <v>0</v>
      </c>
      <c r="V13" s="231">
        <f>+SUMIFS(Tabla1[Avance_Med],Tabla1[Fecha],"&gt;="&amp;$A13,Tabla1[Fecha],"&lt;="&amp;EOMONTH($A13,0),Tabla1[Codigo_actividad],V$2)</f>
        <v>0</v>
      </c>
      <c r="W13" s="231">
        <f>+SUMIFS(Tabla1[Avance_Med],Tabla1[Fecha],"&gt;="&amp;$A13,Tabla1[Fecha],"&lt;="&amp;EOMONTH($A13,0),Tabla1[Codigo_actividad],W$2)</f>
        <v>0</v>
      </c>
      <c r="X13" s="231">
        <f>+SUMIFS(Tabla1[Avance_Med],Tabla1[Fecha],"&gt;="&amp;$A13,Tabla1[Fecha],"&lt;="&amp;EOMONTH($A13,0),Tabla1[Codigo_actividad],X$2)</f>
        <v>0</v>
      </c>
      <c r="Y13" s="231">
        <f>+SUMIFS(Tabla1[Avance_Med],Tabla1[Fecha],"&gt;="&amp;$A13,Tabla1[Fecha],"&lt;="&amp;EOMONTH($A13,0),Tabla1[Codigo_actividad],Y$2)</f>
        <v>0</v>
      </c>
      <c r="Z13" s="231">
        <f>+SUMIFS(Tabla1[Avance_Med],Tabla1[Fecha],"&gt;="&amp;$A13,Tabla1[Fecha],"&lt;="&amp;EOMONTH($A13,0),Tabla1[Codigo_actividad],Z$2)</f>
        <v>0</v>
      </c>
      <c r="AA13" s="231">
        <f>+SUMIFS(Tabla1[Avance_Med],Tabla1[Fecha],"&gt;="&amp;$A13,Tabla1[Fecha],"&lt;="&amp;EOMONTH($A13,0),Tabla1[Codigo_actividad],AA$2)</f>
        <v>0</v>
      </c>
      <c r="AB13" s="231">
        <f>+SUMIFS(Tabla1[Avance_Med],Tabla1[Fecha],"&gt;="&amp;$A13,Tabla1[Fecha],"&lt;="&amp;EOMONTH($A13,0),Tabla1[Codigo_actividad],AB$2)</f>
        <v>0</v>
      </c>
      <c r="AC13" s="231">
        <f>+SUMIFS(Tabla1[Avance_Med],Tabla1[Fecha],"&gt;="&amp;$A13,Tabla1[Fecha],"&lt;="&amp;EOMONTH($A13,0),Tabla1[Codigo_actividad],AC$2)</f>
        <v>0</v>
      </c>
      <c r="AD13" s="231">
        <f>+SUMIFS(Tabla1[Avance_Med],Tabla1[Fecha],"&gt;="&amp;$A13,Tabla1[Fecha],"&lt;="&amp;EOMONTH($A13,0),Tabla1[Codigo_actividad],AD$2)</f>
        <v>0</v>
      </c>
      <c r="AE13" s="231">
        <f>+SUMIFS(Tabla1[Avance_Med],Tabla1[Fecha],"&gt;="&amp;$A13,Tabla1[Fecha],"&lt;="&amp;EOMONTH($A13,0),Tabla1[Codigo_actividad],AE$2)</f>
        <v>0</v>
      </c>
      <c r="AF13" s="231">
        <f>+SUMIFS(Tabla1[Avance_Med],Tabla1[Fecha],"&gt;="&amp;$A13,Tabla1[Fecha],"&lt;="&amp;EOMONTH($A13,0),Tabla1[Codigo_actividad],AF$2)</f>
        <v>0</v>
      </c>
      <c r="AG13" s="231">
        <f>+SUMIFS(Tabla1[Avance_Med],Tabla1[Fecha],"&gt;="&amp;$A13,Tabla1[Fecha],"&lt;="&amp;EOMONTH($A13,0),Tabla1[Codigo_actividad],AG$2)</f>
        <v>0</v>
      </c>
      <c r="AH13" s="231">
        <f>+SUMIFS(Tabla1[Avance_Med],Tabla1[Fecha],"&gt;="&amp;$A13,Tabla1[Fecha],"&lt;="&amp;EOMONTH($A13,0),Tabla1[Codigo_actividad],AH$2)</f>
        <v>0</v>
      </c>
      <c r="AI13" s="231">
        <f>+SUMIFS(Tabla1[Avance_Med],Tabla1[Fecha],"&gt;="&amp;$A13,Tabla1[Fecha],"&lt;="&amp;EOMONTH($A13,0),Tabla1[Codigo_actividad],AI$2)</f>
        <v>0</v>
      </c>
      <c r="AJ13" s="231">
        <f>+SUMIFS(Tabla1[Avance_Med],Tabla1[Fecha],"&gt;="&amp;$A13,Tabla1[Fecha],"&lt;="&amp;EOMONTH($A13,0),Tabla1[Codigo_actividad],AJ$2)</f>
        <v>0</v>
      </c>
      <c r="AK13" s="231">
        <f>+SUMIFS(Tabla1[Avance_Med],Tabla1[Fecha],"&gt;="&amp;$A13,Tabla1[Fecha],"&lt;="&amp;EOMONTH($A13,0),Tabla1[Codigo_actividad],AK$2)</f>
        <v>0</v>
      </c>
      <c r="AL13" s="231">
        <f>+SUMIFS(Tabla1[Avance_Med],Tabla1[Fecha],"&gt;="&amp;$A13,Tabla1[Fecha],"&lt;="&amp;EOMONTH($A13,0),Tabla1[Codigo_actividad],AL$2)</f>
        <v>0</v>
      </c>
      <c r="AM13" s="231">
        <f>+SUMIFS(Tabla1[Avance_Med],Tabla1[Fecha],"&gt;="&amp;$A13,Tabla1[Fecha],"&lt;="&amp;EOMONTH($A13,0),Tabla1[Codigo_actividad],AM$2)</f>
        <v>0</v>
      </c>
      <c r="AN13" s="442">
        <f>-[1]Dashboard!D71</f>
        <v>-102830.79528000001</v>
      </c>
      <c r="AP13" s="13">
        <f t="shared" si="0"/>
        <v>371107.12552</v>
      </c>
    </row>
    <row r="14" spans="1:42" x14ac:dyDescent="0.25">
      <c r="A14" s="242">
        <v>46235</v>
      </c>
      <c r="B14" s="231">
        <f>+SUMIFS(Tabla1[Avance_Med],Tabla1[Fecha],"&gt;="&amp;$A14,Tabla1[Fecha],"&lt;="&amp;EOMONTH($A14,0),Tabla1[Codigo_actividad],B$2)</f>
        <v>0</v>
      </c>
      <c r="C14" s="231">
        <f>+SUMIFS(Tabla1[Avance_Med],Tabla1[Fecha],"&gt;="&amp;$A14,Tabla1[Fecha],"&lt;="&amp;EOMONTH($A14,0),Tabla1[Codigo_actividad],C$2)</f>
        <v>0</v>
      </c>
      <c r="D14" s="231">
        <f>+SUMIFS(Tabla1[Avance_Med],Tabla1[Fecha],"&gt;="&amp;$A14,Tabla1[Fecha],"&lt;="&amp;EOMONTH($A14,0),Tabla1[Codigo_actividad],D$2)</f>
        <v>0</v>
      </c>
      <c r="E14" s="231">
        <f>+SUMIFS(Tabla1[Avance_Med],Tabla1[Fecha],"&gt;="&amp;$A14,Tabla1[Fecha],"&lt;="&amp;EOMONTH($A14,0),Tabla1[Codigo_actividad],E$2)</f>
        <v>0</v>
      </c>
      <c r="F14" s="231">
        <f>+SUMIFS(Tabla1[Avance_Med],Tabla1[Fecha],"&gt;="&amp;$A14,Tabla1[Fecha],"&lt;="&amp;EOMONTH($A14,0),Tabla1[Codigo_actividad],F$2)</f>
        <v>0</v>
      </c>
      <c r="G14" s="231">
        <f>+SUMIFS(Tabla1[Avance_Med],Tabla1[Fecha],"&gt;="&amp;$A14,Tabla1[Fecha],"&lt;="&amp;EOMONTH($A14,0),Tabla1[Codigo_actividad],G$2)</f>
        <v>0</v>
      </c>
      <c r="H14" s="231">
        <f>+SUMIFS(Tabla1[Avance_km],Tabla1[Fecha],"&gt;="&amp;$A14,Tabla1[Fecha],"&lt;="&amp;EOMONTH($A14,0),Tabla1[Codigo_actividad],H$2)</f>
        <v>10.033000000000001</v>
      </c>
      <c r="I14" s="231">
        <f>+SUMIFS(Tabla1[Avance_km],Tabla1[Fecha],"&gt;="&amp;$A14,Tabla1[Fecha],"&lt;="&amp;EOMONTH($A14,0),Tabla1[Codigo_actividad],I$2)</f>
        <v>0</v>
      </c>
      <c r="J14" s="231">
        <f>+SUMIFS(Tabla1[Avance_km],Tabla1[Fecha],"&gt;="&amp;$A14,Tabla1[Fecha],"&lt;="&amp;EOMONTH($A14,0),Tabla1[Codigo_actividad],J$2,Tabla1[Avance_km],"&gt;0")</f>
        <v>12.395</v>
      </c>
      <c r="K14" s="343">
        <f>+SUMIFS(Tabla1[Avance_km],Tabla1[Fecha],"&gt;="&amp;$A14,Tabla1[Fecha],"&lt;="&amp;EOMONTH($A14,0),Tabla1[Codigo_actividad],K$2)</f>
        <v>21.928769709731398</v>
      </c>
      <c r="L14" s="231">
        <f>+SUMIFS(Tabla1[Avance_Med],Tabla1[Fecha],"&gt;="&amp;$A14,Tabla1[Fecha],"&lt;="&amp;EOMONTH($A14,0),Tabla1[Codigo_actividad],L$2)</f>
        <v>0</v>
      </c>
      <c r="M14" s="231">
        <f>+SUMIFS(Tabla1[Avance_km],Tabla1[Fecha],"&gt;="&amp;$A14,Tabla1[Fecha],"&lt;="&amp;EOMONTH($A14,0),Tabla1[Codigo_actividad],M$2)</f>
        <v>12.17</v>
      </c>
      <c r="N14" s="231">
        <f>+SUMIFS(Tabla1[Avance_Med],Tabla1[Fecha],"&gt;="&amp;$A14,Tabla1[Fecha],"&lt;="&amp;EOMONTH($A14,0),Tabla1[Codigo_actividad],N$2)</f>
        <v>0</v>
      </c>
      <c r="O14" s="231">
        <f>+SUMIFS(Tabla1[Avance_Med],Tabla1[Fecha],"&gt;="&amp;$A14,Tabla1[Fecha],"&lt;="&amp;EOMONTH($A14,0),Tabla1[Codigo_actividad],O$2)</f>
        <v>0</v>
      </c>
      <c r="P14" s="231">
        <f>+SUMIFS(Tabla1[Avance_Med],Tabla1[Fecha],"&gt;="&amp;$A14,Tabla1[Fecha],"&lt;="&amp;EOMONTH($A14,0),Tabla1[Codigo_actividad],P$2)</f>
        <v>0</v>
      </c>
      <c r="Q14" s="231">
        <f>+SUMIFS(Tabla1[Avance_Med],Tabla1[Fecha],"&gt;="&amp;$A14,Tabla1[Fecha],"&lt;="&amp;EOMONTH($A14,0),Tabla1[Codigo_actividad],Q$2)</f>
        <v>2</v>
      </c>
      <c r="R14" s="231">
        <f>+SUMIFS(Tabla1[Avance_Med],Tabla1[Fecha],"&gt;="&amp;$A14,Tabla1[Fecha],"&lt;="&amp;EOMONTH($A14,0),Tabla1[Codigo_actividad],R$2)</f>
        <v>2</v>
      </c>
      <c r="S14" s="231">
        <f>+SUMIFS(Tabla1[Avance_Med],Tabla1[Fecha],"&gt;="&amp;$A14,Tabla1[Fecha],"&lt;="&amp;EOMONTH($A14,0),Tabla1[Codigo_actividad],S$2)</f>
        <v>2</v>
      </c>
      <c r="T14" s="231">
        <f>+SUMIFS(Tabla1[Avance_Med],Tabla1[Fecha],"&gt;="&amp;$A14,Tabla1[Fecha],"&lt;="&amp;EOMONTH($A14,0),Tabla1[Codigo_actividad],T$2)</f>
        <v>2</v>
      </c>
      <c r="U14" s="231">
        <f>+SUMIFS(Tabla1[Avance_Med],Tabla1[Fecha],"&gt;="&amp;$A14,Tabla1[Fecha],"&lt;="&amp;EOMONTH($A14,0),Tabla1[Codigo_actividad],U$2)</f>
        <v>0</v>
      </c>
      <c r="V14" s="231">
        <f>+SUMIFS(Tabla1[Avance_Med],Tabla1[Fecha],"&gt;="&amp;$A14,Tabla1[Fecha],"&lt;="&amp;EOMONTH($A14,0),Tabla1[Codigo_actividad],V$2)</f>
        <v>2</v>
      </c>
      <c r="W14" s="231">
        <f>+SUMIFS(Tabla1[Avance_Med],Tabla1[Fecha],"&gt;="&amp;$A14,Tabla1[Fecha],"&lt;="&amp;EOMONTH($A14,0),Tabla1[Codigo_actividad],W$2)</f>
        <v>0</v>
      </c>
      <c r="X14" s="231">
        <f>+SUMIFS(Tabla1[Avance_Med],Tabla1[Fecha],"&gt;="&amp;$A14,Tabla1[Fecha],"&lt;="&amp;EOMONTH($A14,0),Tabla1[Codigo_actividad],X$2)</f>
        <v>0</v>
      </c>
      <c r="Y14" s="231">
        <f>+SUMIFS(Tabla1[Avance_Med],Tabla1[Fecha],"&gt;="&amp;$A14,Tabla1[Fecha],"&lt;="&amp;EOMONTH($A14,0),Tabla1[Codigo_actividad],Y$2)</f>
        <v>2</v>
      </c>
      <c r="Z14" s="231">
        <f>+SUMIFS(Tabla1[Avance_Med],Tabla1[Fecha],"&gt;="&amp;$A14,Tabla1[Fecha],"&lt;="&amp;EOMONTH($A14,0),Tabla1[Codigo_actividad],Z$2)</f>
        <v>2</v>
      </c>
      <c r="AA14" s="231">
        <f>+SUMIFS(Tabla1[Avance_Med],Tabla1[Fecha],"&gt;="&amp;$A14,Tabla1[Fecha],"&lt;="&amp;EOMONTH($A14,0),Tabla1[Codigo_actividad],AA$2)</f>
        <v>0</v>
      </c>
      <c r="AB14" s="231">
        <f>+SUMIFS(Tabla1[Avance_Med],Tabla1[Fecha],"&gt;="&amp;$A14,Tabla1[Fecha],"&lt;="&amp;EOMONTH($A14,0),Tabla1[Codigo_actividad],AB$2)</f>
        <v>0</v>
      </c>
      <c r="AC14" s="231">
        <f>+SUMIFS(Tabla1[Avance_Med],Tabla1[Fecha],"&gt;="&amp;$A14,Tabla1[Fecha],"&lt;="&amp;EOMONTH($A14,0),Tabla1[Codigo_actividad],AC$2)</f>
        <v>0</v>
      </c>
      <c r="AD14" s="231">
        <f>+SUMIFS(Tabla1[Avance_Med],Tabla1[Fecha],"&gt;="&amp;$A14,Tabla1[Fecha],"&lt;="&amp;EOMONTH($A14,0),Tabla1[Codigo_actividad],AD$2)</f>
        <v>0</v>
      </c>
      <c r="AE14" s="231">
        <f>+SUMIFS(Tabla1[Avance_Med],Tabla1[Fecha],"&gt;="&amp;$A14,Tabla1[Fecha],"&lt;="&amp;EOMONTH($A14,0),Tabla1[Codigo_actividad],AE$2)</f>
        <v>0</v>
      </c>
      <c r="AF14" s="231">
        <f>+SUMIFS(Tabla1[Avance_Med],Tabla1[Fecha],"&gt;="&amp;$A14,Tabla1[Fecha],"&lt;="&amp;EOMONTH($A14,0),Tabla1[Codigo_actividad],AF$2)</f>
        <v>0</v>
      </c>
      <c r="AG14" s="231">
        <f>+SUMIFS(Tabla1[Avance_Med],Tabla1[Fecha],"&gt;="&amp;$A14,Tabla1[Fecha],"&lt;="&amp;EOMONTH($A14,0),Tabla1[Codigo_actividad],AG$2)</f>
        <v>0</v>
      </c>
      <c r="AH14" s="231">
        <f>+SUMIFS(Tabla1[Avance_Med],Tabla1[Fecha],"&gt;="&amp;$A14,Tabla1[Fecha],"&lt;="&amp;EOMONTH($A14,0),Tabla1[Codigo_actividad],AH$2)</f>
        <v>0</v>
      </c>
      <c r="AI14" s="231">
        <f>+SUMIFS(Tabla1[Avance_Med],Tabla1[Fecha],"&gt;="&amp;$A14,Tabla1[Fecha],"&lt;="&amp;EOMONTH($A14,0),Tabla1[Codigo_actividad],AI$2)</f>
        <v>0</v>
      </c>
      <c r="AJ14" s="231">
        <f>+SUMIFS(Tabla1[Avance_Med],Tabla1[Fecha],"&gt;="&amp;$A14,Tabla1[Fecha],"&lt;="&amp;EOMONTH($A14,0),Tabla1[Codigo_actividad],AJ$2)</f>
        <v>24</v>
      </c>
      <c r="AK14" s="231">
        <f>+SUMIFS(Tabla1[Avance_Med],Tabla1[Fecha],"&gt;="&amp;$A14,Tabla1[Fecha],"&lt;="&amp;EOMONTH($A14,0),Tabla1[Codigo_actividad],AK$2)</f>
        <v>24</v>
      </c>
      <c r="AL14" s="231">
        <f>+SUMIFS(Tabla1[Avance_Med],Tabla1[Fecha],"&gt;="&amp;$A14,Tabla1[Fecha],"&lt;="&amp;EOMONTH($A14,0),Tabla1[Codigo_actividad],AL$2)</f>
        <v>0</v>
      </c>
      <c r="AM14" s="231">
        <f>+SUMIFS(Tabla1[Avance_Med],Tabla1[Fecha],"&gt;="&amp;$A14,Tabla1[Fecha],"&lt;="&amp;EOMONTH($A14,0),Tabla1[Codigo_actividad],AM$2)</f>
        <v>0</v>
      </c>
      <c r="AN14" s="442">
        <f>-[1]Dashboard!D72</f>
        <v>-102830.79528000001</v>
      </c>
      <c r="AP14" s="13">
        <f t="shared" si="0"/>
        <v>641530.71178000001</v>
      </c>
    </row>
    <row r="15" spans="1:42" x14ac:dyDescent="0.25">
      <c r="A15" s="242">
        <v>46266</v>
      </c>
      <c r="B15" s="231">
        <f>+SUMIFS(Tabla1[Avance_Med],Tabla1[Fecha],"&gt;="&amp;$A15,Tabla1[Fecha],"&lt;="&amp;EOMONTH($A15,0),Tabla1[Codigo_actividad],B$2)</f>
        <v>0</v>
      </c>
      <c r="C15" s="231">
        <f>+SUMIFS(Tabla1[Avance_Med],Tabla1[Fecha],"&gt;="&amp;$A15,Tabla1[Fecha],"&lt;="&amp;EOMONTH($A15,0),Tabla1[Codigo_actividad],C$2)</f>
        <v>0</v>
      </c>
      <c r="D15" s="231">
        <f>+SUMIFS(Tabla1[Avance_Med],Tabla1[Fecha],"&gt;="&amp;$A15,Tabla1[Fecha],"&lt;="&amp;EOMONTH($A15,0),Tabla1[Codigo_actividad],D$2)</f>
        <v>0</v>
      </c>
      <c r="E15" s="231">
        <f>+SUMIFS(Tabla1[Avance_Med],Tabla1[Fecha],"&gt;="&amp;$A15,Tabla1[Fecha],"&lt;="&amp;EOMONTH($A15,0),Tabla1[Codigo_actividad],E$2)</f>
        <v>0</v>
      </c>
      <c r="F15" s="231">
        <f>+SUMIFS(Tabla1[Avance_Med],Tabla1[Fecha],"&gt;="&amp;$A15,Tabla1[Fecha],"&lt;="&amp;EOMONTH($A15,0),Tabla1[Codigo_actividad],F$2)</f>
        <v>0</v>
      </c>
      <c r="G15" s="231">
        <f>+SUMIFS(Tabla1[Avance_Med],Tabla1[Fecha],"&gt;="&amp;$A15,Tabla1[Fecha],"&lt;="&amp;EOMONTH($A15,0),Tabla1[Codigo_actividad],G$2)</f>
        <v>0</v>
      </c>
      <c r="H15" s="231">
        <f>+SUMIFS(Tabla1[Avance_km],Tabla1[Fecha],"&gt;="&amp;$A15,Tabla1[Fecha],"&lt;="&amp;EOMONTH($A15,0),Tabla1[Codigo_actividad],H$2)</f>
        <v>10.719999999999999</v>
      </c>
      <c r="I15" s="231">
        <f>+SUMIFS(Tabla1[Avance_km],Tabla1[Fecha],"&gt;="&amp;$A15,Tabla1[Fecha],"&lt;="&amp;EOMONTH($A15,0),Tabla1[Codigo_actividad],I$2)</f>
        <v>0</v>
      </c>
      <c r="J15" s="231">
        <f>+SUMIFS(Tabla1[Avance_km],Tabla1[Fecha],"&gt;="&amp;$A15,Tabla1[Fecha],"&lt;="&amp;EOMONTH($A15,0),Tabla1[Codigo_actividad],J$2,Tabla1[Avance_km],"&gt;0")</f>
        <v>0</v>
      </c>
      <c r="K15" s="343">
        <f>+SUMIFS(Tabla1[Avance_km],Tabla1[Fecha],"&gt;="&amp;$A15,Tabla1[Fecha],"&lt;="&amp;EOMONTH($A15,0),Tabla1[Codigo_actividad],K$2)</f>
        <v>32.143149088657644</v>
      </c>
      <c r="L15" s="231">
        <f>+SUMIFS(Tabla1[Avance_Med],Tabla1[Fecha],"&gt;="&amp;$A15,Tabla1[Fecha],"&lt;="&amp;EOMONTH($A15,0),Tabla1[Codigo_actividad],L$2)</f>
        <v>20</v>
      </c>
      <c r="M15" s="231">
        <f>+SUMIFS(Tabla1[Avance_km],Tabla1[Fecha],"&gt;="&amp;$A15,Tabla1[Fecha],"&lt;="&amp;EOMONTH($A15,0),Tabla1[Codigo_actividad],M$2)</f>
        <v>20.07</v>
      </c>
      <c r="N15" s="231">
        <f>+SUMIFS(Tabla1[Avance_Med],Tabla1[Fecha],"&gt;="&amp;$A15,Tabla1[Fecha],"&lt;="&amp;EOMONTH($A15,0),Tabla1[Codigo_actividad],N$2)</f>
        <v>34</v>
      </c>
      <c r="O15" s="231">
        <f>+SUMIFS(Tabla1[Avance_Med],Tabla1[Fecha],"&gt;="&amp;$A15,Tabla1[Fecha],"&lt;="&amp;EOMONTH($A15,0),Tabla1[Codigo_actividad],O$2)</f>
        <v>34</v>
      </c>
      <c r="P15" s="231">
        <f>+SUMIFS(Tabla1[Avance_Med],Tabla1[Fecha],"&gt;="&amp;$A15,Tabla1[Fecha],"&lt;="&amp;EOMONTH($A15,0),Tabla1[Codigo_actividad],P$2)</f>
        <v>34</v>
      </c>
      <c r="Q15" s="231">
        <f>+SUMIFS(Tabla1[Avance_Med],Tabla1[Fecha],"&gt;="&amp;$A15,Tabla1[Fecha],"&lt;="&amp;EOMONTH($A15,0),Tabla1[Codigo_actividad],Q$2)</f>
        <v>8</v>
      </c>
      <c r="R15" s="231">
        <f>+SUMIFS(Tabla1[Avance_Med],Tabla1[Fecha],"&gt;="&amp;$A15,Tabla1[Fecha],"&lt;="&amp;EOMONTH($A15,0),Tabla1[Codigo_actividad],R$2)</f>
        <v>8</v>
      </c>
      <c r="S15" s="231">
        <f>+SUMIFS(Tabla1[Avance_Med],Tabla1[Fecha],"&gt;="&amp;$A15,Tabla1[Fecha],"&lt;="&amp;EOMONTH($A15,0),Tabla1[Codigo_actividad],S$2)</f>
        <v>8</v>
      </c>
      <c r="T15" s="231">
        <f>+SUMIFS(Tabla1[Avance_Med],Tabla1[Fecha],"&gt;="&amp;$A15,Tabla1[Fecha],"&lt;="&amp;EOMONTH($A15,0),Tabla1[Codigo_actividad],T$2)</f>
        <v>8</v>
      </c>
      <c r="U15" s="231">
        <f>+SUMIFS(Tabla1[Avance_Med],Tabla1[Fecha],"&gt;="&amp;$A15,Tabla1[Fecha],"&lt;="&amp;EOMONTH($A15,0),Tabla1[Codigo_actividad],U$2)</f>
        <v>2</v>
      </c>
      <c r="V15" s="231">
        <f>+SUMIFS(Tabla1[Avance_Med],Tabla1[Fecha],"&gt;="&amp;$A15,Tabla1[Fecha],"&lt;="&amp;EOMONTH($A15,0),Tabla1[Codigo_actividad],V$2)</f>
        <v>8</v>
      </c>
      <c r="W15" s="231">
        <f>+SUMIFS(Tabla1[Avance_Med],Tabla1[Fecha],"&gt;="&amp;$A15,Tabla1[Fecha],"&lt;="&amp;EOMONTH($A15,0),Tabla1[Codigo_actividad],W$2)</f>
        <v>2</v>
      </c>
      <c r="X15" s="231">
        <f>+SUMIFS(Tabla1[Avance_Med],Tabla1[Fecha],"&gt;="&amp;$A15,Tabla1[Fecha],"&lt;="&amp;EOMONTH($A15,0),Tabla1[Codigo_actividad],X$2)</f>
        <v>3</v>
      </c>
      <c r="Y15" s="231">
        <f>+SUMIFS(Tabla1[Avance_Med],Tabla1[Fecha],"&gt;="&amp;$A15,Tabla1[Fecha],"&lt;="&amp;EOMONTH($A15,0),Tabla1[Codigo_actividad],Y$2)</f>
        <v>8</v>
      </c>
      <c r="Z15" s="231">
        <f>+SUMIFS(Tabla1[Avance_Med],Tabla1[Fecha],"&gt;="&amp;$A15,Tabla1[Fecha],"&lt;="&amp;EOMONTH($A15,0),Tabla1[Codigo_actividad],Z$2)</f>
        <v>8</v>
      </c>
      <c r="AA15" s="231">
        <f>+SUMIFS(Tabla1[Avance_Med],Tabla1[Fecha],"&gt;="&amp;$A15,Tabla1[Fecha],"&lt;="&amp;EOMONTH($A15,0),Tabla1[Codigo_actividad],AA$2)</f>
        <v>0</v>
      </c>
      <c r="AB15" s="231">
        <f>+SUMIFS(Tabla1[Avance_Med],Tabla1[Fecha],"&gt;="&amp;$A15,Tabla1[Fecha],"&lt;="&amp;EOMONTH($A15,0),Tabla1[Codigo_actividad],AB$2)</f>
        <v>0</v>
      </c>
      <c r="AC15" s="231">
        <f>+SUMIFS(Tabla1[Avance_Med],Tabla1[Fecha],"&gt;="&amp;$A15,Tabla1[Fecha],"&lt;="&amp;EOMONTH($A15,0),Tabla1[Codigo_actividad],AC$2)</f>
        <v>0</v>
      </c>
      <c r="AD15" s="231">
        <f>+SUMIFS(Tabla1[Avance_Med],Tabla1[Fecha],"&gt;="&amp;$A15,Tabla1[Fecha],"&lt;="&amp;EOMONTH($A15,0),Tabla1[Codigo_actividad],AD$2)</f>
        <v>0</v>
      </c>
      <c r="AE15" s="231">
        <f>+SUMIFS(Tabla1[Avance_Med],Tabla1[Fecha],"&gt;="&amp;$A15,Tabla1[Fecha],"&lt;="&amp;EOMONTH($A15,0),Tabla1[Codigo_actividad],AE$2)</f>
        <v>0</v>
      </c>
      <c r="AF15" s="231">
        <f>+SUMIFS(Tabla1[Avance_Med],Tabla1[Fecha],"&gt;="&amp;$A15,Tabla1[Fecha],"&lt;="&amp;EOMONTH($A15,0),Tabla1[Codigo_actividad],AF$2)</f>
        <v>0</v>
      </c>
      <c r="AG15" s="231">
        <f>+SUMIFS(Tabla1[Avance_Med],Tabla1[Fecha],"&gt;="&amp;$A15,Tabla1[Fecha],"&lt;="&amp;EOMONTH($A15,0),Tabla1[Codigo_actividad],AG$2)</f>
        <v>0</v>
      </c>
      <c r="AH15" s="231">
        <f>+SUMIFS(Tabla1[Avance_Med],Tabla1[Fecha],"&gt;="&amp;$A15,Tabla1[Fecha],"&lt;="&amp;EOMONTH($A15,0),Tabla1[Codigo_actividad],AH$2)</f>
        <v>0</v>
      </c>
      <c r="AI15" s="231">
        <f>+SUMIFS(Tabla1[Avance_Med],Tabla1[Fecha],"&gt;="&amp;$A15,Tabla1[Fecha],"&lt;="&amp;EOMONTH($A15,0),Tabla1[Codigo_actividad],AI$2)</f>
        <v>0</v>
      </c>
      <c r="AJ15" s="231">
        <f>+SUMIFS(Tabla1[Avance_Med],Tabla1[Fecha],"&gt;="&amp;$A15,Tabla1[Fecha],"&lt;="&amp;EOMONTH($A15,0),Tabla1[Codigo_actividad],AJ$2)</f>
        <v>0</v>
      </c>
      <c r="AK15" s="231">
        <f>+SUMIFS(Tabla1[Avance_Med],Tabla1[Fecha],"&gt;="&amp;$A15,Tabla1[Fecha],"&lt;="&amp;EOMONTH($A15,0),Tabla1[Codigo_actividad],AK$2)</f>
        <v>0</v>
      </c>
      <c r="AL15" s="231">
        <f>+SUMIFS(Tabla1[Avance_Med],Tabla1[Fecha],"&gt;="&amp;$A15,Tabla1[Fecha],"&lt;="&amp;EOMONTH($A15,0),Tabla1[Codigo_actividad],AL$2)</f>
        <v>0</v>
      </c>
      <c r="AM15" s="231">
        <f>+SUMIFS(Tabla1[Avance_Med],Tabla1[Fecha],"&gt;="&amp;$A15,Tabla1[Fecha],"&lt;="&amp;EOMONTH($A15,0),Tabla1[Codigo_actividad],AM$2)</f>
        <v>0</v>
      </c>
      <c r="AN15" s="442">
        <f>-[1]Dashboard!D73</f>
        <v>-102830.79528000001</v>
      </c>
      <c r="AP15" s="13">
        <f t="shared" si="0"/>
        <v>944715.10459999996</v>
      </c>
    </row>
    <row r="16" spans="1:42" x14ac:dyDescent="0.25">
      <c r="A16" s="242">
        <v>46296</v>
      </c>
      <c r="B16" s="231">
        <f>+SUMIFS(Tabla1[Avance_Med],Tabla1[Fecha],"&gt;="&amp;$A16,Tabla1[Fecha],"&lt;="&amp;EOMONTH($A16,0),Tabla1[Codigo_actividad],B$2)</f>
        <v>0</v>
      </c>
      <c r="C16" s="231">
        <f>+SUMIFS(Tabla1[Avance_Med],Tabla1[Fecha],"&gt;="&amp;$A16,Tabla1[Fecha],"&lt;="&amp;EOMONTH($A16,0),Tabla1[Codigo_actividad],C$2)</f>
        <v>0</v>
      </c>
      <c r="D16" s="231">
        <f>+SUMIFS(Tabla1[Avance_Med],Tabla1[Fecha],"&gt;="&amp;$A16,Tabla1[Fecha],"&lt;="&amp;EOMONTH($A16,0),Tabla1[Codigo_actividad],D$2)</f>
        <v>0</v>
      </c>
      <c r="E16" s="231">
        <f>+SUMIFS(Tabla1[Avance_Med],Tabla1[Fecha],"&gt;="&amp;$A16,Tabla1[Fecha],"&lt;="&amp;EOMONTH($A16,0),Tabla1[Codigo_actividad],E$2)</f>
        <v>0</v>
      </c>
      <c r="F16" s="231">
        <f>+SUMIFS(Tabla1[Avance_Med],Tabla1[Fecha],"&gt;="&amp;$A16,Tabla1[Fecha],"&lt;="&amp;EOMONTH($A16,0),Tabla1[Codigo_actividad],F$2)</f>
        <v>0</v>
      </c>
      <c r="G16" s="231">
        <f>+SUMIFS(Tabla1[Avance_Med],Tabla1[Fecha],"&gt;="&amp;$A16,Tabla1[Fecha],"&lt;="&amp;EOMONTH($A16,0),Tabla1[Codigo_actividad],G$2)</f>
        <v>0</v>
      </c>
      <c r="H16" s="231">
        <f>+SUMIFS(Tabla1[Avance_km],Tabla1[Fecha],"&gt;="&amp;$A16,Tabla1[Fecha],"&lt;="&amp;EOMONTH($A16,0),Tabla1[Codigo_actividad],H$2)</f>
        <v>16.1175</v>
      </c>
      <c r="I16" s="231">
        <f>+SUMIFS(Tabla1[Avance_km],Tabla1[Fecha],"&gt;="&amp;$A16,Tabla1[Fecha],"&lt;="&amp;EOMONTH($A16,0),Tabla1[Codigo_actividad],I$2)</f>
        <v>0</v>
      </c>
      <c r="J16" s="231">
        <f>+SUMIFS(Tabla1[Avance_km],Tabla1[Fecha],"&gt;="&amp;$A16,Tabla1[Fecha],"&lt;="&amp;EOMONTH($A16,0),Tabla1[Codigo_actividad],J$2,Tabla1[Avance_km],"&gt;0")</f>
        <v>1.6244999999999994</v>
      </c>
      <c r="K16" s="343">
        <f>+SUMIFS(Tabla1[Avance_km],Tabla1[Fecha],"&gt;="&amp;$A16,Tabla1[Fecha],"&lt;="&amp;EOMONTH($A16,0),Tabla1[Codigo_actividad],K$2)</f>
        <v>64.719760402094579</v>
      </c>
      <c r="L16" s="231">
        <f>+SUMIFS(Tabla1[Avance_Med],Tabla1[Fecha],"&gt;="&amp;$A16,Tabla1[Fecha],"&lt;="&amp;EOMONTH($A16,0),Tabla1[Codigo_actividad],L$2)</f>
        <v>0</v>
      </c>
      <c r="M16" s="231">
        <f>+SUMIFS(Tabla1[Avance_km],Tabla1[Fecha],"&gt;="&amp;$A16,Tabla1[Fecha],"&lt;="&amp;EOMONTH($A16,0),Tabla1[Codigo_actividad],M$2)</f>
        <v>1.6244999999999994</v>
      </c>
      <c r="N16" s="231">
        <f>+SUMIFS(Tabla1[Avance_Med],Tabla1[Fecha],"&gt;="&amp;$A16,Tabla1[Fecha],"&lt;="&amp;EOMONTH($A16,0),Tabla1[Codigo_actividad],N$2)</f>
        <v>4</v>
      </c>
      <c r="O16" s="231">
        <f>+SUMIFS(Tabla1[Avance_Med],Tabla1[Fecha],"&gt;="&amp;$A16,Tabla1[Fecha],"&lt;="&amp;EOMONTH($A16,0),Tabla1[Codigo_actividad],O$2)</f>
        <v>4</v>
      </c>
      <c r="P16" s="231">
        <f>+SUMIFS(Tabla1[Avance_Med],Tabla1[Fecha],"&gt;="&amp;$A16,Tabla1[Fecha],"&lt;="&amp;EOMONTH($A16,0),Tabla1[Codigo_actividad],P$2)</f>
        <v>4</v>
      </c>
      <c r="Q16" s="231">
        <f>+SUMIFS(Tabla1[Avance_Med],Tabla1[Fecha],"&gt;="&amp;$A16,Tabla1[Fecha],"&lt;="&amp;EOMONTH($A16,0),Tabla1[Codigo_actividad],Q$2)</f>
        <v>5</v>
      </c>
      <c r="R16" s="231">
        <f>+SUMIFS(Tabla1[Avance_Med],Tabla1[Fecha],"&gt;="&amp;$A16,Tabla1[Fecha],"&lt;="&amp;EOMONTH($A16,0),Tabla1[Codigo_actividad],R$2)</f>
        <v>6</v>
      </c>
      <c r="S16" s="231">
        <f>+SUMIFS(Tabla1[Avance_Med],Tabla1[Fecha],"&gt;="&amp;$A16,Tabla1[Fecha],"&lt;="&amp;EOMONTH($A16,0),Tabla1[Codigo_actividad],S$2)</f>
        <v>6</v>
      </c>
      <c r="T16" s="231">
        <f>+SUMIFS(Tabla1[Avance_Med],Tabla1[Fecha],"&gt;="&amp;$A16,Tabla1[Fecha],"&lt;="&amp;EOMONTH($A16,0),Tabla1[Codigo_actividad],T$2)</f>
        <v>6</v>
      </c>
      <c r="U16" s="231">
        <f>+SUMIFS(Tabla1[Avance_Med],Tabla1[Fecha],"&gt;="&amp;$A16,Tabla1[Fecha],"&lt;="&amp;EOMONTH($A16,0),Tabla1[Codigo_actividad],U$2)</f>
        <v>0</v>
      </c>
      <c r="V16" s="231">
        <f>+SUMIFS(Tabla1[Avance_Med],Tabla1[Fecha],"&gt;="&amp;$A16,Tabla1[Fecha],"&lt;="&amp;EOMONTH($A16,0),Tabla1[Codigo_actividad],V$2)</f>
        <v>6</v>
      </c>
      <c r="W16" s="231">
        <f>+SUMIFS(Tabla1[Avance_Med],Tabla1[Fecha],"&gt;="&amp;$A16,Tabla1[Fecha],"&lt;="&amp;EOMONTH($A16,0),Tabla1[Codigo_actividad],W$2)</f>
        <v>1</v>
      </c>
      <c r="X16" s="231">
        <f>+SUMIFS(Tabla1[Avance_Med],Tabla1[Fecha],"&gt;="&amp;$A16,Tabla1[Fecha],"&lt;="&amp;EOMONTH($A16,0),Tabla1[Codigo_actividad],X$2)</f>
        <v>1</v>
      </c>
      <c r="Y16" s="231">
        <f>+SUMIFS(Tabla1[Avance_Med],Tabla1[Fecha],"&gt;="&amp;$A16,Tabla1[Fecha],"&lt;="&amp;EOMONTH($A16,0),Tabla1[Codigo_actividad],Y$2)</f>
        <v>4</v>
      </c>
      <c r="Z16" s="231">
        <f>+SUMIFS(Tabla1[Avance_Med],Tabla1[Fecha],"&gt;="&amp;$A16,Tabla1[Fecha],"&lt;="&amp;EOMONTH($A16,0),Tabla1[Codigo_actividad],Z$2)</f>
        <v>4</v>
      </c>
      <c r="AA16" s="231">
        <f>+SUMIFS(Tabla1[Avance_Med],Tabla1[Fecha],"&gt;="&amp;$A16,Tabla1[Fecha],"&lt;="&amp;EOMONTH($A16,0),Tabla1[Codigo_actividad],AA$2)</f>
        <v>0</v>
      </c>
      <c r="AB16" s="231">
        <f>+SUMIFS(Tabla1[Avance_Med],Tabla1[Fecha],"&gt;="&amp;$A16,Tabla1[Fecha],"&lt;="&amp;EOMONTH($A16,0),Tabla1[Codigo_actividad],AB$2)</f>
        <v>0</v>
      </c>
      <c r="AC16" s="231">
        <f>+SUMIFS(Tabla1[Avance_Med],Tabla1[Fecha],"&gt;="&amp;$A16,Tabla1[Fecha],"&lt;="&amp;EOMONTH($A16,0),Tabla1[Codigo_actividad],AC$2)</f>
        <v>0</v>
      </c>
      <c r="AD16" s="231">
        <f>+SUMIFS(Tabla1[Avance_Med],Tabla1[Fecha],"&gt;="&amp;$A16,Tabla1[Fecha],"&lt;="&amp;EOMONTH($A16,0),Tabla1[Codigo_actividad],AD$2)</f>
        <v>0</v>
      </c>
      <c r="AE16" s="231">
        <f>+SUMIFS(Tabla1[Avance_Med],Tabla1[Fecha],"&gt;="&amp;$A16,Tabla1[Fecha],"&lt;="&amp;EOMONTH($A16,0),Tabla1[Codigo_actividad],AE$2)</f>
        <v>0</v>
      </c>
      <c r="AF16" s="231">
        <f>+SUMIFS(Tabla1[Avance_Med],Tabla1[Fecha],"&gt;="&amp;$A16,Tabla1[Fecha],"&lt;="&amp;EOMONTH($A16,0),Tabla1[Codigo_actividad],AF$2)</f>
        <v>0</v>
      </c>
      <c r="AG16" s="231">
        <f>+SUMIFS(Tabla1[Avance_Med],Tabla1[Fecha],"&gt;="&amp;$A16,Tabla1[Fecha],"&lt;="&amp;EOMONTH($A16,0),Tabla1[Codigo_actividad],AG$2)</f>
        <v>0</v>
      </c>
      <c r="AH16" s="231">
        <f>+SUMIFS(Tabla1[Avance_Med],Tabla1[Fecha],"&gt;="&amp;$A16,Tabla1[Fecha],"&lt;="&amp;EOMONTH($A16,0),Tabla1[Codigo_actividad],AH$2)</f>
        <v>0</v>
      </c>
      <c r="AI16" s="231">
        <f>+SUMIFS(Tabla1[Avance_Med],Tabla1[Fecha],"&gt;="&amp;$A16,Tabla1[Fecha],"&lt;="&amp;EOMONTH($A16,0),Tabla1[Codigo_actividad],AI$2)</f>
        <v>0</v>
      </c>
      <c r="AJ16" s="231">
        <f>+SUMIFS(Tabla1[Avance_Med],Tabla1[Fecha],"&gt;="&amp;$A16,Tabla1[Fecha],"&lt;="&amp;EOMONTH($A16,0),Tabla1[Codigo_actividad],AJ$2)</f>
        <v>0</v>
      </c>
      <c r="AK16" s="231">
        <f>+SUMIFS(Tabla1[Avance_Med],Tabla1[Fecha],"&gt;="&amp;$A16,Tabla1[Fecha],"&lt;="&amp;EOMONTH($A16,0),Tabla1[Codigo_actividad],AK$2)</f>
        <v>0</v>
      </c>
      <c r="AL16" s="231">
        <f>+SUMIFS(Tabla1[Avance_Med],Tabla1[Fecha],"&gt;="&amp;$A16,Tabla1[Fecha],"&lt;="&amp;EOMONTH($A16,0),Tabla1[Codigo_actividad],AL$2)</f>
        <v>0</v>
      </c>
      <c r="AM16" s="231">
        <f>+SUMIFS(Tabla1[Avance_Med],Tabla1[Fecha],"&gt;="&amp;$A16,Tabla1[Fecha],"&lt;="&amp;EOMONTH($A16,0),Tabla1[Codigo_actividad],AM$2)</f>
        <v>0</v>
      </c>
      <c r="AN16" s="442"/>
      <c r="AP16" s="13">
        <f t="shared" si="0"/>
        <v>1170902.6854000001</v>
      </c>
    </row>
    <row r="17" spans="1:44" x14ac:dyDescent="0.25">
      <c r="A17" s="242">
        <v>46327</v>
      </c>
      <c r="B17" s="231">
        <f>+SUMIFS(Tabla1[Avance_Med],Tabla1[Fecha],"&gt;="&amp;$A17,Tabla1[Fecha],"&lt;="&amp;EOMONTH($A17,0),Tabla1[Codigo_actividad],B$2)</f>
        <v>0</v>
      </c>
      <c r="C17" s="231">
        <f>+SUMIFS(Tabla1[Avance_Med],Tabla1[Fecha],"&gt;="&amp;$A17,Tabla1[Fecha],"&lt;="&amp;EOMONTH($A17,0),Tabla1[Codigo_actividad],C$2)</f>
        <v>0</v>
      </c>
      <c r="D17" s="231">
        <f>+SUMIFS(Tabla1[Avance_Med],Tabla1[Fecha],"&gt;="&amp;$A17,Tabla1[Fecha],"&lt;="&amp;EOMONTH($A17,0),Tabla1[Codigo_actividad],D$2)</f>
        <v>0</v>
      </c>
      <c r="E17" s="231">
        <f>+SUMIFS(Tabla1[Avance_Med],Tabla1[Fecha],"&gt;="&amp;$A17,Tabla1[Fecha],"&lt;="&amp;EOMONTH($A17,0),Tabla1[Codigo_actividad],E$2)</f>
        <v>0</v>
      </c>
      <c r="F17" s="231">
        <f>+SUMIFS(Tabla1[Avance_Med],Tabla1[Fecha],"&gt;="&amp;$A17,Tabla1[Fecha],"&lt;="&amp;EOMONTH($A17,0),Tabla1[Codigo_actividad],F$2)</f>
        <v>0</v>
      </c>
      <c r="G17" s="231">
        <f>+SUMIFS(Tabla1[Avance_Med],Tabla1[Fecha],"&gt;="&amp;$A17,Tabla1[Fecha],"&lt;="&amp;EOMONTH($A17,0),Tabla1[Codigo_actividad],G$2)</f>
        <v>0</v>
      </c>
      <c r="H17" s="231">
        <f>+SUMIFS(Tabla1[Avance_km],Tabla1[Fecha],"&gt;="&amp;$A17,Tabla1[Fecha],"&lt;="&amp;EOMONTH($A17,0),Tabla1[Codigo_actividad],H$2)</f>
        <v>0</v>
      </c>
      <c r="I17" s="231">
        <f>+SUMIFS(Tabla1[Avance_km],Tabla1[Fecha],"&gt;="&amp;$A17,Tabla1[Fecha],"&lt;="&amp;EOMONTH($A17,0),Tabla1[Codigo_actividad],I$2)</f>
        <v>0</v>
      </c>
      <c r="J17" s="231">
        <f>+SUMIFS(Tabla1[Avance_km],Tabla1[Fecha],"&gt;="&amp;$A17,Tabla1[Fecha],"&lt;="&amp;EOMONTH($A17,0),Tabla1[Codigo_actividad],J$2,Tabla1[Avance_km],"&gt;0")</f>
        <v>0</v>
      </c>
      <c r="K17" s="343">
        <f>+SUMIFS(Tabla1[Avance_km],Tabla1[Fecha],"&gt;="&amp;$A17,Tabla1[Fecha],"&lt;="&amp;EOMONTH($A17,0),Tabla1[Codigo_actividad],K$2)</f>
        <v>0</v>
      </c>
      <c r="L17" s="231">
        <f>+SUMIFS(Tabla1[Avance_Med],Tabla1[Fecha],"&gt;="&amp;$A17,Tabla1[Fecha],"&lt;="&amp;EOMONTH($A17,0),Tabla1[Codigo_actividad],L$2)</f>
        <v>0</v>
      </c>
      <c r="M17" s="231">
        <f>+SUMIFS(Tabla1[Avance_km],Tabla1[Fecha],"&gt;="&amp;$A17,Tabla1[Fecha],"&lt;="&amp;EOMONTH($A17,0),Tabla1[Codigo_actividad],M$2)</f>
        <v>0</v>
      </c>
      <c r="N17" s="231">
        <f>+SUMIFS(Tabla1[Avance_Med],Tabla1[Fecha],"&gt;="&amp;$A17,Tabla1[Fecha],"&lt;="&amp;EOMONTH($A17,0),Tabla1[Codigo_actividad],N$2)</f>
        <v>0</v>
      </c>
      <c r="O17" s="231">
        <f>+SUMIFS(Tabla1[Avance_Med],Tabla1[Fecha],"&gt;="&amp;$A17,Tabla1[Fecha],"&lt;="&amp;EOMONTH($A17,0),Tabla1[Codigo_actividad],O$2)</f>
        <v>0</v>
      </c>
      <c r="P17" s="231">
        <f>+SUMIFS(Tabla1[Avance_Med],Tabla1[Fecha],"&gt;="&amp;$A17,Tabla1[Fecha],"&lt;="&amp;EOMONTH($A17,0),Tabla1[Codigo_actividad],P$2)</f>
        <v>0</v>
      </c>
      <c r="Q17" s="231">
        <f>+SUMIFS(Tabla1[Avance_Med],Tabla1[Fecha],"&gt;="&amp;$A17,Tabla1[Fecha],"&lt;="&amp;EOMONTH($A17,0),Tabla1[Codigo_actividad],Q$2)</f>
        <v>0</v>
      </c>
      <c r="R17" s="231">
        <f>+SUMIFS(Tabla1[Avance_Med],Tabla1[Fecha],"&gt;="&amp;$A17,Tabla1[Fecha],"&lt;="&amp;EOMONTH($A17,0),Tabla1[Codigo_actividad],R$2)</f>
        <v>0</v>
      </c>
      <c r="S17" s="231">
        <f>+SUMIFS(Tabla1[Avance_Med],Tabla1[Fecha],"&gt;="&amp;$A17,Tabla1[Fecha],"&lt;="&amp;EOMONTH($A17,0),Tabla1[Codigo_actividad],S$2)</f>
        <v>0</v>
      </c>
      <c r="T17" s="231">
        <f>+SUMIFS(Tabla1[Avance_Med],Tabla1[Fecha],"&gt;="&amp;$A17,Tabla1[Fecha],"&lt;="&amp;EOMONTH($A17,0),Tabla1[Codigo_actividad],T$2)</f>
        <v>0</v>
      </c>
      <c r="U17" s="231">
        <f>+SUMIFS(Tabla1[Avance_Med],Tabla1[Fecha],"&gt;="&amp;$A17,Tabla1[Fecha],"&lt;="&amp;EOMONTH($A17,0),Tabla1[Codigo_actividad],U$2)</f>
        <v>0</v>
      </c>
      <c r="V17" s="231">
        <f>+SUMIFS(Tabla1[Avance_Med],Tabla1[Fecha],"&gt;="&amp;$A17,Tabla1[Fecha],"&lt;="&amp;EOMONTH($A17,0),Tabla1[Codigo_actividad],V$2)</f>
        <v>0</v>
      </c>
      <c r="W17" s="231">
        <f>+SUMIFS(Tabla1[Avance_Med],Tabla1[Fecha],"&gt;="&amp;$A17,Tabla1[Fecha],"&lt;="&amp;EOMONTH($A17,0),Tabla1[Codigo_actividad],W$2)</f>
        <v>0</v>
      </c>
      <c r="X17" s="231">
        <f>+SUMIFS(Tabla1[Avance_Med],Tabla1[Fecha],"&gt;="&amp;$A17,Tabla1[Fecha],"&lt;="&amp;EOMONTH($A17,0),Tabla1[Codigo_actividad],X$2)</f>
        <v>0</v>
      </c>
      <c r="Y17" s="231">
        <f>+SUMIFS(Tabla1[Avance_Med],Tabla1[Fecha],"&gt;="&amp;$A17,Tabla1[Fecha],"&lt;="&amp;EOMONTH($A17,0),Tabla1[Codigo_actividad],Y$2)</f>
        <v>0</v>
      </c>
      <c r="Z17" s="231">
        <f>+SUMIFS(Tabla1[Avance_Med],Tabla1[Fecha],"&gt;="&amp;$A17,Tabla1[Fecha],"&lt;="&amp;EOMONTH($A17,0),Tabla1[Codigo_actividad],Z$2)</f>
        <v>0</v>
      </c>
      <c r="AA17" s="231">
        <f>+SUMIFS(Tabla1[Avance_Med],Tabla1[Fecha],"&gt;="&amp;$A17,Tabla1[Fecha],"&lt;="&amp;EOMONTH($A17,0),Tabla1[Codigo_actividad],AA$2)</f>
        <v>0</v>
      </c>
      <c r="AB17" s="231">
        <f>+SUMIFS(Tabla1[Avance_Med],Tabla1[Fecha],"&gt;="&amp;$A17,Tabla1[Fecha],"&lt;="&amp;EOMONTH($A17,0),Tabla1[Codigo_actividad],AB$2)</f>
        <v>0</v>
      </c>
      <c r="AC17" s="231">
        <f>+SUMIFS(Tabla1[Avance_Med],Tabla1[Fecha],"&gt;="&amp;$A17,Tabla1[Fecha],"&lt;="&amp;EOMONTH($A17,0),Tabla1[Codigo_actividad],AC$2)</f>
        <v>0</v>
      </c>
      <c r="AD17" s="231">
        <f>+SUMIFS(Tabla1[Avance_Med],Tabla1[Fecha],"&gt;="&amp;$A17,Tabla1[Fecha],"&lt;="&amp;EOMONTH($A17,0),Tabla1[Codigo_actividad],AD$2)</f>
        <v>0</v>
      </c>
      <c r="AE17" s="231">
        <f>+SUMIFS(Tabla1[Avance_Med],Tabla1[Fecha],"&gt;="&amp;$A17,Tabla1[Fecha],"&lt;="&amp;EOMONTH($A17,0),Tabla1[Codigo_actividad],AE$2)</f>
        <v>0</v>
      </c>
      <c r="AF17" s="231">
        <f>+SUMIFS(Tabla1[Avance_Med],Tabla1[Fecha],"&gt;="&amp;$A17,Tabla1[Fecha],"&lt;="&amp;EOMONTH($A17,0),Tabla1[Codigo_actividad],AF$2)</f>
        <v>0</v>
      </c>
      <c r="AG17" s="231">
        <f>+SUMIFS(Tabla1[Avance_Med],Tabla1[Fecha],"&gt;="&amp;$A17,Tabla1[Fecha],"&lt;="&amp;EOMONTH($A17,0),Tabla1[Codigo_actividad],AG$2)</f>
        <v>0</v>
      </c>
      <c r="AH17" s="231">
        <f>+SUMIFS(Tabla1[Avance_Med],Tabla1[Fecha],"&gt;="&amp;$A17,Tabla1[Fecha],"&lt;="&amp;EOMONTH($A17,0),Tabla1[Codigo_actividad],AH$2)</f>
        <v>0</v>
      </c>
      <c r="AI17" s="231">
        <f>+SUMIFS(Tabla1[Avance_Med],Tabla1[Fecha],"&gt;="&amp;$A17,Tabla1[Fecha],"&lt;="&amp;EOMONTH($A17,0),Tabla1[Codigo_actividad],AI$2)</f>
        <v>0</v>
      </c>
      <c r="AJ17" s="231">
        <f>+SUMIFS(Tabla1[Avance_Med],Tabla1[Fecha],"&gt;="&amp;$A17,Tabla1[Fecha],"&lt;="&amp;EOMONTH($A17,0),Tabla1[Codigo_actividad],AJ$2)</f>
        <v>0</v>
      </c>
      <c r="AK17" s="231">
        <f>+SUMIFS(Tabla1[Avance_Med],Tabla1[Fecha],"&gt;="&amp;$A17,Tabla1[Fecha],"&lt;="&amp;EOMONTH($A17,0),Tabla1[Codigo_actividad],AK$2)</f>
        <v>0</v>
      </c>
      <c r="AL17" s="231">
        <f>+SUMIFS(Tabla1[Avance_Med],Tabla1[Fecha],"&gt;="&amp;$A17,Tabla1[Fecha],"&lt;="&amp;EOMONTH($A17,0),Tabla1[Codigo_actividad],AL$2)</f>
        <v>0</v>
      </c>
      <c r="AM17" s="231">
        <f>+SUMIFS(Tabla1[Avance_Med],Tabla1[Fecha],"&gt;="&amp;$A17,Tabla1[Fecha],"&lt;="&amp;EOMONTH($A17,0),Tabla1[Codigo_actividad],AM$2)</f>
        <v>0</v>
      </c>
      <c r="AN17" s="442"/>
      <c r="AP17" s="13">
        <f t="shared" si="0"/>
        <v>0</v>
      </c>
    </row>
    <row r="18" spans="1:44" x14ac:dyDescent="0.25">
      <c r="A18" s="242">
        <v>46357</v>
      </c>
      <c r="B18" s="231">
        <f>+SUMIFS(Tabla1[Avance_Med],Tabla1[Fecha],"&gt;="&amp;$A18,Tabla1[Fecha],"&lt;="&amp;EOMONTH($A18,0),Tabla1[Codigo_actividad],B$2)</f>
        <v>0</v>
      </c>
      <c r="C18" s="231">
        <f>+SUMIFS(Tabla1[Avance_Med],Tabla1[Fecha],"&gt;="&amp;$A18,Tabla1[Fecha],"&lt;="&amp;EOMONTH($A18,0),Tabla1[Codigo_actividad],C$2)</f>
        <v>0</v>
      </c>
      <c r="D18" s="231">
        <f>+SUMIFS(Tabla1[Avance_Med],Tabla1[Fecha],"&gt;="&amp;$A18,Tabla1[Fecha],"&lt;="&amp;EOMONTH($A18,0),Tabla1[Codigo_actividad],D$2)</f>
        <v>0</v>
      </c>
      <c r="E18" s="231">
        <f>+SUMIFS(Tabla1[Avance_Med],Tabla1[Fecha],"&gt;="&amp;$A18,Tabla1[Fecha],"&lt;="&amp;EOMONTH($A18,0),Tabla1[Codigo_actividad],E$2)</f>
        <v>0</v>
      </c>
      <c r="F18" s="231">
        <f>+SUMIFS(Tabla1[Avance_Med],Tabla1[Fecha],"&gt;="&amp;$A18,Tabla1[Fecha],"&lt;="&amp;EOMONTH($A18,0),Tabla1[Codigo_actividad],F$2)</f>
        <v>0</v>
      </c>
      <c r="G18" s="231">
        <f>+SUMIFS(Tabla1[Avance_Med],Tabla1[Fecha],"&gt;="&amp;$A18,Tabla1[Fecha],"&lt;="&amp;EOMONTH($A18,0),Tabla1[Codigo_actividad],G$2)</f>
        <v>0</v>
      </c>
      <c r="H18" s="231">
        <f>+SUMIFS(Tabla1[Avance_km],Tabla1[Fecha],"&gt;="&amp;$A18,Tabla1[Fecha],"&lt;="&amp;EOMONTH($A18,0),Tabla1[Codigo_actividad],H$2)</f>
        <v>0</v>
      </c>
      <c r="I18" s="231">
        <f>+SUMIFS(Tabla1[Avance_km],Tabla1[Fecha],"&gt;="&amp;$A18,Tabla1[Fecha],"&lt;="&amp;EOMONTH($A18,0),Tabla1[Codigo_actividad],I$2)</f>
        <v>0</v>
      </c>
      <c r="J18" s="231">
        <f>+SUMIFS(Tabla1[Avance_km],Tabla1[Fecha],"&gt;="&amp;$A18,Tabla1[Fecha],"&lt;="&amp;EOMONTH($A18,0),Tabla1[Codigo_actividad],J$2,Tabla1[Avance_km],"&gt;0")</f>
        <v>0</v>
      </c>
      <c r="K18" s="343">
        <f>+SUMIFS(Tabla1[Avance_km],Tabla1[Fecha],"&gt;="&amp;$A18,Tabla1[Fecha],"&lt;="&amp;EOMONTH($A18,0),Tabla1[Codigo_actividad],K$2)</f>
        <v>0</v>
      </c>
      <c r="L18" s="231">
        <f>+SUMIFS(Tabla1[Avance_Med],Tabla1[Fecha],"&gt;="&amp;$A18,Tabla1[Fecha],"&lt;="&amp;EOMONTH($A18,0),Tabla1[Codigo_actividad],L$2)</f>
        <v>0</v>
      </c>
      <c r="M18" s="231">
        <f>+SUMIFS(Tabla1[Avance_km],Tabla1[Fecha],"&gt;="&amp;$A18,Tabla1[Fecha],"&lt;="&amp;EOMONTH($A18,0),Tabla1[Codigo_actividad],M$2)</f>
        <v>0</v>
      </c>
      <c r="N18" s="231">
        <f>+SUMIFS(Tabla1[Avance_Med],Tabla1[Fecha],"&gt;="&amp;$A18,Tabla1[Fecha],"&lt;="&amp;EOMONTH($A18,0),Tabla1[Codigo_actividad],N$2)</f>
        <v>0</v>
      </c>
      <c r="O18" s="231">
        <f>+SUMIFS(Tabla1[Avance_Med],Tabla1[Fecha],"&gt;="&amp;$A18,Tabla1[Fecha],"&lt;="&amp;EOMONTH($A18,0),Tabla1[Codigo_actividad],O$2)</f>
        <v>0</v>
      </c>
      <c r="P18" s="231">
        <f>+SUMIFS(Tabla1[Avance_Med],Tabla1[Fecha],"&gt;="&amp;$A18,Tabla1[Fecha],"&lt;="&amp;EOMONTH($A18,0),Tabla1[Codigo_actividad],P$2)</f>
        <v>0</v>
      </c>
      <c r="Q18" s="231">
        <f>+SUMIFS(Tabla1[Avance_Med],Tabla1[Fecha],"&gt;="&amp;$A18,Tabla1[Fecha],"&lt;="&amp;EOMONTH($A18,0),Tabla1[Codigo_actividad],Q$2)</f>
        <v>0</v>
      </c>
      <c r="R18" s="231">
        <f>+SUMIFS(Tabla1[Avance_Med],Tabla1[Fecha],"&gt;="&amp;$A18,Tabla1[Fecha],"&lt;="&amp;EOMONTH($A18,0),Tabla1[Codigo_actividad],R$2)</f>
        <v>0</v>
      </c>
      <c r="S18" s="231">
        <f>+SUMIFS(Tabla1[Avance_Med],Tabla1[Fecha],"&gt;="&amp;$A18,Tabla1[Fecha],"&lt;="&amp;EOMONTH($A18,0),Tabla1[Codigo_actividad],S$2)</f>
        <v>0</v>
      </c>
      <c r="T18" s="231">
        <f>+SUMIFS(Tabla1[Avance_Med],Tabla1[Fecha],"&gt;="&amp;$A18,Tabla1[Fecha],"&lt;="&amp;EOMONTH($A18,0),Tabla1[Codigo_actividad],T$2)</f>
        <v>0</v>
      </c>
      <c r="U18" s="231">
        <f>+SUMIFS(Tabla1[Avance_Med],Tabla1[Fecha],"&gt;="&amp;$A18,Tabla1[Fecha],"&lt;="&amp;EOMONTH($A18,0),Tabla1[Codigo_actividad],U$2)</f>
        <v>0</v>
      </c>
      <c r="V18" s="231">
        <f>+SUMIFS(Tabla1[Avance_Med],Tabla1[Fecha],"&gt;="&amp;$A18,Tabla1[Fecha],"&lt;="&amp;EOMONTH($A18,0),Tabla1[Codigo_actividad],V$2)</f>
        <v>0</v>
      </c>
      <c r="W18" s="231">
        <f>+SUMIFS(Tabla1[Avance_Med],Tabla1[Fecha],"&gt;="&amp;$A18,Tabla1[Fecha],"&lt;="&amp;EOMONTH($A18,0),Tabla1[Codigo_actividad],W$2)</f>
        <v>0</v>
      </c>
      <c r="X18" s="231">
        <f>+SUMIFS(Tabla1[Avance_Med],Tabla1[Fecha],"&gt;="&amp;$A18,Tabla1[Fecha],"&lt;="&amp;EOMONTH($A18,0),Tabla1[Codigo_actividad],X$2)</f>
        <v>0</v>
      </c>
      <c r="Y18" s="231">
        <f>+SUMIFS(Tabla1[Avance_Med],Tabla1[Fecha],"&gt;="&amp;$A18,Tabla1[Fecha],"&lt;="&amp;EOMONTH($A18,0),Tabla1[Codigo_actividad],Y$2)</f>
        <v>0</v>
      </c>
      <c r="Z18" s="231">
        <f>+SUMIFS(Tabla1[Avance_Med],Tabla1[Fecha],"&gt;="&amp;$A18,Tabla1[Fecha],"&lt;="&amp;EOMONTH($A18,0),Tabla1[Codigo_actividad],Z$2)</f>
        <v>0</v>
      </c>
      <c r="AA18" s="231">
        <f>+SUMIFS(Tabla1[Avance_Med],Tabla1[Fecha],"&gt;="&amp;$A18,Tabla1[Fecha],"&lt;="&amp;EOMONTH($A18,0),Tabla1[Codigo_actividad],AA$2)</f>
        <v>0</v>
      </c>
      <c r="AB18" s="231">
        <f>+SUMIFS(Tabla1[Avance_Med],Tabla1[Fecha],"&gt;="&amp;$A18,Tabla1[Fecha],"&lt;="&amp;EOMONTH($A18,0),Tabla1[Codigo_actividad],AB$2)</f>
        <v>0</v>
      </c>
      <c r="AC18" s="231">
        <f>+SUMIFS(Tabla1[Avance_Med],Tabla1[Fecha],"&gt;="&amp;$A18,Tabla1[Fecha],"&lt;="&amp;EOMONTH($A18,0),Tabla1[Codigo_actividad],AC$2)</f>
        <v>0</v>
      </c>
      <c r="AD18" s="231">
        <f>+SUMIFS(Tabla1[Avance_Med],Tabla1[Fecha],"&gt;="&amp;$A18,Tabla1[Fecha],"&lt;="&amp;EOMONTH($A18,0),Tabla1[Codigo_actividad],AD$2)</f>
        <v>0</v>
      </c>
      <c r="AE18" s="231">
        <f>+SUMIFS(Tabla1[Avance_Med],Tabla1[Fecha],"&gt;="&amp;$A18,Tabla1[Fecha],"&lt;="&amp;EOMONTH($A18,0),Tabla1[Codigo_actividad],AE$2)</f>
        <v>0</v>
      </c>
      <c r="AF18" s="231">
        <f>+SUMIFS(Tabla1[Avance_Med],Tabla1[Fecha],"&gt;="&amp;$A18,Tabla1[Fecha],"&lt;="&amp;EOMONTH($A18,0),Tabla1[Codigo_actividad],AF$2)</f>
        <v>0</v>
      </c>
      <c r="AG18" s="231">
        <f>+SUMIFS(Tabla1[Avance_Med],Tabla1[Fecha],"&gt;="&amp;$A18,Tabla1[Fecha],"&lt;="&amp;EOMONTH($A18,0),Tabla1[Codigo_actividad],AG$2)</f>
        <v>0</v>
      </c>
      <c r="AH18" s="231">
        <f>+SUMIFS(Tabla1[Avance_Med],Tabla1[Fecha],"&gt;="&amp;$A18,Tabla1[Fecha],"&lt;="&amp;EOMONTH($A18,0),Tabla1[Codigo_actividad],AH$2)</f>
        <v>0</v>
      </c>
      <c r="AI18" s="231">
        <f>+SUMIFS(Tabla1[Avance_Med],Tabla1[Fecha],"&gt;="&amp;$A18,Tabla1[Fecha],"&lt;="&amp;EOMONTH($A18,0),Tabla1[Codigo_actividad],AI$2)</f>
        <v>0</v>
      </c>
      <c r="AJ18" s="231">
        <f>+SUMIFS(Tabla1[Avance_Med],Tabla1[Fecha],"&gt;="&amp;$A18,Tabla1[Fecha],"&lt;="&amp;EOMONTH($A18,0),Tabla1[Codigo_actividad],AJ$2)</f>
        <v>0</v>
      </c>
      <c r="AK18" s="231">
        <f>+SUMIFS(Tabla1[Avance_Med],Tabla1[Fecha],"&gt;="&amp;$A18,Tabla1[Fecha],"&lt;="&amp;EOMONTH($A18,0),Tabla1[Codigo_actividad],AK$2)</f>
        <v>0</v>
      </c>
      <c r="AL18" s="231">
        <f>+SUMIFS(Tabla1[Avance_Med],Tabla1[Fecha],"&gt;="&amp;$A18,Tabla1[Fecha],"&lt;="&amp;EOMONTH($A18,0),Tabla1[Codigo_actividad],AL$2)</f>
        <v>0</v>
      </c>
      <c r="AM18" s="231">
        <f>+SUMIFS(Tabla1[Avance_Med],Tabla1[Fecha],"&gt;="&amp;$A18,Tabla1[Fecha],"&lt;="&amp;EOMONTH($A18,0),Tabla1[Codigo_actividad],AM$2)</f>
        <v>0</v>
      </c>
      <c r="AN18" s="442"/>
      <c r="AP18" s="13">
        <f t="shared" si="0"/>
        <v>0</v>
      </c>
    </row>
    <row r="19" spans="1:44" x14ac:dyDescent="0.25">
      <c r="A19" s="226"/>
      <c r="B19" s="1">
        <f>SUM(B3:B18)</f>
        <v>116</v>
      </c>
      <c r="C19" s="1">
        <f t="shared" ref="C19:O19" si="1">SUM(C3:C18)</f>
        <v>116</v>
      </c>
      <c r="D19" s="1">
        <f t="shared" si="1"/>
        <v>116</v>
      </c>
      <c r="E19" s="1">
        <f t="shared" si="1"/>
        <v>116</v>
      </c>
      <c r="F19" s="1">
        <f t="shared" si="1"/>
        <v>116</v>
      </c>
      <c r="G19" s="1">
        <f t="shared" si="1"/>
        <v>116</v>
      </c>
      <c r="H19" s="1">
        <f t="shared" si="1"/>
        <v>181.92550000000003</v>
      </c>
      <c r="I19" s="1">
        <f t="shared" si="1"/>
        <v>0</v>
      </c>
      <c r="J19" s="1">
        <f t="shared" si="1"/>
        <v>150.32450000000003</v>
      </c>
      <c r="K19" s="343">
        <f t="shared" si="1"/>
        <v>118.79167920048363</v>
      </c>
      <c r="L19" s="1">
        <f t="shared" si="1"/>
        <v>396</v>
      </c>
      <c r="M19" s="252">
        <f t="shared" si="1"/>
        <v>181.88550000000001</v>
      </c>
      <c r="N19" s="1">
        <f t="shared" si="1"/>
        <v>92</v>
      </c>
      <c r="O19" s="1">
        <f t="shared" si="1"/>
        <v>92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237"/>
      <c r="AP19" s="13">
        <f>SUM(AP3:AP18)</f>
        <v>10377815.262300001</v>
      </c>
    </row>
    <row r="20" spans="1:44" x14ac:dyDescent="0.25">
      <c r="A20" s="226"/>
      <c r="H20" s="230">
        <f>145.5-H19</f>
        <v>-36.425500000000028</v>
      </c>
      <c r="J20" s="230">
        <f>145.5-J19</f>
        <v>-4.8245000000000289</v>
      </c>
      <c r="K20" s="61"/>
      <c r="L20" s="76"/>
      <c r="M20" s="230"/>
      <c r="AN20" s="237"/>
    </row>
    <row r="22" spans="1:44" s="1" customFormat="1" x14ac:dyDescent="0.25">
      <c r="B22" s="76">
        <v>1.1000000000000001</v>
      </c>
      <c r="C22" s="76">
        <v>1.2</v>
      </c>
      <c r="D22" s="76">
        <v>1.3</v>
      </c>
      <c r="E22" s="76">
        <v>1.4</v>
      </c>
      <c r="F22" s="76">
        <v>1.5</v>
      </c>
      <c r="G22" s="76">
        <v>1.6</v>
      </c>
      <c r="H22" s="1">
        <v>2.1</v>
      </c>
      <c r="I22" s="76">
        <v>2.2000000000000002</v>
      </c>
      <c r="J22" s="76">
        <v>2.2999999999999998</v>
      </c>
      <c r="K22" s="76">
        <v>2.4</v>
      </c>
      <c r="L22" s="76">
        <v>2.5</v>
      </c>
      <c r="M22" s="1">
        <v>2.6</v>
      </c>
      <c r="N22" s="76">
        <v>2.7</v>
      </c>
      <c r="O22" s="76">
        <v>2.8</v>
      </c>
      <c r="P22" s="392">
        <v>3.1</v>
      </c>
      <c r="Q22" s="392">
        <v>3.2</v>
      </c>
      <c r="R22" s="392" t="s">
        <v>122</v>
      </c>
      <c r="S22" s="392" t="s">
        <v>124</v>
      </c>
      <c r="T22" s="392" t="s">
        <v>127</v>
      </c>
      <c r="U22" s="392" t="s">
        <v>129</v>
      </c>
      <c r="V22" s="392" t="s">
        <v>131</v>
      </c>
      <c r="W22" s="392" t="s">
        <v>133</v>
      </c>
      <c r="X22" s="392" t="s">
        <v>135</v>
      </c>
      <c r="Y22" s="392" t="s">
        <v>137</v>
      </c>
      <c r="Z22" s="392" t="s">
        <v>139</v>
      </c>
      <c r="AA22" s="392">
        <v>3.4</v>
      </c>
      <c r="AB22" s="392">
        <v>4.0999999999999996</v>
      </c>
      <c r="AC22" s="392">
        <v>4.2</v>
      </c>
      <c r="AD22" s="392">
        <v>4.3</v>
      </c>
      <c r="AE22" s="392">
        <v>4.4000000000000004</v>
      </c>
      <c r="AF22" s="392">
        <v>4.5</v>
      </c>
      <c r="AG22" s="392">
        <v>4.5999999999999996</v>
      </c>
      <c r="AH22" s="392">
        <v>4.7</v>
      </c>
      <c r="AI22" s="392">
        <v>4.8</v>
      </c>
      <c r="AJ22" s="392">
        <v>4.9000000000000004</v>
      </c>
      <c r="AK22" s="392" t="s">
        <v>523</v>
      </c>
      <c r="AL22" s="392">
        <v>4.1100000000000003</v>
      </c>
      <c r="AM22" s="392">
        <v>4.12</v>
      </c>
      <c r="AN22" s="1" t="s">
        <v>365</v>
      </c>
      <c r="AO22" s="1" t="s">
        <v>366</v>
      </c>
      <c r="AP22" s="1" t="s">
        <v>343</v>
      </c>
    </row>
    <row r="23" spans="1:44" x14ac:dyDescent="0.25">
      <c r="A23" s="242">
        <v>45901</v>
      </c>
      <c r="B23" s="314">
        <f>+B3*B$1</f>
        <v>0</v>
      </c>
      <c r="C23" s="314">
        <f t="shared" ref="C23:P23" si="2">+C3*C$1</f>
        <v>0</v>
      </c>
      <c r="D23" s="314">
        <f t="shared" si="2"/>
        <v>0</v>
      </c>
      <c r="E23" s="314">
        <f t="shared" si="2"/>
        <v>0</v>
      </c>
      <c r="F23" s="314">
        <f t="shared" si="2"/>
        <v>0</v>
      </c>
      <c r="G23" s="314">
        <f t="shared" si="2"/>
        <v>0</v>
      </c>
      <c r="H23" s="314">
        <f t="shared" si="2"/>
        <v>0</v>
      </c>
      <c r="I23" s="391">
        <f t="shared" si="2"/>
        <v>0</v>
      </c>
      <c r="J23" s="314">
        <f t="shared" si="2"/>
        <v>0</v>
      </c>
      <c r="K23" s="525">
        <f t="shared" si="2"/>
        <v>0</v>
      </c>
      <c r="L23" s="314">
        <f t="shared" si="2"/>
        <v>0</v>
      </c>
      <c r="M23" s="314">
        <f t="shared" si="2"/>
        <v>0</v>
      </c>
      <c r="N23" s="314">
        <f t="shared" si="2"/>
        <v>0</v>
      </c>
      <c r="O23" s="314">
        <f t="shared" si="2"/>
        <v>0</v>
      </c>
      <c r="P23" s="314">
        <f t="shared" si="2"/>
        <v>0</v>
      </c>
      <c r="Q23" s="314">
        <f t="shared" ref="Q23:AM23" si="3">+Q3*Q$1</f>
        <v>0</v>
      </c>
      <c r="R23" s="314">
        <f t="shared" si="3"/>
        <v>0</v>
      </c>
      <c r="S23" s="314">
        <f t="shared" si="3"/>
        <v>0</v>
      </c>
      <c r="T23" s="314">
        <f t="shared" si="3"/>
        <v>0</v>
      </c>
      <c r="U23" s="314">
        <f t="shared" si="3"/>
        <v>0</v>
      </c>
      <c r="V23" s="314">
        <f t="shared" si="3"/>
        <v>0</v>
      </c>
      <c r="W23" s="314">
        <f t="shared" si="3"/>
        <v>0</v>
      </c>
      <c r="X23" s="314">
        <f t="shared" si="3"/>
        <v>0</v>
      </c>
      <c r="Y23" s="314">
        <f t="shared" si="3"/>
        <v>0</v>
      </c>
      <c r="Z23" s="314">
        <f t="shared" si="3"/>
        <v>0</v>
      </c>
      <c r="AA23" s="314">
        <f t="shared" si="3"/>
        <v>0</v>
      </c>
      <c r="AB23" s="314">
        <f t="shared" si="3"/>
        <v>0</v>
      </c>
      <c r="AC23" s="314">
        <f t="shared" si="3"/>
        <v>0</v>
      </c>
      <c r="AD23" s="314">
        <f t="shared" si="3"/>
        <v>0</v>
      </c>
      <c r="AE23" s="314">
        <f t="shared" si="3"/>
        <v>0</v>
      </c>
      <c r="AF23" s="314">
        <f t="shared" si="3"/>
        <v>0</v>
      </c>
      <c r="AG23" s="314">
        <f t="shared" si="3"/>
        <v>0</v>
      </c>
      <c r="AH23" s="314">
        <f t="shared" si="3"/>
        <v>0</v>
      </c>
      <c r="AI23" s="314">
        <f t="shared" si="3"/>
        <v>0</v>
      </c>
      <c r="AJ23" s="314">
        <f t="shared" si="3"/>
        <v>0</v>
      </c>
      <c r="AK23" s="314">
        <f t="shared" si="3"/>
        <v>0</v>
      </c>
      <c r="AL23" s="314">
        <f t="shared" si="3"/>
        <v>0</v>
      </c>
      <c r="AM23" s="314">
        <f t="shared" si="3"/>
        <v>0</v>
      </c>
      <c r="AN23" s="449">
        <f>-[1]Dashboard!D61</f>
        <v>-91574.907240000015</v>
      </c>
      <c r="AO23" s="313"/>
      <c r="AP23" s="13">
        <f>SUM(B23:AM23)*1.16+AN23+AO23</f>
        <v>-91574.907240000015</v>
      </c>
      <c r="AQ23" s="13">
        <f>+AP23</f>
        <v>-91574.907240000015</v>
      </c>
    </row>
    <row r="24" spans="1:44" x14ac:dyDescent="0.25">
      <c r="A24" s="242">
        <v>45931</v>
      </c>
      <c r="B24" s="314">
        <f t="shared" ref="B24:AM24" si="4">+B4*B$1</f>
        <v>0</v>
      </c>
      <c r="C24" s="314">
        <f t="shared" si="4"/>
        <v>0</v>
      </c>
      <c r="D24" s="314">
        <f t="shared" si="4"/>
        <v>0</v>
      </c>
      <c r="E24" s="314">
        <f t="shared" si="4"/>
        <v>0</v>
      </c>
      <c r="F24" s="314">
        <f t="shared" si="4"/>
        <v>0</v>
      </c>
      <c r="G24" s="314">
        <f t="shared" si="4"/>
        <v>0</v>
      </c>
      <c r="H24" s="314">
        <f t="shared" si="4"/>
        <v>0</v>
      </c>
      <c r="I24" s="391">
        <f t="shared" si="4"/>
        <v>0</v>
      </c>
      <c r="J24" s="314">
        <f t="shared" si="4"/>
        <v>0</v>
      </c>
      <c r="K24" s="525">
        <f t="shared" si="4"/>
        <v>0</v>
      </c>
      <c r="L24" s="314">
        <f t="shared" si="4"/>
        <v>0</v>
      </c>
      <c r="M24" s="314">
        <f t="shared" si="4"/>
        <v>0</v>
      </c>
      <c r="N24" s="314">
        <f t="shared" si="4"/>
        <v>0</v>
      </c>
      <c r="O24" s="314">
        <f t="shared" si="4"/>
        <v>0</v>
      </c>
      <c r="P24" s="314">
        <f t="shared" si="4"/>
        <v>0</v>
      </c>
      <c r="Q24" s="314">
        <f t="shared" si="4"/>
        <v>0</v>
      </c>
      <c r="R24" s="314">
        <f t="shared" si="4"/>
        <v>0</v>
      </c>
      <c r="S24" s="314">
        <f t="shared" si="4"/>
        <v>0</v>
      </c>
      <c r="T24" s="314">
        <f t="shared" si="4"/>
        <v>0</v>
      </c>
      <c r="U24" s="314">
        <f t="shared" si="4"/>
        <v>0</v>
      </c>
      <c r="V24" s="314">
        <f t="shared" si="4"/>
        <v>0</v>
      </c>
      <c r="W24" s="314">
        <f t="shared" si="4"/>
        <v>0</v>
      </c>
      <c r="X24" s="314">
        <f t="shared" si="4"/>
        <v>0</v>
      </c>
      <c r="Y24" s="314">
        <f t="shared" si="4"/>
        <v>0</v>
      </c>
      <c r="Z24" s="314">
        <f t="shared" si="4"/>
        <v>0</v>
      </c>
      <c r="AA24" s="314">
        <f t="shared" si="4"/>
        <v>0</v>
      </c>
      <c r="AB24" s="314">
        <f t="shared" si="4"/>
        <v>0</v>
      </c>
      <c r="AC24" s="314">
        <f t="shared" si="4"/>
        <v>0</v>
      </c>
      <c r="AD24" s="314">
        <f t="shared" si="4"/>
        <v>0</v>
      </c>
      <c r="AE24" s="314">
        <f t="shared" si="4"/>
        <v>0</v>
      </c>
      <c r="AF24" s="314">
        <f t="shared" si="4"/>
        <v>0</v>
      </c>
      <c r="AG24" s="314">
        <f t="shared" si="4"/>
        <v>0</v>
      </c>
      <c r="AH24" s="314">
        <f t="shared" si="4"/>
        <v>0</v>
      </c>
      <c r="AI24" s="314">
        <f t="shared" si="4"/>
        <v>0</v>
      </c>
      <c r="AJ24" s="314">
        <f t="shared" si="4"/>
        <v>0</v>
      </c>
      <c r="AK24" s="314">
        <f t="shared" si="4"/>
        <v>0</v>
      </c>
      <c r="AL24" s="314">
        <f t="shared" si="4"/>
        <v>0</v>
      </c>
      <c r="AM24" s="314">
        <f t="shared" si="4"/>
        <v>0</v>
      </c>
      <c r="AN24" s="449">
        <f>-[1]Dashboard!D62</f>
        <v>-131427.58128000001</v>
      </c>
      <c r="AO24" s="313"/>
      <c r="AP24" s="13">
        <f t="shared" ref="AP24:AP38" si="5">SUM(B24:AM24)*1.16+AN24+AO24</f>
        <v>-131427.58128000001</v>
      </c>
      <c r="AQ24" s="13">
        <f>+AP24+AQ23</f>
        <v>-223002.48852000001</v>
      </c>
    </row>
    <row r="25" spans="1:44" x14ac:dyDescent="0.25">
      <c r="A25" s="242">
        <v>45962</v>
      </c>
      <c r="B25" s="314">
        <f t="shared" ref="B25:AM25" si="6">+B5*B$1</f>
        <v>0</v>
      </c>
      <c r="C25" s="314">
        <f t="shared" si="6"/>
        <v>0</v>
      </c>
      <c r="D25" s="314">
        <f t="shared" si="6"/>
        <v>0</v>
      </c>
      <c r="E25" s="314">
        <f t="shared" si="6"/>
        <v>0</v>
      </c>
      <c r="F25" s="314">
        <f t="shared" si="6"/>
        <v>0</v>
      </c>
      <c r="G25" s="314">
        <f t="shared" si="6"/>
        <v>0</v>
      </c>
      <c r="H25" s="314">
        <f t="shared" si="6"/>
        <v>458135.96408999996</v>
      </c>
      <c r="I25" s="391">
        <f t="shared" si="6"/>
        <v>0</v>
      </c>
      <c r="J25" s="314">
        <f t="shared" si="6"/>
        <v>719112.61586999998</v>
      </c>
      <c r="K25" s="525">
        <f t="shared" si="6"/>
        <v>0</v>
      </c>
      <c r="L25" s="314">
        <f t="shared" si="6"/>
        <v>456484</v>
      </c>
      <c r="M25" s="314">
        <f t="shared" si="6"/>
        <v>162583.90324000004</v>
      </c>
      <c r="N25" s="314">
        <f t="shared" si="6"/>
        <v>0</v>
      </c>
      <c r="O25" s="314">
        <f t="shared" si="6"/>
        <v>0</v>
      </c>
      <c r="P25" s="314">
        <f t="shared" si="6"/>
        <v>0</v>
      </c>
      <c r="Q25" s="314">
        <f t="shared" si="6"/>
        <v>0</v>
      </c>
      <c r="R25" s="314">
        <f t="shared" si="6"/>
        <v>0</v>
      </c>
      <c r="S25" s="314">
        <f t="shared" si="6"/>
        <v>0</v>
      </c>
      <c r="T25" s="314">
        <f t="shared" si="6"/>
        <v>0</v>
      </c>
      <c r="U25" s="314">
        <f t="shared" si="6"/>
        <v>0</v>
      </c>
      <c r="V25" s="314">
        <f t="shared" si="6"/>
        <v>0</v>
      </c>
      <c r="W25" s="314">
        <f t="shared" si="6"/>
        <v>0</v>
      </c>
      <c r="X25" s="314">
        <f t="shared" si="6"/>
        <v>0</v>
      </c>
      <c r="Y25" s="314">
        <f t="shared" si="6"/>
        <v>0</v>
      </c>
      <c r="Z25" s="314">
        <f t="shared" si="6"/>
        <v>0</v>
      </c>
      <c r="AA25" s="314">
        <f t="shared" si="6"/>
        <v>0</v>
      </c>
      <c r="AB25" s="314">
        <f t="shared" si="6"/>
        <v>0</v>
      </c>
      <c r="AC25" s="314">
        <f t="shared" si="6"/>
        <v>0</v>
      </c>
      <c r="AD25" s="314">
        <f t="shared" si="6"/>
        <v>0</v>
      </c>
      <c r="AE25" s="314">
        <f t="shared" si="6"/>
        <v>0</v>
      </c>
      <c r="AF25" s="314">
        <f t="shared" si="6"/>
        <v>0</v>
      </c>
      <c r="AG25" s="314">
        <f t="shared" si="6"/>
        <v>0</v>
      </c>
      <c r="AH25" s="314">
        <f t="shared" si="6"/>
        <v>0</v>
      </c>
      <c r="AI25" s="314">
        <f t="shared" si="6"/>
        <v>0</v>
      </c>
      <c r="AJ25" s="314">
        <f t="shared" si="6"/>
        <v>0</v>
      </c>
      <c r="AK25" s="314">
        <f t="shared" si="6"/>
        <v>0</v>
      </c>
      <c r="AL25" s="314">
        <f t="shared" si="6"/>
        <v>0</v>
      </c>
      <c r="AM25" s="314">
        <f t="shared" si="6"/>
        <v>0</v>
      </c>
      <c r="AN25" s="449">
        <f>-[1]Dashboard!D63</f>
        <v>-162389.24028</v>
      </c>
      <c r="AO25" s="313"/>
      <c r="AP25" s="13">
        <f t="shared" si="5"/>
        <v>1921337.880232</v>
      </c>
      <c r="AQ25" s="13">
        <f>+AP25+AQ24</f>
        <v>1698335.3917120001</v>
      </c>
    </row>
    <row r="26" spans="1:44" x14ac:dyDescent="0.25">
      <c r="A26" s="242">
        <v>45992</v>
      </c>
      <c r="B26" s="314">
        <f t="shared" ref="B26:AM26" si="7">+B6*B$1</f>
        <v>0</v>
      </c>
      <c r="C26" s="314">
        <f t="shared" si="7"/>
        <v>0</v>
      </c>
      <c r="D26" s="314">
        <f t="shared" si="7"/>
        <v>0</v>
      </c>
      <c r="E26" s="314">
        <f t="shared" si="7"/>
        <v>0</v>
      </c>
      <c r="F26" s="314">
        <f t="shared" si="7"/>
        <v>0</v>
      </c>
      <c r="G26" s="314">
        <f t="shared" si="7"/>
        <v>0</v>
      </c>
      <c r="H26" s="314">
        <f t="shared" si="7"/>
        <v>457671.27897000004</v>
      </c>
      <c r="I26" s="391">
        <f t="shared" si="7"/>
        <v>0</v>
      </c>
      <c r="J26" s="314">
        <f t="shared" si="7"/>
        <v>427598.79271999991</v>
      </c>
      <c r="K26" s="525">
        <f t="shared" si="7"/>
        <v>0</v>
      </c>
      <c r="L26" s="314">
        <f t="shared" si="7"/>
        <v>605540</v>
      </c>
      <c r="M26" s="314">
        <f t="shared" si="7"/>
        <v>47818.927860000003</v>
      </c>
      <c r="N26" s="314">
        <f t="shared" si="7"/>
        <v>0</v>
      </c>
      <c r="O26" s="314">
        <f t="shared" si="7"/>
        <v>0</v>
      </c>
      <c r="P26" s="314">
        <f t="shared" si="7"/>
        <v>0</v>
      </c>
      <c r="Q26" s="314">
        <f t="shared" si="7"/>
        <v>0</v>
      </c>
      <c r="R26" s="314">
        <f t="shared" si="7"/>
        <v>0</v>
      </c>
      <c r="S26" s="314">
        <f t="shared" si="7"/>
        <v>0</v>
      </c>
      <c r="T26" s="314">
        <f t="shared" si="7"/>
        <v>0</v>
      </c>
      <c r="U26" s="314">
        <f t="shared" si="7"/>
        <v>0</v>
      </c>
      <c r="V26" s="314">
        <f t="shared" si="7"/>
        <v>0</v>
      </c>
      <c r="W26" s="314">
        <f t="shared" si="7"/>
        <v>0</v>
      </c>
      <c r="X26" s="314">
        <f t="shared" si="7"/>
        <v>0</v>
      </c>
      <c r="Y26" s="314">
        <f t="shared" si="7"/>
        <v>0</v>
      </c>
      <c r="Z26" s="314">
        <f t="shared" si="7"/>
        <v>0</v>
      </c>
      <c r="AA26" s="314">
        <f t="shared" si="7"/>
        <v>0</v>
      </c>
      <c r="AB26" s="314">
        <f t="shared" si="7"/>
        <v>0</v>
      </c>
      <c r="AC26" s="314">
        <f t="shared" si="7"/>
        <v>0</v>
      </c>
      <c r="AD26" s="314">
        <f t="shared" si="7"/>
        <v>0</v>
      </c>
      <c r="AE26" s="314">
        <f t="shared" si="7"/>
        <v>0</v>
      </c>
      <c r="AF26" s="314">
        <f t="shared" si="7"/>
        <v>0</v>
      </c>
      <c r="AG26" s="314">
        <f t="shared" si="7"/>
        <v>0</v>
      </c>
      <c r="AH26" s="314">
        <f t="shared" si="7"/>
        <v>0</v>
      </c>
      <c r="AI26" s="314">
        <f t="shared" si="7"/>
        <v>0</v>
      </c>
      <c r="AJ26" s="314">
        <f t="shared" si="7"/>
        <v>0</v>
      </c>
      <c r="AK26" s="314">
        <f t="shared" si="7"/>
        <v>0</v>
      </c>
      <c r="AL26" s="314">
        <f t="shared" si="7"/>
        <v>0</v>
      </c>
      <c r="AM26" s="314">
        <f t="shared" si="7"/>
        <v>0</v>
      </c>
      <c r="AN26" s="449">
        <f>-[1]Dashboard!D64</f>
        <v>-2103203.6595120002</v>
      </c>
      <c r="AO26" s="313"/>
      <c r="AP26" s="13">
        <f t="shared" si="5"/>
        <v>-318394.02003400051</v>
      </c>
      <c r="AQ26" s="13">
        <f t="shared" ref="AQ26:AQ38" si="8">+AP26+AQ25</f>
        <v>1379941.3716779996</v>
      </c>
    </row>
    <row r="27" spans="1:44" x14ac:dyDescent="0.25">
      <c r="A27" s="242">
        <v>46023</v>
      </c>
      <c r="B27" s="314">
        <f t="shared" ref="B27:AM27" si="9">+B7*B$1</f>
        <v>0</v>
      </c>
      <c r="C27" s="314">
        <f t="shared" si="9"/>
        <v>0</v>
      </c>
      <c r="D27" s="314">
        <f t="shared" si="9"/>
        <v>0</v>
      </c>
      <c r="E27" s="314">
        <f t="shared" si="9"/>
        <v>0</v>
      </c>
      <c r="F27" s="314">
        <f t="shared" si="9"/>
        <v>0</v>
      </c>
      <c r="G27" s="314">
        <f t="shared" si="9"/>
        <v>0</v>
      </c>
      <c r="H27" s="314">
        <f t="shared" si="9"/>
        <v>534968.7444000002</v>
      </c>
      <c r="I27" s="391">
        <f t="shared" si="9"/>
        <v>0</v>
      </c>
      <c r="J27" s="314">
        <f t="shared" si="9"/>
        <v>207577.36219000004</v>
      </c>
      <c r="K27" s="525">
        <f t="shared" si="9"/>
        <v>0</v>
      </c>
      <c r="L27" s="314">
        <f t="shared" si="9"/>
        <v>605540</v>
      </c>
      <c r="M27" s="314">
        <f t="shared" si="9"/>
        <v>15126.97142</v>
      </c>
      <c r="N27" s="314">
        <f t="shared" si="9"/>
        <v>0</v>
      </c>
      <c r="O27" s="314">
        <f t="shared" si="9"/>
        <v>0</v>
      </c>
      <c r="P27" s="314">
        <f t="shared" si="9"/>
        <v>0</v>
      </c>
      <c r="Q27" s="314">
        <f t="shared" si="9"/>
        <v>0</v>
      </c>
      <c r="R27" s="314">
        <f t="shared" si="9"/>
        <v>0</v>
      </c>
      <c r="S27" s="314">
        <f t="shared" si="9"/>
        <v>0</v>
      </c>
      <c r="T27" s="314">
        <f t="shared" si="9"/>
        <v>0</v>
      </c>
      <c r="U27" s="314">
        <f t="shared" si="9"/>
        <v>0</v>
      </c>
      <c r="V27" s="314">
        <f t="shared" si="9"/>
        <v>0</v>
      </c>
      <c r="W27" s="314">
        <f t="shared" si="9"/>
        <v>0</v>
      </c>
      <c r="X27" s="314">
        <f t="shared" si="9"/>
        <v>0</v>
      </c>
      <c r="Y27" s="314">
        <f t="shared" si="9"/>
        <v>0</v>
      </c>
      <c r="Z27" s="314">
        <f t="shared" si="9"/>
        <v>0</v>
      </c>
      <c r="AA27" s="314">
        <f t="shared" si="9"/>
        <v>0</v>
      </c>
      <c r="AB27" s="314">
        <f t="shared" si="9"/>
        <v>0</v>
      </c>
      <c r="AC27" s="314">
        <f t="shared" si="9"/>
        <v>0</v>
      </c>
      <c r="AD27" s="314">
        <f t="shared" si="9"/>
        <v>0</v>
      </c>
      <c r="AE27" s="314">
        <f t="shared" si="9"/>
        <v>0</v>
      </c>
      <c r="AF27" s="314">
        <f t="shared" si="9"/>
        <v>0</v>
      </c>
      <c r="AG27" s="314">
        <f t="shared" si="9"/>
        <v>0</v>
      </c>
      <c r="AH27" s="314">
        <f t="shared" si="9"/>
        <v>0</v>
      </c>
      <c r="AI27" s="314">
        <f t="shared" si="9"/>
        <v>0</v>
      </c>
      <c r="AJ27" s="314">
        <f t="shared" si="9"/>
        <v>0</v>
      </c>
      <c r="AK27" s="314">
        <f t="shared" si="9"/>
        <v>0</v>
      </c>
      <c r="AL27" s="314">
        <f t="shared" si="9"/>
        <v>0</v>
      </c>
      <c r="AM27" s="314">
        <f t="shared" si="9"/>
        <v>0</v>
      </c>
      <c r="AN27" s="449">
        <f>-[1]Dashboard!D65</f>
        <v>-284577.85708800005</v>
      </c>
      <c r="AO27" s="313"/>
      <c r="AP27" s="13">
        <f t="shared" si="5"/>
        <v>1296749.3134036001</v>
      </c>
      <c r="AQ27" s="13">
        <f t="shared" si="8"/>
        <v>2676690.6850815997</v>
      </c>
    </row>
    <row r="28" spans="1:44" x14ac:dyDescent="0.25">
      <c r="A28" s="242">
        <v>46054</v>
      </c>
      <c r="B28" s="314">
        <f t="shared" ref="B28:AM28" si="10">+B8*B$1</f>
        <v>0</v>
      </c>
      <c r="C28" s="314">
        <f t="shared" si="10"/>
        <v>0</v>
      </c>
      <c r="D28" s="314">
        <f t="shared" si="10"/>
        <v>0</v>
      </c>
      <c r="E28" s="314">
        <f t="shared" si="10"/>
        <v>0</v>
      </c>
      <c r="F28" s="314">
        <f t="shared" si="10"/>
        <v>0</v>
      </c>
      <c r="G28" s="314">
        <f t="shared" si="10"/>
        <v>0</v>
      </c>
      <c r="H28" s="314">
        <f t="shared" si="10"/>
        <v>0</v>
      </c>
      <c r="I28" s="391">
        <f t="shared" si="10"/>
        <v>0</v>
      </c>
      <c r="J28" s="314">
        <f t="shared" si="10"/>
        <v>0</v>
      </c>
      <c r="K28" s="525">
        <f t="shared" si="10"/>
        <v>0</v>
      </c>
      <c r="L28" s="314">
        <f t="shared" si="10"/>
        <v>83844</v>
      </c>
      <c r="M28" s="314">
        <f t="shared" si="10"/>
        <v>0</v>
      </c>
      <c r="N28" s="314">
        <f t="shared" si="10"/>
        <v>0</v>
      </c>
      <c r="O28" s="314">
        <f t="shared" si="10"/>
        <v>0</v>
      </c>
      <c r="P28" s="314">
        <f t="shared" si="10"/>
        <v>0</v>
      </c>
      <c r="Q28" s="314">
        <f t="shared" si="10"/>
        <v>0</v>
      </c>
      <c r="R28" s="314">
        <f t="shared" si="10"/>
        <v>0</v>
      </c>
      <c r="S28" s="314">
        <f t="shared" si="10"/>
        <v>0</v>
      </c>
      <c r="T28" s="314">
        <f t="shared" si="10"/>
        <v>0</v>
      </c>
      <c r="U28" s="314">
        <f t="shared" si="10"/>
        <v>0</v>
      </c>
      <c r="V28" s="314">
        <f t="shared" si="10"/>
        <v>0</v>
      </c>
      <c r="W28" s="314">
        <f t="shared" si="10"/>
        <v>0</v>
      </c>
      <c r="X28" s="314">
        <f t="shared" si="10"/>
        <v>0</v>
      </c>
      <c r="Y28" s="314">
        <f t="shared" si="10"/>
        <v>0</v>
      </c>
      <c r="Z28" s="314">
        <f t="shared" si="10"/>
        <v>0</v>
      </c>
      <c r="AA28" s="314">
        <f t="shared" si="10"/>
        <v>0</v>
      </c>
      <c r="AB28" s="314">
        <f t="shared" si="10"/>
        <v>0</v>
      </c>
      <c r="AC28" s="314">
        <f t="shared" si="10"/>
        <v>0</v>
      </c>
      <c r="AD28" s="314">
        <f t="shared" si="10"/>
        <v>0</v>
      </c>
      <c r="AE28" s="314">
        <f t="shared" si="10"/>
        <v>0</v>
      </c>
      <c r="AF28" s="314">
        <f t="shared" si="10"/>
        <v>0</v>
      </c>
      <c r="AG28" s="314">
        <f t="shared" si="10"/>
        <v>0</v>
      </c>
      <c r="AH28" s="314">
        <f t="shared" si="10"/>
        <v>0</v>
      </c>
      <c r="AI28" s="314">
        <f t="shared" si="10"/>
        <v>0</v>
      </c>
      <c r="AJ28" s="314">
        <f t="shared" si="10"/>
        <v>0</v>
      </c>
      <c r="AK28" s="314">
        <f t="shared" si="10"/>
        <v>0</v>
      </c>
      <c r="AL28" s="314">
        <f t="shared" si="10"/>
        <v>0</v>
      </c>
      <c r="AM28" s="314">
        <f t="shared" si="10"/>
        <v>0</v>
      </c>
      <c r="AN28" s="449">
        <f>-[1]Dashboard!D66</f>
        <v>-4104758.7796800006</v>
      </c>
      <c r="AO28" s="313"/>
      <c r="AP28" s="13">
        <f t="shared" si="5"/>
        <v>-4007499.7396800006</v>
      </c>
      <c r="AQ28" s="13">
        <f t="shared" si="8"/>
        <v>-1330809.0545984008</v>
      </c>
      <c r="AR28" s="13"/>
    </row>
    <row r="29" spans="1:44" x14ac:dyDescent="0.25">
      <c r="A29" s="242">
        <v>46082</v>
      </c>
      <c r="B29" s="314">
        <f t="shared" ref="B29:AM29" si="11">+B9*B$1</f>
        <v>250748.19</v>
      </c>
      <c r="C29" s="314">
        <f t="shared" si="11"/>
        <v>321750.99000000005</v>
      </c>
      <c r="D29" s="314">
        <f t="shared" si="11"/>
        <v>97546.680000000008</v>
      </c>
      <c r="E29" s="314">
        <f t="shared" si="11"/>
        <v>105229.08</v>
      </c>
      <c r="F29" s="314">
        <f t="shared" si="11"/>
        <v>132387.75</v>
      </c>
      <c r="G29" s="314">
        <f t="shared" si="11"/>
        <v>156539.79</v>
      </c>
      <c r="H29" s="314">
        <f t="shared" si="11"/>
        <v>0</v>
      </c>
      <c r="I29" s="391">
        <f t="shared" si="11"/>
        <v>0</v>
      </c>
      <c r="J29" s="314">
        <f t="shared" si="11"/>
        <v>0</v>
      </c>
      <c r="K29" s="525">
        <f t="shared" si="11"/>
        <v>0</v>
      </c>
      <c r="L29" s="314">
        <f t="shared" si="11"/>
        <v>0</v>
      </c>
      <c r="M29" s="314">
        <f t="shared" si="11"/>
        <v>8126.7120000000004</v>
      </c>
      <c r="N29" s="314">
        <f t="shared" si="11"/>
        <v>191166.47999999998</v>
      </c>
      <c r="O29" s="314">
        <f t="shared" si="11"/>
        <v>142899.12000000002</v>
      </c>
      <c r="P29" s="314">
        <f t="shared" si="11"/>
        <v>106415.1</v>
      </c>
      <c r="Q29" s="314">
        <f t="shared" si="11"/>
        <v>0</v>
      </c>
      <c r="R29" s="314">
        <f t="shared" si="11"/>
        <v>0</v>
      </c>
      <c r="S29" s="314">
        <f t="shared" si="11"/>
        <v>0</v>
      </c>
      <c r="T29" s="314">
        <f t="shared" si="11"/>
        <v>0</v>
      </c>
      <c r="U29" s="314">
        <f t="shared" si="11"/>
        <v>0</v>
      </c>
      <c r="V29" s="314">
        <f t="shared" si="11"/>
        <v>0</v>
      </c>
      <c r="W29" s="314">
        <f t="shared" si="11"/>
        <v>0</v>
      </c>
      <c r="X29" s="314">
        <f t="shared" si="11"/>
        <v>0</v>
      </c>
      <c r="Y29" s="314">
        <f t="shared" si="11"/>
        <v>0</v>
      </c>
      <c r="Z29" s="314">
        <f t="shared" si="11"/>
        <v>0</v>
      </c>
      <c r="AA29" s="314">
        <f t="shared" si="11"/>
        <v>0</v>
      </c>
      <c r="AB29" s="314">
        <f t="shared" si="11"/>
        <v>0</v>
      </c>
      <c r="AC29" s="314">
        <f t="shared" si="11"/>
        <v>0</v>
      </c>
      <c r="AD29" s="314">
        <f t="shared" si="11"/>
        <v>0</v>
      </c>
      <c r="AE29" s="314">
        <f t="shared" si="11"/>
        <v>0</v>
      </c>
      <c r="AF29" s="314">
        <f t="shared" si="11"/>
        <v>0</v>
      </c>
      <c r="AG29" s="314">
        <f t="shared" si="11"/>
        <v>0</v>
      </c>
      <c r="AH29" s="314">
        <f t="shared" si="11"/>
        <v>0</v>
      </c>
      <c r="AI29" s="314">
        <f t="shared" si="11"/>
        <v>0</v>
      </c>
      <c r="AJ29" s="314">
        <f t="shared" si="11"/>
        <v>0</v>
      </c>
      <c r="AK29" s="314">
        <f t="shared" si="11"/>
        <v>0</v>
      </c>
      <c r="AL29" s="314">
        <f t="shared" si="11"/>
        <v>0</v>
      </c>
      <c r="AM29" s="314">
        <f t="shared" si="11"/>
        <v>0</v>
      </c>
      <c r="AN29" s="449">
        <f>-[1]Dashboard!D67</f>
        <v>-85730.795280000006</v>
      </c>
      <c r="AO29" s="313"/>
      <c r="AP29" s="13">
        <f t="shared" si="5"/>
        <v>1669128.6794400001</v>
      </c>
      <c r="AQ29" s="13">
        <f t="shared" si="8"/>
        <v>338319.62484159926</v>
      </c>
    </row>
    <row r="30" spans="1:44" x14ac:dyDescent="0.25">
      <c r="A30" s="242">
        <v>46113</v>
      </c>
      <c r="B30" s="314">
        <f t="shared" ref="B30:AM30" si="12">+B10*B$1</f>
        <v>43057.77</v>
      </c>
      <c r="C30" s="314">
        <f t="shared" si="12"/>
        <v>55250.170000000006</v>
      </c>
      <c r="D30" s="314">
        <f t="shared" si="12"/>
        <v>16750.440000000002</v>
      </c>
      <c r="E30" s="314">
        <f t="shared" si="12"/>
        <v>18069.64</v>
      </c>
      <c r="F30" s="314">
        <f t="shared" si="12"/>
        <v>22733.25</v>
      </c>
      <c r="G30" s="314">
        <f t="shared" si="12"/>
        <v>26880.57</v>
      </c>
      <c r="H30" s="314">
        <f t="shared" si="12"/>
        <v>0</v>
      </c>
      <c r="I30" s="391">
        <f t="shared" si="12"/>
        <v>0</v>
      </c>
      <c r="J30" s="314">
        <f t="shared" si="12"/>
        <v>80723.77665</v>
      </c>
      <c r="K30" s="525">
        <f t="shared" si="12"/>
        <v>0</v>
      </c>
      <c r="L30" s="314">
        <f t="shared" si="12"/>
        <v>0</v>
      </c>
      <c r="M30" s="314">
        <f t="shared" si="12"/>
        <v>48841.539120000001</v>
      </c>
      <c r="N30" s="314">
        <f t="shared" si="12"/>
        <v>0</v>
      </c>
      <c r="O30" s="314">
        <f t="shared" si="12"/>
        <v>0</v>
      </c>
      <c r="P30" s="314">
        <f t="shared" si="12"/>
        <v>0</v>
      </c>
      <c r="Q30" s="314">
        <f t="shared" si="12"/>
        <v>0</v>
      </c>
      <c r="R30" s="314">
        <f t="shared" si="12"/>
        <v>0</v>
      </c>
      <c r="S30" s="314">
        <f t="shared" si="12"/>
        <v>0</v>
      </c>
      <c r="T30" s="314">
        <f t="shared" si="12"/>
        <v>0</v>
      </c>
      <c r="U30" s="314">
        <f t="shared" si="12"/>
        <v>0</v>
      </c>
      <c r="V30" s="314">
        <f t="shared" si="12"/>
        <v>0</v>
      </c>
      <c r="W30" s="314">
        <f t="shared" si="12"/>
        <v>0</v>
      </c>
      <c r="X30" s="314">
        <f t="shared" si="12"/>
        <v>0</v>
      </c>
      <c r="Y30" s="314">
        <f t="shared" si="12"/>
        <v>0</v>
      </c>
      <c r="Z30" s="314">
        <f t="shared" si="12"/>
        <v>0</v>
      </c>
      <c r="AA30" s="314">
        <f t="shared" si="12"/>
        <v>0</v>
      </c>
      <c r="AB30" s="314">
        <f t="shared" si="12"/>
        <v>0</v>
      </c>
      <c r="AC30" s="314">
        <f t="shared" si="12"/>
        <v>0</v>
      </c>
      <c r="AD30" s="314">
        <f t="shared" si="12"/>
        <v>0</v>
      </c>
      <c r="AE30" s="314">
        <f t="shared" si="12"/>
        <v>0</v>
      </c>
      <c r="AF30" s="314">
        <f t="shared" si="12"/>
        <v>0</v>
      </c>
      <c r="AG30" s="314">
        <f t="shared" si="12"/>
        <v>0</v>
      </c>
      <c r="AH30" s="314">
        <f t="shared" si="12"/>
        <v>0</v>
      </c>
      <c r="AI30" s="314">
        <f t="shared" si="12"/>
        <v>0</v>
      </c>
      <c r="AJ30" s="314">
        <f t="shared" si="12"/>
        <v>0</v>
      </c>
      <c r="AK30" s="314">
        <f t="shared" si="12"/>
        <v>0</v>
      </c>
      <c r="AL30" s="314">
        <f t="shared" si="12"/>
        <v>0</v>
      </c>
      <c r="AM30" s="314">
        <f t="shared" si="12"/>
        <v>0</v>
      </c>
      <c r="AN30" s="449">
        <f>-[1]Dashboard!D68</f>
        <v>-85734.352079999997</v>
      </c>
      <c r="AO30" s="313"/>
      <c r="AP30" s="13">
        <f t="shared" si="5"/>
        <v>276541.94861320005</v>
      </c>
      <c r="AQ30" s="13">
        <f t="shared" si="8"/>
        <v>614861.57345479936</v>
      </c>
    </row>
    <row r="31" spans="1:44" x14ac:dyDescent="0.25">
      <c r="A31" s="242">
        <v>46143</v>
      </c>
      <c r="B31" s="314">
        <f t="shared" ref="B31:AM31" si="13">+B11*B$1</f>
        <v>0</v>
      </c>
      <c r="C31" s="314">
        <f t="shared" si="13"/>
        <v>0</v>
      </c>
      <c r="D31" s="314">
        <f t="shared" si="13"/>
        <v>0</v>
      </c>
      <c r="E31" s="314">
        <f t="shared" si="13"/>
        <v>0</v>
      </c>
      <c r="F31" s="314">
        <f t="shared" si="13"/>
        <v>0</v>
      </c>
      <c r="G31" s="314">
        <f t="shared" si="13"/>
        <v>0</v>
      </c>
      <c r="H31" s="314">
        <f t="shared" si="13"/>
        <v>163409.42673000001</v>
      </c>
      <c r="I31" s="391">
        <f t="shared" si="13"/>
        <v>0</v>
      </c>
      <c r="J31" s="314">
        <f t="shared" si="13"/>
        <v>269838.37078</v>
      </c>
      <c r="K31" s="525">
        <f t="shared" si="13"/>
        <v>0</v>
      </c>
      <c r="L31" s="314">
        <f t="shared" si="13"/>
        <v>0</v>
      </c>
      <c r="M31" s="314">
        <f t="shared" si="13"/>
        <v>8187.6623399999999</v>
      </c>
      <c r="N31" s="314">
        <f t="shared" si="13"/>
        <v>0</v>
      </c>
      <c r="O31" s="314">
        <f t="shared" si="13"/>
        <v>0</v>
      </c>
      <c r="P31" s="314">
        <f t="shared" si="13"/>
        <v>0</v>
      </c>
      <c r="Q31" s="314">
        <f t="shared" si="13"/>
        <v>0</v>
      </c>
      <c r="R31" s="314">
        <f t="shared" si="13"/>
        <v>0</v>
      </c>
      <c r="S31" s="314">
        <f t="shared" si="13"/>
        <v>0</v>
      </c>
      <c r="T31" s="314">
        <f t="shared" si="13"/>
        <v>0</v>
      </c>
      <c r="U31" s="314">
        <f t="shared" si="13"/>
        <v>0</v>
      </c>
      <c r="V31" s="314">
        <f t="shared" si="13"/>
        <v>0</v>
      </c>
      <c r="W31" s="314">
        <f t="shared" si="13"/>
        <v>0</v>
      </c>
      <c r="X31" s="314">
        <f t="shared" si="13"/>
        <v>0</v>
      </c>
      <c r="Y31" s="314">
        <f t="shared" si="13"/>
        <v>0</v>
      </c>
      <c r="Z31" s="314">
        <f t="shared" si="13"/>
        <v>0</v>
      </c>
      <c r="AA31" s="314">
        <f t="shared" si="13"/>
        <v>0</v>
      </c>
      <c r="AB31" s="314">
        <f t="shared" si="13"/>
        <v>0</v>
      </c>
      <c r="AC31" s="314">
        <f t="shared" si="13"/>
        <v>0</v>
      </c>
      <c r="AD31" s="314">
        <f t="shared" si="13"/>
        <v>0</v>
      </c>
      <c r="AE31" s="314">
        <f t="shared" si="13"/>
        <v>0</v>
      </c>
      <c r="AF31" s="314">
        <f t="shared" si="13"/>
        <v>0</v>
      </c>
      <c r="AG31" s="314">
        <f t="shared" si="13"/>
        <v>0</v>
      </c>
      <c r="AH31" s="314">
        <f t="shared" si="13"/>
        <v>0</v>
      </c>
      <c r="AI31" s="314">
        <f t="shared" si="13"/>
        <v>0</v>
      </c>
      <c r="AJ31" s="314">
        <f t="shared" si="13"/>
        <v>0</v>
      </c>
      <c r="AK31" s="314">
        <f t="shared" si="13"/>
        <v>0</v>
      </c>
      <c r="AL31" s="314">
        <f t="shared" si="13"/>
        <v>0</v>
      </c>
      <c r="AM31" s="314">
        <f t="shared" si="13"/>
        <v>0</v>
      </c>
      <c r="AN31" s="449">
        <f>-[1]Dashboard!D69</f>
        <v>-85734.352079999997</v>
      </c>
      <c r="AO31" s="313"/>
      <c r="AP31" s="13">
        <f t="shared" si="5"/>
        <v>426330.78134599997</v>
      </c>
      <c r="AQ31" s="13">
        <f t="shared" si="8"/>
        <v>1041192.3548007994</v>
      </c>
    </row>
    <row r="32" spans="1:44" x14ac:dyDescent="0.25">
      <c r="A32" s="242">
        <v>46174</v>
      </c>
      <c r="B32" s="314">
        <f t="shared" ref="B32:AM32" si="14">+B12*B$1</f>
        <v>0</v>
      </c>
      <c r="C32" s="314">
        <f t="shared" si="14"/>
        <v>0</v>
      </c>
      <c r="D32" s="314">
        <f t="shared" si="14"/>
        <v>0</v>
      </c>
      <c r="E32" s="314">
        <f t="shared" si="14"/>
        <v>0</v>
      </c>
      <c r="F32" s="314">
        <f t="shared" si="14"/>
        <v>0</v>
      </c>
      <c r="G32" s="314">
        <f t="shared" si="14"/>
        <v>0</v>
      </c>
      <c r="H32" s="314">
        <f t="shared" si="14"/>
        <v>295191.22248000005</v>
      </c>
      <c r="I32" s="391">
        <f t="shared" si="14"/>
        <v>0</v>
      </c>
      <c r="J32" s="314">
        <f t="shared" si="14"/>
        <v>0</v>
      </c>
      <c r="K32" s="525">
        <f t="shared" si="14"/>
        <v>0</v>
      </c>
      <c r="L32" s="314">
        <f t="shared" si="14"/>
        <v>0</v>
      </c>
      <c r="M32" s="314">
        <f t="shared" si="14"/>
        <v>12228.44414</v>
      </c>
      <c r="N32" s="314">
        <f t="shared" si="14"/>
        <v>0</v>
      </c>
      <c r="O32" s="314">
        <f t="shared" si="14"/>
        <v>0</v>
      </c>
      <c r="P32" s="314">
        <f t="shared" si="14"/>
        <v>0</v>
      </c>
      <c r="Q32" s="314">
        <f t="shared" si="14"/>
        <v>0</v>
      </c>
      <c r="R32" s="314">
        <f t="shared" si="14"/>
        <v>0</v>
      </c>
      <c r="S32" s="314">
        <f t="shared" si="14"/>
        <v>0</v>
      </c>
      <c r="T32" s="314">
        <f t="shared" si="14"/>
        <v>0</v>
      </c>
      <c r="U32" s="314">
        <f t="shared" si="14"/>
        <v>0</v>
      </c>
      <c r="V32" s="314">
        <f t="shared" si="14"/>
        <v>0</v>
      </c>
      <c r="W32" s="314">
        <f t="shared" si="14"/>
        <v>0</v>
      </c>
      <c r="X32" s="314">
        <f t="shared" si="14"/>
        <v>0</v>
      </c>
      <c r="Y32" s="314">
        <f t="shared" si="14"/>
        <v>0</v>
      </c>
      <c r="Z32" s="314">
        <f t="shared" si="14"/>
        <v>0</v>
      </c>
      <c r="AA32" s="314">
        <f t="shared" si="14"/>
        <v>0</v>
      </c>
      <c r="AB32" s="314">
        <f t="shared" si="14"/>
        <v>0</v>
      </c>
      <c r="AC32" s="314">
        <f t="shared" si="14"/>
        <v>0</v>
      </c>
      <c r="AD32" s="314">
        <f t="shared" si="14"/>
        <v>0</v>
      </c>
      <c r="AE32" s="314">
        <f t="shared" si="14"/>
        <v>0</v>
      </c>
      <c r="AF32" s="314">
        <f t="shared" si="14"/>
        <v>0</v>
      </c>
      <c r="AG32" s="314">
        <f t="shared" si="14"/>
        <v>0</v>
      </c>
      <c r="AH32" s="314">
        <f t="shared" si="14"/>
        <v>0</v>
      </c>
      <c r="AI32" s="314">
        <f t="shared" si="14"/>
        <v>0</v>
      </c>
      <c r="AJ32" s="314">
        <f t="shared" si="14"/>
        <v>0</v>
      </c>
      <c r="AK32" s="314">
        <f t="shared" si="14"/>
        <v>0</v>
      </c>
      <c r="AL32" s="314">
        <f t="shared" si="14"/>
        <v>0</v>
      </c>
      <c r="AM32" s="314">
        <f t="shared" si="14"/>
        <v>0</v>
      </c>
      <c r="AN32" s="449">
        <f>-[1]Dashboard!D70</f>
        <v>-102830.79528000001</v>
      </c>
      <c r="AO32" s="313"/>
      <c r="AP32" s="13">
        <f t="shared" si="5"/>
        <v>253776.01799919998</v>
      </c>
      <c r="AQ32" s="13">
        <f t="shared" si="8"/>
        <v>1294968.3727999993</v>
      </c>
    </row>
    <row r="33" spans="1:47" x14ac:dyDescent="0.25">
      <c r="A33" s="242">
        <v>46204</v>
      </c>
      <c r="B33" s="314">
        <f t="shared" ref="B33:AM33" si="15">+B13*B$1</f>
        <v>0</v>
      </c>
      <c r="C33" s="314">
        <f t="shared" si="15"/>
        <v>0</v>
      </c>
      <c r="D33" s="314">
        <f t="shared" si="15"/>
        <v>0</v>
      </c>
      <c r="E33" s="314">
        <f t="shared" si="15"/>
        <v>0</v>
      </c>
      <c r="F33" s="314">
        <f t="shared" si="15"/>
        <v>0</v>
      </c>
      <c r="G33" s="314">
        <f t="shared" si="15"/>
        <v>0</v>
      </c>
      <c r="H33" s="314">
        <f t="shared" si="15"/>
        <v>197026.49088</v>
      </c>
      <c r="I33" s="391">
        <f t="shared" si="15"/>
        <v>0</v>
      </c>
      <c r="J33" s="314">
        <f t="shared" si="15"/>
        <v>142849.22894</v>
      </c>
      <c r="K33" s="525">
        <f t="shared" si="15"/>
        <v>0</v>
      </c>
      <c r="L33" s="314">
        <f t="shared" si="15"/>
        <v>0</v>
      </c>
      <c r="M33" s="314">
        <f t="shared" si="15"/>
        <v>31231.405700000003</v>
      </c>
      <c r="N33" s="314">
        <f t="shared" si="15"/>
        <v>0</v>
      </c>
      <c r="O33" s="314">
        <f t="shared" si="15"/>
        <v>0</v>
      </c>
      <c r="P33" s="314">
        <f t="shared" si="15"/>
        <v>0</v>
      </c>
      <c r="Q33" s="314">
        <f t="shared" si="15"/>
        <v>0</v>
      </c>
      <c r="R33" s="314">
        <f t="shared" si="15"/>
        <v>0</v>
      </c>
      <c r="S33" s="314">
        <f t="shared" si="15"/>
        <v>0</v>
      </c>
      <c r="T33" s="314">
        <f t="shared" si="15"/>
        <v>0</v>
      </c>
      <c r="U33" s="314">
        <f t="shared" si="15"/>
        <v>0</v>
      </c>
      <c r="V33" s="314">
        <f t="shared" si="15"/>
        <v>0</v>
      </c>
      <c r="W33" s="314">
        <f t="shared" si="15"/>
        <v>0</v>
      </c>
      <c r="X33" s="314">
        <f t="shared" si="15"/>
        <v>0</v>
      </c>
      <c r="Y33" s="314">
        <f t="shared" si="15"/>
        <v>0</v>
      </c>
      <c r="Z33" s="314">
        <f t="shared" si="15"/>
        <v>0</v>
      </c>
      <c r="AA33" s="314">
        <f t="shared" si="15"/>
        <v>0</v>
      </c>
      <c r="AB33" s="314">
        <f t="shared" si="15"/>
        <v>0</v>
      </c>
      <c r="AC33" s="314">
        <f t="shared" si="15"/>
        <v>0</v>
      </c>
      <c r="AD33" s="314">
        <f t="shared" si="15"/>
        <v>0</v>
      </c>
      <c r="AE33" s="314">
        <f t="shared" si="15"/>
        <v>0</v>
      </c>
      <c r="AF33" s="314">
        <f t="shared" si="15"/>
        <v>0</v>
      </c>
      <c r="AG33" s="314">
        <f t="shared" si="15"/>
        <v>0</v>
      </c>
      <c r="AH33" s="314">
        <f t="shared" si="15"/>
        <v>0</v>
      </c>
      <c r="AI33" s="314">
        <f t="shared" si="15"/>
        <v>0</v>
      </c>
      <c r="AJ33" s="314">
        <f t="shared" si="15"/>
        <v>0</v>
      </c>
      <c r="AK33" s="314">
        <f t="shared" si="15"/>
        <v>0</v>
      </c>
      <c r="AL33" s="314">
        <f t="shared" si="15"/>
        <v>0</v>
      </c>
      <c r="AM33" s="314">
        <f t="shared" si="15"/>
        <v>0</v>
      </c>
      <c r="AN33" s="449">
        <f>-[1]Dashboard!D71</f>
        <v>-102830.79528000001</v>
      </c>
      <c r="AO33" s="313"/>
      <c r="AP33" s="13">
        <f t="shared" si="5"/>
        <v>327653.47032319993</v>
      </c>
      <c r="AQ33" s="13">
        <f t="shared" si="8"/>
        <v>1622621.8431231992</v>
      </c>
    </row>
    <row r="34" spans="1:47" x14ac:dyDescent="0.25">
      <c r="A34" s="242">
        <v>46235</v>
      </c>
      <c r="B34" s="314">
        <f t="shared" ref="B34:AM34" si="16">+B14*B$1</f>
        <v>0</v>
      </c>
      <c r="C34" s="314">
        <f t="shared" si="16"/>
        <v>0</v>
      </c>
      <c r="D34" s="314">
        <f t="shared" si="16"/>
        <v>0</v>
      </c>
      <c r="E34" s="314">
        <f t="shared" si="16"/>
        <v>0</v>
      </c>
      <c r="F34" s="314">
        <f t="shared" si="16"/>
        <v>0</v>
      </c>
      <c r="G34" s="314">
        <f t="shared" si="16"/>
        <v>0</v>
      </c>
      <c r="H34" s="314">
        <f t="shared" si="16"/>
        <v>145693.30653000003</v>
      </c>
      <c r="I34" s="391">
        <f t="shared" si="16"/>
        <v>0</v>
      </c>
      <c r="J34" s="314">
        <f t="shared" si="16"/>
        <v>168022.03384999998</v>
      </c>
      <c r="K34" s="525">
        <f t="shared" si="16"/>
        <v>300342.56999999995</v>
      </c>
      <c r="L34" s="314">
        <f t="shared" si="16"/>
        <v>0</v>
      </c>
      <c r="M34" s="314">
        <f t="shared" si="16"/>
        <v>27472.8014</v>
      </c>
      <c r="N34" s="314">
        <f t="shared" si="16"/>
        <v>0</v>
      </c>
      <c r="O34" s="314">
        <f t="shared" si="16"/>
        <v>0</v>
      </c>
      <c r="P34" s="314">
        <f t="shared" si="16"/>
        <v>0</v>
      </c>
      <c r="Q34" s="314">
        <f t="shared" si="16"/>
        <v>15171.98</v>
      </c>
      <c r="R34" s="314">
        <f t="shared" si="16"/>
        <v>3531.18</v>
      </c>
      <c r="S34" s="314">
        <f t="shared" si="16"/>
        <v>3869.18</v>
      </c>
      <c r="T34" s="314">
        <f t="shared" si="16"/>
        <v>3921.18</v>
      </c>
      <c r="U34" s="314">
        <f t="shared" si="16"/>
        <v>0</v>
      </c>
      <c r="V34" s="314">
        <f t="shared" si="16"/>
        <v>4441.18</v>
      </c>
      <c r="W34" s="314">
        <f t="shared" si="16"/>
        <v>0</v>
      </c>
      <c r="X34" s="314">
        <f t="shared" si="16"/>
        <v>0</v>
      </c>
      <c r="Y34" s="314">
        <f t="shared" si="16"/>
        <v>1312</v>
      </c>
      <c r="Z34" s="314">
        <f t="shared" si="16"/>
        <v>9352</v>
      </c>
      <c r="AA34" s="314">
        <f t="shared" si="16"/>
        <v>0</v>
      </c>
      <c r="AB34" s="314">
        <f t="shared" si="16"/>
        <v>0</v>
      </c>
      <c r="AC34" s="314">
        <f t="shared" si="16"/>
        <v>0</v>
      </c>
      <c r="AD34" s="314">
        <f t="shared" si="16"/>
        <v>0</v>
      </c>
      <c r="AE34" s="314">
        <f t="shared" si="16"/>
        <v>0</v>
      </c>
      <c r="AF34" s="314">
        <f t="shared" si="16"/>
        <v>0</v>
      </c>
      <c r="AG34" s="314">
        <f t="shared" si="16"/>
        <v>0</v>
      </c>
      <c r="AH34" s="314">
        <f t="shared" si="16"/>
        <v>0</v>
      </c>
      <c r="AI34" s="314">
        <f t="shared" si="16"/>
        <v>0</v>
      </c>
      <c r="AJ34" s="314">
        <f t="shared" si="16"/>
        <v>173864.40000000002</v>
      </c>
      <c r="AK34" s="314">
        <f t="shared" si="16"/>
        <v>167470.32</v>
      </c>
      <c r="AL34" s="314">
        <f t="shared" si="16"/>
        <v>0</v>
      </c>
      <c r="AM34" s="314">
        <f t="shared" si="16"/>
        <v>0</v>
      </c>
      <c r="AN34" s="449">
        <f>-[1]Dashboard!D72</f>
        <v>-102830.79528000001</v>
      </c>
      <c r="AO34" s="313"/>
      <c r="AP34" s="13">
        <f t="shared" si="5"/>
        <v>1085547.5975848001</v>
      </c>
      <c r="AQ34" s="13">
        <f t="shared" si="8"/>
        <v>2708169.4407079993</v>
      </c>
    </row>
    <row r="35" spans="1:47" x14ac:dyDescent="0.25">
      <c r="A35" s="242">
        <v>46266</v>
      </c>
      <c r="B35" s="314">
        <f t="shared" ref="B35:AM35" si="17">+B15*B$1</f>
        <v>0</v>
      </c>
      <c r="C35" s="314">
        <f t="shared" si="17"/>
        <v>0</v>
      </c>
      <c r="D35" s="314">
        <f t="shared" si="17"/>
        <v>0</v>
      </c>
      <c r="E35" s="314">
        <f t="shared" si="17"/>
        <v>0</v>
      </c>
      <c r="F35" s="314">
        <f t="shared" si="17"/>
        <v>0</v>
      </c>
      <c r="G35" s="314">
        <f t="shared" si="17"/>
        <v>0</v>
      </c>
      <c r="H35" s="314">
        <f t="shared" si="17"/>
        <v>155669.51519999999</v>
      </c>
      <c r="I35" s="391">
        <f t="shared" si="17"/>
        <v>0</v>
      </c>
      <c r="J35" s="314">
        <f t="shared" si="17"/>
        <v>0</v>
      </c>
      <c r="K35" s="525">
        <f t="shared" si="17"/>
        <v>440241.56999999995</v>
      </c>
      <c r="L35" s="314">
        <f t="shared" si="17"/>
        <v>93160</v>
      </c>
      <c r="M35" s="314">
        <f t="shared" si="17"/>
        <v>45306.419399999999</v>
      </c>
      <c r="N35" s="314">
        <f t="shared" si="17"/>
        <v>120364.08</v>
      </c>
      <c r="O35" s="314">
        <f t="shared" si="17"/>
        <v>89973.52</v>
      </c>
      <c r="P35" s="314">
        <f t="shared" si="17"/>
        <v>67002.100000000006</v>
      </c>
      <c r="Q35" s="314">
        <f t="shared" si="17"/>
        <v>60687.92</v>
      </c>
      <c r="R35" s="314">
        <f t="shared" si="17"/>
        <v>14124.72</v>
      </c>
      <c r="S35" s="314">
        <f t="shared" si="17"/>
        <v>15476.72</v>
      </c>
      <c r="T35" s="314">
        <f t="shared" si="17"/>
        <v>15684.72</v>
      </c>
      <c r="U35" s="314">
        <f t="shared" si="17"/>
        <v>4441.18</v>
      </c>
      <c r="V35" s="314">
        <f t="shared" si="17"/>
        <v>17764.72</v>
      </c>
      <c r="W35" s="314">
        <f t="shared" si="17"/>
        <v>4181.18</v>
      </c>
      <c r="X35" s="314">
        <f t="shared" si="17"/>
        <v>6271.77</v>
      </c>
      <c r="Y35" s="314">
        <f t="shared" si="17"/>
        <v>5248</v>
      </c>
      <c r="Z35" s="314">
        <f t="shared" si="17"/>
        <v>37408</v>
      </c>
      <c r="AA35" s="314">
        <f t="shared" si="17"/>
        <v>0</v>
      </c>
      <c r="AB35" s="314">
        <f t="shared" si="17"/>
        <v>0</v>
      </c>
      <c r="AC35" s="314">
        <f t="shared" si="17"/>
        <v>0</v>
      </c>
      <c r="AD35" s="314">
        <f t="shared" si="17"/>
        <v>0</v>
      </c>
      <c r="AE35" s="314">
        <f t="shared" si="17"/>
        <v>0</v>
      </c>
      <c r="AF35" s="314">
        <f t="shared" si="17"/>
        <v>0</v>
      </c>
      <c r="AG35" s="314">
        <f t="shared" si="17"/>
        <v>0</v>
      </c>
      <c r="AH35" s="314">
        <f t="shared" si="17"/>
        <v>0</v>
      </c>
      <c r="AI35" s="314">
        <f t="shared" si="17"/>
        <v>0</v>
      </c>
      <c r="AJ35" s="314">
        <f t="shared" si="17"/>
        <v>0</v>
      </c>
      <c r="AK35" s="314">
        <f t="shared" si="17"/>
        <v>0</v>
      </c>
      <c r="AL35" s="314">
        <f t="shared" si="17"/>
        <v>0</v>
      </c>
      <c r="AM35" s="314">
        <f t="shared" si="17"/>
        <v>0</v>
      </c>
      <c r="AN35" s="449">
        <f>-[1]Dashboard!D73</f>
        <v>-102830.79528000001</v>
      </c>
      <c r="AO35" s="313"/>
      <c r="AP35" s="13">
        <f t="shared" si="5"/>
        <v>1281056.3208559996</v>
      </c>
      <c r="AQ35" s="13">
        <f t="shared" si="8"/>
        <v>3989225.7615639986</v>
      </c>
    </row>
    <row r="36" spans="1:47" x14ac:dyDescent="0.25">
      <c r="A36" s="242">
        <v>46296</v>
      </c>
      <c r="B36" s="314">
        <f t="shared" ref="B36:AM36" si="18">+B16*B$1</f>
        <v>0</v>
      </c>
      <c r="C36" s="314">
        <f t="shared" si="18"/>
        <v>0</v>
      </c>
      <c r="D36" s="314">
        <f t="shared" si="18"/>
        <v>0</v>
      </c>
      <c r="E36" s="314">
        <f t="shared" si="18"/>
        <v>0</v>
      </c>
      <c r="F36" s="314">
        <f t="shared" si="18"/>
        <v>0</v>
      </c>
      <c r="G36" s="314">
        <f t="shared" si="18"/>
        <v>0</v>
      </c>
      <c r="H36" s="314">
        <f t="shared" si="18"/>
        <v>234048.825675</v>
      </c>
      <c r="I36" s="391">
        <f t="shared" si="18"/>
        <v>0</v>
      </c>
      <c r="J36" s="314">
        <f t="shared" si="18"/>
        <v>22021.120934999992</v>
      </c>
      <c r="K36" s="525">
        <f t="shared" si="18"/>
        <v>886419.96</v>
      </c>
      <c r="L36" s="314">
        <f t="shared" si="18"/>
        <v>0</v>
      </c>
      <c r="M36" s="314">
        <f t="shared" si="18"/>
        <v>3667.1787899999986</v>
      </c>
      <c r="N36" s="314">
        <f t="shared" si="18"/>
        <v>14160.48</v>
      </c>
      <c r="O36" s="314">
        <f t="shared" si="18"/>
        <v>10585.12</v>
      </c>
      <c r="P36" s="314">
        <f t="shared" si="18"/>
        <v>7882.6</v>
      </c>
      <c r="Q36" s="314">
        <f t="shared" si="18"/>
        <v>37929.949999999997</v>
      </c>
      <c r="R36" s="314">
        <f t="shared" si="18"/>
        <v>10593.539999999999</v>
      </c>
      <c r="S36" s="314">
        <f t="shared" si="18"/>
        <v>11607.539999999999</v>
      </c>
      <c r="T36" s="314">
        <f t="shared" si="18"/>
        <v>11763.539999999999</v>
      </c>
      <c r="U36" s="314">
        <f t="shared" si="18"/>
        <v>0</v>
      </c>
      <c r="V36" s="314">
        <f t="shared" si="18"/>
        <v>13323.54</v>
      </c>
      <c r="W36" s="314">
        <f t="shared" si="18"/>
        <v>2090.59</v>
      </c>
      <c r="X36" s="314">
        <f t="shared" si="18"/>
        <v>2090.59</v>
      </c>
      <c r="Y36" s="314">
        <f t="shared" si="18"/>
        <v>2624</v>
      </c>
      <c r="Z36" s="314">
        <f t="shared" si="18"/>
        <v>18704</v>
      </c>
      <c r="AA36" s="314">
        <f t="shared" si="18"/>
        <v>0</v>
      </c>
      <c r="AB36" s="314">
        <f t="shared" si="18"/>
        <v>0</v>
      </c>
      <c r="AC36" s="314">
        <f t="shared" si="18"/>
        <v>0</v>
      </c>
      <c r="AD36" s="314">
        <f t="shared" si="18"/>
        <v>0</v>
      </c>
      <c r="AE36" s="314">
        <f t="shared" si="18"/>
        <v>0</v>
      </c>
      <c r="AF36" s="314">
        <f t="shared" si="18"/>
        <v>0</v>
      </c>
      <c r="AG36" s="314">
        <f t="shared" si="18"/>
        <v>0</v>
      </c>
      <c r="AH36" s="314">
        <f t="shared" si="18"/>
        <v>0</v>
      </c>
      <c r="AI36" s="314">
        <f t="shared" si="18"/>
        <v>0</v>
      </c>
      <c r="AJ36" s="314">
        <f t="shared" si="18"/>
        <v>0</v>
      </c>
      <c r="AK36" s="314">
        <f t="shared" si="18"/>
        <v>0</v>
      </c>
      <c r="AL36" s="314">
        <f t="shared" si="18"/>
        <v>0</v>
      </c>
      <c r="AM36" s="314">
        <f t="shared" si="18"/>
        <v>0</v>
      </c>
      <c r="AN36" s="449">
        <f>-[1]Dashboard!D74</f>
        <v>-102830.79528000001</v>
      </c>
      <c r="AO36" s="313"/>
      <c r="AP36" s="13">
        <f t="shared" si="5"/>
        <v>1393003.7921840004</v>
      </c>
      <c r="AQ36" s="13">
        <f t="shared" si="8"/>
        <v>5382229.5537479986</v>
      </c>
    </row>
    <row r="37" spans="1:47" x14ac:dyDescent="0.25">
      <c r="A37" s="242">
        <v>46327</v>
      </c>
      <c r="B37" s="314">
        <f t="shared" ref="B37:AM37" si="19">+B17*B$1</f>
        <v>0</v>
      </c>
      <c r="C37" s="314">
        <f t="shared" si="19"/>
        <v>0</v>
      </c>
      <c r="D37" s="314">
        <f t="shared" si="19"/>
        <v>0</v>
      </c>
      <c r="E37" s="314">
        <f t="shared" si="19"/>
        <v>0</v>
      </c>
      <c r="F37" s="314">
        <f t="shared" si="19"/>
        <v>0</v>
      </c>
      <c r="G37" s="314">
        <f t="shared" si="19"/>
        <v>0</v>
      </c>
      <c r="H37" s="314">
        <f t="shared" si="19"/>
        <v>0</v>
      </c>
      <c r="I37" s="391">
        <f t="shared" si="19"/>
        <v>0</v>
      </c>
      <c r="J37" s="314">
        <f t="shared" si="19"/>
        <v>0</v>
      </c>
      <c r="K37" s="525">
        <f t="shared" si="19"/>
        <v>0</v>
      </c>
      <c r="L37" s="314">
        <f t="shared" si="19"/>
        <v>0</v>
      </c>
      <c r="M37" s="314">
        <f t="shared" si="19"/>
        <v>0</v>
      </c>
      <c r="N37" s="314">
        <f t="shared" si="19"/>
        <v>0</v>
      </c>
      <c r="O37" s="314">
        <f t="shared" si="19"/>
        <v>0</v>
      </c>
      <c r="P37" s="314">
        <f t="shared" si="19"/>
        <v>0</v>
      </c>
      <c r="Q37" s="314">
        <f t="shared" si="19"/>
        <v>0</v>
      </c>
      <c r="R37" s="314">
        <f t="shared" si="19"/>
        <v>0</v>
      </c>
      <c r="S37" s="314">
        <f t="shared" si="19"/>
        <v>0</v>
      </c>
      <c r="T37" s="314">
        <f t="shared" si="19"/>
        <v>0</v>
      </c>
      <c r="U37" s="314">
        <f t="shared" si="19"/>
        <v>0</v>
      </c>
      <c r="V37" s="314">
        <f t="shared" si="19"/>
        <v>0</v>
      </c>
      <c r="W37" s="314">
        <f t="shared" si="19"/>
        <v>0</v>
      </c>
      <c r="X37" s="314">
        <f t="shared" si="19"/>
        <v>0</v>
      </c>
      <c r="Y37" s="314">
        <f t="shared" si="19"/>
        <v>0</v>
      </c>
      <c r="Z37" s="314">
        <f t="shared" si="19"/>
        <v>0</v>
      </c>
      <c r="AA37" s="314">
        <f t="shared" si="19"/>
        <v>0</v>
      </c>
      <c r="AB37" s="314">
        <f t="shared" si="19"/>
        <v>0</v>
      </c>
      <c r="AC37" s="314">
        <f t="shared" si="19"/>
        <v>0</v>
      </c>
      <c r="AD37" s="314">
        <f t="shared" si="19"/>
        <v>0</v>
      </c>
      <c r="AE37" s="314">
        <f t="shared" si="19"/>
        <v>0</v>
      </c>
      <c r="AF37" s="314">
        <f t="shared" si="19"/>
        <v>0</v>
      </c>
      <c r="AG37" s="314">
        <f t="shared" si="19"/>
        <v>0</v>
      </c>
      <c r="AH37" s="314">
        <f t="shared" si="19"/>
        <v>0</v>
      </c>
      <c r="AI37" s="314">
        <f t="shared" si="19"/>
        <v>0</v>
      </c>
      <c r="AJ37" s="314">
        <f t="shared" si="19"/>
        <v>0</v>
      </c>
      <c r="AK37" s="314">
        <f t="shared" si="19"/>
        <v>0</v>
      </c>
      <c r="AL37" s="314">
        <f t="shared" si="19"/>
        <v>0</v>
      </c>
      <c r="AM37" s="314">
        <f t="shared" si="19"/>
        <v>0</v>
      </c>
      <c r="AN37" s="391"/>
      <c r="AO37" s="313"/>
      <c r="AP37" s="13">
        <f t="shared" si="5"/>
        <v>0</v>
      </c>
      <c r="AQ37" s="13">
        <f t="shared" si="8"/>
        <v>5382229.5537479986</v>
      </c>
    </row>
    <row r="38" spans="1:47" x14ac:dyDescent="0.25">
      <c r="A38" s="242">
        <v>46357</v>
      </c>
      <c r="B38" s="314">
        <f t="shared" ref="B38:AM38" si="20">+B18*B$1</f>
        <v>0</v>
      </c>
      <c r="C38" s="314">
        <f t="shared" si="20"/>
        <v>0</v>
      </c>
      <c r="D38" s="314">
        <f t="shared" si="20"/>
        <v>0</v>
      </c>
      <c r="E38" s="314">
        <f t="shared" si="20"/>
        <v>0</v>
      </c>
      <c r="F38" s="314">
        <f t="shared" si="20"/>
        <v>0</v>
      </c>
      <c r="G38" s="314">
        <f t="shared" si="20"/>
        <v>0</v>
      </c>
      <c r="H38" s="314">
        <f t="shared" si="20"/>
        <v>0</v>
      </c>
      <c r="I38" s="391">
        <f t="shared" si="20"/>
        <v>0</v>
      </c>
      <c r="J38" s="314">
        <f t="shared" si="20"/>
        <v>0</v>
      </c>
      <c r="K38" s="525">
        <f t="shared" si="20"/>
        <v>0</v>
      </c>
      <c r="L38" s="314">
        <f t="shared" si="20"/>
        <v>0</v>
      </c>
      <c r="M38" s="314">
        <f t="shared" si="20"/>
        <v>0</v>
      </c>
      <c r="N38" s="314">
        <f t="shared" si="20"/>
        <v>0</v>
      </c>
      <c r="O38" s="314">
        <f t="shared" si="20"/>
        <v>0</v>
      </c>
      <c r="P38" s="314">
        <f t="shared" si="20"/>
        <v>0</v>
      </c>
      <c r="Q38" s="314">
        <f t="shared" si="20"/>
        <v>0</v>
      </c>
      <c r="R38" s="314">
        <f t="shared" si="20"/>
        <v>0</v>
      </c>
      <c r="S38" s="314">
        <f t="shared" si="20"/>
        <v>0</v>
      </c>
      <c r="T38" s="314">
        <f t="shared" si="20"/>
        <v>0</v>
      </c>
      <c r="U38" s="314">
        <f t="shared" si="20"/>
        <v>0</v>
      </c>
      <c r="V38" s="314">
        <f t="shared" si="20"/>
        <v>0</v>
      </c>
      <c r="W38" s="314">
        <f t="shared" si="20"/>
        <v>0</v>
      </c>
      <c r="X38" s="314">
        <f t="shared" si="20"/>
        <v>0</v>
      </c>
      <c r="Y38" s="314">
        <f t="shared" si="20"/>
        <v>0</v>
      </c>
      <c r="Z38" s="314">
        <f t="shared" si="20"/>
        <v>0</v>
      </c>
      <c r="AA38" s="314">
        <f t="shared" si="20"/>
        <v>0</v>
      </c>
      <c r="AB38" s="314">
        <f t="shared" si="20"/>
        <v>0</v>
      </c>
      <c r="AC38" s="314">
        <f t="shared" si="20"/>
        <v>0</v>
      </c>
      <c r="AD38" s="314">
        <f t="shared" si="20"/>
        <v>0</v>
      </c>
      <c r="AE38" s="314">
        <f t="shared" si="20"/>
        <v>0</v>
      </c>
      <c r="AF38" s="314">
        <f t="shared" si="20"/>
        <v>0</v>
      </c>
      <c r="AG38" s="314">
        <f t="shared" si="20"/>
        <v>0</v>
      </c>
      <c r="AH38" s="314">
        <f t="shared" si="20"/>
        <v>0</v>
      </c>
      <c r="AI38" s="314">
        <f t="shared" si="20"/>
        <v>0</v>
      </c>
      <c r="AJ38" s="314">
        <f t="shared" si="20"/>
        <v>0</v>
      </c>
      <c r="AK38" s="314">
        <f t="shared" si="20"/>
        <v>0</v>
      </c>
      <c r="AL38" s="314">
        <f t="shared" si="20"/>
        <v>0</v>
      </c>
      <c r="AM38" s="314">
        <f t="shared" si="20"/>
        <v>0</v>
      </c>
      <c r="AN38" s="391"/>
      <c r="AO38" s="313"/>
      <c r="AP38" s="13">
        <f t="shared" si="5"/>
        <v>0</v>
      </c>
      <c r="AQ38" s="13">
        <f t="shared" si="8"/>
        <v>5382229.5537479986</v>
      </c>
    </row>
    <row r="39" spans="1:47" x14ac:dyDescent="0.25">
      <c r="A39" t="s">
        <v>75</v>
      </c>
      <c r="B39" s="13">
        <f>SUM(B23:B38)</f>
        <v>293805.96000000002</v>
      </c>
      <c r="C39" s="13">
        <f t="shared" ref="C39:AN39" si="21">SUM(C23:C38)</f>
        <v>377001.16000000003</v>
      </c>
      <c r="D39" s="13">
        <f t="shared" si="21"/>
        <v>114297.12000000001</v>
      </c>
      <c r="E39" s="13">
        <f t="shared" si="21"/>
        <v>123298.72</v>
      </c>
      <c r="F39" s="13">
        <f t="shared" si="21"/>
        <v>155121</v>
      </c>
      <c r="G39" s="13">
        <f t="shared" si="21"/>
        <v>183420.36000000002</v>
      </c>
      <c r="H39" s="13">
        <f t="shared" si="21"/>
        <v>2641814.7749550003</v>
      </c>
      <c r="I39" s="13">
        <f t="shared" si="21"/>
        <v>0</v>
      </c>
      <c r="J39" s="13">
        <f t="shared" si="21"/>
        <v>2037743.3019349999</v>
      </c>
      <c r="K39" s="13">
        <f t="shared" si="21"/>
        <v>1627004.0999999999</v>
      </c>
      <c r="L39" s="13">
        <f t="shared" si="21"/>
        <v>1844568</v>
      </c>
      <c r="M39" s="13">
        <f>SUM(M23:M38)</f>
        <v>410591.96541</v>
      </c>
      <c r="N39" s="13">
        <f t="shared" si="21"/>
        <v>325691.03999999998</v>
      </c>
      <c r="O39" s="13">
        <f t="shared" si="21"/>
        <v>243457.76</v>
      </c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>
        <f t="shared" si="21"/>
        <v>-7649285.5009200014</v>
      </c>
      <c r="AP39" s="13">
        <f>SUM(AP23:AP38)</f>
        <v>5382229.5537479986</v>
      </c>
    </row>
    <row r="40" spans="1:47" x14ac:dyDescent="0.25">
      <c r="A40" t="s">
        <v>393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>
        <f>SUM(B39:O39)</f>
        <v>10377815.262299998</v>
      </c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P40" s="13">
        <v>12948989.3344</v>
      </c>
      <c r="AS40" s="13"/>
      <c r="AT40" s="13"/>
      <c r="AU40" s="13"/>
    </row>
    <row r="41" spans="1:47" x14ac:dyDescent="0.25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>
        <f>+O40*1.16</f>
        <v>12038265.704267997</v>
      </c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P41" s="13"/>
    </row>
    <row r="42" spans="1:47" x14ac:dyDescent="0.25"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</row>
    <row r="53" spans="44:44" x14ac:dyDescent="0.25">
      <c r="AR53" t="s">
        <v>614</v>
      </c>
    </row>
  </sheetData>
  <conditionalFormatting sqref="B3:J18 L3:AM18 K3:K19">
    <cfRule type="expression" dxfId="7" priority="6" stopIfTrue="1">
      <formula>IF($A3&gt;=TODAY(),TRUE,FALSE)</formula>
    </cfRule>
    <cfRule type="expression" dxfId="6" priority="9">
      <formula>B3=0</formula>
    </cfRule>
  </conditionalFormatting>
  <conditionalFormatting sqref="B23:AM38">
    <cfRule type="expression" dxfId="5" priority="5">
      <formula>B23=0</formula>
    </cfRule>
  </conditionalFormatting>
  <conditionalFormatting sqref="B23:AN38">
    <cfRule type="expression" dxfId="4" priority="3">
      <formula>IF(AND($A3&gt;TODAY(),B23=0),TRUE,FALSE)</formula>
    </cfRule>
    <cfRule type="expression" dxfId="3" priority="4">
      <formula>IF($A3&gt;TODAY(),TRUE,FALSE)</formula>
    </cfRule>
  </conditionalFormatting>
  <conditionalFormatting sqref="M23:M35">
    <cfRule type="expression" dxfId="2" priority="8">
      <formula>M23=0</formula>
    </cfRule>
  </conditionalFormatting>
  <conditionalFormatting sqref="AN23:AN38">
    <cfRule type="expression" dxfId="1" priority="1">
      <formula>IF(AND($A3&gt;TODAY(),AN23=0),TRUE,FALSE)</formula>
    </cfRule>
    <cfRule type="expression" dxfId="0" priority="2">
      <formula>IF($A3&gt;TODAY(),TRUE,FALSE)</formula>
    </cfRule>
  </conditionalFormatting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8A5F3-AF2E-4B55-B9B4-6E4A60F1C207}">
  <sheetPr codeName="Hoja8"/>
  <dimension ref="B1:M76"/>
  <sheetViews>
    <sheetView workbookViewId="0"/>
  </sheetViews>
  <sheetFormatPr baseColWidth="10" defaultColWidth="11.42578125" defaultRowHeight="15" x14ac:dyDescent="0.25"/>
  <cols>
    <col min="5" max="13" width="11.42578125" style="61"/>
  </cols>
  <sheetData>
    <row r="1" spans="2:13" x14ac:dyDescent="0.25"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B2" s="1" t="s">
        <v>322</v>
      </c>
      <c r="C2" s="1"/>
      <c r="D2" s="1"/>
      <c r="E2" s="174" t="s">
        <v>323</v>
      </c>
      <c r="F2" s="174" t="s">
        <v>324</v>
      </c>
      <c r="G2" s="174" t="s">
        <v>325</v>
      </c>
      <c r="H2" s="174" t="s">
        <v>80</v>
      </c>
      <c r="J2" s="1" t="s">
        <v>322</v>
      </c>
      <c r="K2" s="1"/>
    </row>
    <row r="3" spans="2:13" x14ac:dyDescent="0.25">
      <c r="B3" s="64">
        <v>45964</v>
      </c>
      <c r="C3" s="61">
        <v>0</v>
      </c>
      <c r="D3" s="61"/>
      <c r="E3" s="175">
        <v>45963</v>
      </c>
      <c r="F3" s="176">
        <f ca="1">+'Grafico %'!K$35</f>
        <v>0.90942749999999994</v>
      </c>
      <c r="G3" s="176">
        <f ca="1">+'Grafico %'!$K$36</f>
        <v>0.90962749999999948</v>
      </c>
      <c r="H3" s="176">
        <f ca="1">+'Grafico %'!$K$37</f>
        <v>0.7516225000000003</v>
      </c>
      <c r="J3" s="64">
        <v>45964</v>
      </c>
      <c r="K3" s="61">
        <v>0</v>
      </c>
    </row>
    <row r="4" spans="2:13" x14ac:dyDescent="0.25">
      <c r="B4" s="64">
        <v>45964</v>
      </c>
      <c r="C4" s="61">
        <v>150</v>
      </c>
      <c r="D4" s="61"/>
      <c r="E4" s="175">
        <f>+E3+2</f>
        <v>45965</v>
      </c>
      <c r="F4" s="176">
        <f ca="1">+'Grafico %'!K$35</f>
        <v>0.90942749999999994</v>
      </c>
      <c r="G4" s="176">
        <f ca="1">+'Grafico %'!$K$36</f>
        <v>0.90962749999999948</v>
      </c>
      <c r="H4" s="176">
        <f ca="1">+'Grafico %'!$K$37</f>
        <v>0.7516225000000003</v>
      </c>
      <c r="J4" s="64">
        <v>45964</v>
      </c>
      <c r="K4" s="61">
        <v>1</v>
      </c>
    </row>
    <row r="5" spans="2:13" x14ac:dyDescent="0.25">
      <c r="B5" s="61"/>
      <c r="C5" s="61"/>
      <c r="D5" s="61"/>
    </row>
    <row r="6" spans="2:13" x14ac:dyDescent="0.25">
      <c r="B6" s="64">
        <v>45971</v>
      </c>
      <c r="C6" s="61">
        <v>0</v>
      </c>
      <c r="D6" s="61"/>
      <c r="E6" s="64">
        <v>46065</v>
      </c>
      <c r="F6" s="77">
        <f ca="1">+'Grafico %'!$K$38</f>
        <v>0.79200000000000004</v>
      </c>
      <c r="J6" s="64">
        <v>45971</v>
      </c>
      <c r="K6" s="61">
        <v>0</v>
      </c>
    </row>
    <row r="7" spans="2:13" x14ac:dyDescent="0.25">
      <c r="B7" s="64">
        <v>45971</v>
      </c>
      <c r="C7" s="61">
        <v>150</v>
      </c>
      <c r="D7" s="61"/>
      <c r="E7" s="64">
        <v>46067</v>
      </c>
      <c r="F7" s="77">
        <f ca="1">+'Grafico %'!$K$38</f>
        <v>0.79200000000000004</v>
      </c>
      <c r="J7" s="64">
        <v>45971</v>
      </c>
      <c r="K7" s="61">
        <v>1</v>
      </c>
    </row>
    <row r="8" spans="2:13" x14ac:dyDescent="0.25">
      <c r="B8" s="61"/>
      <c r="C8" s="61"/>
      <c r="D8" s="61"/>
    </row>
    <row r="9" spans="2:13" x14ac:dyDescent="0.25">
      <c r="B9" s="64">
        <v>45978</v>
      </c>
      <c r="C9" s="61">
        <v>0</v>
      </c>
      <c r="D9" s="61"/>
      <c r="E9" s="61" t="s">
        <v>326</v>
      </c>
      <c r="J9" s="64">
        <v>45978</v>
      </c>
      <c r="K9" s="61">
        <v>0</v>
      </c>
    </row>
    <row r="10" spans="2:13" x14ac:dyDescent="0.25">
      <c r="B10" s="64">
        <v>45978</v>
      </c>
      <c r="C10" s="61">
        <v>150</v>
      </c>
      <c r="D10" s="61"/>
      <c r="E10" s="64">
        <v>45963</v>
      </c>
      <c r="F10" s="61">
        <v>154.23590000000002</v>
      </c>
      <c r="J10" s="64">
        <v>45978</v>
      </c>
      <c r="K10" s="61">
        <v>1</v>
      </c>
    </row>
    <row r="11" spans="2:13" x14ac:dyDescent="0.25">
      <c r="B11" s="61"/>
      <c r="C11" s="61"/>
      <c r="D11" s="61"/>
      <c r="E11" s="64">
        <v>46387</v>
      </c>
      <c r="F11" s="61">
        <v>154.23590000000002</v>
      </c>
    </row>
    <row r="12" spans="2:13" x14ac:dyDescent="0.25">
      <c r="B12" s="64">
        <v>45985</v>
      </c>
      <c r="C12" s="61">
        <v>0</v>
      </c>
      <c r="D12" s="61"/>
      <c r="J12" s="64">
        <v>45985</v>
      </c>
      <c r="K12" s="61">
        <v>0</v>
      </c>
    </row>
    <row r="13" spans="2:13" x14ac:dyDescent="0.25">
      <c r="B13" s="64">
        <v>45985</v>
      </c>
      <c r="C13" s="61">
        <v>150</v>
      </c>
      <c r="D13" s="61"/>
      <c r="E13" s="61" t="s">
        <v>327</v>
      </c>
      <c r="J13" s="64">
        <v>45985</v>
      </c>
      <c r="K13" s="61">
        <v>1</v>
      </c>
    </row>
    <row r="14" spans="2:13" x14ac:dyDescent="0.25">
      <c r="B14" s="61"/>
      <c r="C14" s="61"/>
      <c r="D14" s="61"/>
      <c r="E14" s="64">
        <v>45963</v>
      </c>
      <c r="F14" s="108">
        <f>+Grafico!L42/1000</f>
        <v>145.5</v>
      </c>
    </row>
    <row r="15" spans="2:13" x14ac:dyDescent="0.25">
      <c r="B15" s="64">
        <v>45992</v>
      </c>
      <c r="C15" s="61">
        <v>0</v>
      </c>
      <c r="D15" s="61"/>
      <c r="E15" s="64">
        <v>46067</v>
      </c>
      <c r="F15" s="108">
        <f>+Grafico!L42/1000</f>
        <v>145.5</v>
      </c>
      <c r="J15" s="64">
        <v>45992</v>
      </c>
      <c r="K15" s="61">
        <v>0</v>
      </c>
    </row>
    <row r="16" spans="2:13" x14ac:dyDescent="0.25">
      <c r="B16" s="64">
        <v>45992</v>
      </c>
      <c r="C16" s="61">
        <v>150</v>
      </c>
      <c r="D16" s="61"/>
      <c r="J16" s="64">
        <v>45992</v>
      </c>
      <c r="K16" s="61">
        <v>1</v>
      </c>
    </row>
    <row r="17" spans="2:11" x14ac:dyDescent="0.25">
      <c r="B17" s="61"/>
      <c r="C17" s="61"/>
      <c r="D17" s="61"/>
      <c r="E17" s="61" t="s">
        <v>328</v>
      </c>
    </row>
    <row r="18" spans="2:11" x14ac:dyDescent="0.25">
      <c r="B18" s="64">
        <v>45999</v>
      </c>
      <c r="C18" s="61">
        <v>0</v>
      </c>
      <c r="D18" s="61"/>
      <c r="E18" s="64">
        <v>45963</v>
      </c>
      <c r="F18" s="108">
        <f>+F14/145.5</f>
        <v>1</v>
      </c>
      <c r="J18" s="64">
        <v>45999</v>
      </c>
      <c r="K18" s="61">
        <v>0</v>
      </c>
    </row>
    <row r="19" spans="2:11" x14ac:dyDescent="0.25">
      <c r="B19" s="64">
        <v>45999</v>
      </c>
      <c r="C19" s="61">
        <v>150</v>
      </c>
      <c r="D19" s="61"/>
      <c r="E19" s="64">
        <v>46067</v>
      </c>
      <c r="F19" s="108">
        <f>+F14/145.5</f>
        <v>1</v>
      </c>
      <c r="J19" s="64">
        <v>45999</v>
      </c>
      <c r="K19" s="61">
        <v>1</v>
      </c>
    </row>
    <row r="20" spans="2:11" x14ac:dyDescent="0.25">
      <c r="B20" s="61"/>
      <c r="C20" s="61"/>
      <c r="D20" s="61"/>
    </row>
    <row r="21" spans="2:11" x14ac:dyDescent="0.25">
      <c r="B21" s="64">
        <v>46006</v>
      </c>
      <c r="C21" s="61">
        <v>0</v>
      </c>
      <c r="D21" s="61"/>
      <c r="J21" s="64">
        <v>46006</v>
      </c>
      <c r="K21" s="61">
        <v>0</v>
      </c>
    </row>
    <row r="22" spans="2:11" x14ac:dyDescent="0.25">
      <c r="B22" s="64">
        <v>46006</v>
      </c>
      <c r="C22" s="61">
        <v>150</v>
      </c>
      <c r="D22" s="61"/>
      <c r="J22" s="64">
        <v>46006</v>
      </c>
      <c r="K22" s="61">
        <v>1</v>
      </c>
    </row>
    <row r="23" spans="2:11" x14ac:dyDescent="0.25">
      <c r="B23" s="61"/>
      <c r="C23" s="61"/>
      <c r="D23" s="61"/>
    </row>
    <row r="24" spans="2:11" x14ac:dyDescent="0.25">
      <c r="B24" s="64">
        <v>46013</v>
      </c>
      <c r="C24" s="61">
        <v>0</v>
      </c>
      <c r="D24" s="61"/>
      <c r="J24" s="64">
        <v>46013</v>
      </c>
      <c r="K24" s="61">
        <v>0</v>
      </c>
    </row>
    <row r="25" spans="2:11" x14ac:dyDescent="0.25">
      <c r="B25" s="64">
        <v>46013</v>
      </c>
      <c r="C25" s="61">
        <v>150</v>
      </c>
      <c r="D25" s="61"/>
      <c r="J25" s="64">
        <v>46013</v>
      </c>
      <c r="K25" s="61">
        <v>1</v>
      </c>
    </row>
    <row r="26" spans="2:11" x14ac:dyDescent="0.25">
      <c r="B26" s="61"/>
      <c r="C26" s="61"/>
      <c r="D26" s="61"/>
    </row>
    <row r="27" spans="2:11" x14ac:dyDescent="0.25">
      <c r="B27" s="64">
        <v>46020</v>
      </c>
      <c r="C27" s="61">
        <v>0</v>
      </c>
      <c r="D27" s="61"/>
      <c r="J27" s="64">
        <v>46020</v>
      </c>
      <c r="K27" s="61">
        <v>0</v>
      </c>
    </row>
    <row r="28" spans="2:11" x14ac:dyDescent="0.25">
      <c r="B28" s="64">
        <v>46020</v>
      </c>
      <c r="C28" s="61">
        <v>150</v>
      </c>
      <c r="D28" s="61"/>
      <c r="J28" s="64">
        <v>46020</v>
      </c>
      <c r="K28" s="61">
        <v>1</v>
      </c>
    </row>
    <row r="29" spans="2:11" x14ac:dyDescent="0.25">
      <c r="B29" s="61"/>
      <c r="C29" s="61"/>
      <c r="D29" s="61"/>
    </row>
    <row r="30" spans="2:11" x14ac:dyDescent="0.25">
      <c r="B30" s="64">
        <f>+B27+7</f>
        <v>46027</v>
      </c>
      <c r="C30" s="61">
        <v>0</v>
      </c>
      <c r="D30" s="61"/>
      <c r="J30" s="64">
        <f>+J27+7</f>
        <v>46027</v>
      </c>
      <c r="K30" s="61">
        <v>0</v>
      </c>
    </row>
    <row r="31" spans="2:11" x14ac:dyDescent="0.25">
      <c r="B31" s="64">
        <f>+B28+7</f>
        <v>46027</v>
      </c>
      <c r="C31" s="61">
        <v>150</v>
      </c>
      <c r="D31" s="61"/>
      <c r="J31" s="64">
        <f>+J28+7</f>
        <v>46027</v>
      </c>
      <c r="K31" s="61">
        <v>1</v>
      </c>
    </row>
    <row r="32" spans="2:11" x14ac:dyDescent="0.25">
      <c r="B32" s="61"/>
      <c r="C32" s="61"/>
      <c r="D32" s="61"/>
    </row>
    <row r="33" spans="2:11" x14ac:dyDescent="0.25">
      <c r="B33" s="64">
        <f>+B30+7</f>
        <v>46034</v>
      </c>
      <c r="C33" s="61">
        <v>0</v>
      </c>
      <c r="D33" s="61"/>
      <c r="J33" s="64">
        <f>+J30+7</f>
        <v>46034</v>
      </c>
      <c r="K33" s="61">
        <v>0</v>
      </c>
    </row>
    <row r="34" spans="2:11" x14ac:dyDescent="0.25">
      <c r="B34" s="64">
        <f>+B31+7</f>
        <v>46034</v>
      </c>
      <c r="C34" s="61">
        <v>150</v>
      </c>
      <c r="D34" s="61"/>
      <c r="J34" s="64">
        <f>+J31+7</f>
        <v>46034</v>
      </c>
      <c r="K34" s="61">
        <v>1</v>
      </c>
    </row>
    <row r="35" spans="2:11" x14ac:dyDescent="0.25">
      <c r="B35" s="61"/>
      <c r="C35" s="61"/>
      <c r="D35" s="61"/>
    </row>
    <row r="36" spans="2:11" x14ac:dyDescent="0.25">
      <c r="B36" s="64">
        <f>+B33+7</f>
        <v>46041</v>
      </c>
      <c r="C36" s="61">
        <v>0</v>
      </c>
      <c r="J36" s="64">
        <f>+J33+7</f>
        <v>46041</v>
      </c>
      <c r="K36" s="61">
        <v>0</v>
      </c>
    </row>
    <row r="37" spans="2:11" x14ac:dyDescent="0.25">
      <c r="B37" s="64">
        <f>+B34+7</f>
        <v>46041</v>
      </c>
      <c r="C37" s="61">
        <v>150</v>
      </c>
      <c r="J37" s="64">
        <f>+J34+7</f>
        <v>46041</v>
      </c>
      <c r="K37" s="61">
        <v>1</v>
      </c>
    </row>
    <row r="38" spans="2:11" x14ac:dyDescent="0.25">
      <c r="B38" s="61"/>
      <c r="C38" s="61"/>
    </row>
    <row r="39" spans="2:11" x14ac:dyDescent="0.25">
      <c r="B39" s="64">
        <f>+B36+7</f>
        <v>46048</v>
      </c>
      <c r="C39" s="61">
        <v>0</v>
      </c>
      <c r="J39" s="64">
        <f>+J36+7</f>
        <v>46048</v>
      </c>
      <c r="K39" s="61">
        <v>0</v>
      </c>
    </row>
    <row r="40" spans="2:11" x14ac:dyDescent="0.25">
      <c r="B40" s="64">
        <f>+B37+7</f>
        <v>46048</v>
      </c>
      <c r="C40" s="61">
        <v>150</v>
      </c>
      <c r="J40" s="64">
        <f>+J37+7</f>
        <v>46048</v>
      </c>
      <c r="K40" s="61">
        <v>1</v>
      </c>
    </row>
    <row r="41" spans="2:11" x14ac:dyDescent="0.25">
      <c r="B41" s="61"/>
      <c r="C41" s="61"/>
    </row>
    <row r="42" spans="2:11" x14ac:dyDescent="0.25">
      <c r="B42" s="64">
        <f>+B39+7</f>
        <v>46055</v>
      </c>
      <c r="C42" s="61">
        <v>0</v>
      </c>
      <c r="J42" s="64">
        <f>+J39+7</f>
        <v>46055</v>
      </c>
      <c r="K42" s="61">
        <v>0</v>
      </c>
    </row>
    <row r="43" spans="2:11" x14ac:dyDescent="0.25">
      <c r="B43" s="64">
        <f>+B40+7</f>
        <v>46055</v>
      </c>
      <c r="C43" s="61">
        <v>150</v>
      </c>
      <c r="J43" s="64">
        <f>+J40+7</f>
        <v>46055</v>
      </c>
      <c r="K43" s="61">
        <v>1</v>
      </c>
    </row>
    <row r="44" spans="2:11" x14ac:dyDescent="0.25">
      <c r="B44" s="61"/>
      <c r="C44" s="61"/>
    </row>
    <row r="45" spans="2:11" x14ac:dyDescent="0.25">
      <c r="B45" s="64">
        <f>+B42+7</f>
        <v>46062</v>
      </c>
      <c r="C45" s="61">
        <v>0</v>
      </c>
      <c r="J45" s="64">
        <f>+J42+7</f>
        <v>46062</v>
      </c>
      <c r="K45" s="61">
        <v>0</v>
      </c>
    </row>
    <row r="46" spans="2:11" x14ac:dyDescent="0.25">
      <c r="B46" s="64">
        <f>+B43+7</f>
        <v>46062</v>
      </c>
      <c r="C46" s="61">
        <v>150</v>
      </c>
      <c r="J46" s="64">
        <f>+J43+7</f>
        <v>46062</v>
      </c>
      <c r="K46" s="61">
        <v>1</v>
      </c>
    </row>
    <row r="47" spans="2:11" x14ac:dyDescent="0.25">
      <c r="B47" s="61"/>
      <c r="C47" s="61"/>
    </row>
    <row r="48" spans="2:11" x14ac:dyDescent="0.25">
      <c r="B48" s="64">
        <f>+B45+7</f>
        <v>46069</v>
      </c>
      <c r="C48" s="61">
        <v>0</v>
      </c>
      <c r="J48" s="64">
        <f>+J45+7</f>
        <v>46069</v>
      </c>
      <c r="K48" s="61">
        <v>0</v>
      </c>
    </row>
    <row r="49" spans="2:11" x14ac:dyDescent="0.25">
      <c r="B49" s="64">
        <f>+B46+7</f>
        <v>46069</v>
      </c>
      <c r="C49" s="61">
        <v>150</v>
      </c>
      <c r="J49" s="64">
        <f>+J46+7</f>
        <v>46069</v>
      </c>
      <c r="K49" s="61">
        <v>1</v>
      </c>
    </row>
    <row r="50" spans="2:11" x14ac:dyDescent="0.25">
      <c r="B50" s="61"/>
      <c r="C50" s="61"/>
    </row>
    <row r="51" spans="2:11" x14ac:dyDescent="0.25">
      <c r="B51" s="64">
        <f>+B48+7</f>
        <v>46076</v>
      </c>
      <c r="C51" s="61">
        <v>0</v>
      </c>
      <c r="J51" s="64">
        <f>+J48+7</f>
        <v>46076</v>
      </c>
      <c r="K51" s="61">
        <v>0</v>
      </c>
    </row>
    <row r="52" spans="2:11" x14ac:dyDescent="0.25">
      <c r="B52" s="64">
        <f>+B49+7</f>
        <v>46076</v>
      </c>
      <c r="C52" s="61">
        <v>150</v>
      </c>
      <c r="J52" s="64">
        <f>+J49+7</f>
        <v>46076</v>
      </c>
      <c r="K52" s="61">
        <v>1</v>
      </c>
    </row>
    <row r="53" spans="2:11" x14ac:dyDescent="0.25">
      <c r="B53" s="61"/>
      <c r="C53" s="61"/>
    </row>
    <row r="54" spans="2:11" x14ac:dyDescent="0.25">
      <c r="B54" s="64">
        <f>+B51+7</f>
        <v>46083</v>
      </c>
      <c r="C54" s="61">
        <v>0</v>
      </c>
      <c r="J54" s="64">
        <f>+J51+7</f>
        <v>46083</v>
      </c>
      <c r="K54" s="61">
        <v>0</v>
      </c>
    </row>
    <row r="55" spans="2:11" x14ac:dyDescent="0.25">
      <c r="B55" s="64">
        <f>+B52+7</f>
        <v>46083</v>
      </c>
      <c r="C55" s="61">
        <v>150</v>
      </c>
      <c r="J55" s="64">
        <f>+J52+7</f>
        <v>46083</v>
      </c>
      <c r="K55" s="61">
        <v>1</v>
      </c>
    </row>
    <row r="56" spans="2:11" x14ac:dyDescent="0.25">
      <c r="B56" s="61"/>
      <c r="C56" s="61"/>
    </row>
    <row r="57" spans="2:11" x14ac:dyDescent="0.25">
      <c r="B57" s="61"/>
      <c r="C57" s="61"/>
    </row>
    <row r="58" spans="2:11" x14ac:dyDescent="0.25">
      <c r="B58" s="61"/>
      <c r="C58" s="61"/>
    </row>
    <row r="59" spans="2:11" x14ac:dyDescent="0.25">
      <c r="B59" s="61"/>
      <c r="C59" s="61"/>
    </row>
    <row r="60" spans="2:11" x14ac:dyDescent="0.25">
      <c r="B60" s="61"/>
      <c r="C60" s="61"/>
    </row>
    <row r="61" spans="2:11" x14ac:dyDescent="0.25">
      <c r="B61" s="61"/>
      <c r="C61" s="61"/>
    </row>
    <row r="62" spans="2:11" x14ac:dyDescent="0.25">
      <c r="B62" s="61"/>
      <c r="C62" s="61"/>
    </row>
    <row r="63" spans="2:11" x14ac:dyDescent="0.25">
      <c r="B63" s="61"/>
      <c r="C63" s="61"/>
    </row>
    <row r="64" spans="2:11" x14ac:dyDescent="0.25">
      <c r="B64" s="61"/>
      <c r="C64" s="61"/>
    </row>
    <row r="65" spans="2:3" x14ac:dyDescent="0.25">
      <c r="B65" s="61"/>
      <c r="C65" s="61"/>
    </row>
    <row r="66" spans="2:3" x14ac:dyDescent="0.25">
      <c r="B66" s="61"/>
      <c r="C66" s="61"/>
    </row>
    <row r="67" spans="2:3" x14ac:dyDescent="0.25">
      <c r="B67" s="61"/>
      <c r="C67" s="61"/>
    </row>
    <row r="68" spans="2:3" x14ac:dyDescent="0.25">
      <c r="B68" s="61"/>
      <c r="C68" s="61"/>
    </row>
    <row r="69" spans="2:3" x14ac:dyDescent="0.25">
      <c r="B69" s="61"/>
      <c r="C69" s="61"/>
    </row>
    <row r="70" spans="2:3" x14ac:dyDescent="0.25">
      <c r="B70" s="61"/>
      <c r="C70" s="61"/>
    </row>
    <row r="71" spans="2:3" x14ac:dyDescent="0.25">
      <c r="B71" s="61"/>
      <c r="C71" s="61"/>
    </row>
    <row r="72" spans="2:3" x14ac:dyDescent="0.25">
      <c r="B72" s="61"/>
      <c r="C72" s="61"/>
    </row>
    <row r="73" spans="2:3" x14ac:dyDescent="0.25">
      <c r="B73" s="61"/>
      <c r="C73" s="61"/>
    </row>
    <row r="74" spans="2:3" x14ac:dyDescent="0.25">
      <c r="B74" s="61"/>
      <c r="C74" s="61"/>
    </row>
    <row r="75" spans="2:3" x14ac:dyDescent="0.25">
      <c r="B75" s="61"/>
      <c r="C75" s="61"/>
    </row>
    <row r="76" spans="2:3" x14ac:dyDescent="0.25">
      <c r="B76" s="61"/>
      <c r="C76" s="6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B4CA81-FF0F-48EC-A80F-74A657BDCC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36</vt:i4>
      </vt:variant>
      <vt:variant>
        <vt:lpstr>Rangos con nombre</vt:lpstr>
      </vt:variant>
      <vt:variant>
        <vt:i4>9</vt:i4>
      </vt:variant>
    </vt:vector>
  </HeadingPairs>
  <TitlesOfParts>
    <vt:vector size="45" baseType="lpstr">
      <vt:lpstr>diario</vt:lpstr>
      <vt:lpstr>Resumen</vt:lpstr>
      <vt:lpstr>Catálogo de conceptos</vt:lpstr>
      <vt:lpstr>waterfall ENGIE</vt:lpstr>
      <vt:lpstr>Catalogo</vt:lpstr>
      <vt:lpstr>Conceptos</vt:lpstr>
      <vt:lpstr>R (s01)</vt:lpstr>
      <vt:lpstr>R (s02)</vt:lpstr>
      <vt:lpstr>R (s03)</vt:lpstr>
      <vt:lpstr>R (s04)</vt:lpstr>
      <vt:lpstr>R (s06)</vt:lpstr>
      <vt:lpstr>R (s07)</vt:lpstr>
      <vt:lpstr>R (s08)</vt:lpstr>
      <vt:lpstr>Direct Inspections check</vt:lpstr>
      <vt:lpstr>nombres</vt:lpstr>
      <vt:lpstr>Grafico</vt:lpstr>
      <vt:lpstr>Grafico %</vt:lpstr>
      <vt:lpstr>EV</vt:lpstr>
      <vt:lpstr>EV (2)</vt:lpstr>
      <vt:lpstr>EV (3)</vt:lpstr>
      <vt:lpstr>Por etapa</vt:lpstr>
      <vt:lpstr>EV (4)</vt:lpstr>
      <vt:lpstr>balance</vt:lpstr>
      <vt:lpstr>EV SPIN</vt:lpstr>
      <vt:lpstr>DASH SPIN</vt:lpstr>
      <vt:lpstr>Summary S01</vt:lpstr>
      <vt:lpstr>Summary S02</vt:lpstr>
      <vt:lpstr>Summary S03</vt:lpstr>
      <vt:lpstr>Summary S04</vt:lpstr>
      <vt:lpstr>Summary S06</vt:lpstr>
      <vt:lpstr>Summary S07</vt:lpstr>
      <vt:lpstr>Summary S08</vt:lpstr>
      <vt:lpstr>listado sistemas</vt:lpstr>
      <vt:lpstr>Metalografías</vt:lpstr>
      <vt:lpstr>waterfall</vt:lpstr>
      <vt:lpstr>Hoja1</vt:lpstr>
      <vt:lpstr>'DASH SPIN'!Área_de_impresión</vt:lpstr>
      <vt:lpstr>'Grafico %'!Área_de_impresión</vt:lpstr>
      <vt:lpstr>BUENAVISTA</vt:lpstr>
      <vt:lpstr>GIVAUDAN</vt:lpstr>
      <vt:lpstr>HUIMILPAN</vt:lpstr>
      <vt:lpstr>LIRA_GALERAS</vt:lpstr>
      <vt:lpstr>PECO_AGROS</vt:lpstr>
      <vt:lpstr>PIE_DE_GALLO</vt:lpstr>
      <vt:lpstr>SAN_GIL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AGS</dc:creator>
  <cp:keywords/>
  <dc:description/>
  <cp:lastModifiedBy>AGS</cp:lastModifiedBy>
  <cp:revision/>
  <cp:lastPrinted>2026-10-15T19:10:20Z</cp:lastPrinted>
  <dcterms:created xsi:type="dcterms:W3CDTF">2025-11-04T15:38:04Z</dcterms:created>
  <dcterms:modified xsi:type="dcterms:W3CDTF">2026-10-26T16:01:00Z</dcterms:modified>
  <cp:category/>
  <cp:contentStatus/>
</cp:coreProperties>
</file>